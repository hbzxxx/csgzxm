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5155" windowHeight="133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具体套装" sheetId="2" state="visible" r:id="rId2"/>
    <sheet xmlns:r="http://schemas.openxmlformats.org/officeDocument/2006/relationships" name="装备等级与属性规则" sheetId="3" state="visible" r:id="rId3"/>
    <sheet xmlns:r="http://schemas.openxmlformats.org/officeDocument/2006/relationships" name="装备id规则" sheetId="4" state="visible" r:id="rId4"/>
    <sheet xmlns:r="http://schemas.openxmlformats.org/officeDocument/2006/relationships" name="装备强化规则" sheetId="5" state="visible" r:id="rId5"/>
    <sheet xmlns:r="http://schemas.openxmlformats.org/officeDocument/2006/relationships" name="装备强化材料" sheetId="6" state="visible" r:id="rId6"/>
    <sheet xmlns:r="http://schemas.openxmlformats.org/officeDocument/2006/relationships" name="装备精炼材料" sheetId="7" state="visible" r:id="rId7"/>
    <sheet xmlns:r="http://schemas.openxmlformats.org/officeDocument/2006/relationships" name="辅助设计" sheetId="8" state="visible" r:id="rId8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_ "/>
  </numFmts>
  <fonts count="1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.5"/>
    </font>
    <font>
      <name val="Segoe UI"/>
      <family val="2"/>
      <color rgb="FF111111"/>
      <sz val="12"/>
    </font>
    <font>
      <name val="宋体"/>
      <charset val="134"/>
      <family val="3"/>
      <color theme="1"/>
      <sz val="11"/>
      <scheme val="minor"/>
    </font>
    <font>
      <name val="Arial"/>
      <family val="2"/>
      <color rgb="FF000000"/>
      <sz val="10"/>
    </font>
    <font>
      <name val="宋体"/>
      <charset val="134"/>
      <family val="3"/>
      <color rgb="FF000000"/>
      <sz val="10"/>
      <scheme val="minor"/>
    </font>
    <font>
      <name val="宋体"/>
      <charset val="134"/>
      <family val="3"/>
      <sz val="10.5"/>
    </font>
    <font>
      <name val="宋体"/>
      <charset val="134"/>
      <family val="3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.5"/>
    </font>
    <font>
      <name val="宋体"/>
      <charset val="134"/>
      <family val="3"/>
      <b val="1"/>
      <color theme="1"/>
      <sz val="10.5"/>
    </font>
    <font>
      <name val="宋体"/>
      <charset val="134"/>
      <family val="3"/>
      <color rgb="FF000000"/>
      <sz val="11"/>
      <scheme val="minor"/>
    </font>
    <font>
      <name val="宋体"/>
      <charset val="134"/>
      <family val="3"/>
      <sz val="9"/>
      <scheme val="minor"/>
    </font>
  </fonts>
  <fills count="21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3" tint="0.799890133365886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8290963469344"/>
        <bgColor indexed="64"/>
      </patternFill>
    </fill>
    <fill>
      <patternFill patternType="solid">
        <fgColor theme="4" tint="0.7998290963469344"/>
        <bgColor indexed="64"/>
      </patternFill>
    </fill>
    <fill>
      <patternFill patternType="solid">
        <fgColor theme="5" tint="0.7998290963469344"/>
        <bgColor indexed="64"/>
      </patternFill>
    </fill>
    <fill>
      <patternFill patternType="solid">
        <fgColor theme="6" tint="0.79982909634693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3998229926450392"/>
        <bgColor indexed="64"/>
      </patternFill>
    </fill>
    <fill>
      <patternFill patternType="solid">
        <fgColor theme="9" tint="0.39982299264503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horizontal="left" vertical="center" wrapText="1" inden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4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164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8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vertical="center"/>
    </xf>
    <xf numFmtId="0" fontId="0" fillId="9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12" borderId="0" applyAlignment="1" pivotButton="0" quotePrefix="0" xfId="0">
      <alignment vertical="center" wrapText="1"/>
    </xf>
    <xf numFmtId="0" fontId="0" fillId="12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/>
    </xf>
    <xf numFmtId="0" fontId="0" fillId="14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1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49" fontId="0" fillId="14" borderId="0" applyAlignment="1" pivotButton="0" quotePrefix="0" xfId="0">
      <alignment vertical="center" wrapText="1"/>
    </xf>
    <xf numFmtId="49" fontId="0" fillId="9" borderId="0" applyAlignment="1" pivotButton="0" quotePrefix="0" xfId="0">
      <alignment vertical="center" wrapText="1"/>
    </xf>
    <xf numFmtId="49" fontId="0" fillId="2" borderId="0" applyAlignment="1" pivotButton="0" quotePrefix="0" xfId="0">
      <alignment vertical="center" wrapText="1"/>
    </xf>
    <xf numFmtId="49" fontId="0" fillId="4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49" fontId="0" fillId="16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justify" vertical="center"/>
    </xf>
    <xf numFmtId="49" fontId="0" fillId="16" borderId="0" applyAlignment="1" pivotButton="0" quotePrefix="0" xfId="0">
      <alignment vertical="top" wrapText="1"/>
    </xf>
    <xf numFmtId="49" fontId="3" fillId="16" borderId="0" applyAlignment="1" pivotButton="0" quotePrefix="0" xfId="0">
      <alignment vertical="top" wrapText="1"/>
    </xf>
    <xf numFmtId="49" fontId="0" fillId="14" borderId="0" applyAlignment="1" pivotButton="0" quotePrefix="0" xfId="0">
      <alignment vertical="center" wrapText="1"/>
    </xf>
    <xf numFmtId="49" fontId="3" fillId="14" borderId="0" applyAlignment="1" pivotButton="0" quotePrefix="0" xfId="0">
      <alignment vertical="center" wrapText="1"/>
    </xf>
    <xf numFmtId="49" fontId="0" fillId="14" borderId="0" applyAlignment="1" pivotButton="0" quotePrefix="0" xfId="0">
      <alignment horizontal="justify" vertical="center"/>
    </xf>
    <xf numFmtId="49" fontId="0" fillId="14" borderId="0" applyAlignment="1" pivotButton="0" quotePrefix="0" xfId="0">
      <alignment vertical="center"/>
    </xf>
    <xf numFmtId="49" fontId="3" fillId="14" borderId="0" applyAlignment="1" pivotButton="0" quotePrefix="0" xfId="0">
      <alignment vertical="center"/>
    </xf>
    <xf numFmtId="49" fontId="0" fillId="9" borderId="0" applyAlignment="1" pivotButton="0" quotePrefix="0" xfId="0">
      <alignment vertical="center" wrapText="1"/>
    </xf>
    <xf numFmtId="49" fontId="3" fillId="9" borderId="0" applyAlignment="1" pivotButton="0" quotePrefix="0" xfId="0">
      <alignment vertical="center" wrapText="1"/>
    </xf>
    <xf numFmtId="49" fontId="0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0" fillId="4" borderId="0" applyAlignment="1" pivotButton="0" quotePrefix="0" xfId="0">
      <alignment vertical="center" wrapText="1"/>
    </xf>
    <xf numFmtId="49" fontId="3" fillId="4" borderId="0" applyAlignment="1" pivotButton="0" quotePrefix="0" xfId="0">
      <alignment vertical="center" wrapText="1"/>
    </xf>
    <xf numFmtId="49" fontId="1" fillId="0" borderId="0" applyAlignment="1" pivotButton="0" quotePrefix="0" xfId="0">
      <alignment horizontal="justify" vertical="center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justify" vertical="center"/>
    </xf>
    <xf numFmtId="49" fontId="1" fillId="14" borderId="0" applyAlignment="1" pivotButton="0" quotePrefix="0" xfId="0">
      <alignment horizontal="justify" vertical="center"/>
    </xf>
    <xf numFmtId="49" fontId="0" fillId="14" borderId="0" applyAlignment="1" pivotButton="0" quotePrefix="0" xfId="0">
      <alignment horizontal="justify" vertical="center"/>
    </xf>
    <xf numFmtId="49" fontId="0" fillId="0" borderId="0" applyAlignment="1" pivotButton="0" quotePrefix="0" xfId="0">
      <alignment vertical="center"/>
    </xf>
    <xf numFmtId="49" fontId="0" fillId="2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14" borderId="0" applyAlignment="1" pivotButton="0" quotePrefix="0" xfId="0">
      <alignment wrapText="1"/>
    </xf>
    <xf numFmtId="49" fontId="1" fillId="9" borderId="0" applyAlignment="1" pivotButton="0" quotePrefix="0" xfId="0">
      <alignment horizontal="justify" vertical="center"/>
    </xf>
    <xf numFmtId="49" fontId="1" fillId="2" borderId="0" applyAlignment="1" pivotButton="0" quotePrefix="0" xfId="0">
      <alignment horizontal="justify" vertical="center"/>
    </xf>
    <xf numFmtId="49" fontId="0" fillId="16" borderId="0" applyAlignment="1" pivotButton="0" quotePrefix="0" xfId="0">
      <alignment vertical="center" wrapText="1"/>
    </xf>
    <xf numFmtId="49" fontId="1" fillId="16" borderId="0" applyAlignment="1" pivotButton="0" quotePrefix="0" xfId="0">
      <alignment horizontal="justify" vertical="center"/>
    </xf>
    <xf numFmtId="49" fontId="8" fillId="0" borderId="0" applyAlignment="1" pivotButton="0" quotePrefix="0" xfId="0">
      <alignment vertical="center" wrapText="1"/>
    </xf>
    <xf numFmtId="49" fontId="11" fillId="0" borderId="0" applyAlignment="1" pivotButton="0" quotePrefix="0" xfId="0">
      <alignment horizontal="left" vertical="center"/>
    </xf>
    <xf numFmtId="49" fontId="11" fillId="17" borderId="0" applyAlignment="1" pivotButton="0" quotePrefix="0" xfId="0">
      <alignment horizontal="left" vertical="center"/>
    </xf>
    <xf numFmtId="49" fontId="11" fillId="18" borderId="0" applyAlignment="1" pivotButton="0" quotePrefix="0" xfId="0">
      <alignment horizontal="left" vertical="center"/>
    </xf>
    <xf numFmtId="49" fontId="11" fillId="19" borderId="0" applyAlignment="1" pivotButton="0" quotePrefix="0" xfId="0">
      <alignment horizontal="left" vertical="center"/>
    </xf>
    <xf numFmtId="49" fontId="11" fillId="2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164" fontId="0" fillId="6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tabSelected="1" workbookViewId="0">
      <pane ySplit="1" topLeftCell="A9" activePane="bottomLeft" state="frozen"/>
      <selection pane="bottomLeft" activeCell="G10" sqref="G10"/>
    </sheetView>
  </sheetViews>
  <sheetFormatPr baseColWidth="8" defaultColWidth="9" defaultRowHeight="13.5"/>
  <cols>
    <col width="9" customWidth="1" style="74" min="1" max="3"/>
    <col width="7.875" customWidth="1" style="74" min="4" max="4"/>
    <col width="11.5" customWidth="1" style="74" min="5" max="5"/>
    <col width="9" customWidth="1" style="74" min="6" max="7"/>
    <col width="12" customWidth="1" style="74" min="8" max="10"/>
    <col width="9" customWidth="1" style="74" min="11" max="11"/>
    <col width="46.375" customWidth="1" style="74" min="12" max="12"/>
    <col width="12.875" customWidth="1" style="74" min="13" max="14"/>
    <col width="33.25" customWidth="1" style="74" min="15" max="15"/>
    <col width="20.5" customWidth="1" style="74" min="16" max="16"/>
    <col width="9" customWidth="1" style="74" min="17" max="16384"/>
  </cols>
  <sheetData>
    <row r="1" ht="27" customHeight="1" s="119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rarity</t>
        </is>
      </c>
      <c r="E1" t="inlineStr">
        <is>
          <t>pos</t>
        </is>
      </c>
      <c r="F1" t="inlineStr">
        <is>
          <t>basePro</t>
        </is>
      </c>
      <c r="G1" t="inlineStr">
        <is>
          <t>iconName</t>
        </is>
      </c>
      <c r="H1" t="inlineStr">
        <is>
          <t>taoZhuang</t>
        </is>
      </c>
      <c r="I1" t="inlineStr">
        <is>
          <t>des</t>
        </is>
      </c>
      <c r="J1" t="inlineStr">
        <is>
          <t>hidedes</t>
        </is>
      </c>
      <c r="K1" t="inlineStr">
        <is>
          <t>featureDes</t>
        </is>
      </c>
      <c r="L1" t="inlineStr">
        <is>
          <t>itemId</t>
        </is>
      </c>
      <c r="M1" t="inlineStr">
        <is>
          <t>makeCost</t>
        </is>
      </c>
      <c r="N1" t="inlineStr">
        <is>
          <t>tuZhi</t>
        </is>
      </c>
      <c r="O1" t="inlineStr">
        <is>
          <t>qiHuo</t>
        </is>
      </c>
      <c r="P1" t="inlineStr">
        <is>
          <t>upgradeCost</t>
        </is>
      </c>
      <c r="Q1" t="inlineStr">
        <is>
          <t>upgradeProAdd</t>
        </is>
      </c>
      <c r="R1" t="inlineStr">
        <is>
          <t>param</t>
        </is>
      </c>
      <c r="S1" t="inlineStr">
        <is>
          <t>param2</t>
        </is>
      </c>
    </row>
    <row r="2" ht="101.25" customHeight="1" s="119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</row>
    <row r="3" ht="75" customHeight="1" s="119">
      <c r="A3" t="inlineStr">
        <is>
          <t>##</t>
        </is>
      </c>
      <c r="B3" s="74" t="inlineStr">
        <is>
          <t>id</t>
        </is>
      </c>
      <c r="C3" s="74" t="inlineStr">
        <is>
          <t>name</t>
        </is>
      </c>
      <c r="D3" s="57" t="inlineStr">
        <is>
          <t>rarity</t>
        </is>
      </c>
      <c r="E3" s="74" t="inlineStr">
        <is>
          <t>pos</t>
        </is>
      </c>
      <c r="F3" s="74" t="inlineStr">
        <is>
          <t>basePro</t>
        </is>
      </c>
      <c r="G3" s="74" t="inlineStr">
        <is>
          <t>iconName</t>
        </is>
      </c>
      <c r="H3" s="74" t="inlineStr">
        <is>
          <t>taoZhuang</t>
        </is>
      </c>
      <c r="I3" s="74" t="inlineStr">
        <is>
          <t>des</t>
        </is>
      </c>
      <c r="J3" s="74" t="inlineStr">
        <is>
          <t>hidedes</t>
        </is>
      </c>
      <c r="K3" s="74" t="inlineStr">
        <is>
          <t>featureDes</t>
        </is>
      </c>
      <c r="L3" s="74" t="inlineStr">
        <is>
          <t>itemId</t>
        </is>
      </c>
      <c r="M3" s="74" t="inlineStr">
        <is>
          <t>makeCost</t>
        </is>
      </c>
      <c r="N3" s="74" t="inlineStr">
        <is>
          <t>tuZhi</t>
        </is>
      </c>
      <c r="O3" s="74" t="inlineStr">
        <is>
          <t>qiHuo</t>
        </is>
      </c>
      <c r="P3" s="74" t="inlineStr">
        <is>
          <t>upgradeCost</t>
        </is>
      </c>
      <c r="Q3" s="74" t="inlineStr">
        <is>
          <t>upgradeProAdd</t>
        </is>
      </c>
      <c r="R3" s="74" t="inlineStr">
        <is>
          <t>param</t>
        </is>
      </c>
      <c r="S3" s="74" t="inlineStr">
        <is>
          <t>param2</t>
        </is>
      </c>
    </row>
    <row r="4" ht="156.75" customFormat="1" customHeight="1" s="62">
      <c r="B4" s="74" t="inlineStr">
        <is>
          <t>21101</t>
        </is>
      </c>
      <c r="C4" s="74" t="inlineStr">
        <is>
          <t>结草戒</t>
        </is>
      </c>
      <c r="D4" s="57" t="inlineStr">
        <is>
          <t>1</t>
        </is>
      </c>
      <c r="E4" s="74" t="inlineStr">
        <is>
          <t>0</t>
        </is>
      </c>
      <c r="F4" s="57" t="inlineStr">
        <is>
          <t>10003|435</t>
        </is>
      </c>
      <c r="G4" s="74" t="inlineStr">
        <is>
          <t>ring</t>
        </is>
      </c>
      <c r="I4" s="59" t="inlineStr">
        <is>
          <t>用低阶灵草茎叶编成的法器，灵气微弱，但价格实惠，且容易制作。</t>
        </is>
      </c>
      <c r="J4" s="59" t="n"/>
      <c r="K4" s="74" t="inlineStr">
        <is>
          <t>击中敌人三次后额外回复6点气</t>
        </is>
      </c>
      <c r="L4" s="74" t="inlineStr">
        <is>
          <t>21101</t>
        </is>
      </c>
      <c r="M4" s="74" t="inlineStr">
        <is>
          <t>111001|330$10001|1000</t>
        </is>
      </c>
      <c r="P4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" s="74" t="inlineStr">
        <is>
          <t>65</t>
        </is>
      </c>
    </row>
    <row r="5" ht="162.75" customFormat="1" customHeight="1" s="62">
      <c r="B5" s="74" t="inlineStr">
        <is>
          <t>21201</t>
        </is>
      </c>
      <c r="C5" s="60" t="inlineStr">
        <is>
          <t>桃木剑</t>
        </is>
      </c>
      <c r="D5" s="61" t="inlineStr">
        <is>
          <t>1</t>
        </is>
      </c>
      <c r="E5" s="74" t="inlineStr">
        <is>
          <t>0</t>
        </is>
      </c>
      <c r="F5" s="57" t="inlineStr">
        <is>
          <t>10003|435</t>
        </is>
      </c>
      <c r="G5" s="74" t="inlineStr">
        <is>
          <t>sword</t>
        </is>
      </c>
      <c r="I5" s="59" t="inlineStr">
        <is>
          <t>中洲随处可见的低阶法器，由蕴含中正之气的仙桃木制成，对付邪祟格外有效。</t>
        </is>
      </c>
      <c r="J5" s="59" t="n"/>
      <c r="K5" s="60" t="inlineStr">
        <is>
          <t>战斗中暴击率增加20%</t>
        </is>
      </c>
      <c r="L5" s="74" t="inlineStr">
        <is>
          <t>21201</t>
        </is>
      </c>
      <c r="M5" s="74" t="inlineStr">
        <is>
          <t>111001|330$10001|1000</t>
        </is>
      </c>
      <c r="P5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5" s="74" t="inlineStr">
        <is>
          <t>65</t>
        </is>
      </c>
    </row>
    <row r="6" ht="79.5" customFormat="1" customHeight="1" s="67">
      <c r="B6" s="62" t="inlineStr">
        <is>
          <t>22101</t>
        </is>
      </c>
      <c r="C6" s="62" t="inlineStr">
        <is>
          <t>琉璃戒</t>
        </is>
      </c>
      <c r="D6" s="63" t="inlineStr">
        <is>
          <t>2</t>
        </is>
      </c>
      <c r="E6" s="62" t="inlineStr">
        <is>
          <t>0</t>
        </is>
      </c>
      <c r="F6" s="63" t="inlineStr">
        <is>
          <t>10003|521</t>
        </is>
      </c>
      <c r="G6" s="62" t="inlineStr">
        <is>
          <t>ring</t>
        </is>
      </c>
      <c r="I6" s="78" t="inlineStr">
        <is>
          <t>此戒通体雪白，以天山白玉所铸，不留丝毫暗影，故得名沉影。</t>
        </is>
      </c>
      <c r="J6" s="78" t="n"/>
      <c r="K6" s="78" t="inlineStr">
        <is>
          <t>击中敌人两次后额外回复5点气</t>
        </is>
      </c>
      <c r="L6" s="62" t="inlineStr">
        <is>
          <t>22101</t>
        </is>
      </c>
      <c r="M6" s="62" t="inlineStr">
        <is>
          <t>112001|430$10001|1500</t>
        </is>
      </c>
      <c r="N6" s="62" t="n"/>
      <c r="O6" s="62" t="n"/>
      <c r="P6" s="63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" s="63" t="inlineStr">
        <is>
          <t>78</t>
        </is>
      </c>
    </row>
    <row r="7" ht="69" customFormat="1" customHeight="1" s="67">
      <c r="B7" s="62" t="inlineStr">
        <is>
          <t>22201</t>
        </is>
      </c>
      <c r="C7" s="65" t="inlineStr">
        <is>
          <t>承影剑</t>
        </is>
      </c>
      <c r="D7" s="66" t="inlineStr">
        <is>
          <t>2</t>
        </is>
      </c>
      <c r="E7" s="62" t="inlineStr">
        <is>
          <t>0</t>
        </is>
      </c>
      <c r="F7" s="63" t="inlineStr">
        <is>
          <t>10003|521</t>
        </is>
      </c>
      <c r="G7" s="62" t="inlineStr">
        <is>
          <t>sword</t>
        </is>
      </c>
      <c r="I7" s="78" t="inlineStr">
        <is>
          <t>上古十大名剑之一，传说剑柄与剑身不可同时见，只有在昼夜交替那一刹，方可一窥此剑全貌。</t>
        </is>
      </c>
      <c r="J7" s="78" t="n"/>
      <c r="K7" s="78" t="inlineStr">
        <is>
          <t>击中敌人三次后额外再触发一次攻击</t>
        </is>
      </c>
      <c r="L7" s="62" t="inlineStr">
        <is>
          <t>22201</t>
        </is>
      </c>
      <c r="M7" s="62" t="inlineStr">
        <is>
          <t>112001|430$10001|1500</t>
        </is>
      </c>
      <c r="N7" s="62" t="n"/>
      <c r="O7" s="62" t="n"/>
      <c r="P7" s="62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" s="63" t="inlineStr">
        <is>
          <t>78</t>
        </is>
      </c>
    </row>
    <row r="8" ht="135" customFormat="1" customHeight="1" s="69">
      <c r="B8" s="67" t="inlineStr">
        <is>
          <t>23101</t>
        </is>
      </c>
      <c r="C8" s="67" t="inlineStr">
        <is>
          <t>玉扳指</t>
        </is>
      </c>
      <c r="D8" s="68" t="inlineStr">
        <is>
          <t>3</t>
        </is>
      </c>
      <c r="E8" s="67" t="inlineStr">
        <is>
          <t>0</t>
        </is>
      </c>
      <c r="F8" s="68" t="inlineStr">
        <is>
          <t>10003|608</t>
        </is>
      </c>
      <c r="G8" s="67" t="inlineStr">
        <is>
          <t>ring</t>
        </is>
      </c>
      <c r="I8" s="67" t="inlineStr">
        <is>
          <t>根据江湖小报调查，这玩意是中老年人最爱的饰品之一</t>
        </is>
      </c>
      <c r="J8" s="67" t="n"/>
      <c r="K8" s="67" t="n"/>
      <c r="L8" s="67" t="inlineStr">
        <is>
          <t>23101</t>
        </is>
      </c>
      <c r="M8" s="67" t="inlineStr">
        <is>
          <t>113001|550$10001|2000</t>
        </is>
      </c>
      <c r="N8" s="67" t="n"/>
      <c r="O8" s="67" t="n"/>
      <c r="P8" s="67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8" s="68" t="inlineStr">
        <is>
          <t>91</t>
        </is>
      </c>
    </row>
    <row r="9" ht="126.75" customFormat="1" customHeight="1" s="71">
      <c r="B9" s="67" t="inlineStr">
        <is>
          <t>23201</t>
        </is>
      </c>
      <c r="C9" s="67" t="inlineStr">
        <is>
          <t>龙泉剑</t>
        </is>
      </c>
      <c r="D9" s="67" t="n"/>
      <c r="E9" s="67" t="inlineStr">
        <is>
          <t>0</t>
        </is>
      </c>
      <c r="F9" s="68" t="inlineStr">
        <is>
          <t>10003|608</t>
        </is>
      </c>
      <c r="G9" s="67" t="inlineStr">
        <is>
          <t>sword</t>
        </is>
      </c>
      <c r="I9" s="67" t="inlineStr">
        <is>
          <t>良工咨嗟叹奇绝，铸得宝剑名龙泉</t>
        </is>
      </c>
      <c r="J9" s="67" t="n"/>
      <c r="K9" s="67" t="n"/>
      <c r="L9" s="67" t="inlineStr">
        <is>
          <t>23201</t>
        </is>
      </c>
      <c r="M9" s="67" t="inlineStr">
        <is>
          <t>113001|550$10001|2000</t>
        </is>
      </c>
      <c r="N9" s="67" t="n"/>
      <c r="O9" s="67" t="n"/>
      <c r="P9" s="67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9" s="68" t="inlineStr">
        <is>
          <t>91</t>
        </is>
      </c>
    </row>
    <row r="10" ht="121.5" customFormat="1" customHeight="1" s="69">
      <c r="B10" s="69" t="inlineStr">
        <is>
          <t>24101</t>
        </is>
      </c>
      <c r="C10" s="69" t="inlineStr">
        <is>
          <t>湛空戒</t>
        </is>
      </c>
      <c r="D10" s="70" t="inlineStr">
        <is>
          <t>4</t>
        </is>
      </c>
      <c r="E10" s="69" t="inlineStr">
        <is>
          <t>0</t>
        </is>
      </c>
      <c r="F10" s="70" t="inlineStr">
        <is>
          <t>10003|695</t>
        </is>
      </c>
      <c r="G10" s="69" t="inlineStr">
        <is>
          <t>ring</t>
        </is>
      </c>
      <c r="I10" s="69" t="inlineStr">
        <is>
          <t>此戒由湛空石所铸，暗含空间规则之力，其威力无人能挡。据说修炼到极致，可徒手划破虚空。</t>
        </is>
      </c>
      <c r="J10" s="69" t="n"/>
      <c r="K10" s="69" t="n"/>
      <c r="L10" s="69" t="inlineStr">
        <is>
          <t>24101</t>
        </is>
      </c>
      <c r="M10" s="69" t="inlineStr">
        <is>
          <t>114001|1100$10001|2500</t>
        </is>
      </c>
      <c r="N10" s="69" t="n"/>
      <c r="O10" s="69" t="n"/>
      <c r="P10" s="69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0" s="70" t="inlineStr">
        <is>
          <t>104</t>
        </is>
      </c>
    </row>
    <row r="11" ht="35.25" customHeight="1" s="119">
      <c r="B11" s="71" t="inlineStr">
        <is>
          <t>25101</t>
        </is>
      </c>
      <c r="C11" s="71" t="inlineStr">
        <is>
          <t>乾坤戒</t>
        </is>
      </c>
      <c r="D11" s="72" t="inlineStr">
        <is>
          <t>5</t>
        </is>
      </c>
      <c r="E11" s="71" t="inlineStr">
        <is>
          <t>0</t>
        </is>
      </c>
      <c r="F11" s="72" t="inlineStr">
        <is>
          <t>10003|869</t>
        </is>
      </c>
      <c r="G11" s="71" t="inlineStr">
        <is>
          <t>ring</t>
        </is>
      </c>
      <c r="I11" s="71" t="inlineStr">
        <is>
          <t>乾坤戒传说是上古神物，外蕴天命，内蕴地理。其威力毁天灭地，招手间可倾覆山海。</t>
        </is>
      </c>
      <c r="J11" s="71" t="n"/>
      <c r="K11" s="71" t="n"/>
      <c r="L11" s="71" t="inlineStr">
        <is>
          <t>25101</t>
        </is>
      </c>
      <c r="M11" s="71" t="inlineStr">
        <is>
          <t>115001|1655$10001|3000</t>
        </is>
      </c>
      <c r="N11" s="71" t="n"/>
      <c r="O11" s="71" t="n"/>
      <c r="P11" s="71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1" s="72" t="inlineStr">
        <is>
          <t>130</t>
        </is>
      </c>
    </row>
    <row r="12" ht="42" customHeight="1" s="119">
      <c r="B12" s="69" t="inlineStr">
        <is>
          <t>24201</t>
        </is>
      </c>
      <c r="C12" s="69" t="inlineStr">
        <is>
          <t>堕仙剑</t>
        </is>
      </c>
      <c r="D12" s="70" t="inlineStr">
        <is>
          <t>4</t>
        </is>
      </c>
      <c r="E12" s="69" t="inlineStr">
        <is>
          <t>0</t>
        </is>
      </c>
      <c r="F12" s="70" t="inlineStr">
        <is>
          <t>10003|720</t>
        </is>
      </c>
      <c r="G12" s="69" t="inlineStr">
        <is>
          <t>img_duoxianjian</t>
        </is>
      </c>
      <c r="I12" s="69" t="inlineStr">
        <is>
          <t>造成伤害时，有10%（每次精炼+2）50几率召唤一把仙剑额外造成一次40%45 50 55 60攻击力无属性伤害</t>
        </is>
      </c>
      <c r="J12" s="69" t="inlineStr">
        <is>
          <t>造成伤害时，有50%几率召唤一把仙剑额外造成一次40%攻击力无属性伤害</t>
        </is>
      </c>
      <c r="L12" s="69" t="inlineStr">
        <is>
          <t>24201</t>
        </is>
      </c>
      <c r="M12" s="69" t="inlineStr">
        <is>
          <t>114001|1100$10001|2500$344001|1</t>
        </is>
      </c>
      <c r="N12" s="69" t="n"/>
      <c r="O12" s="69" t="n"/>
      <c r="P12" s="69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2" s="70" t="inlineStr">
        <is>
          <t>108</t>
        </is>
      </c>
      <c r="R12" s="69" t="inlineStr">
        <is>
          <t>50$40|45|50|55|60</t>
        </is>
      </c>
      <c r="S12" s="80" t="inlineStr">
        <is>
          <t>10059</t>
        </is>
      </c>
    </row>
    <row r="13" ht="35.25" customHeight="1" s="119">
      <c r="B13" s="74" t="inlineStr">
        <is>
          <t>21001</t>
        </is>
      </c>
      <c r="C13" s="76" t="inlineStr">
        <is>
          <t>血云刀</t>
        </is>
      </c>
      <c r="D13" s="76" t="inlineStr">
        <is>
          <t>1</t>
        </is>
      </c>
      <c r="E13" s="74" t="inlineStr">
        <is>
          <t>0</t>
        </is>
      </c>
      <c r="F13" s="74" t="inlineStr">
        <is>
          <t>10003|435</t>
        </is>
      </c>
      <c r="G13" s="74" t="inlineStr">
        <is>
          <t>img_duoxianjian</t>
        </is>
      </c>
      <c r="H13" s="74" t="inlineStr">
        <is>
          <t>1</t>
        </is>
      </c>
      <c r="I13" s="74" t="n"/>
      <c r="J13" s="74" t="n"/>
      <c r="L13" s="74" t="inlineStr">
        <is>
          <t>21001</t>
        </is>
      </c>
      <c r="M13" s="74" t="inlineStr">
        <is>
          <t>111001|330$10001|1000$341002|1</t>
        </is>
      </c>
      <c r="N13" s="74" t="inlineStr">
        <is>
          <t>341002</t>
        </is>
      </c>
      <c r="O13" s="89" t="inlineStr">
        <is>
          <t>411001</t>
        </is>
      </c>
      <c r="P13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13" s="74" t="inlineStr">
        <is>
          <t>65</t>
        </is>
      </c>
      <c r="R13" s="74" t="n"/>
      <c r="S13" s="82" t="n"/>
    </row>
    <row r="14" ht="42.75" customHeight="1" s="119">
      <c r="B14" s="74" t="inlineStr">
        <is>
          <t>21002</t>
        </is>
      </c>
      <c r="C14" s="76" t="inlineStr">
        <is>
          <t>血云衣</t>
        </is>
      </c>
      <c r="D14" s="76" t="inlineStr">
        <is>
          <t>1</t>
        </is>
      </c>
      <c r="E14" s="74" t="inlineStr">
        <is>
          <t>1</t>
        </is>
      </c>
      <c r="F14" s="74" t="inlineStr">
        <is>
          <t>10004|303</t>
        </is>
      </c>
      <c r="G14" s="74" t="inlineStr">
        <is>
          <t>img_duoxianjian</t>
        </is>
      </c>
      <c r="H14" s="74" t="inlineStr">
        <is>
          <t>1</t>
        </is>
      </c>
      <c r="I14" s="74" t="n"/>
      <c r="J14" s="74" t="n"/>
      <c r="L14" s="74" t="inlineStr">
        <is>
          <t>21002</t>
        </is>
      </c>
      <c r="M14" s="74" t="inlineStr">
        <is>
          <t>111001|330$10001|1000$341003|1</t>
        </is>
      </c>
      <c r="N14" s="74" t="inlineStr">
        <is>
          <t>341003</t>
        </is>
      </c>
      <c r="O14" s="89" t="inlineStr">
        <is>
          <t>411001</t>
        </is>
      </c>
      <c r="P14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14" s="74" t="inlineStr">
        <is>
          <t>46</t>
        </is>
      </c>
      <c r="R14" s="74" t="n"/>
      <c r="S14" s="82" t="n"/>
    </row>
    <row r="15" ht="24.75" customFormat="1" customHeight="1" s="74">
      <c r="B15" s="74" t="inlineStr">
        <is>
          <t>21003</t>
        </is>
      </c>
      <c r="C15" s="76" t="inlineStr">
        <is>
          <t>血云靴</t>
        </is>
      </c>
      <c r="D15" s="76" t="inlineStr">
        <is>
          <t>1</t>
        </is>
      </c>
      <c r="E15" s="74" t="inlineStr">
        <is>
          <t>2</t>
        </is>
      </c>
      <c r="F15" s="79" t="inlineStr">
        <is>
          <t>10001|1610</t>
        </is>
      </c>
      <c r="G15" s="74" t="inlineStr">
        <is>
          <t>img_duoxianjian</t>
        </is>
      </c>
      <c r="H15" s="74" t="inlineStr">
        <is>
          <t>1</t>
        </is>
      </c>
      <c r="I15" s="74" t="n"/>
      <c r="J15" s="74" t="n"/>
      <c r="L15" s="74" t="inlineStr">
        <is>
          <t>21003</t>
        </is>
      </c>
      <c r="M15" s="74" t="inlineStr">
        <is>
          <t>111001|330$10001|1000$341004|1</t>
        </is>
      </c>
      <c r="N15" s="74" t="inlineStr">
        <is>
          <t>341004</t>
        </is>
      </c>
      <c r="O15" s="89" t="inlineStr">
        <is>
          <t>411001</t>
        </is>
      </c>
      <c r="P15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15" s="74" t="inlineStr">
        <is>
          <t>242</t>
        </is>
      </c>
      <c r="R15" s="74" t="n"/>
      <c r="S15" s="82" t="n"/>
    </row>
    <row r="16" ht="24.75" customFormat="1" customHeight="1" s="74">
      <c r="B16" s="74" t="inlineStr">
        <is>
          <t>21004</t>
        </is>
      </c>
      <c r="C16" s="76" t="inlineStr">
        <is>
          <t>血云珠</t>
        </is>
      </c>
      <c r="D16" s="76" t="inlineStr">
        <is>
          <t>1</t>
        </is>
      </c>
      <c r="E16" s="74" t="inlineStr">
        <is>
          <t>3</t>
        </is>
      </c>
      <c r="F16" s="79" t="inlineStr">
        <is>
          <t>10009|458</t>
        </is>
      </c>
      <c r="G16" s="74" t="inlineStr">
        <is>
          <t>img_duoxianjian</t>
        </is>
      </c>
      <c r="H16" s="74" t="inlineStr">
        <is>
          <t>1</t>
        </is>
      </c>
      <c r="I16" s="74" t="n"/>
      <c r="J16" s="74" t="n"/>
      <c r="L16" s="74" t="inlineStr">
        <is>
          <t>21004</t>
        </is>
      </c>
      <c r="M16" s="74" t="inlineStr">
        <is>
          <t>111001|330$10001|1000$341005|1</t>
        </is>
      </c>
      <c r="N16" s="74" t="inlineStr">
        <is>
          <t>341005</t>
        </is>
      </c>
      <c r="O16" s="89" t="inlineStr">
        <is>
          <t>411001</t>
        </is>
      </c>
      <c r="P16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16" s="74" t="inlineStr">
        <is>
          <t>69</t>
        </is>
      </c>
      <c r="R16" s="74" t="n"/>
      <c r="S16" s="82" t="n"/>
    </row>
    <row r="17" ht="24.75" customFormat="1" customHeight="1" s="74">
      <c r="B17" s="74" t="inlineStr">
        <is>
          <t>21005</t>
        </is>
      </c>
      <c r="C17" s="76" t="inlineStr">
        <is>
          <t>金龙枪</t>
        </is>
      </c>
      <c r="D17" s="76" t="inlineStr">
        <is>
          <t>1</t>
        </is>
      </c>
      <c r="E17" s="74" t="inlineStr">
        <is>
          <t>0</t>
        </is>
      </c>
      <c r="F17" s="74" t="inlineStr">
        <is>
          <t>10003|563</t>
        </is>
      </c>
      <c r="G17" s="74" t="inlineStr">
        <is>
          <t>img_duoxianjian</t>
        </is>
      </c>
      <c r="H17" s="74" t="inlineStr">
        <is>
          <t>2</t>
        </is>
      </c>
      <c r="I17" s="74" t="n"/>
      <c r="J17" s="74" t="n"/>
      <c r="L17" s="74" t="inlineStr">
        <is>
          <t>21005</t>
        </is>
      </c>
      <c r="M17" s="74" t="inlineStr">
        <is>
          <t>111001|330$10001|1000$341006|1</t>
        </is>
      </c>
      <c r="N17" s="74" t="inlineStr">
        <is>
          <t>341006</t>
        </is>
      </c>
      <c r="O17" s="89" t="inlineStr">
        <is>
          <t>411002</t>
        </is>
      </c>
      <c r="P17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17" s="74" t="inlineStr">
        <is>
          <t>85</t>
        </is>
      </c>
      <c r="R17" s="74" t="n"/>
      <c r="S17" s="82" t="n"/>
    </row>
    <row r="18" ht="24.75" customFormat="1" customHeight="1" s="74">
      <c r="B18" s="74" t="inlineStr">
        <is>
          <t>21006</t>
        </is>
      </c>
      <c r="C18" s="76" t="inlineStr">
        <is>
          <t>银龙甲</t>
        </is>
      </c>
      <c r="D18" s="76" t="inlineStr">
        <is>
          <t>1</t>
        </is>
      </c>
      <c r="E18" s="74" t="inlineStr">
        <is>
          <t>1</t>
        </is>
      </c>
      <c r="F18" s="74" t="inlineStr">
        <is>
          <t>10004|285</t>
        </is>
      </c>
      <c r="G18" s="74" t="inlineStr">
        <is>
          <t>img_duoxianjian</t>
        </is>
      </c>
      <c r="H18" s="74" t="inlineStr">
        <is>
          <t>2</t>
        </is>
      </c>
      <c r="I18" s="74" t="n"/>
      <c r="J18" s="74" t="n"/>
      <c r="L18" s="74" t="inlineStr">
        <is>
          <t>21006</t>
        </is>
      </c>
      <c r="M18" s="74" t="inlineStr">
        <is>
          <t>111001|330$10001|1000$341007|1</t>
        </is>
      </c>
      <c r="N18" s="74" t="inlineStr">
        <is>
          <t>341007</t>
        </is>
      </c>
      <c r="O18" s="89" t="inlineStr">
        <is>
          <t>411002</t>
        </is>
      </c>
      <c r="P18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18" s="74" t="inlineStr">
        <is>
          <t>43</t>
        </is>
      </c>
      <c r="R18" s="74" t="n"/>
      <c r="S18" s="82" t="n"/>
    </row>
    <row r="19" ht="24.75" customFormat="1" customHeight="1" s="74">
      <c r="B19" s="74" t="inlineStr">
        <is>
          <t>21007</t>
        </is>
      </c>
      <c r="C19" s="76" t="inlineStr">
        <is>
          <t>海龙靴</t>
        </is>
      </c>
      <c r="D19" s="76" t="inlineStr">
        <is>
          <t>1</t>
        </is>
      </c>
      <c r="E19" s="74" t="inlineStr">
        <is>
          <t>2</t>
        </is>
      </c>
      <c r="F19" s="79" t="inlineStr">
        <is>
          <t>10001|1502</t>
        </is>
      </c>
      <c r="G19" s="74" t="inlineStr">
        <is>
          <t>img_duoxianjian</t>
        </is>
      </c>
      <c r="H19" s="74" t="inlineStr">
        <is>
          <t>2</t>
        </is>
      </c>
      <c r="I19" s="74" t="n"/>
      <c r="J19" s="74" t="n"/>
      <c r="L19" s="74" t="inlineStr">
        <is>
          <t>21007</t>
        </is>
      </c>
      <c r="M19" s="74" t="inlineStr">
        <is>
          <t>111001|330$10001|1000$341008|1</t>
        </is>
      </c>
      <c r="N19" s="74" t="inlineStr">
        <is>
          <t>341008</t>
        </is>
      </c>
      <c r="O19" s="89" t="inlineStr">
        <is>
          <t>411002</t>
        </is>
      </c>
      <c r="P19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19" s="74" t="inlineStr">
        <is>
          <t>226</t>
        </is>
      </c>
      <c r="R19" s="74" t="n"/>
      <c r="S19" s="82" t="n"/>
    </row>
    <row r="20" ht="24.75" customFormat="1" customHeight="1" s="74">
      <c r="B20" s="74" t="inlineStr">
        <is>
          <t>21008</t>
        </is>
      </c>
      <c r="C20" s="76" t="inlineStr">
        <is>
          <t>黑龙珠</t>
        </is>
      </c>
      <c r="D20" s="76" t="inlineStr">
        <is>
          <t>1</t>
        </is>
      </c>
      <c r="E20" s="74" t="inlineStr">
        <is>
          <t>3</t>
        </is>
      </c>
      <c r="F20" s="79" t="inlineStr">
        <is>
          <t>10009|458</t>
        </is>
      </c>
      <c r="G20" s="74" t="inlineStr">
        <is>
          <t>img_duoxianjian</t>
        </is>
      </c>
      <c r="H20" s="74" t="inlineStr">
        <is>
          <t>2</t>
        </is>
      </c>
      <c r="I20" s="74" t="n"/>
      <c r="J20" s="74" t="n"/>
      <c r="L20" s="74" t="inlineStr">
        <is>
          <t>21008</t>
        </is>
      </c>
      <c r="M20" s="74" t="inlineStr">
        <is>
          <t>111001|330$10001|1000$341009|1</t>
        </is>
      </c>
      <c r="N20" s="74" t="inlineStr">
        <is>
          <t>341009</t>
        </is>
      </c>
      <c r="O20" s="89" t="inlineStr">
        <is>
          <t>411002</t>
        </is>
      </c>
      <c r="P20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20" s="74" t="inlineStr">
        <is>
          <t>69</t>
        </is>
      </c>
      <c r="R20" s="74" t="n"/>
      <c r="S20" s="82" t="n"/>
    </row>
    <row r="21" ht="24.75" customFormat="1" customHeight="1" s="74">
      <c r="B21" s="74" t="inlineStr">
        <is>
          <t>21009</t>
        </is>
      </c>
      <c r="C21" s="76" t="inlineStr">
        <is>
          <t>神风剑</t>
        </is>
      </c>
      <c r="D21" s="76" t="inlineStr">
        <is>
          <t>1</t>
        </is>
      </c>
      <c r="E21" s="74" t="inlineStr">
        <is>
          <t>0</t>
        </is>
      </c>
      <c r="F21" s="74" t="inlineStr">
        <is>
          <t>10003|505</t>
        </is>
      </c>
      <c r="G21" s="74" t="inlineStr">
        <is>
          <t>img_duoxianjian</t>
        </is>
      </c>
      <c r="H21" s="74" t="inlineStr">
        <is>
          <t>3</t>
        </is>
      </c>
      <c r="I21" s="74" t="n"/>
      <c r="J21" s="74" t="n"/>
      <c r="L21" s="74" t="inlineStr">
        <is>
          <t>21009</t>
        </is>
      </c>
      <c r="M21" s="74" t="inlineStr">
        <is>
          <t>111001|330$10001|1000$341010|1</t>
        </is>
      </c>
      <c r="N21" s="74" t="inlineStr">
        <is>
          <t>341010</t>
        </is>
      </c>
      <c r="O21" s="89" t="inlineStr">
        <is>
          <t>411003</t>
        </is>
      </c>
      <c r="P21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21" s="74" t="inlineStr">
        <is>
          <t>76</t>
        </is>
      </c>
      <c r="R21" s="74" t="n"/>
      <c r="S21" s="82" t="n"/>
    </row>
    <row r="22" ht="24.75" customFormat="1" customHeight="1" s="74">
      <c r="B22" s="74" t="inlineStr">
        <is>
          <t>21010</t>
        </is>
      </c>
      <c r="C22" s="76" t="inlineStr">
        <is>
          <t>须弥甲</t>
        </is>
      </c>
      <c r="D22" s="76" t="inlineStr">
        <is>
          <t>1</t>
        </is>
      </c>
      <c r="E22" s="74" t="inlineStr">
        <is>
          <t>1</t>
        </is>
      </c>
      <c r="F22" s="74" t="inlineStr">
        <is>
          <t>10004|285</t>
        </is>
      </c>
      <c r="G22" s="74" t="inlineStr">
        <is>
          <t>img_duoxianjian</t>
        </is>
      </c>
      <c r="H22" s="74" t="inlineStr">
        <is>
          <t>3</t>
        </is>
      </c>
      <c r="I22" s="74" t="n"/>
      <c r="J22" s="74" t="n"/>
      <c r="L22" s="74" t="inlineStr">
        <is>
          <t>21010</t>
        </is>
      </c>
      <c r="M22" s="74" t="inlineStr">
        <is>
          <t>111001|330$10001|1000$341011|1</t>
        </is>
      </c>
      <c r="N22" s="74" t="inlineStr">
        <is>
          <t>341011</t>
        </is>
      </c>
      <c r="O22" s="89" t="inlineStr">
        <is>
          <t>411003</t>
        </is>
      </c>
      <c r="P22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22" s="74" t="inlineStr">
        <is>
          <t>43</t>
        </is>
      </c>
      <c r="R22" s="74" t="n"/>
      <c r="S22" s="82" t="n"/>
    </row>
    <row r="23" ht="24.75" customFormat="1" customHeight="1" s="74">
      <c r="B23" s="74" t="inlineStr">
        <is>
          <t>21011</t>
        </is>
      </c>
      <c r="C23" s="76" t="inlineStr">
        <is>
          <t>清风靴</t>
        </is>
      </c>
      <c r="D23" s="76" t="inlineStr">
        <is>
          <t>1</t>
        </is>
      </c>
      <c r="E23" s="74" t="inlineStr">
        <is>
          <t>2</t>
        </is>
      </c>
      <c r="F23" s="79" t="inlineStr">
        <is>
          <t>10001|1418</t>
        </is>
      </c>
      <c r="G23" s="74" t="inlineStr">
        <is>
          <t>img_duoxianjian</t>
        </is>
      </c>
      <c r="H23" s="74" t="inlineStr">
        <is>
          <t>3</t>
        </is>
      </c>
      <c r="I23" s="74" t="n"/>
      <c r="J23" s="74" t="n"/>
      <c r="L23" s="74" t="inlineStr">
        <is>
          <t>21011</t>
        </is>
      </c>
      <c r="M23" s="74" t="inlineStr">
        <is>
          <t>111001|330$10001|1000$341012|1</t>
        </is>
      </c>
      <c r="N23" s="74" t="inlineStr">
        <is>
          <t>341012</t>
        </is>
      </c>
      <c r="O23" s="89" t="inlineStr">
        <is>
          <t>411003</t>
        </is>
      </c>
      <c r="P23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23" s="74" t="inlineStr">
        <is>
          <t>213</t>
        </is>
      </c>
      <c r="R23" s="74" t="n"/>
      <c r="S23" s="82" t="n"/>
    </row>
    <row r="24" ht="24.75" customFormat="1" customHeight="1" s="74">
      <c r="B24" s="74" t="inlineStr">
        <is>
          <t>21012</t>
        </is>
      </c>
      <c r="C24" s="76" t="inlineStr">
        <is>
          <t>百仙玉</t>
        </is>
      </c>
      <c r="D24" s="76" t="inlineStr">
        <is>
          <t>1</t>
        </is>
      </c>
      <c r="E24" s="74" t="inlineStr">
        <is>
          <t>3</t>
        </is>
      </c>
      <c r="F24" s="79" t="inlineStr">
        <is>
          <t>10009|458</t>
        </is>
      </c>
      <c r="G24" s="74" t="inlineStr">
        <is>
          <t>img_duoxianjian</t>
        </is>
      </c>
      <c r="H24" s="74" t="inlineStr">
        <is>
          <t>3</t>
        </is>
      </c>
      <c r="I24" s="74" t="n"/>
      <c r="J24" s="74" t="n"/>
      <c r="L24" s="74" t="inlineStr">
        <is>
          <t>21012</t>
        </is>
      </c>
      <c r="M24" s="74" t="inlineStr">
        <is>
          <t>111001|330$10001|1000$341013|1</t>
        </is>
      </c>
      <c r="N24" s="74" t="inlineStr">
        <is>
          <t>341013</t>
        </is>
      </c>
      <c r="O24" s="89" t="inlineStr">
        <is>
          <t>411003</t>
        </is>
      </c>
      <c r="P24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24" s="74" t="inlineStr">
        <is>
          <t>69</t>
        </is>
      </c>
      <c r="R24" s="74" t="n"/>
      <c r="S24" s="82" t="n"/>
    </row>
    <row r="25" ht="24.75" customFormat="1" customHeight="1" s="74">
      <c r="B25" s="74" t="inlineStr">
        <is>
          <t>21013</t>
        </is>
      </c>
      <c r="C25" s="76" t="inlineStr">
        <is>
          <t>天尊剑</t>
        </is>
      </c>
      <c r="D25" s="76" t="inlineStr">
        <is>
          <t>1</t>
        </is>
      </c>
      <c r="E25" s="74" t="inlineStr">
        <is>
          <t>0</t>
        </is>
      </c>
      <c r="F25" s="74" t="inlineStr">
        <is>
          <t>10003|435</t>
        </is>
      </c>
      <c r="G25" s="74" t="inlineStr">
        <is>
          <t>img_duoxianjian</t>
        </is>
      </c>
      <c r="H25" s="74" t="inlineStr">
        <is>
          <t>4</t>
        </is>
      </c>
      <c r="I25" s="74" t="n"/>
      <c r="J25" s="74" t="n"/>
      <c r="L25" s="74" t="inlineStr">
        <is>
          <t>21013</t>
        </is>
      </c>
      <c r="M25" s="74" t="inlineStr">
        <is>
          <t>111001|330$10001|1000$341014|1</t>
        </is>
      </c>
      <c r="N25" s="74" t="inlineStr">
        <is>
          <t>341014</t>
        </is>
      </c>
      <c r="O25" s="89" t="inlineStr">
        <is>
          <t>411004</t>
        </is>
      </c>
      <c r="P25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25" s="74" t="inlineStr">
        <is>
          <t>66</t>
        </is>
      </c>
      <c r="R25" s="74" t="n"/>
      <c r="S25" s="82" t="n"/>
    </row>
    <row r="26" ht="24.75" customFormat="1" customHeight="1" s="74">
      <c r="B26" s="74" t="inlineStr">
        <is>
          <t>21014</t>
        </is>
      </c>
      <c r="C26" s="76" t="inlineStr">
        <is>
          <t>涅槃甲</t>
        </is>
      </c>
      <c r="D26" s="76" t="inlineStr">
        <is>
          <t>1</t>
        </is>
      </c>
      <c r="E26" s="74" t="inlineStr">
        <is>
          <t>1</t>
        </is>
      </c>
      <c r="F26" s="74" t="inlineStr">
        <is>
          <t>10004|325</t>
        </is>
      </c>
      <c r="G26" s="74" t="inlineStr">
        <is>
          <t>img_duoxianjian</t>
        </is>
      </c>
      <c r="H26" s="74" t="inlineStr">
        <is>
          <t>4</t>
        </is>
      </c>
      <c r="I26" s="74" t="n"/>
      <c r="J26" s="74" t="n"/>
      <c r="L26" s="74" t="inlineStr">
        <is>
          <t>21014</t>
        </is>
      </c>
      <c r="M26" s="74" t="inlineStr">
        <is>
          <t>111001|330$10001|1000$341015|1</t>
        </is>
      </c>
      <c r="N26" s="74" t="inlineStr">
        <is>
          <t>341015</t>
        </is>
      </c>
      <c r="O26" s="89" t="inlineStr">
        <is>
          <t>411004</t>
        </is>
      </c>
      <c r="P26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26" s="74" t="inlineStr">
        <is>
          <t>49</t>
        </is>
      </c>
      <c r="R26" s="74" t="n"/>
      <c r="S26" s="82" t="n"/>
    </row>
    <row r="27" ht="24.75" customFormat="1" customHeight="1" s="74">
      <c r="B27" s="74" t="inlineStr">
        <is>
          <t>21015</t>
        </is>
      </c>
      <c r="C27" s="76" t="inlineStr">
        <is>
          <t>瞬空靴</t>
        </is>
      </c>
      <c r="D27" s="76" t="inlineStr">
        <is>
          <t>1</t>
        </is>
      </c>
      <c r="E27" s="74" t="inlineStr">
        <is>
          <t>2</t>
        </is>
      </c>
      <c r="F27" s="79" t="inlineStr">
        <is>
          <t>10001|1635</t>
        </is>
      </c>
      <c r="G27" s="74" t="inlineStr">
        <is>
          <t>img_duoxianjian</t>
        </is>
      </c>
      <c r="H27" s="74" t="inlineStr">
        <is>
          <t>4</t>
        </is>
      </c>
      <c r="I27" s="74" t="n"/>
      <c r="J27" s="74" t="n"/>
      <c r="L27" s="74" t="inlineStr">
        <is>
          <t>21015</t>
        </is>
      </c>
      <c r="M27" s="74" t="inlineStr">
        <is>
          <t>111001|330$10001|1000$341016|1</t>
        </is>
      </c>
      <c r="N27" s="74" t="inlineStr">
        <is>
          <t>341016</t>
        </is>
      </c>
      <c r="O27" s="89" t="inlineStr">
        <is>
          <t>411004</t>
        </is>
      </c>
      <c r="P27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27" s="74" t="inlineStr">
        <is>
          <t>245</t>
        </is>
      </c>
      <c r="R27" s="74" t="n"/>
      <c r="S27" s="82" t="n"/>
    </row>
    <row r="28" ht="24.75" customFormat="1" customHeight="1" s="74">
      <c r="B28" s="74" t="inlineStr">
        <is>
          <t>21016</t>
        </is>
      </c>
      <c r="C28" s="76" t="inlineStr">
        <is>
          <t>浮屠珠</t>
        </is>
      </c>
      <c r="D28" s="76" t="inlineStr">
        <is>
          <t>1</t>
        </is>
      </c>
      <c r="E28" s="74" t="inlineStr">
        <is>
          <t>3</t>
        </is>
      </c>
      <c r="F28" s="79" t="inlineStr">
        <is>
          <t>10009|458</t>
        </is>
      </c>
      <c r="G28" s="74" t="inlineStr">
        <is>
          <t>img_duoxianjian</t>
        </is>
      </c>
      <c r="H28" s="74" t="inlineStr">
        <is>
          <t>4</t>
        </is>
      </c>
      <c r="I28" s="74" t="n"/>
      <c r="J28" s="74" t="n"/>
      <c r="L28" s="74" t="inlineStr">
        <is>
          <t>21016</t>
        </is>
      </c>
      <c r="M28" s="74" t="inlineStr">
        <is>
          <t>111001|330$10001|1000$341017|1</t>
        </is>
      </c>
      <c r="N28" s="74" t="inlineStr">
        <is>
          <t>341017</t>
        </is>
      </c>
      <c r="O28" s="89" t="inlineStr">
        <is>
          <t>411004</t>
        </is>
      </c>
      <c r="P28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28" s="74" t="inlineStr">
        <is>
          <t>69</t>
        </is>
      </c>
      <c r="R28" s="74" t="n"/>
      <c r="S28" s="82" t="n"/>
    </row>
    <row r="29" ht="24.75" customFormat="1" customHeight="1" s="74">
      <c r="B29" s="74" t="inlineStr">
        <is>
          <t>21017</t>
        </is>
      </c>
      <c r="C29" s="76" t="inlineStr">
        <is>
          <t>百海鼎</t>
        </is>
      </c>
      <c r="D29" s="76" t="inlineStr">
        <is>
          <t>1</t>
        </is>
      </c>
      <c r="E29" s="74" t="inlineStr">
        <is>
          <t>0</t>
        </is>
      </c>
      <c r="F29" s="74" t="inlineStr">
        <is>
          <t>10003|320</t>
        </is>
      </c>
      <c r="G29" s="74" t="inlineStr">
        <is>
          <t>img_duoxianjian</t>
        </is>
      </c>
      <c r="H29" s="74" t="inlineStr">
        <is>
          <t>5</t>
        </is>
      </c>
      <c r="I29" s="74" t="n"/>
      <c r="J29" s="74" t="n"/>
      <c r="L29" s="74" t="inlineStr">
        <is>
          <t>21017</t>
        </is>
      </c>
      <c r="M29" s="74" t="inlineStr">
        <is>
          <t>111001|330$10001|1000$341018|1</t>
        </is>
      </c>
      <c r="N29" s="74" t="inlineStr">
        <is>
          <t>341018</t>
        </is>
      </c>
      <c r="O29" s="89" t="inlineStr">
        <is>
          <t>411005</t>
        </is>
      </c>
      <c r="P29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29" s="74" t="inlineStr">
        <is>
          <t>48</t>
        </is>
      </c>
      <c r="R29" s="74" t="n"/>
      <c r="S29" s="82" t="n"/>
    </row>
    <row r="30" ht="24.75" customFormat="1" customHeight="1" s="74">
      <c r="B30" s="74" t="inlineStr">
        <is>
          <t>21018</t>
        </is>
      </c>
      <c r="C30" s="76" t="inlineStr">
        <is>
          <t>北冥甲</t>
        </is>
      </c>
      <c r="D30" s="76" t="inlineStr">
        <is>
          <t>1</t>
        </is>
      </c>
      <c r="E30" s="74" t="inlineStr">
        <is>
          <t>1</t>
        </is>
      </c>
      <c r="F30" s="74" t="inlineStr">
        <is>
          <t>10004|382</t>
        </is>
      </c>
      <c r="G30" s="74" t="inlineStr">
        <is>
          <t>img_duoxianjian</t>
        </is>
      </c>
      <c r="H30" s="74" t="inlineStr">
        <is>
          <t>5</t>
        </is>
      </c>
      <c r="I30" s="74" t="n"/>
      <c r="J30" s="74" t="n"/>
      <c r="L30" s="74" t="inlineStr">
        <is>
          <t>21018</t>
        </is>
      </c>
      <c r="M30" s="74" t="inlineStr">
        <is>
          <t>111001|330$10001|1000$341019|1</t>
        </is>
      </c>
      <c r="N30" s="74" t="inlineStr">
        <is>
          <t>341019</t>
        </is>
      </c>
      <c r="O30" s="89" t="inlineStr">
        <is>
          <t>411005</t>
        </is>
      </c>
      <c r="P30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30" s="74" t="inlineStr">
        <is>
          <t>57</t>
        </is>
      </c>
      <c r="R30" s="74" t="n"/>
      <c r="S30" s="82" t="n"/>
    </row>
    <row r="31" ht="24.75" customFormat="1" customHeight="1" s="74">
      <c r="B31" s="74" t="inlineStr">
        <is>
          <t>21019</t>
        </is>
      </c>
      <c r="C31" s="76" t="inlineStr">
        <is>
          <t>开山靴</t>
        </is>
      </c>
      <c r="D31" s="76" t="inlineStr">
        <is>
          <t>1</t>
        </is>
      </c>
      <c r="E31" s="74" t="inlineStr">
        <is>
          <t>2</t>
        </is>
      </c>
      <c r="F31" s="79" t="inlineStr">
        <is>
          <t>10001|1933</t>
        </is>
      </c>
      <c r="G31" s="74" t="inlineStr">
        <is>
          <t>img_duoxianjian</t>
        </is>
      </c>
      <c r="H31" s="74" t="inlineStr">
        <is>
          <t>5</t>
        </is>
      </c>
      <c r="I31" s="74" t="n"/>
      <c r="J31" s="74" t="n"/>
      <c r="L31" s="74" t="inlineStr">
        <is>
          <t>21019</t>
        </is>
      </c>
      <c r="M31" s="74" t="inlineStr">
        <is>
          <t>111001|330$10001|1000$341020|1</t>
        </is>
      </c>
      <c r="N31" s="74" t="inlineStr">
        <is>
          <t>341020</t>
        </is>
      </c>
      <c r="O31" s="89" t="inlineStr">
        <is>
          <t>411005</t>
        </is>
      </c>
      <c r="P31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31" s="74" t="inlineStr">
        <is>
          <t>290</t>
        </is>
      </c>
      <c r="R31" s="74" t="n"/>
      <c r="S31" s="82" t="n"/>
    </row>
    <row r="32" ht="24.75" customFormat="1" customHeight="1" s="74">
      <c r="B32" s="74" t="inlineStr">
        <is>
          <t>21020</t>
        </is>
      </c>
      <c r="C32" s="76" t="inlineStr">
        <is>
          <t>幻海珠</t>
        </is>
      </c>
      <c r="D32" s="76" t="inlineStr">
        <is>
          <t>1</t>
        </is>
      </c>
      <c r="E32" s="74" t="inlineStr">
        <is>
          <t>3</t>
        </is>
      </c>
      <c r="F32" s="79" t="inlineStr">
        <is>
          <t>10009|458</t>
        </is>
      </c>
      <c r="G32" s="74" t="inlineStr">
        <is>
          <t>img_duoxianjian</t>
        </is>
      </c>
      <c r="H32" s="74" t="inlineStr">
        <is>
          <t>5</t>
        </is>
      </c>
      <c r="I32" s="74" t="n"/>
      <c r="J32" s="74" t="n"/>
      <c r="L32" s="74" t="inlineStr">
        <is>
          <t>21020</t>
        </is>
      </c>
      <c r="M32" s="74" t="inlineStr">
        <is>
          <t>111001|330$10001|1000$341021|1</t>
        </is>
      </c>
      <c r="N32" s="74" t="inlineStr">
        <is>
          <t>341021</t>
        </is>
      </c>
      <c r="O32" s="89" t="inlineStr">
        <is>
          <t>411005</t>
        </is>
      </c>
      <c r="P32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32" s="74" t="inlineStr">
        <is>
          <t>69</t>
        </is>
      </c>
      <c r="R32" s="74" t="n"/>
      <c r="S32" s="82" t="n"/>
    </row>
    <row r="33" ht="24.75" customFormat="1" customHeight="1" s="74">
      <c r="B33" s="74" t="inlineStr">
        <is>
          <t>21021</t>
        </is>
      </c>
      <c r="C33" s="76" t="inlineStr">
        <is>
          <t>天云刀</t>
        </is>
      </c>
      <c r="D33" s="76" t="inlineStr">
        <is>
          <t>1</t>
        </is>
      </c>
      <c r="E33" s="74" t="inlineStr">
        <is>
          <t>0</t>
        </is>
      </c>
      <c r="F33" s="74" t="inlineStr">
        <is>
          <t>10003|440</t>
        </is>
      </c>
      <c r="G33" s="74" t="inlineStr">
        <is>
          <t>img_duoxianjian</t>
        </is>
      </c>
      <c r="H33" s="74" t="inlineStr">
        <is>
          <t>6</t>
        </is>
      </c>
      <c r="I33" s="74" t="n"/>
      <c r="J33" s="74" t="n"/>
      <c r="L33" s="74" t="inlineStr">
        <is>
          <t>21021</t>
        </is>
      </c>
      <c r="M33" s="74" t="inlineStr">
        <is>
          <t>111001|330$10001|1000$341022|1</t>
        </is>
      </c>
      <c r="N33" s="74" t="inlineStr">
        <is>
          <t>341022</t>
        </is>
      </c>
      <c r="O33" s="89" t="inlineStr">
        <is>
          <t>411006</t>
        </is>
      </c>
      <c r="P33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33" s="74" t="inlineStr">
        <is>
          <t>66</t>
        </is>
      </c>
      <c r="R33" s="74" t="n"/>
      <c r="S33" s="82" t="n"/>
    </row>
    <row r="34" ht="24.75" customFormat="1" customHeight="1" s="74">
      <c r="B34" s="74" t="inlineStr">
        <is>
          <t>21022</t>
        </is>
      </c>
      <c r="C34" s="76" t="inlineStr">
        <is>
          <t>羽化衣</t>
        </is>
      </c>
      <c r="D34" s="76" t="inlineStr">
        <is>
          <t>1</t>
        </is>
      </c>
      <c r="E34" s="74" t="inlineStr">
        <is>
          <t>1</t>
        </is>
      </c>
      <c r="F34" s="74" t="inlineStr">
        <is>
          <t>10004|323</t>
        </is>
      </c>
      <c r="G34" s="74" t="inlineStr">
        <is>
          <t>img_duoxianjian</t>
        </is>
      </c>
      <c r="H34" s="74" t="inlineStr">
        <is>
          <t>6</t>
        </is>
      </c>
      <c r="I34" s="74" t="n"/>
      <c r="J34" s="74" t="n"/>
      <c r="L34" s="74" t="inlineStr">
        <is>
          <t>21022</t>
        </is>
      </c>
      <c r="M34" s="74" t="inlineStr">
        <is>
          <t>111001|330$10001|1000$341023|1</t>
        </is>
      </c>
      <c r="N34" s="74" t="inlineStr">
        <is>
          <t>341023</t>
        </is>
      </c>
      <c r="O34" s="89" t="inlineStr">
        <is>
          <t>411006</t>
        </is>
      </c>
      <c r="P34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34" s="74" t="inlineStr">
        <is>
          <t>49</t>
        </is>
      </c>
      <c r="R34" s="74" t="n"/>
      <c r="S34" s="82" t="n"/>
    </row>
    <row r="35" ht="24.75" customFormat="1" customHeight="1" s="74">
      <c r="B35" s="74" t="inlineStr">
        <is>
          <t>21023</t>
        </is>
      </c>
      <c r="C35" s="76" t="inlineStr">
        <is>
          <t>云卷靴</t>
        </is>
      </c>
      <c r="D35" s="76" t="inlineStr">
        <is>
          <t>1</t>
        </is>
      </c>
      <c r="E35" s="74" t="inlineStr">
        <is>
          <t>2</t>
        </is>
      </c>
      <c r="F35" s="79" t="inlineStr">
        <is>
          <t>10001|1630</t>
        </is>
      </c>
      <c r="G35" s="74" t="inlineStr">
        <is>
          <t>img_duoxianjian</t>
        </is>
      </c>
      <c r="H35" s="74" t="inlineStr">
        <is>
          <t>6</t>
        </is>
      </c>
      <c r="I35" s="74" t="n"/>
      <c r="J35" s="74" t="n"/>
      <c r="L35" s="74" t="inlineStr">
        <is>
          <t>21023</t>
        </is>
      </c>
      <c r="M35" s="74" t="inlineStr">
        <is>
          <t>111001|330$10001|1000$341024|1</t>
        </is>
      </c>
      <c r="N35" s="74" t="inlineStr">
        <is>
          <t>341024</t>
        </is>
      </c>
      <c r="O35" s="89" t="inlineStr">
        <is>
          <t>411006</t>
        </is>
      </c>
      <c r="P35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35" s="74" t="inlineStr">
        <is>
          <t>245</t>
        </is>
      </c>
      <c r="R35" s="74" t="n"/>
      <c r="S35" s="82" t="n"/>
    </row>
    <row r="36" ht="24.75" customFormat="1" customHeight="1" s="74">
      <c r="B36" s="74" t="inlineStr">
        <is>
          <t>21024</t>
        </is>
      </c>
      <c r="C36" s="76" t="inlineStr">
        <is>
          <t>红尘坠</t>
        </is>
      </c>
      <c r="D36" s="76" t="inlineStr">
        <is>
          <t>1</t>
        </is>
      </c>
      <c r="E36" s="74" t="inlineStr">
        <is>
          <t>3</t>
        </is>
      </c>
      <c r="F36" s="79" t="inlineStr">
        <is>
          <t>10009|458</t>
        </is>
      </c>
      <c r="G36" s="74" t="inlineStr">
        <is>
          <t>img_duoxianjian</t>
        </is>
      </c>
      <c r="H36" s="74" t="inlineStr">
        <is>
          <t>6</t>
        </is>
      </c>
      <c r="I36" s="74" t="n"/>
      <c r="J36" s="74" t="n"/>
      <c r="L36" s="74" t="inlineStr">
        <is>
          <t>21024</t>
        </is>
      </c>
      <c r="M36" s="74" t="inlineStr">
        <is>
          <t>111001|330$10001|1000$341025|1</t>
        </is>
      </c>
      <c r="N36" s="74" t="inlineStr">
        <is>
          <t>341025</t>
        </is>
      </c>
      <c r="O36" s="89" t="inlineStr">
        <is>
          <t>411006</t>
        </is>
      </c>
      <c r="P36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36" s="74" t="inlineStr">
        <is>
          <t>69</t>
        </is>
      </c>
      <c r="R36" s="74" t="n"/>
      <c r="S36" s="82" t="n"/>
    </row>
    <row r="37" ht="24.75" customFormat="1" customHeight="1" s="74">
      <c r="B37" s="74" t="inlineStr">
        <is>
          <t>21025</t>
        </is>
      </c>
      <c r="C37" s="76" t="inlineStr">
        <is>
          <t>月华镜</t>
        </is>
      </c>
      <c r="D37" s="76" t="inlineStr">
        <is>
          <t>1</t>
        </is>
      </c>
      <c r="E37" s="74" t="inlineStr">
        <is>
          <t>0</t>
        </is>
      </c>
      <c r="F37" s="74" t="inlineStr">
        <is>
          <t>10003|409</t>
        </is>
      </c>
      <c r="G37" s="74" t="inlineStr">
        <is>
          <t>img_duoxianjian</t>
        </is>
      </c>
      <c r="H37" s="74" t="inlineStr">
        <is>
          <t>7</t>
        </is>
      </c>
      <c r="I37" s="74" t="n"/>
      <c r="J37" s="74" t="n"/>
      <c r="L37" s="74" t="inlineStr">
        <is>
          <t>21025</t>
        </is>
      </c>
      <c r="M37" s="74" t="inlineStr">
        <is>
          <t>111001|330$10001|1000$341026|1</t>
        </is>
      </c>
      <c r="N37" s="74" t="inlineStr">
        <is>
          <t>341026</t>
        </is>
      </c>
      <c r="O37" s="89" t="inlineStr">
        <is>
          <t>411007</t>
        </is>
      </c>
      <c r="P37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37" s="74" t="inlineStr">
        <is>
          <t>62</t>
        </is>
      </c>
      <c r="R37" s="74" t="n"/>
      <c r="S37" s="82" t="n"/>
    </row>
    <row r="38" ht="24.75" customFormat="1" customHeight="1" s="74">
      <c r="B38" s="74" t="inlineStr">
        <is>
          <t>21026</t>
        </is>
      </c>
      <c r="C38" s="76" t="inlineStr">
        <is>
          <t>月莹衣</t>
        </is>
      </c>
      <c r="D38" s="76" t="inlineStr">
        <is>
          <t>1</t>
        </is>
      </c>
      <c r="E38" s="74" t="inlineStr">
        <is>
          <t>1</t>
        </is>
      </c>
      <c r="F38" s="74" t="inlineStr">
        <is>
          <t>10004|323</t>
        </is>
      </c>
      <c r="G38" s="74" t="inlineStr">
        <is>
          <t>img_duoxianjian</t>
        </is>
      </c>
      <c r="H38" s="74" t="inlineStr">
        <is>
          <t>7</t>
        </is>
      </c>
      <c r="I38" s="74" t="n"/>
      <c r="J38" s="74" t="n"/>
      <c r="L38" s="74" t="inlineStr">
        <is>
          <t>21026</t>
        </is>
      </c>
      <c r="M38" s="74" t="inlineStr">
        <is>
          <t>111001|330$10001|1000$341027|1</t>
        </is>
      </c>
      <c r="N38" s="74" t="inlineStr">
        <is>
          <t>341027</t>
        </is>
      </c>
      <c r="O38" s="89" t="inlineStr">
        <is>
          <t>411007</t>
        </is>
      </c>
      <c r="P38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38" s="74" t="inlineStr">
        <is>
          <t>49</t>
        </is>
      </c>
      <c r="R38" s="74" t="n"/>
      <c r="S38" s="82" t="n"/>
    </row>
    <row r="39" ht="24.75" customFormat="1" customHeight="1" s="74">
      <c r="B39" s="74" t="inlineStr">
        <is>
          <t>21027</t>
        </is>
      </c>
      <c r="C39" s="76" t="inlineStr">
        <is>
          <t>皓月靴</t>
        </is>
      </c>
      <c r="D39" s="76" t="inlineStr">
        <is>
          <t>1</t>
        </is>
      </c>
      <c r="E39" s="74" t="inlineStr">
        <is>
          <t>2</t>
        </is>
      </c>
      <c r="F39" s="79" t="inlineStr">
        <is>
          <t>10001|1560</t>
        </is>
      </c>
      <c r="G39" s="74" t="inlineStr">
        <is>
          <t>img_duoxianjian</t>
        </is>
      </c>
      <c r="H39" s="74" t="inlineStr">
        <is>
          <t>7</t>
        </is>
      </c>
      <c r="I39" s="74" t="n"/>
      <c r="J39" s="74" t="n"/>
      <c r="L39" s="74" t="inlineStr">
        <is>
          <t>21027</t>
        </is>
      </c>
      <c r="M39" s="74" t="inlineStr">
        <is>
          <t>111001|330$10001|1000$341028|1</t>
        </is>
      </c>
      <c r="N39" s="74" t="inlineStr">
        <is>
          <t>341028</t>
        </is>
      </c>
      <c r="O39" s="89" t="inlineStr">
        <is>
          <t>411007</t>
        </is>
      </c>
      <c r="P39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39" s="74" t="inlineStr">
        <is>
          <t>234</t>
        </is>
      </c>
      <c r="R39" s="74" t="n"/>
      <c r="S39" s="82" t="n"/>
    </row>
    <row r="40" ht="24.75" customFormat="1" customHeight="1" s="74">
      <c r="B40" s="74" t="inlineStr">
        <is>
          <t>21028</t>
        </is>
      </c>
      <c r="C40" s="76" t="inlineStr">
        <is>
          <t>枫露珠</t>
        </is>
      </c>
      <c r="D40" s="76" t="inlineStr">
        <is>
          <t>1</t>
        </is>
      </c>
      <c r="E40" s="74" t="inlineStr">
        <is>
          <t>3</t>
        </is>
      </c>
      <c r="F40" s="79" t="inlineStr">
        <is>
          <t>10009|458</t>
        </is>
      </c>
      <c r="G40" s="74" t="inlineStr">
        <is>
          <t>img_duoxianjian</t>
        </is>
      </c>
      <c r="H40" s="74" t="inlineStr">
        <is>
          <t>7</t>
        </is>
      </c>
      <c r="I40" s="74" t="n"/>
      <c r="J40" s="74" t="n"/>
      <c r="L40" s="74" t="inlineStr">
        <is>
          <t>21028</t>
        </is>
      </c>
      <c r="M40" s="74" t="inlineStr">
        <is>
          <t>111001|330$10001|1000$341029|1</t>
        </is>
      </c>
      <c r="N40" s="74" t="inlineStr">
        <is>
          <t>341029</t>
        </is>
      </c>
      <c r="O40" s="89" t="inlineStr">
        <is>
          <t>411007</t>
        </is>
      </c>
      <c r="P40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0" s="74" t="inlineStr">
        <is>
          <t>69</t>
        </is>
      </c>
      <c r="R40" s="74" t="n"/>
      <c r="S40" s="82" t="n"/>
    </row>
    <row r="41" ht="24.75" customFormat="1" customHeight="1" s="74">
      <c r="B41" s="74" t="inlineStr">
        <is>
          <t>21029</t>
        </is>
      </c>
      <c r="C41" s="76" t="inlineStr">
        <is>
          <t>长生鼎</t>
        </is>
      </c>
      <c r="D41" s="76" t="inlineStr">
        <is>
          <t>1</t>
        </is>
      </c>
      <c r="E41" s="74" t="inlineStr">
        <is>
          <t>0</t>
        </is>
      </c>
      <c r="F41" s="74" t="inlineStr">
        <is>
          <t>10003|380</t>
        </is>
      </c>
      <c r="G41" s="74" t="inlineStr">
        <is>
          <t>img_duoxianjian</t>
        </is>
      </c>
      <c r="H41" s="74" t="inlineStr">
        <is>
          <t>8</t>
        </is>
      </c>
      <c r="I41" s="74" t="n"/>
      <c r="J41" s="74" t="n"/>
      <c r="L41" s="74" t="inlineStr">
        <is>
          <t>21029</t>
        </is>
      </c>
      <c r="M41" s="74" t="inlineStr">
        <is>
          <t>111001|330$10001|1000$341030|1</t>
        </is>
      </c>
      <c r="N41" s="74" t="inlineStr">
        <is>
          <t>341030</t>
        </is>
      </c>
      <c r="O41" s="89" t="inlineStr">
        <is>
          <t>411008</t>
        </is>
      </c>
      <c r="P41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1" s="74" t="inlineStr">
        <is>
          <t>57</t>
        </is>
      </c>
      <c r="R41" s="74" t="n"/>
      <c r="S41" s="82" t="n"/>
    </row>
    <row r="42" ht="24.75" customFormat="1" customHeight="1" s="74">
      <c r="B42" s="74" t="inlineStr">
        <is>
          <t>21030</t>
        </is>
      </c>
      <c r="C42" s="76" t="inlineStr">
        <is>
          <t>百木袍</t>
        </is>
      </c>
      <c r="D42" s="76" t="inlineStr">
        <is>
          <t>1</t>
        </is>
      </c>
      <c r="E42" s="74" t="inlineStr">
        <is>
          <t>1</t>
        </is>
      </c>
      <c r="F42" s="74" t="inlineStr">
        <is>
          <t>10004|345</t>
        </is>
      </c>
      <c r="G42" s="74" t="inlineStr">
        <is>
          <t>img_duoxianjian</t>
        </is>
      </c>
      <c r="H42" s="74" t="inlineStr">
        <is>
          <t>8</t>
        </is>
      </c>
      <c r="I42" s="74" t="n"/>
      <c r="J42" s="74" t="n"/>
      <c r="L42" s="74" t="inlineStr">
        <is>
          <t>21030</t>
        </is>
      </c>
      <c r="M42" s="74" t="inlineStr">
        <is>
          <t>111001|330$10001|1000$341031|1</t>
        </is>
      </c>
      <c r="N42" s="74" t="inlineStr">
        <is>
          <t>341031</t>
        </is>
      </c>
      <c r="O42" s="89" t="inlineStr">
        <is>
          <t>411008</t>
        </is>
      </c>
      <c r="P42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2" s="74" t="inlineStr">
        <is>
          <t>52</t>
        </is>
      </c>
      <c r="R42" s="74" t="n"/>
      <c r="S42" s="82" t="n"/>
    </row>
    <row r="43" ht="24.75" customFormat="1" customHeight="1" s="74">
      <c r="B43" s="74" t="inlineStr">
        <is>
          <t>21031</t>
        </is>
      </c>
      <c r="C43" s="76" t="inlineStr">
        <is>
          <t>灵生靴</t>
        </is>
      </c>
      <c r="D43" s="76" t="inlineStr">
        <is>
          <t>1</t>
        </is>
      </c>
      <c r="E43" s="74" t="inlineStr">
        <is>
          <t>2</t>
        </is>
      </c>
      <c r="F43" s="79" t="inlineStr">
        <is>
          <t>10001|1965</t>
        </is>
      </c>
      <c r="G43" s="74" t="inlineStr">
        <is>
          <t>img_duoxianjian</t>
        </is>
      </c>
      <c r="H43" s="74" t="inlineStr">
        <is>
          <t>8</t>
        </is>
      </c>
      <c r="I43" s="74" t="n"/>
      <c r="J43" s="74" t="n"/>
      <c r="L43" s="74" t="inlineStr">
        <is>
          <t>21031</t>
        </is>
      </c>
      <c r="M43" s="74" t="inlineStr">
        <is>
          <t>111001|330$10001|1000$341032|1</t>
        </is>
      </c>
      <c r="N43" s="74" t="inlineStr">
        <is>
          <t>341032</t>
        </is>
      </c>
      <c r="O43" s="89" t="inlineStr">
        <is>
          <t>411008</t>
        </is>
      </c>
      <c r="P43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3" s="74" t="inlineStr">
        <is>
          <t>295</t>
        </is>
      </c>
      <c r="R43" s="74" t="n"/>
      <c r="S43" s="82" t="n"/>
    </row>
    <row r="44" ht="24.75" customFormat="1" customHeight="1" s="74">
      <c r="B44" s="74" t="inlineStr">
        <is>
          <t>21032</t>
        </is>
      </c>
      <c r="C44" s="76" t="inlineStr">
        <is>
          <t>木辉珠</t>
        </is>
      </c>
      <c r="D44" s="76" t="inlineStr">
        <is>
          <t>1</t>
        </is>
      </c>
      <c r="E44" s="74" t="inlineStr">
        <is>
          <t>3</t>
        </is>
      </c>
      <c r="F44" s="79" t="inlineStr">
        <is>
          <t>10009|458</t>
        </is>
      </c>
      <c r="G44" s="74" t="inlineStr">
        <is>
          <t>img_duoxianjian</t>
        </is>
      </c>
      <c r="H44" s="74" t="inlineStr">
        <is>
          <t>8</t>
        </is>
      </c>
      <c r="I44" s="74" t="n"/>
      <c r="J44" s="74" t="n"/>
      <c r="L44" s="74" t="inlineStr">
        <is>
          <t>21032</t>
        </is>
      </c>
      <c r="M44" s="74" t="inlineStr">
        <is>
          <t>111001|330$10001|1000$341033|1</t>
        </is>
      </c>
      <c r="N44" s="74" t="inlineStr">
        <is>
          <t>341033</t>
        </is>
      </c>
      <c r="O44" s="89" t="inlineStr">
        <is>
          <t>411008</t>
        </is>
      </c>
      <c r="P44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4" s="74" t="inlineStr">
        <is>
          <t>69</t>
        </is>
      </c>
      <c r="R44" s="74" t="n"/>
      <c r="S44" s="82" t="n"/>
    </row>
    <row r="45" ht="24.75" customFormat="1" customHeight="1" s="74">
      <c r="B45" s="74" t="inlineStr">
        <is>
          <t>21033</t>
        </is>
      </c>
      <c r="C45" s="76" t="inlineStr">
        <is>
          <t>枯骨镜</t>
        </is>
      </c>
      <c r="D45" s="76" t="inlineStr">
        <is>
          <t>1</t>
        </is>
      </c>
      <c r="E45" s="74" t="inlineStr">
        <is>
          <t>0</t>
        </is>
      </c>
      <c r="F45" s="74" t="inlineStr">
        <is>
          <t>10003|440</t>
        </is>
      </c>
      <c r="G45" s="74" t="inlineStr">
        <is>
          <t>img_duoxianjian</t>
        </is>
      </c>
      <c r="H45" s="74" t="inlineStr">
        <is>
          <t>9</t>
        </is>
      </c>
      <c r="I45" s="74" t="n"/>
      <c r="J45" s="74" t="n"/>
      <c r="L45" s="74" t="inlineStr">
        <is>
          <t>21033</t>
        </is>
      </c>
      <c r="M45" s="74" t="inlineStr">
        <is>
          <t>111001|330$10001|1000$341034|1</t>
        </is>
      </c>
      <c r="N45" s="74" t="inlineStr">
        <is>
          <t>341034</t>
        </is>
      </c>
      <c r="O45" s="89" t="inlineStr">
        <is>
          <t>411009</t>
        </is>
      </c>
      <c r="P45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5" s="74" t="inlineStr">
        <is>
          <t>66</t>
        </is>
      </c>
      <c r="R45" s="74" t="n"/>
      <c r="S45" s="82" t="n"/>
    </row>
    <row r="46" ht="24.75" customFormat="1" customHeight="1" s="74">
      <c r="B46" s="74" t="inlineStr">
        <is>
          <t>21034</t>
        </is>
      </c>
      <c r="C46" s="76" t="inlineStr">
        <is>
          <t>幽冥铠</t>
        </is>
      </c>
      <c r="D46" s="76" t="inlineStr">
        <is>
          <t>1</t>
        </is>
      </c>
      <c r="E46" s="74" t="inlineStr">
        <is>
          <t>1</t>
        </is>
      </c>
      <c r="F46" s="74" t="inlineStr">
        <is>
          <t>10004|360</t>
        </is>
      </c>
      <c r="G46" s="74" t="inlineStr">
        <is>
          <t>img_duoxianjian</t>
        </is>
      </c>
      <c r="H46" s="74" t="inlineStr">
        <is>
          <t>9</t>
        </is>
      </c>
      <c r="I46" s="74" t="n"/>
      <c r="J46" s="74" t="n"/>
      <c r="L46" s="74" t="inlineStr">
        <is>
          <t>21034</t>
        </is>
      </c>
      <c r="M46" s="74" t="inlineStr">
        <is>
          <t>111001|330$10001|1000$341035|1</t>
        </is>
      </c>
      <c r="N46" s="74" t="inlineStr">
        <is>
          <t>341035</t>
        </is>
      </c>
      <c r="O46" s="89" t="inlineStr">
        <is>
          <t>411009</t>
        </is>
      </c>
      <c r="P46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6" s="74" t="inlineStr">
        <is>
          <t>54</t>
        </is>
      </c>
      <c r="R46" s="74" t="n"/>
      <c r="S46" s="82" t="n"/>
    </row>
    <row r="47" ht="24.75" customFormat="1" customHeight="1" s="74">
      <c r="B47" s="74" t="inlineStr">
        <is>
          <t>21035</t>
        </is>
      </c>
      <c r="C47" s="76" t="inlineStr">
        <is>
          <t>紫骨靴</t>
        </is>
      </c>
      <c r="D47" s="76" t="inlineStr">
        <is>
          <t>1</t>
        </is>
      </c>
      <c r="E47" s="74" t="inlineStr">
        <is>
          <t>2</t>
        </is>
      </c>
      <c r="F47" s="79" t="inlineStr">
        <is>
          <t>10001|1783</t>
        </is>
      </c>
      <c r="G47" s="74" t="inlineStr">
        <is>
          <t>img_duoxianjian</t>
        </is>
      </c>
      <c r="H47" s="74" t="inlineStr">
        <is>
          <t>9</t>
        </is>
      </c>
      <c r="I47" s="74" t="n"/>
      <c r="J47" s="74" t="n"/>
      <c r="L47" s="74" t="inlineStr">
        <is>
          <t>21035</t>
        </is>
      </c>
      <c r="M47" s="74" t="inlineStr">
        <is>
          <t>111001|330$10001|1000$341036|1</t>
        </is>
      </c>
      <c r="N47" s="74" t="inlineStr">
        <is>
          <t>341036</t>
        </is>
      </c>
      <c r="O47" s="89" t="inlineStr">
        <is>
          <t>411009</t>
        </is>
      </c>
      <c r="P47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7" s="74" t="inlineStr">
        <is>
          <t>268</t>
        </is>
      </c>
      <c r="R47" s="74" t="n"/>
      <c r="S47" s="82" t="n"/>
    </row>
    <row r="48" ht="24.75" customFormat="1" customHeight="1" s="74">
      <c r="B48" s="74" t="inlineStr">
        <is>
          <t>21036</t>
        </is>
      </c>
      <c r="C48" s="76" t="inlineStr">
        <is>
          <t>王骨珠</t>
        </is>
      </c>
      <c r="D48" s="76" t="inlineStr">
        <is>
          <t>1</t>
        </is>
      </c>
      <c r="E48" s="74" t="inlineStr">
        <is>
          <t>3</t>
        </is>
      </c>
      <c r="F48" s="79" t="inlineStr">
        <is>
          <t>10009|458</t>
        </is>
      </c>
      <c r="G48" s="74" t="inlineStr">
        <is>
          <t>img_duoxianjian</t>
        </is>
      </c>
      <c r="H48" s="74" t="inlineStr">
        <is>
          <t>9</t>
        </is>
      </c>
      <c r="I48" s="74" t="n"/>
      <c r="J48" s="74" t="n"/>
      <c r="L48" s="74" t="inlineStr">
        <is>
          <t>21036</t>
        </is>
      </c>
      <c r="M48" s="74" t="inlineStr">
        <is>
          <t>111001|330$10001|1000$341037|1</t>
        </is>
      </c>
      <c r="N48" s="74" t="inlineStr">
        <is>
          <t>341037</t>
        </is>
      </c>
      <c r="O48" s="89" t="inlineStr">
        <is>
          <t>411009</t>
        </is>
      </c>
      <c r="P48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8" s="74" t="inlineStr">
        <is>
          <t>69</t>
        </is>
      </c>
      <c r="R48" s="74" t="n"/>
      <c r="S48" s="82" t="n"/>
    </row>
    <row r="49" ht="24.75" customFormat="1" customHeight="1" s="74">
      <c r="B49" s="74" t="inlineStr">
        <is>
          <t>21037</t>
        </is>
      </c>
      <c r="C49" s="76" t="inlineStr">
        <is>
          <t>洪荒枪</t>
        </is>
      </c>
      <c r="D49" s="76" t="inlineStr">
        <is>
          <t>1</t>
        </is>
      </c>
      <c r="E49" s="74" t="inlineStr">
        <is>
          <t>0</t>
        </is>
      </c>
      <c r="F49" s="74" t="inlineStr">
        <is>
          <t>10003|505</t>
        </is>
      </c>
      <c r="G49" s="74" t="inlineStr">
        <is>
          <t>img_duoxianjian</t>
        </is>
      </c>
      <c r="H49" s="74" t="inlineStr">
        <is>
          <t>10</t>
        </is>
      </c>
      <c r="I49" s="74" t="n"/>
      <c r="J49" s="74" t="n"/>
      <c r="L49" s="74" t="inlineStr">
        <is>
          <t>21037</t>
        </is>
      </c>
      <c r="M49" s="74" t="inlineStr">
        <is>
          <t>111001|330$10001|1000$341038|1</t>
        </is>
      </c>
      <c r="N49" s="74" t="inlineStr">
        <is>
          <t>341038</t>
        </is>
      </c>
      <c r="O49" s="89" t="inlineStr">
        <is>
          <t>411010</t>
        </is>
      </c>
      <c r="P49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49" s="74" t="inlineStr">
        <is>
          <t>76</t>
        </is>
      </c>
      <c r="R49" s="74" t="n"/>
      <c r="S49" s="82" t="n"/>
    </row>
    <row r="50" ht="24.75" customFormat="1" customHeight="1" s="74">
      <c r="B50" s="74" t="inlineStr">
        <is>
          <t>21038</t>
        </is>
      </c>
      <c r="C50" s="76" t="inlineStr">
        <is>
          <t>洪荒铠</t>
        </is>
      </c>
      <c r="D50" s="76" t="inlineStr">
        <is>
          <t>1</t>
        </is>
      </c>
      <c r="E50" s="74" t="inlineStr">
        <is>
          <t>1</t>
        </is>
      </c>
      <c r="F50" s="74" t="inlineStr">
        <is>
          <t>10004|323</t>
        </is>
      </c>
      <c r="G50" s="74" t="inlineStr">
        <is>
          <t>img_duoxianjian</t>
        </is>
      </c>
      <c r="H50" s="74" t="inlineStr">
        <is>
          <t>10</t>
        </is>
      </c>
      <c r="I50" s="74" t="n"/>
      <c r="J50" s="74" t="n"/>
      <c r="L50" s="74" t="inlineStr">
        <is>
          <t>21038</t>
        </is>
      </c>
      <c r="M50" s="74" t="inlineStr">
        <is>
          <t>111001|330$10001|1000$341039|1</t>
        </is>
      </c>
      <c r="N50" s="74" t="inlineStr">
        <is>
          <t>341039</t>
        </is>
      </c>
      <c r="O50" s="89" t="inlineStr">
        <is>
          <t>411010</t>
        </is>
      </c>
      <c r="P50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50" s="74" t="inlineStr">
        <is>
          <t>49</t>
        </is>
      </c>
      <c r="R50" s="74" t="n"/>
      <c r="S50" s="82" t="n"/>
    </row>
    <row r="51" ht="24.75" customFormat="1" customHeight="1" s="62">
      <c r="B51" s="74" t="inlineStr">
        <is>
          <t>21039</t>
        </is>
      </c>
      <c r="C51" s="76" t="inlineStr">
        <is>
          <t>洪荒靴</t>
        </is>
      </c>
      <c r="D51" s="76" t="inlineStr">
        <is>
          <t>1</t>
        </is>
      </c>
      <c r="E51" s="74" t="inlineStr">
        <is>
          <t>2</t>
        </is>
      </c>
      <c r="F51" s="79" t="inlineStr">
        <is>
          <t>10001|1630</t>
        </is>
      </c>
      <c r="G51" s="74" t="inlineStr">
        <is>
          <t>img_duoxianjian</t>
        </is>
      </c>
      <c r="H51" s="74" t="inlineStr">
        <is>
          <t>10</t>
        </is>
      </c>
      <c r="I51" s="74" t="n"/>
      <c r="J51" s="74" t="n"/>
      <c r="L51" s="74" t="inlineStr">
        <is>
          <t>21039</t>
        </is>
      </c>
      <c r="M51" s="74" t="inlineStr">
        <is>
          <t>111001|330$10001|1000$341040|1</t>
        </is>
      </c>
      <c r="N51" s="74" t="inlineStr">
        <is>
          <t>341040</t>
        </is>
      </c>
      <c r="O51" s="89" t="inlineStr">
        <is>
          <t>411010</t>
        </is>
      </c>
      <c r="P51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51" s="74" t="inlineStr">
        <is>
          <t>245</t>
        </is>
      </c>
      <c r="R51" s="74" t="n"/>
      <c r="S51" s="82" t="n"/>
    </row>
    <row r="52" ht="24" customFormat="1" customHeight="1" s="62">
      <c r="B52" s="74" t="inlineStr">
        <is>
          <t>21040</t>
        </is>
      </c>
      <c r="C52" s="76" t="inlineStr">
        <is>
          <t>洪荒珠</t>
        </is>
      </c>
      <c r="D52" s="76" t="inlineStr">
        <is>
          <t>1</t>
        </is>
      </c>
      <c r="E52" s="74" t="inlineStr">
        <is>
          <t>3</t>
        </is>
      </c>
      <c r="F52" s="79" t="inlineStr">
        <is>
          <t>10009|458</t>
        </is>
      </c>
      <c r="G52" s="74" t="inlineStr">
        <is>
          <t>img_duoxianjian</t>
        </is>
      </c>
      <c r="H52" s="74" t="inlineStr">
        <is>
          <t>10</t>
        </is>
      </c>
      <c r="I52" s="74" t="n"/>
      <c r="J52" s="74" t="n"/>
      <c r="L52" s="74" t="inlineStr">
        <is>
          <t>21040</t>
        </is>
      </c>
      <c r="M52" s="74" t="inlineStr">
        <is>
          <t>111001|330$10001|1000$341041|1</t>
        </is>
      </c>
      <c r="N52" s="74" t="inlineStr">
        <is>
          <t>341041</t>
        </is>
      </c>
      <c r="O52" s="89" t="inlineStr">
        <is>
          <t>411010</t>
        </is>
      </c>
      <c r="P52" s="74" t="inlineStr">
        <is>
      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      </is>
      </c>
      <c r="Q52" s="74" t="inlineStr">
        <is>
          <t>69</t>
        </is>
      </c>
      <c r="R52" s="74" t="n"/>
      <c r="S52" s="82" t="n"/>
    </row>
    <row r="53" ht="33.75" customFormat="1" customHeight="1" s="62">
      <c r="B53" s="62" t="inlineStr">
        <is>
          <t>22001</t>
        </is>
      </c>
      <c r="C53" s="77" t="inlineStr">
        <is>
          <t>血云刀</t>
        </is>
      </c>
      <c r="D53" s="77" t="inlineStr">
        <is>
          <t>2</t>
        </is>
      </c>
      <c r="E53" s="74" t="inlineStr">
        <is>
          <t>0</t>
        </is>
      </c>
      <c r="F53" s="74" t="inlineStr">
        <is>
          <t>10003|521</t>
        </is>
      </c>
      <c r="G53" s="74" t="inlineStr">
        <is>
          <t>img_duoxianjian</t>
        </is>
      </c>
      <c r="H53" s="74" t="inlineStr">
        <is>
          <t>1</t>
        </is>
      </c>
      <c r="I53" s="62" t="n"/>
      <c r="J53" s="62" t="n"/>
      <c r="L53" s="62" t="inlineStr">
        <is>
          <t>22001</t>
        </is>
      </c>
      <c r="M53" s="74" t="inlineStr">
        <is>
          <t>112001|430$10001|1500$342002|1</t>
        </is>
      </c>
      <c r="N53" s="74" t="inlineStr">
        <is>
          <t>342002</t>
        </is>
      </c>
      <c r="O53" s="90" t="inlineStr">
        <is>
          <t>412001</t>
        </is>
      </c>
      <c r="P53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53" s="62" t="inlineStr">
        <is>
          <t>78</t>
        </is>
      </c>
      <c r="R53" s="62" t="n"/>
      <c r="S53" s="83" t="n"/>
    </row>
    <row r="54" ht="42.75" customFormat="1" customHeight="1" s="62">
      <c r="B54" s="62" t="inlineStr">
        <is>
          <t>22002</t>
        </is>
      </c>
      <c r="C54" s="77" t="inlineStr">
        <is>
          <t>血云衣</t>
        </is>
      </c>
      <c r="D54" s="77" t="inlineStr">
        <is>
          <t>2</t>
        </is>
      </c>
      <c r="E54" s="74" t="inlineStr">
        <is>
          <t>1</t>
        </is>
      </c>
      <c r="F54" s="74" t="inlineStr">
        <is>
          <t>10004|363</t>
        </is>
      </c>
      <c r="G54" s="74" t="inlineStr">
        <is>
          <t>img_duoxianjian</t>
        </is>
      </c>
      <c r="H54" s="74" t="inlineStr">
        <is>
          <t>1</t>
        </is>
      </c>
      <c r="I54" s="62" t="n"/>
      <c r="J54" s="62" t="n"/>
      <c r="L54" s="62" t="inlineStr">
        <is>
          <t>22002</t>
        </is>
      </c>
      <c r="M54" s="74" t="inlineStr">
        <is>
          <t>112001|430$10001|1500$342003|1</t>
        </is>
      </c>
      <c r="N54" s="74" t="inlineStr">
        <is>
          <t>342003</t>
        </is>
      </c>
      <c r="O54" s="90" t="inlineStr">
        <is>
          <t>412001</t>
        </is>
      </c>
      <c r="P54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54" s="62" t="inlineStr">
        <is>
          <t>55</t>
        </is>
      </c>
      <c r="R54" s="62" t="n"/>
      <c r="S54" s="83" t="n"/>
    </row>
    <row r="55" ht="28.5" customHeight="1" s="119">
      <c r="B55" s="62" t="inlineStr">
        <is>
          <t>22003</t>
        </is>
      </c>
      <c r="C55" s="77" t="inlineStr">
        <is>
          <t>血云靴</t>
        </is>
      </c>
      <c r="D55" s="77" t="inlineStr">
        <is>
          <t>2</t>
        </is>
      </c>
      <c r="E55" s="74" t="inlineStr">
        <is>
          <t>2</t>
        </is>
      </c>
      <c r="F55" s="79" t="inlineStr">
        <is>
          <t>10001|1932</t>
        </is>
      </c>
      <c r="G55" s="74" t="inlineStr">
        <is>
          <t>img_duoxianjian</t>
        </is>
      </c>
      <c r="H55" s="74" t="inlineStr">
        <is>
          <t>1</t>
        </is>
      </c>
      <c r="I55" s="62" t="n"/>
      <c r="J55" s="62" t="n"/>
      <c r="L55" s="62" t="inlineStr">
        <is>
          <t>22003</t>
        </is>
      </c>
      <c r="M55" s="74" t="inlineStr">
        <is>
          <t>112001|430$10001|1500$342004|1</t>
        </is>
      </c>
      <c r="N55" s="74" t="inlineStr">
        <is>
          <t>342004</t>
        </is>
      </c>
      <c r="O55" s="90" t="inlineStr">
        <is>
          <t>412001</t>
        </is>
      </c>
      <c r="P55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55" s="62" t="inlineStr">
        <is>
          <t>290</t>
        </is>
      </c>
      <c r="R55" s="62" t="n"/>
      <c r="S55" s="83" t="n"/>
    </row>
    <row r="56" ht="28.5" customHeight="1" s="119">
      <c r="B56" s="62" t="inlineStr">
        <is>
          <t>22004</t>
        </is>
      </c>
      <c r="C56" s="77" t="inlineStr">
        <is>
          <t>血云珠</t>
        </is>
      </c>
      <c r="D56" s="77" t="inlineStr">
        <is>
          <t>2</t>
        </is>
      </c>
      <c r="E56" s="74" t="inlineStr">
        <is>
          <t>3</t>
        </is>
      </c>
      <c r="F56" s="79" t="inlineStr">
        <is>
          <t>10009|550</t>
        </is>
      </c>
      <c r="G56" s="74" t="inlineStr">
        <is>
          <t>img_duoxianjian</t>
        </is>
      </c>
      <c r="H56" s="74" t="inlineStr">
        <is>
          <t>1</t>
        </is>
      </c>
      <c r="I56" s="62" t="n"/>
      <c r="J56" s="62" t="n"/>
      <c r="L56" s="62" t="inlineStr">
        <is>
          <t>22004</t>
        </is>
      </c>
      <c r="M56" s="74" t="inlineStr">
        <is>
          <t>112001|430$10001|1500$342005|1</t>
        </is>
      </c>
      <c r="N56" s="74" t="inlineStr">
        <is>
          <t>342005</t>
        </is>
      </c>
      <c r="O56" s="90" t="inlineStr">
        <is>
          <t>412001</t>
        </is>
      </c>
      <c r="P56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56" s="62" t="inlineStr">
        <is>
          <t>82</t>
        </is>
      </c>
      <c r="R56" s="62" t="n"/>
      <c r="S56" s="83" t="n"/>
    </row>
    <row r="57" ht="28.5" customHeight="1" s="119">
      <c r="B57" s="62" t="inlineStr">
        <is>
          <t>22005</t>
        </is>
      </c>
      <c r="C57" s="77" t="inlineStr">
        <is>
          <t>金龙枪</t>
        </is>
      </c>
      <c r="D57" s="77" t="inlineStr">
        <is>
          <t>2</t>
        </is>
      </c>
      <c r="E57" s="74" t="inlineStr">
        <is>
          <t>0</t>
        </is>
      </c>
      <c r="F57" s="74" t="inlineStr">
        <is>
          <t>10003|675</t>
        </is>
      </c>
      <c r="G57" s="74" t="inlineStr">
        <is>
          <t>img_duoxianjian</t>
        </is>
      </c>
      <c r="H57" s="74" t="inlineStr">
        <is>
          <t>2</t>
        </is>
      </c>
      <c r="I57" s="74" t="n"/>
      <c r="J57" s="74" t="n"/>
      <c r="K57" s="79" t="n"/>
      <c r="L57" s="62" t="inlineStr">
        <is>
          <t>22005</t>
        </is>
      </c>
      <c r="M57" s="74" t="inlineStr">
        <is>
          <t>112001|430$10001|1500$342006|1</t>
        </is>
      </c>
      <c r="N57" s="74" t="inlineStr">
        <is>
          <t>342006</t>
        </is>
      </c>
      <c r="O57" s="90" t="inlineStr">
        <is>
          <t>412002</t>
        </is>
      </c>
      <c r="P57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57" s="74" t="inlineStr">
        <is>
          <t>101</t>
        </is>
      </c>
      <c r="R57" s="74" t="n"/>
      <c r="S57" s="82" t="n"/>
    </row>
    <row r="58" ht="28.5" customHeight="1" s="119">
      <c r="B58" s="62" t="inlineStr">
        <is>
          <t>22006</t>
        </is>
      </c>
      <c r="C58" s="77" t="inlineStr">
        <is>
          <t>银龙甲</t>
        </is>
      </c>
      <c r="D58" s="77" t="inlineStr">
        <is>
          <t>2</t>
        </is>
      </c>
      <c r="E58" s="74" t="inlineStr">
        <is>
          <t>1</t>
        </is>
      </c>
      <c r="F58" s="74" t="inlineStr">
        <is>
          <t>10004|341</t>
        </is>
      </c>
      <c r="G58" s="74" t="inlineStr">
        <is>
          <t>img_duoxianjian</t>
        </is>
      </c>
      <c r="H58" s="74" t="inlineStr">
        <is>
          <t>2</t>
        </is>
      </c>
      <c r="I58" s="74" t="n"/>
      <c r="J58" s="74" t="n"/>
      <c r="K58" s="79" t="n"/>
      <c r="L58" s="62" t="inlineStr">
        <is>
          <t>22006</t>
        </is>
      </c>
      <c r="M58" s="74" t="inlineStr">
        <is>
          <t>112001|430$10001|1500$342007|1</t>
        </is>
      </c>
      <c r="N58" s="74" t="inlineStr">
        <is>
          <t>342007</t>
        </is>
      </c>
      <c r="O58" s="90" t="inlineStr">
        <is>
          <t>412002</t>
        </is>
      </c>
      <c r="P58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58" s="74" t="inlineStr">
        <is>
          <t>51</t>
        </is>
      </c>
      <c r="R58" s="74" t="n"/>
      <c r="S58" s="82" t="n"/>
    </row>
    <row r="59" ht="28.5" customHeight="1" s="119">
      <c r="B59" s="62" t="inlineStr">
        <is>
          <t>22007</t>
        </is>
      </c>
      <c r="C59" s="77" t="inlineStr">
        <is>
          <t>海龙靴</t>
        </is>
      </c>
      <c r="D59" s="77" t="inlineStr">
        <is>
          <t>2</t>
        </is>
      </c>
      <c r="E59" s="74" t="inlineStr">
        <is>
          <t>2</t>
        </is>
      </c>
      <c r="F59" s="79" t="inlineStr">
        <is>
          <t>10001|1802</t>
        </is>
      </c>
      <c r="G59" s="74" t="inlineStr">
        <is>
          <t>img_duoxianjian</t>
        </is>
      </c>
      <c r="H59" s="74" t="inlineStr">
        <is>
          <t>2</t>
        </is>
      </c>
      <c r="I59" s="74" t="n"/>
      <c r="J59" s="74" t="n"/>
      <c r="K59" s="79" t="n"/>
      <c r="L59" s="62" t="inlineStr">
        <is>
          <t>22007</t>
        </is>
      </c>
      <c r="M59" s="74" t="inlineStr">
        <is>
          <t>112001|430$10001|1500$342008|1</t>
        </is>
      </c>
      <c r="N59" s="74" t="inlineStr">
        <is>
          <t>342008</t>
        </is>
      </c>
      <c r="O59" s="90" t="inlineStr">
        <is>
          <t>412002</t>
        </is>
      </c>
      <c r="P59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59" s="74" t="inlineStr">
        <is>
          <t>271</t>
        </is>
      </c>
      <c r="R59" s="74" t="n"/>
      <c r="S59" s="82" t="n"/>
    </row>
    <row r="60" ht="28.5" customHeight="1" s="119">
      <c r="B60" s="62" t="inlineStr">
        <is>
          <t>22008</t>
        </is>
      </c>
      <c r="C60" s="77" t="inlineStr">
        <is>
          <t>黑龙珠</t>
        </is>
      </c>
      <c r="D60" s="77" t="inlineStr">
        <is>
          <t>2</t>
        </is>
      </c>
      <c r="E60" s="74" t="inlineStr">
        <is>
          <t>3</t>
        </is>
      </c>
      <c r="F60" s="79" t="inlineStr">
        <is>
          <t>10009|550</t>
        </is>
      </c>
      <c r="G60" s="74" t="inlineStr">
        <is>
          <t>img_duoxianjian</t>
        </is>
      </c>
      <c r="H60" s="74" t="inlineStr">
        <is>
          <t>2</t>
        </is>
      </c>
      <c r="I60" s="74" t="n"/>
      <c r="J60" s="74" t="n"/>
      <c r="K60" s="79" t="n"/>
      <c r="L60" s="62" t="inlineStr">
        <is>
          <t>22008</t>
        </is>
      </c>
      <c r="M60" s="74" t="inlineStr">
        <is>
          <t>112001|430$10001|1500$342009|1</t>
        </is>
      </c>
      <c r="N60" s="74" t="inlineStr">
        <is>
          <t>342009</t>
        </is>
      </c>
      <c r="O60" s="90" t="inlineStr">
        <is>
          <t>412002</t>
        </is>
      </c>
      <c r="P60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0" s="74" t="inlineStr">
        <is>
          <t>82</t>
        </is>
      </c>
      <c r="R60" s="74" t="n"/>
      <c r="S60" s="82" t="n"/>
    </row>
    <row r="61" ht="28.5" customHeight="1" s="119">
      <c r="B61" s="62" t="inlineStr">
        <is>
          <t>22009</t>
        </is>
      </c>
      <c r="C61" s="77" t="inlineStr">
        <is>
          <t>神风剑</t>
        </is>
      </c>
      <c r="D61" s="77" t="inlineStr">
        <is>
          <t>2</t>
        </is>
      </c>
      <c r="E61" s="74" t="inlineStr">
        <is>
          <t>0</t>
        </is>
      </c>
      <c r="F61" s="74" t="inlineStr">
        <is>
          <t>10003|605</t>
        </is>
      </c>
      <c r="G61" s="74" t="inlineStr">
        <is>
          <t>img_duoxianjian</t>
        </is>
      </c>
      <c r="H61" s="74" t="inlineStr">
        <is>
          <t>3</t>
        </is>
      </c>
      <c r="I61" s="74" t="n"/>
      <c r="J61" s="74" t="n"/>
      <c r="K61" s="79" t="n"/>
      <c r="L61" s="62" t="inlineStr">
        <is>
          <t>22009</t>
        </is>
      </c>
      <c r="M61" s="74" t="inlineStr">
        <is>
          <t>112001|430$10001|1500$342010|1</t>
        </is>
      </c>
      <c r="N61" s="74" t="inlineStr">
        <is>
          <t>342010</t>
        </is>
      </c>
      <c r="O61" s="90" t="inlineStr">
        <is>
          <t>412003</t>
        </is>
      </c>
      <c r="P61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1" s="74" t="inlineStr">
        <is>
          <t>91</t>
        </is>
      </c>
      <c r="R61" s="74" t="n"/>
      <c r="S61" s="82" t="n"/>
    </row>
    <row r="62" ht="28.5" customHeight="1" s="119">
      <c r="B62" s="62" t="inlineStr">
        <is>
          <t>22010</t>
        </is>
      </c>
      <c r="C62" s="77" t="inlineStr">
        <is>
          <t>须弥甲</t>
        </is>
      </c>
      <c r="D62" s="77" t="inlineStr">
        <is>
          <t>2</t>
        </is>
      </c>
      <c r="E62" s="74" t="inlineStr">
        <is>
          <t>1</t>
        </is>
      </c>
      <c r="F62" s="74" t="inlineStr">
        <is>
          <t>10004|341</t>
        </is>
      </c>
      <c r="G62" s="74" t="inlineStr">
        <is>
          <t>img_duoxianjian</t>
        </is>
      </c>
      <c r="H62" s="74" t="inlineStr">
        <is>
          <t>3</t>
        </is>
      </c>
      <c r="I62" s="74" t="n"/>
      <c r="J62" s="74" t="n"/>
      <c r="K62" s="79" t="n"/>
      <c r="L62" s="62" t="inlineStr">
        <is>
          <t>22010</t>
        </is>
      </c>
      <c r="M62" s="74" t="inlineStr">
        <is>
          <t>112001|430$10001|1500$342011|1</t>
        </is>
      </c>
      <c r="N62" s="74" t="inlineStr">
        <is>
          <t>342011</t>
        </is>
      </c>
      <c r="O62" s="90" t="inlineStr">
        <is>
          <t>412003</t>
        </is>
      </c>
      <c r="P62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2" s="74" t="inlineStr">
        <is>
          <t>51</t>
        </is>
      </c>
      <c r="R62" s="74" t="n"/>
      <c r="S62" s="82" t="n"/>
    </row>
    <row r="63" ht="28.5" customHeight="1" s="119">
      <c r="B63" s="62" t="inlineStr">
        <is>
          <t>22011</t>
        </is>
      </c>
      <c r="C63" s="77" t="inlineStr">
        <is>
          <t>清风靴</t>
        </is>
      </c>
      <c r="D63" s="77" t="inlineStr">
        <is>
          <t>2</t>
        </is>
      </c>
      <c r="E63" s="74" t="inlineStr">
        <is>
          <t>2</t>
        </is>
      </c>
      <c r="F63" s="79" t="inlineStr">
        <is>
          <t>10001|1702</t>
        </is>
      </c>
      <c r="G63" s="74" t="inlineStr">
        <is>
          <t>img_duoxianjian</t>
        </is>
      </c>
      <c r="H63" s="74" t="inlineStr">
        <is>
          <t>3</t>
        </is>
      </c>
      <c r="I63" s="74" t="n"/>
      <c r="J63" s="74" t="n"/>
      <c r="K63" s="79" t="n"/>
      <c r="L63" s="62" t="inlineStr">
        <is>
          <t>22011</t>
        </is>
      </c>
      <c r="M63" s="74" t="inlineStr">
        <is>
          <t>112001|430$10001|1500$342012|1</t>
        </is>
      </c>
      <c r="N63" s="74" t="inlineStr">
        <is>
          <t>342012</t>
        </is>
      </c>
      <c r="O63" s="90" t="inlineStr">
        <is>
          <t>412003</t>
        </is>
      </c>
      <c r="P63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3" s="74" t="inlineStr">
        <is>
          <t>255</t>
        </is>
      </c>
      <c r="R63" s="74" t="n"/>
      <c r="S63" s="82" t="n"/>
    </row>
    <row r="64" ht="28.5" customHeight="1" s="119">
      <c r="B64" s="62" t="inlineStr">
        <is>
          <t>22012</t>
        </is>
      </c>
      <c r="C64" s="77" t="inlineStr">
        <is>
          <t>百仙玉</t>
        </is>
      </c>
      <c r="D64" s="77" t="inlineStr">
        <is>
          <t>2</t>
        </is>
      </c>
      <c r="E64" s="74" t="inlineStr">
        <is>
          <t>3</t>
        </is>
      </c>
      <c r="F64" s="79" t="inlineStr">
        <is>
          <t>10009|550</t>
        </is>
      </c>
      <c r="G64" s="74" t="inlineStr">
        <is>
          <t>img_duoxianjian</t>
        </is>
      </c>
      <c r="H64" s="74" t="inlineStr">
        <is>
          <t>3</t>
        </is>
      </c>
      <c r="I64" s="74" t="n"/>
      <c r="J64" s="74" t="n"/>
      <c r="K64" s="79" t="n"/>
      <c r="L64" s="62" t="inlineStr">
        <is>
          <t>22012</t>
        </is>
      </c>
      <c r="M64" s="74" t="inlineStr">
        <is>
          <t>112001|430$10001|1500$342013|1</t>
        </is>
      </c>
      <c r="N64" s="74" t="inlineStr">
        <is>
          <t>342013</t>
        </is>
      </c>
      <c r="O64" s="90" t="inlineStr">
        <is>
          <t>412003</t>
        </is>
      </c>
      <c r="P64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4" s="74" t="inlineStr">
        <is>
          <t>82</t>
        </is>
      </c>
      <c r="R64" s="74" t="n"/>
      <c r="S64" s="82" t="n"/>
    </row>
    <row r="65" ht="28.5" customHeight="1" s="119">
      <c r="B65" s="62" t="inlineStr">
        <is>
          <t>22013</t>
        </is>
      </c>
      <c r="C65" s="77" t="inlineStr">
        <is>
          <t>天尊剑</t>
        </is>
      </c>
      <c r="D65" s="77" t="inlineStr">
        <is>
          <t>2</t>
        </is>
      </c>
      <c r="E65" s="74" t="inlineStr">
        <is>
          <t>0</t>
        </is>
      </c>
      <c r="F65" s="74" t="inlineStr">
        <is>
          <t>10003|522</t>
        </is>
      </c>
      <c r="G65" s="74" t="inlineStr">
        <is>
          <t>img_duoxianjian</t>
        </is>
      </c>
      <c r="H65" s="74" t="inlineStr">
        <is>
          <t>4</t>
        </is>
      </c>
      <c r="I65" s="74" t="n"/>
      <c r="J65" s="74" t="n"/>
      <c r="K65" s="79" t="n"/>
      <c r="L65" s="62" t="inlineStr">
        <is>
          <t>22013</t>
        </is>
      </c>
      <c r="M65" s="74" t="inlineStr">
        <is>
          <t>112001|430$10001|1500$342014|1</t>
        </is>
      </c>
      <c r="N65" s="74" t="inlineStr">
        <is>
          <t>342014</t>
        </is>
      </c>
      <c r="O65" s="90" t="inlineStr">
        <is>
          <t>412004</t>
        </is>
      </c>
      <c r="P65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5" s="74" t="inlineStr">
        <is>
          <t>79</t>
        </is>
      </c>
      <c r="R65" s="74" t="n"/>
      <c r="S65" s="82" t="n"/>
    </row>
    <row r="66" ht="28.5" customHeight="1" s="119">
      <c r="B66" s="62" t="inlineStr">
        <is>
          <t>22014</t>
        </is>
      </c>
      <c r="C66" s="77" t="inlineStr">
        <is>
          <t>涅槃甲</t>
        </is>
      </c>
      <c r="D66" s="77" t="inlineStr">
        <is>
          <t>2</t>
        </is>
      </c>
      <c r="E66" s="74" t="inlineStr">
        <is>
          <t>1</t>
        </is>
      </c>
      <c r="F66" s="74" t="inlineStr">
        <is>
          <t>10004|389</t>
        </is>
      </c>
      <c r="G66" s="74" t="inlineStr">
        <is>
          <t>img_duoxianjian</t>
        </is>
      </c>
      <c r="H66" s="74" t="inlineStr">
        <is>
          <t>4</t>
        </is>
      </c>
      <c r="I66" s="74" t="n"/>
      <c r="J66" s="74" t="n"/>
      <c r="K66" s="79" t="n"/>
      <c r="L66" s="62" t="inlineStr">
        <is>
          <t>22014</t>
        </is>
      </c>
      <c r="M66" s="74" t="inlineStr">
        <is>
          <t>112001|430$10001|1500$342015|1</t>
        </is>
      </c>
      <c r="N66" s="74" t="inlineStr">
        <is>
          <t>342015</t>
        </is>
      </c>
      <c r="O66" s="90" t="inlineStr">
        <is>
          <t>412004</t>
        </is>
      </c>
      <c r="P66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6" s="74" t="inlineStr">
        <is>
          <t>58</t>
        </is>
      </c>
      <c r="R66" s="74" t="n"/>
      <c r="S66" s="82" t="n"/>
    </row>
    <row r="67" ht="28.5" customHeight="1" s="119">
      <c r="B67" s="62" t="inlineStr">
        <is>
          <t>22015</t>
        </is>
      </c>
      <c r="C67" s="77" t="inlineStr">
        <is>
          <t>瞬空靴</t>
        </is>
      </c>
      <c r="D67" s="77" t="inlineStr">
        <is>
          <t>2</t>
        </is>
      </c>
      <c r="E67" s="74" t="inlineStr">
        <is>
          <t>2</t>
        </is>
      </c>
      <c r="F67" s="79" t="inlineStr">
        <is>
          <t>10001|1961</t>
        </is>
      </c>
      <c r="G67" s="74" t="inlineStr">
        <is>
          <t>img_duoxianjian</t>
        </is>
      </c>
      <c r="H67" s="74" t="inlineStr">
        <is>
          <t>4</t>
        </is>
      </c>
      <c r="I67" s="74" t="n"/>
      <c r="J67" s="74" t="n"/>
      <c r="K67" s="79" t="n"/>
      <c r="L67" s="62" t="inlineStr">
        <is>
          <t>22015</t>
        </is>
      </c>
      <c r="M67" s="74" t="inlineStr">
        <is>
          <t>112001|430$10001|1500$342016|1</t>
        </is>
      </c>
      <c r="N67" s="74" t="inlineStr">
        <is>
          <t>342016</t>
        </is>
      </c>
      <c r="O67" s="90" t="inlineStr">
        <is>
          <t>412004</t>
        </is>
      </c>
      <c r="P67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7" s="74" t="inlineStr">
        <is>
          <t>294</t>
        </is>
      </c>
      <c r="R67" s="74" t="n"/>
      <c r="S67" s="82" t="n"/>
    </row>
    <row r="68" ht="28.5" customHeight="1" s="119">
      <c r="B68" s="62" t="inlineStr">
        <is>
          <t>22016</t>
        </is>
      </c>
      <c r="C68" s="77" t="inlineStr">
        <is>
          <t>浮屠珠</t>
        </is>
      </c>
      <c r="D68" s="77" t="inlineStr">
        <is>
          <t>2</t>
        </is>
      </c>
      <c r="E68" s="74" t="inlineStr">
        <is>
          <t>3</t>
        </is>
      </c>
      <c r="F68" s="79" t="inlineStr">
        <is>
          <t>10009|550</t>
        </is>
      </c>
      <c r="G68" s="74" t="inlineStr">
        <is>
          <t>img_duoxianjian</t>
        </is>
      </c>
      <c r="H68" s="74" t="inlineStr">
        <is>
          <t>4</t>
        </is>
      </c>
      <c r="I68" s="74" t="n"/>
      <c r="J68" s="74" t="n"/>
      <c r="K68" s="79" t="n"/>
      <c r="L68" s="62" t="inlineStr">
        <is>
          <t>22016</t>
        </is>
      </c>
      <c r="M68" s="74" t="inlineStr">
        <is>
          <t>112001|430$10001|1500$342017|1</t>
        </is>
      </c>
      <c r="N68" s="74" t="inlineStr">
        <is>
          <t>342017</t>
        </is>
      </c>
      <c r="O68" s="90" t="inlineStr">
        <is>
          <t>412004</t>
        </is>
      </c>
      <c r="P68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8" s="74" t="inlineStr">
        <is>
          <t>82</t>
        </is>
      </c>
      <c r="R68" s="74" t="n"/>
      <c r="S68" s="82" t="n"/>
    </row>
    <row r="69" ht="28.5" customHeight="1" s="119">
      <c r="B69" s="62" t="inlineStr">
        <is>
          <t>22017</t>
        </is>
      </c>
      <c r="C69" s="77" t="inlineStr">
        <is>
          <t>百海鼎</t>
        </is>
      </c>
      <c r="D69" s="77" t="inlineStr">
        <is>
          <t>2</t>
        </is>
      </c>
      <c r="E69" s="74" t="inlineStr">
        <is>
          <t>0</t>
        </is>
      </c>
      <c r="F69" s="74" t="inlineStr">
        <is>
          <t>10003|384</t>
        </is>
      </c>
      <c r="G69" s="74" t="inlineStr">
        <is>
          <t>img_duoxianjian</t>
        </is>
      </c>
      <c r="H69" s="74" t="inlineStr">
        <is>
          <t>5</t>
        </is>
      </c>
      <c r="I69" s="74" t="n"/>
      <c r="J69" s="74" t="n"/>
      <c r="K69" s="79" t="n"/>
      <c r="L69" s="62" t="inlineStr">
        <is>
          <t>22017</t>
        </is>
      </c>
      <c r="M69" s="74" t="inlineStr">
        <is>
          <t>112001|430$10001|1500$342018|1</t>
        </is>
      </c>
      <c r="N69" s="74" t="inlineStr">
        <is>
          <t>342018</t>
        </is>
      </c>
      <c r="O69" s="90" t="inlineStr">
        <is>
          <t>412005</t>
        </is>
      </c>
      <c r="P69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69" s="74" t="inlineStr">
        <is>
          <t>58</t>
        </is>
      </c>
      <c r="R69" s="74" t="n"/>
      <c r="S69" s="82" t="n"/>
    </row>
    <row r="70" ht="28.5" customHeight="1" s="119">
      <c r="B70" s="62" t="inlineStr">
        <is>
          <t>22018</t>
        </is>
      </c>
      <c r="C70" s="77" t="inlineStr">
        <is>
          <t>北冥甲</t>
        </is>
      </c>
      <c r="D70" s="77" t="inlineStr">
        <is>
          <t>2</t>
        </is>
      </c>
      <c r="E70" s="74" t="inlineStr">
        <is>
          <t>1</t>
        </is>
      </c>
      <c r="F70" s="74" t="inlineStr">
        <is>
          <t>10004|458</t>
        </is>
      </c>
      <c r="G70" s="74" t="inlineStr">
        <is>
          <t>img_duoxianjian</t>
        </is>
      </c>
      <c r="H70" s="74" t="inlineStr">
        <is>
          <t>5</t>
        </is>
      </c>
      <c r="I70" s="74" t="n"/>
      <c r="J70" s="74" t="n"/>
      <c r="K70" s="79" t="n"/>
      <c r="L70" s="62" t="inlineStr">
        <is>
          <t>22018</t>
        </is>
      </c>
      <c r="M70" s="74" t="inlineStr">
        <is>
          <t>112001|430$10001|1500$342019|1</t>
        </is>
      </c>
      <c r="N70" s="74" t="inlineStr">
        <is>
          <t>342019</t>
        </is>
      </c>
      <c r="O70" s="90" t="inlineStr">
        <is>
          <t>412005</t>
        </is>
      </c>
      <c r="P70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0" s="74" t="inlineStr">
        <is>
          <t>68</t>
        </is>
      </c>
      <c r="R70" s="74" t="n"/>
      <c r="S70" s="82" t="n"/>
    </row>
    <row r="71" ht="28.5" customHeight="1" s="119">
      <c r="B71" s="62" t="inlineStr">
        <is>
          <t>22019</t>
        </is>
      </c>
      <c r="C71" s="77" t="inlineStr">
        <is>
          <t>开山靴</t>
        </is>
      </c>
      <c r="D71" s="77" t="inlineStr">
        <is>
          <t>2</t>
        </is>
      </c>
      <c r="E71" s="74" t="inlineStr">
        <is>
          <t>2</t>
        </is>
      </c>
      <c r="F71" s="79" t="inlineStr">
        <is>
          <t>10001|2319</t>
        </is>
      </c>
      <c r="G71" s="74" t="inlineStr">
        <is>
          <t>img_duoxianjian</t>
        </is>
      </c>
      <c r="H71" s="74" t="inlineStr">
        <is>
          <t>5</t>
        </is>
      </c>
      <c r="I71" s="74" t="n"/>
      <c r="J71" s="74" t="n"/>
      <c r="K71" s="79" t="n"/>
      <c r="L71" s="62" t="inlineStr">
        <is>
          <t>22019</t>
        </is>
      </c>
      <c r="M71" s="74" t="inlineStr">
        <is>
          <t>112001|430$10001|1500$342020|1</t>
        </is>
      </c>
      <c r="N71" s="74" t="inlineStr">
        <is>
          <t>342020</t>
        </is>
      </c>
      <c r="O71" s="90" t="inlineStr">
        <is>
          <t>412005</t>
        </is>
      </c>
      <c r="P71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1" s="74" t="inlineStr">
        <is>
          <t>348</t>
        </is>
      </c>
      <c r="R71" s="74" t="n"/>
      <c r="S71" s="82" t="n"/>
    </row>
    <row r="72" ht="28.5" customHeight="1" s="119">
      <c r="B72" s="62" t="inlineStr">
        <is>
          <t>22020</t>
        </is>
      </c>
      <c r="C72" s="77" t="inlineStr">
        <is>
          <t>幻海珠</t>
        </is>
      </c>
      <c r="D72" s="77" t="inlineStr">
        <is>
          <t>2</t>
        </is>
      </c>
      <c r="E72" s="74" t="inlineStr">
        <is>
          <t>3</t>
        </is>
      </c>
      <c r="F72" s="79" t="inlineStr">
        <is>
          <t>10009|550</t>
        </is>
      </c>
      <c r="G72" s="74" t="inlineStr">
        <is>
          <t>img_duoxianjian</t>
        </is>
      </c>
      <c r="H72" s="74" t="inlineStr">
        <is>
          <t>5</t>
        </is>
      </c>
      <c r="I72" s="74" t="n"/>
      <c r="J72" s="74" t="n"/>
      <c r="K72" s="79" t="n"/>
      <c r="L72" s="62" t="inlineStr">
        <is>
          <t>22020</t>
        </is>
      </c>
      <c r="M72" s="74" t="inlineStr">
        <is>
          <t>112001|430$10001|1500$342021|1</t>
        </is>
      </c>
      <c r="N72" s="74" t="inlineStr">
        <is>
          <t>342021</t>
        </is>
      </c>
      <c r="O72" s="90" t="inlineStr">
        <is>
          <t>412005</t>
        </is>
      </c>
      <c r="P72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2" s="74" t="inlineStr">
        <is>
          <t>82</t>
        </is>
      </c>
      <c r="R72" s="74" t="n"/>
      <c r="S72" s="82" t="n"/>
    </row>
    <row r="73" ht="28.5" customHeight="1" s="119">
      <c r="B73" s="62" t="inlineStr">
        <is>
          <t>22021</t>
        </is>
      </c>
      <c r="C73" s="77" t="inlineStr">
        <is>
          <t>天云刀</t>
        </is>
      </c>
      <c r="D73" s="77" t="inlineStr">
        <is>
          <t>2</t>
        </is>
      </c>
      <c r="E73" s="74" t="inlineStr">
        <is>
          <t>0</t>
        </is>
      </c>
      <c r="F73" s="74" t="inlineStr">
        <is>
          <t>10003|528</t>
        </is>
      </c>
      <c r="G73" s="74" t="inlineStr">
        <is>
          <t>img_duoxianjian</t>
        </is>
      </c>
      <c r="H73" s="74" t="inlineStr">
        <is>
          <t>6</t>
        </is>
      </c>
      <c r="I73" s="74" t="n"/>
      <c r="J73" s="74" t="n"/>
      <c r="K73" s="79" t="n"/>
      <c r="L73" s="62" t="inlineStr">
        <is>
          <t>22021</t>
        </is>
      </c>
      <c r="M73" s="74" t="inlineStr">
        <is>
          <t>112001|430$10001|1500$342022|1</t>
        </is>
      </c>
      <c r="N73" s="74" t="inlineStr">
        <is>
          <t>342022</t>
        </is>
      </c>
      <c r="O73" s="90" t="inlineStr">
        <is>
          <t>412006</t>
        </is>
      </c>
      <c r="P73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3" s="74" t="inlineStr">
        <is>
          <t>79</t>
        </is>
      </c>
      <c r="R73" s="74" t="n"/>
      <c r="S73" s="82" t="n"/>
    </row>
    <row r="74" ht="28.5" customHeight="1" s="119">
      <c r="B74" s="62" t="inlineStr">
        <is>
          <t>22022</t>
        </is>
      </c>
      <c r="C74" s="77" t="inlineStr">
        <is>
          <t>羽化衣</t>
        </is>
      </c>
      <c r="D74" s="77" t="inlineStr">
        <is>
          <t>2</t>
        </is>
      </c>
      <c r="E74" s="74" t="inlineStr">
        <is>
          <t>1</t>
        </is>
      </c>
      <c r="F74" s="74" t="inlineStr">
        <is>
          <t>10004|387</t>
        </is>
      </c>
      <c r="G74" s="74" t="inlineStr">
        <is>
          <t>img_duoxianjian</t>
        </is>
      </c>
      <c r="H74" s="74" t="inlineStr">
        <is>
          <t>6</t>
        </is>
      </c>
      <c r="I74" s="74" t="n"/>
      <c r="J74" s="74" t="n"/>
      <c r="K74" s="79" t="n"/>
      <c r="L74" s="62" t="inlineStr">
        <is>
          <t>22022</t>
        </is>
      </c>
      <c r="M74" s="74" t="inlineStr">
        <is>
          <t>112001|430$10001|1500$342023|1</t>
        </is>
      </c>
      <c r="N74" s="74" t="inlineStr">
        <is>
          <t>342023</t>
        </is>
      </c>
      <c r="O74" s="90" t="inlineStr">
        <is>
          <t>412006</t>
        </is>
      </c>
      <c r="P74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4" s="74" t="inlineStr">
        <is>
          <t>58</t>
        </is>
      </c>
      <c r="R74" s="74" t="n"/>
      <c r="S74" s="82" t="n"/>
    </row>
    <row r="75" ht="28.5" customHeight="1" s="119">
      <c r="B75" s="62" t="inlineStr">
        <is>
          <t>22023</t>
        </is>
      </c>
      <c r="C75" s="77" t="inlineStr">
        <is>
          <t>云卷靴</t>
        </is>
      </c>
      <c r="D75" s="77" t="inlineStr">
        <is>
          <t>2</t>
        </is>
      </c>
      <c r="E75" s="74" t="inlineStr">
        <is>
          <t>2</t>
        </is>
      </c>
      <c r="F75" s="79" t="inlineStr">
        <is>
          <t>10001|1956</t>
        </is>
      </c>
      <c r="G75" s="74" t="inlineStr">
        <is>
          <t>img_duoxianjian</t>
        </is>
      </c>
      <c r="H75" s="74" t="inlineStr">
        <is>
          <t>6</t>
        </is>
      </c>
      <c r="I75" s="74" t="n"/>
      <c r="J75" s="74" t="n"/>
      <c r="K75" s="79" t="n"/>
      <c r="L75" s="62" t="inlineStr">
        <is>
          <t>22023</t>
        </is>
      </c>
      <c r="M75" s="74" t="inlineStr">
        <is>
          <t>112001|430$10001|1500$342024|1</t>
        </is>
      </c>
      <c r="N75" s="74" t="inlineStr">
        <is>
          <t>342024</t>
        </is>
      </c>
      <c r="O75" s="90" t="inlineStr">
        <is>
          <t>412006</t>
        </is>
      </c>
      <c r="P75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5" s="74" t="inlineStr">
        <is>
          <t>293</t>
        </is>
      </c>
      <c r="R75" s="74" t="n"/>
      <c r="S75" s="82" t="n"/>
    </row>
    <row r="76" ht="28.5" customHeight="1" s="119">
      <c r="B76" s="62" t="inlineStr">
        <is>
          <t>22024</t>
        </is>
      </c>
      <c r="C76" s="77" t="inlineStr">
        <is>
          <t>红尘坠</t>
        </is>
      </c>
      <c r="D76" s="77" t="inlineStr">
        <is>
          <t>2</t>
        </is>
      </c>
      <c r="E76" s="74" t="inlineStr">
        <is>
          <t>3</t>
        </is>
      </c>
      <c r="F76" s="79" t="inlineStr">
        <is>
          <t>10009|550</t>
        </is>
      </c>
      <c r="G76" s="74" t="inlineStr">
        <is>
          <t>img_duoxianjian</t>
        </is>
      </c>
      <c r="H76" s="74" t="inlineStr">
        <is>
          <t>6</t>
        </is>
      </c>
      <c r="I76" s="74" t="n"/>
      <c r="J76" s="74" t="n"/>
      <c r="K76" s="79" t="n"/>
      <c r="L76" s="62" t="inlineStr">
        <is>
          <t>22024</t>
        </is>
      </c>
      <c r="M76" s="74" t="inlineStr">
        <is>
          <t>112001|430$10001|1500$342025|1</t>
        </is>
      </c>
      <c r="N76" s="74" t="inlineStr">
        <is>
          <t>342025</t>
        </is>
      </c>
      <c r="O76" s="90" t="inlineStr">
        <is>
          <t>412006</t>
        </is>
      </c>
      <c r="P76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6" s="74" t="inlineStr">
        <is>
          <t>82</t>
        </is>
      </c>
      <c r="R76" s="74" t="n"/>
      <c r="S76" s="82" t="n"/>
    </row>
    <row r="77" ht="28.5" customHeight="1" s="119">
      <c r="B77" s="62" t="inlineStr">
        <is>
          <t>22025</t>
        </is>
      </c>
      <c r="C77" s="77" t="inlineStr">
        <is>
          <t>月华镜</t>
        </is>
      </c>
      <c r="D77" s="77" t="inlineStr">
        <is>
          <t>2</t>
        </is>
      </c>
      <c r="E77" s="74" t="inlineStr">
        <is>
          <t>0</t>
        </is>
      </c>
      <c r="F77" s="74" t="inlineStr">
        <is>
          <t>10003|490</t>
        </is>
      </c>
      <c r="G77" s="74" t="inlineStr">
        <is>
          <t>img_duoxianjian</t>
        </is>
      </c>
      <c r="H77" s="74" t="inlineStr">
        <is>
          <t>7</t>
        </is>
      </c>
      <c r="I77" s="74" t="n"/>
      <c r="J77" s="74" t="n"/>
      <c r="K77" s="79" t="n"/>
      <c r="L77" s="62" t="inlineStr">
        <is>
          <t>22025</t>
        </is>
      </c>
      <c r="M77" s="74" t="inlineStr">
        <is>
          <t>112001|430$10001|1500$342026|1</t>
        </is>
      </c>
      <c r="N77" s="74" t="inlineStr">
        <is>
          <t>342026</t>
        </is>
      </c>
      <c r="O77" s="90" t="inlineStr">
        <is>
          <t>412007</t>
        </is>
      </c>
      <c r="P77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7" s="74" t="inlineStr">
        <is>
          <t>74</t>
        </is>
      </c>
      <c r="R77" s="74" t="n"/>
      <c r="S77" s="82" t="n"/>
    </row>
    <row r="78" ht="28.5" customHeight="1" s="119">
      <c r="B78" s="62" t="inlineStr">
        <is>
          <t>22026</t>
        </is>
      </c>
      <c r="C78" s="77" t="inlineStr">
        <is>
          <t>月莹衣</t>
        </is>
      </c>
      <c r="D78" s="77" t="inlineStr">
        <is>
          <t>2</t>
        </is>
      </c>
      <c r="E78" s="74" t="inlineStr">
        <is>
          <t>1</t>
        </is>
      </c>
      <c r="F78" s="74" t="inlineStr">
        <is>
          <t>10004|387</t>
        </is>
      </c>
      <c r="G78" s="74" t="inlineStr">
        <is>
          <t>img_duoxianjian</t>
        </is>
      </c>
      <c r="H78" s="74" t="inlineStr">
        <is>
          <t>7</t>
        </is>
      </c>
      <c r="I78" s="74" t="n"/>
      <c r="J78" s="74" t="n"/>
      <c r="K78" s="79" t="n"/>
      <c r="L78" s="62" t="inlineStr">
        <is>
          <t>22026</t>
        </is>
      </c>
      <c r="M78" s="74" t="inlineStr">
        <is>
          <t>112001|430$10001|1500$342027|1</t>
        </is>
      </c>
      <c r="N78" s="74" t="inlineStr">
        <is>
          <t>342027</t>
        </is>
      </c>
      <c r="O78" s="90" t="inlineStr">
        <is>
          <t>412007</t>
        </is>
      </c>
      <c r="P78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8" s="74" t="inlineStr">
        <is>
          <t>58</t>
        </is>
      </c>
      <c r="R78" s="74" t="n"/>
      <c r="S78" s="82" t="n"/>
    </row>
    <row r="79" ht="28.5" customHeight="1" s="119">
      <c r="B79" s="62" t="inlineStr">
        <is>
          <t>22027</t>
        </is>
      </c>
      <c r="C79" s="77" t="inlineStr">
        <is>
          <t>皓月靴</t>
        </is>
      </c>
      <c r="D79" s="77" t="inlineStr">
        <is>
          <t>2</t>
        </is>
      </c>
      <c r="E79" s="74" t="inlineStr">
        <is>
          <t>2</t>
        </is>
      </c>
      <c r="F79" s="79" t="inlineStr">
        <is>
          <t>10001|1872</t>
        </is>
      </c>
      <c r="G79" s="74" t="inlineStr">
        <is>
          <t>img_duoxianjian</t>
        </is>
      </c>
      <c r="H79" s="74" t="inlineStr">
        <is>
          <t>7</t>
        </is>
      </c>
      <c r="I79" s="74" t="n"/>
      <c r="J79" s="74" t="n"/>
      <c r="K79" s="79" t="n"/>
      <c r="L79" s="62" t="inlineStr">
        <is>
          <t>22027</t>
        </is>
      </c>
      <c r="M79" s="74" t="inlineStr">
        <is>
          <t>112001|430$10001|1500$342028|1</t>
        </is>
      </c>
      <c r="N79" s="74" t="inlineStr">
        <is>
          <t>342028</t>
        </is>
      </c>
      <c r="O79" s="90" t="inlineStr">
        <is>
          <t>412007</t>
        </is>
      </c>
      <c r="P79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79" s="74" t="inlineStr">
        <is>
          <t>281</t>
        </is>
      </c>
      <c r="R79" s="74" t="n"/>
      <c r="S79" s="82" t="n"/>
    </row>
    <row r="80" ht="28.5" customHeight="1" s="119">
      <c r="B80" s="62" t="inlineStr">
        <is>
          <t>22028</t>
        </is>
      </c>
      <c r="C80" s="77" t="inlineStr">
        <is>
          <t>枫露珠</t>
        </is>
      </c>
      <c r="D80" s="77" t="inlineStr">
        <is>
          <t>2</t>
        </is>
      </c>
      <c r="E80" s="74" t="inlineStr">
        <is>
          <t>3</t>
        </is>
      </c>
      <c r="F80" s="79" t="inlineStr">
        <is>
          <t>10009|550</t>
        </is>
      </c>
      <c r="G80" s="74" t="inlineStr">
        <is>
          <t>img_duoxianjian</t>
        </is>
      </c>
      <c r="H80" s="74" t="inlineStr">
        <is>
          <t>7</t>
        </is>
      </c>
      <c r="I80" s="74" t="n"/>
      <c r="J80" s="74" t="n"/>
      <c r="K80" s="79" t="n"/>
      <c r="L80" s="62" t="inlineStr">
        <is>
          <t>22028</t>
        </is>
      </c>
      <c r="M80" s="74" t="inlineStr">
        <is>
          <t>112001|430$10001|1500$342029|1</t>
        </is>
      </c>
      <c r="N80" s="74" t="inlineStr">
        <is>
          <t>342029</t>
        </is>
      </c>
      <c r="O80" s="90" t="inlineStr">
        <is>
          <t>412007</t>
        </is>
      </c>
      <c r="P80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80" s="74" t="inlineStr">
        <is>
          <t>82</t>
        </is>
      </c>
      <c r="R80" s="74" t="n"/>
      <c r="S80" s="82" t="n"/>
    </row>
    <row r="81" ht="28.5" customHeight="1" s="119">
      <c r="B81" s="62" t="inlineStr">
        <is>
          <t>22029</t>
        </is>
      </c>
      <c r="C81" s="77" t="inlineStr">
        <is>
          <t>长生鼎</t>
        </is>
      </c>
      <c r="D81" s="77" t="inlineStr">
        <is>
          <t>2</t>
        </is>
      </c>
      <c r="E81" s="74" t="inlineStr">
        <is>
          <t>0</t>
        </is>
      </c>
      <c r="F81" s="74" t="inlineStr">
        <is>
          <t>10003|456</t>
        </is>
      </c>
      <c r="G81" s="74" t="inlineStr">
        <is>
          <t>img_duoxianjian</t>
        </is>
      </c>
      <c r="H81" s="74" t="inlineStr">
        <is>
          <t>8</t>
        </is>
      </c>
      <c r="I81" s="74" t="n"/>
      <c r="J81" s="74" t="n"/>
      <c r="K81" s="79" t="n"/>
      <c r="L81" s="62" t="inlineStr">
        <is>
          <t>22029</t>
        </is>
      </c>
      <c r="M81" s="74" t="inlineStr">
        <is>
          <t>112001|430$10001|1500$342030|1</t>
        </is>
      </c>
      <c r="N81" s="74" t="inlineStr">
        <is>
          <t>342030</t>
        </is>
      </c>
      <c r="O81" s="90" t="inlineStr">
        <is>
          <t>412008</t>
        </is>
      </c>
      <c r="P81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81" s="74" t="inlineStr">
        <is>
          <t>68</t>
        </is>
      </c>
      <c r="R81" s="74" t="n"/>
      <c r="S81" s="82" t="n"/>
    </row>
    <row r="82" ht="28.5" customHeight="1" s="119">
      <c r="B82" s="62" t="inlineStr">
        <is>
          <t>22030</t>
        </is>
      </c>
      <c r="C82" s="77" t="inlineStr">
        <is>
          <t>百木袍</t>
        </is>
      </c>
      <c r="D82" s="77" t="inlineStr">
        <is>
          <t>2</t>
        </is>
      </c>
      <c r="E82" s="74" t="inlineStr">
        <is>
          <t>1</t>
        </is>
      </c>
      <c r="F82" s="74" t="inlineStr">
        <is>
          <t>10004|414</t>
        </is>
      </c>
      <c r="G82" s="74" t="inlineStr">
        <is>
          <t>img_duoxianjian</t>
        </is>
      </c>
      <c r="H82" s="74" t="inlineStr">
        <is>
          <t>8</t>
        </is>
      </c>
      <c r="I82" s="74" t="n"/>
      <c r="J82" s="74" t="n"/>
      <c r="K82" s="79" t="n"/>
      <c r="L82" s="62" t="inlineStr">
        <is>
          <t>22030</t>
        </is>
      </c>
      <c r="M82" s="74" t="inlineStr">
        <is>
          <t>112001|430$10001|1500$342031|1</t>
        </is>
      </c>
      <c r="N82" s="74" t="inlineStr">
        <is>
          <t>342031</t>
        </is>
      </c>
      <c r="O82" s="90" t="inlineStr">
        <is>
          <t>412008</t>
        </is>
      </c>
      <c r="P82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82" s="74" t="inlineStr">
        <is>
          <t>62</t>
        </is>
      </c>
      <c r="R82" s="74" t="n"/>
      <c r="S82" s="82" t="n"/>
    </row>
    <row r="83" ht="28.5" customHeight="1" s="119">
      <c r="B83" s="62" t="inlineStr">
        <is>
          <t>22031</t>
        </is>
      </c>
      <c r="C83" s="77" t="inlineStr">
        <is>
          <t>灵生靴</t>
        </is>
      </c>
      <c r="D83" s="77" t="inlineStr">
        <is>
          <t>2</t>
        </is>
      </c>
      <c r="E83" s="74" t="inlineStr">
        <is>
          <t>2</t>
        </is>
      </c>
      <c r="F83" s="79" t="inlineStr">
        <is>
          <t>10001|2358</t>
        </is>
      </c>
      <c r="G83" s="74" t="inlineStr">
        <is>
          <t>img_duoxianjian</t>
        </is>
      </c>
      <c r="H83" s="74" t="inlineStr">
        <is>
          <t>8</t>
        </is>
      </c>
      <c r="I83" s="74" t="n"/>
      <c r="J83" s="74" t="n"/>
      <c r="K83" s="79" t="n"/>
      <c r="L83" s="62" t="inlineStr">
        <is>
          <t>22031</t>
        </is>
      </c>
      <c r="M83" s="74" t="inlineStr">
        <is>
          <t>112001|430$10001|1500$342032|1</t>
        </is>
      </c>
      <c r="N83" s="74" t="inlineStr">
        <is>
          <t>342032</t>
        </is>
      </c>
      <c r="O83" s="90" t="inlineStr">
        <is>
          <t>412008</t>
        </is>
      </c>
      <c r="P83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83" s="74" t="inlineStr">
        <is>
          <t>354</t>
        </is>
      </c>
      <c r="R83" s="74" t="n"/>
      <c r="S83" s="82" t="n"/>
    </row>
    <row r="84" ht="28.5" customHeight="1" s="119">
      <c r="B84" s="62" t="inlineStr">
        <is>
          <t>22032</t>
        </is>
      </c>
      <c r="C84" s="77" t="inlineStr">
        <is>
          <t>木辉珠</t>
        </is>
      </c>
      <c r="D84" s="77" t="inlineStr">
        <is>
          <t>2</t>
        </is>
      </c>
      <c r="E84" s="74" t="inlineStr">
        <is>
          <t>3</t>
        </is>
      </c>
      <c r="F84" s="79" t="inlineStr">
        <is>
          <t>10009|550</t>
        </is>
      </c>
      <c r="G84" s="74" t="inlineStr">
        <is>
          <t>img_duoxianjian</t>
        </is>
      </c>
      <c r="H84" s="74" t="inlineStr">
        <is>
          <t>8</t>
        </is>
      </c>
      <c r="I84" s="74" t="n"/>
      <c r="J84" s="74" t="n"/>
      <c r="K84" s="79" t="n"/>
      <c r="L84" s="62" t="inlineStr">
        <is>
          <t>22032</t>
        </is>
      </c>
      <c r="M84" s="74" t="inlineStr">
        <is>
          <t>112001|430$10001|1500$342033|1</t>
        </is>
      </c>
      <c r="N84" s="74" t="inlineStr">
        <is>
          <t>342033</t>
        </is>
      </c>
      <c r="O84" s="90" t="inlineStr">
        <is>
          <t>412008</t>
        </is>
      </c>
      <c r="P84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84" s="74" t="inlineStr">
        <is>
          <t>82</t>
        </is>
      </c>
      <c r="R84" s="74" t="n"/>
      <c r="S84" s="82" t="n"/>
    </row>
    <row r="85" ht="28.5" customHeight="1" s="119">
      <c r="B85" s="62" t="inlineStr">
        <is>
          <t>22033</t>
        </is>
      </c>
      <c r="C85" s="77" t="inlineStr">
        <is>
          <t>枯骨镜</t>
        </is>
      </c>
      <c r="D85" s="77" t="inlineStr">
        <is>
          <t>2</t>
        </is>
      </c>
      <c r="E85" s="74" t="inlineStr">
        <is>
          <t>0</t>
        </is>
      </c>
      <c r="F85" s="74" t="inlineStr">
        <is>
          <t>10003|528</t>
        </is>
      </c>
      <c r="G85" s="74" t="inlineStr">
        <is>
          <t>img_duoxianjian</t>
        </is>
      </c>
      <c r="H85" s="74" t="inlineStr">
        <is>
          <t>9</t>
        </is>
      </c>
      <c r="I85" s="74" t="n"/>
      <c r="J85" s="74" t="n"/>
      <c r="K85" s="79" t="n"/>
      <c r="L85" s="62" t="inlineStr">
        <is>
          <t>22033</t>
        </is>
      </c>
      <c r="M85" s="74" t="inlineStr">
        <is>
          <t>112001|430$10001|1500$342034|1</t>
        </is>
      </c>
      <c r="N85" s="74" t="inlineStr">
        <is>
          <t>342034</t>
        </is>
      </c>
      <c r="O85" s="90" t="inlineStr">
        <is>
          <t>412009</t>
        </is>
      </c>
      <c r="P85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85" s="74" t="inlineStr">
        <is>
          <t>79</t>
        </is>
      </c>
      <c r="R85" s="74" t="n"/>
      <c r="S85" s="82" t="n"/>
    </row>
    <row r="86" ht="28.5" customHeight="1" s="119">
      <c r="B86" s="62" t="inlineStr">
        <is>
          <t>22034</t>
        </is>
      </c>
      <c r="C86" s="77" t="inlineStr">
        <is>
          <t>幽冥铠</t>
        </is>
      </c>
      <c r="D86" s="77" t="inlineStr">
        <is>
          <t>2</t>
        </is>
      </c>
      <c r="E86" s="74" t="inlineStr">
        <is>
          <t>1</t>
        </is>
      </c>
      <c r="F86" s="74" t="inlineStr">
        <is>
          <t>10004|432</t>
        </is>
      </c>
      <c r="G86" s="74" t="inlineStr">
        <is>
          <t>img_duoxianjian</t>
        </is>
      </c>
      <c r="H86" s="74" t="inlineStr">
        <is>
          <t>9</t>
        </is>
      </c>
      <c r="I86" s="74" t="n"/>
      <c r="J86" s="74" t="n"/>
      <c r="K86" s="79" t="n"/>
      <c r="L86" s="62" t="inlineStr">
        <is>
          <t>22034</t>
        </is>
      </c>
      <c r="M86" s="74" t="inlineStr">
        <is>
          <t>112001|430$10001|1500$342035|1</t>
        </is>
      </c>
      <c r="N86" s="74" t="inlineStr">
        <is>
          <t>342035</t>
        </is>
      </c>
      <c r="O86" s="90" t="inlineStr">
        <is>
          <t>412009</t>
        </is>
      </c>
      <c r="P86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86" s="74" t="inlineStr">
        <is>
          <t>65</t>
        </is>
      </c>
      <c r="R86" s="74" t="n"/>
      <c r="S86" s="82" t="n"/>
    </row>
    <row r="87" ht="28.5" customHeight="1" s="119">
      <c r="B87" s="62" t="inlineStr">
        <is>
          <t>22035</t>
        </is>
      </c>
      <c r="C87" s="77" t="inlineStr">
        <is>
          <t>紫骨靴</t>
        </is>
      </c>
      <c r="D87" s="77" t="inlineStr">
        <is>
          <t>2</t>
        </is>
      </c>
      <c r="E87" s="74" t="inlineStr">
        <is>
          <t>2</t>
        </is>
      </c>
      <c r="F87" s="79" t="inlineStr">
        <is>
          <t>10001|2140</t>
        </is>
      </c>
      <c r="G87" s="74" t="inlineStr">
        <is>
          <t>img_duoxianjian</t>
        </is>
      </c>
      <c r="H87" s="74" t="inlineStr">
        <is>
          <t>9</t>
        </is>
      </c>
      <c r="I87" s="74" t="n"/>
      <c r="J87" s="74" t="n"/>
      <c r="K87" s="79" t="n"/>
      <c r="L87" s="62" t="inlineStr">
        <is>
          <t>22035</t>
        </is>
      </c>
      <c r="M87" s="74" t="inlineStr">
        <is>
          <t>112001|430$10001|1500$342036|1</t>
        </is>
      </c>
      <c r="N87" s="74" t="inlineStr">
        <is>
          <t>342036</t>
        </is>
      </c>
      <c r="O87" s="90" t="inlineStr">
        <is>
          <t>412009</t>
        </is>
      </c>
      <c r="P87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87" s="74" t="inlineStr">
        <is>
          <t>321</t>
        </is>
      </c>
      <c r="R87" s="74" t="n"/>
      <c r="S87" s="82" t="n"/>
    </row>
    <row r="88" ht="28.5" customHeight="1" s="119">
      <c r="B88" s="62" t="inlineStr">
        <is>
          <t>22036</t>
        </is>
      </c>
      <c r="C88" s="77" t="inlineStr">
        <is>
          <t>王骨珠</t>
        </is>
      </c>
      <c r="D88" s="77" t="inlineStr">
        <is>
          <t>2</t>
        </is>
      </c>
      <c r="E88" s="74" t="inlineStr">
        <is>
          <t>3</t>
        </is>
      </c>
      <c r="F88" s="79" t="inlineStr">
        <is>
          <t>10009|550</t>
        </is>
      </c>
      <c r="G88" s="74" t="inlineStr">
        <is>
          <t>img_duoxianjian</t>
        </is>
      </c>
      <c r="H88" s="74" t="inlineStr">
        <is>
          <t>9</t>
        </is>
      </c>
      <c r="I88" s="74" t="n"/>
      <c r="J88" s="74" t="n"/>
      <c r="K88" s="79" t="n"/>
      <c r="L88" s="62" t="inlineStr">
        <is>
          <t>22036</t>
        </is>
      </c>
      <c r="M88" s="74" t="inlineStr">
        <is>
          <t>112001|430$10001|1500$342037|1</t>
        </is>
      </c>
      <c r="N88" s="74" t="inlineStr">
        <is>
          <t>342037</t>
        </is>
      </c>
      <c r="O88" s="90" t="inlineStr">
        <is>
          <t>412009</t>
        </is>
      </c>
      <c r="P88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88" s="74" t="inlineStr">
        <is>
          <t>82</t>
        </is>
      </c>
      <c r="R88" s="74" t="n"/>
      <c r="S88" s="82" t="n"/>
    </row>
    <row r="89" ht="28.5" customHeight="1" s="119">
      <c r="B89" s="62" t="inlineStr">
        <is>
          <t>22037</t>
        </is>
      </c>
      <c r="C89" s="77" t="inlineStr">
        <is>
          <t>洪荒枪</t>
        </is>
      </c>
      <c r="D89" s="77" t="inlineStr">
        <is>
          <t>2</t>
        </is>
      </c>
      <c r="E89" s="74" t="inlineStr">
        <is>
          <t>0</t>
        </is>
      </c>
      <c r="F89" s="74" t="inlineStr">
        <is>
          <t>10003|606</t>
        </is>
      </c>
      <c r="G89" s="74" t="inlineStr">
        <is>
          <t>img_duoxianjian</t>
        </is>
      </c>
      <c r="H89" s="74" t="inlineStr">
        <is>
          <t>10</t>
        </is>
      </c>
      <c r="I89" s="74" t="n"/>
      <c r="J89" s="74" t="n"/>
      <c r="K89" s="79" t="n"/>
      <c r="L89" s="62" t="inlineStr">
        <is>
          <t>22037</t>
        </is>
      </c>
      <c r="M89" s="74" t="inlineStr">
        <is>
          <t>112001|430$10001|1500$342038|1</t>
        </is>
      </c>
      <c r="N89" s="74" t="inlineStr">
        <is>
          <t>342038</t>
        </is>
      </c>
      <c r="O89" s="90" t="inlineStr">
        <is>
          <t>412010</t>
        </is>
      </c>
      <c r="P89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89" s="74" t="inlineStr">
        <is>
          <t>91</t>
        </is>
      </c>
      <c r="R89" s="74" t="n"/>
      <c r="S89" s="82" t="n"/>
    </row>
    <row r="90" ht="28.5" customHeight="1" s="119">
      <c r="B90" s="62" t="inlineStr">
        <is>
          <t>22038</t>
        </is>
      </c>
      <c r="C90" s="77" t="inlineStr">
        <is>
          <t>洪荒铠</t>
        </is>
      </c>
      <c r="D90" s="77" t="inlineStr">
        <is>
          <t>2</t>
        </is>
      </c>
      <c r="E90" s="74" t="inlineStr">
        <is>
          <t>1</t>
        </is>
      </c>
      <c r="F90" s="74" t="inlineStr">
        <is>
          <t>10004|387</t>
        </is>
      </c>
      <c r="G90" s="74" t="inlineStr">
        <is>
          <t>img_duoxianjian</t>
        </is>
      </c>
      <c r="H90" s="74" t="inlineStr">
        <is>
          <t>10</t>
        </is>
      </c>
      <c r="I90" s="74" t="n"/>
      <c r="J90" s="74" t="n"/>
      <c r="K90" s="79" t="n"/>
      <c r="L90" s="62" t="inlineStr">
        <is>
          <t>22038</t>
        </is>
      </c>
      <c r="M90" s="74" t="inlineStr">
        <is>
          <t>112001|430$10001|1500$342039|1</t>
        </is>
      </c>
      <c r="N90" s="74" t="inlineStr">
        <is>
          <t>342039</t>
        </is>
      </c>
      <c r="O90" s="90" t="inlineStr">
        <is>
          <t>412010</t>
        </is>
      </c>
      <c r="P90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90" s="74" t="inlineStr">
        <is>
          <t>58</t>
        </is>
      </c>
      <c r="R90" s="74" t="n"/>
      <c r="S90" s="82" t="n"/>
    </row>
    <row r="91" ht="28.5" customHeight="1" s="119">
      <c r="B91" s="62" t="inlineStr">
        <is>
          <t>22039</t>
        </is>
      </c>
      <c r="C91" s="77" t="inlineStr">
        <is>
          <t>洪荒靴</t>
        </is>
      </c>
      <c r="D91" s="77" t="inlineStr">
        <is>
          <t>2</t>
        </is>
      </c>
      <c r="E91" s="74" t="inlineStr">
        <is>
          <t>2</t>
        </is>
      </c>
      <c r="F91" s="79" t="inlineStr">
        <is>
          <t>10001|1956</t>
        </is>
      </c>
      <c r="G91" s="74" t="inlineStr">
        <is>
          <t>img_duoxianjian</t>
        </is>
      </c>
      <c r="H91" s="74" t="inlineStr">
        <is>
          <t>10</t>
        </is>
      </c>
      <c r="I91" s="74" t="n"/>
      <c r="J91" s="74" t="n"/>
      <c r="K91" s="79" t="n"/>
      <c r="L91" s="62" t="inlineStr">
        <is>
          <t>22039</t>
        </is>
      </c>
      <c r="M91" s="74" t="inlineStr">
        <is>
          <t>112001|430$10001|1500$342040|1</t>
        </is>
      </c>
      <c r="N91" s="74" t="inlineStr">
        <is>
          <t>342040</t>
        </is>
      </c>
      <c r="O91" s="90" t="inlineStr">
        <is>
          <t>412010</t>
        </is>
      </c>
      <c r="P91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91" s="74" t="inlineStr">
        <is>
          <t>293</t>
        </is>
      </c>
      <c r="R91" s="74" t="n"/>
      <c r="S91" s="82" t="n"/>
    </row>
    <row r="92" ht="35.25" customHeight="1" s="119">
      <c r="B92" s="62" t="inlineStr">
        <is>
          <t>22040</t>
        </is>
      </c>
      <c r="C92" s="77" t="inlineStr">
        <is>
          <t>洪荒珠</t>
        </is>
      </c>
      <c r="D92" s="77" t="inlineStr">
        <is>
          <t>2</t>
        </is>
      </c>
      <c r="E92" s="74" t="inlineStr">
        <is>
          <t>3</t>
        </is>
      </c>
      <c r="F92" s="79" t="inlineStr">
        <is>
          <t>10009|550</t>
        </is>
      </c>
      <c r="G92" s="74" t="inlineStr">
        <is>
          <t>img_duoxianjian</t>
        </is>
      </c>
      <c r="H92" s="74" t="inlineStr">
        <is>
          <t>10</t>
        </is>
      </c>
      <c r="I92" s="74" t="n"/>
      <c r="J92" s="74" t="n"/>
      <c r="K92" s="79" t="n"/>
      <c r="L92" s="62" t="inlineStr">
        <is>
          <t>22040</t>
        </is>
      </c>
      <c r="M92" s="74" t="inlineStr">
        <is>
          <t>112001|430$10001|1500$342041|1</t>
        </is>
      </c>
      <c r="N92" s="74" t="inlineStr">
        <is>
          <t>342041</t>
        </is>
      </c>
      <c r="O92" s="90" t="inlineStr">
        <is>
          <t>412010</t>
        </is>
      </c>
      <c r="P92" s="74" t="inlineStr">
        <is>
      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      </is>
      </c>
      <c r="Q92" s="62" t="inlineStr">
        <is>
          <t>82</t>
        </is>
      </c>
      <c r="R92" s="74" t="n"/>
      <c r="S92" s="82" t="n"/>
    </row>
    <row r="93" ht="39" customHeight="1" s="119">
      <c r="B93" s="67" t="inlineStr">
        <is>
          <t>23001</t>
        </is>
      </c>
      <c r="C93" s="84" t="inlineStr">
        <is>
          <t>血云仙刀</t>
        </is>
      </c>
      <c r="D93" s="84" t="inlineStr">
        <is>
          <t>3</t>
        </is>
      </c>
      <c r="E93" s="74" t="inlineStr">
        <is>
          <t>0</t>
        </is>
      </c>
      <c r="F93" s="74" t="inlineStr">
        <is>
          <t>10003|608</t>
        </is>
      </c>
      <c r="G93" s="74" t="inlineStr">
        <is>
          <t>img_duoxianjian</t>
        </is>
      </c>
      <c r="H93" s="74" t="inlineStr">
        <is>
          <t>1</t>
        </is>
      </c>
      <c r="I93" s="74" t="n"/>
      <c r="J93" s="74" t="n"/>
      <c r="L93" s="67" t="inlineStr">
        <is>
          <t>23001</t>
        </is>
      </c>
      <c r="M93" s="74" t="inlineStr">
        <is>
          <t>113001|550$10001|2000$343002|1</t>
        </is>
      </c>
      <c r="N93" s="74" t="inlineStr">
        <is>
          <t>343002</t>
        </is>
      </c>
      <c r="O93" s="91" t="inlineStr">
        <is>
          <t>413001</t>
        </is>
      </c>
      <c r="P93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93" s="57" t="inlineStr">
        <is>
          <t>91</t>
        </is>
      </c>
      <c r="R93" s="74" t="n"/>
      <c r="S93" s="82" t="n"/>
    </row>
    <row r="94" ht="31.5" customHeight="1" s="119">
      <c r="B94" s="67" t="inlineStr">
        <is>
          <t>23002</t>
        </is>
      </c>
      <c r="C94" s="84" t="inlineStr">
        <is>
          <t>血云仙衣</t>
        </is>
      </c>
      <c r="D94" s="84" t="inlineStr">
        <is>
          <t>3</t>
        </is>
      </c>
      <c r="E94" s="74" t="inlineStr">
        <is>
          <t>1</t>
        </is>
      </c>
      <c r="F94" s="74" t="inlineStr">
        <is>
          <t>10004|424</t>
        </is>
      </c>
      <c r="G94" s="74" t="inlineStr">
        <is>
          <t>img_duoxianjian</t>
        </is>
      </c>
      <c r="H94" s="74" t="inlineStr">
        <is>
          <t>1</t>
        </is>
      </c>
      <c r="I94" s="74" t="n"/>
      <c r="J94" s="74" t="n"/>
      <c r="L94" s="67" t="inlineStr">
        <is>
          <t>23002</t>
        </is>
      </c>
      <c r="M94" s="74" t="inlineStr">
        <is>
          <t>113001|550$10001|2000$343003|1</t>
        </is>
      </c>
      <c r="N94" s="74" t="inlineStr">
        <is>
          <t>343003</t>
        </is>
      </c>
      <c r="O94" s="91" t="inlineStr">
        <is>
          <t>413001</t>
        </is>
      </c>
      <c r="P94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94" s="74" t="inlineStr">
        <is>
          <t>64</t>
        </is>
      </c>
      <c r="R94" s="74" t="n"/>
      <c r="S94" s="82" t="n"/>
    </row>
    <row r="95" ht="31.5" customHeight="1" s="119">
      <c r="B95" s="67" t="inlineStr">
        <is>
          <t>23003</t>
        </is>
      </c>
      <c r="C95" s="84" t="inlineStr">
        <is>
          <t>血云仙靴</t>
        </is>
      </c>
      <c r="D95" s="84" t="inlineStr">
        <is>
          <t>3</t>
        </is>
      </c>
      <c r="E95" s="74" t="inlineStr">
        <is>
          <t>2</t>
        </is>
      </c>
      <c r="F95" s="79" t="inlineStr">
        <is>
          <t>10001|2254</t>
        </is>
      </c>
      <c r="G95" s="74" t="inlineStr">
        <is>
          <t>img_duoxianjian</t>
        </is>
      </c>
      <c r="H95" s="74" t="inlineStr">
        <is>
          <t>1</t>
        </is>
      </c>
      <c r="I95" s="74" t="n"/>
      <c r="J95" s="74" t="n"/>
      <c r="L95" s="67" t="inlineStr">
        <is>
          <t>23003</t>
        </is>
      </c>
      <c r="M95" s="74" t="inlineStr">
        <is>
          <t>113001|550$10001|2000$343004|1</t>
        </is>
      </c>
      <c r="N95" s="74" t="inlineStr">
        <is>
          <t>343004</t>
        </is>
      </c>
      <c r="O95" s="91" t="inlineStr">
        <is>
          <t>413001</t>
        </is>
      </c>
      <c r="P95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95" s="74" t="inlineStr">
        <is>
          <t>338</t>
        </is>
      </c>
      <c r="R95" s="74" t="n"/>
      <c r="S95" s="82" t="n"/>
    </row>
    <row r="96" ht="31.5" customHeight="1" s="119">
      <c r="B96" s="67" t="inlineStr">
        <is>
          <t>23004</t>
        </is>
      </c>
      <c r="C96" s="84" t="inlineStr">
        <is>
          <t>血云仙珠</t>
        </is>
      </c>
      <c r="D96" s="84" t="inlineStr">
        <is>
          <t>3</t>
        </is>
      </c>
      <c r="E96" s="74" t="inlineStr">
        <is>
          <t>3</t>
        </is>
      </c>
      <c r="F96" s="79" t="inlineStr">
        <is>
          <t>10009|641</t>
        </is>
      </c>
      <c r="G96" s="74" t="inlineStr">
        <is>
          <t>img_duoxianjian</t>
        </is>
      </c>
      <c r="H96" s="74" t="inlineStr">
        <is>
          <t>1</t>
        </is>
      </c>
      <c r="I96" s="74" t="n"/>
      <c r="J96" s="74" t="n"/>
      <c r="L96" s="67" t="inlineStr">
        <is>
          <t>23004</t>
        </is>
      </c>
      <c r="M96" s="74" t="inlineStr">
        <is>
          <t>113001|550$10001|2000$343005|1</t>
        </is>
      </c>
      <c r="N96" s="74" t="inlineStr">
        <is>
          <t>343005</t>
        </is>
      </c>
      <c r="O96" s="91" t="inlineStr">
        <is>
          <t>413001</t>
        </is>
      </c>
      <c r="P96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96" s="74" t="inlineStr">
        <is>
          <t>96</t>
        </is>
      </c>
      <c r="R96" s="74" t="n"/>
      <c r="S96" s="82" t="n"/>
    </row>
    <row r="97" ht="31.5" customHeight="1" s="119">
      <c r="B97" s="67" t="inlineStr">
        <is>
          <t>23005</t>
        </is>
      </c>
      <c r="C97" s="84" t="inlineStr">
        <is>
          <t>七转龙枪</t>
        </is>
      </c>
      <c r="D97" s="84" t="inlineStr">
        <is>
          <t>3</t>
        </is>
      </c>
      <c r="E97" s="74" t="inlineStr">
        <is>
          <t>0</t>
        </is>
      </c>
      <c r="F97" s="74" t="inlineStr">
        <is>
          <t>10003|788</t>
        </is>
      </c>
      <c r="G97" s="74" t="inlineStr">
        <is>
          <t>img_duoxianjian</t>
        </is>
      </c>
      <c r="H97" s="74" t="inlineStr">
        <is>
          <t>2</t>
        </is>
      </c>
      <c r="I97" s="74" t="n"/>
      <c r="J97" s="74" t="n"/>
      <c r="L97" s="67" t="inlineStr">
        <is>
          <t>23005</t>
        </is>
      </c>
      <c r="M97" s="74" t="inlineStr">
        <is>
          <t>113001|550$10001|2000$343006|1</t>
        </is>
      </c>
      <c r="N97" s="74" t="inlineStr">
        <is>
          <t>343006</t>
        </is>
      </c>
      <c r="O97" s="91" t="inlineStr">
        <is>
          <t>413002</t>
        </is>
      </c>
      <c r="P97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97" s="74" t="inlineStr">
        <is>
          <t>118</t>
        </is>
      </c>
      <c r="R97" s="74" t="n"/>
      <c r="S97" s="82" t="n"/>
    </row>
    <row r="98" ht="31.5" customHeight="1" s="119">
      <c r="B98" s="67" t="inlineStr">
        <is>
          <t>23006</t>
        </is>
      </c>
      <c r="C98" s="84" t="inlineStr">
        <is>
          <t>云龙银甲</t>
        </is>
      </c>
      <c r="D98" s="84" t="inlineStr">
        <is>
          <t>3</t>
        </is>
      </c>
      <c r="E98" s="74" t="inlineStr">
        <is>
          <t>1</t>
        </is>
      </c>
      <c r="F98" s="74" t="inlineStr">
        <is>
          <t>10004|398</t>
        </is>
      </c>
      <c r="G98" s="74" t="inlineStr">
        <is>
          <t>img_duoxianjian</t>
        </is>
      </c>
      <c r="H98" s="74" t="inlineStr">
        <is>
          <t>2</t>
        </is>
      </c>
      <c r="I98" s="74" t="n"/>
      <c r="J98" s="74" t="n"/>
      <c r="L98" s="67" t="inlineStr">
        <is>
          <t>23006</t>
        </is>
      </c>
      <c r="M98" s="74" t="inlineStr">
        <is>
          <t>113001|550$10001|2000$343007|1</t>
        </is>
      </c>
      <c r="N98" s="74" t="inlineStr">
        <is>
          <t>343007</t>
        </is>
      </c>
      <c r="O98" s="91" t="inlineStr">
        <is>
          <t>413002</t>
        </is>
      </c>
      <c r="P98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98" s="74" t="inlineStr">
        <is>
          <t>60</t>
        </is>
      </c>
      <c r="R98" s="74" t="n"/>
      <c r="S98" s="82" t="n"/>
    </row>
    <row r="99" ht="31.5" customHeight="1" s="119">
      <c r="B99" s="67" t="inlineStr">
        <is>
          <t>23007</t>
        </is>
      </c>
      <c r="C99" s="84" t="inlineStr">
        <is>
          <t>四海龙靴</t>
        </is>
      </c>
      <c r="D99" s="84" t="inlineStr">
        <is>
          <t>3</t>
        </is>
      </c>
      <c r="E99" s="74" t="inlineStr">
        <is>
          <t>2</t>
        </is>
      </c>
      <c r="F99" s="79" t="inlineStr">
        <is>
          <t>10001|2103</t>
        </is>
      </c>
      <c r="G99" s="74" t="inlineStr">
        <is>
          <t>img_duoxianjian</t>
        </is>
      </c>
      <c r="H99" s="74" t="inlineStr">
        <is>
          <t>2</t>
        </is>
      </c>
      <c r="I99" s="74" t="n"/>
      <c r="J99" s="74" t="n"/>
      <c r="L99" s="67" t="inlineStr">
        <is>
          <t>23007</t>
        </is>
      </c>
      <c r="M99" s="74" t="inlineStr">
        <is>
          <t>113001|550$10001|2000$343008|1</t>
        </is>
      </c>
      <c r="N99" s="74" t="inlineStr">
        <is>
          <t>343008</t>
        </is>
      </c>
      <c r="O99" s="91" t="inlineStr">
        <is>
          <t>413002</t>
        </is>
      </c>
      <c r="P99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99" s="74" t="inlineStr">
        <is>
          <t>316</t>
        </is>
      </c>
      <c r="R99" s="74" t="n"/>
      <c r="S99" s="82" t="n"/>
    </row>
    <row r="100" ht="31.5" customHeight="1" s="119">
      <c r="B100" s="67" t="inlineStr">
        <is>
          <t>23008</t>
        </is>
      </c>
      <c r="C100" s="84" t="inlineStr">
        <is>
          <t>黑龙玄珠</t>
        </is>
      </c>
      <c r="D100" s="84" t="inlineStr">
        <is>
          <t>3</t>
        </is>
      </c>
      <c r="E100" s="74" t="inlineStr">
        <is>
          <t>3</t>
        </is>
      </c>
      <c r="F100" s="79" t="inlineStr">
        <is>
          <t>10009|641</t>
        </is>
      </c>
      <c r="G100" s="74" t="inlineStr">
        <is>
          <t>img_duoxianjian</t>
        </is>
      </c>
      <c r="H100" s="74" t="inlineStr">
        <is>
          <t>2</t>
        </is>
      </c>
      <c r="I100" s="74" t="n"/>
      <c r="J100" s="74" t="n"/>
      <c r="L100" s="67" t="inlineStr">
        <is>
          <t>23008</t>
        </is>
      </c>
      <c r="M100" s="74" t="inlineStr">
        <is>
          <t>113001|550$10001|2000$343009|1</t>
        </is>
      </c>
      <c r="N100" s="74" t="inlineStr">
        <is>
          <t>343009</t>
        </is>
      </c>
      <c r="O100" s="91" t="inlineStr">
        <is>
          <t>413002</t>
        </is>
      </c>
      <c r="P100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00" s="74" t="inlineStr">
        <is>
          <t>96</t>
        </is>
      </c>
      <c r="R100" s="74" t="n"/>
      <c r="S100" s="82" t="n"/>
    </row>
    <row r="101" ht="31.5" customHeight="1" s="119">
      <c r="B101" s="67" t="inlineStr">
        <is>
          <t>23009</t>
        </is>
      </c>
      <c r="C101" s="84" t="inlineStr">
        <is>
          <t>神风飞剑</t>
        </is>
      </c>
      <c r="D101" s="84" t="inlineStr">
        <is>
          <t>3</t>
        </is>
      </c>
      <c r="E101" s="74" t="inlineStr">
        <is>
          <t>0</t>
        </is>
      </c>
      <c r="F101" s="74" t="inlineStr">
        <is>
          <t>10003|706</t>
        </is>
      </c>
      <c r="G101" s="74" t="inlineStr">
        <is>
          <t>img_duoxianjian</t>
        </is>
      </c>
      <c r="H101" s="74" t="inlineStr">
        <is>
          <t>3</t>
        </is>
      </c>
      <c r="I101" s="74" t="n"/>
      <c r="J101" s="74" t="n"/>
      <c r="L101" s="67" t="inlineStr">
        <is>
          <t>23009</t>
        </is>
      </c>
      <c r="M101" s="74" t="inlineStr">
        <is>
          <t>113001|550$10001|2000$343010|1</t>
        </is>
      </c>
      <c r="N101" s="74" t="inlineStr">
        <is>
          <t>343010</t>
        </is>
      </c>
      <c r="O101" s="91" t="inlineStr">
        <is>
          <t>413003</t>
        </is>
      </c>
      <c r="P101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01" s="74" t="inlineStr">
        <is>
          <t>106</t>
        </is>
      </c>
      <c r="R101" s="74" t="n"/>
      <c r="S101" s="82" t="n"/>
    </row>
    <row r="102" ht="31.5" customHeight="1" s="119">
      <c r="B102" s="67" t="inlineStr">
        <is>
          <t>23010</t>
        </is>
      </c>
      <c r="C102" s="84" t="inlineStr">
        <is>
          <t>须弥战甲</t>
        </is>
      </c>
      <c r="D102" s="84" t="inlineStr">
        <is>
          <t>3</t>
        </is>
      </c>
      <c r="E102" s="74" t="inlineStr">
        <is>
          <t>1</t>
        </is>
      </c>
      <c r="F102" s="74" t="inlineStr">
        <is>
          <t>10004|398</t>
        </is>
      </c>
      <c r="G102" s="74" t="inlineStr">
        <is>
          <t>img_duoxianjian</t>
        </is>
      </c>
      <c r="H102" s="74" t="inlineStr">
        <is>
          <t>3</t>
        </is>
      </c>
      <c r="I102" s="74" t="n"/>
      <c r="J102" s="74" t="n"/>
      <c r="L102" s="67" t="inlineStr">
        <is>
          <t>23010</t>
        </is>
      </c>
      <c r="M102" s="74" t="inlineStr">
        <is>
          <t>113001|550$10001|2000$343011|1</t>
        </is>
      </c>
      <c r="N102" s="74" t="inlineStr">
        <is>
          <t>343011</t>
        </is>
      </c>
      <c r="O102" s="91" t="inlineStr">
        <is>
          <t>413003</t>
        </is>
      </c>
      <c r="P102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02" s="74" t="inlineStr">
        <is>
          <t>60</t>
        </is>
      </c>
      <c r="R102" s="74" t="n"/>
      <c r="S102" s="82" t="n"/>
    </row>
    <row r="103" ht="31.5" customHeight="1" s="119">
      <c r="B103" s="67" t="inlineStr">
        <is>
          <t>23011</t>
        </is>
      </c>
      <c r="C103" s="84" t="inlineStr">
        <is>
          <t>清风轻靴</t>
        </is>
      </c>
      <c r="D103" s="84" t="inlineStr">
        <is>
          <t>3</t>
        </is>
      </c>
      <c r="E103" s="74" t="inlineStr">
        <is>
          <t>2</t>
        </is>
      </c>
      <c r="F103" s="79" t="inlineStr">
        <is>
          <t>10001|1985</t>
        </is>
      </c>
      <c r="G103" s="74" t="inlineStr">
        <is>
          <t>img_duoxianjian</t>
        </is>
      </c>
      <c r="H103" s="74" t="inlineStr">
        <is>
          <t>3</t>
        </is>
      </c>
      <c r="I103" s="74" t="n"/>
      <c r="J103" s="74" t="n"/>
      <c r="L103" s="67" t="inlineStr">
        <is>
          <t>23011</t>
        </is>
      </c>
      <c r="M103" s="74" t="inlineStr">
        <is>
          <t>113001|550$10001|2000$343012|1</t>
        </is>
      </c>
      <c r="N103" s="74" t="inlineStr">
        <is>
          <t>343012</t>
        </is>
      </c>
      <c r="O103" s="91" t="inlineStr">
        <is>
          <t>413003</t>
        </is>
      </c>
      <c r="P103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03" s="74" t="inlineStr">
        <is>
          <t>298</t>
        </is>
      </c>
      <c r="R103" s="74" t="n"/>
      <c r="S103" s="82" t="n"/>
    </row>
    <row r="104" ht="31.5" customHeight="1" s="119">
      <c r="B104" s="67" t="inlineStr">
        <is>
          <t>23012</t>
        </is>
      </c>
      <c r="C104" s="84" t="inlineStr">
        <is>
          <t>千仙宝玉</t>
        </is>
      </c>
      <c r="D104" s="84" t="inlineStr">
        <is>
          <t>3</t>
        </is>
      </c>
      <c r="E104" s="74" t="inlineStr">
        <is>
          <t>3</t>
        </is>
      </c>
      <c r="F104" s="79" t="inlineStr">
        <is>
          <t>10009|641</t>
        </is>
      </c>
      <c r="G104" s="74" t="inlineStr">
        <is>
          <t>img_duoxianjian</t>
        </is>
      </c>
      <c r="H104" s="74" t="inlineStr">
        <is>
          <t>3</t>
        </is>
      </c>
      <c r="I104" s="74" t="n"/>
      <c r="J104" s="74" t="n"/>
      <c r="L104" s="67" t="inlineStr">
        <is>
          <t>23012</t>
        </is>
      </c>
      <c r="M104" s="74" t="inlineStr">
        <is>
          <t>113001|550$10001|2000$343013|1</t>
        </is>
      </c>
      <c r="N104" s="74" t="inlineStr">
        <is>
          <t>343013</t>
        </is>
      </c>
      <c r="O104" s="91" t="inlineStr">
        <is>
          <t>413003</t>
        </is>
      </c>
      <c r="P104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04" s="74" t="inlineStr">
        <is>
          <t>96</t>
        </is>
      </c>
      <c r="R104" s="74" t="n"/>
      <c r="S104" s="82" t="n"/>
    </row>
    <row r="105" ht="31.5" customHeight="1" s="119">
      <c r="B105" s="67" t="inlineStr">
        <is>
          <t>23013</t>
        </is>
      </c>
      <c r="C105" s="84" t="inlineStr">
        <is>
          <t>天尊宝剑</t>
        </is>
      </c>
      <c r="D105" s="84" t="inlineStr">
        <is>
          <t>3</t>
        </is>
      </c>
      <c r="E105" s="74" t="inlineStr">
        <is>
          <t>0</t>
        </is>
      </c>
      <c r="F105" s="74" t="inlineStr">
        <is>
          <t>10003|609</t>
        </is>
      </c>
      <c r="G105" s="74" t="inlineStr">
        <is>
          <t>img_duoxianjian</t>
        </is>
      </c>
      <c r="H105" s="74" t="inlineStr">
        <is>
          <t>4</t>
        </is>
      </c>
      <c r="I105" s="74" t="n"/>
      <c r="J105" s="74" t="n"/>
      <c r="L105" s="67" t="inlineStr">
        <is>
          <t>23013</t>
        </is>
      </c>
      <c r="M105" s="74" t="inlineStr">
        <is>
          <t>113001|550$10001|2000$343014|1</t>
        </is>
      </c>
      <c r="N105" s="74" t="inlineStr">
        <is>
          <t>343014</t>
        </is>
      </c>
      <c r="O105" s="91" t="inlineStr">
        <is>
          <t>413004</t>
        </is>
      </c>
      <c r="P105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05" s="74" t="inlineStr">
        <is>
          <t>92</t>
        </is>
      </c>
      <c r="R105" s="74" t="n"/>
      <c r="S105" s="82" t="n"/>
    </row>
    <row r="106" ht="31.5" customHeight="1" s="119">
      <c r="B106" s="67" t="inlineStr">
        <is>
          <t>23014</t>
        </is>
      </c>
      <c r="C106" s="84" t="inlineStr">
        <is>
          <t>涅槃战甲</t>
        </is>
      </c>
      <c r="D106" s="84" t="inlineStr">
        <is>
          <t>3</t>
        </is>
      </c>
      <c r="E106" s="74" t="inlineStr">
        <is>
          <t>1</t>
        </is>
      </c>
      <c r="F106" s="74" t="inlineStr">
        <is>
          <t>10004|454</t>
        </is>
      </c>
      <c r="G106" s="74" t="inlineStr">
        <is>
          <t>img_duoxianjian</t>
        </is>
      </c>
      <c r="H106" s="74" t="inlineStr">
        <is>
          <t>4</t>
        </is>
      </c>
      <c r="I106" s="74" t="n"/>
      <c r="J106" s="74" t="n"/>
      <c r="L106" s="67" t="inlineStr">
        <is>
          <t>23014</t>
        </is>
      </c>
      <c r="M106" s="74" t="inlineStr">
        <is>
          <t>113001|550$10001|2000$343015|1</t>
        </is>
      </c>
      <c r="N106" s="74" t="inlineStr">
        <is>
          <t>343015</t>
        </is>
      </c>
      <c r="O106" s="91" t="inlineStr">
        <is>
          <t>413004</t>
        </is>
      </c>
      <c r="P106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06" s="74" t="inlineStr">
        <is>
          <t>68</t>
        </is>
      </c>
      <c r="R106" s="74" t="n"/>
      <c r="S106" s="82" t="n"/>
    </row>
    <row r="107" ht="31.5" customHeight="1" s="119">
      <c r="B107" s="67" t="inlineStr">
        <is>
          <t>23015</t>
        </is>
      </c>
      <c r="C107" s="84" t="inlineStr">
        <is>
          <t>瞬空法靴</t>
        </is>
      </c>
      <c r="D107" s="84" t="inlineStr">
        <is>
          <t>3</t>
        </is>
      </c>
      <c r="E107" s="74" t="inlineStr">
        <is>
          <t>2</t>
        </is>
      </c>
      <c r="F107" s="79" t="inlineStr">
        <is>
          <t>10001|2288</t>
        </is>
      </c>
      <c r="G107" s="74" t="inlineStr">
        <is>
          <t>img_duoxianjian</t>
        </is>
      </c>
      <c r="H107" s="74" t="inlineStr">
        <is>
          <t>4</t>
        </is>
      </c>
      <c r="I107" s="74" t="n"/>
      <c r="J107" s="74" t="n"/>
      <c r="L107" s="67" t="inlineStr">
        <is>
          <t>23015</t>
        </is>
      </c>
      <c r="M107" s="74" t="inlineStr">
        <is>
          <t>113001|550$10001|2000$343016|1</t>
        </is>
      </c>
      <c r="N107" s="74" t="inlineStr">
        <is>
          <t>343016</t>
        </is>
      </c>
      <c r="O107" s="91" t="inlineStr">
        <is>
          <t>413004</t>
        </is>
      </c>
      <c r="P107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07" s="74" t="inlineStr">
        <is>
          <t>343</t>
        </is>
      </c>
      <c r="R107" s="74" t="n"/>
      <c r="S107" s="82" t="n"/>
    </row>
    <row r="108" ht="31.5" customHeight="1" s="119">
      <c r="B108" s="67" t="inlineStr">
        <is>
          <t>23016</t>
        </is>
      </c>
      <c r="C108" s="84" t="inlineStr">
        <is>
          <t>浮屠宝珠</t>
        </is>
      </c>
      <c r="D108" s="84" t="inlineStr">
        <is>
          <t>3</t>
        </is>
      </c>
      <c r="E108" s="74" t="inlineStr">
        <is>
          <t>3</t>
        </is>
      </c>
      <c r="F108" s="79" t="inlineStr">
        <is>
          <t>10009|641</t>
        </is>
      </c>
      <c r="G108" s="74" t="inlineStr">
        <is>
          <t>img_duoxianjian</t>
        </is>
      </c>
      <c r="H108" s="74" t="inlineStr">
        <is>
          <t>4</t>
        </is>
      </c>
      <c r="I108" s="74" t="n"/>
      <c r="J108" s="74" t="n"/>
      <c r="L108" s="67" t="inlineStr">
        <is>
          <t>23016</t>
        </is>
      </c>
      <c r="M108" s="74" t="inlineStr">
        <is>
          <t>113001|550$10001|2000$343017|1</t>
        </is>
      </c>
      <c r="N108" s="74" t="inlineStr">
        <is>
          <t>343017</t>
        </is>
      </c>
      <c r="O108" s="91" t="inlineStr">
        <is>
          <t>413004</t>
        </is>
      </c>
      <c r="P108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08" s="74" t="inlineStr">
        <is>
          <t>96</t>
        </is>
      </c>
      <c r="R108" s="74" t="n"/>
      <c r="S108" s="82" t="n"/>
    </row>
    <row r="109" ht="31.5" customHeight="1" s="119">
      <c r="B109" s="67" t="inlineStr">
        <is>
          <t>23017</t>
        </is>
      </c>
      <c r="C109" s="84" t="inlineStr">
        <is>
          <t>千海巨鼎</t>
        </is>
      </c>
      <c r="D109" s="84" t="inlineStr">
        <is>
          <t>3</t>
        </is>
      </c>
      <c r="E109" s="74" t="inlineStr">
        <is>
          <t>0</t>
        </is>
      </c>
      <c r="F109" s="74" t="inlineStr">
        <is>
          <t>10003|448</t>
        </is>
      </c>
      <c r="G109" s="74" t="inlineStr">
        <is>
          <t>img_duoxianjian</t>
        </is>
      </c>
      <c r="H109" s="74" t="inlineStr">
        <is>
          <t>5</t>
        </is>
      </c>
      <c r="I109" s="74" t="n"/>
      <c r="J109" s="74" t="n"/>
      <c r="L109" s="67" t="inlineStr">
        <is>
          <t>23017</t>
        </is>
      </c>
      <c r="M109" s="74" t="inlineStr">
        <is>
          <t>113001|550$10001|2000$343018|1</t>
        </is>
      </c>
      <c r="N109" s="74" t="inlineStr">
        <is>
          <t>343018</t>
        </is>
      </c>
      <c r="O109" s="91" t="inlineStr">
        <is>
          <t>413005</t>
        </is>
      </c>
      <c r="P109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09" s="74" t="inlineStr">
        <is>
          <t>67</t>
        </is>
      </c>
      <c r="R109" s="74" t="n"/>
      <c r="S109" s="82" t="n"/>
    </row>
    <row r="110" ht="31.5" customHeight="1" s="119">
      <c r="B110" s="67" t="inlineStr">
        <is>
          <t>23018</t>
        </is>
      </c>
      <c r="C110" s="84" t="inlineStr">
        <is>
          <t>北冥战甲</t>
        </is>
      </c>
      <c r="D110" s="84" t="inlineStr">
        <is>
          <t>3</t>
        </is>
      </c>
      <c r="E110" s="74" t="inlineStr">
        <is>
          <t>1</t>
        </is>
      </c>
      <c r="F110" s="74" t="inlineStr">
        <is>
          <t>10004|534</t>
        </is>
      </c>
      <c r="G110" s="74" t="inlineStr">
        <is>
          <t>img_duoxianjian</t>
        </is>
      </c>
      <c r="H110" s="74" t="inlineStr">
        <is>
          <t>5</t>
        </is>
      </c>
      <c r="I110" s="74" t="n"/>
      <c r="J110" s="74" t="n"/>
      <c r="L110" s="67" t="inlineStr">
        <is>
          <t>23018</t>
        </is>
      </c>
      <c r="M110" s="74" t="inlineStr">
        <is>
          <t>113001|550$10001|2000$343019|1</t>
        </is>
      </c>
      <c r="N110" s="74" t="inlineStr">
        <is>
          <t>343019</t>
        </is>
      </c>
      <c r="O110" s="91" t="inlineStr">
        <is>
          <t>413005</t>
        </is>
      </c>
      <c r="P110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10" s="74" t="inlineStr">
        <is>
          <t>80</t>
        </is>
      </c>
      <c r="R110" s="74" t="n"/>
      <c r="S110" s="82" t="n"/>
    </row>
    <row r="111" ht="31.5" customHeight="1" s="119">
      <c r="B111" s="67" t="inlineStr">
        <is>
          <t>23019</t>
        </is>
      </c>
      <c r="C111" s="84" t="inlineStr">
        <is>
          <t>开山靴</t>
        </is>
      </c>
      <c r="D111" s="84" t="inlineStr">
        <is>
          <t>3</t>
        </is>
      </c>
      <c r="E111" s="74" t="inlineStr">
        <is>
          <t>2</t>
        </is>
      </c>
      <c r="F111" s="79" t="inlineStr">
        <is>
          <t>10001|2706</t>
        </is>
      </c>
      <c r="G111" s="74" t="inlineStr">
        <is>
          <t>img_duoxianjian</t>
        </is>
      </c>
      <c r="H111" s="74" t="inlineStr">
        <is>
          <t>5</t>
        </is>
      </c>
      <c r="I111" s="74" t="n"/>
      <c r="J111" s="74" t="n"/>
      <c r="L111" s="67" t="inlineStr">
        <is>
          <t>23019</t>
        </is>
      </c>
      <c r="M111" s="74" t="inlineStr">
        <is>
          <t>113001|550$10001|2000$343020|1</t>
        </is>
      </c>
      <c r="N111" s="74" t="inlineStr">
        <is>
          <t>343020</t>
        </is>
      </c>
      <c r="O111" s="91" t="inlineStr">
        <is>
          <t>413005</t>
        </is>
      </c>
      <c r="P111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11" s="74" t="inlineStr">
        <is>
          <t>406</t>
        </is>
      </c>
      <c r="R111" s="74" t="n"/>
      <c r="S111" s="82" t="n"/>
    </row>
    <row r="112" ht="31.5" customHeight="1" s="119">
      <c r="B112" s="67" t="inlineStr">
        <is>
          <t>23020</t>
        </is>
      </c>
      <c r="C112" s="84" t="inlineStr">
        <is>
          <t>幻海仙珠</t>
        </is>
      </c>
      <c r="D112" s="84" t="inlineStr">
        <is>
          <t>3</t>
        </is>
      </c>
      <c r="E112" s="74" t="inlineStr">
        <is>
          <t>3</t>
        </is>
      </c>
      <c r="F112" s="79" t="inlineStr">
        <is>
          <t>10009|641</t>
        </is>
      </c>
      <c r="G112" s="74" t="inlineStr">
        <is>
          <t>img_duoxianjian</t>
        </is>
      </c>
      <c r="H112" s="74" t="inlineStr">
        <is>
          <t>5</t>
        </is>
      </c>
      <c r="I112" s="74" t="n"/>
      <c r="J112" s="74" t="n"/>
      <c r="L112" s="67" t="inlineStr">
        <is>
          <t>23020</t>
        </is>
      </c>
      <c r="M112" s="74" t="inlineStr">
        <is>
          <t>113001|550$10001|2000$343021|1</t>
        </is>
      </c>
      <c r="N112" s="74" t="inlineStr">
        <is>
          <t>343021</t>
        </is>
      </c>
      <c r="O112" s="91" t="inlineStr">
        <is>
          <t>413005</t>
        </is>
      </c>
      <c r="P112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12" s="74" t="inlineStr">
        <is>
          <t>96</t>
        </is>
      </c>
      <c r="R112" s="74" t="n"/>
      <c r="S112" s="82" t="n"/>
    </row>
    <row r="113" ht="31.5" customHeight="1" s="119">
      <c r="B113" s="67" t="inlineStr">
        <is>
          <t>23021</t>
        </is>
      </c>
      <c r="C113" s="84" t="inlineStr">
        <is>
          <t>天云花刀</t>
        </is>
      </c>
      <c r="D113" s="84" t="inlineStr">
        <is>
          <t>3</t>
        </is>
      </c>
      <c r="E113" s="74" t="inlineStr">
        <is>
          <t>0</t>
        </is>
      </c>
      <c r="F113" s="74" t="inlineStr">
        <is>
          <t>10003|616</t>
        </is>
      </c>
      <c r="G113" s="74" t="inlineStr">
        <is>
          <t>img_duoxianjian</t>
        </is>
      </c>
      <c r="H113" s="74" t="inlineStr">
        <is>
          <t>6</t>
        </is>
      </c>
      <c r="I113" s="74" t="n"/>
      <c r="J113" s="74" t="n"/>
      <c r="L113" s="67" t="inlineStr">
        <is>
          <t>23021</t>
        </is>
      </c>
      <c r="M113" s="74" t="inlineStr">
        <is>
          <t>113001|550$10001|2000$343022|1</t>
        </is>
      </c>
      <c r="N113" s="74" t="inlineStr">
        <is>
          <t>343022</t>
        </is>
      </c>
      <c r="O113" s="91" t="inlineStr">
        <is>
          <t>413006</t>
        </is>
      </c>
      <c r="P113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13" s="74" t="inlineStr">
        <is>
          <t>92</t>
        </is>
      </c>
      <c r="R113" s="74" t="n"/>
      <c r="S113" s="82" t="n"/>
    </row>
    <row r="114" ht="31.5" customHeight="1" s="119">
      <c r="B114" s="67" t="inlineStr">
        <is>
          <t>23022</t>
        </is>
      </c>
      <c r="C114" s="84" t="inlineStr">
        <is>
          <t>羽化鹤衣</t>
        </is>
      </c>
      <c r="D114" s="84" t="inlineStr">
        <is>
          <t>3</t>
        </is>
      </c>
      <c r="E114" s="74" t="inlineStr">
        <is>
          <t>1</t>
        </is>
      </c>
      <c r="F114" s="74" t="inlineStr">
        <is>
          <t>10004|452</t>
        </is>
      </c>
      <c r="G114" s="74" t="inlineStr">
        <is>
          <t>img_duoxianjian</t>
        </is>
      </c>
      <c r="H114" s="74" t="inlineStr">
        <is>
          <t>6</t>
        </is>
      </c>
      <c r="I114" s="74" t="n"/>
      <c r="J114" s="74" t="n"/>
      <c r="L114" s="67" t="inlineStr">
        <is>
          <t>23022</t>
        </is>
      </c>
      <c r="M114" s="74" t="inlineStr">
        <is>
          <t>113001|550$10001|2000$343023|1</t>
        </is>
      </c>
      <c r="N114" s="74" t="inlineStr">
        <is>
          <t>343023</t>
        </is>
      </c>
      <c r="O114" s="91" t="inlineStr">
        <is>
          <t>413006</t>
        </is>
      </c>
      <c r="P114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14" s="74" t="inlineStr">
        <is>
          <t>68</t>
        </is>
      </c>
      <c r="R114" s="74" t="n"/>
      <c r="S114" s="82" t="n"/>
    </row>
    <row r="115" ht="31.5" customHeight="1" s="119">
      <c r="B115" s="67" t="inlineStr">
        <is>
          <t>23023</t>
        </is>
      </c>
      <c r="C115" s="84" t="inlineStr">
        <is>
          <t>云卷轻靴</t>
        </is>
      </c>
      <c r="D115" s="84" t="inlineStr">
        <is>
          <t>3</t>
        </is>
      </c>
      <c r="E115" s="74" t="inlineStr">
        <is>
          <t>2</t>
        </is>
      </c>
      <c r="F115" s="79" t="inlineStr">
        <is>
          <t>10001|2282</t>
        </is>
      </c>
      <c r="G115" s="74" t="inlineStr">
        <is>
          <t>img_duoxianjian</t>
        </is>
      </c>
      <c r="H115" s="74" t="inlineStr">
        <is>
          <t>6</t>
        </is>
      </c>
      <c r="I115" s="74" t="n"/>
      <c r="J115" s="74" t="n"/>
      <c r="L115" s="67" t="inlineStr">
        <is>
          <t>23023</t>
        </is>
      </c>
      <c r="M115" s="74" t="inlineStr">
        <is>
          <t>113001|550$10001|2000$343024|1</t>
        </is>
      </c>
      <c r="N115" s="74" t="inlineStr">
        <is>
          <t>343024</t>
        </is>
      </c>
      <c r="O115" s="91" t="inlineStr">
        <is>
          <t>413006</t>
        </is>
      </c>
      <c r="P115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15" s="74" t="inlineStr">
        <is>
          <t>342</t>
        </is>
      </c>
      <c r="R115" s="74" t="n"/>
      <c r="S115" s="82" t="n"/>
    </row>
    <row r="116" ht="31.5" customHeight="1" s="119">
      <c r="B116" s="67" t="inlineStr">
        <is>
          <t>23024</t>
        </is>
      </c>
      <c r="C116" s="84" t="inlineStr">
        <is>
          <t>红尘宝坠</t>
        </is>
      </c>
      <c r="D116" s="84" t="inlineStr">
        <is>
          <t>3</t>
        </is>
      </c>
      <c r="E116" s="74" t="inlineStr">
        <is>
          <t>3</t>
        </is>
      </c>
      <c r="F116" s="79" t="inlineStr">
        <is>
          <t>10009|641</t>
        </is>
      </c>
      <c r="G116" s="74" t="inlineStr">
        <is>
          <t>img_duoxianjian</t>
        </is>
      </c>
      <c r="H116" s="74" t="inlineStr">
        <is>
          <t>6</t>
        </is>
      </c>
      <c r="I116" s="74" t="n"/>
      <c r="J116" s="74" t="n"/>
      <c r="L116" s="67" t="inlineStr">
        <is>
          <t>23024</t>
        </is>
      </c>
      <c r="M116" s="74" t="inlineStr">
        <is>
          <t>113001|550$10001|2000$343025|1</t>
        </is>
      </c>
      <c r="N116" s="74" t="inlineStr">
        <is>
          <t>343025</t>
        </is>
      </c>
      <c r="O116" s="91" t="inlineStr">
        <is>
          <t>413006</t>
        </is>
      </c>
      <c r="P116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16" s="74" t="inlineStr">
        <is>
          <t>96</t>
        </is>
      </c>
      <c r="R116" s="74" t="n"/>
      <c r="S116" s="82" t="n"/>
    </row>
    <row r="117" ht="31.5" customHeight="1" s="119">
      <c r="B117" s="67" t="inlineStr">
        <is>
          <t>23025</t>
        </is>
      </c>
      <c r="C117" s="84" t="inlineStr">
        <is>
          <t>月华光镜</t>
        </is>
      </c>
      <c r="D117" s="84" t="inlineStr">
        <is>
          <t>3</t>
        </is>
      </c>
      <c r="E117" s="74" t="inlineStr">
        <is>
          <t>0</t>
        </is>
      </c>
      <c r="F117" s="74" t="inlineStr">
        <is>
          <t>10003|572</t>
        </is>
      </c>
      <c r="G117" s="74" t="inlineStr">
        <is>
          <t>img_duoxianjian</t>
        </is>
      </c>
      <c r="H117" s="74" t="inlineStr">
        <is>
          <t>7</t>
        </is>
      </c>
      <c r="I117" s="74" t="n"/>
      <c r="J117" s="74" t="n"/>
      <c r="L117" s="67" t="inlineStr">
        <is>
          <t>23025</t>
        </is>
      </c>
      <c r="M117" s="74" t="inlineStr">
        <is>
          <t>113001|550$10001|2000$343026|1</t>
        </is>
      </c>
      <c r="N117" s="74" t="inlineStr">
        <is>
          <t>343026</t>
        </is>
      </c>
      <c r="O117" s="91" t="inlineStr">
        <is>
          <t>413007</t>
        </is>
      </c>
      <c r="P117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17" s="74" t="inlineStr">
        <is>
          <t>86</t>
        </is>
      </c>
      <c r="R117" s="74" t="n"/>
      <c r="S117" s="82" t="n"/>
    </row>
    <row r="118" ht="31.5" customHeight="1" s="119">
      <c r="B118" s="67" t="inlineStr">
        <is>
          <t>23026</t>
        </is>
      </c>
      <c r="C118" s="84" t="inlineStr">
        <is>
          <t>月莹仙衣</t>
        </is>
      </c>
      <c r="D118" s="84" t="inlineStr">
        <is>
          <t>3</t>
        </is>
      </c>
      <c r="E118" s="74" t="inlineStr">
        <is>
          <t>1</t>
        </is>
      </c>
      <c r="F118" s="74" t="inlineStr">
        <is>
          <t>10004|452</t>
        </is>
      </c>
      <c r="G118" s="74" t="inlineStr">
        <is>
          <t>img_duoxianjian</t>
        </is>
      </c>
      <c r="H118" s="74" t="inlineStr">
        <is>
          <t>7</t>
        </is>
      </c>
      <c r="I118" s="74" t="n"/>
      <c r="J118" s="74" t="n"/>
      <c r="L118" s="67" t="inlineStr">
        <is>
          <t>23026</t>
        </is>
      </c>
      <c r="M118" s="74" t="inlineStr">
        <is>
          <t>113001|550$10001|2000$343027|1</t>
        </is>
      </c>
      <c r="N118" s="74" t="inlineStr">
        <is>
          <t>343027</t>
        </is>
      </c>
      <c r="O118" s="91" t="inlineStr">
        <is>
          <t>413007</t>
        </is>
      </c>
      <c r="P118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18" s="74" t="inlineStr">
        <is>
          <t>68</t>
        </is>
      </c>
      <c r="R118" s="74" t="n"/>
      <c r="S118" s="82" t="n"/>
    </row>
    <row r="119" ht="31.5" customHeight="1" s="119">
      <c r="B119" s="67" t="inlineStr">
        <is>
          <t>23027</t>
        </is>
      </c>
      <c r="C119" s="84" t="inlineStr">
        <is>
          <t>皓月轻靴</t>
        </is>
      </c>
      <c r="D119" s="84" t="inlineStr">
        <is>
          <t>3</t>
        </is>
      </c>
      <c r="E119" s="74" t="inlineStr">
        <is>
          <t>2</t>
        </is>
      </c>
      <c r="F119" s="79" t="inlineStr">
        <is>
          <t>10001|2184</t>
        </is>
      </c>
      <c r="G119" s="74" t="inlineStr">
        <is>
          <t>img_duoxianjian</t>
        </is>
      </c>
      <c r="H119" s="74" t="inlineStr">
        <is>
          <t>7</t>
        </is>
      </c>
      <c r="I119" s="74" t="n"/>
      <c r="J119" s="74" t="n"/>
      <c r="L119" s="67" t="inlineStr">
        <is>
          <t>23027</t>
        </is>
      </c>
      <c r="M119" s="74" t="inlineStr">
        <is>
          <t>113001|550$10001|2000$343028|1</t>
        </is>
      </c>
      <c r="N119" s="74" t="inlineStr">
        <is>
          <t>343028</t>
        </is>
      </c>
      <c r="O119" s="91" t="inlineStr">
        <is>
          <t>413007</t>
        </is>
      </c>
      <c r="P119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19" s="74" t="inlineStr">
        <is>
          <t>328</t>
        </is>
      </c>
      <c r="R119" s="74" t="n"/>
      <c r="S119" s="82" t="n"/>
    </row>
    <row r="120" ht="31.5" customHeight="1" s="119">
      <c r="B120" s="67" t="inlineStr">
        <is>
          <t>23028</t>
        </is>
      </c>
      <c r="C120" s="84" t="inlineStr">
        <is>
          <t>枫露玉珠</t>
        </is>
      </c>
      <c r="D120" s="84" t="inlineStr">
        <is>
          <t>3</t>
        </is>
      </c>
      <c r="E120" s="74" t="inlineStr">
        <is>
          <t>3</t>
        </is>
      </c>
      <c r="F120" s="79" t="inlineStr">
        <is>
          <t>10009|641</t>
        </is>
      </c>
      <c r="G120" s="74" t="inlineStr">
        <is>
          <t>img_duoxianjian</t>
        </is>
      </c>
      <c r="H120" s="74" t="inlineStr">
        <is>
          <t>7</t>
        </is>
      </c>
      <c r="I120" s="74" t="n"/>
      <c r="J120" s="74" t="n"/>
      <c r="L120" s="67" t="inlineStr">
        <is>
          <t>23028</t>
        </is>
      </c>
      <c r="M120" s="74" t="inlineStr">
        <is>
          <t>113001|550$10001|2000$343029|1</t>
        </is>
      </c>
      <c r="N120" s="74" t="inlineStr">
        <is>
          <t>343029</t>
        </is>
      </c>
      <c r="O120" s="91" t="inlineStr">
        <is>
          <t>413007</t>
        </is>
      </c>
      <c r="P120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20" s="74" t="inlineStr">
        <is>
          <t>96</t>
        </is>
      </c>
      <c r="R120" s="74" t="n"/>
      <c r="S120" s="82" t="n"/>
    </row>
    <row r="121" ht="31.5" customHeight="1" s="119">
      <c r="B121" s="67" t="inlineStr">
        <is>
          <t>23029</t>
        </is>
      </c>
      <c r="C121" s="84" t="inlineStr">
        <is>
          <t>乙木长生鼎</t>
        </is>
      </c>
      <c r="D121" s="84" t="inlineStr">
        <is>
          <t>3</t>
        </is>
      </c>
      <c r="E121" s="74" t="inlineStr">
        <is>
          <t>0</t>
        </is>
      </c>
      <c r="F121" s="74" t="inlineStr">
        <is>
          <t>10003|532</t>
        </is>
      </c>
      <c r="G121" s="74" t="inlineStr">
        <is>
          <t>img_duoxianjian</t>
        </is>
      </c>
      <c r="H121" s="74" t="inlineStr">
        <is>
          <t>8</t>
        </is>
      </c>
      <c r="I121" s="74" t="n"/>
      <c r="J121" s="74" t="n"/>
      <c r="L121" s="67" t="inlineStr">
        <is>
          <t>23029</t>
        </is>
      </c>
      <c r="M121" s="74" t="inlineStr">
        <is>
          <t>113001|550$10001|2000$343030|1</t>
        </is>
      </c>
      <c r="N121" s="74" t="inlineStr">
        <is>
          <t>343030</t>
        </is>
      </c>
      <c r="O121" s="91" t="inlineStr">
        <is>
          <t>413008</t>
        </is>
      </c>
      <c r="P121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21" s="74" t="inlineStr">
        <is>
          <t>80</t>
        </is>
      </c>
      <c r="R121" s="74" t="n"/>
      <c r="S121" s="82" t="n"/>
    </row>
    <row r="122" ht="31.5" customHeight="1" s="119">
      <c r="B122" s="67" t="inlineStr">
        <is>
          <t>23030</t>
        </is>
      </c>
      <c r="C122" s="84" t="inlineStr">
        <is>
          <t>千年木袍</t>
        </is>
      </c>
      <c r="D122" s="84" t="inlineStr">
        <is>
          <t>3</t>
        </is>
      </c>
      <c r="E122" s="74" t="inlineStr">
        <is>
          <t>1</t>
        </is>
      </c>
      <c r="F122" s="74" t="inlineStr">
        <is>
          <t>10004|483</t>
        </is>
      </c>
      <c r="G122" s="74" t="inlineStr">
        <is>
          <t>img_duoxianjian</t>
        </is>
      </c>
      <c r="H122" s="74" t="inlineStr">
        <is>
          <t>8</t>
        </is>
      </c>
      <c r="I122" s="74" t="n"/>
      <c r="J122" s="74" t="n"/>
      <c r="L122" s="67" t="inlineStr">
        <is>
          <t>23030</t>
        </is>
      </c>
      <c r="M122" s="74" t="inlineStr">
        <is>
          <t>113001|550$10001|2000$343031|1</t>
        </is>
      </c>
      <c r="N122" s="74" t="inlineStr">
        <is>
          <t>343031</t>
        </is>
      </c>
      <c r="O122" s="91" t="inlineStr">
        <is>
          <t>413008</t>
        </is>
      </c>
      <c r="P122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22" s="74" t="inlineStr">
        <is>
          <t>73</t>
        </is>
      </c>
      <c r="R122" s="74" t="n"/>
      <c r="S122" s="82" t="n"/>
    </row>
    <row r="123" ht="31.5" customHeight="1" s="119">
      <c r="B123" s="67" t="inlineStr">
        <is>
          <t>23031</t>
        </is>
      </c>
      <c r="C123" s="84" t="inlineStr">
        <is>
          <t>众生灵靴</t>
        </is>
      </c>
      <c r="D123" s="84" t="inlineStr">
        <is>
          <t>3</t>
        </is>
      </c>
      <c r="E123" s="74" t="inlineStr">
        <is>
          <t>2</t>
        </is>
      </c>
      <c r="F123" s="79" t="inlineStr">
        <is>
          <t>10001|2751</t>
        </is>
      </c>
      <c r="G123" s="74" t="inlineStr">
        <is>
          <t>img_duoxianjian</t>
        </is>
      </c>
      <c r="H123" s="74" t="inlineStr">
        <is>
          <t>8</t>
        </is>
      </c>
      <c r="I123" s="74" t="n"/>
      <c r="J123" s="74" t="n"/>
      <c r="L123" s="67" t="inlineStr">
        <is>
          <t>23031</t>
        </is>
      </c>
      <c r="M123" s="74" t="inlineStr">
        <is>
          <t>113001|550$10001|2000$343032|1</t>
        </is>
      </c>
      <c r="N123" s="74" t="inlineStr">
        <is>
          <t>343032</t>
        </is>
      </c>
      <c r="O123" s="91" t="inlineStr">
        <is>
          <t>413008</t>
        </is>
      </c>
      <c r="P123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23" s="74" t="inlineStr">
        <is>
          <t>413</t>
        </is>
      </c>
      <c r="R123" s="74" t="n"/>
      <c r="S123" s="82" t="n"/>
    </row>
    <row r="124" ht="31.5" customHeight="1" s="119">
      <c r="B124" s="67" t="inlineStr">
        <is>
          <t>23032</t>
        </is>
      </c>
      <c r="C124" s="84" t="inlineStr">
        <is>
          <t>木辉宝珠</t>
        </is>
      </c>
      <c r="D124" s="84" t="inlineStr">
        <is>
          <t>3</t>
        </is>
      </c>
      <c r="E124" s="74" t="inlineStr">
        <is>
          <t>3</t>
        </is>
      </c>
      <c r="F124" s="79" t="inlineStr">
        <is>
          <t>10009|641</t>
        </is>
      </c>
      <c r="G124" s="74" t="inlineStr">
        <is>
          <t>img_duoxianjian</t>
        </is>
      </c>
      <c r="H124" s="74" t="inlineStr">
        <is>
          <t>8</t>
        </is>
      </c>
      <c r="I124" s="74" t="n"/>
      <c r="J124" s="74" t="n"/>
      <c r="L124" s="67" t="inlineStr">
        <is>
          <t>23032</t>
        </is>
      </c>
      <c r="M124" s="74" t="inlineStr">
        <is>
          <t>113001|550$10001|2000$343033|1</t>
        </is>
      </c>
      <c r="N124" s="74" t="inlineStr">
        <is>
          <t>343033</t>
        </is>
      </c>
      <c r="O124" s="91" t="inlineStr">
        <is>
          <t>413008</t>
        </is>
      </c>
      <c r="P124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24" s="74" t="inlineStr">
        <is>
          <t>96</t>
        </is>
      </c>
      <c r="R124" s="74" t="n"/>
      <c r="S124" s="82" t="n"/>
    </row>
    <row r="125" ht="31.5" customHeight="1" s="119">
      <c r="B125" s="67" t="inlineStr">
        <is>
          <t>23033</t>
        </is>
      </c>
      <c r="C125" s="84" t="inlineStr">
        <is>
          <t>不灭骨镜</t>
        </is>
      </c>
      <c r="D125" s="84" t="inlineStr">
        <is>
          <t>3</t>
        </is>
      </c>
      <c r="E125" s="74" t="inlineStr">
        <is>
          <t>0</t>
        </is>
      </c>
      <c r="F125" s="74" t="inlineStr">
        <is>
          <t>10003|616</t>
        </is>
      </c>
      <c r="G125" s="74" t="inlineStr">
        <is>
          <t>img_duoxianjian</t>
        </is>
      </c>
      <c r="H125" s="74" t="inlineStr">
        <is>
          <t>9</t>
        </is>
      </c>
      <c r="I125" s="74" t="n"/>
      <c r="J125" s="74" t="n"/>
      <c r="L125" s="67" t="inlineStr">
        <is>
          <t>23033</t>
        </is>
      </c>
      <c r="M125" s="74" t="inlineStr">
        <is>
          <t>113001|550$10001|2000$343034|1</t>
        </is>
      </c>
      <c r="N125" s="74" t="inlineStr">
        <is>
          <t>343034</t>
        </is>
      </c>
      <c r="O125" s="91" t="inlineStr">
        <is>
          <t>413009</t>
        </is>
      </c>
      <c r="P125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25" s="74" t="inlineStr">
        <is>
          <t>92</t>
        </is>
      </c>
      <c r="R125" s="74" t="n"/>
      <c r="S125" s="82" t="n"/>
    </row>
    <row r="126" ht="31.5" customHeight="1" s="119">
      <c r="B126" s="67" t="inlineStr">
        <is>
          <t>23034</t>
        </is>
      </c>
      <c r="C126" s="84" t="inlineStr">
        <is>
          <t>幽冥骨铠</t>
        </is>
      </c>
      <c r="D126" s="84" t="inlineStr">
        <is>
          <t>3</t>
        </is>
      </c>
      <c r="E126" s="74" t="inlineStr">
        <is>
          <t>1</t>
        </is>
      </c>
      <c r="F126" s="74" t="inlineStr">
        <is>
          <t>10004|504</t>
        </is>
      </c>
      <c r="G126" s="74" t="inlineStr">
        <is>
          <t>img_duoxianjian</t>
        </is>
      </c>
      <c r="H126" s="74" t="inlineStr">
        <is>
          <t>9</t>
        </is>
      </c>
      <c r="I126" s="74" t="n"/>
      <c r="J126" s="74" t="n"/>
      <c r="L126" s="67" t="inlineStr">
        <is>
          <t>23034</t>
        </is>
      </c>
      <c r="M126" s="74" t="inlineStr">
        <is>
          <t>113001|550$10001|2000$343035|1</t>
        </is>
      </c>
      <c r="N126" s="74" t="inlineStr">
        <is>
          <t>343035</t>
        </is>
      </c>
      <c r="O126" s="91" t="inlineStr">
        <is>
          <t>413009</t>
        </is>
      </c>
      <c r="P126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26" s="74" t="inlineStr">
        <is>
          <t>76</t>
        </is>
      </c>
      <c r="R126" s="74" t="n"/>
      <c r="S126" s="82" t="n"/>
    </row>
    <row r="127" ht="31.5" customHeight="1" s="119">
      <c r="B127" s="67" t="inlineStr">
        <is>
          <t>23035</t>
        </is>
      </c>
      <c r="C127" s="84" t="inlineStr">
        <is>
          <t>紫骨宝靴</t>
        </is>
      </c>
      <c r="D127" s="84" t="inlineStr">
        <is>
          <t>3</t>
        </is>
      </c>
      <c r="E127" s="74" t="inlineStr">
        <is>
          <t>2</t>
        </is>
      </c>
      <c r="F127" s="79" t="inlineStr">
        <is>
          <t>10001|2496</t>
        </is>
      </c>
      <c r="G127" s="74" t="inlineStr">
        <is>
          <t>img_duoxianjian</t>
        </is>
      </c>
      <c r="H127" s="74" t="inlineStr">
        <is>
          <t>9</t>
        </is>
      </c>
      <c r="I127" s="74" t="n"/>
      <c r="J127" s="74" t="n"/>
      <c r="L127" s="67" t="inlineStr">
        <is>
          <t>23035</t>
        </is>
      </c>
      <c r="M127" s="74" t="inlineStr">
        <is>
          <t>113001|550$10001|2000$343036|1</t>
        </is>
      </c>
      <c r="N127" s="74" t="inlineStr">
        <is>
          <t>343036</t>
        </is>
      </c>
      <c r="O127" s="91" t="inlineStr">
        <is>
          <t>413009</t>
        </is>
      </c>
      <c r="P127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27" s="74" t="inlineStr">
        <is>
          <t>375</t>
        </is>
      </c>
      <c r="R127" s="74" t="n"/>
      <c r="S127" s="82" t="n"/>
    </row>
    <row r="128" ht="31.5" customHeight="1" s="119">
      <c r="B128" s="67" t="inlineStr">
        <is>
          <t>23036</t>
        </is>
      </c>
      <c r="C128" s="84" t="inlineStr">
        <is>
          <t>皇骨宝珠</t>
        </is>
      </c>
      <c r="D128" s="84" t="inlineStr">
        <is>
          <t>3</t>
        </is>
      </c>
      <c r="E128" s="74" t="inlineStr">
        <is>
          <t>3</t>
        </is>
      </c>
      <c r="F128" s="79" t="inlineStr">
        <is>
          <t>10009|641</t>
        </is>
      </c>
      <c r="G128" s="74" t="inlineStr">
        <is>
          <t>img_duoxianjian</t>
        </is>
      </c>
      <c r="H128" s="74" t="inlineStr">
        <is>
          <t>9</t>
        </is>
      </c>
      <c r="I128" s="74" t="n"/>
      <c r="J128" s="74" t="n"/>
      <c r="L128" s="67" t="inlineStr">
        <is>
          <t>23036</t>
        </is>
      </c>
      <c r="M128" s="74" t="inlineStr">
        <is>
          <t>113001|550$10001|2000$343037|1</t>
        </is>
      </c>
      <c r="N128" s="74" t="inlineStr">
        <is>
          <t>343037</t>
        </is>
      </c>
      <c r="O128" s="91" t="inlineStr">
        <is>
          <t>413009</t>
        </is>
      </c>
      <c r="P128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28" s="74" t="inlineStr">
        <is>
          <t>96</t>
        </is>
      </c>
      <c r="R128" s="74" t="n"/>
      <c r="S128" s="82" t="n"/>
    </row>
    <row r="129" ht="31.5" customHeight="1" s="119">
      <c r="B129" s="67" t="inlineStr">
        <is>
          <t>23037</t>
        </is>
      </c>
      <c r="C129" s="84" t="inlineStr">
        <is>
          <t>洪荒圣枪</t>
        </is>
      </c>
      <c r="D129" s="84" t="inlineStr">
        <is>
          <t>3</t>
        </is>
      </c>
      <c r="E129" s="74" t="inlineStr">
        <is>
          <t>0</t>
        </is>
      </c>
      <c r="F129" s="74" t="inlineStr">
        <is>
          <t>10003|707</t>
        </is>
      </c>
      <c r="G129" s="74" t="inlineStr">
        <is>
          <t>img_duoxianjian</t>
        </is>
      </c>
      <c r="H129" s="74" t="inlineStr">
        <is>
          <t>10</t>
        </is>
      </c>
      <c r="I129" s="74" t="n"/>
      <c r="J129" s="74" t="n"/>
      <c r="L129" s="67" t="inlineStr">
        <is>
          <t>23037</t>
        </is>
      </c>
      <c r="M129" s="74" t="inlineStr">
        <is>
          <t>113001|550$10001|2000$343038|1</t>
        </is>
      </c>
      <c r="N129" s="74" t="inlineStr">
        <is>
          <t>343038</t>
        </is>
      </c>
      <c r="O129" s="91" t="inlineStr">
        <is>
          <t>413010</t>
        </is>
      </c>
      <c r="P129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29" s="74" t="inlineStr">
        <is>
          <t>106</t>
        </is>
      </c>
      <c r="R129" s="74" t="n"/>
      <c r="S129" s="82" t="n"/>
    </row>
    <row r="130" ht="31.5" customHeight="1" s="119">
      <c r="B130" s="67" t="inlineStr">
        <is>
          <t>23038</t>
        </is>
      </c>
      <c r="C130" s="84" t="inlineStr">
        <is>
          <t>洪荒妖铠</t>
        </is>
      </c>
      <c r="D130" s="84" t="inlineStr">
        <is>
          <t>3</t>
        </is>
      </c>
      <c r="E130" s="74" t="inlineStr">
        <is>
          <t>1</t>
        </is>
      </c>
      <c r="F130" s="74" t="inlineStr">
        <is>
          <t>10004|452</t>
        </is>
      </c>
      <c r="G130" s="74" t="inlineStr">
        <is>
          <t>img_duoxianjian</t>
        </is>
      </c>
      <c r="H130" s="74" t="inlineStr">
        <is>
          <t>10</t>
        </is>
      </c>
      <c r="I130" s="74" t="n"/>
      <c r="J130" s="74" t="n"/>
      <c r="L130" s="67" t="inlineStr">
        <is>
          <t>23038</t>
        </is>
      </c>
      <c r="M130" s="74" t="inlineStr">
        <is>
          <t>113001|550$10001|2000$343039|1</t>
        </is>
      </c>
      <c r="N130" s="74" t="inlineStr">
        <is>
          <t>343039</t>
        </is>
      </c>
      <c r="O130" s="91" t="inlineStr">
        <is>
          <t>413010</t>
        </is>
      </c>
      <c r="P130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30" s="74" t="inlineStr">
        <is>
          <t>68</t>
        </is>
      </c>
      <c r="R130" s="74" t="n"/>
      <c r="S130" s="82" t="n"/>
    </row>
    <row r="131" ht="51" customHeight="1" s="119">
      <c r="B131" s="67" t="inlineStr">
        <is>
          <t>23039</t>
        </is>
      </c>
      <c r="C131" s="84" t="inlineStr">
        <is>
          <t>洪荒战靴</t>
        </is>
      </c>
      <c r="D131" s="84" t="inlineStr">
        <is>
          <t>3</t>
        </is>
      </c>
      <c r="E131" s="74" t="inlineStr">
        <is>
          <t>2</t>
        </is>
      </c>
      <c r="F131" s="79" t="inlineStr">
        <is>
          <t>10001|2282</t>
        </is>
      </c>
      <c r="G131" s="74" t="inlineStr">
        <is>
          <t>img_duoxianjian</t>
        </is>
      </c>
      <c r="H131" s="74" t="inlineStr">
        <is>
          <t>10</t>
        </is>
      </c>
      <c r="I131" s="74" t="n"/>
      <c r="J131" s="74" t="n"/>
      <c r="L131" s="67" t="inlineStr">
        <is>
          <t>23039</t>
        </is>
      </c>
      <c r="M131" s="74" t="inlineStr">
        <is>
          <t>113001|550$10001|2000$343040|1</t>
        </is>
      </c>
      <c r="N131" s="74" t="inlineStr">
        <is>
          <t>343040</t>
        </is>
      </c>
      <c r="O131" s="91" t="inlineStr">
        <is>
          <t>413010</t>
        </is>
      </c>
      <c r="P131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31" s="74" t="inlineStr">
        <is>
          <t>342</t>
        </is>
      </c>
      <c r="R131" s="74" t="n"/>
      <c r="S131" s="82" t="n"/>
    </row>
    <row r="132" ht="51.75" customHeight="1" s="119">
      <c r="B132" s="67" t="inlineStr">
        <is>
          <t>23040</t>
        </is>
      </c>
      <c r="C132" s="84" t="inlineStr">
        <is>
          <t>洪荒法珠</t>
        </is>
      </c>
      <c r="D132" s="84" t="inlineStr">
        <is>
          <t>3</t>
        </is>
      </c>
      <c r="E132" s="74" t="inlineStr">
        <is>
          <t>3</t>
        </is>
      </c>
      <c r="F132" s="79" t="inlineStr">
        <is>
          <t>10009|641</t>
        </is>
      </c>
      <c r="G132" s="74" t="inlineStr">
        <is>
          <t>img_duoxianjian</t>
        </is>
      </c>
      <c r="H132" s="74" t="inlineStr">
        <is>
          <t>10</t>
        </is>
      </c>
      <c r="I132" s="74" t="n"/>
      <c r="J132" s="74" t="n"/>
      <c r="L132" s="67" t="inlineStr">
        <is>
          <t>23040</t>
        </is>
      </c>
      <c r="M132" s="74" t="inlineStr">
        <is>
          <t>113001|550$10001|2000$343041|1</t>
        </is>
      </c>
      <c r="N132" s="74" t="inlineStr">
        <is>
          <t>343041</t>
        </is>
      </c>
      <c r="O132" s="91" t="inlineStr">
        <is>
          <t>413010</t>
        </is>
      </c>
      <c r="P132" s="74" t="inlineStr">
        <is>
      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      </is>
      </c>
      <c r="Q132" s="74" t="inlineStr">
        <is>
          <t>96</t>
        </is>
      </c>
      <c r="R132" s="74" t="n"/>
      <c r="S132" s="82" t="n"/>
    </row>
    <row r="133" ht="36" customHeight="1" s="119">
      <c r="B133" s="69" t="inlineStr">
        <is>
          <t>24001</t>
        </is>
      </c>
      <c r="C133" s="85" t="inlineStr">
        <is>
          <t>血云仙刀</t>
        </is>
      </c>
      <c r="D133" s="85" t="inlineStr">
        <is>
          <t>4</t>
        </is>
      </c>
      <c r="E133" s="69" t="inlineStr">
        <is>
          <t>0</t>
        </is>
      </c>
      <c r="F133" s="74" t="inlineStr">
        <is>
          <t>10003|695</t>
        </is>
      </c>
      <c r="G133" s="74" t="inlineStr">
        <is>
          <t>img_duoxianjian</t>
        </is>
      </c>
      <c r="H133" s="74" t="inlineStr">
        <is>
          <t>1</t>
        </is>
      </c>
      <c r="I133" s="74" t="n"/>
      <c r="J133" s="74" t="n"/>
      <c r="L133" s="69" t="inlineStr">
        <is>
          <t>24001</t>
        </is>
      </c>
      <c r="M133" s="74" t="inlineStr">
        <is>
          <t>114001|1100$10001|2500$344002|1</t>
        </is>
      </c>
      <c r="N133" s="74" t="inlineStr">
        <is>
          <t>344002</t>
        </is>
      </c>
      <c r="O133" s="92" t="inlineStr">
        <is>
          <t>414001</t>
        </is>
      </c>
      <c r="P133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33" s="74" t="inlineStr">
        <is>
          <t>104</t>
        </is>
      </c>
      <c r="R133" s="74" t="n"/>
      <c r="S133" s="82" t="n"/>
    </row>
    <row r="134" ht="39.75" customHeight="1" s="119">
      <c r="B134" s="69" t="inlineStr">
        <is>
          <t>24002</t>
        </is>
      </c>
      <c r="C134" s="85" t="inlineStr">
        <is>
          <t>血云仙衣</t>
        </is>
      </c>
      <c r="D134" s="85" t="inlineStr">
        <is>
          <t>4</t>
        </is>
      </c>
      <c r="E134" s="69" t="inlineStr">
        <is>
          <t>1</t>
        </is>
      </c>
      <c r="F134" s="74" t="inlineStr">
        <is>
          <t>10004|484</t>
        </is>
      </c>
      <c r="G134" s="74" t="inlineStr">
        <is>
          <t>img_duoxianjian</t>
        </is>
      </c>
      <c r="H134" s="74" t="inlineStr">
        <is>
          <t>1</t>
        </is>
      </c>
      <c r="I134" s="74" t="n"/>
      <c r="J134" s="74" t="n"/>
      <c r="L134" s="69" t="inlineStr">
        <is>
          <t>24002</t>
        </is>
      </c>
      <c r="M134" s="74" t="inlineStr">
        <is>
          <t>114001|1100$10001|2500$344003|1</t>
        </is>
      </c>
      <c r="N134" s="74" t="inlineStr">
        <is>
          <t>344003</t>
        </is>
      </c>
      <c r="O134" s="92" t="inlineStr">
        <is>
          <t>414001</t>
        </is>
      </c>
      <c r="P134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34" s="74" t="inlineStr">
        <is>
          <t>73</t>
        </is>
      </c>
      <c r="R134" s="74" t="n"/>
      <c r="S134" s="82" t="n"/>
    </row>
    <row r="135" ht="39.75" customHeight="1" s="119">
      <c r="B135" s="69" t="inlineStr">
        <is>
          <t>24003</t>
        </is>
      </c>
      <c r="C135" s="85" t="inlineStr">
        <is>
          <t>血云仙靴</t>
        </is>
      </c>
      <c r="D135" s="85" t="inlineStr">
        <is>
          <t>4</t>
        </is>
      </c>
      <c r="E135" s="69" t="inlineStr">
        <is>
          <t>2</t>
        </is>
      </c>
      <c r="F135" s="79" t="inlineStr">
        <is>
          <t>10001|2576</t>
        </is>
      </c>
      <c r="G135" s="74" t="inlineStr">
        <is>
          <t>img_duoxianjian</t>
        </is>
      </c>
      <c r="H135" s="74" t="inlineStr">
        <is>
          <t>1</t>
        </is>
      </c>
      <c r="I135" s="74" t="n"/>
      <c r="J135" s="74" t="n"/>
      <c r="L135" s="69" t="inlineStr">
        <is>
          <t>24003</t>
        </is>
      </c>
      <c r="M135" s="74" t="inlineStr">
        <is>
          <t>114001|1100$10001|2500$344004|1</t>
        </is>
      </c>
      <c r="N135" s="74" t="inlineStr">
        <is>
          <t>344004</t>
        </is>
      </c>
      <c r="O135" s="92" t="inlineStr">
        <is>
          <t>414001</t>
        </is>
      </c>
      <c r="P135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35" s="74" t="inlineStr">
        <is>
          <t>386</t>
        </is>
      </c>
      <c r="R135" s="74" t="n"/>
      <c r="S135" s="82" t="n"/>
    </row>
    <row r="136" ht="39.75" customHeight="1" s="119">
      <c r="B136" s="69" t="inlineStr">
        <is>
          <t>24004</t>
        </is>
      </c>
      <c r="C136" s="85" t="inlineStr">
        <is>
          <t>血云仙珠</t>
        </is>
      </c>
      <c r="D136" s="85" t="inlineStr">
        <is>
          <t>4</t>
        </is>
      </c>
      <c r="E136" s="69" t="inlineStr">
        <is>
          <t>3</t>
        </is>
      </c>
      <c r="F136" s="79" t="inlineStr">
        <is>
          <t>10009|733</t>
        </is>
      </c>
      <c r="G136" s="74" t="inlineStr">
        <is>
          <t>img_duoxianjian</t>
        </is>
      </c>
      <c r="H136" s="74" t="inlineStr">
        <is>
          <t>1</t>
        </is>
      </c>
      <c r="I136" s="74" t="n"/>
      <c r="J136" s="74" t="n"/>
      <c r="L136" s="69" t="inlineStr">
        <is>
          <t>24004</t>
        </is>
      </c>
      <c r="M136" s="74" t="inlineStr">
        <is>
          <t>114001|1100$10001|2500$344005|1</t>
        </is>
      </c>
      <c r="N136" s="74" t="inlineStr">
        <is>
          <t>344005</t>
        </is>
      </c>
      <c r="O136" s="92" t="inlineStr">
        <is>
          <t>414001</t>
        </is>
      </c>
      <c r="P136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36" s="74" t="inlineStr">
        <is>
          <t>110</t>
        </is>
      </c>
      <c r="R136" s="74" t="n"/>
      <c r="S136" s="82" t="n"/>
    </row>
    <row r="137" ht="39.75" customHeight="1" s="119">
      <c r="B137" s="69" t="inlineStr">
        <is>
          <t>24005</t>
        </is>
      </c>
      <c r="C137" s="85" t="inlineStr">
        <is>
          <t>七转龙枪</t>
        </is>
      </c>
      <c r="D137" s="85" t="inlineStr">
        <is>
          <t>4</t>
        </is>
      </c>
      <c r="E137" s="69" t="inlineStr">
        <is>
          <t>0</t>
        </is>
      </c>
      <c r="F137" s="74" t="inlineStr">
        <is>
          <t>10003|900</t>
        </is>
      </c>
      <c r="G137" s="74" t="inlineStr">
        <is>
          <t>img_duoxianjian</t>
        </is>
      </c>
      <c r="H137" s="74" t="inlineStr">
        <is>
          <t>2</t>
        </is>
      </c>
      <c r="I137" s="74" t="n"/>
      <c r="J137" s="74" t="n"/>
      <c r="L137" s="69" t="inlineStr">
        <is>
          <t>24005</t>
        </is>
      </c>
      <c r="M137" s="74" t="inlineStr">
        <is>
          <t>114001|1100$10001|2500$344006|1</t>
        </is>
      </c>
      <c r="N137" s="74" t="inlineStr">
        <is>
          <t>344006</t>
        </is>
      </c>
      <c r="O137" s="92" t="inlineStr">
        <is>
          <t>414002</t>
        </is>
      </c>
      <c r="P137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37" s="74" t="inlineStr">
        <is>
          <t>135</t>
        </is>
      </c>
      <c r="R137" s="74" t="n"/>
      <c r="S137" s="82" t="n"/>
    </row>
    <row r="138" ht="39.75" customHeight="1" s="119">
      <c r="B138" s="69" t="inlineStr">
        <is>
          <t>24006</t>
        </is>
      </c>
      <c r="C138" s="85" t="inlineStr">
        <is>
          <t>云龙银甲</t>
        </is>
      </c>
      <c r="D138" s="85" t="inlineStr">
        <is>
          <t>4</t>
        </is>
      </c>
      <c r="E138" s="69" t="inlineStr">
        <is>
          <t>1</t>
        </is>
      </c>
      <c r="F138" s="74" t="inlineStr">
        <is>
          <t>10004|455</t>
        </is>
      </c>
      <c r="G138" s="74" t="inlineStr">
        <is>
          <t>img_duoxianjian</t>
        </is>
      </c>
      <c r="H138" s="74" t="inlineStr">
        <is>
          <t>2</t>
        </is>
      </c>
      <c r="I138" s="74" t="n"/>
      <c r="J138" s="74" t="n"/>
      <c r="L138" s="69" t="inlineStr">
        <is>
          <t>24006</t>
        </is>
      </c>
      <c r="M138" s="74" t="inlineStr">
        <is>
          <t>114001|1100$10001|2500$344007|1</t>
        </is>
      </c>
      <c r="N138" s="74" t="inlineStr">
        <is>
          <t>344007</t>
        </is>
      </c>
      <c r="O138" s="92" t="inlineStr">
        <is>
          <t>414002</t>
        </is>
      </c>
      <c r="P138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38" s="74" t="inlineStr">
        <is>
          <t>68</t>
        </is>
      </c>
      <c r="R138" s="74" t="n"/>
      <c r="S138" s="82" t="n"/>
    </row>
    <row r="139" ht="39.75" customHeight="1" s="119">
      <c r="B139" s="69" t="inlineStr">
        <is>
          <t>24007</t>
        </is>
      </c>
      <c r="C139" s="85" t="inlineStr">
        <is>
          <t>四海龙靴</t>
        </is>
      </c>
      <c r="D139" s="85" t="inlineStr">
        <is>
          <t>4</t>
        </is>
      </c>
      <c r="E139" s="69" t="inlineStr">
        <is>
          <t>2</t>
        </is>
      </c>
      <c r="F139" s="79" t="inlineStr">
        <is>
          <t>10001|2403</t>
        </is>
      </c>
      <c r="G139" s="74" t="inlineStr">
        <is>
          <t>img_duoxianjian</t>
        </is>
      </c>
      <c r="H139" s="74" t="inlineStr">
        <is>
          <t>2</t>
        </is>
      </c>
      <c r="I139" s="74" t="n"/>
      <c r="J139" s="74" t="n"/>
      <c r="L139" s="69" t="inlineStr">
        <is>
          <t>24007</t>
        </is>
      </c>
      <c r="M139" s="74" t="inlineStr">
        <is>
          <t>114001|1100$10001|2500$344008|1</t>
        </is>
      </c>
      <c r="N139" s="74" t="inlineStr">
        <is>
          <t>344008</t>
        </is>
      </c>
      <c r="O139" s="92" t="inlineStr">
        <is>
          <t>414002</t>
        </is>
      </c>
      <c r="P139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39" s="74" t="inlineStr">
        <is>
          <t>361</t>
        </is>
      </c>
      <c r="R139" s="74" t="n"/>
      <c r="S139" s="82" t="n"/>
    </row>
    <row r="140" ht="39.75" customHeight="1" s="119">
      <c r="B140" s="69" t="inlineStr">
        <is>
          <t>24008</t>
        </is>
      </c>
      <c r="C140" s="85" t="inlineStr">
        <is>
          <t>黑龙玄珠</t>
        </is>
      </c>
      <c r="D140" s="85" t="inlineStr">
        <is>
          <t>4</t>
        </is>
      </c>
      <c r="E140" s="69" t="inlineStr">
        <is>
          <t>3</t>
        </is>
      </c>
      <c r="F140" s="79" t="inlineStr">
        <is>
          <t>10009|733</t>
        </is>
      </c>
      <c r="G140" s="74" t="inlineStr">
        <is>
          <t>img_duoxianjian</t>
        </is>
      </c>
      <c r="H140" s="74" t="inlineStr">
        <is>
          <t>2</t>
        </is>
      </c>
      <c r="I140" s="74" t="n"/>
      <c r="J140" s="74" t="n"/>
      <c r="L140" s="69" t="inlineStr">
        <is>
          <t>24008</t>
        </is>
      </c>
      <c r="M140" s="74" t="inlineStr">
        <is>
          <t>114001|1100$10001|2500$344009|1</t>
        </is>
      </c>
      <c r="N140" s="74" t="inlineStr">
        <is>
          <t>344009</t>
        </is>
      </c>
      <c r="O140" s="92" t="inlineStr">
        <is>
          <t>414002</t>
        </is>
      </c>
      <c r="P140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40" s="74" t="inlineStr">
        <is>
          <t>110</t>
        </is>
      </c>
      <c r="R140" s="74" t="n"/>
      <c r="S140" s="82" t="n"/>
    </row>
    <row r="141" ht="39.75" customHeight="1" s="119">
      <c r="B141" s="69" t="inlineStr">
        <is>
          <t>24009</t>
        </is>
      </c>
      <c r="C141" s="85" t="inlineStr">
        <is>
          <t>神风飞剑</t>
        </is>
      </c>
      <c r="D141" s="85" t="inlineStr">
        <is>
          <t>4</t>
        </is>
      </c>
      <c r="E141" s="69" t="inlineStr">
        <is>
          <t>0</t>
        </is>
      </c>
      <c r="F141" s="74" t="inlineStr">
        <is>
          <t>10003|807</t>
        </is>
      </c>
      <c r="G141" s="74" t="inlineStr">
        <is>
          <t>img_duoxianjian</t>
        </is>
      </c>
      <c r="H141" s="74" t="inlineStr">
        <is>
          <t>3</t>
        </is>
      </c>
      <c r="I141" s="74" t="n"/>
      <c r="J141" s="74" t="n"/>
      <c r="K141" s="79" t="n"/>
      <c r="L141" s="69" t="inlineStr">
        <is>
          <t>24009</t>
        </is>
      </c>
      <c r="M141" s="74" t="inlineStr">
        <is>
          <t>114001|1100$10001|2500$344010|1</t>
        </is>
      </c>
      <c r="N141" s="74" t="inlineStr">
        <is>
          <t>344010</t>
        </is>
      </c>
      <c r="O141" s="92" t="inlineStr">
        <is>
          <t>414003</t>
        </is>
      </c>
      <c r="P141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41" s="74" t="inlineStr">
        <is>
          <t>121</t>
        </is>
      </c>
      <c r="R141" s="74" t="n"/>
      <c r="S141" s="82" t="n"/>
    </row>
    <row r="142" ht="39.75" customHeight="1" s="119">
      <c r="B142" s="69" t="inlineStr">
        <is>
          <t>24010</t>
        </is>
      </c>
      <c r="C142" s="85" t="inlineStr">
        <is>
          <t>须弥战甲</t>
        </is>
      </c>
      <c r="D142" s="85" t="inlineStr">
        <is>
          <t>4</t>
        </is>
      </c>
      <c r="E142" s="69" t="inlineStr">
        <is>
          <t>1</t>
        </is>
      </c>
      <c r="F142" s="74" t="inlineStr">
        <is>
          <t>10004|455</t>
        </is>
      </c>
      <c r="G142" s="74" t="inlineStr">
        <is>
          <t>img_duoxianjian</t>
        </is>
      </c>
      <c r="H142" s="74" t="inlineStr">
        <is>
          <t>3</t>
        </is>
      </c>
      <c r="I142" s="74" t="n"/>
      <c r="J142" s="74" t="n"/>
      <c r="K142" s="79" t="n"/>
      <c r="L142" s="69" t="inlineStr">
        <is>
          <t>24010</t>
        </is>
      </c>
      <c r="M142" s="74" t="inlineStr">
        <is>
          <t>114001|1100$10001|2500$344011|1</t>
        </is>
      </c>
      <c r="N142" s="74" t="inlineStr">
        <is>
          <t>344011</t>
        </is>
      </c>
      <c r="O142" s="92" t="inlineStr">
        <is>
          <t>414003</t>
        </is>
      </c>
      <c r="P142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42" s="74" t="inlineStr">
        <is>
          <t>68</t>
        </is>
      </c>
      <c r="R142" s="74" t="n"/>
      <c r="S142" s="82" t="n"/>
    </row>
    <row r="143" ht="39.75" customHeight="1" s="119">
      <c r="B143" s="69" t="inlineStr">
        <is>
          <t>24011</t>
        </is>
      </c>
      <c r="C143" s="85" t="inlineStr">
        <is>
          <t>清风轻靴</t>
        </is>
      </c>
      <c r="D143" s="85" t="inlineStr">
        <is>
          <t>4</t>
        </is>
      </c>
      <c r="E143" s="69" t="inlineStr">
        <is>
          <t>2</t>
        </is>
      </c>
      <c r="F143" s="79" t="inlineStr">
        <is>
          <t>10001|2269</t>
        </is>
      </c>
      <c r="G143" s="74" t="inlineStr">
        <is>
          <t>img_duoxianjian</t>
        </is>
      </c>
      <c r="H143" s="74" t="inlineStr">
        <is>
          <t>3</t>
        </is>
      </c>
      <c r="I143" s="74" t="n"/>
      <c r="J143" s="74" t="n"/>
      <c r="K143" s="79" t="n"/>
      <c r="L143" s="69" t="inlineStr">
        <is>
          <t>24011</t>
        </is>
      </c>
      <c r="M143" s="74" t="inlineStr">
        <is>
          <t>114001|1100$10001|2500$344012|1</t>
        </is>
      </c>
      <c r="N143" s="74" t="inlineStr">
        <is>
          <t>344012</t>
        </is>
      </c>
      <c r="O143" s="92" t="inlineStr">
        <is>
          <t>414003</t>
        </is>
      </c>
      <c r="P143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43" s="74" t="inlineStr">
        <is>
          <t>340</t>
        </is>
      </c>
      <c r="R143" s="74" t="n"/>
      <c r="S143" s="82" t="n"/>
    </row>
    <row r="144" ht="39.75" customHeight="1" s="119">
      <c r="B144" s="69" t="inlineStr">
        <is>
          <t>24012</t>
        </is>
      </c>
      <c r="C144" s="85" t="inlineStr">
        <is>
          <t>千仙宝玉</t>
        </is>
      </c>
      <c r="D144" s="85" t="inlineStr">
        <is>
          <t>4</t>
        </is>
      </c>
      <c r="E144" s="69" t="inlineStr">
        <is>
          <t>3</t>
        </is>
      </c>
      <c r="F144" s="79" t="inlineStr">
        <is>
          <t>10009|733</t>
        </is>
      </c>
      <c r="G144" s="74" t="inlineStr">
        <is>
          <t>img_duoxianjian</t>
        </is>
      </c>
      <c r="H144" s="74" t="inlineStr">
        <is>
          <t>3</t>
        </is>
      </c>
      <c r="I144" s="74" t="n"/>
      <c r="J144" s="74" t="n"/>
      <c r="K144" s="79" t="n"/>
      <c r="L144" s="69" t="inlineStr">
        <is>
          <t>24012</t>
        </is>
      </c>
      <c r="M144" s="74" t="inlineStr">
        <is>
          <t>114001|1100$10001|2500$344013|1</t>
        </is>
      </c>
      <c r="N144" s="74" t="inlineStr">
        <is>
          <t>344013</t>
        </is>
      </c>
      <c r="O144" s="92" t="inlineStr">
        <is>
          <t>414003</t>
        </is>
      </c>
      <c r="P144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44" s="74" t="inlineStr">
        <is>
          <t>110</t>
        </is>
      </c>
      <c r="R144" s="74" t="n"/>
      <c r="S144" s="82" t="n"/>
    </row>
    <row r="145" ht="39.75" customHeight="1" s="119">
      <c r="B145" s="69" t="inlineStr">
        <is>
          <t>24013</t>
        </is>
      </c>
      <c r="C145" s="85" t="inlineStr">
        <is>
          <t>天尊宝剑</t>
        </is>
      </c>
      <c r="D145" s="85" t="inlineStr">
        <is>
          <t>4</t>
        </is>
      </c>
      <c r="E145" s="69" t="inlineStr">
        <is>
          <t>0</t>
        </is>
      </c>
      <c r="F145" s="74" t="inlineStr">
        <is>
          <t>10003|696</t>
        </is>
      </c>
      <c r="G145" s="74" t="inlineStr">
        <is>
          <t>img_duoxianjian</t>
        </is>
      </c>
      <c r="H145" s="74" t="inlineStr">
        <is>
          <t>4</t>
        </is>
      </c>
      <c r="I145" s="74" t="n"/>
      <c r="J145" s="74" t="n"/>
      <c r="K145" s="79" t="n"/>
      <c r="L145" s="69" t="inlineStr">
        <is>
          <t>24013</t>
        </is>
      </c>
      <c r="M145" s="74" t="inlineStr">
        <is>
          <t>114001|1100$10001|2500$344014|1</t>
        </is>
      </c>
      <c r="N145" s="74" t="inlineStr">
        <is>
          <t>344014</t>
        </is>
      </c>
      <c r="O145" s="92" t="inlineStr">
        <is>
          <t>414004</t>
        </is>
      </c>
      <c r="P145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45" s="74" t="inlineStr">
        <is>
          <t>105</t>
        </is>
      </c>
      <c r="R145" s="74" t="n"/>
      <c r="S145" s="82" t="n"/>
    </row>
    <row r="146" ht="39.75" customHeight="1" s="119">
      <c r="B146" s="69" t="inlineStr">
        <is>
          <t>24014</t>
        </is>
      </c>
      <c r="C146" s="85" t="inlineStr">
        <is>
          <t>涅槃战甲</t>
        </is>
      </c>
      <c r="D146" s="85" t="inlineStr">
        <is>
          <t>4</t>
        </is>
      </c>
      <c r="E146" s="69" t="inlineStr">
        <is>
          <t>1</t>
        </is>
      </c>
      <c r="F146" s="74" t="inlineStr">
        <is>
          <t>10004|519</t>
        </is>
      </c>
      <c r="G146" s="74" t="inlineStr">
        <is>
          <t>img_duoxianjian</t>
        </is>
      </c>
      <c r="H146" s="74" t="inlineStr">
        <is>
          <t>4</t>
        </is>
      </c>
      <c r="I146" s="74" t="n"/>
      <c r="J146" s="74" t="n"/>
      <c r="K146" s="79" t="n"/>
      <c r="L146" s="69" t="inlineStr">
        <is>
          <t>24014</t>
        </is>
      </c>
      <c r="M146" s="74" t="inlineStr">
        <is>
          <t>114001|1100$10001|2500$344015|1</t>
        </is>
      </c>
      <c r="N146" s="74" t="inlineStr">
        <is>
          <t>344015</t>
        </is>
      </c>
      <c r="O146" s="92" t="inlineStr">
        <is>
          <t>414004</t>
        </is>
      </c>
      <c r="P146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46" s="74" t="inlineStr">
        <is>
          <t>78</t>
        </is>
      </c>
      <c r="R146" s="74" t="n"/>
      <c r="S146" s="82" t="n"/>
    </row>
    <row r="147" ht="39.75" customHeight="1" s="119">
      <c r="B147" s="69" t="inlineStr">
        <is>
          <t>24015</t>
        </is>
      </c>
      <c r="C147" s="85" t="inlineStr">
        <is>
          <t>瞬空法靴</t>
        </is>
      </c>
      <c r="D147" s="85" t="inlineStr">
        <is>
          <t>4</t>
        </is>
      </c>
      <c r="E147" s="69" t="inlineStr">
        <is>
          <t>2</t>
        </is>
      </c>
      <c r="F147" s="79" t="inlineStr">
        <is>
          <t>10001|2615</t>
        </is>
      </c>
      <c r="G147" s="74" t="inlineStr">
        <is>
          <t>img_duoxianjian</t>
        </is>
      </c>
      <c r="H147" s="74" t="inlineStr">
        <is>
          <t>4</t>
        </is>
      </c>
      <c r="I147" s="74" t="n"/>
      <c r="J147" s="74" t="n"/>
      <c r="K147" s="79" t="n"/>
      <c r="L147" s="69" t="inlineStr">
        <is>
          <t>24015</t>
        </is>
      </c>
      <c r="M147" s="74" t="inlineStr">
        <is>
          <t>114001|1100$10001|2500$344016|1</t>
        </is>
      </c>
      <c r="N147" s="74" t="inlineStr">
        <is>
          <t>344016</t>
        </is>
      </c>
      <c r="O147" s="92" t="inlineStr">
        <is>
          <t>414004</t>
        </is>
      </c>
      <c r="P147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47" s="74" t="inlineStr">
        <is>
          <t>392</t>
        </is>
      </c>
      <c r="R147" s="74" t="n"/>
      <c r="S147" s="82" t="n"/>
    </row>
    <row r="148" ht="39.75" customHeight="1" s="119">
      <c r="B148" s="69" t="inlineStr">
        <is>
          <t>24016</t>
        </is>
      </c>
      <c r="C148" s="85" t="inlineStr">
        <is>
          <t>浮屠宝珠</t>
        </is>
      </c>
      <c r="D148" s="85" t="inlineStr">
        <is>
          <t>4</t>
        </is>
      </c>
      <c r="E148" s="69" t="inlineStr">
        <is>
          <t>3</t>
        </is>
      </c>
      <c r="F148" s="79" t="inlineStr">
        <is>
          <t>10009|733</t>
        </is>
      </c>
      <c r="G148" s="74" t="inlineStr">
        <is>
          <t>img_duoxianjian</t>
        </is>
      </c>
      <c r="H148" s="74" t="inlineStr">
        <is>
          <t>4</t>
        </is>
      </c>
      <c r="I148" s="74" t="n"/>
      <c r="J148" s="74" t="n"/>
      <c r="K148" s="79" t="n"/>
      <c r="L148" s="69" t="inlineStr">
        <is>
          <t>24016</t>
        </is>
      </c>
      <c r="M148" s="74" t="inlineStr">
        <is>
          <t>114001|1100$10001|2500$344017|1</t>
        </is>
      </c>
      <c r="N148" s="74" t="inlineStr">
        <is>
          <t>344017</t>
        </is>
      </c>
      <c r="O148" s="92" t="inlineStr">
        <is>
          <t>414004</t>
        </is>
      </c>
      <c r="P148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48" s="74" t="inlineStr">
        <is>
          <t>110</t>
        </is>
      </c>
      <c r="R148" s="74" t="n"/>
      <c r="S148" s="82" t="n"/>
    </row>
    <row r="149" ht="39.75" customHeight="1" s="119">
      <c r="B149" s="69" t="inlineStr">
        <is>
          <t>24017</t>
        </is>
      </c>
      <c r="C149" s="85" t="inlineStr">
        <is>
          <t>千海巨鼎</t>
        </is>
      </c>
      <c r="D149" s="85" t="inlineStr">
        <is>
          <t>4</t>
        </is>
      </c>
      <c r="E149" s="69" t="inlineStr">
        <is>
          <t>0</t>
        </is>
      </c>
      <c r="F149" s="74" t="inlineStr">
        <is>
          <t>10003|512</t>
        </is>
      </c>
      <c r="G149" s="74" t="inlineStr">
        <is>
          <t>img_duoxianjian</t>
        </is>
      </c>
      <c r="H149" s="74" t="inlineStr">
        <is>
          <t>5</t>
        </is>
      </c>
      <c r="I149" s="74" t="n"/>
      <c r="J149" s="74" t="n"/>
      <c r="K149" s="79" t="n"/>
      <c r="L149" s="69" t="inlineStr">
        <is>
          <t>24017</t>
        </is>
      </c>
      <c r="M149" s="74" t="inlineStr">
        <is>
          <t>114001|1100$10001|2500$344018|1</t>
        </is>
      </c>
      <c r="N149" s="74" t="inlineStr">
        <is>
          <t>344018</t>
        </is>
      </c>
      <c r="O149" s="92" t="inlineStr">
        <is>
          <t>414005</t>
        </is>
      </c>
      <c r="P149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49" s="74" t="inlineStr">
        <is>
          <t>77</t>
        </is>
      </c>
      <c r="R149" s="74" t="n"/>
      <c r="S149" s="82" t="n"/>
    </row>
    <row r="150" ht="39.75" customHeight="1" s="119">
      <c r="B150" s="69" t="inlineStr">
        <is>
          <t>24018</t>
        </is>
      </c>
      <c r="C150" s="85" t="inlineStr">
        <is>
          <t>北冥战甲</t>
        </is>
      </c>
      <c r="D150" s="85" t="inlineStr">
        <is>
          <t>4</t>
        </is>
      </c>
      <c r="E150" s="69" t="inlineStr">
        <is>
          <t>1</t>
        </is>
      </c>
      <c r="F150" s="74" t="inlineStr">
        <is>
          <t>10004|610</t>
        </is>
      </c>
      <c r="G150" s="74" t="inlineStr">
        <is>
          <t>img_duoxianjian</t>
        </is>
      </c>
      <c r="H150" s="74" t="inlineStr">
        <is>
          <t>5</t>
        </is>
      </c>
      <c r="I150" s="74" t="n"/>
      <c r="J150" s="74" t="n"/>
      <c r="K150" s="79" t="n"/>
      <c r="L150" s="69" t="inlineStr">
        <is>
          <t>24018</t>
        </is>
      </c>
      <c r="M150" s="74" t="inlineStr">
        <is>
          <t>114001|1100$10001|2500$344019|1</t>
        </is>
      </c>
      <c r="N150" s="74" t="inlineStr">
        <is>
          <t>344019</t>
        </is>
      </c>
      <c r="O150" s="92" t="inlineStr">
        <is>
          <t>414005</t>
        </is>
      </c>
      <c r="P150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50" s="74" t="inlineStr">
        <is>
          <t>91</t>
        </is>
      </c>
      <c r="R150" s="74" t="n"/>
      <c r="S150" s="82" t="n"/>
    </row>
    <row r="151" ht="39.75" customHeight="1" s="119">
      <c r="B151" s="69" t="inlineStr">
        <is>
          <t>24019</t>
        </is>
      </c>
      <c r="C151" s="85" t="inlineStr">
        <is>
          <t>开山靴</t>
        </is>
      </c>
      <c r="D151" s="85" t="inlineStr">
        <is>
          <t>4</t>
        </is>
      </c>
      <c r="E151" s="69" t="inlineStr">
        <is>
          <t>2</t>
        </is>
      </c>
      <c r="F151" s="79" t="inlineStr">
        <is>
          <t>10001|3092</t>
        </is>
      </c>
      <c r="G151" s="74" t="inlineStr">
        <is>
          <t>img_duoxianjian</t>
        </is>
      </c>
      <c r="H151" s="74" t="inlineStr">
        <is>
          <t>5</t>
        </is>
      </c>
      <c r="I151" s="74" t="n"/>
      <c r="J151" s="74" t="n"/>
      <c r="K151" s="79" t="n"/>
      <c r="L151" s="69" t="inlineStr">
        <is>
          <t>24019</t>
        </is>
      </c>
      <c r="M151" s="74" t="inlineStr">
        <is>
          <t>114001|1100$10001|2500$344020|1</t>
        </is>
      </c>
      <c r="N151" s="74" t="inlineStr">
        <is>
          <t>344020</t>
        </is>
      </c>
      <c r="O151" s="92" t="inlineStr">
        <is>
          <t>414005</t>
        </is>
      </c>
      <c r="P151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51" s="74" t="inlineStr">
        <is>
          <t>464</t>
        </is>
      </c>
      <c r="R151" s="74" t="n"/>
      <c r="S151" s="82" t="n"/>
    </row>
    <row r="152" ht="39.75" customHeight="1" s="119">
      <c r="B152" s="69" t="inlineStr">
        <is>
          <t>24020</t>
        </is>
      </c>
      <c r="C152" s="85" t="inlineStr">
        <is>
          <t>幻海仙珠</t>
        </is>
      </c>
      <c r="D152" s="85" t="inlineStr">
        <is>
          <t>4</t>
        </is>
      </c>
      <c r="E152" s="69" t="inlineStr">
        <is>
          <t>3</t>
        </is>
      </c>
      <c r="F152" s="79" t="inlineStr">
        <is>
          <t>10009|733</t>
        </is>
      </c>
      <c r="G152" s="74" t="inlineStr">
        <is>
          <t>img_duoxianjian</t>
        </is>
      </c>
      <c r="H152" s="74" t="inlineStr">
        <is>
          <t>5</t>
        </is>
      </c>
      <c r="I152" s="74" t="n"/>
      <c r="J152" s="74" t="n"/>
      <c r="K152" s="79" t="n"/>
      <c r="L152" s="69" t="inlineStr">
        <is>
          <t>24020</t>
        </is>
      </c>
      <c r="M152" s="74" t="inlineStr">
        <is>
          <t>114001|1100$10001|2500$344021|1</t>
        </is>
      </c>
      <c r="N152" s="74" t="inlineStr">
        <is>
          <t>344021</t>
        </is>
      </c>
      <c r="O152" s="92" t="inlineStr">
        <is>
          <t>414005</t>
        </is>
      </c>
      <c r="P152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52" s="74" t="inlineStr">
        <is>
          <t>110</t>
        </is>
      </c>
      <c r="R152" s="74" t="n"/>
      <c r="S152" s="82" t="n"/>
    </row>
    <row r="153" ht="39.75" customHeight="1" s="119">
      <c r="B153" s="69" t="inlineStr">
        <is>
          <t>24021</t>
        </is>
      </c>
      <c r="C153" s="85" t="inlineStr">
        <is>
          <t>天云花刀</t>
        </is>
      </c>
      <c r="D153" s="85" t="inlineStr">
        <is>
          <t>4</t>
        </is>
      </c>
      <c r="E153" s="69" t="inlineStr">
        <is>
          <t>0</t>
        </is>
      </c>
      <c r="F153" s="74" t="inlineStr">
        <is>
          <t>10003|704</t>
        </is>
      </c>
      <c r="G153" s="74" t="inlineStr">
        <is>
          <t>img_duoxianjian</t>
        </is>
      </c>
      <c r="H153" s="74" t="inlineStr">
        <is>
          <t>6</t>
        </is>
      </c>
      <c r="I153" s="74" t="n"/>
      <c r="J153" s="74" t="n"/>
      <c r="K153" s="79" t="n"/>
      <c r="L153" s="69" t="inlineStr">
        <is>
          <t>24021</t>
        </is>
      </c>
      <c r="M153" s="74" t="inlineStr">
        <is>
          <t>114001|1100$10001|2500$344022|1</t>
        </is>
      </c>
      <c r="N153" s="74" t="inlineStr">
        <is>
          <t>344022</t>
        </is>
      </c>
      <c r="O153" s="92" t="inlineStr">
        <is>
          <t>414006</t>
        </is>
      </c>
      <c r="P153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53" s="74" t="inlineStr">
        <is>
          <t>106</t>
        </is>
      </c>
      <c r="R153" s="74" t="n"/>
      <c r="S153" s="82" t="n"/>
    </row>
    <row r="154" ht="39.75" customHeight="1" s="119">
      <c r="B154" s="69" t="inlineStr">
        <is>
          <t>24022</t>
        </is>
      </c>
      <c r="C154" s="85" t="inlineStr">
        <is>
          <t>羽化鹤衣</t>
        </is>
      </c>
      <c r="D154" s="85" t="inlineStr">
        <is>
          <t>4</t>
        </is>
      </c>
      <c r="E154" s="69" t="inlineStr">
        <is>
          <t>1</t>
        </is>
      </c>
      <c r="F154" s="74" t="inlineStr">
        <is>
          <t>10004|516</t>
        </is>
      </c>
      <c r="G154" s="74" t="inlineStr">
        <is>
          <t>img_duoxianjian</t>
        </is>
      </c>
      <c r="H154" s="74" t="inlineStr">
        <is>
          <t>6</t>
        </is>
      </c>
      <c r="I154" s="74" t="n"/>
      <c r="J154" s="74" t="n"/>
      <c r="K154" s="79" t="n"/>
      <c r="L154" s="69" t="inlineStr">
        <is>
          <t>24022</t>
        </is>
      </c>
      <c r="M154" s="74" t="inlineStr">
        <is>
          <t>114001|1100$10001|2500$344023|1</t>
        </is>
      </c>
      <c r="N154" s="74" t="inlineStr">
        <is>
          <t>344023</t>
        </is>
      </c>
      <c r="O154" s="92" t="inlineStr">
        <is>
          <t>414006</t>
        </is>
      </c>
      <c r="P154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54" s="74" t="inlineStr">
        <is>
          <t>78</t>
        </is>
      </c>
      <c r="R154" s="74" t="n"/>
      <c r="S154" s="82" t="n"/>
    </row>
    <row r="155" ht="39.75" customHeight="1" s="119">
      <c r="B155" s="69" t="inlineStr">
        <is>
          <t>24023</t>
        </is>
      </c>
      <c r="C155" s="85" t="inlineStr">
        <is>
          <t>云卷轻靴</t>
        </is>
      </c>
      <c r="D155" s="85" t="inlineStr">
        <is>
          <t>4</t>
        </is>
      </c>
      <c r="E155" s="69" t="inlineStr">
        <is>
          <t>2</t>
        </is>
      </c>
      <c r="F155" s="79" t="inlineStr">
        <is>
          <t>10001|2608</t>
        </is>
      </c>
      <c r="G155" s="74" t="inlineStr">
        <is>
          <t>img_duoxianjian</t>
        </is>
      </c>
      <c r="H155" s="74" t="inlineStr">
        <is>
          <t>6</t>
        </is>
      </c>
      <c r="I155" s="74" t="n"/>
      <c r="J155" s="74" t="n"/>
      <c r="K155" s="79" t="n"/>
      <c r="L155" s="69" t="inlineStr">
        <is>
          <t>24023</t>
        </is>
      </c>
      <c r="M155" s="74" t="inlineStr">
        <is>
          <t>114001|1100$10001|2500$344024|1</t>
        </is>
      </c>
      <c r="N155" s="74" t="inlineStr">
        <is>
          <t>344024</t>
        </is>
      </c>
      <c r="O155" s="92" t="inlineStr">
        <is>
          <t>414006</t>
        </is>
      </c>
      <c r="P155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55" s="74" t="inlineStr">
        <is>
          <t>391</t>
        </is>
      </c>
      <c r="R155" s="74" t="n"/>
      <c r="S155" s="82" t="n"/>
    </row>
    <row r="156" ht="39.75" customHeight="1" s="119">
      <c r="B156" s="69" t="inlineStr">
        <is>
          <t>24024</t>
        </is>
      </c>
      <c r="C156" s="85" t="inlineStr">
        <is>
          <t>红尘宝坠</t>
        </is>
      </c>
      <c r="D156" s="85" t="inlineStr">
        <is>
          <t>4</t>
        </is>
      </c>
      <c r="E156" s="69" t="inlineStr">
        <is>
          <t>3</t>
        </is>
      </c>
      <c r="F156" s="79" t="inlineStr">
        <is>
          <t>10009|733</t>
        </is>
      </c>
      <c r="G156" s="74" t="inlineStr">
        <is>
          <t>img_duoxianjian</t>
        </is>
      </c>
      <c r="H156" s="74" t="inlineStr">
        <is>
          <t>6</t>
        </is>
      </c>
      <c r="I156" s="74" t="n"/>
      <c r="J156" s="74" t="n"/>
      <c r="K156" s="79" t="n"/>
      <c r="L156" s="69" t="inlineStr">
        <is>
          <t>24024</t>
        </is>
      </c>
      <c r="M156" s="74" t="inlineStr">
        <is>
          <t>114001|1100$10001|2500$344025|1</t>
        </is>
      </c>
      <c r="N156" s="74" t="inlineStr">
        <is>
          <t>344025</t>
        </is>
      </c>
      <c r="O156" s="92" t="inlineStr">
        <is>
          <t>414006</t>
        </is>
      </c>
      <c r="P156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56" s="74" t="inlineStr">
        <is>
          <t>110</t>
        </is>
      </c>
      <c r="R156" s="74" t="n"/>
      <c r="S156" s="82" t="n"/>
    </row>
    <row r="157" ht="39.75" customHeight="1" s="119">
      <c r="B157" s="69" t="inlineStr">
        <is>
          <t>24025</t>
        </is>
      </c>
      <c r="C157" s="85" t="inlineStr">
        <is>
          <t>月华光镜</t>
        </is>
      </c>
      <c r="D157" s="85" t="inlineStr">
        <is>
          <t>4</t>
        </is>
      </c>
      <c r="E157" s="69" t="inlineStr">
        <is>
          <t>0</t>
        </is>
      </c>
      <c r="F157" s="74" t="inlineStr">
        <is>
          <t>10003|654</t>
        </is>
      </c>
      <c r="G157" s="74" t="inlineStr">
        <is>
          <t>img_duoxianjian</t>
        </is>
      </c>
      <c r="H157" s="74" t="inlineStr">
        <is>
          <t>7</t>
        </is>
      </c>
      <c r="I157" s="74" t="n"/>
      <c r="J157" s="74" t="n"/>
      <c r="K157" s="79" t="n"/>
      <c r="L157" s="69" t="inlineStr">
        <is>
          <t>24025</t>
        </is>
      </c>
      <c r="M157" s="74" t="inlineStr">
        <is>
          <t>114001|1100$10001|2500$344026|1</t>
        </is>
      </c>
      <c r="N157" s="74" t="inlineStr">
        <is>
          <t>344026</t>
        </is>
      </c>
      <c r="O157" s="92" t="inlineStr">
        <is>
          <t>414007</t>
        </is>
      </c>
      <c r="P157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57" s="74" t="inlineStr">
        <is>
          <t>98</t>
        </is>
      </c>
      <c r="R157" s="74" t="n"/>
      <c r="S157" s="82" t="n"/>
    </row>
    <row r="158" ht="39.75" customHeight="1" s="119">
      <c r="B158" s="69" t="inlineStr">
        <is>
          <t>24026</t>
        </is>
      </c>
      <c r="C158" s="85" t="inlineStr">
        <is>
          <t>月莹仙衣</t>
        </is>
      </c>
      <c r="D158" s="85" t="inlineStr">
        <is>
          <t>4</t>
        </is>
      </c>
      <c r="E158" s="69" t="inlineStr">
        <is>
          <t>1</t>
        </is>
      </c>
      <c r="F158" s="74" t="inlineStr">
        <is>
          <t>10004|516</t>
        </is>
      </c>
      <c r="G158" s="74" t="inlineStr">
        <is>
          <t>img_duoxianjian</t>
        </is>
      </c>
      <c r="H158" s="74" t="inlineStr">
        <is>
          <t>7</t>
        </is>
      </c>
      <c r="I158" s="74" t="n"/>
      <c r="J158" s="74" t="n"/>
      <c r="K158" s="79" t="n"/>
      <c r="L158" s="69" t="inlineStr">
        <is>
          <t>24026</t>
        </is>
      </c>
      <c r="M158" s="74" t="inlineStr">
        <is>
          <t>114001|1100$10001|2500$344027|1</t>
        </is>
      </c>
      <c r="N158" s="74" t="inlineStr">
        <is>
          <t>344027</t>
        </is>
      </c>
      <c r="O158" s="92" t="inlineStr">
        <is>
          <t>414007</t>
        </is>
      </c>
      <c r="P158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58" s="74" t="inlineStr">
        <is>
          <t>78</t>
        </is>
      </c>
      <c r="R158" s="74" t="n"/>
      <c r="S158" s="82" t="n"/>
    </row>
    <row r="159" ht="39.75" customHeight="1" s="119">
      <c r="B159" s="69" t="inlineStr">
        <is>
          <t>24027</t>
        </is>
      </c>
      <c r="C159" s="85" t="inlineStr">
        <is>
          <t>皓月轻靴</t>
        </is>
      </c>
      <c r="D159" s="85" t="inlineStr">
        <is>
          <t>4</t>
        </is>
      </c>
      <c r="E159" s="69" t="inlineStr">
        <is>
          <t>2</t>
        </is>
      </c>
      <c r="F159" s="79" t="inlineStr">
        <is>
          <t>10001|2496</t>
        </is>
      </c>
      <c r="G159" s="74" t="inlineStr">
        <is>
          <t>img_duoxianjian</t>
        </is>
      </c>
      <c r="H159" s="74" t="inlineStr">
        <is>
          <t>7</t>
        </is>
      </c>
      <c r="I159" s="74" t="n"/>
      <c r="J159" s="74" t="n"/>
      <c r="K159" s="79" t="n"/>
      <c r="L159" s="69" t="inlineStr">
        <is>
          <t>24027</t>
        </is>
      </c>
      <c r="M159" s="74" t="inlineStr">
        <is>
          <t>114001|1100$10001|2500$344028|1</t>
        </is>
      </c>
      <c r="N159" s="74" t="inlineStr">
        <is>
          <t>344028</t>
        </is>
      </c>
      <c r="O159" s="92" t="inlineStr">
        <is>
          <t>414007</t>
        </is>
      </c>
      <c r="P159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59" s="74" t="inlineStr">
        <is>
          <t>374</t>
        </is>
      </c>
      <c r="R159" s="74" t="n"/>
      <c r="S159" s="82" t="n"/>
    </row>
    <row r="160" ht="39.75" customHeight="1" s="119">
      <c r="B160" s="69" t="inlineStr">
        <is>
          <t>24028</t>
        </is>
      </c>
      <c r="C160" s="85" t="inlineStr">
        <is>
          <t>枫露玉珠</t>
        </is>
      </c>
      <c r="D160" s="85" t="inlineStr">
        <is>
          <t>4</t>
        </is>
      </c>
      <c r="E160" s="69" t="inlineStr">
        <is>
          <t>3</t>
        </is>
      </c>
      <c r="F160" s="79" t="inlineStr">
        <is>
          <t>10009|733</t>
        </is>
      </c>
      <c r="G160" s="74" t="inlineStr">
        <is>
          <t>img_duoxianjian</t>
        </is>
      </c>
      <c r="H160" s="74" t="inlineStr">
        <is>
          <t>7</t>
        </is>
      </c>
      <c r="I160" s="74" t="n"/>
      <c r="J160" s="74" t="n"/>
      <c r="K160" s="79" t="n"/>
      <c r="L160" s="69" t="inlineStr">
        <is>
          <t>24028</t>
        </is>
      </c>
      <c r="M160" s="74" t="inlineStr">
        <is>
          <t>114001|1100$10001|2500$344029|1</t>
        </is>
      </c>
      <c r="N160" s="74" t="inlineStr">
        <is>
          <t>344029</t>
        </is>
      </c>
      <c r="O160" s="92" t="inlineStr">
        <is>
          <t>414007</t>
        </is>
      </c>
      <c r="P160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60" s="74" t="inlineStr">
        <is>
          <t>110</t>
        </is>
      </c>
      <c r="R160" s="74" t="n"/>
      <c r="S160" s="82" t="n"/>
    </row>
    <row r="161" ht="39.75" customHeight="1" s="119">
      <c r="B161" s="69" t="inlineStr">
        <is>
          <t>24029</t>
        </is>
      </c>
      <c r="C161" s="85" t="inlineStr">
        <is>
          <t>乙木长生鼎</t>
        </is>
      </c>
      <c r="D161" s="85" t="inlineStr">
        <is>
          <t>4</t>
        </is>
      </c>
      <c r="E161" s="69" t="inlineStr">
        <is>
          <t>0</t>
        </is>
      </c>
      <c r="F161" s="74" t="inlineStr">
        <is>
          <t>10003|608</t>
        </is>
      </c>
      <c r="G161" s="74" t="inlineStr">
        <is>
          <t>img_duoxianjian</t>
        </is>
      </c>
      <c r="H161" s="74" t="inlineStr">
        <is>
          <t>8</t>
        </is>
      </c>
      <c r="I161" s="74" t="n"/>
      <c r="J161" s="74" t="n"/>
      <c r="K161" s="79" t="n"/>
      <c r="L161" s="69" t="inlineStr">
        <is>
          <t>24029</t>
        </is>
      </c>
      <c r="M161" s="74" t="inlineStr">
        <is>
          <t>114001|1100$10001|2500$344030|1</t>
        </is>
      </c>
      <c r="N161" s="74" t="inlineStr">
        <is>
          <t>344030</t>
        </is>
      </c>
      <c r="O161" s="92" t="inlineStr">
        <is>
          <t>414008</t>
        </is>
      </c>
      <c r="P161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61" s="74" t="inlineStr">
        <is>
          <t>91</t>
        </is>
      </c>
      <c r="R161" s="74" t="n"/>
      <c r="S161" s="82" t="n"/>
    </row>
    <row r="162" ht="39.75" customHeight="1" s="119">
      <c r="B162" s="69" t="inlineStr">
        <is>
          <t>24030</t>
        </is>
      </c>
      <c r="C162" s="85" t="inlineStr">
        <is>
          <t>千年木袍</t>
        </is>
      </c>
      <c r="D162" s="85" t="inlineStr">
        <is>
          <t>4</t>
        </is>
      </c>
      <c r="E162" s="69" t="inlineStr">
        <is>
          <t>1</t>
        </is>
      </c>
      <c r="F162" s="74" t="inlineStr">
        <is>
          <t>10004|552</t>
        </is>
      </c>
      <c r="G162" s="74" t="inlineStr">
        <is>
          <t>img_duoxianjian</t>
        </is>
      </c>
      <c r="H162" s="74" t="inlineStr">
        <is>
          <t>8</t>
        </is>
      </c>
      <c r="I162" s="74" t="n"/>
      <c r="J162" s="74" t="n"/>
      <c r="K162" s="79" t="n"/>
      <c r="L162" s="69" t="inlineStr">
        <is>
          <t>24030</t>
        </is>
      </c>
      <c r="M162" s="74" t="inlineStr">
        <is>
          <t>114001|1100$10001|2500$344031|1</t>
        </is>
      </c>
      <c r="N162" s="74" t="inlineStr">
        <is>
          <t>344031</t>
        </is>
      </c>
      <c r="O162" s="92" t="inlineStr">
        <is>
          <t>414008</t>
        </is>
      </c>
      <c r="P162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62" s="74" t="inlineStr">
        <is>
          <t>83</t>
        </is>
      </c>
      <c r="R162" s="74" t="n"/>
      <c r="S162" s="82" t="n"/>
    </row>
    <row r="163" ht="39.75" customHeight="1" s="119">
      <c r="B163" s="69" t="inlineStr">
        <is>
          <t>24031</t>
        </is>
      </c>
      <c r="C163" s="85" t="inlineStr">
        <is>
          <t>众生灵靴</t>
        </is>
      </c>
      <c r="D163" s="85" t="inlineStr">
        <is>
          <t>4</t>
        </is>
      </c>
      <c r="E163" s="69" t="inlineStr">
        <is>
          <t>2</t>
        </is>
      </c>
      <c r="F163" s="79" t="inlineStr">
        <is>
          <t>10001|3144</t>
        </is>
      </c>
      <c r="G163" s="74" t="inlineStr">
        <is>
          <t>img_duoxianjian</t>
        </is>
      </c>
      <c r="H163" s="74" t="inlineStr">
        <is>
          <t>8</t>
        </is>
      </c>
      <c r="I163" s="74" t="n"/>
      <c r="J163" s="74" t="n"/>
      <c r="K163" s="79" t="n"/>
      <c r="L163" s="69" t="inlineStr">
        <is>
          <t>24031</t>
        </is>
      </c>
      <c r="M163" s="74" t="inlineStr">
        <is>
          <t>114001|1100$10001|2500$344032|1</t>
        </is>
      </c>
      <c r="N163" s="74" t="inlineStr">
        <is>
          <t>344032</t>
        </is>
      </c>
      <c r="O163" s="92" t="inlineStr">
        <is>
          <t>414008</t>
        </is>
      </c>
      <c r="P163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63" s="74" t="inlineStr">
        <is>
          <t>472</t>
        </is>
      </c>
      <c r="R163" s="74" t="n"/>
      <c r="S163" s="82" t="n"/>
    </row>
    <row r="164" ht="39.75" customHeight="1" s="119">
      <c r="B164" s="69" t="inlineStr">
        <is>
          <t>24032</t>
        </is>
      </c>
      <c r="C164" s="85" t="inlineStr">
        <is>
          <t>木辉宝珠</t>
        </is>
      </c>
      <c r="D164" s="85" t="inlineStr">
        <is>
          <t>4</t>
        </is>
      </c>
      <c r="E164" s="69" t="inlineStr">
        <is>
          <t>3</t>
        </is>
      </c>
      <c r="F164" s="79" t="inlineStr">
        <is>
          <t>10009|733</t>
        </is>
      </c>
      <c r="G164" s="74" t="inlineStr">
        <is>
          <t>img_duoxianjian</t>
        </is>
      </c>
      <c r="H164" s="74" t="inlineStr">
        <is>
          <t>8</t>
        </is>
      </c>
      <c r="I164" s="74" t="n"/>
      <c r="J164" s="74" t="n"/>
      <c r="K164" s="79" t="n"/>
      <c r="L164" s="69" t="inlineStr">
        <is>
          <t>24032</t>
        </is>
      </c>
      <c r="M164" s="74" t="inlineStr">
        <is>
          <t>114001|1100$10001|2500$344033|1</t>
        </is>
      </c>
      <c r="N164" s="74" t="inlineStr">
        <is>
          <t>344033</t>
        </is>
      </c>
      <c r="O164" s="92" t="inlineStr">
        <is>
          <t>414008</t>
        </is>
      </c>
      <c r="P164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64" s="74" t="inlineStr">
        <is>
          <t>110</t>
        </is>
      </c>
      <c r="R164" s="74" t="n"/>
      <c r="S164" s="82" t="n"/>
    </row>
    <row r="165" ht="39.75" customHeight="1" s="119">
      <c r="B165" s="69" t="inlineStr">
        <is>
          <t>24033</t>
        </is>
      </c>
      <c r="C165" s="85" t="inlineStr">
        <is>
          <t>不灭骨镜</t>
        </is>
      </c>
      <c r="D165" s="85" t="inlineStr">
        <is>
          <t>4</t>
        </is>
      </c>
      <c r="E165" s="69" t="inlineStr">
        <is>
          <t>0</t>
        </is>
      </c>
      <c r="F165" s="74" t="inlineStr">
        <is>
          <t>10003|704</t>
        </is>
      </c>
      <c r="G165" s="74" t="inlineStr">
        <is>
          <t>img_duoxianjian</t>
        </is>
      </c>
      <c r="H165" s="74" t="inlineStr">
        <is>
          <t>9</t>
        </is>
      </c>
      <c r="I165" s="74" t="n"/>
      <c r="J165" s="74" t="n"/>
      <c r="K165" s="79" t="n"/>
      <c r="L165" s="69" t="inlineStr">
        <is>
          <t>24033</t>
        </is>
      </c>
      <c r="M165" s="74" t="inlineStr">
        <is>
          <t>114001|1100$10001|2500$344034|1</t>
        </is>
      </c>
      <c r="N165" s="74" t="inlineStr">
        <is>
          <t>344034</t>
        </is>
      </c>
      <c r="O165" s="92" t="inlineStr">
        <is>
          <t>414009</t>
        </is>
      </c>
      <c r="P165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65" s="74" t="inlineStr">
        <is>
          <t>106</t>
        </is>
      </c>
      <c r="R165" s="74" t="n"/>
      <c r="S165" s="82" t="n"/>
    </row>
    <row r="166" ht="39.75" customHeight="1" s="119">
      <c r="B166" s="69" t="inlineStr">
        <is>
          <t>24034</t>
        </is>
      </c>
      <c r="C166" s="85" t="inlineStr">
        <is>
          <t>幽冥骨铠</t>
        </is>
      </c>
      <c r="D166" s="85" t="inlineStr">
        <is>
          <t>4</t>
        </is>
      </c>
      <c r="E166" s="69" t="inlineStr">
        <is>
          <t>1</t>
        </is>
      </c>
      <c r="F166" s="74" t="inlineStr">
        <is>
          <t>10004|576</t>
        </is>
      </c>
      <c r="G166" s="74" t="inlineStr">
        <is>
          <t>img_duoxianjian</t>
        </is>
      </c>
      <c r="H166" s="74" t="inlineStr">
        <is>
          <t>9</t>
        </is>
      </c>
      <c r="I166" s="74" t="n"/>
      <c r="J166" s="74" t="n"/>
      <c r="K166" s="79" t="n"/>
      <c r="L166" s="69" t="inlineStr">
        <is>
          <t>24034</t>
        </is>
      </c>
      <c r="M166" s="74" t="inlineStr">
        <is>
          <t>114001|1100$10001|2500$344035|1</t>
        </is>
      </c>
      <c r="N166" s="74" t="inlineStr">
        <is>
          <t>344035</t>
        </is>
      </c>
      <c r="O166" s="92" t="inlineStr">
        <is>
          <t>414009</t>
        </is>
      </c>
      <c r="P166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66" s="74" t="inlineStr">
        <is>
          <t>86</t>
        </is>
      </c>
      <c r="R166" s="74" t="n"/>
      <c r="S166" s="82" t="n"/>
    </row>
    <row r="167" ht="39.75" customHeight="1" s="119">
      <c r="B167" s="69" t="inlineStr">
        <is>
          <t>24035</t>
        </is>
      </c>
      <c r="C167" s="85" t="inlineStr">
        <is>
          <t>紫骨宝靴</t>
        </is>
      </c>
      <c r="D167" s="85" t="inlineStr">
        <is>
          <t>4</t>
        </is>
      </c>
      <c r="E167" s="69" t="inlineStr">
        <is>
          <t>2</t>
        </is>
      </c>
      <c r="F167" s="79" t="inlineStr">
        <is>
          <t>10001|2853</t>
        </is>
      </c>
      <c r="G167" s="74" t="inlineStr">
        <is>
          <t>img_duoxianjian</t>
        </is>
      </c>
      <c r="H167" s="74" t="inlineStr">
        <is>
          <t>9</t>
        </is>
      </c>
      <c r="I167" s="74" t="n"/>
      <c r="J167" s="74" t="n"/>
      <c r="K167" s="79" t="n"/>
      <c r="L167" s="69" t="inlineStr">
        <is>
          <t>24035</t>
        </is>
      </c>
      <c r="M167" s="74" t="inlineStr">
        <is>
          <t>114001|1100$10001|2500$344036|1</t>
        </is>
      </c>
      <c r="N167" s="74" t="inlineStr">
        <is>
          <t>344036</t>
        </is>
      </c>
      <c r="O167" s="92" t="inlineStr">
        <is>
          <t>414009</t>
        </is>
      </c>
      <c r="P167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67" s="74" t="inlineStr">
        <is>
          <t>428</t>
        </is>
      </c>
      <c r="R167" s="74" t="n"/>
      <c r="S167" s="82" t="n"/>
    </row>
    <row r="168" ht="39.75" customHeight="1" s="119">
      <c r="B168" s="69" t="inlineStr">
        <is>
          <t>24036</t>
        </is>
      </c>
      <c r="C168" s="85" t="inlineStr">
        <is>
          <t>皇骨宝珠</t>
        </is>
      </c>
      <c r="D168" s="85" t="inlineStr">
        <is>
          <t>4</t>
        </is>
      </c>
      <c r="E168" s="69" t="inlineStr">
        <is>
          <t>3</t>
        </is>
      </c>
      <c r="F168" s="79" t="inlineStr">
        <is>
          <t>10009|733</t>
        </is>
      </c>
      <c r="G168" s="74" t="inlineStr">
        <is>
          <t>img_duoxianjian</t>
        </is>
      </c>
      <c r="H168" s="74" t="inlineStr">
        <is>
          <t>9</t>
        </is>
      </c>
      <c r="I168" s="74" t="n"/>
      <c r="J168" s="74" t="n"/>
      <c r="K168" s="79" t="n"/>
      <c r="L168" s="69" t="inlineStr">
        <is>
          <t>24036</t>
        </is>
      </c>
      <c r="M168" s="74" t="inlineStr">
        <is>
          <t>114001|1100$10001|2500$344037|1</t>
        </is>
      </c>
      <c r="N168" s="74" t="inlineStr">
        <is>
          <t>344037</t>
        </is>
      </c>
      <c r="O168" s="92" t="inlineStr">
        <is>
          <t>414009</t>
        </is>
      </c>
      <c r="P168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68" s="74" t="inlineStr">
        <is>
          <t>110</t>
        </is>
      </c>
      <c r="R168" s="74" t="n"/>
      <c r="S168" s="82" t="n"/>
    </row>
    <row r="169" ht="39.75" customHeight="1" s="119">
      <c r="B169" s="69" t="inlineStr">
        <is>
          <t>24037</t>
        </is>
      </c>
      <c r="C169" s="85" t="inlineStr">
        <is>
          <t>洪荒圣枪</t>
        </is>
      </c>
      <c r="D169" s="85" t="inlineStr">
        <is>
          <t>4</t>
        </is>
      </c>
      <c r="E169" s="69" t="inlineStr">
        <is>
          <t>0</t>
        </is>
      </c>
      <c r="F169" s="74" t="inlineStr">
        <is>
          <t>10003|808</t>
        </is>
      </c>
      <c r="G169" s="74" t="inlineStr">
        <is>
          <t>img_duoxianjian</t>
        </is>
      </c>
      <c r="H169" s="74" t="inlineStr">
        <is>
          <t>10</t>
        </is>
      </c>
      <c r="I169" s="74" t="n"/>
      <c r="J169" s="74" t="n"/>
      <c r="K169" s="79" t="n"/>
      <c r="L169" s="69" t="inlineStr">
        <is>
          <t>24037</t>
        </is>
      </c>
      <c r="M169" s="74" t="inlineStr">
        <is>
          <t>114001|1100$10001|2500$344038|1</t>
        </is>
      </c>
      <c r="N169" s="74" t="inlineStr">
        <is>
          <t>344038</t>
        </is>
      </c>
      <c r="O169" s="92" t="inlineStr">
        <is>
          <t>414010</t>
        </is>
      </c>
      <c r="P169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69" s="74" t="inlineStr">
        <is>
          <t>122</t>
        </is>
      </c>
      <c r="R169" s="74" t="n"/>
      <c r="S169" s="82" t="n"/>
    </row>
    <row r="170" ht="39.75" customHeight="1" s="119">
      <c r="B170" s="69" t="inlineStr">
        <is>
          <t>24038</t>
        </is>
      </c>
      <c r="C170" s="85" t="inlineStr">
        <is>
          <t>洪荒妖铠</t>
        </is>
      </c>
      <c r="D170" s="85" t="inlineStr">
        <is>
          <t>4</t>
        </is>
      </c>
      <c r="E170" s="69" t="inlineStr">
        <is>
          <t>1</t>
        </is>
      </c>
      <c r="F170" s="74" t="inlineStr">
        <is>
          <t>10004|516</t>
        </is>
      </c>
      <c r="G170" s="74" t="inlineStr">
        <is>
          <t>img_duoxianjian</t>
        </is>
      </c>
      <c r="H170" s="74" t="inlineStr">
        <is>
          <t>10</t>
        </is>
      </c>
      <c r="I170" s="74" t="n"/>
      <c r="J170" s="74" t="n"/>
      <c r="K170" s="79" t="n"/>
      <c r="L170" s="69" t="inlineStr">
        <is>
          <t>24038</t>
        </is>
      </c>
      <c r="M170" s="74" t="inlineStr">
        <is>
          <t>114001|1100$10001|2500$344039|1</t>
        </is>
      </c>
      <c r="N170" s="74" t="inlineStr">
        <is>
          <t>344039</t>
        </is>
      </c>
      <c r="O170" s="92" t="inlineStr">
        <is>
          <t>414010</t>
        </is>
      </c>
      <c r="P170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70" s="74" t="inlineStr">
        <is>
          <t>78</t>
        </is>
      </c>
      <c r="R170" s="74" t="n"/>
      <c r="S170" s="82" t="n"/>
    </row>
    <row r="171" ht="93" customFormat="1" customHeight="1" s="86">
      <c r="B171" s="69" t="inlineStr">
        <is>
          <t>24039</t>
        </is>
      </c>
      <c r="C171" s="85" t="inlineStr">
        <is>
          <t>洪荒战靴</t>
        </is>
      </c>
      <c r="D171" s="85" t="inlineStr">
        <is>
          <t>4</t>
        </is>
      </c>
      <c r="E171" s="69" t="inlineStr">
        <is>
          <t>2</t>
        </is>
      </c>
      <c r="F171" s="79" t="inlineStr">
        <is>
          <t>10001|2608</t>
        </is>
      </c>
      <c r="G171" s="74" t="inlineStr">
        <is>
          <t>img_duoxianjian</t>
        </is>
      </c>
      <c r="H171" s="74" t="inlineStr">
        <is>
          <t>10</t>
        </is>
      </c>
      <c r="I171" s="74" t="n"/>
      <c r="J171" s="74" t="n"/>
      <c r="K171" s="79" t="n"/>
      <c r="L171" s="69" t="inlineStr">
        <is>
          <t>24039</t>
        </is>
      </c>
      <c r="M171" s="74" t="inlineStr">
        <is>
          <t>114001|1100$10001|2500$344040|1</t>
        </is>
      </c>
      <c r="N171" s="74" t="inlineStr">
        <is>
          <t>344040</t>
        </is>
      </c>
      <c r="O171" s="92" t="inlineStr">
        <is>
          <t>414010</t>
        </is>
      </c>
      <c r="P171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71" s="74" t="inlineStr">
        <is>
          <t>391</t>
        </is>
      </c>
      <c r="R171" s="74" t="n"/>
      <c r="S171" s="82" t="n"/>
    </row>
    <row r="172" ht="60.75" customHeight="1" s="119">
      <c r="B172" s="69" t="inlineStr">
        <is>
          <t>24040</t>
        </is>
      </c>
      <c r="C172" s="85" t="inlineStr">
        <is>
          <t>洪荒法珠</t>
        </is>
      </c>
      <c r="D172" s="85" t="inlineStr">
        <is>
          <t>4</t>
        </is>
      </c>
      <c r="E172" s="69" t="inlineStr">
        <is>
          <t>3</t>
        </is>
      </c>
      <c r="F172" s="79" t="inlineStr">
        <is>
          <t>10009|733</t>
        </is>
      </c>
      <c r="G172" s="74" t="inlineStr">
        <is>
          <t>img_duoxianjian</t>
        </is>
      </c>
      <c r="H172" s="74" t="inlineStr">
        <is>
          <t>10</t>
        </is>
      </c>
      <c r="I172" s="74" t="n"/>
      <c r="J172" s="74" t="n"/>
      <c r="K172" s="79" t="n"/>
      <c r="L172" s="69" t="inlineStr">
        <is>
          <t>24040</t>
        </is>
      </c>
      <c r="M172" s="74" t="inlineStr">
        <is>
          <t>114001|1100$10001|2500$344041|1</t>
        </is>
      </c>
      <c r="N172" s="74" t="inlineStr">
        <is>
          <t>344041</t>
        </is>
      </c>
      <c r="O172" s="92" t="inlineStr">
        <is>
          <t>414010</t>
        </is>
      </c>
      <c r="P172" s="74" t="inlineStr">
        <is>
      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      </is>
      </c>
      <c r="Q172" s="74" t="inlineStr">
        <is>
          <t>110</t>
        </is>
      </c>
      <c r="R172" s="74" t="n"/>
      <c r="S172" s="82" t="n"/>
    </row>
    <row r="173" ht="97.5" customHeight="1" s="119">
      <c r="B173" s="86" t="inlineStr">
        <is>
          <t>25001</t>
        </is>
      </c>
      <c r="C173" s="87" t="inlineStr">
        <is>
          <t>帝血长空刀</t>
        </is>
      </c>
      <c r="D173" s="87" t="inlineStr">
        <is>
          <t>5</t>
        </is>
      </c>
      <c r="E173" s="86" t="inlineStr">
        <is>
          <t>0</t>
        </is>
      </c>
      <c r="F173" s="86" t="inlineStr">
        <is>
          <t>10003|869</t>
        </is>
      </c>
      <c r="G173" s="86" t="inlineStr">
        <is>
          <t>img_duoxianjian</t>
        </is>
      </c>
      <c r="H173" s="86" t="inlineStr">
        <is>
          <t>1</t>
        </is>
      </c>
      <c r="L173" s="86" t="inlineStr">
        <is>
          <t>25001</t>
        </is>
      </c>
      <c r="M173" s="86" t="inlineStr">
        <is>
          <t>115001|1655$10001|3000$345002|1</t>
        </is>
      </c>
      <c r="N173" s="86" t="inlineStr">
        <is>
          <t>345002</t>
        </is>
      </c>
      <c r="O173" s="93" t="inlineStr">
        <is>
          <t>415001</t>
        </is>
      </c>
      <c r="P173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73" s="86" t="inlineStr">
        <is>
          <t>130</t>
        </is>
      </c>
    </row>
    <row r="174" ht="87.75" customHeight="1" s="119">
      <c r="B174" s="86" t="inlineStr">
        <is>
          <t>25002</t>
        </is>
      </c>
      <c r="C174" s="76" t="inlineStr">
        <is>
          <t>帝血狂鲸甲</t>
        </is>
      </c>
      <c r="D174" s="87" t="inlineStr">
        <is>
          <t>5</t>
        </is>
      </c>
      <c r="E174" s="74" t="inlineStr">
        <is>
          <t>1</t>
        </is>
      </c>
      <c r="F174" s="74" t="inlineStr">
        <is>
          <t>10004|605</t>
        </is>
      </c>
      <c r="G174" s="86" t="inlineStr">
        <is>
          <t>img_duoxianjian</t>
        </is>
      </c>
      <c r="H174" s="74" t="inlineStr">
        <is>
          <t>1</t>
        </is>
      </c>
      <c r="L174" s="86" t="inlineStr">
        <is>
          <t>25002</t>
        </is>
      </c>
      <c r="M174" s="86" t="inlineStr">
        <is>
          <t>115001|1655$10001|3000$345003|1</t>
        </is>
      </c>
      <c r="N174" s="86" t="inlineStr">
        <is>
          <t>345003</t>
        </is>
      </c>
      <c r="O174" s="93" t="inlineStr">
        <is>
          <t>415001</t>
        </is>
      </c>
      <c r="P174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74" s="88" t="inlineStr">
        <is>
          <t>91</t>
        </is>
      </c>
    </row>
    <row r="175" ht="72" customHeight="1" s="119">
      <c r="B175" s="86" t="inlineStr">
        <is>
          <t>25003</t>
        </is>
      </c>
      <c r="C175" s="76" t="inlineStr">
        <is>
          <t>帝血纵云靴</t>
        </is>
      </c>
      <c r="D175" s="87" t="inlineStr">
        <is>
          <t>5</t>
        </is>
      </c>
      <c r="E175" s="74" t="inlineStr">
        <is>
          <t>2</t>
        </is>
      </c>
      <c r="F175" s="79" t="inlineStr">
        <is>
          <t>10001|3220</t>
        </is>
      </c>
      <c r="G175" s="86" t="inlineStr">
        <is>
          <t>img_duoxianjian</t>
        </is>
      </c>
      <c r="H175" s="74" t="inlineStr">
        <is>
          <t>1</t>
        </is>
      </c>
      <c r="L175" s="86" t="inlineStr">
        <is>
          <t>25003</t>
        </is>
      </c>
      <c r="M175" s="86" t="inlineStr">
        <is>
          <t>115001|1655$10001|3000$345004|1</t>
        </is>
      </c>
      <c r="N175" s="86" t="inlineStr">
        <is>
          <t>345004</t>
        </is>
      </c>
      <c r="O175" s="93" t="inlineStr">
        <is>
          <t>415001</t>
        </is>
      </c>
      <c r="P175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75" s="88" t="inlineStr">
        <is>
          <t>483</t>
        </is>
      </c>
    </row>
    <row r="176" ht="68.25" customHeight="1" s="119">
      <c r="B176" s="86" t="inlineStr">
        <is>
          <t>25004</t>
        </is>
      </c>
      <c r="C176" s="74" t="inlineStr">
        <is>
          <t>帝血浮生珠</t>
        </is>
      </c>
      <c r="D176" s="87" t="inlineStr">
        <is>
          <t>5</t>
        </is>
      </c>
      <c r="E176" s="74" t="inlineStr">
        <is>
          <t>3</t>
        </is>
      </c>
      <c r="F176" s="79" t="inlineStr">
        <is>
          <t>10009|916</t>
        </is>
      </c>
      <c r="G176" s="86" t="inlineStr">
        <is>
          <t>img_duoxianjian</t>
        </is>
      </c>
      <c r="H176" s="74" t="inlineStr">
        <is>
          <t>1</t>
        </is>
      </c>
      <c r="L176" s="86" t="inlineStr">
        <is>
          <t>25004</t>
        </is>
      </c>
      <c r="M176" s="86" t="inlineStr">
        <is>
          <t>115001|1655$10001|3000$345005|1</t>
        </is>
      </c>
      <c r="N176" s="86" t="inlineStr">
        <is>
          <t>345005</t>
        </is>
      </c>
      <c r="O176" s="93" t="inlineStr">
        <is>
          <t>415001</t>
        </is>
      </c>
      <c r="P176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76" s="74" t="inlineStr">
        <is>
          <t>137</t>
        </is>
      </c>
    </row>
    <row r="177" ht="105.75" customHeight="1" s="119">
      <c r="B177" s="86" t="inlineStr">
        <is>
          <t>25005</t>
        </is>
      </c>
      <c r="C177" s="87" t="inlineStr">
        <is>
          <t>九转天龙枪</t>
        </is>
      </c>
      <c r="D177" s="87" t="inlineStr">
        <is>
          <t>5</t>
        </is>
      </c>
      <c r="E177" s="74" t="inlineStr">
        <is>
          <t>0</t>
        </is>
      </c>
      <c r="F177" s="86" t="inlineStr">
        <is>
          <t>10003|1125</t>
        </is>
      </c>
      <c r="G177" s="86" t="inlineStr">
        <is>
          <t>img_duoxianjian</t>
        </is>
      </c>
      <c r="H177" s="74" t="inlineStr">
        <is>
          <t>2</t>
        </is>
      </c>
      <c r="L177" s="86" t="inlineStr">
        <is>
          <t>25005</t>
        </is>
      </c>
      <c r="M177" s="86" t="inlineStr">
        <is>
          <t>115001|1655$10001|3000$345006|1</t>
        </is>
      </c>
      <c r="N177" s="86" t="inlineStr">
        <is>
          <t>345006</t>
        </is>
      </c>
      <c r="O177" s="93" t="inlineStr">
        <is>
          <t>415002</t>
        </is>
      </c>
      <c r="P177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77" s="79" t="inlineStr">
        <is>
          <t>169</t>
        </is>
      </c>
    </row>
    <row r="178" ht="97.5" customHeight="1" s="119">
      <c r="B178" s="86" t="inlineStr">
        <is>
          <t>25006</t>
        </is>
      </c>
      <c r="C178" s="87" t="inlineStr">
        <is>
          <t>云龙亮银甲</t>
        </is>
      </c>
      <c r="D178" s="87" t="inlineStr">
        <is>
          <t>5</t>
        </is>
      </c>
      <c r="E178" s="74" t="inlineStr">
        <is>
          <t>1</t>
        </is>
      </c>
      <c r="F178" s="74" t="inlineStr">
        <is>
          <t>10004|569</t>
        </is>
      </c>
      <c r="G178" s="86" t="inlineStr">
        <is>
          <t>img_duoxianjian</t>
        </is>
      </c>
      <c r="H178" s="74" t="inlineStr">
        <is>
          <t>2</t>
        </is>
      </c>
      <c r="L178" s="86" t="inlineStr">
        <is>
          <t>25006</t>
        </is>
      </c>
      <c r="M178" s="86" t="inlineStr">
        <is>
          <t>115001|1655$10001|3000$345007|1</t>
        </is>
      </c>
      <c r="N178" s="86" t="inlineStr">
        <is>
          <t>345007</t>
        </is>
      </c>
      <c r="O178" s="93" t="inlineStr">
        <is>
          <t>415002</t>
        </is>
      </c>
      <c r="P178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78" s="74" t="inlineStr">
        <is>
          <t>85</t>
        </is>
      </c>
    </row>
    <row r="179" ht="54" customHeight="1" s="119">
      <c r="B179" s="86" t="inlineStr">
        <is>
          <t>25007</t>
        </is>
      </c>
      <c r="C179" s="87" t="inlineStr">
        <is>
          <t>四海玉龙靴</t>
        </is>
      </c>
      <c r="D179" s="87" t="inlineStr">
        <is>
          <t>5</t>
        </is>
      </c>
      <c r="E179" s="74" t="inlineStr">
        <is>
          <t>2</t>
        </is>
      </c>
      <c r="F179" s="79" t="inlineStr">
        <is>
          <t>10001|3004</t>
        </is>
      </c>
      <c r="G179" s="86" t="inlineStr">
        <is>
          <t>img_duoxianjian</t>
        </is>
      </c>
      <c r="H179" s="74" t="inlineStr">
        <is>
          <t>2</t>
        </is>
      </c>
      <c r="L179" s="86" t="inlineStr">
        <is>
          <t>25007</t>
        </is>
      </c>
      <c r="M179" s="86" t="inlineStr">
        <is>
          <t>115001|1655$10001|3000$345008|1</t>
        </is>
      </c>
      <c r="N179" s="86" t="inlineStr">
        <is>
          <t>345008</t>
        </is>
      </c>
      <c r="O179" s="93" t="inlineStr">
        <is>
          <t>415002</t>
        </is>
      </c>
      <c r="P179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79" s="74" t="inlineStr">
        <is>
          <t>451</t>
        </is>
      </c>
    </row>
    <row r="180" ht="46.5" customHeight="1" s="119">
      <c r="B180" s="86" t="inlineStr">
        <is>
          <t>25008</t>
        </is>
      </c>
      <c r="C180" s="87" t="inlineStr">
        <is>
          <t>黑龙玄牡珠</t>
        </is>
      </c>
      <c r="D180" s="87" t="inlineStr">
        <is>
          <t>5</t>
        </is>
      </c>
      <c r="E180" s="74" t="inlineStr">
        <is>
          <t>3</t>
        </is>
      </c>
      <c r="F180" s="79" t="inlineStr">
        <is>
          <t>10009|916</t>
        </is>
      </c>
      <c r="G180" s="86" t="inlineStr">
        <is>
          <t>img_duoxianjian</t>
        </is>
      </c>
      <c r="H180" s="74" t="inlineStr">
        <is>
          <t>2</t>
        </is>
      </c>
      <c r="L180" s="86" t="inlineStr">
        <is>
          <t>25008</t>
        </is>
      </c>
      <c r="M180" s="86" t="inlineStr">
        <is>
          <t>115001|1655$10001|3000$345009|1</t>
        </is>
      </c>
      <c r="N180" s="86" t="inlineStr">
        <is>
          <t>345009</t>
        </is>
      </c>
      <c r="O180" s="93" t="inlineStr">
        <is>
          <t>415002</t>
        </is>
      </c>
      <c r="P180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80" s="74" t="inlineStr">
        <is>
          <t>137</t>
        </is>
      </c>
    </row>
    <row r="181" ht="66.75" customHeight="1" s="119">
      <c r="B181" s="86" t="inlineStr">
        <is>
          <t>25009</t>
        </is>
      </c>
      <c r="C181" s="87" t="inlineStr">
        <is>
          <t>太上神风剑</t>
        </is>
      </c>
      <c r="D181" s="87" t="inlineStr">
        <is>
          <t>5</t>
        </is>
      </c>
      <c r="E181" s="74" t="inlineStr">
        <is>
          <t>0</t>
        </is>
      </c>
      <c r="F181" s="86" t="inlineStr">
        <is>
          <t>10003|1009</t>
        </is>
      </c>
      <c r="G181" s="86" t="inlineStr">
        <is>
          <t>img_duoxianjian</t>
        </is>
      </c>
      <c r="H181" s="74" t="inlineStr">
        <is>
          <t>3</t>
        </is>
      </c>
      <c r="L181" s="86" t="inlineStr">
        <is>
          <t>25009</t>
        </is>
      </c>
      <c r="M181" s="86" t="inlineStr">
        <is>
          <t>115001|1655$10001|3000$345010|1</t>
        </is>
      </c>
      <c r="N181" s="86" t="inlineStr">
        <is>
          <t>345010</t>
        </is>
      </c>
      <c r="O181" s="93" t="inlineStr">
        <is>
          <t>415003</t>
        </is>
      </c>
      <c r="P181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81" s="74" t="inlineStr">
        <is>
          <t>151</t>
        </is>
      </c>
    </row>
    <row r="182" ht="54.75" customHeight="1" s="119">
      <c r="B182" s="86" t="inlineStr">
        <is>
          <t>25010</t>
        </is>
      </c>
      <c r="C182" s="87" t="inlineStr">
        <is>
          <t>玉虚须弥甲</t>
        </is>
      </c>
      <c r="D182" s="87" t="inlineStr">
        <is>
          <t>5</t>
        </is>
      </c>
      <c r="E182" s="74" t="inlineStr">
        <is>
          <t>1</t>
        </is>
      </c>
      <c r="F182" s="74" t="inlineStr">
        <is>
          <t>10004|569</t>
        </is>
      </c>
      <c r="G182" s="86" t="inlineStr">
        <is>
          <t>img_duoxianjian</t>
        </is>
      </c>
      <c r="H182" s="74" t="inlineStr">
        <is>
          <t>3</t>
        </is>
      </c>
      <c r="L182" s="86" t="inlineStr">
        <is>
          <t>25010</t>
        </is>
      </c>
      <c r="M182" s="86" t="inlineStr">
        <is>
          <t>115001|1655$10001|3000$345011|1</t>
        </is>
      </c>
      <c r="N182" s="86" t="inlineStr">
        <is>
          <t>345011</t>
        </is>
      </c>
      <c r="O182" s="93" t="inlineStr">
        <is>
          <t>415003</t>
        </is>
      </c>
      <c r="P182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82" s="74" t="inlineStr">
        <is>
          <t>85</t>
        </is>
      </c>
    </row>
    <row r="183" ht="54.75" customHeight="1" s="119">
      <c r="B183" s="86" t="inlineStr">
        <is>
          <t>25011</t>
        </is>
      </c>
      <c r="C183" s="87" t="inlineStr">
        <is>
          <t>太上清风靴</t>
        </is>
      </c>
      <c r="D183" s="87" t="inlineStr">
        <is>
          <t>5</t>
        </is>
      </c>
      <c r="E183" s="74" t="inlineStr">
        <is>
          <t>2</t>
        </is>
      </c>
      <c r="F183" s="79" t="inlineStr">
        <is>
          <t>10001|2836</t>
        </is>
      </c>
      <c r="G183" s="86" t="inlineStr">
        <is>
          <t>img_duoxianjian</t>
        </is>
      </c>
      <c r="H183" s="74" t="inlineStr">
        <is>
          <t>3</t>
        </is>
      </c>
      <c r="L183" s="86" t="inlineStr">
        <is>
          <t>25011</t>
        </is>
      </c>
      <c r="M183" s="86" t="inlineStr">
        <is>
          <t>115001|1655$10001|3000$345012|1</t>
        </is>
      </c>
      <c r="N183" s="86" t="inlineStr">
        <is>
          <t>345012</t>
        </is>
      </c>
      <c r="O183" s="93" t="inlineStr">
        <is>
          <t>415003</t>
        </is>
      </c>
      <c r="P183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83" s="74" t="inlineStr">
        <is>
          <t>425</t>
        </is>
      </c>
    </row>
    <row r="184" ht="54.75" customHeight="1" s="119">
      <c r="B184" s="86" t="inlineStr">
        <is>
          <t>25012</t>
        </is>
      </c>
      <c r="C184" s="87" t="inlineStr">
        <is>
          <t>万仙轮回玉</t>
        </is>
      </c>
      <c r="D184" s="87" t="inlineStr">
        <is>
          <t>5</t>
        </is>
      </c>
      <c r="E184" s="74" t="inlineStr">
        <is>
          <t>3</t>
        </is>
      </c>
      <c r="F184" s="79" t="inlineStr">
        <is>
          <t>10009|916</t>
        </is>
      </c>
      <c r="G184" s="86" t="inlineStr">
        <is>
          <t>img_duoxianjian</t>
        </is>
      </c>
      <c r="H184" s="74" t="inlineStr">
        <is>
          <t>3</t>
        </is>
      </c>
      <c r="L184" s="86" t="inlineStr">
        <is>
          <t>25012</t>
        </is>
      </c>
      <c r="M184" s="86" t="inlineStr">
        <is>
          <t>115001|1655$10001|3000$345013|1</t>
        </is>
      </c>
      <c r="N184" s="86" t="inlineStr">
        <is>
          <t>345013</t>
        </is>
      </c>
      <c r="O184" s="93" t="inlineStr">
        <is>
          <t>415003</t>
        </is>
      </c>
      <c r="P184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84" s="74" t="inlineStr">
        <is>
          <t>137</t>
        </is>
      </c>
    </row>
    <row r="185" ht="54.75" customHeight="1" s="119">
      <c r="B185" s="86" t="inlineStr">
        <is>
          <t>25013</t>
        </is>
      </c>
      <c r="C185" s="87" t="inlineStr">
        <is>
          <t>元始天尊剑</t>
        </is>
      </c>
      <c r="D185" s="87" t="inlineStr">
        <is>
          <t>5</t>
        </is>
      </c>
      <c r="E185" s="74" t="inlineStr">
        <is>
          <t>0</t>
        </is>
      </c>
      <c r="F185" s="86" t="inlineStr">
        <is>
          <t>10003|870</t>
        </is>
      </c>
      <c r="G185" s="86" t="n"/>
      <c r="H185" s="74" t="inlineStr">
        <is>
          <t>4</t>
        </is>
      </c>
      <c r="L185" s="86" t="inlineStr">
        <is>
          <t>25013</t>
        </is>
      </c>
      <c r="M185" s="86" t="inlineStr">
        <is>
          <t>115001|1655$10001|3000$345014|1</t>
        </is>
      </c>
      <c r="N185" s="86" t="inlineStr">
        <is>
          <t>345014</t>
        </is>
      </c>
      <c r="O185" s="93" t="inlineStr">
        <is>
          <t>415004</t>
        </is>
      </c>
      <c r="P185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85" s="74" t="inlineStr">
        <is>
          <t>131</t>
        </is>
      </c>
    </row>
    <row r="186" ht="54.75" customHeight="1" s="119">
      <c r="B186" s="86" t="inlineStr">
        <is>
          <t>25014</t>
        </is>
      </c>
      <c r="C186" s="87" t="inlineStr">
        <is>
          <t>元始涅槃甲</t>
        </is>
      </c>
      <c r="D186" s="87" t="inlineStr">
        <is>
          <t>5</t>
        </is>
      </c>
      <c r="E186" s="74" t="inlineStr">
        <is>
          <t>1</t>
        </is>
      </c>
      <c r="F186" s="74" t="inlineStr">
        <is>
          <t>10004|649</t>
        </is>
      </c>
      <c r="G186" s="86" t="n"/>
      <c r="H186" s="74" t="inlineStr">
        <is>
          <t>4</t>
        </is>
      </c>
      <c r="L186" s="86" t="inlineStr">
        <is>
          <t>25014</t>
        </is>
      </c>
      <c r="M186" s="86" t="inlineStr">
        <is>
          <t>115001|1655$10001|3000$345015|1</t>
        </is>
      </c>
      <c r="N186" s="86" t="inlineStr">
        <is>
          <t>345015</t>
        </is>
      </c>
      <c r="O186" s="93" t="inlineStr">
        <is>
          <t>415004</t>
        </is>
      </c>
      <c r="P186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86" s="74" t="inlineStr">
        <is>
          <t>97</t>
        </is>
      </c>
    </row>
    <row r="187" ht="54.75" customHeight="1" s="119">
      <c r="B187" s="86" t="inlineStr">
        <is>
          <t>25015</t>
        </is>
      </c>
      <c r="C187" s="87" t="inlineStr">
        <is>
          <t>元始瞬空靴</t>
        </is>
      </c>
      <c r="D187" s="87" t="inlineStr">
        <is>
          <t>5</t>
        </is>
      </c>
      <c r="E187" s="74" t="inlineStr">
        <is>
          <t>2</t>
        </is>
      </c>
      <c r="F187" s="79" t="inlineStr">
        <is>
          <t>10001|3269</t>
        </is>
      </c>
      <c r="G187" s="86" t="n"/>
      <c r="H187" s="74" t="inlineStr">
        <is>
          <t>4</t>
        </is>
      </c>
      <c r="L187" s="86" t="inlineStr">
        <is>
          <t>25015</t>
        </is>
      </c>
      <c r="M187" s="86" t="inlineStr">
        <is>
          <t>115001|1655$10001|3000$345016|1</t>
        </is>
      </c>
      <c r="N187" s="86" t="inlineStr">
        <is>
          <t>345016</t>
        </is>
      </c>
      <c r="O187" s="93" t="inlineStr">
        <is>
          <t>415004</t>
        </is>
      </c>
      <c r="P187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87" s="74" t="inlineStr">
        <is>
          <t>490</t>
        </is>
      </c>
    </row>
    <row r="188" ht="54.75" customHeight="1" s="119">
      <c r="B188" s="86" t="inlineStr">
        <is>
          <t>25016</t>
        </is>
      </c>
      <c r="C188" s="87" t="inlineStr">
        <is>
          <t>元始浮屠珠</t>
        </is>
      </c>
      <c r="D188" s="87" t="inlineStr">
        <is>
          <t>5</t>
        </is>
      </c>
      <c r="E188" s="74" t="inlineStr">
        <is>
          <t>3</t>
        </is>
      </c>
      <c r="F188" s="79" t="inlineStr">
        <is>
          <t>10009|916</t>
        </is>
      </c>
      <c r="G188" s="86" t="n"/>
      <c r="H188" s="74" t="inlineStr">
        <is>
          <t>4</t>
        </is>
      </c>
      <c r="L188" s="86" t="inlineStr">
        <is>
          <t>25016</t>
        </is>
      </c>
      <c r="M188" s="86" t="inlineStr">
        <is>
          <t>115001|1655$10001|3000$345017|1</t>
        </is>
      </c>
      <c r="N188" s="86" t="inlineStr">
        <is>
          <t>345017</t>
        </is>
      </c>
      <c r="O188" s="93" t="inlineStr">
        <is>
          <t>415004</t>
        </is>
      </c>
      <c r="P188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88" s="74" t="inlineStr">
        <is>
          <t>137</t>
        </is>
      </c>
    </row>
    <row r="189" ht="54.75" customHeight="1" s="119">
      <c r="B189" s="86" t="inlineStr">
        <is>
          <t>25017</t>
        </is>
      </c>
      <c r="C189" s="87" t="inlineStr">
        <is>
          <t>万海玄冥鼎</t>
        </is>
      </c>
      <c r="D189" s="87" t="inlineStr">
        <is>
          <t>5</t>
        </is>
      </c>
      <c r="E189" s="74" t="inlineStr">
        <is>
          <t>0</t>
        </is>
      </c>
      <c r="F189" s="86" t="inlineStr">
        <is>
          <t>10003|640</t>
        </is>
      </c>
      <c r="G189" s="86" t="n"/>
      <c r="H189" s="74" t="inlineStr">
        <is>
          <t>5</t>
        </is>
      </c>
      <c r="L189" s="86" t="inlineStr">
        <is>
          <t>25017</t>
        </is>
      </c>
      <c r="M189" s="86" t="inlineStr">
        <is>
          <t>115001|1655$10001|3000$345018|1</t>
        </is>
      </c>
      <c r="N189" s="86" t="inlineStr">
        <is>
          <t>345018</t>
        </is>
      </c>
      <c r="O189" s="93" t="inlineStr">
        <is>
          <t>415005</t>
        </is>
      </c>
      <c r="P189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89" s="74" t="inlineStr">
        <is>
          <t>96</t>
        </is>
      </c>
    </row>
    <row r="190" ht="54.75" customHeight="1" s="119">
      <c r="B190" s="86" t="inlineStr">
        <is>
          <t>25018</t>
        </is>
      </c>
      <c r="C190" s="87" t="inlineStr">
        <is>
          <t>北冥玄武甲</t>
        </is>
      </c>
      <c r="D190" s="87" t="inlineStr">
        <is>
          <t>5</t>
        </is>
      </c>
      <c r="E190" s="74" t="inlineStr">
        <is>
          <t>1</t>
        </is>
      </c>
      <c r="F190" s="74" t="inlineStr">
        <is>
          <t>10004|763</t>
        </is>
      </c>
      <c r="G190" s="86" t="n"/>
      <c r="H190" s="74" t="inlineStr">
        <is>
          <t>5</t>
        </is>
      </c>
      <c r="L190" s="86" t="inlineStr">
        <is>
          <t>25018</t>
        </is>
      </c>
      <c r="M190" s="86" t="inlineStr">
        <is>
          <t>115001|1655$10001|3000$345019|1</t>
        </is>
      </c>
      <c r="N190" s="86" t="inlineStr">
        <is>
          <t>345019</t>
        </is>
      </c>
      <c r="O190" s="93" t="inlineStr">
        <is>
          <t>415005</t>
        </is>
      </c>
      <c r="P190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90" s="74" t="inlineStr">
        <is>
          <t>114</t>
        </is>
      </c>
    </row>
    <row r="191" ht="54.75" customHeight="1" s="119">
      <c r="B191" s="86" t="inlineStr">
        <is>
          <t>25019</t>
        </is>
      </c>
      <c r="C191" s="87" t="inlineStr">
        <is>
          <t>巨山开天靴</t>
        </is>
      </c>
      <c r="D191" s="87" t="inlineStr">
        <is>
          <t>5</t>
        </is>
      </c>
      <c r="E191" s="74" t="inlineStr">
        <is>
          <t>2</t>
        </is>
      </c>
      <c r="F191" s="79" t="inlineStr">
        <is>
          <t>10001|3865</t>
        </is>
      </c>
      <c r="G191" s="86" t="n"/>
      <c r="H191" s="74" t="inlineStr">
        <is>
          <t>5</t>
        </is>
      </c>
      <c r="L191" s="86" t="inlineStr">
        <is>
          <t>25019</t>
        </is>
      </c>
      <c r="M191" s="86" t="inlineStr">
        <is>
          <t>115001|1655$10001|3000$345020|1</t>
        </is>
      </c>
      <c r="N191" s="86" t="inlineStr">
        <is>
          <t>345020</t>
        </is>
      </c>
      <c r="O191" s="93" t="inlineStr">
        <is>
          <t>415005</t>
        </is>
      </c>
      <c r="P191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91" s="74" t="inlineStr">
        <is>
          <t>580</t>
        </is>
      </c>
    </row>
    <row r="192" ht="54.75" customHeight="1" s="119">
      <c r="B192" s="86" t="inlineStr">
        <is>
          <t>25020</t>
        </is>
      </c>
      <c r="C192" s="87" t="inlineStr">
        <is>
          <t>幻海潮汐珠</t>
        </is>
      </c>
      <c r="D192" s="87" t="inlineStr">
        <is>
          <t>5</t>
        </is>
      </c>
      <c r="E192" s="74" t="inlineStr">
        <is>
          <t>3</t>
        </is>
      </c>
      <c r="F192" s="79" t="inlineStr">
        <is>
          <t>10009|916</t>
        </is>
      </c>
      <c r="G192" s="86" t="n"/>
      <c r="H192" s="74" t="inlineStr">
        <is>
          <t>5</t>
        </is>
      </c>
      <c r="L192" s="86" t="inlineStr">
        <is>
          <t>25020</t>
        </is>
      </c>
      <c r="M192" s="86" t="inlineStr">
        <is>
          <t>115001|1655$10001|3000$345021|1</t>
        </is>
      </c>
      <c r="N192" s="86" t="inlineStr">
        <is>
          <t>345021</t>
        </is>
      </c>
      <c r="O192" s="93" t="inlineStr">
        <is>
          <t>415005</t>
        </is>
      </c>
      <c r="P192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92" s="74" t="inlineStr">
        <is>
          <t>137</t>
        </is>
      </c>
    </row>
    <row r="193" ht="54.75" customHeight="1" s="119">
      <c r="B193" s="86" t="inlineStr">
        <is>
          <t>25021</t>
        </is>
      </c>
      <c r="C193" s="87" t="inlineStr">
        <is>
          <t>飞云玉花刀</t>
        </is>
      </c>
      <c r="D193" s="87" t="inlineStr">
        <is>
          <t>5</t>
        </is>
      </c>
      <c r="E193" s="74" t="inlineStr">
        <is>
          <t>0</t>
        </is>
      </c>
      <c r="F193" s="86" t="inlineStr">
        <is>
          <t>10003|880</t>
        </is>
      </c>
      <c r="G193" s="86" t="n"/>
      <c r="H193" s="74" t="inlineStr">
        <is>
          <t>6</t>
        </is>
      </c>
      <c r="L193" s="86" t="inlineStr">
        <is>
          <t>25021</t>
        </is>
      </c>
      <c r="M193" s="86" t="inlineStr">
        <is>
          <t>115001|1655$10001|3000$345022|1</t>
        </is>
      </c>
      <c r="N193" s="86" t="inlineStr">
        <is>
          <t>345022</t>
        </is>
      </c>
      <c r="O193" s="93" t="inlineStr">
        <is>
          <t>415006</t>
        </is>
      </c>
      <c r="P193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93" s="74" t="inlineStr">
        <is>
          <t>132</t>
        </is>
      </c>
    </row>
    <row r="194" ht="54.75" customHeight="1" s="119">
      <c r="B194" s="86" t="inlineStr">
        <is>
          <t>25022</t>
        </is>
      </c>
      <c r="C194" s="87" t="inlineStr">
        <is>
          <t>羽化鹤翎衣</t>
        </is>
      </c>
      <c r="D194" s="87" t="inlineStr">
        <is>
          <t>5</t>
        </is>
      </c>
      <c r="E194" s="74" t="inlineStr">
        <is>
          <t>1</t>
        </is>
      </c>
      <c r="F194" s="74" t="inlineStr">
        <is>
          <t>10004|645</t>
        </is>
      </c>
      <c r="G194" s="86" t="n"/>
      <c r="H194" s="74" t="inlineStr">
        <is>
          <t>6</t>
        </is>
      </c>
      <c r="L194" s="86" t="inlineStr">
        <is>
          <t>25022</t>
        </is>
      </c>
      <c r="M194" s="86" t="inlineStr">
        <is>
          <t>115001|1655$10001|3000$345023|1</t>
        </is>
      </c>
      <c r="N194" s="86" t="inlineStr">
        <is>
          <t>345023</t>
        </is>
      </c>
      <c r="O194" s="93" t="inlineStr">
        <is>
          <t>415006</t>
        </is>
      </c>
      <c r="P194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94" s="74" t="inlineStr">
        <is>
          <t>97</t>
        </is>
      </c>
    </row>
    <row r="195" ht="54.75" customHeight="1" s="119">
      <c r="B195" s="86" t="inlineStr">
        <is>
          <t>25023</t>
        </is>
      </c>
      <c r="C195" s="87" t="inlineStr">
        <is>
          <t>云卷曼妙靴</t>
        </is>
      </c>
      <c r="D195" s="87" t="inlineStr">
        <is>
          <t>5</t>
        </is>
      </c>
      <c r="E195" s="74" t="inlineStr">
        <is>
          <t>2</t>
        </is>
      </c>
      <c r="F195" s="79" t="inlineStr">
        <is>
          <t>10001|3260</t>
        </is>
      </c>
      <c r="G195" s="86" t="n"/>
      <c r="H195" s="74" t="inlineStr">
        <is>
          <t>6</t>
        </is>
      </c>
      <c r="L195" s="86" t="inlineStr">
        <is>
          <t>25023</t>
        </is>
      </c>
      <c r="M195" s="86" t="inlineStr">
        <is>
          <t>115001|1655$10001|3000$345024|1</t>
        </is>
      </c>
      <c r="N195" s="86" t="inlineStr">
        <is>
          <t>345024</t>
        </is>
      </c>
      <c r="O195" s="93" t="inlineStr">
        <is>
          <t>415006</t>
        </is>
      </c>
      <c r="P195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95" s="74" t="inlineStr">
        <is>
          <t>489</t>
        </is>
      </c>
    </row>
    <row r="196" ht="54.75" customHeight="1" s="119">
      <c r="B196" s="86" t="inlineStr">
        <is>
          <t>25024</t>
        </is>
      </c>
      <c r="C196" s="87" t="inlineStr">
        <is>
          <t>红尘飞云坠</t>
        </is>
      </c>
      <c r="D196" s="87" t="inlineStr">
        <is>
          <t>5</t>
        </is>
      </c>
      <c r="E196" s="74" t="inlineStr">
        <is>
          <t>3</t>
        </is>
      </c>
      <c r="F196" s="79" t="inlineStr">
        <is>
          <t>10009|916</t>
        </is>
      </c>
      <c r="G196" s="86" t="n"/>
      <c r="H196" s="74" t="inlineStr">
        <is>
          <t>6</t>
        </is>
      </c>
      <c r="L196" s="86" t="inlineStr">
        <is>
          <t>25024</t>
        </is>
      </c>
      <c r="M196" s="86" t="inlineStr">
        <is>
          <t>115001|1655$10001|3000$345025|1</t>
        </is>
      </c>
      <c r="N196" s="86" t="inlineStr">
        <is>
          <t>345025</t>
        </is>
      </c>
      <c r="O196" s="93" t="inlineStr">
        <is>
          <t>415006</t>
        </is>
      </c>
      <c r="P196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96" s="74" t="inlineStr">
        <is>
          <t>137</t>
        </is>
      </c>
    </row>
    <row r="197" ht="54.75" customHeight="1" s="119">
      <c r="B197" s="86" t="inlineStr">
        <is>
          <t>25025</t>
        </is>
      </c>
      <c r="C197" s="87" t="inlineStr">
        <is>
          <t>月华流光镜</t>
        </is>
      </c>
      <c r="D197" s="87" t="inlineStr">
        <is>
          <t>5</t>
        </is>
      </c>
      <c r="E197" s="74" t="inlineStr">
        <is>
          <t>0</t>
        </is>
      </c>
      <c r="F197" s="86" t="inlineStr">
        <is>
          <t>10003|817</t>
        </is>
      </c>
      <c r="G197" s="86" t="n"/>
      <c r="H197" s="74" t="inlineStr">
        <is>
          <t>7</t>
        </is>
      </c>
      <c r="L197" s="86" t="inlineStr">
        <is>
          <t>25025</t>
        </is>
      </c>
      <c r="M197" s="86" t="inlineStr">
        <is>
          <t>115001|1655$10001|3000$345026|1</t>
        </is>
      </c>
      <c r="N197" s="86" t="inlineStr">
        <is>
          <t>345026</t>
        </is>
      </c>
      <c r="O197" s="93" t="inlineStr">
        <is>
          <t>415007</t>
        </is>
      </c>
      <c r="P197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97" s="74" t="inlineStr">
        <is>
          <t>123</t>
        </is>
      </c>
    </row>
    <row r="198" ht="54.75" customHeight="1" s="119">
      <c r="B198" s="86" t="inlineStr">
        <is>
          <t>25026</t>
        </is>
      </c>
      <c r="C198" s="87" t="inlineStr">
        <is>
          <t>月莹飞仙衣</t>
        </is>
      </c>
      <c r="D198" s="87" t="inlineStr">
        <is>
          <t>5</t>
        </is>
      </c>
      <c r="E198" s="74" t="inlineStr">
        <is>
          <t>1</t>
        </is>
      </c>
      <c r="F198" s="74" t="inlineStr">
        <is>
          <t>10004|645</t>
        </is>
      </c>
      <c r="G198" s="86" t="n"/>
      <c r="H198" s="74" t="inlineStr">
        <is>
          <t>7</t>
        </is>
      </c>
      <c r="L198" s="86" t="inlineStr">
        <is>
          <t>25026</t>
        </is>
      </c>
      <c r="M198" s="86" t="inlineStr">
        <is>
          <t>115001|1655$10001|3000$345027|1</t>
        </is>
      </c>
      <c r="N198" s="86" t="inlineStr">
        <is>
          <t>345027</t>
        </is>
      </c>
      <c r="O198" s="93" t="inlineStr">
        <is>
          <t>415007</t>
        </is>
      </c>
      <c r="P198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98" s="74" t="inlineStr">
        <is>
          <t>97</t>
        </is>
      </c>
    </row>
    <row r="199" ht="54.75" customHeight="1" s="119">
      <c r="B199" s="86" t="inlineStr">
        <is>
          <t>25027</t>
        </is>
      </c>
      <c r="C199" s="87" t="inlineStr">
        <is>
          <t>皓月空照靴</t>
        </is>
      </c>
      <c r="D199" s="87" t="inlineStr">
        <is>
          <t>5</t>
        </is>
      </c>
      <c r="E199" s="74" t="inlineStr">
        <is>
          <t>2</t>
        </is>
      </c>
      <c r="F199" s="79" t="inlineStr">
        <is>
          <t>10001|3120</t>
        </is>
      </c>
      <c r="G199" s="86" t="n"/>
      <c r="H199" s="74" t="inlineStr">
        <is>
          <t>7</t>
        </is>
      </c>
      <c r="L199" s="86" t="inlineStr">
        <is>
          <t>25027</t>
        </is>
      </c>
      <c r="M199" s="86" t="inlineStr">
        <is>
          <t>115001|1655$10001|3000$345028|1</t>
        </is>
      </c>
      <c r="N199" s="86" t="inlineStr">
        <is>
          <t>345028</t>
        </is>
      </c>
      <c r="O199" s="93" t="inlineStr">
        <is>
          <t>415007</t>
        </is>
      </c>
      <c r="P199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199" s="74" t="inlineStr">
        <is>
          <t>468</t>
        </is>
      </c>
    </row>
    <row r="200" ht="54.75" customHeight="1" s="119">
      <c r="B200" s="86" t="inlineStr">
        <is>
          <t>25028</t>
        </is>
      </c>
      <c r="C200" s="87" t="inlineStr">
        <is>
          <t>月华枫露珠</t>
        </is>
      </c>
      <c r="D200" s="87" t="inlineStr">
        <is>
          <t>5</t>
        </is>
      </c>
      <c r="E200" s="74" t="inlineStr">
        <is>
          <t>3</t>
        </is>
      </c>
      <c r="F200" s="79" t="inlineStr">
        <is>
          <t>10009|916</t>
        </is>
      </c>
      <c r="G200" s="86" t="n"/>
      <c r="H200" s="74" t="inlineStr">
        <is>
          <t>7</t>
        </is>
      </c>
      <c r="L200" s="86" t="inlineStr">
        <is>
          <t>25028</t>
        </is>
      </c>
      <c r="M200" s="86" t="inlineStr">
        <is>
          <t>115001|1655$10001|3000$345029|1</t>
        </is>
      </c>
      <c r="N200" s="86" t="inlineStr">
        <is>
          <t>345029</t>
        </is>
      </c>
      <c r="O200" s="93" t="inlineStr">
        <is>
          <t>415007</t>
        </is>
      </c>
      <c r="P200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00" s="74" t="inlineStr">
        <is>
          <t>137</t>
        </is>
      </c>
    </row>
    <row r="201" ht="54.75" customHeight="1" s="119">
      <c r="B201" s="86" t="inlineStr">
        <is>
          <t>25029</t>
        </is>
      </c>
      <c r="C201" s="87" t="inlineStr">
        <is>
          <t>乙木长生鼎</t>
        </is>
      </c>
      <c r="D201" s="87" t="inlineStr">
        <is>
          <t>5</t>
        </is>
      </c>
      <c r="E201" s="74" t="inlineStr">
        <is>
          <t>0</t>
        </is>
      </c>
      <c r="F201" s="86" t="inlineStr">
        <is>
          <t>10003|760</t>
        </is>
      </c>
      <c r="G201" s="86" t="n"/>
      <c r="H201" s="74" t="inlineStr">
        <is>
          <t>8</t>
        </is>
      </c>
      <c r="L201" s="86" t="inlineStr">
        <is>
          <t>25029</t>
        </is>
      </c>
      <c r="M201" s="86" t="inlineStr">
        <is>
          <t>115001|1655$10001|3000$345030|1</t>
        </is>
      </c>
      <c r="N201" s="86" t="inlineStr">
        <is>
          <t>345030</t>
        </is>
      </c>
      <c r="O201" s="93" t="inlineStr">
        <is>
          <t>415008</t>
        </is>
      </c>
      <c r="P201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01" s="74" t="inlineStr">
        <is>
          <t>114</t>
        </is>
      </c>
    </row>
    <row r="202" ht="54.75" customHeight="1" s="119">
      <c r="B202" s="86" t="inlineStr">
        <is>
          <t>25030</t>
        </is>
      </c>
      <c r="C202" s="87" t="inlineStr">
        <is>
          <t>万年青木袍</t>
        </is>
      </c>
      <c r="D202" s="87" t="inlineStr">
        <is>
          <t>5</t>
        </is>
      </c>
      <c r="E202" s="74" t="inlineStr">
        <is>
          <t>1</t>
        </is>
      </c>
      <c r="F202" s="74" t="inlineStr">
        <is>
          <t>10004|690</t>
        </is>
      </c>
      <c r="G202" s="86" t="n"/>
      <c r="H202" s="74" t="inlineStr">
        <is>
          <t>8</t>
        </is>
      </c>
      <c r="L202" s="86" t="inlineStr">
        <is>
          <t>25030</t>
        </is>
      </c>
      <c r="M202" s="86" t="inlineStr">
        <is>
          <t>115001|1655$10001|3000$345031|1</t>
        </is>
      </c>
      <c r="N202" s="86" t="inlineStr">
        <is>
          <t>345031</t>
        </is>
      </c>
      <c r="O202" s="93" t="inlineStr">
        <is>
          <t>415008</t>
        </is>
      </c>
      <c r="P202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02" s="74" t="inlineStr">
        <is>
          <t>104</t>
        </is>
      </c>
    </row>
    <row r="203" ht="54.75" customHeight="1" s="119">
      <c r="B203" s="86" t="inlineStr">
        <is>
          <t>25031</t>
        </is>
      </c>
      <c r="C203" s="87" t="inlineStr">
        <is>
          <t>众生灵功靴</t>
        </is>
      </c>
      <c r="D203" s="87" t="inlineStr">
        <is>
          <t>5</t>
        </is>
      </c>
      <c r="E203" s="74" t="inlineStr">
        <is>
          <t>2</t>
        </is>
      </c>
      <c r="F203" s="79" t="inlineStr">
        <is>
          <t>10001|3930</t>
        </is>
      </c>
      <c r="G203" s="86" t="n"/>
      <c r="H203" s="74" t="inlineStr">
        <is>
          <t>8</t>
        </is>
      </c>
      <c r="L203" s="86" t="inlineStr">
        <is>
          <t>25031</t>
        </is>
      </c>
      <c r="M203" s="86" t="inlineStr">
        <is>
          <t>115001|1655$10001|3000$345032|1</t>
        </is>
      </c>
      <c r="N203" s="86" t="inlineStr">
        <is>
          <t>345032</t>
        </is>
      </c>
      <c r="O203" s="93" t="inlineStr">
        <is>
          <t>415008</t>
        </is>
      </c>
      <c r="P203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03" s="74" t="inlineStr">
        <is>
          <t>590</t>
        </is>
      </c>
    </row>
    <row r="204" ht="54.75" customHeight="1" s="119">
      <c r="B204" s="86" t="inlineStr">
        <is>
          <t>25032</t>
        </is>
      </c>
      <c r="C204" s="87" t="inlineStr">
        <is>
          <t>回春木辉珠</t>
        </is>
      </c>
      <c r="D204" s="87" t="inlineStr">
        <is>
          <t>5</t>
        </is>
      </c>
      <c r="E204" s="74" t="inlineStr">
        <is>
          <t>3</t>
        </is>
      </c>
      <c r="F204" s="79" t="inlineStr">
        <is>
          <t>10009|916</t>
        </is>
      </c>
      <c r="G204" s="86" t="n"/>
      <c r="H204" s="74" t="inlineStr">
        <is>
          <t>8</t>
        </is>
      </c>
      <c r="L204" s="86" t="inlineStr">
        <is>
          <t>25032</t>
        </is>
      </c>
      <c r="M204" s="86" t="inlineStr">
        <is>
          <t>115001|1655$10001|3000$345033|1</t>
        </is>
      </c>
      <c r="N204" s="86" t="inlineStr">
        <is>
          <t>345033</t>
        </is>
      </c>
      <c r="O204" s="93" t="inlineStr">
        <is>
          <t>415008</t>
        </is>
      </c>
      <c r="P204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04" s="74" t="inlineStr">
        <is>
          <t>137</t>
        </is>
      </c>
    </row>
    <row r="205" ht="54.75" customHeight="1" s="119">
      <c r="B205" s="86" t="inlineStr">
        <is>
          <t>25033</t>
        </is>
      </c>
      <c r="C205" s="87" t="inlineStr">
        <is>
          <t>不灭玄骨镜</t>
        </is>
      </c>
      <c r="D205" s="87" t="inlineStr">
        <is>
          <t>5</t>
        </is>
      </c>
      <c r="E205" s="74" t="inlineStr">
        <is>
          <t>0</t>
        </is>
      </c>
      <c r="F205" s="86" t="inlineStr">
        <is>
          <t>10003|880</t>
        </is>
      </c>
      <c r="G205" s="86" t="n"/>
      <c r="H205" s="74" t="inlineStr">
        <is>
          <t>9</t>
        </is>
      </c>
      <c r="L205" s="86" t="inlineStr">
        <is>
          <t>25033</t>
        </is>
      </c>
      <c r="M205" s="86" t="inlineStr">
        <is>
          <t>115001|1655$10001|3000$345034|1</t>
        </is>
      </c>
      <c r="N205" s="86" t="inlineStr">
        <is>
          <t>345034</t>
        </is>
      </c>
      <c r="O205" s="93" t="inlineStr">
        <is>
          <t>415009</t>
        </is>
      </c>
      <c r="P205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05" s="74" t="inlineStr">
        <is>
          <t>132</t>
        </is>
      </c>
    </row>
    <row r="206" ht="54.75" customHeight="1" s="119">
      <c r="B206" s="86" t="inlineStr">
        <is>
          <t>25034</t>
        </is>
      </c>
      <c r="C206" s="87" t="inlineStr">
        <is>
          <t>万骨幽冥铠</t>
        </is>
      </c>
      <c r="D206" s="87" t="inlineStr">
        <is>
          <t>5</t>
        </is>
      </c>
      <c r="E206" s="74" t="inlineStr">
        <is>
          <t>1</t>
        </is>
      </c>
      <c r="F206" s="74" t="inlineStr">
        <is>
          <t>10004|720</t>
        </is>
      </c>
      <c r="G206" s="86" t="n"/>
      <c r="H206" s="74" t="inlineStr">
        <is>
          <t>9</t>
        </is>
      </c>
      <c r="L206" s="86" t="inlineStr">
        <is>
          <t>25034</t>
        </is>
      </c>
      <c r="M206" s="86" t="inlineStr">
        <is>
          <t>115001|1655$10001|3000$345035|1</t>
        </is>
      </c>
      <c r="N206" s="86" t="inlineStr">
        <is>
          <t>345035</t>
        </is>
      </c>
      <c r="O206" s="93" t="inlineStr">
        <is>
          <t>415009</t>
        </is>
      </c>
      <c r="P206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06" s="74" t="inlineStr">
        <is>
          <t>108</t>
        </is>
      </c>
    </row>
    <row r="207" ht="54.75" customHeight="1" s="119">
      <c r="B207" s="86" t="inlineStr">
        <is>
          <t>25035</t>
        </is>
      </c>
      <c r="C207" s="87" t="inlineStr">
        <is>
          <t>紫骨宝玉靴</t>
        </is>
      </c>
      <c r="D207" s="87" t="inlineStr">
        <is>
          <t>5</t>
        </is>
      </c>
      <c r="E207" s="74" t="inlineStr">
        <is>
          <t>2</t>
        </is>
      </c>
      <c r="F207" s="79" t="inlineStr">
        <is>
          <t>10001|3566</t>
        </is>
      </c>
      <c r="G207" s="86" t="n"/>
      <c r="H207" s="74" t="inlineStr">
        <is>
          <t>9</t>
        </is>
      </c>
      <c r="L207" s="86" t="inlineStr">
        <is>
          <t>25035</t>
        </is>
      </c>
      <c r="M207" s="86" t="inlineStr">
        <is>
          <t>115001|1655$10001|3000$345036|1</t>
        </is>
      </c>
      <c r="N207" s="86" t="inlineStr">
        <is>
          <t>345036</t>
        </is>
      </c>
      <c r="O207" s="93" t="inlineStr">
        <is>
          <t>415009</t>
        </is>
      </c>
      <c r="P207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07" s="74" t="inlineStr">
        <is>
          <t>535</t>
        </is>
      </c>
    </row>
    <row r="208" ht="54.75" customHeight="1" s="119">
      <c r="B208" s="86" t="inlineStr">
        <is>
          <t>25036</t>
        </is>
      </c>
      <c r="C208" s="87" t="inlineStr">
        <is>
          <t>帝骨无相珠</t>
        </is>
      </c>
      <c r="D208" s="87" t="inlineStr">
        <is>
          <t>5</t>
        </is>
      </c>
      <c r="E208" s="74" t="inlineStr">
        <is>
          <t>3</t>
        </is>
      </c>
      <c r="F208" s="79" t="inlineStr">
        <is>
          <t>10009|916</t>
        </is>
      </c>
      <c r="G208" s="86" t="n"/>
      <c r="H208" s="74" t="inlineStr">
        <is>
          <t>9</t>
        </is>
      </c>
      <c r="L208" s="86" t="inlineStr">
        <is>
          <t>25036</t>
        </is>
      </c>
      <c r="M208" s="86" t="inlineStr">
        <is>
          <t>115001|1655$10001|3000$345037|1</t>
        </is>
      </c>
      <c r="N208" s="86" t="inlineStr">
        <is>
          <t>345037</t>
        </is>
      </c>
      <c r="O208" s="93" t="inlineStr">
        <is>
          <t>415009</t>
        </is>
      </c>
      <c r="P208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08" s="74" t="inlineStr">
        <is>
          <t>137</t>
        </is>
      </c>
    </row>
    <row r="209" ht="54.75" customHeight="1" s="119">
      <c r="B209" s="86" t="inlineStr">
        <is>
          <t>25037</t>
        </is>
      </c>
      <c r="C209" s="87" t="inlineStr">
        <is>
          <t>洪荒斩圣枪</t>
        </is>
      </c>
      <c r="D209" s="87" t="inlineStr">
        <is>
          <t>5</t>
        </is>
      </c>
      <c r="E209" s="74" t="inlineStr">
        <is>
          <t>0</t>
        </is>
      </c>
      <c r="F209" s="86" t="inlineStr">
        <is>
          <t>10003|1010</t>
        </is>
      </c>
      <c r="G209" s="86" t="n"/>
      <c r="H209" s="74" t="inlineStr">
        <is>
          <t>10</t>
        </is>
      </c>
      <c r="L209" s="86" t="inlineStr">
        <is>
          <t>25037</t>
        </is>
      </c>
      <c r="M209" s="86" t="inlineStr">
        <is>
          <t>115001|1655$10001|3000$345038|1</t>
        </is>
      </c>
      <c r="N209" s="86" t="inlineStr">
        <is>
          <t>345038</t>
        </is>
      </c>
      <c r="O209" s="93" t="inlineStr">
        <is>
          <t>415010</t>
        </is>
      </c>
      <c r="P209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09" s="74" t="inlineStr">
        <is>
          <t>152</t>
        </is>
      </c>
    </row>
    <row r="210" ht="54.75" customHeight="1" s="119">
      <c r="B210" s="86" t="inlineStr">
        <is>
          <t>25038</t>
        </is>
      </c>
      <c r="C210" s="87" t="inlineStr">
        <is>
          <t>洪荒天妖铠</t>
        </is>
      </c>
      <c r="D210" s="87" t="inlineStr">
        <is>
          <t>5</t>
        </is>
      </c>
      <c r="E210" s="74" t="inlineStr">
        <is>
          <t>1</t>
        </is>
      </c>
      <c r="F210" s="74" t="inlineStr">
        <is>
          <t>10004|645</t>
        </is>
      </c>
      <c r="G210" s="86" t="n"/>
      <c r="H210" s="74" t="inlineStr">
        <is>
          <t>10</t>
        </is>
      </c>
      <c r="L210" s="86" t="inlineStr">
        <is>
          <t>25038</t>
        </is>
      </c>
      <c r="M210" s="86" t="inlineStr">
        <is>
          <t>115001|1655$10001|3000$345039|1</t>
        </is>
      </c>
      <c r="N210" s="86" t="inlineStr">
        <is>
          <t>345039</t>
        </is>
      </c>
      <c r="O210" s="93" t="inlineStr">
        <is>
          <t>415010</t>
        </is>
      </c>
      <c r="P210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10" s="74" t="inlineStr">
        <is>
          <t>97</t>
        </is>
      </c>
    </row>
    <row r="211">
      <c r="B211" s="86" t="inlineStr">
        <is>
          <t>25039</t>
        </is>
      </c>
      <c r="C211" s="87" t="inlineStr">
        <is>
          <t>洪荒百战靴</t>
        </is>
      </c>
      <c r="D211" s="87" t="inlineStr">
        <is>
          <t>5</t>
        </is>
      </c>
      <c r="E211" s="74" t="inlineStr">
        <is>
          <t>2</t>
        </is>
      </c>
      <c r="F211" s="79" t="inlineStr">
        <is>
          <t>10001|3260</t>
        </is>
      </c>
      <c r="G211" s="86" t="n"/>
      <c r="H211" s="74" t="inlineStr">
        <is>
          <t>10</t>
        </is>
      </c>
      <c r="L211" s="86" t="inlineStr">
        <is>
          <t>25039</t>
        </is>
      </c>
      <c r="M211" s="86" t="inlineStr">
        <is>
          <t>115001|1655$10001|3000$345040|1</t>
        </is>
      </c>
      <c r="N211" s="86" t="inlineStr">
        <is>
          <t>345040</t>
        </is>
      </c>
      <c r="O211" s="93" t="inlineStr">
        <is>
          <t>415010</t>
        </is>
      </c>
      <c r="P211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11" s="74" t="inlineStr">
        <is>
          <t>489</t>
        </is>
      </c>
    </row>
    <row r="212">
      <c r="B212" s="86" t="inlineStr">
        <is>
          <t>25040</t>
        </is>
      </c>
      <c r="C212" s="87" t="inlineStr">
        <is>
          <t>洪荒天命珠</t>
        </is>
      </c>
      <c r="D212" s="87" t="inlineStr">
        <is>
          <t>5</t>
        </is>
      </c>
      <c r="E212" s="74" t="inlineStr">
        <is>
          <t>3</t>
        </is>
      </c>
      <c r="F212" s="79" t="inlineStr">
        <is>
          <t>10009|916</t>
        </is>
      </c>
      <c r="G212" s="86" t="n"/>
      <c r="H212" s="74" t="inlineStr">
        <is>
          <t>10</t>
        </is>
      </c>
      <c r="L212" s="86" t="inlineStr">
        <is>
          <t>25040</t>
        </is>
      </c>
      <c r="M212" s="86" t="inlineStr">
        <is>
          <t>115001|1655$10001|3000$345041|1</t>
        </is>
      </c>
      <c r="N212" s="86" t="inlineStr">
        <is>
          <t>345041</t>
        </is>
      </c>
      <c r="O212" s="93" t="inlineStr">
        <is>
          <t>415010</t>
        </is>
      </c>
      <c r="P212" s="74" t="inlineStr">
        <is>
      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      </is>
      </c>
      <c r="Q212" s="74" t="inlineStr">
        <is>
          <t>137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36"/>
  <sheetViews>
    <sheetView topLeftCell="BH18" workbookViewId="0">
      <selection activeCell="M30" sqref="M30:P30"/>
    </sheetView>
  </sheetViews>
  <sheetFormatPr baseColWidth="8" defaultColWidth="9" defaultRowHeight="13.5"/>
  <sheetData>
    <row r="1">
      <c r="A1" s="105" t="inlineStr">
        <is>
          <t>帝血长空刀</t>
        </is>
      </c>
      <c r="E1" s="105" t="inlineStr">
        <is>
          <t>帝血狂鲸甲</t>
        </is>
      </c>
      <c r="I1" s="106" t="inlineStr">
        <is>
          <t>帝血纵云靴</t>
        </is>
      </c>
      <c r="M1" s="106" t="inlineStr">
        <is>
          <t>帝血浮生珠</t>
        </is>
      </c>
      <c r="Q1" s="105" t="inlineStr">
        <is>
          <t>九转天龙枪</t>
        </is>
      </c>
      <c r="U1" s="96" t="inlineStr">
        <is>
          <t>云龙亮银甲</t>
        </is>
      </c>
      <c r="Y1" s="96" t="inlineStr">
        <is>
          <t>四海玉龙靴</t>
        </is>
      </c>
      <c r="AC1" s="97" t="inlineStr">
        <is>
          <t>黑龙玄牡珠</t>
        </is>
      </c>
      <c r="AG1" s="97" t="inlineStr">
        <is>
          <t>太上神风剑</t>
        </is>
      </c>
      <c r="AK1" s="97" t="inlineStr">
        <is>
          <t>玉虚须弥甲</t>
        </is>
      </c>
      <c r="AO1" s="97" t="inlineStr">
        <is>
          <t>太上清风靴</t>
        </is>
      </c>
      <c r="AS1" s="97" t="inlineStr">
        <is>
          <t>万仙轮回玉</t>
        </is>
      </c>
      <c r="AW1" s="96" t="inlineStr">
        <is>
          <t>元始天尊剑</t>
        </is>
      </c>
      <c r="BA1" s="96" t="inlineStr">
        <is>
          <t>元始涅槃甲</t>
        </is>
      </c>
      <c r="BE1" s="96" t="inlineStr">
        <is>
          <t>元始瞬空靴</t>
        </is>
      </c>
      <c r="BI1" s="97" t="inlineStr">
        <is>
          <t>元始浮屠珠</t>
        </is>
      </c>
      <c r="BM1" s="97" t="inlineStr">
        <is>
          <t>万海玄冥鼎</t>
        </is>
      </c>
      <c r="BQ1" s="97" t="inlineStr">
        <is>
          <t>北冥玄武甲</t>
        </is>
      </c>
      <c r="BU1" s="97" t="inlineStr">
        <is>
          <t>巨山开天靴</t>
        </is>
      </c>
      <c r="BY1" s="97" t="inlineStr">
        <is>
          <t>幻海潮汐珠</t>
        </is>
      </c>
      <c r="CC1" s="96" t="inlineStr">
        <is>
          <t>飞云玉花刀</t>
        </is>
      </c>
      <c r="CG1" s="96" t="inlineStr">
        <is>
          <t>羽化鹤翎衣</t>
        </is>
      </c>
      <c r="CK1" s="96" t="inlineStr">
        <is>
          <t>云卷曼妙靴</t>
        </is>
      </c>
      <c r="CO1" s="97" t="inlineStr">
        <is>
          <t>红尘飞云坠</t>
        </is>
      </c>
      <c r="CS1" s="97" t="inlineStr">
        <is>
          <t>月华流光镜</t>
        </is>
      </c>
      <c r="CW1" s="97" t="inlineStr">
        <is>
          <t>月莹飞仙衣</t>
        </is>
      </c>
      <c r="DA1" s="97" t="inlineStr">
        <is>
          <t>皓月空照靴</t>
        </is>
      </c>
      <c r="DE1" s="97" t="inlineStr">
        <is>
          <t>月华枫露珠</t>
        </is>
      </c>
      <c r="DI1" s="97" t="inlineStr">
        <is>
          <t>乙木长生鼎</t>
        </is>
      </c>
      <c r="DM1" s="97" t="inlineStr">
        <is>
          <t>万年青木袍</t>
        </is>
      </c>
      <c r="DQ1" s="97" t="inlineStr">
        <is>
          <t>众生灵功靴</t>
        </is>
      </c>
      <c r="DU1" s="97" t="inlineStr">
        <is>
          <t>回春木辉珠</t>
        </is>
      </c>
      <c r="DY1" s="97" t="inlineStr">
        <is>
          <t>不灭玄骨镜</t>
        </is>
      </c>
      <c r="EC1" s="97" t="inlineStr">
        <is>
          <t>万骨幽冥铠</t>
        </is>
      </c>
      <c r="EG1" s="97" t="inlineStr">
        <is>
          <t>紫骨宝玉靴</t>
        </is>
      </c>
      <c r="EK1" s="97" t="inlineStr">
        <is>
          <t>帝骨无相珠</t>
        </is>
      </c>
      <c r="EO1" s="97" t="inlineStr">
        <is>
          <t>洪荒斩圣枪</t>
        </is>
      </c>
      <c r="ES1" s="97" t="inlineStr">
        <is>
          <t>洪荒天妖铠</t>
        </is>
      </c>
      <c r="EW1" s="97" t="inlineStr">
        <is>
          <t>洪荒百战靴</t>
        </is>
      </c>
      <c r="FA1" s="97" t="inlineStr">
        <is>
          <t>洪荒天命珠</t>
        </is>
      </c>
    </row>
    <row r="2" ht="27" customHeight="1" s="119">
      <c r="B2" s="46" t="inlineStr">
        <is>
          <t>初始值</t>
        </is>
      </c>
      <c r="C2" s="46" t="inlineStr">
        <is>
          <t>每级增长</t>
        </is>
      </c>
      <c r="D2" s="47" t="inlineStr">
        <is>
          <t>每级攻击变化</t>
        </is>
      </c>
      <c r="F2" s="46" t="inlineStr">
        <is>
          <t>初始值</t>
        </is>
      </c>
      <c r="G2" s="46" t="inlineStr">
        <is>
          <t>每级增长</t>
        </is>
      </c>
      <c r="H2" s="47" t="inlineStr">
        <is>
          <t>每级变化</t>
        </is>
      </c>
      <c r="J2" s="46" t="inlineStr">
        <is>
          <t>初始值</t>
        </is>
      </c>
      <c r="K2" s="46" t="inlineStr">
        <is>
          <t>每级增长</t>
        </is>
      </c>
      <c r="L2" s="47" t="inlineStr">
        <is>
          <t>每级变化</t>
        </is>
      </c>
      <c r="N2" s="46" t="inlineStr">
        <is>
          <t>初始值</t>
        </is>
      </c>
      <c r="O2" s="46" t="inlineStr">
        <is>
          <t>每级增长</t>
        </is>
      </c>
      <c r="P2" s="47" t="inlineStr">
        <is>
          <t>每级变化</t>
        </is>
      </c>
      <c r="R2" s="46" t="inlineStr">
        <is>
          <t>初始值</t>
        </is>
      </c>
      <c r="S2" s="46" t="inlineStr">
        <is>
          <t>每级增长</t>
        </is>
      </c>
      <c r="T2" s="47" t="inlineStr">
        <is>
          <t>每级攻击变化</t>
        </is>
      </c>
      <c r="V2" s="46" t="inlineStr">
        <is>
          <t>初始值</t>
        </is>
      </c>
      <c r="W2" s="46" t="inlineStr">
        <is>
          <t>每级增长</t>
        </is>
      </c>
      <c r="X2" s="47" t="inlineStr">
        <is>
          <t>每级变化</t>
        </is>
      </c>
      <c r="Z2" s="46" t="inlineStr">
        <is>
          <t>初始值</t>
        </is>
      </c>
      <c r="AA2" s="46" t="inlineStr">
        <is>
          <t>每级增长</t>
        </is>
      </c>
      <c r="AB2" s="47" t="inlineStr">
        <is>
          <t>每级变化</t>
        </is>
      </c>
      <c r="AD2" s="46" t="inlineStr">
        <is>
          <t>初始值</t>
        </is>
      </c>
      <c r="AE2" s="46" t="inlineStr">
        <is>
          <t>每级增长</t>
        </is>
      </c>
      <c r="AF2" s="47" t="inlineStr">
        <is>
          <t>每级变化</t>
        </is>
      </c>
      <c r="AH2" s="46" t="inlineStr">
        <is>
          <t>初始值</t>
        </is>
      </c>
      <c r="AI2" s="46" t="inlineStr">
        <is>
          <t>每级增长</t>
        </is>
      </c>
      <c r="AJ2" s="47" t="inlineStr">
        <is>
          <t>每级变化</t>
        </is>
      </c>
      <c r="AL2" s="46" t="inlineStr">
        <is>
          <t>初始值</t>
        </is>
      </c>
      <c r="AM2" s="46" t="inlineStr">
        <is>
          <t>每级增长</t>
        </is>
      </c>
      <c r="AN2" s="47" t="inlineStr">
        <is>
          <t>每级变化</t>
        </is>
      </c>
      <c r="AP2" s="46" t="inlineStr">
        <is>
          <t>初始值</t>
        </is>
      </c>
      <c r="AQ2" s="46" t="inlineStr">
        <is>
          <t>每级增长</t>
        </is>
      </c>
      <c r="AR2" s="47" t="inlineStr">
        <is>
          <t>每级变化</t>
        </is>
      </c>
      <c r="AT2" s="46" t="inlineStr">
        <is>
          <t>初始值</t>
        </is>
      </c>
      <c r="AU2" s="46" t="inlineStr">
        <is>
          <t>每级增长</t>
        </is>
      </c>
      <c r="AV2" s="47" t="inlineStr">
        <is>
          <t>每级变化</t>
        </is>
      </c>
      <c r="AX2" s="46" t="inlineStr">
        <is>
          <t>初始值</t>
        </is>
      </c>
      <c r="AY2" s="46" t="inlineStr">
        <is>
          <t>每级增长</t>
        </is>
      </c>
      <c r="AZ2" s="47" t="inlineStr">
        <is>
          <t>每级变化</t>
        </is>
      </c>
      <c r="BB2" s="46" t="inlineStr">
        <is>
          <t>初始值</t>
        </is>
      </c>
      <c r="BC2" s="46" t="inlineStr">
        <is>
          <t>每级增长</t>
        </is>
      </c>
      <c r="BD2" s="47" t="inlineStr">
        <is>
          <t>每级变化</t>
        </is>
      </c>
      <c r="BF2" s="46" t="inlineStr">
        <is>
          <t>初始值</t>
        </is>
      </c>
      <c r="BG2" s="46" t="inlineStr">
        <is>
          <t>每级增长</t>
        </is>
      </c>
      <c r="BH2" s="47" t="inlineStr">
        <is>
          <t>每级变化</t>
        </is>
      </c>
      <c r="BJ2" s="46" t="inlineStr">
        <is>
          <t>初始值</t>
        </is>
      </c>
      <c r="BK2" s="46" t="inlineStr">
        <is>
          <t>每级增长</t>
        </is>
      </c>
      <c r="BL2" s="47" t="inlineStr">
        <is>
          <t>每级变化</t>
        </is>
      </c>
      <c r="BN2" s="46" t="inlineStr">
        <is>
          <t>初始值</t>
        </is>
      </c>
      <c r="BO2" s="46" t="inlineStr">
        <is>
          <t>每级增长</t>
        </is>
      </c>
      <c r="BP2" s="47" t="inlineStr">
        <is>
          <t>每级变化</t>
        </is>
      </c>
      <c r="BR2" s="46" t="inlineStr">
        <is>
          <t>初始值</t>
        </is>
      </c>
      <c r="BS2" s="46" t="inlineStr">
        <is>
          <t>每级增长</t>
        </is>
      </c>
      <c r="BT2" s="47" t="inlineStr">
        <is>
          <t>每级变化</t>
        </is>
      </c>
      <c r="BV2" s="46" t="inlineStr">
        <is>
          <t>初始值</t>
        </is>
      </c>
      <c r="BW2" s="46" t="inlineStr">
        <is>
          <t>每级增长</t>
        </is>
      </c>
      <c r="BX2" s="47" t="inlineStr">
        <is>
          <t>每级变化</t>
        </is>
      </c>
      <c r="BZ2" s="46" t="inlineStr">
        <is>
          <t>初始值</t>
        </is>
      </c>
      <c r="CA2" s="46" t="inlineStr">
        <is>
          <t>每级增长</t>
        </is>
      </c>
      <c r="CB2" s="47" t="inlineStr">
        <is>
          <t>每级变化</t>
        </is>
      </c>
      <c r="CD2" s="46" t="inlineStr">
        <is>
          <t>初始值</t>
        </is>
      </c>
      <c r="CE2" s="46" t="inlineStr">
        <is>
          <t>每级增长</t>
        </is>
      </c>
      <c r="CF2" s="47" t="inlineStr">
        <is>
          <t>每级攻击变化</t>
        </is>
      </c>
      <c r="CH2" s="46" t="inlineStr">
        <is>
          <t>初始值</t>
        </is>
      </c>
      <c r="CI2" s="46" t="inlineStr">
        <is>
          <t>每级增长</t>
        </is>
      </c>
      <c r="CJ2" s="47" t="inlineStr">
        <is>
          <t>每级攻击变化</t>
        </is>
      </c>
      <c r="CL2" s="46" t="inlineStr">
        <is>
          <t>初始值</t>
        </is>
      </c>
      <c r="CM2" s="46" t="inlineStr">
        <is>
          <t>每级增长</t>
        </is>
      </c>
      <c r="CN2" s="47" t="inlineStr">
        <is>
          <t>每级攻击变化</t>
        </is>
      </c>
      <c r="CP2" s="46" t="inlineStr">
        <is>
          <t>初始值</t>
        </is>
      </c>
      <c r="CQ2" s="46" t="inlineStr">
        <is>
          <t>每级增长</t>
        </is>
      </c>
      <c r="CR2" s="47" t="inlineStr">
        <is>
          <t>每级变化</t>
        </is>
      </c>
      <c r="CT2" s="46" t="inlineStr">
        <is>
          <t>初始值</t>
        </is>
      </c>
      <c r="CU2" s="46" t="inlineStr">
        <is>
          <t>每级增长</t>
        </is>
      </c>
      <c r="CV2" s="47" t="inlineStr">
        <is>
          <t>每级变化</t>
        </is>
      </c>
      <c r="CX2" s="46" t="inlineStr">
        <is>
          <t>初始值</t>
        </is>
      </c>
      <c r="CY2" s="46" t="inlineStr">
        <is>
          <t>每级增长</t>
        </is>
      </c>
      <c r="CZ2" s="47" t="inlineStr">
        <is>
          <t>每级变化</t>
        </is>
      </c>
      <c r="DB2" s="46" t="inlineStr">
        <is>
          <t>初始值</t>
        </is>
      </c>
      <c r="DC2" s="46" t="inlineStr">
        <is>
          <t>每级增长</t>
        </is>
      </c>
      <c r="DD2" s="47" t="inlineStr">
        <is>
          <t>每级变化</t>
        </is>
      </c>
      <c r="DF2" s="46" t="inlineStr">
        <is>
          <t>初始值</t>
        </is>
      </c>
      <c r="DG2" s="46" t="inlineStr">
        <is>
          <t>每级增长</t>
        </is>
      </c>
      <c r="DH2" s="47" t="inlineStr">
        <is>
          <t>每级变化</t>
        </is>
      </c>
      <c r="DJ2" s="46" t="inlineStr">
        <is>
          <t>初始值</t>
        </is>
      </c>
      <c r="DK2" s="46" t="inlineStr">
        <is>
          <t>每级增长</t>
        </is>
      </c>
      <c r="DL2" s="47" t="inlineStr">
        <is>
          <t>每级变化</t>
        </is>
      </c>
      <c r="DN2" s="46" t="inlineStr">
        <is>
          <t>初始值</t>
        </is>
      </c>
      <c r="DO2" s="46" t="inlineStr">
        <is>
          <t>每级增长</t>
        </is>
      </c>
      <c r="DP2" s="47" t="inlineStr">
        <is>
          <t>每级变化</t>
        </is>
      </c>
      <c r="DR2" s="46" t="inlineStr">
        <is>
          <t>初始值</t>
        </is>
      </c>
      <c r="DS2" s="46" t="inlineStr">
        <is>
          <t>每级增长</t>
        </is>
      </c>
      <c r="DT2" s="47" t="inlineStr">
        <is>
          <t>每级变化</t>
        </is>
      </c>
      <c r="DV2" s="46" t="inlineStr">
        <is>
          <t>初始值</t>
        </is>
      </c>
      <c r="DW2" s="46" t="inlineStr">
        <is>
          <t>每级增长</t>
        </is>
      </c>
      <c r="DX2" s="47" t="inlineStr">
        <is>
          <t>每级变化</t>
        </is>
      </c>
      <c r="DZ2" s="46" t="inlineStr">
        <is>
          <t>初始值</t>
        </is>
      </c>
      <c r="EA2" s="46" t="inlineStr">
        <is>
          <t>每级增长</t>
        </is>
      </c>
      <c r="EB2" s="47" t="inlineStr">
        <is>
          <t>每级攻击变化</t>
        </is>
      </c>
      <c r="ED2" s="46" t="inlineStr">
        <is>
          <t>初始值</t>
        </is>
      </c>
      <c r="EE2" s="46" t="inlineStr">
        <is>
          <t>每级增长</t>
        </is>
      </c>
      <c r="EF2" s="47" t="inlineStr">
        <is>
          <t>每级攻击变化</t>
        </is>
      </c>
      <c r="EH2" s="46" t="inlineStr">
        <is>
          <t>初始值</t>
        </is>
      </c>
      <c r="EI2" s="46" t="inlineStr">
        <is>
          <t>每级增长</t>
        </is>
      </c>
      <c r="EJ2" s="47" t="inlineStr">
        <is>
          <t>每级攻击变化</t>
        </is>
      </c>
      <c r="EL2" s="46" t="inlineStr">
        <is>
          <t>初始值</t>
        </is>
      </c>
      <c r="EM2" s="46" t="inlineStr">
        <is>
          <t>每级增长</t>
        </is>
      </c>
      <c r="EN2" s="47" t="inlineStr">
        <is>
          <t>每级变化</t>
        </is>
      </c>
      <c r="EP2" s="46" t="inlineStr">
        <is>
          <t>初始值</t>
        </is>
      </c>
      <c r="EQ2" s="46" t="inlineStr">
        <is>
          <t>每级增长</t>
        </is>
      </c>
      <c r="ER2" s="47" t="inlineStr">
        <is>
          <t>每级变化</t>
        </is>
      </c>
      <c r="ET2" s="46" t="inlineStr">
        <is>
          <t>初始值</t>
        </is>
      </c>
      <c r="EU2" s="46" t="inlineStr">
        <is>
          <t>每级增长</t>
        </is>
      </c>
      <c r="EV2" s="47" t="inlineStr">
        <is>
          <t>每级变化</t>
        </is>
      </c>
      <c r="EX2" s="46" t="inlineStr">
        <is>
          <t>初始值</t>
        </is>
      </c>
      <c r="EY2" s="46" t="inlineStr">
        <is>
          <t>每级增长</t>
        </is>
      </c>
      <c r="EZ2" s="47" t="inlineStr">
        <is>
          <t>每级变化</t>
        </is>
      </c>
      <c r="FB2" s="46" t="inlineStr">
        <is>
          <t>初始值</t>
        </is>
      </c>
      <c r="FC2" s="46" t="inlineStr">
        <is>
          <t>每级增长</t>
        </is>
      </c>
      <c r="FD2" s="47" t="inlineStr">
        <is>
          <t>每级变化</t>
        </is>
      </c>
    </row>
    <row r="3">
      <c r="A3" s="49" t="n">
        <v>1</v>
      </c>
      <c r="B3" s="49" t="n">
        <v>869</v>
      </c>
      <c r="C3" s="48">
        <f>ROUND(B3*0.15,0)</f>
        <v/>
      </c>
      <c r="D3" s="48">
        <f>B3+(A3-1)*C3</f>
        <v/>
      </c>
      <c r="E3" s="49" t="n">
        <v>1</v>
      </c>
      <c r="F3" s="49" t="n">
        <v>605</v>
      </c>
      <c r="G3" s="48">
        <f>ROUND(F3*0.15,0)</f>
        <v/>
      </c>
      <c r="H3" s="48">
        <f>F3+(E3-1)*G3</f>
        <v/>
      </c>
      <c r="I3" s="48" t="n">
        <v>1</v>
      </c>
      <c r="J3" s="49" t="n">
        <v>3220</v>
      </c>
      <c r="K3" s="48">
        <f>ROUND(J3*0.15,0)</f>
        <v/>
      </c>
      <c r="L3" s="48">
        <f>J3+(I3-1)*K3</f>
        <v/>
      </c>
      <c r="M3" s="48" t="n">
        <v>1</v>
      </c>
      <c r="N3" s="49" t="n">
        <v>916</v>
      </c>
      <c r="O3" s="48">
        <f>ROUND(N3*0.15,0)</f>
        <v/>
      </c>
      <c r="P3" s="48">
        <f>N3+(M3-1)*O3</f>
        <v/>
      </c>
      <c r="Q3" s="49" t="n">
        <v>1</v>
      </c>
      <c r="R3" s="49" t="n">
        <v>1125</v>
      </c>
      <c r="S3" s="48">
        <f>ROUND(R3*0.15,0)</f>
        <v/>
      </c>
      <c r="T3" s="48">
        <f>R3+(Q3-1)*S3</f>
        <v/>
      </c>
      <c r="U3" s="49" t="n">
        <v>1</v>
      </c>
      <c r="V3" s="49" t="n">
        <v>569</v>
      </c>
      <c r="W3" s="48">
        <f>ROUND(V3*0.15,0)</f>
        <v/>
      </c>
      <c r="X3" s="48">
        <f>V3+(U3-1)*W3</f>
        <v/>
      </c>
      <c r="Y3" s="49" t="n">
        <v>1</v>
      </c>
      <c r="Z3" s="49" t="n">
        <v>3004</v>
      </c>
      <c r="AA3" s="48">
        <f>ROUND(Z3*0.15,0)</f>
        <v/>
      </c>
      <c r="AB3" s="48">
        <f>Z3+(Y3-1)*AA3</f>
        <v/>
      </c>
      <c r="AC3" s="48" t="n">
        <v>1</v>
      </c>
      <c r="AD3" s="49" t="n">
        <v>916</v>
      </c>
      <c r="AE3" s="48">
        <f>ROUND(AD3*0.15,0)</f>
        <v/>
      </c>
      <c r="AF3" s="48">
        <f>AD3+(AC3-1)*AE3</f>
        <v/>
      </c>
      <c r="AG3" s="48" t="n">
        <v>1</v>
      </c>
      <c r="AH3" s="49" t="n">
        <v>1009</v>
      </c>
      <c r="AI3" s="48">
        <f>ROUND(AH3*0.15,0)</f>
        <v/>
      </c>
      <c r="AJ3" s="48">
        <f>AH3+(AG3-1)*AI3</f>
        <v/>
      </c>
      <c r="AK3" s="48" t="n">
        <v>1</v>
      </c>
      <c r="AL3" s="49" t="n">
        <v>569</v>
      </c>
      <c r="AM3" s="48">
        <f>ROUND(AL3*0.15,0)</f>
        <v/>
      </c>
      <c r="AN3" s="48">
        <f>AL3+(AK3-1)*AM3</f>
        <v/>
      </c>
      <c r="AO3" s="48" t="n">
        <v>1</v>
      </c>
      <c r="AP3" s="49" t="n">
        <v>2836</v>
      </c>
      <c r="AQ3" s="48">
        <f>ROUND(AP3*0.15,0)</f>
        <v/>
      </c>
      <c r="AR3" s="48">
        <f>AP3+(AO3-1)*AQ3</f>
        <v/>
      </c>
      <c r="AS3" s="48" t="n">
        <v>1</v>
      </c>
      <c r="AT3" s="49" t="n">
        <v>916</v>
      </c>
      <c r="AU3" s="48">
        <f>ROUND(AT3*0.15,0)</f>
        <v/>
      </c>
      <c r="AV3" s="48">
        <f>AT3+(AS3-1)*AU3</f>
        <v/>
      </c>
      <c r="AW3" s="49" t="n">
        <v>1</v>
      </c>
      <c r="AX3" s="49" t="n">
        <v>870</v>
      </c>
      <c r="AY3" s="48">
        <f>ROUND(AX3*0.15,0)</f>
        <v/>
      </c>
      <c r="AZ3" s="48">
        <f>AX3+(AW3-1)*AY3</f>
        <v/>
      </c>
      <c r="BA3" s="49" t="n">
        <v>1</v>
      </c>
      <c r="BB3" s="49" t="n">
        <v>649</v>
      </c>
      <c r="BC3" s="48">
        <f>ROUND(BB3*0.15,0)</f>
        <v/>
      </c>
      <c r="BD3" s="48">
        <f>BB3+(BA3-1)*BC3</f>
        <v/>
      </c>
      <c r="BE3" s="49" t="n">
        <v>1</v>
      </c>
      <c r="BF3" s="49" t="n">
        <v>3269</v>
      </c>
      <c r="BG3" s="48">
        <f>ROUND(BF3*0.15,0)</f>
        <v/>
      </c>
      <c r="BH3" s="48">
        <f>BF3+(BE3-1)*BG3</f>
        <v/>
      </c>
      <c r="BI3" s="48" t="n">
        <v>1</v>
      </c>
      <c r="BJ3" s="49" t="n">
        <v>916</v>
      </c>
      <c r="BK3" s="48">
        <f>ROUND(BJ3*0.15,0)</f>
        <v/>
      </c>
      <c r="BL3" s="48">
        <f>BJ3+(BI3-1)*BK3</f>
        <v/>
      </c>
      <c r="BM3" s="48" t="n">
        <v>1</v>
      </c>
      <c r="BN3" s="49" t="n">
        <v>640</v>
      </c>
      <c r="BO3" s="48">
        <f>ROUND(BN3*0.15,0)</f>
        <v/>
      </c>
      <c r="BP3" s="48">
        <f>BN3+(BM3-1)*BO3</f>
        <v/>
      </c>
      <c r="BQ3" s="48" t="n">
        <v>1</v>
      </c>
      <c r="BR3" s="49" t="n">
        <v>763</v>
      </c>
      <c r="BS3" s="48">
        <f>ROUND(BR3*0.15,0)</f>
        <v/>
      </c>
      <c r="BT3" s="48">
        <f>BR3+(BQ3-1)*BS3</f>
        <v/>
      </c>
      <c r="BU3" s="48" t="n">
        <v>1</v>
      </c>
      <c r="BV3" s="49" t="n">
        <v>3865</v>
      </c>
      <c r="BW3" s="48">
        <f>ROUND(BV3*0.15,0)</f>
        <v/>
      </c>
      <c r="BX3" s="48">
        <f>BV3+(BU3-1)*BW3</f>
        <v/>
      </c>
      <c r="BY3" s="48" t="n">
        <v>1</v>
      </c>
      <c r="BZ3" s="49" t="n">
        <v>916</v>
      </c>
      <c r="CA3" s="48">
        <f>ROUND(BZ3*0.15,0)</f>
        <v/>
      </c>
      <c r="CB3" s="48">
        <f>BZ3+(BY3-1)*CA3</f>
        <v/>
      </c>
      <c r="CC3" s="49" t="n">
        <v>1</v>
      </c>
      <c r="CD3" s="49" t="n">
        <v>880</v>
      </c>
      <c r="CE3" s="48">
        <f>ROUND(CD3*0.15,0)</f>
        <v/>
      </c>
      <c r="CF3" s="48">
        <f>CD3+(CC3-1)*CE3</f>
        <v/>
      </c>
      <c r="CG3" s="49" t="n">
        <v>1</v>
      </c>
      <c r="CH3" s="49" t="n">
        <v>645</v>
      </c>
      <c r="CI3" s="48">
        <f>ROUND(CH3*0.15,0)</f>
        <v/>
      </c>
      <c r="CJ3" s="48">
        <f>CH3+(CG3-1)*CI3</f>
        <v/>
      </c>
      <c r="CK3" s="49" t="n">
        <v>1</v>
      </c>
      <c r="CL3" s="49" t="n">
        <v>3260</v>
      </c>
      <c r="CM3" s="48">
        <f>ROUND(CL3*0.15,0)</f>
        <v/>
      </c>
      <c r="CN3" s="48">
        <f>CL3+(CK3-1)*CM3</f>
        <v/>
      </c>
      <c r="CO3" s="48" t="n">
        <v>1</v>
      </c>
      <c r="CP3" s="49" t="n">
        <v>916</v>
      </c>
      <c r="CQ3" s="48">
        <f>ROUND(CP3*0.15,0)</f>
        <v/>
      </c>
      <c r="CR3" s="48">
        <f>CP3+(CO3-1)*CQ3</f>
        <v/>
      </c>
      <c r="CS3" s="48" t="n">
        <v>1</v>
      </c>
      <c r="CT3" s="49" t="n">
        <v>817</v>
      </c>
      <c r="CU3" s="48">
        <f>ROUND(CT3*0.15,0)</f>
        <v/>
      </c>
      <c r="CV3" s="48">
        <f>CT3+(CS3-1)*CU3</f>
        <v/>
      </c>
      <c r="CW3" s="48" t="n">
        <v>1</v>
      </c>
      <c r="CX3" s="49" t="n">
        <v>645</v>
      </c>
      <c r="CY3" s="48">
        <f>ROUND(CX3*0.15,0)</f>
        <v/>
      </c>
      <c r="CZ3" s="48">
        <f>CX3+(CW3-1)*CY3</f>
        <v/>
      </c>
      <c r="DA3" s="48" t="n">
        <v>1</v>
      </c>
      <c r="DB3" s="49" t="n">
        <v>3120</v>
      </c>
      <c r="DC3" s="48">
        <f>ROUND(DB3*0.15,0)</f>
        <v/>
      </c>
      <c r="DD3" s="48">
        <f>DB3+(DA3-1)*DC3</f>
        <v/>
      </c>
      <c r="DE3" s="48" t="n">
        <v>1</v>
      </c>
      <c r="DF3" s="49" t="n">
        <v>916</v>
      </c>
      <c r="DG3" s="48">
        <f>ROUND(DF3*0.15,0)</f>
        <v/>
      </c>
      <c r="DH3" s="48">
        <f>DF3+(DE3-1)*DG3</f>
        <v/>
      </c>
      <c r="DI3" s="48" t="n">
        <v>1</v>
      </c>
      <c r="DJ3" s="49" t="n">
        <v>760</v>
      </c>
      <c r="DK3" s="48">
        <f>ROUND(DJ3*0.15,0)</f>
        <v/>
      </c>
      <c r="DL3" s="48">
        <f>DJ3+(DI3-1)*DK3</f>
        <v/>
      </c>
      <c r="DM3" s="48" t="n">
        <v>1</v>
      </c>
      <c r="DN3" s="49" t="n">
        <v>690</v>
      </c>
      <c r="DO3" s="48">
        <f>ROUND(DN3*0.15,0)</f>
        <v/>
      </c>
      <c r="DP3" s="48">
        <f>DN3+(DM3-1)*DO3</f>
        <v/>
      </c>
      <c r="DQ3" s="48" t="n">
        <v>1</v>
      </c>
      <c r="DR3" s="49" t="n">
        <v>3930</v>
      </c>
      <c r="DS3" s="48">
        <f>ROUND(DR3*0.15,0)</f>
        <v/>
      </c>
      <c r="DT3" s="48">
        <f>DR3+(DQ3-1)*DS3</f>
        <v/>
      </c>
      <c r="DU3" s="48" t="n">
        <v>1</v>
      </c>
      <c r="DV3" s="49" t="n">
        <v>916</v>
      </c>
      <c r="DW3" s="48">
        <f>ROUND(DV3*0.15,0)</f>
        <v/>
      </c>
      <c r="DX3" s="48">
        <f>DV3+(DU3-1)*DW3</f>
        <v/>
      </c>
      <c r="DY3" s="49" t="n">
        <v>1</v>
      </c>
      <c r="DZ3" s="49" t="n">
        <v>880</v>
      </c>
      <c r="EA3" s="48">
        <f>ROUND(DZ3*0.15,0)</f>
        <v/>
      </c>
      <c r="EB3" s="48">
        <f>DZ3+(DY3-1)*EA3</f>
        <v/>
      </c>
      <c r="EC3" s="49" t="n">
        <v>1</v>
      </c>
      <c r="ED3" s="49" t="n">
        <v>720</v>
      </c>
      <c r="EE3" s="48">
        <f>ROUND(ED3*0.15,0)</f>
        <v/>
      </c>
      <c r="EF3" s="48">
        <f>ED3+(EC3-1)*EE3</f>
        <v/>
      </c>
      <c r="EG3" s="49" t="n">
        <v>1</v>
      </c>
      <c r="EH3" s="49" t="n">
        <v>3566</v>
      </c>
      <c r="EI3" s="48">
        <f>ROUND(EH3*0.15,0)</f>
        <v/>
      </c>
      <c r="EJ3" s="48">
        <f>EH3+(EG3-1)*EI3</f>
        <v/>
      </c>
      <c r="EK3" s="48" t="n">
        <v>1</v>
      </c>
      <c r="EL3" s="49" t="n">
        <v>916</v>
      </c>
      <c r="EM3" s="48">
        <f>ROUND(EL3*0.15,0)</f>
        <v/>
      </c>
      <c r="EN3" s="48">
        <f>EL3+(EK3-1)*EM3</f>
        <v/>
      </c>
      <c r="EO3" s="48" t="n">
        <v>1</v>
      </c>
      <c r="EP3" s="49" t="n">
        <v>1010</v>
      </c>
      <c r="EQ3" s="48">
        <f>ROUND(EP3*0.15,0)</f>
        <v/>
      </c>
      <c r="ER3" s="48">
        <f>EP3+(EO3-1)*EQ3</f>
        <v/>
      </c>
      <c r="ES3" s="48" t="n">
        <v>1</v>
      </c>
      <c r="ET3" s="49" t="n">
        <v>645</v>
      </c>
      <c r="EU3" s="48">
        <f>ROUND(ET3*0.15,0)</f>
        <v/>
      </c>
      <c r="EV3" s="48">
        <f>ET3+(ES3-1)*EU3</f>
        <v/>
      </c>
      <c r="EW3" s="48" t="n">
        <v>1</v>
      </c>
      <c r="EX3" s="49" t="n">
        <v>3260</v>
      </c>
      <c r="EY3" s="48">
        <f>ROUND(EX3*0.15,0)</f>
        <v/>
      </c>
      <c r="EZ3" s="48">
        <f>EX3+(EW3-1)*EY3</f>
        <v/>
      </c>
      <c r="FA3" s="48" t="n">
        <v>1</v>
      </c>
      <c r="FB3" s="49" t="n">
        <v>916</v>
      </c>
      <c r="FC3" s="48">
        <f>ROUND(FB3*0.15,0)</f>
        <v/>
      </c>
      <c r="FD3" s="48">
        <f>FB3+(FA3-1)*FC3</f>
        <v/>
      </c>
    </row>
    <row r="4">
      <c r="A4" s="49" t="n">
        <v>2</v>
      </c>
      <c r="B4" s="49">
        <f>B3</f>
        <v/>
      </c>
      <c r="C4" s="48">
        <f>C3</f>
        <v/>
      </c>
      <c r="D4" s="48">
        <f>B4+(A4-1)*C4</f>
        <v/>
      </c>
      <c r="E4" s="49" t="n">
        <v>2</v>
      </c>
      <c r="F4" s="49">
        <f>F3</f>
        <v/>
      </c>
      <c r="G4" s="48">
        <f>G3</f>
        <v/>
      </c>
      <c r="H4" s="48">
        <f>F4+(E4-1)*G4</f>
        <v/>
      </c>
      <c r="I4" s="49" t="n">
        <v>2</v>
      </c>
      <c r="J4" s="49">
        <f>J3</f>
        <v/>
      </c>
      <c r="K4" s="48">
        <f>K3</f>
        <v/>
      </c>
      <c r="L4" s="48">
        <f>J4+(I4-1)*K4</f>
        <v/>
      </c>
      <c r="M4" s="49" t="n">
        <v>2</v>
      </c>
      <c r="N4" s="49">
        <f>N3</f>
        <v/>
      </c>
      <c r="O4" s="48">
        <f>O3</f>
        <v/>
      </c>
      <c r="P4" s="48">
        <f>N4+(M4-1)*O4</f>
        <v/>
      </c>
      <c r="Q4" s="49" t="n">
        <v>2</v>
      </c>
      <c r="R4" s="49">
        <f>R3</f>
        <v/>
      </c>
      <c r="S4" s="48">
        <f>S3</f>
        <v/>
      </c>
      <c r="T4" s="48">
        <f>R4+(Q4-1)*S4</f>
        <v/>
      </c>
      <c r="U4" s="49" t="n">
        <v>2</v>
      </c>
      <c r="V4" s="49">
        <f>V3</f>
        <v/>
      </c>
      <c r="W4" s="48">
        <f>W3</f>
        <v/>
      </c>
      <c r="X4" s="48">
        <f>V4+(U4-1)*W4</f>
        <v/>
      </c>
      <c r="Y4" s="49" t="n">
        <v>2</v>
      </c>
      <c r="Z4" s="49">
        <f>Z3</f>
        <v/>
      </c>
      <c r="AA4" s="48">
        <f>AA3</f>
        <v/>
      </c>
      <c r="AB4" s="48">
        <f>Z4+(Y4-1)*AA4</f>
        <v/>
      </c>
      <c r="AC4" s="49" t="n">
        <v>2</v>
      </c>
      <c r="AD4" s="49">
        <f>AD3</f>
        <v/>
      </c>
      <c r="AE4" s="48">
        <f>AE3</f>
        <v/>
      </c>
      <c r="AF4" s="48">
        <f>AD4+(AC4-1)*AE4</f>
        <v/>
      </c>
      <c r="AG4" s="49" t="n">
        <v>2</v>
      </c>
      <c r="AH4" s="49">
        <f>AH3</f>
        <v/>
      </c>
      <c r="AI4" s="48">
        <f>AI3</f>
        <v/>
      </c>
      <c r="AJ4" s="48">
        <f>AH4+(AG4-1)*AI4</f>
        <v/>
      </c>
      <c r="AK4" s="49" t="n">
        <v>2</v>
      </c>
      <c r="AL4" s="49">
        <f>AL3</f>
        <v/>
      </c>
      <c r="AM4" s="48">
        <f>AM3</f>
        <v/>
      </c>
      <c r="AN4" s="48">
        <f>AL4+(AK4-1)*AM4</f>
        <v/>
      </c>
      <c r="AO4" s="49" t="n">
        <v>2</v>
      </c>
      <c r="AP4" s="49">
        <f>AP3</f>
        <v/>
      </c>
      <c r="AQ4" s="48">
        <f>AQ3</f>
        <v/>
      </c>
      <c r="AR4" s="48">
        <f>AP4+(AO4-1)*AQ4</f>
        <v/>
      </c>
      <c r="AS4" s="49" t="n">
        <v>2</v>
      </c>
      <c r="AT4" s="49">
        <f>AT3</f>
        <v/>
      </c>
      <c r="AU4" s="48">
        <f>AU3</f>
        <v/>
      </c>
      <c r="AV4" s="48">
        <f>AT4+(AS4-1)*AU4</f>
        <v/>
      </c>
      <c r="AW4" s="49" t="n">
        <v>2</v>
      </c>
      <c r="AX4" s="49">
        <f>AX3</f>
        <v/>
      </c>
      <c r="AY4" s="48">
        <f>ROUND(AX4*0.15,0)</f>
        <v/>
      </c>
      <c r="AZ4" s="48">
        <f>AX4+(AW4-1)*AY4</f>
        <v/>
      </c>
      <c r="BA4" s="49" t="n">
        <v>2</v>
      </c>
      <c r="BB4" s="49">
        <f>BB3</f>
        <v/>
      </c>
      <c r="BC4" s="48">
        <f>BC3</f>
        <v/>
      </c>
      <c r="BD4" s="48">
        <f>BB4+(BA4-1)*BC4</f>
        <v/>
      </c>
      <c r="BE4" s="49" t="n">
        <v>2</v>
      </c>
      <c r="BF4" s="49">
        <f>BF3</f>
        <v/>
      </c>
      <c r="BG4" s="48">
        <f>BG3</f>
        <v/>
      </c>
      <c r="BH4" s="48">
        <f>BF4+(BE4-1)*BG4</f>
        <v/>
      </c>
      <c r="BI4" s="49" t="n">
        <v>2</v>
      </c>
      <c r="BJ4" s="49">
        <f>BJ3</f>
        <v/>
      </c>
      <c r="BK4" s="48">
        <f>BK3</f>
        <v/>
      </c>
      <c r="BL4" s="48">
        <f>BJ4+(BI4-1)*BK4</f>
        <v/>
      </c>
      <c r="BM4" s="49" t="n">
        <v>2</v>
      </c>
      <c r="BN4" s="49">
        <f>BN3</f>
        <v/>
      </c>
      <c r="BO4" s="48">
        <f>BO3</f>
        <v/>
      </c>
      <c r="BP4" s="48">
        <f>BN4+(BM4-1)*BO4</f>
        <v/>
      </c>
      <c r="BQ4" s="49" t="n">
        <v>2</v>
      </c>
      <c r="BR4" s="49">
        <f>BR3</f>
        <v/>
      </c>
      <c r="BS4" s="48">
        <f>BS3</f>
        <v/>
      </c>
      <c r="BT4" s="48">
        <f>BR4+(BQ4-1)*BS4</f>
        <v/>
      </c>
      <c r="BU4" s="49" t="n">
        <v>2</v>
      </c>
      <c r="BV4" s="49">
        <f>BV3</f>
        <v/>
      </c>
      <c r="BW4" s="48">
        <f>BW3</f>
        <v/>
      </c>
      <c r="BX4" s="48">
        <f>BV4+(BU4-1)*BW4</f>
        <v/>
      </c>
      <c r="BY4" s="49" t="n">
        <v>2</v>
      </c>
      <c r="BZ4" s="49">
        <f>BZ3</f>
        <v/>
      </c>
      <c r="CA4" s="48">
        <f>CA3</f>
        <v/>
      </c>
      <c r="CB4" s="48">
        <f>BZ4+(BY4-1)*CA4</f>
        <v/>
      </c>
      <c r="CC4" s="49" t="n">
        <v>2</v>
      </c>
      <c r="CD4" s="49">
        <f>CD3</f>
        <v/>
      </c>
      <c r="CE4" s="48">
        <f>CE3</f>
        <v/>
      </c>
      <c r="CF4" s="48">
        <f>CD4+(CC4-1)*CE4</f>
        <v/>
      </c>
      <c r="CG4" s="49" t="n">
        <v>2</v>
      </c>
      <c r="CH4" s="49">
        <f>CH3</f>
        <v/>
      </c>
      <c r="CI4" s="48">
        <f>CI3</f>
        <v/>
      </c>
      <c r="CJ4" s="48">
        <f>CH4+(CG4-1)*CI4</f>
        <v/>
      </c>
      <c r="CK4" s="49" t="n">
        <v>2</v>
      </c>
      <c r="CL4" s="49">
        <f>CL3</f>
        <v/>
      </c>
      <c r="CM4" s="48">
        <f>CM3</f>
        <v/>
      </c>
      <c r="CN4" s="48">
        <f>CL4+(CK4-1)*CM4</f>
        <v/>
      </c>
      <c r="CO4" s="49" t="n">
        <v>2</v>
      </c>
      <c r="CP4" s="49">
        <f>CP3</f>
        <v/>
      </c>
      <c r="CQ4" s="48">
        <f>CQ3</f>
        <v/>
      </c>
      <c r="CR4" s="48">
        <f>CP4+(CO4-1)*CQ4</f>
        <v/>
      </c>
      <c r="CS4" s="49" t="n">
        <v>2</v>
      </c>
      <c r="CT4" s="49">
        <f>CT3</f>
        <v/>
      </c>
      <c r="CU4" s="48">
        <f>CU3</f>
        <v/>
      </c>
      <c r="CV4" s="48">
        <f>CT4+(CS4-1)*CU4</f>
        <v/>
      </c>
      <c r="CW4" s="49" t="n">
        <v>2</v>
      </c>
      <c r="CX4" s="49">
        <f>CX3</f>
        <v/>
      </c>
      <c r="CY4" s="48">
        <f>CY3</f>
        <v/>
      </c>
      <c r="CZ4" s="48">
        <f>CX4+(CW4-1)*CY4</f>
        <v/>
      </c>
      <c r="DA4" s="49" t="n">
        <v>2</v>
      </c>
      <c r="DB4" s="49">
        <f>DB3</f>
        <v/>
      </c>
      <c r="DC4" s="48">
        <f>DC3</f>
        <v/>
      </c>
      <c r="DD4" s="48">
        <f>DB4+(DA4-1)*DC4</f>
        <v/>
      </c>
      <c r="DE4" s="49" t="n">
        <v>2</v>
      </c>
      <c r="DF4" s="49">
        <f>DF3</f>
        <v/>
      </c>
      <c r="DG4" s="48">
        <f>DG3</f>
        <v/>
      </c>
      <c r="DH4" s="48">
        <f>DF4+(DE4-1)*DG4</f>
        <v/>
      </c>
      <c r="DI4" s="49" t="n">
        <v>2</v>
      </c>
      <c r="DJ4" s="49">
        <f>DJ3</f>
        <v/>
      </c>
      <c r="DK4" s="48">
        <f>DK3</f>
        <v/>
      </c>
      <c r="DL4" s="48">
        <f>DJ4+(DI4-1)*DK4</f>
        <v/>
      </c>
      <c r="DM4" s="49" t="n">
        <v>2</v>
      </c>
      <c r="DN4" s="49">
        <f>DN3</f>
        <v/>
      </c>
      <c r="DO4" s="48">
        <f>DO3</f>
        <v/>
      </c>
      <c r="DP4" s="48">
        <f>DN4+(DM4-1)*DO4</f>
        <v/>
      </c>
      <c r="DQ4" s="49" t="n">
        <v>2</v>
      </c>
      <c r="DR4" s="49">
        <f>DR3</f>
        <v/>
      </c>
      <c r="DS4" s="48">
        <f>DS3</f>
        <v/>
      </c>
      <c r="DT4" s="48">
        <f>DR4+(DQ4-1)*DS4</f>
        <v/>
      </c>
      <c r="DU4" s="49" t="n">
        <v>2</v>
      </c>
      <c r="DV4" s="49">
        <f>DV3</f>
        <v/>
      </c>
      <c r="DW4" s="48">
        <f>DW3</f>
        <v/>
      </c>
      <c r="DX4" s="48">
        <f>DV4+(DU4-1)*DW4</f>
        <v/>
      </c>
      <c r="DY4" s="49" t="n">
        <v>2</v>
      </c>
      <c r="DZ4" s="49">
        <f>DZ3</f>
        <v/>
      </c>
      <c r="EA4" s="48">
        <f>EA3</f>
        <v/>
      </c>
      <c r="EB4" s="48">
        <f>DZ4+(DY4-1)*EA4</f>
        <v/>
      </c>
      <c r="EC4" s="49" t="n">
        <v>2</v>
      </c>
      <c r="ED4" s="49">
        <f>ED3</f>
        <v/>
      </c>
      <c r="EE4" s="48">
        <f>EE3</f>
        <v/>
      </c>
      <c r="EF4" s="48">
        <f>ED4+(EC4-1)*EE4</f>
        <v/>
      </c>
      <c r="EG4" s="49" t="n">
        <v>2</v>
      </c>
      <c r="EH4" s="49">
        <f>EH3</f>
        <v/>
      </c>
      <c r="EI4" s="48">
        <f>EI3</f>
        <v/>
      </c>
      <c r="EJ4" s="48">
        <f>EH4+(EG4-1)*EI4</f>
        <v/>
      </c>
      <c r="EK4" s="49" t="n">
        <v>2</v>
      </c>
      <c r="EL4" s="49">
        <f>EL3</f>
        <v/>
      </c>
      <c r="EM4" s="48">
        <f>EM3</f>
        <v/>
      </c>
      <c r="EN4" s="48">
        <f>EL4+(EK4-1)*EM4</f>
        <v/>
      </c>
      <c r="EO4" s="49" t="n">
        <v>2</v>
      </c>
      <c r="EP4" s="49">
        <f>EP3</f>
        <v/>
      </c>
      <c r="EQ4" s="48">
        <f>EQ3</f>
        <v/>
      </c>
      <c r="ER4" s="48">
        <f>EP4+(EO4-1)*EQ4</f>
        <v/>
      </c>
      <c r="ES4" s="49" t="n">
        <v>2</v>
      </c>
      <c r="ET4" s="49">
        <f>ET3</f>
        <v/>
      </c>
      <c r="EU4" s="48">
        <f>EU3</f>
        <v/>
      </c>
      <c r="EV4" s="48">
        <f>ET4+(ES4-1)*EU4</f>
        <v/>
      </c>
      <c r="EW4" s="49" t="n">
        <v>2</v>
      </c>
      <c r="EX4" s="49">
        <f>EX3</f>
        <v/>
      </c>
      <c r="EY4" s="48">
        <f>EY3</f>
        <v/>
      </c>
      <c r="EZ4" s="48">
        <f>EX4+(EW4-1)*EY4</f>
        <v/>
      </c>
      <c r="FA4" s="49" t="n">
        <v>2</v>
      </c>
      <c r="FB4" s="49">
        <f>FB3</f>
        <v/>
      </c>
      <c r="FC4" s="48">
        <f>FC3</f>
        <v/>
      </c>
      <c r="FD4" s="48">
        <f>FB4+(FA4-1)*FC4</f>
        <v/>
      </c>
    </row>
    <row r="5">
      <c r="A5" s="49" t="n">
        <v>3</v>
      </c>
      <c r="B5" s="49">
        <f>B4</f>
        <v/>
      </c>
      <c r="C5" s="48">
        <f>C4</f>
        <v/>
      </c>
      <c r="D5" s="48">
        <f>B5+(A5-1)*C5</f>
        <v/>
      </c>
      <c r="E5" s="49" t="n">
        <v>3</v>
      </c>
      <c r="F5" s="49">
        <f>F4</f>
        <v/>
      </c>
      <c r="G5" s="48">
        <f>G4</f>
        <v/>
      </c>
      <c r="H5" s="48">
        <f>F5+(E5-1)*G5</f>
        <v/>
      </c>
      <c r="I5" s="48" t="n">
        <v>3</v>
      </c>
      <c r="J5" s="49">
        <f>J4</f>
        <v/>
      </c>
      <c r="K5" s="48">
        <f>K4</f>
        <v/>
      </c>
      <c r="L5" s="48">
        <f>J5+(I5-1)*K5</f>
        <v/>
      </c>
      <c r="M5" s="48" t="n">
        <v>3</v>
      </c>
      <c r="N5" s="49">
        <f>N4</f>
        <v/>
      </c>
      <c r="O5" s="48">
        <f>O4</f>
        <v/>
      </c>
      <c r="P5" s="48">
        <f>N5+(M5-1)*O5</f>
        <v/>
      </c>
      <c r="Q5" s="49" t="n">
        <v>3</v>
      </c>
      <c r="R5" s="49">
        <f>R4</f>
        <v/>
      </c>
      <c r="S5" s="48">
        <f>S4</f>
        <v/>
      </c>
      <c r="T5" s="48">
        <f>R5+(Q5-1)*S5</f>
        <v/>
      </c>
      <c r="U5" s="49" t="n">
        <v>3</v>
      </c>
      <c r="V5" s="49">
        <f>V4</f>
        <v/>
      </c>
      <c r="W5" s="48">
        <f>W4</f>
        <v/>
      </c>
      <c r="X5" s="48">
        <f>V5+(U5-1)*W5</f>
        <v/>
      </c>
      <c r="Y5" s="49" t="n">
        <v>3</v>
      </c>
      <c r="Z5" s="49">
        <f>Z4</f>
        <v/>
      </c>
      <c r="AA5" s="48">
        <f>AA4</f>
        <v/>
      </c>
      <c r="AB5" s="48">
        <f>Z5+(Y5-1)*AA5</f>
        <v/>
      </c>
      <c r="AC5" s="48" t="n">
        <v>3</v>
      </c>
      <c r="AD5" s="49">
        <f>AD4</f>
        <v/>
      </c>
      <c r="AE5" s="48">
        <f>AE4</f>
        <v/>
      </c>
      <c r="AF5" s="48">
        <f>AD5+(AC5-1)*AE5</f>
        <v/>
      </c>
      <c r="AG5" s="48" t="n">
        <v>3</v>
      </c>
      <c r="AH5" s="49">
        <f>AH4</f>
        <v/>
      </c>
      <c r="AI5" s="48">
        <f>AI4</f>
        <v/>
      </c>
      <c r="AJ5" s="48">
        <f>AH5+(AG5-1)*AI5</f>
        <v/>
      </c>
      <c r="AK5" s="48" t="n">
        <v>3</v>
      </c>
      <c r="AL5" s="49">
        <f>AL4</f>
        <v/>
      </c>
      <c r="AM5" s="48">
        <f>AM4</f>
        <v/>
      </c>
      <c r="AN5" s="48">
        <f>AL5+(AK5-1)*AM5</f>
        <v/>
      </c>
      <c r="AO5" s="48" t="n">
        <v>3</v>
      </c>
      <c r="AP5" s="49">
        <f>AP4</f>
        <v/>
      </c>
      <c r="AQ5" s="48">
        <f>AQ4</f>
        <v/>
      </c>
      <c r="AR5" s="48">
        <f>AP5+(AO5-1)*AQ5</f>
        <v/>
      </c>
      <c r="AS5" s="48" t="n">
        <v>3</v>
      </c>
      <c r="AT5" s="49">
        <f>AT4</f>
        <v/>
      </c>
      <c r="AU5" s="48">
        <f>AU4</f>
        <v/>
      </c>
      <c r="AV5" s="48">
        <f>AT5+(AS5-1)*AU5</f>
        <v/>
      </c>
      <c r="AW5" s="49" t="n">
        <v>3</v>
      </c>
      <c r="AX5" s="49">
        <f>AX4</f>
        <v/>
      </c>
      <c r="AY5" s="48">
        <f>ROUND(AX5*0.15,0)</f>
        <v/>
      </c>
      <c r="AZ5" s="48">
        <f>AX5+(AW5-1)*AY5</f>
        <v/>
      </c>
      <c r="BA5" s="49" t="n">
        <v>3</v>
      </c>
      <c r="BB5" s="49">
        <f>BB4</f>
        <v/>
      </c>
      <c r="BC5" s="48">
        <f>BC4</f>
        <v/>
      </c>
      <c r="BD5" s="48">
        <f>BB5+(BA5-1)*BC5</f>
        <v/>
      </c>
      <c r="BE5" s="49" t="n">
        <v>3</v>
      </c>
      <c r="BF5" s="49">
        <f>BF4</f>
        <v/>
      </c>
      <c r="BG5" s="48">
        <f>BG4</f>
        <v/>
      </c>
      <c r="BH5" s="48">
        <f>BF5+(BE5-1)*BG5</f>
        <v/>
      </c>
      <c r="BI5" s="48" t="n">
        <v>3</v>
      </c>
      <c r="BJ5" s="49">
        <f>BJ4</f>
        <v/>
      </c>
      <c r="BK5" s="48">
        <f>BK4</f>
        <v/>
      </c>
      <c r="BL5" s="48">
        <f>BJ5+(BI5-1)*BK5</f>
        <v/>
      </c>
      <c r="BM5" s="48" t="n">
        <v>3</v>
      </c>
      <c r="BN5" s="49">
        <f>BN4</f>
        <v/>
      </c>
      <c r="BO5" s="48">
        <f>BO4</f>
        <v/>
      </c>
      <c r="BP5" s="48">
        <f>BN5+(BM5-1)*BO5</f>
        <v/>
      </c>
      <c r="BQ5" s="48" t="n">
        <v>3</v>
      </c>
      <c r="BR5" s="49">
        <f>BR4</f>
        <v/>
      </c>
      <c r="BS5" s="48">
        <f>BS4</f>
        <v/>
      </c>
      <c r="BT5" s="48">
        <f>BR5+(BQ5-1)*BS5</f>
        <v/>
      </c>
      <c r="BU5" s="48" t="n">
        <v>3</v>
      </c>
      <c r="BV5" s="49">
        <f>BV4</f>
        <v/>
      </c>
      <c r="BW5" s="48">
        <f>BW4</f>
        <v/>
      </c>
      <c r="BX5" s="48">
        <f>BV5+(BU5-1)*BW5</f>
        <v/>
      </c>
      <c r="BY5" s="48" t="n">
        <v>3</v>
      </c>
      <c r="BZ5" s="49">
        <f>BZ4</f>
        <v/>
      </c>
      <c r="CA5" s="48">
        <f>CA4</f>
        <v/>
      </c>
      <c r="CB5" s="48">
        <f>BZ5+(BY5-1)*CA5</f>
        <v/>
      </c>
      <c r="CC5" s="49" t="n">
        <v>3</v>
      </c>
      <c r="CD5" s="49">
        <f>CD4</f>
        <v/>
      </c>
      <c r="CE5" s="48">
        <f>CE4</f>
        <v/>
      </c>
      <c r="CF5" s="48">
        <f>CD5+(CC5-1)*CE5</f>
        <v/>
      </c>
      <c r="CG5" s="49" t="n">
        <v>3</v>
      </c>
      <c r="CH5" s="49">
        <f>CH4</f>
        <v/>
      </c>
      <c r="CI5" s="48">
        <f>CI4</f>
        <v/>
      </c>
      <c r="CJ5" s="48">
        <f>CH5+(CG5-1)*CI5</f>
        <v/>
      </c>
      <c r="CK5" s="49" t="n">
        <v>3</v>
      </c>
      <c r="CL5" s="49">
        <f>CL4</f>
        <v/>
      </c>
      <c r="CM5" s="48">
        <f>CM4</f>
        <v/>
      </c>
      <c r="CN5" s="48">
        <f>CL5+(CK5-1)*CM5</f>
        <v/>
      </c>
      <c r="CO5" s="48" t="n">
        <v>3</v>
      </c>
      <c r="CP5" s="49">
        <f>CP4</f>
        <v/>
      </c>
      <c r="CQ5" s="48">
        <f>CQ4</f>
        <v/>
      </c>
      <c r="CR5" s="48">
        <f>CP5+(CO5-1)*CQ5</f>
        <v/>
      </c>
      <c r="CS5" s="48" t="n">
        <v>3</v>
      </c>
      <c r="CT5" s="49">
        <f>CT4</f>
        <v/>
      </c>
      <c r="CU5" s="48">
        <f>CU4</f>
        <v/>
      </c>
      <c r="CV5" s="48">
        <f>CT5+(CS5-1)*CU5</f>
        <v/>
      </c>
      <c r="CW5" s="48" t="n">
        <v>3</v>
      </c>
      <c r="CX5" s="49">
        <f>CX4</f>
        <v/>
      </c>
      <c r="CY5" s="48">
        <f>CY4</f>
        <v/>
      </c>
      <c r="CZ5" s="48">
        <f>CX5+(CW5-1)*CY5</f>
        <v/>
      </c>
      <c r="DA5" s="48" t="n">
        <v>3</v>
      </c>
      <c r="DB5" s="49">
        <f>DB4</f>
        <v/>
      </c>
      <c r="DC5" s="48">
        <f>DC4</f>
        <v/>
      </c>
      <c r="DD5" s="48">
        <f>DB5+(DA5-1)*DC5</f>
        <v/>
      </c>
      <c r="DE5" s="48" t="n">
        <v>3</v>
      </c>
      <c r="DF5" s="49">
        <f>DF4</f>
        <v/>
      </c>
      <c r="DG5" s="48">
        <f>DG4</f>
        <v/>
      </c>
      <c r="DH5" s="48">
        <f>DF5+(DE5-1)*DG5</f>
        <v/>
      </c>
      <c r="DI5" s="48" t="n">
        <v>3</v>
      </c>
      <c r="DJ5" s="49">
        <f>DJ4</f>
        <v/>
      </c>
      <c r="DK5" s="48">
        <f>DK4</f>
        <v/>
      </c>
      <c r="DL5" s="48">
        <f>DJ5+(DI5-1)*DK5</f>
        <v/>
      </c>
      <c r="DM5" s="48" t="n">
        <v>3</v>
      </c>
      <c r="DN5" s="49">
        <f>DN4</f>
        <v/>
      </c>
      <c r="DO5" s="48">
        <f>DO4</f>
        <v/>
      </c>
      <c r="DP5" s="48">
        <f>DN5+(DM5-1)*DO5</f>
        <v/>
      </c>
      <c r="DQ5" s="48" t="n">
        <v>3</v>
      </c>
      <c r="DR5" s="49">
        <f>DR4</f>
        <v/>
      </c>
      <c r="DS5" s="48">
        <f>DS4</f>
        <v/>
      </c>
      <c r="DT5" s="48">
        <f>DR5+(DQ5-1)*DS5</f>
        <v/>
      </c>
      <c r="DU5" s="48" t="n">
        <v>3</v>
      </c>
      <c r="DV5" s="49">
        <f>DV4</f>
        <v/>
      </c>
      <c r="DW5" s="48">
        <f>DW4</f>
        <v/>
      </c>
      <c r="DX5" s="48">
        <f>DV5+(DU5-1)*DW5</f>
        <v/>
      </c>
      <c r="DY5" s="49" t="n">
        <v>3</v>
      </c>
      <c r="DZ5" s="49">
        <f>DZ4</f>
        <v/>
      </c>
      <c r="EA5" s="48">
        <f>EA4</f>
        <v/>
      </c>
      <c r="EB5" s="48">
        <f>DZ5+(DY5-1)*EA5</f>
        <v/>
      </c>
      <c r="EC5" s="49" t="n">
        <v>3</v>
      </c>
      <c r="ED5" s="49">
        <f>ED4</f>
        <v/>
      </c>
      <c r="EE5" s="48">
        <f>EE4</f>
        <v/>
      </c>
      <c r="EF5" s="48">
        <f>ED5+(EC5-1)*EE5</f>
        <v/>
      </c>
      <c r="EG5" s="49" t="n">
        <v>3</v>
      </c>
      <c r="EH5" s="49">
        <f>EH4</f>
        <v/>
      </c>
      <c r="EI5" s="48">
        <f>EI4</f>
        <v/>
      </c>
      <c r="EJ5" s="48">
        <f>EH5+(EG5-1)*EI5</f>
        <v/>
      </c>
      <c r="EK5" s="48" t="n">
        <v>3</v>
      </c>
      <c r="EL5" s="49">
        <f>EL4</f>
        <v/>
      </c>
      <c r="EM5" s="48">
        <f>EM4</f>
        <v/>
      </c>
      <c r="EN5" s="48">
        <f>EL5+(EK5-1)*EM5</f>
        <v/>
      </c>
      <c r="EO5" s="48" t="n">
        <v>3</v>
      </c>
      <c r="EP5" s="49">
        <f>EP4</f>
        <v/>
      </c>
      <c r="EQ5" s="48">
        <f>EQ4</f>
        <v/>
      </c>
      <c r="ER5" s="48">
        <f>EP5+(EO5-1)*EQ5</f>
        <v/>
      </c>
      <c r="ES5" s="48" t="n">
        <v>3</v>
      </c>
      <c r="ET5" s="49">
        <f>ET4</f>
        <v/>
      </c>
      <c r="EU5" s="48">
        <f>EU4</f>
        <v/>
      </c>
      <c r="EV5" s="48">
        <f>ET5+(ES5-1)*EU5</f>
        <v/>
      </c>
      <c r="EW5" s="48" t="n">
        <v>3</v>
      </c>
      <c r="EX5" s="49">
        <f>EX4</f>
        <v/>
      </c>
      <c r="EY5" s="48">
        <f>EY4</f>
        <v/>
      </c>
      <c r="EZ5" s="48">
        <f>EX5+(EW5-1)*EY5</f>
        <v/>
      </c>
      <c r="FA5" s="48" t="n">
        <v>3</v>
      </c>
      <c r="FB5" s="49">
        <f>FB4</f>
        <v/>
      </c>
      <c r="FC5" s="48">
        <f>FC4</f>
        <v/>
      </c>
      <c r="FD5" s="48">
        <f>FB5+(FA5-1)*FC5</f>
        <v/>
      </c>
    </row>
    <row r="6">
      <c r="A6" s="49" t="n">
        <v>4</v>
      </c>
      <c r="B6" s="49">
        <f>B5</f>
        <v/>
      </c>
      <c r="C6" s="48">
        <f>C5</f>
        <v/>
      </c>
      <c r="D6" s="48">
        <f>B6+(A6-1)*C6</f>
        <v/>
      </c>
      <c r="E6" s="49" t="n">
        <v>4</v>
      </c>
      <c r="F6" s="49">
        <f>F5</f>
        <v/>
      </c>
      <c r="G6" s="48">
        <f>G5</f>
        <v/>
      </c>
      <c r="H6" s="48">
        <f>F6+(E6-1)*G6</f>
        <v/>
      </c>
      <c r="I6" s="49" t="n">
        <v>4</v>
      </c>
      <c r="J6" s="49">
        <f>J5</f>
        <v/>
      </c>
      <c r="K6" s="48">
        <f>K5</f>
        <v/>
      </c>
      <c r="L6" s="48">
        <f>J6+(I6-1)*K6</f>
        <v/>
      </c>
      <c r="M6" s="49" t="n">
        <v>4</v>
      </c>
      <c r="N6" s="49">
        <f>N5</f>
        <v/>
      </c>
      <c r="O6" s="48">
        <f>O5</f>
        <v/>
      </c>
      <c r="P6" s="48">
        <f>N6+(M6-1)*O6</f>
        <v/>
      </c>
      <c r="Q6" s="49" t="n">
        <v>4</v>
      </c>
      <c r="R6" s="49">
        <f>R5</f>
        <v/>
      </c>
      <c r="S6" s="48">
        <f>S5</f>
        <v/>
      </c>
      <c r="T6" s="48">
        <f>R6+(Q6-1)*S6</f>
        <v/>
      </c>
      <c r="U6" s="49" t="n">
        <v>4</v>
      </c>
      <c r="V6" s="49">
        <f>V5</f>
        <v/>
      </c>
      <c r="W6" s="48">
        <f>W5</f>
        <v/>
      </c>
      <c r="X6" s="48">
        <f>V6+(U6-1)*W6</f>
        <v/>
      </c>
      <c r="Y6" s="49" t="n">
        <v>4</v>
      </c>
      <c r="Z6" s="49">
        <f>Z5</f>
        <v/>
      </c>
      <c r="AA6" s="48">
        <f>AA5</f>
        <v/>
      </c>
      <c r="AB6" s="48">
        <f>Z6+(Y6-1)*AA6</f>
        <v/>
      </c>
      <c r="AC6" s="49" t="n">
        <v>4</v>
      </c>
      <c r="AD6" s="49">
        <f>AD5</f>
        <v/>
      </c>
      <c r="AE6" s="48">
        <f>AE5</f>
        <v/>
      </c>
      <c r="AF6" s="48">
        <f>AD6+(AC6-1)*AE6</f>
        <v/>
      </c>
      <c r="AG6" s="49" t="n">
        <v>4</v>
      </c>
      <c r="AH6" s="49">
        <f>AH5</f>
        <v/>
      </c>
      <c r="AI6" s="48">
        <f>AI5</f>
        <v/>
      </c>
      <c r="AJ6" s="48">
        <f>AH6+(AG6-1)*AI6</f>
        <v/>
      </c>
      <c r="AK6" s="49" t="n">
        <v>4</v>
      </c>
      <c r="AL6" s="49">
        <f>AL5</f>
        <v/>
      </c>
      <c r="AM6" s="48">
        <f>AM5</f>
        <v/>
      </c>
      <c r="AN6" s="48">
        <f>AL6+(AK6-1)*AM6</f>
        <v/>
      </c>
      <c r="AO6" s="49" t="n">
        <v>4</v>
      </c>
      <c r="AP6" s="49">
        <f>AP5</f>
        <v/>
      </c>
      <c r="AQ6" s="48">
        <f>AQ5</f>
        <v/>
      </c>
      <c r="AR6" s="48">
        <f>AP6+(AO6-1)*AQ6</f>
        <v/>
      </c>
      <c r="AS6" s="49" t="n">
        <v>4</v>
      </c>
      <c r="AT6" s="49">
        <f>AT5</f>
        <v/>
      </c>
      <c r="AU6" s="48">
        <f>AU5</f>
        <v/>
      </c>
      <c r="AV6" s="48">
        <f>AT6+(AS6-1)*AU6</f>
        <v/>
      </c>
      <c r="AW6" s="49" t="n">
        <v>4</v>
      </c>
      <c r="AX6" s="49">
        <f>AX5</f>
        <v/>
      </c>
      <c r="AY6" s="48">
        <f>ROUND(AX6*0.15,0)</f>
        <v/>
      </c>
      <c r="AZ6" s="48">
        <f>AX6+(AW6-1)*AY6</f>
        <v/>
      </c>
      <c r="BA6" s="49" t="n">
        <v>4</v>
      </c>
      <c r="BB6" s="49">
        <f>BB5</f>
        <v/>
      </c>
      <c r="BC6" s="48">
        <f>BC5</f>
        <v/>
      </c>
      <c r="BD6" s="48">
        <f>BB6+(BA6-1)*BC6</f>
        <v/>
      </c>
      <c r="BE6" s="49" t="n">
        <v>4</v>
      </c>
      <c r="BF6" s="49">
        <f>BF5</f>
        <v/>
      </c>
      <c r="BG6" s="48">
        <f>BG5</f>
        <v/>
      </c>
      <c r="BH6" s="48">
        <f>BF6+(BE6-1)*BG6</f>
        <v/>
      </c>
      <c r="BI6" s="49" t="n">
        <v>4</v>
      </c>
      <c r="BJ6" s="49">
        <f>BJ5</f>
        <v/>
      </c>
      <c r="BK6" s="48">
        <f>BK5</f>
        <v/>
      </c>
      <c r="BL6" s="48">
        <f>BJ6+(BI6-1)*BK6</f>
        <v/>
      </c>
      <c r="BM6" s="49" t="n">
        <v>4</v>
      </c>
      <c r="BN6" s="49">
        <f>BN5</f>
        <v/>
      </c>
      <c r="BO6" s="48">
        <f>BO5</f>
        <v/>
      </c>
      <c r="BP6" s="48">
        <f>BN6+(BM6-1)*BO6</f>
        <v/>
      </c>
      <c r="BQ6" s="49" t="n">
        <v>4</v>
      </c>
      <c r="BR6" s="49">
        <f>BR5</f>
        <v/>
      </c>
      <c r="BS6" s="48">
        <f>BS5</f>
        <v/>
      </c>
      <c r="BT6" s="48">
        <f>BR6+(BQ6-1)*BS6</f>
        <v/>
      </c>
      <c r="BU6" s="49" t="n">
        <v>4</v>
      </c>
      <c r="BV6" s="49">
        <f>BV5</f>
        <v/>
      </c>
      <c r="BW6" s="48">
        <f>BW5</f>
        <v/>
      </c>
      <c r="BX6" s="48">
        <f>BV6+(BU6-1)*BW6</f>
        <v/>
      </c>
      <c r="BY6" s="49" t="n">
        <v>4</v>
      </c>
      <c r="BZ6" s="49">
        <f>BZ5</f>
        <v/>
      </c>
      <c r="CA6" s="48">
        <f>CA5</f>
        <v/>
      </c>
      <c r="CB6" s="48">
        <f>BZ6+(BY6-1)*CA6</f>
        <v/>
      </c>
      <c r="CC6" s="49" t="n">
        <v>4</v>
      </c>
      <c r="CD6" s="49">
        <f>CD5</f>
        <v/>
      </c>
      <c r="CE6" s="48">
        <f>CE5</f>
        <v/>
      </c>
      <c r="CF6" s="48">
        <f>CD6+(CC6-1)*CE6</f>
        <v/>
      </c>
      <c r="CG6" s="49" t="n">
        <v>4</v>
      </c>
      <c r="CH6" s="49">
        <f>CH5</f>
        <v/>
      </c>
      <c r="CI6" s="48">
        <f>CI5</f>
        <v/>
      </c>
      <c r="CJ6" s="48">
        <f>CH6+(CG6-1)*CI6</f>
        <v/>
      </c>
      <c r="CK6" s="49" t="n">
        <v>4</v>
      </c>
      <c r="CL6" s="49">
        <f>CL5</f>
        <v/>
      </c>
      <c r="CM6" s="48">
        <f>CM5</f>
        <v/>
      </c>
      <c r="CN6" s="48">
        <f>CL6+(CK6-1)*CM6</f>
        <v/>
      </c>
      <c r="CO6" s="49" t="n">
        <v>4</v>
      </c>
      <c r="CP6" s="49">
        <f>CP5</f>
        <v/>
      </c>
      <c r="CQ6" s="48">
        <f>CQ5</f>
        <v/>
      </c>
      <c r="CR6" s="48">
        <f>CP6+(CO6-1)*CQ6</f>
        <v/>
      </c>
      <c r="CS6" s="49" t="n">
        <v>4</v>
      </c>
      <c r="CT6" s="49">
        <f>CT5</f>
        <v/>
      </c>
      <c r="CU6" s="48">
        <f>CU5</f>
        <v/>
      </c>
      <c r="CV6" s="48">
        <f>CT6+(CS6-1)*CU6</f>
        <v/>
      </c>
      <c r="CW6" s="49" t="n">
        <v>4</v>
      </c>
      <c r="CX6" s="49">
        <f>CX5</f>
        <v/>
      </c>
      <c r="CY6" s="48">
        <f>CY5</f>
        <v/>
      </c>
      <c r="CZ6" s="48">
        <f>CX6+(CW6-1)*CY6</f>
        <v/>
      </c>
      <c r="DA6" s="49" t="n">
        <v>4</v>
      </c>
      <c r="DB6" s="49">
        <f>DB5</f>
        <v/>
      </c>
      <c r="DC6" s="48">
        <f>DC5</f>
        <v/>
      </c>
      <c r="DD6" s="48">
        <f>DB6+(DA6-1)*DC6</f>
        <v/>
      </c>
      <c r="DE6" s="49" t="n">
        <v>4</v>
      </c>
      <c r="DF6" s="49">
        <f>DF5</f>
        <v/>
      </c>
      <c r="DG6" s="48">
        <f>DG5</f>
        <v/>
      </c>
      <c r="DH6" s="48">
        <f>DF6+(DE6-1)*DG6</f>
        <v/>
      </c>
      <c r="DI6" s="49" t="n">
        <v>4</v>
      </c>
      <c r="DJ6" s="49">
        <f>DJ5</f>
        <v/>
      </c>
      <c r="DK6" s="48">
        <f>DK5</f>
        <v/>
      </c>
      <c r="DL6" s="48">
        <f>DJ6+(DI6-1)*DK6</f>
        <v/>
      </c>
      <c r="DM6" s="49" t="n">
        <v>4</v>
      </c>
      <c r="DN6" s="49">
        <f>DN5</f>
        <v/>
      </c>
      <c r="DO6" s="48">
        <f>DO5</f>
        <v/>
      </c>
      <c r="DP6" s="48">
        <f>DN6+(DM6-1)*DO6</f>
        <v/>
      </c>
      <c r="DQ6" s="49" t="n">
        <v>4</v>
      </c>
      <c r="DR6" s="49">
        <f>DR5</f>
        <v/>
      </c>
      <c r="DS6" s="48">
        <f>DS5</f>
        <v/>
      </c>
      <c r="DT6" s="48">
        <f>DR6+(DQ6-1)*DS6</f>
        <v/>
      </c>
      <c r="DU6" s="49" t="n">
        <v>4</v>
      </c>
      <c r="DV6" s="49">
        <f>DV5</f>
        <v/>
      </c>
      <c r="DW6" s="48">
        <f>DW5</f>
        <v/>
      </c>
      <c r="DX6" s="48">
        <f>DV6+(DU6-1)*DW6</f>
        <v/>
      </c>
      <c r="DY6" s="49" t="n">
        <v>4</v>
      </c>
      <c r="DZ6" s="49">
        <f>DZ5</f>
        <v/>
      </c>
      <c r="EA6" s="48">
        <f>EA5</f>
        <v/>
      </c>
      <c r="EB6" s="48">
        <f>DZ6+(DY6-1)*EA6</f>
        <v/>
      </c>
      <c r="EC6" s="49" t="n">
        <v>4</v>
      </c>
      <c r="ED6" s="49">
        <f>ED5</f>
        <v/>
      </c>
      <c r="EE6" s="48">
        <f>EE5</f>
        <v/>
      </c>
      <c r="EF6" s="48">
        <f>ED6+(EC6-1)*EE6</f>
        <v/>
      </c>
      <c r="EG6" s="49" t="n">
        <v>4</v>
      </c>
      <c r="EH6" s="49">
        <f>EH5</f>
        <v/>
      </c>
      <c r="EI6" s="48">
        <f>EI5</f>
        <v/>
      </c>
      <c r="EJ6" s="48">
        <f>EH6+(EG6-1)*EI6</f>
        <v/>
      </c>
      <c r="EK6" s="49" t="n">
        <v>4</v>
      </c>
      <c r="EL6" s="49">
        <f>EL5</f>
        <v/>
      </c>
      <c r="EM6" s="48">
        <f>EM5</f>
        <v/>
      </c>
      <c r="EN6" s="48">
        <f>EL6+(EK6-1)*EM6</f>
        <v/>
      </c>
      <c r="EO6" s="49" t="n">
        <v>4</v>
      </c>
      <c r="EP6" s="49">
        <f>EP5</f>
        <v/>
      </c>
      <c r="EQ6" s="48">
        <f>EQ5</f>
        <v/>
      </c>
      <c r="ER6" s="48">
        <f>EP6+(EO6-1)*EQ6</f>
        <v/>
      </c>
      <c r="ES6" s="49" t="n">
        <v>4</v>
      </c>
      <c r="ET6" s="49">
        <f>ET5</f>
        <v/>
      </c>
      <c r="EU6" s="48">
        <f>EU5</f>
        <v/>
      </c>
      <c r="EV6" s="48">
        <f>ET6+(ES6-1)*EU6</f>
        <v/>
      </c>
      <c r="EW6" s="49" t="n">
        <v>4</v>
      </c>
      <c r="EX6" s="49">
        <f>EX5</f>
        <v/>
      </c>
      <c r="EY6" s="48">
        <f>EY5</f>
        <v/>
      </c>
      <c r="EZ6" s="48">
        <f>EX6+(EW6-1)*EY6</f>
        <v/>
      </c>
      <c r="FA6" s="49" t="n">
        <v>4</v>
      </c>
      <c r="FB6" s="49">
        <f>FB5</f>
        <v/>
      </c>
      <c r="FC6" s="48">
        <f>FC5</f>
        <v/>
      </c>
      <c r="FD6" s="48">
        <f>FB6+(FA6-1)*FC6</f>
        <v/>
      </c>
    </row>
    <row r="7">
      <c r="A7" s="49" t="n">
        <v>5</v>
      </c>
      <c r="B7" s="49">
        <f>B6</f>
        <v/>
      </c>
      <c r="C7" s="48">
        <f>C6</f>
        <v/>
      </c>
      <c r="D7" s="48">
        <f>B7+(A7-1)*C7</f>
        <v/>
      </c>
      <c r="E7" s="49" t="n">
        <v>5</v>
      </c>
      <c r="F7" s="49">
        <f>F6</f>
        <v/>
      </c>
      <c r="G7" s="48">
        <f>G6</f>
        <v/>
      </c>
      <c r="H7" s="48">
        <f>F7+(E7-1)*G7</f>
        <v/>
      </c>
      <c r="I7" s="48" t="n">
        <v>5</v>
      </c>
      <c r="J7" s="49">
        <f>J6</f>
        <v/>
      </c>
      <c r="K7" s="48">
        <f>K6</f>
        <v/>
      </c>
      <c r="L7" s="48">
        <f>J7+(I7-1)*K7</f>
        <v/>
      </c>
      <c r="M7" s="48" t="n">
        <v>5</v>
      </c>
      <c r="N7" s="49">
        <f>N6</f>
        <v/>
      </c>
      <c r="O7" s="48">
        <f>O6</f>
        <v/>
      </c>
      <c r="P7" s="48">
        <f>N7+(M7-1)*O7</f>
        <v/>
      </c>
      <c r="Q7" s="49" t="n">
        <v>5</v>
      </c>
      <c r="R7" s="49">
        <f>R6</f>
        <v/>
      </c>
      <c r="S7" s="48">
        <f>S6</f>
        <v/>
      </c>
      <c r="T7" s="48">
        <f>R7+(Q7-1)*S7</f>
        <v/>
      </c>
      <c r="U7" s="49" t="n">
        <v>5</v>
      </c>
      <c r="V7" s="49">
        <f>V6</f>
        <v/>
      </c>
      <c r="W7" s="48">
        <f>W6</f>
        <v/>
      </c>
      <c r="X7" s="48">
        <f>V7+(U7-1)*W7</f>
        <v/>
      </c>
      <c r="Y7" s="49" t="n">
        <v>5</v>
      </c>
      <c r="Z7" s="49">
        <f>Z6</f>
        <v/>
      </c>
      <c r="AA7" s="48">
        <f>AA6</f>
        <v/>
      </c>
      <c r="AB7" s="48">
        <f>Z7+(Y7-1)*AA7</f>
        <v/>
      </c>
      <c r="AC7" s="48" t="n">
        <v>5</v>
      </c>
      <c r="AD7" s="49">
        <f>AD6</f>
        <v/>
      </c>
      <c r="AE7" s="48">
        <f>AE6</f>
        <v/>
      </c>
      <c r="AF7" s="48">
        <f>AD7+(AC7-1)*AE7</f>
        <v/>
      </c>
      <c r="AG7" s="48" t="n">
        <v>5</v>
      </c>
      <c r="AH7" s="49">
        <f>AH6</f>
        <v/>
      </c>
      <c r="AI7" s="48">
        <f>AI6</f>
        <v/>
      </c>
      <c r="AJ7" s="48">
        <f>AH7+(AG7-1)*AI7</f>
        <v/>
      </c>
      <c r="AK7" s="48" t="n">
        <v>5</v>
      </c>
      <c r="AL7" s="49">
        <f>AL6</f>
        <v/>
      </c>
      <c r="AM7" s="48">
        <f>AM6</f>
        <v/>
      </c>
      <c r="AN7" s="48">
        <f>AL7+(AK7-1)*AM7</f>
        <v/>
      </c>
      <c r="AO7" s="48" t="n">
        <v>5</v>
      </c>
      <c r="AP7" s="49">
        <f>AP6</f>
        <v/>
      </c>
      <c r="AQ7" s="48">
        <f>AQ6</f>
        <v/>
      </c>
      <c r="AR7" s="48">
        <f>AP7+(AO7-1)*AQ7</f>
        <v/>
      </c>
      <c r="AS7" s="48" t="n">
        <v>5</v>
      </c>
      <c r="AT7" s="49">
        <f>AT6</f>
        <v/>
      </c>
      <c r="AU7" s="48">
        <f>AU6</f>
        <v/>
      </c>
      <c r="AV7" s="48">
        <f>AT7+(AS7-1)*AU7</f>
        <v/>
      </c>
      <c r="AW7" s="49" t="n">
        <v>5</v>
      </c>
      <c r="AX7" s="49">
        <f>AX6</f>
        <v/>
      </c>
      <c r="AY7" s="48">
        <f>ROUND(AX7*0.15,0)</f>
        <v/>
      </c>
      <c r="AZ7" s="48">
        <f>AX7+(AW7-1)*AY7</f>
        <v/>
      </c>
      <c r="BA7" s="49" t="n">
        <v>5</v>
      </c>
      <c r="BB7" s="49">
        <f>BB6</f>
        <v/>
      </c>
      <c r="BC7" s="48">
        <f>BC6</f>
        <v/>
      </c>
      <c r="BD7" s="48">
        <f>BB7+(BA7-1)*BC7</f>
        <v/>
      </c>
      <c r="BE7" s="49" t="n">
        <v>5</v>
      </c>
      <c r="BF7" s="49">
        <f>BF6</f>
        <v/>
      </c>
      <c r="BG7" s="48">
        <f>BG6</f>
        <v/>
      </c>
      <c r="BH7" s="48">
        <f>BF7+(BE7-1)*BG7</f>
        <v/>
      </c>
      <c r="BI7" s="48" t="n">
        <v>5</v>
      </c>
      <c r="BJ7" s="49">
        <f>BJ6</f>
        <v/>
      </c>
      <c r="BK7" s="48">
        <f>BK6</f>
        <v/>
      </c>
      <c r="BL7" s="48">
        <f>BJ7+(BI7-1)*BK7</f>
        <v/>
      </c>
      <c r="BM7" s="48" t="n">
        <v>5</v>
      </c>
      <c r="BN7" s="49">
        <f>BN6</f>
        <v/>
      </c>
      <c r="BO7" s="48">
        <f>BO6</f>
        <v/>
      </c>
      <c r="BP7" s="48">
        <f>BN7+(BM7-1)*BO7</f>
        <v/>
      </c>
      <c r="BQ7" s="48" t="n">
        <v>5</v>
      </c>
      <c r="BR7" s="49">
        <f>BR6</f>
        <v/>
      </c>
      <c r="BS7" s="48">
        <f>BS6</f>
        <v/>
      </c>
      <c r="BT7" s="48">
        <f>BR7+(BQ7-1)*BS7</f>
        <v/>
      </c>
      <c r="BU7" s="48" t="n">
        <v>5</v>
      </c>
      <c r="BV7" s="49">
        <f>BV6</f>
        <v/>
      </c>
      <c r="BW7" s="48">
        <f>BW6</f>
        <v/>
      </c>
      <c r="BX7" s="48">
        <f>BV7+(BU7-1)*BW7</f>
        <v/>
      </c>
      <c r="BY7" s="48" t="n">
        <v>5</v>
      </c>
      <c r="BZ7" s="49">
        <f>BZ6</f>
        <v/>
      </c>
      <c r="CA7" s="48">
        <f>CA6</f>
        <v/>
      </c>
      <c r="CB7" s="48">
        <f>BZ7+(BY7-1)*CA7</f>
        <v/>
      </c>
      <c r="CC7" s="49" t="n">
        <v>5</v>
      </c>
      <c r="CD7" s="49">
        <f>CD6</f>
        <v/>
      </c>
      <c r="CE7" s="48">
        <f>CE6</f>
        <v/>
      </c>
      <c r="CF7" s="48">
        <f>CD7+(CC7-1)*CE7</f>
        <v/>
      </c>
      <c r="CG7" s="49" t="n">
        <v>5</v>
      </c>
      <c r="CH7" s="49">
        <f>CH6</f>
        <v/>
      </c>
      <c r="CI7" s="48">
        <f>CI6</f>
        <v/>
      </c>
      <c r="CJ7" s="48">
        <f>CH7+(CG7-1)*CI7</f>
        <v/>
      </c>
      <c r="CK7" s="49" t="n">
        <v>5</v>
      </c>
      <c r="CL7" s="49">
        <f>CL6</f>
        <v/>
      </c>
      <c r="CM7" s="48">
        <f>CM6</f>
        <v/>
      </c>
      <c r="CN7" s="48">
        <f>CL7+(CK7-1)*CM7</f>
        <v/>
      </c>
      <c r="CO7" s="48" t="n">
        <v>5</v>
      </c>
      <c r="CP7" s="49">
        <f>CP6</f>
        <v/>
      </c>
      <c r="CQ7" s="48">
        <f>CQ6</f>
        <v/>
      </c>
      <c r="CR7" s="48">
        <f>CP7+(CO7-1)*CQ7</f>
        <v/>
      </c>
      <c r="CS7" s="48" t="n">
        <v>5</v>
      </c>
      <c r="CT7" s="49">
        <f>CT6</f>
        <v/>
      </c>
      <c r="CU7" s="48">
        <f>CU6</f>
        <v/>
      </c>
      <c r="CV7" s="48">
        <f>CT7+(CS7-1)*CU7</f>
        <v/>
      </c>
      <c r="CW7" s="48" t="n">
        <v>5</v>
      </c>
      <c r="CX7" s="49">
        <f>CX6</f>
        <v/>
      </c>
      <c r="CY7" s="48">
        <f>CY6</f>
        <v/>
      </c>
      <c r="CZ7" s="48">
        <f>CX7+(CW7-1)*CY7</f>
        <v/>
      </c>
      <c r="DA7" s="48" t="n">
        <v>5</v>
      </c>
      <c r="DB7" s="49">
        <f>DB6</f>
        <v/>
      </c>
      <c r="DC7" s="48">
        <f>DC6</f>
        <v/>
      </c>
      <c r="DD7" s="48">
        <f>DB7+(DA7-1)*DC7</f>
        <v/>
      </c>
      <c r="DE7" s="48" t="n">
        <v>5</v>
      </c>
      <c r="DF7" s="49">
        <f>DF6</f>
        <v/>
      </c>
      <c r="DG7" s="48">
        <f>DG6</f>
        <v/>
      </c>
      <c r="DH7" s="48">
        <f>DF7+(DE7-1)*DG7</f>
        <v/>
      </c>
      <c r="DI7" s="48" t="n">
        <v>5</v>
      </c>
      <c r="DJ7" s="49">
        <f>DJ6</f>
        <v/>
      </c>
      <c r="DK7" s="48">
        <f>DK6</f>
        <v/>
      </c>
      <c r="DL7" s="48">
        <f>DJ7+(DI7-1)*DK7</f>
        <v/>
      </c>
      <c r="DM7" s="48" t="n">
        <v>5</v>
      </c>
      <c r="DN7" s="49">
        <f>DN6</f>
        <v/>
      </c>
      <c r="DO7" s="48">
        <f>DO6</f>
        <v/>
      </c>
      <c r="DP7" s="48">
        <f>DN7+(DM7-1)*DO7</f>
        <v/>
      </c>
      <c r="DQ7" s="48" t="n">
        <v>5</v>
      </c>
      <c r="DR7" s="49">
        <f>DR6</f>
        <v/>
      </c>
      <c r="DS7" s="48">
        <f>DS6</f>
        <v/>
      </c>
      <c r="DT7" s="48">
        <f>DR7+(DQ7-1)*DS7</f>
        <v/>
      </c>
      <c r="DU7" s="48" t="n">
        <v>5</v>
      </c>
      <c r="DV7" s="49">
        <f>DV6</f>
        <v/>
      </c>
      <c r="DW7" s="48">
        <f>DW6</f>
        <v/>
      </c>
      <c r="DX7" s="48">
        <f>DV7+(DU7-1)*DW7</f>
        <v/>
      </c>
      <c r="DY7" s="49" t="n">
        <v>5</v>
      </c>
      <c r="DZ7" s="49">
        <f>DZ6</f>
        <v/>
      </c>
      <c r="EA7" s="48">
        <f>EA6</f>
        <v/>
      </c>
      <c r="EB7" s="48">
        <f>DZ7+(DY7-1)*EA7</f>
        <v/>
      </c>
      <c r="EC7" s="49" t="n">
        <v>5</v>
      </c>
      <c r="ED7" s="49">
        <f>ED6</f>
        <v/>
      </c>
      <c r="EE7" s="48">
        <f>EE6</f>
        <v/>
      </c>
      <c r="EF7" s="48">
        <f>ED7+(EC7-1)*EE7</f>
        <v/>
      </c>
      <c r="EG7" s="49" t="n">
        <v>5</v>
      </c>
      <c r="EH7" s="49">
        <f>EH6</f>
        <v/>
      </c>
      <c r="EI7" s="48">
        <f>EI6</f>
        <v/>
      </c>
      <c r="EJ7" s="48">
        <f>EH7+(EG7-1)*EI7</f>
        <v/>
      </c>
      <c r="EK7" s="48" t="n">
        <v>5</v>
      </c>
      <c r="EL7" s="49">
        <f>EL6</f>
        <v/>
      </c>
      <c r="EM7" s="48">
        <f>EM6</f>
        <v/>
      </c>
      <c r="EN7" s="48">
        <f>EL7+(EK7-1)*EM7</f>
        <v/>
      </c>
      <c r="EO7" s="48" t="n">
        <v>5</v>
      </c>
      <c r="EP7" s="49">
        <f>EP6</f>
        <v/>
      </c>
      <c r="EQ7" s="48">
        <f>EQ6</f>
        <v/>
      </c>
      <c r="ER7" s="48">
        <f>EP7+(EO7-1)*EQ7</f>
        <v/>
      </c>
      <c r="ES7" s="48" t="n">
        <v>5</v>
      </c>
      <c r="ET7" s="49">
        <f>ET6</f>
        <v/>
      </c>
      <c r="EU7" s="48">
        <f>EU6</f>
        <v/>
      </c>
      <c r="EV7" s="48">
        <f>ET7+(ES7-1)*EU7</f>
        <v/>
      </c>
      <c r="EW7" s="48" t="n">
        <v>5</v>
      </c>
      <c r="EX7" s="49">
        <f>EX6</f>
        <v/>
      </c>
      <c r="EY7" s="48">
        <f>EY6</f>
        <v/>
      </c>
      <c r="EZ7" s="48">
        <f>EX7+(EW7-1)*EY7</f>
        <v/>
      </c>
      <c r="FA7" s="48" t="n">
        <v>5</v>
      </c>
      <c r="FB7" s="49">
        <f>FB6</f>
        <v/>
      </c>
      <c r="FC7" s="48">
        <f>FC6</f>
        <v/>
      </c>
      <c r="FD7" s="48">
        <f>FB7+(FA7-1)*FC7</f>
        <v/>
      </c>
    </row>
    <row r="8">
      <c r="A8" s="49" t="n">
        <v>6</v>
      </c>
      <c r="B8" s="49">
        <f>B7</f>
        <v/>
      </c>
      <c r="C8" s="48">
        <f>C7</f>
        <v/>
      </c>
      <c r="D8" s="48">
        <f>B8+(A8-1)*C8</f>
        <v/>
      </c>
      <c r="E8" s="49" t="n">
        <v>6</v>
      </c>
      <c r="F8" s="49">
        <f>F7</f>
        <v/>
      </c>
      <c r="G8" s="48">
        <f>G7</f>
        <v/>
      </c>
      <c r="H8" s="48">
        <f>F8+(E8-1)*G8</f>
        <v/>
      </c>
      <c r="I8" s="49" t="n">
        <v>6</v>
      </c>
      <c r="J8" s="49">
        <f>J7</f>
        <v/>
      </c>
      <c r="K8" s="48">
        <f>K7</f>
        <v/>
      </c>
      <c r="L8" s="48">
        <f>J8+(I8-1)*K8</f>
        <v/>
      </c>
      <c r="M8" s="49" t="n">
        <v>6</v>
      </c>
      <c r="N8" s="49">
        <f>N7</f>
        <v/>
      </c>
      <c r="O8" s="48">
        <f>O7</f>
        <v/>
      </c>
      <c r="P8" s="48">
        <f>N8+(M8-1)*O8</f>
        <v/>
      </c>
      <c r="Q8" s="49" t="n">
        <v>6</v>
      </c>
      <c r="R8" s="49">
        <f>R7</f>
        <v/>
      </c>
      <c r="S8" s="48">
        <f>S7</f>
        <v/>
      </c>
      <c r="T8" s="48">
        <f>R8+(Q8-1)*S8</f>
        <v/>
      </c>
      <c r="U8" s="49" t="n">
        <v>6</v>
      </c>
      <c r="V8" s="49">
        <f>V7</f>
        <v/>
      </c>
      <c r="W8" s="48">
        <f>W7</f>
        <v/>
      </c>
      <c r="X8" s="48">
        <f>V8+(U8-1)*W8</f>
        <v/>
      </c>
      <c r="Y8" s="49" t="n">
        <v>6</v>
      </c>
      <c r="Z8" s="49">
        <f>Z7</f>
        <v/>
      </c>
      <c r="AA8" s="48">
        <f>AA7</f>
        <v/>
      </c>
      <c r="AB8" s="48">
        <f>Z8+(Y8-1)*AA8</f>
        <v/>
      </c>
      <c r="AC8" s="49" t="n">
        <v>6</v>
      </c>
      <c r="AD8" s="49">
        <f>AD7</f>
        <v/>
      </c>
      <c r="AE8" s="48">
        <f>AE7</f>
        <v/>
      </c>
      <c r="AF8" s="48">
        <f>AD8+(AC8-1)*AE8</f>
        <v/>
      </c>
      <c r="AG8" s="49" t="n">
        <v>6</v>
      </c>
      <c r="AH8" s="49">
        <f>AH7</f>
        <v/>
      </c>
      <c r="AI8" s="48">
        <f>AI7</f>
        <v/>
      </c>
      <c r="AJ8" s="48">
        <f>AH8+(AG8-1)*AI8</f>
        <v/>
      </c>
      <c r="AK8" s="49" t="n">
        <v>6</v>
      </c>
      <c r="AL8" s="49">
        <f>AL7</f>
        <v/>
      </c>
      <c r="AM8" s="48">
        <f>AM7</f>
        <v/>
      </c>
      <c r="AN8" s="48">
        <f>AL8+(AK8-1)*AM8</f>
        <v/>
      </c>
      <c r="AO8" s="49" t="n">
        <v>6</v>
      </c>
      <c r="AP8" s="49">
        <f>AP7</f>
        <v/>
      </c>
      <c r="AQ8" s="48">
        <f>AQ7</f>
        <v/>
      </c>
      <c r="AR8" s="48">
        <f>AP8+(AO8-1)*AQ8</f>
        <v/>
      </c>
      <c r="AS8" s="49" t="n">
        <v>6</v>
      </c>
      <c r="AT8" s="49">
        <f>AT7</f>
        <v/>
      </c>
      <c r="AU8" s="48">
        <f>AU7</f>
        <v/>
      </c>
      <c r="AV8" s="48">
        <f>AT8+(AS8-1)*AU8</f>
        <v/>
      </c>
      <c r="AW8" s="49" t="n">
        <v>6</v>
      </c>
      <c r="AX8" s="49">
        <f>AX7</f>
        <v/>
      </c>
      <c r="AY8" s="48">
        <f>ROUND(AX8*0.15,0)</f>
        <v/>
      </c>
      <c r="AZ8" s="48">
        <f>AX8+(AW8-1)*AY8</f>
        <v/>
      </c>
      <c r="BA8" s="49" t="n">
        <v>6</v>
      </c>
      <c r="BB8" s="49">
        <f>BB7</f>
        <v/>
      </c>
      <c r="BC8" s="48">
        <f>BC7</f>
        <v/>
      </c>
      <c r="BD8" s="48">
        <f>BB8+(BA8-1)*BC8</f>
        <v/>
      </c>
      <c r="BE8" s="49" t="n">
        <v>6</v>
      </c>
      <c r="BF8" s="49">
        <f>BF7</f>
        <v/>
      </c>
      <c r="BG8" s="48">
        <f>BG7</f>
        <v/>
      </c>
      <c r="BH8" s="48">
        <f>BF8+(BE8-1)*BG8</f>
        <v/>
      </c>
      <c r="BI8" s="49" t="n">
        <v>6</v>
      </c>
      <c r="BJ8" s="49">
        <f>BJ7</f>
        <v/>
      </c>
      <c r="BK8" s="48">
        <f>BK7</f>
        <v/>
      </c>
      <c r="BL8" s="48">
        <f>BJ8+(BI8-1)*BK8</f>
        <v/>
      </c>
      <c r="BM8" s="49" t="n">
        <v>6</v>
      </c>
      <c r="BN8" s="49">
        <f>BN7</f>
        <v/>
      </c>
      <c r="BO8" s="48">
        <f>BO7</f>
        <v/>
      </c>
      <c r="BP8" s="48">
        <f>BN8+(BM8-1)*BO8</f>
        <v/>
      </c>
      <c r="BQ8" s="49" t="n">
        <v>6</v>
      </c>
      <c r="BR8" s="49">
        <f>BR7</f>
        <v/>
      </c>
      <c r="BS8" s="48">
        <f>BS7</f>
        <v/>
      </c>
      <c r="BT8" s="48">
        <f>BR8+(BQ8-1)*BS8</f>
        <v/>
      </c>
      <c r="BU8" s="49" t="n">
        <v>6</v>
      </c>
      <c r="BV8" s="49">
        <f>BV7</f>
        <v/>
      </c>
      <c r="BW8" s="48">
        <f>BW7</f>
        <v/>
      </c>
      <c r="BX8" s="48">
        <f>BV8+(BU8-1)*BW8</f>
        <v/>
      </c>
      <c r="BY8" s="49" t="n">
        <v>6</v>
      </c>
      <c r="BZ8" s="49">
        <f>BZ7</f>
        <v/>
      </c>
      <c r="CA8" s="48">
        <f>CA7</f>
        <v/>
      </c>
      <c r="CB8" s="48">
        <f>BZ8+(BY8-1)*CA8</f>
        <v/>
      </c>
      <c r="CC8" s="49" t="n">
        <v>6</v>
      </c>
      <c r="CD8" s="49">
        <f>CD7</f>
        <v/>
      </c>
      <c r="CE8" s="48">
        <f>CE7</f>
        <v/>
      </c>
      <c r="CF8" s="48">
        <f>CD8+(CC8-1)*CE8</f>
        <v/>
      </c>
      <c r="CG8" s="49" t="n">
        <v>6</v>
      </c>
      <c r="CH8" s="49">
        <f>CH7</f>
        <v/>
      </c>
      <c r="CI8" s="48">
        <f>CI7</f>
        <v/>
      </c>
      <c r="CJ8" s="48">
        <f>CH8+(CG8-1)*CI8</f>
        <v/>
      </c>
      <c r="CK8" s="49" t="n">
        <v>6</v>
      </c>
      <c r="CL8" s="49">
        <f>CL7</f>
        <v/>
      </c>
      <c r="CM8" s="48">
        <f>CM7</f>
        <v/>
      </c>
      <c r="CN8" s="48">
        <f>CL8+(CK8-1)*CM8</f>
        <v/>
      </c>
      <c r="CO8" s="49" t="n">
        <v>6</v>
      </c>
      <c r="CP8" s="49">
        <f>CP7</f>
        <v/>
      </c>
      <c r="CQ8" s="48">
        <f>CQ7</f>
        <v/>
      </c>
      <c r="CR8" s="48">
        <f>CP8+(CO8-1)*CQ8</f>
        <v/>
      </c>
      <c r="CS8" s="49" t="n">
        <v>6</v>
      </c>
      <c r="CT8" s="49">
        <f>CT7</f>
        <v/>
      </c>
      <c r="CU8" s="48">
        <f>CU7</f>
        <v/>
      </c>
      <c r="CV8" s="48">
        <f>CT8+(CS8-1)*CU8</f>
        <v/>
      </c>
      <c r="CW8" s="49" t="n">
        <v>6</v>
      </c>
      <c r="CX8" s="49">
        <f>CX7</f>
        <v/>
      </c>
      <c r="CY8" s="48">
        <f>CY7</f>
        <v/>
      </c>
      <c r="CZ8" s="48">
        <f>CX8+(CW8-1)*CY8</f>
        <v/>
      </c>
      <c r="DA8" s="49" t="n">
        <v>6</v>
      </c>
      <c r="DB8" s="49">
        <f>DB7</f>
        <v/>
      </c>
      <c r="DC8" s="48">
        <f>DC7</f>
        <v/>
      </c>
      <c r="DD8" s="48">
        <f>DB8+(DA8-1)*DC8</f>
        <v/>
      </c>
      <c r="DE8" s="49" t="n">
        <v>6</v>
      </c>
      <c r="DF8" s="49">
        <f>DF7</f>
        <v/>
      </c>
      <c r="DG8" s="48">
        <f>DG7</f>
        <v/>
      </c>
      <c r="DH8" s="48">
        <f>DF8+(DE8-1)*DG8</f>
        <v/>
      </c>
      <c r="DI8" s="49" t="n">
        <v>6</v>
      </c>
      <c r="DJ8" s="49">
        <f>DJ7</f>
        <v/>
      </c>
      <c r="DK8" s="48">
        <f>DK7</f>
        <v/>
      </c>
      <c r="DL8" s="48">
        <f>DJ8+(DI8-1)*DK8</f>
        <v/>
      </c>
      <c r="DM8" s="49" t="n">
        <v>6</v>
      </c>
      <c r="DN8" s="49">
        <f>DN7</f>
        <v/>
      </c>
      <c r="DO8" s="48">
        <f>DO7</f>
        <v/>
      </c>
      <c r="DP8" s="48">
        <f>DN8+(DM8-1)*DO8</f>
        <v/>
      </c>
      <c r="DQ8" s="49" t="n">
        <v>6</v>
      </c>
      <c r="DR8" s="49">
        <f>DR7</f>
        <v/>
      </c>
      <c r="DS8" s="48">
        <f>DS7</f>
        <v/>
      </c>
      <c r="DT8" s="48">
        <f>DR8+(DQ8-1)*DS8</f>
        <v/>
      </c>
      <c r="DU8" s="49" t="n">
        <v>6</v>
      </c>
      <c r="DV8" s="49">
        <f>DV7</f>
        <v/>
      </c>
      <c r="DW8" s="48">
        <f>DW7</f>
        <v/>
      </c>
      <c r="DX8" s="48">
        <f>DV8+(DU8-1)*DW8</f>
        <v/>
      </c>
      <c r="DY8" s="49" t="n">
        <v>6</v>
      </c>
      <c r="DZ8" s="49">
        <f>DZ7</f>
        <v/>
      </c>
      <c r="EA8" s="48">
        <f>EA7</f>
        <v/>
      </c>
      <c r="EB8" s="48">
        <f>DZ8+(DY8-1)*EA8</f>
        <v/>
      </c>
      <c r="EC8" s="49" t="n">
        <v>6</v>
      </c>
      <c r="ED8" s="49">
        <f>ED7</f>
        <v/>
      </c>
      <c r="EE8" s="48">
        <f>EE7</f>
        <v/>
      </c>
      <c r="EF8" s="48">
        <f>ED8+(EC8-1)*EE8</f>
        <v/>
      </c>
      <c r="EG8" s="49" t="n">
        <v>6</v>
      </c>
      <c r="EH8" s="49">
        <f>EH7</f>
        <v/>
      </c>
      <c r="EI8" s="48">
        <f>EI7</f>
        <v/>
      </c>
      <c r="EJ8" s="48">
        <f>EH8+(EG8-1)*EI8</f>
        <v/>
      </c>
      <c r="EK8" s="49" t="n">
        <v>6</v>
      </c>
      <c r="EL8" s="49">
        <f>EL7</f>
        <v/>
      </c>
      <c r="EM8" s="48">
        <f>EM7</f>
        <v/>
      </c>
      <c r="EN8" s="48">
        <f>EL8+(EK8-1)*EM8</f>
        <v/>
      </c>
      <c r="EO8" s="49" t="n">
        <v>6</v>
      </c>
      <c r="EP8" s="49">
        <f>EP7</f>
        <v/>
      </c>
      <c r="EQ8" s="48">
        <f>EQ7</f>
        <v/>
      </c>
      <c r="ER8" s="48">
        <f>EP8+(EO8-1)*EQ8</f>
        <v/>
      </c>
      <c r="ES8" s="49" t="n">
        <v>6</v>
      </c>
      <c r="ET8" s="49">
        <f>ET7</f>
        <v/>
      </c>
      <c r="EU8" s="48">
        <f>EU7</f>
        <v/>
      </c>
      <c r="EV8" s="48">
        <f>ET8+(ES8-1)*EU8</f>
        <v/>
      </c>
      <c r="EW8" s="49" t="n">
        <v>6</v>
      </c>
      <c r="EX8" s="49">
        <f>EX7</f>
        <v/>
      </c>
      <c r="EY8" s="48">
        <f>EY7</f>
        <v/>
      </c>
      <c r="EZ8" s="48">
        <f>EX8+(EW8-1)*EY8</f>
        <v/>
      </c>
      <c r="FA8" s="49" t="n">
        <v>6</v>
      </c>
      <c r="FB8" s="49">
        <f>FB7</f>
        <v/>
      </c>
      <c r="FC8" s="48">
        <f>FC7</f>
        <v/>
      </c>
      <c r="FD8" s="48">
        <f>FB8+(FA8-1)*FC8</f>
        <v/>
      </c>
    </row>
    <row r="9">
      <c r="A9" s="49" t="n">
        <v>7</v>
      </c>
      <c r="B9" s="49">
        <f>B8</f>
        <v/>
      </c>
      <c r="C9" s="48">
        <f>C8</f>
        <v/>
      </c>
      <c r="D9" s="48">
        <f>B9+(A9-1)*C9</f>
        <v/>
      </c>
      <c r="E9" s="49" t="n">
        <v>7</v>
      </c>
      <c r="F9" s="49">
        <f>F8</f>
        <v/>
      </c>
      <c r="G9" s="48">
        <f>G8</f>
        <v/>
      </c>
      <c r="H9" s="48">
        <f>F9+(E9-1)*G9</f>
        <v/>
      </c>
      <c r="I9" s="48" t="n">
        <v>7</v>
      </c>
      <c r="J9" s="49">
        <f>J8</f>
        <v/>
      </c>
      <c r="K9" s="48">
        <f>K8</f>
        <v/>
      </c>
      <c r="L9" s="48">
        <f>J9+(I9-1)*K9</f>
        <v/>
      </c>
      <c r="M9" s="48" t="n">
        <v>7</v>
      </c>
      <c r="N9" s="49">
        <f>N8</f>
        <v/>
      </c>
      <c r="O9" s="48">
        <f>O8</f>
        <v/>
      </c>
      <c r="P9" s="48">
        <f>N9+(M9-1)*O9</f>
        <v/>
      </c>
      <c r="Q9" s="49" t="n">
        <v>7</v>
      </c>
      <c r="R9" s="49">
        <f>R8</f>
        <v/>
      </c>
      <c r="S9" s="48">
        <f>S8</f>
        <v/>
      </c>
      <c r="T9" s="48">
        <f>R9+(Q9-1)*S9</f>
        <v/>
      </c>
      <c r="U9" s="49" t="n">
        <v>7</v>
      </c>
      <c r="V9" s="49">
        <f>V8</f>
        <v/>
      </c>
      <c r="W9" s="48">
        <f>W8</f>
        <v/>
      </c>
      <c r="X9" s="48">
        <f>V9+(U9-1)*W9</f>
        <v/>
      </c>
      <c r="Y9" s="49" t="n">
        <v>7</v>
      </c>
      <c r="Z9" s="49">
        <f>Z8</f>
        <v/>
      </c>
      <c r="AA9" s="48">
        <f>AA8</f>
        <v/>
      </c>
      <c r="AB9" s="48">
        <f>Z9+(Y9-1)*AA9</f>
        <v/>
      </c>
      <c r="AC9" s="48" t="n">
        <v>7</v>
      </c>
      <c r="AD9" s="49">
        <f>AD8</f>
        <v/>
      </c>
      <c r="AE9" s="48">
        <f>AE8</f>
        <v/>
      </c>
      <c r="AF9" s="48">
        <f>AD9+(AC9-1)*AE9</f>
        <v/>
      </c>
      <c r="AG9" s="48" t="n">
        <v>7</v>
      </c>
      <c r="AH9" s="49">
        <f>AH8</f>
        <v/>
      </c>
      <c r="AI9" s="48">
        <f>AI8</f>
        <v/>
      </c>
      <c r="AJ9" s="48">
        <f>AH9+(AG9-1)*AI9</f>
        <v/>
      </c>
      <c r="AK9" s="48" t="n">
        <v>7</v>
      </c>
      <c r="AL9" s="49">
        <f>AL8</f>
        <v/>
      </c>
      <c r="AM9" s="48">
        <f>AM8</f>
        <v/>
      </c>
      <c r="AN9" s="48">
        <f>AL9+(AK9-1)*AM9</f>
        <v/>
      </c>
      <c r="AO9" s="48" t="n">
        <v>7</v>
      </c>
      <c r="AP9" s="49">
        <f>AP8</f>
        <v/>
      </c>
      <c r="AQ9" s="48">
        <f>AQ8</f>
        <v/>
      </c>
      <c r="AR9" s="48">
        <f>AP9+(AO9-1)*AQ9</f>
        <v/>
      </c>
      <c r="AS9" s="48" t="n">
        <v>7</v>
      </c>
      <c r="AT9" s="49">
        <f>AT8</f>
        <v/>
      </c>
      <c r="AU9" s="48">
        <f>AU8</f>
        <v/>
      </c>
      <c r="AV9" s="48">
        <f>AT9+(AS9-1)*AU9</f>
        <v/>
      </c>
      <c r="AW9" s="49" t="n">
        <v>7</v>
      </c>
      <c r="AX9" s="49">
        <f>AX8</f>
        <v/>
      </c>
      <c r="AY9" s="48">
        <f>ROUND(AX9*0.15,0)</f>
        <v/>
      </c>
      <c r="AZ9" s="48">
        <f>AX9+(AW9-1)*AY9</f>
        <v/>
      </c>
      <c r="BA9" s="49" t="n">
        <v>7</v>
      </c>
      <c r="BB9" s="49">
        <f>BB8</f>
        <v/>
      </c>
      <c r="BC9" s="48">
        <f>BC8</f>
        <v/>
      </c>
      <c r="BD9" s="48">
        <f>BB9+(BA9-1)*BC9</f>
        <v/>
      </c>
      <c r="BE9" s="49" t="n">
        <v>7</v>
      </c>
      <c r="BF9" s="49">
        <f>BF8</f>
        <v/>
      </c>
      <c r="BG9" s="48">
        <f>BG8</f>
        <v/>
      </c>
      <c r="BH9" s="48">
        <f>BF9+(BE9-1)*BG9</f>
        <v/>
      </c>
      <c r="BI9" s="48" t="n">
        <v>7</v>
      </c>
      <c r="BJ9" s="49">
        <f>BJ8</f>
        <v/>
      </c>
      <c r="BK9" s="48">
        <f>BK8</f>
        <v/>
      </c>
      <c r="BL9" s="48">
        <f>BJ9+(BI9-1)*BK9</f>
        <v/>
      </c>
      <c r="BM9" s="48" t="n">
        <v>7</v>
      </c>
      <c r="BN9" s="49">
        <f>BN8</f>
        <v/>
      </c>
      <c r="BO9" s="48">
        <f>BO8</f>
        <v/>
      </c>
      <c r="BP9" s="48">
        <f>BN9+(BM9-1)*BO9</f>
        <v/>
      </c>
      <c r="BQ9" s="48" t="n">
        <v>7</v>
      </c>
      <c r="BR9" s="49">
        <f>BR8</f>
        <v/>
      </c>
      <c r="BS9" s="48">
        <f>BS8</f>
        <v/>
      </c>
      <c r="BT9" s="48">
        <f>BR9+(BQ9-1)*BS9</f>
        <v/>
      </c>
      <c r="BU9" s="48" t="n">
        <v>7</v>
      </c>
      <c r="BV9" s="49">
        <f>BV8</f>
        <v/>
      </c>
      <c r="BW9" s="48">
        <f>BW8</f>
        <v/>
      </c>
      <c r="BX9" s="48">
        <f>BV9+(BU9-1)*BW9</f>
        <v/>
      </c>
      <c r="BY9" s="48" t="n">
        <v>7</v>
      </c>
      <c r="BZ9" s="49">
        <f>BZ8</f>
        <v/>
      </c>
      <c r="CA9" s="48">
        <f>CA8</f>
        <v/>
      </c>
      <c r="CB9" s="48">
        <f>BZ9+(BY9-1)*CA9</f>
        <v/>
      </c>
      <c r="CC9" s="49" t="n">
        <v>7</v>
      </c>
      <c r="CD9" s="49">
        <f>CD8</f>
        <v/>
      </c>
      <c r="CE9" s="48">
        <f>CE8</f>
        <v/>
      </c>
      <c r="CF9" s="48">
        <f>CD9+(CC9-1)*CE9</f>
        <v/>
      </c>
      <c r="CG9" s="49" t="n">
        <v>7</v>
      </c>
      <c r="CH9" s="49">
        <f>CH8</f>
        <v/>
      </c>
      <c r="CI9" s="48">
        <f>CI8</f>
        <v/>
      </c>
      <c r="CJ9" s="48">
        <f>CH9+(CG9-1)*CI9</f>
        <v/>
      </c>
      <c r="CK9" s="49" t="n">
        <v>7</v>
      </c>
      <c r="CL9" s="49">
        <f>CL8</f>
        <v/>
      </c>
      <c r="CM9" s="48">
        <f>CM8</f>
        <v/>
      </c>
      <c r="CN9" s="48">
        <f>CL9+(CK9-1)*CM9</f>
        <v/>
      </c>
      <c r="CO9" s="48" t="n">
        <v>7</v>
      </c>
      <c r="CP9" s="49">
        <f>CP8</f>
        <v/>
      </c>
      <c r="CQ9" s="48">
        <f>CQ8</f>
        <v/>
      </c>
      <c r="CR9" s="48">
        <f>CP9+(CO9-1)*CQ9</f>
        <v/>
      </c>
      <c r="CS9" s="48" t="n">
        <v>7</v>
      </c>
      <c r="CT9" s="49">
        <f>CT8</f>
        <v/>
      </c>
      <c r="CU9" s="48">
        <f>CU8</f>
        <v/>
      </c>
      <c r="CV9" s="48">
        <f>CT9+(CS9-1)*CU9</f>
        <v/>
      </c>
      <c r="CW9" s="48" t="n">
        <v>7</v>
      </c>
      <c r="CX9" s="49">
        <f>CX8</f>
        <v/>
      </c>
      <c r="CY9" s="48">
        <f>CY8</f>
        <v/>
      </c>
      <c r="CZ9" s="48">
        <f>CX9+(CW9-1)*CY9</f>
        <v/>
      </c>
      <c r="DA9" s="48" t="n">
        <v>7</v>
      </c>
      <c r="DB9" s="49">
        <f>DB8</f>
        <v/>
      </c>
      <c r="DC9" s="48">
        <f>DC8</f>
        <v/>
      </c>
      <c r="DD9" s="48">
        <f>DB9+(DA9-1)*DC9</f>
        <v/>
      </c>
      <c r="DE9" s="48" t="n">
        <v>7</v>
      </c>
      <c r="DF9" s="49">
        <f>DF8</f>
        <v/>
      </c>
      <c r="DG9" s="48">
        <f>DG8</f>
        <v/>
      </c>
      <c r="DH9" s="48">
        <f>DF9+(DE9-1)*DG9</f>
        <v/>
      </c>
      <c r="DI9" s="48" t="n">
        <v>7</v>
      </c>
      <c r="DJ9" s="49">
        <f>DJ8</f>
        <v/>
      </c>
      <c r="DK9" s="48">
        <f>DK8</f>
        <v/>
      </c>
      <c r="DL9" s="48">
        <f>DJ9+(DI9-1)*DK9</f>
        <v/>
      </c>
      <c r="DM9" s="48" t="n">
        <v>7</v>
      </c>
      <c r="DN9" s="49">
        <f>DN8</f>
        <v/>
      </c>
      <c r="DO9" s="48">
        <f>DO8</f>
        <v/>
      </c>
      <c r="DP9" s="48">
        <f>DN9+(DM9-1)*DO9</f>
        <v/>
      </c>
      <c r="DQ9" s="48" t="n">
        <v>7</v>
      </c>
      <c r="DR9" s="49">
        <f>DR8</f>
        <v/>
      </c>
      <c r="DS9" s="48">
        <f>DS8</f>
        <v/>
      </c>
      <c r="DT9" s="48">
        <f>DR9+(DQ9-1)*DS9</f>
        <v/>
      </c>
      <c r="DU9" s="48" t="n">
        <v>7</v>
      </c>
      <c r="DV9" s="49">
        <f>DV8</f>
        <v/>
      </c>
      <c r="DW9" s="48">
        <f>DW8</f>
        <v/>
      </c>
      <c r="DX9" s="48">
        <f>DV9+(DU9-1)*DW9</f>
        <v/>
      </c>
      <c r="DY9" s="49" t="n">
        <v>7</v>
      </c>
      <c r="DZ9" s="49">
        <f>DZ8</f>
        <v/>
      </c>
      <c r="EA9" s="48">
        <f>EA8</f>
        <v/>
      </c>
      <c r="EB9" s="48">
        <f>DZ9+(DY9-1)*EA9</f>
        <v/>
      </c>
      <c r="EC9" s="49" t="n">
        <v>7</v>
      </c>
      <c r="ED9" s="49">
        <f>ED8</f>
        <v/>
      </c>
      <c r="EE9" s="48">
        <f>EE8</f>
        <v/>
      </c>
      <c r="EF9" s="48">
        <f>ED9+(EC9-1)*EE9</f>
        <v/>
      </c>
      <c r="EG9" s="49" t="n">
        <v>7</v>
      </c>
      <c r="EH9" s="49">
        <f>EH8</f>
        <v/>
      </c>
      <c r="EI9" s="48">
        <f>EI8</f>
        <v/>
      </c>
      <c r="EJ9" s="48">
        <f>EH9+(EG9-1)*EI9</f>
        <v/>
      </c>
      <c r="EK9" s="48" t="n">
        <v>7</v>
      </c>
      <c r="EL9" s="49">
        <f>EL8</f>
        <v/>
      </c>
      <c r="EM9" s="48">
        <f>EM8</f>
        <v/>
      </c>
      <c r="EN9" s="48">
        <f>EL9+(EK9-1)*EM9</f>
        <v/>
      </c>
      <c r="EO9" s="48" t="n">
        <v>7</v>
      </c>
      <c r="EP9" s="49">
        <f>EP8</f>
        <v/>
      </c>
      <c r="EQ9" s="48">
        <f>EQ8</f>
        <v/>
      </c>
      <c r="ER9" s="48">
        <f>EP9+(EO9-1)*EQ9</f>
        <v/>
      </c>
      <c r="ES9" s="48" t="n">
        <v>7</v>
      </c>
      <c r="ET9" s="49">
        <f>ET8</f>
        <v/>
      </c>
      <c r="EU9" s="48">
        <f>EU8</f>
        <v/>
      </c>
      <c r="EV9" s="48">
        <f>ET9+(ES9-1)*EU9</f>
        <v/>
      </c>
      <c r="EW9" s="48" t="n">
        <v>7</v>
      </c>
      <c r="EX9" s="49">
        <f>EX8</f>
        <v/>
      </c>
      <c r="EY9" s="48">
        <f>EY8</f>
        <v/>
      </c>
      <c r="EZ9" s="48">
        <f>EX9+(EW9-1)*EY9</f>
        <v/>
      </c>
      <c r="FA9" s="48" t="n">
        <v>7</v>
      </c>
      <c r="FB9" s="49">
        <f>FB8</f>
        <v/>
      </c>
      <c r="FC9" s="48">
        <f>FC8</f>
        <v/>
      </c>
      <c r="FD9" s="48">
        <f>FB9+(FA9-1)*FC9</f>
        <v/>
      </c>
    </row>
    <row r="10">
      <c r="A10" s="49" t="n">
        <v>8</v>
      </c>
      <c r="B10" s="49">
        <f>B9</f>
        <v/>
      </c>
      <c r="C10" s="48">
        <f>C9</f>
        <v/>
      </c>
      <c r="D10" s="48">
        <f>B10+(A10-1)*C10</f>
        <v/>
      </c>
      <c r="E10" s="49" t="n">
        <v>8</v>
      </c>
      <c r="F10" s="49">
        <f>F9</f>
        <v/>
      </c>
      <c r="G10" s="48">
        <f>G9</f>
        <v/>
      </c>
      <c r="H10" s="48">
        <f>F10+(E10-1)*G10</f>
        <v/>
      </c>
      <c r="I10" s="49" t="n">
        <v>8</v>
      </c>
      <c r="J10" s="49">
        <f>J9</f>
        <v/>
      </c>
      <c r="K10" s="48">
        <f>K9</f>
        <v/>
      </c>
      <c r="L10" s="48">
        <f>J10+(I10-1)*K10</f>
        <v/>
      </c>
      <c r="M10" s="49" t="n">
        <v>8</v>
      </c>
      <c r="N10" s="49">
        <f>N9</f>
        <v/>
      </c>
      <c r="O10" s="48">
        <f>O9</f>
        <v/>
      </c>
      <c r="P10" s="48">
        <f>N10+(M10-1)*O10</f>
        <v/>
      </c>
      <c r="Q10" s="49" t="n">
        <v>8</v>
      </c>
      <c r="R10" s="49">
        <f>R9</f>
        <v/>
      </c>
      <c r="S10" s="48">
        <f>S9</f>
        <v/>
      </c>
      <c r="T10" s="48">
        <f>R10+(Q10-1)*S10</f>
        <v/>
      </c>
      <c r="U10" s="49" t="n">
        <v>8</v>
      </c>
      <c r="V10" s="49">
        <f>V9</f>
        <v/>
      </c>
      <c r="W10" s="48">
        <f>W9</f>
        <v/>
      </c>
      <c r="X10" s="48">
        <f>V10+(U10-1)*W10</f>
        <v/>
      </c>
      <c r="Y10" s="49" t="n">
        <v>8</v>
      </c>
      <c r="Z10" s="49">
        <f>Z9</f>
        <v/>
      </c>
      <c r="AA10" s="48">
        <f>AA9</f>
        <v/>
      </c>
      <c r="AB10" s="48">
        <f>Z10+(Y10-1)*AA10</f>
        <v/>
      </c>
      <c r="AC10" s="49" t="n">
        <v>8</v>
      </c>
      <c r="AD10" s="49">
        <f>AD9</f>
        <v/>
      </c>
      <c r="AE10" s="48">
        <f>AE9</f>
        <v/>
      </c>
      <c r="AF10" s="48">
        <f>AD10+(AC10-1)*AE10</f>
        <v/>
      </c>
      <c r="AG10" s="49" t="n">
        <v>8</v>
      </c>
      <c r="AH10" s="49">
        <f>AH9</f>
        <v/>
      </c>
      <c r="AI10" s="48">
        <f>AI9</f>
        <v/>
      </c>
      <c r="AJ10" s="48">
        <f>AH10+(AG10-1)*AI10</f>
        <v/>
      </c>
      <c r="AK10" s="49" t="n">
        <v>8</v>
      </c>
      <c r="AL10" s="49">
        <f>AL9</f>
        <v/>
      </c>
      <c r="AM10" s="48">
        <f>AM9</f>
        <v/>
      </c>
      <c r="AN10" s="48">
        <f>AL10+(AK10-1)*AM10</f>
        <v/>
      </c>
      <c r="AO10" s="49" t="n">
        <v>8</v>
      </c>
      <c r="AP10" s="49">
        <f>AP9</f>
        <v/>
      </c>
      <c r="AQ10" s="48">
        <f>AQ9</f>
        <v/>
      </c>
      <c r="AR10" s="48">
        <f>AP10+(AO10-1)*AQ10</f>
        <v/>
      </c>
      <c r="AS10" s="49" t="n">
        <v>8</v>
      </c>
      <c r="AT10" s="49">
        <f>AT9</f>
        <v/>
      </c>
      <c r="AU10" s="48">
        <f>AU9</f>
        <v/>
      </c>
      <c r="AV10" s="48">
        <f>AT10+(AS10-1)*AU10</f>
        <v/>
      </c>
      <c r="AW10" s="49" t="n">
        <v>8</v>
      </c>
      <c r="AX10" s="49">
        <f>AX9</f>
        <v/>
      </c>
      <c r="AY10" s="48">
        <f>ROUND(AX10*0.15,0)</f>
        <v/>
      </c>
      <c r="AZ10" s="48">
        <f>AX10+(AW10-1)*AY10</f>
        <v/>
      </c>
      <c r="BA10" s="49" t="n">
        <v>8</v>
      </c>
      <c r="BB10" s="49">
        <f>BB9</f>
        <v/>
      </c>
      <c r="BC10" s="48">
        <f>BC9</f>
        <v/>
      </c>
      <c r="BD10" s="48">
        <f>BB10+(BA10-1)*BC10</f>
        <v/>
      </c>
      <c r="BE10" s="49" t="n">
        <v>8</v>
      </c>
      <c r="BF10" s="49">
        <f>BF9</f>
        <v/>
      </c>
      <c r="BG10" s="48">
        <f>BG9</f>
        <v/>
      </c>
      <c r="BH10" s="48">
        <f>BF10+(BE10-1)*BG10</f>
        <v/>
      </c>
      <c r="BI10" s="49" t="n">
        <v>8</v>
      </c>
      <c r="BJ10" s="49">
        <f>BJ9</f>
        <v/>
      </c>
      <c r="BK10" s="48">
        <f>BK9</f>
        <v/>
      </c>
      <c r="BL10" s="48">
        <f>BJ10+(BI10-1)*BK10</f>
        <v/>
      </c>
      <c r="BM10" s="49" t="n">
        <v>8</v>
      </c>
      <c r="BN10" s="49">
        <f>BN9</f>
        <v/>
      </c>
      <c r="BO10" s="48">
        <f>BO9</f>
        <v/>
      </c>
      <c r="BP10" s="48">
        <f>BN10+(BM10-1)*BO10</f>
        <v/>
      </c>
      <c r="BQ10" s="49" t="n">
        <v>8</v>
      </c>
      <c r="BR10" s="49">
        <f>BR9</f>
        <v/>
      </c>
      <c r="BS10" s="48">
        <f>BS9</f>
        <v/>
      </c>
      <c r="BT10" s="48">
        <f>BR10+(BQ10-1)*BS10</f>
        <v/>
      </c>
      <c r="BU10" s="49" t="n">
        <v>8</v>
      </c>
      <c r="BV10" s="49">
        <f>BV9</f>
        <v/>
      </c>
      <c r="BW10" s="48">
        <f>BW9</f>
        <v/>
      </c>
      <c r="BX10" s="48">
        <f>BV10+(BU10-1)*BW10</f>
        <v/>
      </c>
      <c r="BY10" s="49" t="n">
        <v>8</v>
      </c>
      <c r="BZ10" s="49">
        <f>BZ9</f>
        <v/>
      </c>
      <c r="CA10" s="48">
        <f>CA9</f>
        <v/>
      </c>
      <c r="CB10" s="48">
        <f>BZ10+(BY10-1)*CA10</f>
        <v/>
      </c>
      <c r="CC10" s="49" t="n">
        <v>8</v>
      </c>
      <c r="CD10" s="49">
        <f>CD9</f>
        <v/>
      </c>
      <c r="CE10" s="48">
        <f>CE9</f>
        <v/>
      </c>
      <c r="CF10" s="48">
        <f>CD10+(CC10-1)*CE10</f>
        <v/>
      </c>
      <c r="CG10" s="49" t="n">
        <v>8</v>
      </c>
      <c r="CH10" s="49">
        <f>CH9</f>
        <v/>
      </c>
      <c r="CI10" s="48">
        <f>CI9</f>
        <v/>
      </c>
      <c r="CJ10" s="48">
        <f>CH10+(CG10-1)*CI10</f>
        <v/>
      </c>
      <c r="CK10" s="49" t="n">
        <v>8</v>
      </c>
      <c r="CL10" s="49">
        <f>CL9</f>
        <v/>
      </c>
      <c r="CM10" s="48">
        <f>CM9</f>
        <v/>
      </c>
      <c r="CN10" s="48">
        <f>CL10+(CK10-1)*CM10</f>
        <v/>
      </c>
      <c r="CO10" s="49" t="n">
        <v>8</v>
      </c>
      <c r="CP10" s="49">
        <f>CP9</f>
        <v/>
      </c>
      <c r="CQ10" s="48">
        <f>CQ9</f>
        <v/>
      </c>
      <c r="CR10" s="48">
        <f>CP10+(CO10-1)*CQ10</f>
        <v/>
      </c>
      <c r="CS10" s="49" t="n">
        <v>8</v>
      </c>
      <c r="CT10" s="49">
        <f>CT9</f>
        <v/>
      </c>
      <c r="CU10" s="48">
        <f>CU9</f>
        <v/>
      </c>
      <c r="CV10" s="48">
        <f>CT10+(CS10-1)*CU10</f>
        <v/>
      </c>
      <c r="CW10" s="49" t="n">
        <v>8</v>
      </c>
      <c r="CX10" s="49">
        <f>CX9</f>
        <v/>
      </c>
      <c r="CY10" s="48">
        <f>CY9</f>
        <v/>
      </c>
      <c r="CZ10" s="48">
        <f>CX10+(CW10-1)*CY10</f>
        <v/>
      </c>
      <c r="DA10" s="49" t="n">
        <v>8</v>
      </c>
      <c r="DB10" s="49">
        <f>DB9</f>
        <v/>
      </c>
      <c r="DC10" s="48">
        <f>DC9</f>
        <v/>
      </c>
      <c r="DD10" s="48">
        <f>DB10+(DA10-1)*DC10</f>
        <v/>
      </c>
      <c r="DE10" s="49" t="n">
        <v>8</v>
      </c>
      <c r="DF10" s="49">
        <f>DF9</f>
        <v/>
      </c>
      <c r="DG10" s="48">
        <f>DG9</f>
        <v/>
      </c>
      <c r="DH10" s="48">
        <f>DF10+(DE10-1)*DG10</f>
        <v/>
      </c>
      <c r="DI10" s="49" t="n">
        <v>8</v>
      </c>
      <c r="DJ10" s="49">
        <f>DJ9</f>
        <v/>
      </c>
      <c r="DK10" s="48">
        <f>DK9</f>
        <v/>
      </c>
      <c r="DL10" s="48">
        <f>DJ10+(DI10-1)*DK10</f>
        <v/>
      </c>
      <c r="DM10" s="49" t="n">
        <v>8</v>
      </c>
      <c r="DN10" s="49">
        <f>DN9</f>
        <v/>
      </c>
      <c r="DO10" s="48">
        <f>DO9</f>
        <v/>
      </c>
      <c r="DP10" s="48">
        <f>DN10+(DM10-1)*DO10</f>
        <v/>
      </c>
      <c r="DQ10" s="49" t="n">
        <v>8</v>
      </c>
      <c r="DR10" s="49">
        <f>DR9</f>
        <v/>
      </c>
      <c r="DS10" s="48">
        <f>DS9</f>
        <v/>
      </c>
      <c r="DT10" s="48">
        <f>DR10+(DQ10-1)*DS10</f>
        <v/>
      </c>
      <c r="DU10" s="49" t="n">
        <v>8</v>
      </c>
      <c r="DV10" s="49">
        <f>DV9</f>
        <v/>
      </c>
      <c r="DW10" s="48">
        <f>DW9</f>
        <v/>
      </c>
      <c r="DX10" s="48">
        <f>DV10+(DU10-1)*DW10</f>
        <v/>
      </c>
      <c r="DY10" s="49" t="n">
        <v>8</v>
      </c>
      <c r="DZ10" s="49">
        <f>DZ9</f>
        <v/>
      </c>
      <c r="EA10" s="48">
        <f>EA9</f>
        <v/>
      </c>
      <c r="EB10" s="48">
        <f>DZ10+(DY10-1)*EA10</f>
        <v/>
      </c>
      <c r="EC10" s="49" t="n">
        <v>8</v>
      </c>
      <c r="ED10" s="49">
        <f>ED9</f>
        <v/>
      </c>
      <c r="EE10" s="48">
        <f>EE9</f>
        <v/>
      </c>
      <c r="EF10" s="48">
        <f>ED10+(EC10-1)*EE10</f>
        <v/>
      </c>
      <c r="EG10" s="49" t="n">
        <v>8</v>
      </c>
      <c r="EH10" s="49">
        <f>EH9</f>
        <v/>
      </c>
      <c r="EI10" s="48">
        <f>EI9</f>
        <v/>
      </c>
      <c r="EJ10" s="48">
        <f>EH10+(EG10-1)*EI10</f>
        <v/>
      </c>
      <c r="EK10" s="49" t="n">
        <v>8</v>
      </c>
      <c r="EL10" s="49">
        <f>EL9</f>
        <v/>
      </c>
      <c r="EM10" s="48">
        <f>EM9</f>
        <v/>
      </c>
      <c r="EN10" s="48">
        <f>EL10+(EK10-1)*EM10</f>
        <v/>
      </c>
      <c r="EO10" s="49" t="n">
        <v>8</v>
      </c>
      <c r="EP10" s="49">
        <f>EP9</f>
        <v/>
      </c>
      <c r="EQ10" s="48">
        <f>EQ9</f>
        <v/>
      </c>
      <c r="ER10" s="48">
        <f>EP10+(EO10-1)*EQ10</f>
        <v/>
      </c>
      <c r="ES10" s="49" t="n">
        <v>8</v>
      </c>
      <c r="ET10" s="49">
        <f>ET9</f>
        <v/>
      </c>
      <c r="EU10" s="48">
        <f>EU9</f>
        <v/>
      </c>
      <c r="EV10" s="48">
        <f>ET10+(ES10-1)*EU10</f>
        <v/>
      </c>
      <c r="EW10" s="49" t="n">
        <v>8</v>
      </c>
      <c r="EX10" s="49">
        <f>EX9</f>
        <v/>
      </c>
      <c r="EY10" s="48">
        <f>EY9</f>
        <v/>
      </c>
      <c r="EZ10" s="48">
        <f>EX10+(EW10-1)*EY10</f>
        <v/>
      </c>
      <c r="FA10" s="49" t="n">
        <v>8</v>
      </c>
      <c r="FB10" s="49">
        <f>FB9</f>
        <v/>
      </c>
      <c r="FC10" s="48">
        <f>FC9</f>
        <v/>
      </c>
      <c r="FD10" s="48">
        <f>FB10+(FA10-1)*FC10</f>
        <v/>
      </c>
    </row>
    <row r="11">
      <c r="A11" s="49" t="n">
        <v>9</v>
      </c>
      <c r="B11" s="49">
        <f>B10</f>
        <v/>
      </c>
      <c r="C11" s="48">
        <f>C10</f>
        <v/>
      </c>
      <c r="D11" s="48">
        <f>B11+(A11-1)*C11</f>
        <v/>
      </c>
      <c r="E11" s="49" t="n">
        <v>9</v>
      </c>
      <c r="F11" s="49">
        <f>F10</f>
        <v/>
      </c>
      <c r="G11" s="48">
        <f>G10</f>
        <v/>
      </c>
      <c r="H11" s="48">
        <f>F11+(E11-1)*G11</f>
        <v/>
      </c>
      <c r="I11" s="48" t="n">
        <v>9</v>
      </c>
      <c r="J11" s="49">
        <f>J10</f>
        <v/>
      </c>
      <c r="K11" s="48">
        <f>K10</f>
        <v/>
      </c>
      <c r="L11" s="48">
        <f>J11+(I11-1)*K11</f>
        <v/>
      </c>
      <c r="M11" s="48" t="n">
        <v>9</v>
      </c>
      <c r="N11" s="49">
        <f>N10</f>
        <v/>
      </c>
      <c r="O11" s="48">
        <f>O10</f>
        <v/>
      </c>
      <c r="P11" s="48">
        <f>N11+(M11-1)*O11</f>
        <v/>
      </c>
      <c r="Q11" s="49" t="n">
        <v>9</v>
      </c>
      <c r="R11" s="49">
        <f>R10</f>
        <v/>
      </c>
      <c r="S11" s="48">
        <f>S10</f>
        <v/>
      </c>
      <c r="T11" s="48">
        <f>R11+(Q11-1)*S11</f>
        <v/>
      </c>
      <c r="U11" s="49" t="n">
        <v>9</v>
      </c>
      <c r="V11" s="49">
        <f>V10</f>
        <v/>
      </c>
      <c r="W11" s="48">
        <f>W10</f>
        <v/>
      </c>
      <c r="X11" s="48">
        <f>V11+(U11-1)*W11</f>
        <v/>
      </c>
      <c r="Y11" s="49" t="n">
        <v>9</v>
      </c>
      <c r="Z11" s="49">
        <f>Z10</f>
        <v/>
      </c>
      <c r="AA11" s="48">
        <f>AA10</f>
        <v/>
      </c>
      <c r="AB11" s="48">
        <f>Z11+(Y11-1)*AA11</f>
        <v/>
      </c>
      <c r="AC11" s="48" t="n">
        <v>9</v>
      </c>
      <c r="AD11" s="49">
        <f>AD10</f>
        <v/>
      </c>
      <c r="AE11" s="48">
        <f>AE10</f>
        <v/>
      </c>
      <c r="AF11" s="48">
        <f>AD11+(AC11-1)*AE11</f>
        <v/>
      </c>
      <c r="AG11" s="48" t="n">
        <v>9</v>
      </c>
      <c r="AH11" s="49">
        <f>AH10</f>
        <v/>
      </c>
      <c r="AI11" s="48">
        <f>AI10</f>
        <v/>
      </c>
      <c r="AJ11" s="48">
        <f>AH11+(AG11-1)*AI11</f>
        <v/>
      </c>
      <c r="AK11" s="48" t="n">
        <v>9</v>
      </c>
      <c r="AL11" s="49">
        <f>AL10</f>
        <v/>
      </c>
      <c r="AM11" s="48">
        <f>AM10</f>
        <v/>
      </c>
      <c r="AN11" s="48">
        <f>AL11+(AK11-1)*AM11</f>
        <v/>
      </c>
      <c r="AO11" s="48" t="n">
        <v>9</v>
      </c>
      <c r="AP11" s="49">
        <f>AP10</f>
        <v/>
      </c>
      <c r="AQ11" s="48">
        <f>AQ10</f>
        <v/>
      </c>
      <c r="AR11" s="48">
        <f>AP11+(AO11-1)*AQ11</f>
        <v/>
      </c>
      <c r="AS11" s="48" t="n">
        <v>9</v>
      </c>
      <c r="AT11" s="49">
        <f>AT10</f>
        <v/>
      </c>
      <c r="AU11" s="48">
        <f>AU10</f>
        <v/>
      </c>
      <c r="AV11" s="48">
        <f>AT11+(AS11-1)*AU11</f>
        <v/>
      </c>
      <c r="AW11" s="49" t="n">
        <v>9</v>
      </c>
      <c r="AX11" s="49">
        <f>AX10</f>
        <v/>
      </c>
      <c r="AY11" s="48">
        <f>ROUND(AX11*0.15,0)</f>
        <v/>
      </c>
      <c r="AZ11" s="48">
        <f>AX11+(AW11-1)*AY11</f>
        <v/>
      </c>
      <c r="BA11" s="49" t="n">
        <v>9</v>
      </c>
      <c r="BB11" s="49">
        <f>BB10</f>
        <v/>
      </c>
      <c r="BC11" s="48">
        <f>BC10</f>
        <v/>
      </c>
      <c r="BD11" s="48">
        <f>BB11+(BA11-1)*BC11</f>
        <v/>
      </c>
      <c r="BE11" s="49" t="n">
        <v>9</v>
      </c>
      <c r="BF11" s="49">
        <f>BF10</f>
        <v/>
      </c>
      <c r="BG11" s="48">
        <f>BG10</f>
        <v/>
      </c>
      <c r="BH11" s="48">
        <f>BF11+(BE11-1)*BG11</f>
        <v/>
      </c>
      <c r="BI11" s="48" t="n">
        <v>9</v>
      </c>
      <c r="BJ11" s="49">
        <f>BJ10</f>
        <v/>
      </c>
      <c r="BK11" s="48">
        <f>BK10</f>
        <v/>
      </c>
      <c r="BL11" s="48">
        <f>BJ11+(BI11-1)*BK11</f>
        <v/>
      </c>
      <c r="BM11" s="48" t="n">
        <v>9</v>
      </c>
      <c r="BN11" s="49">
        <f>BN10</f>
        <v/>
      </c>
      <c r="BO11" s="48">
        <f>BO10</f>
        <v/>
      </c>
      <c r="BP11" s="48">
        <f>BN11+(BM11-1)*BO11</f>
        <v/>
      </c>
      <c r="BQ11" s="48" t="n">
        <v>9</v>
      </c>
      <c r="BR11" s="49">
        <f>BR10</f>
        <v/>
      </c>
      <c r="BS11" s="48">
        <f>BS10</f>
        <v/>
      </c>
      <c r="BT11" s="48">
        <f>BR11+(BQ11-1)*BS11</f>
        <v/>
      </c>
      <c r="BU11" s="48" t="n">
        <v>9</v>
      </c>
      <c r="BV11" s="49">
        <f>BV10</f>
        <v/>
      </c>
      <c r="BW11" s="48">
        <f>BW10</f>
        <v/>
      </c>
      <c r="BX11" s="48">
        <f>BV11+(BU11-1)*BW11</f>
        <v/>
      </c>
      <c r="BY11" s="48" t="n">
        <v>9</v>
      </c>
      <c r="BZ11" s="49">
        <f>BZ10</f>
        <v/>
      </c>
      <c r="CA11" s="48">
        <f>CA10</f>
        <v/>
      </c>
      <c r="CB11" s="48">
        <f>BZ11+(BY11-1)*CA11</f>
        <v/>
      </c>
      <c r="CC11" s="49" t="n">
        <v>9</v>
      </c>
      <c r="CD11" s="49">
        <f>CD10</f>
        <v/>
      </c>
      <c r="CE11" s="48">
        <f>CE10</f>
        <v/>
      </c>
      <c r="CF11" s="48">
        <f>CD11+(CC11-1)*CE11</f>
        <v/>
      </c>
      <c r="CG11" s="49" t="n">
        <v>9</v>
      </c>
      <c r="CH11" s="49">
        <f>CH10</f>
        <v/>
      </c>
      <c r="CI11" s="48">
        <f>CI10</f>
        <v/>
      </c>
      <c r="CJ11" s="48">
        <f>CH11+(CG11-1)*CI11</f>
        <v/>
      </c>
      <c r="CK11" s="49" t="n">
        <v>9</v>
      </c>
      <c r="CL11" s="49">
        <f>CL10</f>
        <v/>
      </c>
      <c r="CM11" s="48">
        <f>CM10</f>
        <v/>
      </c>
      <c r="CN11" s="48">
        <f>CL11+(CK11-1)*CM11</f>
        <v/>
      </c>
      <c r="CO11" s="48" t="n">
        <v>9</v>
      </c>
      <c r="CP11" s="49">
        <f>CP10</f>
        <v/>
      </c>
      <c r="CQ11" s="48">
        <f>CQ10</f>
        <v/>
      </c>
      <c r="CR11" s="48">
        <f>CP11+(CO11-1)*CQ11</f>
        <v/>
      </c>
      <c r="CS11" s="48" t="n">
        <v>9</v>
      </c>
      <c r="CT11" s="49">
        <f>CT10</f>
        <v/>
      </c>
      <c r="CU11" s="48">
        <f>CU10</f>
        <v/>
      </c>
      <c r="CV11" s="48">
        <f>CT11+(CS11-1)*CU11</f>
        <v/>
      </c>
      <c r="CW11" s="48" t="n">
        <v>9</v>
      </c>
      <c r="CX11" s="49">
        <f>CX10</f>
        <v/>
      </c>
      <c r="CY11" s="48">
        <f>CY10</f>
        <v/>
      </c>
      <c r="CZ11" s="48">
        <f>CX11+(CW11-1)*CY11</f>
        <v/>
      </c>
      <c r="DA11" s="48" t="n">
        <v>9</v>
      </c>
      <c r="DB11" s="49">
        <f>DB10</f>
        <v/>
      </c>
      <c r="DC11" s="48">
        <f>DC10</f>
        <v/>
      </c>
      <c r="DD11" s="48">
        <f>DB11+(DA11-1)*DC11</f>
        <v/>
      </c>
      <c r="DE11" s="48" t="n">
        <v>9</v>
      </c>
      <c r="DF11" s="49">
        <f>DF10</f>
        <v/>
      </c>
      <c r="DG11" s="48">
        <f>DG10</f>
        <v/>
      </c>
      <c r="DH11" s="48">
        <f>DF11+(DE11-1)*DG11</f>
        <v/>
      </c>
      <c r="DI11" s="48" t="n">
        <v>9</v>
      </c>
      <c r="DJ11" s="49">
        <f>DJ10</f>
        <v/>
      </c>
      <c r="DK11" s="48">
        <f>DK10</f>
        <v/>
      </c>
      <c r="DL11" s="48">
        <f>DJ11+(DI11-1)*DK11</f>
        <v/>
      </c>
      <c r="DM11" s="48" t="n">
        <v>9</v>
      </c>
      <c r="DN11" s="49">
        <f>DN10</f>
        <v/>
      </c>
      <c r="DO11" s="48">
        <f>DO10</f>
        <v/>
      </c>
      <c r="DP11" s="48">
        <f>DN11+(DM11-1)*DO11</f>
        <v/>
      </c>
      <c r="DQ11" s="48" t="n">
        <v>9</v>
      </c>
      <c r="DR11" s="49">
        <f>DR10</f>
        <v/>
      </c>
      <c r="DS11" s="48">
        <f>DS10</f>
        <v/>
      </c>
      <c r="DT11" s="48">
        <f>DR11+(DQ11-1)*DS11</f>
        <v/>
      </c>
      <c r="DU11" s="48" t="n">
        <v>9</v>
      </c>
      <c r="DV11" s="49">
        <f>DV10</f>
        <v/>
      </c>
      <c r="DW11" s="48">
        <f>DW10</f>
        <v/>
      </c>
      <c r="DX11" s="48">
        <f>DV11+(DU11-1)*DW11</f>
        <v/>
      </c>
      <c r="DY11" s="49" t="n">
        <v>9</v>
      </c>
      <c r="DZ11" s="49">
        <f>DZ10</f>
        <v/>
      </c>
      <c r="EA11" s="48">
        <f>EA10</f>
        <v/>
      </c>
      <c r="EB11" s="48">
        <f>DZ11+(DY11-1)*EA11</f>
        <v/>
      </c>
      <c r="EC11" s="49" t="n">
        <v>9</v>
      </c>
      <c r="ED11" s="49">
        <f>ED10</f>
        <v/>
      </c>
      <c r="EE11" s="48">
        <f>EE10</f>
        <v/>
      </c>
      <c r="EF11" s="48">
        <f>ED11+(EC11-1)*EE11</f>
        <v/>
      </c>
      <c r="EG11" s="49" t="n">
        <v>9</v>
      </c>
      <c r="EH11" s="49">
        <f>EH10</f>
        <v/>
      </c>
      <c r="EI11" s="48">
        <f>EI10</f>
        <v/>
      </c>
      <c r="EJ11" s="48">
        <f>EH11+(EG11-1)*EI11</f>
        <v/>
      </c>
      <c r="EK11" s="48" t="n">
        <v>9</v>
      </c>
      <c r="EL11" s="49">
        <f>EL10</f>
        <v/>
      </c>
      <c r="EM11" s="48">
        <f>EM10</f>
        <v/>
      </c>
      <c r="EN11" s="48">
        <f>EL11+(EK11-1)*EM11</f>
        <v/>
      </c>
      <c r="EO11" s="48" t="n">
        <v>9</v>
      </c>
      <c r="EP11" s="49">
        <f>EP10</f>
        <v/>
      </c>
      <c r="EQ11" s="48">
        <f>EQ10</f>
        <v/>
      </c>
      <c r="ER11" s="48">
        <f>EP11+(EO11-1)*EQ11</f>
        <v/>
      </c>
      <c r="ES11" s="48" t="n">
        <v>9</v>
      </c>
      <c r="ET11" s="49">
        <f>ET10</f>
        <v/>
      </c>
      <c r="EU11" s="48">
        <f>EU10</f>
        <v/>
      </c>
      <c r="EV11" s="48">
        <f>ET11+(ES11-1)*EU11</f>
        <v/>
      </c>
      <c r="EW11" s="48" t="n">
        <v>9</v>
      </c>
      <c r="EX11" s="49">
        <f>EX10</f>
        <v/>
      </c>
      <c r="EY11" s="48">
        <f>EY10</f>
        <v/>
      </c>
      <c r="EZ11" s="48">
        <f>EX11+(EW11-1)*EY11</f>
        <v/>
      </c>
      <c r="FA11" s="48" t="n">
        <v>9</v>
      </c>
      <c r="FB11" s="49">
        <f>FB10</f>
        <v/>
      </c>
      <c r="FC11" s="48">
        <f>FC10</f>
        <v/>
      </c>
      <c r="FD11" s="48">
        <f>FB11+(FA11-1)*FC11</f>
        <v/>
      </c>
    </row>
    <row r="12">
      <c r="A12" s="49" t="n">
        <v>10</v>
      </c>
      <c r="B12" s="49">
        <f>B11</f>
        <v/>
      </c>
      <c r="C12" s="48">
        <f>C11</f>
        <v/>
      </c>
      <c r="D12" s="48">
        <f>B12+(A12-1)*C12</f>
        <v/>
      </c>
      <c r="E12" s="49" t="n">
        <v>10</v>
      </c>
      <c r="F12" s="49">
        <f>F11</f>
        <v/>
      </c>
      <c r="G12" s="48">
        <f>G11</f>
        <v/>
      </c>
      <c r="H12" s="48">
        <f>F12+(E12-1)*G12</f>
        <v/>
      </c>
      <c r="I12" s="49" t="n">
        <v>10</v>
      </c>
      <c r="J12" s="49">
        <f>J11</f>
        <v/>
      </c>
      <c r="K12" s="48">
        <f>K11</f>
        <v/>
      </c>
      <c r="L12" s="48">
        <f>J12+(I12-1)*K12</f>
        <v/>
      </c>
      <c r="M12" s="49" t="n">
        <v>10</v>
      </c>
      <c r="N12" s="49">
        <f>N11</f>
        <v/>
      </c>
      <c r="O12" s="48">
        <f>O11</f>
        <v/>
      </c>
      <c r="P12" s="48">
        <f>N12+(M12-1)*O12</f>
        <v/>
      </c>
      <c r="Q12" s="49" t="n">
        <v>10</v>
      </c>
      <c r="R12" s="49">
        <f>R11</f>
        <v/>
      </c>
      <c r="S12" s="48">
        <f>S11</f>
        <v/>
      </c>
      <c r="T12" s="48">
        <f>R12+(Q12-1)*S12</f>
        <v/>
      </c>
      <c r="U12" s="49" t="n">
        <v>10</v>
      </c>
      <c r="V12" s="49">
        <f>V11</f>
        <v/>
      </c>
      <c r="W12" s="48">
        <f>W11</f>
        <v/>
      </c>
      <c r="X12" s="48">
        <f>V12+(U12-1)*W12</f>
        <v/>
      </c>
      <c r="Y12" s="49" t="n">
        <v>10</v>
      </c>
      <c r="Z12" s="49">
        <f>Z11</f>
        <v/>
      </c>
      <c r="AA12" s="48">
        <f>AA11</f>
        <v/>
      </c>
      <c r="AB12" s="48">
        <f>Z12+(Y12-1)*AA12</f>
        <v/>
      </c>
      <c r="AC12" s="49" t="n">
        <v>10</v>
      </c>
      <c r="AD12" s="49">
        <f>AD11</f>
        <v/>
      </c>
      <c r="AE12" s="48">
        <f>AE11</f>
        <v/>
      </c>
      <c r="AF12" s="48">
        <f>AD12+(AC12-1)*AE12</f>
        <v/>
      </c>
      <c r="AG12" s="49" t="n">
        <v>10</v>
      </c>
      <c r="AH12" s="49">
        <f>AH11</f>
        <v/>
      </c>
      <c r="AI12" s="48">
        <f>AI11</f>
        <v/>
      </c>
      <c r="AJ12" s="48">
        <f>AH12+(AG12-1)*AI12</f>
        <v/>
      </c>
      <c r="AK12" s="49" t="n">
        <v>10</v>
      </c>
      <c r="AL12" s="49">
        <f>AL11</f>
        <v/>
      </c>
      <c r="AM12" s="48">
        <f>AM11</f>
        <v/>
      </c>
      <c r="AN12" s="48">
        <f>AL12+(AK12-1)*AM12</f>
        <v/>
      </c>
      <c r="AO12" s="49" t="n">
        <v>10</v>
      </c>
      <c r="AP12" s="49">
        <f>AP11</f>
        <v/>
      </c>
      <c r="AQ12" s="48">
        <f>AQ11</f>
        <v/>
      </c>
      <c r="AR12" s="48">
        <f>AP12+(AO12-1)*AQ12</f>
        <v/>
      </c>
      <c r="AS12" s="49" t="n">
        <v>10</v>
      </c>
      <c r="AT12" s="49">
        <f>AT11</f>
        <v/>
      </c>
      <c r="AU12" s="48">
        <f>AU11</f>
        <v/>
      </c>
      <c r="AV12" s="48">
        <f>AT12+(AS12-1)*AU12</f>
        <v/>
      </c>
      <c r="AW12" s="49" t="n">
        <v>10</v>
      </c>
      <c r="AX12" s="49">
        <f>AX11</f>
        <v/>
      </c>
      <c r="AY12" s="48">
        <f>ROUND(AX12*0.15,0)</f>
        <v/>
      </c>
      <c r="AZ12" s="48">
        <f>AX12+(AW12-1)*AY12</f>
        <v/>
      </c>
      <c r="BA12" s="49" t="n">
        <v>10</v>
      </c>
      <c r="BB12" s="49">
        <f>BB11</f>
        <v/>
      </c>
      <c r="BC12" s="48">
        <f>BC11</f>
        <v/>
      </c>
      <c r="BD12" s="48">
        <f>BB12+(BA12-1)*BC12</f>
        <v/>
      </c>
      <c r="BE12" s="49" t="n">
        <v>10</v>
      </c>
      <c r="BF12" s="49">
        <f>BF11</f>
        <v/>
      </c>
      <c r="BG12" s="48">
        <f>BG11</f>
        <v/>
      </c>
      <c r="BH12" s="48">
        <f>BF12+(BE12-1)*BG12</f>
        <v/>
      </c>
      <c r="BI12" s="49" t="n">
        <v>10</v>
      </c>
      <c r="BJ12" s="49">
        <f>BJ11</f>
        <v/>
      </c>
      <c r="BK12" s="48">
        <f>BK11</f>
        <v/>
      </c>
      <c r="BL12" s="48">
        <f>BJ12+(BI12-1)*BK12</f>
        <v/>
      </c>
      <c r="BM12" s="49" t="n">
        <v>10</v>
      </c>
      <c r="BN12" s="49">
        <f>BN11</f>
        <v/>
      </c>
      <c r="BO12" s="48">
        <f>BO11</f>
        <v/>
      </c>
      <c r="BP12" s="48">
        <f>BN12+(BM12-1)*BO12</f>
        <v/>
      </c>
      <c r="BQ12" s="49" t="n">
        <v>10</v>
      </c>
      <c r="BR12" s="49">
        <f>BR11</f>
        <v/>
      </c>
      <c r="BS12" s="48">
        <f>BS11</f>
        <v/>
      </c>
      <c r="BT12" s="48">
        <f>BR12+(BQ12-1)*BS12</f>
        <v/>
      </c>
      <c r="BU12" s="49" t="n">
        <v>10</v>
      </c>
      <c r="BV12" s="49">
        <f>BV11</f>
        <v/>
      </c>
      <c r="BW12" s="48">
        <f>BW11</f>
        <v/>
      </c>
      <c r="BX12" s="48">
        <f>BV12+(BU12-1)*BW12</f>
        <v/>
      </c>
      <c r="BY12" s="49" t="n">
        <v>10</v>
      </c>
      <c r="BZ12" s="49">
        <f>BZ11</f>
        <v/>
      </c>
      <c r="CA12" s="48">
        <f>CA11</f>
        <v/>
      </c>
      <c r="CB12" s="48">
        <f>BZ12+(BY12-1)*CA12</f>
        <v/>
      </c>
      <c r="CC12" s="49" t="n">
        <v>10</v>
      </c>
      <c r="CD12" s="49">
        <f>CD11</f>
        <v/>
      </c>
      <c r="CE12" s="48">
        <f>CE11</f>
        <v/>
      </c>
      <c r="CF12" s="48">
        <f>CD12+(CC12-1)*CE12</f>
        <v/>
      </c>
      <c r="CG12" s="49" t="n">
        <v>10</v>
      </c>
      <c r="CH12" s="49">
        <f>CH11</f>
        <v/>
      </c>
      <c r="CI12" s="48">
        <f>CI11</f>
        <v/>
      </c>
      <c r="CJ12" s="48">
        <f>CH12+(CG12-1)*CI12</f>
        <v/>
      </c>
      <c r="CK12" s="49" t="n">
        <v>10</v>
      </c>
      <c r="CL12" s="49">
        <f>CL11</f>
        <v/>
      </c>
      <c r="CM12" s="48">
        <f>CM11</f>
        <v/>
      </c>
      <c r="CN12" s="48">
        <f>CL12+(CK12-1)*CM12</f>
        <v/>
      </c>
      <c r="CO12" s="49" t="n">
        <v>10</v>
      </c>
      <c r="CP12" s="49">
        <f>CP11</f>
        <v/>
      </c>
      <c r="CQ12" s="48">
        <f>CQ11</f>
        <v/>
      </c>
      <c r="CR12" s="48">
        <f>CP12+(CO12-1)*CQ12</f>
        <v/>
      </c>
      <c r="CS12" s="49" t="n">
        <v>10</v>
      </c>
      <c r="CT12" s="49">
        <f>CT11</f>
        <v/>
      </c>
      <c r="CU12" s="48">
        <f>CU11</f>
        <v/>
      </c>
      <c r="CV12" s="48">
        <f>CT12+(CS12-1)*CU12</f>
        <v/>
      </c>
      <c r="CW12" s="49" t="n">
        <v>10</v>
      </c>
      <c r="CX12" s="49">
        <f>CX11</f>
        <v/>
      </c>
      <c r="CY12" s="48">
        <f>CY11</f>
        <v/>
      </c>
      <c r="CZ12" s="48">
        <f>CX12+(CW12-1)*CY12</f>
        <v/>
      </c>
      <c r="DA12" s="49" t="n">
        <v>10</v>
      </c>
      <c r="DB12" s="49">
        <f>DB11</f>
        <v/>
      </c>
      <c r="DC12" s="48">
        <f>DC11</f>
        <v/>
      </c>
      <c r="DD12" s="48">
        <f>DB12+(DA12-1)*DC12</f>
        <v/>
      </c>
      <c r="DE12" s="49" t="n">
        <v>10</v>
      </c>
      <c r="DF12" s="49">
        <f>DF11</f>
        <v/>
      </c>
      <c r="DG12" s="48">
        <f>DG11</f>
        <v/>
      </c>
      <c r="DH12" s="48">
        <f>DF12+(DE12-1)*DG12</f>
        <v/>
      </c>
      <c r="DI12" s="49" t="n">
        <v>10</v>
      </c>
      <c r="DJ12" s="49">
        <f>DJ11</f>
        <v/>
      </c>
      <c r="DK12" s="48">
        <f>DK11</f>
        <v/>
      </c>
      <c r="DL12" s="48">
        <f>DJ12+(DI12-1)*DK12</f>
        <v/>
      </c>
      <c r="DM12" s="49" t="n">
        <v>10</v>
      </c>
      <c r="DN12" s="49">
        <f>DN11</f>
        <v/>
      </c>
      <c r="DO12" s="48">
        <f>DO11</f>
        <v/>
      </c>
      <c r="DP12" s="48">
        <f>DN12+(DM12-1)*DO12</f>
        <v/>
      </c>
      <c r="DQ12" s="49" t="n">
        <v>10</v>
      </c>
      <c r="DR12" s="49">
        <f>DR11</f>
        <v/>
      </c>
      <c r="DS12" s="48">
        <f>DS11</f>
        <v/>
      </c>
      <c r="DT12" s="48">
        <f>DR12+(DQ12-1)*DS12</f>
        <v/>
      </c>
      <c r="DU12" s="49" t="n">
        <v>10</v>
      </c>
      <c r="DV12" s="49">
        <f>DV11</f>
        <v/>
      </c>
      <c r="DW12" s="48">
        <f>DW11</f>
        <v/>
      </c>
      <c r="DX12" s="48">
        <f>DV12+(DU12-1)*DW12</f>
        <v/>
      </c>
      <c r="DY12" s="49" t="n">
        <v>10</v>
      </c>
      <c r="DZ12" s="49">
        <f>DZ11</f>
        <v/>
      </c>
      <c r="EA12" s="48">
        <f>EA11</f>
        <v/>
      </c>
      <c r="EB12" s="48">
        <f>DZ12+(DY12-1)*EA12</f>
        <v/>
      </c>
      <c r="EC12" s="49" t="n">
        <v>10</v>
      </c>
      <c r="ED12" s="49">
        <f>ED11</f>
        <v/>
      </c>
      <c r="EE12" s="48">
        <f>EE11</f>
        <v/>
      </c>
      <c r="EF12" s="48">
        <f>ED12+(EC12-1)*EE12</f>
        <v/>
      </c>
      <c r="EG12" s="49" t="n">
        <v>10</v>
      </c>
      <c r="EH12" s="49">
        <f>EH11</f>
        <v/>
      </c>
      <c r="EI12" s="48">
        <f>EI11</f>
        <v/>
      </c>
      <c r="EJ12" s="48">
        <f>EH12+(EG12-1)*EI12</f>
        <v/>
      </c>
      <c r="EK12" s="49" t="n">
        <v>10</v>
      </c>
      <c r="EL12" s="49">
        <f>EL11</f>
        <v/>
      </c>
      <c r="EM12" s="48">
        <f>EM11</f>
        <v/>
      </c>
      <c r="EN12" s="48">
        <f>EL12+(EK12-1)*EM12</f>
        <v/>
      </c>
      <c r="EO12" s="49" t="n">
        <v>10</v>
      </c>
      <c r="EP12" s="49">
        <f>EP11</f>
        <v/>
      </c>
      <c r="EQ12" s="48">
        <f>EQ11</f>
        <v/>
      </c>
      <c r="ER12" s="48">
        <f>EP12+(EO12-1)*EQ12</f>
        <v/>
      </c>
      <c r="ES12" s="49" t="n">
        <v>10</v>
      </c>
      <c r="ET12" s="49">
        <f>ET11</f>
        <v/>
      </c>
      <c r="EU12" s="48">
        <f>EU11</f>
        <v/>
      </c>
      <c r="EV12" s="48">
        <f>ET12+(ES12-1)*EU12</f>
        <v/>
      </c>
      <c r="EW12" s="49" t="n">
        <v>10</v>
      </c>
      <c r="EX12" s="49">
        <f>EX11</f>
        <v/>
      </c>
      <c r="EY12" s="48">
        <f>EY11</f>
        <v/>
      </c>
      <c r="EZ12" s="48">
        <f>EX12+(EW12-1)*EY12</f>
        <v/>
      </c>
      <c r="FA12" s="49" t="n">
        <v>10</v>
      </c>
      <c r="FB12" s="49">
        <f>FB11</f>
        <v/>
      </c>
      <c r="FC12" s="48">
        <f>FC11</f>
        <v/>
      </c>
      <c r="FD12" s="48">
        <f>FB12+(FA12-1)*FC12</f>
        <v/>
      </c>
    </row>
    <row r="13">
      <c r="A13" s="49" t="n">
        <v>11</v>
      </c>
      <c r="B13" s="49">
        <f>B12</f>
        <v/>
      </c>
      <c r="C13" s="48">
        <f>C12</f>
        <v/>
      </c>
      <c r="D13" s="48">
        <f>B13+(A13-1)*C13</f>
        <v/>
      </c>
      <c r="E13" s="49" t="n">
        <v>11</v>
      </c>
      <c r="F13" s="49">
        <f>F12</f>
        <v/>
      </c>
      <c r="G13" s="48">
        <f>G12</f>
        <v/>
      </c>
      <c r="H13" s="48">
        <f>F13+(E13-1)*G13</f>
        <v/>
      </c>
      <c r="I13" s="48" t="n">
        <v>11</v>
      </c>
      <c r="J13" s="49">
        <f>J12</f>
        <v/>
      </c>
      <c r="K13" s="48">
        <f>K12</f>
        <v/>
      </c>
      <c r="L13" s="48">
        <f>J13+(I13-1)*K13</f>
        <v/>
      </c>
      <c r="M13" s="48" t="n">
        <v>11</v>
      </c>
      <c r="N13" s="49">
        <f>N12</f>
        <v/>
      </c>
      <c r="O13" s="48">
        <f>O12</f>
        <v/>
      </c>
      <c r="P13" s="48">
        <f>N13+(M13-1)*O13</f>
        <v/>
      </c>
      <c r="Q13" s="49" t="n">
        <v>11</v>
      </c>
      <c r="R13" s="49">
        <f>R12</f>
        <v/>
      </c>
      <c r="S13" s="48">
        <f>S12</f>
        <v/>
      </c>
      <c r="T13" s="48">
        <f>R13+(Q13-1)*S13</f>
        <v/>
      </c>
      <c r="U13" s="49" t="n">
        <v>11</v>
      </c>
      <c r="V13" s="49">
        <f>V12</f>
        <v/>
      </c>
      <c r="W13" s="48">
        <f>W12</f>
        <v/>
      </c>
      <c r="X13" s="48">
        <f>V13+(U13-1)*W13</f>
        <v/>
      </c>
      <c r="Y13" s="49" t="n">
        <v>11</v>
      </c>
      <c r="Z13" s="49">
        <f>Z12</f>
        <v/>
      </c>
      <c r="AA13" s="48">
        <f>AA12</f>
        <v/>
      </c>
      <c r="AB13" s="48">
        <f>Z13+(Y13-1)*AA13</f>
        <v/>
      </c>
      <c r="AC13" s="48" t="n">
        <v>11</v>
      </c>
      <c r="AD13" s="49">
        <f>AD12</f>
        <v/>
      </c>
      <c r="AE13" s="48">
        <f>AE12</f>
        <v/>
      </c>
      <c r="AF13" s="48">
        <f>AD13+(AC13-1)*AE13</f>
        <v/>
      </c>
      <c r="AG13" s="48" t="n">
        <v>11</v>
      </c>
      <c r="AH13" s="49">
        <f>AH12</f>
        <v/>
      </c>
      <c r="AI13" s="48">
        <f>AI12</f>
        <v/>
      </c>
      <c r="AJ13" s="48">
        <f>AH13+(AG13-1)*AI13</f>
        <v/>
      </c>
      <c r="AK13" s="48" t="n">
        <v>11</v>
      </c>
      <c r="AL13" s="49">
        <f>AL12</f>
        <v/>
      </c>
      <c r="AM13" s="48">
        <f>AM12</f>
        <v/>
      </c>
      <c r="AN13" s="48">
        <f>AL13+(AK13-1)*AM13</f>
        <v/>
      </c>
      <c r="AO13" s="48" t="n">
        <v>11</v>
      </c>
      <c r="AP13" s="49">
        <f>AP12</f>
        <v/>
      </c>
      <c r="AQ13" s="48">
        <f>AQ12</f>
        <v/>
      </c>
      <c r="AR13" s="48">
        <f>AP13+(AO13-1)*AQ13</f>
        <v/>
      </c>
      <c r="AS13" s="48" t="n">
        <v>11</v>
      </c>
      <c r="AT13" s="49">
        <f>AT12</f>
        <v/>
      </c>
      <c r="AU13" s="48">
        <f>AU12</f>
        <v/>
      </c>
      <c r="AV13" s="48">
        <f>AT13+(AS13-1)*AU13</f>
        <v/>
      </c>
      <c r="AW13" s="49" t="n">
        <v>11</v>
      </c>
      <c r="AX13" s="49">
        <f>AX12</f>
        <v/>
      </c>
      <c r="AY13" s="48">
        <f>ROUND(AX13*0.15,0)</f>
        <v/>
      </c>
      <c r="AZ13" s="48">
        <f>AX13+(AW13-1)*AY13</f>
        <v/>
      </c>
      <c r="BA13" s="49" t="n">
        <v>11</v>
      </c>
      <c r="BB13" s="49">
        <f>BB12</f>
        <v/>
      </c>
      <c r="BC13" s="48">
        <f>BC12</f>
        <v/>
      </c>
      <c r="BD13" s="48">
        <f>BB13+(BA13-1)*BC13</f>
        <v/>
      </c>
      <c r="BE13" s="49" t="n">
        <v>11</v>
      </c>
      <c r="BF13" s="49">
        <f>BF12</f>
        <v/>
      </c>
      <c r="BG13" s="48">
        <f>BG12</f>
        <v/>
      </c>
      <c r="BH13" s="48">
        <f>BF13+(BE13-1)*BG13</f>
        <v/>
      </c>
      <c r="BI13" s="48" t="n">
        <v>11</v>
      </c>
      <c r="BJ13" s="49">
        <f>BJ12</f>
        <v/>
      </c>
      <c r="BK13" s="48">
        <f>BK12</f>
        <v/>
      </c>
      <c r="BL13" s="48">
        <f>BJ13+(BI13-1)*BK13</f>
        <v/>
      </c>
      <c r="BM13" s="48" t="n">
        <v>11</v>
      </c>
      <c r="BN13" s="49">
        <f>BN12</f>
        <v/>
      </c>
      <c r="BO13" s="48">
        <f>BO12</f>
        <v/>
      </c>
      <c r="BP13" s="48">
        <f>BN13+(BM13-1)*BO13</f>
        <v/>
      </c>
      <c r="BQ13" s="48" t="n">
        <v>11</v>
      </c>
      <c r="BR13" s="49">
        <f>BR12</f>
        <v/>
      </c>
      <c r="BS13" s="48">
        <f>BS12</f>
        <v/>
      </c>
      <c r="BT13" s="48">
        <f>BR13+(BQ13-1)*BS13</f>
        <v/>
      </c>
      <c r="BU13" s="48" t="n">
        <v>11</v>
      </c>
      <c r="BV13" s="49">
        <f>BV12</f>
        <v/>
      </c>
      <c r="BW13" s="48">
        <f>BW12</f>
        <v/>
      </c>
      <c r="BX13" s="48">
        <f>BV13+(BU13-1)*BW13</f>
        <v/>
      </c>
      <c r="BY13" s="48" t="n">
        <v>11</v>
      </c>
      <c r="BZ13" s="49">
        <f>BZ12</f>
        <v/>
      </c>
      <c r="CA13" s="48">
        <f>CA12</f>
        <v/>
      </c>
      <c r="CB13" s="48">
        <f>BZ13+(BY13-1)*CA13</f>
        <v/>
      </c>
      <c r="CC13" s="49" t="n">
        <v>11</v>
      </c>
      <c r="CD13" s="49">
        <f>CD12</f>
        <v/>
      </c>
      <c r="CE13" s="48">
        <f>CE12</f>
        <v/>
      </c>
      <c r="CF13" s="48">
        <f>CD13+(CC13-1)*CE13</f>
        <v/>
      </c>
      <c r="CG13" s="49" t="n">
        <v>11</v>
      </c>
      <c r="CH13" s="49">
        <f>CH12</f>
        <v/>
      </c>
      <c r="CI13" s="48">
        <f>CI12</f>
        <v/>
      </c>
      <c r="CJ13" s="48">
        <f>CH13+(CG13-1)*CI13</f>
        <v/>
      </c>
      <c r="CK13" s="49" t="n">
        <v>11</v>
      </c>
      <c r="CL13" s="49">
        <f>CL12</f>
        <v/>
      </c>
      <c r="CM13" s="48">
        <f>CM12</f>
        <v/>
      </c>
      <c r="CN13" s="48">
        <f>CL13+(CK13-1)*CM13</f>
        <v/>
      </c>
      <c r="CO13" s="48" t="n">
        <v>11</v>
      </c>
      <c r="CP13" s="49">
        <f>CP12</f>
        <v/>
      </c>
      <c r="CQ13" s="48">
        <f>CQ12</f>
        <v/>
      </c>
      <c r="CR13" s="48">
        <f>CP13+(CO13-1)*CQ13</f>
        <v/>
      </c>
      <c r="CS13" s="48" t="n">
        <v>11</v>
      </c>
      <c r="CT13" s="49">
        <f>CT12</f>
        <v/>
      </c>
      <c r="CU13" s="48">
        <f>CU12</f>
        <v/>
      </c>
      <c r="CV13" s="48">
        <f>CT13+(CS13-1)*CU13</f>
        <v/>
      </c>
      <c r="CW13" s="48" t="n">
        <v>11</v>
      </c>
      <c r="CX13" s="49">
        <f>CX12</f>
        <v/>
      </c>
      <c r="CY13" s="48">
        <f>CY12</f>
        <v/>
      </c>
      <c r="CZ13" s="48">
        <f>CX13+(CW13-1)*CY13</f>
        <v/>
      </c>
      <c r="DA13" s="48" t="n">
        <v>11</v>
      </c>
      <c r="DB13" s="49">
        <f>DB12</f>
        <v/>
      </c>
      <c r="DC13" s="48">
        <f>DC12</f>
        <v/>
      </c>
      <c r="DD13" s="48">
        <f>DB13+(DA13-1)*DC13</f>
        <v/>
      </c>
      <c r="DE13" s="48" t="n">
        <v>11</v>
      </c>
      <c r="DF13" s="49">
        <f>DF12</f>
        <v/>
      </c>
      <c r="DG13" s="48">
        <f>DG12</f>
        <v/>
      </c>
      <c r="DH13" s="48">
        <f>DF13+(DE13-1)*DG13</f>
        <v/>
      </c>
      <c r="DI13" s="48" t="n">
        <v>11</v>
      </c>
      <c r="DJ13" s="49">
        <f>DJ12</f>
        <v/>
      </c>
      <c r="DK13" s="48">
        <f>DK12</f>
        <v/>
      </c>
      <c r="DL13" s="48">
        <f>DJ13+(DI13-1)*DK13</f>
        <v/>
      </c>
      <c r="DM13" s="48" t="n">
        <v>11</v>
      </c>
      <c r="DN13" s="49">
        <f>DN12</f>
        <v/>
      </c>
      <c r="DO13" s="48">
        <f>DO12</f>
        <v/>
      </c>
      <c r="DP13" s="48">
        <f>DN13+(DM13-1)*DO13</f>
        <v/>
      </c>
      <c r="DQ13" s="48" t="n">
        <v>11</v>
      </c>
      <c r="DR13" s="49">
        <f>DR12</f>
        <v/>
      </c>
      <c r="DS13" s="48">
        <f>DS12</f>
        <v/>
      </c>
      <c r="DT13" s="48">
        <f>DR13+(DQ13-1)*DS13</f>
        <v/>
      </c>
      <c r="DU13" s="48" t="n">
        <v>11</v>
      </c>
      <c r="DV13" s="49">
        <f>DV12</f>
        <v/>
      </c>
      <c r="DW13" s="48">
        <f>DW12</f>
        <v/>
      </c>
      <c r="DX13" s="48">
        <f>DV13+(DU13-1)*DW13</f>
        <v/>
      </c>
      <c r="DY13" s="49" t="n">
        <v>11</v>
      </c>
      <c r="DZ13" s="49">
        <f>DZ12</f>
        <v/>
      </c>
      <c r="EA13" s="48">
        <f>EA12</f>
        <v/>
      </c>
      <c r="EB13" s="48">
        <f>DZ13+(DY13-1)*EA13</f>
        <v/>
      </c>
      <c r="EC13" s="49" t="n">
        <v>11</v>
      </c>
      <c r="ED13" s="49">
        <f>ED12</f>
        <v/>
      </c>
      <c r="EE13" s="48">
        <f>EE12</f>
        <v/>
      </c>
      <c r="EF13" s="48">
        <f>ED13+(EC13-1)*EE13</f>
        <v/>
      </c>
      <c r="EG13" s="49" t="n">
        <v>11</v>
      </c>
      <c r="EH13" s="49">
        <f>EH12</f>
        <v/>
      </c>
      <c r="EI13" s="48">
        <f>EI12</f>
        <v/>
      </c>
      <c r="EJ13" s="48">
        <f>EH13+(EG13-1)*EI13</f>
        <v/>
      </c>
      <c r="EK13" s="48" t="n">
        <v>11</v>
      </c>
      <c r="EL13" s="49">
        <f>EL12</f>
        <v/>
      </c>
      <c r="EM13" s="48">
        <f>EM12</f>
        <v/>
      </c>
      <c r="EN13" s="48">
        <f>EL13+(EK13-1)*EM13</f>
        <v/>
      </c>
      <c r="EO13" s="48" t="n">
        <v>11</v>
      </c>
      <c r="EP13" s="49">
        <f>EP12</f>
        <v/>
      </c>
      <c r="EQ13" s="48">
        <f>EQ12</f>
        <v/>
      </c>
      <c r="ER13" s="48">
        <f>EP13+(EO13-1)*EQ13</f>
        <v/>
      </c>
      <c r="ES13" s="48" t="n">
        <v>11</v>
      </c>
      <c r="ET13" s="49">
        <f>ET12</f>
        <v/>
      </c>
      <c r="EU13" s="48">
        <f>EU12</f>
        <v/>
      </c>
      <c r="EV13" s="48">
        <f>ET13+(ES13-1)*EU13</f>
        <v/>
      </c>
      <c r="EW13" s="48" t="n">
        <v>11</v>
      </c>
      <c r="EX13" s="49">
        <f>EX12</f>
        <v/>
      </c>
      <c r="EY13" s="48">
        <f>EY12</f>
        <v/>
      </c>
      <c r="EZ13" s="48">
        <f>EX13+(EW13-1)*EY13</f>
        <v/>
      </c>
      <c r="FA13" s="48" t="n">
        <v>11</v>
      </c>
      <c r="FB13" s="49">
        <f>FB12</f>
        <v/>
      </c>
      <c r="FC13" s="48">
        <f>FC12</f>
        <v/>
      </c>
      <c r="FD13" s="48">
        <f>FB13+(FA13-1)*FC13</f>
        <v/>
      </c>
    </row>
    <row r="14">
      <c r="A14" s="49" t="n">
        <v>12</v>
      </c>
      <c r="B14" s="49">
        <f>B13</f>
        <v/>
      </c>
      <c r="C14" s="48">
        <f>C13</f>
        <v/>
      </c>
      <c r="D14" s="48">
        <f>B14+(A14-1)*C14</f>
        <v/>
      </c>
      <c r="E14" s="49" t="n">
        <v>12</v>
      </c>
      <c r="F14" s="49">
        <f>F13</f>
        <v/>
      </c>
      <c r="G14" s="48">
        <f>G13</f>
        <v/>
      </c>
      <c r="H14" s="48">
        <f>F14+(E14-1)*G14</f>
        <v/>
      </c>
      <c r="I14" s="49" t="n">
        <v>12</v>
      </c>
      <c r="J14" s="49">
        <f>J13</f>
        <v/>
      </c>
      <c r="K14" s="48">
        <f>K13</f>
        <v/>
      </c>
      <c r="L14" s="48">
        <f>J14+(I14-1)*K14</f>
        <v/>
      </c>
      <c r="M14" s="49" t="n">
        <v>12</v>
      </c>
      <c r="N14" s="49">
        <f>N13</f>
        <v/>
      </c>
      <c r="O14" s="48">
        <f>O13</f>
        <v/>
      </c>
      <c r="P14" s="48">
        <f>N14+(M14-1)*O14</f>
        <v/>
      </c>
      <c r="Q14" s="49" t="n">
        <v>12</v>
      </c>
      <c r="R14" s="49">
        <f>R13</f>
        <v/>
      </c>
      <c r="S14" s="48">
        <f>S13</f>
        <v/>
      </c>
      <c r="T14" s="48">
        <f>R14+(Q14-1)*S14</f>
        <v/>
      </c>
      <c r="U14" s="49" t="n">
        <v>12</v>
      </c>
      <c r="V14" s="49">
        <f>V13</f>
        <v/>
      </c>
      <c r="W14" s="48">
        <f>W13</f>
        <v/>
      </c>
      <c r="X14" s="48">
        <f>V14+(U14-1)*W14</f>
        <v/>
      </c>
      <c r="Y14" s="49" t="n">
        <v>12</v>
      </c>
      <c r="Z14" s="49">
        <f>Z13</f>
        <v/>
      </c>
      <c r="AA14" s="48">
        <f>AA13</f>
        <v/>
      </c>
      <c r="AB14" s="48">
        <f>Z14+(Y14-1)*AA14</f>
        <v/>
      </c>
      <c r="AC14" s="49" t="n">
        <v>12</v>
      </c>
      <c r="AD14" s="49">
        <f>AD13</f>
        <v/>
      </c>
      <c r="AE14" s="48">
        <f>AE13</f>
        <v/>
      </c>
      <c r="AF14" s="48">
        <f>AD14+(AC14-1)*AE14</f>
        <v/>
      </c>
      <c r="AG14" s="49" t="n">
        <v>12</v>
      </c>
      <c r="AH14" s="49">
        <f>AH13</f>
        <v/>
      </c>
      <c r="AI14" s="48">
        <f>AI13</f>
        <v/>
      </c>
      <c r="AJ14" s="48">
        <f>AH14+(AG14-1)*AI14</f>
        <v/>
      </c>
      <c r="AK14" s="49" t="n">
        <v>12</v>
      </c>
      <c r="AL14" s="49">
        <f>AL13</f>
        <v/>
      </c>
      <c r="AM14" s="48">
        <f>AM13</f>
        <v/>
      </c>
      <c r="AN14" s="48">
        <f>AL14+(AK14-1)*AM14</f>
        <v/>
      </c>
      <c r="AO14" s="49" t="n">
        <v>12</v>
      </c>
      <c r="AP14" s="49">
        <f>AP13</f>
        <v/>
      </c>
      <c r="AQ14" s="48">
        <f>AQ13</f>
        <v/>
      </c>
      <c r="AR14" s="48">
        <f>AP14+(AO14-1)*AQ14</f>
        <v/>
      </c>
      <c r="AS14" s="49" t="n">
        <v>12</v>
      </c>
      <c r="AT14" s="49">
        <f>AT13</f>
        <v/>
      </c>
      <c r="AU14" s="48">
        <f>AU13</f>
        <v/>
      </c>
      <c r="AV14" s="48">
        <f>AT14+(AS14-1)*AU14</f>
        <v/>
      </c>
      <c r="AW14" s="49" t="n">
        <v>12</v>
      </c>
      <c r="AX14" s="49">
        <f>AX13</f>
        <v/>
      </c>
      <c r="AY14" s="48">
        <f>ROUND(AX14*0.15,0)</f>
        <v/>
      </c>
      <c r="AZ14" s="48">
        <f>AX14+(AW14-1)*AY14</f>
        <v/>
      </c>
      <c r="BA14" s="49" t="n">
        <v>12</v>
      </c>
      <c r="BB14" s="49">
        <f>BB13</f>
        <v/>
      </c>
      <c r="BC14" s="48">
        <f>BC13</f>
        <v/>
      </c>
      <c r="BD14" s="48">
        <f>BB14+(BA14-1)*BC14</f>
        <v/>
      </c>
      <c r="BE14" s="49" t="n">
        <v>12</v>
      </c>
      <c r="BF14" s="49">
        <f>BF13</f>
        <v/>
      </c>
      <c r="BG14" s="48">
        <f>BG13</f>
        <v/>
      </c>
      <c r="BH14" s="48">
        <f>BF14+(BE14-1)*BG14</f>
        <v/>
      </c>
      <c r="BI14" s="49" t="n">
        <v>12</v>
      </c>
      <c r="BJ14" s="49">
        <f>BJ13</f>
        <v/>
      </c>
      <c r="BK14" s="48">
        <f>BK13</f>
        <v/>
      </c>
      <c r="BL14" s="48">
        <f>BJ14+(BI14-1)*BK14</f>
        <v/>
      </c>
      <c r="BM14" s="49" t="n">
        <v>12</v>
      </c>
      <c r="BN14" s="49">
        <f>BN13</f>
        <v/>
      </c>
      <c r="BO14" s="48">
        <f>BO13</f>
        <v/>
      </c>
      <c r="BP14" s="48">
        <f>BN14+(BM14-1)*BO14</f>
        <v/>
      </c>
      <c r="BQ14" s="49" t="n">
        <v>12</v>
      </c>
      <c r="BR14" s="49">
        <f>BR13</f>
        <v/>
      </c>
      <c r="BS14" s="48">
        <f>BS13</f>
        <v/>
      </c>
      <c r="BT14" s="48">
        <f>BR14+(BQ14-1)*BS14</f>
        <v/>
      </c>
      <c r="BU14" s="49" t="n">
        <v>12</v>
      </c>
      <c r="BV14" s="49">
        <f>BV13</f>
        <v/>
      </c>
      <c r="BW14" s="48">
        <f>BW13</f>
        <v/>
      </c>
      <c r="BX14" s="48">
        <f>BV14+(BU14-1)*BW14</f>
        <v/>
      </c>
      <c r="BY14" s="49" t="n">
        <v>12</v>
      </c>
      <c r="BZ14" s="49">
        <f>BZ13</f>
        <v/>
      </c>
      <c r="CA14" s="48">
        <f>CA13</f>
        <v/>
      </c>
      <c r="CB14" s="48">
        <f>BZ14+(BY14-1)*CA14</f>
        <v/>
      </c>
      <c r="CC14" s="49" t="n">
        <v>12</v>
      </c>
      <c r="CD14" s="49">
        <f>CD13</f>
        <v/>
      </c>
      <c r="CE14" s="48">
        <f>CE13</f>
        <v/>
      </c>
      <c r="CF14" s="48">
        <f>CD14+(CC14-1)*CE14</f>
        <v/>
      </c>
      <c r="CG14" s="49" t="n">
        <v>12</v>
      </c>
      <c r="CH14" s="49">
        <f>CH13</f>
        <v/>
      </c>
      <c r="CI14" s="48">
        <f>CI13</f>
        <v/>
      </c>
      <c r="CJ14" s="48">
        <f>CH14+(CG14-1)*CI14</f>
        <v/>
      </c>
      <c r="CK14" s="49" t="n">
        <v>12</v>
      </c>
      <c r="CL14" s="49">
        <f>CL13</f>
        <v/>
      </c>
      <c r="CM14" s="48">
        <f>CM13</f>
        <v/>
      </c>
      <c r="CN14" s="48">
        <f>CL14+(CK14-1)*CM14</f>
        <v/>
      </c>
      <c r="CO14" s="49" t="n">
        <v>12</v>
      </c>
      <c r="CP14" s="49">
        <f>CP13</f>
        <v/>
      </c>
      <c r="CQ14" s="48">
        <f>CQ13</f>
        <v/>
      </c>
      <c r="CR14" s="48">
        <f>CP14+(CO14-1)*CQ14</f>
        <v/>
      </c>
      <c r="CS14" s="49" t="n">
        <v>12</v>
      </c>
      <c r="CT14" s="49">
        <f>CT13</f>
        <v/>
      </c>
      <c r="CU14" s="48">
        <f>CU13</f>
        <v/>
      </c>
      <c r="CV14" s="48">
        <f>CT14+(CS14-1)*CU14</f>
        <v/>
      </c>
      <c r="CW14" s="49" t="n">
        <v>12</v>
      </c>
      <c r="CX14" s="49">
        <f>CX13</f>
        <v/>
      </c>
      <c r="CY14" s="48">
        <f>CY13</f>
        <v/>
      </c>
      <c r="CZ14" s="48">
        <f>CX14+(CW14-1)*CY14</f>
        <v/>
      </c>
      <c r="DA14" s="49" t="n">
        <v>12</v>
      </c>
      <c r="DB14" s="49">
        <f>DB13</f>
        <v/>
      </c>
      <c r="DC14" s="48">
        <f>DC13</f>
        <v/>
      </c>
      <c r="DD14" s="48">
        <f>DB14+(DA14-1)*DC14</f>
        <v/>
      </c>
      <c r="DE14" s="49" t="n">
        <v>12</v>
      </c>
      <c r="DF14" s="49">
        <f>DF13</f>
        <v/>
      </c>
      <c r="DG14" s="48">
        <f>DG13</f>
        <v/>
      </c>
      <c r="DH14" s="48">
        <f>DF14+(DE14-1)*DG14</f>
        <v/>
      </c>
      <c r="DI14" s="49" t="n">
        <v>12</v>
      </c>
      <c r="DJ14" s="49">
        <f>DJ13</f>
        <v/>
      </c>
      <c r="DK14" s="48">
        <f>DK13</f>
        <v/>
      </c>
      <c r="DL14" s="48">
        <f>DJ14+(DI14-1)*DK14</f>
        <v/>
      </c>
      <c r="DM14" s="49" t="n">
        <v>12</v>
      </c>
      <c r="DN14" s="49">
        <f>DN13</f>
        <v/>
      </c>
      <c r="DO14" s="48">
        <f>DO13</f>
        <v/>
      </c>
      <c r="DP14" s="48">
        <f>DN14+(DM14-1)*DO14</f>
        <v/>
      </c>
      <c r="DQ14" s="49" t="n">
        <v>12</v>
      </c>
      <c r="DR14" s="49">
        <f>DR13</f>
        <v/>
      </c>
      <c r="DS14" s="48">
        <f>DS13</f>
        <v/>
      </c>
      <c r="DT14" s="48">
        <f>DR14+(DQ14-1)*DS14</f>
        <v/>
      </c>
      <c r="DU14" s="49" t="n">
        <v>12</v>
      </c>
      <c r="DV14" s="49">
        <f>DV13</f>
        <v/>
      </c>
      <c r="DW14" s="48">
        <f>DW13</f>
        <v/>
      </c>
      <c r="DX14" s="48">
        <f>DV14+(DU14-1)*DW14</f>
        <v/>
      </c>
      <c r="DY14" s="49" t="n">
        <v>12</v>
      </c>
      <c r="DZ14" s="49">
        <f>DZ13</f>
        <v/>
      </c>
      <c r="EA14" s="48">
        <f>EA13</f>
        <v/>
      </c>
      <c r="EB14" s="48">
        <f>DZ14+(DY14-1)*EA14</f>
        <v/>
      </c>
      <c r="EC14" s="49" t="n">
        <v>12</v>
      </c>
      <c r="ED14" s="49">
        <f>ED13</f>
        <v/>
      </c>
      <c r="EE14" s="48">
        <f>EE13</f>
        <v/>
      </c>
      <c r="EF14" s="48">
        <f>ED14+(EC14-1)*EE14</f>
        <v/>
      </c>
      <c r="EG14" s="49" t="n">
        <v>12</v>
      </c>
      <c r="EH14" s="49">
        <f>EH13</f>
        <v/>
      </c>
      <c r="EI14" s="48">
        <f>EI13</f>
        <v/>
      </c>
      <c r="EJ14" s="48">
        <f>EH14+(EG14-1)*EI14</f>
        <v/>
      </c>
      <c r="EK14" s="49" t="n">
        <v>12</v>
      </c>
      <c r="EL14" s="49">
        <f>EL13</f>
        <v/>
      </c>
      <c r="EM14" s="48">
        <f>EM13</f>
        <v/>
      </c>
      <c r="EN14" s="48">
        <f>EL14+(EK14-1)*EM14</f>
        <v/>
      </c>
      <c r="EO14" s="49" t="n">
        <v>12</v>
      </c>
      <c r="EP14" s="49">
        <f>EP13</f>
        <v/>
      </c>
      <c r="EQ14" s="48">
        <f>EQ13</f>
        <v/>
      </c>
      <c r="ER14" s="48">
        <f>EP14+(EO14-1)*EQ14</f>
        <v/>
      </c>
      <c r="ES14" s="49" t="n">
        <v>12</v>
      </c>
      <c r="ET14" s="49">
        <f>ET13</f>
        <v/>
      </c>
      <c r="EU14" s="48">
        <f>EU13</f>
        <v/>
      </c>
      <c r="EV14" s="48">
        <f>ET14+(ES14-1)*EU14</f>
        <v/>
      </c>
      <c r="EW14" s="49" t="n">
        <v>12</v>
      </c>
      <c r="EX14" s="49">
        <f>EX13</f>
        <v/>
      </c>
      <c r="EY14" s="48">
        <f>EY13</f>
        <v/>
      </c>
      <c r="EZ14" s="48">
        <f>EX14+(EW14-1)*EY14</f>
        <v/>
      </c>
      <c r="FA14" s="49" t="n">
        <v>12</v>
      </c>
      <c r="FB14" s="49">
        <f>FB13</f>
        <v/>
      </c>
      <c r="FC14" s="48">
        <f>FC13</f>
        <v/>
      </c>
      <c r="FD14" s="48">
        <f>FB14+(FA14-1)*FC14</f>
        <v/>
      </c>
    </row>
    <row r="15">
      <c r="A15" s="49" t="n">
        <v>13</v>
      </c>
      <c r="B15" s="49">
        <f>B14</f>
        <v/>
      </c>
      <c r="C15" s="48">
        <f>C14</f>
        <v/>
      </c>
      <c r="D15" s="48">
        <f>B15+(A15-1)*C15</f>
        <v/>
      </c>
      <c r="E15" s="49" t="n">
        <v>13</v>
      </c>
      <c r="F15" s="49">
        <f>F14</f>
        <v/>
      </c>
      <c r="G15" s="48">
        <f>G14</f>
        <v/>
      </c>
      <c r="H15" s="48">
        <f>F15+(E15-1)*G15</f>
        <v/>
      </c>
      <c r="I15" s="48" t="n">
        <v>13</v>
      </c>
      <c r="J15" s="49">
        <f>J14</f>
        <v/>
      </c>
      <c r="K15" s="48">
        <f>K14</f>
        <v/>
      </c>
      <c r="L15" s="48">
        <f>J15+(I15-1)*K15</f>
        <v/>
      </c>
      <c r="M15" s="48" t="n">
        <v>13</v>
      </c>
      <c r="N15" s="49">
        <f>N14</f>
        <v/>
      </c>
      <c r="O15" s="48">
        <f>O14</f>
        <v/>
      </c>
      <c r="P15" s="48">
        <f>N15+(M15-1)*O15</f>
        <v/>
      </c>
      <c r="Q15" s="49" t="n">
        <v>13</v>
      </c>
      <c r="R15" s="49">
        <f>R14</f>
        <v/>
      </c>
      <c r="S15" s="48">
        <f>S14</f>
        <v/>
      </c>
      <c r="T15" s="48">
        <f>R15+(Q15-1)*S15</f>
        <v/>
      </c>
      <c r="U15" s="49" t="n">
        <v>13</v>
      </c>
      <c r="V15" s="49">
        <f>V14</f>
        <v/>
      </c>
      <c r="W15" s="48">
        <f>W14</f>
        <v/>
      </c>
      <c r="X15" s="48">
        <f>V15+(U15-1)*W15</f>
        <v/>
      </c>
      <c r="Y15" s="49" t="n">
        <v>13</v>
      </c>
      <c r="Z15" s="49">
        <f>Z14</f>
        <v/>
      </c>
      <c r="AA15" s="48">
        <f>AA14</f>
        <v/>
      </c>
      <c r="AB15" s="48">
        <f>Z15+(Y15-1)*AA15</f>
        <v/>
      </c>
      <c r="AC15" s="48" t="n">
        <v>13</v>
      </c>
      <c r="AD15" s="49">
        <f>AD14</f>
        <v/>
      </c>
      <c r="AE15" s="48">
        <f>AE14</f>
        <v/>
      </c>
      <c r="AF15" s="48">
        <f>AD15+(AC15-1)*AE15</f>
        <v/>
      </c>
      <c r="AG15" s="48" t="n">
        <v>13</v>
      </c>
      <c r="AH15" s="49">
        <f>AH14</f>
        <v/>
      </c>
      <c r="AI15" s="48">
        <f>AI14</f>
        <v/>
      </c>
      <c r="AJ15" s="48">
        <f>AH15+(AG15-1)*AI15</f>
        <v/>
      </c>
      <c r="AK15" s="48" t="n">
        <v>13</v>
      </c>
      <c r="AL15" s="49">
        <f>AL14</f>
        <v/>
      </c>
      <c r="AM15" s="48">
        <f>AM14</f>
        <v/>
      </c>
      <c r="AN15" s="48">
        <f>AL15+(AK15-1)*AM15</f>
        <v/>
      </c>
      <c r="AO15" s="48" t="n">
        <v>13</v>
      </c>
      <c r="AP15" s="49">
        <f>AP14</f>
        <v/>
      </c>
      <c r="AQ15" s="48">
        <f>AQ14</f>
        <v/>
      </c>
      <c r="AR15" s="48">
        <f>AP15+(AO15-1)*AQ15</f>
        <v/>
      </c>
      <c r="AS15" s="48" t="n">
        <v>13</v>
      </c>
      <c r="AT15" s="49">
        <f>AT14</f>
        <v/>
      </c>
      <c r="AU15" s="48">
        <f>AU14</f>
        <v/>
      </c>
      <c r="AV15" s="48">
        <f>AT15+(AS15-1)*AU15</f>
        <v/>
      </c>
      <c r="AW15" s="49" t="n">
        <v>13</v>
      </c>
      <c r="AX15" s="49">
        <f>AX14</f>
        <v/>
      </c>
      <c r="AY15" s="48">
        <f>ROUND(AX15*0.15,0)</f>
        <v/>
      </c>
      <c r="AZ15" s="48">
        <f>AX15+(AW15-1)*AY15</f>
        <v/>
      </c>
      <c r="BA15" s="49" t="n">
        <v>13</v>
      </c>
      <c r="BB15" s="49">
        <f>BB14</f>
        <v/>
      </c>
      <c r="BC15" s="48">
        <f>BC14</f>
        <v/>
      </c>
      <c r="BD15" s="48">
        <f>BB15+(BA15-1)*BC15</f>
        <v/>
      </c>
      <c r="BE15" s="49" t="n">
        <v>13</v>
      </c>
      <c r="BF15" s="49">
        <f>BF14</f>
        <v/>
      </c>
      <c r="BG15" s="48">
        <f>BG14</f>
        <v/>
      </c>
      <c r="BH15" s="48">
        <f>BF15+(BE15-1)*BG15</f>
        <v/>
      </c>
      <c r="BI15" s="48" t="n">
        <v>13</v>
      </c>
      <c r="BJ15" s="49">
        <f>BJ14</f>
        <v/>
      </c>
      <c r="BK15" s="48">
        <f>BK14</f>
        <v/>
      </c>
      <c r="BL15" s="48">
        <f>BJ15+(BI15-1)*BK15</f>
        <v/>
      </c>
      <c r="BM15" s="48" t="n">
        <v>13</v>
      </c>
      <c r="BN15" s="49">
        <f>BN14</f>
        <v/>
      </c>
      <c r="BO15" s="48">
        <f>BO14</f>
        <v/>
      </c>
      <c r="BP15" s="48">
        <f>BN15+(BM15-1)*BO15</f>
        <v/>
      </c>
      <c r="BQ15" s="48" t="n">
        <v>13</v>
      </c>
      <c r="BR15" s="49">
        <f>BR14</f>
        <v/>
      </c>
      <c r="BS15" s="48">
        <f>BS14</f>
        <v/>
      </c>
      <c r="BT15" s="48">
        <f>BR15+(BQ15-1)*BS15</f>
        <v/>
      </c>
      <c r="BU15" s="48" t="n">
        <v>13</v>
      </c>
      <c r="BV15" s="49">
        <f>BV14</f>
        <v/>
      </c>
      <c r="BW15" s="48">
        <f>BW14</f>
        <v/>
      </c>
      <c r="BX15" s="48">
        <f>BV15+(BU15-1)*BW15</f>
        <v/>
      </c>
      <c r="BY15" s="48" t="n">
        <v>13</v>
      </c>
      <c r="BZ15" s="49">
        <f>BZ14</f>
        <v/>
      </c>
      <c r="CA15" s="48">
        <f>CA14</f>
        <v/>
      </c>
      <c r="CB15" s="48">
        <f>BZ15+(BY15-1)*CA15</f>
        <v/>
      </c>
      <c r="CC15" s="49" t="n">
        <v>13</v>
      </c>
      <c r="CD15" s="49">
        <f>CD14</f>
        <v/>
      </c>
      <c r="CE15" s="48">
        <f>CE14</f>
        <v/>
      </c>
      <c r="CF15" s="48">
        <f>CD15+(CC15-1)*CE15</f>
        <v/>
      </c>
      <c r="CG15" s="49" t="n">
        <v>13</v>
      </c>
      <c r="CH15" s="49">
        <f>CH14</f>
        <v/>
      </c>
      <c r="CI15" s="48">
        <f>CI14</f>
        <v/>
      </c>
      <c r="CJ15" s="48">
        <f>CH15+(CG15-1)*CI15</f>
        <v/>
      </c>
      <c r="CK15" s="49" t="n">
        <v>13</v>
      </c>
      <c r="CL15" s="49">
        <f>CL14</f>
        <v/>
      </c>
      <c r="CM15" s="48">
        <f>CM14</f>
        <v/>
      </c>
      <c r="CN15" s="48">
        <f>CL15+(CK15-1)*CM15</f>
        <v/>
      </c>
      <c r="CO15" s="48" t="n">
        <v>13</v>
      </c>
      <c r="CP15" s="49">
        <f>CP14</f>
        <v/>
      </c>
      <c r="CQ15" s="48">
        <f>CQ14</f>
        <v/>
      </c>
      <c r="CR15" s="48">
        <f>CP15+(CO15-1)*CQ15</f>
        <v/>
      </c>
      <c r="CS15" s="48" t="n">
        <v>13</v>
      </c>
      <c r="CT15" s="49">
        <f>CT14</f>
        <v/>
      </c>
      <c r="CU15" s="48">
        <f>CU14</f>
        <v/>
      </c>
      <c r="CV15" s="48">
        <f>CT15+(CS15-1)*CU15</f>
        <v/>
      </c>
      <c r="CW15" s="48" t="n">
        <v>13</v>
      </c>
      <c r="CX15" s="49">
        <f>CX14</f>
        <v/>
      </c>
      <c r="CY15" s="48">
        <f>CY14</f>
        <v/>
      </c>
      <c r="CZ15" s="48">
        <f>CX15+(CW15-1)*CY15</f>
        <v/>
      </c>
      <c r="DA15" s="48" t="n">
        <v>13</v>
      </c>
      <c r="DB15" s="49">
        <f>DB14</f>
        <v/>
      </c>
      <c r="DC15" s="48">
        <f>DC14</f>
        <v/>
      </c>
      <c r="DD15" s="48">
        <f>DB15+(DA15-1)*DC15</f>
        <v/>
      </c>
      <c r="DE15" s="48" t="n">
        <v>13</v>
      </c>
      <c r="DF15" s="49">
        <f>DF14</f>
        <v/>
      </c>
      <c r="DG15" s="48">
        <f>DG14</f>
        <v/>
      </c>
      <c r="DH15" s="48">
        <f>DF15+(DE15-1)*DG15</f>
        <v/>
      </c>
      <c r="DI15" s="48" t="n">
        <v>13</v>
      </c>
      <c r="DJ15" s="49">
        <f>DJ14</f>
        <v/>
      </c>
      <c r="DK15" s="48">
        <f>DK14</f>
        <v/>
      </c>
      <c r="DL15" s="48">
        <f>DJ15+(DI15-1)*DK15</f>
        <v/>
      </c>
      <c r="DM15" s="48" t="n">
        <v>13</v>
      </c>
      <c r="DN15" s="49">
        <f>DN14</f>
        <v/>
      </c>
      <c r="DO15" s="48">
        <f>DO14</f>
        <v/>
      </c>
      <c r="DP15" s="48">
        <f>DN15+(DM15-1)*DO15</f>
        <v/>
      </c>
      <c r="DQ15" s="48" t="n">
        <v>13</v>
      </c>
      <c r="DR15" s="49">
        <f>DR14</f>
        <v/>
      </c>
      <c r="DS15" s="48">
        <f>DS14</f>
        <v/>
      </c>
      <c r="DT15" s="48">
        <f>DR15+(DQ15-1)*DS15</f>
        <v/>
      </c>
      <c r="DU15" s="48" t="n">
        <v>13</v>
      </c>
      <c r="DV15" s="49">
        <f>DV14</f>
        <v/>
      </c>
      <c r="DW15" s="48">
        <f>DW14</f>
        <v/>
      </c>
      <c r="DX15" s="48">
        <f>DV15+(DU15-1)*DW15</f>
        <v/>
      </c>
      <c r="DY15" s="49" t="n">
        <v>13</v>
      </c>
      <c r="DZ15" s="49">
        <f>DZ14</f>
        <v/>
      </c>
      <c r="EA15" s="48">
        <f>EA14</f>
        <v/>
      </c>
      <c r="EB15" s="48">
        <f>DZ15+(DY15-1)*EA15</f>
        <v/>
      </c>
      <c r="EC15" s="49" t="n">
        <v>13</v>
      </c>
      <c r="ED15" s="49">
        <f>ED14</f>
        <v/>
      </c>
      <c r="EE15" s="48">
        <f>EE14</f>
        <v/>
      </c>
      <c r="EF15" s="48">
        <f>ED15+(EC15-1)*EE15</f>
        <v/>
      </c>
      <c r="EG15" s="49" t="n">
        <v>13</v>
      </c>
      <c r="EH15" s="49">
        <f>EH14</f>
        <v/>
      </c>
      <c r="EI15" s="48">
        <f>EI14</f>
        <v/>
      </c>
      <c r="EJ15" s="48">
        <f>EH15+(EG15-1)*EI15</f>
        <v/>
      </c>
      <c r="EK15" s="48" t="n">
        <v>13</v>
      </c>
      <c r="EL15" s="49">
        <f>EL14</f>
        <v/>
      </c>
      <c r="EM15" s="48">
        <f>EM14</f>
        <v/>
      </c>
      <c r="EN15" s="48">
        <f>EL15+(EK15-1)*EM15</f>
        <v/>
      </c>
      <c r="EO15" s="48" t="n">
        <v>13</v>
      </c>
      <c r="EP15" s="49">
        <f>EP14</f>
        <v/>
      </c>
      <c r="EQ15" s="48">
        <f>EQ14</f>
        <v/>
      </c>
      <c r="ER15" s="48">
        <f>EP15+(EO15-1)*EQ15</f>
        <v/>
      </c>
      <c r="ES15" s="48" t="n">
        <v>13</v>
      </c>
      <c r="ET15" s="49">
        <f>ET14</f>
        <v/>
      </c>
      <c r="EU15" s="48">
        <f>EU14</f>
        <v/>
      </c>
      <c r="EV15" s="48">
        <f>ET15+(ES15-1)*EU15</f>
        <v/>
      </c>
      <c r="EW15" s="48" t="n">
        <v>13</v>
      </c>
      <c r="EX15" s="49">
        <f>EX14</f>
        <v/>
      </c>
      <c r="EY15" s="48">
        <f>EY14</f>
        <v/>
      </c>
      <c r="EZ15" s="48">
        <f>EX15+(EW15-1)*EY15</f>
        <v/>
      </c>
      <c r="FA15" s="48" t="n">
        <v>13</v>
      </c>
      <c r="FB15" s="49">
        <f>FB14</f>
        <v/>
      </c>
      <c r="FC15" s="48">
        <f>FC14</f>
        <v/>
      </c>
      <c r="FD15" s="48">
        <f>FB15+(FA15-1)*FC15</f>
        <v/>
      </c>
    </row>
    <row r="16">
      <c r="A16" s="49" t="n">
        <v>14</v>
      </c>
      <c r="B16" s="49">
        <f>B15</f>
        <v/>
      </c>
      <c r="C16" s="48">
        <f>C15</f>
        <v/>
      </c>
      <c r="D16" s="48">
        <f>B16+(A16-1)*C16</f>
        <v/>
      </c>
      <c r="E16" s="49" t="n">
        <v>14</v>
      </c>
      <c r="F16" s="49">
        <f>F15</f>
        <v/>
      </c>
      <c r="G16" s="48">
        <f>G15</f>
        <v/>
      </c>
      <c r="H16" s="48">
        <f>F16+(E16-1)*G16</f>
        <v/>
      </c>
      <c r="I16" s="49" t="n">
        <v>14</v>
      </c>
      <c r="J16" s="49">
        <f>J15</f>
        <v/>
      </c>
      <c r="K16" s="48">
        <f>K15</f>
        <v/>
      </c>
      <c r="L16" s="48">
        <f>J16+(I16-1)*K16</f>
        <v/>
      </c>
      <c r="M16" s="49" t="n">
        <v>14</v>
      </c>
      <c r="N16" s="49">
        <f>N15</f>
        <v/>
      </c>
      <c r="O16" s="48">
        <f>O15</f>
        <v/>
      </c>
      <c r="P16" s="48">
        <f>N16+(M16-1)*O16</f>
        <v/>
      </c>
      <c r="Q16" s="49" t="n">
        <v>14</v>
      </c>
      <c r="R16" s="49">
        <f>R15</f>
        <v/>
      </c>
      <c r="S16" s="48">
        <f>S15</f>
        <v/>
      </c>
      <c r="T16" s="48">
        <f>R16+(Q16-1)*S16</f>
        <v/>
      </c>
      <c r="U16" s="49" t="n">
        <v>14</v>
      </c>
      <c r="V16" s="49">
        <f>V15</f>
        <v/>
      </c>
      <c r="W16" s="48">
        <f>W15</f>
        <v/>
      </c>
      <c r="X16" s="48">
        <f>V16+(U16-1)*W16</f>
        <v/>
      </c>
      <c r="Y16" s="49" t="n">
        <v>14</v>
      </c>
      <c r="Z16" s="49">
        <f>Z15</f>
        <v/>
      </c>
      <c r="AA16" s="48">
        <f>AA15</f>
        <v/>
      </c>
      <c r="AB16" s="48">
        <f>Z16+(Y16-1)*AA16</f>
        <v/>
      </c>
      <c r="AC16" s="49" t="n">
        <v>14</v>
      </c>
      <c r="AD16" s="49">
        <f>AD15</f>
        <v/>
      </c>
      <c r="AE16" s="48">
        <f>AE15</f>
        <v/>
      </c>
      <c r="AF16" s="48">
        <f>AD16+(AC16-1)*AE16</f>
        <v/>
      </c>
      <c r="AG16" s="49" t="n">
        <v>14</v>
      </c>
      <c r="AH16" s="49">
        <f>AH15</f>
        <v/>
      </c>
      <c r="AI16" s="48">
        <f>AI15</f>
        <v/>
      </c>
      <c r="AJ16" s="48">
        <f>AH16+(AG16-1)*AI16</f>
        <v/>
      </c>
      <c r="AK16" s="49" t="n">
        <v>14</v>
      </c>
      <c r="AL16" s="49">
        <f>AL15</f>
        <v/>
      </c>
      <c r="AM16" s="48">
        <f>AM15</f>
        <v/>
      </c>
      <c r="AN16" s="48">
        <f>AL16+(AK16-1)*AM16</f>
        <v/>
      </c>
      <c r="AO16" s="49" t="n">
        <v>14</v>
      </c>
      <c r="AP16" s="49">
        <f>AP15</f>
        <v/>
      </c>
      <c r="AQ16" s="48">
        <f>AQ15</f>
        <v/>
      </c>
      <c r="AR16" s="48">
        <f>AP16+(AO16-1)*AQ16</f>
        <v/>
      </c>
      <c r="AS16" s="49" t="n">
        <v>14</v>
      </c>
      <c r="AT16" s="49">
        <f>AT15</f>
        <v/>
      </c>
      <c r="AU16" s="48">
        <f>AU15</f>
        <v/>
      </c>
      <c r="AV16" s="48">
        <f>AT16+(AS16-1)*AU16</f>
        <v/>
      </c>
      <c r="AW16" s="49" t="n">
        <v>14</v>
      </c>
      <c r="AX16" s="49">
        <f>AX15</f>
        <v/>
      </c>
      <c r="AY16" s="48">
        <f>ROUND(AX16*0.15,0)</f>
        <v/>
      </c>
      <c r="AZ16" s="48">
        <f>AX16+(AW16-1)*AY16</f>
        <v/>
      </c>
      <c r="BA16" s="49" t="n">
        <v>14</v>
      </c>
      <c r="BB16" s="49">
        <f>BB15</f>
        <v/>
      </c>
      <c r="BC16" s="48">
        <f>BC15</f>
        <v/>
      </c>
      <c r="BD16" s="48">
        <f>BB16+(BA16-1)*BC16</f>
        <v/>
      </c>
      <c r="BE16" s="49" t="n">
        <v>14</v>
      </c>
      <c r="BF16" s="49">
        <f>BF15</f>
        <v/>
      </c>
      <c r="BG16" s="48">
        <f>BG15</f>
        <v/>
      </c>
      <c r="BH16" s="48">
        <f>BF16+(BE16-1)*BG16</f>
        <v/>
      </c>
      <c r="BI16" s="49" t="n">
        <v>14</v>
      </c>
      <c r="BJ16" s="49">
        <f>BJ15</f>
        <v/>
      </c>
      <c r="BK16" s="48">
        <f>BK15</f>
        <v/>
      </c>
      <c r="BL16" s="48">
        <f>BJ16+(BI16-1)*BK16</f>
        <v/>
      </c>
      <c r="BM16" s="49" t="n">
        <v>14</v>
      </c>
      <c r="BN16" s="49">
        <f>BN15</f>
        <v/>
      </c>
      <c r="BO16" s="48">
        <f>BO15</f>
        <v/>
      </c>
      <c r="BP16" s="48">
        <f>BN16+(BM16-1)*BO16</f>
        <v/>
      </c>
      <c r="BQ16" s="49" t="n">
        <v>14</v>
      </c>
      <c r="BR16" s="49">
        <f>BR15</f>
        <v/>
      </c>
      <c r="BS16" s="48">
        <f>BS15</f>
        <v/>
      </c>
      <c r="BT16" s="48">
        <f>BR16+(BQ16-1)*BS16</f>
        <v/>
      </c>
      <c r="BU16" s="49" t="n">
        <v>14</v>
      </c>
      <c r="BV16" s="49">
        <f>BV15</f>
        <v/>
      </c>
      <c r="BW16" s="48">
        <f>BW15</f>
        <v/>
      </c>
      <c r="BX16" s="48">
        <f>BV16+(BU16-1)*BW16</f>
        <v/>
      </c>
      <c r="BY16" s="49" t="n">
        <v>14</v>
      </c>
      <c r="BZ16" s="49">
        <f>BZ15</f>
        <v/>
      </c>
      <c r="CA16" s="48">
        <f>CA15</f>
        <v/>
      </c>
      <c r="CB16" s="48">
        <f>BZ16+(BY16-1)*CA16</f>
        <v/>
      </c>
      <c r="CC16" s="49" t="n">
        <v>14</v>
      </c>
      <c r="CD16" s="49">
        <f>CD15</f>
        <v/>
      </c>
      <c r="CE16" s="48">
        <f>CE15</f>
        <v/>
      </c>
      <c r="CF16" s="48">
        <f>CD16+(CC16-1)*CE16</f>
        <v/>
      </c>
      <c r="CG16" s="49" t="n">
        <v>14</v>
      </c>
      <c r="CH16" s="49">
        <f>CH15</f>
        <v/>
      </c>
      <c r="CI16" s="48">
        <f>CI15</f>
        <v/>
      </c>
      <c r="CJ16" s="48">
        <f>CH16+(CG16-1)*CI16</f>
        <v/>
      </c>
      <c r="CK16" s="49" t="n">
        <v>14</v>
      </c>
      <c r="CL16" s="49">
        <f>CL15</f>
        <v/>
      </c>
      <c r="CM16" s="48">
        <f>CM15</f>
        <v/>
      </c>
      <c r="CN16" s="48">
        <f>CL16+(CK16-1)*CM16</f>
        <v/>
      </c>
      <c r="CO16" s="49" t="n">
        <v>14</v>
      </c>
      <c r="CP16" s="49">
        <f>CP15</f>
        <v/>
      </c>
      <c r="CQ16" s="48">
        <f>CQ15</f>
        <v/>
      </c>
      <c r="CR16" s="48">
        <f>CP16+(CO16-1)*CQ16</f>
        <v/>
      </c>
      <c r="CS16" s="49" t="n">
        <v>14</v>
      </c>
      <c r="CT16" s="49">
        <f>CT15</f>
        <v/>
      </c>
      <c r="CU16" s="48">
        <f>CU15</f>
        <v/>
      </c>
      <c r="CV16" s="48">
        <f>CT16+(CS16-1)*CU16</f>
        <v/>
      </c>
      <c r="CW16" s="49" t="n">
        <v>14</v>
      </c>
      <c r="CX16" s="49">
        <f>CX15</f>
        <v/>
      </c>
      <c r="CY16" s="48">
        <f>CY15</f>
        <v/>
      </c>
      <c r="CZ16" s="48">
        <f>CX16+(CW16-1)*CY16</f>
        <v/>
      </c>
      <c r="DA16" s="49" t="n">
        <v>14</v>
      </c>
      <c r="DB16" s="49">
        <f>DB15</f>
        <v/>
      </c>
      <c r="DC16" s="48">
        <f>DC15</f>
        <v/>
      </c>
      <c r="DD16" s="48">
        <f>DB16+(DA16-1)*DC16</f>
        <v/>
      </c>
      <c r="DE16" s="49" t="n">
        <v>14</v>
      </c>
      <c r="DF16" s="49">
        <f>DF15</f>
        <v/>
      </c>
      <c r="DG16" s="48">
        <f>DG15</f>
        <v/>
      </c>
      <c r="DH16" s="48">
        <f>DF16+(DE16-1)*DG16</f>
        <v/>
      </c>
      <c r="DI16" s="49" t="n">
        <v>14</v>
      </c>
      <c r="DJ16" s="49">
        <f>DJ15</f>
        <v/>
      </c>
      <c r="DK16" s="48">
        <f>DK15</f>
        <v/>
      </c>
      <c r="DL16" s="48">
        <f>DJ16+(DI16-1)*DK16</f>
        <v/>
      </c>
      <c r="DM16" s="49" t="n">
        <v>14</v>
      </c>
      <c r="DN16" s="49">
        <f>DN15</f>
        <v/>
      </c>
      <c r="DO16" s="48">
        <f>DO15</f>
        <v/>
      </c>
      <c r="DP16" s="48">
        <f>DN16+(DM16-1)*DO16</f>
        <v/>
      </c>
      <c r="DQ16" s="49" t="n">
        <v>14</v>
      </c>
      <c r="DR16" s="49">
        <f>DR15</f>
        <v/>
      </c>
      <c r="DS16" s="48">
        <f>DS15</f>
        <v/>
      </c>
      <c r="DT16" s="48">
        <f>DR16+(DQ16-1)*DS16</f>
        <v/>
      </c>
      <c r="DU16" s="49" t="n">
        <v>14</v>
      </c>
      <c r="DV16" s="49">
        <f>DV15</f>
        <v/>
      </c>
      <c r="DW16" s="48">
        <f>DW15</f>
        <v/>
      </c>
      <c r="DX16" s="48">
        <f>DV16+(DU16-1)*DW16</f>
        <v/>
      </c>
      <c r="DY16" s="49" t="n">
        <v>14</v>
      </c>
      <c r="DZ16" s="49">
        <f>DZ15</f>
        <v/>
      </c>
      <c r="EA16" s="48">
        <f>EA15</f>
        <v/>
      </c>
      <c r="EB16" s="48">
        <f>DZ16+(DY16-1)*EA16</f>
        <v/>
      </c>
      <c r="EC16" s="49" t="n">
        <v>14</v>
      </c>
      <c r="ED16" s="49">
        <f>ED15</f>
        <v/>
      </c>
      <c r="EE16" s="48">
        <f>EE15</f>
        <v/>
      </c>
      <c r="EF16" s="48">
        <f>ED16+(EC16-1)*EE16</f>
        <v/>
      </c>
      <c r="EG16" s="49" t="n">
        <v>14</v>
      </c>
      <c r="EH16" s="49">
        <f>EH15</f>
        <v/>
      </c>
      <c r="EI16" s="48">
        <f>EI15</f>
        <v/>
      </c>
      <c r="EJ16" s="48">
        <f>EH16+(EG16-1)*EI16</f>
        <v/>
      </c>
      <c r="EK16" s="49" t="n">
        <v>14</v>
      </c>
      <c r="EL16" s="49">
        <f>EL15</f>
        <v/>
      </c>
      <c r="EM16" s="48">
        <f>EM15</f>
        <v/>
      </c>
      <c r="EN16" s="48">
        <f>EL16+(EK16-1)*EM16</f>
        <v/>
      </c>
      <c r="EO16" s="49" t="n">
        <v>14</v>
      </c>
      <c r="EP16" s="49">
        <f>EP15</f>
        <v/>
      </c>
      <c r="EQ16" s="48">
        <f>EQ15</f>
        <v/>
      </c>
      <c r="ER16" s="48">
        <f>EP16+(EO16-1)*EQ16</f>
        <v/>
      </c>
      <c r="ES16" s="49" t="n">
        <v>14</v>
      </c>
      <c r="ET16" s="49">
        <f>ET15</f>
        <v/>
      </c>
      <c r="EU16" s="48">
        <f>EU15</f>
        <v/>
      </c>
      <c r="EV16" s="48">
        <f>ET16+(ES16-1)*EU16</f>
        <v/>
      </c>
      <c r="EW16" s="49" t="n">
        <v>14</v>
      </c>
      <c r="EX16" s="49">
        <f>EX15</f>
        <v/>
      </c>
      <c r="EY16" s="48">
        <f>EY15</f>
        <v/>
      </c>
      <c r="EZ16" s="48">
        <f>EX16+(EW16-1)*EY16</f>
        <v/>
      </c>
      <c r="FA16" s="49" t="n">
        <v>14</v>
      </c>
      <c r="FB16" s="49">
        <f>FB15</f>
        <v/>
      </c>
      <c r="FC16" s="48">
        <f>FC15</f>
        <v/>
      </c>
      <c r="FD16" s="48">
        <f>FB16+(FA16-1)*FC16</f>
        <v/>
      </c>
    </row>
    <row r="17">
      <c r="A17" s="49" t="n">
        <v>15</v>
      </c>
      <c r="B17" s="49">
        <f>B16</f>
        <v/>
      </c>
      <c r="C17" s="48">
        <f>C16</f>
        <v/>
      </c>
      <c r="D17" s="48">
        <f>B17+(A17-1)*C17</f>
        <v/>
      </c>
      <c r="E17" s="49" t="n">
        <v>15</v>
      </c>
      <c r="F17" s="49">
        <f>F16</f>
        <v/>
      </c>
      <c r="G17" s="48">
        <f>G16</f>
        <v/>
      </c>
      <c r="H17" s="48">
        <f>F17+(E17-1)*G17</f>
        <v/>
      </c>
      <c r="I17" s="48" t="n">
        <v>15</v>
      </c>
      <c r="J17" s="49">
        <f>J16</f>
        <v/>
      </c>
      <c r="K17" s="48">
        <f>K16</f>
        <v/>
      </c>
      <c r="L17" s="48">
        <f>J17+(I17-1)*K17</f>
        <v/>
      </c>
      <c r="M17" s="48" t="n">
        <v>15</v>
      </c>
      <c r="N17" s="49">
        <f>N16</f>
        <v/>
      </c>
      <c r="O17" s="48">
        <f>O16</f>
        <v/>
      </c>
      <c r="P17" s="48">
        <f>N17+(M17-1)*O17</f>
        <v/>
      </c>
      <c r="Q17" s="49" t="n">
        <v>15</v>
      </c>
      <c r="R17" s="49">
        <f>R16</f>
        <v/>
      </c>
      <c r="S17" s="48">
        <f>S16</f>
        <v/>
      </c>
      <c r="T17" s="48">
        <f>R17+(Q17-1)*S17</f>
        <v/>
      </c>
      <c r="U17" s="49" t="n">
        <v>15</v>
      </c>
      <c r="V17" s="49">
        <f>V16</f>
        <v/>
      </c>
      <c r="W17" s="48">
        <f>W16</f>
        <v/>
      </c>
      <c r="X17" s="48">
        <f>V17+(U17-1)*W17</f>
        <v/>
      </c>
      <c r="Y17" s="49" t="n">
        <v>15</v>
      </c>
      <c r="Z17" s="49">
        <f>Z16</f>
        <v/>
      </c>
      <c r="AA17" s="48">
        <f>AA16</f>
        <v/>
      </c>
      <c r="AB17" s="48">
        <f>Z17+(Y17-1)*AA17</f>
        <v/>
      </c>
      <c r="AC17" s="48" t="n">
        <v>15</v>
      </c>
      <c r="AD17" s="49">
        <f>AD16</f>
        <v/>
      </c>
      <c r="AE17" s="48">
        <f>AE16</f>
        <v/>
      </c>
      <c r="AF17" s="48">
        <f>AD17+(AC17-1)*AE17</f>
        <v/>
      </c>
      <c r="AG17" s="48" t="n">
        <v>15</v>
      </c>
      <c r="AH17" s="49">
        <f>AH16</f>
        <v/>
      </c>
      <c r="AI17" s="48">
        <f>AI16</f>
        <v/>
      </c>
      <c r="AJ17" s="48">
        <f>AH17+(AG17-1)*AI17</f>
        <v/>
      </c>
      <c r="AK17" s="48" t="n">
        <v>15</v>
      </c>
      <c r="AL17" s="49">
        <f>AL16</f>
        <v/>
      </c>
      <c r="AM17" s="48">
        <f>AM16</f>
        <v/>
      </c>
      <c r="AN17" s="48">
        <f>AL17+(AK17-1)*AM17</f>
        <v/>
      </c>
      <c r="AO17" s="48" t="n">
        <v>15</v>
      </c>
      <c r="AP17" s="49">
        <f>AP16</f>
        <v/>
      </c>
      <c r="AQ17" s="48">
        <f>AQ16</f>
        <v/>
      </c>
      <c r="AR17" s="48">
        <f>AP17+(AO17-1)*AQ17</f>
        <v/>
      </c>
      <c r="AS17" s="48" t="n">
        <v>15</v>
      </c>
      <c r="AT17" s="49">
        <f>AT16</f>
        <v/>
      </c>
      <c r="AU17" s="48">
        <f>AU16</f>
        <v/>
      </c>
      <c r="AV17" s="48">
        <f>AT17+(AS17-1)*AU17</f>
        <v/>
      </c>
      <c r="AW17" s="49" t="n">
        <v>15</v>
      </c>
      <c r="AX17" s="49">
        <f>AX16</f>
        <v/>
      </c>
      <c r="AY17" s="48">
        <f>ROUND(AX17*0.15,0)</f>
        <v/>
      </c>
      <c r="AZ17" s="48">
        <f>AX17+(AW17-1)*AY17</f>
        <v/>
      </c>
      <c r="BA17" s="49" t="n">
        <v>15</v>
      </c>
      <c r="BB17" s="49">
        <f>BB16</f>
        <v/>
      </c>
      <c r="BC17" s="48">
        <f>BC16</f>
        <v/>
      </c>
      <c r="BD17" s="48">
        <f>BB17+(BA17-1)*BC17</f>
        <v/>
      </c>
      <c r="BE17" s="49" t="n">
        <v>15</v>
      </c>
      <c r="BF17" s="49">
        <f>BF16</f>
        <v/>
      </c>
      <c r="BG17" s="48">
        <f>BG16</f>
        <v/>
      </c>
      <c r="BH17" s="48">
        <f>BF17+(BE17-1)*BG17</f>
        <v/>
      </c>
      <c r="BI17" s="48" t="n">
        <v>15</v>
      </c>
      <c r="BJ17" s="49">
        <f>BJ16</f>
        <v/>
      </c>
      <c r="BK17" s="48">
        <f>BK16</f>
        <v/>
      </c>
      <c r="BL17" s="48">
        <f>BJ17+(BI17-1)*BK17</f>
        <v/>
      </c>
      <c r="BM17" s="48" t="n">
        <v>15</v>
      </c>
      <c r="BN17" s="49">
        <f>BN16</f>
        <v/>
      </c>
      <c r="BO17" s="48">
        <f>BO16</f>
        <v/>
      </c>
      <c r="BP17" s="48">
        <f>BN17+(BM17-1)*BO17</f>
        <v/>
      </c>
      <c r="BQ17" s="48" t="n">
        <v>15</v>
      </c>
      <c r="BR17" s="49">
        <f>BR16</f>
        <v/>
      </c>
      <c r="BS17" s="48">
        <f>BS16</f>
        <v/>
      </c>
      <c r="BT17" s="48">
        <f>BR17+(BQ17-1)*BS17</f>
        <v/>
      </c>
      <c r="BU17" s="48" t="n">
        <v>15</v>
      </c>
      <c r="BV17" s="49">
        <f>BV16</f>
        <v/>
      </c>
      <c r="BW17" s="48">
        <f>BW16</f>
        <v/>
      </c>
      <c r="BX17" s="48">
        <f>BV17+(BU17-1)*BW17</f>
        <v/>
      </c>
      <c r="BY17" s="48" t="n">
        <v>15</v>
      </c>
      <c r="BZ17" s="49">
        <f>BZ16</f>
        <v/>
      </c>
      <c r="CA17" s="48">
        <f>CA16</f>
        <v/>
      </c>
      <c r="CB17" s="48">
        <f>BZ17+(BY17-1)*CA17</f>
        <v/>
      </c>
      <c r="CC17" s="49" t="n">
        <v>15</v>
      </c>
      <c r="CD17" s="49">
        <f>CD16</f>
        <v/>
      </c>
      <c r="CE17" s="48">
        <f>CE16</f>
        <v/>
      </c>
      <c r="CF17" s="48">
        <f>CD17+(CC17-1)*CE17</f>
        <v/>
      </c>
      <c r="CG17" s="49" t="n">
        <v>15</v>
      </c>
      <c r="CH17" s="49">
        <f>CH16</f>
        <v/>
      </c>
      <c r="CI17" s="48">
        <f>CI16</f>
        <v/>
      </c>
      <c r="CJ17" s="48">
        <f>CH17+(CG17-1)*CI17</f>
        <v/>
      </c>
      <c r="CK17" s="49" t="n">
        <v>15</v>
      </c>
      <c r="CL17" s="49">
        <f>CL16</f>
        <v/>
      </c>
      <c r="CM17" s="48">
        <f>CM16</f>
        <v/>
      </c>
      <c r="CN17" s="48">
        <f>CL17+(CK17-1)*CM17</f>
        <v/>
      </c>
      <c r="CO17" s="48" t="n">
        <v>15</v>
      </c>
      <c r="CP17" s="49">
        <f>CP16</f>
        <v/>
      </c>
      <c r="CQ17" s="48">
        <f>CQ16</f>
        <v/>
      </c>
      <c r="CR17" s="48">
        <f>CP17+(CO17-1)*CQ17</f>
        <v/>
      </c>
      <c r="CS17" s="48" t="n">
        <v>15</v>
      </c>
      <c r="CT17" s="49">
        <f>CT16</f>
        <v/>
      </c>
      <c r="CU17" s="48">
        <f>CU16</f>
        <v/>
      </c>
      <c r="CV17" s="48">
        <f>CT17+(CS17-1)*CU17</f>
        <v/>
      </c>
      <c r="CW17" s="48" t="n">
        <v>15</v>
      </c>
      <c r="CX17" s="49">
        <f>CX16</f>
        <v/>
      </c>
      <c r="CY17" s="48">
        <f>CY16</f>
        <v/>
      </c>
      <c r="CZ17" s="48">
        <f>CX17+(CW17-1)*CY17</f>
        <v/>
      </c>
      <c r="DA17" s="48" t="n">
        <v>15</v>
      </c>
      <c r="DB17" s="49">
        <f>DB16</f>
        <v/>
      </c>
      <c r="DC17" s="48">
        <f>DC16</f>
        <v/>
      </c>
      <c r="DD17" s="48">
        <f>DB17+(DA17-1)*DC17</f>
        <v/>
      </c>
      <c r="DE17" s="48" t="n">
        <v>15</v>
      </c>
      <c r="DF17" s="49">
        <f>DF16</f>
        <v/>
      </c>
      <c r="DG17" s="48">
        <f>DG16</f>
        <v/>
      </c>
      <c r="DH17" s="48">
        <f>DF17+(DE17-1)*DG17</f>
        <v/>
      </c>
      <c r="DI17" s="48" t="n">
        <v>15</v>
      </c>
      <c r="DJ17" s="49">
        <f>DJ16</f>
        <v/>
      </c>
      <c r="DK17" s="48">
        <f>DK16</f>
        <v/>
      </c>
      <c r="DL17" s="48">
        <f>DJ17+(DI17-1)*DK17</f>
        <v/>
      </c>
      <c r="DM17" s="48" t="n">
        <v>15</v>
      </c>
      <c r="DN17" s="49">
        <f>DN16</f>
        <v/>
      </c>
      <c r="DO17" s="48">
        <f>DO16</f>
        <v/>
      </c>
      <c r="DP17" s="48">
        <f>DN17+(DM17-1)*DO17</f>
        <v/>
      </c>
      <c r="DQ17" s="48" t="n">
        <v>15</v>
      </c>
      <c r="DR17" s="49">
        <f>DR16</f>
        <v/>
      </c>
      <c r="DS17" s="48">
        <f>DS16</f>
        <v/>
      </c>
      <c r="DT17" s="48">
        <f>DR17+(DQ17-1)*DS17</f>
        <v/>
      </c>
      <c r="DU17" s="48" t="n">
        <v>15</v>
      </c>
      <c r="DV17" s="49">
        <f>DV16</f>
        <v/>
      </c>
      <c r="DW17" s="48">
        <f>DW16</f>
        <v/>
      </c>
      <c r="DX17" s="48">
        <f>DV17+(DU17-1)*DW17</f>
        <v/>
      </c>
      <c r="DY17" s="49" t="n">
        <v>15</v>
      </c>
      <c r="DZ17" s="49">
        <f>DZ16</f>
        <v/>
      </c>
      <c r="EA17" s="48">
        <f>EA16</f>
        <v/>
      </c>
      <c r="EB17" s="48">
        <f>DZ17+(DY17-1)*EA17</f>
        <v/>
      </c>
      <c r="EC17" s="49" t="n">
        <v>15</v>
      </c>
      <c r="ED17" s="49">
        <f>ED16</f>
        <v/>
      </c>
      <c r="EE17" s="48">
        <f>EE16</f>
        <v/>
      </c>
      <c r="EF17" s="48">
        <f>ED17+(EC17-1)*EE17</f>
        <v/>
      </c>
      <c r="EG17" s="49" t="n">
        <v>15</v>
      </c>
      <c r="EH17" s="49">
        <f>EH16</f>
        <v/>
      </c>
      <c r="EI17" s="48">
        <f>EI16</f>
        <v/>
      </c>
      <c r="EJ17" s="48">
        <f>EH17+(EG17-1)*EI17</f>
        <v/>
      </c>
      <c r="EK17" s="48" t="n">
        <v>15</v>
      </c>
      <c r="EL17" s="49">
        <f>EL16</f>
        <v/>
      </c>
      <c r="EM17" s="48">
        <f>EM16</f>
        <v/>
      </c>
      <c r="EN17" s="48">
        <f>EL17+(EK17-1)*EM17</f>
        <v/>
      </c>
      <c r="EO17" s="48" t="n">
        <v>15</v>
      </c>
      <c r="EP17" s="49">
        <f>EP16</f>
        <v/>
      </c>
      <c r="EQ17" s="48">
        <f>EQ16</f>
        <v/>
      </c>
      <c r="ER17" s="48">
        <f>EP17+(EO17-1)*EQ17</f>
        <v/>
      </c>
      <c r="ES17" s="48" t="n">
        <v>15</v>
      </c>
      <c r="ET17" s="49">
        <f>ET16</f>
        <v/>
      </c>
      <c r="EU17" s="48">
        <f>EU16</f>
        <v/>
      </c>
      <c r="EV17" s="48">
        <f>ET17+(ES17-1)*EU17</f>
        <v/>
      </c>
      <c r="EW17" s="48" t="n">
        <v>15</v>
      </c>
      <c r="EX17" s="49">
        <f>EX16</f>
        <v/>
      </c>
      <c r="EY17" s="48">
        <f>EY16</f>
        <v/>
      </c>
      <c r="EZ17" s="48">
        <f>EX17+(EW17-1)*EY17</f>
        <v/>
      </c>
      <c r="FA17" s="48" t="n">
        <v>15</v>
      </c>
      <c r="FB17" s="49">
        <f>FB16</f>
        <v/>
      </c>
      <c r="FC17" s="48">
        <f>FC16</f>
        <v/>
      </c>
      <c r="FD17" s="48">
        <f>FB17+(FA17-1)*FC17</f>
        <v/>
      </c>
    </row>
    <row r="18">
      <c r="A18" s="49" t="n">
        <v>16</v>
      </c>
      <c r="B18" s="49">
        <f>B17</f>
        <v/>
      </c>
      <c r="C18" s="48">
        <f>C17</f>
        <v/>
      </c>
      <c r="D18" s="48">
        <f>B18+(A18-1)*C18</f>
        <v/>
      </c>
      <c r="E18" s="49" t="n">
        <v>16</v>
      </c>
      <c r="F18" s="49">
        <f>F17</f>
        <v/>
      </c>
      <c r="G18" s="48">
        <f>G17</f>
        <v/>
      </c>
      <c r="H18" s="48">
        <f>F18+(E18-1)*G18</f>
        <v/>
      </c>
      <c r="I18" s="49" t="n">
        <v>16</v>
      </c>
      <c r="J18" s="49">
        <f>J17</f>
        <v/>
      </c>
      <c r="K18" s="48">
        <f>K17</f>
        <v/>
      </c>
      <c r="L18" s="48">
        <f>J18+(I18-1)*K18</f>
        <v/>
      </c>
      <c r="M18" s="49" t="n">
        <v>16</v>
      </c>
      <c r="N18" s="49">
        <f>N17</f>
        <v/>
      </c>
      <c r="O18" s="48">
        <f>O17</f>
        <v/>
      </c>
      <c r="P18" s="48">
        <f>N18+(M18-1)*O18</f>
        <v/>
      </c>
      <c r="Q18" s="49" t="n">
        <v>16</v>
      </c>
      <c r="R18" s="49">
        <f>R17</f>
        <v/>
      </c>
      <c r="S18" s="48">
        <f>S17</f>
        <v/>
      </c>
      <c r="T18" s="48">
        <f>R18+(Q18-1)*S18</f>
        <v/>
      </c>
      <c r="U18" s="49" t="n">
        <v>16</v>
      </c>
      <c r="V18" s="49">
        <f>V17</f>
        <v/>
      </c>
      <c r="W18" s="48">
        <f>W17</f>
        <v/>
      </c>
      <c r="X18" s="48">
        <f>V18+(U18-1)*W18</f>
        <v/>
      </c>
      <c r="Y18" s="49" t="n">
        <v>16</v>
      </c>
      <c r="Z18" s="49">
        <f>Z17</f>
        <v/>
      </c>
      <c r="AA18" s="48">
        <f>AA17</f>
        <v/>
      </c>
      <c r="AB18" s="48">
        <f>Z18+(Y18-1)*AA18</f>
        <v/>
      </c>
      <c r="AC18" s="49" t="n">
        <v>16</v>
      </c>
      <c r="AD18" s="49">
        <f>AD17</f>
        <v/>
      </c>
      <c r="AE18" s="48">
        <f>AE17</f>
        <v/>
      </c>
      <c r="AF18" s="48">
        <f>AD18+(AC18-1)*AE18</f>
        <v/>
      </c>
      <c r="AG18" s="49" t="n">
        <v>16</v>
      </c>
      <c r="AH18" s="49">
        <f>AH17</f>
        <v/>
      </c>
      <c r="AI18" s="48">
        <f>AI17</f>
        <v/>
      </c>
      <c r="AJ18" s="48">
        <f>AH18+(AG18-1)*AI18</f>
        <v/>
      </c>
      <c r="AK18" s="49" t="n">
        <v>16</v>
      </c>
      <c r="AL18" s="49">
        <f>AL17</f>
        <v/>
      </c>
      <c r="AM18" s="48">
        <f>AM17</f>
        <v/>
      </c>
      <c r="AN18" s="48">
        <f>AL18+(AK18-1)*AM18</f>
        <v/>
      </c>
      <c r="AO18" s="49" t="n">
        <v>16</v>
      </c>
      <c r="AP18" s="49">
        <f>AP17</f>
        <v/>
      </c>
      <c r="AQ18" s="48">
        <f>AQ17</f>
        <v/>
      </c>
      <c r="AR18" s="48">
        <f>AP18+(AO18-1)*AQ18</f>
        <v/>
      </c>
      <c r="AS18" s="49" t="n">
        <v>16</v>
      </c>
      <c r="AT18" s="49">
        <f>AT17</f>
        <v/>
      </c>
      <c r="AU18" s="48">
        <f>AU17</f>
        <v/>
      </c>
      <c r="AV18" s="48">
        <f>AT18+(AS18-1)*AU18</f>
        <v/>
      </c>
      <c r="AW18" s="49" t="n">
        <v>16</v>
      </c>
      <c r="AX18" s="49">
        <f>AX17</f>
        <v/>
      </c>
      <c r="AY18" s="48">
        <f>ROUND(AX18*0.15,0)</f>
        <v/>
      </c>
      <c r="AZ18" s="48">
        <f>AX18+(AW18-1)*AY18</f>
        <v/>
      </c>
      <c r="BA18" s="49" t="n">
        <v>16</v>
      </c>
      <c r="BB18" s="49">
        <f>BB17</f>
        <v/>
      </c>
      <c r="BC18" s="48">
        <f>BC17</f>
        <v/>
      </c>
      <c r="BD18" s="48">
        <f>BB18+(BA18-1)*BC18</f>
        <v/>
      </c>
      <c r="BE18" s="49" t="n">
        <v>16</v>
      </c>
      <c r="BF18" s="49">
        <f>BF17</f>
        <v/>
      </c>
      <c r="BG18" s="48">
        <f>BG17</f>
        <v/>
      </c>
      <c r="BH18" s="48">
        <f>BF18+(BE18-1)*BG18</f>
        <v/>
      </c>
      <c r="BI18" s="49" t="n">
        <v>16</v>
      </c>
      <c r="BJ18" s="49">
        <f>BJ17</f>
        <v/>
      </c>
      <c r="BK18" s="48">
        <f>BK17</f>
        <v/>
      </c>
      <c r="BL18" s="48">
        <f>BJ18+(BI18-1)*BK18</f>
        <v/>
      </c>
      <c r="BM18" s="49" t="n">
        <v>16</v>
      </c>
      <c r="BN18" s="49">
        <f>BN17</f>
        <v/>
      </c>
      <c r="BO18" s="48">
        <f>BO17</f>
        <v/>
      </c>
      <c r="BP18" s="48">
        <f>BN18+(BM18-1)*BO18</f>
        <v/>
      </c>
      <c r="BQ18" s="49" t="n">
        <v>16</v>
      </c>
      <c r="BR18" s="49">
        <f>BR17</f>
        <v/>
      </c>
      <c r="BS18" s="48">
        <f>BS17</f>
        <v/>
      </c>
      <c r="BT18" s="48">
        <f>BR18+(BQ18-1)*BS18</f>
        <v/>
      </c>
      <c r="BU18" s="49" t="n">
        <v>16</v>
      </c>
      <c r="BV18" s="49">
        <f>BV17</f>
        <v/>
      </c>
      <c r="BW18" s="48">
        <f>BW17</f>
        <v/>
      </c>
      <c r="BX18" s="48">
        <f>BV18+(BU18-1)*BW18</f>
        <v/>
      </c>
      <c r="BY18" s="49" t="n">
        <v>16</v>
      </c>
      <c r="BZ18" s="49">
        <f>BZ17</f>
        <v/>
      </c>
      <c r="CA18" s="48">
        <f>CA17</f>
        <v/>
      </c>
      <c r="CB18" s="48">
        <f>BZ18+(BY18-1)*CA18</f>
        <v/>
      </c>
      <c r="CC18" s="49" t="n">
        <v>16</v>
      </c>
      <c r="CD18" s="49">
        <f>CD17</f>
        <v/>
      </c>
      <c r="CE18" s="48">
        <f>CE17</f>
        <v/>
      </c>
      <c r="CF18" s="48">
        <f>CD18+(CC18-1)*CE18</f>
        <v/>
      </c>
      <c r="CG18" s="49" t="n">
        <v>16</v>
      </c>
      <c r="CH18" s="49">
        <f>CH17</f>
        <v/>
      </c>
      <c r="CI18" s="48">
        <f>CI17</f>
        <v/>
      </c>
      <c r="CJ18" s="48">
        <f>CH18+(CG18-1)*CI18</f>
        <v/>
      </c>
      <c r="CK18" s="49" t="n">
        <v>16</v>
      </c>
      <c r="CL18" s="49">
        <f>CL17</f>
        <v/>
      </c>
      <c r="CM18" s="48">
        <f>CM17</f>
        <v/>
      </c>
      <c r="CN18" s="48">
        <f>CL18+(CK18-1)*CM18</f>
        <v/>
      </c>
      <c r="CO18" s="49" t="n">
        <v>16</v>
      </c>
      <c r="CP18" s="49">
        <f>CP17</f>
        <v/>
      </c>
      <c r="CQ18" s="48">
        <f>CQ17</f>
        <v/>
      </c>
      <c r="CR18" s="48">
        <f>CP18+(CO18-1)*CQ18</f>
        <v/>
      </c>
      <c r="CS18" s="49" t="n">
        <v>16</v>
      </c>
      <c r="CT18" s="49">
        <f>CT17</f>
        <v/>
      </c>
      <c r="CU18" s="48">
        <f>CU17</f>
        <v/>
      </c>
      <c r="CV18" s="48">
        <f>CT18+(CS18-1)*CU18</f>
        <v/>
      </c>
      <c r="CW18" s="49" t="n">
        <v>16</v>
      </c>
      <c r="CX18" s="49">
        <f>CX17</f>
        <v/>
      </c>
      <c r="CY18" s="48">
        <f>CY17</f>
        <v/>
      </c>
      <c r="CZ18" s="48">
        <f>CX18+(CW18-1)*CY18</f>
        <v/>
      </c>
      <c r="DA18" s="49" t="n">
        <v>16</v>
      </c>
      <c r="DB18" s="49">
        <f>DB17</f>
        <v/>
      </c>
      <c r="DC18" s="48">
        <f>DC17</f>
        <v/>
      </c>
      <c r="DD18" s="48">
        <f>DB18+(DA18-1)*DC18</f>
        <v/>
      </c>
      <c r="DE18" s="49" t="n">
        <v>16</v>
      </c>
      <c r="DF18" s="49">
        <f>DF17</f>
        <v/>
      </c>
      <c r="DG18" s="48">
        <f>DG17</f>
        <v/>
      </c>
      <c r="DH18" s="48">
        <f>DF18+(DE18-1)*DG18</f>
        <v/>
      </c>
      <c r="DI18" s="49" t="n">
        <v>16</v>
      </c>
      <c r="DJ18" s="49">
        <f>DJ17</f>
        <v/>
      </c>
      <c r="DK18" s="48">
        <f>DK17</f>
        <v/>
      </c>
      <c r="DL18" s="48">
        <f>DJ18+(DI18-1)*DK18</f>
        <v/>
      </c>
      <c r="DM18" s="49" t="n">
        <v>16</v>
      </c>
      <c r="DN18" s="49">
        <f>DN17</f>
        <v/>
      </c>
      <c r="DO18" s="48">
        <f>DO17</f>
        <v/>
      </c>
      <c r="DP18" s="48">
        <f>DN18+(DM18-1)*DO18</f>
        <v/>
      </c>
      <c r="DQ18" s="49" t="n">
        <v>16</v>
      </c>
      <c r="DR18" s="49">
        <f>DR17</f>
        <v/>
      </c>
      <c r="DS18" s="48">
        <f>DS17</f>
        <v/>
      </c>
      <c r="DT18" s="48">
        <f>DR18+(DQ18-1)*DS18</f>
        <v/>
      </c>
      <c r="DU18" s="49" t="n">
        <v>16</v>
      </c>
      <c r="DV18" s="49">
        <f>DV17</f>
        <v/>
      </c>
      <c r="DW18" s="48">
        <f>DW17</f>
        <v/>
      </c>
      <c r="DX18" s="48">
        <f>DV18+(DU18-1)*DW18</f>
        <v/>
      </c>
      <c r="DY18" s="49" t="n">
        <v>16</v>
      </c>
      <c r="DZ18" s="49">
        <f>DZ17</f>
        <v/>
      </c>
      <c r="EA18" s="48">
        <f>EA17</f>
        <v/>
      </c>
      <c r="EB18" s="48">
        <f>DZ18+(DY18-1)*EA18</f>
        <v/>
      </c>
      <c r="EC18" s="49" t="n">
        <v>16</v>
      </c>
      <c r="ED18" s="49">
        <f>ED17</f>
        <v/>
      </c>
      <c r="EE18" s="48">
        <f>EE17</f>
        <v/>
      </c>
      <c r="EF18" s="48">
        <f>ED18+(EC18-1)*EE18</f>
        <v/>
      </c>
      <c r="EG18" s="49" t="n">
        <v>16</v>
      </c>
      <c r="EH18" s="49">
        <f>EH17</f>
        <v/>
      </c>
      <c r="EI18" s="48">
        <f>EI17</f>
        <v/>
      </c>
      <c r="EJ18" s="48">
        <f>EH18+(EG18-1)*EI18</f>
        <v/>
      </c>
      <c r="EK18" s="49" t="n">
        <v>16</v>
      </c>
      <c r="EL18" s="49">
        <f>EL17</f>
        <v/>
      </c>
      <c r="EM18" s="48">
        <f>EM17</f>
        <v/>
      </c>
      <c r="EN18" s="48">
        <f>EL18+(EK18-1)*EM18</f>
        <v/>
      </c>
      <c r="EO18" s="49" t="n">
        <v>16</v>
      </c>
      <c r="EP18" s="49">
        <f>EP17</f>
        <v/>
      </c>
      <c r="EQ18" s="48">
        <f>EQ17</f>
        <v/>
      </c>
      <c r="ER18" s="48">
        <f>EP18+(EO18-1)*EQ18</f>
        <v/>
      </c>
      <c r="ES18" s="49" t="n">
        <v>16</v>
      </c>
      <c r="ET18" s="49">
        <f>ET17</f>
        <v/>
      </c>
      <c r="EU18" s="48">
        <f>EU17</f>
        <v/>
      </c>
      <c r="EV18" s="48">
        <f>ET18+(ES18-1)*EU18</f>
        <v/>
      </c>
      <c r="EW18" s="49" t="n">
        <v>16</v>
      </c>
      <c r="EX18" s="49">
        <f>EX17</f>
        <v/>
      </c>
      <c r="EY18" s="48">
        <f>EY17</f>
        <v/>
      </c>
      <c r="EZ18" s="48">
        <f>EX18+(EW18-1)*EY18</f>
        <v/>
      </c>
      <c r="FA18" s="49" t="n">
        <v>16</v>
      </c>
      <c r="FB18" s="49">
        <f>FB17</f>
        <v/>
      </c>
      <c r="FC18" s="48">
        <f>FC17</f>
        <v/>
      </c>
      <c r="FD18" s="48">
        <f>FB18+(FA18-1)*FC18</f>
        <v/>
      </c>
    </row>
    <row r="19">
      <c r="A19" s="49" t="n">
        <v>17</v>
      </c>
      <c r="B19" s="49">
        <f>B18</f>
        <v/>
      </c>
      <c r="C19" s="48">
        <f>C18</f>
        <v/>
      </c>
      <c r="D19" s="48">
        <f>B19+(A19-1)*C19</f>
        <v/>
      </c>
      <c r="E19" s="49" t="n">
        <v>17</v>
      </c>
      <c r="F19" s="49">
        <f>F18</f>
        <v/>
      </c>
      <c r="G19" s="48">
        <f>G18</f>
        <v/>
      </c>
      <c r="H19" s="48">
        <f>F19+(E19-1)*G19</f>
        <v/>
      </c>
      <c r="I19" s="48" t="n">
        <v>17</v>
      </c>
      <c r="J19" s="49">
        <f>J18</f>
        <v/>
      </c>
      <c r="K19" s="48">
        <f>K18</f>
        <v/>
      </c>
      <c r="L19" s="48">
        <f>J19+(I19-1)*K19</f>
        <v/>
      </c>
      <c r="M19" s="48" t="n">
        <v>17</v>
      </c>
      <c r="N19" s="49">
        <f>N18</f>
        <v/>
      </c>
      <c r="O19" s="48">
        <f>O18</f>
        <v/>
      </c>
      <c r="P19" s="48">
        <f>N19+(M19-1)*O19</f>
        <v/>
      </c>
      <c r="Q19" s="49" t="n">
        <v>17</v>
      </c>
      <c r="R19" s="49">
        <f>R18</f>
        <v/>
      </c>
      <c r="S19" s="48">
        <f>S18</f>
        <v/>
      </c>
      <c r="T19" s="48">
        <f>R19+(Q19-1)*S19</f>
        <v/>
      </c>
      <c r="U19" s="49" t="n">
        <v>17</v>
      </c>
      <c r="V19" s="49">
        <f>V18</f>
        <v/>
      </c>
      <c r="W19" s="48">
        <f>W18</f>
        <v/>
      </c>
      <c r="X19" s="48">
        <f>V19+(U19-1)*W19</f>
        <v/>
      </c>
      <c r="Y19" s="49" t="n">
        <v>17</v>
      </c>
      <c r="Z19" s="49">
        <f>Z18</f>
        <v/>
      </c>
      <c r="AA19" s="48">
        <f>AA18</f>
        <v/>
      </c>
      <c r="AB19" s="48">
        <f>Z19+(Y19-1)*AA19</f>
        <v/>
      </c>
      <c r="AC19" s="48" t="n">
        <v>17</v>
      </c>
      <c r="AD19" s="49">
        <f>AD18</f>
        <v/>
      </c>
      <c r="AE19" s="48">
        <f>AE18</f>
        <v/>
      </c>
      <c r="AF19" s="48">
        <f>AD19+(AC19-1)*AE19</f>
        <v/>
      </c>
      <c r="AG19" s="48" t="n">
        <v>17</v>
      </c>
      <c r="AH19" s="49">
        <f>AH18</f>
        <v/>
      </c>
      <c r="AI19" s="48">
        <f>AI18</f>
        <v/>
      </c>
      <c r="AJ19" s="48">
        <f>AH19+(AG19-1)*AI19</f>
        <v/>
      </c>
      <c r="AK19" s="48" t="n">
        <v>17</v>
      </c>
      <c r="AL19" s="49">
        <f>AL18</f>
        <v/>
      </c>
      <c r="AM19" s="48">
        <f>AM18</f>
        <v/>
      </c>
      <c r="AN19" s="48">
        <f>AL19+(AK19-1)*AM19</f>
        <v/>
      </c>
      <c r="AO19" s="48" t="n">
        <v>17</v>
      </c>
      <c r="AP19" s="49">
        <f>AP18</f>
        <v/>
      </c>
      <c r="AQ19" s="48">
        <f>AQ18</f>
        <v/>
      </c>
      <c r="AR19" s="48">
        <f>AP19+(AO19-1)*AQ19</f>
        <v/>
      </c>
      <c r="AS19" s="48" t="n">
        <v>17</v>
      </c>
      <c r="AT19" s="49">
        <f>AT18</f>
        <v/>
      </c>
      <c r="AU19" s="48">
        <f>AU18</f>
        <v/>
      </c>
      <c r="AV19" s="48">
        <f>AT19+(AS19-1)*AU19</f>
        <v/>
      </c>
      <c r="AW19" s="49" t="n">
        <v>17</v>
      </c>
      <c r="AX19" s="49">
        <f>AX18</f>
        <v/>
      </c>
      <c r="AY19" s="48">
        <f>ROUND(AX19*0.15,0)</f>
        <v/>
      </c>
      <c r="AZ19" s="48">
        <f>AX19+(AW19-1)*AY19</f>
        <v/>
      </c>
      <c r="BA19" s="49" t="n">
        <v>17</v>
      </c>
      <c r="BB19" s="49">
        <f>BB18</f>
        <v/>
      </c>
      <c r="BC19" s="48">
        <f>BC18</f>
        <v/>
      </c>
      <c r="BD19" s="48">
        <f>BB19+(BA19-1)*BC19</f>
        <v/>
      </c>
      <c r="BE19" s="49" t="n">
        <v>17</v>
      </c>
      <c r="BF19" s="49">
        <f>BF18</f>
        <v/>
      </c>
      <c r="BG19" s="48">
        <f>BG18</f>
        <v/>
      </c>
      <c r="BH19" s="48">
        <f>BF19+(BE19-1)*BG19</f>
        <v/>
      </c>
      <c r="BI19" s="48" t="n">
        <v>17</v>
      </c>
      <c r="BJ19" s="49">
        <f>BJ18</f>
        <v/>
      </c>
      <c r="BK19" s="48">
        <f>BK18</f>
        <v/>
      </c>
      <c r="BL19" s="48">
        <f>BJ19+(BI19-1)*BK19</f>
        <v/>
      </c>
      <c r="BM19" s="48" t="n">
        <v>17</v>
      </c>
      <c r="BN19" s="49">
        <f>BN18</f>
        <v/>
      </c>
      <c r="BO19" s="48">
        <f>BO18</f>
        <v/>
      </c>
      <c r="BP19" s="48">
        <f>BN19+(BM19-1)*BO19</f>
        <v/>
      </c>
      <c r="BQ19" s="48" t="n">
        <v>17</v>
      </c>
      <c r="BR19" s="49">
        <f>BR18</f>
        <v/>
      </c>
      <c r="BS19" s="48">
        <f>BS18</f>
        <v/>
      </c>
      <c r="BT19" s="48">
        <f>BR19+(BQ19-1)*BS19</f>
        <v/>
      </c>
      <c r="BU19" s="48" t="n">
        <v>17</v>
      </c>
      <c r="BV19" s="49">
        <f>BV18</f>
        <v/>
      </c>
      <c r="BW19" s="48">
        <f>BW18</f>
        <v/>
      </c>
      <c r="BX19" s="48">
        <f>BV19+(BU19-1)*BW19</f>
        <v/>
      </c>
      <c r="BY19" s="48" t="n">
        <v>17</v>
      </c>
      <c r="BZ19" s="49">
        <f>BZ18</f>
        <v/>
      </c>
      <c r="CA19" s="48">
        <f>CA18</f>
        <v/>
      </c>
      <c r="CB19" s="48">
        <f>BZ19+(BY19-1)*CA19</f>
        <v/>
      </c>
      <c r="CC19" s="49" t="n">
        <v>17</v>
      </c>
      <c r="CD19" s="49">
        <f>CD18</f>
        <v/>
      </c>
      <c r="CE19" s="48">
        <f>CE18</f>
        <v/>
      </c>
      <c r="CF19" s="48">
        <f>CD19+(CC19-1)*CE19</f>
        <v/>
      </c>
      <c r="CG19" s="49" t="n">
        <v>17</v>
      </c>
      <c r="CH19" s="49">
        <f>CH18</f>
        <v/>
      </c>
      <c r="CI19" s="48">
        <f>CI18</f>
        <v/>
      </c>
      <c r="CJ19" s="48">
        <f>CH19+(CG19-1)*CI19</f>
        <v/>
      </c>
      <c r="CK19" s="49" t="n">
        <v>17</v>
      </c>
      <c r="CL19" s="49">
        <f>CL18</f>
        <v/>
      </c>
      <c r="CM19" s="48">
        <f>CM18</f>
        <v/>
      </c>
      <c r="CN19" s="48">
        <f>CL19+(CK19-1)*CM19</f>
        <v/>
      </c>
      <c r="CO19" s="48" t="n">
        <v>17</v>
      </c>
      <c r="CP19" s="49">
        <f>CP18</f>
        <v/>
      </c>
      <c r="CQ19" s="48">
        <f>CQ18</f>
        <v/>
      </c>
      <c r="CR19" s="48">
        <f>CP19+(CO19-1)*CQ19</f>
        <v/>
      </c>
      <c r="CS19" s="48" t="n">
        <v>17</v>
      </c>
      <c r="CT19" s="49">
        <f>CT18</f>
        <v/>
      </c>
      <c r="CU19" s="48">
        <f>CU18</f>
        <v/>
      </c>
      <c r="CV19" s="48">
        <f>CT19+(CS19-1)*CU19</f>
        <v/>
      </c>
      <c r="CW19" s="48" t="n">
        <v>17</v>
      </c>
      <c r="CX19" s="49">
        <f>CX18</f>
        <v/>
      </c>
      <c r="CY19" s="48">
        <f>CY18</f>
        <v/>
      </c>
      <c r="CZ19" s="48">
        <f>CX19+(CW19-1)*CY19</f>
        <v/>
      </c>
      <c r="DA19" s="48" t="n">
        <v>17</v>
      </c>
      <c r="DB19" s="49">
        <f>DB18</f>
        <v/>
      </c>
      <c r="DC19" s="48">
        <f>DC18</f>
        <v/>
      </c>
      <c r="DD19" s="48">
        <f>DB19+(DA19-1)*DC19</f>
        <v/>
      </c>
      <c r="DE19" s="48" t="n">
        <v>17</v>
      </c>
      <c r="DF19" s="49">
        <f>DF18</f>
        <v/>
      </c>
      <c r="DG19" s="48">
        <f>DG18</f>
        <v/>
      </c>
      <c r="DH19" s="48">
        <f>DF19+(DE19-1)*DG19</f>
        <v/>
      </c>
      <c r="DI19" s="48" t="n">
        <v>17</v>
      </c>
      <c r="DJ19" s="49">
        <f>DJ18</f>
        <v/>
      </c>
      <c r="DK19" s="48">
        <f>DK18</f>
        <v/>
      </c>
      <c r="DL19" s="48">
        <f>DJ19+(DI19-1)*DK19</f>
        <v/>
      </c>
      <c r="DM19" s="48" t="n">
        <v>17</v>
      </c>
      <c r="DN19" s="49">
        <f>DN18</f>
        <v/>
      </c>
      <c r="DO19" s="48">
        <f>DO18</f>
        <v/>
      </c>
      <c r="DP19" s="48">
        <f>DN19+(DM19-1)*DO19</f>
        <v/>
      </c>
      <c r="DQ19" s="48" t="n">
        <v>17</v>
      </c>
      <c r="DR19" s="49">
        <f>DR18</f>
        <v/>
      </c>
      <c r="DS19" s="48">
        <f>DS18</f>
        <v/>
      </c>
      <c r="DT19" s="48">
        <f>DR19+(DQ19-1)*DS19</f>
        <v/>
      </c>
      <c r="DU19" s="48" t="n">
        <v>17</v>
      </c>
      <c r="DV19" s="49">
        <f>DV18</f>
        <v/>
      </c>
      <c r="DW19" s="48">
        <f>DW18</f>
        <v/>
      </c>
      <c r="DX19" s="48">
        <f>DV19+(DU19-1)*DW19</f>
        <v/>
      </c>
      <c r="DY19" s="49" t="n">
        <v>17</v>
      </c>
      <c r="DZ19" s="49">
        <f>DZ18</f>
        <v/>
      </c>
      <c r="EA19" s="48">
        <f>EA18</f>
        <v/>
      </c>
      <c r="EB19" s="48">
        <f>DZ19+(DY19-1)*EA19</f>
        <v/>
      </c>
      <c r="EC19" s="49" t="n">
        <v>17</v>
      </c>
      <c r="ED19" s="49">
        <f>ED18</f>
        <v/>
      </c>
      <c r="EE19" s="48">
        <f>EE18</f>
        <v/>
      </c>
      <c r="EF19" s="48">
        <f>ED19+(EC19-1)*EE19</f>
        <v/>
      </c>
      <c r="EG19" s="49" t="n">
        <v>17</v>
      </c>
      <c r="EH19" s="49">
        <f>EH18</f>
        <v/>
      </c>
      <c r="EI19" s="48">
        <f>EI18</f>
        <v/>
      </c>
      <c r="EJ19" s="48">
        <f>EH19+(EG19-1)*EI19</f>
        <v/>
      </c>
      <c r="EK19" s="48" t="n">
        <v>17</v>
      </c>
      <c r="EL19" s="49">
        <f>EL18</f>
        <v/>
      </c>
      <c r="EM19" s="48">
        <f>EM18</f>
        <v/>
      </c>
      <c r="EN19" s="48">
        <f>EL19+(EK19-1)*EM19</f>
        <v/>
      </c>
      <c r="EO19" s="48" t="n">
        <v>17</v>
      </c>
      <c r="EP19" s="49">
        <f>EP18</f>
        <v/>
      </c>
      <c r="EQ19" s="48">
        <f>EQ18</f>
        <v/>
      </c>
      <c r="ER19" s="48">
        <f>EP19+(EO19-1)*EQ19</f>
        <v/>
      </c>
      <c r="ES19" s="48" t="n">
        <v>17</v>
      </c>
      <c r="ET19" s="49">
        <f>ET18</f>
        <v/>
      </c>
      <c r="EU19" s="48">
        <f>EU18</f>
        <v/>
      </c>
      <c r="EV19" s="48">
        <f>ET19+(ES19-1)*EU19</f>
        <v/>
      </c>
      <c r="EW19" s="48" t="n">
        <v>17</v>
      </c>
      <c r="EX19" s="49">
        <f>EX18</f>
        <v/>
      </c>
      <c r="EY19" s="48">
        <f>EY18</f>
        <v/>
      </c>
      <c r="EZ19" s="48">
        <f>EX19+(EW19-1)*EY19</f>
        <v/>
      </c>
      <c r="FA19" s="48" t="n">
        <v>17</v>
      </c>
      <c r="FB19" s="49">
        <f>FB18</f>
        <v/>
      </c>
      <c r="FC19" s="48">
        <f>FC18</f>
        <v/>
      </c>
      <c r="FD19" s="48">
        <f>FB19+(FA19-1)*FC19</f>
        <v/>
      </c>
    </row>
    <row r="20">
      <c r="A20" s="49" t="n">
        <v>18</v>
      </c>
      <c r="B20" s="49">
        <f>B19</f>
        <v/>
      </c>
      <c r="C20" s="48">
        <f>C19</f>
        <v/>
      </c>
      <c r="D20" s="48">
        <f>B20+(A20-1)*C20</f>
        <v/>
      </c>
      <c r="E20" s="49" t="n">
        <v>18</v>
      </c>
      <c r="F20" s="49">
        <f>F19</f>
        <v/>
      </c>
      <c r="G20" s="48">
        <f>G19</f>
        <v/>
      </c>
      <c r="H20" s="48">
        <f>F20+(E20-1)*G20</f>
        <v/>
      </c>
      <c r="I20" s="49" t="n">
        <v>18</v>
      </c>
      <c r="J20" s="49">
        <f>J19</f>
        <v/>
      </c>
      <c r="K20" s="48">
        <f>K19</f>
        <v/>
      </c>
      <c r="L20" s="48">
        <f>J20+(I20-1)*K20</f>
        <v/>
      </c>
      <c r="M20" s="49" t="n">
        <v>18</v>
      </c>
      <c r="N20" s="49">
        <f>N19</f>
        <v/>
      </c>
      <c r="O20" s="48">
        <f>O19</f>
        <v/>
      </c>
      <c r="P20" s="48">
        <f>N20+(M20-1)*O20</f>
        <v/>
      </c>
      <c r="Q20" s="49" t="n">
        <v>18</v>
      </c>
      <c r="R20" s="49">
        <f>R19</f>
        <v/>
      </c>
      <c r="S20" s="48">
        <f>S19</f>
        <v/>
      </c>
      <c r="T20" s="48">
        <f>R20+(Q20-1)*S20</f>
        <v/>
      </c>
      <c r="U20" s="49" t="n">
        <v>18</v>
      </c>
      <c r="V20" s="49">
        <f>V19</f>
        <v/>
      </c>
      <c r="W20" s="48">
        <f>W19</f>
        <v/>
      </c>
      <c r="X20" s="48">
        <f>V20+(U20-1)*W20</f>
        <v/>
      </c>
      <c r="Y20" s="49" t="n">
        <v>18</v>
      </c>
      <c r="Z20" s="49">
        <f>Z19</f>
        <v/>
      </c>
      <c r="AA20" s="48">
        <f>AA19</f>
        <v/>
      </c>
      <c r="AB20" s="48">
        <f>Z20+(Y20-1)*AA20</f>
        <v/>
      </c>
      <c r="AC20" s="49" t="n">
        <v>18</v>
      </c>
      <c r="AD20" s="49">
        <f>AD19</f>
        <v/>
      </c>
      <c r="AE20" s="48">
        <f>AE19</f>
        <v/>
      </c>
      <c r="AF20" s="48">
        <f>AD20+(AC20-1)*AE20</f>
        <v/>
      </c>
      <c r="AG20" s="49" t="n">
        <v>18</v>
      </c>
      <c r="AH20" s="49">
        <f>AH19</f>
        <v/>
      </c>
      <c r="AI20" s="48">
        <f>AI19</f>
        <v/>
      </c>
      <c r="AJ20" s="48">
        <f>AH20+(AG20-1)*AI20</f>
        <v/>
      </c>
      <c r="AK20" s="49" t="n">
        <v>18</v>
      </c>
      <c r="AL20" s="49">
        <f>AL19</f>
        <v/>
      </c>
      <c r="AM20" s="48">
        <f>AM19</f>
        <v/>
      </c>
      <c r="AN20" s="48">
        <f>AL20+(AK20-1)*AM20</f>
        <v/>
      </c>
      <c r="AO20" s="49" t="n">
        <v>18</v>
      </c>
      <c r="AP20" s="49">
        <f>AP19</f>
        <v/>
      </c>
      <c r="AQ20" s="48">
        <f>AQ19</f>
        <v/>
      </c>
      <c r="AR20" s="48">
        <f>AP20+(AO20-1)*AQ20</f>
        <v/>
      </c>
      <c r="AS20" s="49" t="n">
        <v>18</v>
      </c>
      <c r="AT20" s="49">
        <f>AT19</f>
        <v/>
      </c>
      <c r="AU20" s="48">
        <f>AU19</f>
        <v/>
      </c>
      <c r="AV20" s="48">
        <f>AT20+(AS20-1)*AU20</f>
        <v/>
      </c>
      <c r="AW20" s="49" t="n">
        <v>18</v>
      </c>
      <c r="AX20" s="49">
        <f>AX19</f>
        <v/>
      </c>
      <c r="AY20" s="48">
        <f>ROUND(AX20*0.15,0)</f>
        <v/>
      </c>
      <c r="AZ20" s="48">
        <f>AX20+(AW20-1)*AY20</f>
        <v/>
      </c>
      <c r="BA20" s="49" t="n">
        <v>18</v>
      </c>
      <c r="BB20" s="49">
        <f>BB19</f>
        <v/>
      </c>
      <c r="BC20" s="48">
        <f>BC19</f>
        <v/>
      </c>
      <c r="BD20" s="48">
        <f>BB20+(BA20-1)*BC20</f>
        <v/>
      </c>
      <c r="BE20" s="49" t="n">
        <v>18</v>
      </c>
      <c r="BF20" s="49">
        <f>BF19</f>
        <v/>
      </c>
      <c r="BG20" s="48">
        <f>BG19</f>
        <v/>
      </c>
      <c r="BH20" s="48">
        <f>BF20+(BE20-1)*BG20</f>
        <v/>
      </c>
      <c r="BI20" s="49" t="n">
        <v>18</v>
      </c>
      <c r="BJ20" s="49">
        <f>BJ19</f>
        <v/>
      </c>
      <c r="BK20" s="48">
        <f>BK19</f>
        <v/>
      </c>
      <c r="BL20" s="48">
        <f>BJ20+(BI20-1)*BK20</f>
        <v/>
      </c>
      <c r="BM20" s="49" t="n">
        <v>18</v>
      </c>
      <c r="BN20" s="49">
        <f>BN19</f>
        <v/>
      </c>
      <c r="BO20" s="48">
        <f>BO19</f>
        <v/>
      </c>
      <c r="BP20" s="48">
        <f>BN20+(BM20-1)*BO20</f>
        <v/>
      </c>
      <c r="BQ20" s="49" t="n">
        <v>18</v>
      </c>
      <c r="BR20" s="49">
        <f>BR19</f>
        <v/>
      </c>
      <c r="BS20" s="48">
        <f>BS19</f>
        <v/>
      </c>
      <c r="BT20" s="48">
        <f>BR20+(BQ20-1)*BS20</f>
        <v/>
      </c>
      <c r="BU20" s="49" t="n">
        <v>18</v>
      </c>
      <c r="BV20" s="49">
        <f>BV19</f>
        <v/>
      </c>
      <c r="BW20" s="48">
        <f>BW19</f>
        <v/>
      </c>
      <c r="BX20" s="48">
        <f>BV20+(BU20-1)*BW20</f>
        <v/>
      </c>
      <c r="BY20" s="49" t="n">
        <v>18</v>
      </c>
      <c r="BZ20" s="49">
        <f>BZ19</f>
        <v/>
      </c>
      <c r="CA20" s="48">
        <f>CA19</f>
        <v/>
      </c>
      <c r="CB20" s="48">
        <f>BZ20+(BY20-1)*CA20</f>
        <v/>
      </c>
      <c r="CC20" s="49" t="n">
        <v>18</v>
      </c>
      <c r="CD20" s="49">
        <f>CD19</f>
        <v/>
      </c>
      <c r="CE20" s="48">
        <f>CE19</f>
        <v/>
      </c>
      <c r="CF20" s="48">
        <f>CD20+(CC20-1)*CE20</f>
        <v/>
      </c>
      <c r="CG20" s="49" t="n">
        <v>18</v>
      </c>
      <c r="CH20" s="49">
        <f>CH19</f>
        <v/>
      </c>
      <c r="CI20" s="48">
        <f>CI19</f>
        <v/>
      </c>
      <c r="CJ20" s="48">
        <f>CH20+(CG20-1)*CI20</f>
        <v/>
      </c>
      <c r="CK20" s="49" t="n">
        <v>18</v>
      </c>
      <c r="CL20" s="49">
        <f>CL19</f>
        <v/>
      </c>
      <c r="CM20" s="48">
        <f>CM19</f>
        <v/>
      </c>
      <c r="CN20" s="48">
        <f>CL20+(CK20-1)*CM20</f>
        <v/>
      </c>
      <c r="CO20" s="49" t="n">
        <v>18</v>
      </c>
      <c r="CP20" s="49">
        <f>CP19</f>
        <v/>
      </c>
      <c r="CQ20" s="48">
        <f>CQ19</f>
        <v/>
      </c>
      <c r="CR20" s="48">
        <f>CP20+(CO20-1)*CQ20</f>
        <v/>
      </c>
      <c r="CS20" s="49" t="n">
        <v>18</v>
      </c>
      <c r="CT20" s="49">
        <f>CT19</f>
        <v/>
      </c>
      <c r="CU20" s="48">
        <f>CU19</f>
        <v/>
      </c>
      <c r="CV20" s="48">
        <f>CT20+(CS20-1)*CU20</f>
        <v/>
      </c>
      <c r="CW20" s="49" t="n">
        <v>18</v>
      </c>
      <c r="CX20" s="49">
        <f>CX19</f>
        <v/>
      </c>
      <c r="CY20" s="48">
        <f>CY19</f>
        <v/>
      </c>
      <c r="CZ20" s="48">
        <f>CX20+(CW20-1)*CY20</f>
        <v/>
      </c>
      <c r="DA20" s="49" t="n">
        <v>18</v>
      </c>
      <c r="DB20" s="49">
        <f>DB19</f>
        <v/>
      </c>
      <c r="DC20" s="48">
        <f>DC19</f>
        <v/>
      </c>
      <c r="DD20" s="48">
        <f>DB20+(DA20-1)*DC20</f>
        <v/>
      </c>
      <c r="DE20" s="49" t="n">
        <v>18</v>
      </c>
      <c r="DF20" s="49">
        <f>DF19</f>
        <v/>
      </c>
      <c r="DG20" s="48">
        <f>DG19</f>
        <v/>
      </c>
      <c r="DH20" s="48">
        <f>DF20+(DE20-1)*DG20</f>
        <v/>
      </c>
      <c r="DI20" s="49" t="n">
        <v>18</v>
      </c>
      <c r="DJ20" s="49">
        <f>DJ19</f>
        <v/>
      </c>
      <c r="DK20" s="48">
        <f>DK19</f>
        <v/>
      </c>
      <c r="DL20" s="48">
        <f>DJ20+(DI20-1)*DK20</f>
        <v/>
      </c>
      <c r="DM20" s="49" t="n">
        <v>18</v>
      </c>
      <c r="DN20" s="49">
        <f>DN19</f>
        <v/>
      </c>
      <c r="DO20" s="48">
        <f>DO19</f>
        <v/>
      </c>
      <c r="DP20" s="48">
        <f>DN20+(DM20-1)*DO20</f>
        <v/>
      </c>
      <c r="DQ20" s="49" t="n">
        <v>18</v>
      </c>
      <c r="DR20" s="49">
        <f>DR19</f>
        <v/>
      </c>
      <c r="DS20" s="48">
        <f>DS19</f>
        <v/>
      </c>
      <c r="DT20" s="48">
        <f>DR20+(DQ20-1)*DS20</f>
        <v/>
      </c>
      <c r="DU20" s="49" t="n">
        <v>18</v>
      </c>
      <c r="DV20" s="49">
        <f>DV19</f>
        <v/>
      </c>
      <c r="DW20" s="48">
        <f>DW19</f>
        <v/>
      </c>
      <c r="DX20" s="48">
        <f>DV20+(DU20-1)*DW20</f>
        <v/>
      </c>
      <c r="DY20" s="49" t="n">
        <v>18</v>
      </c>
      <c r="DZ20" s="49">
        <f>DZ19</f>
        <v/>
      </c>
      <c r="EA20" s="48">
        <f>EA19</f>
        <v/>
      </c>
      <c r="EB20" s="48">
        <f>DZ20+(DY20-1)*EA20</f>
        <v/>
      </c>
      <c r="EC20" s="49" t="n">
        <v>18</v>
      </c>
      <c r="ED20" s="49">
        <f>ED19</f>
        <v/>
      </c>
      <c r="EE20" s="48">
        <f>EE19</f>
        <v/>
      </c>
      <c r="EF20" s="48">
        <f>ED20+(EC20-1)*EE20</f>
        <v/>
      </c>
      <c r="EG20" s="49" t="n">
        <v>18</v>
      </c>
      <c r="EH20" s="49">
        <f>EH19</f>
        <v/>
      </c>
      <c r="EI20" s="48">
        <f>EI19</f>
        <v/>
      </c>
      <c r="EJ20" s="48">
        <f>EH20+(EG20-1)*EI20</f>
        <v/>
      </c>
      <c r="EK20" s="49" t="n">
        <v>18</v>
      </c>
      <c r="EL20" s="49">
        <f>EL19</f>
        <v/>
      </c>
      <c r="EM20" s="48">
        <f>EM19</f>
        <v/>
      </c>
      <c r="EN20" s="48">
        <f>EL20+(EK20-1)*EM20</f>
        <v/>
      </c>
      <c r="EO20" s="49" t="n">
        <v>18</v>
      </c>
      <c r="EP20" s="49">
        <f>EP19</f>
        <v/>
      </c>
      <c r="EQ20" s="48">
        <f>EQ19</f>
        <v/>
      </c>
      <c r="ER20" s="48">
        <f>EP20+(EO20-1)*EQ20</f>
        <v/>
      </c>
      <c r="ES20" s="49" t="n">
        <v>18</v>
      </c>
      <c r="ET20" s="49">
        <f>ET19</f>
        <v/>
      </c>
      <c r="EU20" s="48">
        <f>EU19</f>
        <v/>
      </c>
      <c r="EV20" s="48">
        <f>ET20+(ES20-1)*EU20</f>
        <v/>
      </c>
      <c r="EW20" s="49" t="n">
        <v>18</v>
      </c>
      <c r="EX20" s="49">
        <f>EX19</f>
        <v/>
      </c>
      <c r="EY20" s="48">
        <f>EY19</f>
        <v/>
      </c>
      <c r="EZ20" s="48">
        <f>EX20+(EW20-1)*EY20</f>
        <v/>
      </c>
      <c r="FA20" s="49" t="n">
        <v>18</v>
      </c>
      <c r="FB20" s="49">
        <f>FB19</f>
        <v/>
      </c>
      <c r="FC20" s="48">
        <f>FC19</f>
        <v/>
      </c>
      <c r="FD20" s="48">
        <f>FB20+(FA20-1)*FC20</f>
        <v/>
      </c>
    </row>
    <row r="21">
      <c r="A21" s="49" t="n">
        <v>19</v>
      </c>
      <c r="B21" s="49">
        <f>B20</f>
        <v/>
      </c>
      <c r="C21" s="48">
        <f>C20</f>
        <v/>
      </c>
      <c r="D21" s="48">
        <f>B21+(A21-1)*C21</f>
        <v/>
      </c>
      <c r="E21" s="49" t="n">
        <v>19</v>
      </c>
      <c r="F21" s="49">
        <f>F20</f>
        <v/>
      </c>
      <c r="G21" s="48">
        <f>G20</f>
        <v/>
      </c>
      <c r="H21" s="48">
        <f>F21+(E21-1)*G21</f>
        <v/>
      </c>
      <c r="I21" s="48" t="n">
        <v>19</v>
      </c>
      <c r="J21" s="49">
        <f>J20</f>
        <v/>
      </c>
      <c r="K21" s="48">
        <f>K20</f>
        <v/>
      </c>
      <c r="L21" s="48">
        <f>J21+(I21-1)*K21</f>
        <v/>
      </c>
      <c r="M21" s="48" t="n">
        <v>19</v>
      </c>
      <c r="N21" s="49">
        <f>N20</f>
        <v/>
      </c>
      <c r="O21" s="48">
        <f>O20</f>
        <v/>
      </c>
      <c r="P21" s="48">
        <f>N21+(M21-1)*O21</f>
        <v/>
      </c>
      <c r="Q21" s="49" t="n">
        <v>19</v>
      </c>
      <c r="R21" s="49">
        <f>R20</f>
        <v/>
      </c>
      <c r="S21" s="48">
        <f>S20</f>
        <v/>
      </c>
      <c r="T21" s="48">
        <f>R21+(Q21-1)*S21</f>
        <v/>
      </c>
      <c r="U21" s="49" t="n">
        <v>19</v>
      </c>
      <c r="V21" s="49">
        <f>V20</f>
        <v/>
      </c>
      <c r="W21" s="48">
        <f>W20</f>
        <v/>
      </c>
      <c r="X21" s="48">
        <f>V21+(U21-1)*W21</f>
        <v/>
      </c>
      <c r="Y21" s="49" t="n">
        <v>19</v>
      </c>
      <c r="Z21" s="49">
        <f>Z20</f>
        <v/>
      </c>
      <c r="AA21" s="48">
        <f>AA20</f>
        <v/>
      </c>
      <c r="AB21" s="48">
        <f>Z21+(Y21-1)*AA21</f>
        <v/>
      </c>
      <c r="AC21" s="48" t="n">
        <v>19</v>
      </c>
      <c r="AD21" s="49">
        <f>AD20</f>
        <v/>
      </c>
      <c r="AE21" s="48">
        <f>AE20</f>
        <v/>
      </c>
      <c r="AF21" s="48">
        <f>AD21+(AC21-1)*AE21</f>
        <v/>
      </c>
      <c r="AG21" s="48" t="n">
        <v>19</v>
      </c>
      <c r="AH21" s="49">
        <f>AH20</f>
        <v/>
      </c>
      <c r="AI21" s="48">
        <f>AI20</f>
        <v/>
      </c>
      <c r="AJ21" s="48">
        <f>AH21+(AG21-1)*AI21</f>
        <v/>
      </c>
      <c r="AK21" s="48" t="n">
        <v>19</v>
      </c>
      <c r="AL21" s="49">
        <f>AL20</f>
        <v/>
      </c>
      <c r="AM21" s="48">
        <f>AM20</f>
        <v/>
      </c>
      <c r="AN21" s="48">
        <f>AL21+(AK21-1)*AM21</f>
        <v/>
      </c>
      <c r="AO21" s="48" t="n">
        <v>19</v>
      </c>
      <c r="AP21" s="49">
        <f>AP20</f>
        <v/>
      </c>
      <c r="AQ21" s="48">
        <f>AQ20</f>
        <v/>
      </c>
      <c r="AR21" s="48">
        <f>AP21+(AO21-1)*AQ21</f>
        <v/>
      </c>
      <c r="AS21" s="48" t="n">
        <v>19</v>
      </c>
      <c r="AT21" s="49">
        <f>AT20</f>
        <v/>
      </c>
      <c r="AU21" s="48">
        <f>AU20</f>
        <v/>
      </c>
      <c r="AV21" s="48">
        <f>AT21+(AS21-1)*AU21</f>
        <v/>
      </c>
      <c r="AW21" s="49" t="n">
        <v>19</v>
      </c>
      <c r="AX21" s="49">
        <f>AX20</f>
        <v/>
      </c>
      <c r="AY21" s="48">
        <f>ROUND(AX21*0.15,0)</f>
        <v/>
      </c>
      <c r="AZ21" s="48">
        <f>AX21+(AW21-1)*AY21</f>
        <v/>
      </c>
      <c r="BA21" s="49" t="n">
        <v>19</v>
      </c>
      <c r="BB21" s="49">
        <f>BB20</f>
        <v/>
      </c>
      <c r="BC21" s="48">
        <f>BC20</f>
        <v/>
      </c>
      <c r="BD21" s="48">
        <f>BB21+(BA21-1)*BC21</f>
        <v/>
      </c>
      <c r="BE21" s="49" t="n">
        <v>19</v>
      </c>
      <c r="BF21" s="49">
        <f>BF20</f>
        <v/>
      </c>
      <c r="BG21" s="48">
        <f>BG20</f>
        <v/>
      </c>
      <c r="BH21" s="48">
        <f>BF21+(BE21-1)*BG21</f>
        <v/>
      </c>
      <c r="BI21" s="48" t="n">
        <v>19</v>
      </c>
      <c r="BJ21" s="49">
        <f>BJ20</f>
        <v/>
      </c>
      <c r="BK21" s="48">
        <f>BK20</f>
        <v/>
      </c>
      <c r="BL21" s="48">
        <f>BJ21+(BI21-1)*BK21</f>
        <v/>
      </c>
      <c r="BM21" s="48" t="n">
        <v>19</v>
      </c>
      <c r="BN21" s="49">
        <f>BN20</f>
        <v/>
      </c>
      <c r="BO21" s="48">
        <f>BO20</f>
        <v/>
      </c>
      <c r="BP21" s="48">
        <f>BN21+(BM21-1)*BO21</f>
        <v/>
      </c>
      <c r="BQ21" s="48" t="n">
        <v>19</v>
      </c>
      <c r="BR21" s="49">
        <f>BR20</f>
        <v/>
      </c>
      <c r="BS21" s="48">
        <f>BS20</f>
        <v/>
      </c>
      <c r="BT21" s="48">
        <f>BR21+(BQ21-1)*BS21</f>
        <v/>
      </c>
      <c r="BU21" s="48" t="n">
        <v>19</v>
      </c>
      <c r="BV21" s="49">
        <f>BV20</f>
        <v/>
      </c>
      <c r="BW21" s="48">
        <f>BW20</f>
        <v/>
      </c>
      <c r="BX21" s="48">
        <f>BV21+(BU21-1)*BW21</f>
        <v/>
      </c>
      <c r="BY21" s="48" t="n">
        <v>19</v>
      </c>
      <c r="BZ21" s="49">
        <f>BZ20</f>
        <v/>
      </c>
      <c r="CA21" s="48">
        <f>CA20</f>
        <v/>
      </c>
      <c r="CB21" s="48">
        <f>BZ21+(BY21-1)*CA21</f>
        <v/>
      </c>
      <c r="CC21" s="49" t="n">
        <v>19</v>
      </c>
      <c r="CD21" s="49">
        <f>CD20</f>
        <v/>
      </c>
      <c r="CE21" s="48">
        <f>CE20</f>
        <v/>
      </c>
      <c r="CF21" s="48">
        <f>CD21+(CC21-1)*CE21</f>
        <v/>
      </c>
      <c r="CG21" s="49" t="n">
        <v>19</v>
      </c>
      <c r="CH21" s="49">
        <f>CH20</f>
        <v/>
      </c>
      <c r="CI21" s="48">
        <f>CI20</f>
        <v/>
      </c>
      <c r="CJ21" s="48">
        <f>CH21+(CG21-1)*CI21</f>
        <v/>
      </c>
      <c r="CK21" s="49" t="n">
        <v>19</v>
      </c>
      <c r="CL21" s="49">
        <f>CL20</f>
        <v/>
      </c>
      <c r="CM21" s="48">
        <f>CM20</f>
        <v/>
      </c>
      <c r="CN21" s="48">
        <f>CL21+(CK21-1)*CM21</f>
        <v/>
      </c>
      <c r="CO21" s="48" t="n">
        <v>19</v>
      </c>
      <c r="CP21" s="49">
        <f>CP20</f>
        <v/>
      </c>
      <c r="CQ21" s="48">
        <f>CQ20</f>
        <v/>
      </c>
      <c r="CR21" s="48">
        <f>CP21+(CO21-1)*CQ21</f>
        <v/>
      </c>
      <c r="CS21" s="48" t="n">
        <v>19</v>
      </c>
      <c r="CT21" s="49">
        <f>CT20</f>
        <v/>
      </c>
      <c r="CU21" s="48">
        <f>CU20</f>
        <v/>
      </c>
      <c r="CV21" s="48">
        <f>CT21+(CS21-1)*CU21</f>
        <v/>
      </c>
      <c r="CW21" s="48" t="n">
        <v>19</v>
      </c>
      <c r="CX21" s="49">
        <f>CX20</f>
        <v/>
      </c>
      <c r="CY21" s="48">
        <f>CY20</f>
        <v/>
      </c>
      <c r="CZ21" s="48">
        <f>CX21+(CW21-1)*CY21</f>
        <v/>
      </c>
      <c r="DA21" s="48" t="n">
        <v>19</v>
      </c>
      <c r="DB21" s="49">
        <f>DB20</f>
        <v/>
      </c>
      <c r="DC21" s="48">
        <f>DC20</f>
        <v/>
      </c>
      <c r="DD21" s="48">
        <f>DB21+(DA21-1)*DC21</f>
        <v/>
      </c>
      <c r="DE21" s="48" t="n">
        <v>19</v>
      </c>
      <c r="DF21" s="49">
        <f>DF20</f>
        <v/>
      </c>
      <c r="DG21" s="48">
        <f>DG20</f>
        <v/>
      </c>
      <c r="DH21" s="48">
        <f>DF21+(DE21-1)*DG21</f>
        <v/>
      </c>
      <c r="DI21" s="48" t="n">
        <v>19</v>
      </c>
      <c r="DJ21" s="49">
        <f>DJ20</f>
        <v/>
      </c>
      <c r="DK21" s="48">
        <f>DK20</f>
        <v/>
      </c>
      <c r="DL21" s="48">
        <f>DJ21+(DI21-1)*DK21</f>
        <v/>
      </c>
      <c r="DM21" s="48" t="n">
        <v>19</v>
      </c>
      <c r="DN21" s="49">
        <f>DN20</f>
        <v/>
      </c>
      <c r="DO21" s="48">
        <f>DO20</f>
        <v/>
      </c>
      <c r="DP21" s="48">
        <f>DN21+(DM21-1)*DO21</f>
        <v/>
      </c>
      <c r="DQ21" s="48" t="n">
        <v>19</v>
      </c>
      <c r="DR21" s="49">
        <f>DR20</f>
        <v/>
      </c>
      <c r="DS21" s="48">
        <f>DS20</f>
        <v/>
      </c>
      <c r="DT21" s="48">
        <f>DR21+(DQ21-1)*DS21</f>
        <v/>
      </c>
      <c r="DU21" s="48" t="n">
        <v>19</v>
      </c>
      <c r="DV21" s="49">
        <f>DV20</f>
        <v/>
      </c>
      <c r="DW21" s="48">
        <f>DW20</f>
        <v/>
      </c>
      <c r="DX21" s="48">
        <f>DV21+(DU21-1)*DW21</f>
        <v/>
      </c>
      <c r="DY21" s="49" t="n">
        <v>19</v>
      </c>
      <c r="DZ21" s="49">
        <f>DZ20</f>
        <v/>
      </c>
      <c r="EA21" s="48">
        <f>EA20</f>
        <v/>
      </c>
      <c r="EB21" s="48">
        <f>DZ21+(DY21-1)*EA21</f>
        <v/>
      </c>
      <c r="EC21" s="49" t="n">
        <v>19</v>
      </c>
      <c r="ED21" s="49">
        <f>ED20</f>
        <v/>
      </c>
      <c r="EE21" s="48">
        <f>EE20</f>
        <v/>
      </c>
      <c r="EF21" s="48">
        <f>ED21+(EC21-1)*EE21</f>
        <v/>
      </c>
      <c r="EG21" s="49" t="n">
        <v>19</v>
      </c>
      <c r="EH21" s="49">
        <f>EH20</f>
        <v/>
      </c>
      <c r="EI21" s="48">
        <f>EI20</f>
        <v/>
      </c>
      <c r="EJ21" s="48">
        <f>EH21+(EG21-1)*EI21</f>
        <v/>
      </c>
      <c r="EK21" s="48" t="n">
        <v>19</v>
      </c>
      <c r="EL21" s="49">
        <f>EL20</f>
        <v/>
      </c>
      <c r="EM21" s="48">
        <f>EM20</f>
        <v/>
      </c>
      <c r="EN21" s="48">
        <f>EL21+(EK21-1)*EM21</f>
        <v/>
      </c>
      <c r="EO21" s="48" t="n">
        <v>19</v>
      </c>
      <c r="EP21" s="49">
        <f>EP20</f>
        <v/>
      </c>
      <c r="EQ21" s="48">
        <f>EQ20</f>
        <v/>
      </c>
      <c r="ER21" s="48">
        <f>EP21+(EO21-1)*EQ21</f>
        <v/>
      </c>
      <c r="ES21" s="48" t="n">
        <v>19</v>
      </c>
      <c r="ET21" s="49">
        <f>ET20</f>
        <v/>
      </c>
      <c r="EU21" s="48">
        <f>EU20</f>
        <v/>
      </c>
      <c r="EV21" s="48">
        <f>ET21+(ES21-1)*EU21</f>
        <v/>
      </c>
      <c r="EW21" s="48" t="n">
        <v>19</v>
      </c>
      <c r="EX21" s="49">
        <f>EX20</f>
        <v/>
      </c>
      <c r="EY21" s="48">
        <f>EY20</f>
        <v/>
      </c>
      <c r="EZ21" s="48">
        <f>EX21+(EW21-1)*EY21</f>
        <v/>
      </c>
      <c r="FA21" s="48" t="n">
        <v>19</v>
      </c>
      <c r="FB21" s="49">
        <f>FB20</f>
        <v/>
      </c>
      <c r="FC21" s="48">
        <f>FC20</f>
        <v/>
      </c>
      <c r="FD21" s="48">
        <f>FB21+(FA21-1)*FC21</f>
        <v/>
      </c>
    </row>
    <row r="22">
      <c r="A22" s="49" t="n">
        <v>20</v>
      </c>
      <c r="B22" s="49">
        <f>B21</f>
        <v/>
      </c>
      <c r="C22" s="48">
        <f>C21</f>
        <v/>
      </c>
      <c r="D22" s="48">
        <f>B22+(A22-1)*C22</f>
        <v/>
      </c>
      <c r="E22" s="49" t="n">
        <v>20</v>
      </c>
      <c r="F22" s="49">
        <f>F21</f>
        <v/>
      </c>
      <c r="G22" s="48">
        <f>G21</f>
        <v/>
      </c>
      <c r="H22" s="48">
        <f>F22+(E22-1)*G22</f>
        <v/>
      </c>
      <c r="I22" s="49" t="n">
        <v>20</v>
      </c>
      <c r="J22" s="49">
        <f>J21</f>
        <v/>
      </c>
      <c r="K22" s="48">
        <f>K21</f>
        <v/>
      </c>
      <c r="L22" s="48">
        <f>J22+(I22-1)*K22</f>
        <v/>
      </c>
      <c r="M22" s="49" t="n">
        <v>20</v>
      </c>
      <c r="N22" s="49">
        <f>N21</f>
        <v/>
      </c>
      <c r="O22" s="48">
        <f>O21</f>
        <v/>
      </c>
      <c r="P22" s="48">
        <f>N22+(M22-1)*O22</f>
        <v/>
      </c>
      <c r="Q22" s="49" t="n">
        <v>20</v>
      </c>
      <c r="R22" s="49">
        <f>R21</f>
        <v/>
      </c>
      <c r="S22" s="48">
        <f>S21</f>
        <v/>
      </c>
      <c r="T22" s="48">
        <f>R22+(Q22-1)*S22</f>
        <v/>
      </c>
      <c r="U22" s="49" t="n">
        <v>20</v>
      </c>
      <c r="V22" s="49">
        <f>V21</f>
        <v/>
      </c>
      <c r="W22" s="48">
        <f>W21</f>
        <v/>
      </c>
      <c r="X22" s="48">
        <f>V22+(U22-1)*W22</f>
        <v/>
      </c>
      <c r="Y22" s="49" t="n">
        <v>20</v>
      </c>
      <c r="Z22" s="49">
        <f>Z21</f>
        <v/>
      </c>
      <c r="AA22" s="48">
        <f>AA21</f>
        <v/>
      </c>
      <c r="AB22" s="48">
        <f>Z22+(Y22-1)*AA22</f>
        <v/>
      </c>
      <c r="AC22" s="49" t="n">
        <v>20</v>
      </c>
      <c r="AD22" s="49">
        <f>AD21</f>
        <v/>
      </c>
      <c r="AE22" s="48">
        <f>AE21</f>
        <v/>
      </c>
      <c r="AF22" s="48">
        <f>AD22+(AC22-1)*AE22</f>
        <v/>
      </c>
      <c r="AG22" s="49" t="n">
        <v>20</v>
      </c>
      <c r="AH22" s="49">
        <f>AH21</f>
        <v/>
      </c>
      <c r="AI22" s="48">
        <f>AI21</f>
        <v/>
      </c>
      <c r="AJ22" s="48">
        <f>AH22+(AG22-1)*AI22</f>
        <v/>
      </c>
      <c r="AK22" s="49" t="n">
        <v>20</v>
      </c>
      <c r="AL22" s="49">
        <f>AL21</f>
        <v/>
      </c>
      <c r="AM22" s="48">
        <f>AM21</f>
        <v/>
      </c>
      <c r="AN22" s="48">
        <f>AL22+(AK22-1)*AM22</f>
        <v/>
      </c>
      <c r="AO22" s="49" t="n">
        <v>20</v>
      </c>
      <c r="AP22" s="49">
        <f>AP21</f>
        <v/>
      </c>
      <c r="AQ22" s="48">
        <f>AQ21</f>
        <v/>
      </c>
      <c r="AR22" s="48">
        <f>AP22+(AO22-1)*AQ22</f>
        <v/>
      </c>
      <c r="AS22" s="49" t="n">
        <v>20</v>
      </c>
      <c r="AT22" s="49">
        <f>AT21</f>
        <v/>
      </c>
      <c r="AU22" s="48">
        <f>AU21</f>
        <v/>
      </c>
      <c r="AV22" s="48">
        <f>AT22+(AS22-1)*AU22</f>
        <v/>
      </c>
      <c r="AW22" s="49" t="n">
        <v>20</v>
      </c>
      <c r="AX22" s="49">
        <f>AX21</f>
        <v/>
      </c>
      <c r="AY22" s="48">
        <f>ROUND(AX22*0.15,0)</f>
        <v/>
      </c>
      <c r="AZ22" s="48">
        <f>AX22+(AW22-1)*AY22</f>
        <v/>
      </c>
      <c r="BA22" s="49" t="n">
        <v>20</v>
      </c>
      <c r="BB22" s="49">
        <f>BB21</f>
        <v/>
      </c>
      <c r="BC22" s="48">
        <f>BC21</f>
        <v/>
      </c>
      <c r="BD22" s="48">
        <f>BB22+(BA22-1)*BC22</f>
        <v/>
      </c>
      <c r="BE22" s="49" t="n">
        <v>20</v>
      </c>
      <c r="BF22" s="49">
        <f>BF21</f>
        <v/>
      </c>
      <c r="BG22" s="48">
        <f>BG21</f>
        <v/>
      </c>
      <c r="BH22" s="48">
        <f>BF22+(BE22-1)*BG22</f>
        <v/>
      </c>
      <c r="BI22" s="49" t="n">
        <v>20</v>
      </c>
      <c r="BJ22" s="49">
        <f>BJ21</f>
        <v/>
      </c>
      <c r="BK22" s="48">
        <f>BK21</f>
        <v/>
      </c>
      <c r="BL22" s="48">
        <f>BJ22+(BI22-1)*BK22</f>
        <v/>
      </c>
      <c r="BM22" s="49" t="n">
        <v>20</v>
      </c>
      <c r="BN22" s="49">
        <f>BN21</f>
        <v/>
      </c>
      <c r="BO22" s="48">
        <f>BO21</f>
        <v/>
      </c>
      <c r="BP22" s="48">
        <f>BN22+(BM22-1)*BO22</f>
        <v/>
      </c>
      <c r="BQ22" s="49" t="n">
        <v>20</v>
      </c>
      <c r="BR22" s="49">
        <f>BR21</f>
        <v/>
      </c>
      <c r="BS22" s="48">
        <f>BS21</f>
        <v/>
      </c>
      <c r="BT22" s="48">
        <f>BR22+(BQ22-1)*BS22</f>
        <v/>
      </c>
      <c r="BU22" s="49" t="n">
        <v>20</v>
      </c>
      <c r="BV22" s="49">
        <f>BV21</f>
        <v/>
      </c>
      <c r="BW22" s="48">
        <f>BW21</f>
        <v/>
      </c>
      <c r="BX22" s="48">
        <f>BV22+(BU22-1)*BW22</f>
        <v/>
      </c>
      <c r="BY22" s="49" t="n">
        <v>20</v>
      </c>
      <c r="BZ22" s="49">
        <f>BZ21</f>
        <v/>
      </c>
      <c r="CA22" s="48">
        <f>CA21</f>
        <v/>
      </c>
      <c r="CB22" s="48">
        <f>BZ22+(BY22-1)*CA22</f>
        <v/>
      </c>
      <c r="CC22" s="49" t="n">
        <v>20</v>
      </c>
      <c r="CD22" s="49">
        <f>CD21</f>
        <v/>
      </c>
      <c r="CE22" s="48">
        <f>CE21</f>
        <v/>
      </c>
      <c r="CF22" s="48">
        <f>CD22+(CC22-1)*CE22</f>
        <v/>
      </c>
      <c r="CG22" s="49" t="n">
        <v>20</v>
      </c>
      <c r="CH22" s="49">
        <f>CH21</f>
        <v/>
      </c>
      <c r="CI22" s="48">
        <f>CI21</f>
        <v/>
      </c>
      <c r="CJ22" s="48">
        <f>CH22+(CG22-1)*CI22</f>
        <v/>
      </c>
      <c r="CK22" s="49" t="n">
        <v>20</v>
      </c>
      <c r="CL22" s="49">
        <f>CL21</f>
        <v/>
      </c>
      <c r="CM22" s="48">
        <f>CM21</f>
        <v/>
      </c>
      <c r="CN22" s="48">
        <f>CL22+(CK22-1)*CM22</f>
        <v/>
      </c>
      <c r="CO22" s="49" t="n">
        <v>20</v>
      </c>
      <c r="CP22" s="49">
        <f>CP21</f>
        <v/>
      </c>
      <c r="CQ22" s="48">
        <f>CQ21</f>
        <v/>
      </c>
      <c r="CR22" s="48">
        <f>CP22+(CO22-1)*CQ22</f>
        <v/>
      </c>
      <c r="CS22" s="49" t="n">
        <v>20</v>
      </c>
      <c r="CT22" s="49">
        <f>CT21</f>
        <v/>
      </c>
      <c r="CU22" s="48">
        <f>CU21</f>
        <v/>
      </c>
      <c r="CV22" s="48">
        <f>CT22+(CS22-1)*CU22</f>
        <v/>
      </c>
      <c r="CW22" s="49" t="n">
        <v>20</v>
      </c>
      <c r="CX22" s="49">
        <f>CX21</f>
        <v/>
      </c>
      <c r="CY22" s="48">
        <f>CY21</f>
        <v/>
      </c>
      <c r="CZ22" s="48">
        <f>CX22+(CW22-1)*CY22</f>
        <v/>
      </c>
      <c r="DA22" s="49" t="n">
        <v>20</v>
      </c>
      <c r="DB22" s="49">
        <f>DB21</f>
        <v/>
      </c>
      <c r="DC22" s="48">
        <f>DC21</f>
        <v/>
      </c>
      <c r="DD22" s="48">
        <f>DB22+(DA22-1)*DC22</f>
        <v/>
      </c>
      <c r="DE22" s="49" t="n">
        <v>20</v>
      </c>
      <c r="DF22" s="49">
        <f>DF21</f>
        <v/>
      </c>
      <c r="DG22" s="48">
        <f>DG21</f>
        <v/>
      </c>
      <c r="DH22" s="48">
        <f>DF22+(DE22-1)*DG22</f>
        <v/>
      </c>
      <c r="DI22" s="49" t="n">
        <v>20</v>
      </c>
      <c r="DJ22" s="49">
        <f>DJ21</f>
        <v/>
      </c>
      <c r="DK22" s="48">
        <f>DK21</f>
        <v/>
      </c>
      <c r="DL22" s="48">
        <f>DJ22+(DI22-1)*DK22</f>
        <v/>
      </c>
      <c r="DM22" s="49" t="n">
        <v>20</v>
      </c>
      <c r="DN22" s="49">
        <f>DN21</f>
        <v/>
      </c>
      <c r="DO22" s="48">
        <f>DO21</f>
        <v/>
      </c>
      <c r="DP22" s="48">
        <f>DN22+(DM22-1)*DO22</f>
        <v/>
      </c>
      <c r="DQ22" s="49" t="n">
        <v>20</v>
      </c>
      <c r="DR22" s="49">
        <f>DR21</f>
        <v/>
      </c>
      <c r="DS22" s="48">
        <f>DS21</f>
        <v/>
      </c>
      <c r="DT22" s="48">
        <f>DR22+(DQ22-1)*DS22</f>
        <v/>
      </c>
      <c r="DU22" s="49" t="n">
        <v>20</v>
      </c>
      <c r="DV22" s="49">
        <f>DV21</f>
        <v/>
      </c>
      <c r="DW22" s="48">
        <f>DW21</f>
        <v/>
      </c>
      <c r="DX22" s="48">
        <f>DV22+(DU22-1)*DW22</f>
        <v/>
      </c>
      <c r="DY22" s="49" t="n">
        <v>20</v>
      </c>
      <c r="DZ22" s="49">
        <f>DZ21</f>
        <v/>
      </c>
      <c r="EA22" s="48">
        <f>EA21</f>
        <v/>
      </c>
      <c r="EB22" s="48">
        <f>DZ22+(DY22-1)*EA22</f>
        <v/>
      </c>
      <c r="EC22" s="49" t="n">
        <v>20</v>
      </c>
      <c r="ED22" s="49">
        <f>ED21</f>
        <v/>
      </c>
      <c r="EE22" s="48">
        <f>EE21</f>
        <v/>
      </c>
      <c r="EF22" s="48">
        <f>ED22+(EC22-1)*EE22</f>
        <v/>
      </c>
      <c r="EG22" s="49" t="n">
        <v>20</v>
      </c>
      <c r="EH22" s="49">
        <f>EH21</f>
        <v/>
      </c>
      <c r="EI22" s="48">
        <f>EI21</f>
        <v/>
      </c>
      <c r="EJ22" s="48">
        <f>EH22+(EG22-1)*EI22</f>
        <v/>
      </c>
      <c r="EK22" s="49" t="n">
        <v>20</v>
      </c>
      <c r="EL22" s="49">
        <f>EL21</f>
        <v/>
      </c>
      <c r="EM22" s="48">
        <f>EM21</f>
        <v/>
      </c>
      <c r="EN22" s="48">
        <f>EL22+(EK22-1)*EM22</f>
        <v/>
      </c>
      <c r="EO22" s="49" t="n">
        <v>20</v>
      </c>
      <c r="EP22" s="49">
        <f>EP21</f>
        <v/>
      </c>
      <c r="EQ22" s="48">
        <f>EQ21</f>
        <v/>
      </c>
      <c r="ER22" s="48">
        <f>EP22+(EO22-1)*EQ22</f>
        <v/>
      </c>
      <c r="ES22" s="49" t="n">
        <v>20</v>
      </c>
      <c r="ET22" s="49">
        <f>ET21</f>
        <v/>
      </c>
      <c r="EU22" s="48">
        <f>EU21</f>
        <v/>
      </c>
      <c r="EV22" s="48">
        <f>ET22+(ES22-1)*EU22</f>
        <v/>
      </c>
      <c r="EW22" s="49" t="n">
        <v>20</v>
      </c>
      <c r="EX22" s="49">
        <f>EX21</f>
        <v/>
      </c>
      <c r="EY22" s="48">
        <f>EY21</f>
        <v/>
      </c>
      <c r="EZ22" s="48">
        <f>EX22+(EW22-1)*EY22</f>
        <v/>
      </c>
      <c r="FA22" s="49" t="n">
        <v>20</v>
      </c>
      <c r="FB22" s="49">
        <f>FB21</f>
        <v/>
      </c>
      <c r="FC22" s="48">
        <f>FC21</f>
        <v/>
      </c>
      <c r="FD22" s="48">
        <f>FB22+(FA22-1)*FC22</f>
        <v/>
      </c>
    </row>
    <row r="23">
      <c r="A23" s="49" t="n">
        <v>21</v>
      </c>
      <c r="B23" s="49">
        <f>B22</f>
        <v/>
      </c>
      <c r="C23" s="48">
        <f>C22</f>
        <v/>
      </c>
      <c r="D23" s="48">
        <f>B23+(A23-1)*C23</f>
        <v/>
      </c>
      <c r="E23" s="49" t="n">
        <v>21</v>
      </c>
      <c r="F23" s="49">
        <f>F22</f>
        <v/>
      </c>
      <c r="G23" s="48">
        <f>G22</f>
        <v/>
      </c>
      <c r="H23" s="48">
        <f>F23+(E23-1)*G23</f>
        <v/>
      </c>
      <c r="I23" s="48" t="n">
        <v>21</v>
      </c>
      <c r="J23" s="49">
        <f>J22</f>
        <v/>
      </c>
      <c r="K23" s="48">
        <f>K22</f>
        <v/>
      </c>
      <c r="L23" s="48">
        <f>J23+(I23-1)*K23</f>
        <v/>
      </c>
      <c r="M23" s="48" t="n">
        <v>21</v>
      </c>
      <c r="N23" s="49">
        <f>N22</f>
        <v/>
      </c>
      <c r="O23" s="48">
        <f>O22</f>
        <v/>
      </c>
      <c r="P23" s="48">
        <f>N23+(M23-1)*O23</f>
        <v/>
      </c>
      <c r="Q23" s="49" t="n">
        <v>21</v>
      </c>
      <c r="R23" s="49">
        <f>R22</f>
        <v/>
      </c>
      <c r="S23" s="48">
        <f>S22</f>
        <v/>
      </c>
      <c r="T23" s="48">
        <f>R23+(Q23-1)*S23</f>
        <v/>
      </c>
      <c r="U23" s="49" t="n">
        <v>21</v>
      </c>
      <c r="V23" s="49">
        <f>V22</f>
        <v/>
      </c>
      <c r="W23" s="48">
        <f>W22</f>
        <v/>
      </c>
      <c r="X23" s="48">
        <f>V23+(U23-1)*W23</f>
        <v/>
      </c>
      <c r="Y23" s="49" t="n">
        <v>21</v>
      </c>
      <c r="Z23" s="49">
        <f>Z22</f>
        <v/>
      </c>
      <c r="AA23" s="48">
        <f>AA22</f>
        <v/>
      </c>
      <c r="AB23" s="48">
        <f>Z23+(Y23-1)*AA23</f>
        <v/>
      </c>
      <c r="AC23" s="48" t="n">
        <v>21</v>
      </c>
      <c r="AD23" s="49">
        <f>AD22</f>
        <v/>
      </c>
      <c r="AE23" s="48">
        <f>AE22</f>
        <v/>
      </c>
      <c r="AF23" s="48">
        <f>AD23+(AC23-1)*AE23</f>
        <v/>
      </c>
      <c r="AG23" s="48" t="n">
        <v>21</v>
      </c>
      <c r="AH23" s="49">
        <f>AH22</f>
        <v/>
      </c>
      <c r="AI23" s="48">
        <f>AI22</f>
        <v/>
      </c>
      <c r="AJ23" s="48">
        <f>AH23+(AG23-1)*AI23</f>
        <v/>
      </c>
      <c r="AK23" s="48" t="n">
        <v>21</v>
      </c>
      <c r="AL23" s="49">
        <f>AL22</f>
        <v/>
      </c>
      <c r="AM23" s="48">
        <f>AM22</f>
        <v/>
      </c>
      <c r="AN23" s="48">
        <f>AL23+(AK23-1)*AM23</f>
        <v/>
      </c>
      <c r="AO23" s="48" t="n">
        <v>21</v>
      </c>
      <c r="AP23" s="49">
        <f>AP22</f>
        <v/>
      </c>
      <c r="AQ23" s="48">
        <f>AQ22</f>
        <v/>
      </c>
      <c r="AR23" s="48">
        <f>AP23+(AO23-1)*AQ23</f>
        <v/>
      </c>
      <c r="AS23" s="48" t="n">
        <v>21</v>
      </c>
      <c r="AT23" s="49">
        <f>AT22</f>
        <v/>
      </c>
      <c r="AU23" s="48">
        <f>AU22</f>
        <v/>
      </c>
      <c r="AV23" s="48">
        <f>AT23+(AS23-1)*AU23</f>
        <v/>
      </c>
      <c r="AW23" s="49" t="n">
        <v>21</v>
      </c>
      <c r="AX23" s="49">
        <f>AX22</f>
        <v/>
      </c>
      <c r="AY23" s="48">
        <f>ROUND(AX23*0.15,0)</f>
        <v/>
      </c>
      <c r="AZ23" s="48">
        <f>AX23+(AW23-1)*AY23</f>
        <v/>
      </c>
      <c r="BA23" s="49" t="n">
        <v>21</v>
      </c>
      <c r="BB23" s="49">
        <f>BB22</f>
        <v/>
      </c>
      <c r="BC23" s="48">
        <f>BC22</f>
        <v/>
      </c>
      <c r="BD23" s="48">
        <f>BB23+(BA23-1)*BC23</f>
        <v/>
      </c>
      <c r="BE23" s="49" t="n">
        <v>21</v>
      </c>
      <c r="BF23" s="49">
        <f>BF22</f>
        <v/>
      </c>
      <c r="BG23" s="48">
        <f>BG22</f>
        <v/>
      </c>
      <c r="BH23" s="48">
        <f>BF23+(BE23-1)*BG23</f>
        <v/>
      </c>
      <c r="BI23" s="48" t="n">
        <v>21</v>
      </c>
      <c r="BJ23" s="49">
        <f>BJ22</f>
        <v/>
      </c>
      <c r="BK23" s="48">
        <f>BK22</f>
        <v/>
      </c>
      <c r="BL23" s="48">
        <f>BJ23+(BI23-1)*BK23</f>
        <v/>
      </c>
      <c r="BM23" s="48" t="n">
        <v>21</v>
      </c>
      <c r="BN23" s="49">
        <f>BN22</f>
        <v/>
      </c>
      <c r="BO23" s="48">
        <f>BO22</f>
        <v/>
      </c>
      <c r="BP23" s="48">
        <f>BN23+(BM23-1)*BO23</f>
        <v/>
      </c>
      <c r="BQ23" s="48" t="n">
        <v>21</v>
      </c>
      <c r="BR23" s="49">
        <f>BR22</f>
        <v/>
      </c>
      <c r="BS23" s="48">
        <f>BS22</f>
        <v/>
      </c>
      <c r="BT23" s="48">
        <f>BR23+(BQ23-1)*BS23</f>
        <v/>
      </c>
      <c r="BU23" s="48" t="n">
        <v>21</v>
      </c>
      <c r="BV23" s="49">
        <f>BV22</f>
        <v/>
      </c>
      <c r="BW23" s="48">
        <f>BW22</f>
        <v/>
      </c>
      <c r="BX23" s="48">
        <f>BV23+(BU23-1)*BW23</f>
        <v/>
      </c>
      <c r="BY23" s="48" t="n">
        <v>21</v>
      </c>
      <c r="BZ23" s="49">
        <f>BZ22</f>
        <v/>
      </c>
      <c r="CA23" s="48">
        <f>CA22</f>
        <v/>
      </c>
      <c r="CB23" s="48">
        <f>BZ23+(BY23-1)*CA23</f>
        <v/>
      </c>
      <c r="CC23" s="49" t="n">
        <v>21</v>
      </c>
      <c r="CD23" s="49">
        <f>CD22</f>
        <v/>
      </c>
      <c r="CE23" s="48">
        <f>CE22</f>
        <v/>
      </c>
      <c r="CF23" s="48">
        <f>CD23+(CC23-1)*CE23</f>
        <v/>
      </c>
      <c r="CG23" s="49" t="n">
        <v>21</v>
      </c>
      <c r="CH23" s="49">
        <f>CH22</f>
        <v/>
      </c>
      <c r="CI23" s="48">
        <f>CI22</f>
        <v/>
      </c>
      <c r="CJ23" s="48">
        <f>CH23+(CG23-1)*CI23</f>
        <v/>
      </c>
      <c r="CK23" s="49" t="n">
        <v>21</v>
      </c>
      <c r="CL23" s="49">
        <f>CL22</f>
        <v/>
      </c>
      <c r="CM23" s="48">
        <f>CM22</f>
        <v/>
      </c>
      <c r="CN23" s="48">
        <f>CL23+(CK23-1)*CM23</f>
        <v/>
      </c>
      <c r="CO23" s="48" t="n">
        <v>21</v>
      </c>
      <c r="CP23" s="49">
        <f>CP22</f>
        <v/>
      </c>
      <c r="CQ23" s="48">
        <f>CQ22</f>
        <v/>
      </c>
      <c r="CR23" s="48">
        <f>CP23+(CO23-1)*CQ23</f>
        <v/>
      </c>
      <c r="CS23" s="48" t="n">
        <v>21</v>
      </c>
      <c r="CT23" s="49">
        <f>CT22</f>
        <v/>
      </c>
      <c r="CU23" s="48">
        <f>CU22</f>
        <v/>
      </c>
      <c r="CV23" s="48">
        <f>CT23+(CS23-1)*CU23</f>
        <v/>
      </c>
      <c r="CW23" s="48" t="n">
        <v>21</v>
      </c>
      <c r="CX23" s="49">
        <f>CX22</f>
        <v/>
      </c>
      <c r="CY23" s="48">
        <f>CY22</f>
        <v/>
      </c>
      <c r="CZ23" s="48">
        <f>CX23+(CW23-1)*CY23</f>
        <v/>
      </c>
      <c r="DA23" s="48" t="n">
        <v>21</v>
      </c>
      <c r="DB23" s="49">
        <f>DB22</f>
        <v/>
      </c>
      <c r="DC23" s="48">
        <f>DC22</f>
        <v/>
      </c>
      <c r="DD23" s="48">
        <f>DB23+(DA23-1)*DC23</f>
        <v/>
      </c>
      <c r="DE23" s="48" t="n">
        <v>21</v>
      </c>
      <c r="DF23" s="49">
        <f>DF22</f>
        <v/>
      </c>
      <c r="DG23" s="48">
        <f>DG22</f>
        <v/>
      </c>
      <c r="DH23" s="48">
        <f>DF23+(DE23-1)*DG23</f>
        <v/>
      </c>
      <c r="DI23" s="48" t="n">
        <v>21</v>
      </c>
      <c r="DJ23" s="49">
        <f>DJ22</f>
        <v/>
      </c>
      <c r="DK23" s="48">
        <f>DK22</f>
        <v/>
      </c>
      <c r="DL23" s="48">
        <f>DJ23+(DI23-1)*DK23</f>
        <v/>
      </c>
      <c r="DM23" s="48" t="n">
        <v>21</v>
      </c>
      <c r="DN23" s="49">
        <f>DN22</f>
        <v/>
      </c>
      <c r="DO23" s="48">
        <f>DO22</f>
        <v/>
      </c>
      <c r="DP23" s="48">
        <f>DN23+(DM23-1)*DO23</f>
        <v/>
      </c>
      <c r="DQ23" s="48" t="n">
        <v>21</v>
      </c>
      <c r="DR23" s="49">
        <f>DR22</f>
        <v/>
      </c>
      <c r="DS23" s="48">
        <f>DS22</f>
        <v/>
      </c>
      <c r="DT23" s="48">
        <f>DR23+(DQ23-1)*DS23</f>
        <v/>
      </c>
      <c r="DU23" s="48" t="n">
        <v>21</v>
      </c>
      <c r="DV23" s="49">
        <f>DV22</f>
        <v/>
      </c>
      <c r="DW23" s="48">
        <f>DW22</f>
        <v/>
      </c>
      <c r="DX23" s="48">
        <f>DV23+(DU23-1)*DW23</f>
        <v/>
      </c>
      <c r="DY23" s="49" t="n">
        <v>21</v>
      </c>
      <c r="DZ23" s="49">
        <f>DZ22</f>
        <v/>
      </c>
      <c r="EA23" s="48">
        <f>EA22</f>
        <v/>
      </c>
      <c r="EB23" s="48">
        <f>DZ23+(DY23-1)*EA23</f>
        <v/>
      </c>
      <c r="EC23" s="49" t="n">
        <v>21</v>
      </c>
      <c r="ED23" s="49">
        <f>ED22</f>
        <v/>
      </c>
      <c r="EE23" s="48">
        <f>EE22</f>
        <v/>
      </c>
      <c r="EF23" s="48">
        <f>ED23+(EC23-1)*EE23</f>
        <v/>
      </c>
      <c r="EG23" s="49" t="n">
        <v>21</v>
      </c>
      <c r="EH23" s="49">
        <f>EH22</f>
        <v/>
      </c>
      <c r="EI23" s="48">
        <f>EI22</f>
        <v/>
      </c>
      <c r="EJ23" s="48">
        <f>EH23+(EG23-1)*EI23</f>
        <v/>
      </c>
      <c r="EK23" s="48" t="n">
        <v>21</v>
      </c>
      <c r="EL23" s="49">
        <f>EL22</f>
        <v/>
      </c>
      <c r="EM23" s="48">
        <f>EM22</f>
        <v/>
      </c>
      <c r="EN23" s="48">
        <f>EL23+(EK23-1)*EM23</f>
        <v/>
      </c>
      <c r="EO23" s="48" t="n">
        <v>21</v>
      </c>
      <c r="EP23" s="49">
        <f>EP22</f>
        <v/>
      </c>
      <c r="EQ23" s="48">
        <f>EQ22</f>
        <v/>
      </c>
      <c r="ER23" s="48">
        <f>EP23+(EO23-1)*EQ23</f>
        <v/>
      </c>
      <c r="ES23" s="48" t="n">
        <v>21</v>
      </c>
      <c r="ET23" s="49">
        <f>ET22</f>
        <v/>
      </c>
      <c r="EU23" s="48">
        <f>EU22</f>
        <v/>
      </c>
      <c r="EV23" s="48">
        <f>ET23+(ES23-1)*EU23</f>
        <v/>
      </c>
      <c r="EW23" s="48" t="n">
        <v>21</v>
      </c>
      <c r="EX23" s="49">
        <f>EX22</f>
        <v/>
      </c>
      <c r="EY23" s="48">
        <f>EY22</f>
        <v/>
      </c>
      <c r="EZ23" s="48">
        <f>EX23+(EW23-1)*EY23</f>
        <v/>
      </c>
      <c r="FA23" s="48" t="n">
        <v>21</v>
      </c>
      <c r="FB23" s="49">
        <f>FB22</f>
        <v/>
      </c>
      <c r="FC23" s="48">
        <f>FC22</f>
        <v/>
      </c>
      <c r="FD23" s="48">
        <f>FB23+(FA23-1)*FC23</f>
        <v/>
      </c>
    </row>
    <row r="24">
      <c r="A24" s="49" t="n">
        <v>22</v>
      </c>
      <c r="B24" s="49">
        <f>B23</f>
        <v/>
      </c>
      <c r="C24" s="48">
        <f>C23</f>
        <v/>
      </c>
      <c r="D24" s="48">
        <f>B24+(A24-1)*C24</f>
        <v/>
      </c>
      <c r="E24" s="49" t="n">
        <v>22</v>
      </c>
      <c r="F24" s="49">
        <f>F23</f>
        <v/>
      </c>
      <c r="G24" s="48">
        <f>G23</f>
        <v/>
      </c>
      <c r="H24" s="48">
        <f>F24+(E24-1)*G24</f>
        <v/>
      </c>
      <c r="I24" s="49" t="n">
        <v>22</v>
      </c>
      <c r="J24" s="49">
        <f>J23</f>
        <v/>
      </c>
      <c r="K24" s="48">
        <f>K23</f>
        <v/>
      </c>
      <c r="L24" s="48">
        <f>J24+(I24-1)*K24</f>
        <v/>
      </c>
      <c r="M24" s="49" t="n">
        <v>22</v>
      </c>
      <c r="N24" s="49">
        <f>N23</f>
        <v/>
      </c>
      <c r="O24" s="48">
        <f>O23</f>
        <v/>
      </c>
      <c r="P24" s="48">
        <f>N24+(M24-1)*O24</f>
        <v/>
      </c>
      <c r="Q24" s="49" t="n">
        <v>22</v>
      </c>
      <c r="R24" s="49">
        <f>R23</f>
        <v/>
      </c>
      <c r="S24" s="48">
        <f>S23</f>
        <v/>
      </c>
      <c r="T24" s="48">
        <f>R24+(Q24-1)*S24</f>
        <v/>
      </c>
      <c r="U24" s="49" t="n">
        <v>22</v>
      </c>
      <c r="V24" s="49">
        <f>V23</f>
        <v/>
      </c>
      <c r="W24" s="48">
        <f>W23</f>
        <v/>
      </c>
      <c r="X24" s="48">
        <f>V24+(U24-1)*W24</f>
        <v/>
      </c>
      <c r="Y24" s="49" t="n">
        <v>22</v>
      </c>
      <c r="Z24" s="49">
        <f>Z23</f>
        <v/>
      </c>
      <c r="AA24" s="48">
        <f>AA23</f>
        <v/>
      </c>
      <c r="AB24" s="48">
        <f>Z24+(Y24-1)*AA24</f>
        <v/>
      </c>
      <c r="AC24" s="49" t="n">
        <v>22</v>
      </c>
      <c r="AD24" s="49">
        <f>AD23</f>
        <v/>
      </c>
      <c r="AE24" s="48">
        <f>AE23</f>
        <v/>
      </c>
      <c r="AF24" s="48">
        <f>AD24+(AC24-1)*AE24</f>
        <v/>
      </c>
      <c r="AG24" s="49" t="n">
        <v>22</v>
      </c>
      <c r="AH24" s="49">
        <f>AH23</f>
        <v/>
      </c>
      <c r="AI24" s="48">
        <f>AI23</f>
        <v/>
      </c>
      <c r="AJ24" s="48">
        <f>AH24+(AG24-1)*AI24</f>
        <v/>
      </c>
      <c r="AK24" s="49" t="n">
        <v>22</v>
      </c>
      <c r="AL24" s="49">
        <f>AL23</f>
        <v/>
      </c>
      <c r="AM24" s="48">
        <f>AM23</f>
        <v/>
      </c>
      <c r="AN24" s="48">
        <f>AL24+(AK24-1)*AM24</f>
        <v/>
      </c>
      <c r="AO24" s="49" t="n">
        <v>22</v>
      </c>
      <c r="AP24" s="49">
        <f>AP23</f>
        <v/>
      </c>
      <c r="AQ24" s="48">
        <f>AQ23</f>
        <v/>
      </c>
      <c r="AR24" s="48">
        <f>AP24+(AO24-1)*AQ24</f>
        <v/>
      </c>
      <c r="AS24" s="49" t="n">
        <v>22</v>
      </c>
      <c r="AT24" s="49">
        <f>AT23</f>
        <v/>
      </c>
      <c r="AU24" s="48">
        <f>AU23</f>
        <v/>
      </c>
      <c r="AV24" s="48">
        <f>AT24+(AS24-1)*AU24</f>
        <v/>
      </c>
      <c r="AW24" s="49" t="n">
        <v>22</v>
      </c>
      <c r="AX24" s="49">
        <f>AX23</f>
        <v/>
      </c>
      <c r="AY24" s="48">
        <f>ROUND(AX24*0.15,0)</f>
        <v/>
      </c>
      <c r="AZ24" s="48">
        <f>AX24+(AW24-1)*AY24</f>
        <v/>
      </c>
      <c r="BA24" s="49" t="n">
        <v>22</v>
      </c>
      <c r="BB24" s="49">
        <f>BB23</f>
        <v/>
      </c>
      <c r="BC24" s="48">
        <f>BC23</f>
        <v/>
      </c>
      <c r="BD24" s="48">
        <f>BB24+(BA24-1)*BC24</f>
        <v/>
      </c>
      <c r="BE24" s="49" t="n">
        <v>22</v>
      </c>
      <c r="BF24" s="49">
        <f>BF23</f>
        <v/>
      </c>
      <c r="BG24" s="48">
        <f>BG23</f>
        <v/>
      </c>
      <c r="BH24" s="48">
        <f>BF24+(BE24-1)*BG24</f>
        <v/>
      </c>
      <c r="BI24" s="49" t="n">
        <v>22</v>
      </c>
      <c r="BJ24" s="49">
        <f>BJ23</f>
        <v/>
      </c>
      <c r="BK24" s="48">
        <f>BK23</f>
        <v/>
      </c>
      <c r="BL24" s="48">
        <f>BJ24+(BI24-1)*BK24</f>
        <v/>
      </c>
      <c r="BM24" s="49" t="n">
        <v>22</v>
      </c>
      <c r="BN24" s="49">
        <f>BN23</f>
        <v/>
      </c>
      <c r="BO24" s="48">
        <f>BO23</f>
        <v/>
      </c>
      <c r="BP24" s="48">
        <f>BN24+(BM24-1)*BO24</f>
        <v/>
      </c>
      <c r="BQ24" s="49" t="n">
        <v>22</v>
      </c>
      <c r="BR24" s="49">
        <f>BR23</f>
        <v/>
      </c>
      <c r="BS24" s="48">
        <f>BS23</f>
        <v/>
      </c>
      <c r="BT24" s="48">
        <f>BR24+(BQ24-1)*BS24</f>
        <v/>
      </c>
      <c r="BU24" s="49" t="n">
        <v>22</v>
      </c>
      <c r="BV24" s="49">
        <f>BV23</f>
        <v/>
      </c>
      <c r="BW24" s="48">
        <f>BW23</f>
        <v/>
      </c>
      <c r="BX24" s="48">
        <f>BV24+(BU24-1)*BW24</f>
        <v/>
      </c>
      <c r="BY24" s="49" t="n">
        <v>22</v>
      </c>
      <c r="BZ24" s="49">
        <f>BZ23</f>
        <v/>
      </c>
      <c r="CA24" s="48">
        <f>CA23</f>
        <v/>
      </c>
      <c r="CB24" s="48">
        <f>BZ24+(BY24-1)*CA24</f>
        <v/>
      </c>
      <c r="CC24" s="49" t="n">
        <v>22</v>
      </c>
      <c r="CD24" s="49">
        <f>CD23</f>
        <v/>
      </c>
      <c r="CE24" s="48">
        <f>CE23</f>
        <v/>
      </c>
      <c r="CF24" s="48">
        <f>CD24+(CC24-1)*CE24</f>
        <v/>
      </c>
      <c r="CG24" s="49" t="n">
        <v>22</v>
      </c>
      <c r="CH24" s="49">
        <f>CH23</f>
        <v/>
      </c>
      <c r="CI24" s="48">
        <f>CI23</f>
        <v/>
      </c>
      <c r="CJ24" s="48">
        <f>CH24+(CG24-1)*CI24</f>
        <v/>
      </c>
      <c r="CK24" s="49" t="n">
        <v>22</v>
      </c>
      <c r="CL24" s="49">
        <f>CL23</f>
        <v/>
      </c>
      <c r="CM24" s="48">
        <f>CM23</f>
        <v/>
      </c>
      <c r="CN24" s="48">
        <f>CL24+(CK24-1)*CM24</f>
        <v/>
      </c>
      <c r="CO24" s="49" t="n">
        <v>22</v>
      </c>
      <c r="CP24" s="49">
        <f>CP23</f>
        <v/>
      </c>
      <c r="CQ24" s="48">
        <f>CQ23</f>
        <v/>
      </c>
      <c r="CR24" s="48">
        <f>CP24+(CO24-1)*CQ24</f>
        <v/>
      </c>
      <c r="CS24" s="49" t="n">
        <v>22</v>
      </c>
      <c r="CT24" s="49">
        <f>CT23</f>
        <v/>
      </c>
      <c r="CU24" s="48">
        <f>CU23</f>
        <v/>
      </c>
      <c r="CV24" s="48">
        <f>CT24+(CS24-1)*CU24</f>
        <v/>
      </c>
      <c r="CW24" s="49" t="n">
        <v>22</v>
      </c>
      <c r="CX24" s="49">
        <f>CX23</f>
        <v/>
      </c>
      <c r="CY24" s="48">
        <f>CY23</f>
        <v/>
      </c>
      <c r="CZ24" s="48">
        <f>CX24+(CW24-1)*CY24</f>
        <v/>
      </c>
      <c r="DA24" s="49" t="n">
        <v>22</v>
      </c>
      <c r="DB24" s="49">
        <f>DB23</f>
        <v/>
      </c>
      <c r="DC24" s="48">
        <f>DC23</f>
        <v/>
      </c>
      <c r="DD24" s="48">
        <f>DB24+(DA24-1)*DC24</f>
        <v/>
      </c>
      <c r="DE24" s="49" t="n">
        <v>22</v>
      </c>
      <c r="DF24" s="49">
        <f>DF23</f>
        <v/>
      </c>
      <c r="DG24" s="48">
        <f>DG23</f>
        <v/>
      </c>
      <c r="DH24" s="48">
        <f>DF24+(DE24-1)*DG24</f>
        <v/>
      </c>
      <c r="DI24" s="49" t="n">
        <v>22</v>
      </c>
      <c r="DJ24" s="49">
        <f>DJ23</f>
        <v/>
      </c>
      <c r="DK24" s="48">
        <f>DK23</f>
        <v/>
      </c>
      <c r="DL24" s="48">
        <f>DJ24+(DI24-1)*DK24</f>
        <v/>
      </c>
      <c r="DM24" s="49" t="n">
        <v>22</v>
      </c>
      <c r="DN24" s="49">
        <f>DN23</f>
        <v/>
      </c>
      <c r="DO24" s="48">
        <f>DO23</f>
        <v/>
      </c>
      <c r="DP24" s="48">
        <f>DN24+(DM24-1)*DO24</f>
        <v/>
      </c>
      <c r="DQ24" s="49" t="n">
        <v>22</v>
      </c>
      <c r="DR24" s="49">
        <f>DR23</f>
        <v/>
      </c>
      <c r="DS24" s="48">
        <f>DS23</f>
        <v/>
      </c>
      <c r="DT24" s="48">
        <f>DR24+(DQ24-1)*DS24</f>
        <v/>
      </c>
      <c r="DU24" s="49" t="n">
        <v>22</v>
      </c>
      <c r="DV24" s="49">
        <f>DV23</f>
        <v/>
      </c>
      <c r="DW24" s="48">
        <f>DW23</f>
        <v/>
      </c>
      <c r="DX24" s="48">
        <f>DV24+(DU24-1)*DW24</f>
        <v/>
      </c>
      <c r="DY24" s="49" t="n">
        <v>22</v>
      </c>
      <c r="DZ24" s="49">
        <f>DZ23</f>
        <v/>
      </c>
      <c r="EA24" s="48">
        <f>EA23</f>
        <v/>
      </c>
      <c r="EB24" s="48">
        <f>DZ24+(DY24-1)*EA24</f>
        <v/>
      </c>
      <c r="EC24" s="49" t="n">
        <v>22</v>
      </c>
      <c r="ED24" s="49">
        <f>ED23</f>
        <v/>
      </c>
      <c r="EE24" s="48">
        <f>EE23</f>
        <v/>
      </c>
      <c r="EF24" s="48">
        <f>ED24+(EC24-1)*EE24</f>
        <v/>
      </c>
      <c r="EG24" s="49" t="n">
        <v>22</v>
      </c>
      <c r="EH24" s="49">
        <f>EH23</f>
        <v/>
      </c>
      <c r="EI24" s="48">
        <f>EI23</f>
        <v/>
      </c>
      <c r="EJ24" s="48">
        <f>EH24+(EG24-1)*EI24</f>
        <v/>
      </c>
      <c r="EK24" s="49" t="n">
        <v>22</v>
      </c>
      <c r="EL24" s="49">
        <f>EL23</f>
        <v/>
      </c>
      <c r="EM24" s="48">
        <f>EM23</f>
        <v/>
      </c>
      <c r="EN24" s="48">
        <f>EL24+(EK24-1)*EM24</f>
        <v/>
      </c>
      <c r="EO24" s="49" t="n">
        <v>22</v>
      </c>
      <c r="EP24" s="49">
        <f>EP23</f>
        <v/>
      </c>
      <c r="EQ24" s="48">
        <f>EQ23</f>
        <v/>
      </c>
      <c r="ER24" s="48">
        <f>EP24+(EO24-1)*EQ24</f>
        <v/>
      </c>
      <c r="ES24" s="49" t="n">
        <v>22</v>
      </c>
      <c r="ET24" s="49">
        <f>ET23</f>
        <v/>
      </c>
      <c r="EU24" s="48">
        <f>EU23</f>
        <v/>
      </c>
      <c r="EV24" s="48">
        <f>ET24+(ES24-1)*EU24</f>
        <v/>
      </c>
      <c r="EW24" s="49" t="n">
        <v>22</v>
      </c>
      <c r="EX24" s="49">
        <f>EX23</f>
        <v/>
      </c>
      <c r="EY24" s="48">
        <f>EY23</f>
        <v/>
      </c>
      <c r="EZ24" s="48">
        <f>EX24+(EW24-1)*EY24</f>
        <v/>
      </c>
      <c r="FA24" s="49" t="n">
        <v>22</v>
      </c>
      <c r="FB24" s="49">
        <f>FB23</f>
        <v/>
      </c>
      <c r="FC24" s="48">
        <f>FC23</f>
        <v/>
      </c>
      <c r="FD24" s="48">
        <f>FB24+(FA24-1)*FC24</f>
        <v/>
      </c>
    </row>
    <row r="25">
      <c r="A25" s="49" t="n">
        <v>23</v>
      </c>
      <c r="B25" s="49">
        <f>B24</f>
        <v/>
      </c>
      <c r="C25" s="48">
        <f>C24</f>
        <v/>
      </c>
      <c r="D25" s="48">
        <f>B25+(A25-1)*C25</f>
        <v/>
      </c>
      <c r="E25" s="49" t="n">
        <v>23</v>
      </c>
      <c r="F25" s="49">
        <f>F24</f>
        <v/>
      </c>
      <c r="G25" s="48">
        <f>G24</f>
        <v/>
      </c>
      <c r="H25" s="48">
        <f>F25+(E25-1)*G25</f>
        <v/>
      </c>
      <c r="I25" s="48" t="n">
        <v>23</v>
      </c>
      <c r="J25" s="49">
        <f>J24</f>
        <v/>
      </c>
      <c r="K25" s="48">
        <f>K24</f>
        <v/>
      </c>
      <c r="L25" s="48">
        <f>J25+(I25-1)*K25</f>
        <v/>
      </c>
      <c r="M25" s="48" t="n">
        <v>23</v>
      </c>
      <c r="N25" s="49">
        <f>N24</f>
        <v/>
      </c>
      <c r="O25" s="48">
        <f>O24</f>
        <v/>
      </c>
      <c r="P25" s="48">
        <f>N25+(M25-1)*O25</f>
        <v/>
      </c>
      <c r="Q25" s="49" t="n">
        <v>23</v>
      </c>
      <c r="R25" s="49">
        <f>R24</f>
        <v/>
      </c>
      <c r="S25" s="48">
        <f>S24</f>
        <v/>
      </c>
      <c r="T25" s="48">
        <f>R25+(Q25-1)*S25</f>
        <v/>
      </c>
      <c r="U25" s="49" t="n">
        <v>23</v>
      </c>
      <c r="V25" s="49">
        <f>V24</f>
        <v/>
      </c>
      <c r="W25" s="48">
        <f>W24</f>
        <v/>
      </c>
      <c r="X25" s="48">
        <f>V25+(U25-1)*W25</f>
        <v/>
      </c>
      <c r="Y25" s="49" t="n">
        <v>23</v>
      </c>
      <c r="Z25" s="49">
        <f>Z24</f>
        <v/>
      </c>
      <c r="AA25" s="48">
        <f>AA24</f>
        <v/>
      </c>
      <c r="AB25" s="48">
        <f>Z25+(Y25-1)*AA25</f>
        <v/>
      </c>
      <c r="AC25" s="48" t="n">
        <v>23</v>
      </c>
      <c r="AD25" s="49">
        <f>AD24</f>
        <v/>
      </c>
      <c r="AE25" s="48">
        <f>AE24</f>
        <v/>
      </c>
      <c r="AF25" s="48">
        <f>AD25+(AC25-1)*AE25</f>
        <v/>
      </c>
      <c r="AG25" s="48" t="n">
        <v>23</v>
      </c>
      <c r="AH25" s="49">
        <f>AH24</f>
        <v/>
      </c>
      <c r="AI25" s="48">
        <f>AI24</f>
        <v/>
      </c>
      <c r="AJ25" s="48">
        <f>AH25+(AG25-1)*AI25</f>
        <v/>
      </c>
      <c r="AK25" s="48" t="n">
        <v>23</v>
      </c>
      <c r="AL25" s="49">
        <f>AL24</f>
        <v/>
      </c>
      <c r="AM25" s="48">
        <f>AM24</f>
        <v/>
      </c>
      <c r="AN25" s="48">
        <f>AL25+(AK25-1)*AM25</f>
        <v/>
      </c>
      <c r="AO25" s="48" t="n">
        <v>23</v>
      </c>
      <c r="AP25" s="49">
        <f>AP24</f>
        <v/>
      </c>
      <c r="AQ25" s="48">
        <f>AQ24</f>
        <v/>
      </c>
      <c r="AR25" s="48">
        <f>AP25+(AO25-1)*AQ25</f>
        <v/>
      </c>
      <c r="AS25" s="48" t="n">
        <v>23</v>
      </c>
      <c r="AT25" s="49">
        <f>AT24</f>
        <v/>
      </c>
      <c r="AU25" s="48">
        <f>AU24</f>
        <v/>
      </c>
      <c r="AV25" s="48">
        <f>AT25+(AS25-1)*AU25</f>
        <v/>
      </c>
      <c r="AW25" s="49" t="n">
        <v>23</v>
      </c>
      <c r="AX25" s="49">
        <f>AX24</f>
        <v/>
      </c>
      <c r="AY25" s="48">
        <f>ROUND(AX25*0.15,0)</f>
        <v/>
      </c>
      <c r="AZ25" s="48">
        <f>AX25+(AW25-1)*AY25</f>
        <v/>
      </c>
      <c r="BA25" s="49" t="n">
        <v>23</v>
      </c>
      <c r="BB25" s="49">
        <f>BB24</f>
        <v/>
      </c>
      <c r="BC25" s="48">
        <f>BC24</f>
        <v/>
      </c>
      <c r="BD25" s="48">
        <f>BB25+(BA25-1)*BC25</f>
        <v/>
      </c>
      <c r="BE25" s="49" t="n">
        <v>23</v>
      </c>
      <c r="BF25" s="49">
        <f>BF24</f>
        <v/>
      </c>
      <c r="BG25" s="48">
        <f>BG24</f>
        <v/>
      </c>
      <c r="BH25" s="48">
        <f>BF25+(BE25-1)*BG25</f>
        <v/>
      </c>
      <c r="BI25" s="48" t="n">
        <v>23</v>
      </c>
      <c r="BJ25" s="49">
        <f>BJ24</f>
        <v/>
      </c>
      <c r="BK25" s="48">
        <f>BK24</f>
        <v/>
      </c>
      <c r="BL25" s="48">
        <f>BJ25+(BI25-1)*BK25</f>
        <v/>
      </c>
      <c r="BM25" s="48" t="n">
        <v>23</v>
      </c>
      <c r="BN25" s="49">
        <f>BN24</f>
        <v/>
      </c>
      <c r="BO25" s="48">
        <f>BO24</f>
        <v/>
      </c>
      <c r="BP25" s="48">
        <f>BN25+(BM25-1)*BO25</f>
        <v/>
      </c>
      <c r="BQ25" s="48" t="n">
        <v>23</v>
      </c>
      <c r="BR25" s="49">
        <f>BR24</f>
        <v/>
      </c>
      <c r="BS25" s="48">
        <f>BS24</f>
        <v/>
      </c>
      <c r="BT25" s="48">
        <f>BR25+(BQ25-1)*BS25</f>
        <v/>
      </c>
      <c r="BU25" s="48" t="n">
        <v>23</v>
      </c>
      <c r="BV25" s="49">
        <f>BV24</f>
        <v/>
      </c>
      <c r="BW25" s="48">
        <f>BW24</f>
        <v/>
      </c>
      <c r="BX25" s="48">
        <f>BV25+(BU25-1)*BW25</f>
        <v/>
      </c>
      <c r="BY25" s="48" t="n">
        <v>23</v>
      </c>
      <c r="BZ25" s="49">
        <f>BZ24</f>
        <v/>
      </c>
      <c r="CA25" s="48">
        <f>CA24</f>
        <v/>
      </c>
      <c r="CB25" s="48">
        <f>BZ25+(BY25-1)*CA25</f>
        <v/>
      </c>
      <c r="CC25" s="49" t="n">
        <v>23</v>
      </c>
      <c r="CD25" s="49">
        <f>CD24</f>
        <v/>
      </c>
      <c r="CE25" s="48">
        <f>CE24</f>
        <v/>
      </c>
      <c r="CF25" s="48">
        <f>CD25+(CC25-1)*CE25</f>
        <v/>
      </c>
      <c r="CG25" s="49" t="n">
        <v>23</v>
      </c>
      <c r="CH25" s="49">
        <f>CH24</f>
        <v/>
      </c>
      <c r="CI25" s="48">
        <f>CI24</f>
        <v/>
      </c>
      <c r="CJ25" s="48">
        <f>CH25+(CG25-1)*CI25</f>
        <v/>
      </c>
      <c r="CK25" s="49" t="n">
        <v>23</v>
      </c>
      <c r="CL25" s="49">
        <f>CL24</f>
        <v/>
      </c>
      <c r="CM25" s="48">
        <f>CM24</f>
        <v/>
      </c>
      <c r="CN25" s="48">
        <f>CL25+(CK25-1)*CM25</f>
        <v/>
      </c>
      <c r="CO25" s="48" t="n">
        <v>23</v>
      </c>
      <c r="CP25" s="49">
        <f>CP24</f>
        <v/>
      </c>
      <c r="CQ25" s="48">
        <f>CQ24</f>
        <v/>
      </c>
      <c r="CR25" s="48">
        <f>CP25+(CO25-1)*CQ25</f>
        <v/>
      </c>
      <c r="CS25" s="48" t="n">
        <v>23</v>
      </c>
      <c r="CT25" s="49">
        <f>CT24</f>
        <v/>
      </c>
      <c r="CU25" s="48">
        <f>CU24</f>
        <v/>
      </c>
      <c r="CV25" s="48">
        <f>CT25+(CS25-1)*CU25</f>
        <v/>
      </c>
      <c r="CW25" s="48" t="n">
        <v>23</v>
      </c>
      <c r="CX25" s="49">
        <f>CX24</f>
        <v/>
      </c>
      <c r="CY25" s="48">
        <f>CY24</f>
        <v/>
      </c>
      <c r="CZ25" s="48">
        <f>CX25+(CW25-1)*CY25</f>
        <v/>
      </c>
      <c r="DA25" s="48" t="n">
        <v>23</v>
      </c>
      <c r="DB25" s="49">
        <f>DB24</f>
        <v/>
      </c>
      <c r="DC25" s="48">
        <f>DC24</f>
        <v/>
      </c>
      <c r="DD25" s="48">
        <f>DB25+(DA25-1)*DC25</f>
        <v/>
      </c>
      <c r="DE25" s="48" t="n">
        <v>23</v>
      </c>
      <c r="DF25" s="49">
        <f>DF24</f>
        <v/>
      </c>
      <c r="DG25" s="48">
        <f>DG24</f>
        <v/>
      </c>
      <c r="DH25" s="48">
        <f>DF25+(DE25-1)*DG25</f>
        <v/>
      </c>
      <c r="DI25" s="48" t="n">
        <v>23</v>
      </c>
      <c r="DJ25" s="49">
        <f>DJ24</f>
        <v/>
      </c>
      <c r="DK25" s="48">
        <f>DK24</f>
        <v/>
      </c>
      <c r="DL25" s="48">
        <f>DJ25+(DI25-1)*DK25</f>
        <v/>
      </c>
      <c r="DM25" s="48" t="n">
        <v>23</v>
      </c>
      <c r="DN25" s="49">
        <f>DN24</f>
        <v/>
      </c>
      <c r="DO25" s="48">
        <f>DO24</f>
        <v/>
      </c>
      <c r="DP25" s="48">
        <f>DN25+(DM25-1)*DO25</f>
        <v/>
      </c>
      <c r="DQ25" s="48" t="n">
        <v>23</v>
      </c>
      <c r="DR25" s="49">
        <f>DR24</f>
        <v/>
      </c>
      <c r="DS25" s="48">
        <f>DS24</f>
        <v/>
      </c>
      <c r="DT25" s="48">
        <f>DR25+(DQ25-1)*DS25</f>
        <v/>
      </c>
      <c r="DU25" s="48" t="n">
        <v>23</v>
      </c>
      <c r="DV25" s="49">
        <f>DV24</f>
        <v/>
      </c>
      <c r="DW25" s="48">
        <f>DW24</f>
        <v/>
      </c>
      <c r="DX25" s="48">
        <f>DV25+(DU25-1)*DW25</f>
        <v/>
      </c>
      <c r="DY25" s="49" t="n">
        <v>23</v>
      </c>
      <c r="DZ25" s="49">
        <f>DZ24</f>
        <v/>
      </c>
      <c r="EA25" s="48">
        <f>EA24</f>
        <v/>
      </c>
      <c r="EB25" s="48">
        <f>DZ25+(DY25-1)*EA25</f>
        <v/>
      </c>
      <c r="EC25" s="49" t="n">
        <v>23</v>
      </c>
      <c r="ED25" s="49">
        <f>ED24</f>
        <v/>
      </c>
      <c r="EE25" s="48">
        <f>EE24</f>
        <v/>
      </c>
      <c r="EF25" s="48">
        <f>ED25+(EC25-1)*EE25</f>
        <v/>
      </c>
      <c r="EG25" s="49" t="n">
        <v>23</v>
      </c>
      <c r="EH25" s="49">
        <f>EH24</f>
        <v/>
      </c>
      <c r="EI25" s="48">
        <f>EI24</f>
        <v/>
      </c>
      <c r="EJ25" s="48">
        <f>EH25+(EG25-1)*EI25</f>
        <v/>
      </c>
      <c r="EK25" s="48" t="n">
        <v>23</v>
      </c>
      <c r="EL25" s="49">
        <f>EL24</f>
        <v/>
      </c>
      <c r="EM25" s="48">
        <f>EM24</f>
        <v/>
      </c>
      <c r="EN25" s="48">
        <f>EL25+(EK25-1)*EM25</f>
        <v/>
      </c>
      <c r="EO25" s="48" t="n">
        <v>23</v>
      </c>
      <c r="EP25" s="49">
        <f>EP24</f>
        <v/>
      </c>
      <c r="EQ25" s="48">
        <f>EQ24</f>
        <v/>
      </c>
      <c r="ER25" s="48">
        <f>EP25+(EO25-1)*EQ25</f>
        <v/>
      </c>
      <c r="ES25" s="48" t="n">
        <v>23</v>
      </c>
      <c r="ET25" s="49">
        <f>ET24</f>
        <v/>
      </c>
      <c r="EU25" s="48">
        <f>EU24</f>
        <v/>
      </c>
      <c r="EV25" s="48">
        <f>ET25+(ES25-1)*EU25</f>
        <v/>
      </c>
      <c r="EW25" s="48" t="n">
        <v>23</v>
      </c>
      <c r="EX25" s="49">
        <f>EX24</f>
        <v/>
      </c>
      <c r="EY25" s="48">
        <f>EY24</f>
        <v/>
      </c>
      <c r="EZ25" s="48">
        <f>EX25+(EW25-1)*EY25</f>
        <v/>
      </c>
      <c r="FA25" s="48" t="n">
        <v>23</v>
      </c>
      <c r="FB25" s="49">
        <f>FB24</f>
        <v/>
      </c>
      <c r="FC25" s="48">
        <f>FC24</f>
        <v/>
      </c>
      <c r="FD25" s="48">
        <f>FB25+(FA25-1)*FC25</f>
        <v/>
      </c>
    </row>
    <row r="26">
      <c r="A26" s="49" t="n">
        <v>24</v>
      </c>
      <c r="B26" s="49">
        <f>B25</f>
        <v/>
      </c>
      <c r="C26" s="48">
        <f>C25</f>
        <v/>
      </c>
      <c r="D26" s="48">
        <f>B26+(A26-1)*C26</f>
        <v/>
      </c>
      <c r="E26" s="49" t="n">
        <v>24</v>
      </c>
      <c r="F26" s="49">
        <f>F25</f>
        <v/>
      </c>
      <c r="G26" s="48">
        <f>G25</f>
        <v/>
      </c>
      <c r="H26" s="48">
        <f>F26+(E26-1)*G26</f>
        <v/>
      </c>
      <c r="I26" s="49" t="n">
        <v>24</v>
      </c>
      <c r="J26" s="49">
        <f>J25</f>
        <v/>
      </c>
      <c r="K26" s="48">
        <f>K25</f>
        <v/>
      </c>
      <c r="L26" s="48">
        <f>J26+(I26-1)*K26</f>
        <v/>
      </c>
      <c r="M26" s="49" t="n">
        <v>24</v>
      </c>
      <c r="N26" s="49">
        <f>N25</f>
        <v/>
      </c>
      <c r="O26" s="48">
        <f>O25</f>
        <v/>
      </c>
      <c r="P26" s="48">
        <f>N26+(M26-1)*O26</f>
        <v/>
      </c>
      <c r="Q26" s="49" t="n">
        <v>24</v>
      </c>
      <c r="R26" s="49">
        <f>R25</f>
        <v/>
      </c>
      <c r="S26" s="48">
        <f>S25</f>
        <v/>
      </c>
      <c r="T26" s="48">
        <f>R26+(Q26-1)*S26</f>
        <v/>
      </c>
      <c r="U26" s="49" t="n">
        <v>24</v>
      </c>
      <c r="V26" s="49">
        <f>V25</f>
        <v/>
      </c>
      <c r="W26" s="48">
        <f>W25</f>
        <v/>
      </c>
      <c r="X26" s="48">
        <f>V26+(U26-1)*W26</f>
        <v/>
      </c>
      <c r="Y26" s="49" t="n">
        <v>24</v>
      </c>
      <c r="Z26" s="49">
        <f>Z25</f>
        <v/>
      </c>
      <c r="AA26" s="48">
        <f>AA25</f>
        <v/>
      </c>
      <c r="AB26" s="48">
        <f>Z26+(Y26-1)*AA26</f>
        <v/>
      </c>
      <c r="AC26" s="49" t="n">
        <v>24</v>
      </c>
      <c r="AD26" s="49">
        <f>AD25</f>
        <v/>
      </c>
      <c r="AE26" s="48">
        <f>AE25</f>
        <v/>
      </c>
      <c r="AF26" s="48">
        <f>AD26+(AC26-1)*AE26</f>
        <v/>
      </c>
      <c r="AG26" s="49" t="n">
        <v>24</v>
      </c>
      <c r="AH26" s="49">
        <f>AH25</f>
        <v/>
      </c>
      <c r="AI26" s="48">
        <f>AI25</f>
        <v/>
      </c>
      <c r="AJ26" s="48">
        <f>AH26+(AG26-1)*AI26</f>
        <v/>
      </c>
      <c r="AK26" s="49" t="n">
        <v>24</v>
      </c>
      <c r="AL26" s="49">
        <f>AL25</f>
        <v/>
      </c>
      <c r="AM26" s="48">
        <f>AM25</f>
        <v/>
      </c>
      <c r="AN26" s="48">
        <f>AL26+(AK26-1)*AM26</f>
        <v/>
      </c>
      <c r="AO26" s="49" t="n">
        <v>24</v>
      </c>
      <c r="AP26" s="49">
        <f>AP25</f>
        <v/>
      </c>
      <c r="AQ26" s="48">
        <f>AQ25</f>
        <v/>
      </c>
      <c r="AR26" s="48">
        <f>AP26+(AO26-1)*AQ26</f>
        <v/>
      </c>
      <c r="AS26" s="49" t="n">
        <v>24</v>
      </c>
      <c r="AT26" s="49">
        <f>AT25</f>
        <v/>
      </c>
      <c r="AU26" s="48">
        <f>AU25</f>
        <v/>
      </c>
      <c r="AV26" s="48">
        <f>AT26+(AS26-1)*AU26</f>
        <v/>
      </c>
      <c r="AW26" s="49" t="n">
        <v>24</v>
      </c>
      <c r="AX26" s="49">
        <f>AX25</f>
        <v/>
      </c>
      <c r="AY26" s="48">
        <f>ROUND(AX26*0.15,0)</f>
        <v/>
      </c>
      <c r="AZ26" s="48">
        <f>AX26+(AW26-1)*AY26</f>
        <v/>
      </c>
      <c r="BA26" s="49" t="n">
        <v>24</v>
      </c>
      <c r="BB26" s="49">
        <f>BB25</f>
        <v/>
      </c>
      <c r="BC26" s="48">
        <f>BC25</f>
        <v/>
      </c>
      <c r="BD26" s="48">
        <f>BB26+(BA26-1)*BC26</f>
        <v/>
      </c>
      <c r="BE26" s="49" t="n">
        <v>24</v>
      </c>
      <c r="BF26" s="49">
        <f>BF25</f>
        <v/>
      </c>
      <c r="BG26" s="48">
        <f>BG25</f>
        <v/>
      </c>
      <c r="BH26" s="48">
        <f>BF26+(BE26-1)*BG26</f>
        <v/>
      </c>
      <c r="BI26" s="49" t="n">
        <v>24</v>
      </c>
      <c r="BJ26" s="49">
        <f>BJ25</f>
        <v/>
      </c>
      <c r="BK26" s="48">
        <f>BK25</f>
        <v/>
      </c>
      <c r="BL26" s="48">
        <f>BJ26+(BI26-1)*BK26</f>
        <v/>
      </c>
      <c r="BM26" s="49" t="n">
        <v>24</v>
      </c>
      <c r="BN26" s="49">
        <f>BN25</f>
        <v/>
      </c>
      <c r="BO26" s="48">
        <f>BO25</f>
        <v/>
      </c>
      <c r="BP26" s="48">
        <f>BN26+(BM26-1)*BO26</f>
        <v/>
      </c>
      <c r="BQ26" s="49" t="n">
        <v>24</v>
      </c>
      <c r="BR26" s="49">
        <f>BR25</f>
        <v/>
      </c>
      <c r="BS26" s="48">
        <f>BS25</f>
        <v/>
      </c>
      <c r="BT26" s="48">
        <f>BR26+(BQ26-1)*BS26</f>
        <v/>
      </c>
      <c r="BU26" s="49" t="n">
        <v>24</v>
      </c>
      <c r="BV26" s="49">
        <f>BV25</f>
        <v/>
      </c>
      <c r="BW26" s="48">
        <f>BW25</f>
        <v/>
      </c>
      <c r="BX26" s="48">
        <f>BV26+(BU26-1)*BW26</f>
        <v/>
      </c>
      <c r="BY26" s="49" t="n">
        <v>24</v>
      </c>
      <c r="BZ26" s="49">
        <f>BZ25</f>
        <v/>
      </c>
      <c r="CA26" s="48">
        <f>CA25</f>
        <v/>
      </c>
      <c r="CB26" s="48">
        <f>BZ26+(BY26-1)*CA26</f>
        <v/>
      </c>
      <c r="CC26" s="49" t="n">
        <v>24</v>
      </c>
      <c r="CD26" s="49">
        <f>CD25</f>
        <v/>
      </c>
      <c r="CE26" s="48">
        <f>CE25</f>
        <v/>
      </c>
      <c r="CF26" s="48">
        <f>CD26+(CC26-1)*CE26</f>
        <v/>
      </c>
      <c r="CG26" s="49" t="n">
        <v>24</v>
      </c>
      <c r="CH26" s="49">
        <f>CH25</f>
        <v/>
      </c>
      <c r="CI26" s="48">
        <f>CI25</f>
        <v/>
      </c>
      <c r="CJ26" s="48">
        <f>CH26+(CG26-1)*CI26</f>
        <v/>
      </c>
      <c r="CK26" s="49" t="n">
        <v>24</v>
      </c>
      <c r="CL26" s="49">
        <f>CL25</f>
        <v/>
      </c>
      <c r="CM26" s="48">
        <f>CM25</f>
        <v/>
      </c>
      <c r="CN26" s="48">
        <f>CL26+(CK26-1)*CM26</f>
        <v/>
      </c>
      <c r="CO26" s="49" t="n">
        <v>24</v>
      </c>
      <c r="CP26" s="49">
        <f>CP25</f>
        <v/>
      </c>
      <c r="CQ26" s="48">
        <f>CQ25</f>
        <v/>
      </c>
      <c r="CR26" s="48">
        <f>CP26+(CO26-1)*CQ26</f>
        <v/>
      </c>
      <c r="CS26" s="49" t="n">
        <v>24</v>
      </c>
      <c r="CT26" s="49">
        <f>CT25</f>
        <v/>
      </c>
      <c r="CU26" s="48">
        <f>CU25</f>
        <v/>
      </c>
      <c r="CV26" s="48">
        <f>CT26+(CS26-1)*CU26</f>
        <v/>
      </c>
      <c r="CW26" s="49" t="n">
        <v>24</v>
      </c>
      <c r="CX26" s="49">
        <f>CX25</f>
        <v/>
      </c>
      <c r="CY26" s="48">
        <f>CY25</f>
        <v/>
      </c>
      <c r="CZ26" s="48">
        <f>CX26+(CW26-1)*CY26</f>
        <v/>
      </c>
      <c r="DA26" s="49" t="n">
        <v>24</v>
      </c>
      <c r="DB26" s="49">
        <f>DB25</f>
        <v/>
      </c>
      <c r="DC26" s="48">
        <f>DC25</f>
        <v/>
      </c>
      <c r="DD26" s="48">
        <f>DB26+(DA26-1)*DC26</f>
        <v/>
      </c>
      <c r="DE26" s="49" t="n">
        <v>24</v>
      </c>
      <c r="DF26" s="49">
        <f>DF25</f>
        <v/>
      </c>
      <c r="DG26" s="48">
        <f>DG25</f>
        <v/>
      </c>
      <c r="DH26" s="48">
        <f>DF26+(DE26-1)*DG26</f>
        <v/>
      </c>
      <c r="DI26" s="49" t="n">
        <v>24</v>
      </c>
      <c r="DJ26" s="49">
        <f>DJ25</f>
        <v/>
      </c>
      <c r="DK26" s="48">
        <f>DK25</f>
        <v/>
      </c>
      <c r="DL26" s="48">
        <f>DJ26+(DI26-1)*DK26</f>
        <v/>
      </c>
      <c r="DM26" s="49" t="n">
        <v>24</v>
      </c>
      <c r="DN26" s="49">
        <f>DN25</f>
        <v/>
      </c>
      <c r="DO26" s="48">
        <f>DO25</f>
        <v/>
      </c>
      <c r="DP26" s="48">
        <f>DN26+(DM26-1)*DO26</f>
        <v/>
      </c>
      <c r="DQ26" s="49" t="n">
        <v>24</v>
      </c>
      <c r="DR26" s="49">
        <f>DR25</f>
        <v/>
      </c>
      <c r="DS26" s="48">
        <f>DS25</f>
        <v/>
      </c>
      <c r="DT26" s="48">
        <f>DR26+(DQ26-1)*DS26</f>
        <v/>
      </c>
      <c r="DU26" s="49" t="n">
        <v>24</v>
      </c>
      <c r="DV26" s="49">
        <f>DV25</f>
        <v/>
      </c>
      <c r="DW26" s="48">
        <f>DW25</f>
        <v/>
      </c>
      <c r="DX26" s="48">
        <f>DV26+(DU26-1)*DW26</f>
        <v/>
      </c>
      <c r="DY26" s="49" t="n">
        <v>24</v>
      </c>
      <c r="DZ26" s="49">
        <f>DZ25</f>
        <v/>
      </c>
      <c r="EA26" s="48">
        <f>EA25</f>
        <v/>
      </c>
      <c r="EB26" s="48">
        <f>DZ26+(DY26-1)*EA26</f>
        <v/>
      </c>
      <c r="EC26" s="49" t="n">
        <v>24</v>
      </c>
      <c r="ED26" s="49">
        <f>ED25</f>
        <v/>
      </c>
      <c r="EE26" s="48">
        <f>EE25</f>
        <v/>
      </c>
      <c r="EF26" s="48">
        <f>ED26+(EC26-1)*EE26</f>
        <v/>
      </c>
      <c r="EG26" s="49" t="n">
        <v>24</v>
      </c>
      <c r="EH26" s="49">
        <f>EH25</f>
        <v/>
      </c>
      <c r="EI26" s="48">
        <f>EI25</f>
        <v/>
      </c>
      <c r="EJ26" s="48">
        <f>EH26+(EG26-1)*EI26</f>
        <v/>
      </c>
      <c r="EK26" s="49" t="n">
        <v>24</v>
      </c>
      <c r="EL26" s="49">
        <f>EL25</f>
        <v/>
      </c>
      <c r="EM26" s="48">
        <f>EM25</f>
        <v/>
      </c>
      <c r="EN26" s="48">
        <f>EL26+(EK26-1)*EM26</f>
        <v/>
      </c>
      <c r="EO26" s="49" t="n">
        <v>24</v>
      </c>
      <c r="EP26" s="49">
        <f>EP25</f>
        <v/>
      </c>
      <c r="EQ26" s="48">
        <f>EQ25</f>
        <v/>
      </c>
      <c r="ER26" s="48">
        <f>EP26+(EO26-1)*EQ26</f>
        <v/>
      </c>
      <c r="ES26" s="49" t="n">
        <v>24</v>
      </c>
      <c r="ET26" s="49">
        <f>ET25</f>
        <v/>
      </c>
      <c r="EU26" s="48">
        <f>EU25</f>
        <v/>
      </c>
      <c r="EV26" s="48">
        <f>ET26+(ES26-1)*EU26</f>
        <v/>
      </c>
      <c r="EW26" s="49" t="n">
        <v>24</v>
      </c>
      <c r="EX26" s="49">
        <f>EX25</f>
        <v/>
      </c>
      <c r="EY26" s="48">
        <f>EY25</f>
        <v/>
      </c>
      <c r="EZ26" s="48">
        <f>EX26+(EW26-1)*EY26</f>
        <v/>
      </c>
      <c r="FA26" s="49" t="n">
        <v>24</v>
      </c>
      <c r="FB26" s="49">
        <f>FB25</f>
        <v/>
      </c>
      <c r="FC26" s="48">
        <f>FC25</f>
        <v/>
      </c>
      <c r="FD26" s="48">
        <f>FB26+(FA26-1)*FC26</f>
        <v/>
      </c>
    </row>
    <row r="27">
      <c r="A27" s="49" t="n">
        <v>25</v>
      </c>
      <c r="B27" s="49">
        <f>B26</f>
        <v/>
      </c>
      <c r="C27" s="48">
        <f>C26</f>
        <v/>
      </c>
      <c r="D27" s="48">
        <f>B27+(A27-1)*C27</f>
        <v/>
      </c>
      <c r="E27" s="49" t="n">
        <v>25</v>
      </c>
      <c r="F27" s="49">
        <f>F26</f>
        <v/>
      </c>
      <c r="G27" s="48">
        <f>G26</f>
        <v/>
      </c>
      <c r="H27" s="48">
        <f>F27+(E27-1)*G27</f>
        <v/>
      </c>
      <c r="I27" s="48" t="n">
        <v>25</v>
      </c>
      <c r="J27" s="49">
        <f>J26</f>
        <v/>
      </c>
      <c r="K27" s="48">
        <f>K26</f>
        <v/>
      </c>
      <c r="L27" s="48">
        <f>J27+(I27-1)*K27</f>
        <v/>
      </c>
      <c r="M27" s="48" t="n">
        <v>25</v>
      </c>
      <c r="N27" s="49">
        <f>N26</f>
        <v/>
      </c>
      <c r="O27" s="48">
        <f>O26</f>
        <v/>
      </c>
      <c r="P27" s="48">
        <f>N27+(M27-1)*O27</f>
        <v/>
      </c>
      <c r="Q27" s="49" t="n">
        <v>25</v>
      </c>
      <c r="R27" s="49">
        <f>R26</f>
        <v/>
      </c>
      <c r="S27" s="48">
        <f>S26</f>
        <v/>
      </c>
      <c r="T27" s="48">
        <f>R27+(Q27-1)*S27</f>
        <v/>
      </c>
      <c r="U27" s="49" t="n">
        <v>25</v>
      </c>
      <c r="V27" s="49">
        <f>V26</f>
        <v/>
      </c>
      <c r="W27" s="48">
        <f>W26</f>
        <v/>
      </c>
      <c r="X27" s="48">
        <f>V27+(U27-1)*W27</f>
        <v/>
      </c>
      <c r="Y27" s="49" t="n">
        <v>25</v>
      </c>
      <c r="Z27" s="49">
        <f>Z26</f>
        <v/>
      </c>
      <c r="AA27" s="48">
        <f>AA26</f>
        <v/>
      </c>
      <c r="AB27" s="48">
        <f>Z27+(Y27-1)*AA27</f>
        <v/>
      </c>
      <c r="AC27" s="48" t="n">
        <v>25</v>
      </c>
      <c r="AD27" s="49">
        <f>AD26</f>
        <v/>
      </c>
      <c r="AE27" s="48">
        <f>AE26</f>
        <v/>
      </c>
      <c r="AF27" s="48">
        <f>AD27+(AC27-1)*AE27</f>
        <v/>
      </c>
      <c r="AG27" s="48" t="n">
        <v>25</v>
      </c>
      <c r="AH27" s="49">
        <f>AH26</f>
        <v/>
      </c>
      <c r="AI27" s="48">
        <f>AI26</f>
        <v/>
      </c>
      <c r="AJ27" s="48">
        <f>AH27+(AG27-1)*AI27</f>
        <v/>
      </c>
      <c r="AK27" s="48" t="n">
        <v>25</v>
      </c>
      <c r="AL27" s="49">
        <f>AL26</f>
        <v/>
      </c>
      <c r="AM27" s="48">
        <f>AM26</f>
        <v/>
      </c>
      <c r="AN27" s="48">
        <f>AL27+(AK27-1)*AM27</f>
        <v/>
      </c>
      <c r="AO27" s="48" t="n">
        <v>25</v>
      </c>
      <c r="AP27" s="49">
        <f>AP26</f>
        <v/>
      </c>
      <c r="AQ27" s="48">
        <f>AQ26</f>
        <v/>
      </c>
      <c r="AR27" s="48">
        <f>AP27+(AO27-1)*AQ27</f>
        <v/>
      </c>
      <c r="AS27" s="48" t="n">
        <v>25</v>
      </c>
      <c r="AT27" s="49">
        <f>AT26</f>
        <v/>
      </c>
      <c r="AU27" s="48">
        <f>AU26</f>
        <v/>
      </c>
      <c r="AV27" s="48">
        <f>AT27+(AS27-1)*AU27</f>
        <v/>
      </c>
      <c r="AW27" s="49" t="n">
        <v>25</v>
      </c>
      <c r="AX27" s="49">
        <f>AX26</f>
        <v/>
      </c>
      <c r="AY27" s="48">
        <f>ROUND(AX27*0.15,0)</f>
        <v/>
      </c>
      <c r="AZ27" s="48">
        <f>AX27+(AW27-1)*AY27</f>
        <v/>
      </c>
      <c r="BA27" s="49" t="n">
        <v>25</v>
      </c>
      <c r="BB27" s="49">
        <f>BB26</f>
        <v/>
      </c>
      <c r="BC27" s="48">
        <f>BC26</f>
        <v/>
      </c>
      <c r="BD27" s="48">
        <f>BB27+(BA27-1)*BC27</f>
        <v/>
      </c>
      <c r="BE27" s="49" t="n">
        <v>25</v>
      </c>
      <c r="BF27" s="49">
        <f>BF26</f>
        <v/>
      </c>
      <c r="BG27" s="48">
        <f>BG26</f>
        <v/>
      </c>
      <c r="BH27" s="48">
        <f>BF27+(BE27-1)*BG27</f>
        <v/>
      </c>
      <c r="BI27" s="48" t="n">
        <v>25</v>
      </c>
      <c r="BJ27" s="49">
        <f>BJ26</f>
        <v/>
      </c>
      <c r="BK27" s="48">
        <f>BK26</f>
        <v/>
      </c>
      <c r="BL27" s="48">
        <f>BJ27+(BI27-1)*BK27</f>
        <v/>
      </c>
      <c r="BM27" s="48" t="n">
        <v>25</v>
      </c>
      <c r="BN27" s="49">
        <f>BN26</f>
        <v/>
      </c>
      <c r="BO27" s="48">
        <f>BO26</f>
        <v/>
      </c>
      <c r="BP27" s="48">
        <f>BN27+(BM27-1)*BO27</f>
        <v/>
      </c>
      <c r="BQ27" s="48" t="n">
        <v>25</v>
      </c>
      <c r="BR27" s="49">
        <f>BR26</f>
        <v/>
      </c>
      <c r="BS27" s="48">
        <f>BS26</f>
        <v/>
      </c>
      <c r="BT27" s="48">
        <f>BR27+(BQ27-1)*BS27</f>
        <v/>
      </c>
      <c r="BU27" s="48" t="n">
        <v>25</v>
      </c>
      <c r="BV27" s="49">
        <f>BV26</f>
        <v/>
      </c>
      <c r="BW27" s="48">
        <f>BW26</f>
        <v/>
      </c>
      <c r="BX27" s="48">
        <f>BV27+(BU27-1)*BW27</f>
        <v/>
      </c>
      <c r="BY27" s="48" t="n">
        <v>25</v>
      </c>
      <c r="BZ27" s="49">
        <f>BZ26</f>
        <v/>
      </c>
      <c r="CA27" s="48">
        <f>CA26</f>
        <v/>
      </c>
      <c r="CB27" s="48">
        <f>BZ27+(BY27-1)*CA27</f>
        <v/>
      </c>
      <c r="CC27" s="49" t="n">
        <v>25</v>
      </c>
      <c r="CD27" s="49">
        <f>CD26</f>
        <v/>
      </c>
      <c r="CE27" s="48">
        <f>CE26</f>
        <v/>
      </c>
      <c r="CF27" s="48">
        <f>CD27+(CC27-1)*CE27</f>
        <v/>
      </c>
      <c r="CG27" s="49" t="n">
        <v>25</v>
      </c>
      <c r="CH27" s="49">
        <f>CH26</f>
        <v/>
      </c>
      <c r="CI27" s="48">
        <f>CI26</f>
        <v/>
      </c>
      <c r="CJ27" s="48">
        <f>CH27+(CG27-1)*CI27</f>
        <v/>
      </c>
      <c r="CK27" s="49" t="n">
        <v>25</v>
      </c>
      <c r="CL27" s="49">
        <f>CL26</f>
        <v/>
      </c>
      <c r="CM27" s="48">
        <f>CM26</f>
        <v/>
      </c>
      <c r="CN27" s="48">
        <f>CL27+(CK27-1)*CM27</f>
        <v/>
      </c>
      <c r="CO27" s="48" t="n">
        <v>25</v>
      </c>
      <c r="CP27" s="49">
        <f>CP26</f>
        <v/>
      </c>
      <c r="CQ27" s="48">
        <f>CQ26</f>
        <v/>
      </c>
      <c r="CR27" s="48">
        <f>CP27+(CO27-1)*CQ27</f>
        <v/>
      </c>
      <c r="CS27" s="48" t="n">
        <v>25</v>
      </c>
      <c r="CT27" s="49">
        <f>CT26</f>
        <v/>
      </c>
      <c r="CU27" s="48">
        <f>CU26</f>
        <v/>
      </c>
      <c r="CV27" s="48">
        <f>CT27+(CS27-1)*CU27</f>
        <v/>
      </c>
      <c r="CW27" s="48" t="n">
        <v>25</v>
      </c>
      <c r="CX27" s="49">
        <f>CX26</f>
        <v/>
      </c>
      <c r="CY27" s="48">
        <f>CY26</f>
        <v/>
      </c>
      <c r="CZ27" s="48">
        <f>CX27+(CW27-1)*CY27</f>
        <v/>
      </c>
      <c r="DA27" s="48" t="n">
        <v>25</v>
      </c>
      <c r="DB27" s="49">
        <f>DB26</f>
        <v/>
      </c>
      <c r="DC27" s="48">
        <f>DC26</f>
        <v/>
      </c>
      <c r="DD27" s="48">
        <f>DB27+(DA27-1)*DC27</f>
        <v/>
      </c>
      <c r="DE27" s="48" t="n">
        <v>25</v>
      </c>
      <c r="DF27" s="49">
        <f>DF26</f>
        <v/>
      </c>
      <c r="DG27" s="48">
        <f>DG26</f>
        <v/>
      </c>
      <c r="DH27" s="48">
        <f>DF27+(DE27-1)*DG27</f>
        <v/>
      </c>
      <c r="DI27" s="48" t="n">
        <v>25</v>
      </c>
      <c r="DJ27" s="49">
        <f>DJ26</f>
        <v/>
      </c>
      <c r="DK27" s="48">
        <f>DK26</f>
        <v/>
      </c>
      <c r="DL27" s="48">
        <f>DJ27+(DI27-1)*DK27</f>
        <v/>
      </c>
      <c r="DM27" s="48" t="n">
        <v>25</v>
      </c>
      <c r="DN27" s="49">
        <f>DN26</f>
        <v/>
      </c>
      <c r="DO27" s="48">
        <f>DO26</f>
        <v/>
      </c>
      <c r="DP27" s="48">
        <f>DN27+(DM27-1)*DO27</f>
        <v/>
      </c>
      <c r="DQ27" s="48" t="n">
        <v>25</v>
      </c>
      <c r="DR27" s="49">
        <f>DR26</f>
        <v/>
      </c>
      <c r="DS27" s="48">
        <f>DS26</f>
        <v/>
      </c>
      <c r="DT27" s="48">
        <f>DR27+(DQ27-1)*DS27</f>
        <v/>
      </c>
      <c r="DU27" s="48" t="n">
        <v>25</v>
      </c>
      <c r="DV27" s="49">
        <f>DV26</f>
        <v/>
      </c>
      <c r="DW27" s="48">
        <f>DW26</f>
        <v/>
      </c>
      <c r="DX27" s="48">
        <f>DV27+(DU27-1)*DW27</f>
        <v/>
      </c>
      <c r="DY27" s="49" t="n">
        <v>25</v>
      </c>
      <c r="DZ27" s="49">
        <f>DZ26</f>
        <v/>
      </c>
      <c r="EA27" s="48">
        <f>EA26</f>
        <v/>
      </c>
      <c r="EB27" s="48">
        <f>DZ27+(DY27-1)*EA27</f>
        <v/>
      </c>
      <c r="EC27" s="49" t="n">
        <v>25</v>
      </c>
      <c r="ED27" s="49">
        <f>ED26</f>
        <v/>
      </c>
      <c r="EE27" s="48">
        <f>EE26</f>
        <v/>
      </c>
      <c r="EF27" s="48">
        <f>ED27+(EC27-1)*EE27</f>
        <v/>
      </c>
      <c r="EG27" s="49" t="n">
        <v>25</v>
      </c>
      <c r="EH27" s="49">
        <f>EH26</f>
        <v/>
      </c>
      <c r="EI27" s="48">
        <f>EI26</f>
        <v/>
      </c>
      <c r="EJ27" s="48">
        <f>EH27+(EG27-1)*EI27</f>
        <v/>
      </c>
      <c r="EK27" s="48" t="n">
        <v>25</v>
      </c>
      <c r="EL27" s="49">
        <f>EL26</f>
        <v/>
      </c>
      <c r="EM27" s="48">
        <f>EM26</f>
        <v/>
      </c>
      <c r="EN27" s="48">
        <f>EL27+(EK27-1)*EM27</f>
        <v/>
      </c>
      <c r="EO27" s="48" t="n">
        <v>25</v>
      </c>
      <c r="EP27" s="49">
        <f>EP26</f>
        <v/>
      </c>
      <c r="EQ27" s="48">
        <f>EQ26</f>
        <v/>
      </c>
      <c r="ER27" s="48">
        <f>EP27+(EO27-1)*EQ27</f>
        <v/>
      </c>
      <c r="ES27" s="48" t="n">
        <v>25</v>
      </c>
      <c r="ET27" s="49">
        <f>ET26</f>
        <v/>
      </c>
      <c r="EU27" s="48">
        <f>EU26</f>
        <v/>
      </c>
      <c r="EV27" s="48">
        <f>ET27+(ES27-1)*EU27</f>
        <v/>
      </c>
      <c r="EW27" s="48" t="n">
        <v>25</v>
      </c>
      <c r="EX27" s="49">
        <f>EX26</f>
        <v/>
      </c>
      <c r="EY27" s="48">
        <f>EY26</f>
        <v/>
      </c>
      <c r="EZ27" s="48">
        <f>EX27+(EW27-1)*EY27</f>
        <v/>
      </c>
      <c r="FA27" s="48" t="n">
        <v>25</v>
      </c>
      <c r="FB27" s="49">
        <f>FB26</f>
        <v/>
      </c>
      <c r="FC27" s="48">
        <f>FC26</f>
        <v/>
      </c>
      <c r="FD27" s="48">
        <f>FB27+(FA27-1)*FC27</f>
        <v/>
      </c>
    </row>
    <row r="28" customFormat="1" s="5">
      <c r="A28" s="98" t="inlineStr">
        <is>
          <t>血云仙刀</t>
        </is>
      </c>
      <c r="E28" s="98" t="inlineStr">
        <is>
          <t>血云仙衣</t>
        </is>
      </c>
      <c r="I28" s="99" t="inlineStr">
        <is>
          <t>血云仙靴</t>
        </is>
      </c>
      <c r="M28" s="99" t="inlineStr">
        <is>
          <t>血云仙珠</t>
        </is>
      </c>
      <c r="Q28" s="98" t="inlineStr">
        <is>
          <t>七转龙枪</t>
        </is>
      </c>
      <c r="U28" s="98" t="inlineStr">
        <is>
          <t>云龙银甲</t>
        </is>
      </c>
      <c r="Y28" s="98" t="inlineStr">
        <is>
          <t>四海龙靴</t>
        </is>
      </c>
      <c r="AC28" s="99" t="inlineStr">
        <is>
          <t>黑龙玄珠</t>
        </is>
      </c>
      <c r="AG28" s="99" t="inlineStr">
        <is>
          <t>神风飞剑</t>
        </is>
      </c>
      <c r="AK28" s="99" t="inlineStr">
        <is>
          <t>须弥战甲</t>
        </is>
      </c>
      <c r="AO28" s="99" t="inlineStr">
        <is>
          <t>清风轻靴</t>
        </is>
      </c>
      <c r="AS28" s="99" t="inlineStr">
        <is>
          <t>千仙宝玉</t>
        </is>
      </c>
      <c r="AW28" s="98" t="inlineStr">
        <is>
          <t>天尊宝剑</t>
        </is>
      </c>
      <c r="BA28" s="98" t="inlineStr">
        <is>
          <t>涅槃战甲</t>
        </is>
      </c>
      <c r="BE28" s="98" t="inlineStr">
        <is>
          <t>瞬空法靴</t>
        </is>
      </c>
      <c r="BI28" s="99" t="inlineStr">
        <is>
          <t>浮屠宝珠</t>
        </is>
      </c>
      <c r="BM28" s="99" t="inlineStr">
        <is>
          <t>千海巨鼎</t>
        </is>
      </c>
      <c r="BQ28" s="99" t="inlineStr">
        <is>
          <t>北冥战甲</t>
        </is>
      </c>
      <c r="BU28" s="99" t="inlineStr">
        <is>
          <t>开山靴</t>
        </is>
      </c>
      <c r="BY28" s="99" t="inlineStr">
        <is>
          <t>幻海仙珠</t>
        </is>
      </c>
      <c r="CC28" s="98" t="inlineStr">
        <is>
          <t>天云花刀</t>
        </is>
      </c>
      <c r="CG28" s="98" t="inlineStr">
        <is>
          <t>羽化鹤衣</t>
        </is>
      </c>
      <c r="CK28" s="98" t="inlineStr">
        <is>
          <t>云卷轻靴</t>
        </is>
      </c>
      <c r="CO28" s="99" t="inlineStr">
        <is>
          <t>红尘宝坠</t>
        </is>
      </c>
      <c r="CS28" s="99" t="inlineStr">
        <is>
          <t>月华光镜</t>
        </is>
      </c>
      <c r="CW28" s="99" t="inlineStr">
        <is>
          <t>月莹仙衣</t>
        </is>
      </c>
      <c r="DA28" s="99" t="inlineStr">
        <is>
          <t>皓月轻靴</t>
        </is>
      </c>
      <c r="DE28" s="99" t="inlineStr">
        <is>
          <t>枫露玉珠</t>
        </is>
      </c>
      <c r="DI28" s="99" t="inlineStr">
        <is>
          <t>乙木长生鼎</t>
        </is>
      </c>
      <c r="DM28" s="99" t="inlineStr">
        <is>
          <t>千年木袍</t>
        </is>
      </c>
      <c r="DQ28" s="99" t="inlineStr">
        <is>
          <t>众生灵靴</t>
        </is>
      </c>
      <c r="DU28" s="99" t="inlineStr">
        <is>
          <t>木辉宝珠</t>
        </is>
      </c>
      <c r="DY28" s="98" t="inlineStr">
        <is>
          <t>不灭骨镜</t>
        </is>
      </c>
      <c r="EC28" s="98" t="inlineStr">
        <is>
          <t>幽冥骨铠</t>
        </is>
      </c>
      <c r="EG28" s="98" t="inlineStr">
        <is>
          <t>紫骨宝靴</t>
        </is>
      </c>
      <c r="EK28" s="99" t="inlineStr">
        <is>
          <t>皇骨宝珠</t>
        </is>
      </c>
      <c r="EO28" s="99" t="inlineStr">
        <is>
          <t>洪荒圣枪</t>
        </is>
      </c>
      <c r="ES28" s="99" t="inlineStr">
        <is>
          <t>洪荒妖铠</t>
        </is>
      </c>
      <c r="EW28" s="99" t="inlineStr">
        <is>
          <t>洪荒战靴</t>
        </is>
      </c>
      <c r="FA28" s="99" t="inlineStr">
        <is>
          <t>洪荒法珠</t>
        </is>
      </c>
    </row>
    <row r="29">
      <c r="B29" s="49">
        <f>ROUND(B27*0.8,0)</f>
        <v/>
      </c>
      <c r="C29" s="49">
        <f>ROUND(C27*0.8,0)</f>
        <v/>
      </c>
      <c r="D29" s="49">
        <f>ROUND(D27*0.8,0)</f>
        <v/>
      </c>
      <c r="F29" s="49">
        <f>ROUND(F27*0.8,0)</f>
        <v/>
      </c>
      <c r="G29" s="49">
        <f>ROUND(G27*0.8,0)</f>
        <v/>
      </c>
      <c r="H29" s="49">
        <f>ROUND(H27*0.8,0)</f>
        <v/>
      </c>
      <c r="J29" s="49">
        <f>J27*0.8</f>
        <v/>
      </c>
      <c r="K29" s="49">
        <f>ROUND(K27*0.8,0)</f>
        <v/>
      </c>
      <c r="L29" s="49">
        <f>ROUND(L27*0.8,0)</f>
        <v/>
      </c>
      <c r="N29" s="49">
        <f>ROUND(N27*0.8,0)</f>
        <v/>
      </c>
      <c r="O29" s="49">
        <f>ROUND(O27*0.8,0)</f>
        <v/>
      </c>
      <c r="P29" s="49">
        <f>ROUND(P27*0.8,0)</f>
        <v/>
      </c>
      <c r="R29" s="49">
        <f>ROUND(R27*0.8,0)</f>
        <v/>
      </c>
      <c r="S29" s="49">
        <f>ROUND(S27*0.8,0)</f>
        <v/>
      </c>
      <c r="T29" s="49">
        <f>ROUND(T27*0.8,0)</f>
        <v/>
      </c>
      <c r="V29" s="49">
        <f>ROUND(V27*0.8,0)</f>
        <v/>
      </c>
      <c r="W29" s="49">
        <f>ROUND(W27*0.8,0)</f>
        <v/>
      </c>
      <c r="X29" s="49">
        <f>ROUND(X27*0.8,0)</f>
        <v/>
      </c>
      <c r="Z29" s="49">
        <f>ROUND(Z27*0.8,0)</f>
        <v/>
      </c>
      <c r="AA29" s="49">
        <f>ROUND(AA27*0.8,0)</f>
        <v/>
      </c>
      <c r="AB29" s="49">
        <f>ROUND(AB27*0.8,0)</f>
        <v/>
      </c>
      <c r="AD29" s="49">
        <f>ROUND(AD27*0.8,0)</f>
        <v/>
      </c>
      <c r="AE29" s="49">
        <f>ROUND(AE27*0.8,0)</f>
        <v/>
      </c>
      <c r="AF29" s="49">
        <f>ROUND(AF27*0.8,0)</f>
        <v/>
      </c>
      <c r="AH29" s="49">
        <f>ROUND(AH27*0.8,0)</f>
        <v/>
      </c>
      <c r="AI29" s="49">
        <f>ROUND(AI27*0.8,0)</f>
        <v/>
      </c>
      <c r="AJ29" s="49">
        <f>ROUND(AJ27*0.8,0)</f>
        <v/>
      </c>
      <c r="AL29" s="49">
        <f>ROUND(AL27*0.8,0)</f>
        <v/>
      </c>
      <c r="AM29" s="49">
        <f>ROUND(AM27*0.8,0)</f>
        <v/>
      </c>
      <c r="AN29" s="49">
        <f>ROUND(AN27*0.8,0)</f>
        <v/>
      </c>
      <c r="AP29" s="49">
        <f>ROUND(AP27*0.8,0)</f>
        <v/>
      </c>
      <c r="AQ29" s="49">
        <f>ROUND(AQ27*0.8,0)</f>
        <v/>
      </c>
      <c r="AR29" s="49">
        <f>ROUND(AR27*0.8,0)</f>
        <v/>
      </c>
      <c r="AT29" s="49">
        <f>ROUND(AT27*0.8,0)</f>
        <v/>
      </c>
      <c r="AU29" s="49">
        <f>ROUND(AU27*0.8,0)</f>
        <v/>
      </c>
      <c r="AV29" s="49">
        <f>ROUND(AV27*0.8,0)</f>
        <v/>
      </c>
      <c r="AX29" s="49">
        <f>AX27*0.8</f>
        <v/>
      </c>
      <c r="AY29" s="49">
        <f>ROUND(AY27*0.8,0)</f>
        <v/>
      </c>
      <c r="AZ29" s="49">
        <f>ROUND(AZ27*0.8,0)</f>
        <v/>
      </c>
      <c r="BB29" s="49">
        <f>ROUND(BB27*0.8,0)</f>
        <v/>
      </c>
      <c r="BC29" s="49">
        <f>ROUND(BC27*0.8,0)</f>
        <v/>
      </c>
      <c r="BD29" s="49">
        <f>ROUND(BD27*0.8,0)</f>
        <v/>
      </c>
      <c r="BF29" s="49">
        <f>ROUND(BF27*0.8,0)</f>
        <v/>
      </c>
      <c r="BG29" s="49">
        <f>ROUND(BG27*0.8,0)</f>
        <v/>
      </c>
      <c r="BH29" s="49">
        <f>ROUND(BH27*0.8,0)</f>
        <v/>
      </c>
      <c r="BJ29" s="49">
        <f>ROUND(BJ27*0.8,0)</f>
        <v/>
      </c>
      <c r="BK29" s="49">
        <f>ROUND(BK27*0.8,0)</f>
        <v/>
      </c>
      <c r="BL29" s="49">
        <f>ROUND(BL27*0.8,0)</f>
        <v/>
      </c>
      <c r="BN29" s="49">
        <f>BN27*0.8</f>
        <v/>
      </c>
      <c r="BO29" s="49">
        <f>ROUND(BO27*0.8,0)</f>
        <v/>
      </c>
      <c r="BP29" s="49">
        <f>ROUND(BP27*0.8,0)</f>
        <v/>
      </c>
      <c r="BR29" s="49">
        <f>ROUND(BR27*0.8,0)</f>
        <v/>
      </c>
      <c r="BS29" s="49">
        <f>ROUND(BS27*0.8,0)</f>
        <v/>
      </c>
      <c r="BT29" s="49">
        <f>ROUND(BT27*0.8,0)</f>
        <v/>
      </c>
      <c r="BV29" s="49">
        <f>BV27*0.8</f>
        <v/>
      </c>
      <c r="BW29" s="49">
        <f>ROUND(BW27*0.8,0)</f>
        <v/>
      </c>
      <c r="BX29" s="49">
        <f>ROUND(BX27*0.8,0)</f>
        <v/>
      </c>
      <c r="BZ29" s="49">
        <f>ROUND(BZ27*0.8,0)</f>
        <v/>
      </c>
      <c r="CA29" s="49">
        <f>ROUND(CA27*0.8,0)</f>
        <v/>
      </c>
      <c r="CB29" s="49">
        <f>ROUND(CB27*0.8,0)</f>
        <v/>
      </c>
      <c r="CD29" s="49">
        <f>ROUND(CD27*0.8,0)</f>
        <v/>
      </c>
      <c r="CE29" s="49">
        <f>ROUND(CE27*0.8,0)</f>
        <v/>
      </c>
      <c r="CF29" s="49">
        <f>ROUND(CF27*0.8,0)</f>
        <v/>
      </c>
      <c r="CH29" s="49">
        <f>ROUND(CH27*0.8,0)</f>
        <v/>
      </c>
      <c r="CI29" s="49">
        <f>ROUND(CI27*0.8,0)</f>
        <v/>
      </c>
      <c r="CJ29" s="49">
        <f>ROUND(CJ27*0.8,0)</f>
        <v/>
      </c>
      <c r="CL29" s="49">
        <f>ROUND(CL27*0.8,0)</f>
        <v/>
      </c>
      <c r="CM29" s="49">
        <f>ROUND(CM27*0.8,0)</f>
        <v/>
      </c>
      <c r="CN29" s="49">
        <f>ROUND(CN27*0.8,0)</f>
        <v/>
      </c>
      <c r="CP29" s="49">
        <f>ROUND(CP27*0.8,0)</f>
        <v/>
      </c>
      <c r="CQ29" s="49">
        <f>ROUND(CQ27*0.8,0)</f>
        <v/>
      </c>
      <c r="CR29" s="49">
        <f>ROUND(CR27*0.8,0)</f>
        <v/>
      </c>
      <c r="CT29" s="49">
        <f>ROUND(CT27*0.8,0)</f>
        <v/>
      </c>
      <c r="CU29" s="49">
        <f>ROUND(CU27*0.8,0)</f>
        <v/>
      </c>
      <c r="CV29" s="49">
        <f>ROUND(CV27*0.8,0)</f>
        <v/>
      </c>
      <c r="CX29" s="49">
        <f>ROUND(CX27*0.8,0)</f>
        <v/>
      </c>
      <c r="CY29" s="49">
        <f>ROUND(CY27*0.8,0)</f>
        <v/>
      </c>
      <c r="CZ29" s="49">
        <f>ROUND(CZ27*0.8,0)</f>
        <v/>
      </c>
      <c r="DB29" s="49">
        <f>ROUND(DB27*0.8,0)</f>
        <v/>
      </c>
      <c r="DC29" s="49">
        <f>ROUND(DC27*0.8,0)</f>
        <v/>
      </c>
      <c r="DD29" s="49">
        <f>ROUND(DD27*0.8,0)</f>
        <v/>
      </c>
      <c r="DF29" s="49">
        <f>ROUND(DF27*0.8,0)</f>
        <v/>
      </c>
      <c r="DG29" s="49">
        <f>ROUND(DG27*0.8,0)</f>
        <v/>
      </c>
      <c r="DH29" s="49">
        <f>ROUND(DH27*0.8,0)</f>
        <v/>
      </c>
      <c r="DJ29" s="49">
        <f>ROUND(DJ27*0.8,0)</f>
        <v/>
      </c>
      <c r="DK29" s="49">
        <f>ROUND(DK27*0.8,0)</f>
        <v/>
      </c>
      <c r="DL29" s="49">
        <f>ROUND(DL27*0.8,0)</f>
        <v/>
      </c>
      <c r="DN29" s="49">
        <f>ROUND(DN27*0.8,0)</f>
        <v/>
      </c>
      <c r="DO29" s="49">
        <f>ROUND(DO27*0.8,0)</f>
        <v/>
      </c>
      <c r="DP29" s="49">
        <f>ROUND(DP27*0.8,0)</f>
        <v/>
      </c>
      <c r="DR29" s="49">
        <f>ROUND(DR27*0.8,0)</f>
        <v/>
      </c>
      <c r="DS29" s="49">
        <f>ROUND(DS27*0.8,0)</f>
        <v/>
      </c>
      <c r="DT29" s="49">
        <f>ROUND(DT27*0.8,0)</f>
        <v/>
      </c>
      <c r="DV29" s="49">
        <f>ROUND(DV27*0.8,0)</f>
        <v/>
      </c>
      <c r="DW29" s="49">
        <f>ROUND(DW27*0.8,0)</f>
        <v/>
      </c>
      <c r="DX29" s="49">
        <f>ROUND(DX27*0.8,0)</f>
        <v/>
      </c>
      <c r="DZ29" s="49">
        <f>ROUND(DZ27*0.8,0)</f>
        <v/>
      </c>
      <c r="EA29" s="49">
        <f>ROUND(EA27*0.8,0)</f>
        <v/>
      </c>
      <c r="EB29" s="49">
        <f>ROUND(EB27*0.8,0)</f>
        <v/>
      </c>
      <c r="ED29" s="49">
        <f>ROUND(ED27*0.8,0)</f>
        <v/>
      </c>
      <c r="EE29" s="49">
        <f>ROUND(EE27*0.8,0)</f>
        <v/>
      </c>
      <c r="EF29" s="49">
        <f>ROUND(EF27*0.8,0)</f>
        <v/>
      </c>
      <c r="EH29" s="49">
        <f>ROUND(EH27*0.8,0)</f>
        <v/>
      </c>
      <c r="EI29" s="49">
        <f>ROUND(EI27*0.8,0)</f>
        <v/>
      </c>
      <c r="EJ29" s="49">
        <f>ROUND(EJ27*0.8,0)</f>
        <v/>
      </c>
      <c r="EL29" s="49">
        <f>ROUND(EL27*0.8,0)</f>
        <v/>
      </c>
      <c r="EM29" s="49">
        <f>ROUND(EM27*0.8,0)</f>
        <v/>
      </c>
      <c r="EN29" s="49">
        <f>ROUND(EN27*0.8,0)</f>
        <v/>
      </c>
      <c r="EP29" s="49">
        <f>ROUND(EP27*0.8,0)</f>
        <v/>
      </c>
      <c r="EQ29" s="49">
        <f>ROUND(EQ27*0.8,0)</f>
        <v/>
      </c>
      <c r="ER29" s="49">
        <f>ROUND(ER27*0.8,0)</f>
        <v/>
      </c>
      <c r="ET29" s="49">
        <f>ROUND(ET27*0.8,0)</f>
        <v/>
      </c>
      <c r="EU29" s="49">
        <f>ROUND(EU27*0.8,0)</f>
        <v/>
      </c>
      <c r="EV29" s="49">
        <f>ROUND(EV27*0.8,0)</f>
        <v/>
      </c>
      <c r="EX29" s="49">
        <f>ROUND(EX27*0.8,0)</f>
        <v/>
      </c>
      <c r="EY29" s="49">
        <f>ROUND(EY27*0.8,0)</f>
        <v/>
      </c>
      <c r="EZ29" s="49">
        <f>ROUND(EZ27*0.8,0)</f>
        <v/>
      </c>
      <c r="FB29" s="49">
        <f>ROUND(FB27*0.8,0)</f>
        <v/>
      </c>
      <c r="FC29" s="49">
        <f>ROUND(FC27*0.8,0)</f>
        <v/>
      </c>
      <c r="FD29" s="49">
        <f>ROUND(FD27*0.8,0)</f>
        <v/>
      </c>
    </row>
    <row r="30" customFormat="1" s="44">
      <c r="A30" s="100" t="inlineStr">
        <is>
          <t>血云仙刀</t>
        </is>
      </c>
      <c r="E30" s="100" t="inlineStr">
        <is>
          <t>血云仙衣</t>
        </is>
      </c>
      <c r="I30" s="101" t="inlineStr">
        <is>
          <t>血云仙靴</t>
        </is>
      </c>
      <c r="M30" s="101" t="inlineStr">
        <is>
          <t>血云仙珠</t>
        </is>
      </c>
      <c r="Q30" s="100" t="inlineStr">
        <is>
          <t>七转龙枪</t>
        </is>
      </c>
      <c r="U30" s="100" t="inlineStr">
        <is>
          <t>云龙银甲</t>
        </is>
      </c>
      <c r="Y30" s="100" t="inlineStr">
        <is>
          <t>四海龙靴</t>
        </is>
      </c>
      <c r="AC30" s="101" t="inlineStr">
        <is>
          <t>黑龙玄珠</t>
        </is>
      </c>
      <c r="AG30" s="101" t="inlineStr">
        <is>
          <t>神风飞剑</t>
        </is>
      </c>
      <c r="AK30" s="101" t="inlineStr">
        <is>
          <t>须弥战甲</t>
        </is>
      </c>
      <c r="AO30" s="101" t="inlineStr">
        <is>
          <t>清风轻靴</t>
        </is>
      </c>
      <c r="AS30" s="101" t="inlineStr">
        <is>
          <t>千仙宝玉</t>
        </is>
      </c>
      <c r="AW30" s="100" t="inlineStr">
        <is>
          <t>天尊宝剑</t>
        </is>
      </c>
      <c r="BA30" s="100" t="inlineStr">
        <is>
          <t>涅槃战甲</t>
        </is>
      </c>
      <c r="BE30" s="100" t="inlineStr">
        <is>
          <t>瞬空法靴</t>
        </is>
      </c>
      <c r="BI30" s="101" t="inlineStr">
        <is>
          <t>浮屠宝珠</t>
        </is>
      </c>
      <c r="BM30" s="101" t="inlineStr">
        <is>
          <t>千海巨鼎</t>
        </is>
      </c>
      <c r="BQ30" s="101" t="inlineStr">
        <is>
          <t>北冥战甲</t>
        </is>
      </c>
      <c r="BU30" s="101" t="inlineStr">
        <is>
          <t>开山靴</t>
        </is>
      </c>
      <c r="BY30" s="101" t="inlineStr">
        <is>
          <t>幻海仙珠</t>
        </is>
      </c>
      <c r="CC30" s="100" t="inlineStr">
        <is>
          <t>天云花刀</t>
        </is>
      </c>
      <c r="CG30" s="100" t="inlineStr">
        <is>
          <t>羽化鹤衣</t>
        </is>
      </c>
      <c r="CK30" s="100" t="inlineStr">
        <is>
          <t>云卷轻靴</t>
        </is>
      </c>
      <c r="CO30" s="101" t="inlineStr">
        <is>
          <t>红尘宝坠</t>
        </is>
      </c>
      <c r="CS30" s="101" t="inlineStr">
        <is>
          <t>月华光镜</t>
        </is>
      </c>
      <c r="CW30" s="101" t="inlineStr">
        <is>
          <t>月莹仙衣</t>
        </is>
      </c>
      <c r="DA30" s="101" t="inlineStr">
        <is>
          <t>皓月轻靴</t>
        </is>
      </c>
      <c r="DE30" s="101" t="inlineStr">
        <is>
          <t>枫露玉珠</t>
        </is>
      </c>
      <c r="DI30" s="101" t="inlineStr">
        <is>
          <t>乙木长生鼎</t>
        </is>
      </c>
      <c r="DM30" s="101" t="inlineStr">
        <is>
          <t>千年木袍</t>
        </is>
      </c>
      <c r="DQ30" s="101" t="inlineStr">
        <is>
          <t>众生灵靴</t>
        </is>
      </c>
      <c r="DU30" s="101" t="inlineStr">
        <is>
          <t>木辉宝珠</t>
        </is>
      </c>
      <c r="DY30" s="100" t="inlineStr">
        <is>
          <t>不灭骨镜</t>
        </is>
      </c>
      <c r="EC30" s="100" t="inlineStr">
        <is>
          <t>幽冥骨铠</t>
        </is>
      </c>
      <c r="EG30" s="100" t="inlineStr">
        <is>
          <t>紫骨宝靴</t>
        </is>
      </c>
      <c r="EK30" s="101" t="inlineStr">
        <is>
          <t>皇骨宝珠</t>
        </is>
      </c>
      <c r="EO30" s="101" t="inlineStr">
        <is>
          <t>洪荒圣枪</t>
        </is>
      </c>
      <c r="ES30" s="101" t="inlineStr">
        <is>
          <t>洪荒妖铠</t>
        </is>
      </c>
      <c r="EW30" s="101" t="inlineStr">
        <is>
          <t>洪荒战靴</t>
        </is>
      </c>
      <c r="FA30" s="101" t="inlineStr">
        <is>
          <t>洪荒法珠</t>
        </is>
      </c>
    </row>
    <row r="31" customFormat="1" s="44">
      <c r="B31" s="44">
        <f>ROUND(B27*0.7,0)</f>
        <v/>
      </c>
      <c r="C31" s="44">
        <f>ROUND(C27*0.7,0)</f>
        <v/>
      </c>
      <c r="D31" s="44">
        <f>ROUND(D27*0.7,0)</f>
        <v/>
      </c>
      <c r="F31" s="44">
        <f>ROUND(F27*0.7,0)</f>
        <v/>
      </c>
      <c r="G31" s="44">
        <f>ROUND(G27*0.7,0)</f>
        <v/>
      </c>
      <c r="H31" s="44">
        <f>ROUND(H27*0.7,0)</f>
        <v/>
      </c>
      <c r="J31" s="44">
        <f>ROUND(J27*0.7,0)</f>
        <v/>
      </c>
      <c r="K31" s="44">
        <f>ROUND(K27*0.7,0)</f>
        <v/>
      </c>
      <c r="L31" s="44">
        <f>ROUND(L27*0.7,0)</f>
        <v/>
      </c>
      <c r="N31" s="44">
        <f>ROUND(N27*0.7,0)</f>
        <v/>
      </c>
      <c r="O31" s="44">
        <f>ROUND(O27*0.7,0)</f>
        <v/>
      </c>
      <c r="P31" s="44">
        <f>ROUND(P27*0.7,0)</f>
        <v/>
      </c>
      <c r="R31" s="44">
        <f>ROUND(R27*0.7,0)</f>
        <v/>
      </c>
      <c r="S31" s="44">
        <f>ROUND(S27*0.7,0)</f>
        <v/>
      </c>
      <c r="T31" s="44">
        <f>ROUND(T27*0.7,0)</f>
        <v/>
      </c>
      <c r="V31" s="44">
        <f>ROUND(V27*0.7,0)</f>
        <v/>
      </c>
      <c r="W31" s="44">
        <f>ROUND(W27*0.7,0)</f>
        <v/>
      </c>
      <c r="X31" s="44">
        <f>ROUND(X27*0.7,0)</f>
        <v/>
      </c>
      <c r="Z31" s="44">
        <f>ROUND(Z27*0.7,0)</f>
        <v/>
      </c>
      <c r="AA31" s="44">
        <f>ROUND(AA27*0.7,0)</f>
        <v/>
      </c>
      <c r="AB31" s="44">
        <f>ROUND(AB27*0.7,0)</f>
        <v/>
      </c>
      <c r="AD31" s="44">
        <f>ROUND(AD27*0.7,0)</f>
        <v/>
      </c>
      <c r="AE31" s="44">
        <f>ROUND(AE27*0.7,0)</f>
        <v/>
      </c>
      <c r="AF31" s="44">
        <f>ROUND(AF27*0.7,0)</f>
        <v/>
      </c>
      <c r="AH31" s="44">
        <f>ROUND(AH27*0.7,0)</f>
        <v/>
      </c>
      <c r="AI31" s="44">
        <f>ROUND(AI27*0.7,0)</f>
        <v/>
      </c>
      <c r="AJ31" s="44">
        <f>ROUND(AJ27*0.7,0)</f>
        <v/>
      </c>
      <c r="AL31" s="44">
        <f>ROUND(AL27*0.7,0)</f>
        <v/>
      </c>
      <c r="AM31" s="44">
        <f>ROUND(AM27*0.7,0)</f>
        <v/>
      </c>
      <c r="AN31" s="44">
        <f>ROUND(AN27*0.7,0)</f>
        <v/>
      </c>
      <c r="AP31" s="44">
        <f>ROUND(AP27*0.7,0)</f>
        <v/>
      </c>
      <c r="AQ31" s="44">
        <f>ROUND(AQ27*0.7,0)</f>
        <v/>
      </c>
      <c r="AR31" s="44">
        <f>ROUND(AR27*0.7,0)</f>
        <v/>
      </c>
      <c r="AT31" s="44">
        <f>ROUND(AT27*0.7,0)</f>
        <v/>
      </c>
      <c r="AU31" s="44">
        <f>ROUND(AU27*0.7,0)</f>
        <v/>
      </c>
      <c r="AV31" s="44">
        <f>ROUND(AV27*0.7,0)</f>
        <v/>
      </c>
      <c r="AX31" s="44">
        <f>ROUND(AX27*0.7,0)</f>
        <v/>
      </c>
      <c r="AY31" s="44">
        <f>ROUND(AY27*0.7,0)</f>
        <v/>
      </c>
      <c r="AZ31" s="44">
        <f>ROUND(AZ27*0.7,0)</f>
        <v/>
      </c>
      <c r="BB31" s="44">
        <f>ROUND(BB27*0.7,0)</f>
        <v/>
      </c>
      <c r="BC31" s="44">
        <f>ROUND(BC27*0.7,0)</f>
        <v/>
      </c>
      <c r="BD31" s="44">
        <f>ROUND(BD27*0.7,0)</f>
        <v/>
      </c>
      <c r="BF31" s="44">
        <f>ROUND(BF27*0.7,0)</f>
        <v/>
      </c>
      <c r="BG31" s="44">
        <f>ROUND(BG27*0.7,0)</f>
        <v/>
      </c>
      <c r="BH31" s="44">
        <f>ROUND(BH27*0.7,0)</f>
        <v/>
      </c>
      <c r="BJ31" s="44">
        <f>ROUND(BJ27*0.7,0)</f>
        <v/>
      </c>
      <c r="BK31" s="44">
        <f>ROUND(BK27*0.7,0)</f>
        <v/>
      </c>
      <c r="BL31" s="44">
        <f>ROUND(BL27*0.7,0)</f>
        <v/>
      </c>
      <c r="BN31" s="44">
        <f>ROUND(BN27*0.7,0)</f>
        <v/>
      </c>
      <c r="BO31" s="44">
        <f>ROUND(BO27*0.7,0)</f>
        <v/>
      </c>
      <c r="BP31" s="44">
        <f>ROUND(BP27*0.7,0)</f>
        <v/>
      </c>
      <c r="BR31" s="44">
        <f>ROUND(BR27*0.7,0)</f>
        <v/>
      </c>
      <c r="BS31" s="44">
        <f>ROUND(BS27*0.7,0)</f>
        <v/>
      </c>
      <c r="BT31" s="44">
        <f>ROUND(BT27*0.7,0)</f>
        <v/>
      </c>
      <c r="BV31" s="44">
        <f>ROUND(BV27*0.7,0)</f>
        <v/>
      </c>
      <c r="BW31" s="44">
        <f>ROUND(BW27*0.7,0)</f>
        <v/>
      </c>
      <c r="BX31" s="44">
        <f>ROUND(BX27*0.7,0)</f>
        <v/>
      </c>
      <c r="BZ31" s="44">
        <f>ROUND(BZ27*0.7,0)</f>
        <v/>
      </c>
      <c r="CA31" s="44">
        <f>ROUND(CA27*0.7,0)</f>
        <v/>
      </c>
      <c r="CB31" s="44">
        <f>ROUND(CB27*0.7,0)</f>
        <v/>
      </c>
      <c r="CD31" s="44">
        <f>ROUND(CD27*0.7,0)</f>
        <v/>
      </c>
      <c r="CE31" s="44">
        <f>ROUND(CE27*0.7,0)</f>
        <v/>
      </c>
      <c r="CF31" s="44">
        <f>ROUND(CF27*0.7,0)</f>
        <v/>
      </c>
      <c r="CH31" s="44">
        <f>ROUND(CH27*0.7,0)</f>
        <v/>
      </c>
      <c r="CI31" s="44">
        <f>ROUND(CI27*0.7,0)</f>
        <v/>
      </c>
      <c r="CJ31" s="44">
        <f>ROUND(CJ27*0.7,0)</f>
        <v/>
      </c>
      <c r="CL31" s="44">
        <f>ROUND(CL27*0.7,0)</f>
        <v/>
      </c>
      <c r="CM31" s="44">
        <f>ROUND(CM27*0.7,0)</f>
        <v/>
      </c>
      <c r="CN31" s="44">
        <f>ROUND(CN27*0.7,0)</f>
        <v/>
      </c>
      <c r="CP31" s="44">
        <f>ROUND(CP27*0.7,0)</f>
        <v/>
      </c>
      <c r="CQ31" s="44">
        <f>ROUND(CQ27*0.7,0)</f>
        <v/>
      </c>
      <c r="CR31" s="44">
        <f>ROUND(CR27*0.7,0)</f>
        <v/>
      </c>
      <c r="CT31" s="44">
        <f>ROUND(CT27*0.7,0)</f>
        <v/>
      </c>
      <c r="CU31" s="44">
        <f>ROUND(CU27*0.7,0)</f>
        <v/>
      </c>
      <c r="CV31" s="44">
        <f>ROUND(CV27*0.7,0)</f>
        <v/>
      </c>
      <c r="CX31" s="44">
        <f>ROUND(CX27*0.7,0)</f>
        <v/>
      </c>
      <c r="CY31" s="44">
        <f>ROUND(CY27*0.7,0)</f>
        <v/>
      </c>
      <c r="CZ31" s="44">
        <f>ROUND(CZ27*0.7,0)</f>
        <v/>
      </c>
      <c r="DB31" s="44">
        <f>ROUND(DB27*0.7,0)</f>
        <v/>
      </c>
      <c r="DC31" s="44">
        <f>ROUND(DC27*0.7,0)</f>
        <v/>
      </c>
      <c r="DD31" s="44">
        <f>ROUND(DD27*0.7,0)</f>
        <v/>
      </c>
      <c r="DF31" s="44">
        <f>ROUND(DF27*0.7,0)</f>
        <v/>
      </c>
      <c r="DG31" s="44">
        <f>ROUND(DG27*0.7,0)</f>
        <v/>
      </c>
      <c r="DH31" s="44">
        <f>ROUND(DH27*0.7,0)</f>
        <v/>
      </c>
      <c r="DJ31" s="44">
        <f>ROUND(DJ27*0.7,0)</f>
        <v/>
      </c>
      <c r="DK31" s="44">
        <f>ROUND(DK27*0.7,0)</f>
        <v/>
      </c>
      <c r="DL31" s="44">
        <f>ROUND(DL27*0.7,0)</f>
        <v/>
      </c>
      <c r="DN31" s="44">
        <f>ROUND(DN27*0.7,0)</f>
        <v/>
      </c>
      <c r="DO31" s="44">
        <f>ROUND(DO27*0.7,0)</f>
        <v/>
      </c>
      <c r="DP31" s="44">
        <f>ROUND(DP27*0.7,0)</f>
        <v/>
      </c>
      <c r="DR31" s="44">
        <f>ROUND(DR27*0.7,0)</f>
        <v/>
      </c>
      <c r="DS31" s="44">
        <f>ROUND(DS27*0.7,0)</f>
        <v/>
      </c>
      <c r="DT31" s="44">
        <f>ROUND(DT27*0.7,0)</f>
        <v/>
      </c>
      <c r="DV31" s="44">
        <f>ROUND(DV27*0.7,0)</f>
        <v/>
      </c>
      <c r="DW31" s="44">
        <f>ROUND(DW27*0.7,0)</f>
        <v/>
      </c>
      <c r="DX31" s="44">
        <f>ROUND(DX27*0.7,0)</f>
        <v/>
      </c>
      <c r="DZ31" s="44">
        <f>ROUND(DZ27*0.7,0)</f>
        <v/>
      </c>
      <c r="EA31" s="44">
        <f>ROUND(EA27*0.7,0)</f>
        <v/>
      </c>
      <c r="EB31" s="44">
        <f>ROUND(EB27*0.7,0)</f>
        <v/>
      </c>
      <c r="ED31" s="44">
        <f>ROUND(ED27*0.7,0)</f>
        <v/>
      </c>
      <c r="EE31" s="44">
        <f>ROUND(EE27*0.7,0)</f>
        <v/>
      </c>
      <c r="EF31" s="44">
        <f>ROUND(EF27*0.7,0)</f>
        <v/>
      </c>
      <c r="EH31" s="44">
        <f>ROUND(EH27*0.7,0)</f>
        <v/>
      </c>
      <c r="EI31" s="44">
        <f>ROUND(EI27*0.7,0)</f>
        <v/>
      </c>
      <c r="EJ31" s="44">
        <f>ROUND(EJ27*0.7,0)</f>
        <v/>
      </c>
      <c r="EL31" s="44">
        <f>ROUND(EL27*0.7,0)</f>
        <v/>
      </c>
      <c r="EM31" s="44">
        <f>ROUND(EM27*0.7,0)</f>
        <v/>
      </c>
      <c r="EN31" s="44">
        <f>ROUND(EN27*0.7,0)</f>
        <v/>
      </c>
      <c r="EP31" s="44">
        <f>ROUND(EP27*0.7,0)</f>
        <v/>
      </c>
      <c r="EQ31" s="44">
        <f>ROUND(EQ27*0.7,0)</f>
        <v/>
      </c>
      <c r="ER31" s="44">
        <f>ROUND(ER27*0.7,0)</f>
        <v/>
      </c>
      <c r="ET31" s="44">
        <f>ROUND(ET27*0.7,0)</f>
        <v/>
      </c>
      <c r="EU31" s="44">
        <f>ROUND(EU27*0.7,0)</f>
        <v/>
      </c>
      <c r="EV31" s="44">
        <f>ROUND(EV27*0.7,0)</f>
        <v/>
      </c>
      <c r="EX31" s="44">
        <f>ROUND(EX27*0.7,0)</f>
        <v/>
      </c>
      <c r="EY31" s="44">
        <f>ROUND(EY27*0.7,0)</f>
        <v/>
      </c>
      <c r="EZ31" s="44">
        <f>ROUND(EZ27*0.7,0)</f>
        <v/>
      </c>
      <c r="FB31" s="44">
        <f>ROUND(FB27*0.7,0)</f>
        <v/>
      </c>
      <c r="FC31" s="44">
        <f>ROUND(FC27*0.7,0)</f>
        <v/>
      </c>
      <c r="FD31" s="44">
        <f>ROUND(FD27*0.7,0)</f>
        <v/>
      </c>
    </row>
    <row r="32" customFormat="1" s="45">
      <c r="A32" s="102" t="inlineStr">
        <is>
          <t>血云刀</t>
        </is>
      </c>
      <c r="E32" s="102" t="inlineStr">
        <is>
          <t>血云衣</t>
        </is>
      </c>
      <c r="I32" s="103" t="inlineStr">
        <is>
          <t>血云靴</t>
        </is>
      </c>
      <c r="M32" s="103" t="inlineStr">
        <is>
          <t>血云珠</t>
        </is>
      </c>
      <c r="Q32" s="104" t="inlineStr">
        <is>
          <t>金龙枪</t>
        </is>
      </c>
      <c r="U32" s="104" t="inlineStr">
        <is>
          <t>银龙甲</t>
        </is>
      </c>
      <c r="Y32" s="104" t="inlineStr">
        <is>
          <t>海龙靴</t>
        </is>
      </c>
      <c r="AC32" s="103" t="inlineStr">
        <is>
          <t>黑龙珠</t>
        </is>
      </c>
      <c r="AG32" s="103" t="inlineStr">
        <is>
          <t>神风剑</t>
        </is>
      </c>
      <c r="AK32" s="103" t="inlineStr">
        <is>
          <t>须弥甲</t>
        </is>
      </c>
      <c r="AO32" s="103" t="inlineStr">
        <is>
          <t>清风靴</t>
        </is>
      </c>
      <c r="AS32" s="103" t="inlineStr">
        <is>
          <t>百仙玉</t>
        </is>
      </c>
      <c r="AW32" s="102" t="inlineStr">
        <is>
          <t>天尊剑</t>
        </is>
      </c>
      <c r="BA32" s="102" t="inlineStr">
        <is>
          <t>涅槃甲</t>
        </is>
      </c>
      <c r="BE32" s="102" t="inlineStr">
        <is>
          <t>瞬空靴</t>
        </is>
      </c>
      <c r="BI32" s="103" t="inlineStr">
        <is>
          <t>浮屠珠</t>
        </is>
      </c>
      <c r="BM32" s="103" t="inlineStr">
        <is>
          <t>百海鼎</t>
        </is>
      </c>
      <c r="BQ32" s="103" t="inlineStr">
        <is>
          <t>北冥甲</t>
        </is>
      </c>
      <c r="BU32" s="103" t="inlineStr">
        <is>
          <t>开山靴</t>
        </is>
      </c>
      <c r="BY32" s="103" t="inlineStr">
        <is>
          <t>幻海珠</t>
        </is>
      </c>
      <c r="CC32" s="102" t="inlineStr">
        <is>
          <t>天云刀</t>
        </is>
      </c>
      <c r="CG32" s="102" t="inlineStr">
        <is>
          <t>羽化衣</t>
        </is>
      </c>
      <c r="CK32" s="102" t="inlineStr">
        <is>
          <t>云卷靴</t>
        </is>
      </c>
      <c r="CO32" s="103" t="inlineStr">
        <is>
          <t>红尘坠</t>
        </is>
      </c>
      <c r="CS32" s="103" t="inlineStr">
        <is>
          <t>月华镜</t>
        </is>
      </c>
      <c r="CW32" s="103" t="inlineStr">
        <is>
          <t>月莹衣</t>
        </is>
      </c>
      <c r="DA32" s="103" t="inlineStr">
        <is>
          <t>皓月靴</t>
        </is>
      </c>
      <c r="DE32" s="103" t="inlineStr">
        <is>
          <t>枫露珠</t>
        </is>
      </c>
      <c r="DI32" s="103" t="inlineStr">
        <is>
          <t>长生鼎</t>
        </is>
      </c>
      <c r="DM32" s="103" t="inlineStr">
        <is>
          <t>百木袍</t>
        </is>
      </c>
      <c r="DQ32" s="103" t="inlineStr">
        <is>
          <t>灵生靴</t>
        </is>
      </c>
      <c r="DU32" s="103" t="inlineStr">
        <is>
          <t>木辉珠</t>
        </is>
      </c>
      <c r="DY32" s="102" t="inlineStr">
        <is>
          <t>枯骨镜</t>
        </is>
      </c>
      <c r="EC32" s="102" t="inlineStr">
        <is>
          <t>幽冥铠</t>
        </is>
      </c>
      <c r="EG32" s="102" t="inlineStr">
        <is>
          <t>紫骨靴</t>
        </is>
      </c>
      <c r="EK32" s="103" t="inlineStr">
        <is>
          <t>王骨珠</t>
        </is>
      </c>
      <c r="EO32" s="103" t="inlineStr">
        <is>
          <t>洪荒枪</t>
        </is>
      </c>
      <c r="ES32" s="103" t="inlineStr">
        <is>
          <t>洪荒铠</t>
        </is>
      </c>
      <c r="EW32" s="103" t="inlineStr">
        <is>
          <t>洪荒靴</t>
        </is>
      </c>
      <c r="FA32" s="103" t="inlineStr">
        <is>
          <t>洪荒珠</t>
        </is>
      </c>
    </row>
    <row r="33" customFormat="1" s="45">
      <c r="B33" s="45">
        <f>ROUND(B27*0.6,0)</f>
        <v/>
      </c>
      <c r="C33" s="45">
        <f>ROUND(C27*0.6,0)</f>
        <v/>
      </c>
      <c r="D33" s="45">
        <f>ROUND(D27*0.6,0)</f>
        <v/>
      </c>
      <c r="F33" s="45">
        <f>ROUND(F27*0.6,0)</f>
        <v/>
      </c>
      <c r="G33" s="45">
        <f>ROUND(G27*0.6,0)</f>
        <v/>
      </c>
      <c r="H33" s="45">
        <f>ROUND(H27*0.6,0)</f>
        <v/>
      </c>
      <c r="J33" s="45">
        <f>ROUND(J27*0.6,0)</f>
        <v/>
      </c>
      <c r="K33" s="45">
        <f>ROUND(K27*0.6,0)</f>
        <v/>
      </c>
      <c r="L33" s="45">
        <f>ROUND(L27*0.6,0)</f>
        <v/>
      </c>
      <c r="N33" s="45">
        <f>ROUND(N27*0.6,0)</f>
        <v/>
      </c>
      <c r="O33" s="45">
        <f>ROUND(O27*0.6,0)</f>
        <v/>
      </c>
      <c r="P33" s="45">
        <f>ROUND(P27*0.6,0)</f>
        <v/>
      </c>
      <c r="R33" s="45">
        <f>ROUND(R27*0.6,0)</f>
        <v/>
      </c>
      <c r="S33" s="45">
        <f>ROUND(S27*0.6,0)</f>
        <v/>
      </c>
      <c r="T33" s="45">
        <f>ROUND(T27*0.6,0)</f>
        <v/>
      </c>
      <c r="V33" s="45">
        <f>ROUND(V27*0.6,0)</f>
        <v/>
      </c>
      <c r="W33" s="45">
        <f>ROUND(W27*0.6,0)</f>
        <v/>
      </c>
      <c r="X33" s="45">
        <f>ROUND(X27*0.6,0)</f>
        <v/>
      </c>
      <c r="Z33" s="45">
        <f>ROUND(Z27*0.6,0)</f>
        <v/>
      </c>
      <c r="AA33" s="45">
        <f>ROUND(AA27*0.6,0)</f>
        <v/>
      </c>
      <c r="AB33" s="45">
        <f>ROUND(AB27*0.6,0)</f>
        <v/>
      </c>
      <c r="AD33" s="45">
        <f>ROUND(AD27*0.6,0)</f>
        <v/>
      </c>
      <c r="AE33" s="45">
        <f>ROUND(AE27*0.6,0)</f>
        <v/>
      </c>
      <c r="AF33" s="45">
        <f>ROUND(AF27*0.6,0)</f>
        <v/>
      </c>
      <c r="AH33" s="45">
        <f>ROUND(AH27*0.6,0)</f>
        <v/>
      </c>
      <c r="AI33" s="45">
        <f>ROUND(AI27*0.6,0)</f>
        <v/>
      </c>
      <c r="AJ33" s="45">
        <f>ROUND(AJ27*0.6,0)</f>
        <v/>
      </c>
      <c r="AL33" s="45">
        <f>ROUND(AL27*0.6,0)</f>
        <v/>
      </c>
      <c r="AM33" s="45">
        <f>ROUND(AM27*0.6,0)</f>
        <v/>
      </c>
      <c r="AN33" s="45">
        <f>ROUND(AN27*0.6,0)</f>
        <v/>
      </c>
      <c r="AP33" s="45">
        <f>ROUND(AP27*0.6,0)</f>
        <v/>
      </c>
      <c r="AQ33" s="45">
        <f>ROUND(AQ27*0.6,0)</f>
        <v/>
      </c>
      <c r="AR33" s="45">
        <f>ROUND(AR27*0.6,0)</f>
        <v/>
      </c>
      <c r="AT33" s="45">
        <f>ROUND(AT27*0.6,0)</f>
        <v/>
      </c>
      <c r="AU33" s="45">
        <f>ROUND(AU27*0.6,0)</f>
        <v/>
      </c>
      <c r="AV33" s="45">
        <f>ROUND(AV27*0.6,0)</f>
        <v/>
      </c>
      <c r="AX33" s="45">
        <f>ROUND(AX27*0.6,0)</f>
        <v/>
      </c>
      <c r="AY33" s="45">
        <f>ROUND(AY27*0.6,0)</f>
        <v/>
      </c>
      <c r="AZ33" s="45">
        <f>ROUND(AZ27*0.6,0)</f>
        <v/>
      </c>
      <c r="BB33" s="45">
        <f>ROUND(BB27*0.6,0)</f>
        <v/>
      </c>
      <c r="BC33" s="45">
        <f>ROUND(BC27*0.6,0)</f>
        <v/>
      </c>
      <c r="BD33" s="45">
        <f>ROUND(BD27*0.6,0)</f>
        <v/>
      </c>
      <c r="BF33" s="45">
        <f>ROUND(BF27*0.6,0)</f>
        <v/>
      </c>
      <c r="BG33" s="45">
        <f>ROUND(BG27*0.6,0)</f>
        <v/>
      </c>
      <c r="BH33" s="45">
        <f>ROUND(BH27*0.6,0)</f>
        <v/>
      </c>
      <c r="BJ33" s="45">
        <f>ROUND(BJ27*0.6,0)</f>
        <v/>
      </c>
      <c r="BK33" s="45">
        <f>ROUND(BK27*0.6,0)</f>
        <v/>
      </c>
      <c r="BL33" s="45">
        <f>ROUND(BL27*0.6,0)</f>
        <v/>
      </c>
      <c r="BN33" s="45">
        <f>ROUND(BN27*0.6,0)</f>
        <v/>
      </c>
      <c r="BO33" s="45">
        <f>ROUND(BO27*0.6,0)</f>
        <v/>
      </c>
      <c r="BP33" s="45">
        <f>ROUND(BP27*0.6,0)</f>
        <v/>
      </c>
      <c r="BR33" s="45">
        <f>ROUND(BR27*0.6,0)</f>
        <v/>
      </c>
      <c r="BS33" s="45">
        <f>ROUND(BS27*0.6,0)</f>
        <v/>
      </c>
      <c r="BT33" s="45">
        <f>ROUND(BT27*0.6,0)</f>
        <v/>
      </c>
      <c r="BV33" s="45">
        <f>ROUND(BV27*0.6,0)</f>
        <v/>
      </c>
      <c r="BW33" s="45">
        <f>ROUND(BW27*0.6,0)</f>
        <v/>
      </c>
      <c r="BX33" s="45">
        <f>ROUND(BX27*0.6,0)</f>
        <v/>
      </c>
      <c r="BZ33" s="45">
        <f>ROUND(BZ27*0.6,0)</f>
        <v/>
      </c>
      <c r="CA33" s="45">
        <f>ROUND(CA27*0.6,0)</f>
        <v/>
      </c>
      <c r="CB33" s="45">
        <f>ROUND(CB27*0.6,0)</f>
        <v/>
      </c>
      <c r="CD33" s="45">
        <f>ROUND(CD27*0.6,0)</f>
        <v/>
      </c>
      <c r="CE33" s="45">
        <f>ROUND(CE27*0.6,0)</f>
        <v/>
      </c>
      <c r="CF33" s="45">
        <f>ROUND(CF27*0.6,0)</f>
        <v/>
      </c>
      <c r="CH33" s="45">
        <f>ROUND(CH27*0.6,0)</f>
        <v/>
      </c>
      <c r="CI33" s="45">
        <f>ROUND(CI27*0.6,0)</f>
        <v/>
      </c>
      <c r="CJ33" s="45">
        <f>ROUND(CJ27*0.6,0)</f>
        <v/>
      </c>
      <c r="CL33" s="45">
        <f>ROUND(CL27*0.6,0)</f>
        <v/>
      </c>
      <c r="CM33" s="45">
        <f>ROUND(CM27*0.6,0)</f>
        <v/>
      </c>
      <c r="CN33" s="45">
        <f>ROUND(CN27*0.6,0)</f>
        <v/>
      </c>
      <c r="CP33" s="45">
        <f>ROUND(CP27*0.6,0)</f>
        <v/>
      </c>
      <c r="CQ33" s="45">
        <f>ROUND(CQ27*0.6,0)</f>
        <v/>
      </c>
      <c r="CR33" s="45">
        <f>ROUND(CR27*0.6,0)</f>
        <v/>
      </c>
      <c r="CT33" s="45">
        <f>ROUND(CT27*0.6,0)</f>
        <v/>
      </c>
      <c r="CU33" s="45">
        <f>ROUND(CU27*0.6,0)</f>
        <v/>
      </c>
      <c r="CV33" s="45">
        <f>ROUND(CV27*0.6,0)</f>
        <v/>
      </c>
      <c r="CX33" s="45">
        <f>ROUND(CX27*0.6,0)</f>
        <v/>
      </c>
      <c r="CY33" s="45">
        <f>ROUND(CY27*0.6,0)</f>
        <v/>
      </c>
      <c r="CZ33" s="45">
        <f>ROUND(CZ27*0.6,0)</f>
        <v/>
      </c>
      <c r="DB33" s="45">
        <f>ROUND(DB27*0.6,0)</f>
        <v/>
      </c>
      <c r="DC33" s="45">
        <f>ROUND(DC27*0.6,0)</f>
        <v/>
      </c>
      <c r="DD33" s="45">
        <f>ROUND(DD27*0.6,0)</f>
        <v/>
      </c>
      <c r="DF33" s="45">
        <f>ROUND(DF27*0.6,0)</f>
        <v/>
      </c>
      <c r="DG33" s="45">
        <f>ROUND(DG27*0.6,0)</f>
        <v/>
      </c>
      <c r="DH33" s="45">
        <f>ROUND(DH27*0.6,0)</f>
        <v/>
      </c>
      <c r="DJ33" s="45">
        <f>ROUND(DJ27*0.6,0)</f>
        <v/>
      </c>
      <c r="DK33" s="45">
        <f>ROUND(DK27*0.6,0)</f>
        <v/>
      </c>
      <c r="DL33" s="45">
        <f>ROUND(DL27*0.6,0)</f>
        <v/>
      </c>
      <c r="DN33" s="45">
        <f>ROUND(DN27*0.6,0)</f>
        <v/>
      </c>
      <c r="DO33" s="45">
        <f>ROUND(DO27*0.6,0)</f>
        <v/>
      </c>
      <c r="DP33" s="45">
        <f>ROUND(DP27*0.6,0)</f>
        <v/>
      </c>
      <c r="DR33" s="45">
        <f>ROUND(DR27*0.6,0)</f>
        <v/>
      </c>
      <c r="DS33" s="45">
        <f>ROUND(DS27*0.6,0)</f>
        <v/>
      </c>
      <c r="DT33" s="45">
        <f>ROUND(DT27*0.6,0)</f>
        <v/>
      </c>
      <c r="DV33" s="45">
        <f>ROUND(DV27*0.6,0)</f>
        <v/>
      </c>
      <c r="DW33" s="45">
        <f>ROUND(DW27*0.6,0)</f>
        <v/>
      </c>
      <c r="DX33" s="45">
        <f>ROUND(DX27*0.6,0)</f>
        <v/>
      </c>
      <c r="DZ33" s="45">
        <f>ROUND(DZ27*0.6,0)</f>
        <v/>
      </c>
      <c r="EA33" s="45">
        <f>ROUND(EA27*0.6,0)</f>
        <v/>
      </c>
      <c r="EB33" s="45">
        <f>ROUND(EB27*0.6,0)</f>
        <v/>
      </c>
      <c r="ED33" s="45">
        <f>ROUND(ED27*0.6,0)</f>
        <v/>
      </c>
      <c r="EE33" s="45">
        <f>ROUND(EE27*0.6,0)</f>
        <v/>
      </c>
      <c r="EF33" s="45">
        <f>ROUND(EF27*0.6,0)</f>
        <v/>
      </c>
      <c r="EH33" s="45">
        <f>ROUND(EH27*0.6,0)</f>
        <v/>
      </c>
      <c r="EI33" s="45">
        <f>ROUND(EI27*0.6,0)</f>
        <v/>
      </c>
      <c r="EJ33" s="45">
        <f>ROUND(EJ27*0.6,0)</f>
        <v/>
      </c>
      <c r="EL33" s="45">
        <f>ROUND(EL27*0.6,0)</f>
        <v/>
      </c>
      <c r="EM33" s="45">
        <f>ROUND(EM27*0.6,0)</f>
        <v/>
      </c>
      <c r="EN33" s="45">
        <f>ROUND(EN27*0.6,0)</f>
        <v/>
      </c>
      <c r="EP33" s="45">
        <f>ROUND(EP27*0.6,0)</f>
        <v/>
      </c>
      <c r="EQ33" s="45">
        <f>ROUND(EQ27*0.6,0)</f>
        <v/>
      </c>
      <c r="ER33" s="45">
        <f>ROUND(ER27*0.6,0)</f>
        <v/>
      </c>
      <c r="ET33" s="45">
        <f>ROUND(ET27*0.6,0)</f>
        <v/>
      </c>
      <c r="EU33" s="45">
        <f>ROUND(EU27*0.6,0)</f>
        <v/>
      </c>
      <c r="EV33" s="45">
        <f>ROUND(EV27*0.6,0)</f>
        <v/>
      </c>
      <c r="EX33" s="45">
        <f>ROUND(EX27*0.6,0)</f>
        <v/>
      </c>
      <c r="EY33" s="45">
        <f>ROUND(EY27*0.6,0)</f>
        <v/>
      </c>
      <c r="EZ33" s="45">
        <f>ROUND(EZ27*0.6,0)</f>
        <v/>
      </c>
      <c r="FB33" s="45">
        <f>ROUND(FB27*0.6,0)</f>
        <v/>
      </c>
      <c r="FC33" s="45">
        <f>ROUND(FC27*0.6,0)</f>
        <v/>
      </c>
      <c r="FD33" s="45">
        <f>ROUND(FD27*0.6,0)</f>
        <v/>
      </c>
    </row>
    <row r="34">
      <c r="A34" s="105" t="inlineStr">
        <is>
          <t>血云刀</t>
        </is>
      </c>
      <c r="E34" s="105" t="inlineStr">
        <is>
          <t>血云衣</t>
        </is>
      </c>
      <c r="I34" s="106" t="inlineStr">
        <is>
          <t>血云靴</t>
        </is>
      </c>
      <c r="M34" s="106" t="inlineStr">
        <is>
          <t>血云珠</t>
        </is>
      </c>
      <c r="Q34" s="108" t="inlineStr">
        <is>
          <t>金龙枪</t>
        </is>
      </c>
      <c r="U34" s="108" t="inlineStr">
        <is>
          <t>银龙甲</t>
        </is>
      </c>
      <c r="Y34" s="108" t="inlineStr">
        <is>
          <t>海龙靴</t>
        </is>
      </c>
      <c r="AC34" s="106" t="inlineStr">
        <is>
          <t>黑龙珠</t>
        </is>
      </c>
      <c r="AG34" s="106" t="inlineStr">
        <is>
          <t>神风剑</t>
        </is>
      </c>
      <c r="AK34" s="106" t="inlineStr">
        <is>
          <t>须弥甲</t>
        </is>
      </c>
      <c r="AO34" s="106" t="inlineStr">
        <is>
          <t>清风靴</t>
        </is>
      </c>
      <c r="AS34" s="106" t="inlineStr">
        <is>
          <t>百仙玉</t>
        </is>
      </c>
      <c r="AW34" s="105" t="inlineStr">
        <is>
          <t>天尊剑</t>
        </is>
      </c>
      <c r="BA34" s="105" t="inlineStr">
        <is>
          <t>涅槃甲</t>
        </is>
      </c>
      <c r="BE34" s="105" t="inlineStr">
        <is>
          <t>瞬空靴</t>
        </is>
      </c>
      <c r="BI34" s="106" t="inlineStr">
        <is>
          <t>浮屠珠</t>
        </is>
      </c>
      <c r="BM34" s="106" t="inlineStr">
        <is>
          <t>百海鼎</t>
        </is>
      </c>
      <c r="BQ34" s="106" t="inlineStr">
        <is>
          <t>北冥甲</t>
        </is>
      </c>
      <c r="BU34" s="106" t="inlineStr">
        <is>
          <t>开山靴</t>
        </is>
      </c>
      <c r="BY34" s="106" t="inlineStr">
        <is>
          <t>幻海珠</t>
        </is>
      </c>
      <c r="CC34" s="105" t="inlineStr">
        <is>
          <t>天云刀</t>
        </is>
      </c>
      <c r="CG34" s="105" t="inlineStr">
        <is>
          <t>羽化衣</t>
        </is>
      </c>
      <c r="CK34" s="105" t="inlineStr">
        <is>
          <t>云卷靴</t>
        </is>
      </c>
      <c r="CO34" s="106" t="inlineStr">
        <is>
          <t>红尘坠</t>
        </is>
      </c>
      <c r="CS34" s="106" t="inlineStr">
        <is>
          <t>月华镜</t>
        </is>
      </c>
      <c r="CW34" s="106" t="inlineStr">
        <is>
          <t>月莹衣</t>
        </is>
      </c>
      <c r="DA34" s="106" t="inlineStr">
        <is>
          <t>皓月靴</t>
        </is>
      </c>
      <c r="DE34" s="106" t="inlineStr">
        <is>
          <t>枫露珠</t>
        </is>
      </c>
      <c r="DI34" s="106" t="inlineStr">
        <is>
          <t>长生鼎</t>
        </is>
      </c>
      <c r="DM34" s="106" t="inlineStr">
        <is>
          <t>百木袍</t>
        </is>
      </c>
      <c r="DQ34" s="106" t="inlineStr">
        <is>
          <t>灵生靴</t>
        </is>
      </c>
      <c r="DU34" s="106" t="inlineStr">
        <is>
          <t>木辉珠</t>
        </is>
      </c>
      <c r="DY34" s="105" t="inlineStr">
        <is>
          <t>枯骨镜</t>
        </is>
      </c>
      <c r="EC34" s="105" t="inlineStr">
        <is>
          <t>幽冥铠</t>
        </is>
      </c>
      <c r="EG34" s="105" t="inlineStr">
        <is>
          <t>紫骨靴</t>
        </is>
      </c>
      <c r="EK34" s="106" t="inlineStr">
        <is>
          <t>王骨珠</t>
        </is>
      </c>
      <c r="EO34" s="106" t="inlineStr">
        <is>
          <t>洪荒枪</t>
        </is>
      </c>
      <c r="ES34" s="106" t="inlineStr">
        <is>
          <t>洪荒铠</t>
        </is>
      </c>
      <c r="EW34" s="106" t="inlineStr">
        <is>
          <t>洪荒靴</t>
        </is>
      </c>
      <c r="FA34" s="106" t="inlineStr">
        <is>
          <t>洪荒珠</t>
        </is>
      </c>
    </row>
    <row r="35">
      <c r="B35" s="49">
        <f>ROUND(B27*0.5,0)</f>
        <v/>
      </c>
      <c r="C35" s="49">
        <f>ROUND(C27*0.5,0)</f>
        <v/>
      </c>
      <c r="D35" s="49">
        <f>ROUND(D27*0.5,0)</f>
        <v/>
      </c>
      <c r="F35" s="49">
        <f>ROUND(F27*0.5,0)</f>
        <v/>
      </c>
      <c r="G35" s="49">
        <f>ROUND(G27*0.5,0)</f>
        <v/>
      </c>
      <c r="H35" s="49">
        <f>ROUND(H27*0.5,0)</f>
        <v/>
      </c>
      <c r="J35" s="49">
        <f>ROUND(J27*0.5,0)</f>
        <v/>
      </c>
      <c r="K35" s="49">
        <f>ROUND(K27*0.5,0)</f>
        <v/>
      </c>
      <c r="L35" s="49">
        <f>ROUND(L27*0.5,0)</f>
        <v/>
      </c>
      <c r="N35" s="49">
        <f>ROUND(N27*0.5,0)</f>
        <v/>
      </c>
      <c r="O35" s="49">
        <f>ROUND(O27*0.5,0)</f>
        <v/>
      </c>
      <c r="P35" s="49">
        <f>ROUND(P27*0.5,0)</f>
        <v/>
      </c>
      <c r="R35" s="49">
        <f>ROUND(R27*0.5,0)</f>
        <v/>
      </c>
      <c r="S35" s="49">
        <f>ROUND(S27*0.5,0)</f>
        <v/>
      </c>
      <c r="T35" s="49">
        <f>ROUND(T27*0.5,0)</f>
        <v/>
      </c>
      <c r="V35" s="49">
        <f>ROUND(V27*0.5,0)</f>
        <v/>
      </c>
      <c r="W35" s="49">
        <f>ROUND(W27*0.5,0)</f>
        <v/>
      </c>
      <c r="X35" s="49">
        <f>ROUND(X27*0.5,0)</f>
        <v/>
      </c>
      <c r="Z35" s="49">
        <f>ROUND(Z27*0.5,0)</f>
        <v/>
      </c>
      <c r="AA35" s="49">
        <f>ROUND(AA27*0.5,0)</f>
        <v/>
      </c>
      <c r="AB35" s="49">
        <f>ROUND(AB27*0.5,0)</f>
        <v/>
      </c>
      <c r="AD35" s="49">
        <f>ROUND(AD27*0.5,0)</f>
        <v/>
      </c>
      <c r="AE35" s="49">
        <f>ROUND(AE27*0.5,0)</f>
        <v/>
      </c>
      <c r="AF35" s="49">
        <f>ROUND(AF27*0.5,0)</f>
        <v/>
      </c>
      <c r="AH35" s="49">
        <f>ROUND(AH27*0.5,0)</f>
        <v/>
      </c>
      <c r="AI35" s="49">
        <f>ROUND(AI27*0.5,0)</f>
        <v/>
      </c>
      <c r="AJ35" s="49">
        <f>ROUND(AJ27*0.5,0)</f>
        <v/>
      </c>
      <c r="AL35" s="49">
        <f>ROUND(AL27*0.5,0)</f>
        <v/>
      </c>
      <c r="AM35" s="49">
        <f>ROUND(AM27*0.5,0)</f>
        <v/>
      </c>
      <c r="AN35" s="49">
        <f>ROUND(AN27*0.5,0)</f>
        <v/>
      </c>
      <c r="AP35" s="49">
        <f>ROUND(AP27*0.5,0)</f>
        <v/>
      </c>
      <c r="AQ35" s="49">
        <f>ROUND(AQ27*0.5,0)</f>
        <v/>
      </c>
      <c r="AR35" s="49">
        <f>ROUND(AR27*0.5,0)</f>
        <v/>
      </c>
      <c r="AT35" s="49">
        <f>ROUND(AT27*0.5,0)</f>
        <v/>
      </c>
      <c r="AU35" s="49">
        <f>ROUND(AU27*0.5,0)</f>
        <v/>
      </c>
      <c r="AV35" s="49">
        <f>ROUND(AV27*0.5,0)</f>
        <v/>
      </c>
      <c r="AX35" s="49">
        <f>ROUND(AX27*0.5,0)</f>
        <v/>
      </c>
      <c r="AY35" s="49">
        <f>ROUND(AY27*0.5,0)</f>
        <v/>
      </c>
      <c r="AZ35" s="49">
        <f>ROUND(AZ27*0.5,0)</f>
        <v/>
      </c>
      <c r="BB35" s="49">
        <f>ROUND(BB27*0.5,0)</f>
        <v/>
      </c>
      <c r="BC35" s="49">
        <f>ROUND(BC27*0.5,0)</f>
        <v/>
      </c>
      <c r="BD35" s="49">
        <f>ROUND(BD27*0.5,0)</f>
        <v/>
      </c>
      <c r="BF35" s="49">
        <f>ROUND(BF27*0.5,0)</f>
        <v/>
      </c>
      <c r="BG35" s="49">
        <f>ROUND(BG27*0.5,0)</f>
        <v/>
      </c>
      <c r="BH35" s="49">
        <f>ROUND(BH27*0.5,0)</f>
        <v/>
      </c>
      <c r="BJ35" s="49">
        <f>ROUND(BJ27*0.5,0)</f>
        <v/>
      </c>
      <c r="BK35" s="49">
        <f>ROUND(BK27*0.5,0)</f>
        <v/>
      </c>
      <c r="BL35" s="49">
        <f>ROUND(BL27*0.5,0)</f>
        <v/>
      </c>
      <c r="BN35" s="49">
        <f>ROUND(BN27*0.5,0)</f>
        <v/>
      </c>
      <c r="BO35" s="49">
        <f>ROUND(BO27*0.5,0)</f>
        <v/>
      </c>
      <c r="BP35" s="49">
        <f>ROUND(BP27*0.5,0)</f>
        <v/>
      </c>
      <c r="BR35" s="49">
        <f>ROUND(BR27*0.5,0)</f>
        <v/>
      </c>
      <c r="BS35" s="49">
        <f>ROUND(BS27*0.5,0)</f>
        <v/>
      </c>
      <c r="BT35" s="49">
        <f>ROUND(BT27*0.5,0)</f>
        <v/>
      </c>
      <c r="BV35" s="49">
        <f>ROUND(BV27*0.5,0)</f>
        <v/>
      </c>
      <c r="BW35" s="49">
        <f>ROUND(BW27*0.5,0)</f>
        <v/>
      </c>
      <c r="BX35" s="49">
        <f>ROUND(BX27*0.5,0)</f>
        <v/>
      </c>
      <c r="BZ35" s="49">
        <f>ROUND(BZ27*0.5,0)</f>
        <v/>
      </c>
      <c r="CA35" s="49">
        <f>ROUND(CA27*0.5,0)</f>
        <v/>
      </c>
      <c r="CB35" s="49">
        <f>ROUND(CB27*0.5,0)</f>
        <v/>
      </c>
      <c r="CD35" s="49">
        <f>ROUND(CD27*0.5,0)</f>
        <v/>
      </c>
      <c r="CE35" s="49">
        <f>ROUND(CE27*0.5,0)</f>
        <v/>
      </c>
      <c r="CF35" s="49">
        <f>ROUND(CF27*0.5,0)</f>
        <v/>
      </c>
      <c r="CH35" s="49">
        <f>ROUND(CH27*0.5,0)</f>
        <v/>
      </c>
      <c r="CI35" s="49">
        <f>ROUND(CI27*0.5,0)</f>
        <v/>
      </c>
      <c r="CJ35" s="49">
        <f>ROUND(CJ27*0.5,0)</f>
        <v/>
      </c>
      <c r="CL35" s="49">
        <f>ROUND(CL27*0.5,0)</f>
        <v/>
      </c>
      <c r="CM35" s="49">
        <f>ROUND(CM27*0.5,0)</f>
        <v/>
      </c>
      <c r="CN35" s="49">
        <f>ROUND(CN27*0.5,0)</f>
        <v/>
      </c>
      <c r="CP35" s="49">
        <f>ROUND(CP27*0.5,0)</f>
        <v/>
      </c>
      <c r="CQ35" s="49">
        <f>ROUND(CQ27*0.5,0)</f>
        <v/>
      </c>
      <c r="CR35" s="49">
        <f>ROUND(CR27*0.5,0)</f>
        <v/>
      </c>
      <c r="CT35" s="49">
        <f>ROUND(CT27*0.5,0)</f>
        <v/>
      </c>
      <c r="CU35" s="49">
        <f>ROUND(CU27*0.5,0)</f>
        <v/>
      </c>
      <c r="CV35" s="49">
        <f>ROUND(CV27*0.5,0)</f>
        <v/>
      </c>
      <c r="CX35" s="49">
        <f>ROUND(CX27*0.5,0)</f>
        <v/>
      </c>
      <c r="CY35" s="49">
        <f>ROUND(CY27*0.5,0)</f>
        <v/>
      </c>
      <c r="CZ35" s="49">
        <f>ROUND(CZ27*0.5,0)</f>
        <v/>
      </c>
      <c r="DB35" s="49">
        <f>ROUND(DB27*0.5,0)</f>
        <v/>
      </c>
      <c r="DC35" s="49">
        <f>ROUND(DC27*0.5,0)</f>
        <v/>
      </c>
      <c r="DD35" s="49">
        <f>ROUND(DD27*0.5,0)</f>
        <v/>
      </c>
      <c r="DF35" s="49">
        <f>ROUND(DF27*0.5,0)</f>
        <v/>
      </c>
      <c r="DG35" s="49">
        <f>ROUND(DG27*0.5,0)</f>
        <v/>
      </c>
      <c r="DH35" s="49">
        <f>ROUND(DH27*0.5,0)</f>
        <v/>
      </c>
      <c r="DJ35" s="49">
        <f>ROUND(DJ27*0.5,0)</f>
        <v/>
      </c>
      <c r="DK35" s="49">
        <f>ROUND(DK27*0.5,0)</f>
        <v/>
      </c>
      <c r="DL35" s="49">
        <f>ROUND(DL27*0.5,0)</f>
        <v/>
      </c>
      <c r="DN35" s="49">
        <f>ROUND(DN27*0.5,0)</f>
        <v/>
      </c>
      <c r="DO35" s="49">
        <f>ROUND(DO27*0.5,0)</f>
        <v/>
      </c>
      <c r="DP35" s="49">
        <f>ROUND(DP27*0.5,0)</f>
        <v/>
      </c>
      <c r="DR35" s="49">
        <f>ROUND(DR27*0.5,0)</f>
        <v/>
      </c>
      <c r="DS35" s="49">
        <f>ROUND(DS27*0.5,0)</f>
        <v/>
      </c>
      <c r="DT35" s="49">
        <f>ROUND(DT27*0.5,0)</f>
        <v/>
      </c>
      <c r="DV35" s="49">
        <f>ROUND(DV27*0.5,0)</f>
        <v/>
      </c>
      <c r="DW35" s="49">
        <f>ROUND(DW27*0.5,0)</f>
        <v/>
      </c>
      <c r="DX35" s="49">
        <f>ROUND(DX27*0.5,0)</f>
        <v/>
      </c>
      <c r="DZ35" s="49">
        <f>ROUND(DZ27*0.5,0)</f>
        <v/>
      </c>
      <c r="EA35" s="49">
        <f>ROUND(EA27*0.5,0)</f>
        <v/>
      </c>
      <c r="EB35" s="49">
        <f>ROUND(EB27*0.5,0)</f>
        <v/>
      </c>
      <c r="ED35" s="49">
        <f>ROUND(ED27*0.5,0)</f>
        <v/>
      </c>
      <c r="EE35" s="49">
        <f>ROUND(EE27*0.5,0)</f>
        <v/>
      </c>
      <c r="EF35" s="49">
        <f>ROUND(EF27*0.5,0)</f>
        <v/>
      </c>
      <c r="EH35" s="49">
        <f>ROUND(EH27*0.5,0)</f>
        <v/>
      </c>
      <c r="EI35" s="49">
        <f>ROUND(EI27*0.5,0)</f>
        <v/>
      </c>
      <c r="EJ35" s="49">
        <f>ROUND(EJ27*0.5,0)</f>
        <v/>
      </c>
      <c r="EL35" s="49">
        <f>ROUND(EL27*0.5,0)</f>
        <v/>
      </c>
      <c r="EM35" s="49">
        <f>ROUND(EM27*0.5,0)</f>
        <v/>
      </c>
      <c r="EN35" s="49">
        <f>ROUND(EN27*0.5,0)</f>
        <v/>
      </c>
      <c r="EP35" s="49">
        <f>ROUND(EP27*0.5,0)</f>
        <v/>
      </c>
      <c r="EQ35" s="49">
        <f>ROUND(EQ27*0.5,0)</f>
        <v/>
      </c>
      <c r="ER35" s="49">
        <f>ROUND(ER27*0.5,0)</f>
        <v/>
      </c>
      <c r="ET35" s="49">
        <f>ROUND(ET27*0.5,0)</f>
        <v/>
      </c>
      <c r="EU35" s="49">
        <f>ROUND(EU27*0.5,0)</f>
        <v/>
      </c>
      <c r="EV35" s="49">
        <f>ROUND(EV27*0.5,0)</f>
        <v/>
      </c>
      <c r="EX35" s="49">
        <f>ROUND(EX27*0.5,0)</f>
        <v/>
      </c>
      <c r="EY35" s="49">
        <f>ROUND(EY27*0.5,0)</f>
        <v/>
      </c>
      <c r="EZ35" s="49">
        <f>ROUND(EZ27*0.5,0)</f>
        <v/>
      </c>
      <c r="FB35" s="49">
        <f>ROUND(FB27*0.5,0)</f>
        <v/>
      </c>
      <c r="FC35" s="49">
        <f>ROUND(FC27*0.5,0)</f>
        <v/>
      </c>
      <c r="FD35" s="49">
        <f>ROUND(FD27*0.5,0)</f>
        <v/>
      </c>
    </row>
    <row r="36">
      <c r="D36" s="49" t="n">
        <v>4000</v>
      </c>
      <c r="H36" s="49">
        <f>463*辅助设计!Q44</f>
        <v/>
      </c>
      <c r="T36" s="7">
        <f>1229*辅助设计!N44</f>
        <v/>
      </c>
      <c r="X36" s="49">
        <f>432*辅助设计!Q44</f>
        <v/>
      </c>
      <c r="AJ36" s="49">
        <f>1101*辅助设计!N44</f>
        <v/>
      </c>
      <c r="AN36" s="49">
        <f>432*辅助设计!Q44</f>
        <v/>
      </c>
      <c r="AZ36" s="49">
        <f>949*辅助设计!N44</f>
        <v/>
      </c>
      <c r="BD36" s="49">
        <f>493*辅助设计!Q44</f>
        <v/>
      </c>
      <c r="BP36" s="49">
        <f>702*辅助设计!N44</f>
        <v/>
      </c>
      <c r="BT36" s="49">
        <f>580*辅助设计!Q44</f>
        <v/>
      </c>
      <c r="CF36" s="49">
        <f>949*辅助设计!N44</f>
        <v/>
      </c>
      <c r="CJ36" s="49">
        <f>493*辅助设计!Q44</f>
        <v/>
      </c>
      <c r="CV36" s="49">
        <f>892*辅助设计!N44</f>
        <v/>
      </c>
      <c r="CZ36" s="49">
        <f>493*辅助设计!Q44</f>
        <v/>
      </c>
      <c r="DL36" s="49">
        <f>831*辅助设计!N44</f>
        <v/>
      </c>
      <c r="DP36" s="49">
        <f>524*辅助设计!Q44</f>
        <v/>
      </c>
      <c r="EB36" s="49">
        <f>949*辅助设计!N44</f>
        <v/>
      </c>
      <c r="EF36" s="49">
        <f>549*辅助设计!Q44</f>
        <v/>
      </c>
      <c r="ER36" s="49">
        <f>1104*辅助设计!N44</f>
        <v/>
      </c>
      <c r="EV36" s="49">
        <f>493*辅助设计!Q44</f>
        <v/>
      </c>
    </row>
  </sheetData>
  <mergeCells count="200">
    <mergeCell ref="EC32:EF32"/>
    <mergeCell ref="BY34:CB34"/>
    <mergeCell ref="CG28:CJ28"/>
    <mergeCell ref="Y28:AB28"/>
    <mergeCell ref="AS28:AV28"/>
    <mergeCell ref="EO32:ER32"/>
    <mergeCell ref="I1:L1"/>
    <mergeCell ref="AG30:AJ30"/>
    <mergeCell ref="M32:P32"/>
    <mergeCell ref="E32:H32"/>
    <mergeCell ref="EG34:EJ34"/>
    <mergeCell ref="Y32:AB32"/>
    <mergeCell ref="DA28:DD28"/>
    <mergeCell ref="AK32:AN32"/>
    <mergeCell ref="CG30:CJ30"/>
    <mergeCell ref="EK30:EN30"/>
    <mergeCell ref="AC32:AF32"/>
    <mergeCell ref="AG1:AJ1"/>
    <mergeCell ref="FA34:FD34"/>
    <mergeCell ref="AO32:AR32"/>
    <mergeCell ref="CK1:CN1"/>
    <mergeCell ref="CS32:CV32"/>
    <mergeCell ref="DE30:DH30"/>
    <mergeCell ref="BM32:BP32"/>
    <mergeCell ref="DM32:DP32"/>
    <mergeCell ref="BQ30:BT30"/>
    <mergeCell ref="EW32:EZ32"/>
    <mergeCell ref="DE32:DH32"/>
    <mergeCell ref="FA30:FD30"/>
    <mergeCell ref="E1:H1"/>
    <mergeCell ref="DU30:DX30"/>
    <mergeCell ref="BE1:BH1"/>
    <mergeCell ref="DY28:EB28"/>
    <mergeCell ref="Y1:AB1"/>
    <mergeCell ref="BQ32:BT32"/>
    <mergeCell ref="DI1:DL1"/>
    <mergeCell ref="BQ1:BT1"/>
    <mergeCell ref="EK28:EN28"/>
    <mergeCell ref="DA1:DD1"/>
    <mergeCell ref="BU1:BX1"/>
    <mergeCell ref="E34:H34"/>
    <mergeCell ref="CC32:CF32"/>
    <mergeCell ref="DU1:DX1"/>
    <mergeCell ref="CO30:CR30"/>
    <mergeCell ref="Y34:AB34"/>
    <mergeCell ref="DY30:EB30"/>
    <mergeCell ref="Q34:T34"/>
    <mergeCell ref="EG1:EJ1"/>
    <mergeCell ref="AK34:AN34"/>
    <mergeCell ref="AO1:AR1"/>
    <mergeCell ref="U28:X28"/>
    <mergeCell ref="BU34:BX34"/>
    <mergeCell ref="DQ32:DT32"/>
    <mergeCell ref="CS1:CV1"/>
    <mergeCell ref="Q30:T30"/>
    <mergeCell ref="AO34:AR34"/>
    <mergeCell ref="AS34:AV34"/>
    <mergeCell ref="CS34:CV34"/>
    <mergeCell ref="A28:D28"/>
    <mergeCell ref="BE34:BH34"/>
    <mergeCell ref="EW34:EZ34"/>
    <mergeCell ref="DE34:DH34"/>
    <mergeCell ref="BE28:BH28"/>
    <mergeCell ref="EO34:ER34"/>
    <mergeCell ref="DI28:DL28"/>
    <mergeCell ref="BQ28:BT28"/>
    <mergeCell ref="A30:D30"/>
    <mergeCell ref="AS30:AV30"/>
    <mergeCell ref="DU28:DX28"/>
    <mergeCell ref="BE30:BH30"/>
    <mergeCell ref="BY30:CB30"/>
    <mergeCell ref="AC28:AF28"/>
    <mergeCell ref="AW32:AZ32"/>
    <mergeCell ref="AO28:AR28"/>
    <mergeCell ref="DQ34:DT34"/>
    <mergeCell ref="AC30:AF30"/>
    <mergeCell ref="I32:L32"/>
    <mergeCell ref="EC34:EF34"/>
    <mergeCell ref="U32:X32"/>
    <mergeCell ref="BM1:BP1"/>
    <mergeCell ref="BE32:BH32"/>
    <mergeCell ref="EG28:EJ28"/>
    <mergeCell ref="CO28:CR28"/>
    <mergeCell ref="BY32:CB32"/>
    <mergeCell ref="AG32:AJ32"/>
    <mergeCell ref="DY32:EB32"/>
    <mergeCell ref="ES28:EV28"/>
    <mergeCell ref="CC30:CF30"/>
    <mergeCell ref="CK32:CN32"/>
    <mergeCell ref="CW30:CZ30"/>
    <mergeCell ref="EK32:EN32"/>
    <mergeCell ref="Q1:T1"/>
    <mergeCell ref="EK34:EN34"/>
    <mergeCell ref="EG30:EJ30"/>
    <mergeCell ref="AK1:AN1"/>
    <mergeCell ref="AC1:AF1"/>
    <mergeCell ref="CG34:CJ34"/>
    <mergeCell ref="ES30:EV30"/>
    <mergeCell ref="AW1:AZ1"/>
    <mergeCell ref="CG1:CJ1"/>
    <mergeCell ref="CO32:CR32"/>
    <mergeCell ref="DA30:DD30"/>
    <mergeCell ref="BI32:BL32"/>
    <mergeCell ref="DI32:DL32"/>
    <mergeCell ref="ES32:EV32"/>
    <mergeCell ref="DA32:DD32"/>
    <mergeCell ref="DM30:DP30"/>
    <mergeCell ref="ES1:EV1"/>
    <mergeCell ref="DQ30:DT30"/>
    <mergeCell ref="BA1:BD1"/>
    <mergeCell ref="DE1:DH1"/>
    <mergeCell ref="A34:D34"/>
    <mergeCell ref="FA28:FD28"/>
    <mergeCell ref="DQ1:DT1"/>
    <mergeCell ref="EK1:EN1"/>
    <mergeCell ref="M34:P34"/>
    <mergeCell ref="I30:L30"/>
    <mergeCell ref="AG34:AJ34"/>
    <mergeCell ref="BQ34:BT34"/>
    <mergeCell ref="Q28:T28"/>
    <mergeCell ref="CK34:CN34"/>
    <mergeCell ref="EG32:EJ32"/>
    <mergeCell ref="AK28:AN28"/>
    <mergeCell ref="CC34:CF34"/>
    <mergeCell ref="CK28:CN28"/>
    <mergeCell ref="A1:D1"/>
    <mergeCell ref="CC28:CF28"/>
    <mergeCell ref="AW28:AZ28"/>
    <mergeCell ref="M1:P1"/>
    <mergeCell ref="Y30:AB30"/>
    <mergeCell ref="CW28:CZ28"/>
    <mergeCell ref="FA1:FD1"/>
    <mergeCell ref="AK30:AN30"/>
    <mergeCell ref="CO34:CR34"/>
    <mergeCell ref="DA34:DD34"/>
    <mergeCell ref="BA28:BD28"/>
    <mergeCell ref="FA32:FD32"/>
    <mergeCell ref="DE28:DH28"/>
    <mergeCell ref="BM28:BP28"/>
    <mergeCell ref="AO30:AR30"/>
    <mergeCell ref="BM34:BP34"/>
    <mergeCell ref="CK30:CN30"/>
    <mergeCell ref="DQ28:DT28"/>
    <mergeCell ref="BA30:BD30"/>
    <mergeCell ref="BU30:BX30"/>
    <mergeCell ref="A32:D32"/>
    <mergeCell ref="AS32:AV32"/>
    <mergeCell ref="CW32:CZ32"/>
    <mergeCell ref="DM34:DP34"/>
    <mergeCell ref="DI30:DL30"/>
    <mergeCell ref="M28:P28"/>
    <mergeCell ref="DY34:EB34"/>
    <mergeCell ref="BY28:CB28"/>
    <mergeCell ref="Q32:T32"/>
    <mergeCell ref="CS28:CV28"/>
    <mergeCell ref="BI1:BL1"/>
    <mergeCell ref="BA32:BD32"/>
    <mergeCell ref="EC28:EF28"/>
    <mergeCell ref="BM30:BP30"/>
    <mergeCell ref="U1:X1"/>
    <mergeCell ref="BU32:BX32"/>
    <mergeCell ref="EW28:EZ28"/>
    <mergeCell ref="DU32:DX32"/>
    <mergeCell ref="EO28:ER28"/>
    <mergeCell ref="BY1:CB1"/>
    <mergeCell ref="I34:L34"/>
    <mergeCell ref="CG32:CJ32"/>
    <mergeCell ref="DY1:EB1"/>
    <mergeCell ref="CS30:CV30"/>
    <mergeCell ref="EC30:EF30"/>
    <mergeCell ref="U34:X34"/>
    <mergeCell ref="EW30:EZ30"/>
    <mergeCell ref="EO30:ER30"/>
    <mergeCell ref="AS1:AV1"/>
    <mergeCell ref="DM28:DP28"/>
    <mergeCell ref="CC1:CF1"/>
    <mergeCell ref="EC1:EF1"/>
    <mergeCell ref="CW1:CZ1"/>
    <mergeCell ref="EW1:EZ1"/>
    <mergeCell ref="CO1:CR1"/>
    <mergeCell ref="U30:X30"/>
    <mergeCell ref="EO1:ER1"/>
    <mergeCell ref="AW34:AZ34"/>
    <mergeCell ref="CW34:CZ34"/>
    <mergeCell ref="E28:H28"/>
    <mergeCell ref="BI34:BL34"/>
    <mergeCell ref="I28:L28"/>
    <mergeCell ref="DI34:DL34"/>
    <mergeCell ref="BI28:BL28"/>
    <mergeCell ref="ES34:EV34"/>
    <mergeCell ref="DM1:DP1"/>
    <mergeCell ref="M30:P30"/>
    <mergeCell ref="DU34:DX34"/>
    <mergeCell ref="BU28:BX28"/>
    <mergeCell ref="BA34:BD34"/>
    <mergeCell ref="E30:H30"/>
    <mergeCell ref="AW30:AZ30"/>
    <mergeCell ref="AC34:AF34"/>
    <mergeCell ref="BI30:BL30"/>
    <mergeCell ref="AG28:AJ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6"/>
  <sheetViews>
    <sheetView workbookViewId="0">
      <selection activeCell="D6" sqref="D6"/>
    </sheetView>
  </sheetViews>
  <sheetFormatPr baseColWidth="8" defaultColWidth="9" defaultRowHeight="13.5"/>
  <cols>
    <col width="17.5" customWidth="1" style="119" min="2" max="2"/>
  </cols>
  <sheetData>
    <row r="2">
      <c r="A2" s="49" t="inlineStr">
        <is>
          <t>万位</t>
        </is>
      </c>
      <c r="B2" s="49" t="inlineStr">
        <is>
          <t>物品类型</t>
        </is>
      </c>
      <c r="C2" s="49" t="inlineStr">
        <is>
          <t>举例</t>
        </is>
      </c>
      <c r="D2" s="49" t="n">
        <v>2</v>
      </c>
    </row>
    <row r="3">
      <c r="A3" s="49" t="inlineStr">
        <is>
          <t>千位</t>
        </is>
      </c>
      <c r="B3" s="49" t="inlineStr">
        <is>
          <t>装备阶级</t>
        </is>
      </c>
      <c r="D3" s="49" t="n">
        <v>1</v>
      </c>
    </row>
    <row r="4">
      <c r="A4" s="49" t="inlineStr">
        <is>
          <t>百位</t>
        </is>
      </c>
      <c r="B4" s="49" t="inlineStr">
        <is>
          <t>装备类型</t>
        </is>
      </c>
      <c r="C4" s="49" t="inlineStr">
        <is>
          <t>戒</t>
        </is>
      </c>
      <c r="D4" s="49" t="n">
        <v>1</v>
      </c>
    </row>
    <row r="5">
      <c r="A5" s="49" t="inlineStr">
        <is>
          <t>十位以下</t>
        </is>
      </c>
      <c r="B5" s="49" t="inlineStr">
        <is>
          <t>具体装备</t>
        </is>
      </c>
      <c r="D5" s="49" t="n">
        <v>0</v>
      </c>
    </row>
    <row r="6">
      <c r="D6" s="49" t="n">
        <v>1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F3" sqref="A3:F3"/>
    </sheetView>
  </sheetViews>
  <sheetFormatPr baseColWidth="8" defaultColWidth="9" defaultRowHeight="13.5"/>
  <cols>
    <col width="22.75" customWidth="1" style="25" min="1" max="1"/>
    <col width="21" customWidth="1" style="25" min="2" max="2"/>
    <col width="20" customWidth="1" style="25" min="3" max="3"/>
    <col width="13.25" customWidth="1" style="25" min="4" max="4"/>
    <col width="9" customWidth="1" style="25" min="5" max="5"/>
    <col width="15.375" customWidth="1" style="25" min="6" max="6"/>
    <col width="11.625" customWidth="1" style="25" min="7" max="7"/>
    <col width="12.875" customWidth="1" style="25" min="8" max="8"/>
    <col width="13" customWidth="1" style="25" min="9" max="9"/>
    <col width="9" customWidth="1" style="25" min="10" max="10"/>
    <col width="9" customWidth="1" style="25" min="11" max="16384"/>
  </cols>
  <sheetData>
    <row r="1">
      <c r="B1" s="110" t="inlineStr">
        <is>
          <t>凡</t>
        </is>
      </c>
      <c r="E1" s="112" t="inlineStr">
        <is>
          <t>黄</t>
        </is>
      </c>
      <c r="H1" s="114" t="inlineStr">
        <is>
          <t>玄</t>
        </is>
      </c>
      <c r="K1" s="116" t="inlineStr">
        <is>
          <t>地</t>
        </is>
      </c>
      <c r="N1" s="118" t="inlineStr">
        <is>
          <t>天</t>
        </is>
      </c>
    </row>
    <row r="2" ht="27" customHeight="1" s="119">
      <c r="A2" s="25" t="inlineStr">
        <is>
          <t>每5级属性id</t>
        </is>
      </c>
      <c r="B2" s="35" t="inlineStr">
        <is>
          <t>每级攻击变化</t>
        </is>
      </c>
      <c r="C2" s="35" t="inlineStr">
        <is>
          <t>每5级随机属性</t>
        </is>
      </c>
      <c r="D2" s="35" t="n"/>
      <c r="E2" s="37" t="inlineStr">
        <is>
          <t>每级攻击变化</t>
        </is>
      </c>
      <c r="F2" s="37" t="inlineStr">
        <is>
          <t>每5级随机属性</t>
        </is>
      </c>
      <c r="G2" s="37" t="n"/>
      <c r="H2" s="39" t="inlineStr">
        <is>
          <t>每级攻击变化</t>
        </is>
      </c>
      <c r="I2" s="39" t="inlineStr">
        <is>
          <t>每5级随机属性</t>
        </is>
      </c>
      <c r="J2" s="39" t="n"/>
      <c r="K2" s="41" t="inlineStr">
        <is>
          <t>每级攻击变化</t>
        </is>
      </c>
      <c r="L2" s="41" t="inlineStr">
        <is>
          <t>每5级随机属性</t>
        </is>
      </c>
      <c r="M2" s="41" t="n"/>
      <c r="N2" s="43" t="inlineStr">
        <is>
          <t>每级攻击变化</t>
        </is>
      </c>
      <c r="O2" s="43" t="inlineStr">
        <is>
          <t>每5级随机属性</t>
        </is>
      </c>
      <c r="P2" s="43" t="n"/>
    </row>
    <row r="3" ht="157.5" customHeight="1" s="119">
      <c r="A3" s="25" t="n">
        <v>10004</v>
      </c>
      <c r="B3" s="25" t="n">
        <v>111.111111111111</v>
      </c>
      <c r="C3" s="120" t="n">
        <v>63</v>
      </c>
      <c r="D3" s="35">
        <f>$A$3&amp;"|"&amp;C3&amp;"$"&amp;$A$4&amp;"|"&amp;C4&amp;"$"&amp;$A$5&amp;"|"&amp;C5&amp;"$"&amp;$A$6&amp;"|"&amp;C6&amp;"$"&amp;$A$7&amp;"|"&amp;C7&amp;"$"&amp;$A$8&amp;"|"&amp;C8</f>
        <v/>
      </c>
      <c r="E3" s="25" t="n">
        <v>133.333333333333</v>
      </c>
      <c r="F3" s="25" t="n">
        <v>105</v>
      </c>
      <c r="G3" s="37">
        <f>$A$3&amp;"|"&amp;F3&amp;"$"&amp;$A$4&amp;"|"&amp;F4&amp;"$"&amp;$A$5&amp;"|"&amp;F5&amp;"$"&amp;$A$6&amp;"|"&amp;F6&amp;"$"&amp;$A$7&amp;"|"&amp;F7&amp;"$"&amp;$A$8&amp;"|"&amp;F8</f>
        <v/>
      </c>
      <c r="H3" s="25" t="n">
        <v>155.555555555556</v>
      </c>
      <c r="I3" s="25" t="n">
        <v>144</v>
      </c>
      <c r="J3" s="39">
        <f>$A$3&amp;"|"&amp;I3&amp;"$"&amp;$A$4&amp;"|"&amp;I4&amp;"$"&amp;$A$5&amp;"|"&amp;I5&amp;"$"&amp;$A$6&amp;"|"&amp;I6&amp;"$"&amp;$A$7&amp;"|"&amp;I7&amp;"$"&amp;$A$8&amp;"|"&amp;I8</f>
        <v/>
      </c>
      <c r="K3" s="25" t="n">
        <v>177.777777777778</v>
      </c>
      <c r="L3" s="25" t="n">
        <v>185</v>
      </c>
      <c r="M3" s="41">
        <f>$A$3&amp;"|"&amp;L3&amp;"$"&amp;$A$4&amp;"|"&amp;L4&amp;"$"&amp;$A$5&amp;"|"&amp;L5&amp;"$"&amp;$A$6&amp;"|"&amp;L6&amp;"$"&amp;$A$7&amp;"|"&amp;L7&amp;$A$8&amp;"|"&amp;L8</f>
        <v/>
      </c>
      <c r="N3" s="25" t="n">
        <v>200</v>
      </c>
      <c r="O3" s="25" t="n">
        <v>223</v>
      </c>
      <c r="P3" s="43">
        <f>$A$3&amp;"|"&amp;O3&amp;"$"&amp;$A$4&amp;"|"&amp;O4&amp;"$"&amp;$A$5&amp;"|"&amp;O5&amp;"$"&amp;$A$6&amp;"|"&amp;O6&amp;"$"&amp;$A$7&amp;"|"&amp;O7&amp;$A$8&amp;"|"&amp;O8</f>
        <v/>
      </c>
    </row>
    <row r="4">
      <c r="A4" s="25" t="n">
        <v>10001</v>
      </c>
      <c r="B4" s="25" t="n">
        <v>117.777777777778</v>
      </c>
      <c r="C4" s="120" t="n">
        <v>325</v>
      </c>
      <c r="D4" s="35" t="n"/>
      <c r="E4" s="25" t="n">
        <v>146.111111111111</v>
      </c>
      <c r="F4" s="25" t="n">
        <v>527</v>
      </c>
      <c r="G4" s="37" t="n"/>
      <c r="H4" s="25" t="n">
        <v>174.277777777778</v>
      </c>
      <c r="I4" s="25" t="n">
        <v>726</v>
      </c>
      <c r="J4" s="39" t="n"/>
      <c r="K4" s="25" t="n">
        <v>202.555555555556</v>
      </c>
      <c r="L4" s="25" t="n">
        <v>927</v>
      </c>
      <c r="M4" s="41" t="n"/>
      <c r="N4" s="25" t="n">
        <v>230.777777777778</v>
      </c>
      <c r="O4" s="25" t="n">
        <v>1125</v>
      </c>
      <c r="P4" s="43" t="n"/>
    </row>
    <row r="5">
      <c r="A5" s="25" t="n">
        <v>10005</v>
      </c>
      <c r="B5" s="25" t="n">
        <v>124.444444444444</v>
      </c>
      <c r="C5" s="120" t="n">
        <v>5</v>
      </c>
      <c r="D5" s="35" t="n"/>
      <c r="E5" s="25" t="n">
        <v>158.888888888889</v>
      </c>
      <c r="F5" s="25" t="n">
        <v>10</v>
      </c>
      <c r="G5" s="37" t="n"/>
      <c r="H5" s="25" t="n">
        <v>193</v>
      </c>
      <c r="I5" s="25" t="n">
        <v>15</v>
      </c>
      <c r="J5" s="39" t="n"/>
      <c r="K5" s="25" t="n">
        <v>227.333333333333</v>
      </c>
      <c r="L5" s="25" t="n">
        <v>20</v>
      </c>
      <c r="M5" s="41" t="n"/>
      <c r="N5" s="25" t="n">
        <v>261.555555555556</v>
      </c>
      <c r="O5" s="25" t="n">
        <v>24</v>
      </c>
      <c r="P5" s="43" t="n"/>
    </row>
    <row r="6">
      <c r="A6" s="25" t="n">
        <v>10006</v>
      </c>
      <c r="B6" s="25" t="n">
        <v>131.111111111111</v>
      </c>
      <c r="C6" s="120" t="n">
        <v>10</v>
      </c>
      <c r="D6" s="35" t="n"/>
      <c r="E6" s="25" t="n">
        <v>171.666666666667</v>
      </c>
      <c r="F6" s="25" t="n">
        <v>20</v>
      </c>
      <c r="G6" s="37" t="n"/>
      <c r="H6" s="25" t="n">
        <v>211.722222222222</v>
      </c>
      <c r="I6" s="25" t="n">
        <v>30</v>
      </c>
      <c r="J6" s="39" t="n"/>
      <c r="K6" s="25" t="n">
        <v>252.111111111111</v>
      </c>
      <c r="L6" s="25" t="n">
        <v>40</v>
      </c>
      <c r="M6" s="41" t="n"/>
      <c r="N6" s="25" t="n">
        <v>292.333333333333</v>
      </c>
      <c r="O6" s="25" t="n">
        <v>48</v>
      </c>
      <c r="P6" s="43" t="n"/>
    </row>
    <row r="7">
      <c r="A7" s="25" t="n">
        <v>10002</v>
      </c>
      <c r="B7" s="25" t="n">
        <v>137.777777777778</v>
      </c>
      <c r="C7" s="120" t="n">
        <v>6</v>
      </c>
      <c r="D7" s="35" t="n"/>
      <c r="E7" s="25" t="n">
        <v>184.444444444444</v>
      </c>
      <c r="F7" s="25" t="n">
        <v>12</v>
      </c>
      <c r="G7" s="37" t="n"/>
      <c r="H7" s="25" t="n">
        <v>230.444444444444</v>
      </c>
      <c r="I7" s="25" t="n">
        <v>18</v>
      </c>
      <c r="J7" s="39" t="n"/>
      <c r="K7" s="25" t="n">
        <v>276.888888888889</v>
      </c>
      <c r="L7" s="25" t="n">
        <v>25</v>
      </c>
      <c r="M7" s="41" t="n"/>
      <c r="N7" s="25" t="n">
        <v>323.111111111111</v>
      </c>
      <c r="O7" s="25" t="n">
        <v>32</v>
      </c>
      <c r="P7" s="43" t="n"/>
    </row>
    <row r="8">
      <c r="A8" s="25" t="n">
        <v>10008</v>
      </c>
      <c r="B8" s="25" t="n">
        <v>144.444444444444</v>
      </c>
      <c r="C8" s="35" t="n">
        <v>25</v>
      </c>
      <c r="D8" s="35" t="n"/>
      <c r="E8" s="25" t="n">
        <v>197.222222222222</v>
      </c>
      <c r="F8" s="37" t="n">
        <v>31</v>
      </c>
      <c r="G8" s="37" t="n"/>
      <c r="H8" s="25" t="n">
        <v>249.166666666667</v>
      </c>
      <c r="I8" s="39" t="n">
        <v>39</v>
      </c>
      <c r="J8" s="39" t="n"/>
      <c r="K8" s="25" t="n">
        <v>301.666666666667</v>
      </c>
      <c r="L8" s="41" t="n">
        <v>48</v>
      </c>
      <c r="M8" s="41" t="n"/>
      <c r="N8" s="25" t="n">
        <v>353.888888888889</v>
      </c>
      <c r="O8" s="43" t="n">
        <v>61</v>
      </c>
      <c r="P8" s="43" t="n"/>
    </row>
    <row r="9">
      <c r="B9" s="25" t="n">
        <v>151.111111111111</v>
      </c>
      <c r="C9" s="35" t="n"/>
      <c r="D9" s="35" t="n"/>
      <c r="E9" s="25" t="n">
        <v>210</v>
      </c>
      <c r="F9" s="37" t="n"/>
      <c r="G9" s="37" t="n"/>
      <c r="H9" s="25" t="n">
        <v>267.888888888889</v>
      </c>
      <c r="I9" s="39" t="n"/>
      <c r="J9" s="39" t="n"/>
      <c r="K9" s="25" t="n">
        <v>326.444444444444</v>
      </c>
      <c r="L9" s="41" t="n"/>
      <c r="M9" s="41" t="n"/>
      <c r="N9" s="25" t="n">
        <v>384.666666666667</v>
      </c>
      <c r="O9" s="43" t="n"/>
      <c r="P9" s="43" t="n"/>
    </row>
    <row r="10">
      <c r="B10" s="25" t="n">
        <v>157.777777777778</v>
      </c>
      <c r="C10" s="35" t="n"/>
      <c r="D10" s="35" t="n"/>
      <c r="E10" s="25" t="n">
        <v>222.777777777778</v>
      </c>
      <c r="F10" s="37" t="n"/>
      <c r="G10" s="37" t="n"/>
      <c r="H10" s="25" t="n">
        <v>286.611111111111</v>
      </c>
      <c r="I10" s="39" t="n"/>
      <c r="J10" s="39" t="n"/>
      <c r="K10" s="25" t="n">
        <v>351.222222222222</v>
      </c>
      <c r="L10" s="41" t="n"/>
      <c r="M10" s="41" t="n"/>
      <c r="N10" s="25" t="n">
        <v>415.444444444444</v>
      </c>
      <c r="O10" s="43" t="n"/>
      <c r="P10" s="43" t="n"/>
    </row>
    <row r="11">
      <c r="B11" s="25" t="n">
        <v>164.444444444444</v>
      </c>
      <c r="C11" s="35" t="n"/>
      <c r="D11" s="35" t="n"/>
      <c r="E11" s="25" t="n">
        <v>235.555555555556</v>
      </c>
      <c r="F11" s="37" t="n"/>
      <c r="G11" s="37" t="n"/>
      <c r="H11" s="25" t="n">
        <v>305.333333333333</v>
      </c>
      <c r="I11" s="39" t="n"/>
      <c r="J11" s="39" t="n"/>
      <c r="K11" s="25" t="n">
        <v>376</v>
      </c>
      <c r="L11" s="41" t="n"/>
      <c r="M11" s="41" t="n"/>
      <c r="N11" s="25" t="n">
        <v>446.222222222222</v>
      </c>
      <c r="O11" s="43" t="n"/>
      <c r="P11" s="43" t="n"/>
    </row>
    <row r="12">
      <c r="B12" s="25" t="n">
        <v>171.111111111111</v>
      </c>
      <c r="C12" s="35" t="n"/>
      <c r="D12" s="35" t="n"/>
      <c r="E12" s="25" t="n">
        <v>248.333333333333</v>
      </c>
      <c r="F12" s="37" t="n"/>
      <c r="G12" s="37" t="n"/>
      <c r="H12" s="25" t="n">
        <v>324.055555555556</v>
      </c>
      <c r="I12" s="39" t="n"/>
      <c r="J12" s="39" t="n"/>
      <c r="K12" s="25" t="n">
        <v>400.777777777778</v>
      </c>
      <c r="L12" s="41" t="n"/>
      <c r="M12" s="41" t="n"/>
      <c r="N12" s="25" t="n">
        <v>477</v>
      </c>
      <c r="O12" s="43" t="n"/>
      <c r="P12" s="43" t="n"/>
    </row>
    <row r="13">
      <c r="B13" s="25" t="n">
        <v>177.777777777778</v>
      </c>
      <c r="C13" s="35" t="n"/>
      <c r="D13" s="35" t="n"/>
      <c r="E13" s="25" t="n">
        <v>261.111111111111</v>
      </c>
      <c r="F13" s="37" t="n"/>
      <c r="G13" s="37" t="n"/>
      <c r="H13" s="25" t="n">
        <v>342.777777777778</v>
      </c>
      <c r="I13" s="39" t="n"/>
      <c r="J13" s="39" t="n"/>
      <c r="K13" s="25" t="n">
        <v>425.555555555556</v>
      </c>
      <c r="L13" s="41" t="n"/>
      <c r="M13" s="41" t="n"/>
      <c r="N13" s="25" t="n">
        <v>507.777777777778</v>
      </c>
      <c r="O13" s="43" t="n"/>
      <c r="P13" s="43" t="n"/>
    </row>
    <row r="14">
      <c r="B14" s="25" t="n">
        <v>184.444444444444</v>
      </c>
      <c r="C14" s="35" t="n"/>
      <c r="D14" s="35" t="n"/>
      <c r="E14" s="25" t="n">
        <v>273.888888888889</v>
      </c>
      <c r="F14" s="37" t="n"/>
      <c r="G14" s="37" t="n"/>
      <c r="H14" s="25" t="n">
        <v>361.5</v>
      </c>
      <c r="I14" s="39" t="n"/>
      <c r="J14" s="39" t="n"/>
      <c r="K14" s="25" t="n">
        <v>450.333333333333</v>
      </c>
      <c r="L14" s="41" t="n"/>
      <c r="M14" s="41" t="n"/>
      <c r="N14" s="25" t="n">
        <v>538.555555555556</v>
      </c>
      <c r="O14" s="43" t="n"/>
      <c r="P14" s="43" t="n"/>
    </row>
    <row r="15">
      <c r="B15" s="25" t="n">
        <v>191.111111111111</v>
      </c>
      <c r="C15" s="35" t="n"/>
      <c r="D15" s="35" t="n"/>
      <c r="E15" s="25" t="n">
        <v>286.666666666667</v>
      </c>
      <c r="F15" s="37" t="n"/>
      <c r="G15" s="37" t="n"/>
      <c r="H15" s="25" t="n">
        <v>380.222222222222</v>
      </c>
      <c r="I15" s="39" t="n"/>
      <c r="J15" s="39" t="n"/>
      <c r="K15" s="25" t="n">
        <v>475.111111111111</v>
      </c>
      <c r="L15" s="41" t="n"/>
      <c r="M15" s="41" t="n"/>
      <c r="N15" s="25" t="n">
        <v>569.333333333333</v>
      </c>
      <c r="O15" s="43" t="n"/>
      <c r="P15" s="43" t="n"/>
    </row>
    <row r="16">
      <c r="B16" s="25" t="n">
        <v>197.777777777778</v>
      </c>
      <c r="C16" s="35" t="n"/>
      <c r="D16" s="35" t="n"/>
      <c r="E16" s="25" t="n">
        <v>299.444444444444</v>
      </c>
      <c r="F16" s="37" t="n"/>
      <c r="G16" s="37" t="n"/>
      <c r="H16" s="25" t="n">
        <v>398.944444444444</v>
      </c>
      <c r="I16" s="39" t="n"/>
      <c r="J16" s="39" t="n"/>
      <c r="K16" s="25" t="n">
        <v>499.888888888889</v>
      </c>
      <c r="L16" s="41" t="n"/>
      <c r="M16" s="41" t="n"/>
      <c r="N16" s="25" t="n">
        <v>600.111111111111</v>
      </c>
      <c r="O16" s="43" t="n"/>
      <c r="P16" s="43" t="n"/>
    </row>
    <row r="17">
      <c r="B17" s="25" t="n">
        <v>204.444444444444</v>
      </c>
      <c r="C17" s="35" t="n"/>
      <c r="D17" s="35" t="n"/>
      <c r="E17" s="25" t="n">
        <v>312.222222222222</v>
      </c>
      <c r="F17" s="37" t="n"/>
      <c r="G17" s="37" t="n"/>
      <c r="H17" s="25" t="n">
        <v>417.666666666667</v>
      </c>
      <c r="I17" s="39" t="n"/>
      <c r="J17" s="39" t="n"/>
      <c r="K17" s="25" t="n">
        <v>524.666666666667</v>
      </c>
      <c r="L17" s="41" t="n"/>
      <c r="M17" s="41" t="n"/>
      <c r="N17" s="25" t="n">
        <v>630.888888888889</v>
      </c>
      <c r="O17" s="43" t="n"/>
      <c r="P17" s="43" t="n"/>
    </row>
    <row r="18">
      <c r="B18" s="25" t="n">
        <v>211.111111111111</v>
      </c>
      <c r="C18" s="35" t="n"/>
      <c r="D18" s="35" t="n"/>
      <c r="E18" s="25" t="n">
        <v>325</v>
      </c>
      <c r="F18" s="37" t="n"/>
      <c r="G18" s="37" t="n"/>
      <c r="H18" s="25" t="n">
        <v>436.388888888889</v>
      </c>
      <c r="I18" s="39" t="n"/>
      <c r="J18" s="39" t="n"/>
      <c r="K18" s="25" t="n">
        <v>549.444444444444</v>
      </c>
      <c r="L18" s="41" t="n"/>
      <c r="M18" s="41" t="n"/>
      <c r="N18" s="25" t="n">
        <v>661.666666666667</v>
      </c>
      <c r="O18" s="43" t="n"/>
      <c r="P18" s="43" t="n"/>
    </row>
    <row r="19">
      <c r="B19" s="25" t="n">
        <v>217.777777777778</v>
      </c>
      <c r="C19" s="35" t="n"/>
      <c r="D19" s="35" t="n"/>
      <c r="E19" s="25" t="n">
        <v>337.777777777778</v>
      </c>
      <c r="F19" s="37" t="n"/>
      <c r="G19" s="37" t="n"/>
      <c r="H19" s="25" t="n">
        <v>455.111111111111</v>
      </c>
      <c r="I19" s="39" t="n"/>
      <c r="J19" s="39" t="n"/>
      <c r="K19" s="25" t="n">
        <v>574.2222222222219</v>
      </c>
      <c r="L19" s="41" t="n"/>
      <c r="M19" s="41" t="n"/>
      <c r="N19" s="25" t="n">
        <v>692.444444444444</v>
      </c>
      <c r="O19" s="43" t="n"/>
      <c r="P19" s="43" t="n"/>
    </row>
    <row r="20">
      <c r="B20" s="25" t="n">
        <v>224.444444444444</v>
      </c>
      <c r="C20" s="35" t="n"/>
      <c r="D20" s="35" t="n"/>
      <c r="E20" s="25" t="n">
        <v>350.555555555556</v>
      </c>
      <c r="F20" s="37" t="n"/>
      <c r="G20" s="37" t="n"/>
      <c r="H20" s="25" t="n">
        <v>473.833333333333</v>
      </c>
      <c r="I20" s="39" t="n"/>
      <c r="J20" s="39" t="n"/>
      <c r="K20" s="25" t="n">
        <v>599</v>
      </c>
      <c r="L20" s="41" t="n"/>
      <c r="M20" s="41" t="n"/>
      <c r="N20" s="25" t="n">
        <v>723.2222222222219</v>
      </c>
      <c r="O20" s="43" t="n"/>
      <c r="P20" s="43" t="n"/>
    </row>
    <row r="21">
      <c r="B21" s="25" t="n">
        <v>231.111111111111</v>
      </c>
      <c r="C21" s="35" t="n"/>
      <c r="D21" s="35" t="n"/>
      <c r="E21" s="25" t="n">
        <v>363.333333333333</v>
      </c>
      <c r="F21" s="37" t="n"/>
      <c r="G21" s="37" t="n"/>
      <c r="H21" s="25" t="n">
        <v>492.555555555556</v>
      </c>
      <c r="I21" s="39" t="n"/>
      <c r="J21" s="39" t="n"/>
      <c r="K21" s="25" t="n">
        <v>623.7777777777781</v>
      </c>
      <c r="L21" s="41" t="n"/>
      <c r="M21" s="41" t="n"/>
      <c r="N21" s="25" t="n">
        <v>754</v>
      </c>
      <c r="O21" s="43" t="n"/>
      <c r="P21" s="43" t="n"/>
    </row>
    <row r="22">
      <c r="B22" s="25" t="n">
        <v>237.777777777778</v>
      </c>
      <c r="C22" s="35" t="n"/>
      <c r="D22" s="35" t="n"/>
      <c r="E22" s="25" t="n">
        <v>376.111111111111</v>
      </c>
      <c r="F22" s="37" t="n"/>
      <c r="G22" s="37" t="n"/>
      <c r="H22" s="25" t="n">
        <v>511.277777777778</v>
      </c>
      <c r="I22" s="39" t="n"/>
      <c r="J22" s="39" t="n"/>
      <c r="K22" s="25" t="n">
        <v>648.555555555556</v>
      </c>
      <c r="L22" s="41" t="n"/>
      <c r="M22" s="41" t="n"/>
      <c r="N22" s="25" t="n">
        <v>784.7777777777781</v>
      </c>
      <c r="O22" s="43" t="n"/>
      <c r="P22" s="43" t="n"/>
    </row>
    <row r="23">
      <c r="B23" s="25" t="n">
        <v>244.444444444444</v>
      </c>
      <c r="C23" s="35" t="n"/>
      <c r="D23" s="35" t="n"/>
      <c r="E23" s="25" t="n">
        <v>388.888888888889</v>
      </c>
      <c r="F23" s="37" t="n"/>
      <c r="G23" s="37" t="n"/>
      <c r="H23" s="25" t="n">
        <v>530</v>
      </c>
      <c r="I23" s="39" t="n"/>
      <c r="J23" s="39" t="n"/>
      <c r="K23" s="25" t="n">
        <v>673.333333333333</v>
      </c>
      <c r="L23" s="41" t="n"/>
      <c r="M23" s="41" t="n"/>
      <c r="N23" s="25" t="n">
        <v>815.555555555556</v>
      </c>
      <c r="O23" s="43" t="n"/>
      <c r="P23" s="43" t="n"/>
    </row>
    <row r="24">
      <c r="B24" s="25" t="n">
        <v>251.111111111111</v>
      </c>
      <c r="C24" s="35" t="n"/>
      <c r="D24" s="35" t="n"/>
      <c r="E24" s="25" t="n">
        <v>401.666666666667</v>
      </c>
      <c r="F24" s="37" t="n"/>
      <c r="G24" s="37" t="n"/>
      <c r="H24" s="25" t="n">
        <v>548.7222222222219</v>
      </c>
      <c r="I24" s="39" t="n"/>
      <c r="J24" s="39" t="n"/>
      <c r="K24" s="25" t="n">
        <v>698.111111111111</v>
      </c>
      <c r="L24" s="41" t="n"/>
      <c r="M24" s="41" t="n"/>
      <c r="N24" s="25" t="n">
        <v>846.333333333333</v>
      </c>
      <c r="O24" s="43" t="n"/>
      <c r="P24" s="43" t="n"/>
    </row>
    <row r="25">
      <c r="B25" s="25" t="n">
        <v>257.777777777778</v>
      </c>
      <c r="C25" s="35" t="n"/>
      <c r="D25" s="35" t="n"/>
      <c r="E25" s="25" t="n">
        <v>414.444444444444</v>
      </c>
      <c r="F25" s="37" t="n"/>
      <c r="G25" s="37" t="n"/>
      <c r="H25" s="25" t="n">
        <v>567.444444444444</v>
      </c>
      <c r="I25" s="39" t="n"/>
      <c r="J25" s="39" t="n"/>
      <c r="K25" s="25" t="n">
        <v>722.888888888889</v>
      </c>
      <c r="L25" s="41" t="n"/>
      <c r="M25" s="41" t="n"/>
      <c r="N25" s="25" t="n">
        <v>877.111111111111</v>
      </c>
      <c r="O25" s="43" t="n"/>
      <c r="P25" s="43" t="n"/>
    </row>
    <row r="26">
      <c r="B26" s="25" t="n">
        <v>264.444444444444</v>
      </c>
      <c r="C26" s="35" t="n"/>
      <c r="D26" s="35" t="n"/>
      <c r="E26" s="25" t="n">
        <v>427.222222222222</v>
      </c>
      <c r="F26" s="37" t="n"/>
      <c r="G26" s="37" t="n"/>
      <c r="H26" s="25" t="n">
        <v>586.166666666667</v>
      </c>
      <c r="I26" s="39" t="n"/>
      <c r="J26" s="39" t="n"/>
      <c r="K26" s="25" t="n">
        <v>747.666666666667</v>
      </c>
      <c r="L26" s="41" t="n"/>
      <c r="M26" s="41" t="n"/>
      <c r="N26" s="25" t="n">
        <v>907.888888888889</v>
      </c>
      <c r="O26" s="43" t="n"/>
      <c r="P26" s="43" t="n"/>
    </row>
    <row r="27">
      <c r="B27" s="25" t="n">
        <v>271.111111111111</v>
      </c>
      <c r="C27" s="35" t="n"/>
      <c r="D27" s="35" t="n"/>
      <c r="E27" s="25" t="n">
        <v>440</v>
      </c>
      <c r="F27" s="37" t="n"/>
      <c r="G27" s="37" t="n"/>
      <c r="H27" s="25" t="n">
        <v>604.888888888889</v>
      </c>
      <c r="I27" s="39" t="n"/>
      <c r="J27" s="39" t="n"/>
      <c r="K27" s="25" t="n">
        <v>772.444444444444</v>
      </c>
      <c r="L27" s="41" t="n"/>
      <c r="M27" s="41" t="n"/>
      <c r="N27" s="25" t="n">
        <v>938.666666666667</v>
      </c>
      <c r="O27" s="43" t="n"/>
      <c r="P27" s="43" t="n"/>
    </row>
    <row r="29">
      <c r="A29" s="25" t="n">
        <v>1.8</v>
      </c>
      <c r="B29" s="25" t="n">
        <v>7</v>
      </c>
      <c r="E29" s="25" t="n">
        <v>13</v>
      </c>
      <c r="H29" s="25" t="n">
        <v>18</v>
      </c>
      <c r="K29" s="25" t="n">
        <v>25</v>
      </c>
      <c r="N29" s="25" t="n">
        <v>31</v>
      </c>
    </row>
  </sheetData>
  <mergeCells count="5">
    <mergeCell ref="H1:J1"/>
    <mergeCell ref="B1:D1"/>
    <mergeCell ref="N1:P1"/>
    <mergeCell ref="E1:G1"/>
    <mergeCell ref="K1:M1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"/>
  <sheetViews>
    <sheetView topLeftCell="Q1" workbookViewId="0">
      <selection activeCell="AA6" sqref="AA6"/>
    </sheetView>
  </sheetViews>
  <sheetFormatPr baseColWidth="8" defaultColWidth="9" defaultRowHeight="13.5"/>
  <cols>
    <col width="27.5" customWidth="1" style="25" min="1" max="1"/>
    <col width="13.5" customWidth="1" style="25" min="2" max="3"/>
    <col width="12.5" customWidth="1" style="25" min="4" max="4"/>
    <col width="13.75" customWidth="1" style="25" min="5" max="6"/>
    <col width="23.5" customWidth="1" style="25" min="7" max="7"/>
    <col width="24.875" customWidth="1" style="25" min="8" max="8"/>
    <col width="17.75" customWidth="1" style="25" min="9" max="9"/>
    <col width="8.625" customWidth="1" style="25" min="10" max="10"/>
    <col width="12.375" customWidth="1" style="120" min="11" max="11"/>
    <col width="9" customWidth="1" style="25" min="12" max="12"/>
    <col width="34.25" customWidth="1" style="25" min="13" max="13"/>
    <col width="17.375" customWidth="1" style="25" min="14" max="14"/>
    <col width="15.875" customWidth="1" style="25" min="15" max="16"/>
    <col width="17.375" customWidth="1" style="120" min="17" max="17"/>
    <col width="13.875" customWidth="1" style="25" min="18" max="18"/>
    <col width="26" customWidth="1" style="25" min="19" max="19"/>
    <col width="24" customWidth="1" style="25" min="20" max="20"/>
    <col width="14.25" customWidth="1" style="25" min="21" max="22"/>
    <col width="11.375" customWidth="1" style="25" min="23" max="23"/>
    <col width="9" customWidth="1" style="25" min="24" max="24"/>
    <col width="22.625" customWidth="1" style="25" min="25" max="25"/>
    <col width="24.125" customWidth="1" style="25" min="26" max="26"/>
    <col width="14.625" customWidth="1" style="25" min="27" max="28"/>
    <col width="10" customWidth="1" style="25" min="29" max="29"/>
    <col width="9" customWidth="1" style="25" min="30" max="30"/>
    <col width="27.75" customWidth="1" style="25" min="31" max="31"/>
    <col width="9" customWidth="1" style="25" min="32" max="16384"/>
  </cols>
  <sheetData>
    <row r="1">
      <c r="A1" s="11" t="inlineStr">
        <is>
          <t>灵石</t>
        </is>
      </c>
      <c r="B1" s="11" t="n">
        <v>10001</v>
      </c>
      <c r="C1" s="11" t="n"/>
      <c r="D1" s="11" t="n"/>
      <c r="E1" s="11" t="n"/>
      <c r="F1" s="11" t="n"/>
      <c r="G1" s="11" t="n"/>
      <c r="H1" s="13" t="inlineStr">
        <is>
          <t>灵石</t>
        </is>
      </c>
      <c r="I1" s="13" t="n">
        <v>10001</v>
      </c>
      <c r="J1" s="13" t="n"/>
      <c r="K1" s="121" t="n"/>
      <c r="L1" s="13" t="n"/>
      <c r="M1" s="13" t="n"/>
      <c r="N1" s="16" t="inlineStr">
        <is>
          <t>灵石</t>
        </is>
      </c>
      <c r="O1" s="16" t="n">
        <v>10001</v>
      </c>
      <c r="P1" s="16" t="n"/>
      <c r="Q1" s="122" t="n"/>
      <c r="R1" s="16" t="n"/>
      <c r="S1" s="16" t="n"/>
      <c r="T1" s="22" t="inlineStr">
        <is>
          <t>灵石</t>
        </is>
      </c>
      <c r="U1" s="22" t="n">
        <v>10001</v>
      </c>
      <c r="V1" s="22" t="n"/>
      <c r="W1" s="22" t="n"/>
      <c r="X1" s="22" t="n"/>
      <c r="Y1" s="22" t="n"/>
      <c r="Z1" s="27" t="inlineStr">
        <is>
          <t>灵石</t>
        </is>
      </c>
      <c r="AA1" s="27" t="n">
        <v>10001</v>
      </c>
      <c r="AB1" s="27" t="n"/>
      <c r="AC1" s="27" t="n"/>
      <c r="AD1" s="27" t="n"/>
      <c r="AE1" s="27" t="n"/>
      <c r="AN1" s="25" t="inlineStr">
        <is>
          <t>需要灵石</t>
        </is>
      </c>
    </row>
    <row r="2">
      <c r="A2" s="11" t="inlineStr">
        <is>
          <t>凡级</t>
        </is>
      </c>
      <c r="B2" s="11" t="n"/>
      <c r="C2" s="11" t="n"/>
      <c r="D2" s="11" t="n"/>
      <c r="E2" s="11" t="n"/>
      <c r="F2" s="11" t="n"/>
      <c r="G2" s="11" t="n"/>
      <c r="H2" s="13" t="inlineStr">
        <is>
          <t>黄级</t>
        </is>
      </c>
      <c r="I2" s="13" t="n"/>
      <c r="J2" s="13" t="n"/>
      <c r="K2" s="121" t="n"/>
      <c r="L2" s="13" t="n"/>
      <c r="M2" s="13" t="n"/>
      <c r="N2" s="16" t="inlineStr">
        <is>
          <t>玄级</t>
        </is>
      </c>
      <c r="O2" s="16" t="n"/>
      <c r="P2" s="16" t="n"/>
      <c r="Q2" s="122" t="n"/>
      <c r="R2" s="16" t="n"/>
      <c r="S2" s="16" t="n"/>
      <c r="T2" s="22" t="inlineStr">
        <is>
          <t>地级</t>
        </is>
      </c>
      <c r="U2" s="22" t="n"/>
      <c r="V2" s="22" t="n"/>
      <c r="W2" s="22" t="n"/>
      <c r="X2" s="22" t="n"/>
      <c r="Y2" s="22" t="n"/>
      <c r="Z2" s="27" t="inlineStr">
        <is>
          <t>天级</t>
        </is>
      </c>
      <c r="AA2" s="27" t="n"/>
      <c r="AB2" s="27" t="n"/>
      <c r="AC2" s="27" t="n"/>
      <c r="AD2" s="27" t="n"/>
      <c r="AE2" s="27" t="n"/>
      <c r="AH2" s="29" t="inlineStr">
        <is>
          <t>K</t>
        </is>
      </c>
      <c r="AI2" s="29" t="inlineStr">
        <is>
          <t>A</t>
        </is>
      </c>
      <c r="AJ2" s="29" t="n"/>
      <c r="AK2" s="29" t="inlineStr">
        <is>
          <t>t</t>
        </is>
      </c>
      <c r="AL2" s="29" t="inlineStr">
        <is>
          <t>y(t)</t>
        </is>
      </c>
      <c r="AN2" s="29" t="inlineStr">
        <is>
          <t>K</t>
        </is>
      </c>
      <c r="AO2" s="29" t="inlineStr">
        <is>
          <t>A</t>
        </is>
      </c>
      <c r="AP2" s="29" t="n"/>
      <c r="AQ2" s="29" t="inlineStr">
        <is>
          <t>t</t>
        </is>
      </c>
      <c r="AR2" s="29" t="inlineStr">
        <is>
          <t>y(t)</t>
        </is>
      </c>
    </row>
    <row r="3">
      <c r="A3" s="11" t="n">
        <v>111001</v>
      </c>
      <c r="B3" s="11" t="n"/>
      <c r="C3" s="11" t="n"/>
      <c r="D3" s="11" t="n"/>
      <c r="E3" s="11" t="n"/>
      <c r="F3" s="11" t="n"/>
      <c r="G3" s="11" t="n"/>
      <c r="H3" s="13" t="n">
        <v>112001</v>
      </c>
      <c r="I3" s="13" t="n"/>
      <c r="J3" s="13" t="n"/>
      <c r="K3" s="121" t="n"/>
      <c r="L3" s="13" t="n"/>
      <c r="M3" s="13" t="n"/>
      <c r="N3" s="16" t="n">
        <v>113001</v>
      </c>
      <c r="O3" s="16" t="n"/>
      <c r="P3" s="16" t="n"/>
      <c r="Q3" s="122" t="n"/>
      <c r="R3" s="16" t="n"/>
      <c r="S3" s="16" t="n"/>
      <c r="T3" s="22" t="n">
        <v>114001</v>
      </c>
      <c r="U3" s="22" t="n"/>
      <c r="V3" s="22" t="n"/>
      <c r="W3" s="22" t="n"/>
      <c r="X3" s="22" t="n"/>
      <c r="Y3" s="22" t="n"/>
      <c r="Z3" s="27" t="n">
        <v>115001</v>
      </c>
      <c r="AA3" s="27" t="n"/>
      <c r="AB3" s="27" t="n"/>
      <c r="AC3" s="27" t="n"/>
      <c r="AD3" s="27" t="n"/>
      <c r="AE3" s="27" t="n"/>
      <c r="AH3" s="30" t="n">
        <v>10</v>
      </c>
      <c r="AI3" s="31" t="n">
        <v>2.5</v>
      </c>
      <c r="AJ3" s="32" t="n"/>
      <c r="AK3" s="32" t="n">
        <v>1</v>
      </c>
      <c r="AL3" s="123">
        <f>$AH$3*POWER(AK3,$AI$3)</f>
        <v/>
      </c>
      <c r="AN3" s="30" t="n">
        <v>135</v>
      </c>
      <c r="AO3" s="31" t="n">
        <v>2</v>
      </c>
      <c r="AP3" s="32" t="n"/>
      <c r="AQ3" s="32" t="n">
        <v>1</v>
      </c>
      <c r="AR3" s="123">
        <f>$AN$3*POWER(AQ3,$AO$3)</f>
        <v/>
      </c>
    </row>
    <row r="4" ht="27" customHeight="1" s="119">
      <c r="A4" s="11" t="inlineStr">
        <is>
          <t>炼制需要矿</t>
        </is>
      </c>
      <c r="B4" s="11" t="inlineStr">
        <is>
          <t>炼制需要灵石</t>
        </is>
      </c>
      <c r="C4" s="11" t="n"/>
      <c r="D4" s="11" t="inlineStr">
        <is>
          <t>强化需要矿</t>
        </is>
      </c>
      <c r="E4" s="11" t="inlineStr">
        <is>
          <t>强化需要灵石</t>
        </is>
      </c>
      <c r="F4" s="11" t="inlineStr">
        <is>
          <t>强化需要器火</t>
        </is>
      </c>
      <c r="G4" s="11" t="n"/>
      <c r="H4" s="13" t="inlineStr">
        <is>
          <t>炼制需要矿</t>
        </is>
      </c>
      <c r="I4" s="13" t="inlineStr">
        <is>
          <t>炼制需要灵石</t>
        </is>
      </c>
      <c r="J4" s="13" t="n"/>
      <c r="K4" s="121" t="inlineStr">
        <is>
          <t>强化需要矿</t>
        </is>
      </c>
      <c r="L4" s="13" t="inlineStr">
        <is>
          <t>强化需要灵石</t>
        </is>
      </c>
      <c r="M4" s="13" t="n"/>
      <c r="N4" s="16" t="inlineStr">
        <is>
          <t>炼制需要矿</t>
        </is>
      </c>
      <c r="O4" s="16" t="inlineStr">
        <is>
          <t>炼制需要灵石</t>
        </is>
      </c>
      <c r="P4" s="16" t="n"/>
      <c r="Q4" s="122" t="inlineStr">
        <is>
          <t>强化需要矿</t>
        </is>
      </c>
      <c r="R4" s="16" t="inlineStr">
        <is>
          <t>强化需要灵石</t>
        </is>
      </c>
      <c r="S4" s="16" t="n"/>
      <c r="T4" s="22" t="inlineStr">
        <is>
          <t>炼制需要矿</t>
        </is>
      </c>
      <c r="U4" s="22" t="inlineStr">
        <is>
          <t>炼制需要灵石</t>
        </is>
      </c>
      <c r="V4" s="22" t="n"/>
      <c r="W4" s="22" t="inlineStr">
        <is>
          <t>强化需要矿</t>
        </is>
      </c>
      <c r="X4" s="22" t="inlineStr">
        <is>
          <t>强化需要灵石</t>
        </is>
      </c>
      <c r="Y4" s="22" t="n"/>
      <c r="Z4" s="27" t="inlineStr">
        <is>
          <t>炼制需要矿</t>
        </is>
      </c>
      <c r="AA4" s="27" t="inlineStr">
        <is>
          <t>炼制需要灵石</t>
        </is>
      </c>
      <c r="AB4" s="27" t="n"/>
      <c r="AC4" s="27" t="inlineStr">
        <is>
          <t>强化需要矿</t>
        </is>
      </c>
      <c r="AD4" s="27" t="inlineStr">
        <is>
          <t>强化需要灵石</t>
        </is>
      </c>
      <c r="AE4" s="27" t="n"/>
      <c r="AH4" s="32" t="n"/>
      <c r="AI4" s="32" t="n"/>
      <c r="AJ4" s="32" t="n"/>
      <c r="AK4" s="30" t="n">
        <v>2</v>
      </c>
      <c r="AL4" s="123">
        <f>$AH$3*POWER(AK4,$AI$3)</f>
        <v/>
      </c>
      <c r="AN4" s="32" t="n"/>
      <c r="AO4" s="32" t="n"/>
      <c r="AP4" s="32" t="n"/>
      <c r="AQ4" s="30" t="n">
        <v>2</v>
      </c>
      <c r="AR4" s="123">
        <f>$AN$3*POWER(AQ4,$AO$3)</f>
        <v/>
      </c>
    </row>
    <row r="5">
      <c r="A5" s="11" t="n">
        <v>330</v>
      </c>
      <c r="B5" s="11" t="n">
        <v>1000</v>
      </c>
      <c r="C5" s="11" t="n">
        <v>1</v>
      </c>
      <c r="D5" s="120" t="n">
        <v>10</v>
      </c>
      <c r="E5" s="11" t="n">
        <v>135</v>
      </c>
      <c r="F5" s="11" t="n"/>
      <c r="G5" s="11">
        <f>A3&amp;"|"&amp;D5&amp;"$"&amp;$B$1&amp;"|"&amp;E5</f>
        <v/>
      </c>
      <c r="H5" s="25" t="n">
        <v>331.5</v>
      </c>
      <c r="I5" s="18" t="n">
        <v>1500</v>
      </c>
      <c r="J5" s="18" t="n">
        <v>1</v>
      </c>
      <c r="K5" s="120">
        <f>D5*2</f>
        <v/>
      </c>
      <c r="L5" s="120">
        <f>E5*2</f>
        <v/>
      </c>
      <c r="M5" s="13">
        <f>$H$3&amp;"|"&amp;K5&amp;"$"&amp;$B$1&amp;"|"&amp;L5</f>
        <v/>
      </c>
      <c r="N5" s="25" t="n">
        <v>552.5</v>
      </c>
      <c r="O5" s="19" t="n">
        <v>2000</v>
      </c>
      <c r="P5" s="19" t="n">
        <v>1</v>
      </c>
      <c r="Q5" s="120">
        <f>K5*2</f>
        <v/>
      </c>
      <c r="R5" s="120">
        <f>L5*2</f>
        <v/>
      </c>
      <c r="S5" s="16">
        <f>$N$3&amp;"|"&amp;Q5&amp;"$"&amp;$B$1&amp;"|"&amp;R5</f>
        <v/>
      </c>
      <c r="T5" s="25" t="n">
        <v>1105</v>
      </c>
      <c r="U5" s="24" t="n">
        <v>2500</v>
      </c>
      <c r="V5" s="24" t="n">
        <v>1</v>
      </c>
      <c r="W5" s="120">
        <f>Q5*2</f>
        <v/>
      </c>
      <c r="X5" s="120">
        <f>R5*2</f>
        <v/>
      </c>
      <c r="Y5" s="22">
        <f>$T$3&amp;"|"&amp;W5&amp;"$"&amp;$B$1&amp;"|"&amp;X5</f>
        <v/>
      </c>
      <c r="Z5" s="25" t="n">
        <v>1657.5</v>
      </c>
      <c r="AA5" s="28" t="n">
        <v>3000</v>
      </c>
      <c r="AB5" s="28" t="n">
        <v>1</v>
      </c>
      <c r="AC5" s="120">
        <f>W5*2</f>
        <v/>
      </c>
      <c r="AD5" s="120">
        <f>X5*2</f>
        <v/>
      </c>
      <c r="AE5" s="27">
        <f>$Z$3&amp;"|"&amp;AC5&amp;"$"&amp;$B$1&amp;"|"&amp;AD5</f>
        <v/>
      </c>
      <c r="AH5" s="32" t="n"/>
      <c r="AI5" s="32" t="n"/>
      <c r="AJ5" s="32" t="n"/>
      <c r="AK5" s="32" t="n">
        <v>3</v>
      </c>
      <c r="AL5" s="123">
        <f>$AH$3*POWER(AK5,$AI$3)</f>
        <v/>
      </c>
      <c r="AN5" s="32" t="n"/>
      <c r="AO5" s="32" t="n"/>
      <c r="AP5" s="32" t="n"/>
      <c r="AQ5" s="32" t="n">
        <v>3</v>
      </c>
      <c r="AR5" s="123">
        <f>$AN$3*POWER(AQ5,$AO$3)</f>
        <v/>
      </c>
    </row>
    <row r="6" ht="27" customHeight="1" s="119">
      <c r="A6" s="11">
        <f>A3&amp;"|"&amp;A5&amp;"$"&amp;$B$1&amp;"|"&amp;B5</f>
        <v/>
      </c>
      <c r="B6" s="11" t="n"/>
      <c r="C6" s="11" t="n">
        <v>2</v>
      </c>
      <c r="D6" s="120" t="n">
        <v>57</v>
      </c>
      <c r="E6" s="11" t="n">
        <v>540</v>
      </c>
      <c r="F6" s="11" t="n"/>
      <c r="G6" s="11">
        <f>$A$3&amp;"|"&amp;D6&amp;"$"&amp;$B$1&amp;"|"&amp;E6</f>
        <v/>
      </c>
      <c r="H6" s="13">
        <f>H3&amp;"|"&amp;H5&amp;"$"&amp;$B$1&amp;"|"&amp;I5</f>
        <v/>
      </c>
      <c r="I6" s="13" t="n"/>
      <c r="J6" s="13" t="n">
        <v>2</v>
      </c>
      <c r="K6" s="120">
        <f>D6*2</f>
        <v/>
      </c>
      <c r="L6" s="120">
        <f>E6*2</f>
        <v/>
      </c>
      <c r="M6" s="13">
        <f>$H$3&amp;"|"&amp;K6&amp;"$"&amp;$B$1&amp;"|"&amp;L6</f>
        <v/>
      </c>
      <c r="N6" s="16">
        <f>N3&amp;"|"&amp;N5&amp;"$"&amp;$B$1&amp;"|"&amp;O5</f>
        <v/>
      </c>
      <c r="O6" s="16" t="n"/>
      <c r="P6" s="16" t="n">
        <v>2</v>
      </c>
      <c r="Q6" s="120">
        <f>K6*2</f>
        <v/>
      </c>
      <c r="R6" s="120">
        <f>L6*2</f>
        <v/>
      </c>
      <c r="S6" s="16">
        <f>$N$3&amp;"|"&amp;Q6&amp;"$"&amp;$B$1&amp;"|"&amp;R6</f>
        <v/>
      </c>
      <c r="T6" s="22">
        <f>T3&amp;"|"&amp;T5&amp;"$"&amp;$B$1&amp;"|"&amp;U5</f>
        <v/>
      </c>
      <c r="U6" s="22" t="n"/>
      <c r="V6" s="22" t="n">
        <v>2</v>
      </c>
      <c r="W6" s="120">
        <f>Q6*2</f>
        <v/>
      </c>
      <c r="X6" s="120">
        <f>R6*2</f>
        <v/>
      </c>
      <c r="Y6" s="22">
        <f>$T$3&amp;"|"&amp;W6&amp;"$"&amp;$B$1&amp;"|"&amp;X6</f>
        <v/>
      </c>
      <c r="Z6" s="27">
        <f>Z3&amp;"|"&amp;Z5&amp;"$"&amp;$B$1&amp;"|"&amp;AA5</f>
        <v/>
      </c>
      <c r="AA6" s="27" t="n"/>
      <c r="AB6" s="27" t="n">
        <v>2</v>
      </c>
      <c r="AC6" s="120">
        <f>W6*2</f>
        <v/>
      </c>
      <c r="AD6" s="120">
        <f>X6*2</f>
        <v/>
      </c>
      <c r="AE6" s="27">
        <f>$Z$3&amp;"|"&amp;AC6&amp;"$"&amp;$B$1&amp;"|"&amp;AD6</f>
        <v/>
      </c>
      <c r="AH6" s="32" t="n"/>
      <c r="AI6" s="32" t="n"/>
      <c r="AJ6" s="32" t="n"/>
      <c r="AK6" s="30" t="n">
        <v>4</v>
      </c>
      <c r="AL6" s="123">
        <f>$AH$3*POWER(AK6,$AI$3)</f>
        <v/>
      </c>
      <c r="AN6" s="32" t="n"/>
      <c r="AO6" s="32" t="n"/>
      <c r="AP6" s="32" t="n"/>
      <c r="AQ6" s="30" t="n">
        <v>4</v>
      </c>
      <c r="AR6" s="123">
        <f>$AN$3*POWER(AQ6,$AO$3)</f>
        <v/>
      </c>
    </row>
    <row r="7">
      <c r="A7" s="11" t="n"/>
      <c r="B7" s="11" t="n"/>
      <c r="C7" s="11" t="n">
        <v>3</v>
      </c>
      <c r="D7" s="120" t="n">
        <v>156</v>
      </c>
      <c r="E7" s="11" t="n">
        <v>1215</v>
      </c>
      <c r="F7" s="11" t="n"/>
      <c r="G7" s="11">
        <f>$A$3&amp;"|"&amp;D7&amp;"$"&amp;$B$1&amp;"|"&amp;E7</f>
        <v/>
      </c>
      <c r="H7" s="13" t="n"/>
      <c r="I7" s="13" t="n"/>
      <c r="J7" s="18" t="n">
        <v>3</v>
      </c>
      <c r="K7" s="120">
        <f>D7*2</f>
        <v/>
      </c>
      <c r="L7" s="120">
        <f>E7*2</f>
        <v/>
      </c>
      <c r="M7" s="13">
        <f>$H$3&amp;"|"&amp;K7&amp;"$"&amp;$B$1&amp;"|"&amp;L7</f>
        <v/>
      </c>
      <c r="N7" s="16" t="n"/>
      <c r="O7" s="16" t="n"/>
      <c r="P7" s="19" t="n">
        <v>3</v>
      </c>
      <c r="Q7" s="120">
        <f>K7*2</f>
        <v/>
      </c>
      <c r="R7" s="120">
        <f>L7*2</f>
        <v/>
      </c>
      <c r="S7" s="16">
        <f>$N$3&amp;"|"&amp;Q7&amp;"$"&amp;$B$1&amp;"|"&amp;R7</f>
        <v/>
      </c>
      <c r="T7" s="22" t="n"/>
      <c r="U7" s="22" t="n"/>
      <c r="V7" s="24" t="n">
        <v>3</v>
      </c>
      <c r="W7" s="120">
        <f>Q7*2</f>
        <v/>
      </c>
      <c r="X7" s="120">
        <f>R7*2</f>
        <v/>
      </c>
      <c r="Y7" s="22">
        <f>$T$3&amp;"|"&amp;W7&amp;"$"&amp;$B$1&amp;"|"&amp;X7</f>
        <v/>
      </c>
      <c r="Z7" s="27" t="n"/>
      <c r="AA7" s="27" t="n"/>
      <c r="AB7" s="28" t="n">
        <v>3</v>
      </c>
      <c r="AC7" s="120">
        <f>W7*2</f>
        <v/>
      </c>
      <c r="AD7" s="120">
        <f>X7*2</f>
        <v/>
      </c>
      <c r="AE7" s="27">
        <f>$Z$3&amp;"|"&amp;AC7&amp;"$"&amp;$B$1&amp;"|"&amp;AD7</f>
        <v/>
      </c>
      <c r="AH7" s="32" t="n"/>
      <c r="AI7" s="32" t="n"/>
      <c r="AJ7" s="32" t="n"/>
      <c r="AK7" s="32" t="n">
        <v>5</v>
      </c>
      <c r="AL7" s="123">
        <f>$AH$3*POWER(AK7,$AI$3)</f>
        <v/>
      </c>
      <c r="AN7" s="32" t="n"/>
      <c r="AO7" s="32" t="n"/>
      <c r="AP7" s="32" t="n"/>
      <c r="AQ7" s="32" t="n">
        <v>5</v>
      </c>
      <c r="AR7" s="123">
        <f>$AN$3*POWER(AQ7,$AO$3)</f>
        <v/>
      </c>
    </row>
    <row r="8" ht="27" customHeight="1" s="119">
      <c r="A8" s="11" t="n"/>
      <c r="B8" s="11" t="n"/>
      <c r="C8" s="11" t="n">
        <v>4</v>
      </c>
      <c r="D8" s="120" t="n">
        <v>320</v>
      </c>
      <c r="E8" s="11" t="n">
        <v>2160</v>
      </c>
      <c r="F8" s="11" t="n"/>
      <c r="G8" s="11">
        <f>$A$3&amp;"|"&amp;D8&amp;"$"&amp;$B$1&amp;"|"&amp;E8</f>
        <v/>
      </c>
      <c r="H8" s="13" t="n"/>
      <c r="I8" s="13" t="n"/>
      <c r="J8" s="13" t="n">
        <v>4</v>
      </c>
      <c r="K8" s="120">
        <f>D8*2</f>
        <v/>
      </c>
      <c r="L8" s="120">
        <f>E8*2</f>
        <v/>
      </c>
      <c r="M8" s="13">
        <f>$H$3&amp;"|"&amp;K8&amp;"$"&amp;$B$1&amp;"|"&amp;L8</f>
        <v/>
      </c>
      <c r="N8" s="16" t="n"/>
      <c r="O8" s="16" t="n"/>
      <c r="P8" s="16" t="n">
        <v>4</v>
      </c>
      <c r="Q8" s="120">
        <f>K8*2</f>
        <v/>
      </c>
      <c r="R8" s="120">
        <f>L8*2</f>
        <v/>
      </c>
      <c r="S8" s="16">
        <f>$N$3&amp;"|"&amp;Q8&amp;"$"&amp;$B$1&amp;"|"&amp;R8</f>
        <v/>
      </c>
      <c r="T8" s="22" t="n"/>
      <c r="U8" s="22" t="n"/>
      <c r="V8" s="22" t="n">
        <v>4</v>
      </c>
      <c r="W8" s="120">
        <f>Q8*2</f>
        <v/>
      </c>
      <c r="X8" s="120">
        <f>R8*2</f>
        <v/>
      </c>
      <c r="Y8" s="22">
        <f>$T$3&amp;"|"&amp;W8&amp;"$"&amp;$B$1&amp;"|"&amp;X8</f>
        <v/>
      </c>
      <c r="Z8" s="27" t="n"/>
      <c r="AA8" s="27" t="n"/>
      <c r="AB8" s="27" t="n">
        <v>4</v>
      </c>
      <c r="AC8" s="120">
        <f>W8*2</f>
        <v/>
      </c>
      <c r="AD8" s="120">
        <f>X8*2</f>
        <v/>
      </c>
      <c r="AE8" s="27">
        <f>$Z$3&amp;"|"&amp;AC8&amp;"$"&amp;$B$1&amp;"|"&amp;AD8</f>
        <v/>
      </c>
      <c r="AH8" s="32" t="n"/>
      <c r="AI8" s="32" t="n"/>
      <c r="AJ8" s="32" t="n"/>
      <c r="AK8" s="30" t="n">
        <v>6</v>
      </c>
      <c r="AL8" s="123">
        <f>$AH$3*POWER(AK8,$AI$3)</f>
        <v/>
      </c>
      <c r="AN8" s="32" t="n"/>
      <c r="AO8" s="32" t="n"/>
      <c r="AP8" s="32" t="n"/>
      <c r="AQ8" s="30" t="n">
        <v>6</v>
      </c>
      <c r="AR8" s="123">
        <f>$AN$3*POWER(AQ8,$AO$3)</f>
        <v/>
      </c>
    </row>
    <row r="9" ht="27" customHeight="1" s="119">
      <c r="A9" s="11" t="n"/>
      <c r="B9" s="11" t="n"/>
      <c r="C9" s="11" t="n">
        <v>5</v>
      </c>
      <c r="D9" s="120" t="n">
        <v>559</v>
      </c>
      <c r="E9" s="11" t="n">
        <v>3375</v>
      </c>
      <c r="F9" s="11" t="n"/>
      <c r="G9" s="11">
        <f>$A$3&amp;"|"&amp;D9&amp;"$"&amp;$B$1&amp;"|"&amp;E9</f>
        <v/>
      </c>
      <c r="H9" s="13" t="n"/>
      <c r="I9" s="13" t="n"/>
      <c r="J9" s="18" t="n">
        <v>5</v>
      </c>
      <c r="K9" s="120">
        <f>D9*2</f>
        <v/>
      </c>
      <c r="L9" s="120">
        <f>E9*2</f>
        <v/>
      </c>
      <c r="M9" s="13">
        <f>$H$3&amp;"|"&amp;K9&amp;"$"&amp;$B$1&amp;"|"&amp;L9</f>
        <v/>
      </c>
      <c r="N9" s="16" t="n"/>
      <c r="O9" s="16" t="n"/>
      <c r="P9" s="19" t="n">
        <v>5</v>
      </c>
      <c r="Q9" s="120">
        <f>K9*2</f>
        <v/>
      </c>
      <c r="R9" s="120">
        <f>L9*2</f>
        <v/>
      </c>
      <c r="S9" s="16">
        <f>$N$3&amp;"|"&amp;Q9&amp;"$"&amp;$B$1&amp;"|"&amp;R9</f>
        <v/>
      </c>
      <c r="T9" s="22" t="n"/>
      <c r="U9" s="22" t="n"/>
      <c r="V9" s="24" t="n">
        <v>5</v>
      </c>
      <c r="W9" s="120">
        <f>Q9*2</f>
        <v/>
      </c>
      <c r="X9" s="120">
        <f>R9*2</f>
        <v/>
      </c>
      <c r="Y9" s="22">
        <f>$T$3&amp;"|"&amp;W9&amp;"$"&amp;$B$1&amp;"|"&amp;X9</f>
        <v/>
      </c>
      <c r="Z9" s="27" t="n"/>
      <c r="AA9" s="27" t="n"/>
      <c r="AB9" s="28" t="n">
        <v>5</v>
      </c>
      <c r="AC9" s="120">
        <f>W9*2</f>
        <v/>
      </c>
      <c r="AD9" s="120">
        <f>X9*2</f>
        <v/>
      </c>
      <c r="AE9" s="27">
        <f>$Z$3&amp;"|"&amp;AC9&amp;"$"&amp;$B$1&amp;"|"&amp;AD9</f>
        <v/>
      </c>
      <c r="AH9" s="32" t="n"/>
      <c r="AI9" s="32" t="n"/>
      <c r="AJ9" s="32" t="n"/>
      <c r="AK9" s="32" t="n">
        <v>7</v>
      </c>
      <c r="AL9" s="123">
        <f>$AH$3*POWER(AK9,$AI$3)</f>
        <v/>
      </c>
      <c r="AN9" s="32" t="n"/>
      <c r="AO9" s="32" t="n"/>
      <c r="AP9" s="32" t="n"/>
      <c r="AQ9" s="32" t="n">
        <v>7</v>
      </c>
      <c r="AR9" s="123">
        <f>$AN$3*POWER(AQ9,$AO$3)</f>
        <v/>
      </c>
    </row>
    <row r="10" ht="27" customHeight="1" s="119">
      <c r="A10" s="11" t="n"/>
      <c r="B10" s="11" t="n"/>
      <c r="C10" s="11" t="n">
        <v>6</v>
      </c>
      <c r="D10" s="120" t="n">
        <v>882</v>
      </c>
      <c r="E10" s="11" t="n">
        <v>4860</v>
      </c>
      <c r="F10" s="11" t="n"/>
      <c r="G10" s="11">
        <f>$A$3&amp;"|"&amp;D10&amp;"$"&amp;$B$1&amp;"|"&amp;E10</f>
        <v/>
      </c>
      <c r="H10" s="13" t="n"/>
      <c r="I10" s="13" t="n"/>
      <c r="J10" s="13" t="n">
        <v>6</v>
      </c>
      <c r="K10" s="120">
        <f>D10*2</f>
        <v/>
      </c>
      <c r="L10" s="120">
        <f>E10*2</f>
        <v/>
      </c>
      <c r="M10" s="13">
        <f>$H$3&amp;"|"&amp;K10&amp;"$"&amp;$B$1&amp;"|"&amp;L10</f>
        <v/>
      </c>
      <c r="N10" s="16" t="n"/>
      <c r="O10" s="16" t="n"/>
      <c r="P10" s="16" t="n">
        <v>6</v>
      </c>
      <c r="Q10" s="120">
        <f>K10*2</f>
        <v/>
      </c>
      <c r="R10" s="120">
        <f>L10*2</f>
        <v/>
      </c>
      <c r="S10" s="16">
        <f>$N$3&amp;"|"&amp;Q10&amp;"$"&amp;$B$1&amp;"|"&amp;R10</f>
        <v/>
      </c>
      <c r="T10" s="22" t="n"/>
      <c r="U10" s="22" t="n"/>
      <c r="V10" s="22" t="n">
        <v>6</v>
      </c>
      <c r="W10" s="120">
        <f>Q10*2</f>
        <v/>
      </c>
      <c r="X10" s="120">
        <f>R10*2</f>
        <v/>
      </c>
      <c r="Y10" s="22">
        <f>$T$3&amp;"|"&amp;W10&amp;"$"&amp;$B$1&amp;"|"&amp;X10</f>
        <v/>
      </c>
      <c r="Z10" s="27" t="n"/>
      <c r="AA10" s="27" t="n"/>
      <c r="AB10" s="27" t="n">
        <v>6</v>
      </c>
      <c r="AC10" s="120">
        <f>W10*2</f>
        <v/>
      </c>
      <c r="AD10" s="120">
        <f>X10*2</f>
        <v/>
      </c>
      <c r="AE10" s="27">
        <f>$Z$3&amp;"|"&amp;AC10&amp;"$"&amp;$B$1&amp;"|"&amp;AD10</f>
        <v/>
      </c>
      <c r="AH10" s="32" t="n"/>
      <c r="AI10" s="32" t="n"/>
      <c r="AJ10" s="32" t="n"/>
      <c r="AK10" s="30" t="n">
        <v>8</v>
      </c>
      <c r="AL10" s="123">
        <f>$AH$3*POWER(AK10,$AI$3)</f>
        <v/>
      </c>
      <c r="AN10" s="32" t="n"/>
      <c r="AO10" s="32" t="n"/>
      <c r="AP10" s="32" t="n"/>
      <c r="AQ10" s="30" t="n">
        <v>8</v>
      </c>
      <c r="AR10" s="123">
        <f>$AN$3*POWER(AQ10,$AO$3)</f>
        <v/>
      </c>
    </row>
    <row r="11" ht="27" customHeight="1" s="119">
      <c r="A11" s="11" t="n"/>
      <c r="B11" s="11" t="n"/>
      <c r="C11" s="11" t="n">
        <v>7</v>
      </c>
      <c r="D11" s="120" t="n">
        <v>1296</v>
      </c>
      <c r="E11" s="11" t="n">
        <v>6615</v>
      </c>
      <c r="F11" s="11" t="n"/>
      <c r="G11" s="11">
        <f>$A$3&amp;"|"&amp;D11&amp;"$"&amp;$B$1&amp;"|"&amp;E11</f>
        <v/>
      </c>
      <c r="H11" s="13" t="n"/>
      <c r="I11" s="13" t="n"/>
      <c r="J11" s="18" t="n">
        <v>7</v>
      </c>
      <c r="K11" s="120">
        <f>D11*2</f>
        <v/>
      </c>
      <c r="L11" s="120">
        <f>E11*2</f>
        <v/>
      </c>
      <c r="M11" s="13">
        <f>$H$3&amp;"|"&amp;K11&amp;"$"&amp;$B$1&amp;"|"&amp;L11</f>
        <v/>
      </c>
      <c r="N11" s="16" t="n"/>
      <c r="O11" s="16" t="n"/>
      <c r="P11" s="19" t="n">
        <v>7</v>
      </c>
      <c r="Q11" s="120">
        <f>K11*2</f>
        <v/>
      </c>
      <c r="R11" s="120">
        <f>L11*2</f>
        <v/>
      </c>
      <c r="S11" s="16">
        <f>$N$3&amp;"|"&amp;Q11&amp;"$"&amp;$B$1&amp;"|"&amp;R11</f>
        <v/>
      </c>
      <c r="T11" s="22" t="n"/>
      <c r="U11" s="22" t="n"/>
      <c r="V11" s="24" t="n">
        <v>7</v>
      </c>
      <c r="W11" s="120">
        <f>Q11*2</f>
        <v/>
      </c>
      <c r="X11" s="120">
        <f>R11*2</f>
        <v/>
      </c>
      <c r="Y11" s="22">
        <f>$T$3&amp;"|"&amp;W11&amp;"$"&amp;$B$1&amp;"|"&amp;X11</f>
        <v/>
      </c>
      <c r="Z11" s="27" t="n"/>
      <c r="AA11" s="27" t="n"/>
      <c r="AB11" s="28" t="n">
        <v>7</v>
      </c>
      <c r="AC11" s="120">
        <f>W11*2</f>
        <v/>
      </c>
      <c r="AD11" s="120">
        <f>X11*2</f>
        <v/>
      </c>
      <c r="AE11" s="27">
        <f>$Z$3&amp;"|"&amp;AC11&amp;"$"&amp;$B$1&amp;"|"&amp;AD11</f>
        <v/>
      </c>
      <c r="AH11" s="32" t="n"/>
      <c r="AI11" s="32" t="n"/>
      <c r="AJ11" s="32" t="n"/>
      <c r="AK11" s="32" t="n">
        <v>9</v>
      </c>
      <c r="AL11" s="123">
        <f>$AH$3*POWER(AK11,$AI$3)</f>
        <v/>
      </c>
      <c r="AN11" s="32" t="n"/>
      <c r="AO11" s="32" t="n"/>
      <c r="AP11" s="32" t="n"/>
      <c r="AQ11" s="32" t="n">
        <v>9</v>
      </c>
      <c r="AR11" s="123">
        <f>$AN$3*POWER(AQ11,$AO$3)</f>
        <v/>
      </c>
    </row>
    <row r="12" ht="27" customHeight="1" s="119">
      <c r="A12" s="11" t="n"/>
      <c r="B12" s="11" t="n"/>
      <c r="C12" s="11" t="n">
        <v>8</v>
      </c>
      <c r="D12" s="120" t="n">
        <v>1810</v>
      </c>
      <c r="E12" s="11" t="n">
        <v>8640</v>
      </c>
      <c r="F12" s="11" t="n"/>
      <c r="G12" s="11">
        <f>$A$3&amp;"|"&amp;D12&amp;"$"&amp;$B$1&amp;"|"&amp;E12</f>
        <v/>
      </c>
      <c r="H12" s="13" t="n"/>
      <c r="I12" s="13" t="n"/>
      <c r="J12" s="13" t="n">
        <v>8</v>
      </c>
      <c r="K12" s="120">
        <f>D12*2</f>
        <v/>
      </c>
      <c r="L12" s="120">
        <f>E12*2</f>
        <v/>
      </c>
      <c r="M12" s="13">
        <f>$H$3&amp;"|"&amp;K12&amp;"$"&amp;$B$1&amp;"|"&amp;L12</f>
        <v/>
      </c>
      <c r="N12" s="16" t="n"/>
      <c r="O12" s="16" t="n"/>
      <c r="P12" s="16" t="n">
        <v>8</v>
      </c>
      <c r="Q12" s="120">
        <f>K12*2</f>
        <v/>
      </c>
      <c r="R12" s="120">
        <f>L12*2</f>
        <v/>
      </c>
      <c r="S12" s="16">
        <f>$N$3&amp;"|"&amp;Q12&amp;"$"&amp;$B$1&amp;"|"&amp;R12</f>
        <v/>
      </c>
      <c r="T12" s="22" t="n"/>
      <c r="U12" s="22" t="n"/>
      <c r="V12" s="22" t="n">
        <v>8</v>
      </c>
      <c r="W12" s="120">
        <f>Q12*2</f>
        <v/>
      </c>
      <c r="X12" s="120">
        <f>R12*2</f>
        <v/>
      </c>
      <c r="Y12" s="22">
        <f>$T$3&amp;"|"&amp;W12&amp;"$"&amp;$B$1&amp;"|"&amp;X12</f>
        <v/>
      </c>
      <c r="Z12" s="27" t="n"/>
      <c r="AA12" s="27" t="n"/>
      <c r="AB12" s="27" t="n">
        <v>8</v>
      </c>
      <c r="AC12" s="120">
        <f>W12*2</f>
        <v/>
      </c>
      <c r="AD12" s="120">
        <f>X12*2</f>
        <v/>
      </c>
      <c r="AE12" s="27">
        <f>$Z$3&amp;"|"&amp;AC12&amp;"$"&amp;$B$1&amp;"|"&amp;AD12</f>
        <v/>
      </c>
      <c r="AH12" s="32" t="n"/>
      <c r="AI12" s="32" t="n"/>
      <c r="AJ12" s="32" t="n"/>
      <c r="AK12" s="30" t="n">
        <v>10</v>
      </c>
      <c r="AL12" s="123">
        <f>$AH$3*POWER(AK12,$AI$3)</f>
        <v/>
      </c>
      <c r="AN12" s="32" t="n"/>
      <c r="AO12" s="32" t="n"/>
      <c r="AP12" s="32" t="n"/>
      <c r="AQ12" s="30" t="n">
        <v>10</v>
      </c>
      <c r="AR12" s="123">
        <f>$AN$3*POWER(AQ12,$AO$3)</f>
        <v/>
      </c>
    </row>
    <row r="13" ht="27" customHeight="1" s="119">
      <c r="A13" s="11" t="n"/>
      <c r="B13" s="11" t="n"/>
      <c r="C13" s="11" t="n">
        <v>9</v>
      </c>
      <c r="D13" s="120" t="n">
        <v>2430</v>
      </c>
      <c r="E13" s="11" t="n">
        <v>10935</v>
      </c>
      <c r="F13" s="11" t="n"/>
      <c r="G13" s="11">
        <f>$A$3&amp;"|"&amp;D13&amp;"$"&amp;$B$1&amp;"|"&amp;E13</f>
        <v/>
      </c>
      <c r="H13" s="13" t="n"/>
      <c r="I13" s="13" t="n"/>
      <c r="J13" s="18" t="n">
        <v>9</v>
      </c>
      <c r="K13" s="120">
        <f>D13*2</f>
        <v/>
      </c>
      <c r="L13" s="120">
        <f>E13*2</f>
        <v/>
      </c>
      <c r="M13" s="13">
        <f>$H$3&amp;"|"&amp;K13&amp;"$"&amp;$B$1&amp;"|"&amp;L13</f>
        <v/>
      </c>
      <c r="N13" s="16" t="n"/>
      <c r="O13" s="16" t="n"/>
      <c r="P13" s="19" t="n">
        <v>9</v>
      </c>
      <c r="Q13" s="120">
        <f>K13*2</f>
        <v/>
      </c>
      <c r="R13" s="120">
        <f>L13*2</f>
        <v/>
      </c>
      <c r="S13" s="16">
        <f>$N$3&amp;"|"&amp;Q13&amp;"$"&amp;$B$1&amp;"|"&amp;R13</f>
        <v/>
      </c>
      <c r="T13" s="22" t="n"/>
      <c r="U13" s="22" t="n"/>
      <c r="V13" s="24" t="n">
        <v>9</v>
      </c>
      <c r="W13" s="120">
        <f>Q13*2</f>
        <v/>
      </c>
      <c r="X13" s="120">
        <f>R13*2</f>
        <v/>
      </c>
      <c r="Y13" s="22">
        <f>$T$3&amp;"|"&amp;W13&amp;"$"&amp;$B$1&amp;"|"&amp;X13</f>
        <v/>
      </c>
      <c r="Z13" s="27" t="n"/>
      <c r="AA13" s="27" t="n"/>
      <c r="AB13" s="28" t="n">
        <v>9</v>
      </c>
      <c r="AC13" s="120">
        <f>W13*2</f>
        <v/>
      </c>
      <c r="AD13" s="120">
        <f>X13*2</f>
        <v/>
      </c>
      <c r="AE13" s="27">
        <f>$Z$3&amp;"|"&amp;AC13&amp;"$"&amp;$B$1&amp;"|"&amp;AD13</f>
        <v/>
      </c>
      <c r="AH13" s="32" t="n"/>
      <c r="AI13" s="32" t="n"/>
      <c r="AJ13" s="32" t="n"/>
      <c r="AK13" s="32" t="n">
        <v>11</v>
      </c>
      <c r="AL13" s="123">
        <f>$AH$3*POWER(AK13,$AI$3)</f>
        <v/>
      </c>
      <c r="AN13" s="32" t="n"/>
      <c r="AO13" s="32" t="n"/>
      <c r="AP13" s="32" t="n"/>
      <c r="AQ13" s="32" t="n">
        <v>11</v>
      </c>
      <c r="AR13" s="123">
        <f>$AN$3*POWER(AQ13,$AO$3)</f>
        <v/>
      </c>
    </row>
    <row r="14" ht="27" customHeight="1" s="119">
      <c r="A14" s="11" t="n"/>
      <c r="B14" s="11" t="n"/>
      <c r="C14" s="11" t="n">
        <v>10</v>
      </c>
      <c r="D14" s="120" t="n">
        <v>3162</v>
      </c>
      <c r="E14" s="11" t="n">
        <v>13500</v>
      </c>
      <c r="F14" s="11" t="n"/>
      <c r="G14" s="11">
        <f>$A$3&amp;"|"&amp;D14&amp;"$"&amp;$B$1&amp;"|"&amp;E14</f>
        <v/>
      </c>
      <c r="H14" s="13" t="n"/>
      <c r="I14" s="13" t="n"/>
      <c r="J14" s="13" t="n">
        <v>10</v>
      </c>
      <c r="K14" s="120">
        <f>D14*2</f>
        <v/>
      </c>
      <c r="L14" s="120">
        <f>E14*2</f>
        <v/>
      </c>
      <c r="M14" s="13">
        <f>$H$3&amp;"|"&amp;K14&amp;"$"&amp;$B$1&amp;"|"&amp;L14</f>
        <v/>
      </c>
      <c r="N14" s="16" t="n"/>
      <c r="O14" s="16" t="n"/>
      <c r="P14" s="16" t="n">
        <v>10</v>
      </c>
      <c r="Q14" s="120">
        <f>K14*2</f>
        <v/>
      </c>
      <c r="R14" s="120">
        <f>L14*2</f>
        <v/>
      </c>
      <c r="S14" s="16">
        <f>$N$3&amp;"|"&amp;Q14&amp;"$"&amp;$B$1&amp;"|"&amp;R14</f>
        <v/>
      </c>
      <c r="T14" s="22" t="n"/>
      <c r="U14" s="22" t="n"/>
      <c r="V14" s="22" t="n">
        <v>10</v>
      </c>
      <c r="W14" s="120">
        <f>Q14*2</f>
        <v/>
      </c>
      <c r="X14" s="120">
        <f>R14*2</f>
        <v/>
      </c>
      <c r="Y14" s="22">
        <f>$T$3&amp;"|"&amp;W14&amp;"$"&amp;$B$1&amp;"|"&amp;X14</f>
        <v/>
      </c>
      <c r="Z14" s="27" t="n"/>
      <c r="AA14" s="27" t="n"/>
      <c r="AB14" s="27" t="n">
        <v>10</v>
      </c>
      <c r="AC14" s="120">
        <f>W14*2</f>
        <v/>
      </c>
      <c r="AD14" s="120">
        <f>X14*2</f>
        <v/>
      </c>
      <c r="AE14" s="27">
        <f>$Z$3&amp;"|"&amp;AC14&amp;"$"&amp;$B$1&amp;"|"&amp;AD14</f>
        <v/>
      </c>
      <c r="AH14" s="32" t="n"/>
      <c r="AI14" s="32" t="n"/>
      <c r="AJ14" s="32" t="n"/>
      <c r="AK14" s="30" t="n">
        <v>12</v>
      </c>
      <c r="AL14" s="123">
        <f>$AH$3*POWER(AK14,$AI$3)</f>
        <v/>
      </c>
      <c r="AN14" s="32" t="n"/>
      <c r="AO14" s="32" t="n"/>
      <c r="AP14" s="32" t="n"/>
      <c r="AQ14" s="30" t="n">
        <v>12</v>
      </c>
      <c r="AR14" s="123">
        <f>$AN$3*POWER(AQ14,$AO$3)</f>
        <v/>
      </c>
    </row>
    <row r="15" ht="27" customHeight="1" s="119">
      <c r="A15" s="11" t="n"/>
      <c r="B15" s="11" t="n"/>
      <c r="C15" s="11" t="n">
        <v>11</v>
      </c>
      <c r="D15" s="120" t="n">
        <v>4013</v>
      </c>
      <c r="E15" s="11" t="n">
        <v>16335</v>
      </c>
      <c r="F15" s="11" t="n"/>
      <c r="G15" s="11">
        <f>$A$3&amp;"|"&amp;D15&amp;"$"&amp;$B$1&amp;"|"&amp;E15</f>
        <v/>
      </c>
      <c r="H15" s="13" t="n"/>
      <c r="I15" s="13" t="n"/>
      <c r="J15" s="18" t="n">
        <v>11</v>
      </c>
      <c r="K15" s="120">
        <f>D15*2</f>
        <v/>
      </c>
      <c r="L15" s="120">
        <f>E15*2</f>
        <v/>
      </c>
      <c r="M15" s="13">
        <f>$H$3&amp;"|"&amp;K15&amp;"$"&amp;$B$1&amp;"|"&amp;L15</f>
        <v/>
      </c>
      <c r="N15" s="16" t="n"/>
      <c r="O15" s="16" t="n"/>
      <c r="P15" s="19" t="n">
        <v>11</v>
      </c>
      <c r="Q15" s="120">
        <f>K15*2</f>
        <v/>
      </c>
      <c r="R15" s="120">
        <f>L15*2</f>
        <v/>
      </c>
      <c r="S15" s="16">
        <f>$N$3&amp;"|"&amp;Q15&amp;"$"&amp;$B$1&amp;"|"&amp;R15</f>
        <v/>
      </c>
      <c r="T15" s="22" t="n"/>
      <c r="U15" s="22" t="n"/>
      <c r="V15" s="24" t="n">
        <v>11</v>
      </c>
      <c r="W15" s="120">
        <f>Q15*2</f>
        <v/>
      </c>
      <c r="X15" s="120">
        <f>R15*2</f>
        <v/>
      </c>
      <c r="Y15" s="22">
        <f>$T$3&amp;"|"&amp;W15&amp;"$"&amp;$B$1&amp;"|"&amp;X15</f>
        <v/>
      </c>
      <c r="Z15" s="27" t="n"/>
      <c r="AA15" s="27" t="n"/>
      <c r="AB15" s="28" t="n">
        <v>11</v>
      </c>
      <c r="AC15" s="120">
        <f>W15*2</f>
        <v/>
      </c>
      <c r="AD15" s="120">
        <f>X15*2</f>
        <v/>
      </c>
      <c r="AE15" s="27">
        <f>$Z$3&amp;"|"&amp;AC15&amp;"$"&amp;$B$1&amp;"|"&amp;AD15</f>
        <v/>
      </c>
      <c r="AH15" s="32" t="n"/>
      <c r="AI15" s="32" t="n"/>
      <c r="AJ15" s="32" t="n"/>
      <c r="AK15" s="32" t="n">
        <v>13</v>
      </c>
      <c r="AL15" s="123">
        <f>$AH$3*POWER(AK15,$AI$3)</f>
        <v/>
      </c>
      <c r="AN15" s="32" t="n"/>
      <c r="AO15" s="32" t="n"/>
      <c r="AP15" s="32" t="n"/>
      <c r="AQ15" s="32" t="n">
        <v>13</v>
      </c>
      <c r="AR15" s="123">
        <f>$AN$3*POWER(AQ15,$AO$3)</f>
        <v/>
      </c>
    </row>
    <row r="16" ht="27" customHeight="1" s="119">
      <c r="A16" s="11" t="n"/>
      <c r="B16" s="11" t="n"/>
      <c r="C16" s="11" t="n">
        <v>12</v>
      </c>
      <c r="D16" s="120" t="n">
        <v>4988</v>
      </c>
      <c r="E16" s="11" t="n">
        <v>19440</v>
      </c>
      <c r="F16" s="11" t="n"/>
      <c r="G16" s="11">
        <f>$A$3&amp;"|"&amp;D16&amp;"$"&amp;$B$1&amp;"|"&amp;E16</f>
        <v/>
      </c>
      <c r="H16" s="13" t="n"/>
      <c r="I16" s="13" t="n"/>
      <c r="J16" s="13" t="n">
        <v>12</v>
      </c>
      <c r="K16" s="120">
        <f>D16*2</f>
        <v/>
      </c>
      <c r="L16" s="120">
        <f>E16*2</f>
        <v/>
      </c>
      <c r="M16" s="13">
        <f>$H$3&amp;"|"&amp;K16&amp;"$"&amp;$B$1&amp;"|"&amp;L16</f>
        <v/>
      </c>
      <c r="N16" s="16" t="n"/>
      <c r="O16" s="16" t="n"/>
      <c r="P16" s="16" t="n">
        <v>12</v>
      </c>
      <c r="Q16" s="120">
        <f>K16*2</f>
        <v/>
      </c>
      <c r="R16" s="120">
        <f>L16*2</f>
        <v/>
      </c>
      <c r="S16" s="16">
        <f>$N$3&amp;"|"&amp;Q16&amp;"$"&amp;$B$1&amp;"|"&amp;R16</f>
        <v/>
      </c>
      <c r="T16" s="22" t="n"/>
      <c r="U16" s="22" t="n"/>
      <c r="V16" s="22" t="n">
        <v>12</v>
      </c>
      <c r="W16" s="120">
        <f>Q16*2</f>
        <v/>
      </c>
      <c r="X16" s="120">
        <f>R16*2</f>
        <v/>
      </c>
      <c r="Y16" s="22">
        <f>$T$3&amp;"|"&amp;W16&amp;"$"&amp;$B$1&amp;"|"&amp;X16</f>
        <v/>
      </c>
      <c r="Z16" s="27" t="n"/>
      <c r="AA16" s="27" t="n"/>
      <c r="AB16" s="27" t="n">
        <v>12</v>
      </c>
      <c r="AC16" s="120">
        <f>W16*2</f>
        <v/>
      </c>
      <c r="AD16" s="120">
        <f>X16*2</f>
        <v/>
      </c>
      <c r="AE16" s="27">
        <f>$Z$3&amp;"|"&amp;AC16&amp;"$"&amp;$B$1&amp;"|"&amp;AD16</f>
        <v/>
      </c>
      <c r="AH16" s="32" t="n"/>
      <c r="AI16" s="32" t="n"/>
      <c r="AJ16" s="32" t="n"/>
      <c r="AK16" s="30" t="n">
        <v>14</v>
      </c>
      <c r="AL16" s="123">
        <f>$AH$3*POWER(AK16,$AI$3)</f>
        <v/>
      </c>
      <c r="AN16" s="32" t="n"/>
      <c r="AO16" s="32" t="n"/>
      <c r="AP16" s="32" t="n"/>
      <c r="AQ16" s="30" t="n">
        <v>14</v>
      </c>
      <c r="AR16" s="123">
        <f>$AN$3*POWER(AQ16,$AO$3)</f>
        <v/>
      </c>
    </row>
    <row r="17" ht="27" customHeight="1" s="119">
      <c r="A17" s="11" t="n"/>
      <c r="B17" s="11" t="n"/>
      <c r="C17" s="11" t="n">
        <v>13</v>
      </c>
      <c r="D17" s="120" t="n">
        <v>6093</v>
      </c>
      <c r="E17" s="11" t="n">
        <v>22815</v>
      </c>
      <c r="F17" s="11" t="n"/>
      <c r="G17" s="11">
        <f>$A$3&amp;"|"&amp;D17&amp;"$"&amp;$B$1&amp;"|"&amp;E17</f>
        <v/>
      </c>
      <c r="H17" s="13" t="n"/>
      <c r="I17" s="13" t="n"/>
      <c r="J17" s="18" t="n">
        <v>13</v>
      </c>
      <c r="K17" s="120">
        <f>D17*2</f>
        <v/>
      </c>
      <c r="L17" s="120">
        <f>E17*2</f>
        <v/>
      </c>
      <c r="M17" s="13">
        <f>$H$3&amp;"|"&amp;K17&amp;"$"&amp;$B$1&amp;"|"&amp;L17</f>
        <v/>
      </c>
      <c r="N17" s="16" t="n"/>
      <c r="O17" s="16" t="n"/>
      <c r="P17" s="19" t="n">
        <v>13</v>
      </c>
      <c r="Q17" s="120">
        <f>K17*2</f>
        <v/>
      </c>
      <c r="R17" s="120">
        <f>L17*2</f>
        <v/>
      </c>
      <c r="S17" s="16">
        <f>$N$3&amp;"|"&amp;Q17&amp;"$"&amp;$B$1&amp;"|"&amp;R17</f>
        <v/>
      </c>
      <c r="T17" s="22" t="n"/>
      <c r="U17" s="22" t="n"/>
      <c r="V17" s="24" t="n">
        <v>13</v>
      </c>
      <c r="W17" s="120">
        <f>Q17*2</f>
        <v/>
      </c>
      <c r="X17" s="120">
        <f>R17*2</f>
        <v/>
      </c>
      <c r="Y17" s="22">
        <f>$T$3&amp;"|"&amp;W17&amp;"$"&amp;$B$1&amp;"|"&amp;X17</f>
        <v/>
      </c>
      <c r="Z17" s="27" t="n"/>
      <c r="AA17" s="27" t="n"/>
      <c r="AB17" s="28" t="n">
        <v>13</v>
      </c>
      <c r="AC17" s="120">
        <f>W17*2</f>
        <v/>
      </c>
      <c r="AD17" s="120">
        <f>X17*2</f>
        <v/>
      </c>
      <c r="AE17" s="27">
        <f>$Z$3&amp;"|"&amp;AC17&amp;"$"&amp;$B$1&amp;"|"&amp;AD17</f>
        <v/>
      </c>
      <c r="AH17" s="32" t="n"/>
      <c r="AI17" s="32" t="n"/>
      <c r="AJ17" s="32" t="n"/>
      <c r="AK17" s="30" t="n">
        <v>15</v>
      </c>
      <c r="AL17" s="123">
        <f>$AH$3*POWER(AK17,$AI$3)</f>
        <v/>
      </c>
      <c r="AN17" s="32" t="n"/>
      <c r="AO17" s="32" t="n"/>
      <c r="AP17" s="32" t="n"/>
      <c r="AQ17" s="30" t="n">
        <v>15</v>
      </c>
      <c r="AR17" s="123">
        <f>$AN$3*POWER(AQ17,$AO$3)</f>
        <v/>
      </c>
    </row>
    <row r="18" ht="27" customHeight="1" s="119">
      <c r="A18" s="11" t="n"/>
      <c r="B18" s="11" t="n"/>
      <c r="C18" s="11" t="n">
        <v>14</v>
      </c>
      <c r="D18" s="120" t="n">
        <v>7334</v>
      </c>
      <c r="E18" s="11" t="n">
        <v>26460</v>
      </c>
      <c r="F18" s="11" t="n"/>
      <c r="G18" s="11">
        <f>$A$3&amp;"|"&amp;D18&amp;"$"&amp;$B$1&amp;"|"&amp;E18</f>
        <v/>
      </c>
      <c r="H18" s="13" t="n"/>
      <c r="I18" s="13" t="n"/>
      <c r="J18" s="13" t="n">
        <v>14</v>
      </c>
      <c r="K18" s="120">
        <f>D18*2</f>
        <v/>
      </c>
      <c r="L18" s="120">
        <f>E18*2</f>
        <v/>
      </c>
      <c r="M18" s="13">
        <f>$H$3&amp;"|"&amp;K18&amp;"$"&amp;$B$1&amp;"|"&amp;L18</f>
        <v/>
      </c>
      <c r="N18" s="16" t="n"/>
      <c r="O18" s="16" t="n"/>
      <c r="P18" s="16" t="n">
        <v>14</v>
      </c>
      <c r="Q18" s="120">
        <f>K18*2</f>
        <v/>
      </c>
      <c r="R18" s="120">
        <f>L18*2</f>
        <v/>
      </c>
      <c r="S18" s="16">
        <f>$N$3&amp;"|"&amp;Q18&amp;"$"&amp;$B$1&amp;"|"&amp;R18</f>
        <v/>
      </c>
      <c r="T18" s="22" t="n"/>
      <c r="U18" s="22" t="n"/>
      <c r="V18" s="22" t="n">
        <v>14</v>
      </c>
      <c r="W18" s="120">
        <f>Q18*2</f>
        <v/>
      </c>
      <c r="X18" s="120">
        <f>R18*2</f>
        <v/>
      </c>
      <c r="Y18" s="22">
        <f>$T$3&amp;"|"&amp;W18&amp;"$"&amp;$B$1&amp;"|"&amp;X18</f>
        <v/>
      </c>
      <c r="Z18" s="27" t="n"/>
      <c r="AA18" s="27" t="n"/>
      <c r="AB18" s="27" t="n">
        <v>14</v>
      </c>
      <c r="AC18" s="120">
        <f>W18*2</f>
        <v/>
      </c>
      <c r="AD18" s="120">
        <f>X18*2</f>
        <v/>
      </c>
      <c r="AE18" s="27">
        <f>$Z$3&amp;"|"&amp;AC18&amp;"$"&amp;$B$1&amp;"|"&amp;AD18</f>
        <v/>
      </c>
      <c r="AH18" s="32" t="n"/>
      <c r="AI18" s="32" t="n"/>
      <c r="AJ18" s="32" t="n"/>
      <c r="AK18" s="30" t="n">
        <v>16</v>
      </c>
      <c r="AL18" s="123">
        <f>$AH$3*POWER(AK18,$AI$3)</f>
        <v/>
      </c>
      <c r="AN18" s="32" t="n"/>
      <c r="AO18" s="32" t="n"/>
      <c r="AP18" s="32" t="n"/>
      <c r="AQ18" s="30" t="n">
        <v>16</v>
      </c>
      <c r="AR18" s="123">
        <f>$AN$3*POWER(AQ18,$AO$3)</f>
        <v/>
      </c>
    </row>
    <row r="19" ht="27" customHeight="1" s="119">
      <c r="A19" s="11" t="n"/>
      <c r="B19" s="11" t="n"/>
      <c r="C19" s="11" t="n">
        <v>15</v>
      </c>
      <c r="D19" s="120" t="n">
        <v>8714</v>
      </c>
      <c r="E19" s="11" t="n">
        <v>30375</v>
      </c>
      <c r="F19" s="11" t="n"/>
      <c r="G19" s="11">
        <f>$A$3&amp;"|"&amp;D19&amp;"$"&amp;$B$1&amp;"|"&amp;E19</f>
        <v/>
      </c>
      <c r="H19" s="13" t="n"/>
      <c r="I19" s="13" t="n"/>
      <c r="J19" s="18" t="n">
        <v>15</v>
      </c>
      <c r="K19" s="120">
        <f>D19*2</f>
        <v/>
      </c>
      <c r="L19" s="120">
        <f>E19*2</f>
        <v/>
      </c>
      <c r="M19" s="13">
        <f>$H$3&amp;"|"&amp;K19&amp;"$"&amp;$B$1&amp;"|"&amp;L19</f>
        <v/>
      </c>
      <c r="N19" s="16" t="n"/>
      <c r="O19" s="16" t="n"/>
      <c r="P19" s="19" t="n">
        <v>15</v>
      </c>
      <c r="Q19" s="120">
        <f>K19*2</f>
        <v/>
      </c>
      <c r="R19" s="120">
        <f>L19*2</f>
        <v/>
      </c>
      <c r="S19" s="16">
        <f>$N$3&amp;"|"&amp;Q19&amp;"$"&amp;$B$1&amp;"|"&amp;R19</f>
        <v/>
      </c>
      <c r="T19" s="22" t="n"/>
      <c r="U19" s="22" t="n"/>
      <c r="V19" s="24" t="n">
        <v>15</v>
      </c>
      <c r="W19" s="120">
        <f>Q19*2</f>
        <v/>
      </c>
      <c r="X19" s="120">
        <f>R19*2</f>
        <v/>
      </c>
      <c r="Y19" s="22">
        <f>$T$3&amp;"|"&amp;W19&amp;"$"&amp;$B$1&amp;"|"&amp;X19</f>
        <v/>
      </c>
      <c r="Z19" s="27" t="n"/>
      <c r="AA19" s="27" t="n"/>
      <c r="AB19" s="28" t="n">
        <v>15</v>
      </c>
      <c r="AC19" s="120">
        <f>W19*2</f>
        <v/>
      </c>
      <c r="AD19" s="120">
        <f>X19*2</f>
        <v/>
      </c>
      <c r="AE19" s="27">
        <f>$Z$3&amp;"|"&amp;AC19&amp;"$"&amp;$B$1&amp;"|"&amp;AD19</f>
        <v/>
      </c>
      <c r="AH19" s="32" t="n"/>
      <c r="AI19" s="32" t="n"/>
      <c r="AJ19" s="32" t="n"/>
      <c r="AK19" s="30" t="n">
        <v>17</v>
      </c>
      <c r="AL19" s="123">
        <f>$AH$3*POWER(AK19,$AI$3)</f>
        <v/>
      </c>
      <c r="AN19" s="32" t="n"/>
      <c r="AO19" s="32" t="n"/>
      <c r="AP19" s="32" t="n"/>
      <c r="AQ19" s="30" t="n">
        <v>17</v>
      </c>
      <c r="AR19" s="123">
        <f>$AN$3*POWER(AQ19,$AO$3)</f>
        <v/>
      </c>
    </row>
    <row r="20" ht="27" customHeight="1" s="119">
      <c r="A20" s="11" t="n"/>
      <c r="B20" s="11" t="n"/>
      <c r="C20" s="11" t="n">
        <v>16</v>
      </c>
      <c r="D20" s="120" t="n">
        <v>10240</v>
      </c>
      <c r="E20" s="11" t="n">
        <v>34560</v>
      </c>
      <c r="F20" s="11" t="n"/>
      <c r="G20" s="11">
        <f>$A$3&amp;"|"&amp;D20&amp;"$"&amp;$B$1&amp;"|"&amp;E20</f>
        <v/>
      </c>
      <c r="H20" s="13" t="n"/>
      <c r="I20" s="13" t="n"/>
      <c r="J20" s="13" t="n">
        <v>16</v>
      </c>
      <c r="K20" s="120">
        <f>D20*2</f>
        <v/>
      </c>
      <c r="L20" s="120">
        <f>E20*2</f>
        <v/>
      </c>
      <c r="M20" s="13">
        <f>$H$3&amp;"|"&amp;K20&amp;"$"&amp;$B$1&amp;"|"&amp;L20</f>
        <v/>
      </c>
      <c r="N20" s="16" t="n"/>
      <c r="O20" s="16" t="n"/>
      <c r="P20" s="16" t="n">
        <v>16</v>
      </c>
      <c r="Q20" s="120">
        <f>K20*2</f>
        <v/>
      </c>
      <c r="R20" s="120">
        <f>L20*2</f>
        <v/>
      </c>
      <c r="S20" s="16">
        <f>$N$3&amp;"|"&amp;Q20&amp;"$"&amp;$B$1&amp;"|"&amp;R20</f>
        <v/>
      </c>
      <c r="T20" s="22" t="n"/>
      <c r="U20" s="22" t="n"/>
      <c r="V20" s="22" t="n">
        <v>16</v>
      </c>
      <c r="W20" s="120">
        <f>Q20*2</f>
        <v/>
      </c>
      <c r="X20" s="120">
        <f>R20*2</f>
        <v/>
      </c>
      <c r="Y20" s="22">
        <f>$T$3&amp;"|"&amp;W20&amp;"$"&amp;$B$1&amp;"|"&amp;X20</f>
        <v/>
      </c>
      <c r="Z20" s="27" t="n"/>
      <c r="AA20" s="27" t="n"/>
      <c r="AB20" s="27" t="n">
        <v>16</v>
      </c>
      <c r="AC20" s="120">
        <f>W20*2</f>
        <v/>
      </c>
      <c r="AD20" s="120">
        <f>X20*2</f>
        <v/>
      </c>
      <c r="AE20" s="27">
        <f>$Z$3&amp;"|"&amp;AC20&amp;"$"&amp;$B$1&amp;"|"&amp;AD20</f>
        <v/>
      </c>
      <c r="AH20" s="32" t="n"/>
      <c r="AI20" s="32" t="n"/>
      <c r="AJ20" s="32" t="n"/>
      <c r="AK20" s="30" t="n">
        <v>18</v>
      </c>
      <c r="AL20" s="123">
        <f>$AH$3*POWER(AK20,$AI$3)</f>
        <v/>
      </c>
      <c r="AN20" s="32" t="n"/>
      <c r="AO20" s="32" t="n"/>
      <c r="AP20" s="32" t="n"/>
      <c r="AQ20" s="30" t="n">
        <v>18</v>
      </c>
      <c r="AR20" s="123">
        <f>$AN$3*POWER(AQ20,$AO$3)</f>
        <v/>
      </c>
    </row>
    <row r="21" ht="27" customHeight="1" s="119">
      <c r="A21" s="11" t="n"/>
      <c r="B21" s="11" t="n"/>
      <c r="C21" s="11" t="n">
        <v>17</v>
      </c>
      <c r="D21" s="120" t="n">
        <v>11916</v>
      </c>
      <c r="E21" s="11" t="n">
        <v>39015</v>
      </c>
      <c r="F21" s="11" t="n"/>
      <c r="G21" s="11">
        <f>$A$3&amp;"|"&amp;D21&amp;"$"&amp;$B$1&amp;"|"&amp;E21</f>
        <v/>
      </c>
      <c r="H21" s="13" t="n"/>
      <c r="I21" s="13" t="n"/>
      <c r="J21" s="18" t="n">
        <v>17</v>
      </c>
      <c r="K21" s="120">
        <f>D21*2</f>
        <v/>
      </c>
      <c r="L21" s="120">
        <f>E21*2</f>
        <v/>
      </c>
      <c r="M21" s="13">
        <f>$H$3&amp;"|"&amp;K21&amp;"$"&amp;$B$1&amp;"|"&amp;L21</f>
        <v/>
      </c>
      <c r="N21" s="16" t="n"/>
      <c r="O21" s="16" t="n"/>
      <c r="P21" s="19" t="n">
        <v>17</v>
      </c>
      <c r="Q21" s="120">
        <f>K21*2</f>
        <v/>
      </c>
      <c r="R21" s="120">
        <f>L21*2</f>
        <v/>
      </c>
      <c r="S21" s="16">
        <f>$N$3&amp;"|"&amp;Q21&amp;"$"&amp;$B$1&amp;"|"&amp;R21</f>
        <v/>
      </c>
      <c r="T21" s="22" t="n"/>
      <c r="U21" s="22" t="n"/>
      <c r="V21" s="24" t="n">
        <v>17</v>
      </c>
      <c r="W21" s="120">
        <f>Q21*2</f>
        <v/>
      </c>
      <c r="X21" s="120">
        <f>R21*2</f>
        <v/>
      </c>
      <c r="Y21" s="22">
        <f>$T$3&amp;"|"&amp;W21&amp;"$"&amp;$B$1&amp;"|"&amp;X21</f>
        <v/>
      </c>
      <c r="Z21" s="27" t="n"/>
      <c r="AA21" s="27" t="n"/>
      <c r="AB21" s="28" t="n">
        <v>17</v>
      </c>
      <c r="AC21" s="120">
        <f>W21*2</f>
        <v/>
      </c>
      <c r="AD21" s="120">
        <f>X21*2</f>
        <v/>
      </c>
      <c r="AE21" s="27">
        <f>$Z$3&amp;"|"&amp;AC21&amp;"$"&amp;$B$1&amp;"|"&amp;AD21</f>
        <v/>
      </c>
      <c r="AH21" s="32" t="n"/>
      <c r="AI21" s="32" t="n"/>
      <c r="AJ21" s="32" t="n"/>
      <c r="AK21" s="30" t="n">
        <v>19</v>
      </c>
      <c r="AL21" s="123">
        <f>$AH$3*POWER(AK21,$AI$3)</f>
        <v/>
      </c>
      <c r="AN21" s="32" t="n"/>
      <c r="AO21" s="32" t="n"/>
      <c r="AP21" s="32" t="n"/>
      <c r="AQ21" s="30" t="n">
        <v>19</v>
      </c>
      <c r="AR21" s="123">
        <f>$AN$3*POWER(AQ21,$AO$3)</f>
        <v/>
      </c>
    </row>
    <row r="22" ht="27" customHeight="1" s="119">
      <c r="A22" s="11" t="n"/>
      <c r="B22" s="11" t="n"/>
      <c r="C22" s="11" t="n">
        <v>18</v>
      </c>
      <c r="D22" s="120" t="n">
        <v>13746</v>
      </c>
      <c r="E22" s="11" t="n">
        <v>43740</v>
      </c>
      <c r="F22" s="11" t="n"/>
      <c r="G22" s="11">
        <f>$A$3&amp;"|"&amp;D22&amp;"$"&amp;$B$1&amp;"|"&amp;E22</f>
        <v/>
      </c>
      <c r="H22" s="13" t="n"/>
      <c r="I22" s="13" t="n"/>
      <c r="J22" s="13" t="n">
        <v>18</v>
      </c>
      <c r="K22" s="120">
        <f>D22*2</f>
        <v/>
      </c>
      <c r="L22" s="120">
        <f>E22*2</f>
        <v/>
      </c>
      <c r="M22" s="13">
        <f>$H$3&amp;"|"&amp;K22&amp;"$"&amp;$B$1&amp;"|"&amp;L22</f>
        <v/>
      </c>
      <c r="N22" s="16" t="n"/>
      <c r="O22" s="16" t="n"/>
      <c r="P22" s="16" t="n">
        <v>18</v>
      </c>
      <c r="Q22" s="120">
        <f>K22*2</f>
        <v/>
      </c>
      <c r="R22" s="120">
        <f>L22*2</f>
        <v/>
      </c>
      <c r="S22" s="16">
        <f>$N$3&amp;"|"&amp;Q22&amp;"$"&amp;$B$1&amp;"|"&amp;R22</f>
        <v/>
      </c>
      <c r="T22" s="22" t="n"/>
      <c r="U22" s="22" t="n"/>
      <c r="V22" s="22" t="n">
        <v>18</v>
      </c>
      <c r="W22" s="120">
        <f>Q22*2</f>
        <v/>
      </c>
      <c r="X22" s="120">
        <f>R22*2</f>
        <v/>
      </c>
      <c r="Y22" s="22">
        <f>$T$3&amp;"|"&amp;W22&amp;"$"&amp;$B$1&amp;"|"&amp;X22</f>
        <v/>
      </c>
      <c r="Z22" s="27" t="n"/>
      <c r="AA22" s="27" t="n"/>
      <c r="AB22" s="27" t="n">
        <v>18</v>
      </c>
      <c r="AC22" s="120">
        <f>W22*2</f>
        <v/>
      </c>
      <c r="AD22" s="120">
        <f>X22*2</f>
        <v/>
      </c>
      <c r="AE22" s="27">
        <f>$Z$3&amp;"|"&amp;AC22&amp;"$"&amp;$B$1&amp;"|"&amp;AD22</f>
        <v/>
      </c>
      <c r="AH22" s="32" t="n"/>
      <c r="AI22" s="32" t="n"/>
      <c r="AJ22" s="32" t="n"/>
      <c r="AK22" s="30" t="n">
        <v>20</v>
      </c>
      <c r="AL22" s="123">
        <f>$AH$3*POWER(AK22,$AI$3)</f>
        <v/>
      </c>
      <c r="AN22" s="32" t="n"/>
      <c r="AO22" s="32" t="n"/>
      <c r="AP22" s="32" t="n"/>
      <c r="AQ22" s="30" t="n">
        <v>20</v>
      </c>
      <c r="AR22" s="123">
        <f>$AN$3*POWER(AQ22,$AO$3)</f>
        <v/>
      </c>
    </row>
    <row r="23" ht="27" customHeight="1" s="119">
      <c r="A23" s="11" t="n"/>
      <c r="B23" s="11" t="n"/>
      <c r="C23" s="11" t="n">
        <v>19</v>
      </c>
      <c r="D23" s="120" t="n">
        <v>15736</v>
      </c>
      <c r="E23" s="11" t="n">
        <v>48735</v>
      </c>
      <c r="F23" s="11" t="n"/>
      <c r="G23" s="11">
        <f>$A$3&amp;"|"&amp;D23&amp;"$"&amp;$B$1&amp;"|"&amp;E23</f>
        <v/>
      </c>
      <c r="H23" s="13" t="n"/>
      <c r="I23" s="13" t="n"/>
      <c r="J23" s="18" t="n">
        <v>19</v>
      </c>
      <c r="K23" s="120">
        <f>D23*2</f>
        <v/>
      </c>
      <c r="L23" s="120">
        <f>E23*2</f>
        <v/>
      </c>
      <c r="M23" s="13">
        <f>$H$3&amp;"|"&amp;K23&amp;"$"&amp;$B$1&amp;"|"&amp;L23</f>
        <v/>
      </c>
      <c r="N23" s="16" t="n"/>
      <c r="O23" s="16" t="n"/>
      <c r="P23" s="19" t="n">
        <v>19</v>
      </c>
      <c r="Q23" s="120">
        <f>K23*2</f>
        <v/>
      </c>
      <c r="R23" s="120">
        <f>L23*2</f>
        <v/>
      </c>
      <c r="S23" s="16">
        <f>$N$3&amp;"|"&amp;Q23&amp;"$"&amp;$B$1&amp;"|"&amp;R23</f>
        <v/>
      </c>
      <c r="T23" s="22" t="n"/>
      <c r="U23" s="22" t="n"/>
      <c r="V23" s="24" t="n">
        <v>19</v>
      </c>
      <c r="W23" s="120">
        <f>Q23*2</f>
        <v/>
      </c>
      <c r="X23" s="120">
        <f>R23*2</f>
        <v/>
      </c>
      <c r="Y23" s="22">
        <f>$T$3&amp;"|"&amp;W23&amp;"$"&amp;$B$1&amp;"|"&amp;X23</f>
        <v/>
      </c>
      <c r="Z23" s="27" t="n"/>
      <c r="AA23" s="27" t="n"/>
      <c r="AB23" s="28" t="n">
        <v>19</v>
      </c>
      <c r="AC23" s="120">
        <f>W23*2</f>
        <v/>
      </c>
      <c r="AD23" s="120">
        <f>X23*2</f>
        <v/>
      </c>
      <c r="AE23" s="27">
        <f>$Z$3&amp;"|"&amp;AC23&amp;"$"&amp;$B$1&amp;"|"&amp;AD23</f>
        <v/>
      </c>
      <c r="AH23" s="32" t="n"/>
      <c r="AI23" s="32" t="n"/>
      <c r="AJ23" s="32" t="n"/>
      <c r="AK23" s="30" t="n">
        <v>21</v>
      </c>
      <c r="AL23" s="123">
        <f>$AH$3*POWER(AK23,$AI$3)</f>
        <v/>
      </c>
      <c r="AN23" s="32" t="n"/>
      <c r="AO23" s="32" t="n"/>
      <c r="AP23" s="32" t="n"/>
      <c r="AQ23" s="30" t="n">
        <v>21</v>
      </c>
      <c r="AR23" s="123">
        <f>$AN$3*POWER(AQ23,$AO$3)</f>
        <v/>
      </c>
    </row>
    <row r="24" ht="27" customHeight="1" s="119">
      <c r="A24" s="11" t="n"/>
      <c r="B24" s="11" t="n"/>
      <c r="C24" s="11" t="n">
        <v>20</v>
      </c>
      <c r="D24" s="120" t="n">
        <v>17889</v>
      </c>
      <c r="E24" s="11" t="n">
        <v>54000</v>
      </c>
      <c r="F24" s="11" t="n"/>
      <c r="G24" s="11">
        <f>$A$3&amp;"|"&amp;D24&amp;"$"&amp;$B$1&amp;"|"&amp;E24</f>
        <v/>
      </c>
      <c r="H24" s="13" t="n"/>
      <c r="I24" s="13" t="n"/>
      <c r="J24" s="13" t="n">
        <v>20</v>
      </c>
      <c r="K24" s="120">
        <f>D24*2</f>
        <v/>
      </c>
      <c r="L24" s="120">
        <f>E24*2</f>
        <v/>
      </c>
      <c r="M24" s="13">
        <f>$H$3&amp;"|"&amp;K24&amp;"$"&amp;$B$1&amp;"|"&amp;L24</f>
        <v/>
      </c>
      <c r="N24" s="16" t="n"/>
      <c r="O24" s="16" t="n"/>
      <c r="P24" s="16" t="n">
        <v>20</v>
      </c>
      <c r="Q24" s="120">
        <f>K24*2</f>
        <v/>
      </c>
      <c r="R24" s="120">
        <f>L24*2</f>
        <v/>
      </c>
      <c r="S24" s="16">
        <f>$N$3&amp;"|"&amp;Q24&amp;"$"&amp;$B$1&amp;"|"&amp;R24</f>
        <v/>
      </c>
      <c r="T24" s="22" t="n"/>
      <c r="U24" s="22" t="n"/>
      <c r="V24" s="22" t="n">
        <v>20</v>
      </c>
      <c r="W24" s="120">
        <f>Q24*2</f>
        <v/>
      </c>
      <c r="X24" s="120">
        <f>R24*2</f>
        <v/>
      </c>
      <c r="Y24" s="22">
        <f>$T$3&amp;"|"&amp;W24&amp;"$"&amp;$B$1&amp;"|"&amp;X24</f>
        <v/>
      </c>
      <c r="Z24" s="27" t="n"/>
      <c r="AA24" s="27" t="n"/>
      <c r="AB24" s="27" t="n">
        <v>20</v>
      </c>
      <c r="AC24" s="120">
        <f>W24*2</f>
        <v/>
      </c>
      <c r="AD24" s="120">
        <f>X24*2</f>
        <v/>
      </c>
      <c r="AE24" s="27">
        <f>$Z$3&amp;"|"&amp;AC24&amp;"$"&amp;$B$1&amp;"|"&amp;AD24</f>
        <v/>
      </c>
      <c r="AH24" s="32" t="n"/>
      <c r="AI24" s="32" t="n"/>
      <c r="AJ24" s="32" t="n"/>
      <c r="AK24" s="30" t="n">
        <v>22</v>
      </c>
      <c r="AL24" s="123">
        <f>$AH$3*POWER(AK24,$AI$3)</f>
        <v/>
      </c>
      <c r="AN24" s="32" t="n"/>
      <c r="AO24" s="32" t="n"/>
      <c r="AP24" s="32" t="n"/>
      <c r="AQ24" s="30" t="n">
        <v>22</v>
      </c>
      <c r="AR24" s="123">
        <f>$AN$3*POWER(AQ24,$AO$3)</f>
        <v/>
      </c>
    </row>
    <row r="25" ht="27" customHeight="1" s="119">
      <c r="A25" s="11" t="n"/>
      <c r="B25" s="11" t="n"/>
      <c r="C25" s="11" t="n">
        <v>21</v>
      </c>
      <c r="D25" s="120" t="n">
        <v>20209</v>
      </c>
      <c r="E25" s="11" t="n">
        <v>59535</v>
      </c>
      <c r="F25" s="11" t="n"/>
      <c r="G25" s="11">
        <f>$A$3&amp;"|"&amp;D25&amp;"$"&amp;$B$1&amp;"|"&amp;E25</f>
        <v/>
      </c>
      <c r="H25" s="13" t="n"/>
      <c r="I25" s="13" t="n"/>
      <c r="J25" s="18" t="n">
        <v>21</v>
      </c>
      <c r="K25" s="120">
        <f>D25*2</f>
        <v/>
      </c>
      <c r="L25" s="120">
        <f>E25*2</f>
        <v/>
      </c>
      <c r="M25" s="13">
        <f>$H$3&amp;"|"&amp;K25&amp;"$"&amp;$B$1&amp;"|"&amp;L25</f>
        <v/>
      </c>
      <c r="N25" s="16" t="n"/>
      <c r="O25" s="16" t="n"/>
      <c r="P25" s="19" t="n">
        <v>21</v>
      </c>
      <c r="Q25" s="120">
        <f>K25*2</f>
        <v/>
      </c>
      <c r="R25" s="120">
        <f>L25*2</f>
        <v/>
      </c>
      <c r="S25" s="16">
        <f>$N$3&amp;"|"&amp;Q25&amp;"$"&amp;$B$1&amp;"|"&amp;R25</f>
        <v/>
      </c>
      <c r="T25" s="22" t="n"/>
      <c r="U25" s="22" t="n"/>
      <c r="V25" s="24" t="n">
        <v>21</v>
      </c>
      <c r="W25" s="120">
        <f>Q25*2</f>
        <v/>
      </c>
      <c r="X25" s="120">
        <f>R25*2</f>
        <v/>
      </c>
      <c r="Y25" s="22">
        <f>$T$3&amp;"|"&amp;W25&amp;"$"&amp;$B$1&amp;"|"&amp;X25</f>
        <v/>
      </c>
      <c r="Z25" s="27" t="n"/>
      <c r="AA25" s="27" t="n"/>
      <c r="AB25" s="28" t="n">
        <v>21</v>
      </c>
      <c r="AC25" s="120">
        <f>W25*2</f>
        <v/>
      </c>
      <c r="AD25" s="120">
        <f>X25*2</f>
        <v/>
      </c>
      <c r="AE25" s="27">
        <f>$Z$3&amp;"|"&amp;AC25&amp;"$"&amp;$B$1&amp;"|"&amp;AD25</f>
        <v/>
      </c>
      <c r="AH25" s="32" t="n"/>
      <c r="AI25" s="32" t="n"/>
      <c r="AJ25" s="32" t="n"/>
      <c r="AK25" s="30" t="n">
        <v>23</v>
      </c>
      <c r="AL25" s="123">
        <f>$AH$3*POWER(AK25,$AI$3)</f>
        <v/>
      </c>
      <c r="AN25" s="32" t="n"/>
      <c r="AO25" s="32" t="n"/>
      <c r="AP25" s="32" t="n"/>
      <c r="AQ25" s="30" t="n">
        <v>23</v>
      </c>
      <c r="AR25" s="123">
        <f>$AN$3*POWER(AQ25,$AO$3)</f>
        <v/>
      </c>
    </row>
    <row r="26" ht="27" customHeight="1" s="119">
      <c r="A26" s="11" t="n"/>
      <c r="B26" s="11" t="n"/>
      <c r="C26" s="11" t="n">
        <v>22</v>
      </c>
      <c r="D26" s="120" t="n">
        <v>22702</v>
      </c>
      <c r="E26" s="11" t="n">
        <v>65340</v>
      </c>
      <c r="F26" s="11" t="n"/>
      <c r="G26" s="11">
        <f>$A$3&amp;"|"&amp;D26&amp;"$"&amp;$B$1&amp;"|"&amp;E26</f>
        <v/>
      </c>
      <c r="H26" s="13" t="n"/>
      <c r="I26" s="13" t="n"/>
      <c r="J26" s="13" t="n">
        <v>22</v>
      </c>
      <c r="K26" s="120">
        <f>D26*2</f>
        <v/>
      </c>
      <c r="L26" s="120">
        <f>E26*2</f>
        <v/>
      </c>
      <c r="M26" s="13">
        <f>$H$3&amp;"|"&amp;K26&amp;"$"&amp;$B$1&amp;"|"&amp;L26</f>
        <v/>
      </c>
      <c r="N26" s="16" t="n"/>
      <c r="O26" s="16" t="n"/>
      <c r="P26" s="16" t="n">
        <v>22</v>
      </c>
      <c r="Q26" s="120">
        <f>K26*2</f>
        <v/>
      </c>
      <c r="R26" s="120">
        <f>L26*2</f>
        <v/>
      </c>
      <c r="S26" s="16">
        <f>$N$3&amp;"|"&amp;Q26&amp;"$"&amp;$B$1&amp;"|"&amp;R26</f>
        <v/>
      </c>
      <c r="T26" s="22" t="n"/>
      <c r="U26" s="22" t="n"/>
      <c r="V26" s="22" t="n">
        <v>22</v>
      </c>
      <c r="W26" s="120">
        <f>Q26*2</f>
        <v/>
      </c>
      <c r="X26" s="120">
        <f>R26*2</f>
        <v/>
      </c>
      <c r="Y26" s="22">
        <f>$T$3&amp;"|"&amp;W26&amp;"$"&amp;$B$1&amp;"|"&amp;X26</f>
        <v/>
      </c>
      <c r="Z26" s="27" t="n"/>
      <c r="AA26" s="27" t="n"/>
      <c r="AB26" s="27" t="n">
        <v>22</v>
      </c>
      <c r="AC26" s="120">
        <f>W26*2</f>
        <v/>
      </c>
      <c r="AD26" s="120">
        <f>X26*2</f>
        <v/>
      </c>
      <c r="AE26" s="27">
        <f>$Z$3&amp;"|"&amp;AC26&amp;"$"&amp;$B$1&amp;"|"&amp;AD26</f>
        <v/>
      </c>
      <c r="AH26" s="32" t="n"/>
      <c r="AI26" s="32" t="n"/>
      <c r="AJ26" s="32" t="n"/>
      <c r="AK26" s="30" t="n">
        <v>24</v>
      </c>
      <c r="AL26" s="123">
        <f>$AH$3*POWER(AK26,$AI$3)</f>
        <v/>
      </c>
      <c r="AN26" s="32" t="n"/>
      <c r="AO26" s="32" t="n"/>
      <c r="AP26" s="32" t="n"/>
      <c r="AQ26" s="30" t="n">
        <v>24</v>
      </c>
      <c r="AR26" s="123">
        <f>$AN$3*POWER(AQ26,$AO$3)</f>
        <v/>
      </c>
    </row>
    <row r="27" ht="27" customHeight="1" s="119">
      <c r="A27" s="11" t="n"/>
      <c r="B27" s="11" t="n"/>
      <c r="C27" s="11" t="n">
        <v>23</v>
      </c>
      <c r="D27" s="120" t="n">
        <v>25370</v>
      </c>
      <c r="E27" s="11" t="n">
        <v>71415</v>
      </c>
      <c r="F27" s="11" t="n"/>
      <c r="G27" s="11">
        <f>$A$3&amp;"|"&amp;D27&amp;"$"&amp;$B$1&amp;"|"&amp;E27</f>
        <v/>
      </c>
      <c r="H27" s="13" t="n"/>
      <c r="I27" s="13" t="n"/>
      <c r="J27" s="18" t="n">
        <v>23</v>
      </c>
      <c r="K27" s="120">
        <f>D27*2</f>
        <v/>
      </c>
      <c r="L27" s="120">
        <f>E27*2</f>
        <v/>
      </c>
      <c r="M27" s="13">
        <f>$H$3&amp;"|"&amp;K27&amp;"$"&amp;$B$1&amp;"|"&amp;L27</f>
        <v/>
      </c>
      <c r="N27" s="16" t="n"/>
      <c r="O27" s="16" t="n"/>
      <c r="P27" s="19" t="n">
        <v>23</v>
      </c>
      <c r="Q27" s="120">
        <f>K27*2</f>
        <v/>
      </c>
      <c r="R27" s="120">
        <f>L27*2</f>
        <v/>
      </c>
      <c r="S27" s="16">
        <f>$N$3&amp;"|"&amp;Q27&amp;"$"&amp;$B$1&amp;"|"&amp;R27</f>
        <v/>
      </c>
      <c r="T27" s="22" t="n"/>
      <c r="U27" s="22" t="n"/>
      <c r="V27" s="24" t="n">
        <v>23</v>
      </c>
      <c r="W27" s="120">
        <f>Q27*2</f>
        <v/>
      </c>
      <c r="X27" s="120">
        <f>R27*2</f>
        <v/>
      </c>
      <c r="Y27" s="22">
        <f>$T$3&amp;"|"&amp;W27&amp;"$"&amp;$B$1&amp;"|"&amp;X27</f>
        <v/>
      </c>
      <c r="Z27" s="27" t="n"/>
      <c r="AA27" s="27" t="n"/>
      <c r="AB27" s="28" t="n">
        <v>23</v>
      </c>
      <c r="AC27" s="120">
        <f>W27*2</f>
        <v/>
      </c>
      <c r="AD27" s="120">
        <f>X27*2</f>
        <v/>
      </c>
      <c r="AE27" s="27">
        <f>$Z$3&amp;"|"&amp;AC27&amp;"$"&amp;$B$1&amp;"|"&amp;AD27</f>
        <v/>
      </c>
      <c r="AH27" s="32" t="n"/>
      <c r="AI27" s="32" t="n"/>
      <c r="AJ27" s="32" t="n"/>
      <c r="AK27" s="30" t="n">
        <v>25</v>
      </c>
      <c r="AL27" s="123">
        <f>$AH$3*POWER(AK27,$AI$3)</f>
        <v/>
      </c>
      <c r="AN27" s="32" t="n"/>
      <c r="AO27" s="32" t="n"/>
      <c r="AP27" s="32" t="n"/>
      <c r="AQ27" s="30" t="n">
        <v>25</v>
      </c>
      <c r="AR27" s="123">
        <f>$AN$3*POWER(AQ27,$AO$3)</f>
        <v/>
      </c>
    </row>
    <row r="28" ht="27" customHeight="1" s="119">
      <c r="A28" s="11" t="n"/>
      <c r="B28" s="11" t="n"/>
      <c r="C28" s="11" t="n">
        <v>24</v>
      </c>
      <c r="D28" s="120" t="n">
        <v>28218</v>
      </c>
      <c r="E28" s="11" t="n">
        <v>77760</v>
      </c>
      <c r="F28" s="11" t="n"/>
      <c r="G28" s="11">
        <f>$A$3&amp;"|"&amp;D28&amp;"$"&amp;$B$1&amp;"|"&amp;E28</f>
        <v/>
      </c>
      <c r="H28" s="13" t="n"/>
      <c r="I28" s="13" t="n"/>
      <c r="J28" s="13" t="n">
        <v>24</v>
      </c>
      <c r="K28" s="120">
        <f>D28*2</f>
        <v/>
      </c>
      <c r="L28" s="120">
        <f>E28*2</f>
        <v/>
      </c>
      <c r="M28" s="13">
        <f>$H$3&amp;"|"&amp;K28&amp;"$"&amp;$B$1&amp;"|"&amp;L28</f>
        <v/>
      </c>
      <c r="N28" s="16" t="n"/>
      <c r="O28" s="16" t="n"/>
      <c r="P28" s="16" t="n">
        <v>24</v>
      </c>
      <c r="Q28" s="120">
        <f>K28*2</f>
        <v/>
      </c>
      <c r="R28" s="120">
        <f>L28*2</f>
        <v/>
      </c>
      <c r="S28" s="16">
        <f>$N$3&amp;"|"&amp;Q28&amp;"$"&amp;$B$1&amp;"|"&amp;R28</f>
        <v/>
      </c>
      <c r="T28" s="22" t="n"/>
      <c r="U28" s="22" t="n"/>
      <c r="V28" s="22" t="n">
        <v>24</v>
      </c>
      <c r="W28" s="120">
        <f>Q28*2</f>
        <v/>
      </c>
      <c r="X28" s="120">
        <f>R28*2</f>
        <v/>
      </c>
      <c r="Y28" s="22">
        <f>$T$3&amp;"|"&amp;W28&amp;"$"&amp;$B$1&amp;"|"&amp;X28</f>
        <v/>
      </c>
      <c r="Z28" s="27" t="n"/>
      <c r="AA28" s="27" t="n"/>
      <c r="AB28" s="27" t="n">
        <v>24</v>
      </c>
      <c r="AC28" s="120">
        <f>W28*2</f>
        <v/>
      </c>
      <c r="AD28" s="120">
        <f>X28*2</f>
        <v/>
      </c>
      <c r="AE28" s="27">
        <f>$Z$3&amp;"|"&amp;AC28&amp;"$"&amp;$B$1&amp;"|"&amp;AD28</f>
        <v/>
      </c>
    </row>
    <row r="29" ht="27" customHeight="1" s="119">
      <c r="A29" s="11" t="n"/>
      <c r="B29" s="11" t="n"/>
      <c r="C29" s="11" t="n">
        <v>25</v>
      </c>
      <c r="D29" s="120" t="n">
        <v>31250</v>
      </c>
      <c r="E29" s="11" t="n">
        <v>84375</v>
      </c>
      <c r="F29" s="11" t="n"/>
      <c r="G29" s="11">
        <f>$A$3&amp;"|"&amp;D29&amp;"$"&amp;$B$1&amp;"|"&amp;E29</f>
        <v/>
      </c>
      <c r="H29" s="13" t="n"/>
      <c r="I29" s="13" t="n"/>
      <c r="J29" s="18" t="n">
        <v>25</v>
      </c>
      <c r="K29" s="120">
        <f>D29*2</f>
        <v/>
      </c>
      <c r="L29" s="120">
        <f>E29*2</f>
        <v/>
      </c>
      <c r="M29" s="13">
        <f>$H$3&amp;"|"&amp;K29&amp;"$"&amp;$B$1&amp;"|"&amp;L29</f>
        <v/>
      </c>
      <c r="N29" s="16" t="n"/>
      <c r="O29" s="16" t="n"/>
      <c r="P29" s="19" t="n">
        <v>25</v>
      </c>
      <c r="Q29" s="120">
        <f>K29*2</f>
        <v/>
      </c>
      <c r="R29" s="120">
        <f>L29*2</f>
        <v/>
      </c>
      <c r="S29" s="16">
        <f>$N$3&amp;"|"&amp;Q29&amp;"$"&amp;$B$1&amp;"|"&amp;R29</f>
        <v/>
      </c>
      <c r="T29" s="22" t="n"/>
      <c r="U29" s="22" t="n"/>
      <c r="V29" s="24" t="n">
        <v>25</v>
      </c>
      <c r="W29" s="120">
        <f>Q29*2</f>
        <v/>
      </c>
      <c r="X29" s="120">
        <f>R29*2</f>
        <v/>
      </c>
      <c r="Y29" s="22">
        <f>$T$3&amp;"|"&amp;W29&amp;"$"&amp;$B$1&amp;"|"&amp;X29</f>
        <v/>
      </c>
      <c r="Z29" s="27" t="n"/>
      <c r="AA29" s="27" t="n"/>
      <c r="AB29" s="28" t="n">
        <v>25</v>
      </c>
      <c r="AC29" s="120">
        <f>W29*2</f>
        <v/>
      </c>
      <c r="AD29" s="120">
        <f>X29*2</f>
        <v/>
      </c>
      <c r="AE29" s="27">
        <f>$Z$3&amp;"|"&amp;AC29&amp;"$"&amp;$B$1&amp;"|"&amp;AD29</f>
        <v/>
      </c>
    </row>
    <row r="30" ht="391.5" customHeight="1" s="119">
      <c r="G30" s="11">
        <f>G5&amp;","&amp;G6&amp;","&amp;G7&amp;","&amp;G8&amp;","&amp;G9&amp;","&amp;G10&amp;","&amp;G11&amp;","&amp;G12&amp;","&amp;G13&amp;","&amp;G14&amp;","&amp;G15&amp;","&amp;G16&amp;","&amp;G17&amp;","&amp;G18&amp;","&amp;G19&amp;","&amp;G20&amp;","&amp;G21&amp;","&amp;G22&amp;","&amp;G23&amp;","&amp;G24&amp;","&amp;G25&amp;","&amp;G26&amp;","&amp;G27&amp;","&amp;G28&amp;","&amp;G29</f>
        <v/>
      </c>
      <c r="L30" s="25" t="n">
        <v>1.5</v>
      </c>
      <c r="M30" s="13">
        <f>M5&amp;","&amp;M6&amp;","&amp;M7&amp;","&amp;M8&amp;","&amp;M9&amp;","&amp;M10&amp;","&amp;M11&amp;","&amp;M12&amp;","&amp;M13&amp;","&amp;M14&amp;","&amp;M15&amp;","&amp;M16&amp;","&amp;M17&amp;","&amp;M18&amp;","&amp;M19&amp;","&amp;M20&amp;","&amp;M21&amp;","&amp;M22&amp;","&amp;M23&amp;","&amp;M24&amp;","&amp;M25&amp;","&amp;M26&amp;","&amp;M27&amp;","&amp;M28&amp;","&amp;M29</f>
        <v/>
      </c>
      <c r="S30" s="16">
        <f>S5&amp;","&amp;S6&amp;","&amp;S7&amp;","&amp;S8&amp;","&amp;S9&amp;","&amp;S10&amp;","&amp;S11&amp;","&amp;S12&amp;","&amp;S13&amp;","&amp;S14&amp;","&amp;S15&amp;","&amp;S16&amp;","&amp;S17&amp;","&amp;S18&amp;","&amp;S19&amp;","&amp;S20&amp;","&amp;S21&amp;","&amp;S22&amp;","&amp;S23&amp;","&amp;S24&amp;","&amp;S25&amp;","&amp;S26&amp;","&amp;S27&amp;","&amp;S28&amp;","&amp;S29</f>
        <v/>
      </c>
      <c r="Y30" s="22">
        <f>Y5&amp;","&amp;Y6&amp;","&amp;Y7&amp;","&amp;Y8&amp;","&amp;Y9&amp;","&amp;Y10&amp;","&amp;Y11&amp;","&amp;Y12&amp;","&amp;Y13&amp;","&amp;Y14&amp;","&amp;Y15&amp;","&amp;Y16&amp;","&amp;Y17&amp;","&amp;Y18&amp;","&amp;Y19&amp;","&amp;Y20&amp;","&amp;Y21&amp;","&amp;Y22&amp;","&amp;Y23&amp;","&amp;Y24&amp;","&amp;Y25&amp;","&amp;Y26&amp;","&amp;Y27&amp;","&amp;Y28&amp;","&amp;Y29</f>
        <v/>
      </c>
      <c r="AE30" s="27">
        <f>AE5&amp;","&amp;AE6&amp;","&amp;AE7&amp;","&amp;AE8&amp;","&amp;AE9&amp;","&amp;AE10&amp;","&amp;AE11&amp;","&amp;AE12&amp;","&amp;AE13&amp;","&amp;AE14&amp;","&amp;AE15&amp;","&amp;AE16&amp;","&amp;AE17&amp;","&amp;AE18&amp;","&amp;AE19&amp;","&amp;AE20&amp;","&amp;AE21&amp;","&amp;AE22&amp;","&amp;AE23&amp;","&amp;AE24&amp;","&amp;AE25&amp;","&amp;AE26&amp;","&amp;AE27&amp;","&amp;AE28&amp;","&amp;AE29</f>
        <v/>
      </c>
    </row>
    <row r="31" ht="27" customHeight="1" s="119">
      <c r="W31" s="25" t="inlineStr">
        <is>
          <t>强满一个装备需要矿</t>
        </is>
      </c>
    </row>
    <row r="32">
      <c r="W32" s="25">
        <f>SUM(W5:W29)</f>
        <v/>
      </c>
    </row>
    <row r="33">
      <c r="W33" s="25" t="n">
        <v>1.5</v>
      </c>
    </row>
    <row r="36">
      <c r="B36" s="25" t="n">
        <v>0.1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G32" sqref="G32"/>
    </sheetView>
  </sheetViews>
  <sheetFormatPr baseColWidth="8" defaultColWidth="9" defaultRowHeight="13.5"/>
  <cols>
    <col width="11.5" customWidth="1" style="119" min="4" max="4"/>
  </cols>
  <sheetData>
    <row r="1">
      <c r="A1" s="49" t="inlineStr">
        <is>
          <t>凡级</t>
        </is>
      </c>
      <c r="B1" s="49" t="inlineStr">
        <is>
          <t>需要矿</t>
        </is>
      </c>
      <c r="C1" s="49" t="inlineStr">
        <is>
          <t>需要器火</t>
        </is>
      </c>
      <c r="D1" s="49" t="inlineStr">
        <is>
          <t>需要同类武器</t>
        </is>
      </c>
    </row>
    <row r="2">
      <c r="B2" s="49">
        <f>装备强化材料!D9</f>
        <v/>
      </c>
      <c r="C2" s="49" t="n">
        <v>10</v>
      </c>
      <c r="D2" s="49" t="n">
        <v>1</v>
      </c>
    </row>
    <row r="3">
      <c r="B3" s="49">
        <f>装备强化材料!D14</f>
        <v/>
      </c>
      <c r="C3" s="49" t="n">
        <v>20</v>
      </c>
      <c r="D3" s="49" t="n">
        <v>2</v>
      </c>
    </row>
    <row r="4">
      <c r="B4" s="49">
        <f>装备强化材料!D19</f>
        <v/>
      </c>
      <c r="C4" s="49" t="n">
        <v>40</v>
      </c>
      <c r="D4" s="49" t="n">
        <v>4</v>
      </c>
    </row>
    <row r="5">
      <c r="B5" s="49">
        <f>装备强化材料!D24</f>
        <v/>
      </c>
      <c r="C5" s="49" t="n">
        <v>80</v>
      </c>
      <c r="D5" s="49" t="n">
        <v>8</v>
      </c>
    </row>
    <row r="6">
      <c r="B6" s="49">
        <f>装备强化材料!D29</f>
        <v/>
      </c>
      <c r="C6" s="49" t="n">
        <v>160</v>
      </c>
      <c r="D6" s="49" t="n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4"/>
  <sheetViews>
    <sheetView topLeftCell="K22" workbookViewId="0">
      <selection activeCell="Q44" sqref="Q44"/>
    </sheetView>
  </sheetViews>
  <sheetFormatPr baseColWidth="8" defaultColWidth="9" defaultRowHeight="13.5"/>
  <cols>
    <col width="14.125" customWidth="1" style="119" min="2" max="2"/>
    <col width="10.875" customWidth="1" style="119" min="3" max="3"/>
    <col width="10.375" customWidth="1" style="119" min="4" max="4"/>
    <col width="11.875" customWidth="1" style="119" min="5" max="5"/>
    <col width="12.375" customWidth="1" style="119" min="6" max="6"/>
    <col width="18.125" customWidth="1" style="119" min="7" max="7"/>
    <col width="11.875" customWidth="1" style="119" min="8" max="8"/>
    <col width="17.875" customWidth="1" style="119" min="9" max="9"/>
    <col width="11.25" customWidth="1" style="119" min="10" max="10"/>
    <col width="15.375" customWidth="1" style="119" min="11" max="11"/>
    <col width="9.625" customWidth="1" style="119" min="12" max="12"/>
    <col width="11" customWidth="1" style="119" min="13" max="13"/>
    <col width="10.625" customWidth="1" style="119" min="14" max="14"/>
    <col width="11.5" customWidth="1" style="119" min="15" max="15"/>
    <col width="9.75" customWidth="1" style="119" min="16" max="17"/>
    <col width="11.5" customWidth="1" style="119" min="18" max="18"/>
    <col width="11" customWidth="1" style="119" min="19" max="19"/>
    <col width="10.5" customWidth="1" style="119" min="20" max="20"/>
    <col width="11.75" customWidth="1" style="119" min="21" max="21"/>
    <col width="13.625" customWidth="1" style="119" min="22" max="22"/>
    <col width="10.625" customWidth="1" style="119" min="23" max="23"/>
    <col width="10.25" customWidth="1" style="119" min="24" max="24"/>
    <col width="11.25" customWidth="1" style="119" min="25" max="25"/>
    <col width="11.375" customWidth="1" style="119" min="26" max="26"/>
  </cols>
  <sheetData>
    <row r="1" ht="15.75" customHeight="1" s="119">
      <c r="B1" s="49" t="inlineStr">
        <is>
          <t>四海玉龙靴子</t>
        </is>
      </c>
      <c r="C1" s="49" t="inlineStr">
        <is>
          <t>太上神风剑</t>
        </is>
      </c>
      <c r="D1" s="3" t="inlineStr">
        <is>
          <t>玉虚须弥甲</t>
        </is>
      </c>
      <c r="E1" s="3" t="inlineStr">
        <is>
          <t>太上清风靴</t>
        </is>
      </c>
      <c r="F1" s="3" t="inlineStr">
        <is>
          <t>元始天尊剑</t>
        </is>
      </c>
      <c r="G1" s="3" t="inlineStr">
        <is>
          <t>元始涅槃甲</t>
        </is>
      </c>
      <c r="H1" s="3" t="inlineStr">
        <is>
          <t>元始瞬空靴</t>
        </is>
      </c>
      <c r="I1" s="3" t="inlineStr">
        <is>
          <t>万海玄冥鼎</t>
        </is>
      </c>
      <c r="J1" s="3" t="inlineStr">
        <is>
          <t>北冥玄武甲</t>
        </is>
      </c>
      <c r="K1" s="3" t="inlineStr">
        <is>
          <t>巨山开天靴</t>
        </is>
      </c>
      <c r="L1" s="3" t="inlineStr">
        <is>
          <t>飞云玉花刀</t>
        </is>
      </c>
      <c r="M1" s="3" t="inlineStr">
        <is>
          <t>羽化鹤翎衣</t>
        </is>
      </c>
      <c r="N1" s="3" t="inlineStr">
        <is>
          <t>云卷曼妙靴</t>
        </is>
      </c>
      <c r="O1" s="3" t="inlineStr">
        <is>
          <t>月华流光镜</t>
        </is>
      </c>
      <c r="P1" s="3" t="inlineStr">
        <is>
          <t>月莹飞仙衣</t>
        </is>
      </c>
      <c r="Q1" s="3" t="inlineStr">
        <is>
          <t>皓月空照靴</t>
        </is>
      </c>
      <c r="R1" s="3" t="inlineStr">
        <is>
          <t>乙木长生鼎</t>
        </is>
      </c>
      <c r="S1" s="3" t="inlineStr">
        <is>
          <t>万年青木袍</t>
        </is>
      </c>
      <c r="T1" s="3" t="inlineStr">
        <is>
          <t>众生灵功靴</t>
        </is>
      </c>
      <c r="U1" s="3" t="inlineStr">
        <is>
          <t>不灭玄骨镜</t>
        </is>
      </c>
      <c r="V1" s="3" t="inlineStr">
        <is>
          <t>万骨幽冥铠</t>
        </is>
      </c>
      <c r="W1" s="3" t="inlineStr">
        <is>
          <t>紫骨宝玉靴</t>
        </is>
      </c>
      <c r="X1" s="3" t="inlineStr">
        <is>
          <t>洪荒斩圣枪</t>
        </is>
      </c>
      <c r="Y1" s="3" t="inlineStr">
        <is>
          <t>洪荒天妖铠</t>
        </is>
      </c>
      <c r="Z1" s="3" t="inlineStr">
        <is>
          <t>洪荒百战靴</t>
        </is>
      </c>
    </row>
    <row r="2" ht="17.25" customHeight="1" s="119">
      <c r="A2" s="4" t="n">
        <v>350</v>
      </c>
      <c r="B2" s="4" t="n">
        <v>340</v>
      </c>
      <c r="C2" s="4" t="n">
        <v>18</v>
      </c>
      <c r="D2" s="4" t="n">
        <v>40</v>
      </c>
      <c r="E2" s="4" t="n">
        <v>280</v>
      </c>
      <c r="F2" s="4" t="n">
        <v>15</v>
      </c>
      <c r="G2" s="4" t="n">
        <v>46</v>
      </c>
      <c r="H2" s="4" t="n">
        <v>350</v>
      </c>
      <c r="I2" s="4" t="n">
        <v>8</v>
      </c>
      <c r="J2" s="4" t="n">
        <v>54</v>
      </c>
      <c r="K2" s="4" t="n">
        <v>450</v>
      </c>
      <c r="L2" s="4" t="n">
        <v>15</v>
      </c>
      <c r="M2" s="4" t="n">
        <v>46</v>
      </c>
      <c r="N2" s="4" t="n">
        <v>350</v>
      </c>
      <c r="O2" s="4" t="n">
        <v>14</v>
      </c>
      <c r="P2" s="4" t="n">
        <v>46</v>
      </c>
      <c r="Q2" s="4" t="n">
        <v>330</v>
      </c>
      <c r="R2" s="4" t="n">
        <v>10</v>
      </c>
      <c r="S2" s="4" t="n">
        <v>50</v>
      </c>
      <c r="T2" s="4" t="n">
        <v>430</v>
      </c>
      <c r="U2" s="4" t="n">
        <v>15</v>
      </c>
      <c r="V2" s="4" t="n">
        <v>50</v>
      </c>
      <c r="W2" s="4" t="n">
        <v>400</v>
      </c>
      <c r="X2" s="4" t="n">
        <v>18</v>
      </c>
      <c r="Y2" s="4" t="n">
        <v>46</v>
      </c>
      <c r="Z2" s="4" t="n">
        <v>350</v>
      </c>
    </row>
    <row r="3" ht="17.25" customHeight="1" s="119">
      <c r="A3" s="4" t="n">
        <v>350</v>
      </c>
      <c r="B3" s="4" t="n">
        <v>340</v>
      </c>
      <c r="C3" s="4" t="n">
        <v>18</v>
      </c>
      <c r="D3" s="4" t="n">
        <v>40</v>
      </c>
      <c r="E3" s="4" t="n">
        <v>280</v>
      </c>
      <c r="F3" s="4" t="n">
        <v>15</v>
      </c>
      <c r="G3" s="4" t="n">
        <v>46</v>
      </c>
      <c r="H3" s="4" t="n">
        <v>350</v>
      </c>
      <c r="I3" s="4" t="n">
        <v>8</v>
      </c>
      <c r="J3" s="4" t="n">
        <v>54</v>
      </c>
      <c r="K3" s="4" t="n">
        <v>450</v>
      </c>
      <c r="L3" s="4" t="n">
        <v>15</v>
      </c>
      <c r="M3" s="4" t="n">
        <v>46</v>
      </c>
      <c r="N3" s="4" t="n">
        <v>350</v>
      </c>
      <c r="O3" s="4" t="n">
        <v>14</v>
      </c>
      <c r="P3" s="4" t="n">
        <v>46</v>
      </c>
      <c r="Q3" s="4" t="n">
        <v>330</v>
      </c>
      <c r="R3" s="4" t="n">
        <v>10</v>
      </c>
      <c r="S3" s="4" t="n">
        <v>50</v>
      </c>
      <c r="T3" s="4" t="n">
        <v>430</v>
      </c>
      <c r="U3" s="4" t="n">
        <v>15</v>
      </c>
      <c r="V3" s="4" t="n">
        <v>50</v>
      </c>
      <c r="W3" s="4" t="n">
        <v>400</v>
      </c>
      <c r="X3" s="4" t="n">
        <v>18</v>
      </c>
      <c r="Y3" s="4" t="n">
        <v>46</v>
      </c>
      <c r="Z3" s="4" t="n">
        <v>350</v>
      </c>
    </row>
    <row r="4" ht="17.25" customHeight="1" s="119">
      <c r="A4" s="4" t="n">
        <v>380</v>
      </c>
      <c r="B4" s="4" t="n">
        <v>350</v>
      </c>
      <c r="C4" s="4" t="n">
        <v>19</v>
      </c>
      <c r="D4" s="4" t="n">
        <v>42</v>
      </c>
      <c r="E4" s="4" t="n">
        <v>300</v>
      </c>
      <c r="F4" s="4" t="n">
        <v>16</v>
      </c>
      <c r="G4" s="4" t="n">
        <v>48</v>
      </c>
      <c r="H4" s="4" t="n">
        <v>380</v>
      </c>
      <c r="I4" s="4" t="n">
        <v>10</v>
      </c>
      <c r="J4" s="4" t="n">
        <v>56</v>
      </c>
      <c r="K4" s="4" t="n">
        <v>460</v>
      </c>
      <c r="L4" s="4" t="n">
        <v>16</v>
      </c>
      <c r="M4" s="4" t="n">
        <v>48</v>
      </c>
      <c r="N4" s="4" t="n">
        <v>380</v>
      </c>
      <c r="O4" s="4" t="n">
        <v>15</v>
      </c>
      <c r="P4" s="4" t="n">
        <v>48</v>
      </c>
      <c r="Q4" s="4" t="n">
        <v>350</v>
      </c>
      <c r="R4" s="4" t="n">
        <v>13</v>
      </c>
      <c r="S4" s="4" t="n">
        <v>52</v>
      </c>
      <c r="T4" s="4" t="n">
        <v>460</v>
      </c>
      <c r="U4" s="4" t="n">
        <v>16</v>
      </c>
      <c r="V4" s="4" t="n">
        <v>52</v>
      </c>
      <c r="W4" s="4" t="n">
        <v>420</v>
      </c>
      <c r="X4" s="4" t="n">
        <v>19</v>
      </c>
      <c r="Y4" s="4" t="n">
        <v>48</v>
      </c>
      <c r="Z4" s="4" t="n">
        <v>380</v>
      </c>
    </row>
    <row r="5" ht="17.25" customHeight="1" s="119">
      <c r="A5" s="4" t="n">
        <v>380</v>
      </c>
      <c r="B5" s="4" t="n">
        <v>350</v>
      </c>
      <c r="C5" s="4" t="n">
        <v>19</v>
      </c>
      <c r="D5" s="4" t="n">
        <v>42</v>
      </c>
      <c r="E5" s="4" t="n">
        <v>300</v>
      </c>
      <c r="F5" s="4" t="n">
        <v>16</v>
      </c>
      <c r="G5" s="4" t="n">
        <v>48</v>
      </c>
      <c r="H5" s="4" t="n">
        <v>380</v>
      </c>
      <c r="I5" s="4" t="n">
        <v>10</v>
      </c>
      <c r="J5" s="4" t="n">
        <v>56</v>
      </c>
      <c r="K5" s="4" t="n">
        <v>460</v>
      </c>
      <c r="L5" s="4" t="n">
        <v>16</v>
      </c>
      <c r="M5" s="4" t="n">
        <v>48</v>
      </c>
      <c r="N5" s="4" t="n">
        <v>380</v>
      </c>
      <c r="O5" s="4" t="n">
        <v>15</v>
      </c>
      <c r="P5" s="4" t="n">
        <v>48</v>
      </c>
      <c r="Q5" s="4" t="n">
        <v>350</v>
      </c>
      <c r="R5" s="4" t="n">
        <v>13</v>
      </c>
      <c r="S5" s="4" t="n">
        <v>52</v>
      </c>
      <c r="T5" s="4" t="n">
        <v>460</v>
      </c>
      <c r="U5" s="4" t="n">
        <v>16</v>
      </c>
      <c r="V5" s="4" t="n">
        <v>52</v>
      </c>
      <c r="W5" s="4" t="n">
        <v>420</v>
      </c>
      <c r="X5" s="4" t="n">
        <v>19</v>
      </c>
      <c r="Y5" s="4" t="n">
        <v>48</v>
      </c>
      <c r="Z5" s="4" t="n">
        <v>380</v>
      </c>
    </row>
    <row r="6" ht="17.25" customHeight="1" s="119">
      <c r="A6" s="4" t="n">
        <v>400</v>
      </c>
      <c r="B6" s="4" t="n">
        <v>360</v>
      </c>
      <c r="C6" s="4" t="n">
        <v>20</v>
      </c>
      <c r="D6" s="4" t="n">
        <v>44</v>
      </c>
      <c r="E6" s="4" t="n">
        <v>320</v>
      </c>
      <c r="F6" s="4" t="n">
        <v>17</v>
      </c>
      <c r="G6" s="4" t="n">
        <v>50</v>
      </c>
      <c r="H6" s="4" t="n">
        <v>400</v>
      </c>
      <c r="I6" s="4" t="n">
        <v>12</v>
      </c>
      <c r="J6" s="4" t="n">
        <v>58</v>
      </c>
      <c r="K6" s="4" t="n">
        <v>480</v>
      </c>
      <c r="L6" s="4" t="n">
        <v>17</v>
      </c>
      <c r="M6" s="4" t="n">
        <v>50</v>
      </c>
      <c r="N6" s="4" t="n">
        <v>400</v>
      </c>
      <c r="O6" s="4" t="n">
        <v>16</v>
      </c>
      <c r="P6" s="4" t="n">
        <v>50</v>
      </c>
      <c r="Q6" s="4" t="n">
        <v>380</v>
      </c>
      <c r="R6" s="4" t="n">
        <v>15</v>
      </c>
      <c r="S6" s="4" t="n">
        <v>54</v>
      </c>
      <c r="T6" s="4" t="n">
        <v>480</v>
      </c>
      <c r="U6" s="4" t="n">
        <v>17</v>
      </c>
      <c r="V6" s="4" t="n">
        <v>54</v>
      </c>
      <c r="W6" s="4" t="n">
        <v>440</v>
      </c>
      <c r="X6" s="4" t="n">
        <v>20</v>
      </c>
      <c r="Y6" s="4" t="n">
        <v>50</v>
      </c>
      <c r="Z6" s="4" t="n">
        <v>400</v>
      </c>
    </row>
    <row r="7" ht="17.25" customHeight="1" s="119">
      <c r="A7" s="4" t="n">
        <v>400</v>
      </c>
      <c r="B7" s="4" t="n">
        <v>360</v>
      </c>
      <c r="C7" s="4" t="n">
        <v>20</v>
      </c>
      <c r="D7" s="4" t="n">
        <v>44</v>
      </c>
      <c r="E7" s="4" t="n">
        <v>320</v>
      </c>
      <c r="F7" s="4" t="n">
        <v>17</v>
      </c>
      <c r="G7" s="4" t="n">
        <v>50</v>
      </c>
      <c r="H7" s="4" t="n">
        <v>400</v>
      </c>
      <c r="I7" s="4" t="n">
        <v>12</v>
      </c>
      <c r="J7" s="4" t="n">
        <v>58</v>
      </c>
      <c r="K7" s="4" t="n">
        <v>480</v>
      </c>
      <c r="L7" s="4" t="n">
        <v>17</v>
      </c>
      <c r="M7" s="4" t="n">
        <v>50</v>
      </c>
      <c r="N7" s="4" t="n">
        <v>400</v>
      </c>
      <c r="O7" s="4" t="n">
        <v>16</v>
      </c>
      <c r="P7" s="4" t="n">
        <v>50</v>
      </c>
      <c r="Q7" s="4" t="n">
        <v>380</v>
      </c>
      <c r="R7" s="4" t="n">
        <v>15</v>
      </c>
      <c r="S7" s="4" t="n">
        <v>54</v>
      </c>
      <c r="T7" s="4" t="n">
        <v>480</v>
      </c>
      <c r="U7" s="4" t="n">
        <v>17</v>
      </c>
      <c r="V7" s="4" t="n">
        <v>54</v>
      </c>
      <c r="W7" s="4" t="n">
        <v>440</v>
      </c>
      <c r="X7" s="4" t="n">
        <v>20</v>
      </c>
      <c r="Y7" s="4" t="n">
        <v>50</v>
      </c>
      <c r="Z7" s="4" t="n">
        <v>400</v>
      </c>
    </row>
    <row r="8" ht="17.25" customHeight="1" s="119">
      <c r="A8" s="4" t="n">
        <v>420</v>
      </c>
      <c r="B8" s="4" t="n">
        <v>380</v>
      </c>
      <c r="C8" s="4" t="n">
        <v>21</v>
      </c>
      <c r="D8" s="4" t="n">
        <v>46</v>
      </c>
      <c r="E8" s="4" t="n">
        <v>350</v>
      </c>
      <c r="F8" s="4" t="n">
        <v>18</v>
      </c>
      <c r="G8" s="4" t="n">
        <v>52</v>
      </c>
      <c r="H8" s="4" t="n">
        <v>420</v>
      </c>
      <c r="I8" s="4" t="n">
        <v>13</v>
      </c>
      <c r="J8" s="4" t="n">
        <v>60</v>
      </c>
      <c r="K8" s="4" t="n">
        <v>500</v>
      </c>
      <c r="L8" s="4" t="n">
        <v>18</v>
      </c>
      <c r="M8" s="4" t="n">
        <v>52</v>
      </c>
      <c r="N8" s="4" t="n">
        <v>420</v>
      </c>
      <c r="O8" s="4" t="n">
        <v>17</v>
      </c>
      <c r="P8" s="4" t="n">
        <v>52</v>
      </c>
      <c r="Q8" s="4" t="n">
        <v>400</v>
      </c>
      <c r="R8" s="4" t="n">
        <v>16</v>
      </c>
      <c r="S8" s="4" t="n">
        <v>56</v>
      </c>
      <c r="T8" s="4" t="n">
        <v>500</v>
      </c>
      <c r="U8" s="4" t="n">
        <v>18</v>
      </c>
      <c r="V8" s="4" t="n">
        <v>56</v>
      </c>
      <c r="W8" s="4" t="n">
        <v>460</v>
      </c>
      <c r="X8" s="4" t="n">
        <v>21</v>
      </c>
      <c r="Y8" s="4" t="n">
        <v>52</v>
      </c>
      <c r="Z8" s="4" t="n">
        <v>420</v>
      </c>
    </row>
    <row r="9" ht="17.25" customHeight="1" s="119">
      <c r="A9" s="4" t="n">
        <v>420</v>
      </c>
      <c r="B9" s="4" t="n">
        <v>380</v>
      </c>
      <c r="C9" s="4" t="n">
        <v>21</v>
      </c>
      <c r="D9" s="4" t="n">
        <v>46</v>
      </c>
      <c r="E9" s="4" t="n">
        <v>350</v>
      </c>
      <c r="F9" s="4" t="n">
        <v>18</v>
      </c>
      <c r="G9" s="4" t="n">
        <v>52</v>
      </c>
      <c r="H9" s="4" t="n">
        <v>420</v>
      </c>
      <c r="I9" s="4" t="n">
        <v>13</v>
      </c>
      <c r="J9" s="4" t="n">
        <v>60</v>
      </c>
      <c r="K9" s="4" t="n">
        <v>500</v>
      </c>
      <c r="L9" s="4" t="n">
        <v>18</v>
      </c>
      <c r="M9" s="4" t="n">
        <v>52</v>
      </c>
      <c r="N9" s="4" t="n">
        <v>420</v>
      </c>
      <c r="O9" s="4" t="n">
        <v>17</v>
      </c>
      <c r="P9" s="4" t="n">
        <v>52</v>
      </c>
      <c r="Q9" s="4" t="n">
        <v>400</v>
      </c>
      <c r="R9" s="4" t="n">
        <v>16</v>
      </c>
      <c r="S9" s="4" t="n">
        <v>56</v>
      </c>
      <c r="T9" s="4" t="n">
        <v>500</v>
      </c>
      <c r="U9" s="4" t="n">
        <v>18</v>
      </c>
      <c r="V9" s="4" t="n">
        <v>56</v>
      </c>
      <c r="W9" s="4" t="n">
        <v>460</v>
      </c>
      <c r="X9" s="4" t="n">
        <v>21</v>
      </c>
      <c r="Y9" s="4" t="n">
        <v>52</v>
      </c>
      <c r="Z9" s="4" t="n">
        <v>420</v>
      </c>
    </row>
    <row r="10" ht="17.25" customHeight="1" s="119">
      <c r="A10" s="4" t="n">
        <v>440</v>
      </c>
      <c r="B10" s="4" t="n">
        <v>400</v>
      </c>
      <c r="C10" s="4" t="n">
        <v>22</v>
      </c>
      <c r="D10" s="4" t="n">
        <v>48</v>
      </c>
      <c r="E10" s="4" t="n">
        <v>380</v>
      </c>
      <c r="F10" s="4" t="n">
        <v>19</v>
      </c>
      <c r="G10" s="4" t="n">
        <v>54</v>
      </c>
      <c r="H10" s="4" t="n">
        <v>440</v>
      </c>
      <c r="I10" s="4" t="n">
        <v>14</v>
      </c>
      <c r="J10" s="4" t="n">
        <v>62</v>
      </c>
      <c r="K10" s="4" t="n">
        <v>520</v>
      </c>
      <c r="L10" s="4" t="n">
        <v>19</v>
      </c>
      <c r="M10" s="4" t="n">
        <v>54</v>
      </c>
      <c r="N10" s="4" t="n">
        <v>440</v>
      </c>
      <c r="O10" s="4" t="n">
        <v>18</v>
      </c>
      <c r="P10" s="4" t="n">
        <v>54</v>
      </c>
      <c r="Q10" s="4" t="n">
        <v>420</v>
      </c>
      <c r="R10" s="4" t="n">
        <v>17</v>
      </c>
      <c r="S10" s="4" t="n">
        <v>58</v>
      </c>
      <c r="T10" s="4" t="n">
        <v>520</v>
      </c>
      <c r="U10" s="4" t="n">
        <v>19</v>
      </c>
      <c r="V10" s="4" t="n">
        <v>58</v>
      </c>
      <c r="W10" s="4" t="n">
        <v>480</v>
      </c>
      <c r="X10" s="4" t="n">
        <v>22</v>
      </c>
      <c r="Y10" s="4" t="n">
        <v>54</v>
      </c>
      <c r="Z10" s="4" t="n">
        <v>440</v>
      </c>
    </row>
    <row r="11" ht="17.25" customHeight="1" s="119">
      <c r="A11" s="4" t="n">
        <v>440</v>
      </c>
      <c r="B11" s="4" t="n">
        <v>400</v>
      </c>
      <c r="C11" s="4" t="n">
        <v>22</v>
      </c>
      <c r="D11" s="4" t="n">
        <v>48</v>
      </c>
      <c r="E11" s="4" t="n">
        <v>380</v>
      </c>
      <c r="F11" s="4" t="n">
        <v>19</v>
      </c>
      <c r="G11" s="4" t="n">
        <v>54</v>
      </c>
      <c r="H11" s="4" t="n">
        <v>440</v>
      </c>
      <c r="I11" s="4" t="n">
        <v>14</v>
      </c>
      <c r="J11" s="4" t="n">
        <v>62</v>
      </c>
      <c r="K11" s="4" t="n">
        <v>520</v>
      </c>
      <c r="L11" s="4" t="n">
        <v>19</v>
      </c>
      <c r="M11" s="4" t="n">
        <v>54</v>
      </c>
      <c r="N11" s="4" t="n">
        <v>440</v>
      </c>
      <c r="O11" s="4" t="n">
        <v>18</v>
      </c>
      <c r="P11" s="4" t="n">
        <v>54</v>
      </c>
      <c r="Q11" s="4" t="n">
        <v>420</v>
      </c>
      <c r="R11" s="4" t="n">
        <v>17</v>
      </c>
      <c r="S11" s="4" t="n">
        <v>58</v>
      </c>
      <c r="T11" s="4" t="n">
        <v>520</v>
      </c>
      <c r="U11" s="4" t="n">
        <v>19</v>
      </c>
      <c r="V11" s="4" t="n">
        <v>58</v>
      </c>
      <c r="W11" s="4" t="n">
        <v>480</v>
      </c>
      <c r="X11" s="4" t="n">
        <v>22</v>
      </c>
      <c r="Y11" s="4" t="n">
        <v>54</v>
      </c>
      <c r="Z11" s="4" t="n">
        <v>440</v>
      </c>
    </row>
    <row r="12" ht="17.25" customHeight="1" s="119">
      <c r="A12" s="4" t="n">
        <v>460</v>
      </c>
      <c r="B12" s="4" t="n">
        <v>420</v>
      </c>
      <c r="C12" s="4" t="n">
        <v>24</v>
      </c>
      <c r="D12" s="4" t="n">
        <v>50</v>
      </c>
      <c r="E12" s="4" t="n">
        <v>400</v>
      </c>
      <c r="F12" s="4" t="n">
        <v>20</v>
      </c>
      <c r="G12" s="4" t="n">
        <v>56</v>
      </c>
      <c r="H12" s="4" t="n">
        <v>460</v>
      </c>
      <c r="I12" s="4" t="n">
        <v>15</v>
      </c>
      <c r="J12" s="4" t="n">
        <v>64</v>
      </c>
      <c r="K12" s="4" t="n">
        <v>540</v>
      </c>
      <c r="L12" s="4" t="n">
        <v>20</v>
      </c>
      <c r="M12" s="4" t="n">
        <v>56</v>
      </c>
      <c r="N12" s="4" t="n">
        <v>460</v>
      </c>
      <c r="O12" s="4" t="n">
        <v>19</v>
      </c>
      <c r="P12" s="4" t="n">
        <v>56</v>
      </c>
      <c r="Q12" s="4" t="n">
        <v>440</v>
      </c>
      <c r="R12" s="4" t="n">
        <v>18</v>
      </c>
      <c r="S12" s="4" t="n">
        <v>60</v>
      </c>
      <c r="T12" s="4" t="n">
        <v>540</v>
      </c>
      <c r="U12" s="4" t="n">
        <v>20</v>
      </c>
      <c r="V12" s="4" t="n">
        <v>60</v>
      </c>
      <c r="W12" s="4" t="n">
        <v>500</v>
      </c>
      <c r="X12" s="4" t="n">
        <v>24</v>
      </c>
      <c r="Y12" s="4" t="n">
        <v>56</v>
      </c>
      <c r="Z12" s="4" t="n">
        <v>460</v>
      </c>
    </row>
    <row r="13" ht="17.25" customHeight="1" s="119">
      <c r="A13" s="4" t="n">
        <v>460</v>
      </c>
      <c r="B13" s="4" t="n">
        <v>420</v>
      </c>
      <c r="C13" s="4" t="n">
        <v>24</v>
      </c>
      <c r="D13" s="4" t="n">
        <v>50</v>
      </c>
      <c r="E13" s="4" t="n">
        <v>400</v>
      </c>
      <c r="F13" s="4" t="n">
        <v>20</v>
      </c>
      <c r="G13" s="4" t="n">
        <v>56</v>
      </c>
      <c r="H13" s="4" t="n">
        <v>460</v>
      </c>
      <c r="I13" s="4" t="n">
        <v>15</v>
      </c>
      <c r="J13" s="4" t="n">
        <v>64</v>
      </c>
      <c r="K13" s="4" t="n">
        <v>540</v>
      </c>
      <c r="L13" s="4" t="n">
        <v>20</v>
      </c>
      <c r="M13" s="4" t="n">
        <v>56</v>
      </c>
      <c r="N13" s="4" t="n">
        <v>460</v>
      </c>
      <c r="O13" s="4" t="n">
        <v>19</v>
      </c>
      <c r="P13" s="4" t="n">
        <v>56</v>
      </c>
      <c r="Q13" s="4" t="n">
        <v>440</v>
      </c>
      <c r="R13" s="4" t="n">
        <v>18</v>
      </c>
      <c r="S13" s="4" t="n">
        <v>60</v>
      </c>
      <c r="T13" s="4" t="n">
        <v>540</v>
      </c>
      <c r="U13" s="4" t="n">
        <v>20</v>
      </c>
      <c r="V13" s="4" t="n">
        <v>60</v>
      </c>
      <c r="W13" s="4" t="n">
        <v>500</v>
      </c>
      <c r="X13" s="4" t="n">
        <v>24</v>
      </c>
      <c r="Y13" s="4" t="n">
        <v>56</v>
      </c>
      <c r="Z13" s="4" t="n">
        <v>460</v>
      </c>
    </row>
    <row r="14" ht="17.25" customHeight="1" s="119">
      <c r="A14" s="4" t="n">
        <v>480</v>
      </c>
      <c r="B14" s="4" t="n">
        <v>440</v>
      </c>
      <c r="C14" s="4" t="n">
        <v>26</v>
      </c>
      <c r="D14" s="4" t="n">
        <v>52</v>
      </c>
      <c r="E14" s="4" t="n">
        <v>420</v>
      </c>
      <c r="F14" s="4" t="n">
        <v>21</v>
      </c>
      <c r="G14" s="4" t="n">
        <v>58</v>
      </c>
      <c r="H14" s="4" t="n">
        <v>480</v>
      </c>
      <c r="I14" s="4" t="n">
        <v>16</v>
      </c>
      <c r="J14" s="4" t="n">
        <v>66</v>
      </c>
      <c r="K14" s="4" t="n">
        <v>560</v>
      </c>
      <c r="L14" s="4" t="n">
        <v>21</v>
      </c>
      <c r="M14" s="4" t="n">
        <v>58</v>
      </c>
      <c r="N14" s="4" t="n">
        <v>480</v>
      </c>
      <c r="O14" s="4" t="n">
        <v>20</v>
      </c>
      <c r="P14" s="4" t="n">
        <v>58</v>
      </c>
      <c r="Q14" s="4" t="n">
        <v>460</v>
      </c>
      <c r="R14" s="4" t="n">
        <v>19</v>
      </c>
      <c r="S14" s="4" t="n">
        <v>62</v>
      </c>
      <c r="T14" s="4" t="n">
        <v>560</v>
      </c>
      <c r="U14" s="4" t="n">
        <v>21</v>
      </c>
      <c r="V14" s="4" t="n">
        <v>62</v>
      </c>
      <c r="W14" s="4" t="n">
        <v>520</v>
      </c>
      <c r="X14" s="4" t="n">
        <v>26</v>
      </c>
      <c r="Y14" s="4" t="n">
        <v>58</v>
      </c>
      <c r="Z14" s="4" t="n">
        <v>480</v>
      </c>
    </row>
    <row r="15" ht="17.25" customHeight="1" s="119">
      <c r="A15" s="4" t="n">
        <v>480</v>
      </c>
      <c r="B15" s="4" t="n">
        <v>440</v>
      </c>
      <c r="C15" s="4" t="n">
        <v>26</v>
      </c>
      <c r="D15" s="4" t="n">
        <v>52</v>
      </c>
      <c r="E15" s="4" t="n">
        <v>420</v>
      </c>
      <c r="F15" s="4" t="n">
        <v>21</v>
      </c>
      <c r="G15" s="4" t="n">
        <v>58</v>
      </c>
      <c r="H15" s="4" t="n">
        <v>480</v>
      </c>
      <c r="I15" s="4" t="n">
        <v>16</v>
      </c>
      <c r="J15" s="4" t="n">
        <v>66</v>
      </c>
      <c r="K15" s="4" t="n">
        <v>560</v>
      </c>
      <c r="L15" s="4" t="n">
        <v>21</v>
      </c>
      <c r="M15" s="4" t="n">
        <v>58</v>
      </c>
      <c r="N15" s="4" t="n">
        <v>480</v>
      </c>
      <c r="O15" s="4" t="n">
        <v>20</v>
      </c>
      <c r="P15" s="4" t="n">
        <v>58</v>
      </c>
      <c r="Q15" s="4" t="n">
        <v>460</v>
      </c>
      <c r="R15" s="4" t="n">
        <v>19</v>
      </c>
      <c r="S15" s="4" t="n">
        <v>62</v>
      </c>
      <c r="T15" s="4" t="n">
        <v>560</v>
      </c>
      <c r="U15" s="4" t="n">
        <v>21</v>
      </c>
      <c r="V15" s="4" t="n">
        <v>62</v>
      </c>
      <c r="W15" s="4" t="n">
        <v>520</v>
      </c>
      <c r="X15" s="4" t="n">
        <v>26</v>
      </c>
      <c r="Y15" s="4" t="n">
        <v>58</v>
      </c>
      <c r="Z15" s="4" t="n">
        <v>480</v>
      </c>
    </row>
    <row r="16" ht="17.25" customHeight="1" s="119">
      <c r="A16" s="4" t="n">
        <v>500</v>
      </c>
      <c r="B16" s="4" t="n">
        <v>460</v>
      </c>
      <c r="C16" s="4" t="n">
        <v>28</v>
      </c>
      <c r="D16" s="4" t="n">
        <v>54</v>
      </c>
      <c r="E16" s="4" t="n">
        <v>440</v>
      </c>
      <c r="F16" s="4" t="n">
        <v>22</v>
      </c>
      <c r="G16" s="4" t="n">
        <v>60</v>
      </c>
      <c r="H16" s="4" t="n">
        <v>500</v>
      </c>
      <c r="I16" s="4" t="n">
        <v>17</v>
      </c>
      <c r="J16" s="4" t="n">
        <v>68</v>
      </c>
      <c r="K16" s="4" t="n">
        <v>580</v>
      </c>
      <c r="L16" s="4" t="n">
        <v>22</v>
      </c>
      <c r="M16" s="4" t="n">
        <v>60</v>
      </c>
      <c r="N16" s="4" t="n">
        <v>500</v>
      </c>
      <c r="O16" s="4" t="n">
        <v>21</v>
      </c>
      <c r="P16" s="4" t="n">
        <v>60</v>
      </c>
      <c r="Q16" s="4" t="n">
        <v>480</v>
      </c>
      <c r="R16" s="4" t="n">
        <v>20</v>
      </c>
      <c r="S16" s="4" t="n">
        <v>64</v>
      </c>
      <c r="T16" s="4" t="n">
        <v>580</v>
      </c>
      <c r="U16" s="4" t="n">
        <v>22</v>
      </c>
      <c r="V16" s="4" t="n">
        <v>64</v>
      </c>
      <c r="W16" s="4" t="n">
        <v>540</v>
      </c>
      <c r="X16" s="4" t="n">
        <v>28</v>
      </c>
      <c r="Y16" s="4" t="n">
        <v>60</v>
      </c>
      <c r="Z16" s="4" t="n">
        <v>500</v>
      </c>
    </row>
    <row r="17" ht="17.25" customHeight="1" s="119">
      <c r="A17" s="4" t="n">
        <v>500</v>
      </c>
      <c r="B17" s="4" t="n">
        <v>460</v>
      </c>
      <c r="C17" s="4" t="n">
        <v>28</v>
      </c>
      <c r="D17" s="4" t="n">
        <v>54</v>
      </c>
      <c r="E17" s="4" t="n">
        <v>440</v>
      </c>
      <c r="F17" s="4" t="n">
        <v>22</v>
      </c>
      <c r="G17" s="4" t="n">
        <v>60</v>
      </c>
      <c r="H17" s="4" t="n">
        <v>500</v>
      </c>
      <c r="I17" s="4" t="n">
        <v>17</v>
      </c>
      <c r="J17" s="4" t="n">
        <v>68</v>
      </c>
      <c r="K17" s="4" t="n">
        <v>580</v>
      </c>
      <c r="L17" s="4" t="n">
        <v>22</v>
      </c>
      <c r="M17" s="4" t="n">
        <v>60</v>
      </c>
      <c r="N17" s="4" t="n">
        <v>500</v>
      </c>
      <c r="O17" s="4" t="n">
        <v>21</v>
      </c>
      <c r="P17" s="4" t="n">
        <v>60</v>
      </c>
      <c r="Q17" s="4" t="n">
        <v>480</v>
      </c>
      <c r="R17" s="4" t="n">
        <v>20</v>
      </c>
      <c r="S17" s="4" t="n">
        <v>64</v>
      </c>
      <c r="T17" s="4" t="n">
        <v>580</v>
      </c>
      <c r="U17" s="4" t="n">
        <v>22</v>
      </c>
      <c r="V17" s="4" t="n">
        <v>64</v>
      </c>
      <c r="W17" s="4" t="n">
        <v>540</v>
      </c>
      <c r="X17" s="4" t="n">
        <v>28</v>
      </c>
      <c r="Y17" s="4" t="n">
        <v>60</v>
      </c>
      <c r="Z17" s="4" t="n">
        <v>500</v>
      </c>
    </row>
    <row r="18" ht="17.25" customHeight="1" s="119">
      <c r="A18" s="4" t="n">
        <v>520</v>
      </c>
      <c r="B18" s="4" t="n">
        <v>480</v>
      </c>
      <c r="C18" s="4" t="n">
        <v>30</v>
      </c>
      <c r="D18" s="4" t="n">
        <v>56</v>
      </c>
      <c r="E18" s="4" t="n">
        <v>460</v>
      </c>
      <c r="F18" s="4" t="n">
        <v>24</v>
      </c>
      <c r="G18" s="4" t="n">
        <v>62</v>
      </c>
      <c r="H18" s="4" t="n">
        <v>520</v>
      </c>
      <c r="I18" s="4" t="n">
        <v>18</v>
      </c>
      <c r="J18" s="4" t="n">
        <v>70</v>
      </c>
      <c r="K18" s="4" t="n">
        <v>600</v>
      </c>
      <c r="L18" s="4" t="n">
        <v>24</v>
      </c>
      <c r="M18" s="4" t="n">
        <v>62</v>
      </c>
      <c r="N18" s="4" t="n">
        <v>520</v>
      </c>
      <c r="O18" s="4" t="n">
        <v>22</v>
      </c>
      <c r="P18" s="4" t="n">
        <v>62</v>
      </c>
      <c r="Q18" s="4" t="n">
        <v>500</v>
      </c>
      <c r="R18" s="4" t="n">
        <v>21</v>
      </c>
      <c r="S18" s="4" t="n">
        <v>66</v>
      </c>
      <c r="T18" s="4" t="n">
        <v>600</v>
      </c>
      <c r="U18" s="4" t="n">
        <v>24</v>
      </c>
      <c r="V18" s="4" t="n">
        <v>66</v>
      </c>
      <c r="W18" s="4" t="n">
        <v>560</v>
      </c>
      <c r="X18" s="4" t="n">
        <v>30</v>
      </c>
      <c r="Y18" s="4" t="n">
        <v>62</v>
      </c>
      <c r="Z18" s="4" t="n">
        <v>520</v>
      </c>
    </row>
    <row r="19" ht="17.25" customHeight="1" s="119">
      <c r="A19" s="4" t="n">
        <v>520</v>
      </c>
      <c r="B19" s="4" t="n">
        <v>480</v>
      </c>
      <c r="C19" s="4" t="n">
        <v>30</v>
      </c>
      <c r="D19" s="4" t="n">
        <v>56</v>
      </c>
      <c r="E19" s="4" t="n">
        <v>460</v>
      </c>
      <c r="F19" s="4" t="n">
        <v>24</v>
      </c>
      <c r="G19" s="4" t="n">
        <v>62</v>
      </c>
      <c r="H19" s="4" t="n">
        <v>520</v>
      </c>
      <c r="I19" s="4" t="n">
        <v>18</v>
      </c>
      <c r="J19" s="4" t="n">
        <v>70</v>
      </c>
      <c r="K19" s="4" t="n">
        <v>600</v>
      </c>
      <c r="L19" s="4" t="n">
        <v>24</v>
      </c>
      <c r="M19" s="4" t="n">
        <v>62</v>
      </c>
      <c r="N19" s="4" t="n">
        <v>520</v>
      </c>
      <c r="O19" s="4" t="n">
        <v>22</v>
      </c>
      <c r="P19" s="4" t="n">
        <v>62</v>
      </c>
      <c r="Q19" s="4" t="n">
        <v>500</v>
      </c>
      <c r="R19" s="4" t="n">
        <v>21</v>
      </c>
      <c r="S19" s="4" t="n">
        <v>66</v>
      </c>
      <c r="T19" s="4" t="n">
        <v>600</v>
      </c>
      <c r="U19" s="4" t="n">
        <v>24</v>
      </c>
      <c r="V19" s="4" t="n">
        <v>66</v>
      </c>
      <c r="W19" s="4" t="n">
        <v>560</v>
      </c>
      <c r="X19" s="4" t="n">
        <v>30</v>
      </c>
      <c r="Y19" s="4" t="n">
        <v>62</v>
      </c>
      <c r="Z19" s="4" t="n">
        <v>520</v>
      </c>
    </row>
    <row r="20" ht="17.25" customHeight="1" s="119">
      <c r="A20" s="4" t="n">
        <v>540</v>
      </c>
      <c r="B20" s="4" t="n">
        <v>500</v>
      </c>
      <c r="C20" s="4" t="n">
        <v>30</v>
      </c>
      <c r="D20" s="4" t="n">
        <v>58</v>
      </c>
      <c r="E20" s="4" t="n">
        <v>480</v>
      </c>
      <c r="F20" s="4" t="n">
        <v>26</v>
      </c>
      <c r="G20" s="4" t="n">
        <v>64</v>
      </c>
      <c r="H20" s="4" t="n">
        <v>540</v>
      </c>
      <c r="I20" s="4" t="n">
        <v>19</v>
      </c>
      <c r="J20" s="4" t="n">
        <v>72</v>
      </c>
      <c r="K20" s="4" t="n">
        <v>620</v>
      </c>
      <c r="L20" s="4" t="n">
        <v>26</v>
      </c>
      <c r="M20" s="4" t="n">
        <v>64</v>
      </c>
      <c r="N20" s="4" t="n">
        <v>540</v>
      </c>
      <c r="O20" s="4" t="n">
        <v>24</v>
      </c>
      <c r="P20" s="4" t="n">
        <v>64</v>
      </c>
      <c r="Q20" s="4" t="n">
        <v>520</v>
      </c>
      <c r="R20" s="4" t="n">
        <v>22</v>
      </c>
      <c r="S20" s="4" t="n">
        <v>68</v>
      </c>
      <c r="T20" s="4" t="n">
        <v>620</v>
      </c>
      <c r="U20" s="4" t="n">
        <v>26</v>
      </c>
      <c r="V20" s="4" t="n">
        <v>68</v>
      </c>
      <c r="W20" s="4" t="n">
        <v>580</v>
      </c>
      <c r="X20" s="4" t="n">
        <v>30</v>
      </c>
      <c r="Y20" s="4" t="n">
        <v>64</v>
      </c>
      <c r="Z20" s="4" t="n">
        <v>540</v>
      </c>
    </row>
    <row r="21" ht="17.25" customHeight="1" s="119">
      <c r="A21" s="4" t="n">
        <v>540</v>
      </c>
      <c r="B21" s="4" t="n">
        <v>500</v>
      </c>
      <c r="C21" s="4" t="n">
        <v>30</v>
      </c>
      <c r="D21" s="4" t="n">
        <v>58</v>
      </c>
      <c r="E21" s="4" t="n">
        <v>480</v>
      </c>
      <c r="F21" s="4" t="n">
        <v>26</v>
      </c>
      <c r="G21" s="4" t="n">
        <v>64</v>
      </c>
      <c r="H21" s="4" t="n">
        <v>540</v>
      </c>
      <c r="I21" s="4" t="n">
        <v>19</v>
      </c>
      <c r="J21" s="4" t="n">
        <v>72</v>
      </c>
      <c r="K21" s="4" t="n">
        <v>620</v>
      </c>
      <c r="L21" s="4" t="n">
        <v>26</v>
      </c>
      <c r="M21" s="4" t="n">
        <v>64</v>
      </c>
      <c r="N21" s="4" t="n">
        <v>540</v>
      </c>
      <c r="O21" s="4" t="n">
        <v>24</v>
      </c>
      <c r="P21" s="4" t="n">
        <v>64</v>
      </c>
      <c r="Q21" s="4" t="n">
        <v>520</v>
      </c>
      <c r="R21" s="4" t="n">
        <v>22</v>
      </c>
      <c r="S21" s="4" t="n">
        <v>68</v>
      </c>
      <c r="T21" s="4" t="n">
        <v>620</v>
      </c>
      <c r="U21" s="4" t="n">
        <v>26</v>
      </c>
      <c r="V21" s="4" t="n">
        <v>68</v>
      </c>
      <c r="W21" s="4" t="n">
        <v>580</v>
      </c>
      <c r="X21" s="4" t="n">
        <v>30</v>
      </c>
      <c r="Y21" s="4" t="n">
        <v>64</v>
      </c>
      <c r="Z21" s="4" t="n">
        <v>540</v>
      </c>
    </row>
    <row r="22" ht="17.25" customHeight="1" s="119">
      <c r="A22" s="4" t="n">
        <v>560</v>
      </c>
      <c r="B22" s="4" t="n">
        <v>520</v>
      </c>
      <c r="C22" s="4" t="n">
        <v>30</v>
      </c>
      <c r="D22" s="4" t="n">
        <v>60</v>
      </c>
      <c r="E22" s="4" t="n">
        <v>500</v>
      </c>
      <c r="F22" s="4" t="n">
        <v>28</v>
      </c>
      <c r="G22" s="4" t="n">
        <v>66</v>
      </c>
      <c r="H22" s="4" t="n">
        <v>560</v>
      </c>
      <c r="I22" s="4" t="n">
        <v>20</v>
      </c>
      <c r="J22" s="4" t="n">
        <v>74</v>
      </c>
      <c r="K22" s="4" t="n">
        <v>650</v>
      </c>
      <c r="L22" s="4" t="n">
        <v>28</v>
      </c>
      <c r="M22" s="4" t="n">
        <v>66</v>
      </c>
      <c r="N22" s="4" t="n">
        <v>560</v>
      </c>
      <c r="O22" s="4" t="n">
        <v>26</v>
      </c>
      <c r="P22" s="4" t="n">
        <v>66</v>
      </c>
      <c r="Q22" s="4" t="n">
        <v>540</v>
      </c>
      <c r="R22" s="4" t="n">
        <v>24</v>
      </c>
      <c r="S22" s="4" t="n">
        <v>70</v>
      </c>
      <c r="T22" s="4" t="n">
        <v>650</v>
      </c>
      <c r="U22" s="4" t="n">
        <v>28</v>
      </c>
      <c r="V22" s="4" t="n">
        <v>70</v>
      </c>
      <c r="W22" s="4" t="n">
        <v>600</v>
      </c>
      <c r="X22" s="4" t="n">
        <v>30</v>
      </c>
      <c r="Y22" s="4" t="n">
        <v>66</v>
      </c>
      <c r="Z22" s="4" t="n">
        <v>560</v>
      </c>
    </row>
    <row r="23" ht="17.25" customHeight="1" s="119">
      <c r="A23" s="4" t="n">
        <v>560</v>
      </c>
      <c r="B23" s="4" t="n">
        <v>520</v>
      </c>
      <c r="C23" s="4" t="n">
        <v>30</v>
      </c>
      <c r="D23" s="4" t="n">
        <v>60</v>
      </c>
      <c r="E23" s="4" t="n">
        <v>500</v>
      </c>
      <c r="F23" s="4" t="n">
        <v>28</v>
      </c>
      <c r="G23" s="4" t="n">
        <v>66</v>
      </c>
      <c r="H23" s="4" t="n">
        <v>560</v>
      </c>
      <c r="I23" s="4" t="n">
        <v>20</v>
      </c>
      <c r="J23" s="4" t="n">
        <v>74</v>
      </c>
      <c r="K23" s="4" t="n">
        <v>650</v>
      </c>
      <c r="L23" s="4" t="n">
        <v>28</v>
      </c>
      <c r="M23" s="4" t="n">
        <v>66</v>
      </c>
      <c r="N23" s="4" t="n">
        <v>560</v>
      </c>
      <c r="O23" s="4" t="n">
        <v>26</v>
      </c>
      <c r="P23" s="4" t="n">
        <v>66</v>
      </c>
      <c r="Q23" s="4" t="n">
        <v>540</v>
      </c>
      <c r="R23" s="4" t="n">
        <v>24</v>
      </c>
      <c r="S23" s="4" t="n">
        <v>70</v>
      </c>
      <c r="T23" s="4" t="n">
        <v>650</v>
      </c>
      <c r="U23" s="4" t="n">
        <v>28</v>
      </c>
      <c r="V23" s="4" t="n">
        <v>70</v>
      </c>
      <c r="W23" s="4" t="n">
        <v>600</v>
      </c>
      <c r="X23" s="4" t="n">
        <v>30</v>
      </c>
      <c r="Y23" s="4" t="n">
        <v>66</v>
      </c>
      <c r="Z23" s="4" t="n">
        <v>560</v>
      </c>
    </row>
    <row r="24" ht="17.25" customHeight="1" s="119">
      <c r="A24" s="4" t="n">
        <v>580</v>
      </c>
      <c r="B24" s="4" t="n">
        <v>540</v>
      </c>
      <c r="C24" s="4" t="n">
        <v>30</v>
      </c>
      <c r="D24" s="4" t="n">
        <v>62</v>
      </c>
      <c r="E24" s="4" t="n">
        <v>520</v>
      </c>
      <c r="F24" s="4" t="n">
        <v>30</v>
      </c>
      <c r="G24" s="4" t="n">
        <v>68</v>
      </c>
      <c r="H24" s="4" t="n">
        <v>580</v>
      </c>
      <c r="I24" s="4" t="n">
        <v>21</v>
      </c>
      <c r="J24" s="4" t="n">
        <v>76</v>
      </c>
      <c r="K24" s="4" t="n">
        <v>680</v>
      </c>
      <c r="L24" s="4" t="n">
        <v>30</v>
      </c>
      <c r="M24" s="4" t="n">
        <v>68</v>
      </c>
      <c r="N24" s="4" t="n">
        <v>580</v>
      </c>
      <c r="O24" s="4" t="n">
        <v>28</v>
      </c>
      <c r="P24" s="4" t="n">
        <v>68</v>
      </c>
      <c r="Q24" s="4" t="n">
        <v>560</v>
      </c>
      <c r="R24" s="4" t="n">
        <v>26</v>
      </c>
      <c r="S24" s="4" t="n">
        <v>72</v>
      </c>
      <c r="T24" s="4" t="n">
        <v>680</v>
      </c>
      <c r="U24" s="4" t="n">
        <v>30</v>
      </c>
      <c r="V24" s="4" t="n">
        <v>72</v>
      </c>
      <c r="W24" s="4" t="n">
        <v>620</v>
      </c>
      <c r="X24" s="4" t="n">
        <v>30</v>
      </c>
      <c r="Y24" s="4" t="n">
        <v>68</v>
      </c>
      <c r="Z24" s="4" t="n">
        <v>580</v>
      </c>
    </row>
    <row r="25" ht="17.25" customHeight="1" s="119">
      <c r="A25" s="4" t="n">
        <v>580</v>
      </c>
      <c r="B25" s="4" t="n">
        <v>540</v>
      </c>
      <c r="C25" s="4" t="n">
        <v>30</v>
      </c>
      <c r="D25" s="4" t="n">
        <v>62</v>
      </c>
      <c r="E25" s="4" t="n">
        <v>520</v>
      </c>
      <c r="F25" s="4" t="n">
        <v>30</v>
      </c>
      <c r="G25" s="4" t="n">
        <v>68</v>
      </c>
      <c r="H25" s="4" t="n">
        <v>580</v>
      </c>
      <c r="I25" s="4" t="n">
        <v>21</v>
      </c>
      <c r="J25" s="4" t="n">
        <v>76</v>
      </c>
      <c r="K25" s="4" t="n">
        <v>680</v>
      </c>
      <c r="L25" s="4" t="n">
        <v>30</v>
      </c>
      <c r="M25" s="4" t="n">
        <v>68</v>
      </c>
      <c r="N25" s="4" t="n">
        <v>580</v>
      </c>
      <c r="O25" s="4" t="n">
        <v>28</v>
      </c>
      <c r="P25" s="4" t="n">
        <v>68</v>
      </c>
      <c r="Q25" s="4" t="n">
        <v>560</v>
      </c>
      <c r="R25" s="4" t="n">
        <v>26</v>
      </c>
      <c r="S25" s="4" t="n">
        <v>72</v>
      </c>
      <c r="T25" s="4" t="n">
        <v>680</v>
      </c>
      <c r="U25" s="4" t="n">
        <v>30</v>
      </c>
      <c r="V25" s="4" t="n">
        <v>72</v>
      </c>
      <c r="W25" s="4" t="n">
        <v>620</v>
      </c>
      <c r="X25" s="4" t="n">
        <v>30</v>
      </c>
      <c r="Y25" s="4" t="n">
        <v>68</v>
      </c>
      <c r="Z25" s="4" t="n">
        <v>580</v>
      </c>
    </row>
    <row r="26" ht="17.25" customHeight="1" s="119">
      <c r="A26" s="4" t="n">
        <v>600</v>
      </c>
      <c r="B26" s="4" t="n">
        <v>560</v>
      </c>
      <c r="C26" s="4" t="n">
        <v>32</v>
      </c>
      <c r="D26" s="4" t="n">
        <v>64</v>
      </c>
      <c r="E26" s="4" t="n">
        <v>540</v>
      </c>
      <c r="F26" s="4" t="n">
        <v>30</v>
      </c>
      <c r="G26" s="4" t="n">
        <v>70</v>
      </c>
      <c r="H26" s="4" t="n">
        <v>600</v>
      </c>
      <c r="I26" s="4" t="n">
        <v>22</v>
      </c>
      <c r="J26" s="4" t="n">
        <v>78</v>
      </c>
      <c r="K26" s="4" t="n">
        <v>710</v>
      </c>
      <c r="L26" s="4" t="n">
        <v>30</v>
      </c>
      <c r="M26" s="4" t="n">
        <v>70</v>
      </c>
      <c r="N26" s="4" t="n">
        <v>600</v>
      </c>
      <c r="O26" s="4" t="n">
        <v>30</v>
      </c>
      <c r="P26" s="4" t="n">
        <v>70</v>
      </c>
      <c r="Q26" s="4" t="n">
        <v>580</v>
      </c>
      <c r="R26" s="4" t="n">
        <v>28</v>
      </c>
      <c r="S26" s="4" t="n">
        <v>74</v>
      </c>
      <c r="T26" s="4" t="n">
        <v>720</v>
      </c>
      <c r="U26" s="4" t="n">
        <v>30</v>
      </c>
      <c r="V26" s="4" t="n">
        <v>74</v>
      </c>
      <c r="W26" s="4" t="n">
        <v>650</v>
      </c>
      <c r="X26" s="4" t="n">
        <v>32</v>
      </c>
      <c r="Y26" s="4" t="n">
        <v>70</v>
      </c>
      <c r="Z26" s="4" t="n">
        <v>600</v>
      </c>
    </row>
    <row r="27" ht="17.25" customHeight="1" s="119">
      <c r="A27" s="4" t="n">
        <v>600</v>
      </c>
      <c r="B27" s="4" t="n">
        <v>560</v>
      </c>
      <c r="C27" s="4" t="n">
        <v>32</v>
      </c>
      <c r="D27" s="4" t="n">
        <v>64</v>
      </c>
      <c r="E27" s="4" t="n">
        <v>540</v>
      </c>
      <c r="F27" s="4" t="n">
        <v>30</v>
      </c>
      <c r="G27" s="4" t="n">
        <v>70</v>
      </c>
      <c r="H27" s="4" t="n">
        <v>600</v>
      </c>
      <c r="I27" s="4" t="n">
        <v>22</v>
      </c>
      <c r="J27" s="4" t="n">
        <v>78</v>
      </c>
      <c r="K27" s="4" t="n">
        <v>710</v>
      </c>
      <c r="L27" s="4" t="n">
        <v>30</v>
      </c>
      <c r="M27" s="4" t="n">
        <v>70</v>
      </c>
      <c r="N27" s="4" t="n">
        <v>600</v>
      </c>
      <c r="O27" s="4" t="n">
        <v>30</v>
      </c>
      <c r="P27" s="4" t="n">
        <v>70</v>
      </c>
      <c r="Q27" s="4" t="n">
        <v>580</v>
      </c>
      <c r="R27" s="4" t="n">
        <v>28</v>
      </c>
      <c r="S27" s="4" t="n">
        <v>74</v>
      </c>
      <c r="T27" s="4" t="n">
        <v>720</v>
      </c>
      <c r="U27" s="4" t="n">
        <v>30</v>
      </c>
      <c r="V27" s="4" t="n">
        <v>74</v>
      </c>
      <c r="W27" s="4" t="n">
        <v>650</v>
      </c>
      <c r="X27" s="4" t="n">
        <v>32</v>
      </c>
      <c r="Y27" s="4" t="n">
        <v>70</v>
      </c>
      <c r="Z27" s="4" t="n">
        <v>600</v>
      </c>
    </row>
    <row r="28" ht="17.25" customHeight="1" s="119">
      <c r="A28" s="4" t="n">
        <v>620</v>
      </c>
      <c r="B28" s="4" t="n">
        <v>580</v>
      </c>
      <c r="C28" s="4" t="n">
        <v>34</v>
      </c>
      <c r="D28" s="4" t="n">
        <v>66</v>
      </c>
      <c r="E28" s="4" t="n">
        <v>560</v>
      </c>
      <c r="F28" s="4" t="n">
        <v>30</v>
      </c>
      <c r="G28" s="4" t="n">
        <v>72</v>
      </c>
      <c r="H28" s="4" t="n">
        <v>620</v>
      </c>
      <c r="I28" s="4" t="n">
        <v>24</v>
      </c>
      <c r="J28" s="4" t="n">
        <v>80</v>
      </c>
      <c r="K28" s="4" t="n">
        <v>740</v>
      </c>
      <c r="L28" s="4" t="n">
        <v>30</v>
      </c>
      <c r="M28" s="4" t="n">
        <v>72</v>
      </c>
      <c r="N28" s="4" t="n">
        <v>620</v>
      </c>
      <c r="O28" s="4" t="n">
        <v>30</v>
      </c>
      <c r="P28" s="4" t="n">
        <v>72</v>
      </c>
      <c r="Q28" s="4" t="n">
        <v>600</v>
      </c>
      <c r="R28" s="4" t="n">
        <v>30</v>
      </c>
      <c r="S28" s="4" t="n">
        <v>76</v>
      </c>
      <c r="T28" s="4" t="n">
        <v>800</v>
      </c>
      <c r="U28" s="4" t="n">
        <v>30</v>
      </c>
      <c r="V28" s="4" t="n">
        <v>80</v>
      </c>
      <c r="W28" s="4" t="n">
        <v>680</v>
      </c>
      <c r="X28" s="4" t="n">
        <v>36</v>
      </c>
      <c r="Y28" s="4" t="n">
        <v>72</v>
      </c>
      <c r="Z28" s="4" t="n">
        <v>620</v>
      </c>
    </row>
    <row r="29" ht="17.25" customHeight="1" s="119">
      <c r="A29" s="4" t="n">
        <v>620</v>
      </c>
      <c r="B29" s="4" t="n">
        <v>580</v>
      </c>
      <c r="C29" s="4" t="n">
        <v>34</v>
      </c>
      <c r="D29" s="4" t="n">
        <v>66</v>
      </c>
      <c r="E29" s="4" t="n">
        <v>560</v>
      </c>
      <c r="F29" s="4" t="n">
        <v>30</v>
      </c>
      <c r="G29" s="4" t="n">
        <v>72</v>
      </c>
      <c r="H29" s="4" t="n">
        <v>620</v>
      </c>
      <c r="I29" s="4" t="n">
        <v>24</v>
      </c>
      <c r="J29" s="4" t="n">
        <v>80</v>
      </c>
      <c r="K29" s="4" t="n">
        <v>740</v>
      </c>
      <c r="L29" s="4" t="n">
        <v>30</v>
      </c>
      <c r="M29" s="4" t="n">
        <v>72</v>
      </c>
      <c r="N29" s="4" t="n">
        <v>620</v>
      </c>
      <c r="O29" s="4" t="n">
        <v>30</v>
      </c>
      <c r="P29" s="4" t="n">
        <v>72</v>
      </c>
      <c r="Q29" s="4" t="n">
        <v>600</v>
      </c>
      <c r="R29" s="4" t="n">
        <v>30</v>
      </c>
      <c r="S29" s="4" t="n">
        <v>76</v>
      </c>
      <c r="T29" s="4" t="n">
        <v>800</v>
      </c>
      <c r="U29" s="4" t="n">
        <v>30</v>
      </c>
      <c r="V29" s="4" t="n">
        <v>80</v>
      </c>
      <c r="W29" s="4" t="n">
        <v>680</v>
      </c>
      <c r="X29" s="4" t="n">
        <v>36</v>
      </c>
      <c r="Y29" s="4" t="n">
        <v>72</v>
      </c>
      <c r="Z29" s="4" t="n">
        <v>620</v>
      </c>
    </row>
    <row r="30" ht="17.25" customHeight="1" s="119">
      <c r="A30" s="4" t="n">
        <v>650</v>
      </c>
      <c r="B30" s="4" t="n">
        <v>600</v>
      </c>
      <c r="C30" s="4" t="n">
        <v>36</v>
      </c>
      <c r="D30" s="4" t="n">
        <v>68</v>
      </c>
      <c r="E30" s="4" t="n">
        <v>580</v>
      </c>
      <c r="F30" s="4" t="n">
        <v>30</v>
      </c>
      <c r="G30" s="4" t="n">
        <v>74</v>
      </c>
      <c r="H30" s="4" t="n">
        <v>650</v>
      </c>
      <c r="I30" s="4" t="n">
        <v>26</v>
      </c>
      <c r="J30" s="4" t="n">
        <v>90</v>
      </c>
      <c r="K30" s="4" t="n">
        <v>800</v>
      </c>
      <c r="L30" s="4" t="n">
        <v>30</v>
      </c>
      <c r="M30" s="4" t="n">
        <v>74</v>
      </c>
      <c r="N30" s="4" t="n">
        <v>650</v>
      </c>
      <c r="O30" s="4" t="n">
        <v>30</v>
      </c>
      <c r="P30" s="4" t="n">
        <v>74</v>
      </c>
      <c r="Q30" s="4" t="n">
        <v>620</v>
      </c>
      <c r="R30" s="4" t="n">
        <v>30</v>
      </c>
      <c r="S30" s="4" t="n">
        <v>78</v>
      </c>
      <c r="T30" s="4" t="n">
        <v>900</v>
      </c>
      <c r="U30" s="4" t="n">
        <v>30</v>
      </c>
      <c r="V30" s="4" t="n">
        <v>100</v>
      </c>
      <c r="W30" s="4" t="n">
        <v>750</v>
      </c>
      <c r="X30" s="4" t="n">
        <v>40</v>
      </c>
      <c r="Y30" s="4" t="n">
        <v>74</v>
      </c>
      <c r="Z30" s="4" t="n">
        <v>650</v>
      </c>
    </row>
    <row r="31" ht="17.25" customHeight="1" s="119">
      <c r="A31" s="4" t="n">
        <v>650</v>
      </c>
      <c r="B31" s="4" t="n">
        <v>600</v>
      </c>
      <c r="C31" s="4" t="n">
        <v>36</v>
      </c>
      <c r="D31" s="4" t="n">
        <v>68</v>
      </c>
      <c r="E31" s="4" t="n">
        <v>580</v>
      </c>
      <c r="F31" s="4" t="n">
        <v>30</v>
      </c>
      <c r="G31" s="4" t="n">
        <v>74</v>
      </c>
      <c r="H31" s="4" t="n">
        <v>650</v>
      </c>
      <c r="I31" s="4" t="n">
        <v>26</v>
      </c>
      <c r="J31" s="4" t="n">
        <v>90</v>
      </c>
      <c r="K31" s="4" t="n">
        <v>800</v>
      </c>
      <c r="L31" s="4" t="n">
        <v>30</v>
      </c>
      <c r="M31" s="4" t="n">
        <v>74</v>
      </c>
      <c r="N31" s="4" t="n">
        <v>650</v>
      </c>
      <c r="O31" s="4" t="n">
        <v>30</v>
      </c>
      <c r="P31" s="4" t="n">
        <v>74</v>
      </c>
      <c r="Q31" s="4" t="n">
        <v>620</v>
      </c>
      <c r="R31" s="4" t="n">
        <v>30</v>
      </c>
      <c r="S31" s="4" t="n">
        <v>78</v>
      </c>
      <c r="T31" s="4" t="n">
        <v>900</v>
      </c>
      <c r="U31" s="4" t="n">
        <v>30</v>
      </c>
      <c r="V31" s="4" t="n">
        <v>100</v>
      </c>
      <c r="W31" s="4" t="n">
        <v>750</v>
      </c>
      <c r="X31" s="4" t="n">
        <v>40</v>
      </c>
      <c r="Y31" s="4" t="n">
        <v>74</v>
      </c>
      <c r="Z31" s="4" t="n">
        <v>650</v>
      </c>
    </row>
    <row r="32">
      <c r="A32" s="49">
        <f>SUM(A2:A31)</f>
        <v/>
      </c>
      <c r="B32" s="49">
        <f>SUM(B2:B31)</f>
        <v/>
      </c>
      <c r="C32" s="49">
        <f>SUM(C2:C31)</f>
        <v/>
      </c>
      <c r="D32" s="49">
        <f>SUM(D2:D31)</f>
        <v/>
      </c>
      <c r="E32" s="49">
        <f>SUM(E2:E31)</f>
        <v/>
      </c>
      <c r="F32" s="49">
        <f>SUM(F2:F31)</f>
        <v/>
      </c>
      <c r="G32" s="49">
        <f>SUM(G2:G31)</f>
        <v/>
      </c>
      <c r="H32" s="49">
        <f>SUM(H2:H31)</f>
        <v/>
      </c>
      <c r="I32" s="49">
        <f>SUM(I2:I31)</f>
        <v/>
      </c>
      <c r="J32" s="49">
        <f>SUM(J2:J31)</f>
        <v/>
      </c>
      <c r="K32" s="49">
        <f>SUM(K2:K31)</f>
        <v/>
      </c>
      <c r="L32" s="49">
        <f>SUM(L2:L31)</f>
        <v/>
      </c>
      <c r="M32" s="49">
        <f>SUM(M2:M31)</f>
        <v/>
      </c>
      <c r="N32" s="49">
        <f>SUM(N2:N31)</f>
        <v/>
      </c>
      <c r="O32" s="49">
        <f>SUM(O2:O31)</f>
        <v/>
      </c>
      <c r="P32" s="49">
        <f>SUM(P2:P31)</f>
        <v/>
      </c>
      <c r="Q32" s="49">
        <f>SUM(Q2:Q31)</f>
        <v/>
      </c>
      <c r="R32" s="49">
        <f>SUM(R2:R31)</f>
        <v/>
      </c>
      <c r="S32" s="49">
        <f>SUM(S2:S31)</f>
        <v/>
      </c>
      <c r="T32" s="49">
        <f>SUM(T2:T31)</f>
        <v/>
      </c>
      <c r="U32" s="49">
        <f>SUM(U2:U31)</f>
        <v/>
      </c>
      <c r="V32" s="49">
        <f>SUM(V2:V31)</f>
        <v/>
      </c>
      <c r="W32" s="49">
        <f>SUM(W2:W31)</f>
        <v/>
      </c>
      <c r="X32" s="49">
        <f>SUM(X2:X31)</f>
        <v/>
      </c>
      <c r="Y32" s="49">
        <f>SUM(Y2:Y31)</f>
        <v/>
      </c>
      <c r="Z32" s="49">
        <f>SUM(Z2:Z31)</f>
        <v/>
      </c>
    </row>
    <row r="33" ht="17.25" customHeight="1" s="119">
      <c r="I33" s="4" t="n"/>
    </row>
    <row r="34">
      <c r="A34" s="49" t="inlineStr">
        <is>
          <t>base剑</t>
        </is>
      </c>
      <c r="B34" s="49" t="inlineStr">
        <is>
          <t>base甲</t>
        </is>
      </c>
    </row>
    <row r="35">
      <c r="A35" s="49" t="n">
        <v>692</v>
      </c>
      <c r="B35" s="49" t="n">
        <v>1680</v>
      </c>
    </row>
    <row r="36" customFormat="1" s="5">
      <c r="A36" s="5" t="inlineStr">
        <is>
          <t>改后剑</t>
        </is>
      </c>
      <c r="B36" s="5" t="inlineStr">
        <is>
          <t>改后甲</t>
        </is>
      </c>
      <c r="C36" s="5" t="inlineStr">
        <is>
          <t>转换后</t>
        </is>
      </c>
      <c r="D36" s="6" t="n"/>
    </row>
    <row r="37">
      <c r="A37" s="49" t="n">
        <v>944</v>
      </c>
      <c r="B37" s="49" t="n">
        <v>464</v>
      </c>
      <c r="C37" s="49">
        <f>C32*$A$37/$A$35</f>
        <v/>
      </c>
      <c r="D37" s="49">
        <f>D32*$B$37/$B$35</f>
        <v/>
      </c>
      <c r="F37" s="49">
        <f>F32*$A$37/$A$35</f>
        <v/>
      </c>
      <c r="G37" s="49">
        <f>G32*$B$37/$B$35</f>
        <v/>
      </c>
      <c r="I37" s="49">
        <f>I32*$A$37/$A$35</f>
        <v/>
      </c>
      <c r="J37" s="49">
        <f>J32*$B$37/$B$35</f>
        <v/>
      </c>
      <c r="L37" s="49">
        <f>L32*$A$37/$A$35</f>
        <v/>
      </c>
      <c r="M37" s="49">
        <f>M32*$B$37/$B$35</f>
        <v/>
      </c>
      <c r="O37" s="49">
        <f>O32*$A$37/$A$35</f>
        <v/>
      </c>
      <c r="P37" s="49">
        <f>P32*$B$37/$B$35</f>
        <v/>
      </c>
      <c r="R37" s="49">
        <f>R32*$A$37/$A$35</f>
        <v/>
      </c>
      <c r="S37" s="49">
        <f>S32*$B$37/$B$35</f>
        <v/>
      </c>
      <c r="U37" s="49">
        <f>U32*$A$37/$A$35</f>
        <v/>
      </c>
      <c r="V37" s="49">
        <f>V32*$B$37/$B$35</f>
        <v/>
      </c>
      <c r="X37" s="49">
        <f>X32*$A$37/$A$35</f>
        <v/>
      </c>
      <c r="Y37" s="49">
        <f>Y32*$B$37/$B$35</f>
        <v/>
      </c>
    </row>
    <row r="43">
      <c r="L43" s="7" t="inlineStr">
        <is>
          <t>血云攻</t>
        </is>
      </c>
      <c r="M43" s="7" t="inlineStr">
        <is>
          <t>需要攻</t>
        </is>
      </c>
      <c r="N43" s="7" t="inlineStr">
        <is>
          <t>乘积</t>
        </is>
      </c>
      <c r="O43" s="7" t="inlineStr">
        <is>
          <t>血云防</t>
        </is>
      </c>
      <c r="P43" s="7" t="inlineStr">
        <is>
          <t>需要防</t>
        </is>
      </c>
      <c r="Q43" s="7" t="inlineStr">
        <is>
          <t>乘积</t>
        </is>
      </c>
    </row>
    <row r="44">
      <c r="L44" s="49" t="n">
        <v>949</v>
      </c>
      <c r="M44" s="49" t="n">
        <v>4000</v>
      </c>
      <c r="N44" s="49">
        <f>M44/L44</f>
        <v/>
      </c>
      <c r="O44" s="49" t="n">
        <v>463</v>
      </c>
      <c r="P44" s="49" t="n">
        <v>2800</v>
      </c>
      <c r="Q44" s="49">
        <f>P44/O44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2021-07-01T02:39:00Z</dcterms:created>
  <dcterms:modified xmlns:dcterms="http://purl.org/dc/terms/" xmlns:xsi="http://www.w3.org/2001/XMLSchema-instance" xsi:type="dcterms:W3CDTF">2026-01-12T03:12:27Z</dcterms:modified>
  <cp:lastModifiedBy>鹏程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2052-11.1.0.14309</vt:lpwstr>
  </property>
  <property name="ICV" fmtid="{D5CDD505-2E9C-101B-9397-08002B2CF9AE}" pid="3">
    <vt:lpwstr xmlns:vt="http://schemas.openxmlformats.org/officeDocument/2006/docPropsVTypes">A429F1185F60454186DC76C03EC6EE19_12</vt:lpwstr>
  </property>
</Properties>
</file>