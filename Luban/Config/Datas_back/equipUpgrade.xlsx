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515" yWindow="2745" windowWidth="28800" windowHeight="14985" tabRatio="600" firstSheet="0" activeTab="0" autoFilterDateGrouping="1"/>
  </bookViews>
  <sheets>
    <sheet xmlns:r="http://schemas.openxmlformats.org/officeDocument/2006/relationships" name="Sheet3" sheetId="1" state="visible" r:id="rId1"/>
    <sheet xmlns:r="http://schemas.openxmlformats.org/officeDocument/2006/relationships" name="材料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equipment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具体套装"/>
      <sheetName val="装备等级与属性规则"/>
      <sheetName val="装备id规则"/>
      <sheetName val="装备强化规则"/>
      <sheetName val="装备强化材料"/>
      <sheetName val="装备精炼材料"/>
      <sheetName val="辅助设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">
          <cell r="D9">
            <v>559</v>
          </cell>
          <cell r="K9">
            <v>1118</v>
          </cell>
          <cell r="Q9">
            <v>2236</v>
          </cell>
          <cell r="W9">
            <v>4472</v>
          </cell>
          <cell r="AC9">
            <v>8944</v>
          </cell>
        </row>
        <row r="14">
          <cell r="D14">
            <v>3162</v>
          </cell>
          <cell r="K14">
            <v>6324</v>
          </cell>
          <cell r="Q14">
            <v>12648</v>
          </cell>
          <cell r="W14">
            <v>25296</v>
          </cell>
          <cell r="AC14">
            <v>50592</v>
          </cell>
        </row>
        <row r="19">
          <cell r="D19">
            <v>8714</v>
          </cell>
          <cell r="K19">
            <v>17428</v>
          </cell>
          <cell r="Q19">
            <v>34856</v>
          </cell>
          <cell r="W19">
            <v>69712</v>
          </cell>
          <cell r="AC19">
            <v>139424</v>
          </cell>
        </row>
        <row r="24">
          <cell r="D24">
            <v>17889</v>
          </cell>
          <cell r="K24">
            <v>35778</v>
          </cell>
          <cell r="Q24">
            <v>71556</v>
          </cell>
          <cell r="W24">
            <v>143112</v>
          </cell>
          <cell r="AC24">
            <v>286224</v>
          </cell>
        </row>
        <row r="29">
          <cell r="D29">
            <v>31250</v>
          </cell>
          <cell r="K29">
            <v>62500</v>
          </cell>
          <cell r="Q29">
            <v>125000</v>
          </cell>
          <cell r="W29">
            <v>250000</v>
          </cell>
          <cell r="AC29">
            <v>500000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F5" sqref="F5"/>
    </sheetView>
  </sheetViews>
  <sheetFormatPr baseColWidth="8" defaultColWidth="9" defaultRowHeight="13.5"/>
  <cols>
    <col width="9" customWidth="1" style="1" min="1" max="1"/>
    <col width="23.25" customWidth="1" style="1" min="2" max="2"/>
    <col width="16.5" customWidth="1" style="1" min="3" max="3"/>
    <col width="12.625" customWidth="1" style="1" min="4" max="4"/>
    <col width="9" customWidth="1" style="1" min="5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needKuang</t>
        </is>
      </c>
      <c r="D1" t="inlineStr">
        <is>
          <t>needQiHuo</t>
        </is>
      </c>
      <c r="E1" t="inlineStr">
        <is>
          <t>needYuanPei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2" t="inlineStr">
        <is>
          <t>id</t>
        </is>
      </c>
      <c r="C3" s="5" t="inlineStr">
        <is>
          <t>needKuang</t>
        </is>
      </c>
      <c r="D3" s="6" t="inlineStr">
        <is>
          <t>needQiHuo</t>
        </is>
      </c>
      <c r="E3" s="6" t="inlineStr">
        <is>
          <t>needYuanPei</t>
        </is>
      </c>
    </row>
    <row r="4">
      <c r="B4" s="3" t="inlineStr">
        <is>
          <t>1</t>
        </is>
      </c>
      <c r="C4" s="4" t="inlineStr">
        <is>
          <t>559|3162|8714|17889|31250</t>
        </is>
      </c>
      <c r="D4" s="1" t="inlineStr">
        <is>
          <t>10|20|40|80|160</t>
        </is>
      </c>
      <c r="E4" s="1" t="inlineStr">
        <is>
          <t>1|2|4|8|16</t>
        </is>
      </c>
    </row>
    <row r="5">
      <c r="B5" s="3" t="inlineStr">
        <is>
          <t>2</t>
        </is>
      </c>
      <c r="C5" s="4" t="inlineStr">
        <is>
          <t>1118|6324|17428|35778|62500</t>
        </is>
      </c>
      <c r="D5" s="1" t="inlineStr">
        <is>
          <t>10|20|40|80|160</t>
        </is>
      </c>
      <c r="E5" s="1" t="inlineStr">
        <is>
          <t>1|2|4|8|16</t>
        </is>
      </c>
    </row>
    <row r="6">
      <c r="B6" s="3" t="n">
        <v>3</v>
      </c>
      <c r="C6" s="4" t="inlineStr">
        <is>
          <t>2236|12648|34856|71556|125000</t>
        </is>
      </c>
      <c r="D6" s="1" t="inlineStr">
        <is>
          <t>10|20|40|80|160</t>
        </is>
      </c>
      <c r="E6" s="1" t="inlineStr">
        <is>
          <t>1|2|4|8|16</t>
        </is>
      </c>
    </row>
    <row r="7">
      <c r="B7" s="3" t="n">
        <v>4</v>
      </c>
      <c r="C7" s="4" t="inlineStr">
        <is>
          <t>4472|25296|69712|143112|250000</t>
        </is>
      </c>
      <c r="D7" s="6" t="inlineStr">
        <is>
          <t>12|24|48|96|192</t>
        </is>
      </c>
      <c r="E7" s="1" t="inlineStr">
        <is>
          <t>1|2|4|8|16</t>
        </is>
      </c>
    </row>
    <row r="8">
      <c r="B8" s="3" t="n">
        <v>5</v>
      </c>
      <c r="C8" s="4" t="inlineStr">
        <is>
          <t>8944|50592|139424|286224|500000</t>
        </is>
      </c>
      <c r="D8" s="6" t="inlineStr">
        <is>
          <t>15|30|60|120|240</t>
        </is>
      </c>
      <c r="E8" s="1" t="inlineStr">
        <is>
          <t>1|2|4|8|16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E26" sqref="E26:G26"/>
    </sheetView>
  </sheetViews>
  <sheetFormatPr baseColWidth="8" defaultRowHeight="13.5"/>
  <cols>
    <col width="23.125" customWidth="1" style="12" min="2" max="2"/>
    <col width="11.5" customWidth="1" style="12" min="4" max="4"/>
  </cols>
  <sheetData>
    <row r="1">
      <c r="A1" s="7" t="inlineStr">
        <is>
          <t>凡级</t>
        </is>
      </c>
      <c r="B1" s="7" t="inlineStr">
        <is>
          <t>需要矿</t>
        </is>
      </c>
      <c r="C1" s="7" t="inlineStr">
        <is>
          <t>需要器火</t>
        </is>
      </c>
      <c r="D1" s="7" t="inlineStr">
        <is>
          <t>需要同类武器</t>
        </is>
      </c>
    </row>
    <row r="2">
      <c r="B2" s="0">
        <f>[1]装备强化材料!D9</f>
        <v/>
      </c>
      <c r="C2" s="0" t="n">
        <v>10</v>
      </c>
      <c r="D2" s="0" t="n">
        <v>1</v>
      </c>
    </row>
    <row r="3">
      <c r="B3" s="0">
        <f>[1]装备强化材料!D14</f>
        <v/>
      </c>
      <c r="C3" s="0" t="n">
        <v>20</v>
      </c>
      <c r="D3" s="0" t="n">
        <v>2</v>
      </c>
    </row>
    <row r="4">
      <c r="B4" s="0">
        <f>[1]装备强化材料!D19</f>
        <v/>
      </c>
      <c r="C4" s="0" t="n">
        <v>40</v>
      </c>
      <c r="D4" s="0" t="n">
        <v>4</v>
      </c>
    </row>
    <row r="5">
      <c r="B5" s="0">
        <f>[1]装备强化材料!D24</f>
        <v/>
      </c>
      <c r="C5" s="0" t="n">
        <v>80</v>
      </c>
      <c r="D5" s="0" t="n">
        <v>8</v>
      </c>
    </row>
    <row r="6">
      <c r="B6" s="0">
        <f>[1]装备强化材料!D29</f>
        <v/>
      </c>
      <c r="C6" s="0" t="n">
        <v>160</v>
      </c>
      <c r="D6" s="0" t="n">
        <v>16</v>
      </c>
      <c r="E6" s="0">
        <f>_xlfn.TEXTJOIN("|",TRUE,B2:B6)</f>
        <v/>
      </c>
      <c r="F6" s="0">
        <f>_xlfn.TEXTJOIN("|",TRUE,C2:C6)</f>
        <v/>
      </c>
      <c r="G6" s="0">
        <f>_xlfn.TEXTJOIN("|",TRUE,D2:D6)</f>
        <v/>
      </c>
    </row>
    <row r="7" customFormat="1" s="10">
      <c r="B7" s="10">
        <f>[1]装备强化材料!K9</f>
        <v/>
      </c>
      <c r="C7" s="10">
        <f>C2</f>
        <v/>
      </c>
      <c r="D7" s="10">
        <f>D2</f>
        <v/>
      </c>
    </row>
    <row r="8" customFormat="1" s="10">
      <c r="B8" s="10">
        <f>[1]装备强化材料!K14</f>
        <v/>
      </c>
      <c r="C8" s="10">
        <f>C3</f>
        <v/>
      </c>
      <c r="D8" s="10">
        <f>D3</f>
        <v/>
      </c>
    </row>
    <row r="9" customFormat="1" s="10">
      <c r="B9" s="10">
        <f>[1]装备强化材料!K19</f>
        <v/>
      </c>
      <c r="C9" s="10">
        <f>C4</f>
        <v/>
      </c>
      <c r="D9" s="10">
        <f>D4</f>
        <v/>
      </c>
    </row>
    <row r="10" customFormat="1" s="10">
      <c r="B10" s="10">
        <f>[1]装备强化材料!K24</f>
        <v/>
      </c>
      <c r="C10" s="10">
        <f>C5</f>
        <v/>
      </c>
      <c r="D10" s="10">
        <f>D5</f>
        <v/>
      </c>
    </row>
    <row r="11" customFormat="1" s="10">
      <c r="B11" s="10">
        <f>[1]装备强化材料!K29</f>
        <v/>
      </c>
      <c r="C11" s="10">
        <f>C6</f>
        <v/>
      </c>
      <c r="D11" s="10">
        <f>D6</f>
        <v/>
      </c>
      <c r="E11" s="10">
        <f>_xlfn.TEXTJOIN("|",TRUE,B7:B11)</f>
        <v/>
      </c>
      <c r="F11" s="10">
        <f>_xlfn.TEXTJOIN("|",TRUE,C7:C11)</f>
        <v/>
      </c>
      <c r="G11" s="10">
        <f>_xlfn.TEXTJOIN("|",TRUE,D7:D11)</f>
        <v/>
      </c>
    </row>
    <row r="12" customFormat="1" s="9">
      <c r="B12" s="9">
        <f>[1]装备强化材料!Q9</f>
        <v/>
      </c>
      <c r="C12" s="9">
        <f>C7</f>
        <v/>
      </c>
      <c r="D12" s="9">
        <f>D7</f>
        <v/>
      </c>
    </row>
    <row r="13" customFormat="1" s="9">
      <c r="B13" s="9">
        <f>[1]装备强化材料!Q14</f>
        <v/>
      </c>
      <c r="C13" s="9">
        <f>C8</f>
        <v/>
      </c>
      <c r="D13" s="9">
        <f>D8</f>
        <v/>
      </c>
    </row>
    <row r="14" customFormat="1" s="9">
      <c r="B14" s="9">
        <f>[1]装备强化材料!Q19</f>
        <v/>
      </c>
      <c r="C14" s="9">
        <f>C9</f>
        <v/>
      </c>
      <c r="D14" s="9">
        <f>D9</f>
        <v/>
      </c>
    </row>
    <row r="15" customFormat="1" s="9">
      <c r="B15" s="9">
        <f>[1]装备强化材料!Q24</f>
        <v/>
      </c>
      <c r="C15" s="9">
        <f>C10</f>
        <v/>
      </c>
      <c r="D15" s="9">
        <f>D10</f>
        <v/>
      </c>
    </row>
    <row r="16" customFormat="1" s="9">
      <c r="B16" s="9">
        <f>[1]装备强化材料!Q29</f>
        <v/>
      </c>
      <c r="C16" s="9">
        <f>C11</f>
        <v/>
      </c>
      <c r="D16" s="9">
        <f>D11</f>
        <v/>
      </c>
      <c r="E16" s="9">
        <f>_xlfn.TEXTJOIN("|",TRUE,B12:B16)</f>
        <v/>
      </c>
      <c r="F16" s="10">
        <f>_xlfn.TEXTJOIN("|",TRUE,C12:C16)</f>
        <v/>
      </c>
      <c r="G16" s="10">
        <f>_xlfn.TEXTJOIN("|",TRUE,D12:D16)</f>
        <v/>
      </c>
    </row>
    <row r="17" customFormat="1" s="8">
      <c r="B17" s="8">
        <f>[1]装备强化材料!W9</f>
        <v/>
      </c>
      <c r="C17" s="8">
        <f>C12</f>
        <v/>
      </c>
      <c r="D17" s="8">
        <f>D12</f>
        <v/>
      </c>
    </row>
    <row r="18" customFormat="1" s="8">
      <c r="B18" s="8">
        <f>[1]装备强化材料!W14</f>
        <v/>
      </c>
      <c r="C18" s="8">
        <f>C13</f>
        <v/>
      </c>
      <c r="D18" s="8">
        <f>D13</f>
        <v/>
      </c>
    </row>
    <row r="19" customFormat="1" s="8">
      <c r="B19" s="8">
        <f>[1]装备强化材料!W19</f>
        <v/>
      </c>
      <c r="C19" s="8">
        <f>C14</f>
        <v/>
      </c>
      <c r="D19" s="8">
        <f>D14</f>
        <v/>
      </c>
    </row>
    <row r="20" customFormat="1" s="8">
      <c r="B20" s="8">
        <f>[1]装备强化材料!W24</f>
        <v/>
      </c>
      <c r="C20" s="8">
        <f>C15</f>
        <v/>
      </c>
      <c r="D20" s="8">
        <f>D15</f>
        <v/>
      </c>
    </row>
    <row r="21" customFormat="1" s="8">
      <c r="B21" s="8">
        <f>[1]装备强化材料!W29</f>
        <v/>
      </c>
      <c r="C21" s="8">
        <f>C16</f>
        <v/>
      </c>
      <c r="D21" s="8">
        <f>D16</f>
        <v/>
      </c>
      <c r="E21" s="8">
        <f>_xlfn.TEXTJOIN("|",TRUE,B17:B21)</f>
        <v/>
      </c>
      <c r="F21" s="10">
        <f>_xlfn.TEXTJOIN("|",TRUE,C17:C21)</f>
        <v/>
      </c>
      <c r="G21" s="10">
        <f>_xlfn.TEXTJOIN("|",TRUE,D17:D21)</f>
        <v/>
      </c>
    </row>
    <row r="22" customFormat="1" s="11">
      <c r="B22" s="11">
        <f>[1]装备强化材料!AC9</f>
        <v/>
      </c>
      <c r="C22" s="11">
        <f>C17</f>
        <v/>
      </c>
      <c r="D22" s="11">
        <f>D17</f>
        <v/>
      </c>
    </row>
    <row r="23" customFormat="1" s="11">
      <c r="B23" s="11">
        <f>[1]装备强化材料!AC14</f>
        <v/>
      </c>
      <c r="C23" s="11">
        <f>C18</f>
        <v/>
      </c>
      <c r="D23" s="11">
        <f>D18</f>
        <v/>
      </c>
    </row>
    <row r="24" customFormat="1" s="11">
      <c r="B24" s="11">
        <f>[1]装备强化材料!AC19</f>
        <v/>
      </c>
      <c r="C24" s="11">
        <f>C19</f>
        <v/>
      </c>
      <c r="D24" s="11">
        <f>D19</f>
        <v/>
      </c>
    </row>
    <row r="25" customFormat="1" s="11">
      <c r="B25" s="11">
        <f>[1]装备强化材料!AC24</f>
        <v/>
      </c>
      <c r="C25" s="11">
        <f>C20</f>
        <v/>
      </c>
      <c r="D25" s="11">
        <f>D20</f>
        <v/>
      </c>
    </row>
    <row r="26" customFormat="1" s="11">
      <c r="B26" s="11">
        <f>[1]装备强化材料!AC29</f>
        <v/>
      </c>
      <c r="C26" s="11">
        <f>C21</f>
        <v/>
      </c>
      <c r="D26" s="11">
        <f>D21</f>
        <v/>
      </c>
      <c r="E26" s="11">
        <f>_xlfn.TEXTJOIN("|",TRUE,B22:B26)</f>
        <v/>
      </c>
      <c r="F26" s="10">
        <f>_xlfn.TEXTJOIN("|",TRUE,C22:C26)</f>
        <v/>
      </c>
      <c r="G26" s="10">
        <f>_xlfn.TEXTJOIN("|",TRUE,D22:D26)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2021-07-07T02:52:00Z</dcterms:created>
  <dcterms:modified xmlns:dcterms="http://purl.org/dc/terms/" xmlns:xsi="http://www.w3.org/2001/XMLSchema-instance" xsi:type="dcterms:W3CDTF">2026-01-12T03:12:27Z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