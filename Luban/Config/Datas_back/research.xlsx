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305" windowHeight="1102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炼丹房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J12" sqref="J12"/>
    </sheetView>
  </sheetViews>
  <sheetFormatPr baseColWidth="8" defaultColWidth="9" defaultRowHeight="13.5"/>
  <cols>
    <col width="9" customWidth="1" style="3" min="1" max="1"/>
    <col width="10.125" customWidth="1" style="3" min="2" max="2"/>
    <col width="9" customWidth="1" style="3" min="3" max="3"/>
    <col width="29.625" customWidth="1" style="3" min="4" max="4"/>
    <col width="9" customWidth="1" style="3" min="5" max="16384"/>
  </cols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param</t>
        </is>
      </c>
    </row>
    <row r="2" ht="40.5" customHeight="1" s="5">
      <c r="A2" s="0" t="inlineStr">
        <is>
          <t>##type</t>
        </is>
      </c>
      <c r="B2" s="0" t="inlineStr">
        <is>
          <t>string</t>
        </is>
      </c>
      <c r="C2" s="0" t="inlineStr">
        <is>
          <t>string</t>
        </is>
      </c>
      <c r="D2" s="0" t="inlineStr">
        <is>
          <t>string</t>
        </is>
      </c>
    </row>
    <row r="3">
      <c r="A3" s="0" t="inlineStr">
        <is>
          <t>##</t>
        </is>
      </c>
      <c r="B3" s="3" t="inlineStr">
        <is>
          <t>id</t>
        </is>
      </c>
      <c r="C3" s="3" t="inlineStr">
        <is>
          <t>name</t>
        </is>
      </c>
      <c r="D3" s="3" t="inlineStr">
        <is>
          <t>param</t>
        </is>
      </c>
    </row>
    <row r="4">
      <c r="B4" s="3" t="n">
        <v>1</v>
      </c>
      <c r="C4" s="3" t="inlineStr">
        <is>
          <t>炼丹房</t>
        </is>
      </c>
      <c r="D4" s="3" t="inlineStr">
        <is>
          <t>10001|10002|10003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tabSelected="1" topLeftCell="A4" workbookViewId="0">
      <selection activeCell="D9" sqref="D9:G9"/>
    </sheetView>
  </sheetViews>
  <sheetFormatPr baseColWidth="8" defaultColWidth="9" defaultRowHeight="13.5"/>
  <cols>
    <col width="9" customWidth="1" style="2" min="1" max="3"/>
    <col width="16.5" customWidth="1" style="2" min="4" max="4"/>
    <col width="9" customWidth="1" style="2" min="5" max="6"/>
    <col width="21" customWidth="1" style="2" min="7" max="7"/>
    <col width="20.75" customWidth="1" style="2" min="8" max="8"/>
    <col width="15.375" customWidth="1" style="2" min="9" max="9"/>
    <col width="18.375" customWidth="1" style="2" min="10" max="10"/>
    <col width="9" customWidth="1" style="2" min="11" max="11"/>
    <col width="18.375" customWidth="1" style="2" min="12" max="12"/>
    <col width="11.25" customWidth="1" style="2" min="13" max="13"/>
    <col width="9" customWidth="1" style="2" min="14" max="17"/>
    <col width="5.375" customWidth="1" style="2" min="18" max="18"/>
    <col width="4.875" customWidth="1" style="2" min="19" max="19"/>
    <col width="8.375" customWidth="1" style="2" min="20" max="21"/>
    <col width="9" customWidth="1" style="2" min="22" max="16384"/>
  </cols>
  <sheetData>
    <row r="1">
      <c r="A1" s="2" t="inlineStr">
        <is>
          <t>炼丹房</t>
        </is>
      </c>
    </row>
    <row r="2">
      <c r="B2" s="2" t="inlineStr">
        <is>
          <t>研究代号</t>
        </is>
      </c>
      <c r="C2" s="2" t="inlineStr">
        <is>
          <t>总等级</t>
        </is>
      </c>
      <c r="D2" s="2" t="inlineStr">
        <is>
          <t>描述</t>
        </is>
      </c>
      <c r="E2" s="2" t="inlineStr">
        <is>
          <t>参数</t>
        </is>
      </c>
      <c r="F2" s="2" t="inlineStr">
        <is>
          <t>扩建时间</t>
        </is>
      </c>
      <c r="G2" s="2" t="inlineStr">
        <is>
          <t>扩建价格</t>
        </is>
      </c>
      <c r="J2" s="2" t="inlineStr">
        <is>
          <t>实验室</t>
        </is>
      </c>
      <c r="K2" s="2" t="inlineStr">
        <is>
          <t>研究代号</t>
        </is>
      </c>
      <c r="L2" s="2" t="inlineStr">
        <is>
          <t>总等级</t>
        </is>
      </c>
      <c r="M2" s="2" t="inlineStr">
        <is>
          <t>描述</t>
        </is>
      </c>
      <c r="N2" s="2" t="inlineStr">
        <is>
          <t>参数</t>
        </is>
      </c>
      <c r="O2" s="2" t="inlineStr">
        <is>
          <t>扩建时间</t>
        </is>
      </c>
      <c r="P2" s="2" t="inlineStr">
        <is>
          <t>扩建价格</t>
        </is>
      </c>
      <c r="Q2" s="2" t="inlineStr">
        <is>
          <t>合并</t>
        </is>
      </c>
      <c r="T2" s="2" t="inlineStr">
        <is>
          <t>精研室</t>
        </is>
      </c>
      <c r="U2" s="2" t="inlineStr">
        <is>
          <t>研究代号</t>
        </is>
      </c>
      <c r="V2" s="2" t="inlineStr">
        <is>
          <t>总等级</t>
        </is>
      </c>
      <c r="W2" s="2" t="inlineStr">
        <is>
          <t>描述</t>
        </is>
      </c>
      <c r="Y2" s="2" t="inlineStr">
        <is>
          <t>扩建时间</t>
        </is>
      </c>
      <c r="Z2" s="2" t="inlineStr">
        <is>
          <t>扩建价格</t>
        </is>
      </c>
      <c r="AA2" s="2" t="inlineStr">
        <is>
          <t>合并</t>
        </is>
      </c>
    </row>
    <row r="3" ht="94.5" customHeight="1" s="5">
      <c r="A3" s="2" t="inlineStr">
        <is>
          <t>丹炉扩建</t>
        </is>
      </c>
      <c r="B3" s="2" t="n">
        <v>10001</v>
      </c>
      <c r="C3" s="2" t="n">
        <v>6</v>
      </c>
      <c r="D3" s="4" t="inlineStr">
        <is>
          <t>丹炉数量上限为4</t>
        </is>
      </c>
      <c r="E3" s="2" t="n">
        <v>4</v>
      </c>
      <c r="F3" s="2" t="n">
        <v>7</v>
      </c>
      <c r="G3" s="2" t="n">
        <v>200</v>
      </c>
      <c r="I3" s="2" t="inlineStr">
        <is>
          <t>实验室</t>
        </is>
      </c>
      <c r="J3" s="2" t="n">
        <v>1</v>
      </c>
      <c r="K3" s="2" t="n">
        <v>10002</v>
      </c>
      <c r="L3" s="2" t="n">
        <v>3</v>
      </c>
      <c r="M3" s="2" t="inlineStr">
        <is>
          <t>扩展以建造出更多丹炉</t>
        </is>
      </c>
      <c r="N3" s="2" t="n">
        <v>10001</v>
      </c>
      <c r="O3" s="2" t="n">
        <v>7</v>
      </c>
      <c r="P3" s="2" t="n">
        <v>200</v>
      </c>
      <c r="Q3" s="2">
        <f>I3&amp;"|"&amp;J3&amp;"|"&amp;K3&amp;"|"&amp;L3&amp;"|"&amp;M3&amp;"|"&amp;N3&amp;"|"&amp;O3&amp;"|"&amp;P3</f>
        <v/>
      </c>
      <c r="S3" s="2" t="inlineStr">
        <is>
          <t>精研室</t>
        </is>
      </c>
      <c r="T3" s="2" t="n">
        <v>1</v>
      </c>
      <c r="U3" s="2" t="n">
        <v>10003</v>
      </c>
      <c r="V3" s="2" t="n">
        <v>1</v>
      </c>
      <c r="W3" s="2" t="inlineStr">
        <is>
          <t>升级以提高丹药品质</t>
        </is>
      </c>
      <c r="X3" s="2" t="n">
        <v>10001</v>
      </c>
      <c r="Y3" s="2" t="n">
        <v>7</v>
      </c>
      <c r="Z3" s="2" t="n">
        <v>200</v>
      </c>
      <c r="AA3" s="2">
        <f>S3&amp;"|"&amp;U3&amp;"|"&amp;T3&amp;"|"&amp;V3&amp;"|"&amp;W3&amp;"|"&amp;X3&amp;"|"&amp;Y3&amp;"|"&amp;Z3</f>
        <v/>
      </c>
    </row>
    <row r="4" ht="94.5" customHeight="1" s="5">
      <c r="A4" s="2" t="inlineStr">
        <is>
          <t>丹炉扩建</t>
        </is>
      </c>
      <c r="B4" s="2" t="n">
        <v>10001</v>
      </c>
      <c r="C4" s="2" t="n">
        <v>6</v>
      </c>
      <c r="D4" s="4" t="inlineStr">
        <is>
          <t>丹炉数量上限为8</t>
        </is>
      </c>
      <c r="E4" s="2" t="n">
        <v>8</v>
      </c>
      <c r="F4" s="2" t="n">
        <v>24</v>
      </c>
      <c r="G4" s="2" t="n">
        <v>500</v>
      </c>
      <c r="I4" s="2" t="inlineStr">
        <is>
          <t>实验室</t>
        </is>
      </c>
      <c r="J4" s="2" t="n">
        <v>2</v>
      </c>
      <c r="K4" s="2" t="n">
        <v>10002</v>
      </c>
      <c r="L4" s="2" t="n">
        <v>3</v>
      </c>
      <c r="M4" s="4" t="inlineStr">
        <is>
          <t>可建造月灵矿炉</t>
        </is>
      </c>
      <c r="N4" s="2" t="n">
        <v>10004</v>
      </c>
      <c r="O4" s="2" t="n">
        <v>24</v>
      </c>
      <c r="P4" s="2" t="n">
        <v>500</v>
      </c>
      <c r="Q4" s="2">
        <f>I4&amp;"|"&amp;J4&amp;"|"&amp;K4&amp;"|"&amp;L4&amp;"|"&amp;M4&amp;"|"&amp;N4&amp;"|"&amp;O4&amp;"|"&amp;P4</f>
        <v/>
      </c>
    </row>
    <row r="5" ht="94.5" customHeight="1" s="5">
      <c r="C5" s="1" t="n">
        <v>6</v>
      </c>
      <c r="D5" s="1">
        <f>D3&amp;"|"&amp;D4&amp;"|"&amp;D5&amp;"|"&amp;D6&amp;"|"&amp;D7&amp;"|"&amp;D8</f>
        <v/>
      </c>
      <c r="E5" s="1">
        <f>E3&amp;"|"&amp;E4&amp;"|"&amp;E5&amp;"|"&amp;E6&amp;"|"&amp;E7&amp;"|"&amp;E8</f>
        <v/>
      </c>
      <c r="F5" s="1">
        <f>F3&amp;"|"&amp;F4&amp;"|"&amp;F5&amp;"|"&amp;F6&amp;"|"&amp;F7&amp;"|"&amp;F8</f>
        <v/>
      </c>
      <c r="G5" s="1">
        <f>G3&amp;"|"&amp;G4&amp;"|"&amp;G5&amp;"|"&amp;G6&amp;"|"&amp;G7&amp;"|"&amp;G8</f>
        <v/>
      </c>
      <c r="L5" s="1" t="n">
        <v>3</v>
      </c>
      <c r="M5" s="1">
        <f>M3&amp;"|"&amp;M4&amp;"|"&amp;M5&amp;"|"&amp;M6&amp;"|"&amp;M7&amp;"|"&amp;M8</f>
        <v/>
      </c>
      <c r="N5" s="1">
        <f>N3&amp;"|"&amp;N4&amp;"|"&amp;N5&amp;"|"&amp;N6&amp;"|"&amp;N7&amp;"|"&amp;N8</f>
        <v/>
      </c>
      <c r="O5" s="1">
        <f>O3&amp;"|"&amp;O4&amp;"|"&amp;O5&amp;"|"&amp;O6&amp;"|"&amp;O7&amp;"|"&amp;O8</f>
        <v/>
      </c>
      <c r="P5" s="1">
        <f>P3&amp;"|"&amp;P4&amp;"|"&amp;P5&amp;"|"&amp;P6&amp;"|"&amp;P7&amp;"|"&amp;P8</f>
        <v/>
      </c>
      <c r="Q5" s="1">
        <f>Q3&amp;"$"&amp;Q4&amp;"$"&amp;Q5&amp;"$"&amp;Q6&amp;"$"&amp;Q7&amp;"$"&amp;Q8</f>
        <v/>
      </c>
      <c r="V5" s="1" t="n">
        <v>1</v>
      </c>
      <c r="W5" s="1">
        <f>W3&amp;"|"&amp;W4&amp;"|"&amp;W5&amp;"|"&amp;W6&amp;"|"&amp;W7&amp;"|"&amp;W8</f>
        <v/>
      </c>
      <c r="X5" s="1">
        <f>X3&amp;"|"&amp;X4&amp;"|"&amp;X5&amp;"|"&amp;X6&amp;"|"&amp;X7&amp;"|"&amp;X8</f>
        <v/>
      </c>
      <c r="Y5" s="1">
        <f>Y3&amp;"|"&amp;Y4&amp;"|"&amp;Y5&amp;"|"&amp;Y6&amp;"|"&amp;Y7&amp;"|"&amp;Y8</f>
        <v/>
      </c>
      <c r="Z5" s="1">
        <f>Z3&amp;"|"&amp;Z4&amp;"|"&amp;Z5&amp;"|"&amp;Z6&amp;"|"&amp;Z7&amp;"|"&amp;Z8</f>
        <v/>
      </c>
      <c r="AA5" s="1">
        <f>AA3&amp;"$"&amp;AA4&amp;"$"&amp;AA5&amp;"$"&amp;AA6&amp;"$"&amp;AA7&amp;"$"&amp;AA8</f>
        <v/>
      </c>
    </row>
    <row r="9" ht="186" customFormat="1" customHeight="1" s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2021-10-10T01:58:00Z</dcterms:created>
  <dcterms:modified xmlns:dcterms="http://purl.org/dc/terms/" xmlns:xsi="http://www.w3.org/2001/XMLSchema-instance" xsi:type="dcterms:W3CDTF">2026-01-12T03:33:45Z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