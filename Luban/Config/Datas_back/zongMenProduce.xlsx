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415" windowHeight="1012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Helvetica"/>
      <family val="2"/>
      <color rgb="FF000000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topLeftCell="B1" workbookViewId="0">
      <selection activeCell="E11" sqref="E11"/>
    </sheetView>
  </sheetViews>
  <sheetFormatPr baseColWidth="8" defaultColWidth="9" defaultRowHeight="13.5"/>
  <cols>
    <col width="9" customWidth="1" style="3" min="1" max="1"/>
    <col width="13.5" customWidth="1" style="3" min="2" max="2"/>
    <col width="23.5" customWidth="1" style="3" min="3" max="3"/>
    <col width="43.5" customWidth="1" style="3" min="4" max="4"/>
    <col width="14.875" customWidth="1" style="3" min="5" max="5"/>
    <col width="14.25" customWidth="1" style="3" min="6" max="6"/>
    <col width="19.25" customWidth="1" style="3" min="7" max="7"/>
    <col width="17.375" customWidth="1" style="3" min="8" max="8"/>
    <col width="46.5" customWidth="1" style="3" min="9" max="9"/>
    <col width="29" customWidth="1" style="3" min="10" max="10"/>
    <col width="9" customWidth="1" style="3" min="1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limitPerLevel</t>
        </is>
      </c>
      <c r="F1" t="inlineStr">
        <is>
          <t>inPut</t>
        </is>
      </c>
      <c r="G1" t="inlineStr">
        <is>
          <t>outPut</t>
        </is>
      </c>
      <c r="H1" t="inlineStr">
        <is>
          <t>oneStudentAddFood</t>
        </is>
      </c>
      <c r="I1" t="inlineStr">
        <is>
          <t>upgradeCostId</t>
        </is>
      </c>
      <c r="J1" t="inlineStr">
        <is>
          <t>upgradeCost</t>
        </is>
      </c>
      <c r="K1" t="inlineStr">
        <is>
          <t>studentLimit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s="3" t="inlineStr">
        <is>
          <t>id</t>
        </is>
      </c>
      <c r="C3" s="3" t="inlineStr">
        <is>
          <t>name</t>
        </is>
      </c>
      <c r="D3" s="3" t="inlineStr">
        <is>
          <t>des</t>
        </is>
      </c>
      <c r="E3" s="3" t="inlineStr">
        <is>
          <t>limitPerLevel</t>
        </is>
      </c>
      <c r="F3" s="3" t="inlineStr">
        <is>
          <t>inPut</t>
        </is>
      </c>
      <c r="G3" s="3" t="inlineStr">
        <is>
          <t>outPut</t>
        </is>
      </c>
      <c r="H3" s="3" t="inlineStr">
        <is>
          <t>oneStudentAddFood</t>
        </is>
      </c>
      <c r="I3" s="3" t="inlineStr">
        <is>
          <t>upgradeCostId</t>
        </is>
      </c>
      <c r="J3" s="3" t="inlineStr">
        <is>
          <t>upgradeCost</t>
        </is>
      </c>
      <c r="K3" s="3" t="inlineStr">
        <is>
          <t>studentLimit</t>
        </is>
      </c>
    </row>
    <row r="4">
      <c r="B4" s="3" t="n">
        <v>10001</v>
      </c>
      <c r="C4" s="3" t="inlineStr">
        <is>
          <t>食物</t>
        </is>
      </c>
      <c r="D4" s="3" t="inlineStr">
        <is>
          <t>1仆从增加食物</t>
        </is>
      </c>
      <c r="E4" s="3" t="inlineStr">
        <is>
          <t>200|300|400|500|600|700|800|900|1000|1100</t>
        </is>
      </c>
      <c r="G4" s="3" t="n">
        <v>60001</v>
      </c>
      <c r="H4" s="3" t="n">
        <v>1</v>
      </c>
      <c r="I4" s="3" t="n">
        <v>60004</v>
      </c>
      <c r="J4" s="3" t="inlineStr">
        <is>
          <t>5|20|45|80|125|180|245|320|405|500</t>
        </is>
      </c>
      <c r="K4" s="3" t="inlineStr">
        <is>
          <t>3|6|9|12|15|18|21|24|27|30</t>
        </is>
      </c>
    </row>
    <row r="5">
      <c r="B5" s="3" t="n">
        <v>10002</v>
      </c>
      <c r="C5" s="3" t="inlineStr">
        <is>
          <t>农具</t>
        </is>
      </c>
      <c r="D5" s="3" t="inlineStr">
        <is>
          <t>1仆从消耗食物</t>
        </is>
      </c>
      <c r="E5" s="3" t="inlineStr">
        <is>
          <t>100|200|300|400|500|600|700|800|900|1000</t>
        </is>
      </c>
      <c r="F5" s="3" t="n">
        <v>60001</v>
      </c>
      <c r="G5" s="3" t="n">
        <v>60004</v>
      </c>
      <c r="H5" s="3" t="n">
        <v>-2</v>
      </c>
      <c r="I5" s="3" t="n">
        <v>60002</v>
      </c>
      <c r="J5" s="3" t="inlineStr">
        <is>
          <t>50|200|450|800|1250|1800|2450|3200|4050|5000</t>
        </is>
      </c>
      <c r="K5" s="3" t="inlineStr">
        <is>
          <t>3|6|9|12|15|18|21|24|27|30</t>
        </is>
      </c>
    </row>
    <row r="6">
      <c r="B6" s="3" t="n">
        <v>10003</v>
      </c>
      <c r="C6" s="3" t="inlineStr">
        <is>
          <t>昆仑木</t>
        </is>
      </c>
      <c r="D6" s="3" t="inlineStr">
        <is>
          <t>1仆从消耗食物</t>
        </is>
      </c>
      <c r="E6" s="3" t="inlineStr">
        <is>
          <t>100|200|300|400|500|600|700|800|900|1000</t>
        </is>
      </c>
      <c r="F6" s="3" t="n">
        <v>60001</v>
      </c>
      <c r="G6" s="3" t="n">
        <v>60002</v>
      </c>
      <c r="H6" s="3" t="n">
        <v>-4</v>
      </c>
      <c r="I6" s="3" t="n">
        <v>60002</v>
      </c>
      <c r="J6" s="3" t="inlineStr">
        <is>
          <t>50|200|450|800|1250|1800|2450|3200|4050|5000</t>
        </is>
      </c>
      <c r="K6" s="3" t="inlineStr">
        <is>
          <t>3|6|9|12|15|18|21|24|27|30</t>
        </is>
      </c>
    </row>
    <row r="7">
      <c r="B7" s="3" t="n">
        <v>10004</v>
      </c>
      <c r="C7" s="3" t="inlineStr">
        <is>
          <t>昆仑石</t>
        </is>
      </c>
      <c r="D7" s="3" t="inlineStr">
        <is>
          <t>1仆从消耗食物</t>
        </is>
      </c>
      <c r="E7" s="3" t="inlineStr">
        <is>
          <t>100|200|300|400|500|600|700|800|900|1000</t>
        </is>
      </c>
      <c r="F7" s="3" t="n">
        <v>60001</v>
      </c>
      <c r="G7" s="3" t="n">
        <v>60003</v>
      </c>
      <c r="H7" s="3" t="n">
        <v>-6</v>
      </c>
      <c r="I7" s="3" t="n">
        <v>60002</v>
      </c>
      <c r="J7" s="3" t="inlineStr">
        <is>
          <t>60|240|540|960|1500|2160|2940|3840|4860|6000</t>
        </is>
      </c>
      <c r="K7" s="3" t="inlineStr">
        <is>
          <t>3|6|9|12|15|18|21|24|27|30</t>
        </is>
      </c>
    </row>
    <row r="8">
      <c r="B8" s="3" t="n">
        <v>10005</v>
      </c>
      <c r="C8" s="3" t="inlineStr">
        <is>
          <t>灵石</t>
        </is>
      </c>
      <c r="D8" s="3" t="inlineStr">
        <is>
          <t>1仆从消耗食物</t>
        </is>
      </c>
      <c r="E8" s="3" t="inlineStr">
        <is>
          <t>100|200|300|400|500|600|700|800|900|1000</t>
        </is>
      </c>
      <c r="F8" s="3" t="n">
        <v>60001</v>
      </c>
      <c r="G8" s="3" t="n">
        <v>10001</v>
      </c>
      <c r="H8" s="3" t="n">
        <v>-10</v>
      </c>
      <c r="I8" s="3" t="n">
        <v>60002</v>
      </c>
      <c r="J8" s="3" t="inlineStr">
        <is>
          <t>60|240|540|960|1500|2160|2940|3840|4860|6000</t>
        </is>
      </c>
      <c r="K8" s="3" t="inlineStr">
        <is>
          <t>3|6|9|12|15|18|21|24|27|30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topLeftCell="D3" workbookViewId="0">
      <selection activeCell="O27" sqref="O27:O36"/>
    </sheetView>
  </sheetViews>
  <sheetFormatPr baseColWidth="8" defaultColWidth="9" defaultRowHeight="13.5"/>
  <cols>
    <col width="13.25" customWidth="1" style="1" min="1" max="1"/>
    <col width="9" customWidth="1" style="1" min="2" max="5"/>
    <col width="42.875" customWidth="1" style="1" min="6" max="6"/>
    <col width="13.5" customWidth="1" style="1" min="7" max="7"/>
    <col width="9" customWidth="1" style="1" min="8" max="11"/>
    <col width="7" customWidth="1" style="1" min="12" max="12"/>
    <col width="45.5" customWidth="1" style="1" min="13" max="13"/>
    <col width="9" customWidth="1" style="1" min="14" max="16384"/>
  </cols>
  <sheetData>
    <row r="1" ht="27" customHeight="1" s="4">
      <c r="A1" s="1" t="inlineStr">
        <is>
          <t>食物</t>
        </is>
      </c>
      <c r="F1" s="1" t="inlineStr">
        <is>
          <t>升级增加上限</t>
        </is>
      </c>
      <c r="G1" s="1" t="inlineStr">
        <is>
          <t>升级农具消耗</t>
        </is>
      </c>
      <c r="O1" s="1" t="inlineStr">
        <is>
          <t>弟子每级上限</t>
        </is>
      </c>
    </row>
    <row r="2">
      <c r="A2" s="1" t="inlineStr">
        <is>
          <t>食物每级上限</t>
        </is>
      </c>
      <c r="B2" s="1" t="n">
        <v>100</v>
      </c>
      <c r="C2" s="1" t="n">
        <v>1</v>
      </c>
      <c r="D2" s="1" t="n">
        <v>200</v>
      </c>
      <c r="E2" s="1">
        <f>D2</f>
        <v/>
      </c>
      <c r="F2" s="1">
        <f>E2&amp;"|"&amp;E3&amp;"|"&amp;E4&amp;"|"&amp;E5&amp;"|"&amp;E6&amp;"|"&amp;E7&amp;"|"&amp;E8&amp;"|"&amp;E9&amp;"|"&amp;E10&amp;"|"&amp;E11</f>
        <v/>
      </c>
      <c r="H2" s="1" t="n">
        <v>5</v>
      </c>
      <c r="I2" s="1" t="n">
        <v>2</v>
      </c>
      <c r="J2" s="1" t="n">
        <v>1</v>
      </c>
      <c r="L2" s="2">
        <f>$H$2*POWER(J2,$I$2)</f>
        <v/>
      </c>
      <c r="M2" s="1">
        <f>L2&amp;"|"&amp;L3&amp;"|"&amp;L4&amp;"|"&amp;L5&amp;"|"&amp;L6&amp;"|"&amp;L7&amp;"|"&amp;L8&amp;"|"&amp;L9&amp;"|"&amp;L10&amp;"|"&amp;L11</f>
        <v/>
      </c>
      <c r="O2" s="1" t="n">
        <v>3</v>
      </c>
    </row>
    <row r="3">
      <c r="C3" s="1" t="n">
        <v>2</v>
      </c>
      <c r="E3" s="1">
        <f>C2*$B$2+$D$2</f>
        <v/>
      </c>
      <c r="J3" s="1" t="n">
        <v>2</v>
      </c>
      <c r="L3" s="2">
        <f>$H$2*POWER(J3,$I$2)</f>
        <v/>
      </c>
      <c r="O3" s="1" t="n">
        <v>6</v>
      </c>
    </row>
    <row r="4">
      <c r="C4" s="1" t="n">
        <v>3</v>
      </c>
      <c r="E4" s="1">
        <f>C3*$B$2+$D$2</f>
        <v/>
      </c>
      <c r="J4" s="1" t="n">
        <v>3</v>
      </c>
      <c r="L4" s="2">
        <f>$H$2*POWER(J4,$I$2)</f>
        <v/>
      </c>
      <c r="O4" s="1" t="n">
        <v>9</v>
      </c>
    </row>
    <row r="5">
      <c r="C5" s="1" t="n">
        <v>4</v>
      </c>
      <c r="E5" s="1">
        <f>C4*$B$2+$D$2</f>
        <v/>
      </c>
      <c r="J5" s="1" t="n">
        <v>4</v>
      </c>
      <c r="L5" s="2">
        <f>$H$2*POWER(J5,$I$2)</f>
        <v/>
      </c>
      <c r="O5" s="1" t="n">
        <v>12</v>
      </c>
    </row>
    <row r="6">
      <c r="C6" s="1" t="n">
        <v>5</v>
      </c>
      <c r="E6" s="1">
        <f>C5*$B$2+$D$2</f>
        <v/>
      </c>
      <c r="J6" s="1" t="n">
        <v>5</v>
      </c>
      <c r="L6" s="2">
        <f>$H$2*POWER(J6,$I$2)</f>
        <v/>
      </c>
      <c r="O6" s="1" t="n">
        <v>15</v>
      </c>
    </row>
    <row r="7">
      <c r="C7" s="1" t="n">
        <v>6</v>
      </c>
      <c r="E7" s="1">
        <f>C6*$B$2+$D$2</f>
        <v/>
      </c>
      <c r="J7" s="1" t="n">
        <v>6</v>
      </c>
      <c r="L7" s="2">
        <f>$H$2*POWER(J7,$I$2)</f>
        <v/>
      </c>
      <c r="O7" s="1" t="n">
        <v>18</v>
      </c>
    </row>
    <row r="8">
      <c r="C8" s="1" t="n">
        <v>7</v>
      </c>
      <c r="E8" s="1">
        <f>C7*$B$2+$D$2</f>
        <v/>
      </c>
      <c r="J8" s="1" t="n">
        <v>7</v>
      </c>
      <c r="L8" s="2">
        <f>$H$2*POWER(J8,$I$2)</f>
        <v/>
      </c>
      <c r="O8" s="1" t="n">
        <v>21</v>
      </c>
    </row>
    <row r="9">
      <c r="C9" s="1" t="n">
        <v>8</v>
      </c>
      <c r="E9" s="1">
        <f>C8*$B$2+$D$2</f>
        <v/>
      </c>
      <c r="J9" s="1" t="n">
        <v>8</v>
      </c>
      <c r="L9" s="2">
        <f>$H$2*POWER(J9,$I$2)</f>
        <v/>
      </c>
      <c r="O9" s="1" t="n">
        <v>24</v>
      </c>
    </row>
    <row r="10">
      <c r="C10" s="1" t="n">
        <v>9</v>
      </c>
      <c r="E10" s="1">
        <f>C9*$B$2+$D$2</f>
        <v/>
      </c>
      <c r="J10" s="1" t="n">
        <v>9</v>
      </c>
      <c r="L10" s="2">
        <f>$H$2*POWER(J10,$I$2)</f>
        <v/>
      </c>
      <c r="O10" s="1" t="n">
        <v>27</v>
      </c>
    </row>
    <row r="11">
      <c r="C11" s="1" t="n">
        <v>10</v>
      </c>
      <c r="E11" s="1">
        <f>C10*$B$2+$D$2</f>
        <v/>
      </c>
      <c r="J11" s="1" t="n">
        <v>10</v>
      </c>
      <c r="L11" s="2">
        <f>$H$2*POWER(J11,$I$2)</f>
        <v/>
      </c>
      <c r="O11" s="1" t="n">
        <v>30</v>
      </c>
    </row>
    <row r="13">
      <c r="A13" s="1" t="inlineStr">
        <is>
          <t>农具</t>
        </is>
      </c>
      <c r="F13" s="1" t="inlineStr">
        <is>
          <t>升级增加上限</t>
        </is>
      </c>
      <c r="G13" s="1" t="inlineStr">
        <is>
          <t>升级木材消耗</t>
        </is>
      </c>
    </row>
    <row r="14">
      <c r="B14" s="1" t="n">
        <v>100</v>
      </c>
      <c r="C14" s="1" t="n">
        <v>1</v>
      </c>
      <c r="D14" s="1" t="n">
        <v>100</v>
      </c>
      <c r="E14" s="1">
        <f>D14</f>
        <v/>
      </c>
      <c r="F14" s="1">
        <f>E14&amp;"|"&amp;E15&amp;"|"&amp;E16&amp;"|"&amp;E17&amp;"|"&amp;E18&amp;"|"&amp;E19&amp;"|"&amp;E20&amp;"|"&amp;E21&amp;"|"&amp;E22&amp;"|"&amp;E23</f>
        <v/>
      </c>
      <c r="H14" s="1" t="n">
        <v>50</v>
      </c>
      <c r="I14" s="1" t="n">
        <v>2</v>
      </c>
      <c r="J14" s="1" t="n">
        <v>1</v>
      </c>
      <c r="L14" s="2">
        <f>$H$14*POWER(J14,$I$14)</f>
        <v/>
      </c>
      <c r="M14" s="1">
        <f>L14&amp;"|"&amp;L15&amp;"|"&amp;L16&amp;"|"&amp;L17&amp;"|"&amp;L18&amp;"|"&amp;L19&amp;"|"&amp;L20&amp;"|"&amp;L21&amp;"|"&amp;L22&amp;"|"&amp;L23</f>
        <v/>
      </c>
      <c r="O14" s="1" t="n">
        <v>3</v>
      </c>
    </row>
    <row r="15">
      <c r="C15" s="1" t="n">
        <v>2</v>
      </c>
      <c r="E15" s="1">
        <f>C14*$B$14+$D$14</f>
        <v/>
      </c>
      <c r="J15" s="1" t="n">
        <v>2</v>
      </c>
      <c r="L15" s="2">
        <f>$H$14*POWER(J15,$I$14)</f>
        <v/>
      </c>
      <c r="O15" s="1" t="n">
        <v>6</v>
      </c>
    </row>
    <row r="16">
      <c r="C16" s="1" t="n">
        <v>3</v>
      </c>
      <c r="E16" s="1">
        <f>C15*$B$14+$D$14</f>
        <v/>
      </c>
      <c r="J16" s="1" t="n">
        <v>3</v>
      </c>
      <c r="L16" s="2">
        <f>$H$14*POWER(J16,$I$14)</f>
        <v/>
      </c>
      <c r="O16" s="1" t="n">
        <v>9</v>
      </c>
    </row>
    <row r="17">
      <c r="C17" s="1" t="n">
        <v>4</v>
      </c>
      <c r="E17" s="1">
        <f>C16*$B$14+$D$14</f>
        <v/>
      </c>
      <c r="J17" s="1" t="n">
        <v>4</v>
      </c>
      <c r="L17" s="2">
        <f>$H$14*POWER(J17,$I$14)</f>
        <v/>
      </c>
      <c r="O17" s="1" t="n">
        <v>12</v>
      </c>
    </row>
    <row r="18">
      <c r="C18" s="1" t="n">
        <v>5</v>
      </c>
      <c r="E18" s="1">
        <f>C17*$B$14+$D$14</f>
        <v/>
      </c>
      <c r="J18" s="1" t="n">
        <v>5</v>
      </c>
      <c r="L18" s="2">
        <f>$H$14*POWER(J18,$I$14)</f>
        <v/>
      </c>
      <c r="O18" s="1" t="n">
        <v>15</v>
      </c>
    </row>
    <row r="19">
      <c r="C19" s="1" t="n">
        <v>6</v>
      </c>
      <c r="E19" s="1">
        <f>C18*$B$14+$D$14</f>
        <v/>
      </c>
      <c r="J19" s="1" t="n">
        <v>6</v>
      </c>
      <c r="L19" s="2">
        <f>$H$14*POWER(J19,$I$14)</f>
        <v/>
      </c>
      <c r="O19" s="1" t="n">
        <v>18</v>
      </c>
    </row>
    <row r="20">
      <c r="C20" s="1" t="n">
        <v>7</v>
      </c>
      <c r="E20" s="1">
        <f>C19*$B$14+$D$14</f>
        <v/>
      </c>
      <c r="J20" s="1" t="n">
        <v>7</v>
      </c>
      <c r="L20" s="2">
        <f>$H$14*POWER(J20,$I$14)</f>
        <v/>
      </c>
      <c r="O20" s="1" t="n">
        <v>21</v>
      </c>
    </row>
    <row r="21">
      <c r="C21" s="1" t="n">
        <v>8</v>
      </c>
      <c r="E21" s="1">
        <f>C20*$B$14+$D$14</f>
        <v/>
      </c>
      <c r="J21" s="1" t="n">
        <v>8</v>
      </c>
      <c r="L21" s="2">
        <f>$H$14*POWER(J21,$I$14)</f>
        <v/>
      </c>
      <c r="O21" s="1" t="n">
        <v>24</v>
      </c>
    </row>
    <row r="22">
      <c r="C22" s="1" t="n">
        <v>9</v>
      </c>
      <c r="E22" s="1">
        <f>C21*$B$14+$D$14</f>
        <v/>
      </c>
      <c r="J22" s="1" t="n">
        <v>9</v>
      </c>
      <c r="L22" s="2">
        <f>$H$14*POWER(J22,$I$14)</f>
        <v/>
      </c>
      <c r="O22" s="1" t="n">
        <v>27</v>
      </c>
    </row>
    <row r="23">
      <c r="C23" s="1" t="n">
        <v>10</v>
      </c>
      <c r="E23" s="1">
        <f>C22*$B$14+$D$14</f>
        <v/>
      </c>
      <c r="J23" s="1" t="n">
        <v>10</v>
      </c>
      <c r="L23" s="2">
        <f>$H$14*POWER(J23,$I$14)</f>
        <v/>
      </c>
      <c r="O23" s="1" t="n">
        <v>30</v>
      </c>
    </row>
    <row r="26">
      <c r="A26" s="1" t="inlineStr">
        <is>
          <t>昆仑石</t>
        </is>
      </c>
      <c r="F26" s="1" t="inlineStr">
        <is>
          <t>升级增加上限</t>
        </is>
      </c>
      <c r="G26" s="1" t="inlineStr">
        <is>
          <t>升级木材消耗</t>
        </is>
      </c>
    </row>
    <row r="27">
      <c r="B27" s="1" t="n">
        <v>100</v>
      </c>
      <c r="C27" s="1" t="n">
        <v>1</v>
      </c>
      <c r="D27" s="1" t="n">
        <v>100</v>
      </c>
      <c r="E27" s="1">
        <f>D27</f>
        <v/>
      </c>
      <c r="F27" s="1">
        <f>E27&amp;"|"&amp;E28&amp;"|"&amp;E29&amp;"|"&amp;E30&amp;"|"&amp;E31&amp;"|"&amp;E32&amp;"|"&amp;E33&amp;"|"&amp;E34&amp;"|"&amp;E35&amp;"|"&amp;E36</f>
        <v/>
      </c>
      <c r="H27" s="1" t="n">
        <v>60</v>
      </c>
      <c r="I27" s="1" t="n">
        <v>2</v>
      </c>
      <c r="J27" s="1" t="n">
        <v>1</v>
      </c>
      <c r="L27" s="2">
        <f>$H$27*POWER(J27,$I$27)</f>
        <v/>
      </c>
      <c r="M27" s="1">
        <f>L27&amp;"|"&amp;L28&amp;"|"&amp;L29&amp;"|"&amp;L30&amp;"|"&amp;L31&amp;"|"&amp;L32&amp;"|"&amp;L33&amp;"|"&amp;L34&amp;"|"&amp;L35&amp;"|"&amp;L36</f>
        <v/>
      </c>
      <c r="O27" s="1" t="n">
        <v>3</v>
      </c>
    </row>
    <row r="28">
      <c r="C28" s="1" t="n">
        <v>2</v>
      </c>
      <c r="E28" s="1">
        <f>C27*$B$27+$D$27</f>
        <v/>
      </c>
      <c r="J28" s="1" t="n">
        <v>2</v>
      </c>
      <c r="L28" s="2">
        <f>$H$27*POWER(J28,$I$27)</f>
        <v/>
      </c>
      <c r="O28" s="1" t="n">
        <v>6</v>
      </c>
    </row>
    <row r="29">
      <c r="C29" s="1" t="n">
        <v>3</v>
      </c>
      <c r="E29" s="1">
        <f>C28*$B$27+$D$27</f>
        <v/>
      </c>
      <c r="J29" s="1" t="n">
        <v>3</v>
      </c>
      <c r="L29" s="2">
        <f>$H$27*POWER(J29,$I$27)</f>
        <v/>
      </c>
      <c r="O29" s="1" t="n">
        <v>9</v>
      </c>
    </row>
    <row r="30">
      <c r="C30" s="1" t="n">
        <v>4</v>
      </c>
      <c r="E30" s="1">
        <f>C29*$B$27+$D$27</f>
        <v/>
      </c>
      <c r="J30" s="1" t="n">
        <v>4</v>
      </c>
      <c r="L30" s="2">
        <f>$H$27*POWER(J30,$I$27)</f>
        <v/>
      </c>
      <c r="O30" s="1" t="n">
        <v>12</v>
      </c>
    </row>
    <row r="31">
      <c r="C31" s="1" t="n">
        <v>5</v>
      </c>
      <c r="E31" s="1">
        <f>C30*$B$27+$D$27</f>
        <v/>
      </c>
      <c r="J31" s="1" t="n">
        <v>5</v>
      </c>
      <c r="L31" s="2">
        <f>$H$27*POWER(J31,$I$27)</f>
        <v/>
      </c>
      <c r="O31" s="1" t="n">
        <v>15</v>
      </c>
    </row>
    <row r="32">
      <c r="C32" s="1" t="n">
        <v>6</v>
      </c>
      <c r="E32" s="1">
        <f>C31*$B$27+$D$27</f>
        <v/>
      </c>
      <c r="J32" s="1" t="n">
        <v>6</v>
      </c>
      <c r="L32" s="2">
        <f>$H$27*POWER(J32,$I$27)</f>
        <v/>
      </c>
      <c r="O32" s="1" t="n">
        <v>18</v>
      </c>
    </row>
    <row r="33">
      <c r="C33" s="1" t="n">
        <v>7</v>
      </c>
      <c r="E33" s="1">
        <f>C32*$B$27+$D$27</f>
        <v/>
      </c>
      <c r="J33" s="1" t="n">
        <v>7</v>
      </c>
      <c r="L33" s="2">
        <f>$H$27*POWER(J33,$I$27)</f>
        <v/>
      </c>
      <c r="O33" s="1" t="n">
        <v>21</v>
      </c>
    </row>
    <row r="34">
      <c r="C34" s="1" t="n">
        <v>8</v>
      </c>
      <c r="E34" s="1">
        <f>C33*$B$27+$D$27</f>
        <v/>
      </c>
      <c r="J34" s="1" t="n">
        <v>8</v>
      </c>
      <c r="L34" s="2">
        <f>$H$27*POWER(J34,$I$27)</f>
        <v/>
      </c>
      <c r="O34" s="1" t="n">
        <v>24</v>
      </c>
    </row>
    <row r="35">
      <c r="C35" s="1" t="n">
        <v>9</v>
      </c>
      <c r="E35" s="1">
        <f>C34*$B$27+$D$27</f>
        <v/>
      </c>
      <c r="J35" s="1" t="n">
        <v>9</v>
      </c>
      <c r="L35" s="2">
        <f>$H$27*POWER(J35,$I$27)</f>
        <v/>
      </c>
      <c r="O35" s="1" t="n">
        <v>27</v>
      </c>
    </row>
    <row r="36">
      <c r="C36" s="1" t="n">
        <v>10</v>
      </c>
      <c r="E36" s="1">
        <f>C35*$B$27+$D$27</f>
        <v/>
      </c>
      <c r="J36" s="1" t="n">
        <v>10</v>
      </c>
      <c r="L36" s="2">
        <f>$H$27*POWER(J36,$I$27)</f>
        <v/>
      </c>
      <c r="O36" s="1" t="n">
        <v>30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2021-08-29T09:58:28Z</dcterms:created>
  <dcterms:modified xmlns:dcterms="http://purl.org/dc/terms/" xmlns:xsi="http://www.w3.org/2001/XMLSchema-instance" xsi:type="dcterms:W3CDTF">2026-01-12T03:12:31Z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