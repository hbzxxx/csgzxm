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675" windowWidth="25155" windowHeight="13305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关卡奖励" sheetId="2" state="visible" r:id="rId2"/>
    <sheet xmlns:r="http://schemas.openxmlformats.org/officeDocument/2006/relationships" name="固定关卡奖励" sheetId="3" state="visible" r:id="rId3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19">
    <fill>
      <patternFill/>
    </fill>
    <fill>
      <patternFill patternType="gray125"/>
    </fill>
    <fill>
      <patternFill patternType="solid">
        <fgColor theme="7" tint="0.799859614856410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8596148564104"/>
        <bgColor indexed="64"/>
      </patternFill>
    </fill>
    <fill>
      <patternFill patternType="solid">
        <fgColor theme="5" tint="0.7998596148564104"/>
        <bgColor indexed="64"/>
      </patternFill>
    </fill>
    <fill>
      <patternFill patternType="solid">
        <fgColor theme="6" tint="0.7998596148564104"/>
        <bgColor indexed="64"/>
      </patternFill>
    </fill>
    <fill>
      <patternFill patternType="solid">
        <fgColor theme="3" tint="0.79982909634693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5849482711265"/>
        <bgColor indexed="64"/>
      </patternFill>
    </fill>
    <fill>
      <patternFill patternType="solid">
        <fgColor theme="5" tint="0.7998290963469344"/>
        <bgColor indexed="64"/>
      </patternFill>
    </fill>
    <fill>
      <patternFill patternType="solid">
        <fgColor theme="6" tint="0.7998290963469344"/>
        <bgColor indexed="64"/>
      </patternFill>
    </fill>
    <fill>
      <patternFill patternType="solid">
        <fgColor theme="5" tint="0.7995849482711265"/>
        <bgColor indexed="64"/>
      </patternFill>
    </fill>
    <fill>
      <patternFill patternType="solid">
        <fgColor theme="7" tint="0.79982909634693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8901333658864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0" fillId="2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49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49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49" fontId="0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49" fontId="0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49" fontId="0" fillId="6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49" fontId="0" fillId="3" borderId="0" applyAlignment="1" pivotButton="0" quotePrefix="0" xfId="0">
      <alignment horizontal="center" vertical="center" wrapText="1"/>
    </xf>
    <xf numFmtId="49" fontId="0" fillId="3" borderId="0" applyAlignment="1" pivotButton="0" quotePrefix="0" xfId="0">
      <alignment horizontal="center" vertical="center" wrapText="1"/>
    </xf>
    <xf numFmtId="49" fontId="0" fillId="3" borderId="0" applyAlignment="1" pivotButton="0" quotePrefix="0" xfId="0">
      <alignment vertical="center" wrapText="1"/>
    </xf>
    <xf numFmtId="49" fontId="0" fillId="7" borderId="0" applyAlignment="1" pivotButton="0" quotePrefix="0" xfId="0">
      <alignment horizontal="center" vertical="center" wrapText="1"/>
    </xf>
    <xf numFmtId="49" fontId="1" fillId="7" borderId="0" applyAlignment="1" pivotButton="0" quotePrefix="0" xfId="0">
      <alignment horizontal="center" vertical="center" wrapText="1"/>
    </xf>
    <xf numFmtId="49" fontId="0" fillId="8" borderId="0" applyAlignment="1" pivotButton="0" quotePrefix="0" xfId="0">
      <alignment horizontal="center" vertical="center" wrapText="1"/>
    </xf>
    <xf numFmtId="49" fontId="1" fillId="8" borderId="0" applyAlignment="1" pivotButton="0" quotePrefix="0" xfId="0">
      <alignment horizontal="center" vertical="center" wrapText="1"/>
    </xf>
    <xf numFmtId="49" fontId="0" fillId="7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  <xf numFmtId="49" fontId="1" fillId="3" borderId="0" applyAlignment="1" pivotButton="0" quotePrefix="0" xfId="0">
      <alignment horizontal="center" vertical="center" wrapText="1"/>
    </xf>
    <xf numFmtId="49" fontId="1" fillId="3" borderId="0" applyAlignment="1" pivotButton="0" quotePrefix="0" xfId="0">
      <alignment vertical="center"/>
    </xf>
    <xf numFmtId="49" fontId="0" fillId="3" borderId="0" applyAlignment="1" pivotButton="0" quotePrefix="0" xfId="0">
      <alignment vertical="center"/>
    </xf>
    <xf numFmtId="49" fontId="1" fillId="9" borderId="0" applyAlignment="1" pivotButton="0" quotePrefix="0" xfId="0">
      <alignment vertical="center"/>
    </xf>
    <xf numFmtId="49" fontId="1" fillId="8" borderId="0" applyAlignment="1" pivotButton="0" quotePrefix="0" xfId="0">
      <alignment vertical="center"/>
    </xf>
    <xf numFmtId="49" fontId="0" fillId="4" borderId="0" applyAlignment="1" pivotButton="0" quotePrefix="0" xfId="0">
      <alignment horizontal="center" vertical="center" wrapText="1"/>
    </xf>
    <xf numFmtId="49" fontId="0" fillId="4" borderId="0" applyAlignment="1" pivotButton="0" quotePrefix="0" xfId="0">
      <alignment horizontal="center" vertical="center" wrapText="1"/>
    </xf>
    <xf numFmtId="49" fontId="0" fillId="8" borderId="0" applyAlignment="1" pivotButton="0" quotePrefix="0" xfId="0">
      <alignment horizontal="center" vertical="center" wrapText="1"/>
    </xf>
    <xf numFmtId="49" fontId="0" fillId="10" borderId="0" applyAlignment="1" pivotButton="0" quotePrefix="0" xfId="0">
      <alignment horizontal="center" vertical="center" wrapText="1"/>
    </xf>
    <xf numFmtId="49" fontId="1" fillId="10" borderId="0" applyAlignment="1" pivotButton="0" quotePrefix="0" xfId="0">
      <alignment horizontal="center" vertical="center" wrapText="1"/>
    </xf>
    <xf numFmtId="49" fontId="0" fillId="11" borderId="0" applyAlignment="1" pivotButton="0" quotePrefix="0" xfId="0">
      <alignment horizontal="center" vertical="center" wrapText="1"/>
    </xf>
    <xf numFmtId="49" fontId="0" fillId="11" borderId="0" applyAlignment="1" pivotButton="0" quotePrefix="0" xfId="0">
      <alignment horizontal="center" vertical="center" wrapText="1"/>
    </xf>
    <xf numFmtId="49" fontId="0" fillId="10" borderId="0" applyAlignment="1" pivotButton="0" quotePrefix="0" xfId="0">
      <alignment horizontal="center" vertical="center" wrapText="1"/>
    </xf>
    <xf numFmtId="49" fontId="0" fillId="5" borderId="0" applyAlignment="1" pivotButton="0" quotePrefix="0" xfId="0">
      <alignment horizontal="center" vertical="center" wrapText="1"/>
    </xf>
    <xf numFmtId="49" fontId="0" fillId="5" borderId="0" applyAlignment="1" pivotButton="0" quotePrefix="0" xfId="0">
      <alignment horizontal="center" vertical="center" wrapText="1"/>
    </xf>
    <xf numFmtId="49" fontId="1" fillId="12" borderId="0" applyAlignment="1" pivotButton="0" quotePrefix="0" xfId="0">
      <alignment vertical="center"/>
    </xf>
    <xf numFmtId="49" fontId="0" fillId="13" borderId="0" applyAlignment="1" pivotButton="0" quotePrefix="0" xfId="0">
      <alignment horizontal="center" vertical="center" wrapText="1"/>
    </xf>
    <xf numFmtId="49" fontId="0" fillId="13" borderId="0" applyAlignment="1" pivotButton="0" quotePrefix="0" xfId="0">
      <alignment horizontal="center" vertical="center" wrapText="1"/>
    </xf>
    <xf numFmtId="49" fontId="0" fillId="2" borderId="0" applyAlignment="1" pivotButton="0" quotePrefix="0" xfId="0">
      <alignment horizontal="center" vertical="center" wrapText="1"/>
    </xf>
    <xf numFmtId="49" fontId="0" fillId="2" borderId="0" applyAlignment="1" pivotButton="0" quotePrefix="0" xfId="0">
      <alignment horizontal="center" vertical="center" wrapText="1"/>
    </xf>
    <xf numFmtId="49" fontId="0" fillId="14" borderId="0" applyAlignment="1" pivotButton="0" quotePrefix="0" xfId="0">
      <alignment horizontal="center" vertical="center" wrapText="1"/>
    </xf>
    <xf numFmtId="49" fontId="0" fillId="14" borderId="0" applyAlignment="1" pivotButton="0" quotePrefix="0" xfId="0">
      <alignment horizontal="center" vertical="center" wrapText="1"/>
    </xf>
    <xf numFmtId="49" fontId="0" fillId="15" borderId="0" applyAlignment="1" pivotButton="0" quotePrefix="0" xfId="0">
      <alignment vertical="center" wrapText="1"/>
    </xf>
    <xf numFmtId="49" fontId="0" fillId="15" borderId="0" applyAlignment="1" pivotButton="0" quotePrefix="0" xfId="0">
      <alignment vertical="center" wrapText="1"/>
    </xf>
    <xf numFmtId="49" fontId="1" fillId="15" borderId="0" applyAlignment="1" pivotButton="0" quotePrefix="0" xfId="0">
      <alignment vertical="center" wrapText="1"/>
    </xf>
    <xf numFmtId="49" fontId="0" fillId="14" borderId="0" applyAlignment="1" pivotButton="0" quotePrefix="0" xfId="0">
      <alignment vertical="center"/>
    </xf>
    <xf numFmtId="49" fontId="1" fillId="14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16" borderId="0" applyAlignment="1" pivotButton="0" quotePrefix="0" xfId="0">
      <alignment vertical="center" wrapText="1"/>
    </xf>
    <xf numFmtId="49" fontId="1" fillId="17" borderId="0" applyAlignment="1" pivotButton="0" quotePrefix="0" xfId="0">
      <alignment vertical="center" wrapText="1"/>
    </xf>
    <xf numFmtId="49" fontId="1" fillId="11" borderId="0" applyAlignment="1" pivotButton="0" quotePrefix="0" xfId="0">
      <alignment horizontal="center" vertical="center" wrapText="1"/>
    </xf>
    <xf numFmtId="49" fontId="0" fillId="3" borderId="0" applyAlignment="1" pivotButton="0" quotePrefix="0" xfId="0">
      <alignment vertical="center"/>
    </xf>
    <xf numFmtId="49" fontId="0" fillId="18" borderId="0" applyAlignment="1" pivotButton="0" quotePrefix="0" xfId="0">
      <alignment horizontal="center" vertical="center" wrapText="1"/>
    </xf>
    <xf numFmtId="49" fontId="1" fillId="18" borderId="0" applyAlignment="1" pivotButton="0" quotePrefix="0" xfId="0">
      <alignment horizontal="center" vertical="center" wrapText="1"/>
    </xf>
    <xf numFmtId="49" fontId="0" fillId="18" borderId="0" applyAlignment="1" pivotButton="0" quotePrefix="0" xfId="0">
      <alignment horizontal="center" vertical="center" wrapText="1"/>
    </xf>
    <xf numFmtId="49" fontId="0" fillId="18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5"/>
  <sheetViews>
    <sheetView tabSelected="1" topLeftCell="E1" workbookViewId="0">
      <pane ySplit="1" topLeftCell="A316" activePane="bottomLeft" state="frozen"/>
      <selection pane="bottomLeft" activeCell="P333" sqref="P333"/>
    </sheetView>
  </sheetViews>
  <sheetFormatPr baseColWidth="8" defaultColWidth="9" defaultRowHeight="13.5"/>
  <cols>
    <col width="9" customWidth="1" style="28" min="1" max="1"/>
    <col width="17.25" customWidth="1" style="28" min="2" max="2"/>
    <col width="9" customWidth="1" style="28" min="3" max="8"/>
    <col width="34.625" customWidth="1" style="28" min="9" max="9"/>
    <col width="9" customWidth="1" style="28" min="10" max="10"/>
    <col width="27.25" customWidth="1" style="28" min="11" max="11"/>
    <col width="24.125" customWidth="1" style="28" min="12" max="12"/>
    <col width="9" customWidth="1" style="28" min="13" max="16"/>
    <col width="11.25" customWidth="1" style="28" min="17" max="17"/>
    <col width="9" customWidth="1" style="28" min="18" max="16384"/>
  </cols>
  <sheetData>
    <row r="1" ht="27" customHeight="1" s="80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level</t>
        </is>
      </c>
      <c r="E1" t="inlineStr">
        <is>
          <t>isFirst</t>
        </is>
      </c>
      <c r="F1" t="inlineStr">
        <is>
          <t>foreLevel</t>
        </is>
      </c>
      <c r="G1" t="inlineStr">
        <is>
          <t>nextLevel</t>
        </is>
      </c>
      <c r="H1" t="inlineStr">
        <is>
          <t>belongMap</t>
        </is>
      </c>
      <c r="I1" t="inlineStr">
        <is>
          <t>isEndLevel</t>
        </is>
      </c>
      <c r="J1" t="inlineStr">
        <is>
          <t>award</t>
        </is>
      </c>
      <c r="K1" t="inlineStr">
        <is>
          <t>leveltype</t>
        </is>
      </c>
      <c r="L1" t="inlineStr">
        <is>
          <t>enemy</t>
        </is>
      </c>
      <c r="M1" t="inlineStr">
        <is>
          <t>enemyLevel</t>
        </is>
      </c>
      <c r="N1" t="inlineStr">
        <is>
          <t>uiName</t>
        </is>
      </c>
      <c r="O1" t="inlineStr">
        <is>
          <t>isFixed</t>
        </is>
      </c>
      <c r="P1" t="inlineStr">
        <is>
          <t>beforeDialog</t>
        </is>
      </c>
      <c r="Q1" t="inlineStr">
        <is>
          <t>afterDialog</t>
        </is>
      </c>
      <c r="R1" t="inlineStr">
        <is>
          <t>firstAward</t>
        </is>
      </c>
    </row>
    <row r="2" ht="27" customHeight="1" s="80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</row>
    <row r="3" ht="27" customHeight="1" s="80">
      <c r="A3" t="inlineStr">
        <is>
          <t>##</t>
        </is>
      </c>
      <c r="B3" s="30" t="inlineStr">
        <is>
          <t>id</t>
        </is>
      </c>
      <c r="C3" s="30" t="inlineStr">
        <is>
          <t>name</t>
        </is>
      </c>
      <c r="D3" s="30" t="inlineStr">
        <is>
          <t>level</t>
        </is>
      </c>
      <c r="E3" s="30" t="inlineStr">
        <is>
          <t>isFirst</t>
        </is>
      </c>
      <c r="F3" s="30" t="inlineStr">
        <is>
          <t>foreLevel</t>
        </is>
      </c>
      <c r="G3" s="30" t="inlineStr">
        <is>
          <t>nextLevel</t>
        </is>
      </c>
      <c r="H3" s="30" t="inlineStr">
        <is>
          <t>belongMap</t>
        </is>
      </c>
      <c r="I3" s="30" t="inlineStr">
        <is>
          <t>isEndLevel</t>
        </is>
      </c>
      <c r="J3" s="30" t="inlineStr">
        <is>
          <t>award</t>
        </is>
      </c>
      <c r="K3" s="30" t="inlineStr">
        <is>
          <t>leveltype</t>
        </is>
      </c>
      <c r="L3" s="30" t="inlineStr">
        <is>
          <t>enemy</t>
        </is>
      </c>
      <c r="M3" s="39" t="inlineStr">
        <is>
          <t>enemyLevel</t>
        </is>
      </c>
      <c r="N3" s="30" t="inlineStr">
        <is>
          <t>uiName</t>
        </is>
      </c>
      <c r="O3" s="30" t="inlineStr">
        <is>
          <t>isFixed</t>
        </is>
      </c>
      <c r="P3" s="28" t="inlineStr">
        <is>
          <t>beforeDialog</t>
        </is>
      </c>
      <c r="Q3" s="28" t="inlineStr">
        <is>
          <t>afterDialog</t>
        </is>
      </c>
      <c r="R3" s="42" t="inlineStr">
        <is>
          <t>firstAward</t>
        </is>
      </c>
    </row>
    <row r="4" ht="27" customHeight="1" s="80">
      <c r="B4" s="30" t="inlineStr">
        <is>
          <t>00001</t>
        </is>
      </c>
      <c r="C4" s="30" t="inlineStr">
        <is>
          <t>云海宗裂隙</t>
        </is>
      </c>
      <c r="D4" s="30" t="inlineStr">
        <is>
          <t>1</t>
        </is>
      </c>
      <c r="E4" s="30" t="inlineStr">
        <is>
          <t>1</t>
        </is>
      </c>
      <c r="F4" s="30" t="n"/>
      <c r="G4" s="30" t="inlineStr">
        <is>
          <t>00002</t>
        </is>
      </c>
      <c r="H4" s="30" t="inlineStr">
        <is>
          <t>10000</t>
        </is>
      </c>
      <c r="I4" s="30" t="n"/>
      <c r="J4" s="30" t="inlineStr">
        <is>
          <t>10001|600$91001|$81001|218$111001|$121001|$191001|</t>
        </is>
      </c>
      <c r="K4" s="30" t="inlineStr">
        <is>
          <t>1</t>
        </is>
      </c>
      <c r="L4" s="70" t="inlineStr">
        <is>
          <t>50110</t>
        </is>
      </c>
      <c r="M4" s="41" t="inlineStr">
        <is>
          <t>7</t>
        </is>
      </c>
      <c r="N4" s="30" t="n"/>
      <c r="O4" s="30" t="n"/>
      <c r="R4" s="28" t="inlineStr">
        <is>
          <t>365001|10</t>
        </is>
      </c>
    </row>
    <row r="5" ht="27" customHeight="1" s="80">
      <c r="B5" s="30" t="inlineStr">
        <is>
          <t>00002</t>
        </is>
      </c>
      <c r="C5" s="30" t="inlineStr">
        <is>
          <t>云海宗裂隙</t>
        </is>
      </c>
      <c r="D5" s="30" t="inlineStr">
        <is>
          <t>2</t>
        </is>
      </c>
      <c r="E5" s="30" t="n"/>
      <c r="F5" s="30" t="inlineStr">
        <is>
          <t>00001</t>
        </is>
      </c>
      <c r="G5" s="30" t="inlineStr">
        <is>
          <t>00003</t>
        </is>
      </c>
      <c r="H5" s="30" t="inlineStr">
        <is>
          <t>10000</t>
        </is>
      </c>
      <c r="I5" s="30" t="n"/>
      <c r="J5" s="30" t="inlineStr">
        <is>
          <t>10001|700$91001|$81001|236$111001|$121001|$191001|</t>
        </is>
      </c>
      <c r="K5" s="30" t="inlineStr">
        <is>
          <t>1</t>
        </is>
      </c>
      <c r="L5" s="70" t="inlineStr">
        <is>
          <t>50111</t>
        </is>
      </c>
      <c r="M5" s="41" t="inlineStr">
        <is>
          <t>7</t>
        </is>
      </c>
      <c r="N5" s="30" t="n"/>
      <c r="O5" s="30" t="n"/>
      <c r="R5" s="28" t="inlineStr">
        <is>
          <t>365001|10</t>
        </is>
      </c>
    </row>
    <row r="6" ht="27" customHeight="1" s="80">
      <c r="B6" s="30" t="inlineStr">
        <is>
          <t>00003</t>
        </is>
      </c>
      <c r="C6" s="30" t="inlineStr">
        <is>
          <t>云海宗裂隙</t>
        </is>
      </c>
      <c r="D6" s="30" t="inlineStr">
        <is>
          <t>3</t>
        </is>
      </c>
      <c r="E6" s="30" t="n"/>
      <c r="F6" s="30" t="inlineStr">
        <is>
          <t>00002</t>
        </is>
      </c>
      <c r="G6" s="30" t="inlineStr">
        <is>
          <t>00004</t>
        </is>
      </c>
      <c r="H6" s="30" t="inlineStr">
        <is>
          <t>10000</t>
        </is>
      </c>
      <c r="I6" s="30" t="n"/>
      <c r="J6" s="30" t="inlineStr">
        <is>
          <t>10001|800$91001|$81001|254$111001|$121001|$191001|</t>
        </is>
      </c>
      <c r="K6" s="30" t="inlineStr">
        <is>
          <t>1</t>
        </is>
      </c>
      <c r="L6" s="70" t="inlineStr">
        <is>
          <t>50112</t>
        </is>
      </c>
      <c r="M6" s="41" t="inlineStr">
        <is>
          <t>8</t>
        </is>
      </c>
      <c r="N6" s="30" t="n"/>
      <c r="O6" s="30" t="n"/>
      <c r="R6" s="28" t="inlineStr">
        <is>
          <t>365001|10</t>
        </is>
      </c>
    </row>
    <row r="7" ht="27" customHeight="1" s="80">
      <c r="B7" s="30" t="inlineStr">
        <is>
          <t>00004</t>
        </is>
      </c>
      <c r="C7" s="30" t="inlineStr">
        <is>
          <t>云海宗裂隙</t>
        </is>
      </c>
      <c r="D7" s="30" t="inlineStr">
        <is>
          <t>4</t>
        </is>
      </c>
      <c r="E7" s="30" t="n"/>
      <c r="F7" s="30" t="inlineStr">
        <is>
          <t>00003</t>
        </is>
      </c>
      <c r="G7" s="30" t="inlineStr">
        <is>
          <t>00005</t>
        </is>
      </c>
      <c r="H7" s="30" t="inlineStr">
        <is>
          <t>10000</t>
        </is>
      </c>
      <c r="I7" s="30" t="n"/>
      <c r="J7" s="30" t="inlineStr">
        <is>
          <t>10001|900$91001|$81001|272$111001|$121001|$191001|</t>
        </is>
      </c>
      <c r="K7" s="30" t="inlineStr">
        <is>
          <t>1</t>
        </is>
      </c>
      <c r="L7" s="70" t="inlineStr">
        <is>
          <t>50113</t>
        </is>
      </c>
      <c r="M7" s="41" t="inlineStr">
        <is>
          <t>8</t>
        </is>
      </c>
      <c r="N7" s="30" t="n"/>
      <c r="O7" s="30" t="n"/>
      <c r="R7" s="28" t="inlineStr">
        <is>
          <t>365001|10</t>
        </is>
      </c>
    </row>
    <row r="8" ht="27" customHeight="1" s="80">
      <c r="B8" s="30" t="inlineStr">
        <is>
          <t>00005</t>
        </is>
      </c>
      <c r="C8" s="30" t="inlineStr">
        <is>
          <t>云海宗裂隙</t>
        </is>
      </c>
      <c r="D8" s="30" t="inlineStr">
        <is>
          <t>5</t>
        </is>
      </c>
      <c r="E8" s="30" t="n"/>
      <c r="F8" s="30" t="inlineStr">
        <is>
          <t>00004</t>
        </is>
      </c>
      <c r="G8" s="30" t="inlineStr">
        <is>
          <t>00006</t>
        </is>
      </c>
      <c r="H8" s="30" t="inlineStr">
        <is>
          <t>10000</t>
        </is>
      </c>
      <c r="I8" s="30" t="n"/>
      <c r="J8" s="30" t="inlineStr">
        <is>
          <t>10001|1000$91001|$81001|290$111001|$121001|$191001|</t>
        </is>
      </c>
      <c r="K8" s="30" t="inlineStr">
        <is>
          <t>1</t>
        </is>
      </c>
      <c r="L8" s="70" t="inlineStr">
        <is>
          <t>50214</t>
        </is>
      </c>
      <c r="M8" s="41" t="inlineStr">
        <is>
          <t>9</t>
        </is>
      </c>
      <c r="N8" s="30" t="n"/>
      <c r="O8" s="30" t="n"/>
      <c r="R8" s="28" t="inlineStr">
        <is>
          <t>365001|10</t>
        </is>
      </c>
    </row>
    <row r="9" ht="27" customHeight="1" s="80">
      <c r="B9" s="30" t="inlineStr">
        <is>
          <t>00006</t>
        </is>
      </c>
      <c r="C9" s="30" t="inlineStr">
        <is>
          <t>云海宗裂隙中转站</t>
        </is>
      </c>
      <c r="D9" s="30" t="inlineStr">
        <is>
          <t>6</t>
        </is>
      </c>
      <c r="E9" s="30" t="n"/>
      <c r="F9" s="30" t="inlineStr">
        <is>
          <t>00005</t>
        </is>
      </c>
      <c r="G9" s="30" t="inlineStr">
        <is>
          <t>00007</t>
        </is>
      </c>
      <c r="H9" s="30" t="inlineStr">
        <is>
          <t>10000</t>
        </is>
      </c>
      <c r="I9" s="30" t="n"/>
      <c r="J9" s="30" t="inlineStr">
        <is>
          <t>10001|1100$91001|$81001|308$111001|$121001|$191001|</t>
        </is>
      </c>
      <c r="K9" s="30" t="inlineStr">
        <is>
          <t>2</t>
        </is>
      </c>
      <c r="M9" s="42" t="inlineStr">
        <is>
          <t>9</t>
        </is>
      </c>
      <c r="N9" s="30" t="n"/>
      <c r="O9" s="30" t="n"/>
      <c r="R9" s="28" t="inlineStr">
        <is>
          <t>365001|10</t>
        </is>
      </c>
    </row>
    <row r="10" ht="27" customHeight="1" s="80">
      <c r="B10" s="30" t="inlineStr">
        <is>
          <t>00007</t>
        </is>
      </c>
      <c r="C10" s="30" t="inlineStr">
        <is>
          <t>云海宗裂隙</t>
        </is>
      </c>
      <c r="D10" s="30" t="inlineStr">
        <is>
          <t>7</t>
        </is>
      </c>
      <c r="E10" s="30" t="n"/>
      <c r="F10" s="30" t="inlineStr">
        <is>
          <t>00006</t>
        </is>
      </c>
      <c r="G10" s="30" t="inlineStr">
        <is>
          <t>00008</t>
        </is>
      </c>
      <c r="H10" s="30" t="inlineStr">
        <is>
          <t>10000</t>
        </is>
      </c>
      <c r="I10" s="30" t="n"/>
      <c r="J10" s="30" t="inlineStr">
        <is>
          <t>10001|1200$91001|$81001|326$111001|$121001|$191001|</t>
        </is>
      </c>
      <c r="K10" s="30" t="inlineStr">
        <is>
          <t>1</t>
        </is>
      </c>
      <c r="L10" s="70" t="inlineStr">
        <is>
          <t>50116</t>
        </is>
      </c>
      <c r="M10" s="41" t="inlineStr">
        <is>
          <t>9</t>
        </is>
      </c>
      <c r="N10" s="30" t="n"/>
      <c r="O10" s="30" t="n"/>
      <c r="R10" s="28" t="inlineStr">
        <is>
          <t>365001|10</t>
        </is>
      </c>
    </row>
    <row r="11" ht="27" customHeight="1" s="80">
      <c r="B11" s="30" t="inlineStr">
        <is>
          <t>00008</t>
        </is>
      </c>
      <c r="C11" s="30" t="inlineStr">
        <is>
          <t>云海宗裂隙中转站</t>
        </is>
      </c>
      <c r="D11" s="30" t="inlineStr">
        <is>
          <t>8</t>
        </is>
      </c>
      <c r="E11" s="30" t="n"/>
      <c r="F11" s="30" t="inlineStr">
        <is>
          <t>00007</t>
        </is>
      </c>
      <c r="G11" s="30" t="inlineStr">
        <is>
          <t>00009</t>
        </is>
      </c>
      <c r="H11" s="30" t="inlineStr">
        <is>
          <t>10000</t>
        </is>
      </c>
      <c r="I11" s="30" t="n"/>
      <c r="J11" s="30" t="inlineStr">
        <is>
          <t>10001|1300$91001|$81001|344$111001|$121001|$191001|</t>
        </is>
      </c>
      <c r="K11" s="30" t="inlineStr">
        <is>
          <t>1</t>
        </is>
      </c>
      <c r="L11" s="70" t="inlineStr">
        <is>
          <t>50117</t>
        </is>
      </c>
      <c r="M11" s="41" t="inlineStr">
        <is>
          <t>9</t>
        </is>
      </c>
      <c r="N11" s="30" t="n"/>
      <c r="O11" s="30" t="n"/>
      <c r="R11" s="28" t="inlineStr">
        <is>
          <t>365001|10</t>
        </is>
      </c>
    </row>
    <row r="12" ht="27" customHeight="1" s="80">
      <c r="B12" s="30" t="inlineStr">
        <is>
          <t>00009</t>
        </is>
      </c>
      <c r="C12" s="30" t="inlineStr">
        <is>
          <t>云海宗裂隙</t>
        </is>
      </c>
      <c r="D12" s="30" t="inlineStr">
        <is>
          <t>9</t>
        </is>
      </c>
      <c r="E12" s="30" t="n"/>
      <c r="F12" s="30" t="inlineStr">
        <is>
          <t>00008</t>
        </is>
      </c>
      <c r="G12" s="30" t="inlineStr">
        <is>
          <t>00010</t>
        </is>
      </c>
      <c r="H12" s="30" t="inlineStr">
        <is>
          <t>10000</t>
        </is>
      </c>
      <c r="I12" s="30" t="n"/>
      <c r="J12" s="30" t="inlineStr">
        <is>
          <t>10001|1400$91001|$81001|362$111001|$121001|$191001|</t>
        </is>
      </c>
      <c r="K12" s="30" t="inlineStr">
        <is>
          <t>2</t>
        </is>
      </c>
      <c r="L12" s="30" t="n"/>
      <c r="M12" s="39" t="inlineStr">
        <is>
          <t>9</t>
        </is>
      </c>
      <c r="N12" s="30" t="n"/>
      <c r="O12" s="30" t="n"/>
      <c r="R12" s="28" t="inlineStr">
        <is>
          <t>365001|10</t>
        </is>
      </c>
    </row>
    <row r="13" ht="27" customHeight="1" s="80">
      <c r="B13" s="30" t="inlineStr">
        <is>
          <t>00010</t>
        </is>
      </c>
      <c r="C13" s="30" t="inlineStr">
        <is>
          <t>云海宗裂隙</t>
        </is>
      </c>
      <c r="D13" s="30" t="inlineStr">
        <is>
          <t>10</t>
        </is>
      </c>
      <c r="E13" s="30" t="n"/>
      <c r="F13" s="30" t="inlineStr">
        <is>
          <t>00009</t>
        </is>
      </c>
      <c r="G13" s="30" t="n"/>
      <c r="H13" s="30" t="inlineStr">
        <is>
          <t>10000</t>
        </is>
      </c>
      <c r="I13" s="30" t="inlineStr">
        <is>
          <t>1</t>
        </is>
      </c>
      <c r="J13" s="30" t="inlineStr">
        <is>
          <t>10001|1500$91001|$81001|380$111001|$121001|$191001|</t>
        </is>
      </c>
      <c r="K13" s="30" t="inlineStr">
        <is>
          <t>3</t>
        </is>
      </c>
      <c r="L13" s="70" t="inlineStr">
        <is>
          <t>50318</t>
        </is>
      </c>
      <c r="M13" s="41" t="inlineStr">
        <is>
          <t>10</t>
        </is>
      </c>
      <c r="N13" s="30" t="n"/>
      <c r="O13" s="30" t="n"/>
      <c r="R13" s="28" t="inlineStr">
        <is>
          <t>365001|10$445001|1</t>
        </is>
      </c>
    </row>
    <row r="14" ht="27" customHeight="1" s="80">
      <c r="B14" s="32" t="n">
        <v>10001</v>
      </c>
      <c r="C14" s="32" t="inlineStr">
        <is>
          <t>季狸国裂隙</t>
        </is>
      </c>
      <c r="D14" s="32" t="n">
        <v>1</v>
      </c>
      <c r="E14" s="32" t="n">
        <v>1</v>
      </c>
      <c r="F14" s="32" t="n"/>
      <c r="G14" s="32" t="n">
        <v>10002</v>
      </c>
      <c r="H14" s="32" t="n">
        <v>10001</v>
      </c>
      <c r="I14" s="32" t="n"/>
      <c r="J14" s="33" t="inlineStr">
        <is>
          <t>10001|1200$91001|$81001|436$111001|$121001|$191001|1</t>
        </is>
      </c>
      <c r="K14" s="32" t="inlineStr">
        <is>
          <t>1</t>
        </is>
      </c>
      <c r="L14" s="43" t="inlineStr">
        <is>
          <t>11101</t>
        </is>
      </c>
      <c r="M14" s="43" t="inlineStr">
        <is>
          <t>21</t>
        </is>
      </c>
      <c r="N14" s="30" t="n"/>
      <c r="O14" s="30" t="n"/>
      <c r="R14" s="28" t="inlineStr">
        <is>
          <t>365001|10</t>
        </is>
      </c>
    </row>
    <row r="15" ht="27" customHeight="1" s="80">
      <c r="B15" s="32" t="n">
        <v>10002</v>
      </c>
      <c r="C15" s="32" t="inlineStr">
        <is>
          <t>季狸国裂隙</t>
        </is>
      </c>
      <c r="D15" s="32" t="n">
        <v>2</v>
      </c>
      <c r="E15" s="32" t="n"/>
      <c r="F15" s="32" t="n">
        <v>10001</v>
      </c>
      <c r="G15" s="32" t="n">
        <v>10003</v>
      </c>
      <c r="H15" s="32" t="n">
        <v>10001</v>
      </c>
      <c r="I15" s="32" t="n"/>
      <c r="J15" s="33" t="inlineStr">
        <is>
          <t>10001|800$91001|$81001|254$111001|$121001|$191001|1</t>
        </is>
      </c>
      <c r="K15" s="32" t="inlineStr">
        <is>
          <t>1</t>
        </is>
      </c>
      <c r="L15" s="43" t="inlineStr">
        <is>
          <t>11102|11103|11102|11103|11102|11104</t>
        </is>
      </c>
      <c r="M15" s="43" t="inlineStr">
        <is>
          <t>21</t>
        </is>
      </c>
      <c r="N15" s="30" t="n"/>
      <c r="O15" s="30" t="n"/>
      <c r="R15" s="28" t="inlineStr">
        <is>
          <t>365001|10</t>
        </is>
      </c>
    </row>
    <row r="16" ht="27" customHeight="1" s="80">
      <c r="B16" s="32" t="n">
        <v>10003</v>
      </c>
      <c r="C16" s="32" t="inlineStr">
        <is>
          <t>季狸国裂隙</t>
        </is>
      </c>
      <c r="D16" s="32" t="n">
        <v>3</v>
      </c>
      <c r="E16" s="32" t="n"/>
      <c r="F16" s="32" t="n">
        <v>10002</v>
      </c>
      <c r="G16" s="32" t="n">
        <v>10004</v>
      </c>
      <c r="H16" s="32" t="n">
        <v>10001</v>
      </c>
      <c r="I16" s="32" t="n"/>
      <c r="J16" s="33" t="inlineStr">
        <is>
          <t>10001|1000$91001|$81001|290$111001|$121001|$191001|1</t>
        </is>
      </c>
      <c r="K16" s="32" t="inlineStr">
        <is>
          <t>1</t>
        </is>
      </c>
      <c r="L16" s="43" t="inlineStr">
        <is>
          <t>11104|11105|11106</t>
        </is>
      </c>
      <c r="M16" s="43" t="inlineStr">
        <is>
          <t>21</t>
        </is>
      </c>
      <c r="N16" s="30" t="n"/>
      <c r="O16" s="30" t="n"/>
      <c r="R16" s="28" t="inlineStr">
        <is>
          <t>365001|10</t>
        </is>
      </c>
    </row>
    <row r="17" ht="27" customHeight="1" s="80">
      <c r="B17" s="32" t="n">
        <v>10004</v>
      </c>
      <c r="C17" s="32" t="inlineStr">
        <is>
          <t>季狸国裂隙</t>
        </is>
      </c>
      <c r="D17" s="32" t="n">
        <v>4</v>
      </c>
      <c r="E17" s="32" t="n"/>
      <c r="F17" s="32" t="n">
        <v>10003</v>
      </c>
      <c r="G17" s="32" t="n">
        <v>10005</v>
      </c>
      <c r="H17" s="32" t="n">
        <v>10001</v>
      </c>
      <c r="I17" s="32" t="n"/>
      <c r="J17" s="33" t="inlineStr">
        <is>
          <t>10001|1200$91001|$81001|326$111001|$121001|$191001|1</t>
        </is>
      </c>
      <c r="K17" s="32" t="inlineStr">
        <is>
          <t>1</t>
        </is>
      </c>
      <c r="L17" s="43" t="inlineStr">
        <is>
          <t>11107|11108|11109|11110</t>
        </is>
      </c>
      <c r="M17" s="43" t="inlineStr">
        <is>
          <t>21</t>
        </is>
      </c>
      <c r="N17" s="30" t="n"/>
      <c r="O17" s="30" t="n"/>
      <c r="R17" s="28" t="inlineStr">
        <is>
          <t>365001|10</t>
        </is>
      </c>
    </row>
    <row r="18" ht="27" customHeight="1" s="80">
      <c r="B18" s="32" t="n">
        <v>10005</v>
      </c>
      <c r="C18" s="32" t="inlineStr">
        <is>
          <t>季狸国裂隙</t>
        </is>
      </c>
      <c r="D18" s="32" t="n">
        <v>5</v>
      </c>
      <c r="E18" s="32" t="n"/>
      <c r="F18" s="32" t="n">
        <v>10004</v>
      </c>
      <c r="G18" s="32" t="n">
        <v>10006</v>
      </c>
      <c r="H18" s="32" t="n">
        <v>10001</v>
      </c>
      <c r="I18" s="32" t="n"/>
      <c r="J18" s="28" t="inlineStr">
        <is>
          <t>10001|1400$91001|$81001|362$111001|$121001|$191001|1</t>
        </is>
      </c>
      <c r="K18" s="32" t="inlineStr">
        <is>
          <t>2</t>
        </is>
      </c>
      <c r="N18" s="30" t="n"/>
      <c r="O18" s="30" t="n"/>
      <c r="R18" s="28" t="inlineStr">
        <is>
          <t>365001|10</t>
        </is>
      </c>
    </row>
    <row r="19" ht="27" customHeight="1" s="80">
      <c r="B19" s="32" t="n">
        <v>10006</v>
      </c>
      <c r="C19" s="32" t="inlineStr">
        <is>
          <t>季狸国裂隙</t>
        </is>
      </c>
      <c r="D19" s="32" t="n">
        <v>6</v>
      </c>
      <c r="E19" s="32" t="n"/>
      <c r="F19" s="32" t="n">
        <v>10005</v>
      </c>
      <c r="G19" s="32" t="n">
        <v>10007</v>
      </c>
      <c r="H19" s="32" t="n">
        <v>10001</v>
      </c>
      <c r="I19" s="32" t="n"/>
      <c r="J19" s="33" t="inlineStr">
        <is>
          <t>10001|1600$91001|$81001|398$111001|$121001|$191001|1</t>
        </is>
      </c>
      <c r="K19" s="32" t="inlineStr">
        <is>
          <t>3</t>
        </is>
      </c>
      <c r="L19" s="44" t="inlineStr">
        <is>
          <t>11211</t>
        </is>
      </c>
      <c r="M19" s="44" t="inlineStr">
        <is>
          <t>23</t>
        </is>
      </c>
      <c r="N19" s="30" t="n"/>
      <c r="O19" s="30" t="n"/>
      <c r="R19" s="28" t="inlineStr">
        <is>
          <t>365001|10</t>
        </is>
      </c>
    </row>
    <row r="20" ht="27" customHeight="1" s="80">
      <c r="B20" s="32" t="n">
        <v>10007</v>
      </c>
      <c r="C20" s="32" t="inlineStr">
        <is>
          <t>季狸国裂隙</t>
        </is>
      </c>
      <c r="D20" s="32" t="n">
        <v>7</v>
      </c>
      <c r="E20" s="32" t="n"/>
      <c r="F20" s="32" t="n">
        <v>10006</v>
      </c>
      <c r="G20" s="32" t="n">
        <v>10008</v>
      </c>
      <c r="H20" s="32" t="n">
        <v>10001</v>
      </c>
      <c r="I20" s="32" t="n"/>
      <c r="J20" s="32" t="inlineStr">
        <is>
          <t>10001|1800$91001|$81001|434$111001|$121001|$191001|1</t>
        </is>
      </c>
      <c r="K20" s="32" t="inlineStr">
        <is>
          <t>1</t>
        </is>
      </c>
      <c r="L20" s="44" t="inlineStr">
        <is>
          <t>11112</t>
        </is>
      </c>
      <c r="M20" s="44" t="inlineStr">
        <is>
          <t>23</t>
        </is>
      </c>
      <c r="N20" s="30" t="n"/>
      <c r="O20" s="30" t="n"/>
      <c r="R20" s="28" t="inlineStr">
        <is>
          <t>365001|10</t>
        </is>
      </c>
    </row>
    <row r="21" ht="27" customHeight="1" s="80">
      <c r="B21" s="32" t="n">
        <v>10008</v>
      </c>
      <c r="C21" s="32" t="inlineStr">
        <is>
          <t>季狸国裂隙</t>
        </is>
      </c>
      <c r="D21" s="32" t="n">
        <v>8</v>
      </c>
      <c r="E21" s="32" t="n"/>
      <c r="F21" s="32" t="n">
        <v>10007</v>
      </c>
      <c r="G21" s="32" t="n">
        <v>10009</v>
      </c>
      <c r="H21" s="32" t="n">
        <v>10001</v>
      </c>
      <c r="I21" s="32" t="n"/>
      <c r="J21" s="33" t="inlineStr">
        <is>
          <t>10001|2000$91001|$81001|470$111001|$121001|$191001|1</t>
        </is>
      </c>
      <c r="K21" s="32" t="inlineStr">
        <is>
          <t>1</t>
        </is>
      </c>
      <c r="L21" s="43" t="inlineStr">
        <is>
          <t>11113|11114</t>
        </is>
      </c>
      <c r="M21" s="43" t="inlineStr">
        <is>
          <t>23</t>
        </is>
      </c>
      <c r="N21" s="30" t="n"/>
      <c r="O21" s="30" t="n"/>
      <c r="R21" s="28" t="inlineStr">
        <is>
          <t>365001|10</t>
        </is>
      </c>
    </row>
    <row r="22" ht="27" customHeight="1" s="80">
      <c r="B22" s="32" t="n">
        <v>10009</v>
      </c>
      <c r="C22" s="32" t="inlineStr">
        <is>
          <t>季狸国裂隙</t>
        </is>
      </c>
      <c r="D22" s="32" t="n">
        <v>9</v>
      </c>
      <c r="E22" s="32" t="n"/>
      <c r="F22" s="32" t="n">
        <v>10008</v>
      </c>
      <c r="G22" s="32" t="n">
        <v>10010</v>
      </c>
      <c r="H22" s="32" t="n">
        <v>10001</v>
      </c>
      <c r="I22" s="32" t="n"/>
      <c r="J22" s="33" t="inlineStr">
        <is>
          <t>10001|2200$91001|$81001|506$111001|$121001|$191001|1</t>
        </is>
      </c>
      <c r="K22" s="32" t="inlineStr">
        <is>
          <t>1</t>
        </is>
      </c>
      <c r="L22" s="44" t="inlineStr">
        <is>
          <t>11115|11116</t>
        </is>
      </c>
      <c r="M22" s="44" t="inlineStr">
        <is>
          <t>23</t>
        </is>
      </c>
      <c r="N22" s="30" t="n"/>
      <c r="O22" s="30" t="n"/>
      <c r="R22" s="28" t="inlineStr">
        <is>
          <t>365001|10</t>
        </is>
      </c>
    </row>
    <row r="23" ht="27" customHeight="1" s="80">
      <c r="B23" s="32" t="n">
        <v>10010</v>
      </c>
      <c r="C23" s="32" t="inlineStr">
        <is>
          <t>季狸国裂隙</t>
        </is>
      </c>
      <c r="D23" s="32" t="n">
        <v>10</v>
      </c>
      <c r="E23" s="32" t="n"/>
      <c r="F23" s="32" t="n">
        <v>10009</v>
      </c>
      <c r="G23" s="32" t="n">
        <v>10011</v>
      </c>
      <c r="H23" s="32" t="n">
        <v>10001</v>
      </c>
      <c r="I23" s="32" t="n"/>
      <c r="J23" s="33" t="inlineStr">
        <is>
          <t>10001|2400$91001|$81001|542$111001|$121001|$191001|1</t>
        </is>
      </c>
      <c r="K23" s="32" t="inlineStr">
        <is>
          <t>2</t>
        </is>
      </c>
      <c r="N23" s="30" t="n"/>
      <c r="O23" s="30" t="n"/>
      <c r="R23" s="28" t="inlineStr">
        <is>
          <t>365001|10</t>
        </is>
      </c>
    </row>
    <row r="24" ht="27" customHeight="1" s="80">
      <c r="B24" s="32" t="n">
        <v>10011</v>
      </c>
      <c r="C24" s="32" t="inlineStr">
        <is>
          <t>季狸国裂隙</t>
        </is>
      </c>
      <c r="D24" s="32" t="n">
        <v>11</v>
      </c>
      <c r="E24" s="32" t="n"/>
      <c r="F24" s="32" t="n">
        <v>10010</v>
      </c>
      <c r="G24" s="32" t="n">
        <v>10012</v>
      </c>
      <c r="H24" s="32" t="n">
        <v>10001</v>
      </c>
      <c r="I24" s="32" t="n"/>
      <c r="J24" s="33" t="inlineStr">
        <is>
          <t>10001|2600$91001|$81001|578$111001|$121001|$191001|1</t>
        </is>
      </c>
      <c r="K24" s="32" t="inlineStr">
        <is>
          <t>1</t>
        </is>
      </c>
      <c r="L24" s="44" t="inlineStr">
        <is>
          <t>11117|11118</t>
        </is>
      </c>
      <c r="M24" s="44" t="inlineStr">
        <is>
          <t>25</t>
        </is>
      </c>
      <c r="N24" s="30" t="n"/>
      <c r="O24" s="30" t="n"/>
      <c r="R24" s="28" t="inlineStr">
        <is>
          <t>365001|10</t>
        </is>
      </c>
    </row>
    <row r="25" ht="27" customHeight="1" s="80">
      <c r="B25" s="32" t="n">
        <v>10012</v>
      </c>
      <c r="C25" s="32" t="inlineStr">
        <is>
          <t>季狸国裂隙</t>
        </is>
      </c>
      <c r="D25" s="32" t="n">
        <v>12</v>
      </c>
      <c r="E25" s="32" t="n"/>
      <c r="F25" s="32" t="n">
        <v>10011</v>
      </c>
      <c r="G25" s="32" t="n">
        <v>10013</v>
      </c>
      <c r="H25" s="32" t="n">
        <v>10001</v>
      </c>
      <c r="I25" s="32" t="n"/>
      <c r="J25" s="33" t="inlineStr">
        <is>
          <t>10001|2800$91001|$81001|614$111001|$121001|$191001|1</t>
        </is>
      </c>
      <c r="K25" s="32" t="inlineStr">
        <is>
          <t>3</t>
        </is>
      </c>
      <c r="L25" s="74" t="inlineStr">
        <is>
          <t>11219</t>
        </is>
      </c>
      <c r="M25" s="44" t="inlineStr">
        <is>
          <t>25</t>
        </is>
      </c>
      <c r="N25" s="30" t="n"/>
      <c r="O25" s="30" t="n"/>
      <c r="R25" s="28" t="inlineStr">
        <is>
          <t>365001|10</t>
        </is>
      </c>
    </row>
    <row r="26" ht="27" customHeight="1" s="80">
      <c r="B26" s="32" t="n">
        <v>10013</v>
      </c>
      <c r="C26" s="32" t="inlineStr">
        <is>
          <t>季狸国裂隙</t>
        </is>
      </c>
      <c r="D26" s="32" t="n">
        <v>13</v>
      </c>
      <c r="E26" s="32" t="n"/>
      <c r="F26" s="32" t="n">
        <v>10012</v>
      </c>
      <c r="G26" s="32" t="n">
        <v>10014</v>
      </c>
      <c r="H26" s="32" t="n">
        <v>10001</v>
      </c>
      <c r="I26" s="32" t="n"/>
      <c r="J26" s="33" t="inlineStr">
        <is>
          <t>10001|3000$91001|$81001|650$111001|$121001|$191001|1</t>
        </is>
      </c>
      <c r="K26" s="32" t="inlineStr">
        <is>
          <t>1</t>
        </is>
      </c>
      <c r="L26" s="44" t="inlineStr">
        <is>
          <t>11120</t>
        </is>
      </c>
      <c r="M26" s="44" t="inlineStr">
        <is>
          <t>25</t>
        </is>
      </c>
      <c r="N26" s="30" t="n"/>
      <c r="O26" s="30" t="n"/>
      <c r="R26" s="28" t="inlineStr">
        <is>
          <t>365001|10</t>
        </is>
      </c>
    </row>
    <row r="27" ht="27" customHeight="1" s="80">
      <c r="B27" s="32" t="n">
        <v>10014</v>
      </c>
      <c r="C27" s="32" t="inlineStr">
        <is>
          <t>季狸国裂隙</t>
        </is>
      </c>
      <c r="D27" s="32" t="n">
        <v>14</v>
      </c>
      <c r="E27" s="32" t="n"/>
      <c r="F27" s="32" t="n">
        <v>10013</v>
      </c>
      <c r="G27" s="32" t="n">
        <v>10015</v>
      </c>
      <c r="H27" s="32" t="n">
        <v>10001</v>
      </c>
      <c r="I27" s="32" t="n"/>
      <c r="J27" s="32" t="inlineStr">
        <is>
          <t>10001|3200$91001|$81001|686$111001|$121001|$191001|1</t>
        </is>
      </c>
      <c r="K27" s="32" t="inlineStr">
        <is>
          <t>1</t>
        </is>
      </c>
      <c r="L27" s="44" t="inlineStr">
        <is>
          <t>11121|11122</t>
        </is>
      </c>
      <c r="M27" s="44" t="inlineStr">
        <is>
          <t>25</t>
        </is>
      </c>
      <c r="N27" s="30" t="n"/>
      <c r="O27" s="30" t="n"/>
      <c r="R27" s="28" t="inlineStr">
        <is>
          <t>365001|10</t>
        </is>
      </c>
    </row>
    <row r="28" ht="27" customHeight="1" s="80">
      <c r="B28" s="32" t="n">
        <v>10015</v>
      </c>
      <c r="C28" s="32" t="inlineStr">
        <is>
          <t>季狸国裂隙</t>
        </is>
      </c>
      <c r="D28" s="32" t="n">
        <v>15</v>
      </c>
      <c r="E28" s="32" t="n"/>
      <c r="F28" s="32" t="n">
        <v>10014</v>
      </c>
      <c r="G28" s="32" t="n">
        <v>10016</v>
      </c>
      <c r="H28" s="32" t="n">
        <v>10001</v>
      </c>
      <c r="I28" s="32" t="n"/>
      <c r="J28" s="33" t="inlineStr">
        <is>
          <t>10001|3400$91001|$81001|722$111001|$121001|$191001|1</t>
        </is>
      </c>
      <c r="K28" s="32" t="inlineStr">
        <is>
          <t>2</t>
        </is>
      </c>
      <c r="L28" s="32" t="n"/>
      <c r="M28" s="32" t="n"/>
      <c r="N28" s="30" t="n"/>
      <c r="O28" s="30" t="n"/>
      <c r="R28" s="28" t="inlineStr">
        <is>
          <t>365001|10</t>
        </is>
      </c>
    </row>
    <row r="29" ht="27" customHeight="1" s="80">
      <c r="B29" s="32" t="n">
        <v>10016</v>
      </c>
      <c r="C29" s="32" t="inlineStr">
        <is>
          <t>季狸国裂隙</t>
        </is>
      </c>
      <c r="D29" s="32" t="n">
        <v>16</v>
      </c>
      <c r="E29" s="32" t="n"/>
      <c r="F29" s="32" t="n">
        <v>10015</v>
      </c>
      <c r="G29" s="32" t="n">
        <v>10017</v>
      </c>
      <c r="H29" s="32" t="n">
        <v>10001</v>
      </c>
      <c r="I29" s="32" t="n"/>
      <c r="J29" s="33" t="inlineStr">
        <is>
          <t>10001|3600$91001|$81001|758$111001|$121001|$191001|1</t>
        </is>
      </c>
      <c r="K29" s="32" t="inlineStr">
        <is>
          <t>1</t>
        </is>
      </c>
      <c r="L29" s="44" t="inlineStr">
        <is>
          <t>11123|11124</t>
        </is>
      </c>
      <c r="M29" s="44" t="inlineStr">
        <is>
          <t>27</t>
        </is>
      </c>
      <c r="N29" s="30" t="n"/>
      <c r="O29" s="30" t="n"/>
      <c r="R29" s="28" t="inlineStr">
        <is>
          <t>365001|10</t>
        </is>
      </c>
    </row>
    <row r="30" ht="27" customHeight="1" s="80">
      <c r="B30" s="32" t="n">
        <v>10017</v>
      </c>
      <c r="C30" s="32" t="inlineStr">
        <is>
          <t>季狸国裂隙</t>
        </is>
      </c>
      <c r="D30" s="32" t="n">
        <v>17</v>
      </c>
      <c r="E30" s="32" t="n"/>
      <c r="F30" s="32" t="n">
        <v>10016</v>
      </c>
      <c r="G30" s="32" t="n">
        <v>10018</v>
      </c>
      <c r="H30" s="32" t="n">
        <v>10001</v>
      </c>
      <c r="I30" s="32" t="n"/>
      <c r="J30" s="33" t="inlineStr">
        <is>
          <t>10001|3800$91001|$81001|794$111001|$121001|$191001|1</t>
        </is>
      </c>
      <c r="K30" s="32" t="inlineStr">
        <is>
          <t>1</t>
        </is>
      </c>
      <c r="L30" s="44" t="inlineStr">
        <is>
          <t>11125|11126</t>
        </is>
      </c>
      <c r="M30" s="44" t="inlineStr">
        <is>
          <t>27</t>
        </is>
      </c>
      <c r="N30" s="30" t="n"/>
      <c r="O30" s="30" t="n"/>
      <c r="R30" s="28" t="inlineStr">
        <is>
          <t>365001|10</t>
        </is>
      </c>
    </row>
    <row r="31" ht="27" customHeight="1" s="80">
      <c r="B31" s="32" t="n">
        <v>10018</v>
      </c>
      <c r="C31" s="32" t="inlineStr">
        <is>
          <t>季狸国裂隙</t>
        </is>
      </c>
      <c r="D31" s="32" t="n">
        <v>18</v>
      </c>
      <c r="E31" s="32" t="n"/>
      <c r="F31" s="32" t="n">
        <v>10017</v>
      </c>
      <c r="G31" s="32" t="n">
        <v>10019</v>
      </c>
      <c r="H31" s="32" t="n">
        <v>10001</v>
      </c>
      <c r="I31" s="32" t="n"/>
      <c r="J31" s="33" t="inlineStr">
        <is>
          <t>10001|4000$91001|$81001|830$111001|$121001|$191001|1</t>
        </is>
      </c>
      <c r="K31" s="32" t="inlineStr">
        <is>
          <t>3</t>
        </is>
      </c>
      <c r="L31" s="44" t="inlineStr">
        <is>
          <t>11227</t>
        </is>
      </c>
      <c r="M31" s="44" t="inlineStr">
        <is>
          <t>27</t>
        </is>
      </c>
      <c r="N31" s="30" t="n"/>
      <c r="O31" s="30" t="n"/>
      <c r="R31" s="28" t="inlineStr">
        <is>
          <t>365001|10</t>
        </is>
      </c>
    </row>
    <row r="32" ht="27" customHeight="1" s="80">
      <c r="B32" s="32" t="n">
        <v>10019</v>
      </c>
      <c r="C32" s="32" t="inlineStr">
        <is>
          <t>季狸国裂隙</t>
        </is>
      </c>
      <c r="D32" s="32" t="n">
        <v>19</v>
      </c>
      <c r="E32" s="32" t="n"/>
      <c r="F32" s="32" t="n">
        <v>10018</v>
      </c>
      <c r="G32" s="32" t="n">
        <v>10020</v>
      </c>
      <c r="H32" s="32" t="n">
        <v>10001</v>
      </c>
      <c r="I32" s="32" t="n"/>
      <c r="J32" s="33" t="inlineStr">
        <is>
          <t>10001|4200$91001|$81001|866$111001|$121001|$191001|1</t>
        </is>
      </c>
      <c r="K32" s="32" t="inlineStr">
        <is>
          <t>1</t>
        </is>
      </c>
      <c r="L32" s="44" t="inlineStr">
        <is>
          <t>11128</t>
        </is>
      </c>
      <c r="M32" s="44" t="inlineStr">
        <is>
          <t>27</t>
        </is>
      </c>
      <c r="N32" s="30" t="n"/>
      <c r="O32" s="30" t="n"/>
      <c r="R32" s="28" t="inlineStr">
        <is>
          <t>365001|10</t>
        </is>
      </c>
    </row>
    <row r="33" ht="27" customHeight="1" s="80">
      <c r="B33" s="32" t="n">
        <v>10020</v>
      </c>
      <c r="C33" s="32" t="inlineStr">
        <is>
          <t>季狸国裂隙</t>
        </is>
      </c>
      <c r="D33" s="32" t="n">
        <v>20</v>
      </c>
      <c r="E33" s="32" t="n"/>
      <c r="F33" s="32" t="n">
        <v>10019</v>
      </c>
      <c r="G33" s="32" t="n">
        <v>10021</v>
      </c>
      <c r="H33" s="32" t="n">
        <v>10001</v>
      </c>
      <c r="I33" s="32" t="n"/>
      <c r="J33" s="33" t="inlineStr">
        <is>
          <t>10001|4400$91001|$81001|902$111001|$121001|$191001|1</t>
        </is>
      </c>
      <c r="K33" s="32" t="inlineStr">
        <is>
          <t>2</t>
        </is>
      </c>
      <c r="L33" s="32" t="n"/>
      <c r="M33" s="32" t="n"/>
      <c r="N33" s="30" t="n"/>
      <c r="O33" s="30" t="n"/>
      <c r="R33" s="28" t="inlineStr">
        <is>
          <t>365001|10</t>
        </is>
      </c>
    </row>
    <row r="34" ht="27" customHeight="1" s="80">
      <c r="B34" s="32" t="n">
        <v>10021</v>
      </c>
      <c r="C34" s="32" t="inlineStr">
        <is>
          <t>季狸国裂隙</t>
        </is>
      </c>
      <c r="D34" s="32" t="n">
        <v>21</v>
      </c>
      <c r="E34" s="32" t="n"/>
      <c r="F34" s="32" t="n">
        <v>10020</v>
      </c>
      <c r="G34" s="32" t="n">
        <v>10022</v>
      </c>
      <c r="H34" s="32" t="n">
        <v>10001</v>
      </c>
      <c r="I34" s="32" t="n"/>
      <c r="J34" s="32" t="inlineStr">
        <is>
          <t>10001|4600$91001|$81001|938$111001|$121001|$191001|1</t>
        </is>
      </c>
      <c r="K34" s="32" t="inlineStr">
        <is>
          <t>1</t>
        </is>
      </c>
      <c r="L34" s="44" t="inlineStr">
        <is>
          <t>11129</t>
        </is>
      </c>
      <c r="M34" s="44" t="inlineStr">
        <is>
          <t>28</t>
        </is>
      </c>
      <c r="N34" s="30" t="n"/>
      <c r="O34" s="30" t="n"/>
      <c r="R34" s="28" t="inlineStr">
        <is>
          <t>365001|10</t>
        </is>
      </c>
    </row>
    <row r="35" ht="27" customHeight="1" s="80">
      <c r="B35" s="32" t="n">
        <v>10022</v>
      </c>
      <c r="C35" s="32" t="inlineStr">
        <is>
          <t>季狸国裂隙</t>
        </is>
      </c>
      <c r="D35" s="32" t="n">
        <v>22</v>
      </c>
      <c r="E35" s="32" t="n"/>
      <c r="F35" s="32" t="n">
        <v>10021</v>
      </c>
      <c r="G35" s="32" t="n">
        <v>10023</v>
      </c>
      <c r="H35" s="32" t="n">
        <v>10001</v>
      </c>
      <c r="I35" s="32" t="n"/>
      <c r="J35" s="33" t="inlineStr">
        <is>
          <t>10001|4800$91001|$81001|974$111001|$121001|$191001|1</t>
        </is>
      </c>
      <c r="K35" s="32" t="inlineStr">
        <is>
          <t>1</t>
        </is>
      </c>
      <c r="L35" s="44" t="inlineStr">
        <is>
          <t>11130|11131|11130</t>
        </is>
      </c>
      <c r="M35" s="44" t="inlineStr">
        <is>
          <t>28</t>
        </is>
      </c>
      <c r="N35" s="30" t="n"/>
      <c r="O35" s="30" t="n"/>
      <c r="R35" s="28" t="inlineStr">
        <is>
          <t>365001|10</t>
        </is>
      </c>
    </row>
    <row r="36" ht="27" customHeight="1" s="80">
      <c r="B36" s="32" t="n">
        <v>10023</v>
      </c>
      <c r="C36" s="32" t="inlineStr">
        <is>
          <t>季狸国裂隙</t>
        </is>
      </c>
      <c r="D36" s="32" t="n">
        <v>23</v>
      </c>
      <c r="E36" s="32" t="n"/>
      <c r="F36" s="32" t="n">
        <v>10022</v>
      </c>
      <c r="G36" s="32" t="n">
        <v>10024</v>
      </c>
      <c r="H36" s="32" t="n">
        <v>10001</v>
      </c>
      <c r="I36" s="32" t="n"/>
      <c r="J36" s="33" t="inlineStr">
        <is>
          <t>10001|5000$91001|$81001|1010$111001|$121001|$191001|1</t>
        </is>
      </c>
      <c r="K36" s="32" t="inlineStr">
        <is>
          <t>1</t>
        </is>
      </c>
      <c r="L36" s="44" t="inlineStr">
        <is>
          <t>11132|11133|11132</t>
        </is>
      </c>
      <c r="M36" s="44" t="inlineStr">
        <is>
          <t>28</t>
        </is>
      </c>
      <c r="N36" s="30" t="n"/>
      <c r="O36" s="30" t="n"/>
      <c r="R36" s="28" t="inlineStr">
        <is>
          <t>365001|10</t>
        </is>
      </c>
    </row>
    <row r="37" ht="27" customHeight="1" s="80">
      <c r="B37" s="32" t="n">
        <v>10024</v>
      </c>
      <c r="C37" s="32" t="inlineStr">
        <is>
          <t>季狸国裂隙</t>
        </is>
      </c>
      <c r="D37" s="32" t="n">
        <v>24</v>
      </c>
      <c r="E37" s="32" t="n"/>
      <c r="F37" s="32" t="n">
        <v>10023</v>
      </c>
      <c r="G37" s="32" t="n">
        <v>10025</v>
      </c>
      <c r="H37" s="32" t="n">
        <v>10001</v>
      </c>
      <c r="I37" s="33" t="n"/>
      <c r="J37" s="33" t="inlineStr">
        <is>
          <t>10001|5200$91001|$81001|1046$111001|$121001|$191001|1</t>
        </is>
      </c>
      <c r="K37" s="32" t="inlineStr">
        <is>
          <t>1</t>
        </is>
      </c>
      <c r="L37" s="44" t="inlineStr">
        <is>
          <t>11234</t>
        </is>
      </c>
      <c r="M37" s="44" t="inlineStr">
        <is>
          <t>28</t>
        </is>
      </c>
      <c r="N37" s="30" t="n"/>
      <c r="O37" s="30" t="n"/>
      <c r="R37" s="28" t="inlineStr">
        <is>
          <t>365001|10</t>
        </is>
      </c>
    </row>
    <row r="38" ht="27" customHeight="1" s="80">
      <c r="B38" s="32" t="n">
        <v>10025</v>
      </c>
      <c r="C38" s="32" t="inlineStr">
        <is>
          <t>季狸国裂隙</t>
        </is>
      </c>
      <c r="D38" s="32" t="n">
        <v>25</v>
      </c>
      <c r="E38" s="32" t="n"/>
      <c r="F38" s="32" t="n">
        <v>10024</v>
      </c>
      <c r="G38" s="32" t="n">
        <v>10026</v>
      </c>
      <c r="H38" s="32" t="n">
        <v>10001</v>
      </c>
      <c r="I38" s="32" t="n"/>
      <c r="J38" s="33" t="inlineStr">
        <is>
          <t>10001|5400$91001|$81001|1082$111001|$121001|$191001|1</t>
        </is>
      </c>
      <c r="K38" s="32" t="inlineStr">
        <is>
          <t>2</t>
        </is>
      </c>
      <c r="L38" s="74" t="n"/>
      <c r="M38" s="74" t="n"/>
      <c r="N38" s="30" t="n"/>
      <c r="O38" s="30" t="n"/>
      <c r="R38" s="28" t="inlineStr">
        <is>
          <t>365001|10</t>
        </is>
      </c>
    </row>
    <row r="39" ht="27" customHeight="1" s="80">
      <c r="B39" s="32" t="n">
        <v>10026</v>
      </c>
      <c r="C39" s="32" t="inlineStr">
        <is>
          <t>季狸国裂隙</t>
        </is>
      </c>
      <c r="D39" s="32" t="n">
        <v>26</v>
      </c>
      <c r="E39" s="32" t="n"/>
      <c r="F39" s="32" t="n">
        <v>10025</v>
      </c>
      <c r="G39" s="32" t="n">
        <v>10027</v>
      </c>
      <c r="H39" s="32" t="n">
        <v>10001</v>
      </c>
      <c r="I39" s="32" t="n"/>
      <c r="J39" s="33" t="inlineStr">
        <is>
          <t>10001|5600$91001|$81001|1118$111001|$121001|$191001|1</t>
        </is>
      </c>
      <c r="K39" s="32" t="inlineStr">
        <is>
          <t>1</t>
        </is>
      </c>
      <c r="L39" s="44" t="inlineStr">
        <is>
          <t>11135|11136</t>
        </is>
      </c>
      <c r="M39" s="44" t="inlineStr">
        <is>
          <t>28</t>
        </is>
      </c>
      <c r="N39" s="30" t="n"/>
      <c r="O39" s="30" t="n"/>
      <c r="R39" s="28" t="inlineStr">
        <is>
          <t>365001|10</t>
        </is>
      </c>
    </row>
    <row r="40" ht="27" customHeight="1" s="80">
      <c r="B40" s="32" t="n">
        <v>10027</v>
      </c>
      <c r="C40" s="32" t="inlineStr">
        <is>
          <t>季狸国裂隙</t>
        </is>
      </c>
      <c r="D40" s="32" t="n">
        <v>27</v>
      </c>
      <c r="E40" s="32" t="n"/>
      <c r="F40" s="32" t="n">
        <v>10026</v>
      </c>
      <c r="G40" s="32" t="n">
        <v>10028</v>
      </c>
      <c r="H40" s="32" t="n">
        <v>10001</v>
      </c>
      <c r="I40" s="32" t="n"/>
      <c r="J40" s="33" t="inlineStr">
        <is>
          <t>10001|5800$91001|$81001|1154$111001|$121001|$191001|1</t>
        </is>
      </c>
      <c r="K40" s="32" t="inlineStr">
        <is>
          <t>1</t>
        </is>
      </c>
      <c r="L40" s="44" t="inlineStr">
        <is>
          <t>11137|11138|11139</t>
        </is>
      </c>
      <c r="M40" s="44" t="inlineStr">
        <is>
          <t>28</t>
        </is>
      </c>
      <c r="N40" s="30" t="n"/>
      <c r="O40" s="30" t="n"/>
      <c r="R40" s="28" t="inlineStr">
        <is>
          <t>365001|10</t>
        </is>
      </c>
    </row>
    <row r="41" ht="40.5" customHeight="1" s="80">
      <c r="B41" s="32" t="n">
        <v>10028</v>
      </c>
      <c r="C41" s="32" t="inlineStr">
        <is>
          <t>季狸国裂隙</t>
        </is>
      </c>
      <c r="D41" s="32" t="n">
        <v>28</v>
      </c>
      <c r="E41" s="32" t="n"/>
      <c r="F41" s="32" t="n">
        <v>10027</v>
      </c>
      <c r="G41" s="32" t="n">
        <v>10029</v>
      </c>
      <c r="H41" s="32" t="n">
        <v>10001</v>
      </c>
      <c r="I41" s="32" t="n"/>
      <c r="J41" s="33" t="inlineStr">
        <is>
          <t>10001|6000$91001|$81001|1190$111001|$121001|$191001|1</t>
        </is>
      </c>
      <c r="K41" s="32" t="inlineStr">
        <is>
          <t>1</t>
        </is>
      </c>
      <c r="L41" s="44" t="inlineStr">
        <is>
          <t>11140|11141|11142|11143|11144</t>
        </is>
      </c>
      <c r="M41" s="44" t="inlineStr">
        <is>
          <t>28</t>
        </is>
      </c>
      <c r="N41" s="30" t="n"/>
      <c r="O41" s="30" t="n"/>
      <c r="R41" s="28" t="inlineStr">
        <is>
          <t>365001|10</t>
        </is>
      </c>
    </row>
    <row r="42" ht="27" customHeight="1" s="80">
      <c r="B42" s="32" t="n">
        <v>10029</v>
      </c>
      <c r="C42" s="32" t="inlineStr">
        <is>
          <t>季狸国裂隙</t>
        </is>
      </c>
      <c r="D42" s="32" t="n">
        <v>29</v>
      </c>
      <c r="E42" s="32" t="n"/>
      <c r="F42" s="32" t="n">
        <v>10028</v>
      </c>
      <c r="G42" s="32" t="n">
        <v>10030</v>
      </c>
      <c r="H42" s="32" t="n">
        <v>10001</v>
      </c>
      <c r="I42" s="32" t="n"/>
      <c r="J42" s="33" t="inlineStr">
        <is>
          <t>10001|6200$91001|$81001|1226$111001|$121001|$191001|1</t>
        </is>
      </c>
      <c r="K42" s="32" t="inlineStr">
        <is>
          <t>2</t>
        </is>
      </c>
      <c r="L42" s="74" t="n"/>
      <c r="M42" s="74" t="n"/>
      <c r="N42" s="30" t="n"/>
      <c r="O42" s="30" t="n"/>
      <c r="R42" s="28" t="inlineStr">
        <is>
          <t>365001|10</t>
        </is>
      </c>
    </row>
    <row r="43" ht="27" customHeight="1" s="80">
      <c r="B43" s="32" t="n">
        <v>10030</v>
      </c>
      <c r="C43" s="32" t="inlineStr">
        <is>
          <t>季狸国裂隙</t>
        </is>
      </c>
      <c r="D43" s="32" t="n">
        <v>30</v>
      </c>
      <c r="E43" s="32" t="n"/>
      <c r="F43" s="32" t="n">
        <v>10029</v>
      </c>
      <c r="G43" s="32" t="n"/>
      <c r="H43" s="32" t="n">
        <v>10001</v>
      </c>
      <c r="I43" s="32" t="inlineStr">
        <is>
          <t>1</t>
        </is>
      </c>
      <c r="J43" s="33" t="inlineStr">
        <is>
          <t>10001|6400$91001|$81001|1262$111001|$121001|$191001|1</t>
        </is>
      </c>
      <c r="K43" s="32" t="inlineStr">
        <is>
          <t>4</t>
        </is>
      </c>
      <c r="L43" s="74" t="inlineStr">
        <is>
          <t>11301</t>
        </is>
      </c>
      <c r="M43" s="44" t="inlineStr">
        <is>
          <t>29</t>
        </is>
      </c>
      <c r="N43" s="30" t="n"/>
      <c r="O43" s="30" t="n"/>
      <c r="R43" s="42" t="inlineStr">
        <is>
          <t>171001|1$365001|10$445001|1</t>
        </is>
      </c>
    </row>
    <row r="44" ht="27" customHeight="1" s="80">
      <c r="B44" s="38" t="n">
        <v>20001</v>
      </c>
      <c r="C44" s="35" t="inlineStr">
        <is>
          <t>餍火国裂隙</t>
        </is>
      </c>
      <c r="D44" s="38" t="n">
        <v>1</v>
      </c>
      <c r="E44" s="38" t="n">
        <v>1</v>
      </c>
      <c r="F44" s="38" t="n"/>
      <c r="G44" s="38" t="n">
        <v>20002</v>
      </c>
      <c r="H44" s="38" t="n">
        <v>10002</v>
      </c>
      <c r="I44" s="38" t="n"/>
      <c r="J44" s="38" t="inlineStr">
        <is>
          <t>10001|1440$92001|$82001|523$112001|$122001|$192001|1</t>
        </is>
      </c>
      <c r="K44" s="38" t="inlineStr">
        <is>
          <t>1</t>
        </is>
      </c>
      <c r="L44" s="35" t="inlineStr">
        <is>
          <t>12101|12101|12101</t>
        </is>
      </c>
      <c r="M44" s="35" t="inlineStr">
        <is>
          <t>45</t>
        </is>
      </c>
      <c r="N44" s="30" t="n"/>
      <c r="O44" s="30" t="n"/>
      <c r="R44" s="28" t="inlineStr">
        <is>
          <t>365001|10</t>
        </is>
      </c>
    </row>
    <row r="45" ht="27" customHeight="1" s="80">
      <c r="B45" s="38" t="n">
        <v>20002</v>
      </c>
      <c r="C45" s="35" t="inlineStr">
        <is>
          <t>餍火国裂隙</t>
        </is>
      </c>
      <c r="D45" s="38" t="n">
        <v>2</v>
      </c>
      <c r="E45" s="38" t="n"/>
      <c r="F45" s="38" t="n">
        <v>20001</v>
      </c>
      <c r="G45" s="38" t="n">
        <v>20003</v>
      </c>
      <c r="H45" s="38" t="n">
        <v>10002</v>
      </c>
      <c r="I45" s="38" t="n"/>
      <c r="J45" s="38" t="inlineStr">
        <is>
          <t>10001|1680$92001|$82001|566$112001|$122001|$192001|1</t>
        </is>
      </c>
      <c r="K45" s="38" t="inlineStr">
        <is>
          <t>1</t>
        </is>
      </c>
      <c r="L45" s="35" t="inlineStr">
        <is>
          <t>12102|12103|12102</t>
        </is>
      </c>
      <c r="M45" s="35" t="inlineStr">
        <is>
          <t>45</t>
        </is>
      </c>
      <c r="N45" s="30" t="n"/>
      <c r="O45" s="30" t="n"/>
      <c r="R45" s="28" t="inlineStr">
        <is>
          <t>365001|10</t>
        </is>
      </c>
    </row>
    <row r="46" ht="27" customHeight="1" s="80">
      <c r="B46" s="38" t="n">
        <v>20003</v>
      </c>
      <c r="C46" s="35" t="inlineStr">
        <is>
          <t>餍火国裂隙</t>
        </is>
      </c>
      <c r="D46" s="38" t="n">
        <v>3</v>
      </c>
      <c r="E46" s="38" t="n"/>
      <c r="F46" s="38" t="n">
        <v>20002</v>
      </c>
      <c r="G46" s="38" t="n">
        <v>20004</v>
      </c>
      <c r="H46" s="38" t="n">
        <v>10002</v>
      </c>
      <c r="I46" s="38" t="n"/>
      <c r="J46" s="38" t="inlineStr">
        <is>
          <t>10001|1920$92001|$82001|610$112001|$122001|$192001|1</t>
        </is>
      </c>
      <c r="K46" s="38" t="inlineStr">
        <is>
          <t>1</t>
        </is>
      </c>
      <c r="L46" s="35" t="inlineStr">
        <is>
          <t>12104|12105|12104</t>
        </is>
      </c>
      <c r="M46" s="35" t="inlineStr">
        <is>
          <t>45</t>
        </is>
      </c>
      <c r="N46" s="30" t="n"/>
      <c r="O46" s="30" t="n"/>
      <c r="R46" s="28" t="inlineStr">
        <is>
          <t>365001|10</t>
        </is>
      </c>
    </row>
    <row r="47" ht="27" customHeight="1" s="80">
      <c r="B47" s="38" t="n">
        <v>20004</v>
      </c>
      <c r="C47" s="35" t="inlineStr">
        <is>
          <t>餍火国裂隙</t>
        </is>
      </c>
      <c r="D47" s="38" t="n">
        <v>4</v>
      </c>
      <c r="E47" s="38" t="n"/>
      <c r="F47" s="38" t="n">
        <v>20003</v>
      </c>
      <c r="G47" s="38" t="n">
        <v>20005</v>
      </c>
      <c r="H47" s="38" t="n">
        <v>10002</v>
      </c>
      <c r="I47" s="38" t="n"/>
      <c r="J47" s="38" t="inlineStr">
        <is>
          <t>10001|2160$92001|$82001|653$112001|$122001|$192001|1</t>
        </is>
      </c>
      <c r="K47" s="35" t="inlineStr">
        <is>
          <t>3</t>
        </is>
      </c>
      <c r="L47" s="46" t="inlineStr">
        <is>
          <t>12206</t>
        </is>
      </c>
      <c r="M47" s="46" t="inlineStr">
        <is>
          <t>45</t>
        </is>
      </c>
      <c r="N47" s="30" t="n"/>
      <c r="O47" s="30" t="n"/>
      <c r="R47" s="28" t="inlineStr">
        <is>
          <t>365001|10</t>
        </is>
      </c>
    </row>
    <row r="48" ht="27" customHeight="1" s="80">
      <c r="B48" s="50" t="n">
        <v>20005</v>
      </c>
      <c r="C48" s="37" t="inlineStr">
        <is>
          <t>餍火国裂隙</t>
        </is>
      </c>
      <c r="D48" s="50" t="n">
        <v>5</v>
      </c>
      <c r="E48" s="50" t="n"/>
      <c r="F48" s="50" t="n">
        <v>20004</v>
      </c>
      <c r="G48" s="50" t="n">
        <v>20006</v>
      </c>
      <c r="H48" s="50" t="n">
        <v>10002</v>
      </c>
      <c r="I48" s="50" t="n"/>
      <c r="J48" s="50" t="inlineStr">
        <is>
          <t>10001|2400$92001|$82001|696$112001|$122001|$192001|1</t>
        </is>
      </c>
      <c r="K48" s="37" t="inlineStr">
        <is>
          <t>2</t>
        </is>
      </c>
      <c r="L48" s="47" t="n"/>
      <c r="M48" s="47" t="n"/>
      <c r="N48" s="30" t="n"/>
      <c r="O48" s="30" t="n"/>
      <c r="R48" s="28" t="inlineStr">
        <is>
          <t>365001|10</t>
        </is>
      </c>
    </row>
    <row r="49" ht="27" customHeight="1" s="80">
      <c r="B49" s="38" t="n">
        <v>20006</v>
      </c>
      <c r="C49" s="35" t="inlineStr">
        <is>
          <t>餍火国裂隙</t>
        </is>
      </c>
      <c r="D49" s="38" t="n">
        <v>6</v>
      </c>
      <c r="E49" s="38" t="n"/>
      <c r="F49" s="38" t="n">
        <v>20005</v>
      </c>
      <c r="G49" s="38" t="n">
        <v>20007</v>
      </c>
      <c r="H49" s="38" t="n">
        <v>10002</v>
      </c>
      <c r="I49" s="38" t="n"/>
      <c r="J49" s="49" t="inlineStr">
        <is>
          <t>10001|2640$92001|$82001|739$112001|$122001|$192001|1</t>
        </is>
      </c>
      <c r="K49" s="35" t="inlineStr">
        <is>
          <t>1</t>
        </is>
      </c>
      <c r="L49" s="46" t="inlineStr">
        <is>
          <t>12107|12107|12107</t>
        </is>
      </c>
      <c r="M49" s="46" t="inlineStr">
        <is>
          <t>47</t>
        </is>
      </c>
      <c r="N49" s="30" t="n"/>
      <c r="O49" s="30" t="n"/>
      <c r="R49" s="28" t="inlineStr">
        <is>
          <t>365001|10</t>
        </is>
      </c>
    </row>
    <row r="50" ht="27" customHeight="1" s="80">
      <c r="B50" s="38" t="n">
        <v>20007</v>
      </c>
      <c r="C50" s="35" t="inlineStr">
        <is>
          <t>餍火国裂隙</t>
        </is>
      </c>
      <c r="D50" s="38" t="n">
        <v>7</v>
      </c>
      <c r="E50" s="38" t="n"/>
      <c r="F50" s="38" t="n">
        <v>20006</v>
      </c>
      <c r="G50" s="38" t="n">
        <v>20008</v>
      </c>
      <c r="H50" s="38" t="n">
        <v>10002</v>
      </c>
      <c r="I50" s="38" t="n"/>
      <c r="J50" s="49" t="inlineStr">
        <is>
          <t>10001|2880$92001|$82001|782$112001|$122001|$192001|1</t>
        </is>
      </c>
      <c r="K50" s="38" t="inlineStr">
        <is>
          <t>1</t>
        </is>
      </c>
      <c r="L50" s="46" t="inlineStr">
        <is>
          <t>12108|12109|12108</t>
        </is>
      </c>
      <c r="M50" s="46" t="inlineStr">
        <is>
          <t>47</t>
        </is>
      </c>
      <c r="N50" s="30" t="n"/>
      <c r="O50" s="30" t="n"/>
      <c r="R50" s="28" t="inlineStr">
        <is>
          <t>365001|10</t>
        </is>
      </c>
    </row>
    <row r="51" ht="27" customHeight="1" s="80">
      <c r="B51" s="38" t="n">
        <v>20008</v>
      </c>
      <c r="C51" s="35" t="inlineStr">
        <is>
          <t>餍火国裂隙</t>
        </is>
      </c>
      <c r="D51" s="38" t="n">
        <v>8</v>
      </c>
      <c r="E51" s="38" t="n"/>
      <c r="F51" s="38" t="n">
        <v>20007</v>
      </c>
      <c r="G51" s="38" t="n">
        <v>20009</v>
      </c>
      <c r="H51" s="38" t="n">
        <v>10002</v>
      </c>
      <c r="I51" s="38" t="n"/>
      <c r="J51" s="49" t="inlineStr">
        <is>
          <t>10001|3120$92001|$82001|826$112001|$122001|$192001|1</t>
        </is>
      </c>
      <c r="K51" s="35" t="inlineStr">
        <is>
          <t>1</t>
        </is>
      </c>
      <c r="L51" s="46" t="inlineStr">
        <is>
          <t>12110|12111|12110</t>
        </is>
      </c>
      <c r="M51" s="46" t="inlineStr">
        <is>
          <t>47</t>
        </is>
      </c>
      <c r="N51" s="30" t="n"/>
      <c r="O51" s="30" t="n"/>
      <c r="R51" s="28" t="inlineStr">
        <is>
          <t>365001|10</t>
        </is>
      </c>
    </row>
    <row r="52" ht="27" customHeight="1" s="80">
      <c r="B52" s="38" t="n">
        <v>20009</v>
      </c>
      <c r="C52" s="35" t="inlineStr">
        <is>
          <t>餍火国裂隙</t>
        </is>
      </c>
      <c r="D52" s="38" t="n">
        <v>9</v>
      </c>
      <c r="E52" s="38" t="n"/>
      <c r="F52" s="38" t="n">
        <v>20008</v>
      </c>
      <c r="G52" s="38" t="n">
        <v>20010</v>
      </c>
      <c r="H52" s="38" t="n">
        <v>10002</v>
      </c>
      <c r="I52" s="38" t="n"/>
      <c r="J52" s="49" t="inlineStr">
        <is>
          <t>10001|3360$92001|$82001|869$112001|$122001|$192001|1</t>
        </is>
      </c>
      <c r="K52" s="35" t="inlineStr">
        <is>
          <t>3</t>
        </is>
      </c>
      <c r="L52" s="46" t="inlineStr">
        <is>
          <t>12212</t>
        </is>
      </c>
      <c r="M52" s="46" t="inlineStr">
        <is>
          <t>47</t>
        </is>
      </c>
      <c r="N52" s="30" t="n"/>
      <c r="O52" s="30" t="n"/>
      <c r="R52" s="28" t="inlineStr">
        <is>
          <t>365001|10</t>
        </is>
      </c>
    </row>
    <row r="53" ht="27" customHeight="1" s="80">
      <c r="B53" s="50" t="n">
        <v>20010</v>
      </c>
      <c r="C53" s="37" t="inlineStr">
        <is>
          <t>餍火国裂隙</t>
        </is>
      </c>
      <c r="D53" s="50" t="n">
        <v>10</v>
      </c>
      <c r="E53" s="50" t="n"/>
      <c r="F53" s="50" t="n">
        <v>20009</v>
      </c>
      <c r="G53" s="50" t="n">
        <v>20011</v>
      </c>
      <c r="H53" s="50" t="n">
        <v>10002</v>
      </c>
      <c r="I53" s="50" t="n"/>
      <c r="J53" s="50" t="inlineStr">
        <is>
          <t>10001|3600$92001|$82001|912$112001|$122001|$192001|1</t>
        </is>
      </c>
      <c r="K53" s="37" t="inlineStr">
        <is>
          <t>2</t>
        </is>
      </c>
      <c r="L53" s="50" t="n"/>
      <c r="M53" s="50" t="n"/>
      <c r="N53" s="30" t="n"/>
      <c r="O53" s="30" t="n"/>
      <c r="R53" s="28" t="inlineStr">
        <is>
          <t>365001|10</t>
        </is>
      </c>
    </row>
    <row r="54" ht="27" customHeight="1" s="80">
      <c r="B54" s="38" t="n">
        <v>20011</v>
      </c>
      <c r="C54" s="35" t="inlineStr">
        <is>
          <t>餍火国裂隙</t>
        </is>
      </c>
      <c r="D54" s="38" t="inlineStr">
        <is>
          <t>11</t>
        </is>
      </c>
      <c r="E54" s="38" t="n"/>
      <c r="F54" s="38" t="n">
        <v>20010</v>
      </c>
      <c r="G54" s="38" t="n">
        <v>20012</v>
      </c>
      <c r="H54" s="38" t="n">
        <v>10002</v>
      </c>
      <c r="I54" s="38" t="n"/>
      <c r="J54" s="49" t="inlineStr">
        <is>
          <t>10001|3840$92001|$82001|955$112001|$122001|$192001|1</t>
        </is>
      </c>
      <c r="K54" s="35" t="inlineStr">
        <is>
          <t>1</t>
        </is>
      </c>
      <c r="L54" s="46" t="inlineStr">
        <is>
          <t>12113|12113|12113</t>
        </is>
      </c>
      <c r="M54" s="46" t="inlineStr">
        <is>
          <t>49</t>
        </is>
      </c>
      <c r="N54" s="30" t="n"/>
      <c r="O54" s="30" t="n"/>
      <c r="R54" s="28" t="inlineStr">
        <is>
          <t>365001|10</t>
        </is>
      </c>
    </row>
    <row r="55" ht="27" customHeight="1" s="80">
      <c r="B55" s="38" t="n">
        <v>20012</v>
      </c>
      <c r="C55" s="35" t="inlineStr">
        <is>
          <t>餍火国裂隙</t>
        </is>
      </c>
      <c r="D55" s="38" t="n">
        <v>12</v>
      </c>
      <c r="E55" s="38" t="n"/>
      <c r="F55" s="38" t="n">
        <v>20011</v>
      </c>
      <c r="G55" s="38" t="n">
        <v>20013</v>
      </c>
      <c r="H55" s="38" t="n">
        <v>10002</v>
      </c>
      <c r="I55" s="38" t="n"/>
      <c r="J55" s="49" t="inlineStr">
        <is>
          <t>10001|4080$92001|$82001|998$112001|$122001|$192001|1</t>
        </is>
      </c>
      <c r="K55" s="35" t="inlineStr">
        <is>
          <t>1</t>
        </is>
      </c>
      <c r="L55" s="46" t="inlineStr">
        <is>
          <t>12114|12115|12114</t>
        </is>
      </c>
      <c r="M55" s="46" t="inlineStr">
        <is>
          <t>49</t>
        </is>
      </c>
      <c r="N55" s="30" t="n"/>
      <c r="O55" s="30" t="n"/>
      <c r="R55" s="28" t="inlineStr">
        <is>
          <t>365001|10</t>
        </is>
      </c>
    </row>
    <row r="56" ht="27" customHeight="1" s="80">
      <c r="B56" s="38" t="n">
        <v>20013</v>
      </c>
      <c r="C56" s="35" t="inlineStr">
        <is>
          <t>餍火国裂隙</t>
        </is>
      </c>
      <c r="D56" s="38" t="n">
        <v>13</v>
      </c>
      <c r="E56" s="38" t="n"/>
      <c r="F56" s="38" t="n">
        <v>20012</v>
      </c>
      <c r="G56" s="38" t="n">
        <v>20014</v>
      </c>
      <c r="H56" s="38" t="n">
        <v>10002</v>
      </c>
      <c r="I56" s="38" t="n"/>
      <c r="J56" s="49" t="inlineStr">
        <is>
          <t>10001|4320$92001|$82001|1042$112001|$122001|$192001|1</t>
        </is>
      </c>
      <c r="K56" s="38" t="inlineStr">
        <is>
          <t>1</t>
        </is>
      </c>
      <c r="L56" s="46" t="inlineStr">
        <is>
          <t>12116|12117|12116</t>
        </is>
      </c>
      <c r="M56" s="46" t="inlineStr">
        <is>
          <t>49</t>
        </is>
      </c>
      <c r="N56" s="30" t="n"/>
      <c r="O56" s="30" t="n"/>
      <c r="R56" s="28" t="inlineStr">
        <is>
          <t>365001|10</t>
        </is>
      </c>
    </row>
    <row r="57" ht="27" customHeight="1" s="80">
      <c r="B57" s="38" t="n">
        <v>20014</v>
      </c>
      <c r="C57" s="35" t="inlineStr">
        <is>
          <t>餍火国裂隙</t>
        </is>
      </c>
      <c r="D57" s="38" t="n">
        <v>14</v>
      </c>
      <c r="E57" s="38" t="n"/>
      <c r="F57" s="38" t="n">
        <v>20013</v>
      </c>
      <c r="G57" s="38" t="n">
        <v>20015</v>
      </c>
      <c r="H57" s="38" t="n">
        <v>10002</v>
      </c>
      <c r="I57" s="38" t="n"/>
      <c r="J57" s="49" t="inlineStr">
        <is>
          <t>10001|4560$92001|$82001|1085$112001|$122001|$192001|1</t>
        </is>
      </c>
      <c r="K57" s="35" t="inlineStr">
        <is>
          <t>3</t>
        </is>
      </c>
      <c r="L57" s="47" t="inlineStr">
        <is>
          <t>12218</t>
        </is>
      </c>
      <c r="M57" s="47" t="inlineStr">
        <is>
          <t>49</t>
        </is>
      </c>
      <c r="N57" s="30" t="n"/>
      <c r="O57" s="30" t="n"/>
      <c r="R57" s="28" t="inlineStr">
        <is>
          <t>365001|10</t>
        </is>
      </c>
    </row>
    <row r="58" ht="27" customHeight="1" s="80">
      <c r="B58" s="50" t="n">
        <v>20015</v>
      </c>
      <c r="C58" s="37" t="inlineStr">
        <is>
          <t>餍火国裂隙</t>
        </is>
      </c>
      <c r="D58" s="50" t="n">
        <v>15</v>
      </c>
      <c r="E58" s="50" t="n"/>
      <c r="F58" s="50" t="n">
        <v>20014</v>
      </c>
      <c r="G58" s="50" t="n">
        <v>20016</v>
      </c>
      <c r="H58" s="50" t="n">
        <v>10002</v>
      </c>
      <c r="I58" s="50" t="n"/>
      <c r="J58" s="50" t="inlineStr">
        <is>
          <t>10001|4800$92001|$82001|1128$112001|$122001|$192001|1</t>
        </is>
      </c>
      <c r="K58" s="37" t="inlineStr">
        <is>
          <t>2</t>
        </is>
      </c>
      <c r="L58" s="50" t="n"/>
      <c r="M58" s="50" t="n"/>
      <c r="N58" s="30" t="n"/>
      <c r="O58" s="30" t="n"/>
      <c r="R58" s="28" t="inlineStr">
        <is>
          <t>365001|10</t>
        </is>
      </c>
    </row>
    <row r="59" ht="27" customHeight="1" s="80">
      <c r="B59" s="38" t="n">
        <v>20016</v>
      </c>
      <c r="C59" s="35" t="inlineStr">
        <is>
          <t>餍火国裂隙</t>
        </is>
      </c>
      <c r="D59" s="38" t="n">
        <v>16</v>
      </c>
      <c r="E59" s="38" t="n"/>
      <c r="F59" s="38" t="n">
        <v>20015</v>
      </c>
      <c r="G59" s="38" t="n">
        <v>20017</v>
      </c>
      <c r="H59" s="38" t="n">
        <v>10002</v>
      </c>
      <c r="I59" s="38" t="n"/>
      <c r="J59" s="49" t="inlineStr">
        <is>
          <t>10001|5040$92001|$82001|1171$112001|$122001|$192001|1</t>
        </is>
      </c>
      <c r="K59" s="38" t="inlineStr">
        <is>
          <t>1</t>
        </is>
      </c>
      <c r="L59" s="46" t="inlineStr">
        <is>
          <t>12119|12119|12119</t>
        </is>
      </c>
      <c r="M59" s="46" t="inlineStr">
        <is>
          <t>51</t>
        </is>
      </c>
      <c r="N59" s="30" t="n"/>
      <c r="O59" s="30" t="n"/>
      <c r="R59" s="28" t="inlineStr">
        <is>
          <t>365001|10</t>
        </is>
      </c>
    </row>
    <row r="60" ht="27" customHeight="1" s="80">
      <c r="B60" s="38" t="n">
        <v>20017</v>
      </c>
      <c r="C60" s="35" t="inlineStr">
        <is>
          <t>餍火国裂隙</t>
        </is>
      </c>
      <c r="D60" s="38" t="n">
        <v>17</v>
      </c>
      <c r="E60" s="38" t="n"/>
      <c r="F60" s="38" t="n">
        <v>20016</v>
      </c>
      <c r="G60" s="38" t="n">
        <v>20018</v>
      </c>
      <c r="H60" s="38" t="n">
        <v>10002</v>
      </c>
      <c r="I60" s="38" t="n"/>
      <c r="J60" s="49" t="inlineStr">
        <is>
          <t>10001|5280$92001|$82001|1214$112001|$122001|$192001|1</t>
        </is>
      </c>
      <c r="K60" s="35" t="inlineStr">
        <is>
          <t>1</t>
        </is>
      </c>
      <c r="L60" s="46" t="inlineStr">
        <is>
          <t>12120|12121|12120</t>
        </is>
      </c>
      <c r="M60" s="46" t="inlineStr">
        <is>
          <t>51</t>
        </is>
      </c>
      <c r="N60" s="30" t="n"/>
      <c r="O60" s="30" t="n"/>
      <c r="R60" s="28" t="inlineStr">
        <is>
          <t>365001|10</t>
        </is>
      </c>
    </row>
    <row r="61" ht="27" customHeight="1" s="80">
      <c r="B61" s="38" t="n">
        <v>20018</v>
      </c>
      <c r="C61" s="35" t="inlineStr">
        <is>
          <t>餍火国裂隙</t>
        </is>
      </c>
      <c r="D61" s="38" t="n">
        <v>18</v>
      </c>
      <c r="E61" s="38" t="n"/>
      <c r="F61" s="38" t="n">
        <v>20017</v>
      </c>
      <c r="G61" s="38" t="n">
        <v>20019</v>
      </c>
      <c r="H61" s="38" t="n">
        <v>10002</v>
      </c>
      <c r="I61" s="38" t="n"/>
      <c r="J61" s="49" t="inlineStr">
        <is>
          <t>10001|5520$92001|$82001|1258$112001|$122001|$192001|1</t>
        </is>
      </c>
      <c r="K61" s="35" t="inlineStr">
        <is>
          <t>1</t>
        </is>
      </c>
      <c r="L61" s="46" t="inlineStr">
        <is>
          <t>12122|12123|12122</t>
        </is>
      </c>
      <c r="M61" s="46" t="inlineStr">
        <is>
          <t>51</t>
        </is>
      </c>
      <c r="N61" s="30" t="n"/>
      <c r="O61" s="30" t="n"/>
      <c r="R61" s="28" t="inlineStr">
        <is>
          <t>365001|10</t>
        </is>
      </c>
    </row>
    <row r="62" ht="27" customHeight="1" s="80">
      <c r="B62" s="38" t="n">
        <v>20019</v>
      </c>
      <c r="C62" s="35" t="inlineStr">
        <is>
          <t>餍火国裂隙</t>
        </is>
      </c>
      <c r="D62" s="38" t="n">
        <v>19</v>
      </c>
      <c r="E62" s="38" t="n"/>
      <c r="F62" s="38" t="n">
        <v>20018</v>
      </c>
      <c r="G62" s="38" t="n">
        <v>20020</v>
      </c>
      <c r="H62" s="38" t="n">
        <v>10002</v>
      </c>
      <c r="I62" s="38" t="n"/>
      <c r="J62" s="49" t="inlineStr">
        <is>
          <t>10001|5760$92001|$82001|1301$112001|$122001|$192001|1</t>
        </is>
      </c>
      <c r="K62" s="35" t="inlineStr">
        <is>
          <t>3</t>
        </is>
      </c>
      <c r="L62" s="47" t="inlineStr">
        <is>
          <t>12224</t>
        </is>
      </c>
      <c r="M62" s="47" t="inlineStr">
        <is>
          <t>51</t>
        </is>
      </c>
      <c r="N62" s="30" t="n"/>
      <c r="O62" s="30" t="n"/>
      <c r="R62" s="28" t="inlineStr">
        <is>
          <t>365001|10</t>
        </is>
      </c>
    </row>
    <row r="63" ht="27" customHeight="1" s="80">
      <c r="B63" s="38" t="n">
        <v>20020</v>
      </c>
      <c r="C63" s="35" t="inlineStr">
        <is>
          <t>餍火国裂隙</t>
        </is>
      </c>
      <c r="D63" s="38" t="n">
        <v>20</v>
      </c>
      <c r="E63" s="38" t="n"/>
      <c r="F63" s="38" t="n">
        <v>20019</v>
      </c>
      <c r="G63" s="38" t="n">
        <v>20021</v>
      </c>
      <c r="H63" s="38" t="n">
        <v>10002</v>
      </c>
      <c r="I63" s="38" t="n"/>
      <c r="J63" s="49" t="inlineStr">
        <is>
          <t>10001|6000$92001|$82001|1344$112001|$122001|$192001|1</t>
        </is>
      </c>
      <c r="K63" s="35" t="inlineStr">
        <is>
          <t>2</t>
        </is>
      </c>
      <c r="L63" s="38" t="n"/>
      <c r="M63" s="38" t="n"/>
      <c r="N63" s="30" t="n"/>
      <c r="O63" s="30" t="n"/>
      <c r="R63" s="28" t="inlineStr">
        <is>
          <t>365001|10</t>
        </is>
      </c>
    </row>
    <row r="64" ht="27" customHeight="1" s="80">
      <c r="B64" s="38" t="n">
        <v>20021</v>
      </c>
      <c r="C64" s="35" t="inlineStr">
        <is>
          <t>餍火国裂隙</t>
        </is>
      </c>
      <c r="D64" s="38" t="n">
        <v>21</v>
      </c>
      <c r="E64" s="38" t="n"/>
      <c r="F64" s="38" t="n">
        <v>20020</v>
      </c>
      <c r="G64" s="38" t="n">
        <v>20022</v>
      </c>
      <c r="H64" s="38" t="n">
        <v>10002</v>
      </c>
      <c r="I64" s="38" t="n"/>
      <c r="J64" s="49" t="inlineStr">
        <is>
          <t>10001|6240$92001|$82001|1387$112001|$122001|$192001|1</t>
        </is>
      </c>
      <c r="K64" s="38" t="inlineStr">
        <is>
          <t>1</t>
        </is>
      </c>
      <c r="L64" s="46" t="inlineStr">
        <is>
          <t>12125|12125|12125</t>
        </is>
      </c>
      <c r="M64" s="46" t="inlineStr">
        <is>
          <t>53</t>
        </is>
      </c>
      <c r="N64" s="30" t="n"/>
      <c r="O64" s="30" t="n"/>
      <c r="R64" s="28" t="inlineStr">
        <is>
          <t>365001|10</t>
        </is>
      </c>
    </row>
    <row r="65" ht="27" customHeight="1" s="80">
      <c r="B65" s="38" t="n">
        <v>20022</v>
      </c>
      <c r="C65" s="35" t="inlineStr">
        <is>
          <t>餍火国裂隙</t>
        </is>
      </c>
      <c r="D65" s="38" t="n">
        <v>22</v>
      </c>
      <c r="E65" s="38" t="n"/>
      <c r="F65" s="38" t="n">
        <v>20021</v>
      </c>
      <c r="G65" s="38" t="n">
        <v>20023</v>
      </c>
      <c r="H65" s="38" t="n">
        <v>10002</v>
      </c>
      <c r="I65" s="38" t="n"/>
      <c r="J65" s="49" t="inlineStr">
        <is>
          <t>10001|6480$92001|$82001|1430$112001|$122001|$192001|1</t>
        </is>
      </c>
      <c r="K65" s="38" t="inlineStr">
        <is>
          <t>1</t>
        </is>
      </c>
      <c r="L65" s="46" t="inlineStr">
        <is>
          <t>12126|12127|12126</t>
        </is>
      </c>
      <c r="M65" s="46" t="inlineStr">
        <is>
          <t>53</t>
        </is>
      </c>
      <c r="N65" s="30" t="n"/>
      <c r="O65" s="30" t="n"/>
      <c r="R65" s="28" t="inlineStr">
        <is>
          <t>365001|10</t>
        </is>
      </c>
    </row>
    <row r="66" ht="27" customHeight="1" s="80">
      <c r="B66" s="38" t="n">
        <v>20023</v>
      </c>
      <c r="C66" s="35" t="inlineStr">
        <is>
          <t>餍火国裂隙</t>
        </is>
      </c>
      <c r="D66" s="38" t="n">
        <v>23</v>
      </c>
      <c r="E66" s="38" t="n"/>
      <c r="F66" s="38" t="n">
        <v>20022</v>
      </c>
      <c r="G66" s="38" t="n">
        <v>20024</v>
      </c>
      <c r="H66" s="38" t="n">
        <v>10002</v>
      </c>
      <c r="I66" s="38" t="n"/>
      <c r="J66" s="49" t="inlineStr">
        <is>
          <t>10001|6720$92001|$82001|1474$112001|$122001|$192001|1</t>
        </is>
      </c>
      <c r="K66" s="35" t="inlineStr">
        <is>
          <t>1</t>
        </is>
      </c>
      <c r="L66" s="46" t="inlineStr">
        <is>
          <t>12128|12129|12128</t>
        </is>
      </c>
      <c r="M66" s="46" t="inlineStr">
        <is>
          <t>53</t>
        </is>
      </c>
      <c r="N66" s="30" t="n"/>
      <c r="O66" s="30" t="n"/>
      <c r="R66" s="28" t="inlineStr">
        <is>
          <t>365001|10</t>
        </is>
      </c>
    </row>
    <row r="67" ht="27" customHeight="1" s="80">
      <c r="B67" s="38" t="n">
        <v>20024</v>
      </c>
      <c r="C67" s="35" t="inlineStr">
        <is>
          <t>餍火国裂隙</t>
        </is>
      </c>
      <c r="D67" s="38" t="n">
        <v>24</v>
      </c>
      <c r="E67" s="38" t="n"/>
      <c r="F67" s="38" t="n">
        <v>20023</v>
      </c>
      <c r="G67" s="38" t="n">
        <v>20025</v>
      </c>
      <c r="H67" s="38" t="n">
        <v>10002</v>
      </c>
      <c r="I67" s="38" t="n"/>
      <c r="J67" s="49" t="inlineStr">
        <is>
          <t>10001|6960$92001|$82001|1517$112001|$122001|$192001|1</t>
        </is>
      </c>
      <c r="K67" s="35" t="inlineStr">
        <is>
          <t>3</t>
        </is>
      </c>
      <c r="L67" s="47" t="inlineStr">
        <is>
          <t>12230</t>
        </is>
      </c>
      <c r="M67" s="47" t="inlineStr">
        <is>
          <t>53</t>
        </is>
      </c>
      <c r="N67" s="30" t="n"/>
      <c r="O67" s="30" t="n"/>
      <c r="R67" s="28" t="inlineStr">
        <is>
          <t>365001|10</t>
        </is>
      </c>
    </row>
    <row r="68" ht="27" customHeight="1" s="80">
      <c r="B68" s="38" t="n">
        <v>20025</v>
      </c>
      <c r="C68" s="35" t="inlineStr">
        <is>
          <t>餍火国裂隙</t>
        </is>
      </c>
      <c r="D68" s="38" t="n">
        <v>25</v>
      </c>
      <c r="E68" s="38" t="n"/>
      <c r="F68" s="38" t="n">
        <v>20024</v>
      </c>
      <c r="G68" s="38" t="n">
        <v>20026</v>
      </c>
      <c r="H68" s="38" t="n">
        <v>10002</v>
      </c>
      <c r="I68" s="38" t="n"/>
      <c r="J68" s="49" t="inlineStr">
        <is>
          <t>10001|7200$92001|$82001|1560$112001|$122001|$192001|1</t>
        </is>
      </c>
      <c r="K68" s="35" t="inlineStr">
        <is>
          <t>2</t>
        </is>
      </c>
      <c r="L68" s="38" t="n"/>
      <c r="M68" s="38" t="n"/>
      <c r="N68" s="30" t="n"/>
      <c r="O68" s="30" t="n"/>
      <c r="R68" s="28" t="inlineStr">
        <is>
          <t>365001|10</t>
        </is>
      </c>
    </row>
    <row r="69" ht="27" customHeight="1" s="80">
      <c r="B69" s="38" t="n">
        <v>20026</v>
      </c>
      <c r="C69" s="35" t="inlineStr">
        <is>
          <t>餍火国裂隙</t>
        </is>
      </c>
      <c r="D69" s="38" t="n">
        <v>26</v>
      </c>
      <c r="E69" s="38" t="n"/>
      <c r="F69" s="38" t="n">
        <v>20025</v>
      </c>
      <c r="G69" s="38" t="n">
        <v>20027</v>
      </c>
      <c r="H69" s="38" t="n">
        <v>10002</v>
      </c>
      <c r="I69" s="38" t="n"/>
      <c r="J69" s="49" t="inlineStr">
        <is>
          <t>10001|7440$92001|$82001|1603$112001|$122001|$192001|1</t>
        </is>
      </c>
      <c r="K69" s="38" t="inlineStr">
        <is>
          <t>1</t>
        </is>
      </c>
      <c r="L69" s="46" t="inlineStr">
        <is>
          <t>12131|12132|12133</t>
        </is>
      </c>
      <c r="M69" s="46" t="inlineStr">
        <is>
          <t>56</t>
        </is>
      </c>
      <c r="N69" s="30" t="n"/>
      <c r="O69" s="30" t="n"/>
      <c r="R69" s="28" t="inlineStr">
        <is>
          <t>365001|10</t>
        </is>
      </c>
    </row>
    <row r="70" ht="27" customHeight="1" s="80">
      <c r="B70" s="38" t="n">
        <v>20027</v>
      </c>
      <c r="C70" s="35" t="inlineStr">
        <is>
          <t>餍火国裂隙</t>
        </is>
      </c>
      <c r="D70" s="38" t="n">
        <v>27</v>
      </c>
      <c r="E70" s="38" t="n"/>
      <c r="F70" s="38" t="n">
        <v>20026</v>
      </c>
      <c r="G70" s="38" t="n">
        <v>20028</v>
      </c>
      <c r="H70" s="38" t="n">
        <v>10002</v>
      </c>
      <c r="I70" s="38" t="n"/>
      <c r="J70" s="49" t="inlineStr">
        <is>
          <t>10001|7680$92001|$82001|1646$112001|$122001|$192001|1</t>
        </is>
      </c>
      <c r="K70" s="38" t="inlineStr">
        <is>
          <t>1</t>
        </is>
      </c>
      <c r="L70" s="46" t="inlineStr">
        <is>
          <t>12134|12135|12136</t>
        </is>
      </c>
      <c r="M70" s="46" t="inlineStr">
        <is>
          <t>56</t>
        </is>
      </c>
      <c r="N70" s="30" t="n"/>
      <c r="O70" s="30" t="n"/>
      <c r="R70" s="28" t="inlineStr">
        <is>
          <t>365001|10</t>
        </is>
      </c>
    </row>
    <row r="71" ht="40.5" customHeight="1" s="80">
      <c r="B71" s="38" t="n">
        <v>20028</v>
      </c>
      <c r="C71" s="35" t="inlineStr">
        <is>
          <t>餍火国裂隙</t>
        </is>
      </c>
      <c r="D71" s="38" t="n">
        <v>28</v>
      </c>
      <c r="E71" s="38" t="n"/>
      <c r="F71" s="38" t="n">
        <v>20027</v>
      </c>
      <c r="G71" s="38" t="n">
        <v>20029</v>
      </c>
      <c r="H71" s="38" t="n">
        <v>10002</v>
      </c>
      <c r="I71" s="38" t="n"/>
      <c r="J71" s="49" t="inlineStr">
        <is>
          <t>10001|7920$92001|$82001|1690$112001|$122001|$192001|1</t>
        </is>
      </c>
      <c r="K71" s="38" t="inlineStr">
        <is>
          <t>1</t>
        </is>
      </c>
      <c r="L71" s="46" t="inlineStr">
        <is>
          <t>12137|12137|12137|12138|12138|12138|12139|12139|12139|12140|12140</t>
        </is>
      </c>
      <c r="M71" s="46" t="inlineStr">
        <is>
          <t>56</t>
        </is>
      </c>
      <c r="N71" s="30" t="n"/>
      <c r="O71" s="30" t="n"/>
      <c r="R71" s="28" t="inlineStr">
        <is>
          <t>365001|10</t>
        </is>
      </c>
    </row>
    <row r="72" ht="27" customHeight="1" s="80">
      <c r="B72" s="38" t="n">
        <v>20029</v>
      </c>
      <c r="C72" s="35" t="inlineStr">
        <is>
          <t>餍火国裂隙</t>
        </is>
      </c>
      <c r="D72" s="38" t="n">
        <v>29</v>
      </c>
      <c r="E72" s="38" t="n"/>
      <c r="F72" s="38" t="n">
        <v>20028</v>
      </c>
      <c r="G72" s="38" t="n">
        <v>20030</v>
      </c>
      <c r="H72" s="38" t="n">
        <v>10002</v>
      </c>
      <c r="I72" s="38" t="n"/>
      <c r="J72" s="49" t="inlineStr">
        <is>
          <t>10001|8160$92001|$82001|1733$112001|$122001|$192001|1</t>
        </is>
      </c>
      <c r="K72" s="38" t="inlineStr">
        <is>
          <t>2</t>
        </is>
      </c>
      <c r="L72" s="38" t="n"/>
      <c r="M72" s="38" t="n"/>
      <c r="N72" s="30" t="n"/>
      <c r="O72" s="30" t="n"/>
      <c r="R72" s="28" t="inlineStr">
        <is>
          <t>365001|10</t>
        </is>
      </c>
    </row>
    <row r="73" ht="27" customHeight="1" s="80">
      <c r="B73" s="38" t="n">
        <v>20030</v>
      </c>
      <c r="C73" s="35" t="inlineStr">
        <is>
          <t>餍火国裂隙</t>
        </is>
      </c>
      <c r="D73" s="38" t="n">
        <v>30</v>
      </c>
      <c r="E73" s="38" t="n"/>
      <c r="F73" s="38" t="n">
        <v>20029</v>
      </c>
      <c r="G73" s="38" t="n"/>
      <c r="H73" s="38" t="n">
        <v>10002</v>
      </c>
      <c r="I73" s="38" t="n">
        <v>1</v>
      </c>
      <c r="J73" s="49" t="inlineStr">
        <is>
          <t>10001|8400$92001|$82001|1776$112001|$122001|$192001|1</t>
        </is>
      </c>
      <c r="K73" s="38" t="inlineStr">
        <is>
          <t>4</t>
        </is>
      </c>
      <c r="L73" s="47" t="inlineStr">
        <is>
          <t>12341</t>
        </is>
      </c>
      <c r="M73" s="47" t="inlineStr">
        <is>
          <t>60</t>
        </is>
      </c>
      <c r="N73" s="30" t="n"/>
      <c r="O73" s="30" t="n"/>
      <c r="R73" s="42" t="inlineStr">
        <is>
          <t>172001|1$365001|10$445001|1</t>
        </is>
      </c>
    </row>
    <row r="74" ht="27" customHeight="1" s="80">
      <c r="B74" s="55" t="n">
        <v>30001</v>
      </c>
      <c r="C74" s="52" t="inlineStr">
        <is>
          <t>白民国裂隙</t>
        </is>
      </c>
      <c r="D74" s="55" t="n">
        <v>1</v>
      </c>
      <c r="E74" s="55" t="inlineStr">
        <is>
          <t>1</t>
        </is>
      </c>
      <c r="F74" s="55" t="n"/>
      <c r="G74" s="55" t="n">
        <v>30002</v>
      </c>
      <c r="H74" s="55" t="n">
        <v>10003</v>
      </c>
      <c r="I74" s="55" t="n"/>
      <c r="J74" s="55" t="inlineStr">
        <is>
          <t>10001|3600$93001|$83001|912$113001|456$123001|$193001|</t>
        </is>
      </c>
      <c r="K74" s="52" t="inlineStr">
        <is>
          <t>3</t>
        </is>
      </c>
      <c r="L74" s="52" t="inlineStr">
        <is>
          <t>13201|13201|13201</t>
        </is>
      </c>
      <c r="M74" s="52" t="inlineStr">
        <is>
          <t>77</t>
        </is>
      </c>
      <c r="N74" s="30" t="n"/>
      <c r="O74" s="30" t="n"/>
      <c r="R74" s="28" t="inlineStr">
        <is>
          <t>365001|10</t>
        </is>
      </c>
    </row>
    <row r="75" ht="27" customHeight="1" s="80">
      <c r="B75" s="55" t="n">
        <v>30002</v>
      </c>
      <c r="C75" s="52" t="inlineStr">
        <is>
          <t>白民国裂隙</t>
        </is>
      </c>
      <c r="D75" s="55" t="n">
        <v>2</v>
      </c>
      <c r="E75" s="55" t="n"/>
      <c r="F75" s="55" t="n">
        <v>30001</v>
      </c>
      <c r="G75" s="55" t="n">
        <v>30003</v>
      </c>
      <c r="H75" s="55" t="n">
        <v>10003</v>
      </c>
      <c r="I75" s="55" t="n"/>
      <c r="J75" s="55" t="inlineStr">
        <is>
          <t>10001|3840$93001|$83001|955$113001|480$123001|$193001|</t>
        </is>
      </c>
      <c r="K75" s="52" t="inlineStr">
        <is>
          <t>3</t>
        </is>
      </c>
      <c r="L75" s="52" t="inlineStr">
        <is>
          <t>13202|13203|13202</t>
        </is>
      </c>
      <c r="M75" s="52" t="inlineStr">
        <is>
          <t>77</t>
        </is>
      </c>
      <c r="N75" s="30" t="n"/>
      <c r="O75" s="30" t="n"/>
      <c r="R75" s="28" t="inlineStr">
        <is>
          <t>365001|10</t>
        </is>
      </c>
    </row>
    <row r="76" ht="27" customHeight="1" s="80">
      <c r="B76" s="55" t="n">
        <v>30003</v>
      </c>
      <c r="C76" s="52" t="inlineStr">
        <is>
          <t>白民国裂隙</t>
        </is>
      </c>
      <c r="D76" s="55" t="n">
        <v>3</v>
      </c>
      <c r="E76" s="55" t="n"/>
      <c r="F76" s="55" t="n">
        <v>30002</v>
      </c>
      <c r="G76" s="55" t="n">
        <v>30004</v>
      </c>
      <c r="H76" s="55" t="n">
        <v>10003</v>
      </c>
      <c r="I76" s="55" t="n"/>
      <c r="J76" s="55" t="inlineStr">
        <is>
          <t>10001|4080$93001|$83001|998$113001|504$123001|$193001|</t>
        </is>
      </c>
      <c r="K76" s="52" t="inlineStr">
        <is>
          <t>3</t>
        </is>
      </c>
      <c r="L76" s="52" t="inlineStr">
        <is>
          <t>13204|13205|13204</t>
        </is>
      </c>
      <c r="M76" s="52" t="inlineStr">
        <is>
          <t>77</t>
        </is>
      </c>
      <c r="N76" s="30" t="n"/>
      <c r="O76" s="30" t="n"/>
      <c r="R76" s="28" t="inlineStr">
        <is>
          <t>365001|10</t>
        </is>
      </c>
    </row>
    <row r="77" ht="27" customHeight="1" s="80">
      <c r="B77" s="55" t="n">
        <v>30004</v>
      </c>
      <c r="C77" s="52" t="inlineStr">
        <is>
          <t>白民国裂隙</t>
        </is>
      </c>
      <c r="D77" s="55" t="n">
        <v>4</v>
      </c>
      <c r="E77" s="55" t="n"/>
      <c r="F77" s="55" t="n">
        <v>30003</v>
      </c>
      <c r="G77" s="55" t="n">
        <v>30005</v>
      </c>
      <c r="H77" s="55" t="n">
        <v>10003</v>
      </c>
      <c r="I77" s="55" t="n"/>
      <c r="J77" s="57" t="inlineStr">
        <is>
          <t>10001|4320$93001|$83001|1042$113001|528$123001|$193001|</t>
        </is>
      </c>
      <c r="K77" s="52" t="inlineStr">
        <is>
          <t>3</t>
        </is>
      </c>
      <c r="L77" s="52" t="inlineStr">
        <is>
          <t>13206</t>
        </is>
      </c>
      <c r="M77" s="52" t="inlineStr">
        <is>
          <t>77</t>
        </is>
      </c>
      <c r="N77" s="30" t="n"/>
      <c r="O77" s="30" t="n"/>
      <c r="R77" s="28" t="inlineStr">
        <is>
          <t>365001|10</t>
        </is>
      </c>
    </row>
    <row r="78" ht="27" customHeight="1" s="80">
      <c r="B78" s="55" t="n">
        <v>30005</v>
      </c>
      <c r="C78" s="52" t="inlineStr">
        <is>
          <t>白民国裂隙</t>
        </is>
      </c>
      <c r="D78" s="55" t="n">
        <v>5</v>
      </c>
      <c r="E78" s="55" t="n"/>
      <c r="F78" s="55" t="n">
        <v>30004</v>
      </c>
      <c r="G78" s="55" t="n">
        <v>30006</v>
      </c>
      <c r="H78" s="55" t="n">
        <v>10003</v>
      </c>
      <c r="I78" s="55" t="n"/>
      <c r="J78" s="57" t="inlineStr">
        <is>
          <t>10001|4560$93001|$83001|1085$113001|552$123001|$193001|</t>
        </is>
      </c>
      <c r="K78" s="52" t="inlineStr">
        <is>
          <t>2</t>
        </is>
      </c>
      <c r="L78" s="55" t="n"/>
      <c r="M78" s="55" t="n"/>
      <c r="N78" s="30" t="n"/>
      <c r="O78" s="30" t="n"/>
      <c r="R78" s="28" t="inlineStr">
        <is>
          <t>365001|10</t>
        </is>
      </c>
    </row>
    <row r="79" ht="27" customHeight="1" s="80">
      <c r="B79" s="55" t="n">
        <v>30006</v>
      </c>
      <c r="C79" s="52" t="inlineStr">
        <is>
          <t>白民国裂隙</t>
        </is>
      </c>
      <c r="D79" s="55" t="n">
        <v>6</v>
      </c>
      <c r="E79" s="55" t="n"/>
      <c r="F79" s="55" t="n">
        <v>30005</v>
      </c>
      <c r="G79" s="55" t="n">
        <v>30007</v>
      </c>
      <c r="H79" s="55" t="n">
        <v>10003</v>
      </c>
      <c r="I79" s="55" t="n"/>
      <c r="J79" s="57" t="inlineStr">
        <is>
          <t>10001|4800$93001|$83001|1128$113001|576$123001|$193001|</t>
        </is>
      </c>
      <c r="K79" s="52" t="inlineStr">
        <is>
          <t>3</t>
        </is>
      </c>
      <c r="L79" s="58" t="inlineStr">
        <is>
          <t>13207|13207|13207</t>
        </is>
      </c>
      <c r="M79" s="58" t="inlineStr">
        <is>
          <t>80</t>
        </is>
      </c>
      <c r="N79" s="30" t="n"/>
      <c r="O79" s="30" t="n"/>
      <c r="R79" s="28" t="inlineStr">
        <is>
          <t>365001|10</t>
        </is>
      </c>
    </row>
    <row r="80" ht="27" customHeight="1" s="80">
      <c r="B80" s="55" t="n">
        <v>30007</v>
      </c>
      <c r="C80" s="52" t="inlineStr">
        <is>
          <t>白民国裂隙</t>
        </is>
      </c>
      <c r="D80" s="55" t="n">
        <v>7</v>
      </c>
      <c r="E80" s="55" t="n"/>
      <c r="F80" s="55" t="n">
        <v>30006</v>
      </c>
      <c r="G80" s="55" t="n">
        <v>30008</v>
      </c>
      <c r="H80" s="55" t="n">
        <v>10003</v>
      </c>
      <c r="I80" s="55" t="n"/>
      <c r="J80" s="57" t="inlineStr">
        <is>
          <t>10001|5040$93001|$83001|1171$113001|600$123001|$193001|</t>
        </is>
      </c>
      <c r="K80" s="52" t="inlineStr">
        <is>
          <t>3</t>
        </is>
      </c>
      <c r="L80" s="52" t="inlineStr">
        <is>
          <t>13208|13209|13208</t>
        </is>
      </c>
      <c r="M80" s="52" t="inlineStr">
        <is>
          <t>80</t>
        </is>
      </c>
      <c r="N80" s="30" t="n"/>
      <c r="O80" s="30" t="n"/>
      <c r="R80" s="28" t="inlineStr">
        <is>
          <t>365001|10</t>
        </is>
      </c>
    </row>
    <row r="81" ht="27" customHeight="1" s="80">
      <c r="B81" s="55" t="n">
        <v>30008</v>
      </c>
      <c r="C81" s="52" t="inlineStr">
        <is>
          <t>白民国裂隙</t>
        </is>
      </c>
      <c r="D81" s="55" t="n">
        <v>8</v>
      </c>
      <c r="E81" s="55" t="n"/>
      <c r="F81" s="55" t="n">
        <v>30007</v>
      </c>
      <c r="G81" s="55" t="n">
        <v>30009</v>
      </c>
      <c r="H81" s="55" t="n">
        <v>10003</v>
      </c>
      <c r="I81" s="55" t="n"/>
      <c r="J81" s="57" t="inlineStr">
        <is>
          <t>10001|5280$93001|$83001|1214$113001|624$123001|$193001|</t>
        </is>
      </c>
      <c r="K81" s="52" t="inlineStr">
        <is>
          <t>3</t>
        </is>
      </c>
      <c r="L81" s="52" t="inlineStr">
        <is>
          <t>13210|13211|13210</t>
        </is>
      </c>
      <c r="M81" s="52" t="inlineStr">
        <is>
          <t>80</t>
        </is>
      </c>
      <c r="N81" s="30" t="n"/>
      <c r="O81" s="30" t="n"/>
      <c r="R81" s="28" t="inlineStr">
        <is>
          <t>365001|10</t>
        </is>
      </c>
    </row>
    <row r="82" ht="27" customHeight="1" s="80">
      <c r="B82" s="55" t="n">
        <v>30009</v>
      </c>
      <c r="C82" s="52" t="inlineStr">
        <is>
          <t>白民国裂隙</t>
        </is>
      </c>
      <c r="D82" s="55" t="n">
        <v>9</v>
      </c>
      <c r="E82" s="55" t="n"/>
      <c r="F82" s="55" t="n">
        <v>30008</v>
      </c>
      <c r="G82" s="55" t="n">
        <v>30010</v>
      </c>
      <c r="H82" s="55" t="n">
        <v>10003</v>
      </c>
      <c r="I82" s="55" t="n"/>
      <c r="J82" s="57" t="inlineStr">
        <is>
          <t>10001|5520$93001|$83001|1258$113001|648$123001|$193001|</t>
        </is>
      </c>
      <c r="K82" s="52" t="inlineStr">
        <is>
          <t>3</t>
        </is>
      </c>
      <c r="L82" s="52" t="inlineStr">
        <is>
          <t>13212</t>
        </is>
      </c>
      <c r="M82" s="52" t="inlineStr">
        <is>
          <t>80</t>
        </is>
      </c>
      <c r="N82" s="30" t="n"/>
      <c r="O82" s="30" t="n"/>
      <c r="R82" s="28" t="inlineStr">
        <is>
          <t>365001|10</t>
        </is>
      </c>
    </row>
    <row r="83" ht="27" customHeight="1" s="80">
      <c r="B83" s="55" t="n">
        <v>30010</v>
      </c>
      <c r="C83" s="52" t="inlineStr">
        <is>
          <t>白民国裂隙</t>
        </is>
      </c>
      <c r="D83" s="55" t="n">
        <v>10</v>
      </c>
      <c r="E83" s="55" t="n"/>
      <c r="F83" s="55" t="n">
        <v>30009</v>
      </c>
      <c r="G83" s="55" t="n">
        <v>30011</v>
      </c>
      <c r="H83" s="55" t="n">
        <v>10003</v>
      </c>
      <c r="I83" s="55" t="n"/>
      <c r="J83" s="57" t="inlineStr">
        <is>
          <t>10001|5760$93001|$83001|1301$113001|672$123001|$193001|</t>
        </is>
      </c>
      <c r="K83" s="52" t="inlineStr">
        <is>
          <t>2</t>
        </is>
      </c>
      <c r="L83" s="55" t="n"/>
      <c r="M83" s="55" t="n"/>
      <c r="N83" s="30" t="n"/>
      <c r="O83" s="30" t="n"/>
      <c r="R83" s="28" t="inlineStr">
        <is>
          <t>365001|10</t>
        </is>
      </c>
    </row>
    <row r="84" ht="27" customHeight="1" s="80">
      <c r="B84" s="55" t="n">
        <v>30011</v>
      </c>
      <c r="C84" s="52" t="inlineStr">
        <is>
          <t>白民国裂隙</t>
        </is>
      </c>
      <c r="D84" s="55" t="n">
        <v>11</v>
      </c>
      <c r="E84" s="55" t="n"/>
      <c r="F84" s="55" t="n">
        <v>30010</v>
      </c>
      <c r="G84" s="55" t="n">
        <v>30012</v>
      </c>
      <c r="H84" s="55" t="n">
        <v>10003</v>
      </c>
      <c r="I84" s="55" t="n"/>
      <c r="J84" s="57" t="inlineStr">
        <is>
          <t>10001|6000$93001|$83001|1344$113001|696$123001|$193001|</t>
        </is>
      </c>
      <c r="K84" s="52" t="inlineStr">
        <is>
          <t>3</t>
        </is>
      </c>
      <c r="L84" s="58" t="inlineStr">
        <is>
          <t>13213|13213|13213</t>
        </is>
      </c>
      <c r="M84" s="58" t="inlineStr">
        <is>
          <t>83</t>
        </is>
      </c>
      <c r="N84" s="30" t="n"/>
      <c r="O84" s="30" t="n"/>
      <c r="R84" s="28" t="inlineStr">
        <is>
          <t>365001|10</t>
        </is>
      </c>
    </row>
    <row r="85" ht="27" customHeight="1" s="80">
      <c r="B85" s="55" t="n">
        <v>30012</v>
      </c>
      <c r="C85" s="52" t="inlineStr">
        <is>
          <t>白民国裂隙</t>
        </is>
      </c>
      <c r="D85" s="55" t="n">
        <v>12</v>
      </c>
      <c r="E85" s="55" t="n"/>
      <c r="F85" s="55" t="n">
        <v>30011</v>
      </c>
      <c r="G85" s="55" t="n">
        <v>30013</v>
      </c>
      <c r="H85" s="55" t="n">
        <v>10003</v>
      </c>
      <c r="I85" s="55" t="n"/>
      <c r="J85" s="57" t="inlineStr">
        <is>
          <t>10001|6240$93001|$83001|1387$113001|720$123001|$193001|</t>
        </is>
      </c>
      <c r="K85" s="52" t="inlineStr">
        <is>
          <t>3</t>
        </is>
      </c>
      <c r="L85" s="58" t="inlineStr">
        <is>
          <t>13214|13215|13214</t>
        </is>
      </c>
      <c r="M85" s="58" t="inlineStr">
        <is>
          <t>83</t>
        </is>
      </c>
      <c r="N85" s="30" t="n"/>
      <c r="O85" s="30" t="n"/>
      <c r="R85" s="28" t="inlineStr">
        <is>
          <t>365001|10</t>
        </is>
      </c>
    </row>
    <row r="86" ht="27" customHeight="1" s="80">
      <c r="B86" s="55" t="n">
        <v>30013</v>
      </c>
      <c r="C86" s="52" t="inlineStr">
        <is>
          <t>白民国裂隙</t>
        </is>
      </c>
      <c r="D86" s="55" t="n">
        <v>13</v>
      </c>
      <c r="E86" s="55" t="n"/>
      <c r="F86" s="55" t="n">
        <v>30012</v>
      </c>
      <c r="G86" s="55" t="n">
        <v>30014</v>
      </c>
      <c r="H86" s="55" t="n">
        <v>10003</v>
      </c>
      <c r="I86" s="55" t="n"/>
      <c r="J86" s="57" t="inlineStr">
        <is>
          <t>10001|6480$93001|$83001|1430$113001|744$123001|$193001|</t>
        </is>
      </c>
      <c r="K86" s="52" t="inlineStr">
        <is>
          <t>3</t>
        </is>
      </c>
      <c r="L86" s="52" t="inlineStr">
        <is>
          <t>13216|13217|13216</t>
        </is>
      </c>
      <c r="M86" s="52" t="inlineStr">
        <is>
          <t>83</t>
        </is>
      </c>
      <c r="N86" s="30" t="n"/>
      <c r="O86" s="30" t="n"/>
      <c r="R86" s="28" t="inlineStr">
        <is>
          <t>365001|10</t>
        </is>
      </c>
    </row>
    <row r="87" ht="27" customHeight="1" s="80">
      <c r="B87" s="55" t="n">
        <v>30014</v>
      </c>
      <c r="C87" s="52" t="inlineStr">
        <is>
          <t>白民国裂隙</t>
        </is>
      </c>
      <c r="D87" s="55" t="n">
        <v>14</v>
      </c>
      <c r="E87" s="55" t="n"/>
      <c r="F87" s="55" t="n">
        <v>30013</v>
      </c>
      <c r="G87" s="55" t="n">
        <v>30015</v>
      </c>
      <c r="H87" s="55" t="n">
        <v>10003</v>
      </c>
      <c r="I87" s="55" t="n"/>
      <c r="J87" s="57" t="inlineStr">
        <is>
          <t>10001|6720$93001|$83001|1474$113001|768$123001|$193001|</t>
        </is>
      </c>
      <c r="K87" s="52" t="inlineStr">
        <is>
          <t>3</t>
        </is>
      </c>
      <c r="L87" s="52" t="inlineStr">
        <is>
          <t>13218</t>
        </is>
      </c>
      <c r="M87" s="52" t="inlineStr">
        <is>
          <t>83</t>
        </is>
      </c>
      <c r="N87" s="30" t="n"/>
      <c r="O87" s="30" t="n"/>
      <c r="R87" s="28" t="inlineStr">
        <is>
          <t>365001|10</t>
        </is>
      </c>
    </row>
    <row r="88" ht="27" customHeight="1" s="80">
      <c r="B88" s="55" t="n">
        <v>30015</v>
      </c>
      <c r="C88" s="52" t="inlineStr">
        <is>
          <t>白民国裂隙</t>
        </is>
      </c>
      <c r="D88" s="55" t="n">
        <v>15</v>
      </c>
      <c r="E88" s="55" t="n"/>
      <c r="F88" s="55" t="n">
        <v>30014</v>
      </c>
      <c r="G88" s="55" t="n">
        <v>30016</v>
      </c>
      <c r="H88" s="55" t="n">
        <v>10003</v>
      </c>
      <c r="I88" s="55" t="n"/>
      <c r="J88" s="57" t="inlineStr">
        <is>
          <t>10001|6960$93001|$83001|1517$113001|792$123001|$193001|</t>
        </is>
      </c>
      <c r="K88" s="52" t="inlineStr">
        <is>
          <t>2</t>
        </is>
      </c>
      <c r="L88" s="55" t="n"/>
      <c r="M88" s="55" t="n"/>
      <c r="N88" s="30" t="n"/>
      <c r="O88" s="30" t="n"/>
      <c r="R88" s="28" t="inlineStr">
        <is>
          <t>365001|10</t>
        </is>
      </c>
    </row>
    <row r="89" ht="27" customHeight="1" s="80">
      <c r="B89" s="55" t="n">
        <v>30016</v>
      </c>
      <c r="C89" s="52" t="inlineStr">
        <is>
          <t>白民国裂隙</t>
        </is>
      </c>
      <c r="D89" s="55" t="n">
        <v>16</v>
      </c>
      <c r="E89" s="55" t="n"/>
      <c r="F89" s="55" t="n">
        <v>30015</v>
      </c>
      <c r="G89" s="55" t="n">
        <v>30017</v>
      </c>
      <c r="H89" s="55" t="n">
        <v>10003</v>
      </c>
      <c r="I89" s="55" t="n"/>
      <c r="J89" s="57" t="inlineStr">
        <is>
          <t>10001|7200$93001|$83001|1560$113001|816$123001|$193001|</t>
        </is>
      </c>
      <c r="K89" s="52" t="inlineStr">
        <is>
          <t>3</t>
        </is>
      </c>
      <c r="L89" s="58" t="inlineStr">
        <is>
          <t>13219|13219|13219</t>
        </is>
      </c>
      <c r="M89" s="58" t="inlineStr">
        <is>
          <t>86</t>
        </is>
      </c>
      <c r="N89" s="30" t="n"/>
      <c r="O89" s="30" t="n"/>
      <c r="R89" s="28" t="inlineStr">
        <is>
          <t>365001|10</t>
        </is>
      </c>
    </row>
    <row r="90" ht="27" customHeight="1" s="80">
      <c r="B90" s="55" t="n">
        <v>30017</v>
      </c>
      <c r="C90" s="52" t="inlineStr">
        <is>
          <t>白民国裂隙</t>
        </is>
      </c>
      <c r="D90" s="55" t="n">
        <v>17</v>
      </c>
      <c r="E90" s="55" t="n"/>
      <c r="F90" s="55" t="n">
        <v>30016</v>
      </c>
      <c r="G90" s="55" t="n">
        <v>30018</v>
      </c>
      <c r="H90" s="55" t="n">
        <v>10003</v>
      </c>
      <c r="I90" s="55" t="n"/>
      <c r="J90" s="57" t="inlineStr">
        <is>
          <t>10001|7440$93001|$83001|1603$113001|840$123001|$193001|</t>
        </is>
      </c>
      <c r="K90" s="52" t="inlineStr">
        <is>
          <t>3</t>
        </is>
      </c>
      <c r="L90" s="58" t="inlineStr">
        <is>
          <t>13220|13221|13220</t>
        </is>
      </c>
      <c r="M90" s="58" t="inlineStr">
        <is>
          <t>86</t>
        </is>
      </c>
      <c r="N90" s="30" t="n"/>
      <c r="O90" s="30" t="n"/>
      <c r="R90" s="28" t="inlineStr">
        <is>
          <t>365001|10</t>
        </is>
      </c>
    </row>
    <row r="91" ht="27" customHeight="1" s="80">
      <c r="B91" s="55" t="n">
        <v>30018</v>
      </c>
      <c r="C91" s="52" t="inlineStr">
        <is>
          <t>白民国裂隙</t>
        </is>
      </c>
      <c r="D91" s="55" t="n">
        <v>18</v>
      </c>
      <c r="E91" s="55" t="n"/>
      <c r="F91" s="55" t="n">
        <v>30017</v>
      </c>
      <c r="G91" s="55" t="n">
        <v>30019</v>
      </c>
      <c r="H91" s="55" t="n">
        <v>10003</v>
      </c>
      <c r="I91" s="55" t="n"/>
      <c r="J91" s="57" t="inlineStr">
        <is>
          <t>10001|7680$93001|$83001|1646$113001|864$123001|$193001|</t>
        </is>
      </c>
      <c r="K91" s="52" t="inlineStr">
        <is>
          <t>3</t>
        </is>
      </c>
      <c r="L91" s="52" t="inlineStr">
        <is>
          <t>13222|13223|13222</t>
        </is>
      </c>
      <c r="M91" s="52" t="inlineStr">
        <is>
          <t>86</t>
        </is>
      </c>
      <c r="N91" s="30" t="n"/>
      <c r="O91" s="30" t="n"/>
      <c r="R91" s="28" t="inlineStr">
        <is>
          <t>365001|10</t>
        </is>
      </c>
    </row>
    <row r="92" ht="27" customHeight="1" s="80">
      <c r="B92" s="55" t="n">
        <v>30019</v>
      </c>
      <c r="C92" s="52" t="inlineStr">
        <is>
          <t>白民国裂隙</t>
        </is>
      </c>
      <c r="D92" s="55" t="n">
        <v>19</v>
      </c>
      <c r="E92" s="55" t="n"/>
      <c r="F92" s="55" t="n">
        <v>30018</v>
      </c>
      <c r="G92" s="55" t="n">
        <v>30020</v>
      </c>
      <c r="H92" s="55" t="n">
        <v>10003</v>
      </c>
      <c r="I92" s="55" t="n"/>
      <c r="J92" s="57" t="inlineStr">
        <is>
          <t>10001|7920$93001|$83001|1690$113001|888$123001|$193001|</t>
        </is>
      </c>
      <c r="K92" s="52" t="inlineStr">
        <is>
          <t>3</t>
        </is>
      </c>
      <c r="L92" s="58" t="inlineStr">
        <is>
          <t>13224</t>
        </is>
      </c>
      <c r="M92" s="58" t="inlineStr">
        <is>
          <t>86</t>
        </is>
      </c>
      <c r="N92" s="30" t="n"/>
      <c r="O92" s="30" t="n"/>
      <c r="R92" s="28" t="inlineStr">
        <is>
          <t>365001|10</t>
        </is>
      </c>
    </row>
    <row r="93" ht="27" customHeight="1" s="80">
      <c r="B93" s="55" t="n">
        <v>30020</v>
      </c>
      <c r="C93" s="52" t="inlineStr">
        <is>
          <t>白民国裂隙</t>
        </is>
      </c>
      <c r="D93" s="55" t="n">
        <v>20</v>
      </c>
      <c r="E93" s="55" t="n"/>
      <c r="F93" s="55" t="n">
        <v>30019</v>
      </c>
      <c r="G93" s="55" t="n">
        <v>30021</v>
      </c>
      <c r="H93" s="55" t="n">
        <v>10003</v>
      </c>
      <c r="I93" s="55" t="n"/>
      <c r="J93" s="57" t="inlineStr">
        <is>
          <t>10001|8160$93001|$83001|1733$113001|912$123001|$193001|</t>
        </is>
      </c>
      <c r="K93" s="52" t="inlineStr">
        <is>
          <t>2</t>
        </is>
      </c>
      <c r="L93" s="55" t="n"/>
      <c r="M93" s="55" t="n"/>
      <c r="N93" s="30" t="n"/>
      <c r="O93" s="30" t="n"/>
      <c r="R93" s="28" t="inlineStr">
        <is>
          <t>365001|10</t>
        </is>
      </c>
    </row>
    <row r="94" ht="27" customHeight="1" s="80">
      <c r="B94" s="55" t="n">
        <v>30021</v>
      </c>
      <c r="C94" s="52" t="inlineStr">
        <is>
          <t>白民国裂隙</t>
        </is>
      </c>
      <c r="D94" s="55" t="n">
        <v>21</v>
      </c>
      <c r="E94" s="55" t="n"/>
      <c r="F94" s="55" t="n">
        <v>30020</v>
      </c>
      <c r="G94" s="55" t="n">
        <v>30022</v>
      </c>
      <c r="H94" s="55" t="n">
        <v>10003</v>
      </c>
      <c r="I94" s="55" t="n"/>
      <c r="J94" s="57" t="inlineStr">
        <is>
          <t>10001|8400$93001|$83001|1776$113001|936$123001|$193001|</t>
        </is>
      </c>
      <c r="K94" s="52" t="inlineStr">
        <is>
          <t>3</t>
        </is>
      </c>
      <c r="L94" s="58" t="inlineStr">
        <is>
          <t>13225|13225|13225</t>
        </is>
      </c>
      <c r="M94" s="58" t="inlineStr">
        <is>
          <t>88</t>
        </is>
      </c>
      <c r="N94" s="30" t="n"/>
      <c r="O94" s="30" t="n"/>
      <c r="R94" s="28" t="inlineStr">
        <is>
          <t>365001|10</t>
        </is>
      </c>
    </row>
    <row r="95" ht="27" customHeight="1" s="80">
      <c r="B95" s="55" t="n">
        <v>30022</v>
      </c>
      <c r="C95" s="52" t="inlineStr">
        <is>
          <t>白民国裂隙</t>
        </is>
      </c>
      <c r="D95" s="55" t="n">
        <v>22</v>
      </c>
      <c r="E95" s="55" t="n"/>
      <c r="F95" s="55" t="n">
        <v>30021</v>
      </c>
      <c r="G95" s="55" t="n">
        <v>30023</v>
      </c>
      <c r="H95" s="55" t="n">
        <v>10003</v>
      </c>
      <c r="I95" s="55" t="n"/>
      <c r="J95" s="57" t="inlineStr">
        <is>
          <t>10001|8640$93001|$83001|1819$113001|960$123001|$193001|</t>
        </is>
      </c>
      <c r="K95" s="52" t="inlineStr">
        <is>
          <t>3</t>
        </is>
      </c>
      <c r="L95" s="58" t="inlineStr">
        <is>
          <t>13226|13227|13226</t>
        </is>
      </c>
      <c r="M95" s="58" t="inlineStr">
        <is>
          <t>88</t>
        </is>
      </c>
      <c r="N95" s="30" t="n"/>
      <c r="O95" s="30" t="n"/>
      <c r="R95" s="28" t="inlineStr">
        <is>
          <t>365001|10</t>
        </is>
      </c>
    </row>
    <row r="96" ht="27" customHeight="1" s="80">
      <c r="B96" s="55" t="n">
        <v>30023</v>
      </c>
      <c r="C96" s="52" t="inlineStr">
        <is>
          <t>白民国裂隙</t>
        </is>
      </c>
      <c r="D96" s="55" t="n">
        <v>23</v>
      </c>
      <c r="E96" s="55" t="n"/>
      <c r="F96" s="55" t="n">
        <v>30022</v>
      </c>
      <c r="G96" s="55" t="n">
        <v>30024</v>
      </c>
      <c r="H96" s="55" t="n">
        <v>10003</v>
      </c>
      <c r="I96" s="55" t="n"/>
      <c r="J96" s="57" t="inlineStr">
        <is>
          <t>10001|8880$93001|$83001|1862$113001|984$123001|$193001|</t>
        </is>
      </c>
      <c r="K96" s="52" t="inlineStr">
        <is>
          <t>3</t>
        </is>
      </c>
      <c r="L96" s="52" t="inlineStr">
        <is>
          <t>13228|13229|13228</t>
        </is>
      </c>
      <c r="M96" s="52" t="inlineStr">
        <is>
          <t>88</t>
        </is>
      </c>
      <c r="N96" s="30" t="n"/>
      <c r="O96" s="30" t="n"/>
      <c r="R96" s="28" t="inlineStr">
        <is>
          <t>365001|10</t>
        </is>
      </c>
    </row>
    <row r="97" ht="27" customHeight="1" s="80">
      <c r="B97" s="55" t="n">
        <v>30024</v>
      </c>
      <c r="C97" s="52" t="inlineStr">
        <is>
          <t>白民国裂隙</t>
        </is>
      </c>
      <c r="D97" s="55" t="n">
        <v>24</v>
      </c>
      <c r="E97" s="55" t="n"/>
      <c r="F97" s="55" t="n">
        <v>30023</v>
      </c>
      <c r="G97" s="55" t="n">
        <v>30025</v>
      </c>
      <c r="H97" s="55" t="n">
        <v>10003</v>
      </c>
      <c r="I97" s="55" t="n"/>
      <c r="J97" s="57" t="inlineStr">
        <is>
          <t>10001|9120$93001|$83001|1905$113001|1008$123001|$193001|</t>
        </is>
      </c>
      <c r="K97" s="52" t="inlineStr">
        <is>
          <t>3</t>
        </is>
      </c>
      <c r="L97" s="52" t="inlineStr">
        <is>
          <t>13230</t>
        </is>
      </c>
      <c r="M97" s="52" t="inlineStr">
        <is>
          <t>88</t>
        </is>
      </c>
      <c r="N97" s="30" t="n"/>
      <c r="O97" s="30" t="n"/>
      <c r="R97" s="28" t="inlineStr">
        <is>
          <t>365001|10</t>
        </is>
      </c>
    </row>
    <row r="98" ht="27" customHeight="1" s="80">
      <c r="B98" s="55" t="n">
        <v>30025</v>
      </c>
      <c r="C98" s="52" t="inlineStr">
        <is>
          <t>白民国裂隙</t>
        </is>
      </c>
      <c r="D98" s="55" t="n">
        <v>25</v>
      </c>
      <c r="E98" s="55" t="n"/>
      <c r="F98" s="55" t="n">
        <v>30024</v>
      </c>
      <c r="G98" s="55" t="n">
        <v>30026</v>
      </c>
      <c r="H98" s="55" t="n">
        <v>10003</v>
      </c>
      <c r="I98" s="55" t="n"/>
      <c r="J98" s="57" t="inlineStr">
        <is>
          <t>10001|9360$93001|$83001|1948$113001|1032$123001|$193001|</t>
        </is>
      </c>
      <c r="K98" s="52" t="inlineStr">
        <is>
          <t>2</t>
        </is>
      </c>
      <c r="L98" s="55" t="n"/>
      <c r="M98" s="55" t="n"/>
      <c r="N98" s="30" t="n"/>
      <c r="O98" s="30" t="n"/>
      <c r="R98" s="28" t="inlineStr">
        <is>
          <t>365001|10</t>
        </is>
      </c>
    </row>
    <row r="99" ht="27" customHeight="1" s="80">
      <c r="B99" s="55" t="n">
        <v>30026</v>
      </c>
      <c r="C99" s="52" t="inlineStr">
        <is>
          <t>白民国裂隙</t>
        </is>
      </c>
      <c r="D99" s="55" t="n">
        <v>26</v>
      </c>
      <c r="E99" s="55" t="n"/>
      <c r="F99" s="55" t="n">
        <v>30025</v>
      </c>
      <c r="G99" s="55" t="n">
        <v>30027</v>
      </c>
      <c r="H99" s="55" t="n">
        <v>10003</v>
      </c>
      <c r="I99" s="55" t="n"/>
      <c r="J99" s="57" t="inlineStr">
        <is>
          <t>10001|9600$93001|$83001|1991$113001|1056$123001|$193001|</t>
        </is>
      </c>
      <c r="K99" s="52" t="inlineStr">
        <is>
          <t>3</t>
        </is>
      </c>
      <c r="L99" s="58" t="inlineStr">
        <is>
          <t>13231|13231|13231|13231</t>
        </is>
      </c>
      <c r="M99" s="58" t="inlineStr">
        <is>
          <t>89</t>
        </is>
      </c>
      <c r="N99" s="30" t="n"/>
      <c r="O99" s="30" t="n"/>
      <c r="R99" s="28" t="inlineStr">
        <is>
          <t>365001|10</t>
        </is>
      </c>
    </row>
    <row r="100" ht="27" customHeight="1" s="80">
      <c r="B100" s="55" t="n">
        <v>30027</v>
      </c>
      <c r="C100" s="52" t="inlineStr">
        <is>
          <t>白民国裂隙</t>
        </is>
      </c>
      <c r="D100" s="55" t="n">
        <v>27</v>
      </c>
      <c r="E100" s="55" t="n"/>
      <c r="F100" s="55" t="n">
        <v>30026</v>
      </c>
      <c r="G100" s="55" t="n">
        <v>30028</v>
      </c>
      <c r="H100" s="55" t="n">
        <v>10003</v>
      </c>
      <c r="I100" s="55" t="n"/>
      <c r="J100" s="57" t="inlineStr">
        <is>
          <t>10001|9840$93001|$83001|2034$113001|1080$123001|$193001|</t>
        </is>
      </c>
      <c r="K100" s="52" t="inlineStr">
        <is>
          <t>3</t>
        </is>
      </c>
      <c r="L100" s="52" t="inlineStr">
        <is>
          <t>13232|13233|13234|13234</t>
        </is>
      </c>
      <c r="M100" s="52" t="inlineStr">
        <is>
          <t>89</t>
        </is>
      </c>
      <c r="N100" s="30" t="n"/>
      <c r="O100" s="30" t="n"/>
      <c r="R100" s="28" t="inlineStr">
        <is>
          <t>365001|10</t>
        </is>
      </c>
    </row>
    <row r="101" ht="40.5" customHeight="1" s="80">
      <c r="B101" s="55" t="n">
        <v>30028</v>
      </c>
      <c r="C101" s="52" t="inlineStr">
        <is>
          <t>白民国裂隙</t>
        </is>
      </c>
      <c r="D101" s="55" t="n">
        <v>28</v>
      </c>
      <c r="E101" s="55" t="n"/>
      <c r="F101" s="55" t="n">
        <v>30027</v>
      </c>
      <c r="G101" s="55" t="n">
        <v>30029</v>
      </c>
      <c r="H101" s="55" t="n">
        <v>10003</v>
      </c>
      <c r="I101" s="55" t="n"/>
      <c r="J101" s="57" t="inlineStr">
        <is>
          <t>10001|10080$93001|$83001|2077$113001|1104$123001|$193001|</t>
        </is>
      </c>
      <c r="K101" s="52" t="inlineStr">
        <is>
          <t>3</t>
        </is>
      </c>
      <c r="L101" s="58" t="inlineStr">
        <is>
          <t>13235|13235|13235|13235</t>
        </is>
      </c>
      <c r="M101" s="58" t="inlineStr">
        <is>
          <t>89</t>
        </is>
      </c>
      <c r="N101" s="30" t="n"/>
      <c r="O101" s="30" t="n"/>
      <c r="R101" s="28" t="inlineStr">
        <is>
          <t>365001|10</t>
        </is>
      </c>
    </row>
    <row r="102">
      <c r="B102" s="55" t="n">
        <v>30029</v>
      </c>
      <c r="C102" s="52" t="inlineStr">
        <is>
          <t>白民国裂隙</t>
        </is>
      </c>
      <c r="D102" s="55" t="n">
        <v>29</v>
      </c>
      <c r="E102" s="55" t="n"/>
      <c r="F102" s="55" t="n">
        <v>30028</v>
      </c>
      <c r="G102" s="55" t="n">
        <v>30030</v>
      </c>
      <c r="H102" s="55" t="n">
        <v>10003</v>
      </c>
      <c r="I102" s="55" t="n"/>
      <c r="J102" s="57" t="inlineStr">
        <is>
          <t>10001|10320$93001|$83001|2120$113001|1128$123001|$193001|</t>
        </is>
      </c>
      <c r="K102" s="52" t="inlineStr">
        <is>
          <t>2</t>
        </is>
      </c>
      <c r="L102" s="55" t="n"/>
      <c r="M102" s="55" t="n"/>
      <c r="N102" s="30" t="n"/>
      <c r="O102" s="30" t="n"/>
      <c r="R102" s="28" t="inlineStr">
        <is>
          <t>365001|10</t>
        </is>
      </c>
    </row>
    <row r="103">
      <c r="B103" s="55" t="n">
        <v>30030</v>
      </c>
      <c r="C103" s="52" t="inlineStr">
        <is>
          <t>白民国裂隙</t>
        </is>
      </c>
      <c r="D103" s="55" t="n">
        <v>30</v>
      </c>
      <c r="E103" s="55" t="n"/>
      <c r="F103" s="55" t="n">
        <v>30029</v>
      </c>
      <c r="G103" s="55" t="n"/>
      <c r="H103" s="55" t="n">
        <v>10003</v>
      </c>
      <c r="I103" s="52" t="inlineStr">
        <is>
          <t>1</t>
        </is>
      </c>
      <c r="J103" s="57" t="inlineStr">
        <is>
          <t>10001|10560$93001|$83001|2163$113001|1152$123001|$193001|</t>
        </is>
      </c>
      <c r="K103" s="52" t="inlineStr">
        <is>
          <t>4</t>
        </is>
      </c>
      <c r="L103" s="58" t="inlineStr">
        <is>
          <t>13336</t>
        </is>
      </c>
      <c r="M103" s="58" t="inlineStr">
        <is>
          <t>90</t>
        </is>
      </c>
      <c r="N103" s="30" t="n"/>
      <c r="O103" s="30" t="n"/>
      <c r="R103" s="42" t="inlineStr">
        <is>
          <t>173001|1$365001|10$445001|1</t>
        </is>
      </c>
    </row>
    <row r="104">
      <c r="B104" s="54" t="inlineStr">
        <is>
          <t>40001</t>
        </is>
      </c>
      <c r="C104" s="73" t="inlineStr">
        <is>
          <t>羽民国裂隙</t>
        </is>
      </c>
      <c r="D104" s="54" t="n">
        <v>1</v>
      </c>
      <c r="E104" s="54" t="inlineStr">
        <is>
          <t>1</t>
        </is>
      </c>
      <c r="F104" s="54" t="n"/>
      <c r="G104" s="54" t="inlineStr">
        <is>
          <t>40002</t>
        </is>
      </c>
      <c r="H104" s="54" t="inlineStr">
        <is>
          <t>10004</t>
        </is>
      </c>
      <c r="I104" s="54" t="n"/>
      <c r="J104" s="79" t="inlineStr">
        <is>
          <t>10001|30000$84001|1650$114001|1300</t>
        </is>
      </c>
      <c r="K104" s="54" t="inlineStr">
        <is>
          <t>1</t>
        </is>
      </c>
      <c r="L104" s="73" t="inlineStr">
        <is>
          <t>14101|14102|14103</t>
        </is>
      </c>
      <c r="M104" s="73" t="inlineStr">
        <is>
          <t>106</t>
        </is>
      </c>
      <c r="N104" s="30" t="n"/>
      <c r="O104" s="30" t="n"/>
      <c r="R104" s="79" t="inlineStr">
        <is>
          <t>365001|10</t>
        </is>
      </c>
    </row>
    <row r="105">
      <c r="B105" s="54" t="inlineStr">
        <is>
          <t>40002</t>
        </is>
      </c>
      <c r="C105" s="73" t="inlineStr">
        <is>
          <t>羽民国裂隙</t>
        </is>
      </c>
      <c r="D105" s="54" t="n">
        <v>2</v>
      </c>
      <c r="E105" s="54" t="n"/>
      <c r="F105" s="54" t="inlineStr">
        <is>
          <t>40001</t>
        </is>
      </c>
      <c r="G105" s="54" t="inlineStr">
        <is>
          <t>40003</t>
        </is>
      </c>
      <c r="H105" s="54" t="inlineStr">
        <is>
          <t>10004</t>
        </is>
      </c>
      <c r="I105" s="54" t="n"/>
      <c r="J105" s="79" t="inlineStr">
        <is>
          <t>10001|30000$84001|1650$114001|1300</t>
        </is>
      </c>
      <c r="K105" s="54" t="inlineStr">
        <is>
          <t>1</t>
        </is>
      </c>
      <c r="L105" s="73" t="inlineStr">
        <is>
          <t>14101|14102|14103</t>
        </is>
      </c>
      <c r="M105" s="73" t="inlineStr">
        <is>
          <t>106</t>
        </is>
      </c>
      <c r="N105" s="30" t="n"/>
      <c r="O105" s="30" t="n"/>
      <c r="R105" s="79" t="inlineStr">
        <is>
          <t>365001|10</t>
        </is>
      </c>
    </row>
    <row r="106" ht="27" customFormat="1" customHeight="1" s="78">
      <c r="B106" s="54" t="inlineStr">
        <is>
          <t>40003</t>
        </is>
      </c>
      <c r="C106" s="73" t="inlineStr">
        <is>
          <t>羽民国裂隙</t>
        </is>
      </c>
      <c r="D106" s="54" t="n">
        <v>3</v>
      </c>
      <c r="E106" s="54" t="n"/>
      <c r="F106" s="54" t="inlineStr">
        <is>
          <t>40002</t>
        </is>
      </c>
      <c r="G106" s="54" t="inlineStr">
        <is>
          <t>40004</t>
        </is>
      </c>
      <c r="H106" s="54" t="inlineStr">
        <is>
          <t>10004</t>
        </is>
      </c>
      <c r="I106" s="54" t="n"/>
      <c r="J106" s="79" t="inlineStr">
        <is>
          <t>10001|30000$84001|1650$114001|1300</t>
        </is>
      </c>
      <c r="K106" s="54" t="inlineStr">
        <is>
          <t>1</t>
        </is>
      </c>
      <c r="L106" s="73" t="inlineStr">
        <is>
          <t>14101|14102|14103</t>
        </is>
      </c>
      <c r="M106" s="73" t="inlineStr">
        <is>
          <t>106</t>
        </is>
      </c>
      <c r="N106" s="30" t="n"/>
      <c r="O106" s="30" t="n"/>
      <c r="R106" s="79" t="inlineStr">
        <is>
          <t>365001|10</t>
        </is>
      </c>
    </row>
    <row r="107">
      <c r="B107" s="54" t="inlineStr">
        <is>
          <t>40004</t>
        </is>
      </c>
      <c r="C107" s="73" t="inlineStr">
        <is>
          <t>羽民国裂隙</t>
        </is>
      </c>
      <c r="D107" s="54" t="n">
        <v>4</v>
      </c>
      <c r="E107" s="54" t="n"/>
      <c r="F107" s="54" t="inlineStr">
        <is>
          <t>40003</t>
        </is>
      </c>
      <c r="G107" s="54" t="inlineStr">
        <is>
          <t>40005</t>
        </is>
      </c>
      <c r="H107" s="54" t="inlineStr">
        <is>
          <t>10004</t>
        </is>
      </c>
      <c r="I107" s="54" t="n"/>
      <c r="J107" s="79" t="inlineStr">
        <is>
          <t>10001|30000$84001|1650$114001|1300</t>
        </is>
      </c>
      <c r="K107" s="54" t="inlineStr">
        <is>
          <t>1</t>
        </is>
      </c>
      <c r="L107" s="74" t="inlineStr">
        <is>
          <t>14104</t>
        </is>
      </c>
      <c r="M107" s="73" t="inlineStr">
        <is>
          <t>107</t>
        </is>
      </c>
      <c r="N107" s="30" t="n"/>
      <c r="O107" s="30" t="n"/>
      <c r="R107" s="79" t="inlineStr">
        <is>
          <t>365001|10</t>
        </is>
      </c>
    </row>
    <row r="108">
      <c r="B108" s="77" t="inlineStr">
        <is>
          <t>40005</t>
        </is>
      </c>
      <c r="C108" s="76" t="inlineStr">
        <is>
          <t>羽民国裂隙（中转站）</t>
        </is>
      </c>
      <c r="D108" s="77" t="n">
        <v>5</v>
      </c>
      <c r="E108" s="77" t="n"/>
      <c r="F108" s="77" t="inlineStr">
        <is>
          <t>40004</t>
        </is>
      </c>
      <c r="G108" s="77" t="inlineStr">
        <is>
          <t>40006</t>
        </is>
      </c>
      <c r="H108" s="77" t="inlineStr">
        <is>
          <t>10004</t>
        </is>
      </c>
      <c r="I108" s="77" t="n"/>
      <c r="J108" s="79" t="inlineStr">
        <is>
          <t>10001|30000$84001|1650$114001|1300</t>
        </is>
      </c>
      <c r="K108" s="76" t="inlineStr">
        <is>
          <t>2</t>
        </is>
      </c>
      <c r="M108" s="76" t="n"/>
      <c r="N108" s="77" t="n"/>
      <c r="O108" s="77" t="n"/>
      <c r="R108" s="79" t="inlineStr">
        <is>
          <t>365001|10</t>
        </is>
      </c>
    </row>
    <row r="109">
      <c r="B109" s="54" t="inlineStr">
        <is>
          <t>40006</t>
        </is>
      </c>
      <c r="C109" s="73" t="inlineStr">
        <is>
          <t>羽民国裂隙</t>
        </is>
      </c>
      <c r="D109" s="54" t="n">
        <v>6</v>
      </c>
      <c r="E109" s="54" t="n"/>
      <c r="F109" s="54" t="inlineStr">
        <is>
          <t>40005</t>
        </is>
      </c>
      <c r="G109" s="54" t="inlineStr">
        <is>
          <t>40007</t>
        </is>
      </c>
      <c r="H109" s="54" t="inlineStr">
        <is>
          <t>10004</t>
        </is>
      </c>
      <c r="I109" s="54" t="n"/>
      <c r="J109" s="79" t="inlineStr">
        <is>
          <t>10001|30000$84001|1650$114001|1300</t>
        </is>
      </c>
      <c r="K109" s="73" t="inlineStr">
        <is>
          <t>1</t>
        </is>
      </c>
      <c r="L109" s="73" t="inlineStr">
        <is>
          <t>14101|14102|14103</t>
        </is>
      </c>
      <c r="M109" s="73" t="inlineStr">
        <is>
          <t>108</t>
        </is>
      </c>
      <c r="N109" s="30" t="n"/>
      <c r="O109" s="30" t="n"/>
      <c r="R109" s="79" t="inlineStr">
        <is>
          <t>365001|10</t>
        </is>
      </c>
    </row>
    <row r="110">
      <c r="B110" s="54" t="inlineStr">
        <is>
          <t>40007</t>
        </is>
      </c>
      <c r="C110" s="73" t="inlineStr">
        <is>
          <t>羽民国裂隙</t>
        </is>
      </c>
      <c r="D110" s="54" t="n">
        <v>7</v>
      </c>
      <c r="E110" s="54" t="n"/>
      <c r="F110" s="54" t="inlineStr">
        <is>
          <t>40006</t>
        </is>
      </c>
      <c r="G110" s="54" t="inlineStr">
        <is>
          <t>40008</t>
        </is>
      </c>
      <c r="H110" s="54" t="inlineStr">
        <is>
          <t>10004</t>
        </is>
      </c>
      <c r="I110" s="54" t="n"/>
      <c r="J110" s="79" t="inlineStr">
        <is>
          <t>10001|30000$84001|1650$114001|1300</t>
        </is>
      </c>
      <c r="K110" s="54" t="inlineStr">
        <is>
          <t>1</t>
        </is>
      </c>
      <c r="L110" s="73" t="inlineStr">
        <is>
          <t>14101|14102|14103</t>
        </is>
      </c>
      <c r="M110" s="73" t="inlineStr">
        <is>
          <t>108</t>
        </is>
      </c>
      <c r="N110" s="30" t="n"/>
      <c r="O110" s="30" t="n"/>
      <c r="R110" s="79" t="inlineStr">
        <is>
          <t>365001|10</t>
        </is>
      </c>
    </row>
    <row r="111" ht="27" customFormat="1" customHeight="1" s="78">
      <c r="B111" s="54" t="inlineStr">
        <is>
          <t>40008</t>
        </is>
      </c>
      <c r="C111" s="73" t="inlineStr">
        <is>
          <t>羽民国裂隙</t>
        </is>
      </c>
      <c r="D111" s="54" t="n">
        <v>8</v>
      </c>
      <c r="E111" s="54" t="n"/>
      <c r="F111" s="54" t="inlineStr">
        <is>
          <t>40007</t>
        </is>
      </c>
      <c r="G111" s="54" t="inlineStr">
        <is>
          <t>40009</t>
        </is>
      </c>
      <c r="H111" s="54" t="inlineStr">
        <is>
          <t>10004</t>
        </is>
      </c>
      <c r="I111" s="54" t="n"/>
      <c r="J111" s="79" t="inlineStr">
        <is>
          <t>10001|30000$84001|1650$114001|1300</t>
        </is>
      </c>
      <c r="K111" s="54" t="inlineStr">
        <is>
          <t>1</t>
        </is>
      </c>
      <c r="L111" s="73" t="inlineStr">
        <is>
          <t>14101|14102|14103</t>
        </is>
      </c>
      <c r="M111" s="73" t="inlineStr">
        <is>
          <t>108</t>
        </is>
      </c>
      <c r="N111" s="30" t="n"/>
      <c r="O111" s="30" t="n"/>
      <c r="R111" s="79" t="inlineStr">
        <is>
          <t>365001|10</t>
        </is>
      </c>
    </row>
    <row r="112">
      <c r="B112" s="54" t="inlineStr">
        <is>
          <t>40009</t>
        </is>
      </c>
      <c r="C112" s="73" t="inlineStr">
        <is>
          <t>羽民国裂隙</t>
        </is>
      </c>
      <c r="D112" s="54" t="n">
        <v>9</v>
      </c>
      <c r="E112" s="54" t="n"/>
      <c r="F112" s="54" t="inlineStr">
        <is>
          <t>40008</t>
        </is>
      </c>
      <c r="G112" s="54" t="inlineStr">
        <is>
          <t>40010</t>
        </is>
      </c>
      <c r="H112" s="54" t="inlineStr">
        <is>
          <t>10004</t>
        </is>
      </c>
      <c r="I112" s="54" t="n"/>
      <c r="J112" s="79" t="inlineStr">
        <is>
          <t>10001|30000$84001|1650$114001|1300</t>
        </is>
      </c>
      <c r="K112" s="54" t="inlineStr">
        <is>
          <t>1</t>
        </is>
      </c>
      <c r="L112" s="74" t="inlineStr">
        <is>
          <t>14104</t>
        </is>
      </c>
      <c r="M112" s="73" t="inlineStr">
        <is>
          <t>110</t>
        </is>
      </c>
      <c r="N112" s="30" t="n"/>
      <c r="O112" s="30" t="n"/>
      <c r="R112" s="79" t="inlineStr">
        <is>
          <t>365001|10</t>
        </is>
      </c>
    </row>
    <row r="113">
      <c r="B113" s="77" t="inlineStr">
        <is>
          <t>40010</t>
        </is>
      </c>
      <c r="C113" s="76" t="inlineStr">
        <is>
          <t>羽民国裂隙（中转站）</t>
        </is>
      </c>
      <c r="D113" s="77" t="n">
        <v>10</v>
      </c>
      <c r="E113" s="77" t="n"/>
      <c r="F113" s="77" t="inlineStr">
        <is>
          <t>40009</t>
        </is>
      </c>
      <c r="G113" s="77" t="inlineStr">
        <is>
          <t>40011</t>
        </is>
      </c>
      <c r="H113" s="77" t="inlineStr">
        <is>
          <t>10004</t>
        </is>
      </c>
      <c r="I113" s="77" t="n"/>
      <c r="J113" s="79" t="inlineStr">
        <is>
          <t>10001|30000$84001|1650$114001|1300</t>
        </is>
      </c>
      <c r="K113" s="76" t="inlineStr">
        <is>
          <t>2</t>
        </is>
      </c>
      <c r="L113" s="77" t="n"/>
      <c r="M113" s="77" t="n"/>
      <c r="N113" s="77" t="n"/>
      <c r="O113" s="77" t="n"/>
      <c r="R113" s="79" t="inlineStr">
        <is>
          <t>365001|10</t>
        </is>
      </c>
    </row>
    <row r="114">
      <c r="B114" s="54" t="inlineStr">
        <is>
          <t>40011</t>
        </is>
      </c>
      <c r="C114" s="73" t="inlineStr">
        <is>
          <t>羽民国裂隙</t>
        </is>
      </c>
      <c r="D114" s="54" t="n">
        <v>11</v>
      </c>
      <c r="E114" s="54" t="n"/>
      <c r="F114" s="54" t="inlineStr">
        <is>
          <t>40010</t>
        </is>
      </c>
      <c r="G114" s="54" t="inlineStr">
        <is>
          <t>40012</t>
        </is>
      </c>
      <c r="H114" s="54" t="inlineStr">
        <is>
          <t>10004</t>
        </is>
      </c>
      <c r="I114" s="54" t="n"/>
      <c r="J114" s="79" t="inlineStr">
        <is>
          <t>10001|30000$84001|1650$114001|1300</t>
        </is>
      </c>
      <c r="K114" s="73" t="inlineStr">
        <is>
          <t>1</t>
        </is>
      </c>
      <c r="L114" s="44" t="inlineStr">
        <is>
          <t>14105|14105|14105</t>
        </is>
      </c>
      <c r="M114" s="73" t="inlineStr">
        <is>
          <t>111</t>
        </is>
      </c>
      <c r="N114" s="30" t="n"/>
      <c r="O114" s="30" t="n"/>
      <c r="R114" s="79" t="inlineStr">
        <is>
          <t>365001|10</t>
        </is>
      </c>
    </row>
    <row r="115">
      <c r="B115" s="54" t="inlineStr">
        <is>
          <t>40012</t>
        </is>
      </c>
      <c r="C115" s="73" t="inlineStr">
        <is>
          <t>羽民国裂隙</t>
        </is>
      </c>
      <c r="D115" s="54" t="n">
        <v>12</v>
      </c>
      <c r="E115" s="54" t="n"/>
      <c r="F115" s="54" t="inlineStr">
        <is>
          <t>40011</t>
        </is>
      </c>
      <c r="G115" s="54" t="inlineStr">
        <is>
          <t>40013</t>
        </is>
      </c>
      <c r="H115" s="54" t="inlineStr">
        <is>
          <t>10004</t>
        </is>
      </c>
      <c r="I115" s="54" t="n"/>
      <c r="J115" s="79" t="inlineStr">
        <is>
          <t>10001|30000$84001|1650$114001|1300</t>
        </is>
      </c>
      <c r="K115" s="73" t="inlineStr">
        <is>
          <t>1</t>
        </is>
      </c>
      <c r="L115" s="44" t="inlineStr">
        <is>
          <t>14103|14103|14103</t>
        </is>
      </c>
      <c r="M115" s="73" t="inlineStr">
        <is>
          <t>111</t>
        </is>
      </c>
      <c r="N115" s="30" t="n"/>
      <c r="O115" s="30" t="n"/>
      <c r="R115" s="79" t="inlineStr">
        <is>
          <t>365001|10</t>
        </is>
      </c>
    </row>
    <row r="116" ht="27" customFormat="1" customHeight="1" s="78">
      <c r="B116" s="54" t="inlineStr">
        <is>
          <t>40013</t>
        </is>
      </c>
      <c r="C116" s="73" t="inlineStr">
        <is>
          <t>羽民国裂隙</t>
        </is>
      </c>
      <c r="D116" s="54" t="n">
        <v>13</v>
      </c>
      <c r="E116" s="54" t="n"/>
      <c r="F116" s="54" t="inlineStr">
        <is>
          <t>40012</t>
        </is>
      </c>
      <c r="G116" s="54" t="inlineStr">
        <is>
          <t>40014</t>
        </is>
      </c>
      <c r="H116" s="54" t="inlineStr">
        <is>
          <t>10004</t>
        </is>
      </c>
      <c r="I116" s="54" t="n"/>
      <c r="J116" s="79" t="inlineStr">
        <is>
          <t>10001|30000$84001|1650$114001|1300</t>
        </is>
      </c>
      <c r="K116" s="54" t="inlineStr">
        <is>
          <t>1</t>
        </is>
      </c>
      <c r="L116" s="44" t="inlineStr">
        <is>
          <t>14105|14105|14105</t>
        </is>
      </c>
      <c r="M116" s="73" t="inlineStr">
        <is>
          <t>111</t>
        </is>
      </c>
      <c r="N116" s="30" t="n"/>
      <c r="O116" s="30" t="n"/>
      <c r="R116" s="79" t="inlineStr">
        <is>
          <t>365001|10</t>
        </is>
      </c>
    </row>
    <row r="117">
      <c r="B117" s="54" t="inlineStr">
        <is>
          <t>40014</t>
        </is>
      </c>
      <c r="C117" s="73" t="inlineStr">
        <is>
          <t>羽民国裂隙</t>
        </is>
      </c>
      <c r="D117" s="54" t="n">
        <v>14</v>
      </c>
      <c r="E117" s="54" t="n"/>
      <c r="F117" s="54" t="inlineStr">
        <is>
          <t>40013</t>
        </is>
      </c>
      <c r="G117" s="54" t="inlineStr">
        <is>
          <t>40015</t>
        </is>
      </c>
      <c r="H117" s="54" t="inlineStr">
        <is>
          <t>10004</t>
        </is>
      </c>
      <c r="I117" s="54" t="n"/>
      <c r="J117" s="79" t="inlineStr">
        <is>
          <t>10001|30000$84001|1650$114001|1300</t>
        </is>
      </c>
      <c r="K117" s="54" t="inlineStr">
        <is>
          <t>1</t>
        </is>
      </c>
      <c r="L117" s="74" t="inlineStr">
        <is>
          <t>14106</t>
        </is>
      </c>
      <c r="M117" s="73" t="inlineStr">
        <is>
          <t>113</t>
        </is>
      </c>
      <c r="N117" s="30" t="n"/>
      <c r="O117" s="30" t="n"/>
      <c r="R117" s="79" t="inlineStr">
        <is>
          <t>365001|10</t>
        </is>
      </c>
    </row>
    <row r="118">
      <c r="B118" s="77" t="inlineStr">
        <is>
          <t>40015</t>
        </is>
      </c>
      <c r="C118" s="76" t="inlineStr">
        <is>
          <t>羽民国裂隙（中转站）</t>
        </is>
      </c>
      <c r="D118" s="77" t="n">
        <v>15</v>
      </c>
      <c r="E118" s="77" t="n"/>
      <c r="F118" s="77" t="inlineStr">
        <is>
          <t>40014</t>
        </is>
      </c>
      <c r="G118" s="77" t="inlineStr">
        <is>
          <t>40016</t>
        </is>
      </c>
      <c r="H118" s="77" t="inlineStr">
        <is>
          <t>10004</t>
        </is>
      </c>
      <c r="I118" s="77" t="n"/>
      <c r="J118" s="79" t="inlineStr">
        <is>
          <t>10001|30000$84001|1650$114001|1300</t>
        </is>
      </c>
      <c r="K118" s="76" t="inlineStr">
        <is>
          <t>2</t>
        </is>
      </c>
      <c r="L118" s="77" t="n"/>
      <c r="M118" s="77" t="n"/>
      <c r="N118" s="77" t="n"/>
      <c r="O118" s="77" t="n"/>
      <c r="R118" s="79" t="inlineStr">
        <is>
          <t>365001|10</t>
        </is>
      </c>
    </row>
    <row r="119">
      <c r="B119" s="54" t="inlineStr">
        <is>
          <t>40016</t>
        </is>
      </c>
      <c r="C119" s="73" t="inlineStr">
        <is>
          <t>羽民国裂隙</t>
        </is>
      </c>
      <c r="D119" s="54" t="n">
        <v>16</v>
      </c>
      <c r="E119" s="54" t="n"/>
      <c r="F119" s="54" t="inlineStr">
        <is>
          <t>40015</t>
        </is>
      </c>
      <c r="G119" s="54" t="inlineStr">
        <is>
          <t>40017</t>
        </is>
      </c>
      <c r="H119" s="54" t="inlineStr">
        <is>
          <t>10004</t>
        </is>
      </c>
      <c r="I119" s="54" t="n"/>
      <c r="J119" s="79" t="inlineStr">
        <is>
          <t>10001|30000$84001|1650$114001|1300</t>
        </is>
      </c>
      <c r="K119" s="54" t="inlineStr">
        <is>
          <t>1</t>
        </is>
      </c>
      <c r="L119" s="73" t="inlineStr">
        <is>
          <t>14102|14102|14102</t>
        </is>
      </c>
      <c r="M119" s="73" t="inlineStr">
        <is>
          <t>113</t>
        </is>
      </c>
      <c r="N119" s="30" t="n"/>
      <c r="O119" s="30" t="n"/>
      <c r="R119" s="79" t="inlineStr">
        <is>
          <t>365001|10</t>
        </is>
      </c>
    </row>
    <row r="120">
      <c r="B120" s="54" t="inlineStr">
        <is>
          <t>40017</t>
        </is>
      </c>
      <c r="C120" s="73" t="inlineStr">
        <is>
          <t>羽民国裂隙</t>
        </is>
      </c>
      <c r="D120" s="54" t="n">
        <v>17</v>
      </c>
      <c r="E120" s="54" t="n"/>
      <c r="F120" s="54" t="inlineStr">
        <is>
          <t>40016</t>
        </is>
      </c>
      <c r="G120" s="54" t="inlineStr">
        <is>
          <t>40018</t>
        </is>
      </c>
      <c r="H120" s="54" t="inlineStr">
        <is>
          <t>10004</t>
        </is>
      </c>
      <c r="I120" s="54" t="n"/>
      <c r="J120" s="79" t="inlineStr">
        <is>
          <t>10001|30000$84001|1650$114001|1300</t>
        </is>
      </c>
      <c r="K120" s="73" t="inlineStr">
        <is>
          <t>1</t>
        </is>
      </c>
      <c r="L120" s="44" t="inlineStr">
        <is>
          <t>14107|14107|14107</t>
        </is>
      </c>
      <c r="M120" s="73" t="inlineStr">
        <is>
          <t>113</t>
        </is>
      </c>
      <c r="N120" s="30" t="n"/>
      <c r="O120" s="30" t="n"/>
      <c r="R120" s="79" t="inlineStr">
        <is>
          <t>365001|10</t>
        </is>
      </c>
    </row>
    <row r="121" ht="27" customFormat="1" customHeight="1" s="78">
      <c r="B121" s="54" t="inlineStr">
        <is>
          <t>40018</t>
        </is>
      </c>
      <c r="C121" s="73" t="inlineStr">
        <is>
          <t>羽民国裂隙</t>
        </is>
      </c>
      <c r="D121" s="54" t="n">
        <v>18</v>
      </c>
      <c r="E121" s="54" t="n"/>
      <c r="F121" s="54" t="inlineStr">
        <is>
          <t>40017</t>
        </is>
      </c>
      <c r="G121" s="54" t="inlineStr">
        <is>
          <t>40019</t>
        </is>
      </c>
      <c r="H121" s="54" t="inlineStr">
        <is>
          <t>10004</t>
        </is>
      </c>
      <c r="I121" s="54" t="n"/>
      <c r="J121" s="79" t="inlineStr">
        <is>
          <t>10001|30000$84001|1650$114001|1300</t>
        </is>
      </c>
      <c r="K121" s="73" t="inlineStr">
        <is>
          <t>1</t>
        </is>
      </c>
      <c r="L121" s="44" t="inlineStr">
        <is>
          <t>14107|14107|14107</t>
        </is>
      </c>
      <c r="M121" s="73" t="inlineStr">
        <is>
          <t>113</t>
        </is>
      </c>
      <c r="N121" s="30" t="n"/>
      <c r="O121" s="30" t="n"/>
      <c r="R121" s="79" t="inlineStr">
        <is>
          <t>365001|10</t>
        </is>
      </c>
    </row>
    <row r="122">
      <c r="B122" s="54" t="inlineStr">
        <is>
          <t>40019</t>
        </is>
      </c>
      <c r="C122" s="73" t="inlineStr">
        <is>
          <t>羽民国裂隙</t>
        </is>
      </c>
      <c r="D122" s="54" t="n">
        <v>19</v>
      </c>
      <c r="E122" s="54" t="n"/>
      <c r="F122" s="54" t="inlineStr">
        <is>
          <t>40018</t>
        </is>
      </c>
      <c r="G122" s="54" t="inlineStr">
        <is>
          <t>40020</t>
        </is>
      </c>
      <c r="H122" s="54" t="inlineStr">
        <is>
          <t>10004</t>
        </is>
      </c>
      <c r="I122" s="54" t="n"/>
      <c r="J122" s="79" t="inlineStr">
        <is>
          <t>10001|30000$84001|1650$114001|1300</t>
        </is>
      </c>
      <c r="K122" s="54" t="inlineStr">
        <is>
          <t>1</t>
        </is>
      </c>
      <c r="L122" s="74" t="inlineStr">
        <is>
          <t>14108</t>
        </is>
      </c>
      <c r="M122" s="73" t="inlineStr">
        <is>
          <t>114</t>
        </is>
      </c>
      <c r="N122" s="30" t="n"/>
      <c r="O122" s="30" t="n"/>
      <c r="R122" s="79" t="inlineStr">
        <is>
          <t>365001|10</t>
        </is>
      </c>
    </row>
    <row r="123">
      <c r="B123" s="77" t="inlineStr">
        <is>
          <t>40020</t>
        </is>
      </c>
      <c r="C123" s="76" t="inlineStr">
        <is>
          <t>羽民国裂隙（中转站）</t>
        </is>
      </c>
      <c r="D123" s="77" t="n">
        <v>20</v>
      </c>
      <c r="E123" s="77" t="n"/>
      <c r="F123" s="77" t="inlineStr">
        <is>
          <t>40019</t>
        </is>
      </c>
      <c r="G123" s="77" t="inlineStr">
        <is>
          <t>40021</t>
        </is>
      </c>
      <c r="H123" s="77" t="inlineStr">
        <is>
          <t>10004</t>
        </is>
      </c>
      <c r="I123" s="77" t="n"/>
      <c r="J123" s="79" t="inlineStr">
        <is>
          <t>10001|30000$84001|1650$114001|1300</t>
        </is>
      </c>
      <c r="K123" s="76" t="inlineStr">
        <is>
          <t>2</t>
        </is>
      </c>
      <c r="L123" s="77" t="inlineStr">
        <is>
          <t>14114</t>
        </is>
      </c>
      <c r="M123" s="77" t="n"/>
      <c r="N123" s="77" t="n"/>
      <c r="O123" s="77" t="n"/>
      <c r="R123" s="79" t="inlineStr">
        <is>
          <t>365001|10</t>
        </is>
      </c>
    </row>
    <row r="124">
      <c r="B124" s="54" t="inlineStr">
        <is>
          <t>40021</t>
        </is>
      </c>
      <c r="C124" s="73" t="inlineStr">
        <is>
          <t>羽民国裂隙</t>
        </is>
      </c>
      <c r="D124" s="54" t="n">
        <v>21</v>
      </c>
      <c r="E124" s="54" t="n"/>
      <c r="F124" s="54" t="inlineStr">
        <is>
          <t>40020</t>
        </is>
      </c>
      <c r="G124" s="54" t="inlineStr">
        <is>
          <t>40022</t>
        </is>
      </c>
      <c r="H124" s="54" t="inlineStr">
        <is>
          <t>10004</t>
        </is>
      </c>
      <c r="I124" s="54" t="n"/>
      <c r="J124" s="79" t="inlineStr">
        <is>
          <t>10001|30000$84001|1650$114001|1300</t>
        </is>
      </c>
      <c r="K124" s="54" t="inlineStr">
        <is>
          <t>1</t>
        </is>
      </c>
      <c r="L124" s="44" t="inlineStr">
        <is>
          <t>14105|14105|14105</t>
        </is>
      </c>
      <c r="M124" s="73" t="inlineStr">
        <is>
          <t>115</t>
        </is>
      </c>
      <c r="N124" s="30" t="n"/>
      <c r="O124" s="30" t="n"/>
      <c r="R124" s="79" t="inlineStr">
        <is>
          <t>365001|10</t>
        </is>
      </c>
    </row>
    <row r="125">
      <c r="B125" s="54" t="inlineStr">
        <is>
          <t>40022</t>
        </is>
      </c>
      <c r="C125" s="73" t="inlineStr">
        <is>
          <t>羽民国裂隙</t>
        </is>
      </c>
      <c r="D125" s="54" t="n">
        <v>22</v>
      </c>
      <c r="E125" s="54" t="n"/>
      <c r="F125" s="54" t="inlineStr">
        <is>
          <t>40021</t>
        </is>
      </c>
      <c r="G125" s="54" t="inlineStr">
        <is>
          <t>40023</t>
        </is>
      </c>
      <c r="H125" s="54" t="inlineStr">
        <is>
          <t>10004</t>
        </is>
      </c>
      <c r="I125" s="54" t="n"/>
      <c r="J125" s="79" t="inlineStr">
        <is>
          <t>10001|30000$84001|1650$114001|1300</t>
        </is>
      </c>
      <c r="K125" s="54" t="inlineStr">
        <is>
          <t>1</t>
        </is>
      </c>
      <c r="L125" s="44" t="inlineStr">
        <is>
          <t>14107|14107|14107</t>
        </is>
      </c>
      <c r="M125" s="73" t="inlineStr">
        <is>
          <t>115</t>
        </is>
      </c>
      <c r="N125" s="30" t="n"/>
      <c r="O125" s="30" t="n"/>
      <c r="R125" s="79" t="inlineStr">
        <is>
          <t>365001|10</t>
        </is>
      </c>
    </row>
    <row r="126" ht="27" customFormat="1" customHeight="1" s="78">
      <c r="B126" s="54" t="inlineStr">
        <is>
          <t>40023</t>
        </is>
      </c>
      <c r="C126" s="73" t="inlineStr">
        <is>
          <t>羽民国裂隙</t>
        </is>
      </c>
      <c r="D126" s="54" t="n">
        <v>23</v>
      </c>
      <c r="E126" s="54" t="n"/>
      <c r="F126" s="54" t="inlineStr">
        <is>
          <t>40022</t>
        </is>
      </c>
      <c r="G126" s="54" t="inlineStr">
        <is>
          <t>40024</t>
        </is>
      </c>
      <c r="H126" s="54" t="inlineStr">
        <is>
          <t>10004</t>
        </is>
      </c>
      <c r="I126" s="54" t="n"/>
      <c r="J126" s="79" t="inlineStr">
        <is>
          <t>10001|30000$84001|1650$114001|1300</t>
        </is>
      </c>
      <c r="K126" s="73" t="inlineStr">
        <is>
          <t>1</t>
        </is>
      </c>
      <c r="L126" s="74" t="inlineStr">
        <is>
          <t>14108</t>
        </is>
      </c>
      <c r="M126" s="73" t="inlineStr">
        <is>
          <t>115</t>
        </is>
      </c>
      <c r="N126" s="30" t="n"/>
      <c r="O126" s="30" t="n"/>
      <c r="R126" s="79" t="inlineStr">
        <is>
          <t>365001|10</t>
        </is>
      </c>
    </row>
    <row r="127">
      <c r="B127" s="54" t="inlineStr">
        <is>
          <t>40024</t>
        </is>
      </c>
      <c r="C127" s="73" t="inlineStr">
        <is>
          <t>羽民国裂隙</t>
        </is>
      </c>
      <c r="D127" s="54" t="n">
        <v>24</v>
      </c>
      <c r="E127" s="54" t="n"/>
      <c r="F127" s="54" t="inlineStr">
        <is>
          <t>40023</t>
        </is>
      </c>
      <c r="G127" s="54" t="inlineStr">
        <is>
          <t>40025</t>
        </is>
      </c>
      <c r="H127" s="54" t="inlineStr">
        <is>
          <t>10004</t>
        </is>
      </c>
      <c r="I127" s="54" t="n"/>
      <c r="J127" s="79" t="inlineStr">
        <is>
          <t>10001|30000$84001|1650$114001|1300</t>
        </is>
      </c>
      <c r="K127" s="73" t="inlineStr">
        <is>
          <t>1</t>
        </is>
      </c>
      <c r="L127" s="73" t="inlineStr">
        <is>
          <t>14102|14105|14102</t>
        </is>
      </c>
      <c r="M127" s="73" t="inlineStr">
        <is>
          <t>116</t>
        </is>
      </c>
      <c r="N127" s="30" t="n"/>
      <c r="O127" s="30" t="n"/>
      <c r="R127" s="79" t="inlineStr">
        <is>
          <t>365001|10</t>
        </is>
      </c>
    </row>
    <row r="128">
      <c r="B128" s="77" t="inlineStr">
        <is>
          <t>40025</t>
        </is>
      </c>
      <c r="C128" s="76" t="inlineStr">
        <is>
          <t>羽民国裂隙（中转站）</t>
        </is>
      </c>
      <c r="D128" s="77" t="n">
        <v>25</v>
      </c>
      <c r="E128" s="77" t="n"/>
      <c r="F128" s="77" t="inlineStr">
        <is>
          <t>40024</t>
        </is>
      </c>
      <c r="G128" s="77" t="inlineStr">
        <is>
          <t>40026</t>
        </is>
      </c>
      <c r="H128" s="77" t="inlineStr">
        <is>
          <t>10004</t>
        </is>
      </c>
      <c r="I128" s="77" t="n"/>
      <c r="J128" s="79" t="inlineStr">
        <is>
          <t>10001|30000$84001|1650$114001|1300</t>
        </is>
      </c>
      <c r="K128" s="76" t="inlineStr">
        <is>
          <t>2</t>
        </is>
      </c>
      <c r="L128" s="77" t="n"/>
      <c r="M128" s="77" t="n"/>
      <c r="N128" s="77" t="n"/>
      <c r="O128" s="77" t="n"/>
      <c r="R128" s="79" t="inlineStr">
        <is>
          <t>365001|10</t>
        </is>
      </c>
    </row>
    <row r="129">
      <c r="B129" s="54" t="inlineStr">
        <is>
          <t>40026</t>
        </is>
      </c>
      <c r="C129" s="73" t="inlineStr">
        <is>
          <t>羽民国裂隙</t>
        </is>
      </c>
      <c r="D129" s="54" t="n">
        <v>26</v>
      </c>
      <c r="E129" s="54" t="n"/>
      <c r="F129" s="54" t="inlineStr">
        <is>
          <t>40025</t>
        </is>
      </c>
      <c r="G129" s="54" t="inlineStr">
        <is>
          <t>40027</t>
        </is>
      </c>
      <c r="H129" s="54" t="inlineStr">
        <is>
          <t>10004</t>
        </is>
      </c>
      <c r="I129" s="54" t="n"/>
      <c r="J129" s="79" t="inlineStr">
        <is>
          <t>10001|30000$84001|1650$114001|1300</t>
        </is>
      </c>
      <c r="K129" s="54" t="inlineStr">
        <is>
          <t>1</t>
        </is>
      </c>
      <c r="L129" s="73" t="inlineStr">
        <is>
          <t>14102|14105|14102</t>
        </is>
      </c>
      <c r="M129" s="73" t="inlineStr">
        <is>
          <t>117</t>
        </is>
      </c>
      <c r="N129" s="30" t="n"/>
      <c r="O129" s="30" t="n"/>
      <c r="R129" s="79" t="inlineStr">
        <is>
          <t>365001|10</t>
        </is>
      </c>
    </row>
    <row r="130" ht="27" customFormat="1" customHeight="1" s="78">
      <c r="B130" s="54" t="inlineStr">
        <is>
          <t>40027</t>
        </is>
      </c>
      <c r="C130" s="73" t="inlineStr">
        <is>
          <t>羽民国裂隙</t>
        </is>
      </c>
      <c r="D130" s="54" t="n">
        <v>27</v>
      </c>
      <c r="E130" s="54" t="n"/>
      <c r="F130" s="54" t="inlineStr">
        <is>
          <t>40026</t>
        </is>
      </c>
      <c r="G130" s="54" t="inlineStr">
        <is>
          <t>40028</t>
        </is>
      </c>
      <c r="H130" s="54" t="inlineStr">
        <is>
          <t>10004</t>
        </is>
      </c>
      <c r="I130" s="54" t="n"/>
      <c r="J130" s="79" t="inlineStr">
        <is>
          <t>10001|30000$84001|1650$114001|1300</t>
        </is>
      </c>
      <c r="K130" s="54" t="inlineStr">
        <is>
          <t>1</t>
        </is>
      </c>
      <c r="L130" s="73" t="inlineStr">
        <is>
          <t>14101|14102|14101</t>
        </is>
      </c>
      <c r="M130" s="73" t="inlineStr">
        <is>
          <t>117</t>
        </is>
      </c>
      <c r="N130" s="30" t="n"/>
      <c r="O130" s="30" t="n"/>
      <c r="R130" s="79" t="inlineStr">
        <is>
          <t>365001|10</t>
        </is>
      </c>
    </row>
    <row r="131">
      <c r="B131" s="54" t="inlineStr">
        <is>
          <t>40028</t>
        </is>
      </c>
      <c r="C131" s="73" t="inlineStr">
        <is>
          <t>羽民国裂隙</t>
        </is>
      </c>
      <c r="D131" s="54" t="n">
        <v>28</v>
      </c>
      <c r="E131" s="54" t="n"/>
      <c r="F131" s="54" t="inlineStr">
        <is>
          <t>40027</t>
        </is>
      </c>
      <c r="G131" s="54" t="inlineStr">
        <is>
          <t>40029</t>
        </is>
      </c>
      <c r="H131" s="54" t="inlineStr">
        <is>
          <t>10004</t>
        </is>
      </c>
      <c r="I131" s="54" t="n"/>
      <c r="J131" s="79" t="inlineStr">
        <is>
          <t>10001|30000$84001|1650$114001|1300</t>
        </is>
      </c>
      <c r="K131" s="54" t="inlineStr">
        <is>
          <t>1</t>
        </is>
      </c>
      <c r="L131" s="44" t="inlineStr">
        <is>
          <t>14105|14105|14105|14104</t>
        </is>
      </c>
      <c r="M131" s="73" t="inlineStr">
        <is>
          <t>117</t>
        </is>
      </c>
      <c r="N131" s="30" t="n"/>
      <c r="O131" s="30" t="n"/>
      <c r="R131" s="79" t="inlineStr">
        <is>
          <t>365001|10</t>
        </is>
      </c>
    </row>
    <row r="132" ht="27" customHeight="1" s="80">
      <c r="B132" s="77" t="inlineStr">
        <is>
          <t>40029</t>
        </is>
      </c>
      <c r="C132" s="76" t="inlineStr">
        <is>
          <t>羽民国裂隙（中转站）</t>
        </is>
      </c>
      <c r="D132" s="77" t="n">
        <v>29</v>
      </c>
      <c r="E132" s="77" t="n"/>
      <c r="F132" s="77" t="inlineStr">
        <is>
          <t>40028</t>
        </is>
      </c>
      <c r="G132" s="77" t="inlineStr">
        <is>
          <t>40030</t>
        </is>
      </c>
      <c r="H132" s="77" t="inlineStr">
        <is>
          <t>10004</t>
        </is>
      </c>
      <c r="I132" s="77" t="n"/>
      <c r="J132" s="79" t="inlineStr">
        <is>
          <t>10001|30000$84001|1650$114001|1300</t>
        </is>
      </c>
      <c r="K132" s="76" t="inlineStr">
        <is>
          <t>2</t>
        </is>
      </c>
      <c r="L132" s="77" t="inlineStr">
        <is>
          <t>14205</t>
        </is>
      </c>
      <c r="M132" s="77" t="n"/>
      <c r="N132" s="77" t="n"/>
      <c r="O132" s="77" t="n"/>
      <c r="R132" s="79" t="inlineStr">
        <is>
          <t>365001|10</t>
        </is>
      </c>
    </row>
    <row r="133" ht="27" customHeight="1" s="80">
      <c r="B133" s="54" t="inlineStr">
        <is>
          <t>40030</t>
        </is>
      </c>
      <c r="C133" s="73" t="inlineStr">
        <is>
          <t>羽民国裂隙</t>
        </is>
      </c>
      <c r="D133" s="54" t="n">
        <v>30</v>
      </c>
      <c r="E133" s="54" t="n"/>
      <c r="F133" s="54" t="inlineStr">
        <is>
          <t>40029</t>
        </is>
      </c>
      <c r="G133" s="54" t="n"/>
      <c r="H133" s="54" t="inlineStr">
        <is>
          <t>10004</t>
        </is>
      </c>
      <c r="I133" s="73" t="inlineStr">
        <is>
          <t>1</t>
        </is>
      </c>
      <c r="J133" s="79" t="inlineStr">
        <is>
          <t>10001|30000$84001|1650$114001|1300</t>
        </is>
      </c>
      <c r="K133" s="73" t="inlineStr">
        <is>
          <t>4</t>
        </is>
      </c>
      <c r="L133" s="41" t="inlineStr">
        <is>
          <t>54120</t>
        </is>
      </c>
      <c r="M133" s="73" t="inlineStr">
        <is>
          <t>120</t>
        </is>
      </c>
      <c r="N133" s="30" t="n"/>
      <c r="O133" s="30" t="n"/>
      <c r="R133" s="79" t="inlineStr">
        <is>
          <t>174001|1$445001|1$365001|10</t>
        </is>
      </c>
    </row>
    <row r="134" ht="27" customHeight="1" s="80">
      <c r="B134" s="60" t="inlineStr">
        <is>
          <t>50001</t>
        </is>
      </c>
      <c r="C134" s="60" t="n"/>
      <c r="D134" s="60" t="n">
        <v>1</v>
      </c>
      <c r="E134" s="60" t="inlineStr">
        <is>
          <t>1</t>
        </is>
      </c>
      <c r="F134" s="60" t="n"/>
      <c r="G134" s="60" t="inlineStr">
        <is>
          <t>50002</t>
        </is>
      </c>
      <c r="H134" s="60" t="inlineStr">
        <is>
          <t>10005</t>
        </is>
      </c>
      <c r="I134" s="60" t="n"/>
      <c r="J134" s="60" t="inlineStr">
        <is>
          <t>10001|12690$95001|211$85001|151$115001|2085$125001|92$135001|310</t>
        </is>
      </c>
      <c r="K134" s="60" t="inlineStr">
        <is>
          <t>1</t>
        </is>
      </c>
      <c r="L134" s="60" t="inlineStr">
        <is>
          <t>15101</t>
        </is>
      </c>
      <c r="M134" s="60" t="n"/>
      <c r="N134" s="30" t="n"/>
      <c r="O134" s="30" t="n"/>
    </row>
    <row r="135" ht="27" customHeight="1" s="80">
      <c r="B135" s="60" t="inlineStr">
        <is>
          <t>50002</t>
        </is>
      </c>
      <c r="C135" s="60" t="n"/>
      <c r="D135" s="60" t="n">
        <v>2</v>
      </c>
      <c r="E135" s="60" t="n"/>
      <c r="F135" s="60" t="inlineStr">
        <is>
          <t>50001</t>
        </is>
      </c>
      <c r="G135" s="60" t="inlineStr">
        <is>
          <t>50003</t>
        </is>
      </c>
      <c r="H135" s="60" t="inlineStr">
        <is>
          <t>10005</t>
        </is>
      </c>
      <c r="I135" s="60" t="n"/>
      <c r="J135" s="60" t="inlineStr">
        <is>
          <t>10001|12690$95001|212$85001|152$115001|2170$125001|94$135001|320</t>
        </is>
      </c>
      <c r="K135" s="60" t="inlineStr">
        <is>
          <t>1</t>
        </is>
      </c>
      <c r="L135" s="60" t="inlineStr">
        <is>
          <t>15102</t>
        </is>
      </c>
      <c r="M135" s="60" t="n"/>
      <c r="N135" s="30" t="n"/>
      <c r="O135" s="30" t="n"/>
    </row>
    <row r="136" ht="27" customHeight="1" s="80">
      <c r="B136" s="60" t="inlineStr">
        <is>
          <t>50003</t>
        </is>
      </c>
      <c r="C136" s="60" t="n"/>
      <c r="D136" s="60" t="n">
        <v>3</v>
      </c>
      <c r="E136" s="60" t="n"/>
      <c r="F136" s="60" t="inlineStr">
        <is>
          <t>50002</t>
        </is>
      </c>
      <c r="G136" s="60" t="inlineStr">
        <is>
          <t>50004</t>
        </is>
      </c>
      <c r="H136" s="60" t="inlineStr">
        <is>
          <t>10005</t>
        </is>
      </c>
      <c r="I136" s="62" t="n"/>
      <c r="J136" s="62" t="inlineStr">
        <is>
          <t>10001|12690$95001|213$85001|153$115001|2255$125001|96$135001|330</t>
        </is>
      </c>
      <c r="K136" s="62" t="inlineStr">
        <is>
          <t>1</t>
        </is>
      </c>
      <c r="L136" s="62" t="inlineStr">
        <is>
          <t>15103</t>
        </is>
      </c>
      <c r="M136" s="62" t="n"/>
      <c r="N136" s="30" t="n"/>
      <c r="O136" s="30" t="n"/>
    </row>
    <row r="137">
      <c r="B137" s="60" t="inlineStr">
        <is>
          <t>50004</t>
        </is>
      </c>
      <c r="C137" s="60" t="n"/>
      <c r="D137" s="60" t="n">
        <v>4</v>
      </c>
      <c r="E137" s="60" t="n"/>
      <c r="F137" s="60" t="inlineStr">
        <is>
          <t>50003</t>
        </is>
      </c>
      <c r="G137" s="60" t="inlineStr">
        <is>
          <t>50005</t>
        </is>
      </c>
      <c r="H137" s="60" t="inlineStr">
        <is>
          <t>10005</t>
        </is>
      </c>
      <c r="I137" s="62" t="n"/>
      <c r="J137" s="62" t="inlineStr">
        <is>
          <t>10001|12690$95001|214$85001|154$115001|2340$125001|98$135001|340</t>
        </is>
      </c>
      <c r="K137" s="62" t="inlineStr">
        <is>
          <t>1</t>
        </is>
      </c>
      <c r="L137" s="62" t="inlineStr">
        <is>
          <t>15104</t>
        </is>
      </c>
      <c r="M137" s="62" t="n"/>
      <c r="N137" s="30" t="n"/>
      <c r="O137" s="30" t="n"/>
    </row>
    <row r="138" ht="27" customHeight="1" s="80">
      <c r="B138" s="60" t="inlineStr">
        <is>
          <t>50005</t>
        </is>
      </c>
      <c r="C138" s="60" t="n"/>
      <c r="D138" s="60" t="n">
        <v>5</v>
      </c>
      <c r="E138" s="60" t="n"/>
      <c r="F138" s="60" t="inlineStr">
        <is>
          <t>50004</t>
        </is>
      </c>
      <c r="G138" s="60" t="inlineStr">
        <is>
          <t>50006</t>
        </is>
      </c>
      <c r="H138" s="60" t="inlineStr">
        <is>
          <t>10005</t>
        </is>
      </c>
      <c r="I138" s="62" t="n"/>
      <c r="J138" s="62" t="inlineStr">
        <is>
          <t>10001|12690$95001|215$85001|155$115001|2425$125001|100$135001|350</t>
        </is>
      </c>
      <c r="K138" s="62" t="inlineStr">
        <is>
          <t>3</t>
        </is>
      </c>
      <c r="L138" s="62" t="inlineStr">
        <is>
          <t>15201</t>
        </is>
      </c>
      <c r="M138" s="62" t="n"/>
      <c r="N138" s="30" t="n"/>
      <c r="O138" s="30" t="n"/>
    </row>
    <row r="139" ht="27" customHeight="1" s="80">
      <c r="B139" s="60" t="inlineStr">
        <is>
          <t>50006</t>
        </is>
      </c>
      <c r="C139" s="60" t="n"/>
      <c r="D139" s="60" t="n">
        <v>6</v>
      </c>
      <c r="E139" s="60" t="n"/>
      <c r="F139" s="60" t="inlineStr">
        <is>
          <t>50005</t>
        </is>
      </c>
      <c r="G139" s="60" t="inlineStr">
        <is>
          <t>50007</t>
        </is>
      </c>
      <c r="H139" s="60" t="inlineStr">
        <is>
          <t>10005</t>
        </is>
      </c>
      <c r="I139" s="62" t="n"/>
      <c r="J139" s="62" t="n"/>
      <c r="K139" s="62" t="inlineStr">
        <is>
          <t>2</t>
        </is>
      </c>
      <c r="L139" s="62" t="n"/>
      <c r="M139" s="62" t="n"/>
      <c r="N139" s="30" t="n"/>
      <c r="O139" s="30" t="n"/>
    </row>
    <row r="140" ht="27" customHeight="1" s="80">
      <c r="B140" s="60" t="inlineStr">
        <is>
          <t>50007</t>
        </is>
      </c>
      <c r="C140" s="60" t="n"/>
      <c r="D140" s="60" t="n">
        <v>7</v>
      </c>
      <c r="E140" s="60" t="n"/>
      <c r="F140" s="60" t="inlineStr">
        <is>
          <t>50006</t>
        </is>
      </c>
      <c r="G140" s="60" t="inlineStr">
        <is>
          <t>50008</t>
        </is>
      </c>
      <c r="H140" s="60" t="inlineStr">
        <is>
          <t>10005</t>
        </is>
      </c>
      <c r="I140" s="62" t="n"/>
      <c r="J140" s="62" t="inlineStr">
        <is>
          <t>10001|12690$95001|216$85001|156$115001|2510$125001|102$135001|360</t>
        </is>
      </c>
      <c r="K140" s="62" t="inlineStr">
        <is>
          <t>1</t>
        </is>
      </c>
      <c r="L140" s="62" t="inlineStr">
        <is>
          <t>15105</t>
        </is>
      </c>
      <c r="M140" s="62" t="n"/>
      <c r="N140" s="30" t="n"/>
      <c r="O140" s="30" t="n"/>
    </row>
    <row r="141" ht="27" customHeight="1" s="80">
      <c r="B141" s="60" t="inlineStr">
        <is>
          <t>50008</t>
        </is>
      </c>
      <c r="C141" s="60" t="n"/>
      <c r="D141" s="60" t="n">
        <v>8</v>
      </c>
      <c r="E141" s="60" t="n"/>
      <c r="F141" s="60" t="inlineStr">
        <is>
          <t>50007</t>
        </is>
      </c>
      <c r="G141" s="60" t="inlineStr">
        <is>
          <t>50009</t>
        </is>
      </c>
      <c r="H141" s="60" t="inlineStr">
        <is>
          <t>10005</t>
        </is>
      </c>
      <c r="I141" s="62" t="n"/>
      <c r="J141" s="62" t="inlineStr">
        <is>
          <t>10001|12690$95001|217$85001|157$115001|2595$125001|104$135001|370</t>
        </is>
      </c>
      <c r="K141" s="62" t="inlineStr">
        <is>
          <t>1</t>
        </is>
      </c>
      <c r="L141" s="62" t="inlineStr">
        <is>
          <t>15106</t>
        </is>
      </c>
      <c r="M141" s="62" t="n"/>
      <c r="N141" s="30" t="n"/>
      <c r="O141" s="30" t="n"/>
    </row>
    <row r="142" ht="27" customHeight="1" s="80">
      <c r="B142" s="60" t="inlineStr">
        <is>
          <t>50009</t>
        </is>
      </c>
      <c r="C142" s="60" t="n"/>
      <c r="D142" s="60" t="n">
        <v>9</v>
      </c>
      <c r="E142" s="60" t="n"/>
      <c r="F142" s="60" t="inlineStr">
        <is>
          <t>50008</t>
        </is>
      </c>
      <c r="G142" s="60" t="inlineStr">
        <is>
          <t>50010</t>
        </is>
      </c>
      <c r="H142" s="60" t="inlineStr">
        <is>
          <t>10005</t>
        </is>
      </c>
      <c r="I142" s="62" t="n"/>
      <c r="J142" s="62" t="inlineStr">
        <is>
          <t>10001|12690$95001|218$85001|158$115001|2680$125001|106$135001|380</t>
        </is>
      </c>
      <c r="K142" s="62" t="inlineStr">
        <is>
          <t>1</t>
        </is>
      </c>
      <c r="L142" s="62" t="inlineStr">
        <is>
          <t>15107</t>
        </is>
      </c>
      <c r="M142" s="62" t="n"/>
      <c r="N142" s="30" t="n"/>
      <c r="O142" s="30" t="n"/>
    </row>
    <row r="143">
      <c r="B143" s="60" t="inlineStr">
        <is>
          <t>50010</t>
        </is>
      </c>
      <c r="C143" s="60" t="n"/>
      <c r="D143" s="60" t="n">
        <v>10</v>
      </c>
      <c r="E143" s="60" t="n"/>
      <c r="F143" s="60" t="inlineStr">
        <is>
          <t>50009</t>
        </is>
      </c>
      <c r="G143" s="60" t="inlineStr">
        <is>
          <t>50011</t>
        </is>
      </c>
      <c r="H143" s="60" t="inlineStr">
        <is>
          <t>10005</t>
        </is>
      </c>
      <c r="I143" s="62" t="n"/>
      <c r="J143" s="62" t="inlineStr">
        <is>
          <t>10001|12690$95001|219$85001|159$115001|2765$125001|108$135001|390</t>
        </is>
      </c>
      <c r="K143" s="62" t="inlineStr">
        <is>
          <t>1</t>
        </is>
      </c>
      <c r="L143" s="62" t="inlineStr">
        <is>
          <t>15108</t>
        </is>
      </c>
      <c r="M143" s="62" t="n"/>
      <c r="N143" s="30" t="n"/>
      <c r="O143" s="30" t="n"/>
    </row>
    <row r="144" ht="27" customHeight="1" s="80">
      <c r="B144" s="60" t="inlineStr">
        <is>
          <t>50011</t>
        </is>
      </c>
      <c r="C144" s="60" t="n"/>
      <c r="D144" s="60" t="n">
        <v>11</v>
      </c>
      <c r="E144" s="60" t="n"/>
      <c r="F144" s="60" t="inlineStr">
        <is>
          <t>50010</t>
        </is>
      </c>
      <c r="G144" s="60" t="inlineStr">
        <is>
          <t>50012</t>
        </is>
      </c>
      <c r="H144" s="60" t="inlineStr">
        <is>
          <t>10005</t>
        </is>
      </c>
      <c r="I144" s="62" t="n"/>
      <c r="J144" s="62" t="inlineStr">
        <is>
          <t>10001|12690$95001|220$85001|160$115001|2850$125001|110$135001|400</t>
        </is>
      </c>
      <c r="K144" s="62" t="inlineStr">
        <is>
          <t>3</t>
        </is>
      </c>
      <c r="L144" s="62" t="inlineStr">
        <is>
          <t>15202</t>
        </is>
      </c>
      <c r="M144" s="62" t="n"/>
      <c r="N144" s="30" t="n"/>
      <c r="O144" s="30" t="n"/>
    </row>
    <row r="145" ht="27" customHeight="1" s="80">
      <c r="B145" s="60" t="inlineStr">
        <is>
          <t>50012</t>
        </is>
      </c>
      <c r="C145" s="60" t="n"/>
      <c r="D145" s="60" t="n">
        <v>12</v>
      </c>
      <c r="E145" s="60" t="n"/>
      <c r="F145" s="60" t="inlineStr">
        <is>
          <t>50011</t>
        </is>
      </c>
      <c r="G145" s="60" t="inlineStr">
        <is>
          <t>50013</t>
        </is>
      </c>
      <c r="H145" s="60" t="inlineStr">
        <is>
          <t>10005</t>
        </is>
      </c>
      <c r="I145" s="62" t="n"/>
      <c r="J145" s="62" t="n"/>
      <c r="K145" s="62" t="inlineStr">
        <is>
          <t>2</t>
        </is>
      </c>
      <c r="L145" s="62" t="n"/>
      <c r="M145" s="62" t="n"/>
      <c r="N145" s="30" t="n"/>
      <c r="O145" s="30" t="n"/>
    </row>
    <row r="146" ht="27" customHeight="1" s="80">
      <c r="B146" s="60" t="inlineStr">
        <is>
          <t>50013</t>
        </is>
      </c>
      <c r="C146" s="60" t="n"/>
      <c r="D146" s="60" t="n">
        <v>13</v>
      </c>
      <c r="E146" s="60" t="n"/>
      <c r="F146" s="60" t="inlineStr">
        <is>
          <t>50012</t>
        </is>
      </c>
      <c r="G146" s="60" t="inlineStr">
        <is>
          <t>50014</t>
        </is>
      </c>
      <c r="H146" s="60" t="inlineStr">
        <is>
          <t>10005</t>
        </is>
      </c>
      <c r="I146" s="62" t="n"/>
      <c r="J146" s="62" t="inlineStr">
        <is>
          <t>10001|12690$95001|221$85001|161$115001|2935$125001|112$135001|410</t>
        </is>
      </c>
      <c r="K146" s="62" t="inlineStr">
        <is>
          <t>1</t>
        </is>
      </c>
      <c r="L146" s="62" t="inlineStr">
        <is>
          <t>15109</t>
        </is>
      </c>
      <c r="M146" s="62" t="n"/>
      <c r="N146" s="30" t="n"/>
      <c r="O146" s="30" t="n"/>
    </row>
    <row r="147" ht="27" customHeight="1" s="80">
      <c r="B147" s="60" t="inlineStr">
        <is>
          <t>50014</t>
        </is>
      </c>
      <c r="C147" s="60" t="n"/>
      <c r="D147" s="60" t="n">
        <v>14</v>
      </c>
      <c r="E147" s="60" t="n"/>
      <c r="F147" s="60" t="inlineStr">
        <is>
          <t>50013</t>
        </is>
      </c>
      <c r="G147" s="60" t="inlineStr">
        <is>
          <t>50015</t>
        </is>
      </c>
      <c r="H147" s="60" t="inlineStr">
        <is>
          <t>10005</t>
        </is>
      </c>
      <c r="I147" s="62" t="n"/>
      <c r="J147" s="62" t="inlineStr">
        <is>
          <t>10001|12690$95001|222$85001|162$115001|3020$125001|114$135001|420</t>
        </is>
      </c>
      <c r="K147" s="62" t="inlineStr">
        <is>
          <t>1</t>
        </is>
      </c>
      <c r="L147" s="62" t="inlineStr">
        <is>
          <t>15110</t>
        </is>
      </c>
      <c r="M147" s="62" t="n"/>
      <c r="N147" s="30" t="n"/>
      <c r="O147" s="30" t="n"/>
    </row>
    <row r="148" ht="27" customHeight="1" s="80">
      <c r="B148" s="60" t="inlineStr">
        <is>
          <t>50015</t>
        </is>
      </c>
      <c r="C148" s="60" t="n"/>
      <c r="D148" s="60" t="n">
        <v>15</v>
      </c>
      <c r="E148" s="60" t="n"/>
      <c r="F148" s="60" t="inlineStr">
        <is>
          <t>50014</t>
        </is>
      </c>
      <c r="G148" s="60" t="inlineStr">
        <is>
          <t>50016</t>
        </is>
      </c>
      <c r="H148" s="60" t="inlineStr">
        <is>
          <t>10005</t>
        </is>
      </c>
      <c r="I148" s="62" t="n"/>
      <c r="J148" s="62" t="inlineStr">
        <is>
          <t>10001|12690$95001|223$85001|163$115001|3105$125001|116$135001|430</t>
        </is>
      </c>
      <c r="K148" s="62" t="inlineStr">
        <is>
          <t>1</t>
        </is>
      </c>
      <c r="L148" s="62" t="inlineStr">
        <is>
          <t>15111</t>
        </is>
      </c>
      <c r="M148" s="62" t="n"/>
      <c r="N148" s="30" t="n"/>
      <c r="O148" s="30" t="n"/>
    </row>
    <row r="149">
      <c r="B149" s="60" t="inlineStr">
        <is>
          <t>50016</t>
        </is>
      </c>
      <c r="C149" s="60" t="n"/>
      <c r="D149" s="60" t="n">
        <v>16</v>
      </c>
      <c r="E149" s="60" t="n"/>
      <c r="F149" s="60" t="inlineStr">
        <is>
          <t>50015</t>
        </is>
      </c>
      <c r="G149" s="60" t="inlineStr">
        <is>
          <t>50017</t>
        </is>
      </c>
      <c r="H149" s="60" t="inlineStr">
        <is>
          <t>10005</t>
        </is>
      </c>
      <c r="I149" s="62" t="n"/>
      <c r="J149" s="62" t="inlineStr">
        <is>
          <t>10001|12690$95001|224$85001|164$115001|3190$125001|118$135001|440</t>
        </is>
      </c>
      <c r="K149" s="62" t="inlineStr">
        <is>
          <t>1</t>
        </is>
      </c>
      <c r="L149" s="62" t="inlineStr">
        <is>
          <t>15112</t>
        </is>
      </c>
      <c r="M149" s="62" t="n"/>
      <c r="N149" s="30" t="n"/>
      <c r="O149" s="30" t="n"/>
    </row>
    <row r="150" ht="27" customHeight="1" s="80">
      <c r="B150" s="60" t="inlineStr">
        <is>
          <t>50017</t>
        </is>
      </c>
      <c r="C150" s="60" t="n"/>
      <c r="D150" s="60" t="n">
        <v>17</v>
      </c>
      <c r="E150" s="60" t="n"/>
      <c r="F150" s="60" t="inlineStr">
        <is>
          <t>50016</t>
        </is>
      </c>
      <c r="G150" s="60" t="inlineStr">
        <is>
          <t>50018</t>
        </is>
      </c>
      <c r="H150" s="60" t="inlineStr">
        <is>
          <t>10005</t>
        </is>
      </c>
      <c r="I150" s="62" t="n"/>
      <c r="J150" s="62" t="inlineStr">
        <is>
          <t>10001|12690$95001|225$85001|165$115001|3275$125001|120$135001|450</t>
        </is>
      </c>
      <c r="K150" s="62" t="inlineStr">
        <is>
          <t>3</t>
        </is>
      </c>
      <c r="L150" s="62" t="inlineStr">
        <is>
          <t>15203</t>
        </is>
      </c>
      <c r="M150" s="62" t="n"/>
      <c r="N150" s="30" t="n"/>
      <c r="O150" s="30" t="n"/>
    </row>
    <row r="151" ht="27" customHeight="1" s="80">
      <c r="B151" s="60" t="inlineStr">
        <is>
          <t>50018</t>
        </is>
      </c>
      <c r="C151" s="60" t="n"/>
      <c r="D151" s="60" t="n">
        <v>18</v>
      </c>
      <c r="E151" s="60" t="n"/>
      <c r="F151" s="60" t="inlineStr">
        <is>
          <t>50017</t>
        </is>
      </c>
      <c r="G151" s="60" t="inlineStr">
        <is>
          <t>50019</t>
        </is>
      </c>
      <c r="H151" s="60" t="inlineStr">
        <is>
          <t>10005</t>
        </is>
      </c>
      <c r="I151" s="62" t="n"/>
      <c r="J151" s="62" t="n"/>
      <c r="K151" s="62" t="inlineStr">
        <is>
          <t>2</t>
        </is>
      </c>
      <c r="L151" s="62" t="n"/>
      <c r="M151" s="62" t="n"/>
      <c r="N151" s="30" t="n"/>
      <c r="O151" s="30" t="n"/>
    </row>
    <row r="152" ht="27" customHeight="1" s="80">
      <c r="B152" s="60" t="inlineStr">
        <is>
          <t>50019</t>
        </is>
      </c>
      <c r="C152" s="60" t="n"/>
      <c r="D152" s="60" t="n">
        <v>19</v>
      </c>
      <c r="E152" s="60" t="n"/>
      <c r="F152" s="60" t="inlineStr">
        <is>
          <t>50018</t>
        </is>
      </c>
      <c r="G152" s="60" t="inlineStr">
        <is>
          <t>50020</t>
        </is>
      </c>
      <c r="H152" s="60" t="inlineStr">
        <is>
          <t>10005</t>
        </is>
      </c>
      <c r="I152" s="62" t="n"/>
      <c r="J152" s="62" t="inlineStr">
        <is>
          <t>10001|12690$95001|226$85001|166$115001|3360$125001|122$135001|460</t>
        </is>
      </c>
      <c r="K152" s="62" t="inlineStr">
        <is>
          <t>1</t>
        </is>
      </c>
      <c r="L152" s="62" t="inlineStr">
        <is>
          <t>15113</t>
        </is>
      </c>
      <c r="M152" s="62" t="n"/>
      <c r="N152" s="30" t="n"/>
      <c r="O152" s="30" t="n"/>
    </row>
    <row r="153" ht="27" customHeight="1" s="80">
      <c r="B153" s="60" t="inlineStr">
        <is>
          <t>50020</t>
        </is>
      </c>
      <c r="C153" s="60" t="n"/>
      <c r="D153" s="60" t="n">
        <v>20</v>
      </c>
      <c r="E153" s="60" t="n"/>
      <c r="F153" s="60" t="inlineStr">
        <is>
          <t>50019</t>
        </is>
      </c>
      <c r="G153" s="60" t="inlineStr">
        <is>
          <t>50021</t>
        </is>
      </c>
      <c r="H153" s="60" t="inlineStr">
        <is>
          <t>10005</t>
        </is>
      </c>
      <c r="I153" s="62" t="n"/>
      <c r="J153" s="62" t="inlineStr">
        <is>
          <t>10001|12690$95001|227$85001|167$115001|3445$125001|124$135001|470</t>
        </is>
      </c>
      <c r="K153" s="62" t="inlineStr">
        <is>
          <t>1</t>
        </is>
      </c>
      <c r="L153" s="62" t="inlineStr">
        <is>
          <t>15114</t>
        </is>
      </c>
      <c r="M153" s="62" t="n"/>
      <c r="N153" s="30" t="n"/>
      <c r="O153" s="30" t="n"/>
    </row>
    <row r="154" ht="27" customHeight="1" s="80">
      <c r="B154" s="60" t="inlineStr">
        <is>
          <t>50021</t>
        </is>
      </c>
      <c r="C154" s="60" t="n"/>
      <c r="D154" s="60" t="n">
        <v>21</v>
      </c>
      <c r="E154" s="60" t="n"/>
      <c r="F154" s="60" t="inlineStr">
        <is>
          <t>50020</t>
        </is>
      </c>
      <c r="G154" s="60" t="inlineStr">
        <is>
          <t>50022</t>
        </is>
      </c>
      <c r="H154" s="60" t="inlineStr">
        <is>
          <t>10005</t>
        </is>
      </c>
      <c r="I154" s="62" t="n"/>
      <c r="J154" s="62" t="inlineStr">
        <is>
          <t>10001|12690$95001|228$85001|168$115001|3530$125001|126$135001|480</t>
        </is>
      </c>
      <c r="K154" s="62" t="inlineStr">
        <is>
          <t>1</t>
        </is>
      </c>
      <c r="L154" s="62" t="inlineStr">
        <is>
          <t>15115</t>
        </is>
      </c>
      <c r="M154" s="62" t="n"/>
      <c r="N154" s="30" t="n"/>
      <c r="O154" s="30" t="n"/>
    </row>
    <row r="155">
      <c r="B155" s="60" t="inlineStr">
        <is>
          <t>50022</t>
        </is>
      </c>
      <c r="C155" s="60" t="n"/>
      <c r="D155" s="60" t="n">
        <v>22</v>
      </c>
      <c r="E155" s="60" t="n"/>
      <c r="F155" s="60" t="inlineStr">
        <is>
          <t>50021</t>
        </is>
      </c>
      <c r="G155" s="60" t="inlineStr">
        <is>
          <t>50023</t>
        </is>
      </c>
      <c r="H155" s="60" t="inlineStr">
        <is>
          <t>10005</t>
        </is>
      </c>
      <c r="I155" s="62" t="n"/>
      <c r="J155" s="62" t="inlineStr">
        <is>
          <t>10001|12690$95001|229$85001|169$115001|3615$125001|128$135001|490</t>
        </is>
      </c>
      <c r="K155" s="62" t="inlineStr">
        <is>
          <t>1</t>
        </is>
      </c>
      <c r="L155" s="62" t="inlineStr">
        <is>
          <t>15116</t>
        </is>
      </c>
      <c r="M155" s="62" t="n"/>
      <c r="N155" s="30" t="n"/>
      <c r="O155" s="30" t="n"/>
    </row>
    <row r="156" ht="27" customHeight="1" s="80">
      <c r="B156" s="60" t="inlineStr">
        <is>
          <t>50023</t>
        </is>
      </c>
      <c r="C156" s="60" t="n"/>
      <c r="D156" s="60" t="n">
        <v>23</v>
      </c>
      <c r="E156" s="60" t="n"/>
      <c r="F156" s="60" t="inlineStr">
        <is>
          <t>50022</t>
        </is>
      </c>
      <c r="G156" s="60" t="inlineStr">
        <is>
          <t>50024</t>
        </is>
      </c>
      <c r="H156" s="60" t="inlineStr">
        <is>
          <t>10005</t>
        </is>
      </c>
      <c r="I156" s="62" t="n"/>
      <c r="J156" s="62" t="inlineStr">
        <is>
          <t>10001|12690$95001|230$85001|170$115001|3700$125001|130$135001|500</t>
        </is>
      </c>
      <c r="K156" s="62" t="inlineStr">
        <is>
          <t>3</t>
        </is>
      </c>
      <c r="L156" s="62" t="inlineStr">
        <is>
          <t>15204</t>
        </is>
      </c>
      <c r="M156" s="62" t="n"/>
      <c r="N156" s="30" t="n"/>
      <c r="O156" s="30" t="n"/>
    </row>
    <row r="157" ht="27" customHeight="1" s="80">
      <c r="B157" s="60" t="inlineStr">
        <is>
          <t>50024</t>
        </is>
      </c>
      <c r="C157" s="60" t="n"/>
      <c r="D157" s="60" t="n">
        <v>24</v>
      </c>
      <c r="E157" s="60" t="n"/>
      <c r="F157" s="60" t="inlineStr">
        <is>
          <t>50023</t>
        </is>
      </c>
      <c r="G157" s="60" t="inlineStr">
        <is>
          <t>50025</t>
        </is>
      </c>
      <c r="H157" s="60" t="inlineStr">
        <is>
          <t>10005</t>
        </is>
      </c>
      <c r="I157" s="62" t="n"/>
      <c r="J157" s="62" t="n"/>
      <c r="K157" s="62" t="inlineStr">
        <is>
          <t>2</t>
        </is>
      </c>
      <c r="L157" s="62" t="n"/>
      <c r="M157" s="62" t="n"/>
      <c r="N157" s="30" t="n"/>
      <c r="O157" s="30" t="n"/>
    </row>
    <row r="158" ht="27" customHeight="1" s="80">
      <c r="B158" s="60" t="inlineStr">
        <is>
          <t>50025</t>
        </is>
      </c>
      <c r="C158" s="60" t="n"/>
      <c r="D158" s="60" t="n">
        <v>25</v>
      </c>
      <c r="E158" s="60" t="n"/>
      <c r="F158" s="60" t="inlineStr">
        <is>
          <t>50024</t>
        </is>
      </c>
      <c r="G158" s="60" t="inlineStr">
        <is>
          <t>50026</t>
        </is>
      </c>
      <c r="H158" s="60" t="inlineStr">
        <is>
          <t>10005</t>
        </is>
      </c>
      <c r="I158" s="62" t="n"/>
      <c r="J158" s="62" t="inlineStr">
        <is>
          <t>10001|12690$95001|231$85001|171$115001|3785$125001|132$135001|510</t>
        </is>
      </c>
      <c r="K158" s="62" t="inlineStr">
        <is>
          <t>1</t>
        </is>
      </c>
      <c r="L158" s="62" t="inlineStr">
        <is>
          <t>15117</t>
        </is>
      </c>
      <c r="M158" s="62" t="n"/>
      <c r="N158" s="30" t="n"/>
      <c r="O158" s="30" t="n"/>
    </row>
    <row r="159" ht="27" customHeight="1" s="80">
      <c r="B159" s="60" t="inlineStr">
        <is>
          <t>50026</t>
        </is>
      </c>
      <c r="C159" s="60" t="n"/>
      <c r="D159" s="60" t="n">
        <v>26</v>
      </c>
      <c r="E159" s="60" t="n"/>
      <c r="F159" s="60" t="inlineStr">
        <is>
          <t>50025</t>
        </is>
      </c>
      <c r="G159" s="60" t="inlineStr">
        <is>
          <t>50027</t>
        </is>
      </c>
      <c r="H159" s="60" t="inlineStr">
        <is>
          <t>10005</t>
        </is>
      </c>
      <c r="I159" s="62" t="n"/>
      <c r="J159" s="62" t="inlineStr">
        <is>
          <t>10001|12690$95001|232$85001|172$115001|3870$125001|134$135001|520</t>
        </is>
      </c>
      <c r="K159" s="62" t="inlineStr">
        <is>
          <t>1</t>
        </is>
      </c>
      <c r="L159" s="62" t="inlineStr">
        <is>
          <t>15118</t>
        </is>
      </c>
      <c r="M159" s="62" t="n"/>
      <c r="N159" s="30" t="n"/>
      <c r="O159" s="30" t="n"/>
    </row>
    <row r="160" ht="27" customHeight="1" s="80">
      <c r="B160" s="60" t="inlineStr">
        <is>
          <t>50027</t>
        </is>
      </c>
      <c r="C160" s="60" t="n"/>
      <c r="D160" s="60" t="n">
        <v>27</v>
      </c>
      <c r="E160" s="60" t="n"/>
      <c r="F160" s="60" t="inlineStr">
        <is>
          <t>50026</t>
        </is>
      </c>
      <c r="G160" s="60" t="inlineStr">
        <is>
          <t>50028</t>
        </is>
      </c>
      <c r="H160" s="60" t="inlineStr">
        <is>
          <t>10005</t>
        </is>
      </c>
      <c r="I160" s="62" t="n"/>
      <c r="J160" s="62" t="inlineStr">
        <is>
          <t>10001|12690$95001|233$85001|173$115001|3955$125001|136$135001|530</t>
        </is>
      </c>
      <c r="K160" s="62" t="inlineStr">
        <is>
          <t>1</t>
        </is>
      </c>
      <c r="L160" s="62" t="inlineStr">
        <is>
          <t>15119</t>
        </is>
      </c>
      <c r="M160" s="62" t="n"/>
      <c r="N160" s="30" t="n"/>
      <c r="O160" s="30" t="n"/>
    </row>
    <row r="161">
      <c r="B161" s="60" t="inlineStr">
        <is>
          <t>50028</t>
        </is>
      </c>
      <c r="C161" s="60" t="n"/>
      <c r="D161" s="60" t="n">
        <v>28</v>
      </c>
      <c r="E161" s="60" t="n"/>
      <c r="F161" s="60" t="inlineStr">
        <is>
          <t>50027</t>
        </is>
      </c>
      <c r="G161" s="60" t="inlineStr">
        <is>
          <t>50029</t>
        </is>
      </c>
      <c r="H161" s="60" t="inlineStr">
        <is>
          <t>10005</t>
        </is>
      </c>
      <c r="I161" s="62" t="n"/>
      <c r="J161" s="62" t="inlineStr">
        <is>
          <t>10001|12690$95001|234$85001|174$115001|4040$125001|138$135001|540</t>
        </is>
      </c>
      <c r="K161" s="62" t="inlineStr">
        <is>
          <t>1</t>
        </is>
      </c>
      <c r="L161" s="62" t="inlineStr">
        <is>
          <t>15120</t>
        </is>
      </c>
      <c r="M161" s="62" t="n"/>
      <c r="N161" s="30" t="n"/>
      <c r="O161" s="30" t="n"/>
    </row>
    <row r="162" ht="27" customHeight="1" s="80">
      <c r="B162" s="60" t="inlineStr">
        <is>
          <t>50029</t>
        </is>
      </c>
      <c r="C162" s="60" t="n"/>
      <c r="D162" s="60" t="n">
        <v>29</v>
      </c>
      <c r="E162" s="60" t="n"/>
      <c r="F162" s="60" t="inlineStr">
        <is>
          <t>50028</t>
        </is>
      </c>
      <c r="G162" s="60" t="inlineStr">
        <is>
          <t>50030</t>
        </is>
      </c>
      <c r="H162" s="60" t="inlineStr">
        <is>
          <t>10005</t>
        </is>
      </c>
      <c r="I162" s="62" t="n"/>
      <c r="J162" s="62" t="inlineStr">
        <is>
          <t>10001|12690$95001|235$85001|175$115001|4125$125001|140$135001|550</t>
        </is>
      </c>
      <c r="K162" s="62" t="inlineStr">
        <is>
          <t>3</t>
        </is>
      </c>
      <c r="L162" s="62" t="inlineStr">
        <is>
          <t>15205</t>
        </is>
      </c>
      <c r="M162" s="62" t="n"/>
      <c r="N162" s="30" t="n"/>
      <c r="O162" s="30" t="n"/>
    </row>
    <row r="163" ht="27" customHeight="1" s="80">
      <c r="B163" s="60" t="inlineStr">
        <is>
          <t>50030</t>
        </is>
      </c>
      <c r="C163" s="60" t="n"/>
      <c r="D163" s="60" t="n">
        <v>30</v>
      </c>
      <c r="E163" s="60" t="n"/>
      <c r="F163" s="60" t="inlineStr">
        <is>
          <t>50029</t>
        </is>
      </c>
      <c r="G163" s="60" t="inlineStr">
        <is>
          <t>50031</t>
        </is>
      </c>
      <c r="H163" s="60" t="inlineStr">
        <is>
          <t>10005</t>
        </is>
      </c>
      <c r="I163" s="62" t="n"/>
      <c r="J163" s="62" t="n"/>
      <c r="K163" s="62" t="inlineStr">
        <is>
          <t>2</t>
        </is>
      </c>
      <c r="L163" s="62" t="n"/>
      <c r="M163" s="62" t="n"/>
      <c r="N163" s="30" t="n"/>
      <c r="O163" s="30" t="n"/>
    </row>
    <row r="164" ht="27" customHeight="1" s="80">
      <c r="B164" s="60" t="inlineStr">
        <is>
          <t>50031</t>
        </is>
      </c>
      <c r="C164" s="60" t="n"/>
      <c r="D164" s="60" t="n">
        <v>31</v>
      </c>
      <c r="E164" s="60" t="n"/>
      <c r="F164" s="60" t="inlineStr">
        <is>
          <t>50030</t>
        </is>
      </c>
      <c r="G164" s="60" t="inlineStr">
        <is>
          <t>50032</t>
        </is>
      </c>
      <c r="H164" s="60" t="inlineStr">
        <is>
          <t>10005</t>
        </is>
      </c>
      <c r="I164" s="62" t="n"/>
      <c r="J164" s="62" t="inlineStr">
        <is>
          <t>10001|12690$95001|236$85001|176$115001|4210$125001|142$135001|560</t>
        </is>
      </c>
      <c r="K164" s="62" t="inlineStr">
        <is>
          <t>1</t>
        </is>
      </c>
      <c r="L164" s="62" t="inlineStr">
        <is>
          <t>15121</t>
        </is>
      </c>
      <c r="M164" s="62" t="n"/>
      <c r="N164" s="30" t="n"/>
      <c r="O164" s="30" t="n"/>
    </row>
    <row r="165" ht="27" customHeight="1" s="80">
      <c r="B165" s="60" t="inlineStr">
        <is>
          <t>50032</t>
        </is>
      </c>
      <c r="C165" s="60" t="n"/>
      <c r="D165" s="60" t="n">
        <v>32</v>
      </c>
      <c r="E165" s="60" t="n"/>
      <c r="F165" s="60" t="inlineStr">
        <is>
          <t>50031</t>
        </is>
      </c>
      <c r="G165" s="60" t="inlineStr">
        <is>
          <t>50033</t>
        </is>
      </c>
      <c r="H165" s="60" t="inlineStr">
        <is>
          <t>10005</t>
        </is>
      </c>
      <c r="I165" s="62" t="n"/>
      <c r="J165" s="62" t="inlineStr">
        <is>
          <t>10001|12690$95001|237$85001|177$115001|4295$125001|144$135001|570</t>
        </is>
      </c>
      <c r="K165" s="62" t="inlineStr">
        <is>
          <t>1</t>
        </is>
      </c>
      <c r="L165" s="62" t="inlineStr">
        <is>
          <t>15122</t>
        </is>
      </c>
      <c r="M165" s="62" t="n"/>
      <c r="N165" s="30" t="n"/>
      <c r="O165" s="30" t="n"/>
    </row>
    <row r="166" ht="27" customHeight="1" s="80">
      <c r="B166" s="60" t="inlineStr">
        <is>
          <t>50033</t>
        </is>
      </c>
      <c r="C166" s="60" t="n"/>
      <c r="D166" s="60" t="n">
        <v>33</v>
      </c>
      <c r="E166" s="60" t="n"/>
      <c r="F166" s="60" t="inlineStr">
        <is>
          <t>50032</t>
        </is>
      </c>
      <c r="G166" s="60" t="inlineStr">
        <is>
          <t>50034</t>
        </is>
      </c>
      <c r="H166" s="60" t="inlineStr">
        <is>
          <t>10005</t>
        </is>
      </c>
      <c r="I166" s="62" t="n"/>
      <c r="J166" s="62" t="inlineStr">
        <is>
          <t>10001|12690$95001|238$85001|178$115001|4380$125001|146$135001|580</t>
        </is>
      </c>
      <c r="K166" s="62" t="inlineStr">
        <is>
          <t>1</t>
        </is>
      </c>
      <c r="L166" s="62" t="inlineStr">
        <is>
          <t>15123</t>
        </is>
      </c>
      <c r="M166" s="62" t="n"/>
      <c r="N166" s="30" t="n"/>
      <c r="O166" s="30" t="n"/>
    </row>
    <row r="167">
      <c r="B167" s="60" t="inlineStr">
        <is>
          <t>50034</t>
        </is>
      </c>
      <c r="C167" s="60" t="n"/>
      <c r="D167" s="60" t="n">
        <v>34</v>
      </c>
      <c r="E167" s="60" t="n"/>
      <c r="F167" s="60" t="inlineStr">
        <is>
          <t>50033</t>
        </is>
      </c>
      <c r="G167" s="60" t="inlineStr">
        <is>
          <t>50035</t>
        </is>
      </c>
      <c r="H167" s="60" t="inlineStr">
        <is>
          <t>10005</t>
        </is>
      </c>
      <c r="I167" s="62" t="n"/>
      <c r="J167" s="62" t="inlineStr">
        <is>
          <t>10001|12690$95001|239$85001|179$115001|4465$125001|148$135001|590</t>
        </is>
      </c>
      <c r="K167" s="62" t="inlineStr">
        <is>
          <t>1</t>
        </is>
      </c>
      <c r="L167" s="62" t="inlineStr">
        <is>
          <t>15124</t>
        </is>
      </c>
      <c r="M167" s="62" t="n"/>
      <c r="N167" s="30" t="n"/>
      <c r="O167" s="30" t="n"/>
    </row>
    <row r="168" ht="27" customHeight="1" s="80">
      <c r="B168" s="60" t="inlineStr">
        <is>
          <t>50035</t>
        </is>
      </c>
      <c r="C168" s="60" t="n"/>
      <c r="D168" s="60" t="n">
        <v>35</v>
      </c>
      <c r="E168" s="60" t="n"/>
      <c r="F168" s="60" t="inlineStr">
        <is>
          <t>50034</t>
        </is>
      </c>
      <c r="G168" s="60" t="inlineStr">
        <is>
          <t>50036</t>
        </is>
      </c>
      <c r="H168" s="60" t="inlineStr">
        <is>
          <t>10005</t>
        </is>
      </c>
      <c r="I168" s="62" t="n"/>
      <c r="J168" s="62" t="inlineStr">
        <is>
          <t>10001|12690$95001|240$85001|180$115001|4550$125001|150$135001|600</t>
        </is>
      </c>
      <c r="K168" s="62" t="inlineStr">
        <is>
          <t>3</t>
        </is>
      </c>
      <c r="L168" s="62" t="inlineStr">
        <is>
          <t>15206</t>
        </is>
      </c>
      <c r="M168" s="62" t="n"/>
      <c r="N168" s="30" t="n"/>
      <c r="O168" s="30" t="n"/>
    </row>
    <row r="169" ht="27" customHeight="1" s="80">
      <c r="B169" s="60" t="inlineStr">
        <is>
          <t>50036</t>
        </is>
      </c>
      <c r="C169" s="60" t="n"/>
      <c r="D169" s="60" t="n">
        <v>36</v>
      </c>
      <c r="E169" s="60" t="n"/>
      <c r="F169" s="60" t="inlineStr">
        <is>
          <t>50035</t>
        </is>
      </c>
      <c r="G169" s="60" t="inlineStr">
        <is>
          <t>50037</t>
        </is>
      </c>
      <c r="H169" s="60" t="inlineStr">
        <is>
          <t>10005</t>
        </is>
      </c>
      <c r="I169" s="62" t="n"/>
      <c r="J169" s="62" t="n"/>
      <c r="K169" s="62" t="inlineStr">
        <is>
          <t>2</t>
        </is>
      </c>
      <c r="L169" s="62" t="n"/>
      <c r="M169" s="62" t="n"/>
      <c r="N169" s="30" t="n"/>
      <c r="O169" s="30" t="n"/>
    </row>
    <row r="170" ht="27" customHeight="1" s="80">
      <c r="B170" s="60" t="inlineStr">
        <is>
          <t>50037</t>
        </is>
      </c>
      <c r="C170" s="60" t="n"/>
      <c r="D170" s="60" t="n">
        <v>37</v>
      </c>
      <c r="E170" s="60" t="n"/>
      <c r="F170" s="60" t="inlineStr">
        <is>
          <t>50036</t>
        </is>
      </c>
      <c r="G170" s="60" t="inlineStr">
        <is>
          <t>50038</t>
        </is>
      </c>
      <c r="H170" s="60" t="inlineStr">
        <is>
          <t>10005</t>
        </is>
      </c>
      <c r="I170" s="62" t="n"/>
      <c r="J170" s="62" t="inlineStr">
        <is>
          <t>10001|12690$95001|241$85001|181$115001|4635$125001|152$135001|610</t>
        </is>
      </c>
      <c r="K170" s="62" t="inlineStr">
        <is>
          <t>1</t>
        </is>
      </c>
      <c r="L170" s="62" t="inlineStr">
        <is>
          <t>15125</t>
        </is>
      </c>
      <c r="M170" s="62" t="n"/>
      <c r="N170" s="30" t="n"/>
      <c r="O170" s="30" t="n"/>
    </row>
    <row r="171" ht="27" customHeight="1" s="80">
      <c r="B171" s="60" t="inlineStr">
        <is>
          <t>50038</t>
        </is>
      </c>
      <c r="C171" s="60" t="n"/>
      <c r="D171" s="60" t="n">
        <v>38</v>
      </c>
      <c r="E171" s="60" t="n"/>
      <c r="F171" s="60" t="inlineStr">
        <is>
          <t>50037</t>
        </is>
      </c>
      <c r="G171" s="60" t="inlineStr">
        <is>
          <t>50039</t>
        </is>
      </c>
      <c r="H171" s="60" t="inlineStr">
        <is>
          <t>10005</t>
        </is>
      </c>
      <c r="I171" s="62" t="n"/>
      <c r="J171" s="62" t="inlineStr">
        <is>
          <t>10001|12690$95001|242$85001|182$115001|4720$125001|154$135001|620</t>
        </is>
      </c>
      <c r="K171" s="62" t="inlineStr">
        <is>
          <t>1</t>
        </is>
      </c>
      <c r="L171" s="62" t="inlineStr">
        <is>
          <t>15126</t>
        </is>
      </c>
      <c r="M171" s="62" t="n"/>
      <c r="N171" s="30" t="n"/>
      <c r="O171" s="30" t="n"/>
    </row>
    <row r="172" ht="27" customHeight="1" s="80">
      <c r="B172" s="60" t="inlineStr">
        <is>
          <t>50039</t>
        </is>
      </c>
      <c r="C172" s="60" t="n"/>
      <c r="D172" s="60" t="n">
        <v>39</v>
      </c>
      <c r="E172" s="60" t="n"/>
      <c r="F172" s="60" t="inlineStr">
        <is>
          <t>50038</t>
        </is>
      </c>
      <c r="G172" s="60" t="inlineStr">
        <is>
          <t>50040</t>
        </is>
      </c>
      <c r="H172" s="60" t="inlineStr">
        <is>
          <t>10005</t>
        </is>
      </c>
      <c r="I172" s="62" t="n"/>
      <c r="J172" s="62" t="inlineStr">
        <is>
          <t>10001|12690$95001|243$85001|183$115001|4805$125001|156$135001|630</t>
        </is>
      </c>
      <c r="K172" s="62" t="inlineStr">
        <is>
          <t>1</t>
        </is>
      </c>
      <c r="L172" s="62" t="inlineStr">
        <is>
          <t>15127</t>
        </is>
      </c>
      <c r="M172" s="62" t="n"/>
      <c r="N172" s="30" t="n"/>
      <c r="O172" s="30" t="n"/>
    </row>
    <row r="173">
      <c r="B173" s="60" t="inlineStr">
        <is>
          <t>50040</t>
        </is>
      </c>
      <c r="C173" s="60" t="n"/>
      <c r="D173" s="60" t="n">
        <v>40</v>
      </c>
      <c r="E173" s="60" t="n"/>
      <c r="F173" s="60" t="inlineStr">
        <is>
          <t>50039</t>
        </is>
      </c>
      <c r="G173" s="60" t="inlineStr">
        <is>
          <t>50041</t>
        </is>
      </c>
      <c r="H173" s="60" t="inlineStr">
        <is>
          <t>10005</t>
        </is>
      </c>
      <c r="I173" s="62" t="n"/>
      <c r="J173" s="62" t="inlineStr">
        <is>
          <t>10001|12690$95001|244$85001|184$115001|4890$125001|158$135001|640</t>
        </is>
      </c>
      <c r="K173" s="62" t="inlineStr">
        <is>
          <t>1</t>
        </is>
      </c>
      <c r="L173" s="62" t="inlineStr">
        <is>
          <t>15128</t>
        </is>
      </c>
      <c r="M173" s="62" t="n"/>
      <c r="N173" s="30" t="n"/>
      <c r="O173" s="30" t="n"/>
    </row>
    <row r="174" ht="27" customHeight="1" s="80">
      <c r="B174" s="60" t="inlineStr">
        <is>
          <t>50041</t>
        </is>
      </c>
      <c r="C174" s="60" t="n"/>
      <c r="D174" s="60" t="n">
        <v>41</v>
      </c>
      <c r="E174" s="60" t="n"/>
      <c r="F174" s="60" t="inlineStr">
        <is>
          <t>50040</t>
        </is>
      </c>
      <c r="G174" s="60" t="inlineStr">
        <is>
          <t>50042</t>
        </is>
      </c>
      <c r="H174" s="60" t="inlineStr">
        <is>
          <t>10005</t>
        </is>
      </c>
      <c r="I174" s="62" t="n"/>
      <c r="J174" s="62" t="inlineStr">
        <is>
          <t>10001|12690$95001|245$85001|185$115001|4975$125001|160$135001|650</t>
        </is>
      </c>
      <c r="K174" s="62" t="inlineStr">
        <is>
          <t>3</t>
        </is>
      </c>
      <c r="L174" s="62" t="inlineStr">
        <is>
          <t>15207</t>
        </is>
      </c>
      <c r="M174" s="62" t="n"/>
      <c r="N174" s="30" t="n"/>
      <c r="O174" s="30" t="n"/>
    </row>
    <row r="175" ht="27" customHeight="1" s="80">
      <c r="B175" s="60" t="inlineStr">
        <is>
          <t>50042</t>
        </is>
      </c>
      <c r="C175" s="60" t="n"/>
      <c r="D175" s="60" t="n">
        <v>42</v>
      </c>
      <c r="E175" s="60" t="n"/>
      <c r="F175" s="60" t="inlineStr">
        <is>
          <t>50041</t>
        </is>
      </c>
      <c r="G175" s="60" t="inlineStr">
        <is>
          <t>50043</t>
        </is>
      </c>
      <c r="H175" s="60" t="inlineStr">
        <is>
          <t>10005</t>
        </is>
      </c>
      <c r="I175" s="62" t="n"/>
      <c r="J175" s="62" t="n"/>
      <c r="K175" s="62" t="inlineStr">
        <is>
          <t>2</t>
        </is>
      </c>
      <c r="L175" s="62" t="n"/>
      <c r="M175" s="62" t="n"/>
      <c r="N175" s="30" t="n"/>
      <c r="O175" s="30" t="n"/>
    </row>
    <row r="176" ht="27" customHeight="1" s="80">
      <c r="B176" s="60" t="inlineStr">
        <is>
          <t>50043</t>
        </is>
      </c>
      <c r="C176" s="60" t="n"/>
      <c r="D176" s="60" t="n">
        <v>43</v>
      </c>
      <c r="E176" s="60" t="n"/>
      <c r="F176" s="60" t="inlineStr">
        <is>
          <t>50042</t>
        </is>
      </c>
      <c r="G176" s="60" t="inlineStr">
        <is>
          <t>50044</t>
        </is>
      </c>
      <c r="H176" s="60" t="inlineStr">
        <is>
          <t>10005</t>
        </is>
      </c>
      <c r="I176" s="62" t="n"/>
      <c r="J176" s="62" t="inlineStr">
        <is>
          <t>10001|12690$95001|246$85001|186$115001|5240$125001|162$135001|660</t>
        </is>
      </c>
      <c r="K176" s="62" t="inlineStr">
        <is>
          <t>1</t>
        </is>
      </c>
      <c r="L176" s="62" t="inlineStr">
        <is>
          <t>15129</t>
        </is>
      </c>
      <c r="M176" s="62" t="n"/>
      <c r="N176" s="30" t="n"/>
      <c r="O176" s="30" t="n"/>
    </row>
    <row r="177" ht="27" customHeight="1" s="80">
      <c r="B177" s="60" t="inlineStr">
        <is>
          <t>50044</t>
        </is>
      </c>
      <c r="C177" s="60" t="n"/>
      <c r="D177" s="60" t="n">
        <v>44</v>
      </c>
      <c r="E177" s="60" t="n"/>
      <c r="F177" s="60" t="inlineStr">
        <is>
          <t>50043</t>
        </is>
      </c>
      <c r="G177" s="60" t="inlineStr">
        <is>
          <t>50045</t>
        </is>
      </c>
      <c r="H177" s="60" t="inlineStr">
        <is>
          <t>10005</t>
        </is>
      </c>
      <c r="I177" s="62" t="n"/>
      <c r="J177" s="62" t="inlineStr">
        <is>
          <t>10001|12690$95001|247$85001|187$115001|5330$125001|164$135001|670</t>
        </is>
      </c>
      <c r="K177" s="62" t="inlineStr">
        <is>
          <t>1</t>
        </is>
      </c>
      <c r="L177" s="62" t="inlineStr">
        <is>
          <t>15130</t>
        </is>
      </c>
      <c r="M177" s="62" t="n"/>
      <c r="N177" s="30" t="n"/>
      <c r="O177" s="30" t="n"/>
    </row>
    <row r="178">
      <c r="B178" s="60" t="inlineStr">
        <is>
          <t>50045</t>
        </is>
      </c>
      <c r="C178" s="60" t="n"/>
      <c r="D178" s="60" t="n">
        <v>45</v>
      </c>
      <c r="E178" s="60" t="n"/>
      <c r="F178" s="60" t="inlineStr">
        <is>
          <t>50044</t>
        </is>
      </c>
      <c r="G178" s="60" t="inlineStr">
        <is>
          <t>50046</t>
        </is>
      </c>
      <c r="H178" s="60" t="inlineStr">
        <is>
          <t>10005</t>
        </is>
      </c>
      <c r="I178" s="62" t="n"/>
      <c r="J178" s="62" t="inlineStr">
        <is>
          <t>10001|12690$95001|248$85001|188$115001|5420$125001|166$135001|680</t>
        </is>
      </c>
      <c r="K178" s="62" t="inlineStr">
        <is>
          <t>1</t>
        </is>
      </c>
      <c r="L178" s="62" t="inlineStr">
        <is>
          <t>15131</t>
        </is>
      </c>
      <c r="M178" s="62" t="n"/>
      <c r="N178" s="30" t="n"/>
      <c r="O178" s="30" t="n"/>
    </row>
    <row r="179" ht="27" customHeight="1" s="80">
      <c r="B179" s="60" t="inlineStr">
        <is>
          <t>50046</t>
        </is>
      </c>
      <c r="C179" s="60" t="n"/>
      <c r="D179" s="60" t="n">
        <v>46</v>
      </c>
      <c r="E179" s="60" t="n"/>
      <c r="F179" s="60" t="inlineStr">
        <is>
          <t>50045</t>
        </is>
      </c>
      <c r="G179" s="60" t="inlineStr">
        <is>
          <t>50047</t>
        </is>
      </c>
      <c r="H179" s="60" t="inlineStr">
        <is>
          <t>10005</t>
        </is>
      </c>
      <c r="I179" s="62" t="n"/>
      <c r="J179" s="62" t="inlineStr">
        <is>
          <t>10001|12690$95001|249$85001|189$115001|5510$125001|168$135001|690</t>
        </is>
      </c>
      <c r="K179" s="62" t="inlineStr">
        <is>
          <t>1</t>
        </is>
      </c>
      <c r="L179" s="62" t="inlineStr">
        <is>
          <t>15132</t>
        </is>
      </c>
      <c r="M179" s="62" t="n"/>
      <c r="N179" s="30" t="n"/>
      <c r="O179" s="30" t="n"/>
    </row>
    <row r="180" ht="27" customHeight="1" s="80">
      <c r="B180" s="60" t="inlineStr">
        <is>
          <t>50047</t>
        </is>
      </c>
      <c r="C180" s="60" t="n"/>
      <c r="D180" s="60" t="n">
        <v>47</v>
      </c>
      <c r="E180" s="60" t="n"/>
      <c r="F180" s="60" t="inlineStr">
        <is>
          <t>50046</t>
        </is>
      </c>
      <c r="G180" s="60" t="inlineStr">
        <is>
          <t>50048</t>
        </is>
      </c>
      <c r="H180" s="60" t="inlineStr">
        <is>
          <t>10005</t>
        </is>
      </c>
      <c r="I180" s="62" t="n"/>
      <c r="J180" s="62" t="n"/>
      <c r="K180" s="62" t="inlineStr">
        <is>
          <t>2</t>
        </is>
      </c>
      <c r="L180" s="62" t="n"/>
      <c r="M180" s="62" t="n"/>
      <c r="N180" s="30" t="n"/>
      <c r="O180" s="30" t="n"/>
    </row>
    <row r="181" ht="27" customHeight="1" s="80">
      <c r="B181" s="60" t="inlineStr">
        <is>
          <t>50048</t>
        </is>
      </c>
      <c r="C181" s="60" t="n"/>
      <c r="D181" s="60" t="n">
        <v>48</v>
      </c>
      <c r="E181" s="60" t="n"/>
      <c r="F181" s="60" t="inlineStr">
        <is>
          <t>50047</t>
        </is>
      </c>
      <c r="G181" s="60" t="inlineStr">
        <is>
          <t>50049</t>
        </is>
      </c>
      <c r="H181" s="60" t="inlineStr">
        <is>
          <t>10005</t>
        </is>
      </c>
      <c r="I181" s="62" t="inlineStr">
        <is>
          <t>1</t>
        </is>
      </c>
      <c r="J181" s="62" t="inlineStr">
        <is>
          <t>10001|12690$95001|250$85001|190$115001|5600$125001|170$135001|700</t>
        </is>
      </c>
      <c r="K181" s="62" t="inlineStr">
        <is>
          <t>4</t>
        </is>
      </c>
      <c r="L181" s="62" t="inlineStr">
        <is>
          <t>15301</t>
        </is>
      </c>
      <c r="M181" s="62" t="n"/>
      <c r="N181" s="30" t="n"/>
      <c r="O181" s="30" t="n"/>
    </row>
    <row r="182" ht="27" customHeight="1" s="80">
      <c r="B182" s="30" t="inlineStr">
        <is>
          <t>01001</t>
        </is>
      </c>
      <c r="C182" s="30" t="inlineStr">
        <is>
          <t>云海宗固定主线</t>
        </is>
      </c>
      <c r="D182" s="30" t="inlineStr">
        <is>
          <t>0-1</t>
        </is>
      </c>
      <c r="E182" s="30" t="inlineStr">
        <is>
          <t>1</t>
        </is>
      </c>
      <c r="F182" s="30" t="n"/>
      <c r="G182" s="30" t="inlineStr">
        <is>
          <t>01002</t>
        </is>
      </c>
      <c r="H182" s="30" t="inlineStr">
        <is>
          <t>10000</t>
        </is>
      </c>
      <c r="I182" s="30" t="n"/>
      <c r="J182" s="33" t="inlineStr">
        <is>
          <t>10001|600$91001|$81001|218$111001|100$121001|$191001|</t>
        </is>
      </c>
      <c r="K182" s="30" t="inlineStr">
        <is>
          <t>1</t>
        </is>
      </c>
      <c r="L182" s="28" t="inlineStr">
        <is>
          <t>50101</t>
        </is>
      </c>
      <c r="M182" s="42" t="inlineStr">
        <is>
          <t>1</t>
        </is>
      </c>
      <c r="N182" s="30" t="n"/>
      <c r="O182" s="30" t="inlineStr">
        <is>
          <t>1</t>
        </is>
      </c>
      <c r="R182" s="28" t="inlineStr">
        <is>
          <t>365001|10</t>
        </is>
      </c>
    </row>
    <row r="183" ht="27" customHeight="1" s="80">
      <c r="B183" s="30" t="inlineStr">
        <is>
          <t>01002</t>
        </is>
      </c>
      <c r="C183" s="30" t="inlineStr">
        <is>
          <t>云海宗固定主线</t>
        </is>
      </c>
      <c r="D183" s="30" t="inlineStr">
        <is>
          <t>0-2</t>
        </is>
      </c>
      <c r="E183" s="30" t="n"/>
      <c r="F183" s="30" t="inlineStr">
        <is>
          <t>01001</t>
        </is>
      </c>
      <c r="G183" s="30" t="inlineStr">
        <is>
          <t>01003</t>
        </is>
      </c>
      <c r="H183" s="30" t="inlineStr">
        <is>
          <t>10000</t>
        </is>
      </c>
      <c r="I183" s="30" t="n"/>
      <c r="J183" s="33" t="inlineStr">
        <is>
          <t>10001|700$91001|$81001|236$111001|110$121001|$191001|</t>
        </is>
      </c>
      <c r="K183" s="30" t="inlineStr">
        <is>
          <t>1</t>
        </is>
      </c>
      <c r="L183" s="68" t="inlineStr">
        <is>
          <t>50104</t>
        </is>
      </c>
      <c r="M183" s="42" t="inlineStr">
        <is>
          <t>1</t>
        </is>
      </c>
      <c r="N183" s="30" t="n"/>
      <c r="O183" s="30" t="inlineStr">
        <is>
          <t>1</t>
        </is>
      </c>
      <c r="R183" s="28" t="inlineStr">
        <is>
          <t>365001|10</t>
        </is>
      </c>
    </row>
    <row r="184" ht="27" customHeight="1" s="80">
      <c r="B184" s="30" t="inlineStr">
        <is>
          <t>01003</t>
        </is>
      </c>
      <c r="C184" s="30" t="inlineStr">
        <is>
          <t>云海宗固定主线</t>
        </is>
      </c>
      <c r="D184" s="30" t="inlineStr">
        <is>
          <t>0-3</t>
        </is>
      </c>
      <c r="E184" s="30" t="n"/>
      <c r="F184" s="30" t="inlineStr">
        <is>
          <t>01002</t>
        </is>
      </c>
      <c r="G184" s="30" t="inlineStr">
        <is>
          <t>01004</t>
        </is>
      </c>
      <c r="H184" s="30" t="inlineStr">
        <is>
          <t>10000</t>
        </is>
      </c>
      <c r="I184" s="30" t="n"/>
      <c r="J184" s="33" t="inlineStr">
        <is>
          <t>10001|800$91001|$81001|254$111001|120$121001|$191001|</t>
        </is>
      </c>
      <c r="K184" s="30" t="inlineStr">
        <is>
          <t>1</t>
        </is>
      </c>
      <c r="L184" s="68" t="inlineStr">
        <is>
          <t>50107</t>
        </is>
      </c>
      <c r="M184" s="42" t="inlineStr">
        <is>
          <t>1</t>
        </is>
      </c>
      <c r="N184" s="30" t="n"/>
      <c r="O184" s="30" t="inlineStr">
        <is>
          <t>1</t>
        </is>
      </c>
      <c r="R184" s="28" t="inlineStr">
        <is>
          <t>365001|10</t>
        </is>
      </c>
    </row>
    <row r="185" ht="27" customHeight="1" s="80">
      <c r="B185" s="30" t="inlineStr">
        <is>
          <t>01004</t>
        </is>
      </c>
      <c r="C185" s="30" t="inlineStr">
        <is>
          <t>云海宗固定主线</t>
        </is>
      </c>
      <c r="D185" s="30" t="inlineStr">
        <is>
          <t>0-4</t>
        </is>
      </c>
      <c r="E185" s="30" t="n"/>
      <c r="F185" s="30" t="inlineStr">
        <is>
          <t>01003</t>
        </is>
      </c>
      <c r="G185" s="30" t="inlineStr">
        <is>
          <t>01005</t>
        </is>
      </c>
      <c r="H185" s="30" t="inlineStr">
        <is>
          <t>10000</t>
        </is>
      </c>
      <c r="I185" s="30" t="n"/>
      <c r="J185" s="33" t="inlineStr">
        <is>
          <t>10001|900$91001|$81001|272$111001|130$121001|$191001|</t>
        </is>
      </c>
      <c r="K185" s="30" t="inlineStr">
        <is>
          <t>1</t>
        </is>
      </c>
      <c r="L185" s="28" t="inlineStr">
        <is>
          <t>50101</t>
        </is>
      </c>
      <c r="M185" s="42" t="inlineStr">
        <is>
          <t>2</t>
        </is>
      </c>
      <c r="N185" s="30" t="n"/>
      <c r="O185" s="30" t="inlineStr">
        <is>
          <t>1</t>
        </is>
      </c>
      <c r="R185" s="28" t="inlineStr">
        <is>
          <t>365001|10</t>
        </is>
      </c>
    </row>
    <row r="186" ht="27" customHeight="1" s="80">
      <c r="B186" s="30" t="inlineStr">
        <is>
          <t>01005</t>
        </is>
      </c>
      <c r="C186" s="30" t="inlineStr">
        <is>
          <t>云海宗固定主线</t>
        </is>
      </c>
      <c r="D186" s="30" t="inlineStr">
        <is>
          <t>0-5</t>
        </is>
      </c>
      <c r="E186" s="30" t="n"/>
      <c r="F186" s="30" t="inlineStr">
        <is>
          <t>01004</t>
        </is>
      </c>
      <c r="G186" s="30" t="inlineStr">
        <is>
          <t>01006</t>
        </is>
      </c>
      <c r="H186" s="30" t="inlineStr">
        <is>
          <t>10000</t>
        </is>
      </c>
      <c r="I186" s="30" t="n"/>
      <c r="J186" s="33" t="inlineStr">
        <is>
          <t>10001|1000$91001|$81001|290$111001|140$121001|$191001|</t>
        </is>
      </c>
      <c r="K186" s="30" t="inlineStr">
        <is>
          <t>1</t>
        </is>
      </c>
      <c r="L186" s="68" t="inlineStr">
        <is>
          <t>50104</t>
        </is>
      </c>
      <c r="M186" s="42" t="inlineStr">
        <is>
          <t>2</t>
        </is>
      </c>
      <c r="N186" s="30" t="n"/>
      <c r="O186" s="30" t="inlineStr">
        <is>
          <t>1</t>
        </is>
      </c>
      <c r="R186" s="28" t="inlineStr">
        <is>
          <t>365001|10</t>
        </is>
      </c>
    </row>
    <row r="187" ht="27" customHeight="1" s="80">
      <c r="B187" s="30" t="inlineStr">
        <is>
          <t>01006</t>
        </is>
      </c>
      <c r="C187" s="30" t="inlineStr">
        <is>
          <t>云海宗固定主线</t>
        </is>
      </c>
      <c r="D187" s="30" t="inlineStr">
        <is>
          <t>0-6</t>
        </is>
      </c>
      <c r="E187" s="30" t="n"/>
      <c r="F187" s="30" t="inlineStr">
        <is>
          <t>01005</t>
        </is>
      </c>
      <c r="G187" s="30" t="inlineStr">
        <is>
          <t>01007</t>
        </is>
      </c>
      <c r="H187" s="30" t="inlineStr">
        <is>
          <t>10000</t>
        </is>
      </c>
      <c r="I187" s="30" t="n"/>
      <c r="J187" s="33" t="inlineStr">
        <is>
          <t>10001|1100$91001|$81001|308$111001|150$121001|$191001|</t>
        </is>
      </c>
      <c r="K187" s="30" t="inlineStr">
        <is>
          <t>1</t>
        </is>
      </c>
      <c r="L187" s="68" t="inlineStr">
        <is>
          <t>50107</t>
        </is>
      </c>
      <c r="M187" s="42" t="inlineStr">
        <is>
          <t>2</t>
        </is>
      </c>
      <c r="N187" s="30" t="n"/>
      <c r="O187" s="30" t="inlineStr">
        <is>
          <t>1</t>
        </is>
      </c>
      <c r="R187" s="28" t="inlineStr">
        <is>
          <t>365001|10</t>
        </is>
      </c>
    </row>
    <row r="188" ht="27" customHeight="1" s="80">
      <c r="B188" s="30" t="inlineStr">
        <is>
          <t>01007</t>
        </is>
      </c>
      <c r="C188" s="30" t="inlineStr">
        <is>
          <t>云海宗固定主线</t>
        </is>
      </c>
      <c r="D188" s="30" t="inlineStr">
        <is>
          <t>0-7</t>
        </is>
      </c>
      <c r="E188" s="30" t="n"/>
      <c r="F188" s="30" t="inlineStr">
        <is>
          <t>01006</t>
        </is>
      </c>
      <c r="G188" s="30" t="inlineStr">
        <is>
          <t>01008</t>
        </is>
      </c>
      <c r="H188" s="30" t="inlineStr">
        <is>
          <t>10000</t>
        </is>
      </c>
      <c r="I188" s="30" t="n"/>
      <c r="J188" s="33" t="inlineStr">
        <is>
          <t>10001|1200$91001|$81001|326$111001|160$121001|$191001|</t>
        </is>
      </c>
      <c r="K188" s="30" t="inlineStr">
        <is>
          <t>1</t>
        </is>
      </c>
      <c r="L188" s="28" t="inlineStr">
        <is>
          <t>50101</t>
        </is>
      </c>
      <c r="M188" s="42" t="inlineStr">
        <is>
          <t>3</t>
        </is>
      </c>
      <c r="N188" s="30" t="n"/>
      <c r="O188" s="30" t="inlineStr">
        <is>
          <t>1</t>
        </is>
      </c>
      <c r="R188" s="28" t="inlineStr">
        <is>
          <t>365001|10</t>
        </is>
      </c>
    </row>
    <row r="189">
      <c r="B189" s="30" t="inlineStr">
        <is>
          <t>01008</t>
        </is>
      </c>
      <c r="C189" s="30" t="inlineStr">
        <is>
          <t>云海宗固定主线</t>
        </is>
      </c>
      <c r="D189" s="30" t="inlineStr">
        <is>
          <t>0-8</t>
        </is>
      </c>
      <c r="E189" s="30" t="n"/>
      <c r="F189" s="30" t="inlineStr">
        <is>
          <t>01007</t>
        </is>
      </c>
      <c r="G189" s="30" t="inlineStr">
        <is>
          <t>01009</t>
        </is>
      </c>
      <c r="H189" s="30" t="inlineStr">
        <is>
          <t>10000</t>
        </is>
      </c>
      <c r="I189" s="30" t="n"/>
      <c r="J189" s="33" t="inlineStr">
        <is>
          <t>10001|1300$91001|$81001|344$111001|170$121001|$191001|</t>
        </is>
      </c>
      <c r="K189" s="30" t="inlineStr">
        <is>
          <t>1</t>
        </is>
      </c>
      <c r="L189" s="68" t="inlineStr">
        <is>
          <t>50104</t>
        </is>
      </c>
      <c r="M189" s="42" t="inlineStr">
        <is>
          <t>3</t>
        </is>
      </c>
      <c r="N189" s="30" t="n"/>
      <c r="O189" s="30" t="inlineStr">
        <is>
          <t>1</t>
        </is>
      </c>
      <c r="R189" s="28" t="inlineStr">
        <is>
          <t>365001|10</t>
        </is>
      </c>
    </row>
    <row r="190" ht="27" customHeight="1" s="80">
      <c r="B190" s="30" t="inlineStr">
        <is>
          <t>01009</t>
        </is>
      </c>
      <c r="C190" s="30" t="inlineStr">
        <is>
          <t>云海宗固定主线</t>
        </is>
      </c>
      <c r="D190" s="30" t="inlineStr">
        <is>
          <t>0-9</t>
        </is>
      </c>
      <c r="E190" s="30" t="n"/>
      <c r="F190" s="30" t="inlineStr">
        <is>
          <t>01008</t>
        </is>
      </c>
      <c r="G190" s="30" t="inlineStr">
        <is>
          <t>01010</t>
        </is>
      </c>
      <c r="H190" s="30" t="inlineStr">
        <is>
          <t>10000</t>
        </is>
      </c>
      <c r="I190" s="30" t="n"/>
      <c r="J190" s="33" t="inlineStr">
        <is>
          <t>10001|1400$91001|$81001|362$111001|180$121001|$191001|</t>
        </is>
      </c>
      <c r="K190" s="30" t="inlineStr">
        <is>
          <t>1</t>
        </is>
      </c>
      <c r="L190" s="68" t="inlineStr">
        <is>
          <t>50107</t>
        </is>
      </c>
      <c r="M190" s="42" t="inlineStr">
        <is>
          <t>3</t>
        </is>
      </c>
      <c r="N190" s="30" t="n"/>
      <c r="O190" s="30" t="inlineStr">
        <is>
          <t>1</t>
        </is>
      </c>
      <c r="R190" s="28" t="inlineStr">
        <is>
          <t>365001|10</t>
        </is>
      </c>
    </row>
    <row r="191" ht="27" customHeight="1" s="80">
      <c r="B191" s="30" t="inlineStr">
        <is>
          <t>01010</t>
        </is>
      </c>
      <c r="C191" s="30" t="inlineStr">
        <is>
          <t>云海宗固定主线</t>
        </is>
      </c>
      <c r="D191" s="30" t="inlineStr">
        <is>
          <t>0-10</t>
        </is>
      </c>
      <c r="E191" s="30" t="n"/>
      <c r="F191" s="30" t="inlineStr">
        <is>
          <t>01009</t>
        </is>
      </c>
      <c r="G191" s="30" t="n"/>
      <c r="H191" s="30" t="inlineStr">
        <is>
          <t>10000</t>
        </is>
      </c>
      <c r="I191" s="30" t="inlineStr">
        <is>
          <t>1</t>
        </is>
      </c>
      <c r="J191" s="33" t="n"/>
      <c r="K191" s="30" t="inlineStr">
        <is>
          <t>4</t>
        </is>
      </c>
      <c r="L191" s="28" t="inlineStr">
        <is>
          <t>50301</t>
        </is>
      </c>
      <c r="M191" s="42" t="inlineStr">
        <is>
          <t>5</t>
        </is>
      </c>
      <c r="N191" s="30" t="n"/>
      <c r="O191" s="30" t="inlineStr">
        <is>
          <t>1</t>
        </is>
      </c>
    </row>
    <row r="192" ht="27" customHeight="1" s="80">
      <c r="B192" s="64" t="inlineStr">
        <is>
          <t>11001</t>
        </is>
      </c>
      <c r="C192" s="64" t="inlineStr">
        <is>
          <t>季狸国固定主线</t>
        </is>
      </c>
      <c r="D192" s="64" t="inlineStr">
        <is>
          <t>1-1</t>
        </is>
      </c>
      <c r="E192" s="64" t="inlineStr">
        <is>
          <t>1</t>
        </is>
      </c>
      <c r="F192" s="64" t="n"/>
      <c r="G192" s="64" t="inlineStr">
        <is>
          <t>11002</t>
        </is>
      </c>
      <c r="H192" s="64" t="inlineStr">
        <is>
          <t>10001</t>
        </is>
      </c>
      <c r="I192" s="64" t="n"/>
      <c r="J192" s="64" t="inlineStr">
        <is>
          <t>10001|1200$91001|$81001|436$111001|200$121001|$191001|</t>
        </is>
      </c>
      <c r="K192" s="64" t="inlineStr">
        <is>
          <t>1</t>
        </is>
      </c>
      <c r="L192" s="41" t="inlineStr">
        <is>
          <t>51101|51102</t>
        </is>
      </c>
      <c r="M192" s="41" t="inlineStr">
        <is>
          <t>11</t>
        </is>
      </c>
      <c r="N192" s="64" t="n"/>
      <c r="O192" s="64" t="inlineStr">
        <is>
          <t>1</t>
        </is>
      </c>
      <c r="P192" s="28" t="inlineStr">
        <is>
          <t>10001</t>
        </is>
      </c>
      <c r="Q192" s="28" t="inlineStr">
        <is>
          <t>10002</t>
        </is>
      </c>
      <c r="R192" s="28" t="inlineStr">
        <is>
          <t>365001|10</t>
        </is>
      </c>
    </row>
    <row r="193" ht="27" customHeight="1" s="80">
      <c r="B193" s="64" t="inlineStr">
        <is>
          <t>11002</t>
        </is>
      </c>
      <c r="C193" s="64" t="inlineStr">
        <is>
          <t>季狸国固定主线</t>
        </is>
      </c>
      <c r="D193" s="64" t="inlineStr">
        <is>
          <t>1-2</t>
        </is>
      </c>
      <c r="E193" s="64" t="n"/>
      <c r="F193" s="64" t="inlineStr">
        <is>
          <t>11001</t>
        </is>
      </c>
      <c r="G193" s="64" t="inlineStr">
        <is>
          <t>11003</t>
        </is>
      </c>
      <c r="H193" s="64" t="inlineStr">
        <is>
          <t>10001</t>
        </is>
      </c>
      <c r="I193" s="64" t="n"/>
      <c r="J193" s="64" t="inlineStr">
        <is>
          <t>10001|1400$91001|$81001|472$111001|220$121001|$191001|</t>
        </is>
      </c>
      <c r="K193" s="64" t="inlineStr">
        <is>
          <t>1</t>
        </is>
      </c>
      <c r="L193" s="41" t="inlineStr">
        <is>
          <t>51102</t>
        </is>
      </c>
      <c r="M193" s="41" t="inlineStr">
        <is>
          <t>11</t>
        </is>
      </c>
      <c r="N193" s="64" t="n"/>
      <c r="O193" s="64" t="inlineStr">
        <is>
          <t>1</t>
        </is>
      </c>
      <c r="R193" s="28" t="inlineStr">
        <is>
          <t>365001|10</t>
        </is>
      </c>
    </row>
    <row r="194" ht="27" customHeight="1" s="80">
      <c r="B194" s="64" t="inlineStr">
        <is>
          <t>11003</t>
        </is>
      </c>
      <c r="C194" s="64" t="inlineStr">
        <is>
          <t>季狸国固定主线</t>
        </is>
      </c>
      <c r="D194" s="64" t="inlineStr">
        <is>
          <t>1-3</t>
        </is>
      </c>
      <c r="E194" s="64" t="n"/>
      <c r="F194" s="64" t="inlineStr">
        <is>
          <t>11002</t>
        </is>
      </c>
      <c r="G194" s="64" t="inlineStr">
        <is>
          <t>11004</t>
        </is>
      </c>
      <c r="H194" s="64" t="inlineStr">
        <is>
          <t>10001</t>
        </is>
      </c>
      <c r="I194" s="64" t="n"/>
      <c r="J194" s="64" t="inlineStr">
        <is>
          <t>10001|1600$91001|$81001|508$111001|240$121001|$191001|</t>
        </is>
      </c>
      <c r="K194" s="64" t="inlineStr">
        <is>
          <t>1</t>
        </is>
      </c>
      <c r="L194" s="69" t="inlineStr">
        <is>
          <t>51103|51104</t>
        </is>
      </c>
      <c r="M194" s="69" t="inlineStr">
        <is>
          <t>12</t>
        </is>
      </c>
      <c r="N194" s="64" t="n"/>
      <c r="O194" s="64" t="inlineStr">
        <is>
          <t>1</t>
        </is>
      </c>
      <c r="R194" s="28" t="inlineStr">
        <is>
          <t>365001|10</t>
        </is>
      </c>
    </row>
    <row r="195" ht="27" customHeight="1" s="80">
      <c r="B195" s="64" t="inlineStr">
        <is>
          <t>11004</t>
        </is>
      </c>
      <c r="C195" s="64" t="inlineStr">
        <is>
          <t>季狸国固定主线</t>
        </is>
      </c>
      <c r="D195" s="64" t="inlineStr">
        <is>
          <t>1-4</t>
        </is>
      </c>
      <c r="E195" s="64" t="n"/>
      <c r="F195" s="64" t="inlineStr">
        <is>
          <t>11003</t>
        </is>
      </c>
      <c r="G195" s="64" t="inlineStr">
        <is>
          <t>11005</t>
        </is>
      </c>
      <c r="H195" s="64" t="inlineStr">
        <is>
          <t>10001</t>
        </is>
      </c>
      <c r="I195" s="64" t="n"/>
      <c r="J195" s="64" t="inlineStr">
        <is>
          <t>10001|1800$91001|$81001|544$111001|260$121001|$191001|</t>
        </is>
      </c>
      <c r="K195" s="64" t="inlineStr">
        <is>
          <t>1</t>
        </is>
      </c>
      <c r="L195" s="41" t="inlineStr">
        <is>
          <t>51105|51106|51107</t>
        </is>
      </c>
      <c r="M195" s="41" t="inlineStr">
        <is>
          <t>12</t>
        </is>
      </c>
      <c r="N195" s="64" t="n"/>
      <c r="O195" s="64" t="inlineStr">
        <is>
          <t>1</t>
        </is>
      </c>
      <c r="R195" s="28" t="inlineStr">
        <is>
          <t>365001|10</t>
        </is>
      </c>
    </row>
    <row r="196" ht="27" customHeight="1" s="80">
      <c r="B196" s="64" t="inlineStr">
        <is>
          <t>11005</t>
        </is>
      </c>
      <c r="C196" s="64" t="inlineStr">
        <is>
          <t>季狸国固定主线</t>
        </is>
      </c>
      <c r="D196" s="64" t="inlineStr">
        <is>
          <t>1-5</t>
        </is>
      </c>
      <c r="E196" s="64" t="n"/>
      <c r="F196" s="64" t="inlineStr">
        <is>
          <t>11004</t>
        </is>
      </c>
      <c r="G196" s="64" t="inlineStr">
        <is>
          <t>11006</t>
        </is>
      </c>
      <c r="H196" s="64" t="inlineStr">
        <is>
          <t>10001</t>
        </is>
      </c>
      <c r="I196" s="64" t="n"/>
      <c r="J196" s="64" t="inlineStr">
        <is>
          <t>10001|2000$91001|$81001|580$111001|280$121001|$191001|</t>
        </is>
      </c>
      <c r="K196" s="64" t="inlineStr">
        <is>
          <t>3</t>
        </is>
      </c>
      <c r="L196" s="41" t="inlineStr">
        <is>
          <t>51108|51109|51210</t>
        </is>
      </c>
      <c r="M196" s="41" t="inlineStr">
        <is>
          <t>13</t>
        </is>
      </c>
      <c r="N196" s="64" t="n"/>
      <c r="O196" s="64" t="inlineStr">
        <is>
          <t>1</t>
        </is>
      </c>
      <c r="R196" s="28" t="inlineStr">
        <is>
          <t>365001|10</t>
        </is>
      </c>
    </row>
    <row r="197" ht="27" customHeight="1" s="80">
      <c r="B197" s="64" t="inlineStr">
        <is>
          <t>11006</t>
        </is>
      </c>
      <c r="C197" s="64" t="inlineStr">
        <is>
          <t>季狸国固定主线</t>
        </is>
      </c>
      <c r="D197" s="64" t="inlineStr">
        <is>
          <t>1-6</t>
        </is>
      </c>
      <c r="E197" s="64" t="n"/>
      <c r="F197" s="64" t="inlineStr">
        <is>
          <t>11005</t>
        </is>
      </c>
      <c r="G197" s="64" t="inlineStr">
        <is>
          <t>11007</t>
        </is>
      </c>
      <c r="H197" s="64" t="inlineStr">
        <is>
          <t>10001</t>
        </is>
      </c>
      <c r="I197" s="64" t="n"/>
      <c r="J197" s="64" t="inlineStr">
        <is>
          <t>10001|2200$91001|$81001|616$111001|300$121001|$191001|</t>
        </is>
      </c>
      <c r="K197" s="64" t="inlineStr">
        <is>
          <t>1</t>
        </is>
      </c>
      <c r="L197" s="41" t="inlineStr">
        <is>
          <t>51111</t>
        </is>
      </c>
      <c r="M197" s="41" t="inlineStr">
        <is>
          <t>13</t>
        </is>
      </c>
      <c r="N197" s="64" t="n"/>
      <c r="O197" s="64" t="inlineStr">
        <is>
          <t>1</t>
        </is>
      </c>
      <c r="Q197" s="28" t="inlineStr">
        <is>
          <t>10003</t>
        </is>
      </c>
      <c r="R197" s="28" t="inlineStr">
        <is>
          <t>365001|10</t>
        </is>
      </c>
    </row>
    <row r="198" ht="27" customHeight="1" s="80">
      <c r="B198" s="64" t="inlineStr">
        <is>
          <t>11007</t>
        </is>
      </c>
      <c r="C198" s="64" t="inlineStr">
        <is>
          <t>季狸国固定主线</t>
        </is>
      </c>
      <c r="D198" s="64" t="inlineStr">
        <is>
          <t>1-7</t>
        </is>
      </c>
      <c r="E198" s="64" t="n"/>
      <c r="F198" s="64" t="inlineStr">
        <is>
          <t>11006</t>
        </is>
      </c>
      <c r="G198" s="64" t="inlineStr">
        <is>
          <t>11008</t>
        </is>
      </c>
      <c r="H198" s="64" t="inlineStr">
        <is>
          <t>10001</t>
        </is>
      </c>
      <c r="I198" s="64" t="n"/>
      <c r="J198" s="64" t="inlineStr">
        <is>
          <t>10001|2400$91001|$81001|652$111001|320$121001|$191001|</t>
        </is>
      </c>
      <c r="K198" s="64" t="inlineStr">
        <is>
          <t>1</t>
        </is>
      </c>
      <c r="L198" s="41" t="inlineStr">
        <is>
          <t>51112|51112</t>
        </is>
      </c>
      <c r="M198" s="41" t="inlineStr">
        <is>
          <t>13</t>
        </is>
      </c>
      <c r="N198" s="64" t="n"/>
      <c r="O198" s="64" t="inlineStr">
        <is>
          <t>1</t>
        </is>
      </c>
      <c r="R198" s="28" t="inlineStr">
        <is>
          <t>365001|10</t>
        </is>
      </c>
    </row>
    <row r="199" ht="40.5" customHeight="1" s="80">
      <c r="B199" s="64" t="inlineStr">
        <is>
          <t>11008</t>
        </is>
      </c>
      <c r="C199" s="64" t="inlineStr">
        <is>
          <t>季狸国固定主线</t>
        </is>
      </c>
      <c r="D199" s="64" t="inlineStr">
        <is>
          <t>1-8</t>
        </is>
      </c>
      <c r="E199" s="64" t="n"/>
      <c r="F199" s="64" t="inlineStr">
        <is>
          <t>11007</t>
        </is>
      </c>
      <c r="G199" s="64" t="inlineStr">
        <is>
          <t>11009</t>
        </is>
      </c>
      <c r="H199" s="64" t="inlineStr">
        <is>
          <t>10001</t>
        </is>
      </c>
      <c r="I199" s="64" t="n"/>
      <c r="J199" s="64" t="inlineStr">
        <is>
          <t>10001|2600$91001|$81001|688$111001|340$121001|$191001|</t>
        </is>
      </c>
      <c r="K199" s="64" t="inlineStr">
        <is>
          <t>1</t>
        </is>
      </c>
      <c r="L199" s="41" t="inlineStr">
        <is>
          <t>51113|51113|51113</t>
        </is>
      </c>
      <c r="M199" s="41" t="inlineStr">
        <is>
          <t>14</t>
        </is>
      </c>
      <c r="N199" s="64" t="n"/>
      <c r="O199" s="64" t="inlineStr">
        <is>
          <t>1</t>
        </is>
      </c>
      <c r="R199" s="28" t="inlineStr">
        <is>
          <t>365001|10</t>
        </is>
      </c>
    </row>
    <row r="200" ht="27" customHeight="1" s="80">
      <c r="B200" s="64" t="inlineStr">
        <is>
          <t>11009</t>
        </is>
      </c>
      <c r="C200" s="64" t="inlineStr">
        <is>
          <t>季狸国固定主线</t>
        </is>
      </c>
      <c r="D200" s="64" t="inlineStr">
        <is>
          <t>1-9</t>
        </is>
      </c>
      <c r="E200" s="64" t="n"/>
      <c r="F200" s="64" t="inlineStr">
        <is>
          <t>11008</t>
        </is>
      </c>
      <c r="G200" s="64" t="inlineStr">
        <is>
          <t>11010</t>
        </is>
      </c>
      <c r="H200" s="64" t="inlineStr">
        <is>
          <t>10001</t>
        </is>
      </c>
      <c r="I200" s="64" t="n"/>
      <c r="J200" s="64" t="inlineStr">
        <is>
          <t>10001|2800$91001|$81001|724$111001|360$121001|$191001|</t>
        </is>
      </c>
      <c r="K200" s="64" t="inlineStr">
        <is>
          <t>3</t>
        </is>
      </c>
      <c r="L200" s="41" t="inlineStr">
        <is>
          <t>51214</t>
        </is>
      </c>
      <c r="M200" s="41" t="inlineStr">
        <is>
          <t>14</t>
        </is>
      </c>
      <c r="N200" s="64" t="n"/>
      <c r="O200" s="64" t="inlineStr">
        <is>
          <t>1</t>
        </is>
      </c>
      <c r="Q200" s="28" t="inlineStr">
        <is>
          <t>10004</t>
        </is>
      </c>
      <c r="R200" s="28" t="inlineStr">
        <is>
          <t>365001|10</t>
        </is>
      </c>
    </row>
    <row r="201" ht="27" customHeight="1" s="80">
      <c r="B201" s="64" t="inlineStr">
        <is>
          <t>11010</t>
        </is>
      </c>
      <c r="C201" s="64" t="inlineStr">
        <is>
          <t>季狸国固定主线</t>
        </is>
      </c>
      <c r="D201" s="64" t="inlineStr">
        <is>
          <t>1-10</t>
        </is>
      </c>
      <c r="E201" s="64" t="n"/>
      <c r="F201" s="64" t="inlineStr">
        <is>
          <t>11009</t>
        </is>
      </c>
      <c r="G201" s="64" t="inlineStr">
        <is>
          <t>11011</t>
        </is>
      </c>
      <c r="H201" s="64" t="inlineStr">
        <is>
          <t>10001</t>
        </is>
      </c>
      <c r="I201" s="64" t="n"/>
      <c r="J201" s="64" t="inlineStr">
        <is>
          <t>10001|3000$91001|$81001|760$111001|380$121001|$191001|</t>
        </is>
      </c>
      <c r="K201" s="64" t="inlineStr">
        <is>
          <t>3</t>
        </is>
      </c>
      <c r="L201" s="41" t="inlineStr">
        <is>
          <t>51215</t>
        </is>
      </c>
      <c r="M201" s="41" t="inlineStr">
        <is>
          <t>14</t>
        </is>
      </c>
      <c r="N201" s="64" t="n"/>
      <c r="O201" s="64" t="inlineStr">
        <is>
          <t>1</t>
        </is>
      </c>
      <c r="P201" s="28" t="inlineStr">
        <is>
          <t>10005|10006</t>
        </is>
      </c>
      <c r="Q201" s="28" t="inlineStr">
        <is>
          <t>10007|10008|10009|10010</t>
        </is>
      </c>
      <c r="R201" s="28" t="inlineStr">
        <is>
          <t>365001|10</t>
        </is>
      </c>
    </row>
    <row r="202" ht="27" customHeight="1" s="80">
      <c r="B202" s="64" t="inlineStr">
        <is>
          <t>11011</t>
        </is>
      </c>
      <c r="C202" s="64" t="inlineStr">
        <is>
          <t>季狸国固定主线</t>
        </is>
      </c>
      <c r="D202" s="64" t="inlineStr">
        <is>
          <t>1-11</t>
        </is>
      </c>
      <c r="E202" s="64" t="n"/>
      <c r="F202" s="64" t="inlineStr">
        <is>
          <t>11010</t>
        </is>
      </c>
      <c r="G202" s="64" t="inlineStr">
        <is>
          <t>11012</t>
        </is>
      </c>
      <c r="H202" s="64" t="inlineStr">
        <is>
          <t>10001</t>
        </is>
      </c>
      <c r="I202" s="64" t="n"/>
      <c r="J202" s="64" t="inlineStr">
        <is>
          <t>10001|3200$91001|$81001|796$111001|400$121001|$191001|</t>
        </is>
      </c>
      <c r="K202" s="64" t="inlineStr">
        <is>
          <t>1</t>
        </is>
      </c>
      <c r="L202" s="41" t="inlineStr">
        <is>
          <t>51116|51116|51116</t>
        </is>
      </c>
      <c r="M202" s="41" t="inlineStr">
        <is>
          <t>14</t>
        </is>
      </c>
      <c r="N202" s="64" t="n"/>
      <c r="O202" s="64" t="inlineStr">
        <is>
          <t>1</t>
        </is>
      </c>
      <c r="P202" s="28" t="inlineStr">
        <is>
          <t>10011</t>
        </is>
      </c>
      <c r="R202" s="28" t="inlineStr">
        <is>
          <t>365001|10</t>
        </is>
      </c>
    </row>
    <row r="203" ht="27" customHeight="1" s="80">
      <c r="B203" s="64" t="inlineStr">
        <is>
          <t>11012</t>
        </is>
      </c>
      <c r="C203" s="64" t="inlineStr">
        <is>
          <t>季狸国固定主线</t>
        </is>
      </c>
      <c r="D203" s="64" t="inlineStr">
        <is>
          <t>1-12</t>
        </is>
      </c>
      <c r="E203" s="64" t="n"/>
      <c r="F203" s="64" t="inlineStr">
        <is>
          <t>11011</t>
        </is>
      </c>
      <c r="G203" s="64" t="inlineStr">
        <is>
          <t>11013</t>
        </is>
      </c>
      <c r="H203" s="64" t="inlineStr">
        <is>
          <t>10001</t>
        </is>
      </c>
      <c r="I203" s="64" t="n"/>
      <c r="J203" s="64" t="inlineStr">
        <is>
          <t>10001|3400$91001|$81001|832$111001|420$121001|$191001|</t>
        </is>
      </c>
      <c r="K203" s="64" t="inlineStr">
        <is>
          <t>1</t>
        </is>
      </c>
      <c r="L203" s="69" t="inlineStr">
        <is>
          <t>51117|51118</t>
        </is>
      </c>
      <c r="M203" s="69" t="inlineStr">
        <is>
          <t>15</t>
        </is>
      </c>
      <c r="N203" s="64" t="n"/>
      <c r="O203" s="64" t="inlineStr">
        <is>
          <t>1</t>
        </is>
      </c>
      <c r="R203" s="28" t="inlineStr">
        <is>
          <t>365001|10</t>
        </is>
      </c>
    </row>
    <row r="204" ht="37.5" customHeight="1" s="80">
      <c r="B204" s="64" t="inlineStr">
        <is>
          <t>11013</t>
        </is>
      </c>
      <c r="C204" s="64" t="inlineStr">
        <is>
          <t>季狸国固定主线</t>
        </is>
      </c>
      <c r="D204" s="64" t="inlineStr">
        <is>
          <t>1-13</t>
        </is>
      </c>
      <c r="E204" s="64" t="n"/>
      <c r="F204" s="64" t="inlineStr">
        <is>
          <t>11012</t>
        </is>
      </c>
      <c r="G204" s="64" t="inlineStr">
        <is>
          <t>11014</t>
        </is>
      </c>
      <c r="H204" s="64" t="inlineStr">
        <is>
          <t>10001</t>
        </is>
      </c>
      <c r="I204" s="64" t="n"/>
      <c r="J204" s="64" t="inlineStr">
        <is>
          <t>10001|3600$91001|$81001|868$111001|440$121001|$191001|</t>
        </is>
      </c>
      <c r="K204" s="64" t="inlineStr">
        <is>
          <t>1</t>
        </is>
      </c>
      <c r="L204" s="69" t="inlineStr">
        <is>
          <t>51119|51120|51121</t>
        </is>
      </c>
      <c r="M204" s="69" t="inlineStr">
        <is>
          <t>15</t>
        </is>
      </c>
      <c r="N204" s="64" t="n"/>
      <c r="O204" s="64" t="inlineStr">
        <is>
          <t>1</t>
        </is>
      </c>
      <c r="R204" s="28" t="inlineStr">
        <is>
          <t>365001|10</t>
        </is>
      </c>
    </row>
    <row r="205" ht="27" customHeight="1" s="80">
      <c r="B205" s="64" t="inlineStr">
        <is>
          <t>11014</t>
        </is>
      </c>
      <c r="C205" s="64" t="inlineStr">
        <is>
          <t>季狸国固定主线</t>
        </is>
      </c>
      <c r="D205" s="64" t="inlineStr">
        <is>
          <t>1-14</t>
        </is>
      </c>
      <c r="E205" s="64" t="n"/>
      <c r="F205" s="64" t="inlineStr">
        <is>
          <t>11013</t>
        </is>
      </c>
      <c r="G205" s="64" t="inlineStr">
        <is>
          <t>11015</t>
        </is>
      </c>
      <c r="H205" s="64" t="inlineStr">
        <is>
          <t>10001</t>
        </is>
      </c>
      <c r="I205" s="64" t="n"/>
      <c r="J205" s="64" t="inlineStr">
        <is>
          <t>10001|3800$91001|$81001|904$111001|460$121001|$191001|</t>
        </is>
      </c>
      <c r="K205" s="64" t="inlineStr">
        <is>
          <t>1</t>
        </is>
      </c>
      <c r="L205" s="41" t="inlineStr">
        <is>
          <t>51122|51123|51124|51125</t>
        </is>
      </c>
      <c r="M205" s="41" t="inlineStr">
        <is>
          <t>16</t>
        </is>
      </c>
      <c r="N205" s="64" t="n"/>
      <c r="O205" s="64" t="inlineStr">
        <is>
          <t>1</t>
        </is>
      </c>
      <c r="R205" s="28" t="inlineStr">
        <is>
          <t>365001|10</t>
        </is>
      </c>
    </row>
    <row r="206" ht="27" customHeight="1" s="80">
      <c r="B206" s="64" t="inlineStr">
        <is>
          <t>11015</t>
        </is>
      </c>
      <c r="C206" s="64" t="inlineStr">
        <is>
          <t>季狸国固定主线</t>
        </is>
      </c>
      <c r="D206" s="64" t="inlineStr">
        <is>
          <t>1-15</t>
        </is>
      </c>
      <c r="E206" s="64" t="n"/>
      <c r="F206" s="64" t="inlineStr">
        <is>
          <t>11014</t>
        </is>
      </c>
      <c r="G206" s="64" t="inlineStr">
        <is>
          <t>11016</t>
        </is>
      </c>
      <c r="H206" s="64" t="inlineStr">
        <is>
          <t>10001</t>
        </is>
      </c>
      <c r="I206" s="64" t="n"/>
      <c r="J206" s="64" t="inlineStr">
        <is>
          <t>10001|4000$91001|$81001|940$111001|480$121001|$191001|</t>
        </is>
      </c>
      <c r="K206" s="64" t="inlineStr">
        <is>
          <t>3</t>
        </is>
      </c>
      <c r="L206" s="41" t="inlineStr">
        <is>
          <t>51226</t>
        </is>
      </c>
      <c r="M206" s="41" t="inlineStr">
        <is>
          <t>17</t>
        </is>
      </c>
      <c r="N206" s="64" t="n"/>
      <c r="O206" s="64" t="inlineStr">
        <is>
          <t>1</t>
        </is>
      </c>
      <c r="P206" s="28" t="inlineStr">
        <is>
          <t>10012|10013|10014|10015|10016</t>
        </is>
      </c>
      <c r="R206" s="28" t="inlineStr">
        <is>
          <t>365001|10</t>
        </is>
      </c>
    </row>
    <row r="207" ht="27" customHeight="1" s="80">
      <c r="B207" s="64" t="inlineStr">
        <is>
          <t>11016</t>
        </is>
      </c>
      <c r="C207" s="64" t="inlineStr">
        <is>
          <t>季狸国固定主线</t>
        </is>
      </c>
      <c r="D207" s="64" t="inlineStr">
        <is>
          <t>1-16</t>
        </is>
      </c>
      <c r="E207" s="64" t="n"/>
      <c r="F207" s="64" t="inlineStr">
        <is>
          <t>11015</t>
        </is>
      </c>
      <c r="G207" s="64" t="inlineStr">
        <is>
          <t>11017</t>
        </is>
      </c>
      <c r="H207" s="64" t="inlineStr">
        <is>
          <t>10001</t>
        </is>
      </c>
      <c r="I207" s="64" t="n"/>
      <c r="J207" s="64" t="inlineStr">
        <is>
          <t>10001|4200$91001|$81001|976$111001|500$121001|$191001|</t>
        </is>
      </c>
      <c r="K207" s="64" t="inlineStr">
        <is>
          <t>1</t>
        </is>
      </c>
      <c r="L207" s="41" t="inlineStr">
        <is>
          <t>51127|51128|51129</t>
        </is>
      </c>
      <c r="M207" s="41" t="inlineStr">
        <is>
          <t>17</t>
        </is>
      </c>
      <c r="N207" s="64" t="n"/>
      <c r="O207" s="64" t="inlineStr">
        <is>
          <t>1</t>
        </is>
      </c>
      <c r="R207" s="28" t="inlineStr">
        <is>
          <t>365001|10</t>
        </is>
      </c>
    </row>
    <row r="208" ht="27" customHeight="1" s="80">
      <c r="B208" s="64" t="inlineStr">
        <is>
          <t>11017</t>
        </is>
      </c>
      <c r="C208" s="64" t="inlineStr">
        <is>
          <t>季狸国固定主线</t>
        </is>
      </c>
      <c r="D208" s="64" t="inlineStr">
        <is>
          <t>1-17</t>
        </is>
      </c>
      <c r="E208" s="64" t="n"/>
      <c r="F208" s="64" t="inlineStr">
        <is>
          <t>11016</t>
        </is>
      </c>
      <c r="G208" s="64" t="inlineStr">
        <is>
          <t>11018</t>
        </is>
      </c>
      <c r="H208" s="64" t="inlineStr">
        <is>
          <t>10001</t>
        </is>
      </c>
      <c r="I208" s="64" t="n"/>
      <c r="J208" s="64" t="inlineStr">
        <is>
          <t>10001|4400$91001|$81001|1012$111001|520$121001|$191001|</t>
        </is>
      </c>
      <c r="K208" s="64" t="inlineStr">
        <is>
          <t>1</t>
        </is>
      </c>
      <c r="L208" s="41" t="inlineStr">
        <is>
          <t>51130|51131|51132</t>
        </is>
      </c>
      <c r="M208" s="41" t="inlineStr">
        <is>
          <t>18</t>
        </is>
      </c>
      <c r="N208" s="64" t="n"/>
      <c r="O208" s="64" t="inlineStr">
        <is>
          <t>1</t>
        </is>
      </c>
      <c r="R208" s="28" t="inlineStr">
        <is>
          <t>365001|10</t>
        </is>
      </c>
    </row>
    <row r="209" ht="94.5" customHeight="1" s="80">
      <c r="B209" s="64" t="inlineStr">
        <is>
          <t>11018</t>
        </is>
      </c>
      <c r="C209" s="64" t="inlineStr">
        <is>
          <t>季狸国固定主线</t>
        </is>
      </c>
      <c r="D209" s="64" t="inlineStr">
        <is>
          <t>1-18</t>
        </is>
      </c>
      <c r="E209" s="64" t="n"/>
      <c r="F209" s="64" t="inlineStr">
        <is>
          <t>11017</t>
        </is>
      </c>
      <c r="G209" s="64" t="inlineStr">
        <is>
          <t>11019</t>
        </is>
      </c>
      <c r="H209" s="64" t="inlineStr">
        <is>
          <t>10001</t>
        </is>
      </c>
      <c r="I209" s="64" t="n"/>
      <c r="J209" s="64" t="inlineStr">
        <is>
          <t>10001|4600$91001|$81001|1048$111001|540$121001|$191001|</t>
        </is>
      </c>
      <c r="K209" s="64" t="inlineStr">
        <is>
          <t>1</t>
        </is>
      </c>
      <c r="L209" s="41" t="inlineStr">
        <is>
          <t>51133|51134|51135</t>
        </is>
      </c>
      <c r="M209" s="41" t="inlineStr">
        <is>
          <t>18</t>
        </is>
      </c>
      <c r="N209" s="64" t="n"/>
      <c r="O209" s="64" t="inlineStr">
        <is>
          <t>1</t>
        </is>
      </c>
      <c r="R209" s="28" t="inlineStr">
        <is>
          <t>365001|10</t>
        </is>
      </c>
    </row>
    <row r="210" ht="27" customHeight="1" s="80">
      <c r="B210" s="64" t="inlineStr">
        <is>
          <t>11019</t>
        </is>
      </c>
      <c r="C210" s="64" t="inlineStr">
        <is>
          <t>季狸国固定主线</t>
        </is>
      </c>
      <c r="D210" s="64" t="inlineStr">
        <is>
          <t>1-19</t>
        </is>
      </c>
      <c r="E210" s="64" t="n"/>
      <c r="F210" s="64" t="inlineStr">
        <is>
          <t>11018</t>
        </is>
      </c>
      <c r="G210" s="64" t="inlineStr">
        <is>
          <t>11020</t>
        </is>
      </c>
      <c r="H210" s="64" t="inlineStr">
        <is>
          <t>10001</t>
        </is>
      </c>
      <c r="I210" s="64" t="n"/>
      <c r="J210" s="64" t="inlineStr">
        <is>
          <t>10001|4800$91001|$81001|1084$111001|560$121001|$191001|</t>
        </is>
      </c>
      <c r="K210" s="64" t="inlineStr">
        <is>
          <t>1</t>
        </is>
      </c>
      <c r="L210" s="41" t="inlineStr">
        <is>
          <t>51136|51136|51136</t>
        </is>
      </c>
      <c r="M210" s="41" t="inlineStr">
        <is>
          <t>18</t>
        </is>
      </c>
      <c r="N210" s="64" t="n"/>
      <c r="O210" s="64" t="inlineStr">
        <is>
          <t>1</t>
        </is>
      </c>
      <c r="R210" s="28" t="inlineStr">
        <is>
          <t>365001|10</t>
        </is>
      </c>
    </row>
    <row r="211" ht="27" customHeight="1" s="80">
      <c r="B211" s="64" t="inlineStr">
        <is>
          <t>11020</t>
        </is>
      </c>
      <c r="C211" s="64" t="inlineStr">
        <is>
          <t>季狸国固定主线</t>
        </is>
      </c>
      <c r="D211" s="64" t="inlineStr">
        <is>
          <t>1-20</t>
        </is>
      </c>
      <c r="E211" s="64" t="n"/>
      <c r="F211" s="64" t="inlineStr">
        <is>
          <t>11019</t>
        </is>
      </c>
      <c r="G211" s="64" t="inlineStr">
        <is>
          <t>11021</t>
        </is>
      </c>
      <c r="H211" s="64" t="inlineStr">
        <is>
          <t>10001</t>
        </is>
      </c>
      <c r="J211" s="69" t="inlineStr">
        <is>
          <t>10001|5000$91001|$81001|1120$111001|580$121001|$191001|</t>
        </is>
      </c>
      <c r="K211" s="28" t="inlineStr">
        <is>
          <t>3</t>
        </is>
      </c>
      <c r="L211" s="70" t="inlineStr">
        <is>
          <t>51237</t>
        </is>
      </c>
      <c r="M211" s="41" t="inlineStr">
        <is>
          <t>18</t>
        </is>
      </c>
      <c r="N211" s="64" t="n"/>
      <c r="O211" s="64" t="inlineStr">
        <is>
          <t>1</t>
        </is>
      </c>
      <c r="P211" s="28" t="inlineStr">
        <is>
          <t>10017|10018|10019|10020|10021</t>
        </is>
      </c>
      <c r="Q211" s="42" t="inlineStr">
        <is>
          <t>10022|10023|10024|10025|10026|10027|10028|10129|10130</t>
        </is>
      </c>
      <c r="R211" s="28" t="inlineStr">
        <is>
          <t>365001|10</t>
        </is>
      </c>
    </row>
    <row r="212" ht="27" customHeight="1" s="80">
      <c r="B212" s="64" t="inlineStr">
        <is>
          <t>11021</t>
        </is>
      </c>
      <c r="C212" s="64" t="inlineStr">
        <is>
          <t>季狸国固定主线</t>
        </is>
      </c>
      <c r="D212" s="64" t="inlineStr">
        <is>
          <t>1-21</t>
        </is>
      </c>
      <c r="F212" s="64" t="inlineStr">
        <is>
          <t>11020</t>
        </is>
      </c>
      <c r="G212" s="64" t="inlineStr">
        <is>
          <t>11022</t>
        </is>
      </c>
      <c r="H212" s="64" t="inlineStr">
        <is>
          <t>10001</t>
        </is>
      </c>
      <c r="J212" s="64" t="inlineStr">
        <is>
          <t>10001|5200$91001|$81001|1156$111001|600$121001|$191001|</t>
        </is>
      </c>
      <c r="K212" s="28" t="inlineStr">
        <is>
          <t>1</t>
        </is>
      </c>
      <c r="L212" s="41" t="inlineStr">
        <is>
          <t>51138|51138|51138</t>
        </is>
      </c>
      <c r="M212" s="41" t="inlineStr">
        <is>
          <t>18</t>
        </is>
      </c>
      <c r="O212" s="28" t="inlineStr">
        <is>
          <t>1</t>
        </is>
      </c>
      <c r="R212" s="28" t="inlineStr">
        <is>
          <t>365001|10</t>
        </is>
      </c>
    </row>
    <row r="213" ht="40.5" customHeight="1" s="80">
      <c r="B213" s="64" t="inlineStr">
        <is>
          <t>11022</t>
        </is>
      </c>
      <c r="C213" s="64" t="inlineStr">
        <is>
          <t>季狸国固定主线</t>
        </is>
      </c>
      <c r="D213" s="64" t="inlineStr">
        <is>
          <t>1-22</t>
        </is>
      </c>
      <c r="F213" s="64" t="inlineStr">
        <is>
          <t>11021</t>
        </is>
      </c>
      <c r="G213" s="64" t="inlineStr">
        <is>
          <t>11023</t>
        </is>
      </c>
      <c r="H213" s="64" t="inlineStr">
        <is>
          <t>10001</t>
        </is>
      </c>
      <c r="J213" s="64" t="inlineStr">
        <is>
          <t>10001|5400$91001|$81001|1192$111001|620$121001|$191001|</t>
        </is>
      </c>
      <c r="K213" s="28" t="inlineStr">
        <is>
          <t>1</t>
        </is>
      </c>
      <c r="L213" s="41" t="inlineStr">
        <is>
          <t>51139|51140|51141</t>
        </is>
      </c>
      <c r="M213" s="41" t="inlineStr">
        <is>
          <t>18</t>
        </is>
      </c>
      <c r="O213" s="28" t="inlineStr">
        <is>
          <t>1</t>
        </is>
      </c>
      <c r="R213" s="28" t="inlineStr">
        <is>
          <t>365001|10</t>
        </is>
      </c>
    </row>
    <row r="214" ht="54" customHeight="1" s="80">
      <c r="B214" s="64" t="inlineStr">
        <is>
          <t>11023</t>
        </is>
      </c>
      <c r="C214" s="64" t="inlineStr">
        <is>
          <t>季狸国固定主线</t>
        </is>
      </c>
      <c r="D214" s="64" t="inlineStr">
        <is>
          <t>1-23</t>
        </is>
      </c>
      <c r="F214" s="64" t="inlineStr">
        <is>
          <t>11022</t>
        </is>
      </c>
      <c r="G214" s="64" t="inlineStr">
        <is>
          <t>11024</t>
        </is>
      </c>
      <c r="H214" s="64" t="inlineStr">
        <is>
          <t>10001</t>
        </is>
      </c>
      <c r="J214" s="64" t="inlineStr">
        <is>
          <t>10001|5600$91001|$81001|1228$111001|640$121001|$191001|</t>
        </is>
      </c>
      <c r="K214" s="28" t="inlineStr">
        <is>
          <t>3</t>
        </is>
      </c>
      <c r="L214" s="41" t="inlineStr">
        <is>
          <t>51142|51143|51144</t>
        </is>
      </c>
      <c r="M214" s="41" t="inlineStr">
        <is>
          <t>18</t>
        </is>
      </c>
      <c r="O214" s="28" t="inlineStr">
        <is>
          <t>1</t>
        </is>
      </c>
      <c r="R214" s="28" t="inlineStr">
        <is>
          <t>365001|10</t>
        </is>
      </c>
    </row>
    <row r="215" ht="27" customHeight="1" s="80">
      <c r="B215" s="64" t="inlineStr">
        <is>
          <t>11024</t>
        </is>
      </c>
      <c r="C215" s="64" t="inlineStr">
        <is>
          <t>季狸国固定主线</t>
        </is>
      </c>
      <c r="D215" s="64" t="inlineStr">
        <is>
          <t>1-24</t>
        </is>
      </c>
      <c r="F215" s="64" t="inlineStr">
        <is>
          <t>11023</t>
        </is>
      </c>
      <c r="H215" s="64" t="inlineStr">
        <is>
          <t>10001</t>
        </is>
      </c>
      <c r="I215" s="64" t="inlineStr">
        <is>
          <t>1</t>
        </is>
      </c>
      <c r="J215" s="69" t="inlineStr">
        <is>
          <t>10001|5800$91001|$81001|1264$111001|660$121001|$191001|$|</t>
        </is>
      </c>
      <c r="K215" s="64" t="inlineStr">
        <is>
          <t>4</t>
        </is>
      </c>
      <c r="L215" s="41" t="inlineStr">
        <is>
          <t>51345</t>
        </is>
      </c>
      <c r="M215" s="41" t="inlineStr">
        <is>
          <t>19</t>
        </is>
      </c>
      <c r="O215" s="28" t="inlineStr">
        <is>
          <t>1</t>
        </is>
      </c>
      <c r="P215" s="42" t="inlineStr">
        <is>
          <t>10029|10030|10031|10032</t>
        </is>
      </c>
      <c r="Q215" s="28" t="inlineStr">
        <is>
          <t>10033</t>
        </is>
      </c>
      <c r="R215" s="28" t="inlineStr">
        <is>
          <t>365001|10$445001|1</t>
        </is>
      </c>
    </row>
    <row r="216" ht="27" customHeight="1" s="80">
      <c r="B216" s="66" t="inlineStr">
        <is>
          <t>22001</t>
        </is>
      </c>
      <c r="C216" s="66" t="inlineStr">
        <is>
          <t>餍火国固定主线</t>
        </is>
      </c>
      <c r="D216" s="66" t="inlineStr">
        <is>
          <t>2-1</t>
        </is>
      </c>
      <c r="E216" s="66" t="inlineStr">
        <is>
          <t>1</t>
        </is>
      </c>
      <c r="F216" s="66" t="n"/>
      <c r="G216" s="66" t="inlineStr">
        <is>
          <t>22002</t>
        </is>
      </c>
      <c r="H216" s="66" t="inlineStr">
        <is>
          <t>10002</t>
        </is>
      </c>
      <c r="I216" s="66" t="n"/>
      <c r="J216" s="66" t="inlineStr">
        <is>
          <t>10001|1440$92001|$82001|523$112001|240$122001|$132001|</t>
        </is>
      </c>
      <c r="K216" s="67" t="inlineStr">
        <is>
          <t>1</t>
        </is>
      </c>
      <c r="L216" s="70" t="inlineStr">
        <is>
          <t>52101</t>
        </is>
      </c>
      <c r="M216" s="41" t="inlineStr">
        <is>
          <t>31</t>
        </is>
      </c>
      <c r="N216" s="66" t="n"/>
      <c r="O216" s="67" t="inlineStr">
        <is>
          <t>1</t>
        </is>
      </c>
      <c r="P216" s="67" t="inlineStr">
        <is>
          <t>10034|10035|10036|10037|10038</t>
        </is>
      </c>
      <c r="Q216" s="66" t="n"/>
      <c r="R216" s="28" t="inlineStr">
        <is>
          <t>365001|10</t>
        </is>
      </c>
    </row>
    <row r="217" ht="67.5" customHeight="1" s="80">
      <c r="B217" s="66" t="inlineStr">
        <is>
          <t>22002</t>
        </is>
      </c>
      <c r="C217" s="66" t="inlineStr">
        <is>
          <t>餍火国固定主线</t>
        </is>
      </c>
      <c r="D217" s="66" t="inlineStr">
        <is>
          <t>2-2</t>
        </is>
      </c>
      <c r="E217" s="66" t="n"/>
      <c r="F217" s="67" t="inlineStr">
        <is>
          <t>22001</t>
        </is>
      </c>
      <c r="G217" s="66" t="inlineStr">
        <is>
          <t>22003</t>
        </is>
      </c>
      <c r="H217" s="66" t="inlineStr">
        <is>
          <t>10002</t>
        </is>
      </c>
      <c r="I217" s="66" t="n"/>
      <c r="J217" s="66" t="inlineStr">
        <is>
          <t>10001|1680$92001|$82001|566$112001|264$122001|$132001|</t>
        </is>
      </c>
      <c r="K217" s="67" t="inlineStr">
        <is>
          <t>1</t>
        </is>
      </c>
      <c r="L217" s="41" t="inlineStr">
        <is>
          <t>52102</t>
        </is>
      </c>
      <c r="M217" s="41" t="inlineStr">
        <is>
          <t>31</t>
        </is>
      </c>
      <c r="N217" s="66" t="n"/>
      <c r="O217" s="67" t="inlineStr">
        <is>
          <t>1</t>
        </is>
      </c>
      <c r="P217" s="66" t="n"/>
      <c r="Q217" s="66" t="n"/>
      <c r="R217" s="28" t="inlineStr">
        <is>
          <t>365001|10</t>
        </is>
      </c>
    </row>
    <row r="218" ht="27" customHeight="1" s="80">
      <c r="B218" s="66" t="inlineStr">
        <is>
          <t>22003</t>
        </is>
      </c>
      <c r="C218" s="66" t="inlineStr">
        <is>
          <t>餍火国固定主线</t>
        </is>
      </c>
      <c r="D218" s="66" t="inlineStr">
        <is>
          <t>2-3</t>
        </is>
      </c>
      <c r="E218" s="66" t="n"/>
      <c r="F218" s="67" t="inlineStr">
        <is>
          <t>22002</t>
        </is>
      </c>
      <c r="G218" s="66" t="inlineStr">
        <is>
          <t>22004</t>
        </is>
      </c>
      <c r="H218" s="66" t="inlineStr">
        <is>
          <t>10002</t>
        </is>
      </c>
      <c r="I218" s="66" t="n"/>
      <c r="J218" s="66" t="inlineStr">
        <is>
          <t>10001|1920$92001|$82001|610$112001|288$122001|$132001|</t>
        </is>
      </c>
      <c r="K218" s="67" t="inlineStr">
        <is>
          <t>1</t>
        </is>
      </c>
      <c r="L218" s="67" t="inlineStr">
        <is>
          <t>52103</t>
        </is>
      </c>
      <c r="M218" s="67" t="inlineStr">
        <is>
          <t>32</t>
        </is>
      </c>
      <c r="N218" s="66" t="n"/>
      <c r="O218" s="67" t="inlineStr">
        <is>
          <t>1</t>
        </is>
      </c>
      <c r="P218" s="66" t="n"/>
      <c r="Q218" s="66" t="n"/>
      <c r="R218" s="28" t="inlineStr">
        <is>
          <t>365001|10</t>
        </is>
      </c>
    </row>
    <row r="219" ht="27" customHeight="1" s="80">
      <c r="B219" s="66" t="inlineStr">
        <is>
          <t>22004</t>
        </is>
      </c>
      <c r="C219" s="66" t="inlineStr">
        <is>
          <t>餍火国固定主线</t>
        </is>
      </c>
      <c r="D219" s="66" t="inlineStr">
        <is>
          <t>2-4</t>
        </is>
      </c>
      <c r="E219" s="66" t="n"/>
      <c r="F219" s="67" t="inlineStr">
        <is>
          <t>22003</t>
        </is>
      </c>
      <c r="G219" s="66" t="inlineStr">
        <is>
          <t>22005</t>
        </is>
      </c>
      <c r="H219" s="66" t="inlineStr">
        <is>
          <t>10002</t>
        </is>
      </c>
      <c r="I219" s="66" t="n"/>
      <c r="J219" s="66" t="inlineStr">
        <is>
          <t>10001|2160$92001|$82001|653$112001|312$122001|$132001|</t>
        </is>
      </c>
      <c r="K219" s="67" t="inlineStr">
        <is>
          <t>3</t>
        </is>
      </c>
      <c r="L219" s="41" t="inlineStr">
        <is>
          <t>52204</t>
        </is>
      </c>
      <c r="M219" s="41" t="inlineStr">
        <is>
          <t>32</t>
        </is>
      </c>
      <c r="N219" s="66" t="n"/>
      <c r="O219" s="67" t="inlineStr">
        <is>
          <t>1</t>
        </is>
      </c>
      <c r="P219" s="71" t="n"/>
      <c r="Q219" s="67" t="inlineStr">
        <is>
          <t>10039|10040|10041|10042|10043|10044</t>
        </is>
      </c>
      <c r="R219" s="28" t="inlineStr">
        <is>
          <t>365001|10</t>
        </is>
      </c>
    </row>
    <row r="220" ht="27" customHeight="1" s="80">
      <c r="B220" s="66" t="inlineStr">
        <is>
          <t>22005</t>
        </is>
      </c>
      <c r="C220" s="66" t="inlineStr">
        <is>
          <t>餍火国固定主线</t>
        </is>
      </c>
      <c r="D220" s="66" t="inlineStr">
        <is>
          <t>2-5</t>
        </is>
      </c>
      <c r="E220" s="66" t="n"/>
      <c r="F220" s="67" t="inlineStr">
        <is>
          <t>22004</t>
        </is>
      </c>
      <c r="G220" s="66" t="inlineStr">
        <is>
          <t>22006</t>
        </is>
      </c>
      <c r="H220" s="66" t="inlineStr">
        <is>
          <t>10002</t>
        </is>
      </c>
      <c r="I220" s="66" t="n"/>
      <c r="J220" s="66" t="inlineStr">
        <is>
          <t>10001|2400$92001|$82001|696$112001|336$122001|$132001|</t>
        </is>
      </c>
      <c r="K220" s="67" t="inlineStr">
        <is>
          <t>1</t>
        </is>
      </c>
      <c r="L220" s="70" t="inlineStr">
        <is>
          <t>52105</t>
        </is>
      </c>
      <c r="M220" s="41" t="inlineStr">
        <is>
          <t>33</t>
        </is>
      </c>
      <c r="N220" s="66" t="n"/>
      <c r="O220" s="67" t="inlineStr">
        <is>
          <t>1</t>
        </is>
      </c>
      <c r="P220" s="66" t="n"/>
      <c r="Q220" s="66" t="n"/>
      <c r="R220" s="28" t="inlineStr">
        <is>
          <t>365001|10</t>
        </is>
      </c>
    </row>
    <row r="221" ht="27" customHeight="1" s="80">
      <c r="B221" s="66" t="inlineStr">
        <is>
          <t>22006</t>
        </is>
      </c>
      <c r="C221" s="66" t="inlineStr">
        <is>
          <t>餍火国固定主线</t>
        </is>
      </c>
      <c r="D221" s="66" t="inlineStr">
        <is>
          <t>2-6</t>
        </is>
      </c>
      <c r="E221" s="66" t="n"/>
      <c r="F221" s="67" t="inlineStr">
        <is>
          <t>22005</t>
        </is>
      </c>
      <c r="G221" s="66" t="inlineStr">
        <is>
          <t>22007</t>
        </is>
      </c>
      <c r="H221" s="66" t="inlineStr">
        <is>
          <t>10002</t>
        </is>
      </c>
      <c r="I221" s="66" t="n"/>
      <c r="J221" s="66" t="inlineStr">
        <is>
          <t>10001|2640$92001|$82001|739$112001|360$122001|$132001|</t>
        </is>
      </c>
      <c r="K221" s="67" t="inlineStr">
        <is>
          <t>1</t>
        </is>
      </c>
      <c r="L221" s="41" t="inlineStr">
        <is>
          <t>52106</t>
        </is>
      </c>
      <c r="M221" s="41" t="inlineStr">
        <is>
          <t>33</t>
        </is>
      </c>
      <c r="N221" s="66" t="n"/>
      <c r="O221" s="67" t="inlineStr">
        <is>
          <t>1</t>
        </is>
      </c>
      <c r="P221" s="66" t="n"/>
      <c r="Q221" s="66" t="n"/>
      <c r="R221" s="28" t="inlineStr">
        <is>
          <t>365001|10</t>
        </is>
      </c>
    </row>
    <row r="222" ht="27" customHeight="1" s="80">
      <c r="B222" s="66" t="inlineStr">
        <is>
          <t>22007</t>
        </is>
      </c>
      <c r="C222" s="66" t="inlineStr">
        <is>
          <t>餍火国固定主线</t>
        </is>
      </c>
      <c r="D222" s="66" t="inlineStr">
        <is>
          <t>2-7</t>
        </is>
      </c>
      <c r="E222" s="66" t="n"/>
      <c r="F222" s="67" t="inlineStr">
        <is>
          <t>22006</t>
        </is>
      </c>
      <c r="G222" s="66" t="inlineStr">
        <is>
          <t>22008</t>
        </is>
      </c>
      <c r="H222" s="66" t="inlineStr">
        <is>
          <t>10002</t>
        </is>
      </c>
      <c r="I222" s="66" t="n"/>
      <c r="J222" s="66" t="inlineStr">
        <is>
          <t>10001|2880$92001|$82001|782$112001|384$122001|$132001|</t>
        </is>
      </c>
      <c r="K222" s="67" t="inlineStr">
        <is>
          <t>1</t>
        </is>
      </c>
      <c r="L222" s="67" t="inlineStr">
        <is>
          <t>52107</t>
        </is>
      </c>
      <c r="M222" s="67" t="inlineStr">
        <is>
          <t>34</t>
        </is>
      </c>
      <c r="N222" s="66" t="n"/>
      <c r="O222" s="67" t="inlineStr">
        <is>
          <t>1</t>
        </is>
      </c>
      <c r="P222" s="66" t="n"/>
      <c r="Q222" s="66" t="n"/>
      <c r="R222" s="28" t="inlineStr">
        <is>
          <t>365001|10</t>
        </is>
      </c>
    </row>
    <row r="223" ht="27" customHeight="1" s="80">
      <c r="B223" s="66" t="inlineStr">
        <is>
          <t>22008</t>
        </is>
      </c>
      <c r="C223" s="66" t="inlineStr">
        <is>
          <t>餍火国固定主线</t>
        </is>
      </c>
      <c r="D223" s="66" t="inlineStr">
        <is>
          <t>2-8</t>
        </is>
      </c>
      <c r="E223" s="66" t="n"/>
      <c r="F223" s="67" t="inlineStr">
        <is>
          <t>22007</t>
        </is>
      </c>
      <c r="G223" s="66" t="inlineStr">
        <is>
          <t>22009</t>
        </is>
      </c>
      <c r="H223" s="66" t="inlineStr">
        <is>
          <t>10002</t>
        </is>
      </c>
      <c r="I223" s="66" t="n"/>
      <c r="J223" s="66" t="inlineStr">
        <is>
          <t>10001|3120$92001|$82001|826$112001|408$122001|$132001|</t>
        </is>
      </c>
      <c r="K223" s="67" t="inlineStr">
        <is>
          <t>3</t>
        </is>
      </c>
      <c r="L223" s="70" t="inlineStr">
        <is>
          <t>52208</t>
        </is>
      </c>
      <c r="M223" s="41" t="inlineStr">
        <is>
          <t>34</t>
        </is>
      </c>
      <c r="N223" s="66" t="n"/>
      <c r="O223" s="67" t="inlineStr">
        <is>
          <t>1</t>
        </is>
      </c>
      <c r="P223" s="72" t="inlineStr">
        <is>
          <t>10045</t>
        </is>
      </c>
      <c r="R223" s="28" t="inlineStr">
        <is>
          <t>365001|10</t>
        </is>
      </c>
    </row>
    <row r="224" ht="27" customHeight="1" s="80">
      <c r="B224" s="66" t="inlineStr">
        <is>
          <t>22009</t>
        </is>
      </c>
      <c r="C224" s="66" t="inlineStr">
        <is>
          <t>餍火国固定主线</t>
        </is>
      </c>
      <c r="D224" s="66" t="inlineStr">
        <is>
          <t>2-9</t>
        </is>
      </c>
      <c r="E224" s="66" t="n"/>
      <c r="F224" s="67" t="inlineStr">
        <is>
          <t>22008</t>
        </is>
      </c>
      <c r="G224" s="66" t="inlineStr">
        <is>
          <t>22010</t>
        </is>
      </c>
      <c r="H224" s="66" t="inlineStr">
        <is>
          <t>10002</t>
        </is>
      </c>
      <c r="I224" s="66" t="n"/>
      <c r="J224" s="66" t="inlineStr">
        <is>
          <t>10001|3360$92001|$82001|869$112001|432$122001|$132001|</t>
        </is>
      </c>
      <c r="K224" s="67" t="inlineStr">
        <is>
          <t>1</t>
        </is>
      </c>
      <c r="L224" s="41" t="inlineStr">
        <is>
          <t>52109</t>
        </is>
      </c>
      <c r="M224" s="41" t="inlineStr">
        <is>
          <t>35</t>
        </is>
      </c>
      <c r="N224" s="66" t="n"/>
      <c r="O224" s="67" t="inlineStr">
        <is>
          <t>1</t>
        </is>
      </c>
      <c r="P224" s="66" t="n"/>
      <c r="Q224" s="66" t="n"/>
      <c r="R224" s="28" t="inlineStr">
        <is>
          <t>365001|10</t>
        </is>
      </c>
    </row>
    <row r="225" ht="27" customHeight="1" s="80">
      <c r="B225" s="66" t="inlineStr">
        <is>
          <t>22010</t>
        </is>
      </c>
      <c r="C225" s="66" t="inlineStr">
        <is>
          <t>餍火国固定主线</t>
        </is>
      </c>
      <c r="D225" s="66" t="inlineStr">
        <is>
          <t>2-10</t>
        </is>
      </c>
      <c r="E225" s="66" t="n"/>
      <c r="F225" s="67" t="inlineStr">
        <is>
          <t>22009</t>
        </is>
      </c>
      <c r="G225" s="66" t="inlineStr">
        <is>
          <t>22011</t>
        </is>
      </c>
      <c r="H225" s="66" t="inlineStr">
        <is>
          <t>10002</t>
        </is>
      </c>
      <c r="I225" s="66" t="n"/>
      <c r="J225" s="66" t="inlineStr">
        <is>
          <t>10001|3600$92001|$82001|912$112001|456$122001|$132001|</t>
        </is>
      </c>
      <c r="K225" s="67" t="inlineStr">
        <is>
          <t>1</t>
        </is>
      </c>
      <c r="L225" s="67" t="inlineStr">
        <is>
          <t>52110</t>
        </is>
      </c>
      <c r="M225" s="67" t="inlineStr">
        <is>
          <t>35</t>
        </is>
      </c>
      <c r="N225" s="66" t="n"/>
      <c r="O225" s="67" t="inlineStr">
        <is>
          <t>1</t>
        </is>
      </c>
      <c r="P225" s="66" t="n"/>
      <c r="Q225" s="66" t="n"/>
      <c r="R225" s="28" t="inlineStr">
        <is>
          <t>365001|10</t>
        </is>
      </c>
    </row>
    <row r="226" ht="27" customHeight="1" s="80">
      <c r="B226" s="66" t="inlineStr">
        <is>
          <t>22011</t>
        </is>
      </c>
      <c r="C226" s="66" t="inlineStr">
        <is>
          <t>餍火国固定主线</t>
        </is>
      </c>
      <c r="D226" s="66" t="inlineStr">
        <is>
          <t>2-11</t>
        </is>
      </c>
      <c r="E226" s="66" t="n"/>
      <c r="F226" s="67" t="inlineStr">
        <is>
          <t>22010</t>
        </is>
      </c>
      <c r="G226" s="66" t="inlineStr">
        <is>
          <t>22012</t>
        </is>
      </c>
      <c r="H226" s="66" t="inlineStr">
        <is>
          <t>10002</t>
        </is>
      </c>
      <c r="I226" s="66" t="n"/>
      <c r="J226" s="66" t="inlineStr">
        <is>
          <t>10001|3840$92001|$82001|955$112001|480$122001|$132001|</t>
        </is>
      </c>
      <c r="K226" s="67" t="inlineStr">
        <is>
          <t>1</t>
        </is>
      </c>
      <c r="L226" s="67" t="inlineStr">
        <is>
          <t>52111</t>
        </is>
      </c>
      <c r="M226" s="67" t="inlineStr">
        <is>
          <t>36</t>
        </is>
      </c>
      <c r="N226" s="66" t="n"/>
      <c r="O226" s="67" t="inlineStr">
        <is>
          <t>1</t>
        </is>
      </c>
      <c r="P226" s="66" t="n"/>
      <c r="Q226" s="66" t="n"/>
      <c r="R226" s="28" t="inlineStr">
        <is>
          <t>365001|10</t>
        </is>
      </c>
    </row>
    <row r="227" ht="27" customHeight="1" s="80">
      <c r="B227" s="66" t="inlineStr">
        <is>
          <t>22012</t>
        </is>
      </c>
      <c r="C227" s="66" t="inlineStr">
        <is>
          <t>餍火国固定主线</t>
        </is>
      </c>
      <c r="D227" s="66" t="inlineStr">
        <is>
          <t>2-12</t>
        </is>
      </c>
      <c r="E227" s="66" t="n"/>
      <c r="F227" s="67" t="inlineStr">
        <is>
          <t>22011</t>
        </is>
      </c>
      <c r="G227" s="66" t="inlineStr">
        <is>
          <t>22013</t>
        </is>
      </c>
      <c r="H227" s="66" t="inlineStr">
        <is>
          <t>10002</t>
        </is>
      </c>
      <c r="I227" s="66" t="n"/>
      <c r="J227" s="66" t="inlineStr">
        <is>
          <t>10001|4080$92001|$82001|998$112001|504$122001|$132001|</t>
        </is>
      </c>
      <c r="K227" s="67" t="inlineStr">
        <is>
          <t>1</t>
        </is>
      </c>
      <c r="L227" s="67" t="inlineStr">
        <is>
          <t>52112</t>
        </is>
      </c>
      <c r="M227" s="67" t="inlineStr">
        <is>
          <t>36</t>
        </is>
      </c>
      <c r="N227" s="66" t="n"/>
      <c r="O227" s="67" t="inlineStr">
        <is>
          <t>1</t>
        </is>
      </c>
      <c r="P227" s="72" t="inlineStr">
        <is>
          <t>10046</t>
        </is>
      </c>
      <c r="Q227" s="66" t="n"/>
      <c r="R227" s="28" t="inlineStr">
        <is>
          <t>365001|10</t>
        </is>
      </c>
    </row>
    <row r="228" ht="27" customHeight="1" s="80">
      <c r="B228" s="66" t="inlineStr">
        <is>
          <t>22013</t>
        </is>
      </c>
      <c r="C228" s="66" t="inlineStr">
        <is>
          <t>餍火国固定主线</t>
        </is>
      </c>
      <c r="D228" s="66" t="inlineStr">
        <is>
          <t>2-13</t>
        </is>
      </c>
      <c r="E228" s="66" t="n"/>
      <c r="F228" s="67" t="inlineStr">
        <is>
          <t>22012</t>
        </is>
      </c>
      <c r="G228" s="66" t="inlineStr">
        <is>
          <t>22014</t>
        </is>
      </c>
      <c r="H228" s="66" t="inlineStr">
        <is>
          <t>10002</t>
        </is>
      </c>
      <c r="I228" s="66" t="n"/>
      <c r="J228" s="66" t="inlineStr">
        <is>
          <t>10001|4320$92001|$82001|1042$112001|528$122001|$132001|</t>
        </is>
      </c>
      <c r="K228" s="67" t="inlineStr">
        <is>
          <t>1</t>
        </is>
      </c>
      <c r="L228" s="67" t="inlineStr">
        <is>
          <t>52113</t>
        </is>
      </c>
      <c r="M228" s="67" t="inlineStr">
        <is>
          <t>37</t>
        </is>
      </c>
      <c r="N228" s="66" t="n"/>
      <c r="O228" s="67" t="inlineStr">
        <is>
          <t>1</t>
        </is>
      </c>
      <c r="P228" s="66" t="n"/>
      <c r="Q228" s="66" t="n"/>
      <c r="R228" s="28" t="inlineStr">
        <is>
          <t>365001|10</t>
        </is>
      </c>
    </row>
    <row r="229" ht="27" customHeight="1" s="80">
      <c r="B229" s="66" t="inlineStr">
        <is>
          <t>22014</t>
        </is>
      </c>
      <c r="C229" s="66" t="inlineStr">
        <is>
          <t>餍火国固定主线</t>
        </is>
      </c>
      <c r="D229" s="66" t="inlineStr">
        <is>
          <t>2-14</t>
        </is>
      </c>
      <c r="E229" s="66" t="n"/>
      <c r="F229" s="67" t="inlineStr">
        <is>
          <t>22013</t>
        </is>
      </c>
      <c r="G229" s="66" t="inlineStr">
        <is>
          <t>22015</t>
        </is>
      </c>
      <c r="H229" s="66" t="inlineStr">
        <is>
          <t>10002</t>
        </is>
      </c>
      <c r="I229" s="66" t="n"/>
      <c r="J229" s="66" t="inlineStr">
        <is>
          <t>10001|4560$92001|$82001|1085$112001|552$122001|$132001|</t>
        </is>
      </c>
      <c r="K229" s="67" t="inlineStr">
        <is>
          <t>1</t>
        </is>
      </c>
      <c r="L229" s="67" t="inlineStr">
        <is>
          <t>52114</t>
        </is>
      </c>
      <c r="M229" s="67" t="inlineStr">
        <is>
          <t>37</t>
        </is>
      </c>
      <c r="N229" s="66" t="n"/>
      <c r="O229" s="67" t="inlineStr">
        <is>
          <t>1</t>
        </is>
      </c>
      <c r="P229" s="66" t="n"/>
      <c r="Q229" s="66" t="n"/>
      <c r="R229" s="28" t="inlineStr">
        <is>
          <t>365001|10</t>
        </is>
      </c>
    </row>
    <row r="230" ht="27" customHeight="1" s="80">
      <c r="B230" s="66" t="inlineStr">
        <is>
          <t>22015</t>
        </is>
      </c>
      <c r="C230" s="66" t="inlineStr">
        <is>
          <t>餍火国固定主线</t>
        </is>
      </c>
      <c r="D230" s="66" t="inlineStr">
        <is>
          <t>2-15</t>
        </is>
      </c>
      <c r="E230" s="66" t="n"/>
      <c r="F230" s="67" t="inlineStr">
        <is>
          <t>22014</t>
        </is>
      </c>
      <c r="G230" s="66" t="inlineStr">
        <is>
          <t>22016</t>
        </is>
      </c>
      <c r="H230" s="66" t="inlineStr">
        <is>
          <t>10002</t>
        </is>
      </c>
      <c r="I230" s="66" t="n"/>
      <c r="J230" s="66" t="inlineStr">
        <is>
          <t>10001|4800$92001|$82001|1128$112001|576$122001|$132001|</t>
        </is>
      </c>
      <c r="K230" s="67" t="inlineStr">
        <is>
          <t>3</t>
        </is>
      </c>
      <c r="L230" s="67" t="inlineStr">
        <is>
          <t>52215</t>
        </is>
      </c>
      <c r="M230" s="67" t="inlineStr">
        <is>
          <t>38</t>
        </is>
      </c>
      <c r="N230" s="66" t="n"/>
      <c r="O230" s="67" t="inlineStr">
        <is>
          <t>1</t>
        </is>
      </c>
      <c r="P230" s="66" t="n"/>
      <c r="Q230" s="66" t="n"/>
      <c r="R230" s="28" t="inlineStr">
        <is>
          <t>365001|10</t>
        </is>
      </c>
    </row>
    <row r="231" ht="27" customHeight="1" s="80">
      <c r="B231" s="66" t="inlineStr">
        <is>
          <t>22016</t>
        </is>
      </c>
      <c r="C231" s="66" t="inlineStr">
        <is>
          <t>餍火国固定主线</t>
        </is>
      </c>
      <c r="D231" s="66" t="inlineStr">
        <is>
          <t>2-16</t>
        </is>
      </c>
      <c r="E231" s="66" t="n"/>
      <c r="F231" s="67" t="inlineStr">
        <is>
          <t>22015</t>
        </is>
      </c>
      <c r="G231" s="66" t="inlineStr">
        <is>
          <t>22017</t>
        </is>
      </c>
      <c r="H231" s="66" t="inlineStr">
        <is>
          <t>10002</t>
        </is>
      </c>
      <c r="I231" s="66" t="n"/>
      <c r="J231" s="66" t="inlineStr">
        <is>
          <t>10001|5040$92001|$82001|1171$112001|600$122001|$132001|</t>
        </is>
      </c>
      <c r="K231" s="67" t="inlineStr">
        <is>
          <t>1</t>
        </is>
      </c>
      <c r="L231" s="41" t="inlineStr">
        <is>
          <t>52116</t>
        </is>
      </c>
      <c r="M231" s="41" t="inlineStr">
        <is>
          <t>38</t>
        </is>
      </c>
      <c r="N231" s="66" t="n"/>
      <c r="O231" s="67" t="inlineStr">
        <is>
          <t>1</t>
        </is>
      </c>
      <c r="P231" s="67" t="inlineStr">
        <is>
          <t>10047|10048</t>
        </is>
      </c>
      <c r="Q231" s="66" t="n"/>
      <c r="R231" s="28" t="inlineStr">
        <is>
          <t>365001|10</t>
        </is>
      </c>
    </row>
    <row r="232" ht="27" customHeight="1" s="80">
      <c r="B232" s="66" t="inlineStr">
        <is>
          <t>22017</t>
        </is>
      </c>
      <c r="C232" s="66" t="inlineStr">
        <is>
          <t>餍火国固定主线</t>
        </is>
      </c>
      <c r="D232" s="66" t="inlineStr">
        <is>
          <t>2-17</t>
        </is>
      </c>
      <c r="E232" s="66" t="n"/>
      <c r="F232" s="67" t="inlineStr">
        <is>
          <t>22016</t>
        </is>
      </c>
      <c r="G232" s="66" t="inlineStr">
        <is>
          <t>22018</t>
        </is>
      </c>
      <c r="H232" s="66" t="inlineStr">
        <is>
          <t>10002</t>
        </is>
      </c>
      <c r="I232" s="66" t="n"/>
      <c r="J232" s="66" t="inlineStr">
        <is>
          <t>10001|5280$92001|$82001|1214$112001|624$122001|$132001|</t>
        </is>
      </c>
      <c r="K232" s="67" t="inlineStr">
        <is>
          <t>1</t>
        </is>
      </c>
      <c r="L232" s="41" t="inlineStr">
        <is>
          <t>52117</t>
        </is>
      </c>
      <c r="M232" s="41" t="inlineStr">
        <is>
          <t>39</t>
        </is>
      </c>
      <c r="N232" s="66" t="n"/>
      <c r="O232" s="67" t="inlineStr">
        <is>
          <t>1</t>
        </is>
      </c>
      <c r="P232" s="66" t="n"/>
      <c r="Q232" s="66" t="n"/>
      <c r="R232" s="28" t="inlineStr">
        <is>
          <t>365001|10</t>
        </is>
      </c>
    </row>
    <row r="233" ht="27" customHeight="1" s="80">
      <c r="B233" s="66" t="inlineStr">
        <is>
          <t>22018</t>
        </is>
      </c>
      <c r="C233" s="66" t="inlineStr">
        <is>
          <t>餍火国固定主线</t>
        </is>
      </c>
      <c r="D233" s="66" t="inlineStr">
        <is>
          <t>2-18</t>
        </is>
      </c>
      <c r="E233" s="66" t="n"/>
      <c r="F233" s="67" t="inlineStr">
        <is>
          <t>22017</t>
        </is>
      </c>
      <c r="G233" s="66" t="inlineStr">
        <is>
          <t>22019</t>
        </is>
      </c>
      <c r="H233" s="66" t="inlineStr">
        <is>
          <t>10002</t>
        </is>
      </c>
      <c r="I233" s="66" t="n"/>
      <c r="J233" s="66" t="inlineStr">
        <is>
          <t>10001|5520$92001|$82001|1258$112001|648$122001|$132001|</t>
        </is>
      </c>
      <c r="K233" s="67" t="inlineStr">
        <is>
          <t>3</t>
        </is>
      </c>
      <c r="L233" s="41" t="inlineStr">
        <is>
          <t>52218</t>
        </is>
      </c>
      <c r="M233" s="41" t="inlineStr">
        <is>
          <t>39</t>
        </is>
      </c>
      <c r="N233" s="66" t="n"/>
      <c r="O233" s="67" t="inlineStr">
        <is>
          <t>1</t>
        </is>
      </c>
      <c r="P233" s="66" t="n"/>
      <c r="Q233" s="66" t="n"/>
      <c r="R233" s="28" t="inlineStr">
        <is>
          <t>365001|10</t>
        </is>
      </c>
    </row>
    <row r="234" ht="27" customHeight="1" s="80">
      <c r="B234" s="66" t="inlineStr">
        <is>
          <t>22019</t>
        </is>
      </c>
      <c r="C234" s="66" t="inlineStr">
        <is>
          <t>餍火国固定主线</t>
        </is>
      </c>
      <c r="D234" s="66" t="inlineStr">
        <is>
          <t>2-19</t>
        </is>
      </c>
      <c r="E234" s="66" t="n"/>
      <c r="F234" s="67" t="inlineStr">
        <is>
          <t>22018</t>
        </is>
      </c>
      <c r="G234" s="66" t="inlineStr">
        <is>
          <t>22020</t>
        </is>
      </c>
      <c r="H234" s="66" t="inlineStr">
        <is>
          <t>10002</t>
        </is>
      </c>
      <c r="I234" s="66" t="n"/>
      <c r="J234" s="66" t="inlineStr">
        <is>
          <t>10001|5760$92001|$82001|1301$112001|672$122001|$132001|</t>
        </is>
      </c>
      <c r="K234" s="67" t="inlineStr">
        <is>
          <t>1</t>
        </is>
      </c>
      <c r="L234" s="41" t="inlineStr">
        <is>
          <t>52119</t>
        </is>
      </c>
      <c r="M234" s="41" t="inlineStr">
        <is>
          <t>40</t>
        </is>
      </c>
      <c r="N234" s="66" t="n"/>
      <c r="O234" s="67" t="inlineStr">
        <is>
          <t>1</t>
        </is>
      </c>
      <c r="P234" s="66" t="n"/>
      <c r="Q234" s="66" t="n"/>
      <c r="R234" s="28" t="inlineStr">
        <is>
          <t>365001|10</t>
        </is>
      </c>
    </row>
    <row r="235" ht="27" customHeight="1" s="80">
      <c r="B235" s="66" t="inlineStr">
        <is>
          <t>22020</t>
        </is>
      </c>
      <c r="C235" s="66" t="inlineStr">
        <is>
          <t>餍火国固定主线</t>
        </is>
      </c>
      <c r="D235" s="66" t="inlineStr">
        <is>
          <t>2-20</t>
        </is>
      </c>
      <c r="E235" s="66" t="n"/>
      <c r="F235" s="67" t="inlineStr">
        <is>
          <t>22019</t>
        </is>
      </c>
      <c r="G235" s="66" t="inlineStr">
        <is>
          <t>22021</t>
        </is>
      </c>
      <c r="H235" s="66" t="inlineStr">
        <is>
          <t>10002</t>
        </is>
      </c>
      <c r="I235" s="66" t="n"/>
      <c r="J235" s="66" t="inlineStr">
        <is>
          <t>10001|6000$92001|$82001|1344$112001|696$122001|$132001|</t>
        </is>
      </c>
      <c r="K235" s="67" t="inlineStr">
        <is>
          <t>1</t>
        </is>
      </c>
      <c r="L235" s="41" t="inlineStr">
        <is>
          <t>52120</t>
        </is>
      </c>
      <c r="M235" s="41" t="inlineStr">
        <is>
          <t>40</t>
        </is>
      </c>
      <c r="N235" s="66" t="n"/>
      <c r="O235" s="67" t="inlineStr">
        <is>
          <t>1</t>
        </is>
      </c>
      <c r="P235" s="66" t="n"/>
      <c r="Q235" s="66" t="n"/>
      <c r="R235" s="28" t="inlineStr">
        <is>
          <t>365001|10</t>
        </is>
      </c>
    </row>
    <row r="236" ht="27" customHeight="1" s="80">
      <c r="B236" s="66" t="inlineStr">
        <is>
          <t>22021</t>
        </is>
      </c>
      <c r="C236" s="66" t="inlineStr">
        <is>
          <t>餍火国固定主线</t>
        </is>
      </c>
      <c r="D236" s="66" t="inlineStr">
        <is>
          <t>2-21</t>
        </is>
      </c>
      <c r="E236" s="66" t="n"/>
      <c r="F236" s="67" t="inlineStr">
        <is>
          <t>22020</t>
        </is>
      </c>
      <c r="G236" s="66" t="inlineStr">
        <is>
          <t>22022</t>
        </is>
      </c>
      <c r="H236" s="66" t="inlineStr">
        <is>
          <t>10002</t>
        </is>
      </c>
      <c r="I236" s="66" t="n"/>
      <c r="J236" s="66" t="inlineStr">
        <is>
          <t>10001|6240$92001|$82001|1387$112001|720$122001|$132001|</t>
        </is>
      </c>
      <c r="K236" s="67" t="inlineStr">
        <is>
          <t>1</t>
        </is>
      </c>
      <c r="L236" s="41" t="inlineStr">
        <is>
          <t>52121</t>
        </is>
      </c>
      <c r="M236" s="41" t="inlineStr">
        <is>
          <t>41</t>
        </is>
      </c>
      <c r="N236" s="66" t="n"/>
      <c r="O236" s="67" t="inlineStr">
        <is>
          <t>1</t>
        </is>
      </c>
      <c r="P236" s="66" t="n"/>
      <c r="Q236" s="66" t="n"/>
      <c r="R236" s="28" t="inlineStr">
        <is>
          <t>365001|10</t>
        </is>
      </c>
    </row>
    <row r="237" ht="27" customHeight="1" s="80">
      <c r="B237" s="66" t="inlineStr">
        <is>
          <t>22022</t>
        </is>
      </c>
      <c r="C237" s="66" t="inlineStr">
        <is>
          <t>餍火国固定主线</t>
        </is>
      </c>
      <c r="D237" s="66" t="inlineStr">
        <is>
          <t>2-22</t>
        </is>
      </c>
      <c r="E237" s="66" t="n"/>
      <c r="F237" s="67" t="inlineStr">
        <is>
          <t>22021</t>
        </is>
      </c>
      <c r="G237" s="66" t="inlineStr">
        <is>
          <t>22023</t>
        </is>
      </c>
      <c r="H237" s="66" t="inlineStr">
        <is>
          <t>10002</t>
        </is>
      </c>
      <c r="I237" s="66" t="n"/>
      <c r="J237" s="66" t="inlineStr">
        <is>
          <t>10001|6480$92001|$82001|1430$112001|744$122001|$132001|</t>
        </is>
      </c>
      <c r="K237" s="67" t="inlineStr">
        <is>
          <t>1</t>
        </is>
      </c>
      <c r="L237" s="41" t="inlineStr">
        <is>
          <t>52122</t>
        </is>
      </c>
      <c r="M237" s="41" t="inlineStr">
        <is>
          <t>41</t>
        </is>
      </c>
      <c r="N237" s="66" t="n"/>
      <c r="O237" s="67" t="inlineStr">
        <is>
          <t>1</t>
        </is>
      </c>
      <c r="P237" s="66" t="n"/>
      <c r="Q237" s="66" t="n"/>
      <c r="R237" s="28" t="inlineStr">
        <is>
          <t>365001|10</t>
        </is>
      </c>
    </row>
    <row r="238" ht="27" customHeight="1" s="80">
      <c r="B238" s="66" t="inlineStr">
        <is>
          <t>22023</t>
        </is>
      </c>
      <c r="C238" s="66" t="inlineStr">
        <is>
          <t>餍火国固定主线</t>
        </is>
      </c>
      <c r="D238" s="66" t="inlineStr">
        <is>
          <t>2-23</t>
        </is>
      </c>
      <c r="E238" s="66" t="n"/>
      <c r="F238" s="67" t="inlineStr">
        <is>
          <t>22022</t>
        </is>
      </c>
      <c r="G238" s="66" t="inlineStr">
        <is>
          <t>22024</t>
        </is>
      </c>
      <c r="H238" s="66" t="inlineStr">
        <is>
          <t>10002</t>
        </is>
      </c>
      <c r="I238" s="66" t="n"/>
      <c r="J238" s="66" t="inlineStr">
        <is>
          <t>10001|6720$92001|$82001|1474$112001|768$122001|$132001|</t>
        </is>
      </c>
      <c r="K238" s="67" t="inlineStr">
        <is>
          <t>1</t>
        </is>
      </c>
      <c r="L238" s="41" t="inlineStr">
        <is>
          <t>52123</t>
        </is>
      </c>
      <c r="M238" s="41" t="inlineStr">
        <is>
          <t>42</t>
        </is>
      </c>
      <c r="N238" s="66" t="n"/>
      <c r="O238" s="67" t="inlineStr">
        <is>
          <t>1</t>
        </is>
      </c>
      <c r="P238" s="66" t="n"/>
      <c r="Q238" s="66" t="n"/>
      <c r="R238" s="28" t="inlineStr">
        <is>
          <t>365001|10</t>
        </is>
      </c>
    </row>
    <row r="239" ht="27" customHeight="1" s="80">
      <c r="B239" s="66" t="inlineStr">
        <is>
          <t>22024</t>
        </is>
      </c>
      <c r="C239" s="66" t="inlineStr">
        <is>
          <t>餍火国固定主线</t>
        </is>
      </c>
      <c r="D239" s="66" t="inlineStr">
        <is>
          <t>2-24</t>
        </is>
      </c>
      <c r="E239" s="66" t="n"/>
      <c r="F239" s="67" t="inlineStr">
        <is>
          <t>22023</t>
        </is>
      </c>
      <c r="G239" s="66" t="inlineStr">
        <is>
          <t>22025</t>
        </is>
      </c>
      <c r="H239" s="66" t="inlineStr">
        <is>
          <t>10002</t>
        </is>
      </c>
      <c r="I239" s="66" t="n"/>
      <c r="J239" s="66" t="inlineStr">
        <is>
          <t>10001|6960$92001|$82001|1517$112001|792$122001|$132001|</t>
        </is>
      </c>
      <c r="K239" s="67" t="inlineStr">
        <is>
          <t>3</t>
        </is>
      </c>
      <c r="L239" s="41" t="inlineStr">
        <is>
          <t>52224</t>
        </is>
      </c>
      <c r="M239" s="41" t="inlineStr">
        <is>
          <t>42</t>
        </is>
      </c>
      <c r="N239" s="66" t="n"/>
      <c r="O239" s="67" t="inlineStr">
        <is>
          <t>1</t>
        </is>
      </c>
      <c r="P239" s="66" t="n"/>
      <c r="Q239" s="66" t="n"/>
      <c r="R239" s="28" t="inlineStr">
        <is>
          <t>365001|10</t>
        </is>
      </c>
    </row>
    <row r="240" ht="27" customHeight="1" s="80">
      <c r="B240" s="66" t="inlineStr">
        <is>
          <t>22025</t>
        </is>
      </c>
      <c r="C240" s="66" t="inlineStr">
        <is>
          <t>餍火国固定主线</t>
        </is>
      </c>
      <c r="D240" s="66" t="inlineStr">
        <is>
          <t>2-25</t>
        </is>
      </c>
      <c r="E240" s="66" t="n"/>
      <c r="F240" s="67" t="inlineStr">
        <is>
          <t>22024</t>
        </is>
      </c>
      <c r="G240" s="66" t="inlineStr">
        <is>
          <t>22026</t>
        </is>
      </c>
      <c r="H240" s="66" t="inlineStr">
        <is>
          <t>10002</t>
        </is>
      </c>
      <c r="I240" s="66" t="n"/>
      <c r="J240" s="66" t="inlineStr">
        <is>
          <t>10001|7200$92001|$82001|1560$112001|816$122001|$132001|</t>
        </is>
      </c>
      <c r="K240" s="67" t="inlineStr">
        <is>
          <t>1</t>
        </is>
      </c>
      <c r="L240" s="41" t="inlineStr">
        <is>
          <t>52125</t>
        </is>
      </c>
      <c r="M240" s="41" t="inlineStr">
        <is>
          <t>43</t>
        </is>
      </c>
      <c r="N240" s="66" t="n"/>
      <c r="O240" s="67" t="inlineStr">
        <is>
          <t>1</t>
        </is>
      </c>
      <c r="P240" s="66" t="n"/>
      <c r="Q240" s="66" t="n"/>
      <c r="R240" s="28" t="inlineStr">
        <is>
          <t>365001|10</t>
        </is>
      </c>
    </row>
    <row r="241" ht="27" customHeight="1" s="80">
      <c r="B241" s="66" t="inlineStr">
        <is>
          <t>22026</t>
        </is>
      </c>
      <c r="C241" s="66" t="inlineStr">
        <is>
          <t>餍火国固定主线</t>
        </is>
      </c>
      <c r="D241" s="66" t="inlineStr">
        <is>
          <t>2-26</t>
        </is>
      </c>
      <c r="E241" s="66" t="n"/>
      <c r="F241" s="67" t="inlineStr">
        <is>
          <t>22025</t>
        </is>
      </c>
      <c r="G241" s="66" t="inlineStr">
        <is>
          <t>22027</t>
        </is>
      </c>
      <c r="H241" s="66" t="inlineStr">
        <is>
          <t>10002</t>
        </is>
      </c>
      <c r="I241" s="66" t="n"/>
      <c r="J241" s="66" t="inlineStr">
        <is>
          <t>10001|7440$92001|$82001|1603$112001|840$122001|$132001|</t>
        </is>
      </c>
      <c r="K241" s="67" t="inlineStr">
        <is>
          <t>1</t>
        </is>
      </c>
      <c r="L241" s="41" t="inlineStr">
        <is>
          <t>52126</t>
        </is>
      </c>
      <c r="M241" s="41" t="inlineStr">
        <is>
          <t>43</t>
        </is>
      </c>
      <c r="N241" s="66" t="n"/>
      <c r="O241" s="67" t="inlineStr">
        <is>
          <t>1</t>
        </is>
      </c>
      <c r="P241" s="66" t="n"/>
      <c r="Q241" s="66" t="n"/>
      <c r="R241" s="28" t="inlineStr">
        <is>
          <t>365001|10</t>
        </is>
      </c>
    </row>
    <row r="242" ht="27" customHeight="1" s="80">
      <c r="B242" s="66" t="inlineStr">
        <is>
          <t>22027</t>
        </is>
      </c>
      <c r="C242" s="66" t="inlineStr">
        <is>
          <t>餍火国固定主线</t>
        </is>
      </c>
      <c r="D242" s="66" t="inlineStr">
        <is>
          <t>2-27</t>
        </is>
      </c>
      <c r="E242" s="66" t="n"/>
      <c r="F242" s="67" t="inlineStr">
        <is>
          <t>22026</t>
        </is>
      </c>
      <c r="G242" s="66" t="inlineStr">
        <is>
          <t>22028</t>
        </is>
      </c>
      <c r="H242" s="66" t="inlineStr">
        <is>
          <t>10002</t>
        </is>
      </c>
      <c r="I242" s="66" t="n"/>
      <c r="J242" s="66" t="inlineStr">
        <is>
          <t>10001|7680$92001|$82001|1646$112001|864$122001|$132001|</t>
        </is>
      </c>
      <c r="K242" s="67" t="inlineStr">
        <is>
          <t>1</t>
        </is>
      </c>
      <c r="L242" s="41" t="inlineStr">
        <is>
          <t>52127</t>
        </is>
      </c>
      <c r="M242" s="41" t="inlineStr">
        <is>
          <t>44</t>
        </is>
      </c>
      <c r="N242" s="66" t="n"/>
      <c r="O242" s="67" t="inlineStr">
        <is>
          <t>1</t>
        </is>
      </c>
      <c r="P242" s="66" t="n"/>
      <c r="Q242" s="66" t="n"/>
      <c r="R242" s="28" t="inlineStr">
        <is>
          <t>365001|10</t>
        </is>
      </c>
    </row>
    <row r="243" ht="27" customHeight="1" s="80">
      <c r="B243" s="66" t="inlineStr">
        <is>
          <t>22028</t>
        </is>
      </c>
      <c r="C243" s="66" t="inlineStr">
        <is>
          <t>餍火国固定主线</t>
        </is>
      </c>
      <c r="D243" s="66" t="inlineStr">
        <is>
          <t>2-28</t>
        </is>
      </c>
      <c r="E243" s="66" t="n"/>
      <c r="F243" s="67" t="inlineStr">
        <is>
          <t>22027</t>
        </is>
      </c>
      <c r="G243" s="66" t="inlineStr">
        <is>
          <t>22029</t>
        </is>
      </c>
      <c r="H243" s="66" t="inlineStr">
        <is>
          <t>10002</t>
        </is>
      </c>
      <c r="I243" s="66" t="n"/>
      <c r="J243" s="66" t="inlineStr">
        <is>
          <t>10001|7920$92001|$82001|1690$112001|888$122001|$132001|</t>
        </is>
      </c>
      <c r="K243" s="67" t="inlineStr">
        <is>
          <t>1</t>
        </is>
      </c>
      <c r="L243" s="41" t="inlineStr">
        <is>
          <t>52128</t>
        </is>
      </c>
      <c r="M243" s="41" t="inlineStr">
        <is>
          <t>44</t>
        </is>
      </c>
      <c r="N243" s="66" t="n"/>
      <c r="O243" s="67" t="inlineStr">
        <is>
          <t>1</t>
        </is>
      </c>
      <c r="P243" s="66" t="n"/>
      <c r="Q243" s="66" t="n"/>
      <c r="R243" s="28" t="inlineStr">
        <is>
          <t>365001|10</t>
        </is>
      </c>
    </row>
    <row r="244" ht="27" customHeight="1" s="80">
      <c r="B244" s="66" t="inlineStr">
        <is>
          <t>22029</t>
        </is>
      </c>
      <c r="C244" s="66" t="inlineStr">
        <is>
          <t>餍火国固定主线</t>
        </is>
      </c>
      <c r="D244" s="66" t="inlineStr">
        <is>
          <t>2-29</t>
        </is>
      </c>
      <c r="E244" s="66" t="n"/>
      <c r="F244" s="67" t="inlineStr">
        <is>
          <t>22028</t>
        </is>
      </c>
      <c r="G244" s="66" t="inlineStr">
        <is>
          <t>22030</t>
        </is>
      </c>
      <c r="H244" s="66" t="inlineStr">
        <is>
          <t>10002</t>
        </is>
      </c>
      <c r="I244" s="66" t="n"/>
      <c r="J244" s="66" t="inlineStr">
        <is>
          <t>10001|8160$92001|$82001|1733$112001|912$122001|$132001|</t>
        </is>
      </c>
      <c r="K244" s="67" t="inlineStr">
        <is>
          <t>3</t>
        </is>
      </c>
      <c r="L244" s="41" t="inlineStr">
        <is>
          <t>52229</t>
        </is>
      </c>
      <c r="M244" s="41" t="inlineStr">
        <is>
          <t>44</t>
        </is>
      </c>
      <c r="N244" s="66" t="n"/>
      <c r="O244" s="67" t="inlineStr">
        <is>
          <t>1</t>
        </is>
      </c>
      <c r="P244" s="66" t="n"/>
      <c r="Q244" s="66" t="n"/>
      <c r="R244" s="28" t="inlineStr">
        <is>
          <t>365001|10</t>
        </is>
      </c>
    </row>
    <row r="245" ht="27" customHeight="1" s="80">
      <c r="B245" s="66" t="inlineStr">
        <is>
          <t>22030</t>
        </is>
      </c>
      <c r="C245" s="66" t="inlineStr">
        <is>
          <t>餍火国固定主线</t>
        </is>
      </c>
      <c r="D245" s="66" t="inlineStr">
        <is>
          <t>2-30</t>
        </is>
      </c>
      <c r="E245" s="66" t="n"/>
      <c r="F245" s="67" t="inlineStr">
        <is>
          <t>22029</t>
        </is>
      </c>
      <c r="G245" s="66" t="n"/>
      <c r="H245" s="66" t="inlineStr">
        <is>
          <t>10002</t>
        </is>
      </c>
      <c r="I245" s="67" t="inlineStr">
        <is>
          <t>1</t>
        </is>
      </c>
      <c r="J245" s="67" t="inlineStr">
        <is>
          <t>10001|8400$92001|$82001|1776$112001|936$122001|$132001|</t>
        </is>
      </c>
      <c r="K245" s="67" t="inlineStr">
        <is>
          <t>4</t>
        </is>
      </c>
      <c r="L245" s="41" t="inlineStr">
        <is>
          <t>52330</t>
        </is>
      </c>
      <c r="M245" s="41" t="inlineStr">
        <is>
          <t>45</t>
        </is>
      </c>
      <c r="N245" s="66" t="n"/>
      <c r="O245" s="67" t="inlineStr">
        <is>
          <t>1</t>
        </is>
      </c>
      <c r="P245" s="66" t="n"/>
      <c r="Q245" s="72" t="inlineStr">
        <is>
          <t>10049</t>
        </is>
      </c>
      <c r="R245" s="28" t="inlineStr">
        <is>
          <t>365001|10$445001|1</t>
        </is>
      </c>
    </row>
    <row r="246" ht="27" customHeight="1" s="80">
      <c r="B246" s="42" t="inlineStr">
        <is>
          <t>33001</t>
        </is>
      </c>
      <c r="C246" s="42" t="inlineStr">
        <is>
          <t>白民国固定主线</t>
        </is>
      </c>
      <c r="D246" s="42" t="inlineStr">
        <is>
          <t>3-1</t>
        </is>
      </c>
      <c r="E246" s="42" t="inlineStr">
        <is>
          <t>1</t>
        </is>
      </c>
      <c r="G246" s="42" t="inlineStr">
        <is>
          <t>33002</t>
        </is>
      </c>
      <c r="H246" s="42" t="inlineStr">
        <is>
          <t>10003</t>
        </is>
      </c>
      <c r="J246" s="28" t="inlineStr">
        <is>
          <t>10001|1440$93001|$83001|523$113001|240$123001|$193001|</t>
        </is>
      </c>
      <c r="K246" s="42" t="inlineStr">
        <is>
          <t>1</t>
        </is>
      </c>
      <c r="L246" s="42" t="inlineStr">
        <is>
          <t>53101</t>
        </is>
      </c>
      <c r="M246" s="42" t="inlineStr">
        <is>
          <t>61</t>
        </is>
      </c>
      <c r="O246" s="42" t="inlineStr">
        <is>
          <t>1</t>
        </is>
      </c>
      <c r="P246" s="42" t="inlineStr">
        <is>
          <t>11001|11002</t>
        </is>
      </c>
      <c r="R246" s="28" t="inlineStr">
        <is>
          <t>365001|10</t>
        </is>
      </c>
    </row>
    <row r="247" ht="27" customHeight="1" s="80">
      <c r="B247" s="42" t="inlineStr">
        <is>
          <t>33002</t>
        </is>
      </c>
      <c r="C247" s="42" t="inlineStr">
        <is>
          <t>白民国固定主线</t>
        </is>
      </c>
      <c r="D247" s="42" t="inlineStr">
        <is>
          <t>3-2</t>
        </is>
      </c>
      <c r="F247" s="42" t="inlineStr">
        <is>
          <t>33001</t>
        </is>
      </c>
      <c r="G247" s="42" t="inlineStr">
        <is>
          <t>33003</t>
        </is>
      </c>
      <c r="H247" s="42" t="inlineStr">
        <is>
          <t>10003</t>
        </is>
      </c>
      <c r="J247" s="28" t="inlineStr">
        <is>
          <t>10001|1680$93001|$83001|566$113001|264$123001|$193001|</t>
        </is>
      </c>
      <c r="K247" s="42" t="inlineStr">
        <is>
          <t>1</t>
        </is>
      </c>
      <c r="L247" s="42" t="inlineStr">
        <is>
          <t>53102|53103|53102|53103</t>
        </is>
      </c>
      <c r="M247" s="42" t="inlineStr">
        <is>
          <t>61</t>
        </is>
      </c>
      <c r="O247" s="42" t="inlineStr">
        <is>
          <t>1</t>
        </is>
      </c>
      <c r="R247" s="28" t="inlineStr">
        <is>
          <t>365001|10</t>
        </is>
      </c>
    </row>
    <row r="248" ht="27" customHeight="1" s="80">
      <c r="B248" s="42" t="inlineStr">
        <is>
          <t>33003</t>
        </is>
      </c>
      <c r="C248" s="42" t="inlineStr">
        <is>
          <t>白民国固定主线</t>
        </is>
      </c>
      <c r="D248" s="42" t="inlineStr">
        <is>
          <t>3-3</t>
        </is>
      </c>
      <c r="F248" s="42" t="inlineStr">
        <is>
          <t>33002</t>
        </is>
      </c>
      <c r="G248" s="42" t="inlineStr">
        <is>
          <t>33004</t>
        </is>
      </c>
      <c r="H248" s="42" t="inlineStr">
        <is>
          <t>10003</t>
        </is>
      </c>
      <c r="J248" s="28" t="inlineStr">
        <is>
          <t>10001|1920$93001|$83001|610$113001|288$123001|$193001|</t>
        </is>
      </c>
      <c r="K248" s="42" t="inlineStr">
        <is>
          <t>1</t>
        </is>
      </c>
      <c r="L248" s="42" t="inlineStr">
        <is>
          <t>53104|53105|53106|53104</t>
        </is>
      </c>
      <c r="M248" s="42" t="inlineStr">
        <is>
          <t>61</t>
        </is>
      </c>
      <c r="O248" s="42" t="inlineStr">
        <is>
          <t>1</t>
        </is>
      </c>
      <c r="R248" s="28" t="inlineStr">
        <is>
          <t>365001|10</t>
        </is>
      </c>
    </row>
    <row r="249" ht="27" customHeight="1" s="80">
      <c r="B249" s="42" t="inlineStr">
        <is>
          <t>33004</t>
        </is>
      </c>
      <c r="C249" s="42" t="inlineStr">
        <is>
          <t>白民国固定主线</t>
        </is>
      </c>
      <c r="D249" s="42" t="inlineStr">
        <is>
          <t>3-4</t>
        </is>
      </c>
      <c r="F249" s="42" t="inlineStr">
        <is>
          <t>33003</t>
        </is>
      </c>
      <c r="G249" s="42" t="inlineStr">
        <is>
          <t>33005</t>
        </is>
      </c>
      <c r="H249" s="42" t="inlineStr">
        <is>
          <t>10003</t>
        </is>
      </c>
      <c r="J249" s="28" t="inlineStr">
        <is>
          <t>10001|2160$93001|$83001|653$113001|312$123001|$193001|</t>
        </is>
      </c>
      <c r="K249" s="42" t="inlineStr">
        <is>
          <t>3</t>
        </is>
      </c>
      <c r="L249" s="42" t="inlineStr">
        <is>
          <t>53207</t>
        </is>
      </c>
      <c r="M249" s="42" t="inlineStr">
        <is>
          <t>62</t>
        </is>
      </c>
      <c r="O249" s="42" t="inlineStr">
        <is>
          <t>1</t>
        </is>
      </c>
      <c r="P249" s="72" t="inlineStr">
        <is>
          <t>11003</t>
        </is>
      </c>
      <c r="Q249" s="72" t="inlineStr">
        <is>
          <t>11004</t>
        </is>
      </c>
      <c r="R249" s="28" t="inlineStr">
        <is>
          <t>365001|10</t>
        </is>
      </c>
    </row>
    <row r="250" ht="27" customHeight="1" s="80">
      <c r="B250" s="42" t="inlineStr">
        <is>
          <t>33005</t>
        </is>
      </c>
      <c r="C250" s="42" t="inlineStr">
        <is>
          <t>白民国固定主线</t>
        </is>
      </c>
      <c r="D250" s="42" t="inlineStr">
        <is>
          <t>3-5</t>
        </is>
      </c>
      <c r="F250" s="42" t="inlineStr">
        <is>
          <t>33004</t>
        </is>
      </c>
      <c r="G250" s="42" t="inlineStr">
        <is>
          <t>33006</t>
        </is>
      </c>
      <c r="H250" s="42" t="inlineStr">
        <is>
          <t>10003</t>
        </is>
      </c>
      <c r="J250" s="28" t="inlineStr">
        <is>
          <t>10001|2400$93001|$83001|696$113001|336$123001|$193001|</t>
        </is>
      </c>
      <c r="K250" s="42" t="inlineStr">
        <is>
          <t>1</t>
        </is>
      </c>
      <c r="L250" s="42" t="inlineStr">
        <is>
          <t>53108|53108|53108|53108</t>
        </is>
      </c>
      <c r="M250" s="42" t="inlineStr">
        <is>
          <t>62</t>
        </is>
      </c>
      <c r="O250" s="42" t="inlineStr">
        <is>
          <t>1</t>
        </is>
      </c>
      <c r="R250" s="28" t="inlineStr">
        <is>
          <t>365001|10</t>
        </is>
      </c>
    </row>
    <row r="251" ht="27" customHeight="1" s="80">
      <c r="B251" s="42" t="inlineStr">
        <is>
          <t>33006</t>
        </is>
      </c>
      <c r="C251" s="42" t="inlineStr">
        <is>
          <t>白民国固定主线</t>
        </is>
      </c>
      <c r="D251" s="42" t="inlineStr">
        <is>
          <t>3-6</t>
        </is>
      </c>
      <c r="F251" s="42" t="inlineStr">
        <is>
          <t>33005</t>
        </is>
      </c>
      <c r="G251" s="42" t="inlineStr">
        <is>
          <t>33007</t>
        </is>
      </c>
      <c r="H251" s="42" t="inlineStr">
        <is>
          <t>10003</t>
        </is>
      </c>
      <c r="J251" s="28" t="inlineStr">
        <is>
          <t>10001|2640$93001|$83001|739$113001|360$123001|$193001|</t>
        </is>
      </c>
      <c r="K251" s="42" t="inlineStr">
        <is>
          <t>1</t>
        </is>
      </c>
      <c r="L251" s="42" t="inlineStr">
        <is>
          <t>53109|53110|53109|53110</t>
        </is>
      </c>
      <c r="M251" s="42" t="inlineStr">
        <is>
          <t>62</t>
        </is>
      </c>
      <c r="O251" s="42" t="inlineStr">
        <is>
          <t>1</t>
        </is>
      </c>
      <c r="R251" s="28" t="inlineStr">
        <is>
          <t>365001|10</t>
        </is>
      </c>
    </row>
    <row r="252" ht="27" customHeight="1" s="80">
      <c r="B252" s="42" t="inlineStr">
        <is>
          <t>33007</t>
        </is>
      </c>
      <c r="C252" s="42" t="inlineStr">
        <is>
          <t>白民国固定主线</t>
        </is>
      </c>
      <c r="D252" s="42" t="inlineStr">
        <is>
          <t>3-7</t>
        </is>
      </c>
      <c r="F252" s="42" t="inlineStr">
        <is>
          <t>33006</t>
        </is>
      </c>
      <c r="G252" s="42" t="inlineStr">
        <is>
          <t>33008</t>
        </is>
      </c>
      <c r="H252" s="42" t="inlineStr">
        <is>
          <t>10003</t>
        </is>
      </c>
      <c r="J252" s="28" t="inlineStr">
        <is>
          <t>10001|2880$93001|$83001|782$113001|384$123001|$193001|</t>
        </is>
      </c>
      <c r="K252" s="42" t="inlineStr">
        <is>
          <t>1</t>
        </is>
      </c>
      <c r="L252" s="42" t="inlineStr">
        <is>
          <t>53111|53112|53113|53111</t>
        </is>
      </c>
      <c r="M252" s="42" t="inlineStr">
        <is>
          <t>62</t>
        </is>
      </c>
      <c r="O252" s="42" t="inlineStr">
        <is>
          <t>1</t>
        </is>
      </c>
      <c r="R252" s="28" t="inlineStr">
        <is>
          <t>365001|10</t>
        </is>
      </c>
    </row>
    <row r="253" ht="27" customHeight="1" s="80">
      <c r="B253" s="42" t="inlineStr">
        <is>
          <t>33008</t>
        </is>
      </c>
      <c r="C253" s="42" t="inlineStr">
        <is>
          <t>白民国固定主线</t>
        </is>
      </c>
      <c r="D253" s="42" t="inlineStr">
        <is>
          <t>3-8</t>
        </is>
      </c>
      <c r="F253" s="42" t="inlineStr">
        <is>
          <t>33007</t>
        </is>
      </c>
      <c r="G253" s="42" t="inlineStr">
        <is>
          <t>33009</t>
        </is>
      </c>
      <c r="H253" s="42" t="inlineStr">
        <is>
          <t>10003</t>
        </is>
      </c>
      <c r="J253" s="28" t="inlineStr">
        <is>
          <t>10001|3120$93001|$83001|826$113001|408$123001|$193001|</t>
        </is>
      </c>
      <c r="K253" s="42" t="inlineStr">
        <is>
          <t>3</t>
        </is>
      </c>
      <c r="L253" s="41" t="inlineStr">
        <is>
          <t>53214</t>
        </is>
      </c>
      <c r="M253" s="41" t="inlineStr">
        <is>
          <t>63</t>
        </is>
      </c>
      <c r="O253" s="42" t="inlineStr">
        <is>
          <t>1</t>
        </is>
      </c>
      <c r="R253" s="28" t="inlineStr">
        <is>
          <t>365001|10</t>
        </is>
      </c>
    </row>
    <row r="254" ht="27" customHeight="1" s="80">
      <c r="B254" s="42" t="inlineStr">
        <is>
          <t>33009</t>
        </is>
      </c>
      <c r="C254" s="42" t="inlineStr">
        <is>
          <t>白民国固定主线</t>
        </is>
      </c>
      <c r="D254" s="42" t="inlineStr">
        <is>
          <t>3-9</t>
        </is>
      </c>
      <c r="F254" s="42" t="inlineStr">
        <is>
          <t>33008</t>
        </is>
      </c>
      <c r="G254" s="42" t="inlineStr">
        <is>
          <t>33010</t>
        </is>
      </c>
      <c r="H254" s="42" t="inlineStr">
        <is>
          <t>10003</t>
        </is>
      </c>
      <c r="J254" s="28" t="inlineStr">
        <is>
          <t>10001|3360$93001|$83001|869$113001|432$123001|$193001|</t>
        </is>
      </c>
      <c r="K254" s="42" t="inlineStr">
        <is>
          <t>1</t>
        </is>
      </c>
      <c r="L254" s="42" t="inlineStr">
        <is>
          <t>53115|53115|53115|53115</t>
        </is>
      </c>
      <c r="M254" s="41" t="inlineStr">
        <is>
          <t>63</t>
        </is>
      </c>
      <c r="O254" s="42" t="inlineStr">
        <is>
          <t>1</t>
        </is>
      </c>
      <c r="P254" s="42" t="inlineStr">
        <is>
          <t>11005|11006</t>
        </is>
      </c>
      <c r="R254" s="28" t="inlineStr">
        <is>
          <t>365001|10</t>
        </is>
      </c>
    </row>
    <row r="255" ht="27" customHeight="1" s="80">
      <c r="B255" s="42" t="inlineStr">
        <is>
          <t>33010</t>
        </is>
      </c>
      <c r="C255" s="42" t="inlineStr">
        <is>
          <t>白民国固定主线</t>
        </is>
      </c>
      <c r="D255" s="42" t="inlineStr">
        <is>
          <t>3-10</t>
        </is>
      </c>
      <c r="F255" s="42" t="inlineStr">
        <is>
          <t>33009</t>
        </is>
      </c>
      <c r="G255" s="42" t="inlineStr">
        <is>
          <t>33011</t>
        </is>
      </c>
      <c r="H255" s="42" t="inlineStr">
        <is>
          <t>10003</t>
        </is>
      </c>
      <c r="J255" s="28" t="inlineStr">
        <is>
          <t>10001|3600$93001|$83001|912$113001|456$123001|$193001|</t>
        </is>
      </c>
      <c r="K255" s="42" t="inlineStr">
        <is>
          <t>1</t>
        </is>
      </c>
      <c r="L255" s="42" t="inlineStr">
        <is>
          <t>53116|53117|53116|53117</t>
        </is>
      </c>
      <c r="M255" s="41" t="inlineStr">
        <is>
          <t>63</t>
        </is>
      </c>
      <c r="O255" s="42" t="inlineStr">
        <is>
          <t>1</t>
        </is>
      </c>
      <c r="R255" s="28" t="inlineStr">
        <is>
          <t>365001|10</t>
        </is>
      </c>
    </row>
    <row r="256" ht="27" customHeight="1" s="80">
      <c r="B256" s="42" t="inlineStr">
        <is>
          <t>33011</t>
        </is>
      </c>
      <c r="C256" s="42" t="inlineStr">
        <is>
          <t>白民国固定主线</t>
        </is>
      </c>
      <c r="D256" s="42" t="inlineStr">
        <is>
          <t>3-11</t>
        </is>
      </c>
      <c r="F256" s="42" t="inlineStr">
        <is>
          <t>33010</t>
        </is>
      </c>
      <c r="G256" s="42" t="inlineStr">
        <is>
          <t>33012</t>
        </is>
      </c>
      <c r="H256" s="42" t="inlineStr">
        <is>
          <t>10003</t>
        </is>
      </c>
      <c r="J256" s="28" t="inlineStr">
        <is>
          <t>10001|3840$93001|$83001|955$113001|480$123001|$193001|</t>
        </is>
      </c>
      <c r="K256" s="42" t="inlineStr">
        <is>
          <t>1</t>
        </is>
      </c>
      <c r="L256" s="42" t="inlineStr">
        <is>
          <t>53118|53119|53120|53118</t>
        </is>
      </c>
      <c r="M256" s="41" t="inlineStr">
        <is>
          <t>63</t>
        </is>
      </c>
      <c r="O256" s="42" t="inlineStr">
        <is>
          <t>1</t>
        </is>
      </c>
      <c r="R256" s="28" t="inlineStr">
        <is>
          <t>365001|10</t>
        </is>
      </c>
    </row>
    <row r="257" ht="27" customHeight="1" s="80">
      <c r="B257" s="42" t="inlineStr">
        <is>
          <t>33012</t>
        </is>
      </c>
      <c r="C257" s="42" t="inlineStr">
        <is>
          <t>白民国固定主线</t>
        </is>
      </c>
      <c r="D257" s="42" t="inlineStr">
        <is>
          <t>3-12</t>
        </is>
      </c>
      <c r="F257" s="42" t="inlineStr">
        <is>
          <t>33011</t>
        </is>
      </c>
      <c r="G257" s="42" t="inlineStr">
        <is>
          <t>33013</t>
        </is>
      </c>
      <c r="H257" s="42" t="inlineStr">
        <is>
          <t>10003</t>
        </is>
      </c>
      <c r="J257" s="28" t="inlineStr">
        <is>
          <t>10001|4080$93001|$83001|998$113001|504$123001|$193001|</t>
        </is>
      </c>
      <c r="K257" s="42" t="inlineStr">
        <is>
          <t>3</t>
        </is>
      </c>
      <c r="L257" s="42" t="inlineStr">
        <is>
          <t>53221</t>
        </is>
      </c>
      <c r="M257" s="42" t="inlineStr">
        <is>
          <t>64</t>
        </is>
      </c>
      <c r="O257" s="42" t="inlineStr">
        <is>
          <t>1</t>
        </is>
      </c>
      <c r="R257" s="28" t="inlineStr">
        <is>
          <t>365001|10</t>
        </is>
      </c>
    </row>
    <row r="258" ht="27" customHeight="1" s="80">
      <c r="B258" s="42" t="inlineStr">
        <is>
          <t>33013</t>
        </is>
      </c>
      <c r="C258" s="42" t="inlineStr">
        <is>
          <t>白民国固定主线</t>
        </is>
      </c>
      <c r="D258" s="42" t="inlineStr">
        <is>
          <t>3-13</t>
        </is>
      </c>
      <c r="F258" s="42" t="inlineStr">
        <is>
          <t>33012</t>
        </is>
      </c>
      <c r="G258" s="42" t="inlineStr">
        <is>
          <t>33014</t>
        </is>
      </c>
      <c r="H258" s="42" t="inlineStr">
        <is>
          <t>10003</t>
        </is>
      </c>
      <c r="J258" s="28" t="inlineStr">
        <is>
          <t>10001|4320$93001|$83001|1042$113001|528$123001|$193001|</t>
        </is>
      </c>
      <c r="K258" s="42" t="inlineStr">
        <is>
          <t>1</t>
        </is>
      </c>
      <c r="L258" s="42" t="inlineStr">
        <is>
          <t>53122|53122|53122|53122</t>
        </is>
      </c>
      <c r="M258" s="42" t="inlineStr">
        <is>
          <t>64</t>
        </is>
      </c>
      <c r="O258" s="42" t="inlineStr">
        <is>
          <t>1</t>
        </is>
      </c>
      <c r="R258" s="28" t="inlineStr">
        <is>
          <t>365001|10</t>
        </is>
      </c>
    </row>
    <row r="259" ht="27" customHeight="1" s="80">
      <c r="B259" s="42" t="inlineStr">
        <is>
          <t>33014</t>
        </is>
      </c>
      <c r="C259" s="42" t="inlineStr">
        <is>
          <t>白民国固定主线</t>
        </is>
      </c>
      <c r="D259" s="42" t="inlineStr">
        <is>
          <t>3-14</t>
        </is>
      </c>
      <c r="F259" s="42" t="inlineStr">
        <is>
          <t>33013</t>
        </is>
      </c>
      <c r="G259" s="42" t="inlineStr">
        <is>
          <t>33015</t>
        </is>
      </c>
      <c r="H259" s="42" t="inlineStr">
        <is>
          <t>10003</t>
        </is>
      </c>
      <c r="J259" s="28" t="inlineStr">
        <is>
          <t>10001|4560$93001|$83001|1085$113001|552$123001|$193001|</t>
        </is>
      </c>
      <c r="K259" s="42" t="inlineStr">
        <is>
          <t>1</t>
        </is>
      </c>
      <c r="L259" s="42" t="inlineStr">
        <is>
          <t>53123|53124|53123|53124</t>
        </is>
      </c>
      <c r="M259" s="42" t="inlineStr">
        <is>
          <t>64</t>
        </is>
      </c>
      <c r="O259" s="42" t="inlineStr">
        <is>
          <t>1</t>
        </is>
      </c>
      <c r="R259" s="28" t="inlineStr">
        <is>
          <t>365001|10</t>
        </is>
      </c>
    </row>
    <row r="260" ht="27" customHeight="1" s="80">
      <c r="B260" s="42" t="inlineStr">
        <is>
          <t>33015</t>
        </is>
      </c>
      <c r="C260" s="42" t="inlineStr">
        <is>
          <t>白民国固定主线</t>
        </is>
      </c>
      <c r="D260" s="42" t="inlineStr">
        <is>
          <t>3-15</t>
        </is>
      </c>
      <c r="F260" s="42" t="inlineStr">
        <is>
          <t>33014</t>
        </is>
      </c>
      <c r="G260" s="42" t="inlineStr">
        <is>
          <t>33016</t>
        </is>
      </c>
      <c r="H260" s="42" t="inlineStr">
        <is>
          <t>10003</t>
        </is>
      </c>
      <c r="J260" s="28" t="inlineStr">
        <is>
          <t>10001|4800$93001|$83001|1128$113001|576$123001|$193001|</t>
        </is>
      </c>
      <c r="K260" s="42" t="inlineStr">
        <is>
          <t>1</t>
        </is>
      </c>
      <c r="L260" s="42" t="inlineStr">
        <is>
          <t>53125|53126|53127|53125</t>
        </is>
      </c>
      <c r="M260" s="42" t="inlineStr">
        <is>
          <t>64</t>
        </is>
      </c>
      <c r="O260" s="42" t="inlineStr">
        <is>
          <t>1</t>
        </is>
      </c>
      <c r="P260" s="42" t="inlineStr">
        <is>
          <t>11007</t>
        </is>
      </c>
      <c r="R260" s="28" t="inlineStr">
        <is>
          <t>365001|10</t>
        </is>
      </c>
    </row>
    <row r="261" ht="27" customHeight="1" s="80">
      <c r="B261" s="42" t="inlineStr">
        <is>
          <t>33016</t>
        </is>
      </c>
      <c r="C261" s="42" t="inlineStr">
        <is>
          <t>白民国固定主线</t>
        </is>
      </c>
      <c r="D261" s="42" t="inlineStr">
        <is>
          <t>3-16</t>
        </is>
      </c>
      <c r="F261" s="42" t="inlineStr">
        <is>
          <t>33015</t>
        </is>
      </c>
      <c r="G261" s="42" t="inlineStr">
        <is>
          <t>33017</t>
        </is>
      </c>
      <c r="H261" s="42" t="inlineStr">
        <is>
          <t>10003</t>
        </is>
      </c>
      <c r="J261" s="28" t="inlineStr">
        <is>
          <t>10001|5040$93001|$83001|1171$113001|600$123001|$193001|</t>
        </is>
      </c>
      <c r="K261" s="42" t="inlineStr">
        <is>
          <t>3</t>
        </is>
      </c>
      <c r="L261" s="41" t="inlineStr">
        <is>
          <t>53228</t>
        </is>
      </c>
      <c r="M261" s="41" t="inlineStr">
        <is>
          <t>65</t>
        </is>
      </c>
      <c r="O261" s="42" t="inlineStr">
        <is>
          <t>1</t>
        </is>
      </c>
      <c r="R261" s="28" t="inlineStr">
        <is>
          <t>365001|10</t>
        </is>
      </c>
    </row>
    <row r="262" ht="27" customHeight="1" s="80">
      <c r="B262" s="42" t="inlineStr">
        <is>
          <t>33017</t>
        </is>
      </c>
      <c r="C262" s="42" t="inlineStr">
        <is>
          <t>白民国固定主线</t>
        </is>
      </c>
      <c r="D262" s="42" t="inlineStr">
        <is>
          <t>3-17</t>
        </is>
      </c>
      <c r="F262" s="42" t="inlineStr">
        <is>
          <t>33016</t>
        </is>
      </c>
      <c r="G262" s="42" t="inlineStr">
        <is>
          <t>33018</t>
        </is>
      </c>
      <c r="H262" s="42" t="inlineStr">
        <is>
          <t>10003</t>
        </is>
      </c>
      <c r="J262" s="28" t="inlineStr">
        <is>
          <t>10001|5280$93001|$83001|1214$113001|624$123001|$193001|</t>
        </is>
      </c>
      <c r="K262" s="42" t="inlineStr">
        <is>
          <t>1</t>
        </is>
      </c>
      <c r="L262" s="41" t="inlineStr">
        <is>
          <t>53129|53129|53129|53129</t>
        </is>
      </c>
      <c r="M262" s="41" t="inlineStr">
        <is>
          <t>65</t>
        </is>
      </c>
      <c r="O262" s="42" t="inlineStr">
        <is>
          <t>1</t>
        </is>
      </c>
      <c r="R262" s="28" t="inlineStr">
        <is>
          <t>365001|10</t>
        </is>
      </c>
    </row>
    <row r="263" ht="27" customHeight="1" s="80">
      <c r="B263" s="42" t="inlineStr">
        <is>
          <t>33018</t>
        </is>
      </c>
      <c r="C263" s="42" t="inlineStr">
        <is>
          <t>白民国固定主线</t>
        </is>
      </c>
      <c r="D263" s="42" t="inlineStr">
        <is>
          <t>3-18</t>
        </is>
      </c>
      <c r="F263" s="42" t="inlineStr">
        <is>
          <t>33017</t>
        </is>
      </c>
      <c r="G263" s="42" t="inlineStr">
        <is>
          <t>33019</t>
        </is>
      </c>
      <c r="H263" s="42" t="inlineStr">
        <is>
          <t>10003</t>
        </is>
      </c>
      <c r="J263" s="28" t="inlineStr">
        <is>
          <t>10001|5520$93001|$83001|1258$113001|648$123001|$193001|</t>
        </is>
      </c>
      <c r="K263" s="42" t="inlineStr">
        <is>
          <t>1</t>
        </is>
      </c>
      <c r="L263" s="42" t="inlineStr">
        <is>
          <t>53130|53131|53130|53131</t>
        </is>
      </c>
      <c r="M263" s="41" t="inlineStr">
        <is>
          <t>65</t>
        </is>
      </c>
      <c r="O263" s="42" t="inlineStr">
        <is>
          <t>1</t>
        </is>
      </c>
      <c r="R263" s="28" t="inlineStr">
        <is>
          <t>365001|10</t>
        </is>
      </c>
    </row>
    <row r="264" ht="27" customHeight="1" s="80">
      <c r="B264" s="42" t="inlineStr">
        <is>
          <t>33019</t>
        </is>
      </c>
      <c r="C264" s="42" t="inlineStr">
        <is>
          <t>白民国固定主线</t>
        </is>
      </c>
      <c r="D264" s="42" t="inlineStr">
        <is>
          <t>3-19</t>
        </is>
      </c>
      <c r="F264" s="42" t="inlineStr">
        <is>
          <t>33018</t>
        </is>
      </c>
      <c r="G264" s="42" t="inlineStr">
        <is>
          <t>33020</t>
        </is>
      </c>
      <c r="H264" s="42" t="inlineStr">
        <is>
          <t>10003</t>
        </is>
      </c>
      <c r="J264" s="28" t="inlineStr">
        <is>
          <t>10001|5760$93001|$83001|1301$113001|672$123001|$193001|</t>
        </is>
      </c>
      <c r="K264" s="42" t="inlineStr">
        <is>
          <t>1</t>
        </is>
      </c>
      <c r="L264" s="42" t="inlineStr">
        <is>
          <t>53131|53132|53133|53134</t>
        </is>
      </c>
      <c r="M264" s="41" t="inlineStr">
        <is>
          <t>65</t>
        </is>
      </c>
      <c r="O264" s="42" t="inlineStr">
        <is>
          <t>1</t>
        </is>
      </c>
      <c r="P264" s="42" t="inlineStr">
        <is>
          <t>11008|11009</t>
        </is>
      </c>
      <c r="R264" s="28" t="inlineStr">
        <is>
          <t>365001|10</t>
        </is>
      </c>
    </row>
    <row r="265" ht="27" customHeight="1" s="80">
      <c r="B265" s="42" t="inlineStr">
        <is>
          <t>33020</t>
        </is>
      </c>
      <c r="C265" s="42" t="inlineStr">
        <is>
          <t>白民国固定主线</t>
        </is>
      </c>
      <c r="D265" s="42" t="inlineStr">
        <is>
          <t>3-20</t>
        </is>
      </c>
      <c r="F265" s="42" t="inlineStr">
        <is>
          <t>33019</t>
        </is>
      </c>
      <c r="G265" s="42" t="inlineStr">
        <is>
          <t>33021</t>
        </is>
      </c>
      <c r="H265" s="42" t="inlineStr">
        <is>
          <t>10003</t>
        </is>
      </c>
      <c r="J265" s="28" t="inlineStr">
        <is>
          <t>10001|6000$93001|$83001|1344$113001|696$123001|$193001|</t>
        </is>
      </c>
      <c r="K265" s="42" t="inlineStr">
        <is>
          <t>3</t>
        </is>
      </c>
      <c r="L265" s="41" t="inlineStr">
        <is>
          <t>53235</t>
        </is>
      </c>
      <c r="M265" s="41" t="inlineStr">
        <is>
          <t>66</t>
        </is>
      </c>
      <c r="O265" s="42" t="inlineStr">
        <is>
          <t>1</t>
        </is>
      </c>
      <c r="R265" s="28" t="inlineStr">
        <is>
          <t>365001|10</t>
        </is>
      </c>
    </row>
    <row r="266" ht="27" customHeight="1" s="80">
      <c r="B266" s="42" t="inlineStr">
        <is>
          <t>33021</t>
        </is>
      </c>
      <c r="C266" s="42" t="inlineStr">
        <is>
          <t>白民国固定主线</t>
        </is>
      </c>
      <c r="D266" s="42" t="inlineStr">
        <is>
          <t>3-21</t>
        </is>
      </c>
      <c r="F266" s="42" t="inlineStr">
        <is>
          <t>33020</t>
        </is>
      </c>
      <c r="G266" s="42" t="inlineStr">
        <is>
          <t>33022</t>
        </is>
      </c>
      <c r="H266" s="42" t="inlineStr">
        <is>
          <t>10003</t>
        </is>
      </c>
      <c r="J266" s="28" t="inlineStr">
        <is>
          <t>10001|6240$93001|$83001|1387$113001|720$123001|$193001|</t>
        </is>
      </c>
      <c r="K266" s="42" t="inlineStr">
        <is>
          <t>1</t>
        </is>
      </c>
      <c r="L266" s="41" t="inlineStr">
        <is>
          <t>53136|53136|53136|53136</t>
        </is>
      </c>
      <c r="M266" s="41" t="inlineStr">
        <is>
          <t>66</t>
        </is>
      </c>
      <c r="O266" s="42" t="inlineStr">
        <is>
          <t>1</t>
        </is>
      </c>
      <c r="R266" s="28" t="inlineStr">
        <is>
          <t>365001|10</t>
        </is>
      </c>
    </row>
    <row r="267" ht="27" customHeight="1" s="80">
      <c r="B267" s="42" t="inlineStr">
        <is>
          <t>33022</t>
        </is>
      </c>
      <c r="C267" s="42" t="inlineStr">
        <is>
          <t>白民国固定主线</t>
        </is>
      </c>
      <c r="D267" s="42" t="inlineStr">
        <is>
          <t>3-22</t>
        </is>
      </c>
      <c r="F267" s="42" t="inlineStr">
        <is>
          <t>33021</t>
        </is>
      </c>
      <c r="G267" s="42" t="inlineStr">
        <is>
          <t>33023</t>
        </is>
      </c>
      <c r="H267" s="42" t="inlineStr">
        <is>
          <t>10003</t>
        </is>
      </c>
      <c r="J267" s="28" t="inlineStr">
        <is>
          <t>10001|6480$93001|$83001|1430$113001|744$123001|$193001|</t>
        </is>
      </c>
      <c r="K267" s="42" t="inlineStr">
        <is>
          <t>1</t>
        </is>
      </c>
      <c r="L267" s="42" t="inlineStr">
        <is>
          <t>53137|53138|53137|53138</t>
        </is>
      </c>
      <c r="M267" s="41" t="inlineStr">
        <is>
          <t>66</t>
        </is>
      </c>
      <c r="O267" s="42" t="inlineStr">
        <is>
          <t>1</t>
        </is>
      </c>
      <c r="R267" s="28" t="inlineStr">
        <is>
          <t>365001|10</t>
        </is>
      </c>
    </row>
    <row r="268" ht="27" customHeight="1" s="80">
      <c r="B268" s="42" t="inlineStr">
        <is>
          <t>33023</t>
        </is>
      </c>
      <c r="C268" s="42" t="inlineStr">
        <is>
          <t>白民国固定主线</t>
        </is>
      </c>
      <c r="D268" s="42" t="inlineStr">
        <is>
          <t>3-23</t>
        </is>
      </c>
      <c r="F268" s="42" t="inlineStr">
        <is>
          <t>33022</t>
        </is>
      </c>
      <c r="G268" s="42" t="inlineStr">
        <is>
          <t>33024</t>
        </is>
      </c>
      <c r="H268" s="42" t="inlineStr">
        <is>
          <t>10003</t>
        </is>
      </c>
      <c r="J268" s="28" t="inlineStr">
        <is>
          <t>10001|6720$93001|$83001|1474$113001|768$123001|$193001|</t>
        </is>
      </c>
      <c r="K268" s="42" t="inlineStr">
        <is>
          <t>3</t>
        </is>
      </c>
      <c r="L268" s="41" t="inlineStr">
        <is>
          <t>53239</t>
        </is>
      </c>
      <c r="M268" s="41" t="inlineStr">
        <is>
          <t>67</t>
        </is>
      </c>
      <c r="O268" s="42" t="inlineStr">
        <is>
          <t>1</t>
        </is>
      </c>
      <c r="R268" s="28" t="inlineStr">
        <is>
          <t>365001|10</t>
        </is>
      </c>
    </row>
    <row r="269" ht="27" customHeight="1" s="80">
      <c r="B269" s="42" t="inlineStr">
        <is>
          <t>33024</t>
        </is>
      </c>
      <c r="C269" s="42" t="inlineStr">
        <is>
          <t>白民国固定主线</t>
        </is>
      </c>
      <c r="D269" s="42" t="inlineStr">
        <is>
          <t>3-24</t>
        </is>
      </c>
      <c r="F269" s="42" t="inlineStr">
        <is>
          <t>33023</t>
        </is>
      </c>
      <c r="G269" s="42" t="inlineStr">
        <is>
          <t>33025</t>
        </is>
      </c>
      <c r="H269" s="42" t="inlineStr">
        <is>
          <t>10003</t>
        </is>
      </c>
      <c r="J269" s="28" t="inlineStr">
        <is>
          <t>10001|6960$93001|$83001|1517$113001|792$123001|$193001|</t>
        </is>
      </c>
      <c r="K269" s="42" t="inlineStr">
        <is>
          <t>1</t>
        </is>
      </c>
      <c r="L269" s="41" t="inlineStr">
        <is>
          <t>53140|53140|53140|53140</t>
        </is>
      </c>
      <c r="M269" s="41" t="inlineStr">
        <is>
          <t>67</t>
        </is>
      </c>
      <c r="O269" s="42" t="inlineStr">
        <is>
          <t>1</t>
        </is>
      </c>
      <c r="R269" s="28" t="inlineStr">
        <is>
          <t>365001|10</t>
        </is>
      </c>
    </row>
    <row r="270" ht="27" customHeight="1" s="80">
      <c r="B270" s="42" t="inlineStr">
        <is>
          <t>33025</t>
        </is>
      </c>
      <c r="C270" s="42" t="inlineStr">
        <is>
          <t>白民国固定主线</t>
        </is>
      </c>
      <c r="D270" s="42" t="inlineStr">
        <is>
          <t>3-25</t>
        </is>
      </c>
      <c r="F270" s="42" t="inlineStr">
        <is>
          <t>33024</t>
        </is>
      </c>
      <c r="G270" s="42" t="inlineStr">
        <is>
          <t>33026</t>
        </is>
      </c>
      <c r="H270" s="42" t="inlineStr">
        <is>
          <t>10003</t>
        </is>
      </c>
      <c r="J270" s="28" t="inlineStr">
        <is>
          <t>10001|7200$93001|$83001|1560$113001|816$123001|$193001|</t>
        </is>
      </c>
      <c r="K270" s="42" t="inlineStr">
        <is>
          <t>1</t>
        </is>
      </c>
      <c r="L270" s="42" t="inlineStr">
        <is>
          <t>53141|53142|53141|53142</t>
        </is>
      </c>
      <c r="M270" s="41" t="inlineStr">
        <is>
          <t>67</t>
        </is>
      </c>
      <c r="O270" s="42" t="inlineStr">
        <is>
          <t>1</t>
        </is>
      </c>
      <c r="R270" s="28" t="inlineStr">
        <is>
          <t>365001|10</t>
        </is>
      </c>
    </row>
    <row r="271" ht="27" customHeight="1" s="80">
      <c r="B271" s="42" t="inlineStr">
        <is>
          <t>33026</t>
        </is>
      </c>
      <c r="C271" s="42" t="inlineStr">
        <is>
          <t>白民国固定主线</t>
        </is>
      </c>
      <c r="D271" s="42" t="inlineStr">
        <is>
          <t>3-26</t>
        </is>
      </c>
      <c r="F271" s="42" t="inlineStr">
        <is>
          <t>33025</t>
        </is>
      </c>
      <c r="G271" s="42" t="inlineStr">
        <is>
          <t>33027</t>
        </is>
      </c>
      <c r="H271" s="42" t="inlineStr">
        <is>
          <t>10003</t>
        </is>
      </c>
      <c r="J271" s="28" t="inlineStr">
        <is>
          <t>10001|7440$93001|$83001|1603$113001|840$123001|$193001|</t>
        </is>
      </c>
      <c r="K271" s="42" t="inlineStr">
        <is>
          <t>1</t>
        </is>
      </c>
      <c r="L271" s="42" t="inlineStr">
        <is>
          <t>53143|53144|53145|53143</t>
        </is>
      </c>
      <c r="M271" s="41" t="inlineStr">
        <is>
          <t>67</t>
        </is>
      </c>
      <c r="O271" s="42" t="inlineStr">
        <is>
          <t>1</t>
        </is>
      </c>
      <c r="P271" s="42" t="inlineStr">
        <is>
          <t>11010</t>
        </is>
      </c>
      <c r="R271" s="28" t="inlineStr">
        <is>
          <t>365001|10</t>
        </is>
      </c>
    </row>
    <row r="272" ht="27" customHeight="1" s="80">
      <c r="B272" s="42" t="inlineStr">
        <is>
          <t>33027</t>
        </is>
      </c>
      <c r="C272" s="42" t="inlineStr">
        <is>
          <t>白民国固定主线</t>
        </is>
      </c>
      <c r="D272" s="42" t="inlineStr">
        <is>
          <t>3-27</t>
        </is>
      </c>
      <c r="F272" s="42" t="inlineStr">
        <is>
          <t>33026</t>
        </is>
      </c>
      <c r="G272" s="42" t="inlineStr">
        <is>
          <t>33028</t>
        </is>
      </c>
      <c r="H272" s="42" t="inlineStr">
        <is>
          <t>10003</t>
        </is>
      </c>
      <c r="J272" s="28" t="inlineStr">
        <is>
          <t>10001|7680$93001|$83001|1646$113001|864$123001|$193001|</t>
        </is>
      </c>
      <c r="K272" s="42" t="inlineStr">
        <is>
          <t>3</t>
        </is>
      </c>
      <c r="L272" s="41" t="inlineStr">
        <is>
          <t>53246</t>
        </is>
      </c>
      <c r="M272" s="41" t="inlineStr">
        <is>
          <t>68</t>
        </is>
      </c>
      <c r="O272" s="42" t="inlineStr">
        <is>
          <t>1</t>
        </is>
      </c>
      <c r="R272" s="28" t="inlineStr">
        <is>
          <t>365001|10</t>
        </is>
      </c>
    </row>
    <row r="273" ht="27" customHeight="1" s="80">
      <c r="B273" s="42" t="inlineStr">
        <is>
          <t>33028</t>
        </is>
      </c>
      <c r="C273" s="42" t="inlineStr">
        <is>
          <t>白民国固定主线</t>
        </is>
      </c>
      <c r="D273" s="42" t="inlineStr">
        <is>
          <t>3-28</t>
        </is>
      </c>
      <c r="F273" s="42" t="inlineStr">
        <is>
          <t>33027</t>
        </is>
      </c>
      <c r="G273" s="42" t="inlineStr">
        <is>
          <t>33029</t>
        </is>
      </c>
      <c r="H273" s="42" t="inlineStr">
        <is>
          <t>10003</t>
        </is>
      </c>
      <c r="J273" s="28" t="inlineStr">
        <is>
          <t>10001|7920$93001|$83001|1690$113001|888$123001|$193001|</t>
        </is>
      </c>
      <c r="K273" s="42" t="inlineStr">
        <is>
          <t>1</t>
        </is>
      </c>
      <c r="L273" s="41" t="inlineStr">
        <is>
          <t>53147|53147|53147|53147</t>
        </is>
      </c>
      <c r="M273" s="41" t="inlineStr">
        <is>
          <t>68</t>
        </is>
      </c>
      <c r="O273" s="42" t="inlineStr">
        <is>
          <t>1</t>
        </is>
      </c>
      <c r="R273" s="28" t="inlineStr">
        <is>
          <t>365001|10</t>
        </is>
      </c>
    </row>
    <row r="274" ht="27" customHeight="1" s="80">
      <c r="B274" s="42" t="inlineStr">
        <is>
          <t>33029</t>
        </is>
      </c>
      <c r="C274" s="42" t="inlineStr">
        <is>
          <t>白民国固定主线</t>
        </is>
      </c>
      <c r="D274" s="42" t="inlineStr">
        <is>
          <t>3-29</t>
        </is>
      </c>
      <c r="F274" s="42" t="inlineStr">
        <is>
          <t>33028</t>
        </is>
      </c>
      <c r="G274" s="42" t="inlineStr">
        <is>
          <t>33030</t>
        </is>
      </c>
      <c r="H274" s="42" t="inlineStr">
        <is>
          <t>10003</t>
        </is>
      </c>
      <c r="J274" s="28" t="inlineStr">
        <is>
          <t>10001|8160$93001|$83001|1733$113001|912$123001|$193001|</t>
        </is>
      </c>
      <c r="K274" s="42" t="inlineStr">
        <is>
          <t>1</t>
        </is>
      </c>
      <c r="L274" s="42" t="inlineStr">
        <is>
          <t>53148|53149|53148|53149</t>
        </is>
      </c>
      <c r="M274" s="41" t="inlineStr">
        <is>
          <t>68</t>
        </is>
      </c>
      <c r="O274" s="42" t="inlineStr">
        <is>
          <t>1</t>
        </is>
      </c>
      <c r="R274" s="28" t="inlineStr">
        <is>
          <t>365001|10</t>
        </is>
      </c>
    </row>
    <row r="275" ht="27" customHeight="1" s="80">
      <c r="B275" s="42" t="inlineStr">
        <is>
          <t>33030</t>
        </is>
      </c>
      <c r="C275" s="42" t="inlineStr">
        <is>
          <t>白民国固定主线</t>
        </is>
      </c>
      <c r="D275" s="42" t="inlineStr">
        <is>
          <t>3-30</t>
        </is>
      </c>
      <c r="F275" s="42" t="inlineStr">
        <is>
          <t>33029</t>
        </is>
      </c>
      <c r="G275" s="42" t="inlineStr">
        <is>
          <t>33031</t>
        </is>
      </c>
      <c r="H275" s="42" t="inlineStr">
        <is>
          <t>10003</t>
        </is>
      </c>
      <c r="J275" s="28" t="inlineStr">
        <is>
          <t>10001|8400$93001|$83001|1776$113001|936$123001|$193001|</t>
        </is>
      </c>
      <c r="K275" s="42" t="inlineStr">
        <is>
          <t>1</t>
        </is>
      </c>
      <c r="L275" s="42" t="inlineStr">
        <is>
          <t>53150|53151|53152|53150</t>
        </is>
      </c>
      <c r="M275" s="41" t="inlineStr">
        <is>
          <t>68</t>
        </is>
      </c>
      <c r="O275" s="42" t="inlineStr">
        <is>
          <t>1</t>
        </is>
      </c>
      <c r="R275" s="28" t="inlineStr">
        <is>
          <t>365001|10</t>
        </is>
      </c>
    </row>
    <row r="276" ht="27" customHeight="1" s="80">
      <c r="B276" s="42" t="inlineStr">
        <is>
          <t>33031</t>
        </is>
      </c>
      <c r="C276" s="42" t="inlineStr">
        <is>
          <t>白民国固定主线</t>
        </is>
      </c>
      <c r="D276" s="42" t="inlineStr">
        <is>
          <t>3-31</t>
        </is>
      </c>
      <c r="F276" s="42" t="inlineStr">
        <is>
          <t>33030</t>
        </is>
      </c>
      <c r="G276" s="42" t="inlineStr">
        <is>
          <t>33032</t>
        </is>
      </c>
      <c r="H276" s="42" t="inlineStr">
        <is>
          <t>10003</t>
        </is>
      </c>
      <c r="J276" s="28" t="inlineStr">
        <is>
          <t>10001|8640$93001|$83001|1819$113001|960$123001|$193001|</t>
        </is>
      </c>
      <c r="K276" s="42" t="inlineStr">
        <is>
          <t>3</t>
        </is>
      </c>
      <c r="L276" s="41" t="inlineStr">
        <is>
          <t>53253</t>
        </is>
      </c>
      <c r="M276" s="41" t="inlineStr">
        <is>
          <t>69</t>
        </is>
      </c>
      <c r="O276" s="42" t="inlineStr">
        <is>
          <t>1</t>
        </is>
      </c>
      <c r="R276" s="28" t="inlineStr">
        <is>
          <t>365001|10</t>
        </is>
      </c>
    </row>
    <row r="277" ht="27" customHeight="1" s="80">
      <c r="B277" s="42" t="inlineStr">
        <is>
          <t>33032</t>
        </is>
      </c>
      <c r="C277" s="42" t="inlineStr">
        <is>
          <t>白民国固定主线</t>
        </is>
      </c>
      <c r="D277" s="42" t="inlineStr">
        <is>
          <t>3-32</t>
        </is>
      </c>
      <c r="F277" s="42" t="inlineStr">
        <is>
          <t>33031</t>
        </is>
      </c>
      <c r="G277" s="42" t="inlineStr">
        <is>
          <t>33033</t>
        </is>
      </c>
      <c r="H277" s="42" t="inlineStr">
        <is>
          <t>10003</t>
        </is>
      </c>
      <c r="J277" s="28" t="inlineStr">
        <is>
          <t>10001|8880$93001|$83001|1862$113001|984$123001|$193001|</t>
        </is>
      </c>
      <c r="K277" s="42" t="inlineStr">
        <is>
          <t>1</t>
        </is>
      </c>
      <c r="L277" s="41" t="inlineStr">
        <is>
          <t>53154|53154|53154|53154</t>
        </is>
      </c>
      <c r="M277" s="41" t="inlineStr">
        <is>
          <t>69</t>
        </is>
      </c>
      <c r="O277" s="42" t="inlineStr">
        <is>
          <t>1</t>
        </is>
      </c>
      <c r="R277" s="28" t="inlineStr">
        <is>
          <t>365001|10</t>
        </is>
      </c>
    </row>
    <row r="278" ht="40.5" customHeight="1" s="80">
      <c r="B278" s="42" t="inlineStr">
        <is>
          <t>33033</t>
        </is>
      </c>
      <c r="C278" s="42" t="inlineStr">
        <is>
          <t>白民国固定主线</t>
        </is>
      </c>
      <c r="D278" s="42" t="inlineStr">
        <is>
          <t>3-33</t>
        </is>
      </c>
      <c r="F278" s="42" t="inlineStr">
        <is>
          <t>33032</t>
        </is>
      </c>
      <c r="G278" s="42" t="inlineStr">
        <is>
          <t>33034</t>
        </is>
      </c>
      <c r="H278" s="42" t="inlineStr">
        <is>
          <t>10003</t>
        </is>
      </c>
      <c r="J278" s="28" t="inlineStr">
        <is>
          <t>10001|9120$93001|$83001|1905$113001|1008$123001|$193001|</t>
        </is>
      </c>
      <c r="K278" s="42" t="inlineStr">
        <is>
          <t>1</t>
        </is>
      </c>
      <c r="L278" s="42" t="inlineStr">
        <is>
          <t>53155|53156|53155|53156</t>
        </is>
      </c>
      <c r="M278" s="41" t="inlineStr">
        <is>
          <t>69</t>
        </is>
      </c>
      <c r="O278" s="42" t="inlineStr">
        <is>
          <t>1</t>
        </is>
      </c>
      <c r="P278" s="42" t="inlineStr">
        <is>
          <t>11011</t>
        </is>
      </c>
      <c r="R278" s="28" t="inlineStr">
        <is>
          <t>365001|10</t>
        </is>
      </c>
    </row>
    <row r="279" ht="40.5" customHeight="1" s="80">
      <c r="B279" s="42" t="inlineStr">
        <is>
          <t>33034</t>
        </is>
      </c>
      <c r="C279" s="42" t="inlineStr">
        <is>
          <t>白民国固定主线</t>
        </is>
      </c>
      <c r="D279" s="42" t="inlineStr">
        <is>
          <t>3-34</t>
        </is>
      </c>
      <c r="F279" s="42" t="inlineStr">
        <is>
          <t>33033</t>
        </is>
      </c>
      <c r="G279" s="42" t="inlineStr">
        <is>
          <t>33035</t>
        </is>
      </c>
      <c r="H279" s="42" t="inlineStr">
        <is>
          <t>10003</t>
        </is>
      </c>
      <c r="J279" s="28" t="inlineStr">
        <is>
          <t>10001|9360$93001|$83001|1948$113001|1032$123001|$193001|</t>
        </is>
      </c>
      <c r="K279" s="42" t="inlineStr">
        <is>
          <t>1</t>
        </is>
      </c>
      <c r="L279" s="42" t="inlineStr">
        <is>
          <t>53157|53158|53159|53157</t>
        </is>
      </c>
      <c r="M279" s="41" t="inlineStr">
        <is>
          <t>69</t>
        </is>
      </c>
      <c r="O279" s="42" t="inlineStr">
        <is>
          <t>1</t>
        </is>
      </c>
      <c r="R279" s="28" t="inlineStr">
        <is>
          <t>365001|10</t>
        </is>
      </c>
    </row>
    <row r="280" ht="27" customHeight="1" s="80">
      <c r="B280" s="42" t="inlineStr">
        <is>
          <t>33035</t>
        </is>
      </c>
      <c r="C280" s="42" t="inlineStr">
        <is>
          <t>白民国固定主线</t>
        </is>
      </c>
      <c r="D280" s="42" t="inlineStr">
        <is>
          <t>3-35</t>
        </is>
      </c>
      <c r="F280" s="42" t="inlineStr">
        <is>
          <t>33034</t>
        </is>
      </c>
      <c r="G280" s="42" t="inlineStr">
        <is>
          <t>33036</t>
        </is>
      </c>
      <c r="H280" s="42" t="inlineStr">
        <is>
          <t>10003</t>
        </is>
      </c>
      <c r="J280" s="28" t="inlineStr">
        <is>
          <t>10001|9600$93001|$83001|1991$113001|1056$123001|$193001|</t>
        </is>
      </c>
      <c r="K280" s="42" t="inlineStr">
        <is>
          <t>3</t>
        </is>
      </c>
      <c r="L280" s="28" t="inlineStr">
        <is>
          <t>53260</t>
        </is>
      </c>
      <c r="M280" s="42" t="inlineStr">
        <is>
          <t>70</t>
        </is>
      </c>
      <c r="O280" s="42" t="inlineStr">
        <is>
          <t>1</t>
        </is>
      </c>
      <c r="P280" s="42" t="inlineStr">
        <is>
          <t>11012|11013|11014|11015</t>
        </is>
      </c>
      <c r="R280" s="28" t="inlineStr">
        <is>
          <t>365001|10</t>
        </is>
      </c>
    </row>
    <row r="281" ht="27" customHeight="1" s="80">
      <c r="B281" s="42" t="inlineStr">
        <is>
          <t>33036</t>
        </is>
      </c>
      <c r="C281" s="42" t="inlineStr">
        <is>
          <t>白民国固定主线</t>
        </is>
      </c>
      <c r="D281" s="42" t="inlineStr">
        <is>
          <t>3-36</t>
        </is>
      </c>
      <c r="F281" s="42" t="inlineStr">
        <is>
          <t>33035</t>
        </is>
      </c>
      <c r="G281" s="42" t="inlineStr">
        <is>
          <t>33037</t>
        </is>
      </c>
      <c r="H281" s="42" t="inlineStr">
        <is>
          <t>10003</t>
        </is>
      </c>
      <c r="J281" s="28" t="inlineStr">
        <is>
          <t>10001|9840$93001|$83001|2034$113001|1080$123001|$193001|</t>
        </is>
      </c>
      <c r="K281" s="42" t="inlineStr">
        <is>
          <t>1</t>
        </is>
      </c>
      <c r="L281" s="41" t="inlineStr">
        <is>
          <t>53161|53161|53161|53161</t>
        </is>
      </c>
      <c r="M281" s="42" t="inlineStr">
        <is>
          <t>70</t>
        </is>
      </c>
      <c r="O281" s="42" t="inlineStr">
        <is>
          <t>1</t>
        </is>
      </c>
      <c r="Q281" s="42" t="inlineStr">
        <is>
          <t>11016|11017|11018</t>
        </is>
      </c>
      <c r="R281" s="28" t="inlineStr">
        <is>
          <t>365001|10</t>
        </is>
      </c>
    </row>
    <row r="282" ht="27" customHeight="1" s="80">
      <c r="B282" s="42" t="inlineStr">
        <is>
          <t>33037</t>
        </is>
      </c>
      <c r="C282" s="42" t="inlineStr">
        <is>
          <t>白民国固定主线</t>
        </is>
      </c>
      <c r="D282" s="42" t="inlineStr">
        <is>
          <t>3-37</t>
        </is>
      </c>
      <c r="F282" s="42" t="inlineStr">
        <is>
          <t>33036</t>
        </is>
      </c>
      <c r="G282" s="42" t="inlineStr">
        <is>
          <t>33038</t>
        </is>
      </c>
      <c r="H282" s="42" t="inlineStr">
        <is>
          <t>10003</t>
        </is>
      </c>
      <c r="J282" s="28" t="inlineStr">
        <is>
          <t>10001|10080$93001|$83001|2077$113001|1104$123001|$193001|</t>
        </is>
      </c>
      <c r="K282" s="42" t="inlineStr">
        <is>
          <t>1</t>
        </is>
      </c>
      <c r="L282" s="41" t="inlineStr">
        <is>
          <t>53162|53163|53162|53163</t>
        </is>
      </c>
      <c r="M282" s="42" t="inlineStr">
        <is>
          <t>70</t>
        </is>
      </c>
      <c r="O282" s="42" t="inlineStr">
        <is>
          <t>1</t>
        </is>
      </c>
      <c r="R282" s="28" t="inlineStr">
        <is>
          <t>365001|10</t>
        </is>
      </c>
    </row>
    <row r="283" ht="27" customHeight="1" s="80">
      <c r="B283" s="42" t="inlineStr">
        <is>
          <t>33038</t>
        </is>
      </c>
      <c r="C283" s="42" t="inlineStr">
        <is>
          <t>白民国固定主线</t>
        </is>
      </c>
      <c r="D283" s="42" t="inlineStr">
        <is>
          <t>3-38</t>
        </is>
      </c>
      <c r="F283" s="42" t="inlineStr">
        <is>
          <t>33037</t>
        </is>
      </c>
      <c r="G283" s="42" t="inlineStr">
        <is>
          <t>33039</t>
        </is>
      </c>
      <c r="H283" s="42" t="inlineStr">
        <is>
          <t>10003</t>
        </is>
      </c>
      <c r="J283" s="28" t="inlineStr">
        <is>
          <t>10001|10320$93001|$83001|2120$113001|1128$123001|$193001|</t>
        </is>
      </c>
      <c r="K283" s="42" t="inlineStr">
        <is>
          <t>1</t>
        </is>
      </c>
      <c r="L283" s="42" t="inlineStr">
        <is>
          <t>53164|53165|53166|53164</t>
        </is>
      </c>
      <c r="M283" s="42" t="inlineStr">
        <is>
          <t>70</t>
        </is>
      </c>
      <c r="O283" s="42" t="inlineStr">
        <is>
          <t>1</t>
        </is>
      </c>
      <c r="R283" s="28" t="inlineStr">
        <is>
          <t>365001|10</t>
        </is>
      </c>
    </row>
    <row r="284" ht="40.5" customHeight="1" s="80">
      <c r="B284" s="42" t="inlineStr">
        <is>
          <t>33039</t>
        </is>
      </c>
      <c r="C284" s="42" t="inlineStr">
        <is>
          <t>白民国固定主线</t>
        </is>
      </c>
      <c r="D284" s="42" t="inlineStr">
        <is>
          <t>3-39</t>
        </is>
      </c>
      <c r="F284" s="42" t="inlineStr">
        <is>
          <t>33038</t>
        </is>
      </c>
      <c r="G284" s="42" t="inlineStr">
        <is>
          <t>33040</t>
        </is>
      </c>
      <c r="H284" s="42" t="inlineStr">
        <is>
          <t>10003</t>
        </is>
      </c>
      <c r="J284" s="28" t="inlineStr">
        <is>
          <t>10001|10560$93001|$83001|2163$113001|1152$123001|$193001|</t>
        </is>
      </c>
      <c r="K284" s="42" t="inlineStr">
        <is>
          <t>3</t>
        </is>
      </c>
      <c r="L284" s="41" t="inlineStr">
        <is>
          <t>53267</t>
        </is>
      </c>
      <c r="M284" s="41" t="inlineStr">
        <is>
          <t>73</t>
        </is>
      </c>
      <c r="O284" s="42" t="inlineStr">
        <is>
          <t>1</t>
        </is>
      </c>
      <c r="R284" s="28" t="inlineStr">
        <is>
          <t>365001|10</t>
        </is>
      </c>
    </row>
    <row r="285">
      <c r="B285" s="42" t="inlineStr">
        <is>
          <t>33040</t>
        </is>
      </c>
      <c r="C285" s="42" t="inlineStr">
        <is>
          <t>白民国固定主线</t>
        </is>
      </c>
      <c r="D285" s="42" t="inlineStr">
        <is>
          <t>3-40</t>
        </is>
      </c>
      <c r="F285" s="42" t="inlineStr">
        <is>
          <t>33039</t>
        </is>
      </c>
      <c r="G285" s="42" t="n"/>
      <c r="H285" s="42" t="inlineStr">
        <is>
          <t>10003</t>
        </is>
      </c>
      <c r="I285" s="42" t="inlineStr">
        <is>
          <t>1</t>
        </is>
      </c>
      <c r="J285" s="28" t="inlineStr">
        <is>
          <t>10001|10800$93001|$83001|2206$113001|1176$123001|$193001|</t>
        </is>
      </c>
      <c r="K285" s="42" t="inlineStr">
        <is>
          <t>4</t>
        </is>
      </c>
      <c r="L285" s="41" t="inlineStr">
        <is>
          <t>53368</t>
        </is>
      </c>
      <c r="M285" s="41" t="inlineStr">
        <is>
          <t>76</t>
        </is>
      </c>
      <c r="O285" s="42" t="inlineStr">
        <is>
          <t>1</t>
        </is>
      </c>
      <c r="P285" s="42" t="inlineStr">
        <is>
          <t>11019|11020</t>
        </is>
      </c>
      <c r="Q285" s="72" t="inlineStr">
        <is>
          <t>11021|11022</t>
        </is>
      </c>
      <c r="R285" s="28" t="inlineStr">
        <is>
          <t>365001|10$445001|1</t>
        </is>
      </c>
    </row>
    <row r="286">
      <c r="B286" s="42" t="inlineStr">
        <is>
          <t>44001</t>
        </is>
      </c>
      <c r="C286" s="42" t="inlineStr">
        <is>
          <t>羽民国固定主线</t>
        </is>
      </c>
      <c r="D286" s="42" t="inlineStr">
        <is>
          <t>4-1</t>
        </is>
      </c>
      <c r="E286" s="42" t="inlineStr">
        <is>
          <t>1</t>
        </is>
      </c>
      <c r="G286" s="42" t="inlineStr">
        <is>
          <t>44002</t>
        </is>
      </c>
      <c r="H286" s="42" t="inlineStr">
        <is>
          <t>10004</t>
        </is>
      </c>
      <c r="J286" s="79" t="inlineStr">
        <is>
          <t>10001|30000$84001|1650$114001|1300</t>
        </is>
      </c>
      <c r="K286" s="42" t="inlineStr">
        <is>
          <t>1</t>
        </is>
      </c>
      <c r="L286" s="41" t="inlineStr">
        <is>
          <t>54101</t>
        </is>
      </c>
      <c r="M286" s="42" t="inlineStr">
        <is>
          <t>91</t>
        </is>
      </c>
      <c r="O286" s="42" t="inlineStr">
        <is>
          <t>1</t>
        </is>
      </c>
      <c r="P286" s="42" t="inlineStr">
        <is>
          <t>11023|11024|11025|11026</t>
        </is>
      </c>
      <c r="Q286" s="42" t="inlineStr">
        <is>
          <t>11027|11028|11029|11030</t>
        </is>
      </c>
      <c r="R286" s="79" t="inlineStr">
        <is>
          <t>365001|10</t>
        </is>
      </c>
    </row>
    <row r="287">
      <c r="B287" s="42" t="inlineStr">
        <is>
          <t>44002</t>
        </is>
      </c>
      <c r="C287" s="42" t="inlineStr">
        <is>
          <t>羽民国固定主线</t>
        </is>
      </c>
      <c r="D287" s="42" t="inlineStr">
        <is>
          <t>4-2</t>
        </is>
      </c>
      <c r="F287" s="42" t="inlineStr">
        <is>
          <t>44001</t>
        </is>
      </c>
      <c r="G287" s="42" t="inlineStr">
        <is>
          <t>44003</t>
        </is>
      </c>
      <c r="H287" s="42" t="inlineStr">
        <is>
          <t>10004</t>
        </is>
      </c>
      <c r="J287" s="79" t="inlineStr">
        <is>
          <t>10001|30000$84001|1650$114001|1300</t>
        </is>
      </c>
      <c r="K287" s="42" t="inlineStr">
        <is>
          <t>1</t>
        </is>
      </c>
      <c r="L287" s="42" t="inlineStr">
        <is>
          <t>54102|54103|54102|54103</t>
        </is>
      </c>
      <c r="M287" s="42" t="inlineStr">
        <is>
          <t>91</t>
        </is>
      </c>
      <c r="O287" s="42" t="inlineStr">
        <is>
          <t>1</t>
        </is>
      </c>
      <c r="R287" s="79" t="inlineStr">
        <is>
          <t>365001|10</t>
        </is>
      </c>
    </row>
    <row r="288">
      <c r="B288" s="42" t="inlineStr">
        <is>
          <t>44003</t>
        </is>
      </c>
      <c r="C288" s="42" t="inlineStr">
        <is>
          <t>羽民国固定主线</t>
        </is>
      </c>
      <c r="D288" s="42" t="inlineStr">
        <is>
          <t>4-3</t>
        </is>
      </c>
      <c r="F288" s="42" t="inlineStr">
        <is>
          <t>44002</t>
        </is>
      </c>
      <c r="G288" s="42" t="inlineStr">
        <is>
          <t>44004</t>
        </is>
      </c>
      <c r="H288" s="42" t="inlineStr">
        <is>
          <t>10004</t>
        </is>
      </c>
      <c r="J288" s="79" t="inlineStr">
        <is>
          <t>10001|30000$84001|1650$114001|1300</t>
        </is>
      </c>
      <c r="K288" s="42" t="inlineStr">
        <is>
          <t>1</t>
        </is>
      </c>
      <c r="L288" s="42" t="inlineStr">
        <is>
          <t>54104|54104|54104|54104</t>
        </is>
      </c>
      <c r="M288" s="42" t="inlineStr">
        <is>
          <t>91</t>
        </is>
      </c>
      <c r="O288" s="42" t="inlineStr">
        <is>
          <t>1</t>
        </is>
      </c>
      <c r="R288" s="79" t="inlineStr">
        <is>
          <t>365001|10</t>
        </is>
      </c>
    </row>
    <row r="289">
      <c r="B289" s="42" t="inlineStr">
        <is>
          <t>44004</t>
        </is>
      </c>
      <c r="C289" s="42" t="inlineStr">
        <is>
          <t>羽民国固定主线</t>
        </is>
      </c>
      <c r="D289" s="42" t="inlineStr">
        <is>
          <t>4-4</t>
        </is>
      </c>
      <c r="F289" s="42" t="inlineStr">
        <is>
          <t>44003</t>
        </is>
      </c>
      <c r="G289" s="42" t="inlineStr">
        <is>
          <t>44005</t>
        </is>
      </c>
      <c r="H289" s="42" t="inlineStr">
        <is>
          <t>10004</t>
        </is>
      </c>
      <c r="J289" s="79" t="inlineStr">
        <is>
          <t>10001|30000$84001|1650$114001|1300</t>
        </is>
      </c>
      <c r="K289" s="42" t="inlineStr">
        <is>
          <t>3</t>
        </is>
      </c>
      <c r="L289" s="41" t="inlineStr">
        <is>
          <t>54105</t>
        </is>
      </c>
      <c r="M289" s="42" t="inlineStr">
        <is>
          <t>92</t>
        </is>
      </c>
      <c r="O289" s="42" t="inlineStr">
        <is>
          <t>1</t>
        </is>
      </c>
      <c r="R289" s="79" t="inlineStr">
        <is>
          <t>365001|10</t>
        </is>
      </c>
    </row>
    <row r="290">
      <c r="B290" s="42" t="inlineStr">
        <is>
          <t>44005</t>
        </is>
      </c>
      <c r="C290" s="42" t="inlineStr">
        <is>
          <t>羽民国固定主线</t>
        </is>
      </c>
      <c r="D290" s="42" t="inlineStr">
        <is>
          <t>4-5</t>
        </is>
      </c>
      <c r="F290" s="42" t="inlineStr">
        <is>
          <t>44004</t>
        </is>
      </c>
      <c r="G290" s="42" t="inlineStr">
        <is>
          <t>44006</t>
        </is>
      </c>
      <c r="H290" s="42" t="inlineStr">
        <is>
          <t>10004</t>
        </is>
      </c>
      <c r="J290" s="79" t="inlineStr">
        <is>
          <t>10001|30000$84001|1650$114001|1300</t>
        </is>
      </c>
      <c r="K290" s="42" t="inlineStr">
        <is>
          <t>1</t>
        </is>
      </c>
      <c r="L290" s="41" t="inlineStr">
        <is>
          <t>54106</t>
        </is>
      </c>
      <c r="M290" s="42" t="inlineStr">
        <is>
          <t>92</t>
        </is>
      </c>
      <c r="O290" s="42" t="inlineStr">
        <is>
          <t>1</t>
        </is>
      </c>
      <c r="R290" s="79" t="inlineStr">
        <is>
          <t>365001|10</t>
        </is>
      </c>
    </row>
    <row r="291">
      <c r="B291" s="42" t="inlineStr">
        <is>
          <t>44006</t>
        </is>
      </c>
      <c r="C291" s="42" t="inlineStr">
        <is>
          <t>羽民国固定主线</t>
        </is>
      </c>
      <c r="D291" s="42" t="inlineStr">
        <is>
          <t>4-6</t>
        </is>
      </c>
      <c r="F291" s="42" t="inlineStr">
        <is>
          <t>44005</t>
        </is>
      </c>
      <c r="G291" s="42" t="inlineStr">
        <is>
          <t>44007</t>
        </is>
      </c>
      <c r="H291" s="42" t="inlineStr">
        <is>
          <t>10004</t>
        </is>
      </c>
      <c r="J291" s="79" t="inlineStr">
        <is>
          <t>10001|30000$84001|1650$114001|1300</t>
        </is>
      </c>
      <c r="K291" s="42" t="inlineStr">
        <is>
          <t>1</t>
        </is>
      </c>
      <c r="L291" s="41" t="inlineStr">
        <is>
          <t>54107|54108|54107|54108</t>
        </is>
      </c>
      <c r="M291" s="42" t="inlineStr">
        <is>
          <t>92</t>
        </is>
      </c>
      <c r="O291" s="42" t="inlineStr">
        <is>
          <t>1</t>
        </is>
      </c>
      <c r="R291" s="79" t="inlineStr">
        <is>
          <t>365001|10</t>
        </is>
      </c>
    </row>
    <row r="292">
      <c r="B292" s="42" t="inlineStr">
        <is>
          <t>44007</t>
        </is>
      </c>
      <c r="C292" s="42" t="inlineStr">
        <is>
          <t>羽民国固定主线</t>
        </is>
      </c>
      <c r="D292" s="42" t="inlineStr">
        <is>
          <t>4-7</t>
        </is>
      </c>
      <c r="F292" s="42" t="inlineStr">
        <is>
          <t>44006</t>
        </is>
      </c>
      <c r="G292" s="42" t="inlineStr">
        <is>
          <t>44008</t>
        </is>
      </c>
      <c r="H292" s="42" t="inlineStr">
        <is>
          <t>10004</t>
        </is>
      </c>
      <c r="J292" s="79" t="inlineStr">
        <is>
          <t>10001|30000$84001|1650$114001|1300</t>
        </is>
      </c>
      <c r="K292" s="42" t="inlineStr">
        <is>
          <t>1</t>
        </is>
      </c>
      <c r="L292" s="41" t="inlineStr">
        <is>
          <t>54108|54109|54108|54109</t>
        </is>
      </c>
      <c r="M292" s="42" t="inlineStr">
        <is>
          <t>92</t>
        </is>
      </c>
      <c r="O292" s="42" t="inlineStr">
        <is>
          <t>1</t>
        </is>
      </c>
      <c r="R292" s="79" t="inlineStr">
        <is>
          <t>365001|10</t>
        </is>
      </c>
    </row>
    <row r="293">
      <c r="B293" s="42" t="inlineStr">
        <is>
          <t>44008</t>
        </is>
      </c>
      <c r="C293" s="42" t="inlineStr">
        <is>
          <t>羽民国固定主线</t>
        </is>
      </c>
      <c r="D293" s="42" t="inlineStr">
        <is>
          <t>4-8</t>
        </is>
      </c>
      <c r="F293" s="42" t="inlineStr">
        <is>
          <t>44007</t>
        </is>
      </c>
      <c r="G293" s="42" t="inlineStr">
        <is>
          <t>44009</t>
        </is>
      </c>
      <c r="H293" s="42" t="inlineStr">
        <is>
          <t>10004</t>
        </is>
      </c>
      <c r="J293" s="79" t="inlineStr">
        <is>
          <t>10001|30000$84001|1650$114001|1300</t>
        </is>
      </c>
      <c r="K293" s="42" t="inlineStr">
        <is>
          <t>3</t>
        </is>
      </c>
      <c r="L293" s="41" t="inlineStr">
        <is>
          <t>54110</t>
        </is>
      </c>
      <c r="M293" s="42" t="inlineStr">
        <is>
          <t>93</t>
        </is>
      </c>
      <c r="O293" s="42" t="inlineStr">
        <is>
          <t>1</t>
        </is>
      </c>
      <c r="R293" s="79" t="inlineStr">
        <is>
          <t>365001|10</t>
        </is>
      </c>
    </row>
    <row r="294">
      <c r="B294" s="42" t="inlineStr">
        <is>
          <t>44009</t>
        </is>
      </c>
      <c r="C294" s="42" t="inlineStr">
        <is>
          <t>羽民国固定主线</t>
        </is>
      </c>
      <c r="D294" s="42" t="inlineStr">
        <is>
          <t>4-9</t>
        </is>
      </c>
      <c r="F294" s="42" t="inlineStr">
        <is>
          <t>44008</t>
        </is>
      </c>
      <c r="G294" s="42" t="inlineStr">
        <is>
          <t>44010</t>
        </is>
      </c>
      <c r="H294" s="42" t="inlineStr">
        <is>
          <t>10004</t>
        </is>
      </c>
      <c r="J294" s="79" t="inlineStr">
        <is>
          <t>10001|30000$84001|1650$114001|1300</t>
        </is>
      </c>
      <c r="K294" s="42" t="inlineStr">
        <is>
          <t>1</t>
        </is>
      </c>
      <c r="L294" s="41" t="inlineStr">
        <is>
          <t>54111</t>
        </is>
      </c>
      <c r="M294" s="42" t="inlineStr">
        <is>
          <t>93</t>
        </is>
      </c>
      <c r="O294" s="42" t="inlineStr">
        <is>
          <t>1</t>
        </is>
      </c>
      <c r="R294" s="79" t="inlineStr">
        <is>
          <t>365001|10</t>
        </is>
      </c>
    </row>
    <row r="295">
      <c r="B295" s="42" t="inlineStr">
        <is>
          <t>44010</t>
        </is>
      </c>
      <c r="C295" s="42" t="inlineStr">
        <is>
          <t>羽民国固定主线</t>
        </is>
      </c>
      <c r="D295" s="42" t="inlineStr">
        <is>
          <t>4-10</t>
        </is>
      </c>
      <c r="F295" s="42" t="inlineStr">
        <is>
          <t>44009</t>
        </is>
      </c>
      <c r="G295" s="42" t="inlineStr">
        <is>
          <t>44011</t>
        </is>
      </c>
      <c r="H295" s="42" t="inlineStr">
        <is>
          <t>10004</t>
        </is>
      </c>
      <c r="J295" s="79" t="inlineStr">
        <is>
          <t>10001|30000$84001|1650$114001|1300</t>
        </is>
      </c>
      <c r="K295" s="42" t="inlineStr">
        <is>
          <t>1</t>
        </is>
      </c>
      <c r="L295" s="41" t="inlineStr">
        <is>
          <t>54112|54112|54112|54112</t>
        </is>
      </c>
      <c r="M295" s="42" t="inlineStr">
        <is>
          <t>93</t>
        </is>
      </c>
      <c r="O295" s="42" t="inlineStr">
        <is>
          <t>1</t>
        </is>
      </c>
      <c r="R295" s="79" t="inlineStr">
        <is>
          <t>365001|10</t>
        </is>
      </c>
    </row>
    <row r="296">
      <c r="B296" s="42" t="inlineStr">
        <is>
          <t>44011</t>
        </is>
      </c>
      <c r="C296" s="42" t="inlineStr">
        <is>
          <t>羽民国固定主线</t>
        </is>
      </c>
      <c r="D296" s="42" t="inlineStr">
        <is>
          <t>4-11</t>
        </is>
      </c>
      <c r="F296" s="42" t="inlineStr">
        <is>
          <t>44010</t>
        </is>
      </c>
      <c r="G296" s="42" t="inlineStr">
        <is>
          <t>44012</t>
        </is>
      </c>
      <c r="H296" s="42" t="inlineStr">
        <is>
          <t>10004</t>
        </is>
      </c>
      <c r="J296" s="79" t="inlineStr">
        <is>
          <t>10001|30000$84001|1650$114001|1300</t>
        </is>
      </c>
      <c r="K296" s="42" t="inlineStr">
        <is>
          <t>1</t>
        </is>
      </c>
      <c r="L296" s="41" t="inlineStr">
        <is>
          <t>54113|54113|54113|54113</t>
        </is>
      </c>
      <c r="M296" s="42" t="inlineStr">
        <is>
          <t>93</t>
        </is>
      </c>
      <c r="O296" s="42" t="inlineStr">
        <is>
          <t>1</t>
        </is>
      </c>
      <c r="R296" s="79" t="inlineStr">
        <is>
          <t>365001|10</t>
        </is>
      </c>
    </row>
    <row r="297">
      <c r="B297" s="42" t="inlineStr">
        <is>
          <t>44012</t>
        </is>
      </c>
      <c r="C297" s="42" t="inlineStr">
        <is>
          <t>羽民国固定主线</t>
        </is>
      </c>
      <c r="D297" s="42" t="inlineStr">
        <is>
          <t>4-12</t>
        </is>
      </c>
      <c r="F297" s="42" t="inlineStr">
        <is>
          <t>44011</t>
        </is>
      </c>
      <c r="G297" s="42" t="inlineStr">
        <is>
          <t>44013</t>
        </is>
      </c>
      <c r="H297" s="42" t="inlineStr">
        <is>
          <t>10004</t>
        </is>
      </c>
      <c r="J297" s="79" t="inlineStr">
        <is>
          <t>10001|30000$84001|1650$114001|1300</t>
        </is>
      </c>
      <c r="K297" s="42" t="inlineStr">
        <is>
          <t>1</t>
        </is>
      </c>
      <c r="L297" s="41" t="inlineStr">
        <is>
          <t>54111</t>
        </is>
      </c>
      <c r="M297" s="42" t="inlineStr">
        <is>
          <t>94</t>
        </is>
      </c>
      <c r="O297" s="42" t="inlineStr">
        <is>
          <t>1</t>
        </is>
      </c>
      <c r="R297" s="79" t="inlineStr">
        <is>
          <t>365001|10</t>
        </is>
      </c>
    </row>
    <row r="298">
      <c r="B298" s="42" t="inlineStr">
        <is>
          <t>44013</t>
        </is>
      </c>
      <c r="C298" s="42" t="inlineStr">
        <is>
          <t>羽民国固定主线</t>
        </is>
      </c>
      <c r="D298" s="42" t="inlineStr">
        <is>
          <t>4-13</t>
        </is>
      </c>
      <c r="F298" s="42" t="inlineStr">
        <is>
          <t>44012</t>
        </is>
      </c>
      <c r="G298" s="42" t="inlineStr">
        <is>
          <t>44014</t>
        </is>
      </c>
      <c r="H298" s="42" t="inlineStr">
        <is>
          <t>10004</t>
        </is>
      </c>
      <c r="J298" s="79" t="inlineStr">
        <is>
          <t>10001|30000$84001|1650$114001|1300</t>
        </is>
      </c>
      <c r="K298" s="42" t="inlineStr">
        <is>
          <t>1</t>
        </is>
      </c>
      <c r="L298" s="41" t="inlineStr">
        <is>
          <t>54114</t>
        </is>
      </c>
      <c r="M298" s="42" t="inlineStr">
        <is>
          <t>95</t>
        </is>
      </c>
      <c r="O298" s="42" t="inlineStr">
        <is>
          <t>1</t>
        </is>
      </c>
      <c r="R298" s="79" t="inlineStr">
        <is>
          <t>365001|10</t>
        </is>
      </c>
    </row>
    <row r="299">
      <c r="B299" s="42" t="inlineStr">
        <is>
          <t>44014</t>
        </is>
      </c>
      <c r="C299" s="42" t="inlineStr">
        <is>
          <t>羽民国固定主线</t>
        </is>
      </c>
      <c r="D299" s="42" t="inlineStr">
        <is>
          <t>4-14</t>
        </is>
      </c>
      <c r="F299" s="42" t="inlineStr">
        <is>
          <t>44013</t>
        </is>
      </c>
      <c r="G299" s="42" t="inlineStr">
        <is>
          <t>44015</t>
        </is>
      </c>
      <c r="H299" s="42" t="inlineStr">
        <is>
          <t>10004</t>
        </is>
      </c>
      <c r="J299" s="79" t="inlineStr">
        <is>
          <t>10001|30000$84001|1650$114001|1300</t>
        </is>
      </c>
      <c r="K299" s="42" t="inlineStr">
        <is>
          <t>1</t>
        </is>
      </c>
      <c r="L299" s="41" t="inlineStr">
        <is>
          <t>54115|54116|54115|54116</t>
        </is>
      </c>
      <c r="M299" s="42" t="inlineStr">
        <is>
          <t>95</t>
        </is>
      </c>
      <c r="O299" s="42" t="inlineStr">
        <is>
          <t>1</t>
        </is>
      </c>
      <c r="R299" s="79" t="inlineStr">
        <is>
          <t>365001|10</t>
        </is>
      </c>
    </row>
    <row r="300">
      <c r="B300" s="42" t="inlineStr">
        <is>
          <t>44015</t>
        </is>
      </c>
      <c r="C300" s="42" t="inlineStr">
        <is>
          <t>羽民国固定主线</t>
        </is>
      </c>
      <c r="D300" s="42" t="inlineStr">
        <is>
          <t>4-15</t>
        </is>
      </c>
      <c r="F300" s="42" t="inlineStr">
        <is>
          <t>44014</t>
        </is>
      </c>
      <c r="G300" s="42" t="inlineStr">
        <is>
          <t>44016</t>
        </is>
      </c>
      <c r="H300" s="42" t="inlineStr">
        <is>
          <t>10004</t>
        </is>
      </c>
      <c r="J300" s="79" t="inlineStr">
        <is>
          <t>10001|30000$84001|1650$114001|1300</t>
        </is>
      </c>
      <c r="K300" s="42" t="inlineStr">
        <is>
          <t>1</t>
        </is>
      </c>
      <c r="L300" s="41" t="inlineStr">
        <is>
          <t>54115|54116|54117|54115</t>
        </is>
      </c>
      <c r="M300" s="42" t="inlineStr">
        <is>
          <t>95</t>
        </is>
      </c>
      <c r="O300" s="42" t="inlineStr">
        <is>
          <t>1</t>
        </is>
      </c>
      <c r="R300" s="79" t="inlineStr">
        <is>
          <t>365001|10</t>
        </is>
      </c>
    </row>
    <row r="301">
      <c r="B301" s="42" t="inlineStr">
        <is>
          <t>44016</t>
        </is>
      </c>
      <c r="C301" s="42" t="inlineStr">
        <is>
          <t>羽民国固定主线</t>
        </is>
      </c>
      <c r="D301" s="42" t="inlineStr">
        <is>
          <t>4-16</t>
        </is>
      </c>
      <c r="F301" s="42" t="inlineStr">
        <is>
          <t>44015</t>
        </is>
      </c>
      <c r="G301" s="42" t="inlineStr">
        <is>
          <t>44017</t>
        </is>
      </c>
      <c r="H301" s="42" t="inlineStr">
        <is>
          <t>10004</t>
        </is>
      </c>
      <c r="J301" s="79" t="inlineStr">
        <is>
          <t>10001|30000$84001|1650$114001|1300</t>
        </is>
      </c>
      <c r="K301" s="42" t="inlineStr">
        <is>
          <t>1</t>
        </is>
      </c>
      <c r="L301" s="41" t="inlineStr">
        <is>
          <t>54114</t>
        </is>
      </c>
      <c r="M301" s="42" t="inlineStr">
        <is>
          <t>95</t>
        </is>
      </c>
      <c r="O301" s="42" t="inlineStr">
        <is>
          <t>1</t>
        </is>
      </c>
      <c r="R301" s="79" t="inlineStr">
        <is>
          <t>365001|10</t>
        </is>
      </c>
    </row>
    <row r="302">
      <c r="B302" s="42" t="inlineStr">
        <is>
          <t>44017</t>
        </is>
      </c>
      <c r="C302" s="42" t="inlineStr">
        <is>
          <t>羽民国固定主线</t>
        </is>
      </c>
      <c r="D302" s="42" t="inlineStr">
        <is>
          <t>4-17</t>
        </is>
      </c>
      <c r="F302" s="42" t="inlineStr">
        <is>
          <t>44016</t>
        </is>
      </c>
      <c r="G302" s="42" t="inlineStr">
        <is>
          <t>44018</t>
        </is>
      </c>
      <c r="H302" s="42" t="inlineStr">
        <is>
          <t>10004</t>
        </is>
      </c>
      <c r="J302" s="79" t="inlineStr">
        <is>
          <t>10001|30000$84001|1650$114001|1300</t>
        </is>
      </c>
      <c r="K302" s="42" t="inlineStr">
        <is>
          <t>1</t>
        </is>
      </c>
      <c r="L302" s="41" t="inlineStr">
        <is>
          <t>54118</t>
        </is>
      </c>
      <c r="M302" s="42" t="inlineStr">
        <is>
          <t>96</t>
        </is>
      </c>
      <c r="O302" s="42" t="inlineStr">
        <is>
          <t>1</t>
        </is>
      </c>
      <c r="R302" s="79" t="inlineStr">
        <is>
          <t>365001|10</t>
        </is>
      </c>
    </row>
    <row r="303">
      <c r="B303" s="42" t="inlineStr">
        <is>
          <t>44018</t>
        </is>
      </c>
      <c r="C303" s="42" t="inlineStr">
        <is>
          <t>羽民国固定主线</t>
        </is>
      </c>
      <c r="D303" s="42" t="inlineStr">
        <is>
          <t>4-18</t>
        </is>
      </c>
      <c r="F303" s="42" t="inlineStr">
        <is>
          <t>44017</t>
        </is>
      </c>
      <c r="G303" s="42" t="inlineStr">
        <is>
          <t>44019</t>
        </is>
      </c>
      <c r="H303" s="42" t="inlineStr">
        <is>
          <t>10004</t>
        </is>
      </c>
      <c r="J303" s="79" t="inlineStr">
        <is>
          <t>10001|30000$84001|1650$114001|1300</t>
        </is>
      </c>
      <c r="K303" s="42" t="inlineStr">
        <is>
          <t>1</t>
        </is>
      </c>
      <c r="L303" s="41" t="inlineStr">
        <is>
          <t>54115|54116|54115|54116</t>
        </is>
      </c>
      <c r="M303" s="42" t="inlineStr">
        <is>
          <t>96</t>
        </is>
      </c>
      <c r="O303" s="42" t="inlineStr">
        <is>
          <t>1</t>
        </is>
      </c>
      <c r="R303" s="79" t="inlineStr">
        <is>
          <t>365001|10</t>
        </is>
      </c>
    </row>
    <row r="304">
      <c r="B304" s="42" t="inlineStr">
        <is>
          <t>44019</t>
        </is>
      </c>
      <c r="C304" s="42" t="inlineStr">
        <is>
          <t>羽民国固定主线</t>
        </is>
      </c>
      <c r="D304" s="42" t="inlineStr">
        <is>
          <t>4-19</t>
        </is>
      </c>
      <c r="F304" s="42" t="inlineStr">
        <is>
          <t>44018</t>
        </is>
      </c>
      <c r="G304" s="42" t="inlineStr">
        <is>
          <t>44020</t>
        </is>
      </c>
      <c r="H304" s="42" t="inlineStr">
        <is>
          <t>10004</t>
        </is>
      </c>
      <c r="J304" s="79" t="inlineStr">
        <is>
          <t>10001|30000$84001|1650$114001|1300</t>
        </is>
      </c>
      <c r="K304" s="42" t="inlineStr">
        <is>
          <t>1</t>
        </is>
      </c>
      <c r="L304" s="41" t="inlineStr">
        <is>
          <t>54115|54115|54115|54115</t>
        </is>
      </c>
      <c r="M304" s="42" t="inlineStr">
        <is>
          <t>96</t>
        </is>
      </c>
      <c r="O304" s="42" t="inlineStr">
        <is>
          <t>1</t>
        </is>
      </c>
      <c r="R304" s="79" t="inlineStr">
        <is>
          <t>365001|10</t>
        </is>
      </c>
    </row>
    <row r="305">
      <c r="B305" s="42" t="inlineStr">
        <is>
          <t>44020</t>
        </is>
      </c>
      <c r="C305" s="42" t="inlineStr">
        <is>
          <t>羽民国固定主线</t>
        </is>
      </c>
      <c r="D305" s="42" t="inlineStr">
        <is>
          <t>4-20</t>
        </is>
      </c>
      <c r="F305" s="42" t="inlineStr">
        <is>
          <t>44019</t>
        </is>
      </c>
      <c r="G305" s="42" t="inlineStr">
        <is>
          <t>44021</t>
        </is>
      </c>
      <c r="H305" s="42" t="inlineStr">
        <is>
          <t>10004</t>
        </is>
      </c>
      <c r="J305" s="79" t="inlineStr">
        <is>
          <t>10001|30000$84001|1650$114001|1300</t>
        </is>
      </c>
      <c r="K305" s="42" t="inlineStr">
        <is>
          <t>1</t>
        </is>
      </c>
      <c r="L305" s="41" t="inlineStr">
        <is>
          <t>54119</t>
        </is>
      </c>
      <c r="M305" s="42" t="inlineStr">
        <is>
          <t>96</t>
        </is>
      </c>
      <c r="O305" s="42" t="inlineStr">
        <is>
          <t>1</t>
        </is>
      </c>
      <c r="R305" s="79" t="inlineStr">
        <is>
          <t>365001|10</t>
        </is>
      </c>
    </row>
    <row r="306">
      <c r="B306" s="42" t="inlineStr">
        <is>
          <t>44021</t>
        </is>
      </c>
      <c r="C306" s="42" t="inlineStr">
        <is>
          <t>羽民国固定主线</t>
        </is>
      </c>
      <c r="D306" s="42" t="inlineStr">
        <is>
          <t>4-21</t>
        </is>
      </c>
      <c r="F306" s="42" t="inlineStr">
        <is>
          <t>44020</t>
        </is>
      </c>
      <c r="G306" s="42" t="inlineStr">
        <is>
          <t>44022</t>
        </is>
      </c>
      <c r="H306" s="42" t="inlineStr">
        <is>
          <t>10004</t>
        </is>
      </c>
      <c r="J306" s="79" t="inlineStr">
        <is>
          <t>10001|30000$84001|1650$114001|1300</t>
        </is>
      </c>
      <c r="K306" s="42" t="inlineStr">
        <is>
          <t>1</t>
        </is>
      </c>
      <c r="L306" s="41" t="inlineStr">
        <is>
          <t>54116|54116|54116|54116</t>
        </is>
      </c>
      <c r="M306" s="42" t="inlineStr">
        <is>
          <t>97</t>
        </is>
      </c>
      <c r="O306" s="42" t="inlineStr">
        <is>
          <t>1</t>
        </is>
      </c>
      <c r="R306" s="79" t="inlineStr">
        <is>
          <t>365001|10</t>
        </is>
      </c>
    </row>
    <row r="307">
      <c r="B307" s="42" t="inlineStr">
        <is>
          <t>44022</t>
        </is>
      </c>
      <c r="C307" s="42" t="inlineStr">
        <is>
          <t>羽民国固定主线</t>
        </is>
      </c>
      <c r="D307" s="42" t="inlineStr">
        <is>
          <t>4-22</t>
        </is>
      </c>
      <c r="F307" s="42" t="inlineStr">
        <is>
          <t>44021</t>
        </is>
      </c>
      <c r="G307" s="42" t="inlineStr">
        <is>
          <t>44023</t>
        </is>
      </c>
      <c r="H307" s="42" t="inlineStr">
        <is>
          <t>10004</t>
        </is>
      </c>
      <c r="J307" s="79" t="inlineStr">
        <is>
          <t>10001|30000$84001|1650$114001|1300</t>
        </is>
      </c>
      <c r="K307" s="42" t="inlineStr">
        <is>
          <t>1</t>
        </is>
      </c>
      <c r="L307" s="42" t="inlineStr">
        <is>
          <t>54104|54104|54104|54104</t>
        </is>
      </c>
      <c r="M307" s="42" t="inlineStr">
        <is>
          <t>97</t>
        </is>
      </c>
      <c r="O307" s="42" t="inlineStr">
        <is>
          <t>1</t>
        </is>
      </c>
      <c r="R307" s="79" t="inlineStr">
        <is>
          <t>365001|10</t>
        </is>
      </c>
    </row>
    <row r="308">
      <c r="B308" s="42" t="inlineStr">
        <is>
          <t>44023</t>
        </is>
      </c>
      <c r="C308" s="42" t="inlineStr">
        <is>
          <t>羽民国固定主线</t>
        </is>
      </c>
      <c r="D308" s="42" t="inlineStr">
        <is>
          <t>4-23</t>
        </is>
      </c>
      <c r="F308" s="42" t="inlineStr">
        <is>
          <t>44022</t>
        </is>
      </c>
      <c r="G308" s="42" t="inlineStr">
        <is>
          <t>44024</t>
        </is>
      </c>
      <c r="H308" s="42" t="inlineStr">
        <is>
          <t>10004</t>
        </is>
      </c>
      <c r="J308" s="79" t="inlineStr">
        <is>
          <t>10001|30000$84001|1650$114001|1300</t>
        </is>
      </c>
      <c r="K308" s="42" t="inlineStr">
        <is>
          <t>1</t>
        </is>
      </c>
      <c r="L308" s="41" t="inlineStr">
        <is>
          <t>54113|54113|54113|54113</t>
        </is>
      </c>
      <c r="M308" s="42" t="inlineStr">
        <is>
          <t>97</t>
        </is>
      </c>
      <c r="O308" s="42" t="inlineStr">
        <is>
          <t>1</t>
        </is>
      </c>
      <c r="R308" s="79" t="inlineStr">
        <is>
          <t>365001|10</t>
        </is>
      </c>
    </row>
    <row r="309">
      <c r="B309" s="42" t="inlineStr">
        <is>
          <t>44024</t>
        </is>
      </c>
      <c r="C309" s="42" t="inlineStr">
        <is>
          <t>羽民国固定主线</t>
        </is>
      </c>
      <c r="D309" s="42" t="inlineStr">
        <is>
          <t>4-24</t>
        </is>
      </c>
      <c r="F309" s="42" t="inlineStr">
        <is>
          <t>44023</t>
        </is>
      </c>
      <c r="G309" s="42" t="inlineStr">
        <is>
          <t>44025</t>
        </is>
      </c>
      <c r="H309" s="42" t="inlineStr">
        <is>
          <t>10004</t>
        </is>
      </c>
      <c r="J309" s="79" t="inlineStr">
        <is>
          <t>10001|30000$84001|1650$114001|1300</t>
        </is>
      </c>
      <c r="K309" s="42" t="inlineStr">
        <is>
          <t>1</t>
        </is>
      </c>
      <c r="L309" s="41" t="inlineStr">
        <is>
          <t>54119</t>
        </is>
      </c>
      <c r="M309" s="42" t="inlineStr">
        <is>
          <t>98</t>
        </is>
      </c>
      <c r="O309" s="42" t="inlineStr">
        <is>
          <t>1</t>
        </is>
      </c>
      <c r="R309" s="79" t="inlineStr">
        <is>
          <t>365001|10</t>
        </is>
      </c>
    </row>
    <row r="310">
      <c r="B310" s="42" t="inlineStr">
        <is>
          <t>44025</t>
        </is>
      </c>
      <c r="C310" s="42" t="inlineStr">
        <is>
          <t>羽民国固定主线</t>
        </is>
      </c>
      <c r="D310" s="42" t="inlineStr">
        <is>
          <t>4-25</t>
        </is>
      </c>
      <c r="F310" s="42" t="inlineStr">
        <is>
          <t>44024</t>
        </is>
      </c>
      <c r="G310" s="42" t="inlineStr">
        <is>
          <t>44026</t>
        </is>
      </c>
      <c r="H310" s="42" t="inlineStr">
        <is>
          <t>10004</t>
        </is>
      </c>
      <c r="J310" s="79" t="inlineStr">
        <is>
          <t>10001|30000$84001|1650$114001|1300</t>
        </is>
      </c>
      <c r="K310" s="42" t="inlineStr">
        <is>
          <t>1</t>
        </is>
      </c>
      <c r="L310" s="42" t="inlineStr">
        <is>
          <t>54116|54117|54116|54117</t>
        </is>
      </c>
      <c r="M310" s="42" t="inlineStr">
        <is>
          <t>98</t>
        </is>
      </c>
      <c r="O310" s="42" t="inlineStr">
        <is>
          <t>1</t>
        </is>
      </c>
      <c r="R310" s="79" t="inlineStr">
        <is>
          <t>365001|10</t>
        </is>
      </c>
    </row>
    <row r="311">
      <c r="B311" s="42" t="inlineStr">
        <is>
          <t>44026</t>
        </is>
      </c>
      <c r="C311" s="42" t="inlineStr">
        <is>
          <t>羽民国固定主线</t>
        </is>
      </c>
      <c r="D311" s="42" t="inlineStr">
        <is>
          <t>4-26</t>
        </is>
      </c>
      <c r="F311" s="42" t="inlineStr">
        <is>
          <t>44025</t>
        </is>
      </c>
      <c r="G311" s="42" t="inlineStr">
        <is>
          <t>44027</t>
        </is>
      </c>
      <c r="H311" s="42" t="inlineStr">
        <is>
          <t>10004</t>
        </is>
      </c>
      <c r="J311" s="79" t="inlineStr">
        <is>
          <t>10001|30000$84001|1650$114001|1300</t>
        </is>
      </c>
      <c r="K311" s="42" t="inlineStr">
        <is>
          <t>1</t>
        </is>
      </c>
      <c r="L311" s="41" t="inlineStr">
        <is>
          <t>54113|54113|54113|54113</t>
        </is>
      </c>
      <c r="M311" s="42" t="inlineStr">
        <is>
          <t>98</t>
        </is>
      </c>
      <c r="O311" s="42" t="inlineStr">
        <is>
          <t>1</t>
        </is>
      </c>
      <c r="R311" s="79" t="inlineStr">
        <is>
          <t>365001|10</t>
        </is>
      </c>
    </row>
    <row r="312">
      <c r="B312" s="42" t="inlineStr">
        <is>
          <t>44027</t>
        </is>
      </c>
      <c r="C312" s="42" t="inlineStr">
        <is>
          <t>羽民国固定主线</t>
        </is>
      </c>
      <c r="D312" s="42" t="inlineStr">
        <is>
          <t>4-27</t>
        </is>
      </c>
      <c r="F312" s="42" t="inlineStr">
        <is>
          <t>44026</t>
        </is>
      </c>
      <c r="G312" s="42" t="inlineStr">
        <is>
          <t>44028</t>
        </is>
      </c>
      <c r="H312" s="42" t="inlineStr">
        <is>
          <t>10004</t>
        </is>
      </c>
      <c r="J312" s="79" t="inlineStr">
        <is>
          <t>10001|30000$84001|1650$114001|1300</t>
        </is>
      </c>
      <c r="K312" s="42" t="inlineStr">
        <is>
          <t>1</t>
        </is>
      </c>
      <c r="L312" s="41" t="inlineStr">
        <is>
          <t>54113|54113|54113|54113</t>
        </is>
      </c>
      <c r="M312" s="42" t="inlineStr">
        <is>
          <t>98</t>
        </is>
      </c>
      <c r="O312" s="42" t="inlineStr">
        <is>
          <t>1</t>
        </is>
      </c>
      <c r="R312" s="79" t="inlineStr">
        <is>
          <t>365001|10</t>
        </is>
      </c>
    </row>
    <row r="313">
      <c r="B313" s="42" t="inlineStr">
        <is>
          <t>44028</t>
        </is>
      </c>
      <c r="C313" s="42" t="inlineStr">
        <is>
          <t>羽民国固定主线</t>
        </is>
      </c>
      <c r="D313" s="42" t="inlineStr">
        <is>
          <t>4-28</t>
        </is>
      </c>
      <c r="F313" s="42" t="inlineStr">
        <is>
          <t>44027</t>
        </is>
      </c>
      <c r="G313" s="42" t="inlineStr">
        <is>
          <t>44029</t>
        </is>
      </c>
      <c r="H313" s="42" t="inlineStr">
        <is>
          <t>10004</t>
        </is>
      </c>
      <c r="J313" s="79" t="inlineStr">
        <is>
          <t>10001|30000$84001|1650$114001|1300</t>
        </is>
      </c>
      <c r="K313" s="42" t="inlineStr">
        <is>
          <t>3</t>
        </is>
      </c>
      <c r="L313" s="41" t="inlineStr">
        <is>
          <t>54118</t>
        </is>
      </c>
      <c r="M313" s="42" t="inlineStr">
        <is>
          <t>99</t>
        </is>
      </c>
      <c r="O313" s="42" t="inlineStr">
        <is>
          <t>1</t>
        </is>
      </c>
      <c r="R313" s="79" t="inlineStr">
        <is>
          <t>365001|10</t>
        </is>
      </c>
    </row>
    <row r="314">
      <c r="B314" s="42" t="inlineStr">
        <is>
          <t>44029</t>
        </is>
      </c>
      <c r="C314" s="42" t="inlineStr">
        <is>
          <t>羽民国固定主线</t>
        </is>
      </c>
      <c r="D314" s="42" t="inlineStr">
        <is>
          <t>4-29</t>
        </is>
      </c>
      <c r="F314" s="42" t="inlineStr">
        <is>
          <t>44028</t>
        </is>
      </c>
      <c r="G314" s="42" t="inlineStr">
        <is>
          <t>44030</t>
        </is>
      </c>
      <c r="H314" s="42" t="inlineStr">
        <is>
          <t>10004</t>
        </is>
      </c>
      <c r="J314" s="79" t="inlineStr">
        <is>
          <t>10001|30000$84001|1650$114001|1300</t>
        </is>
      </c>
      <c r="K314" s="42" t="inlineStr">
        <is>
          <t>1</t>
        </is>
      </c>
      <c r="L314" s="42" t="inlineStr">
        <is>
          <t>54116|54117|54116|54117</t>
        </is>
      </c>
      <c r="M314" s="42" t="inlineStr">
        <is>
          <t>99</t>
        </is>
      </c>
      <c r="O314" s="42" t="inlineStr">
        <is>
          <t>1</t>
        </is>
      </c>
      <c r="R314" s="79" t="inlineStr">
        <is>
          <t>365001|10</t>
        </is>
      </c>
    </row>
    <row r="315">
      <c r="B315" s="42" t="inlineStr">
        <is>
          <t>44030</t>
        </is>
      </c>
      <c r="C315" s="42" t="inlineStr">
        <is>
          <t>羽民国固定主线</t>
        </is>
      </c>
      <c r="D315" s="42" t="inlineStr">
        <is>
          <t>4-30</t>
        </is>
      </c>
      <c r="F315" s="42" t="inlineStr">
        <is>
          <t>44029</t>
        </is>
      </c>
      <c r="G315" s="42" t="inlineStr">
        <is>
          <t>44031</t>
        </is>
      </c>
      <c r="H315" s="42" t="inlineStr">
        <is>
          <t>10004</t>
        </is>
      </c>
      <c r="J315" s="79" t="inlineStr">
        <is>
          <t>10001|30000$84001|1650$114001|1300</t>
        </is>
      </c>
      <c r="K315" s="42" t="inlineStr">
        <is>
          <t>1</t>
        </is>
      </c>
      <c r="L315" s="41" t="inlineStr">
        <is>
          <t>54112|54112|54112|54112</t>
        </is>
      </c>
      <c r="M315" s="42" t="inlineStr">
        <is>
          <t>100</t>
        </is>
      </c>
      <c r="O315" s="42" t="inlineStr">
        <is>
          <t>1</t>
        </is>
      </c>
      <c r="R315" s="79" t="inlineStr">
        <is>
          <t>365001|10</t>
        </is>
      </c>
    </row>
    <row r="316">
      <c r="B316" s="42" t="inlineStr">
        <is>
          <t>44031</t>
        </is>
      </c>
      <c r="C316" s="42" t="inlineStr">
        <is>
          <t>羽民国固定主线</t>
        </is>
      </c>
      <c r="D316" s="42" t="inlineStr">
        <is>
          <t>4-31</t>
        </is>
      </c>
      <c r="F316" s="42" t="inlineStr">
        <is>
          <t>44030</t>
        </is>
      </c>
      <c r="G316" s="42" t="inlineStr">
        <is>
          <t>44032</t>
        </is>
      </c>
      <c r="H316" s="42" t="inlineStr">
        <is>
          <t>10004</t>
        </is>
      </c>
      <c r="J316" s="79" t="inlineStr">
        <is>
          <t>10001|30000$84001|1650$114001|1300</t>
        </is>
      </c>
      <c r="K316" s="42" t="inlineStr">
        <is>
          <t>1</t>
        </is>
      </c>
      <c r="L316" s="41" t="inlineStr">
        <is>
          <t>54113|54113|54113|54113</t>
        </is>
      </c>
      <c r="M316" s="42" t="inlineStr">
        <is>
          <t>100</t>
        </is>
      </c>
      <c r="O316" s="42" t="inlineStr">
        <is>
          <t>1</t>
        </is>
      </c>
      <c r="R316" s="79" t="inlineStr">
        <is>
          <t>365001|10</t>
        </is>
      </c>
    </row>
    <row r="317">
      <c r="B317" s="42" t="inlineStr">
        <is>
          <t>44032</t>
        </is>
      </c>
      <c r="C317" s="42" t="inlineStr">
        <is>
          <t>羽民国固定主线</t>
        </is>
      </c>
      <c r="D317" s="42" t="inlineStr">
        <is>
          <t>4-32</t>
        </is>
      </c>
      <c r="F317" s="42" t="inlineStr">
        <is>
          <t>44031</t>
        </is>
      </c>
      <c r="G317" s="42" t="inlineStr">
        <is>
          <t>44033</t>
        </is>
      </c>
      <c r="H317" s="42" t="inlineStr">
        <is>
          <t>10004</t>
        </is>
      </c>
      <c r="J317" s="79" t="inlineStr">
        <is>
          <t>10001|30000$84001|1650$114001|1300</t>
        </is>
      </c>
      <c r="K317" s="42" t="inlineStr">
        <is>
          <t>3</t>
        </is>
      </c>
      <c r="L317" s="41" t="inlineStr">
        <is>
          <t>54105</t>
        </is>
      </c>
      <c r="M317" s="42" t="inlineStr">
        <is>
          <t>100</t>
        </is>
      </c>
      <c r="O317" s="42" t="inlineStr">
        <is>
          <t>1</t>
        </is>
      </c>
      <c r="R317" s="79" t="inlineStr">
        <is>
          <t>365001|10</t>
        </is>
      </c>
    </row>
    <row r="318">
      <c r="B318" s="42" t="inlineStr">
        <is>
          <t>44033</t>
        </is>
      </c>
      <c r="C318" s="42" t="inlineStr">
        <is>
          <t>羽民国固定主线</t>
        </is>
      </c>
      <c r="D318" s="42" t="inlineStr">
        <is>
          <t>4-33</t>
        </is>
      </c>
      <c r="F318" s="42" t="inlineStr">
        <is>
          <t>44032</t>
        </is>
      </c>
      <c r="G318" s="42" t="inlineStr">
        <is>
          <t>44034</t>
        </is>
      </c>
      <c r="H318" s="42" t="inlineStr">
        <is>
          <t>10004</t>
        </is>
      </c>
      <c r="J318" s="79" t="inlineStr">
        <is>
          <t>10001|30000$84001|1650$114001|1300</t>
        </is>
      </c>
      <c r="K318" s="42" t="inlineStr">
        <is>
          <t>3</t>
        </is>
      </c>
      <c r="L318" s="41" t="inlineStr">
        <is>
          <t>54106</t>
        </is>
      </c>
      <c r="M318" s="42" t="inlineStr">
        <is>
          <t>100</t>
        </is>
      </c>
      <c r="O318" s="42" t="inlineStr">
        <is>
          <t>1</t>
        </is>
      </c>
      <c r="R318" s="79" t="inlineStr">
        <is>
          <t>365001|10</t>
        </is>
      </c>
    </row>
    <row r="319">
      <c r="B319" s="42" t="inlineStr">
        <is>
          <t>44034</t>
        </is>
      </c>
      <c r="C319" s="42" t="inlineStr">
        <is>
          <t>羽民国固定主线</t>
        </is>
      </c>
      <c r="D319" s="42" t="inlineStr">
        <is>
          <t>4-34</t>
        </is>
      </c>
      <c r="F319" s="42" t="inlineStr">
        <is>
          <t>44033</t>
        </is>
      </c>
      <c r="G319" s="42" t="inlineStr">
        <is>
          <t>44035</t>
        </is>
      </c>
      <c r="H319" s="42" t="inlineStr">
        <is>
          <t>10004</t>
        </is>
      </c>
      <c r="J319" s="79" t="inlineStr">
        <is>
          <t>10001|30000$84001|1650$114001|1300</t>
        </is>
      </c>
      <c r="K319" s="42" t="inlineStr">
        <is>
          <t>1</t>
        </is>
      </c>
      <c r="L319" s="42" t="inlineStr">
        <is>
          <t>54115|54117|54115|54117</t>
        </is>
      </c>
      <c r="M319" s="42" t="inlineStr">
        <is>
          <t>100</t>
        </is>
      </c>
      <c r="O319" s="42" t="inlineStr">
        <is>
          <t>1</t>
        </is>
      </c>
      <c r="R319" s="79" t="inlineStr">
        <is>
          <t>365001|10</t>
        </is>
      </c>
    </row>
    <row r="320">
      <c r="B320" s="42" t="inlineStr">
        <is>
          <t>44035</t>
        </is>
      </c>
      <c r="C320" s="42" t="inlineStr">
        <is>
          <t>羽民国固定主线</t>
        </is>
      </c>
      <c r="D320" s="42" t="inlineStr">
        <is>
          <t>4-35</t>
        </is>
      </c>
      <c r="F320" s="42" t="inlineStr">
        <is>
          <t>44034</t>
        </is>
      </c>
      <c r="G320" s="42" t="inlineStr">
        <is>
          <t>44036</t>
        </is>
      </c>
      <c r="H320" s="42" t="inlineStr">
        <is>
          <t>10004</t>
        </is>
      </c>
      <c r="J320" s="79" t="inlineStr">
        <is>
          <t>10001|30000$84001|1650$114001|1300</t>
        </is>
      </c>
      <c r="K320" s="42" t="inlineStr">
        <is>
          <t>1</t>
        </is>
      </c>
      <c r="L320" s="42" t="inlineStr">
        <is>
          <t>54104|54104|54117|54117</t>
        </is>
      </c>
      <c r="M320" s="42" t="inlineStr">
        <is>
          <t>101</t>
        </is>
      </c>
      <c r="O320" s="42" t="inlineStr">
        <is>
          <t>1</t>
        </is>
      </c>
      <c r="R320" s="79" t="inlineStr">
        <is>
          <t>365001|10</t>
        </is>
      </c>
    </row>
    <row r="321">
      <c r="B321" s="42" t="inlineStr">
        <is>
          <t>44036</t>
        </is>
      </c>
      <c r="C321" s="42" t="inlineStr">
        <is>
          <t>羽民国固定主线</t>
        </is>
      </c>
      <c r="D321" s="42" t="inlineStr">
        <is>
          <t>4-36</t>
        </is>
      </c>
      <c r="F321" s="42" t="inlineStr">
        <is>
          <t>44035</t>
        </is>
      </c>
      <c r="G321" s="42" t="inlineStr">
        <is>
          <t>44037</t>
        </is>
      </c>
      <c r="H321" s="42" t="inlineStr">
        <is>
          <t>10004</t>
        </is>
      </c>
      <c r="J321" s="79" t="inlineStr">
        <is>
          <t>10001|30000$84001|1650$114001|1300</t>
        </is>
      </c>
      <c r="K321" s="42" t="inlineStr">
        <is>
          <t>3</t>
        </is>
      </c>
      <c r="L321" s="41" t="inlineStr">
        <is>
          <t>54101</t>
        </is>
      </c>
      <c r="M321" s="42" t="inlineStr">
        <is>
          <t>101</t>
        </is>
      </c>
      <c r="O321" s="42" t="inlineStr">
        <is>
          <t>1</t>
        </is>
      </c>
      <c r="R321" s="79" t="inlineStr">
        <is>
          <t>365001|10</t>
        </is>
      </c>
    </row>
    <row r="322">
      <c r="B322" s="42" t="inlineStr">
        <is>
          <t>44037</t>
        </is>
      </c>
      <c r="C322" s="42" t="inlineStr">
        <is>
          <t>羽民国固定主线</t>
        </is>
      </c>
      <c r="D322" s="42" t="inlineStr">
        <is>
          <t>4-37</t>
        </is>
      </c>
      <c r="F322" s="42" t="inlineStr">
        <is>
          <t>44036</t>
        </is>
      </c>
      <c r="G322" s="42" t="inlineStr">
        <is>
          <t>44038</t>
        </is>
      </c>
      <c r="H322" s="42" t="inlineStr">
        <is>
          <t>10004</t>
        </is>
      </c>
      <c r="J322" s="79" t="inlineStr">
        <is>
          <t>10001|30000$84001|1650$114001|1300</t>
        </is>
      </c>
      <c r="K322" s="42" t="inlineStr">
        <is>
          <t>3</t>
        </is>
      </c>
      <c r="L322" s="41" t="inlineStr">
        <is>
          <t>54119</t>
        </is>
      </c>
      <c r="M322" s="42" t="inlineStr">
        <is>
          <t>101</t>
        </is>
      </c>
      <c r="O322" s="42" t="inlineStr">
        <is>
          <t>1</t>
        </is>
      </c>
      <c r="R322" s="79" t="inlineStr">
        <is>
          <t>365001|10</t>
        </is>
      </c>
    </row>
    <row r="323">
      <c r="B323" s="42" t="inlineStr">
        <is>
          <t>44038</t>
        </is>
      </c>
      <c r="C323" s="42" t="inlineStr">
        <is>
          <t>羽民国固定主线</t>
        </is>
      </c>
      <c r="D323" s="42" t="inlineStr">
        <is>
          <t>4-38</t>
        </is>
      </c>
      <c r="F323" s="42" t="inlineStr">
        <is>
          <t>44037</t>
        </is>
      </c>
      <c r="G323" s="42" t="inlineStr">
        <is>
          <t>44039</t>
        </is>
      </c>
      <c r="H323" s="42" t="inlineStr">
        <is>
          <t>10004</t>
        </is>
      </c>
      <c r="J323" s="79" t="inlineStr">
        <is>
          <t>10001|30000$84001|1650$114001|1300</t>
        </is>
      </c>
      <c r="K323" s="42" t="inlineStr">
        <is>
          <t>1</t>
        </is>
      </c>
      <c r="L323" s="42" t="inlineStr">
        <is>
          <t>54115|54117|54115|54117</t>
        </is>
      </c>
      <c r="M323" s="42" t="inlineStr">
        <is>
          <t>102</t>
        </is>
      </c>
      <c r="O323" s="42" t="inlineStr">
        <is>
          <t>1</t>
        </is>
      </c>
      <c r="R323" s="79" t="inlineStr">
        <is>
          <t>365001|10</t>
        </is>
      </c>
    </row>
    <row r="324">
      <c r="B324" s="42" t="inlineStr">
        <is>
          <t>44039</t>
        </is>
      </c>
      <c r="C324" s="42" t="inlineStr">
        <is>
          <t>羽民国固定主线</t>
        </is>
      </c>
      <c r="D324" s="42" t="inlineStr">
        <is>
          <t>4-39</t>
        </is>
      </c>
      <c r="F324" s="42" t="inlineStr">
        <is>
          <t>44038</t>
        </is>
      </c>
      <c r="G324" s="42" t="inlineStr">
        <is>
          <t>44040</t>
        </is>
      </c>
      <c r="H324" s="42" t="inlineStr">
        <is>
          <t>10004</t>
        </is>
      </c>
      <c r="J324" s="79" t="inlineStr">
        <is>
          <t>10001|30000$84001|1650$114001|1300</t>
        </is>
      </c>
      <c r="K324" s="42" t="inlineStr">
        <is>
          <t>1</t>
        </is>
      </c>
      <c r="L324" s="41" t="inlineStr">
        <is>
          <t>54112|54112|54112|54112</t>
        </is>
      </c>
      <c r="M324" s="42" t="inlineStr">
        <is>
          <t>102</t>
        </is>
      </c>
      <c r="O324" s="42" t="inlineStr">
        <is>
          <t>1</t>
        </is>
      </c>
      <c r="R324" s="79" t="inlineStr">
        <is>
          <t>365001|10</t>
        </is>
      </c>
    </row>
    <row r="325">
      <c r="B325" s="42" t="inlineStr">
        <is>
          <t>44040</t>
        </is>
      </c>
      <c r="C325" s="42" t="inlineStr">
        <is>
          <t>羽民国固定主线</t>
        </is>
      </c>
      <c r="D325" s="42" t="inlineStr">
        <is>
          <t>4-40</t>
        </is>
      </c>
      <c r="F325" s="42" t="inlineStr">
        <is>
          <t>44039</t>
        </is>
      </c>
      <c r="G325" s="42" t="inlineStr">
        <is>
          <t>44041</t>
        </is>
      </c>
      <c r="H325" s="42" t="inlineStr">
        <is>
          <t>10004</t>
        </is>
      </c>
      <c r="J325" s="79" t="inlineStr">
        <is>
          <t>10001|30000$84001|1650$114001|1300</t>
        </is>
      </c>
      <c r="K325" s="42" t="inlineStr">
        <is>
          <t>3</t>
        </is>
      </c>
      <c r="L325" s="41" t="inlineStr">
        <is>
          <t>54106</t>
        </is>
      </c>
      <c r="M325" s="42" t="inlineStr">
        <is>
          <t>103</t>
        </is>
      </c>
      <c r="O325" s="42" t="inlineStr">
        <is>
          <t>1</t>
        </is>
      </c>
      <c r="R325" s="79" t="inlineStr">
        <is>
          <t>365001|10</t>
        </is>
      </c>
    </row>
    <row r="326">
      <c r="B326" s="42" t="inlineStr">
        <is>
          <t>44041</t>
        </is>
      </c>
      <c r="C326" s="42" t="inlineStr">
        <is>
          <t>羽民国固定主线</t>
        </is>
      </c>
      <c r="D326" s="42" t="inlineStr">
        <is>
          <t>4-41</t>
        </is>
      </c>
      <c r="F326" s="42" t="inlineStr">
        <is>
          <t>44040</t>
        </is>
      </c>
      <c r="G326" s="42" t="inlineStr">
        <is>
          <t>44042</t>
        </is>
      </c>
      <c r="H326" s="42" t="inlineStr">
        <is>
          <t>10004</t>
        </is>
      </c>
      <c r="J326" s="79" t="inlineStr">
        <is>
          <t>10001|30000$84001|1650$114001|1300</t>
        </is>
      </c>
      <c r="K326" s="42" t="inlineStr">
        <is>
          <t>3</t>
        </is>
      </c>
      <c r="L326" s="41" t="inlineStr">
        <is>
          <t>54114</t>
        </is>
      </c>
      <c r="M326" s="42" t="inlineStr">
        <is>
          <t>103</t>
        </is>
      </c>
      <c r="O326" s="42" t="inlineStr">
        <is>
          <t>1</t>
        </is>
      </c>
      <c r="R326" s="79" t="inlineStr">
        <is>
          <t>365001|10</t>
        </is>
      </c>
    </row>
    <row r="327">
      <c r="B327" s="42" t="inlineStr">
        <is>
          <t>44042</t>
        </is>
      </c>
      <c r="C327" s="42" t="inlineStr">
        <is>
          <t>羽民国固定主线</t>
        </is>
      </c>
      <c r="D327" s="42" t="inlineStr">
        <is>
          <t>4-42</t>
        </is>
      </c>
      <c r="F327" s="42" t="inlineStr">
        <is>
          <t>44041</t>
        </is>
      </c>
      <c r="G327" s="42" t="inlineStr">
        <is>
          <t>44043</t>
        </is>
      </c>
      <c r="H327" s="42" t="inlineStr">
        <is>
          <t>10004</t>
        </is>
      </c>
      <c r="J327" s="79" t="inlineStr">
        <is>
          <t>10001|30000$84001|1650$114001|1300</t>
        </is>
      </c>
      <c r="K327" s="42" t="inlineStr">
        <is>
          <t>1</t>
        </is>
      </c>
      <c r="L327" s="41" t="inlineStr">
        <is>
          <t>54103|54104|54103|54104</t>
        </is>
      </c>
      <c r="M327" s="42" t="inlineStr">
        <is>
          <t>103</t>
        </is>
      </c>
      <c r="O327" s="42" t="inlineStr">
        <is>
          <t>1</t>
        </is>
      </c>
      <c r="R327" s="79" t="inlineStr">
        <is>
          <t>365001|10</t>
        </is>
      </c>
    </row>
    <row r="328">
      <c r="B328" s="42" t="inlineStr">
        <is>
          <t>44043</t>
        </is>
      </c>
      <c r="C328" s="42" t="inlineStr">
        <is>
          <t>羽民国固定主线</t>
        </is>
      </c>
      <c r="D328" s="42" t="inlineStr">
        <is>
          <t>4-43</t>
        </is>
      </c>
      <c r="F328" s="42" t="inlineStr">
        <is>
          <t>44042</t>
        </is>
      </c>
      <c r="G328" s="42" t="inlineStr">
        <is>
          <t>44044</t>
        </is>
      </c>
      <c r="H328" s="42" t="inlineStr">
        <is>
          <t>10004</t>
        </is>
      </c>
      <c r="J328" s="79" t="inlineStr">
        <is>
          <t>10001|30000$84001|1650$114001|1300</t>
        </is>
      </c>
      <c r="K328" s="42" t="inlineStr">
        <is>
          <t>1</t>
        </is>
      </c>
      <c r="L328" s="42" t="inlineStr">
        <is>
          <t>54115|54117|54115|54117</t>
        </is>
      </c>
      <c r="M328" s="42" t="inlineStr">
        <is>
          <t>103</t>
        </is>
      </c>
      <c r="O328" s="42" t="inlineStr">
        <is>
          <t>1</t>
        </is>
      </c>
      <c r="R328" s="79" t="inlineStr">
        <is>
          <t>365001|10</t>
        </is>
      </c>
    </row>
    <row r="329">
      <c r="B329" s="42" t="inlineStr">
        <is>
          <t>44044</t>
        </is>
      </c>
      <c r="C329" s="42" t="inlineStr">
        <is>
          <t>羽民国固定主线</t>
        </is>
      </c>
      <c r="D329" s="42" t="inlineStr">
        <is>
          <t>4-44</t>
        </is>
      </c>
      <c r="F329" s="42" t="inlineStr">
        <is>
          <t>44043</t>
        </is>
      </c>
      <c r="G329" s="42" t="inlineStr">
        <is>
          <t>44045</t>
        </is>
      </c>
      <c r="H329" s="42" t="inlineStr">
        <is>
          <t>10004</t>
        </is>
      </c>
      <c r="J329" s="79" t="inlineStr">
        <is>
          <t>10001|30000$84001|1650$114001|1300</t>
        </is>
      </c>
      <c r="K329" s="42" t="inlineStr">
        <is>
          <t>1</t>
        </is>
      </c>
      <c r="L329" s="41" t="inlineStr">
        <is>
          <t>54118</t>
        </is>
      </c>
      <c r="M329" s="42" t="inlineStr">
        <is>
          <t>103</t>
        </is>
      </c>
      <c r="O329" s="42" t="inlineStr">
        <is>
          <t>1</t>
        </is>
      </c>
      <c r="R329" s="79" t="inlineStr">
        <is>
          <t>365001|10</t>
        </is>
      </c>
    </row>
    <row r="330">
      <c r="B330" s="42" t="inlineStr">
        <is>
          <t>44045</t>
        </is>
      </c>
      <c r="C330" s="42" t="inlineStr">
        <is>
          <t>羽民国固定主线</t>
        </is>
      </c>
      <c r="D330" s="42" t="inlineStr">
        <is>
          <t>4-45</t>
        </is>
      </c>
      <c r="F330" s="42" t="inlineStr">
        <is>
          <t>44044</t>
        </is>
      </c>
      <c r="G330" s="42" t="inlineStr">
        <is>
          <t>44046</t>
        </is>
      </c>
      <c r="H330" s="42" t="inlineStr">
        <is>
          <t>10004</t>
        </is>
      </c>
      <c r="J330" s="79" t="inlineStr">
        <is>
          <t>10001|30000$84001|1650$114001|1300</t>
        </is>
      </c>
      <c r="K330" s="42" t="inlineStr">
        <is>
          <t>1</t>
        </is>
      </c>
      <c r="L330" s="41" t="inlineStr">
        <is>
          <t>54119</t>
        </is>
      </c>
      <c r="M330" s="42" t="inlineStr">
        <is>
          <t>104</t>
        </is>
      </c>
      <c r="O330" s="42" t="inlineStr">
        <is>
          <t>1</t>
        </is>
      </c>
      <c r="R330" s="79" t="inlineStr">
        <is>
          <t>365001|10</t>
        </is>
      </c>
    </row>
    <row r="331">
      <c r="B331" s="42" t="inlineStr">
        <is>
          <t>44046</t>
        </is>
      </c>
      <c r="C331" s="42" t="inlineStr">
        <is>
          <t>羽民国固定主线</t>
        </is>
      </c>
      <c r="D331" s="42" t="inlineStr">
        <is>
          <t>4-46</t>
        </is>
      </c>
      <c r="F331" s="42" t="inlineStr">
        <is>
          <t>44045</t>
        </is>
      </c>
      <c r="G331" s="42" t="inlineStr">
        <is>
          <t>44047</t>
        </is>
      </c>
      <c r="H331" s="42" t="inlineStr">
        <is>
          <t>10004</t>
        </is>
      </c>
      <c r="J331" s="79" t="inlineStr">
        <is>
          <t>10001|30000$84001|1650$114001|1300</t>
        </is>
      </c>
      <c r="K331" s="42" t="inlineStr">
        <is>
          <t>1</t>
        </is>
      </c>
      <c r="L331" s="41" t="inlineStr">
        <is>
          <t>54104|54117|54104|54117</t>
        </is>
      </c>
      <c r="M331" s="42" t="inlineStr">
        <is>
          <t>104</t>
        </is>
      </c>
      <c r="O331" s="42" t="inlineStr">
        <is>
          <t>1</t>
        </is>
      </c>
      <c r="R331" s="79" t="inlineStr">
        <is>
          <t>365001|10</t>
        </is>
      </c>
    </row>
    <row r="332">
      <c r="B332" s="42" t="inlineStr">
        <is>
          <t>44047</t>
        </is>
      </c>
      <c r="C332" s="42" t="inlineStr">
        <is>
          <t>羽民国固定主线</t>
        </is>
      </c>
      <c r="D332" s="42" t="inlineStr">
        <is>
          <t>4-47</t>
        </is>
      </c>
      <c r="F332" s="42" t="inlineStr">
        <is>
          <t>44046</t>
        </is>
      </c>
      <c r="G332" s="42" t="inlineStr">
        <is>
          <t>44048</t>
        </is>
      </c>
      <c r="H332" s="42" t="inlineStr">
        <is>
          <t>10004</t>
        </is>
      </c>
      <c r="J332" s="79" t="inlineStr">
        <is>
          <t>10001|30000$84001|1650$114001|1300</t>
        </is>
      </c>
      <c r="K332" s="42" t="inlineStr">
        <is>
          <t>1</t>
        </is>
      </c>
      <c r="L332" s="42" t="inlineStr">
        <is>
          <t>54109|54104|54109|54104</t>
        </is>
      </c>
      <c r="M332" s="42" t="inlineStr">
        <is>
          <t>105</t>
        </is>
      </c>
      <c r="O332" s="42" t="inlineStr">
        <is>
          <t>1</t>
        </is>
      </c>
      <c r="R332" s="79" t="inlineStr">
        <is>
          <t>365001|10</t>
        </is>
      </c>
    </row>
    <row r="333" ht="54" customHeight="1" s="80">
      <c r="B333" s="42" t="inlineStr">
        <is>
          <t>44048</t>
        </is>
      </c>
      <c r="C333" s="42" t="inlineStr">
        <is>
          <t>羽民国固定主线</t>
        </is>
      </c>
      <c r="D333" s="42" t="inlineStr">
        <is>
          <t>4-48</t>
        </is>
      </c>
      <c r="F333" s="42" t="inlineStr">
        <is>
          <t>44047</t>
        </is>
      </c>
      <c r="G333" s="42" t="inlineStr">
        <is>
          <t>44049</t>
        </is>
      </c>
      <c r="H333" s="42" t="inlineStr">
        <is>
          <t>10004</t>
        </is>
      </c>
      <c r="J333" s="79" t="inlineStr">
        <is>
          <t>10001|30000$84001|1650$114001|1300</t>
        </is>
      </c>
      <c r="K333" s="42" t="inlineStr">
        <is>
          <t>3</t>
        </is>
      </c>
      <c r="L333" s="41" t="inlineStr">
        <is>
          <t>54118</t>
        </is>
      </c>
      <c r="M333" s="42" t="inlineStr">
        <is>
          <t>105</t>
        </is>
      </c>
      <c r="O333" s="42" t="inlineStr">
        <is>
          <t>1</t>
        </is>
      </c>
      <c r="R333" s="79" t="inlineStr">
        <is>
          <t>365001|10</t>
        </is>
      </c>
    </row>
    <row r="334">
      <c r="B334" s="42" t="inlineStr">
        <is>
          <t>44049</t>
        </is>
      </c>
      <c r="C334" s="42" t="inlineStr">
        <is>
          <t>羽民国固定主线</t>
        </is>
      </c>
      <c r="D334" s="42" t="inlineStr">
        <is>
          <t>4-49</t>
        </is>
      </c>
      <c r="F334" s="42" t="inlineStr">
        <is>
          <t>44048</t>
        </is>
      </c>
      <c r="G334" s="42" t="inlineStr">
        <is>
          <t>44050</t>
        </is>
      </c>
      <c r="H334" s="42" t="inlineStr">
        <is>
          <t>10004</t>
        </is>
      </c>
      <c r="J334" s="79" t="inlineStr">
        <is>
          <t>10001|30000$84001|1650$114001|1300</t>
        </is>
      </c>
      <c r="K334" s="42" t="inlineStr">
        <is>
          <t>1</t>
        </is>
      </c>
      <c r="L334" s="41" t="inlineStr">
        <is>
          <t>54113|54113|54113|54113</t>
        </is>
      </c>
      <c r="M334" s="42" t="inlineStr">
        <is>
          <t>105</t>
        </is>
      </c>
      <c r="O334" s="42" t="inlineStr">
        <is>
          <t>1</t>
        </is>
      </c>
      <c r="R334" s="79" t="inlineStr">
        <is>
          <t>365001|10</t>
        </is>
      </c>
    </row>
    <row r="335">
      <c r="B335" s="42" t="inlineStr">
        <is>
          <t>44050</t>
        </is>
      </c>
      <c r="C335" s="42" t="inlineStr">
        <is>
          <t>羽民国固定主线</t>
        </is>
      </c>
      <c r="D335" s="42" t="inlineStr">
        <is>
          <t>4-50</t>
        </is>
      </c>
      <c r="F335" s="42" t="inlineStr">
        <is>
          <t>44049</t>
        </is>
      </c>
      <c r="H335" s="42" t="inlineStr">
        <is>
          <t>10004</t>
        </is>
      </c>
      <c r="I335" s="42" t="inlineStr">
        <is>
          <t>1</t>
        </is>
      </c>
      <c r="J335" s="79" t="inlineStr">
        <is>
          <t>10001|30000$84001|1650$114001|1300</t>
        </is>
      </c>
      <c r="K335" s="42" t="inlineStr">
        <is>
          <t>4</t>
        </is>
      </c>
      <c r="L335" s="41" t="inlineStr">
        <is>
          <t>54120</t>
        </is>
      </c>
      <c r="M335" s="42" t="inlineStr">
        <is>
          <t>105</t>
        </is>
      </c>
      <c r="O335" s="42" t="inlineStr">
        <is>
          <t>1</t>
        </is>
      </c>
      <c r="Q335" s="72" t="inlineStr">
        <is>
          <t>11031|11032|11033|11034|11035</t>
        </is>
      </c>
      <c r="R335" s="79" t="inlineStr">
        <is>
          <t>445001|1$365001|10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8"/>
  <sheetViews>
    <sheetView topLeftCell="A12" workbookViewId="0">
      <selection activeCell="H9" sqref="H9"/>
    </sheetView>
  </sheetViews>
  <sheetFormatPr baseColWidth="8" defaultColWidth="9" defaultRowHeight="13.5"/>
  <cols>
    <col width="11.125" customWidth="1" style="8" min="1" max="1"/>
    <col width="9" customWidth="1" style="8" min="2" max="2"/>
    <col width="22.125" customWidth="1" style="8" min="3" max="3"/>
    <col width="10.75" customWidth="1" style="8" min="4" max="4"/>
    <col width="12.875" customWidth="1" style="8" min="5" max="5"/>
    <col width="9" customWidth="1" style="8" min="6" max="6"/>
    <col width="12.25" customWidth="1" style="8" min="7" max="7"/>
    <col width="32.375" customWidth="1" style="8" min="8" max="8"/>
    <col width="9.75" customWidth="1" style="8" min="9" max="9"/>
    <col width="9" customWidth="1" style="8" min="10" max="15"/>
    <col width="14.25" customWidth="1" style="8" min="16" max="16"/>
    <col width="9" customWidth="1" style="8" min="17" max="16384"/>
  </cols>
  <sheetData>
    <row r="1">
      <c r="B1" s="8" t="inlineStr">
        <is>
          <t>灵石</t>
        </is>
      </c>
      <c r="C1" s="28" t="inlineStr">
        <is>
          <t>太玄果</t>
        </is>
      </c>
      <c r="D1" s="28" t="inlineStr">
        <is>
          <t>清灵草</t>
        </is>
      </c>
      <c r="E1" s="28" t="inlineStr">
        <is>
          <t>月灵矿</t>
        </is>
      </c>
      <c r="F1" s="28" t="inlineStr">
        <is>
          <t>灵泉</t>
        </is>
      </c>
      <c r="G1" s="28" t="inlineStr">
        <is>
          <t>星尘</t>
        </is>
      </c>
      <c r="I1" s="28" t="n"/>
      <c r="K1" s="28" t="n"/>
    </row>
    <row r="2">
      <c r="B2" s="8" t="n">
        <v>10001</v>
      </c>
      <c r="C2" s="28" t="inlineStr">
        <is>
          <t>91001</t>
        </is>
      </c>
      <c r="D2" s="28" t="inlineStr">
        <is>
          <t>81001</t>
        </is>
      </c>
      <c r="E2" s="28" t="inlineStr">
        <is>
          <t>111001</t>
        </is>
      </c>
      <c r="F2" s="28" t="inlineStr">
        <is>
          <t>121001</t>
        </is>
      </c>
      <c r="G2" s="28" t="inlineStr">
        <is>
          <t>131001</t>
        </is>
      </c>
      <c r="I2" s="28" t="n"/>
      <c r="K2" s="28" t="n"/>
    </row>
    <row r="3">
      <c r="C3" s="28" t="inlineStr">
        <is>
          <t>92001</t>
        </is>
      </c>
      <c r="D3" s="28" t="inlineStr">
        <is>
          <t>82001</t>
        </is>
      </c>
      <c r="E3" s="28" t="inlineStr">
        <is>
          <t>112001</t>
        </is>
      </c>
      <c r="F3" s="28" t="inlineStr">
        <is>
          <t>122001</t>
        </is>
      </c>
      <c r="G3" s="28" t="inlineStr">
        <is>
          <t>132001</t>
        </is>
      </c>
      <c r="I3" s="28" t="n"/>
      <c r="K3" s="28" t="n"/>
    </row>
    <row r="4">
      <c r="C4" s="28" t="inlineStr">
        <is>
          <t>93001</t>
        </is>
      </c>
      <c r="D4" s="28" t="inlineStr">
        <is>
          <t>83001</t>
        </is>
      </c>
      <c r="E4" s="28" t="inlineStr">
        <is>
          <t>113001</t>
        </is>
      </c>
      <c r="F4" s="28" t="inlineStr">
        <is>
          <t>123001</t>
        </is>
      </c>
      <c r="G4" s="28" t="inlineStr">
        <is>
          <t>133001</t>
        </is>
      </c>
      <c r="I4" s="28" t="n"/>
      <c r="K4" s="28" t="n"/>
    </row>
    <row r="5">
      <c r="C5" s="28" t="inlineStr">
        <is>
          <t>94001</t>
        </is>
      </c>
      <c r="D5" s="28" t="inlineStr">
        <is>
          <t>84001</t>
        </is>
      </c>
      <c r="E5" s="28" t="inlineStr">
        <is>
          <t>114001</t>
        </is>
      </c>
      <c r="F5" s="28" t="inlineStr">
        <is>
          <t>124001</t>
        </is>
      </c>
      <c r="G5" s="28" t="inlineStr">
        <is>
          <t>134001</t>
        </is>
      </c>
      <c r="I5" s="28" t="n"/>
      <c r="K5" s="28" t="n"/>
    </row>
    <row r="6">
      <c r="C6" s="28" t="inlineStr">
        <is>
          <t>95001</t>
        </is>
      </c>
      <c r="D6" s="28" t="inlineStr">
        <is>
          <t>85001</t>
        </is>
      </c>
      <c r="E6" s="28" t="inlineStr">
        <is>
          <t>115001</t>
        </is>
      </c>
      <c r="F6" s="28" t="inlineStr">
        <is>
          <t>125001</t>
        </is>
      </c>
      <c r="G6" s="28" t="inlineStr">
        <is>
          <t>135001</t>
        </is>
      </c>
    </row>
    <row r="7">
      <c r="H7" s="8" t="n">
        <v>4</v>
      </c>
    </row>
    <row r="8" ht="27" customHeight="1" s="80">
      <c r="A8" s="14" t="inlineStr">
        <is>
          <t>第一关资源</t>
        </is>
      </c>
      <c r="B8" s="15" t="inlineStr">
        <is>
          <t>灵石</t>
        </is>
      </c>
      <c r="C8" s="15" t="inlineStr">
        <is>
          <t>太玄果</t>
        </is>
      </c>
      <c r="D8" s="15" t="inlineStr">
        <is>
          <t>清灵草</t>
        </is>
      </c>
      <c r="E8" s="15" t="inlineStr">
        <is>
          <t>月灵矿</t>
        </is>
      </c>
      <c r="F8" s="15" t="inlineStr">
        <is>
          <t>灵泉</t>
        </is>
      </c>
      <c r="G8" s="15" t="inlineStr">
        <is>
          <t>星尘</t>
        </is>
      </c>
      <c r="H8" s="14" t="n"/>
      <c r="I8" s="18" t="inlineStr">
        <is>
          <t>第2关资源</t>
        </is>
      </c>
      <c r="J8" s="33" t="inlineStr">
        <is>
          <t>灵石</t>
        </is>
      </c>
      <c r="K8" s="33" t="inlineStr">
        <is>
          <t>太玄果</t>
        </is>
      </c>
      <c r="L8" s="33" t="inlineStr">
        <is>
          <t>清灵草</t>
        </is>
      </c>
      <c r="M8" s="33" t="inlineStr">
        <is>
          <t>月灵矿</t>
        </is>
      </c>
      <c r="N8" s="33" t="inlineStr">
        <is>
          <t>灵泉</t>
        </is>
      </c>
      <c r="O8" s="33" t="inlineStr">
        <is>
          <t>星尘</t>
        </is>
      </c>
      <c r="P8" s="18" t="n"/>
      <c r="Q8" s="21" t="inlineStr">
        <is>
          <t>第3关资源</t>
        </is>
      </c>
      <c r="R8" s="20" t="inlineStr">
        <is>
          <t>灵石</t>
        </is>
      </c>
      <c r="S8" s="20" t="inlineStr">
        <is>
          <t>太玄果</t>
        </is>
      </c>
      <c r="T8" s="20" t="inlineStr">
        <is>
          <t>清灵草</t>
        </is>
      </c>
      <c r="U8" s="20" t="inlineStr">
        <is>
          <t>月灵矿</t>
        </is>
      </c>
      <c r="V8" s="20" t="inlineStr">
        <is>
          <t>灵泉</t>
        </is>
      </c>
      <c r="W8" s="20" t="inlineStr">
        <is>
          <t>星尘</t>
        </is>
      </c>
      <c r="X8" s="21" t="n"/>
      <c r="Y8" s="21" t="n"/>
      <c r="Z8" s="24" t="inlineStr">
        <is>
          <t>第4关资源</t>
        </is>
      </c>
      <c r="AA8" s="23" t="inlineStr">
        <is>
          <t>灵石</t>
        </is>
      </c>
      <c r="AB8" s="23" t="inlineStr">
        <is>
          <t>太玄果</t>
        </is>
      </c>
      <c r="AC8" s="23" t="inlineStr">
        <is>
          <t>清灵草</t>
        </is>
      </c>
      <c r="AD8" s="23" t="inlineStr">
        <is>
          <t>月灵矿</t>
        </is>
      </c>
      <c r="AE8" s="23" t="inlineStr">
        <is>
          <t>灵泉</t>
        </is>
      </c>
      <c r="AF8" s="23" t="inlineStr">
        <is>
          <t>星尘</t>
        </is>
      </c>
      <c r="AG8" s="24" t="n"/>
      <c r="AH8" s="27" t="inlineStr">
        <is>
          <t>第5关资源</t>
        </is>
      </c>
      <c r="AI8" s="26" t="inlineStr">
        <is>
          <t>灵石</t>
        </is>
      </c>
      <c r="AJ8" s="26" t="inlineStr">
        <is>
          <t>太玄果</t>
        </is>
      </c>
      <c r="AK8" s="26" t="inlineStr">
        <is>
          <t>清灵草</t>
        </is>
      </c>
      <c r="AL8" s="26" t="inlineStr">
        <is>
          <t>月灵矿</t>
        </is>
      </c>
      <c r="AM8" s="26" t="inlineStr">
        <is>
          <t>灵泉</t>
        </is>
      </c>
      <c r="AN8" s="26" t="inlineStr">
        <is>
          <t>星尘</t>
        </is>
      </c>
      <c r="AO8" s="27" t="n"/>
    </row>
    <row r="9" ht="121.5" customHeight="1" s="80">
      <c r="A9" s="14" t="n">
        <v>1</v>
      </c>
      <c r="B9" s="14" t="n">
        <v>2000</v>
      </c>
      <c r="C9" s="8" t="n">
        <v>46</v>
      </c>
      <c r="D9" s="8" t="n">
        <v>184</v>
      </c>
      <c r="E9" s="8" t="n">
        <v>215</v>
      </c>
      <c r="F9" s="8" t="n">
        <v>46</v>
      </c>
      <c r="G9" s="8" t="n">
        <v>23</v>
      </c>
      <c r="H9" s="14">
        <f>$B$2&amp;"|"&amp;B9&amp;"$"&amp;$C$2&amp;"|"&amp;C9&amp;"$"&amp;$D$2&amp;"|"&amp;D9&amp;"$"&amp;$E$2&amp;"|"&amp;E9&amp;"$"&amp;$F$2&amp;"|"&amp;F9&amp;"$"&amp;$G$2&amp;"|"&amp;G9</f>
        <v/>
      </c>
      <c r="I9" s="18" t="n">
        <v>1</v>
      </c>
      <c r="J9" s="18" t="n">
        <v>8460</v>
      </c>
      <c r="K9" s="18" t="n">
        <v>311</v>
      </c>
      <c r="L9" s="18" t="n">
        <v>310</v>
      </c>
      <c r="M9" s="18" t="n">
        <v>2220</v>
      </c>
      <c r="N9" s="18" t="n">
        <v>343</v>
      </c>
      <c r="O9" s="18" t="n">
        <v>312</v>
      </c>
      <c r="P9" s="18">
        <f>$B$2&amp;"|"&amp;J9&amp;"$"&amp;$C$3&amp;"|"&amp;K9&amp;"$"&amp;$D$3&amp;"|"&amp;L9&amp;"$"&amp;$E$3&amp;"|"&amp;M9&amp;"$"&amp;$F$3&amp;"|"&amp;N9&amp;"$"&amp;$G$3&amp;"|"&amp;O9</f>
        <v/>
      </c>
      <c r="Q9" s="21" t="n">
        <v>1</v>
      </c>
      <c r="R9" s="21" t="n">
        <v>9870</v>
      </c>
      <c r="S9" s="21" t="n">
        <v>275</v>
      </c>
      <c r="T9" s="21" t="n">
        <v>365</v>
      </c>
      <c r="U9" s="21" t="n">
        <v>2100</v>
      </c>
      <c r="V9" s="21" t="n">
        <v>225</v>
      </c>
      <c r="W9" s="21" t="n">
        <v>312</v>
      </c>
      <c r="X9" s="21">
        <f>$B$2&amp;"|"&amp;R9&amp;"$"&amp;$C$4&amp;"|"&amp;S9&amp;"$"&amp;$D$4&amp;"|"&amp;T9&amp;"$"&amp;$E$4&amp;"|"&amp;U9&amp;"$"&amp;$F$4&amp;"|"&amp;V9&amp;"$"&amp;$G$4&amp;"|"&amp;W9</f>
        <v/>
      </c>
      <c r="Y9" s="21" t="n"/>
      <c r="Z9" s="24" t="n">
        <v>1</v>
      </c>
      <c r="AA9" s="24" t="n">
        <v>11300</v>
      </c>
      <c r="AB9" s="24" t="n">
        <v>243</v>
      </c>
      <c r="AC9" s="24" t="n">
        <v>214</v>
      </c>
      <c r="AD9" s="24" t="n">
        <v>2090</v>
      </c>
      <c r="AE9" s="24" t="n">
        <v>136</v>
      </c>
      <c r="AF9" s="24" t="n">
        <v>310</v>
      </c>
      <c r="AG9" s="24">
        <f>$B$2&amp;"|"&amp;AA9&amp;"$"&amp;$C$5&amp;"|"&amp;AB9&amp;"$"&amp;$D$5&amp;"|"&amp;AC9&amp;"$"&amp;$E$5&amp;"|"&amp;AD9&amp;"$"&amp;$F$5&amp;"|"&amp;AE9&amp;"$"&amp;$G$5&amp;"|"&amp;AF9</f>
        <v/>
      </c>
      <c r="AH9" s="27" t="n">
        <v>1</v>
      </c>
      <c r="AI9" s="27" t="n">
        <v>12690</v>
      </c>
      <c r="AJ9" s="27" t="n">
        <v>211</v>
      </c>
      <c r="AK9" s="27" t="n">
        <v>151</v>
      </c>
      <c r="AL9" s="27" t="n">
        <v>2085</v>
      </c>
      <c r="AM9" s="27" t="n">
        <v>92</v>
      </c>
      <c r="AN9" s="27" t="n">
        <v>310</v>
      </c>
      <c r="AO9" s="27">
        <f>$B$2&amp;"|"&amp;AI9&amp;"$"&amp;$C$6&amp;"|"&amp;AJ9&amp;"$"&amp;$D$6&amp;"|"&amp;AK9&amp;"$"&amp;$E$6&amp;"|"&amp;AL9&amp;"$"&amp;$F$6&amp;"|"&amp;AM9&amp;"$"&amp;$G$6&amp;"|"&amp;AN9</f>
        <v/>
      </c>
    </row>
    <row r="10" ht="121.5" customHeight="1" s="80">
      <c r="A10" s="14" t="n">
        <v>2</v>
      </c>
      <c r="B10" s="14" t="n">
        <v>2000</v>
      </c>
      <c r="C10" s="8" t="n">
        <v>47</v>
      </c>
      <c r="D10" s="8" t="n">
        <v>188</v>
      </c>
      <c r="E10" s="8" t="n">
        <v>230</v>
      </c>
      <c r="F10" s="8" t="n">
        <v>47</v>
      </c>
      <c r="G10" s="8" t="n">
        <v>25</v>
      </c>
      <c r="H10" s="14">
        <f>$B$2&amp;"|"&amp;B10&amp;"$"&amp;$C$2&amp;"|"&amp;C10&amp;"$"&amp;$D$2&amp;"|"&amp;D10&amp;"$"&amp;$E$2&amp;"|"&amp;E10&amp;"$"&amp;$F$2&amp;"|"&amp;F10&amp;"$"&amp;$G$2&amp;"|"&amp;G10</f>
        <v/>
      </c>
      <c r="I10" s="18" t="n">
        <v>2</v>
      </c>
      <c r="J10" s="18" t="n">
        <v>8460</v>
      </c>
      <c r="K10" s="18" t="n">
        <v>322</v>
      </c>
      <c r="L10" s="18" t="n">
        <v>320</v>
      </c>
      <c r="M10" s="18" t="n">
        <v>2340</v>
      </c>
      <c r="N10" s="18" t="n">
        <v>353</v>
      </c>
      <c r="O10" s="18" t="n">
        <v>324</v>
      </c>
      <c r="P10" s="18">
        <f>$B$2&amp;"|"&amp;J10&amp;"$"&amp;$C$3&amp;"|"&amp;K10&amp;"$"&amp;$D$3&amp;"|"&amp;L10&amp;"$"&amp;$E$3&amp;"|"&amp;M10&amp;"$"&amp;$F$3&amp;"|"&amp;N10&amp;"$"&amp;$G$3&amp;"|"&amp;O10</f>
        <v/>
      </c>
      <c r="Q10" s="21" t="n">
        <v>2</v>
      </c>
      <c r="R10" s="21" t="n">
        <v>9870</v>
      </c>
      <c r="S10" s="21" t="n">
        <v>280</v>
      </c>
      <c r="T10" s="21" t="n">
        <v>370</v>
      </c>
      <c r="U10" s="21" t="n">
        <v>2200</v>
      </c>
      <c r="V10" s="21" t="n">
        <v>230</v>
      </c>
      <c r="W10" s="21" t="n">
        <v>324</v>
      </c>
      <c r="X10" s="21">
        <f>$B$2&amp;"|"&amp;R10&amp;"$"&amp;$C$4&amp;"|"&amp;S10&amp;"$"&amp;$D$4&amp;"|"&amp;T10&amp;"$"&amp;$E$4&amp;"|"&amp;U10&amp;"$"&amp;$F$4&amp;"|"&amp;V10&amp;"$"&amp;$G$4&amp;"|"&amp;W10</f>
        <v/>
      </c>
      <c r="Y10" s="21" t="n"/>
      <c r="Z10" s="24" t="n">
        <v>2</v>
      </c>
      <c r="AA10" s="24" t="n">
        <v>11300</v>
      </c>
      <c r="AB10" s="24" t="n">
        <v>246</v>
      </c>
      <c r="AC10" s="24" t="n">
        <v>218</v>
      </c>
      <c r="AD10" s="24" t="n">
        <v>2180</v>
      </c>
      <c r="AE10" s="24" t="n">
        <v>140</v>
      </c>
      <c r="AF10" s="24" t="n">
        <v>320</v>
      </c>
      <c r="AG10" s="24">
        <f>$B$2&amp;"|"&amp;AA10&amp;"$"&amp;$C$5&amp;"|"&amp;AB10&amp;"$"&amp;$D$5&amp;"|"&amp;AC10&amp;"$"&amp;$E$5&amp;"|"&amp;AD10&amp;"$"&amp;$F$5&amp;"|"&amp;AE10&amp;"$"&amp;$G$5&amp;"|"&amp;AF10</f>
        <v/>
      </c>
      <c r="AH10" s="27" t="n">
        <v>2</v>
      </c>
      <c r="AI10" s="27" t="n">
        <v>12690</v>
      </c>
      <c r="AJ10" s="27" t="n">
        <v>212</v>
      </c>
      <c r="AK10" s="27" t="n">
        <v>152</v>
      </c>
      <c r="AL10" s="27" t="n">
        <v>2170</v>
      </c>
      <c r="AM10" s="27" t="n">
        <v>94</v>
      </c>
      <c r="AN10" s="27" t="n">
        <v>320</v>
      </c>
      <c r="AO10" s="27">
        <f>$B$2&amp;"|"&amp;AI10&amp;"$"&amp;$C$6&amp;"|"&amp;AJ10&amp;"$"&amp;$D$6&amp;"|"&amp;AK10&amp;"$"&amp;$E$6&amp;"|"&amp;AL10&amp;"$"&amp;$F$6&amp;"|"&amp;AM10&amp;"$"&amp;$G$6&amp;"|"&amp;AN10</f>
        <v/>
      </c>
    </row>
    <row r="11" ht="121.5" customHeight="1" s="80">
      <c r="A11" s="14" t="n">
        <v>3</v>
      </c>
      <c r="B11" s="14" t="n">
        <v>2000</v>
      </c>
      <c r="C11" s="8" t="n">
        <v>48</v>
      </c>
      <c r="D11" s="8" t="n">
        <v>192</v>
      </c>
      <c r="E11" s="8" t="n">
        <v>245</v>
      </c>
      <c r="F11" s="8" t="n">
        <v>48</v>
      </c>
      <c r="G11" s="8" t="n">
        <v>27</v>
      </c>
      <c r="H11" s="14">
        <f>$B$2&amp;"|"&amp;B11&amp;"$"&amp;$C$2&amp;"|"&amp;C11&amp;"$"&amp;$D$2&amp;"|"&amp;D11&amp;"$"&amp;$E$2&amp;"|"&amp;E11&amp;"$"&amp;$F$2&amp;"|"&amp;F11&amp;"$"&amp;$G$2&amp;"|"&amp;G11</f>
        <v/>
      </c>
      <c r="I11" s="18" t="n">
        <v>3</v>
      </c>
      <c r="J11" s="18" t="n">
        <v>8460</v>
      </c>
      <c r="K11" s="18" t="n">
        <v>333</v>
      </c>
      <c r="L11" s="18" t="n">
        <v>330</v>
      </c>
      <c r="M11" s="18" t="n">
        <v>2460</v>
      </c>
      <c r="N11" s="18" t="n">
        <v>363</v>
      </c>
      <c r="O11" s="18" t="n">
        <v>336</v>
      </c>
      <c r="P11" s="18">
        <f>$B$2&amp;"|"&amp;J11&amp;"$"&amp;$C$3&amp;"|"&amp;K11&amp;"$"&amp;$D$3&amp;"|"&amp;L11&amp;"$"&amp;$E$3&amp;"|"&amp;M11&amp;"$"&amp;$F$3&amp;"|"&amp;N11&amp;"$"&amp;$G$3&amp;"|"&amp;O11</f>
        <v/>
      </c>
      <c r="Q11" s="21" t="n">
        <v>3</v>
      </c>
      <c r="R11" s="21" t="n">
        <v>9870</v>
      </c>
      <c r="S11" s="21" t="n">
        <v>285</v>
      </c>
      <c r="T11" s="21" t="n">
        <v>375</v>
      </c>
      <c r="U11" s="21" t="n">
        <v>2300</v>
      </c>
      <c r="V11" s="21" t="n">
        <v>235</v>
      </c>
      <c r="W11" s="21" t="n">
        <v>336</v>
      </c>
      <c r="X11" s="21">
        <f>$B$2&amp;"|"&amp;R11&amp;"$"&amp;$C$4&amp;"|"&amp;S11&amp;"$"&amp;$D$4&amp;"|"&amp;T11&amp;"$"&amp;$E$4&amp;"|"&amp;U11&amp;"$"&amp;$F$4&amp;"|"&amp;V11&amp;"$"&amp;$G$4&amp;"|"&amp;W11</f>
        <v/>
      </c>
      <c r="Y11" s="21" t="n"/>
      <c r="Z11" s="24" t="n">
        <v>3</v>
      </c>
      <c r="AA11" s="24" t="n">
        <v>11300</v>
      </c>
      <c r="AB11" s="24" t="n">
        <v>249</v>
      </c>
      <c r="AC11" s="24" t="n">
        <v>222</v>
      </c>
      <c r="AD11" s="24" t="n">
        <v>2270</v>
      </c>
      <c r="AE11" s="24" t="n">
        <v>144</v>
      </c>
      <c r="AF11" s="24" t="n">
        <v>330</v>
      </c>
      <c r="AG11" s="24">
        <f>$B$2&amp;"|"&amp;AA11&amp;"$"&amp;$C$5&amp;"|"&amp;AB11&amp;"$"&amp;$D$5&amp;"|"&amp;AC11&amp;"$"&amp;$E$5&amp;"|"&amp;AD11&amp;"$"&amp;$F$5&amp;"|"&amp;AE11&amp;"$"&amp;$G$5&amp;"|"&amp;AF11</f>
        <v/>
      </c>
      <c r="AH11" s="27" t="n">
        <v>3</v>
      </c>
      <c r="AI11" s="27" t="n">
        <v>12690</v>
      </c>
      <c r="AJ11" s="27" t="n">
        <v>213</v>
      </c>
      <c r="AK11" s="27" t="n">
        <v>153</v>
      </c>
      <c r="AL11" s="27" t="n">
        <v>2255</v>
      </c>
      <c r="AM11" s="27" t="n">
        <v>96</v>
      </c>
      <c r="AN11" s="27" t="n">
        <v>330</v>
      </c>
      <c r="AO11" s="27">
        <f>$B$2&amp;"|"&amp;AI11&amp;"$"&amp;$C$6&amp;"|"&amp;AJ11&amp;"$"&amp;$D$6&amp;"|"&amp;AK11&amp;"$"&amp;$E$6&amp;"|"&amp;AL11&amp;"$"&amp;$F$6&amp;"|"&amp;AM11&amp;"$"&amp;$G$6&amp;"|"&amp;AN11</f>
        <v/>
      </c>
    </row>
    <row r="12" ht="121.5" customHeight="1" s="80">
      <c r="A12" s="14" t="n">
        <v>4</v>
      </c>
      <c r="B12" s="14" t="n">
        <v>2000</v>
      </c>
      <c r="C12" s="8" t="n">
        <v>49</v>
      </c>
      <c r="D12" s="8" t="n">
        <v>196</v>
      </c>
      <c r="E12" s="8" t="n">
        <v>260</v>
      </c>
      <c r="F12" s="8" t="n">
        <v>49</v>
      </c>
      <c r="G12" s="8" t="n">
        <v>29</v>
      </c>
      <c r="H12" s="14">
        <f>$B$2&amp;"|"&amp;B12&amp;"$"&amp;$C$2&amp;"|"&amp;C12&amp;"$"&amp;$D$2&amp;"|"&amp;D12&amp;"$"&amp;$E$2&amp;"|"&amp;E12&amp;"$"&amp;$F$2&amp;"|"&amp;F12&amp;"$"&amp;$G$2&amp;"|"&amp;G12</f>
        <v/>
      </c>
      <c r="I12" s="18" t="n">
        <v>4</v>
      </c>
      <c r="J12" s="18" t="n">
        <v>8460</v>
      </c>
      <c r="K12" s="18" t="n">
        <v>344</v>
      </c>
      <c r="L12" s="18" t="n">
        <v>340</v>
      </c>
      <c r="M12" s="18" t="n">
        <v>2580</v>
      </c>
      <c r="N12" s="18" t="n">
        <v>373</v>
      </c>
      <c r="O12" s="18" t="n">
        <v>348</v>
      </c>
      <c r="P12" s="18">
        <f>$B$2&amp;"|"&amp;J12&amp;"$"&amp;$C$3&amp;"|"&amp;K12&amp;"$"&amp;$D$3&amp;"|"&amp;L12&amp;"$"&amp;$E$3&amp;"|"&amp;M12&amp;"$"&amp;$F$3&amp;"|"&amp;N12&amp;"$"&amp;$G$3&amp;"|"&amp;O12</f>
        <v/>
      </c>
      <c r="Q12" s="21" t="n">
        <v>4</v>
      </c>
      <c r="R12" s="21" t="n">
        <v>9870</v>
      </c>
      <c r="S12" s="21" t="n">
        <v>290</v>
      </c>
      <c r="T12" s="21" t="n">
        <v>380</v>
      </c>
      <c r="U12" s="21" t="n">
        <v>2400</v>
      </c>
      <c r="V12" s="21" t="n">
        <v>240</v>
      </c>
      <c r="W12" s="21" t="n">
        <v>348</v>
      </c>
      <c r="X12" s="21">
        <f>$B$2&amp;"|"&amp;R12&amp;"$"&amp;$C$4&amp;"|"&amp;S12&amp;"$"&amp;$D$4&amp;"|"&amp;T12&amp;"$"&amp;$E$4&amp;"|"&amp;U12&amp;"$"&amp;$F$4&amp;"|"&amp;V12&amp;"$"&amp;$G$4&amp;"|"&amp;W12</f>
        <v/>
      </c>
      <c r="Y12" s="21" t="n"/>
      <c r="Z12" s="24" t="n">
        <v>4</v>
      </c>
      <c r="AA12" s="24" t="n">
        <v>11300</v>
      </c>
      <c r="AB12" s="24" t="n">
        <v>252</v>
      </c>
      <c r="AC12" s="24" t="n">
        <v>226</v>
      </c>
      <c r="AD12" s="24" t="n">
        <v>2360</v>
      </c>
      <c r="AE12" s="24" t="n">
        <v>148</v>
      </c>
      <c r="AF12" s="24" t="n">
        <v>340</v>
      </c>
      <c r="AG12" s="24">
        <f>$B$2&amp;"|"&amp;AA12&amp;"$"&amp;$C$5&amp;"|"&amp;AB12&amp;"$"&amp;$D$5&amp;"|"&amp;AC12&amp;"$"&amp;$E$5&amp;"|"&amp;AD12&amp;"$"&amp;$F$5&amp;"|"&amp;AE12&amp;"$"&amp;$G$5&amp;"|"&amp;AF12</f>
        <v/>
      </c>
      <c r="AH12" s="27" t="n">
        <v>4</v>
      </c>
      <c r="AI12" s="27" t="n">
        <v>12690</v>
      </c>
      <c r="AJ12" s="27" t="n">
        <v>214</v>
      </c>
      <c r="AK12" s="27" t="n">
        <v>154</v>
      </c>
      <c r="AL12" s="27" t="n">
        <v>2340</v>
      </c>
      <c r="AM12" s="27" t="n">
        <v>98</v>
      </c>
      <c r="AN12" s="27" t="n">
        <v>340</v>
      </c>
      <c r="AO12" s="27">
        <f>$B$2&amp;"|"&amp;AI12&amp;"$"&amp;$C$6&amp;"|"&amp;AJ12&amp;"$"&amp;$D$6&amp;"|"&amp;AK12&amp;"$"&amp;$E$6&amp;"|"&amp;AL12&amp;"$"&amp;$F$6&amp;"|"&amp;AM12&amp;"$"&amp;$G$6&amp;"|"&amp;AN12</f>
        <v/>
      </c>
    </row>
    <row r="13" ht="121.5" customHeight="1" s="80">
      <c r="A13" s="14" t="n">
        <v>5</v>
      </c>
      <c r="B13" s="14" t="n">
        <v>2000</v>
      </c>
      <c r="C13" s="8" t="n">
        <v>50</v>
      </c>
      <c r="D13" s="8" t="n">
        <v>200</v>
      </c>
      <c r="E13" s="8" t="n">
        <v>275</v>
      </c>
      <c r="F13" s="8" t="n">
        <v>50</v>
      </c>
      <c r="G13" s="8" t="n">
        <v>31</v>
      </c>
      <c r="H13" s="14">
        <f>$B$2&amp;"|"&amp;B13&amp;"$"&amp;$C$2&amp;"|"&amp;C13&amp;"$"&amp;$D$2&amp;"|"&amp;D13&amp;"$"&amp;$E$2&amp;"|"&amp;E13&amp;"$"&amp;$F$2&amp;"|"&amp;F13&amp;"$"&amp;$G$2&amp;"|"&amp;G13</f>
        <v/>
      </c>
      <c r="I13" s="18" t="n">
        <v>5</v>
      </c>
      <c r="J13" s="18" t="n">
        <v>8460</v>
      </c>
      <c r="K13" s="18" t="n">
        <v>355</v>
      </c>
      <c r="L13" s="18" t="n">
        <v>350</v>
      </c>
      <c r="M13" s="18" t="n">
        <v>2700</v>
      </c>
      <c r="N13" s="18" t="n">
        <v>383</v>
      </c>
      <c r="O13" s="18" t="n">
        <v>360</v>
      </c>
      <c r="P13" s="18">
        <f>$B$2&amp;"|"&amp;J13&amp;"$"&amp;$C$3&amp;"|"&amp;K13&amp;"$"&amp;$D$3&amp;"|"&amp;L13&amp;"$"&amp;$E$3&amp;"|"&amp;M13&amp;"$"&amp;$F$3&amp;"|"&amp;N13&amp;"$"&amp;$G$3&amp;"|"&amp;O13</f>
        <v/>
      </c>
      <c r="Q13" s="21" t="n">
        <v>5</v>
      </c>
      <c r="R13" s="21" t="n">
        <v>9870</v>
      </c>
      <c r="S13" s="21" t="n">
        <v>295</v>
      </c>
      <c r="T13" s="21" t="n">
        <v>385</v>
      </c>
      <c r="U13" s="21" t="n">
        <v>2500</v>
      </c>
      <c r="V13" s="21" t="n">
        <v>245</v>
      </c>
      <c r="W13" s="21" t="n">
        <v>360</v>
      </c>
      <c r="X13" s="21">
        <f>$B$2&amp;"|"&amp;R13&amp;"$"&amp;$C$4&amp;"|"&amp;S13&amp;"$"&amp;$D$4&amp;"|"&amp;T13&amp;"$"&amp;$E$4&amp;"|"&amp;U13&amp;"$"&amp;$F$4&amp;"|"&amp;V13&amp;"$"&amp;$G$4&amp;"|"&amp;W13</f>
        <v/>
      </c>
      <c r="Y13" s="21" t="n"/>
      <c r="Z13" s="24" t="n">
        <v>5</v>
      </c>
      <c r="AA13" s="24" t="n">
        <v>11300</v>
      </c>
      <c r="AB13" s="24" t="n">
        <v>255</v>
      </c>
      <c r="AC13" s="24" t="n">
        <v>230</v>
      </c>
      <c r="AD13" s="24" t="n">
        <v>2450</v>
      </c>
      <c r="AE13" s="24" t="n">
        <v>152</v>
      </c>
      <c r="AF13" s="24" t="n">
        <v>350</v>
      </c>
      <c r="AG13" s="24">
        <f>$B$2&amp;"|"&amp;AA13&amp;"$"&amp;$C$5&amp;"|"&amp;AB13&amp;"$"&amp;$D$5&amp;"|"&amp;AC13&amp;"$"&amp;$E$5&amp;"|"&amp;AD13&amp;"$"&amp;$F$5&amp;"|"&amp;AE13&amp;"$"&amp;$G$5&amp;"|"&amp;AF13</f>
        <v/>
      </c>
      <c r="AH13" s="27" t="n">
        <v>5</v>
      </c>
      <c r="AI13" s="27" t="n">
        <v>12690</v>
      </c>
      <c r="AJ13" s="27" t="n">
        <v>215</v>
      </c>
      <c r="AK13" s="27" t="n">
        <v>155</v>
      </c>
      <c r="AL13" s="27" t="n">
        <v>2425</v>
      </c>
      <c r="AM13" s="27" t="n">
        <v>100</v>
      </c>
      <c r="AN13" s="27" t="n">
        <v>350</v>
      </c>
      <c r="AO13" s="27">
        <f>$B$2&amp;"|"&amp;AI13&amp;"$"&amp;$C$6&amp;"|"&amp;AJ13&amp;"$"&amp;$D$6&amp;"|"&amp;AK13&amp;"$"&amp;$E$6&amp;"|"&amp;AL13&amp;"$"&amp;$F$6&amp;"|"&amp;AM13&amp;"$"&amp;$G$6&amp;"|"&amp;AN13</f>
        <v/>
      </c>
    </row>
    <row r="14" ht="121.5" customHeight="1" s="80">
      <c r="A14" s="14" t="n">
        <v>6</v>
      </c>
      <c r="B14" s="14" t="n">
        <v>2000</v>
      </c>
      <c r="C14" s="8" t="n">
        <v>51</v>
      </c>
      <c r="D14" s="8" t="n">
        <v>204</v>
      </c>
      <c r="E14" s="8" t="n">
        <v>290</v>
      </c>
      <c r="F14" s="8" t="n">
        <v>51</v>
      </c>
      <c r="G14" s="8" t="n">
        <v>33</v>
      </c>
      <c r="H14" s="14">
        <f>$B$2&amp;"|"&amp;B14&amp;"$"&amp;$C$2&amp;"|"&amp;C14&amp;"$"&amp;$D$2&amp;"|"&amp;D14&amp;"$"&amp;$E$2&amp;"|"&amp;E14&amp;"$"&amp;$F$2&amp;"|"&amp;F14&amp;"$"&amp;$G$2&amp;"|"&amp;G14</f>
        <v/>
      </c>
      <c r="I14" s="18" t="n">
        <v>6</v>
      </c>
      <c r="J14" s="18" t="n">
        <v>8460</v>
      </c>
      <c r="K14" s="18" t="n">
        <v>366</v>
      </c>
      <c r="L14" s="18" t="n">
        <v>360</v>
      </c>
      <c r="M14" s="18" t="n">
        <v>2820</v>
      </c>
      <c r="N14" s="18" t="n">
        <v>393</v>
      </c>
      <c r="O14" s="18" t="n">
        <v>372</v>
      </c>
      <c r="P14" s="18">
        <f>$B$2&amp;"|"&amp;J14&amp;"$"&amp;$C$3&amp;"|"&amp;K14&amp;"$"&amp;$D$3&amp;"|"&amp;L14&amp;"$"&amp;$E$3&amp;"|"&amp;M14&amp;"$"&amp;$F$3&amp;"|"&amp;N14&amp;"$"&amp;$G$3&amp;"|"&amp;O14</f>
        <v/>
      </c>
      <c r="Q14" s="21" t="n">
        <v>6</v>
      </c>
      <c r="R14" s="21" t="n">
        <v>9870</v>
      </c>
      <c r="S14" s="21" t="n">
        <v>300</v>
      </c>
      <c r="T14" s="21" t="n">
        <v>390</v>
      </c>
      <c r="U14" s="21" t="n">
        <v>2600</v>
      </c>
      <c r="V14" s="21" t="n">
        <v>250</v>
      </c>
      <c r="W14" s="21" t="n">
        <v>372</v>
      </c>
      <c r="X14" s="21">
        <f>$B$2&amp;"|"&amp;R14&amp;"$"&amp;$C$4&amp;"|"&amp;S14&amp;"$"&amp;$D$4&amp;"|"&amp;T14&amp;"$"&amp;$E$4&amp;"|"&amp;U14&amp;"$"&amp;$F$4&amp;"|"&amp;V14&amp;"$"&amp;$G$4&amp;"|"&amp;W14</f>
        <v/>
      </c>
      <c r="Y14" s="21" t="n"/>
      <c r="Z14" s="24" t="n">
        <v>6</v>
      </c>
      <c r="AA14" s="24" t="n">
        <v>11300</v>
      </c>
      <c r="AB14" s="24" t="n">
        <v>258</v>
      </c>
      <c r="AC14" s="24" t="n">
        <v>234</v>
      </c>
      <c r="AD14" s="24" t="n">
        <v>2540</v>
      </c>
      <c r="AE14" s="24" t="n">
        <v>156</v>
      </c>
      <c r="AF14" s="24" t="n">
        <v>360</v>
      </c>
      <c r="AG14" s="24">
        <f>$B$2&amp;"|"&amp;AA14&amp;"$"&amp;$C$5&amp;"|"&amp;AB14&amp;"$"&amp;$D$5&amp;"|"&amp;AC14&amp;"$"&amp;$E$5&amp;"|"&amp;AD14&amp;"$"&amp;$F$5&amp;"|"&amp;AE14&amp;"$"&amp;$G$5&amp;"|"&amp;AF14</f>
        <v/>
      </c>
      <c r="AH14" s="27" t="n">
        <v>6</v>
      </c>
      <c r="AI14" s="27" t="n">
        <v>12690</v>
      </c>
      <c r="AJ14" s="27" t="n">
        <v>216</v>
      </c>
      <c r="AK14" s="27" t="n">
        <v>156</v>
      </c>
      <c r="AL14" s="27" t="n">
        <v>2510</v>
      </c>
      <c r="AM14" s="27" t="n">
        <v>102</v>
      </c>
      <c r="AN14" s="27" t="n">
        <v>360</v>
      </c>
      <c r="AO14" s="27">
        <f>$B$2&amp;"|"&amp;AI14&amp;"$"&amp;$C$6&amp;"|"&amp;AJ14&amp;"$"&amp;$D$6&amp;"|"&amp;AK14&amp;"$"&amp;$E$6&amp;"|"&amp;AL14&amp;"$"&amp;$F$6&amp;"|"&amp;AM14&amp;"$"&amp;$G$6&amp;"|"&amp;AN14</f>
        <v/>
      </c>
    </row>
    <row r="15" ht="121.5" customHeight="1" s="80">
      <c r="A15" s="14" t="n">
        <v>7</v>
      </c>
      <c r="B15" s="14" t="n">
        <v>2000</v>
      </c>
      <c r="C15" s="8" t="n">
        <v>52</v>
      </c>
      <c r="D15" s="8" t="n">
        <v>208</v>
      </c>
      <c r="E15" s="8" t="n">
        <v>305</v>
      </c>
      <c r="F15" s="8" t="n">
        <v>52</v>
      </c>
      <c r="G15" s="8" t="n">
        <v>35</v>
      </c>
      <c r="H15" s="14">
        <f>$B$2&amp;"|"&amp;B15&amp;"$"&amp;$C$2&amp;"|"&amp;C15&amp;"$"&amp;$D$2&amp;"|"&amp;D15&amp;"$"&amp;$E$2&amp;"|"&amp;E15&amp;"$"&amp;$F$2&amp;"|"&amp;F15&amp;"$"&amp;$G$2&amp;"|"&amp;G15</f>
        <v/>
      </c>
      <c r="I15" s="18" t="n">
        <v>7</v>
      </c>
      <c r="J15" s="18" t="n">
        <v>8460</v>
      </c>
      <c r="K15" s="18" t="n">
        <v>377</v>
      </c>
      <c r="L15" s="18" t="n">
        <v>370</v>
      </c>
      <c r="M15" s="18" t="n">
        <v>2940</v>
      </c>
      <c r="N15" s="18" t="n">
        <v>403</v>
      </c>
      <c r="O15" s="18" t="n">
        <v>384</v>
      </c>
      <c r="P15" s="18">
        <f>$B$2&amp;"|"&amp;J15&amp;"$"&amp;$C$3&amp;"|"&amp;K15&amp;"$"&amp;$D$3&amp;"|"&amp;L15&amp;"$"&amp;$E$3&amp;"|"&amp;M15&amp;"$"&amp;$F$3&amp;"|"&amp;N15&amp;"$"&amp;$G$3&amp;"|"&amp;O15</f>
        <v/>
      </c>
      <c r="Q15" s="21" t="n">
        <v>7</v>
      </c>
      <c r="R15" s="21" t="n">
        <v>9870</v>
      </c>
      <c r="S15" s="21" t="n">
        <v>305</v>
      </c>
      <c r="T15" s="21" t="n">
        <v>395</v>
      </c>
      <c r="U15" s="21" t="n">
        <v>2700</v>
      </c>
      <c r="V15" s="21" t="n">
        <v>255</v>
      </c>
      <c r="W15" s="21" t="n">
        <v>384</v>
      </c>
      <c r="X15" s="21">
        <f>$B$2&amp;"|"&amp;R15&amp;"$"&amp;$C$4&amp;"|"&amp;S15&amp;"$"&amp;$D$4&amp;"|"&amp;T15&amp;"$"&amp;$E$4&amp;"|"&amp;U15&amp;"$"&amp;$F$4&amp;"|"&amp;V15&amp;"$"&amp;$G$4&amp;"|"&amp;W15</f>
        <v/>
      </c>
      <c r="Y15" s="21" t="n"/>
      <c r="Z15" s="24" t="n">
        <v>7</v>
      </c>
      <c r="AA15" s="24" t="n">
        <v>11300</v>
      </c>
      <c r="AB15" s="24" t="n">
        <v>261</v>
      </c>
      <c r="AC15" s="24" t="n">
        <v>238</v>
      </c>
      <c r="AD15" s="24" t="n">
        <v>2630</v>
      </c>
      <c r="AE15" s="24" t="n">
        <v>160</v>
      </c>
      <c r="AF15" s="24" t="n">
        <v>370</v>
      </c>
      <c r="AG15" s="24">
        <f>$B$2&amp;"|"&amp;AA15&amp;"$"&amp;$C$5&amp;"|"&amp;AB15&amp;"$"&amp;$D$5&amp;"|"&amp;AC15&amp;"$"&amp;$E$5&amp;"|"&amp;AD15&amp;"$"&amp;$F$5&amp;"|"&amp;AE15&amp;"$"&amp;$G$5&amp;"|"&amp;AF15</f>
        <v/>
      </c>
      <c r="AH15" s="27" t="n">
        <v>7</v>
      </c>
      <c r="AI15" s="27" t="n">
        <v>12690</v>
      </c>
      <c r="AJ15" s="27" t="n">
        <v>217</v>
      </c>
      <c r="AK15" s="27" t="n">
        <v>157</v>
      </c>
      <c r="AL15" s="27" t="n">
        <v>2595</v>
      </c>
      <c r="AM15" s="27" t="n">
        <v>104</v>
      </c>
      <c r="AN15" s="27" t="n">
        <v>370</v>
      </c>
      <c r="AO15" s="27">
        <f>$B$2&amp;"|"&amp;AI15&amp;"$"&amp;$C$6&amp;"|"&amp;AJ15&amp;"$"&amp;$D$6&amp;"|"&amp;AK15&amp;"$"&amp;$E$6&amp;"|"&amp;AL15&amp;"$"&amp;$F$6&amp;"|"&amp;AM15&amp;"$"&amp;$G$6&amp;"|"&amp;AN15</f>
        <v/>
      </c>
    </row>
    <row r="16" ht="121.5" customHeight="1" s="80">
      <c r="A16" s="14" t="n">
        <v>8</v>
      </c>
      <c r="B16" s="14" t="n">
        <v>2000</v>
      </c>
      <c r="C16" s="8" t="n">
        <v>53</v>
      </c>
      <c r="D16" s="8" t="n">
        <v>212</v>
      </c>
      <c r="E16" s="8" t="n">
        <v>320</v>
      </c>
      <c r="F16" s="8" t="n">
        <v>53</v>
      </c>
      <c r="G16" s="8" t="n">
        <v>37</v>
      </c>
      <c r="H16" s="14">
        <f>$B$2&amp;"|"&amp;B16&amp;"$"&amp;$C$2&amp;"|"&amp;C16&amp;"$"&amp;$D$2&amp;"|"&amp;D16&amp;"$"&amp;$E$2&amp;"|"&amp;E16&amp;"$"&amp;$F$2&amp;"|"&amp;F16&amp;"$"&amp;$G$2&amp;"|"&amp;G16</f>
        <v/>
      </c>
      <c r="I16" s="18" t="n">
        <v>8</v>
      </c>
      <c r="J16" s="18" t="n">
        <v>8460</v>
      </c>
      <c r="K16" s="18" t="n">
        <v>388</v>
      </c>
      <c r="L16" s="18" t="n">
        <v>380</v>
      </c>
      <c r="M16" s="18" t="n">
        <v>3060</v>
      </c>
      <c r="N16" s="18" t="n">
        <v>413</v>
      </c>
      <c r="O16" s="18" t="n">
        <v>396</v>
      </c>
      <c r="P16" s="18">
        <f>$B$2&amp;"|"&amp;J16&amp;"$"&amp;$C$3&amp;"|"&amp;K16&amp;"$"&amp;$D$3&amp;"|"&amp;L16&amp;"$"&amp;$E$3&amp;"|"&amp;M16&amp;"$"&amp;$F$3&amp;"|"&amp;N16&amp;"$"&amp;$G$3&amp;"|"&amp;O16</f>
        <v/>
      </c>
      <c r="Q16" s="21" t="n">
        <v>8</v>
      </c>
      <c r="R16" s="21" t="n">
        <v>9870</v>
      </c>
      <c r="S16" s="21" t="n">
        <v>310</v>
      </c>
      <c r="T16" s="21" t="n">
        <v>400</v>
      </c>
      <c r="U16" s="21" t="n">
        <v>2800</v>
      </c>
      <c r="V16" s="21" t="n">
        <v>260</v>
      </c>
      <c r="W16" s="21" t="n">
        <v>396</v>
      </c>
      <c r="X16" s="21">
        <f>$B$2&amp;"|"&amp;R16&amp;"$"&amp;$C$4&amp;"|"&amp;S16&amp;"$"&amp;$D$4&amp;"|"&amp;T16&amp;"$"&amp;$E$4&amp;"|"&amp;U16&amp;"$"&amp;$F$4&amp;"|"&amp;V16&amp;"$"&amp;$G$4&amp;"|"&amp;W16</f>
        <v/>
      </c>
      <c r="Y16" s="21" t="n"/>
      <c r="Z16" s="24" t="n">
        <v>8</v>
      </c>
      <c r="AA16" s="24" t="n">
        <v>11300</v>
      </c>
      <c r="AB16" s="24" t="n">
        <v>264</v>
      </c>
      <c r="AC16" s="24" t="n">
        <v>242</v>
      </c>
      <c r="AD16" s="24" t="n">
        <v>2720</v>
      </c>
      <c r="AE16" s="24" t="n">
        <v>164</v>
      </c>
      <c r="AF16" s="24" t="n">
        <v>380</v>
      </c>
      <c r="AG16" s="24">
        <f>$B$2&amp;"|"&amp;AA16&amp;"$"&amp;$C$5&amp;"|"&amp;AB16&amp;"$"&amp;$D$5&amp;"|"&amp;AC16&amp;"$"&amp;$E$5&amp;"|"&amp;AD16&amp;"$"&amp;$F$5&amp;"|"&amp;AE16&amp;"$"&amp;$G$5&amp;"|"&amp;AF16</f>
        <v/>
      </c>
      <c r="AH16" s="27" t="n">
        <v>8</v>
      </c>
      <c r="AI16" s="27" t="n">
        <v>12690</v>
      </c>
      <c r="AJ16" s="27" t="n">
        <v>218</v>
      </c>
      <c r="AK16" s="27" t="n">
        <v>158</v>
      </c>
      <c r="AL16" s="27" t="n">
        <v>2680</v>
      </c>
      <c r="AM16" s="27" t="n">
        <v>106</v>
      </c>
      <c r="AN16" s="27" t="n">
        <v>380</v>
      </c>
      <c r="AO16" s="27">
        <f>$B$2&amp;"|"&amp;AI16&amp;"$"&amp;$C$6&amp;"|"&amp;AJ16&amp;"$"&amp;$D$6&amp;"|"&amp;AK16&amp;"$"&amp;$E$6&amp;"|"&amp;AL16&amp;"$"&amp;$F$6&amp;"|"&amp;AM16&amp;"$"&amp;$G$6&amp;"|"&amp;AN16</f>
        <v/>
      </c>
    </row>
    <row r="17" ht="121.5" customHeight="1" s="80">
      <c r="A17" s="14" t="n">
        <v>9</v>
      </c>
      <c r="B17" s="14" t="n">
        <v>2000</v>
      </c>
      <c r="C17" s="8" t="n">
        <v>54</v>
      </c>
      <c r="D17" s="8" t="n">
        <v>216</v>
      </c>
      <c r="E17" s="8" t="n">
        <v>335</v>
      </c>
      <c r="F17" s="8" t="n">
        <v>54</v>
      </c>
      <c r="G17" s="8" t="n">
        <v>39</v>
      </c>
      <c r="H17" s="14">
        <f>$B$2&amp;"|"&amp;B17&amp;"$"&amp;$C$2&amp;"|"&amp;C17&amp;"$"&amp;$D$2&amp;"|"&amp;D17&amp;"$"&amp;$E$2&amp;"|"&amp;E17&amp;"$"&amp;$F$2&amp;"|"&amp;F17&amp;"$"&amp;$G$2&amp;"|"&amp;G17</f>
        <v/>
      </c>
      <c r="I17" s="18" t="n">
        <v>9</v>
      </c>
      <c r="J17" s="18" t="n">
        <v>8460</v>
      </c>
      <c r="K17" s="18" t="n">
        <v>399</v>
      </c>
      <c r="L17" s="18" t="n">
        <v>390</v>
      </c>
      <c r="M17" s="18" t="n">
        <v>3180</v>
      </c>
      <c r="N17" s="18" t="n">
        <v>423</v>
      </c>
      <c r="O17" s="18" t="n">
        <v>408</v>
      </c>
      <c r="P17" s="18">
        <f>$B$2&amp;"|"&amp;J17&amp;"$"&amp;$C$3&amp;"|"&amp;K17&amp;"$"&amp;$D$3&amp;"|"&amp;L17&amp;"$"&amp;$E$3&amp;"|"&amp;M17&amp;"$"&amp;$F$3&amp;"|"&amp;N17&amp;"$"&amp;$G$3&amp;"|"&amp;O17</f>
        <v/>
      </c>
      <c r="Q17" s="21" t="n">
        <v>9</v>
      </c>
      <c r="R17" s="21" t="n">
        <v>9870</v>
      </c>
      <c r="S17" s="21" t="n">
        <v>315</v>
      </c>
      <c r="T17" s="21" t="n">
        <v>405</v>
      </c>
      <c r="U17" s="21" t="n">
        <v>2900</v>
      </c>
      <c r="V17" s="21" t="n">
        <v>265</v>
      </c>
      <c r="W17" s="21" t="n">
        <v>408</v>
      </c>
      <c r="X17" s="21">
        <f>$B$2&amp;"|"&amp;R17&amp;"$"&amp;$C$4&amp;"|"&amp;S17&amp;"$"&amp;$D$4&amp;"|"&amp;T17&amp;"$"&amp;$E$4&amp;"|"&amp;U17&amp;"$"&amp;$F$4&amp;"|"&amp;V17&amp;"$"&amp;$G$4&amp;"|"&amp;W17</f>
        <v/>
      </c>
      <c r="Y17" s="21" t="n"/>
      <c r="Z17" s="24" t="n">
        <v>9</v>
      </c>
      <c r="AA17" s="24" t="n">
        <v>11300</v>
      </c>
      <c r="AB17" s="24" t="n">
        <v>267</v>
      </c>
      <c r="AC17" s="24" t="n">
        <v>246</v>
      </c>
      <c r="AD17" s="24" t="n">
        <v>2810</v>
      </c>
      <c r="AE17" s="24" t="n">
        <v>168</v>
      </c>
      <c r="AF17" s="24" t="n">
        <v>390</v>
      </c>
      <c r="AG17" s="24">
        <f>$B$2&amp;"|"&amp;AA17&amp;"$"&amp;$C$5&amp;"|"&amp;AB17&amp;"$"&amp;$D$5&amp;"|"&amp;AC17&amp;"$"&amp;$E$5&amp;"|"&amp;AD17&amp;"$"&amp;$F$5&amp;"|"&amp;AE17&amp;"$"&amp;$G$5&amp;"|"&amp;AF17</f>
        <v/>
      </c>
      <c r="AH17" s="27" t="n">
        <v>9</v>
      </c>
      <c r="AI17" s="27" t="n">
        <v>12690</v>
      </c>
      <c r="AJ17" s="27" t="n">
        <v>219</v>
      </c>
      <c r="AK17" s="27" t="n">
        <v>159</v>
      </c>
      <c r="AL17" s="27" t="n">
        <v>2765</v>
      </c>
      <c r="AM17" s="27" t="n">
        <v>108</v>
      </c>
      <c r="AN17" s="27" t="n">
        <v>390</v>
      </c>
      <c r="AO17" s="27">
        <f>$B$2&amp;"|"&amp;AI17&amp;"$"&amp;$C$6&amp;"|"&amp;AJ17&amp;"$"&amp;$D$6&amp;"|"&amp;AK17&amp;"$"&amp;$E$6&amp;"|"&amp;AL17&amp;"$"&amp;$F$6&amp;"|"&amp;AM17&amp;"$"&amp;$G$6&amp;"|"&amp;AN17</f>
        <v/>
      </c>
    </row>
    <row r="18" ht="121.5" customHeight="1" s="80">
      <c r="A18" s="14" t="n">
        <v>10</v>
      </c>
      <c r="B18" s="14" t="n">
        <v>2000</v>
      </c>
      <c r="C18" s="8" t="n">
        <v>55</v>
      </c>
      <c r="D18" s="8" t="n">
        <v>220</v>
      </c>
      <c r="E18" s="8" t="n">
        <v>350</v>
      </c>
      <c r="F18" s="8" t="n">
        <v>55</v>
      </c>
      <c r="G18" s="8" t="n">
        <v>41</v>
      </c>
      <c r="H18" s="14">
        <f>$B$2&amp;"|"&amp;B18&amp;"$"&amp;$C$2&amp;"|"&amp;C18&amp;"$"&amp;$D$2&amp;"|"&amp;D18&amp;"$"&amp;$E$2&amp;"|"&amp;E18&amp;"$"&amp;$F$2&amp;"|"&amp;F18&amp;"$"&amp;$G$2&amp;"|"&amp;G18</f>
        <v/>
      </c>
      <c r="I18" s="18" t="n">
        <v>10</v>
      </c>
      <c r="J18" s="18" t="n">
        <v>8460</v>
      </c>
      <c r="K18" s="18" t="n">
        <v>410</v>
      </c>
      <c r="L18" s="18" t="n">
        <v>400</v>
      </c>
      <c r="M18" s="18" t="n">
        <v>3300</v>
      </c>
      <c r="N18" s="18" t="n">
        <v>433</v>
      </c>
      <c r="O18" s="18" t="n">
        <v>420</v>
      </c>
      <c r="P18" s="18">
        <f>$B$2&amp;"|"&amp;J18&amp;"$"&amp;$C$3&amp;"|"&amp;K18&amp;"$"&amp;$D$3&amp;"|"&amp;L18&amp;"$"&amp;$E$3&amp;"|"&amp;M18&amp;"$"&amp;$F$3&amp;"|"&amp;N18&amp;"$"&amp;$G$3&amp;"|"&amp;O18</f>
        <v/>
      </c>
      <c r="Q18" s="21" t="n">
        <v>10</v>
      </c>
      <c r="R18" s="21" t="n">
        <v>9870</v>
      </c>
      <c r="S18" s="21" t="n">
        <v>320</v>
      </c>
      <c r="T18" s="21" t="n">
        <v>410</v>
      </c>
      <c r="U18" s="21" t="n">
        <v>3000</v>
      </c>
      <c r="V18" s="21" t="n">
        <v>270</v>
      </c>
      <c r="W18" s="21" t="n">
        <v>420</v>
      </c>
      <c r="X18" s="21">
        <f>$B$2&amp;"|"&amp;R18&amp;"$"&amp;$C$4&amp;"|"&amp;S18&amp;"$"&amp;$D$4&amp;"|"&amp;T18&amp;"$"&amp;$E$4&amp;"|"&amp;U18&amp;"$"&amp;$F$4&amp;"|"&amp;V18&amp;"$"&amp;$G$4&amp;"|"&amp;W18</f>
        <v/>
      </c>
      <c r="Y18" s="21" t="n"/>
      <c r="Z18" s="24" t="n">
        <v>10</v>
      </c>
      <c r="AA18" s="24" t="n">
        <v>11300</v>
      </c>
      <c r="AB18" s="24" t="n">
        <v>270</v>
      </c>
      <c r="AC18" s="24" t="n">
        <v>250</v>
      </c>
      <c r="AD18" s="24" t="n">
        <v>2900</v>
      </c>
      <c r="AE18" s="24" t="n">
        <v>172</v>
      </c>
      <c r="AF18" s="24" t="n">
        <v>400</v>
      </c>
      <c r="AG18" s="24">
        <f>$B$2&amp;"|"&amp;AA18&amp;"$"&amp;$C$5&amp;"|"&amp;AB18&amp;"$"&amp;$D$5&amp;"|"&amp;AC18&amp;"$"&amp;$E$5&amp;"|"&amp;AD18&amp;"$"&amp;$F$5&amp;"|"&amp;AE18&amp;"$"&amp;$G$5&amp;"|"&amp;AF18</f>
        <v/>
      </c>
      <c r="AH18" s="27" t="n">
        <v>10</v>
      </c>
      <c r="AI18" s="27" t="n">
        <v>12690</v>
      </c>
      <c r="AJ18" s="27" t="n">
        <v>220</v>
      </c>
      <c r="AK18" s="27" t="n">
        <v>160</v>
      </c>
      <c r="AL18" s="27" t="n">
        <v>2850</v>
      </c>
      <c r="AM18" s="27" t="n">
        <v>110</v>
      </c>
      <c r="AN18" s="27" t="n">
        <v>400</v>
      </c>
      <c r="AO18" s="27">
        <f>$B$2&amp;"|"&amp;AI18&amp;"$"&amp;$C$6&amp;"|"&amp;AJ18&amp;"$"&amp;$D$6&amp;"|"&amp;AK18&amp;"$"&amp;$E$6&amp;"|"&amp;AL18&amp;"$"&amp;$F$6&amp;"|"&amp;AM18&amp;"$"&amp;$G$6&amp;"|"&amp;AN18</f>
        <v/>
      </c>
    </row>
    <row r="19" ht="121.5" customHeight="1" s="80">
      <c r="A19" s="14" t="n">
        <v>11</v>
      </c>
      <c r="B19" s="14" t="n">
        <v>2000</v>
      </c>
      <c r="C19" s="8" t="n">
        <v>56</v>
      </c>
      <c r="D19" s="8" t="n">
        <v>224</v>
      </c>
      <c r="E19" s="8" t="n">
        <v>365</v>
      </c>
      <c r="F19" s="8" t="n">
        <v>56</v>
      </c>
      <c r="G19" s="8" t="n">
        <v>43</v>
      </c>
      <c r="H19" s="14">
        <f>$B$2&amp;"|"&amp;B19&amp;"$"&amp;$C$2&amp;"|"&amp;C19&amp;"$"&amp;$D$2&amp;"|"&amp;D19&amp;"$"&amp;$E$2&amp;"|"&amp;E19&amp;"$"&amp;$F$2&amp;"|"&amp;F19&amp;"$"&amp;$G$2&amp;"|"&amp;G19</f>
        <v/>
      </c>
      <c r="I19" s="18" t="n">
        <v>11</v>
      </c>
      <c r="J19" s="18" t="n">
        <v>8460</v>
      </c>
      <c r="K19" s="18" t="n">
        <v>421</v>
      </c>
      <c r="L19" s="18" t="n">
        <v>410</v>
      </c>
      <c r="M19" s="18" t="n">
        <v>3420</v>
      </c>
      <c r="N19" s="18" t="n">
        <v>443</v>
      </c>
      <c r="O19" s="18" t="n">
        <v>432</v>
      </c>
      <c r="P19" s="18">
        <f>$B$2&amp;"|"&amp;J19&amp;"$"&amp;$C$3&amp;"|"&amp;K19&amp;"$"&amp;$D$3&amp;"|"&amp;L19&amp;"$"&amp;$E$3&amp;"|"&amp;M19&amp;"$"&amp;$F$3&amp;"|"&amp;N19&amp;"$"&amp;$G$3&amp;"|"&amp;O19</f>
        <v/>
      </c>
      <c r="Q19" s="21" t="n">
        <v>11</v>
      </c>
      <c r="R19" s="21" t="n">
        <v>9870</v>
      </c>
      <c r="S19" s="21" t="n">
        <v>325</v>
      </c>
      <c r="T19" s="21" t="n">
        <v>415</v>
      </c>
      <c r="U19" s="21" t="n">
        <v>3100</v>
      </c>
      <c r="V19" s="21" t="n">
        <v>275</v>
      </c>
      <c r="W19" s="21" t="n">
        <v>432</v>
      </c>
      <c r="X19" s="21">
        <f>$B$2&amp;"|"&amp;R19&amp;"$"&amp;$C$4&amp;"|"&amp;S19&amp;"$"&amp;$D$4&amp;"|"&amp;T19&amp;"$"&amp;$E$4&amp;"|"&amp;U19&amp;"$"&amp;$F$4&amp;"|"&amp;V19&amp;"$"&amp;$G$4&amp;"|"&amp;W19</f>
        <v/>
      </c>
      <c r="Y19" s="21" t="n"/>
      <c r="Z19" s="24" t="n">
        <v>11</v>
      </c>
      <c r="AA19" s="24" t="n">
        <v>11300</v>
      </c>
      <c r="AB19" s="24" t="n">
        <v>273</v>
      </c>
      <c r="AC19" s="24" t="n">
        <v>254</v>
      </c>
      <c r="AD19" s="24" t="n">
        <v>2990</v>
      </c>
      <c r="AE19" s="24" t="n">
        <v>176</v>
      </c>
      <c r="AF19" s="24" t="n">
        <v>410</v>
      </c>
      <c r="AG19" s="24">
        <f>$B$2&amp;"|"&amp;AA19&amp;"$"&amp;$C$5&amp;"|"&amp;AB19&amp;"$"&amp;$D$5&amp;"|"&amp;AC19&amp;"$"&amp;$E$5&amp;"|"&amp;AD19&amp;"$"&amp;$F$5&amp;"|"&amp;AE19&amp;"$"&amp;$G$5&amp;"|"&amp;AF19</f>
        <v/>
      </c>
      <c r="AH19" s="27" t="n">
        <v>11</v>
      </c>
      <c r="AI19" s="27" t="n">
        <v>12690</v>
      </c>
      <c r="AJ19" s="27" t="n">
        <v>221</v>
      </c>
      <c r="AK19" s="27" t="n">
        <v>161</v>
      </c>
      <c r="AL19" s="27" t="n">
        <v>2935</v>
      </c>
      <c r="AM19" s="27" t="n">
        <v>112</v>
      </c>
      <c r="AN19" s="27" t="n">
        <v>410</v>
      </c>
      <c r="AO19" s="27">
        <f>$B$2&amp;"|"&amp;AI19&amp;"$"&amp;$C$6&amp;"|"&amp;AJ19&amp;"$"&amp;$D$6&amp;"|"&amp;AK19&amp;"$"&amp;$E$6&amp;"|"&amp;AL19&amp;"$"&amp;$F$6&amp;"|"&amp;AM19&amp;"$"&amp;$G$6&amp;"|"&amp;AN19</f>
        <v/>
      </c>
    </row>
    <row r="20" ht="121.5" customHeight="1" s="80">
      <c r="A20" s="14" t="n">
        <v>12</v>
      </c>
      <c r="B20" s="14" t="n">
        <v>2000</v>
      </c>
      <c r="C20" s="8" t="n">
        <v>57</v>
      </c>
      <c r="D20" s="8" t="n">
        <v>228</v>
      </c>
      <c r="E20" s="8" t="n">
        <v>380</v>
      </c>
      <c r="F20" s="8" t="n">
        <v>57</v>
      </c>
      <c r="G20" s="8" t="n">
        <v>45</v>
      </c>
      <c r="H20" s="14">
        <f>$B$2&amp;"|"&amp;B20&amp;"$"&amp;$C$2&amp;"|"&amp;C20&amp;"$"&amp;$D$2&amp;"|"&amp;D20&amp;"$"&amp;$E$2&amp;"|"&amp;E20&amp;"$"&amp;$F$2&amp;"|"&amp;F20&amp;"$"&amp;$G$2&amp;"|"&amp;G20</f>
        <v/>
      </c>
      <c r="I20" s="18" t="n">
        <v>12</v>
      </c>
      <c r="J20" s="18" t="n">
        <v>8460</v>
      </c>
      <c r="K20" s="18" t="n">
        <v>432</v>
      </c>
      <c r="L20" s="18" t="n">
        <v>420</v>
      </c>
      <c r="M20" s="18" t="n">
        <v>3540</v>
      </c>
      <c r="N20" s="18" t="n">
        <v>453</v>
      </c>
      <c r="O20" s="18" t="n">
        <v>444</v>
      </c>
      <c r="P20" s="18">
        <f>$B$2&amp;"|"&amp;J20&amp;"$"&amp;$C$3&amp;"|"&amp;K20&amp;"$"&amp;$D$3&amp;"|"&amp;L20&amp;"$"&amp;$E$3&amp;"|"&amp;M20&amp;"$"&amp;$F$3&amp;"|"&amp;N20&amp;"$"&amp;$G$3&amp;"|"&amp;O20</f>
        <v/>
      </c>
      <c r="Q20" s="21" t="n">
        <v>12</v>
      </c>
      <c r="R20" s="21" t="n">
        <v>9870</v>
      </c>
      <c r="S20" s="21" t="n">
        <v>330</v>
      </c>
      <c r="T20" s="21" t="n">
        <v>420</v>
      </c>
      <c r="U20" s="21" t="n">
        <v>3200</v>
      </c>
      <c r="V20" s="21" t="n">
        <v>280</v>
      </c>
      <c r="W20" s="21" t="n">
        <v>444</v>
      </c>
      <c r="X20" s="21">
        <f>$B$2&amp;"|"&amp;R20&amp;"$"&amp;$C$4&amp;"|"&amp;S20&amp;"$"&amp;$D$4&amp;"|"&amp;T20&amp;"$"&amp;$E$4&amp;"|"&amp;U20&amp;"$"&amp;$F$4&amp;"|"&amp;V20&amp;"$"&amp;$G$4&amp;"|"&amp;W20</f>
        <v/>
      </c>
      <c r="Y20" s="21" t="n"/>
      <c r="Z20" s="24" t="n">
        <v>12</v>
      </c>
      <c r="AA20" s="24" t="n">
        <v>11300</v>
      </c>
      <c r="AB20" s="24" t="n">
        <v>276</v>
      </c>
      <c r="AC20" s="24" t="n">
        <v>258</v>
      </c>
      <c r="AD20" s="24" t="n">
        <v>3080</v>
      </c>
      <c r="AE20" s="24" t="n">
        <v>180</v>
      </c>
      <c r="AF20" s="24" t="n">
        <v>420</v>
      </c>
      <c r="AG20" s="24">
        <f>$B$2&amp;"|"&amp;AA20&amp;"$"&amp;$C$5&amp;"|"&amp;AB20&amp;"$"&amp;$D$5&amp;"|"&amp;AC20&amp;"$"&amp;$E$5&amp;"|"&amp;AD20&amp;"$"&amp;$F$5&amp;"|"&amp;AE20&amp;"$"&amp;$G$5&amp;"|"&amp;AF20</f>
        <v/>
      </c>
      <c r="AH20" s="27" t="n">
        <v>12</v>
      </c>
      <c r="AI20" s="27" t="n">
        <v>12690</v>
      </c>
      <c r="AJ20" s="27" t="n">
        <v>222</v>
      </c>
      <c r="AK20" s="27" t="n">
        <v>162</v>
      </c>
      <c r="AL20" s="27" t="n">
        <v>3020</v>
      </c>
      <c r="AM20" s="27" t="n">
        <v>114</v>
      </c>
      <c r="AN20" s="27" t="n">
        <v>420</v>
      </c>
      <c r="AO20" s="27">
        <f>$B$2&amp;"|"&amp;AI20&amp;"$"&amp;$C$6&amp;"|"&amp;AJ20&amp;"$"&amp;$D$6&amp;"|"&amp;AK20&amp;"$"&amp;$E$6&amp;"|"&amp;AL20&amp;"$"&amp;$F$6&amp;"|"&amp;AM20&amp;"$"&amp;$G$6&amp;"|"&amp;AN20</f>
        <v/>
      </c>
    </row>
    <row r="21" ht="121.5" customHeight="1" s="80">
      <c r="A21" s="14" t="n">
        <v>13</v>
      </c>
      <c r="B21" s="14" t="n">
        <v>2000</v>
      </c>
      <c r="C21" s="8" t="n">
        <v>58</v>
      </c>
      <c r="D21" s="8" t="n">
        <v>232</v>
      </c>
      <c r="E21" s="8" t="n">
        <v>395</v>
      </c>
      <c r="F21" s="8" t="n">
        <v>58</v>
      </c>
      <c r="G21" s="8" t="n">
        <v>47</v>
      </c>
      <c r="H21" s="14">
        <f>$B$2&amp;"|"&amp;B21&amp;"$"&amp;$C$2&amp;"|"&amp;C21&amp;"$"&amp;$D$2&amp;"|"&amp;D21&amp;"$"&amp;$E$2&amp;"|"&amp;E21&amp;"$"&amp;$F$2&amp;"|"&amp;F21&amp;"$"&amp;$G$2&amp;"|"&amp;G21</f>
        <v/>
      </c>
      <c r="I21" s="18" t="n">
        <v>13</v>
      </c>
      <c r="J21" s="18" t="n">
        <v>8460</v>
      </c>
      <c r="K21" s="18" t="n">
        <v>443</v>
      </c>
      <c r="L21" s="18" t="n">
        <v>430</v>
      </c>
      <c r="M21" s="18" t="n">
        <v>3660</v>
      </c>
      <c r="N21" s="18" t="n">
        <v>463</v>
      </c>
      <c r="O21" s="18" t="n">
        <v>456</v>
      </c>
      <c r="P21" s="18">
        <f>$B$2&amp;"|"&amp;J21&amp;"$"&amp;$C$3&amp;"|"&amp;K21&amp;"$"&amp;$D$3&amp;"|"&amp;L21&amp;"$"&amp;$E$3&amp;"|"&amp;M21&amp;"$"&amp;$F$3&amp;"|"&amp;N21&amp;"$"&amp;$G$3&amp;"|"&amp;O21</f>
        <v/>
      </c>
      <c r="Q21" s="21" t="n">
        <v>13</v>
      </c>
      <c r="R21" s="21" t="n">
        <v>9870</v>
      </c>
      <c r="S21" s="21" t="n">
        <v>335</v>
      </c>
      <c r="T21" s="21" t="n">
        <v>425</v>
      </c>
      <c r="U21" s="21" t="n">
        <v>3300</v>
      </c>
      <c r="V21" s="21" t="n">
        <v>285</v>
      </c>
      <c r="W21" s="21" t="n">
        <v>456</v>
      </c>
      <c r="X21" s="21">
        <f>$B$2&amp;"|"&amp;R21&amp;"$"&amp;$C$4&amp;"|"&amp;S21&amp;"$"&amp;$D$4&amp;"|"&amp;T21&amp;"$"&amp;$E$4&amp;"|"&amp;U21&amp;"$"&amp;$F$4&amp;"|"&amp;V21&amp;"$"&amp;$G$4&amp;"|"&amp;W21</f>
        <v/>
      </c>
      <c r="Y21" s="21" t="n"/>
      <c r="Z21" s="24" t="n">
        <v>13</v>
      </c>
      <c r="AA21" s="24" t="n">
        <v>11300</v>
      </c>
      <c r="AB21" s="24" t="n">
        <v>279</v>
      </c>
      <c r="AC21" s="24" t="n">
        <v>262</v>
      </c>
      <c r="AD21" s="24" t="n">
        <v>3170</v>
      </c>
      <c r="AE21" s="24" t="n">
        <v>184</v>
      </c>
      <c r="AF21" s="24" t="n">
        <v>430</v>
      </c>
      <c r="AG21" s="24">
        <f>$B$2&amp;"|"&amp;AA21&amp;"$"&amp;$C$5&amp;"|"&amp;AB21&amp;"$"&amp;$D$5&amp;"|"&amp;AC21&amp;"$"&amp;$E$5&amp;"|"&amp;AD21&amp;"$"&amp;$F$5&amp;"|"&amp;AE21&amp;"$"&amp;$G$5&amp;"|"&amp;AF21</f>
        <v/>
      </c>
      <c r="AH21" s="27" t="n">
        <v>13</v>
      </c>
      <c r="AI21" s="27" t="n">
        <v>12690</v>
      </c>
      <c r="AJ21" s="27" t="n">
        <v>223</v>
      </c>
      <c r="AK21" s="27" t="n">
        <v>163</v>
      </c>
      <c r="AL21" s="27" t="n">
        <v>3105</v>
      </c>
      <c r="AM21" s="27" t="n">
        <v>116</v>
      </c>
      <c r="AN21" s="27" t="n">
        <v>430</v>
      </c>
      <c r="AO21" s="27">
        <f>$B$2&amp;"|"&amp;AI21&amp;"$"&amp;$C$6&amp;"|"&amp;AJ21&amp;"$"&amp;$D$6&amp;"|"&amp;AK21&amp;"$"&amp;$E$6&amp;"|"&amp;AL21&amp;"$"&amp;$F$6&amp;"|"&amp;AM21&amp;"$"&amp;$G$6&amp;"|"&amp;AN21</f>
        <v/>
      </c>
    </row>
    <row r="22" ht="121.5" customHeight="1" s="80">
      <c r="A22" s="14" t="n">
        <v>14</v>
      </c>
      <c r="B22" s="14" t="n">
        <v>2000</v>
      </c>
      <c r="C22" s="8" t="n">
        <v>59</v>
      </c>
      <c r="D22" s="8" t="n">
        <v>236</v>
      </c>
      <c r="E22" s="8" t="n">
        <v>410</v>
      </c>
      <c r="F22" s="8" t="n">
        <v>59</v>
      </c>
      <c r="G22" s="8" t="n">
        <v>49</v>
      </c>
      <c r="H22" s="14">
        <f>$B$2&amp;"|"&amp;B22&amp;"$"&amp;$C$2&amp;"|"&amp;C22&amp;"$"&amp;$D$2&amp;"|"&amp;D22&amp;"$"&amp;$E$2&amp;"|"&amp;E22&amp;"$"&amp;$F$2&amp;"|"&amp;F22&amp;"$"&amp;$G$2&amp;"|"&amp;G22</f>
        <v/>
      </c>
      <c r="I22" s="18" t="n">
        <v>14</v>
      </c>
      <c r="J22" s="18" t="n">
        <v>8460</v>
      </c>
      <c r="K22" s="18" t="n">
        <v>454</v>
      </c>
      <c r="L22" s="18" t="n">
        <v>440</v>
      </c>
      <c r="M22" s="18" t="n">
        <v>3780</v>
      </c>
      <c r="N22" s="18" t="n">
        <v>473</v>
      </c>
      <c r="O22" s="18" t="n">
        <v>468</v>
      </c>
      <c r="P22" s="18">
        <f>$B$2&amp;"|"&amp;J22&amp;"$"&amp;$C$3&amp;"|"&amp;K22&amp;"$"&amp;$D$3&amp;"|"&amp;L22&amp;"$"&amp;$E$3&amp;"|"&amp;M22&amp;"$"&amp;$F$3&amp;"|"&amp;N22&amp;"$"&amp;$G$3&amp;"|"&amp;O22</f>
        <v/>
      </c>
      <c r="Q22" s="21" t="n">
        <v>14</v>
      </c>
      <c r="R22" s="21" t="n">
        <v>9870</v>
      </c>
      <c r="S22" s="21" t="n">
        <v>340</v>
      </c>
      <c r="T22" s="21" t="n">
        <v>430</v>
      </c>
      <c r="U22" s="21" t="n">
        <v>3400</v>
      </c>
      <c r="V22" s="21" t="n">
        <v>290</v>
      </c>
      <c r="W22" s="21" t="n">
        <v>468</v>
      </c>
      <c r="X22" s="21">
        <f>$B$2&amp;"|"&amp;R22&amp;"$"&amp;$C$4&amp;"|"&amp;S22&amp;"$"&amp;$D$4&amp;"|"&amp;T22&amp;"$"&amp;$E$4&amp;"|"&amp;U22&amp;"$"&amp;$F$4&amp;"|"&amp;V22&amp;"$"&amp;$G$4&amp;"|"&amp;W22</f>
        <v/>
      </c>
      <c r="Y22" s="21" t="n"/>
      <c r="Z22" s="24" t="n">
        <v>14</v>
      </c>
      <c r="AA22" s="24" t="n">
        <v>11300</v>
      </c>
      <c r="AB22" s="24" t="n">
        <v>282</v>
      </c>
      <c r="AC22" s="24" t="n">
        <v>266</v>
      </c>
      <c r="AD22" s="24" t="n">
        <v>3260</v>
      </c>
      <c r="AE22" s="24" t="n">
        <v>188</v>
      </c>
      <c r="AF22" s="24" t="n">
        <v>440</v>
      </c>
      <c r="AG22" s="24">
        <f>$B$2&amp;"|"&amp;AA22&amp;"$"&amp;$C$5&amp;"|"&amp;AB22&amp;"$"&amp;$D$5&amp;"|"&amp;AC22&amp;"$"&amp;$E$5&amp;"|"&amp;AD22&amp;"$"&amp;$F$5&amp;"|"&amp;AE22&amp;"$"&amp;$G$5&amp;"|"&amp;AF22</f>
        <v/>
      </c>
      <c r="AH22" s="27" t="n">
        <v>14</v>
      </c>
      <c r="AI22" s="27" t="n">
        <v>12690</v>
      </c>
      <c r="AJ22" s="27" t="n">
        <v>224</v>
      </c>
      <c r="AK22" s="27" t="n">
        <v>164</v>
      </c>
      <c r="AL22" s="27" t="n">
        <v>3190</v>
      </c>
      <c r="AM22" s="27" t="n">
        <v>118</v>
      </c>
      <c r="AN22" s="27" t="n">
        <v>440</v>
      </c>
      <c r="AO22" s="27">
        <f>$B$2&amp;"|"&amp;AI22&amp;"$"&amp;$C$6&amp;"|"&amp;AJ22&amp;"$"&amp;$D$6&amp;"|"&amp;AK22&amp;"$"&amp;$E$6&amp;"|"&amp;AL22&amp;"$"&amp;$F$6&amp;"|"&amp;AM22&amp;"$"&amp;$G$6&amp;"|"&amp;AN22</f>
        <v/>
      </c>
    </row>
    <row r="23" ht="121.5" customHeight="1" s="80">
      <c r="A23" s="14" t="n">
        <v>15</v>
      </c>
      <c r="B23" s="14" t="n">
        <v>2000</v>
      </c>
      <c r="C23" s="8" t="n">
        <v>60</v>
      </c>
      <c r="D23" s="8" t="n">
        <v>240</v>
      </c>
      <c r="E23" s="8" t="n">
        <v>425</v>
      </c>
      <c r="F23" s="8" t="n">
        <v>60</v>
      </c>
      <c r="G23" s="8" t="n">
        <v>51</v>
      </c>
      <c r="H23" s="14">
        <f>$B$2&amp;"|"&amp;B23&amp;"$"&amp;$C$2&amp;"|"&amp;C23&amp;"$"&amp;$D$2&amp;"|"&amp;D23&amp;"$"&amp;$E$2&amp;"|"&amp;E23&amp;"$"&amp;$F$2&amp;"|"&amp;F23&amp;"$"&amp;$G$2&amp;"|"&amp;G23</f>
        <v/>
      </c>
      <c r="I23" s="18" t="n">
        <v>15</v>
      </c>
      <c r="J23" s="18" t="n">
        <v>8460</v>
      </c>
      <c r="K23" s="18" t="n">
        <v>465</v>
      </c>
      <c r="L23" s="18" t="n">
        <v>450</v>
      </c>
      <c r="M23" s="18" t="n">
        <v>3900</v>
      </c>
      <c r="N23" s="18" t="n">
        <v>483</v>
      </c>
      <c r="O23" s="18" t="n">
        <v>480</v>
      </c>
      <c r="P23" s="18">
        <f>$B$2&amp;"|"&amp;J23&amp;"$"&amp;$C$3&amp;"|"&amp;K23&amp;"$"&amp;$D$3&amp;"|"&amp;L23&amp;"$"&amp;$E$3&amp;"|"&amp;M23&amp;"$"&amp;$F$3&amp;"|"&amp;N23&amp;"$"&amp;$G$3&amp;"|"&amp;O23</f>
        <v/>
      </c>
      <c r="Q23" s="21" t="n">
        <v>15</v>
      </c>
      <c r="R23" s="21" t="n">
        <v>9870</v>
      </c>
      <c r="S23" s="21" t="n">
        <v>345</v>
      </c>
      <c r="T23" s="21" t="n">
        <v>435</v>
      </c>
      <c r="U23" s="21" t="n">
        <v>3500</v>
      </c>
      <c r="V23" s="21" t="n">
        <v>295</v>
      </c>
      <c r="W23" s="21" t="n">
        <v>480</v>
      </c>
      <c r="X23" s="21">
        <f>$B$2&amp;"|"&amp;R23&amp;"$"&amp;$C$4&amp;"|"&amp;S23&amp;"$"&amp;$D$4&amp;"|"&amp;T23&amp;"$"&amp;$E$4&amp;"|"&amp;U23&amp;"$"&amp;$F$4&amp;"|"&amp;V23&amp;"$"&amp;$G$4&amp;"|"&amp;W23</f>
        <v/>
      </c>
      <c r="Y23" s="21" t="n"/>
      <c r="Z23" s="24" t="n">
        <v>15</v>
      </c>
      <c r="AA23" s="24" t="n">
        <v>11300</v>
      </c>
      <c r="AB23" s="24" t="n">
        <v>285</v>
      </c>
      <c r="AC23" s="24" t="n">
        <v>270</v>
      </c>
      <c r="AD23" s="24" t="n">
        <v>3350</v>
      </c>
      <c r="AE23" s="24" t="n">
        <v>192</v>
      </c>
      <c r="AF23" s="24" t="n">
        <v>450</v>
      </c>
      <c r="AG23" s="24">
        <f>$B$2&amp;"|"&amp;AA23&amp;"$"&amp;$C$5&amp;"|"&amp;AB23&amp;"$"&amp;$D$5&amp;"|"&amp;AC23&amp;"$"&amp;$E$5&amp;"|"&amp;AD23&amp;"$"&amp;$F$5&amp;"|"&amp;AE23&amp;"$"&amp;$G$5&amp;"|"&amp;AF23</f>
        <v/>
      </c>
      <c r="AH23" s="27" t="n">
        <v>15</v>
      </c>
      <c r="AI23" s="27" t="n">
        <v>12690</v>
      </c>
      <c r="AJ23" s="27" t="n">
        <v>225</v>
      </c>
      <c r="AK23" s="27" t="n">
        <v>165</v>
      </c>
      <c r="AL23" s="27" t="n">
        <v>3275</v>
      </c>
      <c r="AM23" s="27" t="n">
        <v>120</v>
      </c>
      <c r="AN23" s="27" t="n">
        <v>450</v>
      </c>
      <c r="AO23" s="27">
        <f>$B$2&amp;"|"&amp;AI23&amp;"$"&amp;$C$6&amp;"|"&amp;AJ23&amp;"$"&amp;$D$6&amp;"|"&amp;AK23&amp;"$"&amp;$E$6&amp;"|"&amp;AL23&amp;"$"&amp;$F$6&amp;"|"&amp;AM23&amp;"$"&amp;$G$6&amp;"|"&amp;AN23</f>
        <v/>
      </c>
    </row>
    <row r="24" ht="121.5" customHeight="1" s="80">
      <c r="A24" s="14" t="n">
        <v>16</v>
      </c>
      <c r="B24" s="14" t="n">
        <v>2000</v>
      </c>
      <c r="C24" s="8" t="n">
        <v>61</v>
      </c>
      <c r="D24" s="8" t="n">
        <v>244</v>
      </c>
      <c r="E24" s="8" t="n">
        <v>440</v>
      </c>
      <c r="F24" s="8" t="n">
        <v>61</v>
      </c>
      <c r="G24" s="8" t="n">
        <v>53</v>
      </c>
      <c r="H24" s="14">
        <f>$B$2&amp;"|"&amp;B24&amp;"$"&amp;$C$2&amp;"|"&amp;C24&amp;"$"&amp;$D$2&amp;"|"&amp;D24&amp;"$"&amp;$E$2&amp;"|"&amp;E24&amp;"$"&amp;$F$2&amp;"|"&amp;F24&amp;"$"&amp;$G$2&amp;"|"&amp;G24</f>
        <v/>
      </c>
      <c r="I24" s="18" t="n">
        <v>16</v>
      </c>
      <c r="J24" s="18" t="n">
        <v>8460</v>
      </c>
      <c r="K24" s="18" t="n">
        <v>476</v>
      </c>
      <c r="L24" s="18" t="n">
        <v>460</v>
      </c>
      <c r="M24" s="18" t="n">
        <v>4020</v>
      </c>
      <c r="N24" s="18" t="n">
        <v>493</v>
      </c>
      <c r="O24" s="18" t="n">
        <v>492</v>
      </c>
      <c r="P24" s="18">
        <f>$B$2&amp;"|"&amp;J24&amp;"$"&amp;$C$3&amp;"|"&amp;K24&amp;"$"&amp;$D$3&amp;"|"&amp;L24&amp;"$"&amp;$E$3&amp;"|"&amp;M24&amp;"$"&amp;$F$3&amp;"|"&amp;N24&amp;"$"&amp;$G$3&amp;"|"&amp;O24</f>
        <v/>
      </c>
      <c r="Q24" s="21" t="n">
        <v>16</v>
      </c>
      <c r="R24" s="21" t="n">
        <v>9870</v>
      </c>
      <c r="S24" s="21" t="n">
        <v>350</v>
      </c>
      <c r="T24" s="21" t="n">
        <v>440</v>
      </c>
      <c r="U24" s="21" t="n">
        <v>3600</v>
      </c>
      <c r="V24" s="21" t="n">
        <v>300</v>
      </c>
      <c r="W24" s="21" t="n">
        <v>492</v>
      </c>
      <c r="X24" s="21">
        <f>$B$2&amp;"|"&amp;R24&amp;"$"&amp;$C$4&amp;"|"&amp;S24&amp;"$"&amp;$D$4&amp;"|"&amp;T24&amp;"$"&amp;$E$4&amp;"|"&amp;U24&amp;"$"&amp;$F$4&amp;"|"&amp;V24&amp;"$"&amp;$G$4&amp;"|"&amp;W24</f>
        <v/>
      </c>
      <c r="Y24" s="21" t="n"/>
      <c r="Z24" s="24" t="n">
        <v>16</v>
      </c>
      <c r="AA24" s="24" t="n">
        <v>11300</v>
      </c>
      <c r="AB24" s="24" t="n">
        <v>288</v>
      </c>
      <c r="AC24" s="24" t="n">
        <v>274</v>
      </c>
      <c r="AD24" s="24" t="n">
        <v>3440</v>
      </c>
      <c r="AE24" s="24" t="n">
        <v>196</v>
      </c>
      <c r="AF24" s="24" t="n">
        <v>460</v>
      </c>
      <c r="AG24" s="24">
        <f>$B$2&amp;"|"&amp;AA24&amp;"$"&amp;$C$5&amp;"|"&amp;AB24&amp;"$"&amp;$D$5&amp;"|"&amp;AC24&amp;"$"&amp;$E$5&amp;"|"&amp;AD24&amp;"$"&amp;$F$5&amp;"|"&amp;AE24&amp;"$"&amp;$G$5&amp;"|"&amp;AF24</f>
        <v/>
      </c>
      <c r="AH24" s="27" t="n">
        <v>16</v>
      </c>
      <c r="AI24" s="27" t="n">
        <v>12690</v>
      </c>
      <c r="AJ24" s="27" t="n">
        <v>226</v>
      </c>
      <c r="AK24" s="27" t="n">
        <v>166</v>
      </c>
      <c r="AL24" s="27" t="n">
        <v>3360</v>
      </c>
      <c r="AM24" s="27" t="n">
        <v>122</v>
      </c>
      <c r="AN24" s="27" t="n">
        <v>460</v>
      </c>
      <c r="AO24" s="27">
        <f>$B$2&amp;"|"&amp;AI24&amp;"$"&amp;$C$6&amp;"|"&amp;AJ24&amp;"$"&amp;$D$6&amp;"|"&amp;AK24&amp;"$"&amp;$E$6&amp;"|"&amp;AL24&amp;"$"&amp;$F$6&amp;"|"&amp;AM24&amp;"$"&amp;$G$6&amp;"|"&amp;AN24</f>
        <v/>
      </c>
    </row>
    <row r="25" ht="121.5" customHeight="1" s="80">
      <c r="A25" s="14" t="n">
        <v>17</v>
      </c>
      <c r="B25" s="14" t="n">
        <v>2000</v>
      </c>
      <c r="C25" s="8" t="n">
        <v>62</v>
      </c>
      <c r="D25" s="8" t="n">
        <v>248</v>
      </c>
      <c r="E25" s="8" t="n">
        <v>455</v>
      </c>
      <c r="F25" s="8" t="n">
        <v>62</v>
      </c>
      <c r="G25" s="8" t="n">
        <v>55</v>
      </c>
      <c r="H25" s="14">
        <f>$B$2&amp;"|"&amp;B25&amp;"$"&amp;$C$2&amp;"|"&amp;C25&amp;"$"&amp;$D$2&amp;"|"&amp;D25&amp;"$"&amp;$E$2&amp;"|"&amp;E25&amp;"$"&amp;$F$2&amp;"|"&amp;F25&amp;"$"&amp;$G$2&amp;"|"&amp;G25</f>
        <v/>
      </c>
      <c r="I25" s="18" t="n">
        <v>17</v>
      </c>
      <c r="J25" s="18" t="n">
        <v>8460</v>
      </c>
      <c r="K25" s="18" t="n">
        <v>487</v>
      </c>
      <c r="L25" s="18" t="n">
        <v>470</v>
      </c>
      <c r="M25" s="18" t="n">
        <v>4140</v>
      </c>
      <c r="N25" s="18" t="n">
        <v>503</v>
      </c>
      <c r="O25" s="18" t="n">
        <v>504</v>
      </c>
      <c r="P25" s="18">
        <f>$B$2&amp;"|"&amp;J25&amp;"$"&amp;$C$3&amp;"|"&amp;K25&amp;"$"&amp;$D$3&amp;"|"&amp;L25&amp;"$"&amp;$E$3&amp;"|"&amp;M25&amp;"$"&amp;$F$3&amp;"|"&amp;N25&amp;"$"&amp;$G$3&amp;"|"&amp;O25</f>
        <v/>
      </c>
      <c r="Q25" s="21" t="n">
        <v>17</v>
      </c>
      <c r="R25" s="21" t="n">
        <v>9870</v>
      </c>
      <c r="S25" s="21" t="n">
        <v>355</v>
      </c>
      <c r="T25" s="21" t="n">
        <v>445</v>
      </c>
      <c r="U25" s="21" t="n">
        <v>3700</v>
      </c>
      <c r="V25" s="21" t="n">
        <v>305</v>
      </c>
      <c r="W25" s="21" t="n">
        <v>504</v>
      </c>
      <c r="X25" s="21">
        <f>$B$2&amp;"|"&amp;R25&amp;"$"&amp;$C$4&amp;"|"&amp;S25&amp;"$"&amp;$D$4&amp;"|"&amp;T25&amp;"$"&amp;$E$4&amp;"|"&amp;U25&amp;"$"&amp;$F$4&amp;"|"&amp;V25&amp;"$"&amp;$G$4&amp;"|"&amp;W25</f>
        <v/>
      </c>
      <c r="Y25" s="21" t="n"/>
      <c r="Z25" s="24" t="n">
        <v>17</v>
      </c>
      <c r="AA25" s="24" t="n">
        <v>11300</v>
      </c>
      <c r="AB25" s="24" t="n">
        <v>291</v>
      </c>
      <c r="AC25" s="24" t="n">
        <v>278</v>
      </c>
      <c r="AD25" s="24" t="n">
        <v>3530</v>
      </c>
      <c r="AE25" s="24" t="n">
        <v>200</v>
      </c>
      <c r="AF25" s="24" t="n">
        <v>470</v>
      </c>
      <c r="AG25" s="24">
        <f>$B$2&amp;"|"&amp;AA25&amp;"$"&amp;$C$5&amp;"|"&amp;AB25&amp;"$"&amp;$D$5&amp;"|"&amp;AC25&amp;"$"&amp;$E$5&amp;"|"&amp;AD25&amp;"$"&amp;$F$5&amp;"|"&amp;AE25&amp;"$"&amp;$G$5&amp;"|"&amp;AF25</f>
        <v/>
      </c>
      <c r="AH25" s="27" t="n">
        <v>17</v>
      </c>
      <c r="AI25" s="27" t="n">
        <v>12690</v>
      </c>
      <c r="AJ25" s="27" t="n">
        <v>227</v>
      </c>
      <c r="AK25" s="27" t="n">
        <v>167</v>
      </c>
      <c r="AL25" s="27" t="n">
        <v>3445</v>
      </c>
      <c r="AM25" s="27" t="n">
        <v>124</v>
      </c>
      <c r="AN25" s="27" t="n">
        <v>470</v>
      </c>
      <c r="AO25" s="27">
        <f>$B$2&amp;"|"&amp;AI25&amp;"$"&amp;$C$6&amp;"|"&amp;AJ25&amp;"$"&amp;$D$6&amp;"|"&amp;AK25&amp;"$"&amp;$E$6&amp;"|"&amp;AL25&amp;"$"&amp;$F$6&amp;"|"&amp;AM25&amp;"$"&amp;$G$6&amp;"|"&amp;AN25</f>
        <v/>
      </c>
    </row>
    <row r="26" ht="121.5" customHeight="1" s="80">
      <c r="A26" s="14" t="n">
        <v>18</v>
      </c>
      <c r="B26" s="14" t="n">
        <v>2000</v>
      </c>
      <c r="C26" s="8" t="n">
        <v>63</v>
      </c>
      <c r="D26" s="8" t="n">
        <v>252</v>
      </c>
      <c r="E26" s="8" t="n">
        <v>470</v>
      </c>
      <c r="F26" s="8" t="n">
        <v>63</v>
      </c>
      <c r="G26" s="8" t="n">
        <v>57</v>
      </c>
      <c r="H26" s="14">
        <f>$B$2&amp;"|"&amp;B26&amp;"$"&amp;$C$2&amp;"|"&amp;C26&amp;"$"&amp;$D$2&amp;"|"&amp;D26&amp;"$"&amp;$E$2&amp;"|"&amp;E26&amp;"$"&amp;$F$2&amp;"|"&amp;F26&amp;"$"&amp;$G$2&amp;"|"&amp;G26</f>
        <v/>
      </c>
      <c r="I26" s="18" t="n">
        <v>18</v>
      </c>
      <c r="J26" s="18" t="n">
        <v>8460</v>
      </c>
      <c r="K26" s="18" t="n">
        <v>498</v>
      </c>
      <c r="L26" s="18" t="n">
        <v>480</v>
      </c>
      <c r="M26" s="18" t="n">
        <v>4260</v>
      </c>
      <c r="N26" s="18" t="n">
        <v>513</v>
      </c>
      <c r="O26" s="18" t="n">
        <v>516</v>
      </c>
      <c r="P26" s="18">
        <f>$B$2&amp;"|"&amp;J26&amp;"$"&amp;$C$3&amp;"|"&amp;K26&amp;"$"&amp;$D$3&amp;"|"&amp;L26&amp;"$"&amp;$E$3&amp;"|"&amp;M26&amp;"$"&amp;$F$3&amp;"|"&amp;N26&amp;"$"&amp;$G$3&amp;"|"&amp;O26</f>
        <v/>
      </c>
      <c r="Q26" s="21" t="n">
        <v>18</v>
      </c>
      <c r="R26" s="21" t="n">
        <v>9870</v>
      </c>
      <c r="S26" s="21" t="n">
        <v>360</v>
      </c>
      <c r="T26" s="21" t="n">
        <v>450</v>
      </c>
      <c r="U26" s="21" t="n">
        <v>3800</v>
      </c>
      <c r="V26" s="21" t="n">
        <v>310</v>
      </c>
      <c r="W26" s="21" t="n">
        <v>516</v>
      </c>
      <c r="X26" s="21">
        <f>$B$2&amp;"|"&amp;R26&amp;"$"&amp;$C$4&amp;"|"&amp;S26&amp;"$"&amp;$D$4&amp;"|"&amp;T26&amp;"$"&amp;$E$4&amp;"|"&amp;U26&amp;"$"&amp;$F$4&amp;"|"&amp;V26&amp;"$"&amp;$G$4&amp;"|"&amp;W26</f>
        <v/>
      </c>
      <c r="Y26" s="21" t="n"/>
      <c r="Z26" s="24" t="n">
        <v>18</v>
      </c>
      <c r="AA26" s="24" t="n">
        <v>11300</v>
      </c>
      <c r="AB26" s="24" t="n">
        <v>294</v>
      </c>
      <c r="AC26" s="24" t="n">
        <v>282</v>
      </c>
      <c r="AD26" s="24" t="n">
        <v>3620</v>
      </c>
      <c r="AE26" s="24" t="n">
        <v>204</v>
      </c>
      <c r="AF26" s="24" t="n">
        <v>480</v>
      </c>
      <c r="AG26" s="24">
        <f>$B$2&amp;"|"&amp;AA26&amp;"$"&amp;$C$5&amp;"|"&amp;AB26&amp;"$"&amp;$D$5&amp;"|"&amp;AC26&amp;"$"&amp;$E$5&amp;"|"&amp;AD26&amp;"$"&amp;$F$5&amp;"|"&amp;AE26&amp;"$"&amp;$G$5&amp;"|"&amp;AF26</f>
        <v/>
      </c>
      <c r="AH26" s="27" t="n">
        <v>18</v>
      </c>
      <c r="AI26" s="27" t="n">
        <v>12690</v>
      </c>
      <c r="AJ26" s="27" t="n">
        <v>228</v>
      </c>
      <c r="AK26" s="27" t="n">
        <v>168</v>
      </c>
      <c r="AL26" s="27" t="n">
        <v>3530</v>
      </c>
      <c r="AM26" s="27" t="n">
        <v>126</v>
      </c>
      <c r="AN26" s="27" t="n">
        <v>480</v>
      </c>
      <c r="AO26" s="27">
        <f>$B$2&amp;"|"&amp;AI26&amp;"$"&amp;$C$6&amp;"|"&amp;AJ26&amp;"$"&amp;$D$6&amp;"|"&amp;AK26&amp;"$"&amp;$E$6&amp;"|"&amp;AL26&amp;"$"&amp;$F$6&amp;"|"&amp;AM26&amp;"$"&amp;$G$6&amp;"|"&amp;AN26</f>
        <v/>
      </c>
    </row>
    <row r="27" ht="121.5" customHeight="1" s="80">
      <c r="A27" s="14" t="n">
        <v>19</v>
      </c>
      <c r="B27" s="14" t="n">
        <v>2000</v>
      </c>
      <c r="C27" s="8" t="n">
        <v>64</v>
      </c>
      <c r="D27" s="8" t="n">
        <v>256</v>
      </c>
      <c r="E27" s="8" t="n">
        <v>485</v>
      </c>
      <c r="F27" s="8" t="n">
        <v>64</v>
      </c>
      <c r="G27" s="8" t="n">
        <v>59</v>
      </c>
      <c r="H27" s="14">
        <f>$B$2&amp;"|"&amp;B27&amp;"$"&amp;$C$2&amp;"|"&amp;C27&amp;"$"&amp;$D$2&amp;"|"&amp;D27&amp;"$"&amp;$E$2&amp;"|"&amp;E27&amp;"$"&amp;$F$2&amp;"|"&amp;F27&amp;"$"&amp;$G$2&amp;"|"&amp;G27</f>
        <v/>
      </c>
      <c r="I27" s="18" t="n">
        <v>19</v>
      </c>
      <c r="J27" s="18" t="n">
        <v>8460</v>
      </c>
      <c r="K27" s="18" t="n">
        <v>509</v>
      </c>
      <c r="L27" s="18" t="n">
        <v>490</v>
      </c>
      <c r="M27" s="18" t="n">
        <v>4380</v>
      </c>
      <c r="N27" s="18" t="n">
        <v>523</v>
      </c>
      <c r="O27" s="18" t="n">
        <v>528</v>
      </c>
      <c r="P27" s="18">
        <f>$B$2&amp;"|"&amp;J27&amp;"$"&amp;$C$3&amp;"|"&amp;K27&amp;"$"&amp;$D$3&amp;"|"&amp;L27&amp;"$"&amp;$E$3&amp;"|"&amp;M27&amp;"$"&amp;$F$3&amp;"|"&amp;N27&amp;"$"&amp;$G$3&amp;"|"&amp;O27</f>
        <v/>
      </c>
      <c r="Q27" s="21" t="n">
        <v>19</v>
      </c>
      <c r="R27" s="21" t="n">
        <v>9870</v>
      </c>
      <c r="S27" s="21" t="n">
        <v>365</v>
      </c>
      <c r="T27" s="21" t="n">
        <v>455</v>
      </c>
      <c r="U27" s="21" t="n">
        <v>3900</v>
      </c>
      <c r="V27" s="21" t="n">
        <v>315</v>
      </c>
      <c r="W27" s="21" t="n">
        <v>528</v>
      </c>
      <c r="X27" s="21">
        <f>$B$2&amp;"|"&amp;R27&amp;"$"&amp;$C$4&amp;"|"&amp;S27&amp;"$"&amp;$D$4&amp;"|"&amp;T27&amp;"$"&amp;$E$4&amp;"|"&amp;U27&amp;"$"&amp;$F$4&amp;"|"&amp;V27&amp;"$"&amp;$G$4&amp;"|"&amp;W27</f>
        <v/>
      </c>
      <c r="Y27" s="21" t="n"/>
      <c r="Z27" s="24" t="n">
        <v>19</v>
      </c>
      <c r="AA27" s="24" t="n">
        <v>11300</v>
      </c>
      <c r="AB27" s="24" t="n">
        <v>297</v>
      </c>
      <c r="AC27" s="24" t="n">
        <v>286</v>
      </c>
      <c r="AD27" s="24" t="n">
        <v>3710</v>
      </c>
      <c r="AE27" s="24" t="n">
        <v>208</v>
      </c>
      <c r="AF27" s="24" t="n">
        <v>490</v>
      </c>
      <c r="AG27" s="24">
        <f>$B$2&amp;"|"&amp;AA27&amp;"$"&amp;$C$5&amp;"|"&amp;AB27&amp;"$"&amp;$D$5&amp;"|"&amp;AC27&amp;"$"&amp;$E$5&amp;"|"&amp;AD27&amp;"$"&amp;$F$5&amp;"|"&amp;AE27&amp;"$"&amp;$G$5&amp;"|"&amp;AF27</f>
        <v/>
      </c>
      <c r="AH27" s="27" t="n">
        <v>19</v>
      </c>
      <c r="AI27" s="27" t="n">
        <v>12690</v>
      </c>
      <c r="AJ27" s="27" t="n">
        <v>229</v>
      </c>
      <c r="AK27" s="27" t="n">
        <v>169</v>
      </c>
      <c r="AL27" s="27" t="n">
        <v>3615</v>
      </c>
      <c r="AM27" s="27" t="n">
        <v>128</v>
      </c>
      <c r="AN27" s="27" t="n">
        <v>490</v>
      </c>
      <c r="AO27" s="27">
        <f>$B$2&amp;"|"&amp;AI27&amp;"$"&amp;$C$6&amp;"|"&amp;AJ27&amp;"$"&amp;$D$6&amp;"|"&amp;AK27&amp;"$"&amp;$E$6&amp;"|"&amp;AL27&amp;"$"&amp;$F$6&amp;"|"&amp;AM27&amp;"$"&amp;$G$6&amp;"|"&amp;AN27</f>
        <v/>
      </c>
    </row>
    <row r="28" ht="121.5" customHeight="1" s="80">
      <c r="A28" s="14" t="n">
        <v>20</v>
      </c>
      <c r="B28" s="14" t="n">
        <v>2000</v>
      </c>
      <c r="C28" s="8" t="n">
        <v>65</v>
      </c>
      <c r="D28" s="8" t="n">
        <v>260</v>
      </c>
      <c r="E28" s="8" t="n">
        <v>500</v>
      </c>
      <c r="F28" s="8" t="n">
        <v>65</v>
      </c>
      <c r="G28" s="8" t="n">
        <v>61</v>
      </c>
      <c r="H28" s="14">
        <f>$B$2&amp;"|"&amp;B28&amp;"$"&amp;$C$2&amp;"|"&amp;C28&amp;"$"&amp;$D$2&amp;"|"&amp;D28&amp;"$"&amp;$E$2&amp;"|"&amp;E28&amp;"$"&amp;$F$2&amp;"|"&amp;F28&amp;"$"&amp;$G$2&amp;"|"&amp;G28</f>
        <v/>
      </c>
      <c r="I28" s="18" t="n">
        <v>20</v>
      </c>
      <c r="J28" s="18" t="n">
        <v>8460</v>
      </c>
      <c r="K28" s="18" t="n">
        <v>520</v>
      </c>
      <c r="L28" s="18" t="n">
        <v>500</v>
      </c>
      <c r="M28" s="18" t="n">
        <v>4500</v>
      </c>
      <c r="N28" s="18" t="n">
        <v>533</v>
      </c>
      <c r="O28" s="18" t="n">
        <v>540</v>
      </c>
      <c r="P28" s="18">
        <f>$B$2&amp;"|"&amp;J28&amp;"$"&amp;$C$3&amp;"|"&amp;K28&amp;"$"&amp;$D$3&amp;"|"&amp;L28&amp;"$"&amp;$E$3&amp;"|"&amp;M28&amp;"$"&amp;$F$3&amp;"|"&amp;N28&amp;"$"&amp;$G$3&amp;"|"&amp;O28</f>
        <v/>
      </c>
      <c r="Q28" s="21" t="n">
        <v>20</v>
      </c>
      <c r="R28" s="21" t="n">
        <v>9870</v>
      </c>
      <c r="S28" s="21" t="n">
        <v>370</v>
      </c>
      <c r="T28" s="21" t="n">
        <v>460</v>
      </c>
      <c r="U28" s="21" t="n">
        <v>4000</v>
      </c>
      <c r="V28" s="21" t="n">
        <v>320</v>
      </c>
      <c r="W28" s="21" t="n">
        <v>540</v>
      </c>
      <c r="X28" s="21">
        <f>$B$2&amp;"|"&amp;R28&amp;"$"&amp;$C$4&amp;"|"&amp;S28&amp;"$"&amp;$D$4&amp;"|"&amp;T28&amp;"$"&amp;$E$4&amp;"|"&amp;U28&amp;"$"&amp;$F$4&amp;"|"&amp;V28&amp;"$"&amp;$G$4&amp;"|"&amp;W28</f>
        <v/>
      </c>
      <c r="Y28" s="21" t="n"/>
      <c r="Z28" s="24" t="n">
        <v>20</v>
      </c>
      <c r="AA28" s="24" t="n">
        <v>11300</v>
      </c>
      <c r="AB28" s="24" t="n">
        <v>300</v>
      </c>
      <c r="AC28" s="24" t="n">
        <v>290</v>
      </c>
      <c r="AD28" s="24" t="n">
        <v>3800</v>
      </c>
      <c r="AE28" s="24" t="n">
        <v>212</v>
      </c>
      <c r="AF28" s="24" t="n">
        <v>500</v>
      </c>
      <c r="AG28" s="24">
        <f>$B$2&amp;"|"&amp;AA28&amp;"$"&amp;$C$5&amp;"|"&amp;AB28&amp;"$"&amp;$D$5&amp;"|"&amp;AC28&amp;"$"&amp;$E$5&amp;"|"&amp;AD28&amp;"$"&amp;$F$5&amp;"|"&amp;AE28&amp;"$"&amp;$G$5&amp;"|"&amp;AF28</f>
        <v/>
      </c>
      <c r="AH28" s="27" t="n">
        <v>20</v>
      </c>
      <c r="AI28" s="27" t="n">
        <v>12690</v>
      </c>
      <c r="AJ28" s="27" t="n">
        <v>230</v>
      </c>
      <c r="AK28" s="27" t="n">
        <v>170</v>
      </c>
      <c r="AL28" s="27" t="n">
        <v>3700</v>
      </c>
      <c r="AM28" s="27" t="n">
        <v>130</v>
      </c>
      <c r="AN28" s="27" t="n">
        <v>500</v>
      </c>
      <c r="AO28" s="27">
        <f>$B$2&amp;"|"&amp;AI28&amp;"$"&amp;$C$6&amp;"|"&amp;AJ28&amp;"$"&amp;$D$6&amp;"|"&amp;AK28&amp;"$"&amp;$E$6&amp;"|"&amp;AL28&amp;"$"&amp;$F$6&amp;"|"&amp;AM28&amp;"$"&amp;$G$6&amp;"|"&amp;AN28</f>
        <v/>
      </c>
    </row>
    <row r="29" ht="121.5" customHeight="1" s="80">
      <c r="C29" s="8" t="n">
        <v>0.1</v>
      </c>
      <c r="I29" s="18" t="n">
        <v>21</v>
      </c>
      <c r="J29" s="18" t="n">
        <v>8460</v>
      </c>
      <c r="K29" s="18" t="n">
        <v>531</v>
      </c>
      <c r="L29" s="18" t="n">
        <v>510</v>
      </c>
      <c r="M29" s="18" t="n">
        <v>4620</v>
      </c>
      <c r="N29" s="18" t="n">
        <v>543</v>
      </c>
      <c r="O29" s="18" t="n">
        <v>552</v>
      </c>
      <c r="P29" s="18">
        <f>$B$2&amp;"|"&amp;J29&amp;"$"&amp;$C$3&amp;"|"&amp;K29&amp;"$"&amp;$D$3&amp;"|"&amp;L29&amp;"$"&amp;$E$3&amp;"|"&amp;M29&amp;"$"&amp;$F$3&amp;"|"&amp;N29&amp;"$"&amp;$G$3&amp;"|"&amp;O29</f>
        <v/>
      </c>
      <c r="Q29" s="21" t="n">
        <v>21</v>
      </c>
      <c r="R29" s="21" t="n">
        <v>9870</v>
      </c>
      <c r="S29" s="21" t="n">
        <v>375</v>
      </c>
      <c r="T29" s="21" t="n">
        <v>465</v>
      </c>
      <c r="U29" s="21" t="n">
        <v>4100</v>
      </c>
      <c r="V29" s="21" t="n">
        <v>325</v>
      </c>
      <c r="W29" s="21" t="n">
        <v>552</v>
      </c>
      <c r="X29" s="21">
        <f>$B$2&amp;"|"&amp;R29&amp;"$"&amp;$C$4&amp;"|"&amp;S29&amp;"$"&amp;$D$4&amp;"|"&amp;T29&amp;"$"&amp;$E$4&amp;"|"&amp;U29&amp;"$"&amp;$F$4&amp;"|"&amp;V29&amp;"$"&amp;$G$4&amp;"|"&amp;W29</f>
        <v/>
      </c>
      <c r="Y29" s="21" t="n"/>
      <c r="Z29" s="24" t="n">
        <v>21</v>
      </c>
      <c r="AA29" s="24" t="n">
        <v>11300</v>
      </c>
      <c r="AB29" s="24" t="n">
        <v>303</v>
      </c>
      <c r="AC29" s="24" t="n">
        <v>294</v>
      </c>
      <c r="AD29" s="24" t="n">
        <v>3890</v>
      </c>
      <c r="AE29" s="24" t="n">
        <v>216</v>
      </c>
      <c r="AF29" s="24" t="n">
        <v>510</v>
      </c>
      <c r="AG29" s="24">
        <f>$B$2&amp;"|"&amp;AA29&amp;"$"&amp;$C$5&amp;"|"&amp;AB29&amp;"$"&amp;$D$5&amp;"|"&amp;AC29&amp;"$"&amp;$E$5&amp;"|"&amp;AD29&amp;"$"&amp;$F$5&amp;"|"&amp;AE29&amp;"$"&amp;$G$5&amp;"|"&amp;AF29</f>
        <v/>
      </c>
      <c r="AH29" s="27" t="n">
        <v>21</v>
      </c>
      <c r="AI29" s="27" t="n">
        <v>12690</v>
      </c>
      <c r="AJ29" s="27" t="n">
        <v>231</v>
      </c>
      <c r="AK29" s="27" t="n">
        <v>171</v>
      </c>
      <c r="AL29" s="27" t="n">
        <v>3785</v>
      </c>
      <c r="AM29" s="27" t="n">
        <v>132</v>
      </c>
      <c r="AN29" s="27" t="n">
        <v>510</v>
      </c>
      <c r="AO29" s="27">
        <f>$B$2&amp;"|"&amp;AI29&amp;"$"&amp;$C$6&amp;"|"&amp;AJ29&amp;"$"&amp;$D$6&amp;"|"&amp;AK29&amp;"$"&amp;$E$6&amp;"|"&amp;AL29&amp;"$"&amp;$F$6&amp;"|"&amp;AM29&amp;"$"&amp;$G$6&amp;"|"&amp;AN29</f>
        <v/>
      </c>
    </row>
    <row r="30" ht="121.5" customHeight="1" s="80">
      <c r="I30" s="18" t="n">
        <v>22</v>
      </c>
      <c r="J30" s="18" t="n">
        <v>8460</v>
      </c>
      <c r="K30" s="18" t="n">
        <v>542</v>
      </c>
      <c r="L30" s="18" t="n">
        <v>520</v>
      </c>
      <c r="M30" s="18" t="n">
        <v>4740</v>
      </c>
      <c r="N30" s="18" t="n">
        <v>553</v>
      </c>
      <c r="O30" s="18" t="n">
        <v>564</v>
      </c>
      <c r="P30" s="18">
        <f>$B$2&amp;"|"&amp;J30&amp;"$"&amp;$C$3&amp;"|"&amp;K30&amp;"$"&amp;$D$3&amp;"|"&amp;L30&amp;"$"&amp;$E$3&amp;"|"&amp;M30&amp;"$"&amp;$F$3&amp;"|"&amp;N30&amp;"$"&amp;$G$3&amp;"|"&amp;O30</f>
        <v/>
      </c>
      <c r="Q30" s="21" t="n">
        <v>22</v>
      </c>
      <c r="R30" s="21" t="n">
        <v>9870</v>
      </c>
      <c r="S30" s="21" t="n">
        <v>380</v>
      </c>
      <c r="T30" s="21" t="n">
        <v>470</v>
      </c>
      <c r="U30" s="21" t="n">
        <v>4200</v>
      </c>
      <c r="V30" s="21" t="n">
        <v>330</v>
      </c>
      <c r="W30" s="21" t="n">
        <v>564</v>
      </c>
      <c r="X30" s="21">
        <f>$B$2&amp;"|"&amp;R30&amp;"$"&amp;$C$4&amp;"|"&amp;S30&amp;"$"&amp;$D$4&amp;"|"&amp;T30&amp;"$"&amp;$E$4&amp;"|"&amp;U30&amp;"$"&amp;$F$4&amp;"|"&amp;V30&amp;"$"&amp;$G$4&amp;"|"&amp;W30</f>
        <v/>
      </c>
      <c r="Y30" s="21" t="n"/>
      <c r="Z30" s="24" t="n">
        <v>22</v>
      </c>
      <c r="AA30" s="24" t="n">
        <v>11300</v>
      </c>
      <c r="AB30" s="24" t="n">
        <v>306</v>
      </c>
      <c r="AC30" s="24" t="n">
        <v>298</v>
      </c>
      <c r="AD30" s="24" t="n">
        <v>3980</v>
      </c>
      <c r="AE30" s="24" t="n">
        <v>220</v>
      </c>
      <c r="AF30" s="24" t="n">
        <v>520</v>
      </c>
      <c r="AG30" s="24">
        <f>$B$2&amp;"|"&amp;AA30&amp;"$"&amp;$C$5&amp;"|"&amp;AB30&amp;"$"&amp;$D$5&amp;"|"&amp;AC30&amp;"$"&amp;$E$5&amp;"|"&amp;AD30&amp;"$"&amp;$F$5&amp;"|"&amp;AE30&amp;"$"&amp;$G$5&amp;"|"&amp;AF30</f>
        <v/>
      </c>
      <c r="AH30" s="27" t="n">
        <v>22</v>
      </c>
      <c r="AI30" s="27" t="n">
        <v>12690</v>
      </c>
      <c r="AJ30" s="27" t="n">
        <v>232</v>
      </c>
      <c r="AK30" s="27" t="n">
        <v>172</v>
      </c>
      <c r="AL30" s="27" t="n">
        <v>3870</v>
      </c>
      <c r="AM30" s="27" t="n">
        <v>134</v>
      </c>
      <c r="AN30" s="27" t="n">
        <v>520</v>
      </c>
      <c r="AO30" s="27">
        <f>$B$2&amp;"|"&amp;AI30&amp;"$"&amp;$C$6&amp;"|"&amp;AJ30&amp;"$"&amp;$D$6&amp;"|"&amp;AK30&amp;"$"&amp;$E$6&amp;"|"&amp;AL30&amp;"$"&amp;$F$6&amp;"|"&amp;AM30&amp;"$"&amp;$G$6&amp;"|"&amp;AN30</f>
        <v/>
      </c>
    </row>
    <row r="31" ht="121.5" customHeight="1" s="80">
      <c r="I31" s="18" t="n">
        <v>23</v>
      </c>
      <c r="J31" s="18" t="n">
        <v>8460</v>
      </c>
      <c r="K31" s="18" t="n">
        <v>553</v>
      </c>
      <c r="L31" s="18" t="n">
        <v>530</v>
      </c>
      <c r="M31" s="18" t="n">
        <v>4860</v>
      </c>
      <c r="N31" s="18" t="n">
        <v>563</v>
      </c>
      <c r="O31" s="18" t="n">
        <v>576</v>
      </c>
      <c r="P31" s="18">
        <f>$B$2&amp;"|"&amp;J31&amp;"$"&amp;$C$3&amp;"|"&amp;K31&amp;"$"&amp;$D$3&amp;"|"&amp;L31&amp;"$"&amp;$E$3&amp;"|"&amp;M31&amp;"$"&amp;$F$3&amp;"|"&amp;N31&amp;"$"&amp;$G$3&amp;"|"&amp;O31</f>
        <v/>
      </c>
      <c r="Q31" s="21" t="n">
        <v>23</v>
      </c>
      <c r="R31" s="21" t="n">
        <v>9870</v>
      </c>
      <c r="S31" s="21" t="n">
        <v>385</v>
      </c>
      <c r="T31" s="21" t="n">
        <v>475</v>
      </c>
      <c r="U31" s="21" t="n">
        <v>4300</v>
      </c>
      <c r="V31" s="21" t="n">
        <v>335</v>
      </c>
      <c r="W31" s="21" t="n">
        <v>576</v>
      </c>
      <c r="X31" s="21">
        <f>$B$2&amp;"|"&amp;R31&amp;"$"&amp;$C$4&amp;"|"&amp;S31&amp;"$"&amp;$D$4&amp;"|"&amp;T31&amp;"$"&amp;$E$4&amp;"|"&amp;U31&amp;"$"&amp;$F$4&amp;"|"&amp;V31&amp;"$"&amp;$G$4&amp;"|"&amp;W31</f>
        <v/>
      </c>
      <c r="Y31" s="21" t="n"/>
      <c r="Z31" s="24" t="n">
        <v>23</v>
      </c>
      <c r="AA31" s="24" t="n">
        <v>11300</v>
      </c>
      <c r="AB31" s="24" t="n">
        <v>309</v>
      </c>
      <c r="AC31" s="24" t="n">
        <v>302</v>
      </c>
      <c r="AD31" s="24" t="n">
        <v>4070</v>
      </c>
      <c r="AE31" s="24" t="n">
        <v>224</v>
      </c>
      <c r="AF31" s="24" t="n">
        <v>530</v>
      </c>
      <c r="AG31" s="24">
        <f>$B$2&amp;"|"&amp;AA31&amp;"$"&amp;$C$5&amp;"|"&amp;AB31&amp;"$"&amp;$D$5&amp;"|"&amp;AC31&amp;"$"&amp;$E$5&amp;"|"&amp;AD31&amp;"$"&amp;$F$5&amp;"|"&amp;AE31&amp;"$"&amp;$G$5&amp;"|"&amp;AF31</f>
        <v/>
      </c>
      <c r="AH31" s="27" t="n">
        <v>23</v>
      </c>
      <c r="AI31" s="27" t="n">
        <v>12690</v>
      </c>
      <c r="AJ31" s="27" t="n">
        <v>233</v>
      </c>
      <c r="AK31" s="27" t="n">
        <v>173</v>
      </c>
      <c r="AL31" s="27" t="n">
        <v>3955</v>
      </c>
      <c r="AM31" s="27" t="n">
        <v>136</v>
      </c>
      <c r="AN31" s="27" t="n">
        <v>530</v>
      </c>
      <c r="AO31" s="27">
        <f>$B$2&amp;"|"&amp;AI31&amp;"$"&amp;$C$6&amp;"|"&amp;AJ31&amp;"$"&amp;$D$6&amp;"|"&amp;AK31&amp;"$"&amp;$E$6&amp;"|"&amp;AL31&amp;"$"&amp;$F$6&amp;"|"&amp;AM31&amp;"$"&amp;$G$6&amp;"|"&amp;AN31</f>
        <v/>
      </c>
    </row>
    <row r="32" ht="121.5" customHeight="1" s="80">
      <c r="I32" s="18" t="n">
        <v>24</v>
      </c>
      <c r="J32" s="18" t="n">
        <v>8460</v>
      </c>
      <c r="K32" s="18" t="n">
        <v>564</v>
      </c>
      <c r="L32" s="18" t="n">
        <v>540</v>
      </c>
      <c r="M32" s="18" t="n">
        <v>4980</v>
      </c>
      <c r="N32" s="18" t="n">
        <v>573</v>
      </c>
      <c r="O32" s="18" t="n">
        <v>588</v>
      </c>
      <c r="P32" s="18">
        <f>$B$2&amp;"|"&amp;J32&amp;"$"&amp;$C$3&amp;"|"&amp;K32&amp;"$"&amp;$D$3&amp;"|"&amp;L32&amp;"$"&amp;$E$3&amp;"|"&amp;M32&amp;"$"&amp;$F$3&amp;"|"&amp;N32&amp;"$"&amp;$G$3&amp;"|"&amp;O32</f>
        <v/>
      </c>
      <c r="Q32" s="21" t="n">
        <v>24</v>
      </c>
      <c r="R32" s="21" t="n">
        <v>9870</v>
      </c>
      <c r="S32" s="21" t="n">
        <v>390</v>
      </c>
      <c r="T32" s="21" t="n">
        <v>480</v>
      </c>
      <c r="U32" s="21" t="n">
        <v>4400</v>
      </c>
      <c r="V32" s="21" t="n">
        <v>340</v>
      </c>
      <c r="W32" s="21" t="n">
        <v>588</v>
      </c>
      <c r="X32" s="21">
        <f>$B$2&amp;"|"&amp;R32&amp;"$"&amp;$C$4&amp;"|"&amp;S32&amp;"$"&amp;$D$4&amp;"|"&amp;T32&amp;"$"&amp;$E$4&amp;"|"&amp;U32&amp;"$"&amp;$F$4&amp;"|"&amp;V32&amp;"$"&amp;$G$4&amp;"|"&amp;W32</f>
        <v/>
      </c>
      <c r="Y32" s="21" t="n"/>
      <c r="Z32" s="24" t="n">
        <v>24</v>
      </c>
      <c r="AA32" s="24" t="n">
        <v>11300</v>
      </c>
      <c r="AB32" s="24" t="n">
        <v>312</v>
      </c>
      <c r="AC32" s="24" t="n">
        <v>306</v>
      </c>
      <c r="AD32" s="24" t="n">
        <v>4160</v>
      </c>
      <c r="AE32" s="24" t="n">
        <v>228</v>
      </c>
      <c r="AF32" s="24" t="n">
        <v>540</v>
      </c>
      <c r="AG32" s="24">
        <f>$B$2&amp;"|"&amp;AA32&amp;"$"&amp;$C$5&amp;"|"&amp;AB32&amp;"$"&amp;$D$5&amp;"|"&amp;AC32&amp;"$"&amp;$E$5&amp;"|"&amp;AD32&amp;"$"&amp;$F$5&amp;"|"&amp;AE32&amp;"$"&amp;$G$5&amp;"|"&amp;AF32</f>
        <v/>
      </c>
      <c r="AH32" s="27" t="n">
        <v>24</v>
      </c>
      <c r="AI32" s="27" t="n">
        <v>12690</v>
      </c>
      <c r="AJ32" s="27" t="n">
        <v>234</v>
      </c>
      <c r="AK32" s="27" t="n">
        <v>174</v>
      </c>
      <c r="AL32" s="27" t="n">
        <v>4040</v>
      </c>
      <c r="AM32" s="27" t="n">
        <v>138</v>
      </c>
      <c r="AN32" s="27" t="n">
        <v>540</v>
      </c>
      <c r="AO32" s="27">
        <f>$B$2&amp;"|"&amp;AI32&amp;"$"&amp;$C$6&amp;"|"&amp;AJ32&amp;"$"&amp;$D$6&amp;"|"&amp;AK32&amp;"$"&amp;$E$6&amp;"|"&amp;AL32&amp;"$"&amp;$F$6&amp;"|"&amp;AM32&amp;"$"&amp;$G$6&amp;"|"&amp;AN32</f>
        <v/>
      </c>
    </row>
    <row r="33" ht="121.5" customHeight="1" s="80">
      <c r="I33" s="18" t="n">
        <v>25</v>
      </c>
      <c r="J33" s="18" t="n">
        <v>8460</v>
      </c>
      <c r="K33" s="18" t="n">
        <v>575</v>
      </c>
      <c r="L33" s="18" t="n">
        <v>550</v>
      </c>
      <c r="M33" s="18" t="n">
        <v>5100</v>
      </c>
      <c r="N33" s="18" t="n">
        <v>583</v>
      </c>
      <c r="O33" s="18" t="n">
        <v>600</v>
      </c>
      <c r="P33" s="18">
        <f>$B$2&amp;"|"&amp;J33&amp;"$"&amp;$C$3&amp;"|"&amp;K33&amp;"$"&amp;$D$3&amp;"|"&amp;L33&amp;"$"&amp;$E$3&amp;"|"&amp;M33&amp;"$"&amp;$F$3&amp;"|"&amp;N33&amp;"$"&amp;$G$3&amp;"|"&amp;O33</f>
        <v/>
      </c>
      <c r="Q33" s="21" t="n">
        <v>25</v>
      </c>
      <c r="R33" s="21" t="n">
        <v>9870</v>
      </c>
      <c r="S33" s="21" t="n">
        <v>395</v>
      </c>
      <c r="T33" s="21" t="n">
        <v>485</v>
      </c>
      <c r="U33" s="21" t="n">
        <v>4500</v>
      </c>
      <c r="V33" s="21" t="n">
        <v>345</v>
      </c>
      <c r="W33" s="21" t="n">
        <v>600</v>
      </c>
      <c r="X33" s="21">
        <f>$B$2&amp;"|"&amp;R33&amp;"$"&amp;$C$4&amp;"|"&amp;S33&amp;"$"&amp;$D$4&amp;"|"&amp;T33&amp;"$"&amp;$E$4&amp;"|"&amp;U33&amp;"$"&amp;$F$4&amp;"|"&amp;V33&amp;"$"&amp;$G$4&amp;"|"&amp;W33</f>
        <v/>
      </c>
      <c r="Y33" s="21" t="n"/>
      <c r="Z33" s="24" t="n">
        <v>25</v>
      </c>
      <c r="AA33" s="24" t="n">
        <v>11300</v>
      </c>
      <c r="AB33" s="24" t="n">
        <v>315</v>
      </c>
      <c r="AC33" s="24" t="n">
        <v>310</v>
      </c>
      <c r="AD33" s="24" t="n">
        <v>4250</v>
      </c>
      <c r="AE33" s="24" t="n">
        <v>232</v>
      </c>
      <c r="AF33" s="24" t="n">
        <v>550</v>
      </c>
      <c r="AG33" s="24">
        <f>$B$2&amp;"|"&amp;AA33&amp;"$"&amp;$C$5&amp;"|"&amp;AB33&amp;"$"&amp;$D$5&amp;"|"&amp;AC33&amp;"$"&amp;$E$5&amp;"|"&amp;AD33&amp;"$"&amp;$F$5&amp;"|"&amp;AE33&amp;"$"&amp;$G$5&amp;"|"&amp;AF33</f>
        <v/>
      </c>
      <c r="AH33" s="27" t="n">
        <v>25</v>
      </c>
      <c r="AI33" s="27" t="n">
        <v>12690</v>
      </c>
      <c r="AJ33" s="27" t="n">
        <v>235</v>
      </c>
      <c r="AK33" s="27" t="n">
        <v>175</v>
      </c>
      <c r="AL33" s="27" t="n">
        <v>4125</v>
      </c>
      <c r="AM33" s="27" t="n">
        <v>140</v>
      </c>
      <c r="AN33" s="27" t="n">
        <v>550</v>
      </c>
      <c r="AO33" s="27">
        <f>$B$2&amp;"|"&amp;AI33&amp;"$"&amp;$C$6&amp;"|"&amp;AJ33&amp;"$"&amp;$D$6&amp;"|"&amp;AK33&amp;"$"&amp;$E$6&amp;"|"&amp;AL33&amp;"$"&amp;$F$6&amp;"|"&amp;AM33&amp;"$"&amp;$G$6&amp;"|"&amp;AN33</f>
        <v/>
      </c>
    </row>
    <row r="34" ht="121.5" customHeight="1" s="80">
      <c r="Q34" s="21" t="n">
        <v>26</v>
      </c>
      <c r="R34" s="21" t="n">
        <v>9870</v>
      </c>
      <c r="S34" s="21" t="n">
        <v>400</v>
      </c>
      <c r="T34" s="21" t="n">
        <v>490</v>
      </c>
      <c r="U34" s="21" t="n">
        <v>4600</v>
      </c>
      <c r="V34" s="21" t="n">
        <v>350</v>
      </c>
      <c r="W34" s="21" t="n">
        <v>612</v>
      </c>
      <c r="X34" s="21">
        <f>$B$2&amp;"|"&amp;R34&amp;"$"&amp;$C$4&amp;"|"&amp;S34&amp;"$"&amp;$D$4&amp;"|"&amp;T34&amp;"$"&amp;$E$4&amp;"|"&amp;U34&amp;"$"&amp;$F$4&amp;"|"&amp;V34&amp;"$"&amp;$G$4&amp;"|"&amp;W34</f>
        <v/>
      </c>
      <c r="Y34" s="21" t="n"/>
      <c r="Z34" s="24" t="n">
        <v>26</v>
      </c>
      <c r="AA34" s="24" t="n">
        <v>11300</v>
      </c>
      <c r="AB34" s="24" t="n">
        <v>318</v>
      </c>
      <c r="AC34" s="24" t="n">
        <v>314</v>
      </c>
      <c r="AD34" s="24" t="n">
        <v>4340</v>
      </c>
      <c r="AE34" s="24" t="n">
        <v>236</v>
      </c>
      <c r="AF34" s="24" t="n">
        <v>560</v>
      </c>
      <c r="AG34" s="24">
        <f>$B$2&amp;"|"&amp;AA34&amp;"$"&amp;$C$5&amp;"|"&amp;AB34&amp;"$"&amp;$D$5&amp;"|"&amp;AC34&amp;"$"&amp;$E$5&amp;"|"&amp;AD34&amp;"$"&amp;$F$5&amp;"|"&amp;AE34&amp;"$"&amp;$G$5&amp;"|"&amp;AF34</f>
        <v/>
      </c>
      <c r="AH34" s="27" t="n">
        <v>26</v>
      </c>
      <c r="AI34" s="27" t="n">
        <v>12690</v>
      </c>
      <c r="AJ34" s="27" t="n">
        <v>236</v>
      </c>
      <c r="AK34" s="27" t="n">
        <v>176</v>
      </c>
      <c r="AL34" s="27" t="n">
        <v>4210</v>
      </c>
      <c r="AM34" s="27" t="n">
        <v>142</v>
      </c>
      <c r="AN34" s="27" t="n">
        <v>560</v>
      </c>
      <c r="AO34" s="27">
        <f>$B$2&amp;"|"&amp;AI34&amp;"$"&amp;$C$6&amp;"|"&amp;AJ34&amp;"$"&amp;$D$6&amp;"|"&amp;AK34&amp;"$"&amp;$E$6&amp;"|"&amp;AL34&amp;"$"&amp;$F$6&amp;"|"&amp;AM34&amp;"$"&amp;$G$6&amp;"|"&amp;AN34</f>
        <v/>
      </c>
    </row>
    <row r="35" ht="121.5" customHeight="1" s="80">
      <c r="Q35" s="21" t="n">
        <v>27</v>
      </c>
      <c r="R35" s="21" t="n">
        <v>9870</v>
      </c>
      <c r="S35" s="21" t="n">
        <v>405</v>
      </c>
      <c r="T35" s="21" t="n">
        <v>495</v>
      </c>
      <c r="U35" s="21" t="n">
        <v>4700</v>
      </c>
      <c r="V35" s="21" t="n">
        <v>355</v>
      </c>
      <c r="W35" s="21" t="n">
        <v>624</v>
      </c>
      <c r="X35" s="21">
        <f>$B$2&amp;"|"&amp;R35&amp;"$"&amp;$C$4&amp;"|"&amp;S35&amp;"$"&amp;$D$4&amp;"|"&amp;T35&amp;"$"&amp;$E$4&amp;"|"&amp;U35&amp;"$"&amp;$F$4&amp;"|"&amp;V35&amp;"$"&amp;$G$4&amp;"|"&amp;W35</f>
        <v/>
      </c>
      <c r="Y35" s="21" t="n"/>
      <c r="Z35" s="24" t="n">
        <v>27</v>
      </c>
      <c r="AA35" s="24" t="n">
        <v>11300</v>
      </c>
      <c r="AB35" s="24" t="n">
        <v>321</v>
      </c>
      <c r="AC35" s="24" t="n">
        <v>318</v>
      </c>
      <c r="AD35" s="24" t="n">
        <v>4430</v>
      </c>
      <c r="AE35" s="24" t="n">
        <v>240</v>
      </c>
      <c r="AF35" s="24" t="n">
        <v>570</v>
      </c>
      <c r="AG35" s="24">
        <f>$B$2&amp;"|"&amp;AA35&amp;"$"&amp;$C$5&amp;"|"&amp;AB35&amp;"$"&amp;$D$5&amp;"|"&amp;AC35&amp;"$"&amp;$E$5&amp;"|"&amp;AD35&amp;"$"&amp;$F$5&amp;"|"&amp;AE35&amp;"$"&amp;$G$5&amp;"|"&amp;AF35</f>
        <v/>
      </c>
      <c r="AH35" s="27" t="n">
        <v>27</v>
      </c>
      <c r="AI35" s="27" t="n">
        <v>12690</v>
      </c>
      <c r="AJ35" s="27" t="n">
        <v>237</v>
      </c>
      <c r="AK35" s="27" t="n">
        <v>177</v>
      </c>
      <c r="AL35" s="27" t="n">
        <v>4295</v>
      </c>
      <c r="AM35" s="27" t="n">
        <v>144</v>
      </c>
      <c r="AN35" s="27" t="n">
        <v>570</v>
      </c>
      <c r="AO35" s="27">
        <f>$B$2&amp;"|"&amp;AI35&amp;"$"&amp;$C$6&amp;"|"&amp;AJ35&amp;"$"&amp;$D$6&amp;"|"&amp;AK35&amp;"$"&amp;$E$6&amp;"|"&amp;AL35&amp;"$"&amp;$F$6&amp;"|"&amp;AM35&amp;"$"&amp;$G$6&amp;"|"&amp;AN35</f>
        <v/>
      </c>
    </row>
    <row r="36" ht="121.5" customHeight="1" s="80">
      <c r="Q36" s="21" t="n">
        <v>28</v>
      </c>
      <c r="R36" s="21" t="n">
        <v>9870</v>
      </c>
      <c r="S36" s="21" t="n">
        <v>410</v>
      </c>
      <c r="T36" s="21" t="n">
        <v>500</v>
      </c>
      <c r="U36" s="21" t="n">
        <v>4800</v>
      </c>
      <c r="V36" s="21" t="n">
        <v>360</v>
      </c>
      <c r="W36" s="21" t="n">
        <v>636</v>
      </c>
      <c r="X36" s="21">
        <f>$B$2&amp;"|"&amp;R36&amp;"$"&amp;$C$4&amp;"|"&amp;S36&amp;"$"&amp;$D$4&amp;"|"&amp;T36&amp;"$"&amp;$E$4&amp;"|"&amp;U36&amp;"$"&amp;$F$4&amp;"|"&amp;V36&amp;"$"&amp;$G$4&amp;"|"&amp;W36</f>
        <v/>
      </c>
      <c r="Y36" s="21" t="n"/>
      <c r="Z36" s="24" t="n">
        <v>28</v>
      </c>
      <c r="AA36" s="24" t="n">
        <v>11300</v>
      </c>
      <c r="AB36" s="24" t="n">
        <v>324</v>
      </c>
      <c r="AC36" s="24" t="n">
        <v>322</v>
      </c>
      <c r="AD36" s="24" t="n">
        <v>4520</v>
      </c>
      <c r="AE36" s="24" t="n">
        <v>244</v>
      </c>
      <c r="AF36" s="24" t="n">
        <v>580</v>
      </c>
      <c r="AG36" s="24">
        <f>$B$2&amp;"|"&amp;AA36&amp;"$"&amp;$C$5&amp;"|"&amp;AB36&amp;"$"&amp;$D$5&amp;"|"&amp;AC36&amp;"$"&amp;$E$5&amp;"|"&amp;AD36&amp;"$"&amp;$F$5&amp;"|"&amp;AE36&amp;"$"&amp;$G$5&amp;"|"&amp;AF36</f>
        <v/>
      </c>
      <c r="AH36" s="27" t="n">
        <v>28</v>
      </c>
      <c r="AI36" s="27" t="n">
        <v>12690</v>
      </c>
      <c r="AJ36" s="27" t="n">
        <v>238</v>
      </c>
      <c r="AK36" s="27" t="n">
        <v>178</v>
      </c>
      <c r="AL36" s="27" t="n">
        <v>4380</v>
      </c>
      <c r="AM36" s="27" t="n">
        <v>146</v>
      </c>
      <c r="AN36" s="27" t="n">
        <v>580</v>
      </c>
      <c r="AO36" s="27">
        <f>$B$2&amp;"|"&amp;AI36&amp;"$"&amp;$C$6&amp;"|"&amp;AJ36&amp;"$"&amp;$D$6&amp;"|"&amp;AK36&amp;"$"&amp;$E$6&amp;"|"&amp;AL36&amp;"$"&amp;$F$6&amp;"|"&amp;AM36&amp;"$"&amp;$G$6&amp;"|"&amp;AN36</f>
        <v/>
      </c>
    </row>
    <row r="37" ht="121.5" customHeight="1" s="80">
      <c r="Q37" s="21" t="n">
        <v>29</v>
      </c>
      <c r="R37" s="21" t="n">
        <v>9870</v>
      </c>
      <c r="S37" s="21" t="n">
        <v>415</v>
      </c>
      <c r="T37" s="21" t="n">
        <v>505</v>
      </c>
      <c r="U37" s="21" t="n">
        <v>4900</v>
      </c>
      <c r="V37" s="21" t="n">
        <v>365</v>
      </c>
      <c r="W37" s="21" t="n">
        <v>648</v>
      </c>
      <c r="X37" s="21">
        <f>$B$2&amp;"|"&amp;R37&amp;"$"&amp;$C$4&amp;"|"&amp;S37&amp;"$"&amp;$D$4&amp;"|"&amp;T37&amp;"$"&amp;$E$4&amp;"|"&amp;U37&amp;"$"&amp;$F$4&amp;"|"&amp;V37&amp;"$"&amp;$G$4&amp;"|"&amp;W37</f>
        <v/>
      </c>
      <c r="Y37" s="21" t="n"/>
      <c r="Z37" s="24" t="n">
        <v>29</v>
      </c>
      <c r="AA37" s="24" t="n">
        <v>11300</v>
      </c>
      <c r="AB37" s="24" t="n">
        <v>327</v>
      </c>
      <c r="AC37" s="24" t="n">
        <v>326</v>
      </c>
      <c r="AD37" s="24" t="n">
        <v>4610</v>
      </c>
      <c r="AE37" s="24" t="n">
        <v>248</v>
      </c>
      <c r="AF37" s="24" t="n">
        <v>590</v>
      </c>
      <c r="AG37" s="24">
        <f>$B$2&amp;"|"&amp;AA37&amp;"$"&amp;$C$5&amp;"|"&amp;AB37&amp;"$"&amp;$D$5&amp;"|"&amp;AC37&amp;"$"&amp;$E$5&amp;"|"&amp;AD37&amp;"$"&amp;$F$5&amp;"|"&amp;AE37&amp;"$"&amp;$G$5&amp;"|"&amp;AF37</f>
        <v/>
      </c>
      <c r="AH37" s="27" t="n">
        <v>29</v>
      </c>
      <c r="AI37" s="27" t="n">
        <v>12690</v>
      </c>
      <c r="AJ37" s="27" t="n">
        <v>239</v>
      </c>
      <c r="AK37" s="27" t="n">
        <v>179</v>
      </c>
      <c r="AL37" s="27" t="n">
        <v>4465</v>
      </c>
      <c r="AM37" s="27" t="n">
        <v>148</v>
      </c>
      <c r="AN37" s="27" t="n">
        <v>590</v>
      </c>
      <c r="AO37" s="27">
        <f>$B$2&amp;"|"&amp;AI37&amp;"$"&amp;$C$6&amp;"|"&amp;AJ37&amp;"$"&amp;$D$6&amp;"|"&amp;AK37&amp;"$"&amp;$E$6&amp;"|"&amp;AL37&amp;"$"&amp;$F$6&amp;"|"&amp;AM37&amp;"$"&amp;$G$6&amp;"|"&amp;AN37</f>
        <v/>
      </c>
    </row>
    <row r="38" ht="121.5" customHeight="1" s="80">
      <c r="Q38" s="21" t="n">
        <v>30</v>
      </c>
      <c r="R38" s="21" t="n">
        <v>9870</v>
      </c>
      <c r="S38" s="21" t="n">
        <v>420</v>
      </c>
      <c r="T38" s="21" t="n">
        <v>510</v>
      </c>
      <c r="U38" s="21" t="n">
        <v>5000</v>
      </c>
      <c r="V38" s="21" t="n">
        <v>370</v>
      </c>
      <c r="W38" s="21" t="n">
        <v>660</v>
      </c>
      <c r="X38" s="21">
        <f>$B$2&amp;"|"&amp;R38&amp;"$"&amp;$C$4&amp;"|"&amp;S38&amp;"$"&amp;$D$4&amp;"|"&amp;T38&amp;"$"&amp;$E$4&amp;"|"&amp;U38&amp;"$"&amp;$F$4&amp;"|"&amp;V38&amp;"$"&amp;$G$4&amp;"|"&amp;W38</f>
        <v/>
      </c>
      <c r="Y38" s="21" t="n"/>
      <c r="Z38" s="24" t="n">
        <v>30</v>
      </c>
      <c r="AA38" s="24" t="n">
        <v>11300</v>
      </c>
      <c r="AB38" s="24" t="n">
        <v>330</v>
      </c>
      <c r="AC38" s="24" t="n">
        <v>330</v>
      </c>
      <c r="AD38" s="24" t="n">
        <v>4700</v>
      </c>
      <c r="AE38" s="24" t="n">
        <v>252</v>
      </c>
      <c r="AF38" s="24" t="n">
        <v>600</v>
      </c>
      <c r="AG38" s="24">
        <f>$B$2&amp;"|"&amp;AA38&amp;"$"&amp;$C$5&amp;"|"&amp;AB38&amp;"$"&amp;$D$5&amp;"|"&amp;AC38&amp;"$"&amp;$E$5&amp;"|"&amp;AD38&amp;"$"&amp;$F$5&amp;"|"&amp;AE38&amp;"$"&amp;$G$5&amp;"|"&amp;AF38</f>
        <v/>
      </c>
      <c r="AH38" s="27" t="n">
        <v>30</v>
      </c>
      <c r="AI38" s="27" t="n">
        <v>12690</v>
      </c>
      <c r="AJ38" s="27" t="n">
        <v>240</v>
      </c>
      <c r="AK38" s="27" t="n">
        <v>180</v>
      </c>
      <c r="AL38" s="27" t="n">
        <v>4550</v>
      </c>
      <c r="AM38" s="27" t="n">
        <v>150</v>
      </c>
      <c r="AN38" s="27" t="n">
        <v>600</v>
      </c>
      <c r="AO38" s="27">
        <f>$B$2&amp;"|"&amp;AI38&amp;"$"&amp;$C$6&amp;"|"&amp;AJ38&amp;"$"&amp;$D$6&amp;"|"&amp;AK38&amp;"$"&amp;$E$6&amp;"|"&amp;AL38&amp;"$"&amp;$F$6&amp;"|"&amp;AM38&amp;"$"&amp;$G$6&amp;"|"&amp;AN38</f>
        <v/>
      </c>
    </row>
    <row r="39" ht="121.5" customHeight="1" s="80">
      <c r="Z39" s="24" t="n">
        <v>31</v>
      </c>
      <c r="AA39" s="24" t="n">
        <v>11300</v>
      </c>
      <c r="AB39" s="24" t="n">
        <v>333</v>
      </c>
      <c r="AC39" s="24" t="n">
        <v>334</v>
      </c>
      <c r="AD39" s="24" t="n">
        <v>4790</v>
      </c>
      <c r="AE39" s="24" t="n">
        <v>256</v>
      </c>
      <c r="AF39" s="24" t="n">
        <v>610</v>
      </c>
      <c r="AG39" s="24">
        <f>$B$2&amp;"|"&amp;AA39&amp;"$"&amp;$C$5&amp;"|"&amp;AB39&amp;"$"&amp;$D$5&amp;"|"&amp;AC39&amp;"$"&amp;$E$5&amp;"|"&amp;AD39&amp;"$"&amp;$F$5&amp;"|"&amp;AE39&amp;"$"&amp;$G$5&amp;"|"&amp;AF39</f>
        <v/>
      </c>
      <c r="AH39" s="27" t="n">
        <v>31</v>
      </c>
      <c r="AI39" s="27" t="n">
        <v>12690</v>
      </c>
      <c r="AJ39" s="27" t="n">
        <v>241</v>
      </c>
      <c r="AK39" s="27" t="n">
        <v>181</v>
      </c>
      <c r="AL39" s="27" t="n">
        <v>4635</v>
      </c>
      <c r="AM39" s="27" t="n">
        <v>152</v>
      </c>
      <c r="AN39" s="27" t="n">
        <v>610</v>
      </c>
      <c r="AO39" s="27">
        <f>$B$2&amp;"|"&amp;AI39&amp;"$"&amp;$C$6&amp;"|"&amp;AJ39&amp;"$"&amp;$D$6&amp;"|"&amp;AK39&amp;"$"&amp;$E$6&amp;"|"&amp;AL39&amp;"$"&amp;$F$6&amp;"|"&amp;AM39&amp;"$"&amp;$G$6&amp;"|"&amp;AN39</f>
        <v/>
      </c>
    </row>
    <row r="40" ht="121.5" customHeight="1" s="80">
      <c r="Z40" s="24" t="n">
        <v>32</v>
      </c>
      <c r="AA40" s="24" t="n">
        <v>11300</v>
      </c>
      <c r="AB40" s="24" t="n">
        <v>336</v>
      </c>
      <c r="AC40" s="24" t="n">
        <v>338</v>
      </c>
      <c r="AD40" s="24" t="n">
        <v>4880</v>
      </c>
      <c r="AE40" s="24" t="n">
        <v>260</v>
      </c>
      <c r="AF40" s="24" t="n">
        <v>620</v>
      </c>
      <c r="AG40" s="24">
        <f>$B$2&amp;"|"&amp;AA40&amp;"$"&amp;$C$5&amp;"|"&amp;AB40&amp;"$"&amp;$D$5&amp;"|"&amp;AC40&amp;"$"&amp;$E$5&amp;"|"&amp;AD40&amp;"$"&amp;$F$5&amp;"|"&amp;AE40&amp;"$"&amp;$G$5&amp;"|"&amp;AF40</f>
        <v/>
      </c>
      <c r="AH40" s="27" t="n">
        <v>32</v>
      </c>
      <c r="AI40" s="27" t="n">
        <v>12690</v>
      </c>
      <c r="AJ40" s="27" t="n">
        <v>242</v>
      </c>
      <c r="AK40" s="27" t="n">
        <v>182</v>
      </c>
      <c r="AL40" s="27" t="n">
        <v>4720</v>
      </c>
      <c r="AM40" s="27" t="n">
        <v>154</v>
      </c>
      <c r="AN40" s="27" t="n">
        <v>620</v>
      </c>
      <c r="AO40" s="27">
        <f>$B$2&amp;"|"&amp;AI40&amp;"$"&amp;$C$6&amp;"|"&amp;AJ40&amp;"$"&amp;$D$6&amp;"|"&amp;AK40&amp;"$"&amp;$E$6&amp;"|"&amp;AL40&amp;"$"&amp;$F$6&amp;"|"&amp;AM40&amp;"$"&amp;$G$6&amp;"|"&amp;AN40</f>
        <v/>
      </c>
    </row>
    <row r="41" ht="121.5" customHeight="1" s="80">
      <c r="Z41" s="24" t="n">
        <v>33</v>
      </c>
      <c r="AA41" s="24" t="n">
        <v>11300</v>
      </c>
      <c r="AB41" s="24" t="n">
        <v>339</v>
      </c>
      <c r="AC41" s="24" t="n">
        <v>342</v>
      </c>
      <c r="AD41" s="24" t="n">
        <v>4970</v>
      </c>
      <c r="AE41" s="24" t="n">
        <v>264</v>
      </c>
      <c r="AF41" s="24" t="n">
        <v>630</v>
      </c>
      <c r="AG41" s="24">
        <f>$B$2&amp;"|"&amp;AA41&amp;"$"&amp;$C$5&amp;"|"&amp;AB41&amp;"$"&amp;$D$5&amp;"|"&amp;AC41&amp;"$"&amp;$E$5&amp;"|"&amp;AD41&amp;"$"&amp;$F$5&amp;"|"&amp;AE41&amp;"$"&amp;$G$5&amp;"|"&amp;AF41</f>
        <v/>
      </c>
      <c r="AH41" s="27" t="n">
        <v>33</v>
      </c>
      <c r="AI41" s="27" t="n">
        <v>12690</v>
      </c>
      <c r="AJ41" s="27" t="n">
        <v>243</v>
      </c>
      <c r="AK41" s="27" t="n">
        <v>183</v>
      </c>
      <c r="AL41" s="27" t="n">
        <v>4805</v>
      </c>
      <c r="AM41" s="27" t="n">
        <v>156</v>
      </c>
      <c r="AN41" s="27" t="n">
        <v>630</v>
      </c>
      <c r="AO41" s="27">
        <f>$B$2&amp;"|"&amp;AI41&amp;"$"&amp;$C$6&amp;"|"&amp;AJ41&amp;"$"&amp;$D$6&amp;"|"&amp;AK41&amp;"$"&amp;$E$6&amp;"|"&amp;AL41&amp;"$"&amp;$F$6&amp;"|"&amp;AM41&amp;"$"&amp;$G$6&amp;"|"&amp;AN41</f>
        <v/>
      </c>
    </row>
    <row r="42" ht="121.5" customHeight="1" s="80">
      <c r="Z42" s="24" t="n">
        <v>34</v>
      </c>
      <c r="AA42" s="24" t="n">
        <v>11300</v>
      </c>
      <c r="AB42" s="24" t="n">
        <v>342</v>
      </c>
      <c r="AC42" s="24" t="n">
        <v>346</v>
      </c>
      <c r="AD42" s="24" t="n">
        <v>5060</v>
      </c>
      <c r="AE42" s="24" t="n">
        <v>268</v>
      </c>
      <c r="AF42" s="24" t="n">
        <v>640</v>
      </c>
      <c r="AG42" s="24">
        <f>$B$2&amp;"|"&amp;AA42&amp;"$"&amp;$C$5&amp;"|"&amp;AB42&amp;"$"&amp;$D$5&amp;"|"&amp;AC42&amp;"$"&amp;$E$5&amp;"|"&amp;AD42&amp;"$"&amp;$F$5&amp;"|"&amp;AE42&amp;"$"&amp;$G$5&amp;"|"&amp;AF42</f>
        <v/>
      </c>
      <c r="AH42" s="27" t="n">
        <v>34</v>
      </c>
      <c r="AI42" s="27" t="n">
        <v>12690</v>
      </c>
      <c r="AJ42" s="27" t="n">
        <v>244</v>
      </c>
      <c r="AK42" s="27" t="n">
        <v>184</v>
      </c>
      <c r="AL42" s="27" t="n">
        <v>4890</v>
      </c>
      <c r="AM42" s="27" t="n">
        <v>158</v>
      </c>
      <c r="AN42" s="27" t="n">
        <v>640</v>
      </c>
      <c r="AO42" s="27">
        <f>$B$2&amp;"|"&amp;AI42&amp;"$"&amp;$C$6&amp;"|"&amp;AJ42&amp;"$"&amp;$D$6&amp;"|"&amp;AK42&amp;"$"&amp;$E$6&amp;"|"&amp;AL42&amp;"$"&amp;$F$6&amp;"|"&amp;AM42&amp;"$"&amp;$G$6&amp;"|"&amp;AN42</f>
        <v/>
      </c>
    </row>
    <row r="43" ht="121.5" customHeight="1" s="80">
      <c r="Z43" s="24" t="n">
        <v>35</v>
      </c>
      <c r="AA43" s="24" t="n">
        <v>11300</v>
      </c>
      <c r="AB43" s="24" t="n">
        <v>345</v>
      </c>
      <c r="AC43" s="24" t="n">
        <v>350</v>
      </c>
      <c r="AD43" s="24" t="n">
        <v>5150</v>
      </c>
      <c r="AE43" s="24" t="n">
        <v>272</v>
      </c>
      <c r="AF43" s="24" t="n">
        <v>650</v>
      </c>
      <c r="AG43" s="24">
        <f>$B$2&amp;"|"&amp;AA43&amp;"$"&amp;$C$5&amp;"|"&amp;AB43&amp;"$"&amp;$D$5&amp;"|"&amp;AC43&amp;"$"&amp;$E$5&amp;"|"&amp;AD43&amp;"$"&amp;$F$5&amp;"|"&amp;AE43&amp;"$"&amp;$G$5&amp;"|"&amp;AF43</f>
        <v/>
      </c>
      <c r="AH43" s="27" t="n">
        <v>35</v>
      </c>
      <c r="AI43" s="27" t="n">
        <v>12690</v>
      </c>
      <c r="AJ43" s="27" t="n">
        <v>245</v>
      </c>
      <c r="AK43" s="27" t="n">
        <v>185</v>
      </c>
      <c r="AL43" s="27" t="n">
        <v>4975</v>
      </c>
      <c r="AM43" s="27" t="n">
        <v>160</v>
      </c>
      <c r="AN43" s="27" t="n">
        <v>650</v>
      </c>
      <c r="AO43" s="27">
        <f>$B$2&amp;"|"&amp;AI43&amp;"$"&amp;$C$6&amp;"|"&amp;AJ43&amp;"$"&amp;$D$6&amp;"|"&amp;AK43&amp;"$"&amp;$E$6&amp;"|"&amp;AL43&amp;"$"&amp;$F$6&amp;"|"&amp;AM43&amp;"$"&amp;$G$6&amp;"|"&amp;AN43</f>
        <v/>
      </c>
    </row>
    <row r="44" ht="121.5" customHeight="1" s="80">
      <c r="AH44" s="27" t="n">
        <v>36</v>
      </c>
      <c r="AI44" s="27" t="n">
        <v>12690</v>
      </c>
      <c r="AJ44" s="27" t="n">
        <v>246</v>
      </c>
      <c r="AK44" s="27" t="n">
        <v>186</v>
      </c>
      <c r="AL44" s="27" t="n">
        <v>5240</v>
      </c>
      <c r="AM44" s="27" t="n">
        <v>162</v>
      </c>
      <c r="AN44" s="27" t="n">
        <v>660</v>
      </c>
      <c r="AO44" s="27">
        <f>$B$2&amp;"|"&amp;AI44&amp;"$"&amp;$C$6&amp;"|"&amp;AJ44&amp;"$"&amp;$D$6&amp;"|"&amp;AK44&amp;"$"&amp;$E$6&amp;"|"&amp;AL44&amp;"$"&amp;$F$6&amp;"|"&amp;AM44&amp;"$"&amp;$G$6&amp;"|"&amp;AN44</f>
        <v/>
      </c>
    </row>
    <row r="45" ht="121.5" customHeight="1" s="80">
      <c r="AH45" s="27" t="n">
        <v>37</v>
      </c>
      <c r="AI45" s="27" t="n">
        <v>12690</v>
      </c>
      <c r="AJ45" s="27" t="n">
        <v>247</v>
      </c>
      <c r="AK45" s="27" t="n">
        <v>187</v>
      </c>
      <c r="AL45" s="27" t="n">
        <v>5330</v>
      </c>
      <c r="AM45" s="27" t="n">
        <v>164</v>
      </c>
      <c r="AN45" s="27" t="n">
        <v>670</v>
      </c>
      <c r="AO45" s="27">
        <f>$B$2&amp;"|"&amp;AI45&amp;"$"&amp;$C$6&amp;"|"&amp;AJ45&amp;"$"&amp;$D$6&amp;"|"&amp;AK45&amp;"$"&amp;$E$6&amp;"|"&amp;AL45&amp;"$"&amp;$F$6&amp;"|"&amp;AM45&amp;"$"&amp;$G$6&amp;"|"&amp;AN45</f>
        <v/>
      </c>
    </row>
    <row r="46" ht="121.5" customHeight="1" s="80">
      <c r="AH46" s="27" t="n">
        <v>38</v>
      </c>
      <c r="AI46" s="27" t="n">
        <v>12690</v>
      </c>
      <c r="AJ46" s="27" t="n">
        <v>248</v>
      </c>
      <c r="AK46" s="27" t="n">
        <v>188</v>
      </c>
      <c r="AL46" s="27" t="n">
        <v>5420</v>
      </c>
      <c r="AM46" s="27" t="n">
        <v>166</v>
      </c>
      <c r="AN46" s="27" t="n">
        <v>680</v>
      </c>
      <c r="AO46" s="27">
        <f>$B$2&amp;"|"&amp;AI46&amp;"$"&amp;$C$6&amp;"|"&amp;AJ46&amp;"$"&amp;$D$6&amp;"|"&amp;AK46&amp;"$"&amp;$E$6&amp;"|"&amp;AL46&amp;"$"&amp;$F$6&amp;"|"&amp;AM46&amp;"$"&amp;$G$6&amp;"|"&amp;AN46</f>
        <v/>
      </c>
    </row>
    <row r="47" ht="121.5" customHeight="1" s="80">
      <c r="AH47" s="27" t="n">
        <v>39</v>
      </c>
      <c r="AI47" s="27" t="n">
        <v>12690</v>
      </c>
      <c r="AJ47" s="27" t="n">
        <v>249</v>
      </c>
      <c r="AK47" s="27" t="n">
        <v>189</v>
      </c>
      <c r="AL47" s="27" t="n">
        <v>5510</v>
      </c>
      <c r="AM47" s="27" t="n">
        <v>168</v>
      </c>
      <c r="AN47" s="27" t="n">
        <v>690</v>
      </c>
      <c r="AO47" s="27">
        <f>$B$2&amp;"|"&amp;AI47&amp;"$"&amp;$C$6&amp;"|"&amp;AJ47&amp;"$"&amp;$D$6&amp;"|"&amp;AK47&amp;"$"&amp;$E$6&amp;"|"&amp;AL47&amp;"$"&amp;$F$6&amp;"|"&amp;AM47&amp;"$"&amp;$G$6&amp;"|"&amp;AN47</f>
        <v/>
      </c>
    </row>
    <row r="48" ht="121.5" customHeight="1" s="80">
      <c r="AH48" s="27" t="n">
        <v>40</v>
      </c>
      <c r="AI48" s="27" t="n">
        <v>12690</v>
      </c>
      <c r="AJ48" s="27" t="n">
        <v>250</v>
      </c>
      <c r="AK48" s="27" t="n">
        <v>190</v>
      </c>
      <c r="AL48" s="27" t="n">
        <v>5600</v>
      </c>
      <c r="AM48" s="27" t="n">
        <v>170</v>
      </c>
      <c r="AN48" s="27" t="n">
        <v>700</v>
      </c>
      <c r="AO48" s="27">
        <f>$B$2&amp;"|"&amp;AI48&amp;"$"&amp;$C$6&amp;"|"&amp;AJ48&amp;"$"&amp;$D$6&amp;"|"&amp;AK48&amp;"$"&amp;$E$6&amp;"|"&amp;AL48&amp;"$"&amp;$F$6&amp;"|"&amp;AM48&amp;"$"&amp;$G$6&amp;"|"&amp;AN48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7"/>
  <sheetViews>
    <sheetView topLeftCell="A46" workbookViewId="0">
      <selection activeCell="S18" sqref="F18:S19"/>
    </sheetView>
  </sheetViews>
  <sheetFormatPr baseColWidth="8" defaultColWidth="9" defaultRowHeight="13.5"/>
  <cols>
    <col width="10.75" customWidth="1" style="2" min="1" max="1"/>
    <col width="9" customWidth="1" style="2" min="2" max="6"/>
    <col width="9.125" customWidth="1" style="2" min="7" max="7"/>
    <col width="71" customWidth="1" style="2" min="8" max="8"/>
    <col width="9" customWidth="1" style="2" min="9" max="9"/>
    <col width="14.5" customWidth="1" style="2" min="10" max="10"/>
    <col width="9" customWidth="1" style="2" min="11" max="16"/>
    <col width="52.625" customWidth="1" style="2" min="17" max="17"/>
    <col width="9" customWidth="1" style="2" min="18" max="16384"/>
  </cols>
  <sheetData>
    <row r="1">
      <c r="B1" s="2" t="inlineStr">
        <is>
          <t>灵石</t>
        </is>
      </c>
      <c r="C1" s="70" t="inlineStr">
        <is>
          <t>太玄果</t>
        </is>
      </c>
      <c r="D1" s="70" t="inlineStr">
        <is>
          <t>清灵草</t>
        </is>
      </c>
      <c r="E1" s="70" t="inlineStr">
        <is>
          <t>月灵矿</t>
        </is>
      </c>
      <c r="F1" s="70" t="inlineStr">
        <is>
          <t>技能残页</t>
        </is>
      </c>
      <c r="G1" s="70" t="inlineStr">
        <is>
          <t>星尘</t>
        </is>
      </c>
      <c r="H1" s="70" t="n"/>
    </row>
    <row r="2">
      <c r="B2" s="2" t="n">
        <v>10001</v>
      </c>
      <c r="C2" s="70" t="inlineStr">
        <is>
          <t>91001</t>
        </is>
      </c>
      <c r="D2" s="70" t="inlineStr">
        <is>
          <t>81001</t>
        </is>
      </c>
      <c r="E2" s="70" t="inlineStr">
        <is>
          <t>111001</t>
        </is>
      </c>
      <c r="F2" s="70" t="inlineStr">
        <is>
          <t>121001</t>
        </is>
      </c>
      <c r="G2" s="70" t="inlineStr">
        <is>
          <t>191001</t>
        </is>
      </c>
      <c r="H2" s="70" t="n"/>
    </row>
    <row r="3">
      <c r="C3" s="70" t="inlineStr">
        <is>
          <t>92001</t>
        </is>
      </c>
      <c r="D3" s="70" t="inlineStr">
        <is>
          <t>82001</t>
        </is>
      </c>
      <c r="E3" s="70" t="inlineStr">
        <is>
          <t>112001</t>
        </is>
      </c>
      <c r="F3" s="70" t="inlineStr">
        <is>
          <t>122001</t>
        </is>
      </c>
      <c r="G3" s="70" t="inlineStr">
        <is>
          <t>192001</t>
        </is>
      </c>
      <c r="H3" s="70" t="n"/>
    </row>
    <row r="4">
      <c r="C4" s="70" t="inlineStr">
        <is>
          <t>93001</t>
        </is>
      </c>
      <c r="D4" s="70" t="inlineStr">
        <is>
          <t>83001</t>
        </is>
      </c>
      <c r="E4" s="70" t="inlineStr">
        <is>
          <t>113001</t>
        </is>
      </c>
      <c r="F4" s="70" t="inlineStr">
        <is>
          <t>123001</t>
        </is>
      </c>
      <c r="G4" s="70" t="inlineStr">
        <is>
          <t>193001</t>
        </is>
      </c>
      <c r="H4" s="70" t="n"/>
    </row>
    <row r="5">
      <c r="C5" s="70" t="inlineStr">
        <is>
          <t>94001</t>
        </is>
      </c>
      <c r="D5" s="70" t="inlineStr">
        <is>
          <t>84001</t>
        </is>
      </c>
      <c r="E5" s="70" t="inlineStr">
        <is>
          <t>114001</t>
        </is>
      </c>
      <c r="F5" s="70" t="inlineStr">
        <is>
          <t>124001</t>
        </is>
      </c>
      <c r="G5" s="70" t="inlineStr">
        <is>
          <t>194001</t>
        </is>
      </c>
      <c r="H5" s="70" t="n"/>
      <c r="K5" s="2" t="n">
        <v>2</v>
      </c>
    </row>
    <row r="6">
      <c r="C6" s="70" t="inlineStr">
        <is>
          <t>95001</t>
        </is>
      </c>
      <c r="D6" s="70" t="inlineStr">
        <is>
          <t>85001</t>
        </is>
      </c>
      <c r="E6" s="70" t="inlineStr">
        <is>
          <t>115001</t>
        </is>
      </c>
      <c r="F6" s="70" t="inlineStr">
        <is>
          <t>125001</t>
        </is>
      </c>
      <c r="G6" s="70" t="inlineStr">
        <is>
          <t>195001</t>
        </is>
      </c>
      <c r="H6" s="70" t="n"/>
    </row>
    <row r="7">
      <c r="K7" s="2" t="n"/>
    </row>
    <row r="9">
      <c r="A9" s="5" t="inlineStr">
        <is>
          <t>第0关资源</t>
        </is>
      </c>
      <c r="B9" s="2" t="inlineStr">
        <is>
          <t>灵石</t>
        </is>
      </c>
      <c r="C9" s="70" t="inlineStr">
        <is>
          <t>太玄果</t>
        </is>
      </c>
      <c r="D9" s="70" t="inlineStr">
        <is>
          <t>清灵草</t>
        </is>
      </c>
      <c r="E9" s="70" t="inlineStr">
        <is>
          <t>月灵矿</t>
        </is>
      </c>
      <c r="F9" s="70" t="inlineStr">
        <is>
          <t>技能残页</t>
        </is>
      </c>
      <c r="G9" s="70" t="inlineStr">
        <is>
          <t>星尘</t>
        </is>
      </c>
      <c r="H9" s="70" t="n"/>
      <c r="J9" s="5" t="inlineStr">
        <is>
          <t>第0关裂隙资源</t>
        </is>
      </c>
      <c r="K9" s="2" t="inlineStr">
        <is>
          <t>灵石</t>
        </is>
      </c>
      <c r="L9" s="70" t="inlineStr">
        <is>
          <t>太玄果</t>
        </is>
      </c>
      <c r="M9" s="70" t="inlineStr">
        <is>
          <t>清灵草</t>
        </is>
      </c>
      <c r="N9" s="70" t="inlineStr">
        <is>
          <t>月灵矿</t>
        </is>
      </c>
      <c r="O9" s="70" t="inlineStr">
        <is>
          <t>技能残页</t>
        </is>
      </c>
      <c r="P9" s="70" t="inlineStr">
        <is>
          <t>星尘</t>
        </is>
      </c>
      <c r="Q9" s="11" t="n"/>
    </row>
    <row r="10">
      <c r="A10" s="2" t="n">
        <v>1</v>
      </c>
      <c r="B10" s="2">
        <f>100*A10+500</f>
        <v/>
      </c>
      <c r="D10" s="5">
        <f>18*A10+200</f>
        <v/>
      </c>
      <c r="E10" s="5">
        <f>90+A10*10</f>
        <v/>
      </c>
      <c r="H10" s="2">
        <f>$B$2&amp;"|"&amp;B10&amp;"$"&amp;$C$2&amp;"|"&amp;C10&amp;"$"&amp;$D$2&amp;"|"&amp;D10&amp;"$"&amp;$E$2&amp;"|"&amp;E10&amp;"$"&amp;$F$2&amp;"|"&amp;F10&amp;"$"&amp;$G$2&amp;"|"&amp;G10</f>
        <v/>
      </c>
      <c r="I10" s="5" t="n"/>
      <c r="J10" s="2" t="n">
        <v>1</v>
      </c>
      <c r="K10" s="2">
        <f>(B10*2)/2</f>
        <v/>
      </c>
      <c r="L10" s="5" t="n"/>
      <c r="M10" s="2">
        <f>(D10*2)/2</f>
        <v/>
      </c>
      <c r="O10" s="5" t="n"/>
      <c r="Q10" s="2">
        <f>$B$2&amp;"|"&amp;K10&amp;"$"&amp;$C$2&amp;"|"&amp;L10&amp;"$"&amp;$D$2&amp;"|"&amp;M10&amp;"$"&amp;$E$2&amp;"|"&amp;N10&amp;"$"&amp;$F$2&amp;"|"&amp;O10&amp;"$"&amp;$G$2&amp;"|"&amp;P10</f>
        <v/>
      </c>
    </row>
    <row r="11">
      <c r="A11" s="2" t="n">
        <v>2</v>
      </c>
      <c r="B11" s="2">
        <f>100*A11+500</f>
        <v/>
      </c>
      <c r="D11" s="5">
        <f>18*A11+200</f>
        <v/>
      </c>
      <c r="E11" s="5">
        <f>90+A11*10</f>
        <v/>
      </c>
      <c r="H11" s="2">
        <f>$B$2&amp;"|"&amp;B11&amp;"$"&amp;$C$2&amp;"|"&amp;C11&amp;"$"&amp;$D$2&amp;"|"&amp;D11&amp;"$"&amp;$E$2&amp;"|"&amp;E11&amp;"$"&amp;$F$2&amp;"|"&amp;F11&amp;"$"&amp;$G$2&amp;"|"&amp;G11</f>
        <v/>
      </c>
      <c r="J11" s="2" t="n">
        <v>2</v>
      </c>
      <c r="K11" s="2">
        <f>(B11*2)/2</f>
        <v/>
      </c>
      <c r="L11" s="5" t="n"/>
      <c r="M11" s="2">
        <f>(D11*2)/2</f>
        <v/>
      </c>
      <c r="O11" s="5" t="n"/>
      <c r="P11" s="5" t="n"/>
      <c r="Q11" s="2">
        <f>$B$2&amp;"|"&amp;K11&amp;"$"&amp;$C$2&amp;"|"&amp;L11&amp;"$"&amp;$D$2&amp;"|"&amp;M11&amp;"$"&amp;$E$2&amp;"|"&amp;N11&amp;"$"&amp;$F$2&amp;"|"&amp;O11&amp;"$"&amp;$G$2&amp;"|"&amp;P11</f>
        <v/>
      </c>
    </row>
    <row r="12">
      <c r="A12" s="2" t="n">
        <v>3</v>
      </c>
      <c r="B12" s="2">
        <f>100*A12+500</f>
        <v/>
      </c>
      <c r="D12" s="5">
        <f>18*A12+200</f>
        <v/>
      </c>
      <c r="E12" s="5">
        <f>90+A12*10</f>
        <v/>
      </c>
      <c r="H12" s="2">
        <f>$B$2&amp;"|"&amp;B12&amp;"$"&amp;$C$2&amp;"|"&amp;C12&amp;"$"&amp;$D$2&amp;"|"&amp;D12&amp;"$"&amp;$E$2&amp;"|"&amp;E12&amp;"$"&amp;$F$2&amp;"|"&amp;F12&amp;"$"&amp;$G$2&amp;"|"&amp;G12</f>
        <v/>
      </c>
      <c r="J12" s="2" t="n">
        <v>3</v>
      </c>
      <c r="K12" s="2">
        <f>(B12*2)/2</f>
        <v/>
      </c>
      <c r="L12" s="5" t="n"/>
      <c r="M12" s="2">
        <f>(D12*2)/2</f>
        <v/>
      </c>
      <c r="O12" s="5" t="n"/>
      <c r="P12" s="5" t="n"/>
      <c r="Q12" s="2">
        <f>$B$2&amp;"|"&amp;K12&amp;"$"&amp;$C$2&amp;"|"&amp;L12&amp;"$"&amp;$D$2&amp;"|"&amp;M12&amp;"$"&amp;$E$2&amp;"|"&amp;N12&amp;"$"&amp;$F$2&amp;"|"&amp;O12&amp;"$"&amp;$G$2&amp;"|"&amp;P12</f>
        <v/>
      </c>
    </row>
    <row r="13">
      <c r="A13" s="2" t="n">
        <v>4</v>
      </c>
      <c r="B13" s="2">
        <f>100*A13+500</f>
        <v/>
      </c>
      <c r="D13" s="5">
        <f>18*A13+200</f>
        <v/>
      </c>
      <c r="E13" s="5">
        <f>90+A13*10</f>
        <v/>
      </c>
      <c r="H13" s="2">
        <f>$B$2&amp;"|"&amp;B13&amp;"$"&amp;$C$2&amp;"|"&amp;C13&amp;"$"&amp;$D$2&amp;"|"&amp;D13&amp;"$"&amp;$E$2&amp;"|"&amp;E13&amp;"$"&amp;$F$2&amp;"|"&amp;F13&amp;"$"&amp;$G$2&amp;"|"&amp;G13</f>
        <v/>
      </c>
      <c r="J13" s="2" t="n">
        <v>4</v>
      </c>
      <c r="K13" s="2">
        <f>(B13*2)/2</f>
        <v/>
      </c>
      <c r="L13" s="5" t="n"/>
      <c r="M13" s="2">
        <f>(D13*2)/2</f>
        <v/>
      </c>
      <c r="O13" s="5" t="n"/>
      <c r="P13" s="5" t="n"/>
      <c r="Q13" s="2">
        <f>$B$2&amp;"|"&amp;K13&amp;"$"&amp;$C$2&amp;"|"&amp;L13&amp;"$"&amp;$D$2&amp;"|"&amp;M13&amp;"$"&amp;$E$2&amp;"|"&amp;N13&amp;"$"&amp;$F$2&amp;"|"&amp;O13&amp;"$"&amp;$G$2&amp;"|"&amp;P13</f>
        <v/>
      </c>
    </row>
    <row r="14">
      <c r="A14" s="2" t="n">
        <v>5</v>
      </c>
      <c r="B14" s="2">
        <f>100*A14+500</f>
        <v/>
      </c>
      <c r="D14" s="5">
        <f>18*A14+200</f>
        <v/>
      </c>
      <c r="E14" s="5">
        <f>90+A14*10</f>
        <v/>
      </c>
      <c r="H14" s="2">
        <f>$B$2&amp;"|"&amp;B14&amp;"$"&amp;$C$2&amp;"|"&amp;C14&amp;"$"&amp;$D$2&amp;"|"&amp;D14&amp;"$"&amp;$E$2&amp;"|"&amp;E14&amp;"$"&amp;$F$2&amp;"|"&amp;F14&amp;"$"&amp;$G$2&amp;"|"&amp;G14</f>
        <v/>
      </c>
      <c r="J14" s="2" t="n">
        <v>5</v>
      </c>
      <c r="K14" s="2">
        <f>(B14*2)/2</f>
        <v/>
      </c>
      <c r="L14" s="5" t="n"/>
      <c r="M14" s="2">
        <f>(D14*2)/2</f>
        <v/>
      </c>
      <c r="O14" s="5" t="n"/>
      <c r="P14" s="5" t="n"/>
      <c r="Q14" s="2">
        <f>$B$2&amp;"|"&amp;K14&amp;"$"&amp;$C$2&amp;"|"&amp;L14&amp;"$"&amp;$D$2&amp;"|"&amp;M14&amp;"$"&amp;$E$2&amp;"|"&amp;N14&amp;"$"&amp;$F$2&amp;"|"&amp;O14&amp;"$"&amp;$G$2&amp;"|"&amp;P14</f>
        <v/>
      </c>
    </row>
    <row r="15">
      <c r="A15" s="2" t="n">
        <v>6</v>
      </c>
      <c r="B15" s="2">
        <f>100*A15+500</f>
        <v/>
      </c>
      <c r="D15" s="5">
        <f>18*A15+200</f>
        <v/>
      </c>
      <c r="E15" s="5">
        <f>90+A15*10</f>
        <v/>
      </c>
      <c r="H15" s="2">
        <f>$B$2&amp;"|"&amp;B15&amp;"$"&amp;$C$2&amp;"|"&amp;C15&amp;"$"&amp;$D$2&amp;"|"&amp;D15&amp;"$"&amp;$E$2&amp;"|"&amp;E15&amp;"$"&amp;$F$2&amp;"|"&amp;F15&amp;"$"&amp;$G$2&amp;"|"&amp;G15</f>
        <v/>
      </c>
      <c r="J15" s="2" t="n">
        <v>6</v>
      </c>
      <c r="K15" s="2">
        <f>(B15*2)/2</f>
        <v/>
      </c>
      <c r="L15" s="5" t="n"/>
      <c r="M15" s="2">
        <f>(D15*2)/2</f>
        <v/>
      </c>
      <c r="O15" s="5" t="n"/>
      <c r="P15" s="5" t="n"/>
      <c r="Q15" s="2">
        <f>$B$2&amp;"|"&amp;K15&amp;"$"&amp;$C$2&amp;"|"&amp;L15&amp;"$"&amp;$D$2&amp;"|"&amp;M15&amp;"$"&amp;$E$2&amp;"|"&amp;N15&amp;"$"&amp;$F$2&amp;"|"&amp;O15&amp;"$"&amp;$G$2&amp;"|"&amp;P15</f>
        <v/>
      </c>
    </row>
    <row r="16">
      <c r="A16" s="2" t="n">
        <v>7</v>
      </c>
      <c r="B16" s="2">
        <f>100*A16+500</f>
        <v/>
      </c>
      <c r="D16" s="5">
        <f>18*A16+200</f>
        <v/>
      </c>
      <c r="E16" s="5">
        <f>90+A16*10</f>
        <v/>
      </c>
      <c r="H16" s="2">
        <f>$B$2&amp;"|"&amp;B16&amp;"$"&amp;$C$2&amp;"|"&amp;C16&amp;"$"&amp;$D$2&amp;"|"&amp;D16&amp;"$"&amp;$E$2&amp;"|"&amp;E16&amp;"$"&amp;$F$2&amp;"|"&amp;F16&amp;"$"&amp;$G$2&amp;"|"&amp;G16</f>
        <v/>
      </c>
      <c r="J16" s="2" t="n">
        <v>7</v>
      </c>
      <c r="K16" s="2">
        <f>(B16*2)/2</f>
        <v/>
      </c>
      <c r="L16" s="5" t="n"/>
      <c r="M16" s="2">
        <f>(D16*2)/2</f>
        <v/>
      </c>
      <c r="O16" s="5" t="n"/>
      <c r="P16" s="5" t="n"/>
      <c r="Q16" s="2">
        <f>$B$2&amp;"|"&amp;K16&amp;"$"&amp;$C$2&amp;"|"&amp;L16&amp;"$"&amp;$D$2&amp;"|"&amp;M16&amp;"$"&amp;$E$2&amp;"|"&amp;N16&amp;"$"&amp;$F$2&amp;"|"&amp;O16&amp;"$"&amp;$G$2&amp;"|"&amp;P16</f>
        <v/>
      </c>
    </row>
    <row r="17">
      <c r="A17" s="2" t="n">
        <v>8</v>
      </c>
      <c r="B17" s="2">
        <f>100*A17+500</f>
        <v/>
      </c>
      <c r="D17" s="5">
        <f>18*A17+200</f>
        <v/>
      </c>
      <c r="E17" s="5">
        <f>90+A17*10</f>
        <v/>
      </c>
      <c r="H17" s="2">
        <f>$B$2&amp;"|"&amp;B17&amp;"$"&amp;$C$2&amp;"|"&amp;C17&amp;"$"&amp;$D$2&amp;"|"&amp;D17&amp;"$"&amp;$E$2&amp;"|"&amp;E17&amp;"$"&amp;$F$2&amp;"|"&amp;F17&amp;"$"&amp;$G$2&amp;"|"&amp;G17</f>
        <v/>
      </c>
      <c r="J17" s="2" t="n">
        <v>8</v>
      </c>
      <c r="K17" s="2">
        <f>(B17*2)/2</f>
        <v/>
      </c>
      <c r="L17" s="5" t="n"/>
      <c r="M17" s="2">
        <f>(D17*2)/2</f>
        <v/>
      </c>
      <c r="O17" s="5" t="n"/>
      <c r="P17" s="5" t="n"/>
      <c r="Q17" s="2">
        <f>$B$2&amp;"|"&amp;K17&amp;"$"&amp;$C$2&amp;"|"&amp;L17&amp;"$"&amp;$D$2&amp;"|"&amp;M17&amp;"$"&amp;$E$2&amp;"|"&amp;N17&amp;"$"&amp;$F$2&amp;"|"&amp;O17&amp;"$"&amp;$G$2&amp;"|"&amp;P17</f>
        <v/>
      </c>
    </row>
    <row r="18">
      <c r="A18" s="2" t="n">
        <v>9</v>
      </c>
      <c r="B18" s="2">
        <f>100*A18+500</f>
        <v/>
      </c>
      <c r="D18" s="5">
        <f>18*A18+200</f>
        <v/>
      </c>
      <c r="E18" s="5">
        <f>90+A18*10</f>
        <v/>
      </c>
      <c r="H18" s="2">
        <f>$B$2&amp;"|"&amp;B18&amp;"$"&amp;$C$2&amp;"|"&amp;C18&amp;"$"&amp;$D$2&amp;"|"&amp;D18&amp;"$"&amp;$E$2&amp;"|"&amp;E18&amp;"$"&amp;$F$2&amp;"|"&amp;F18&amp;"$"&amp;$G$2&amp;"|"&amp;G18</f>
        <v/>
      </c>
      <c r="J18" s="2" t="n">
        <v>9</v>
      </c>
      <c r="K18" s="2">
        <f>(B18*2)/2</f>
        <v/>
      </c>
      <c r="L18" s="5" t="n"/>
      <c r="M18" s="2">
        <f>(D18*2)/2</f>
        <v/>
      </c>
      <c r="O18" s="5" t="n"/>
      <c r="P18" s="5" t="n"/>
      <c r="Q18" s="2">
        <f>$B$2&amp;"|"&amp;K18&amp;"$"&amp;$C$2&amp;"|"&amp;L18&amp;"$"&amp;$D$2&amp;"|"&amp;M18&amp;"$"&amp;$E$2&amp;"|"&amp;N18&amp;"$"&amp;$F$2&amp;"|"&amp;O18&amp;"$"&amp;$G$2&amp;"|"&amp;P18</f>
        <v/>
      </c>
    </row>
    <row r="19">
      <c r="A19" s="2" t="n">
        <v>10</v>
      </c>
      <c r="B19" s="2">
        <f>100*A19+500</f>
        <v/>
      </c>
      <c r="D19" s="5">
        <f>18*A19+200</f>
        <v/>
      </c>
      <c r="E19" s="5">
        <f>90+A19*10</f>
        <v/>
      </c>
      <c r="H19" s="2">
        <f>$B$2&amp;"|"&amp;B19&amp;"$"&amp;$C$2&amp;"|"&amp;C19&amp;"$"&amp;$D$2&amp;"|"&amp;D19&amp;"$"&amp;$E$2&amp;"|"&amp;E19&amp;"$"&amp;$F$2&amp;"|"&amp;F19&amp;"$"&amp;$G$2&amp;"|"&amp;G19</f>
        <v/>
      </c>
      <c r="J19" s="2" t="n">
        <v>10</v>
      </c>
      <c r="K19" s="2">
        <f>(B19*2)/2</f>
        <v/>
      </c>
      <c r="L19" s="5" t="n"/>
      <c r="M19" s="2">
        <f>(D19*2)/2</f>
        <v/>
      </c>
      <c r="O19" s="5" t="n"/>
      <c r="P19" s="5" t="n"/>
      <c r="Q19" s="2">
        <f>$B$2&amp;"|"&amp;K19&amp;"$"&amp;$C$2&amp;"|"&amp;L19&amp;"$"&amp;$D$2&amp;"|"&amp;M19&amp;"$"&amp;$E$2&amp;"|"&amp;N19&amp;"$"&amp;$F$2&amp;"|"&amp;O19&amp;"$"&amp;$G$2&amp;"|"&amp;P19</f>
        <v/>
      </c>
    </row>
    <row r="20">
      <c r="B20" s="5" t="n"/>
      <c r="D20" s="2">
        <f>SUM(D10:D19)</f>
        <v/>
      </c>
    </row>
    <row r="22">
      <c r="A22" s="2" t="inlineStr">
        <is>
          <t>第1关资源</t>
        </is>
      </c>
      <c r="B22" s="2" t="inlineStr">
        <is>
          <t>灵石</t>
        </is>
      </c>
      <c r="C22" s="70" t="inlineStr">
        <is>
          <t>太玄果</t>
        </is>
      </c>
      <c r="D22" s="70" t="inlineStr">
        <is>
          <t>清灵草</t>
        </is>
      </c>
      <c r="E22" s="70" t="inlineStr">
        <is>
          <t>月灵矿</t>
        </is>
      </c>
      <c r="F22" s="70" t="inlineStr">
        <is>
          <t>技能残页</t>
        </is>
      </c>
      <c r="G22" s="70" t="inlineStr">
        <is>
          <t>星尘</t>
        </is>
      </c>
      <c r="J22" s="2" t="inlineStr">
        <is>
          <t>第1关裂隙资源</t>
        </is>
      </c>
      <c r="K22" s="2" t="inlineStr">
        <is>
          <t>灵石</t>
        </is>
      </c>
      <c r="L22" s="70" t="inlineStr">
        <is>
          <t>太玄果</t>
        </is>
      </c>
      <c r="M22" s="70" t="inlineStr">
        <is>
          <t>清灵草</t>
        </is>
      </c>
      <c r="N22" s="70" t="inlineStr">
        <is>
          <t>月灵矿</t>
        </is>
      </c>
      <c r="O22" s="70" t="inlineStr">
        <is>
          <t>技能残页</t>
        </is>
      </c>
      <c r="P22" s="70" t="inlineStr">
        <is>
          <t>星尘</t>
        </is>
      </c>
    </row>
    <row r="23">
      <c r="A23" s="2" t="n">
        <v>1</v>
      </c>
      <c r="B23" s="14">
        <f>B10*2</f>
        <v/>
      </c>
      <c r="C23" s="8" t="n"/>
      <c r="D23" s="8">
        <f>D10*2</f>
        <v/>
      </c>
      <c r="E23" s="8">
        <f>E10*2</f>
        <v/>
      </c>
      <c r="F23" s="8" t="n"/>
      <c r="G23" s="8" t="n"/>
      <c r="H23" s="2">
        <f>$B$2&amp;"|"&amp;B23&amp;"$"&amp;$C$2&amp;"|"&amp;C23&amp;"$"&amp;$D$2&amp;"|"&amp;D23&amp;"$"&amp;$E$2&amp;"|"&amp;E23&amp;"$"&amp;$F$2&amp;"|"&amp;F23&amp;"$"&amp;$G$2&amp;"|"&amp;G23</f>
        <v/>
      </c>
      <c r="J23" s="2" t="n">
        <v>1</v>
      </c>
      <c r="K23" s="2">
        <f>(B23*2)/2</f>
        <v/>
      </c>
      <c r="L23" s="5" t="n"/>
      <c r="M23" s="2">
        <f>(D23*2)/2</f>
        <v/>
      </c>
      <c r="O23" s="5" t="n"/>
      <c r="P23" s="2" t="n">
        <v>1</v>
      </c>
      <c r="Q23" s="2">
        <f>$B$2&amp;"|"&amp;K23&amp;"$"&amp;$C$2&amp;"|"&amp;L23&amp;"$"&amp;$D$2&amp;"|"&amp;M23&amp;"$"&amp;$E$2&amp;"|"&amp;N23&amp;"$"&amp;$F$2&amp;"|"&amp;O23&amp;"$"&amp;$G$2&amp;"|"&amp;P23</f>
        <v/>
      </c>
    </row>
    <row r="24">
      <c r="A24" s="2" t="n">
        <v>2</v>
      </c>
      <c r="B24" s="14">
        <f>$B$23+A23*200</f>
        <v/>
      </c>
      <c r="C24" s="8" t="n"/>
      <c r="D24" s="5">
        <f>36*A23+$D$23</f>
        <v/>
      </c>
      <c r="E24" s="8">
        <f>A23*20+$E$23</f>
        <v/>
      </c>
      <c r="F24" s="8" t="n"/>
      <c r="G24" s="8" t="n"/>
      <c r="H24" s="2">
        <f>$B$2&amp;"|"&amp;B24&amp;"$"&amp;$C$2&amp;"|"&amp;C24&amp;"$"&amp;$D$2&amp;"|"&amp;D24&amp;"$"&amp;$E$2&amp;"|"&amp;E24&amp;"$"&amp;$F$2&amp;"|"&amp;F24&amp;"$"&amp;$G$2&amp;"|"&amp;G24</f>
        <v/>
      </c>
      <c r="I24" s="14" t="n"/>
      <c r="J24" s="2" t="n">
        <v>2</v>
      </c>
      <c r="K24" s="2">
        <f>($K$23+J23*400)/2</f>
        <v/>
      </c>
      <c r="L24" s="5" t="n"/>
      <c r="M24" s="2">
        <f>($M$23+J23*72)/2</f>
        <v/>
      </c>
      <c r="O24" s="5" t="n"/>
      <c r="P24" s="2" t="n">
        <v>1</v>
      </c>
      <c r="Q24" s="2">
        <f>$B$2&amp;"|"&amp;K24&amp;"$"&amp;$C$2&amp;"|"&amp;L24&amp;"$"&amp;$D$2&amp;"|"&amp;M24&amp;"$"&amp;$E$2&amp;"|"&amp;N24&amp;"$"&amp;$F$2&amp;"|"&amp;O24&amp;"$"&amp;$G$2&amp;"|"&amp;P24</f>
        <v/>
      </c>
    </row>
    <row r="25">
      <c r="A25" s="2" t="n">
        <v>3</v>
      </c>
      <c r="B25" s="14">
        <f>$B$23+A24*200</f>
        <v/>
      </c>
      <c r="C25" s="8" t="n"/>
      <c r="D25" s="5">
        <f>36*A24+$D$23</f>
        <v/>
      </c>
      <c r="E25" s="8">
        <f>A24*20+$E$23</f>
        <v/>
      </c>
      <c r="F25" s="8" t="n"/>
      <c r="G25" s="8" t="n"/>
      <c r="H25" s="2">
        <f>$B$2&amp;"|"&amp;B25&amp;"$"&amp;$C$2&amp;"|"&amp;C25&amp;"$"&amp;$D$2&amp;"|"&amp;D25&amp;"$"&amp;$E$2&amp;"|"&amp;E25&amp;"$"&amp;$F$2&amp;"|"&amp;F25&amp;"$"&amp;$G$2&amp;"|"&amp;G25</f>
        <v/>
      </c>
      <c r="I25" s="14" t="n"/>
      <c r="J25" s="2" t="n">
        <v>3</v>
      </c>
      <c r="K25" s="2">
        <f>($K$23+J24*400)/2</f>
        <v/>
      </c>
      <c r="L25" s="5" t="n"/>
      <c r="M25" s="2">
        <f>($M$23+J24*72)/2</f>
        <v/>
      </c>
      <c r="O25" s="5" t="n"/>
      <c r="P25" s="2" t="n">
        <v>1</v>
      </c>
      <c r="Q25" s="2">
        <f>$B$2&amp;"|"&amp;K25&amp;"$"&amp;$C$2&amp;"|"&amp;L25&amp;"$"&amp;$D$2&amp;"|"&amp;M25&amp;"$"&amp;$E$2&amp;"|"&amp;N25&amp;"$"&amp;$F$2&amp;"|"&amp;O25&amp;"$"&amp;$G$2&amp;"|"&amp;P25</f>
        <v/>
      </c>
    </row>
    <row r="26">
      <c r="A26" s="2" t="n">
        <v>4</v>
      </c>
      <c r="B26" s="14">
        <f>$B$23+A25*200</f>
        <v/>
      </c>
      <c r="C26" s="8" t="n"/>
      <c r="D26" s="5">
        <f>36*A25+$D$23</f>
        <v/>
      </c>
      <c r="E26" s="8">
        <f>A25*20+$E$23</f>
        <v/>
      </c>
      <c r="F26" s="8" t="n"/>
      <c r="G26" s="8" t="n"/>
      <c r="H26" s="2">
        <f>$B$2&amp;"|"&amp;B26&amp;"$"&amp;$C$2&amp;"|"&amp;C26&amp;"$"&amp;$D$2&amp;"|"&amp;D26&amp;"$"&amp;$E$2&amp;"|"&amp;E26&amp;"$"&amp;$F$2&amp;"|"&amp;F26&amp;"$"&amp;$G$2&amp;"|"&amp;G26</f>
        <v/>
      </c>
      <c r="I26" s="14" t="n"/>
      <c r="J26" s="2" t="n">
        <v>4</v>
      </c>
      <c r="K26" s="2">
        <f>($K$23+J25*400)/2</f>
        <v/>
      </c>
      <c r="L26" s="5" t="n"/>
      <c r="M26" s="2">
        <f>($M$23+J25*72)/2</f>
        <v/>
      </c>
      <c r="O26" s="5" t="n"/>
      <c r="P26" s="2" t="n">
        <v>1</v>
      </c>
      <c r="Q26" s="2">
        <f>$B$2&amp;"|"&amp;K26&amp;"$"&amp;$C$2&amp;"|"&amp;L26&amp;"$"&amp;$D$2&amp;"|"&amp;M26&amp;"$"&amp;$E$2&amp;"|"&amp;N26&amp;"$"&amp;$F$2&amp;"|"&amp;O26&amp;"$"&amp;$G$2&amp;"|"&amp;P26</f>
        <v/>
      </c>
    </row>
    <row r="27">
      <c r="A27" s="2" t="n">
        <v>5</v>
      </c>
      <c r="B27" s="14">
        <f>$B$23+A26*200</f>
        <v/>
      </c>
      <c r="C27" s="8" t="n"/>
      <c r="D27" s="5">
        <f>36*A26+$D$23</f>
        <v/>
      </c>
      <c r="E27" s="8">
        <f>A26*20+$E$23</f>
        <v/>
      </c>
      <c r="F27" s="8" t="n"/>
      <c r="G27" s="8" t="n"/>
      <c r="H27" s="2">
        <f>$B$2&amp;"|"&amp;B27&amp;"$"&amp;$C$2&amp;"|"&amp;C27&amp;"$"&amp;$D$2&amp;"|"&amp;D27&amp;"$"&amp;$E$2&amp;"|"&amp;E27&amp;"$"&amp;$F$2&amp;"|"&amp;F27&amp;"$"&amp;$G$2&amp;"|"&amp;G27</f>
        <v/>
      </c>
      <c r="I27" s="14" t="n"/>
      <c r="J27" s="2" t="n">
        <v>5</v>
      </c>
      <c r="K27" s="2">
        <f>($K$23+J26*400)/2</f>
        <v/>
      </c>
      <c r="L27" s="5" t="n"/>
      <c r="M27" s="2">
        <f>($M$23+J26*72)/2</f>
        <v/>
      </c>
      <c r="O27" s="5" t="n"/>
      <c r="P27" s="2" t="n">
        <v>1</v>
      </c>
      <c r="Q27" s="2">
        <f>$B$2&amp;"|"&amp;K27&amp;"$"&amp;$C$2&amp;"|"&amp;L27&amp;"$"&amp;$D$2&amp;"|"&amp;M27&amp;"$"&amp;$E$2&amp;"|"&amp;N27&amp;"$"&amp;$F$2&amp;"|"&amp;O27&amp;"$"&amp;$G$2&amp;"|"&amp;P27</f>
        <v/>
      </c>
    </row>
    <row r="28">
      <c r="A28" s="2" t="n">
        <v>6</v>
      </c>
      <c r="B28" s="14">
        <f>$B$23+A27*200</f>
        <v/>
      </c>
      <c r="C28" s="8" t="n"/>
      <c r="D28" s="5">
        <f>36*A27+$D$23</f>
        <v/>
      </c>
      <c r="E28" s="8">
        <f>A27*20+$E$23</f>
        <v/>
      </c>
      <c r="F28" s="8" t="n"/>
      <c r="G28" s="8" t="n"/>
      <c r="H28" s="2">
        <f>$B$2&amp;"|"&amp;B28&amp;"$"&amp;$C$2&amp;"|"&amp;C28&amp;"$"&amp;$D$2&amp;"|"&amp;D28&amp;"$"&amp;$E$2&amp;"|"&amp;E28&amp;"$"&amp;$F$2&amp;"|"&amp;F28&amp;"$"&amp;$G$2&amp;"|"&amp;G28</f>
        <v/>
      </c>
      <c r="I28" s="14" t="n"/>
      <c r="J28" s="2" t="n">
        <v>6</v>
      </c>
      <c r="K28" s="2">
        <f>($K$23+J27*400)/2</f>
        <v/>
      </c>
      <c r="L28" s="5" t="n"/>
      <c r="M28" s="2">
        <f>($M$23+J27*72)/2</f>
        <v/>
      </c>
      <c r="O28" s="5" t="n"/>
      <c r="P28" s="2" t="n">
        <v>1</v>
      </c>
      <c r="Q28" s="2">
        <f>$B$2&amp;"|"&amp;K28&amp;"$"&amp;$C$2&amp;"|"&amp;L28&amp;"$"&amp;$D$2&amp;"|"&amp;M28&amp;"$"&amp;$E$2&amp;"|"&amp;N28&amp;"$"&amp;$F$2&amp;"|"&amp;O28&amp;"$"&amp;$G$2&amp;"|"&amp;P28</f>
        <v/>
      </c>
    </row>
    <row r="29">
      <c r="A29" s="2" t="n">
        <v>7</v>
      </c>
      <c r="B29" s="14">
        <f>$B$23+A28*200</f>
        <v/>
      </c>
      <c r="C29" s="8" t="n"/>
      <c r="D29" s="5">
        <f>36*A28+$D$23</f>
        <v/>
      </c>
      <c r="E29" s="8">
        <f>A28*20+$E$23</f>
        <v/>
      </c>
      <c r="F29" s="8" t="n"/>
      <c r="G29" s="8" t="n"/>
      <c r="H29" s="2">
        <f>$B$2&amp;"|"&amp;B29&amp;"$"&amp;$C$2&amp;"|"&amp;C29&amp;"$"&amp;$D$2&amp;"|"&amp;D29&amp;"$"&amp;$E$2&amp;"|"&amp;E29&amp;"$"&amp;$F$2&amp;"|"&amp;F29&amp;"$"&amp;$G$2&amp;"|"&amp;G29</f>
        <v/>
      </c>
      <c r="I29" s="14" t="n"/>
      <c r="J29" s="2" t="n">
        <v>7</v>
      </c>
      <c r="K29" s="2">
        <f>($K$23+J28*400)/2</f>
        <v/>
      </c>
      <c r="L29" s="5" t="n"/>
      <c r="M29" s="2">
        <f>($M$23+J28*72)/2</f>
        <v/>
      </c>
      <c r="O29" s="5" t="n"/>
      <c r="P29" s="2" t="n">
        <v>1</v>
      </c>
      <c r="Q29" s="2">
        <f>$B$2&amp;"|"&amp;K29&amp;"$"&amp;$C$2&amp;"|"&amp;L29&amp;"$"&amp;$D$2&amp;"|"&amp;M29&amp;"$"&amp;$E$2&amp;"|"&amp;N29&amp;"$"&amp;$F$2&amp;"|"&amp;O29&amp;"$"&amp;$G$2&amp;"|"&amp;P29</f>
        <v/>
      </c>
    </row>
    <row r="30">
      <c r="A30" s="2" t="n">
        <v>8</v>
      </c>
      <c r="B30" s="14">
        <f>$B$23+A29*200</f>
        <v/>
      </c>
      <c r="C30" s="8" t="n"/>
      <c r="D30" s="5">
        <f>36*A29+$D$23</f>
        <v/>
      </c>
      <c r="E30" s="8">
        <f>A29*20+$E$23</f>
        <v/>
      </c>
      <c r="F30" s="8" t="n"/>
      <c r="G30" s="8" t="n"/>
      <c r="H30" s="2">
        <f>$B$2&amp;"|"&amp;B30&amp;"$"&amp;$C$2&amp;"|"&amp;C30&amp;"$"&amp;$D$2&amp;"|"&amp;D30&amp;"$"&amp;$E$2&amp;"|"&amp;E30&amp;"$"&amp;$F$2&amp;"|"&amp;F30&amp;"$"&amp;$G$2&amp;"|"&amp;G30</f>
        <v/>
      </c>
      <c r="I30" s="14" t="n"/>
      <c r="J30" s="2" t="n">
        <v>8</v>
      </c>
      <c r="K30" s="2">
        <f>($K$23+J29*400)/2</f>
        <v/>
      </c>
      <c r="L30" s="5" t="n"/>
      <c r="M30" s="2">
        <f>($M$23+J29*72)/2</f>
        <v/>
      </c>
      <c r="O30" s="5" t="n"/>
      <c r="P30" s="2" t="n">
        <v>1</v>
      </c>
      <c r="Q30" s="2">
        <f>$B$2&amp;"|"&amp;K30&amp;"$"&amp;$C$2&amp;"|"&amp;L30&amp;"$"&amp;$D$2&amp;"|"&amp;M30&amp;"$"&amp;$E$2&amp;"|"&amp;N30&amp;"$"&amp;$F$2&amp;"|"&amp;O30&amp;"$"&amp;$G$2&amp;"|"&amp;P30</f>
        <v/>
      </c>
    </row>
    <row r="31">
      <c r="A31" s="2" t="n">
        <v>9</v>
      </c>
      <c r="B31" s="14">
        <f>$B$23+A30*200</f>
        <v/>
      </c>
      <c r="C31" s="8" t="n"/>
      <c r="D31" s="5">
        <f>36*A30+$D$23</f>
        <v/>
      </c>
      <c r="E31" s="8">
        <f>A30*20+$E$23</f>
        <v/>
      </c>
      <c r="F31" s="8" t="n"/>
      <c r="G31" s="8" t="n"/>
      <c r="H31" s="2">
        <f>$B$2&amp;"|"&amp;B31&amp;"$"&amp;$C$2&amp;"|"&amp;C31&amp;"$"&amp;$D$2&amp;"|"&amp;D31&amp;"$"&amp;$E$2&amp;"|"&amp;E31&amp;"$"&amp;$F$2&amp;"|"&amp;F31&amp;"$"&amp;$G$2&amp;"|"&amp;G31</f>
        <v/>
      </c>
      <c r="I31" s="14" t="n"/>
      <c r="J31" s="2" t="n">
        <v>9</v>
      </c>
      <c r="K31" s="2">
        <f>($K$23+J30*400)/2</f>
        <v/>
      </c>
      <c r="L31" s="5" t="n"/>
      <c r="M31" s="2">
        <f>($M$23+J30*72)/2</f>
        <v/>
      </c>
      <c r="O31" s="5" t="n"/>
      <c r="P31" s="2" t="n">
        <v>1</v>
      </c>
      <c r="Q31" s="2">
        <f>$B$2&amp;"|"&amp;K31&amp;"$"&amp;$C$2&amp;"|"&amp;L31&amp;"$"&amp;$D$2&amp;"|"&amp;M31&amp;"$"&amp;$E$2&amp;"|"&amp;N31&amp;"$"&amp;$F$2&amp;"|"&amp;O31&amp;"$"&amp;$G$2&amp;"|"&amp;P31</f>
        <v/>
      </c>
    </row>
    <row r="32">
      <c r="A32" s="2" t="n">
        <v>10</v>
      </c>
      <c r="B32" s="14">
        <f>$B$23+A31*200</f>
        <v/>
      </c>
      <c r="C32" s="8" t="n"/>
      <c r="D32" s="5">
        <f>36*A31+$D$23</f>
        <v/>
      </c>
      <c r="E32" s="8">
        <f>A31*20+$E$23</f>
        <v/>
      </c>
      <c r="F32" s="8" t="n"/>
      <c r="G32" s="8" t="n"/>
      <c r="H32" s="2">
        <f>$B$2&amp;"|"&amp;B32&amp;"$"&amp;$C$2&amp;"|"&amp;C32&amp;"$"&amp;$D$2&amp;"|"&amp;D32&amp;"$"&amp;$E$2&amp;"|"&amp;E32&amp;"$"&amp;$F$2&amp;"|"&amp;F32&amp;"$"&amp;$G$2&amp;"|"&amp;G32</f>
        <v/>
      </c>
      <c r="I32" s="14" t="n"/>
      <c r="J32" s="2" t="n">
        <v>10</v>
      </c>
      <c r="K32" s="2">
        <f>($K$23+J31*400)/2</f>
        <v/>
      </c>
      <c r="L32" s="5" t="n"/>
      <c r="M32" s="2">
        <f>($M$23+J31*72)/2</f>
        <v/>
      </c>
      <c r="O32" s="5" t="n"/>
      <c r="P32" s="2" t="n">
        <v>1</v>
      </c>
      <c r="Q32" s="2">
        <f>$B$2&amp;"|"&amp;K32&amp;"$"&amp;$C$2&amp;"|"&amp;L32&amp;"$"&amp;$D$2&amp;"|"&amp;M32&amp;"$"&amp;$E$2&amp;"|"&amp;N32&amp;"$"&amp;$F$2&amp;"|"&amp;O32&amp;"$"&amp;$G$2&amp;"|"&amp;P32</f>
        <v/>
      </c>
    </row>
    <row r="33">
      <c r="A33" s="2" t="n">
        <v>11</v>
      </c>
      <c r="B33" s="14">
        <f>$B$23+A32*200</f>
        <v/>
      </c>
      <c r="C33" s="8" t="n"/>
      <c r="D33" s="5">
        <f>36*A32+$D$23</f>
        <v/>
      </c>
      <c r="E33" s="8">
        <f>A32*20+$E$23</f>
        <v/>
      </c>
      <c r="F33" s="8" t="n"/>
      <c r="G33" s="8" t="n"/>
      <c r="H33" s="2">
        <f>$B$2&amp;"|"&amp;B33&amp;"$"&amp;$C$2&amp;"|"&amp;C33&amp;"$"&amp;$D$2&amp;"|"&amp;D33&amp;"$"&amp;$E$2&amp;"|"&amp;E33&amp;"$"&amp;$F$2&amp;"|"&amp;F33&amp;"$"&amp;$G$2&amp;"|"&amp;G33</f>
        <v/>
      </c>
      <c r="I33" s="14" t="n"/>
      <c r="J33" s="2" t="n">
        <v>11</v>
      </c>
      <c r="K33" s="2">
        <f>($K$23+J32*400)/2</f>
        <v/>
      </c>
      <c r="L33" s="5" t="n"/>
      <c r="M33" s="2">
        <f>($M$23+J32*72)/2</f>
        <v/>
      </c>
      <c r="O33" s="5" t="n"/>
      <c r="P33" s="2" t="n">
        <v>1</v>
      </c>
      <c r="Q33" s="2">
        <f>$B$2&amp;"|"&amp;K33&amp;"$"&amp;$C$2&amp;"|"&amp;L33&amp;"$"&amp;$D$2&amp;"|"&amp;M33&amp;"$"&amp;$E$2&amp;"|"&amp;N33&amp;"$"&amp;$F$2&amp;"|"&amp;O33&amp;"$"&amp;$G$2&amp;"|"&amp;P33</f>
        <v/>
      </c>
    </row>
    <row r="34">
      <c r="A34" s="2" t="n">
        <v>12</v>
      </c>
      <c r="B34" s="14">
        <f>$B$23+A33*200</f>
        <v/>
      </c>
      <c r="C34" s="8" t="n"/>
      <c r="D34" s="5">
        <f>36*A33+$D$23</f>
        <v/>
      </c>
      <c r="E34" s="8">
        <f>A33*20+$E$23</f>
        <v/>
      </c>
      <c r="F34" s="8" t="n"/>
      <c r="G34" s="8" t="n"/>
      <c r="H34" s="2">
        <f>$B$2&amp;"|"&amp;B34&amp;"$"&amp;$C$2&amp;"|"&amp;C34&amp;"$"&amp;$D$2&amp;"|"&amp;D34&amp;"$"&amp;$E$2&amp;"|"&amp;E34&amp;"$"&amp;$F$2&amp;"|"&amp;F34&amp;"$"&amp;$G$2&amp;"|"&amp;G34</f>
        <v/>
      </c>
      <c r="I34" s="14" t="n"/>
      <c r="J34" s="2" t="n">
        <v>12</v>
      </c>
      <c r="K34" s="2">
        <f>($K$23+J33*400)/2</f>
        <v/>
      </c>
      <c r="L34" s="5" t="n"/>
      <c r="M34" s="2">
        <f>($M$23+J33*72)/2</f>
        <v/>
      </c>
      <c r="O34" s="5" t="n"/>
      <c r="P34" s="2" t="n">
        <v>1</v>
      </c>
      <c r="Q34" s="2">
        <f>$B$2&amp;"|"&amp;K34&amp;"$"&amp;$C$2&amp;"|"&amp;L34&amp;"$"&amp;$D$2&amp;"|"&amp;M34&amp;"$"&amp;$E$2&amp;"|"&amp;N34&amp;"$"&amp;$F$2&amp;"|"&amp;O34&amp;"$"&amp;$G$2&amp;"|"&amp;P34</f>
        <v/>
      </c>
    </row>
    <row r="35">
      <c r="A35" s="2" t="n">
        <v>13</v>
      </c>
      <c r="B35" s="14">
        <f>$B$23+A34*200</f>
        <v/>
      </c>
      <c r="C35" s="8" t="n"/>
      <c r="D35" s="5">
        <f>36*A34+$D$23</f>
        <v/>
      </c>
      <c r="E35" s="8">
        <f>A34*20+$E$23</f>
        <v/>
      </c>
      <c r="F35" s="8" t="n"/>
      <c r="G35" s="8" t="n"/>
      <c r="H35" s="2">
        <f>$B$2&amp;"|"&amp;B35&amp;"$"&amp;$C$2&amp;"|"&amp;C35&amp;"$"&amp;$D$2&amp;"|"&amp;D35&amp;"$"&amp;$E$2&amp;"|"&amp;E35&amp;"$"&amp;$F$2&amp;"|"&amp;F35&amp;"$"&amp;$G$2&amp;"|"&amp;G35</f>
        <v/>
      </c>
      <c r="I35" s="14" t="n"/>
      <c r="J35" s="2" t="n">
        <v>13</v>
      </c>
      <c r="K35" s="2">
        <f>($K$23+J34*400)/2</f>
        <v/>
      </c>
      <c r="L35" s="5" t="n"/>
      <c r="M35" s="2">
        <f>($M$23+J34*72)/2</f>
        <v/>
      </c>
      <c r="O35" s="5" t="n"/>
      <c r="P35" s="2" t="n">
        <v>1</v>
      </c>
      <c r="Q35" s="2">
        <f>$B$2&amp;"|"&amp;K35&amp;"$"&amp;$C$2&amp;"|"&amp;L35&amp;"$"&amp;$D$2&amp;"|"&amp;M35&amp;"$"&amp;$E$2&amp;"|"&amp;N35&amp;"$"&amp;$F$2&amp;"|"&amp;O35&amp;"$"&amp;$G$2&amp;"|"&amp;P35</f>
        <v/>
      </c>
    </row>
    <row r="36">
      <c r="A36" s="2" t="n">
        <v>14</v>
      </c>
      <c r="B36" s="14">
        <f>$B$23+A35*200</f>
        <v/>
      </c>
      <c r="C36" s="8" t="n"/>
      <c r="D36" s="5">
        <f>36*A35+$D$23</f>
        <v/>
      </c>
      <c r="E36" s="8">
        <f>A35*20+$E$23</f>
        <v/>
      </c>
      <c r="F36" s="8" t="n"/>
      <c r="G36" s="8" t="n"/>
      <c r="H36" s="2">
        <f>$B$2&amp;"|"&amp;B36&amp;"$"&amp;$C$2&amp;"|"&amp;C36&amp;"$"&amp;$D$2&amp;"|"&amp;D36&amp;"$"&amp;$E$2&amp;"|"&amp;E36&amp;"$"&amp;$F$2&amp;"|"&amp;F36&amp;"$"&amp;$G$2&amp;"|"&amp;G36</f>
        <v/>
      </c>
      <c r="I36" s="14" t="n"/>
      <c r="J36" s="2" t="n">
        <v>14</v>
      </c>
      <c r="K36" s="2">
        <f>($K$23+J35*400)/2</f>
        <v/>
      </c>
      <c r="L36" s="5" t="n"/>
      <c r="M36" s="2">
        <f>($M$23+J35*72)/2</f>
        <v/>
      </c>
      <c r="O36" s="5" t="n"/>
      <c r="P36" s="2" t="n">
        <v>1</v>
      </c>
      <c r="Q36" s="2">
        <f>$B$2&amp;"|"&amp;K36&amp;"$"&amp;$C$2&amp;"|"&amp;L36&amp;"$"&amp;$D$2&amp;"|"&amp;M36&amp;"$"&amp;$E$2&amp;"|"&amp;N36&amp;"$"&amp;$F$2&amp;"|"&amp;O36&amp;"$"&amp;$G$2&amp;"|"&amp;P36</f>
        <v/>
      </c>
    </row>
    <row r="37">
      <c r="A37" s="2" t="n">
        <v>15</v>
      </c>
      <c r="B37" s="14">
        <f>$B$23+A36*200</f>
        <v/>
      </c>
      <c r="C37" s="8" t="n"/>
      <c r="D37" s="5">
        <f>36*A36+$D$23</f>
        <v/>
      </c>
      <c r="E37" s="8">
        <f>A36*20+$E$23</f>
        <v/>
      </c>
      <c r="F37" s="8" t="n"/>
      <c r="G37" s="8" t="n"/>
      <c r="H37" s="2">
        <f>$B$2&amp;"|"&amp;B37&amp;"$"&amp;$C$2&amp;"|"&amp;C37&amp;"$"&amp;$D$2&amp;"|"&amp;D37&amp;"$"&amp;$E$2&amp;"|"&amp;E37&amp;"$"&amp;$F$2&amp;"|"&amp;F37&amp;"$"&amp;$G$2&amp;"|"&amp;G37</f>
        <v/>
      </c>
      <c r="I37" s="14" t="n"/>
      <c r="J37" s="2" t="n">
        <v>15</v>
      </c>
      <c r="K37" s="2">
        <f>($K$23+J36*400)/2</f>
        <v/>
      </c>
      <c r="L37" s="5" t="n"/>
      <c r="M37" s="2">
        <f>($M$23+J36*72)/2</f>
        <v/>
      </c>
      <c r="O37" s="5" t="n"/>
      <c r="P37" s="2" t="n">
        <v>1</v>
      </c>
      <c r="Q37" s="2">
        <f>$B$2&amp;"|"&amp;K37&amp;"$"&amp;$C$2&amp;"|"&amp;L37&amp;"$"&amp;$D$2&amp;"|"&amp;M37&amp;"$"&amp;$E$2&amp;"|"&amp;N37&amp;"$"&amp;$F$2&amp;"|"&amp;O37&amp;"$"&amp;$G$2&amp;"|"&amp;P37</f>
        <v/>
      </c>
    </row>
    <row r="38">
      <c r="A38" s="2" t="n">
        <v>16</v>
      </c>
      <c r="B38" s="14">
        <f>$B$23+A37*200</f>
        <v/>
      </c>
      <c r="C38" s="8" t="n"/>
      <c r="D38" s="5">
        <f>36*A37+$D$23</f>
        <v/>
      </c>
      <c r="E38" s="8">
        <f>A37*20+$E$23</f>
        <v/>
      </c>
      <c r="F38" s="8" t="n"/>
      <c r="G38" s="8" t="n"/>
      <c r="H38" s="2">
        <f>$B$2&amp;"|"&amp;B38&amp;"$"&amp;$C$2&amp;"|"&amp;C38&amp;"$"&amp;$D$2&amp;"|"&amp;D38&amp;"$"&amp;$E$2&amp;"|"&amp;E38&amp;"$"&amp;$F$2&amp;"|"&amp;F38&amp;"$"&amp;$G$2&amp;"|"&amp;G38</f>
        <v/>
      </c>
      <c r="I38" s="14" t="n"/>
      <c r="J38" s="2" t="n">
        <v>16</v>
      </c>
      <c r="K38" s="2">
        <f>($K$23+J37*400)/2</f>
        <v/>
      </c>
      <c r="L38" s="5" t="n"/>
      <c r="M38" s="2">
        <f>($M$23+J37*72)/2</f>
        <v/>
      </c>
      <c r="O38" s="5" t="n"/>
      <c r="P38" s="2" t="n">
        <v>1</v>
      </c>
      <c r="Q38" s="2">
        <f>$B$2&amp;"|"&amp;K38&amp;"$"&amp;$C$2&amp;"|"&amp;L38&amp;"$"&amp;$D$2&amp;"|"&amp;M38&amp;"$"&amp;$E$2&amp;"|"&amp;N38&amp;"$"&amp;$F$2&amp;"|"&amp;O38&amp;"$"&amp;$G$2&amp;"|"&amp;P38</f>
        <v/>
      </c>
    </row>
    <row r="39">
      <c r="A39" s="2" t="n">
        <v>17</v>
      </c>
      <c r="B39" s="14">
        <f>$B$23+A38*200</f>
        <v/>
      </c>
      <c r="C39" s="8" t="n"/>
      <c r="D39" s="5">
        <f>36*A38+$D$23</f>
        <v/>
      </c>
      <c r="E39" s="8">
        <f>A38*20+$E$23</f>
        <v/>
      </c>
      <c r="F39" s="8" t="n"/>
      <c r="G39" s="8" t="n"/>
      <c r="H39" s="2">
        <f>$B$2&amp;"|"&amp;B39&amp;"$"&amp;$C$2&amp;"|"&amp;C39&amp;"$"&amp;$D$2&amp;"|"&amp;D39&amp;"$"&amp;$E$2&amp;"|"&amp;E39&amp;"$"&amp;$F$2&amp;"|"&amp;F39&amp;"$"&amp;$G$2&amp;"|"&amp;G39</f>
        <v/>
      </c>
      <c r="I39" s="14" t="n"/>
      <c r="J39" s="2" t="n">
        <v>17</v>
      </c>
      <c r="K39" s="2">
        <f>($K$23+J38*400)/2</f>
        <v/>
      </c>
      <c r="L39" s="5" t="n"/>
      <c r="M39" s="2">
        <f>($M$23+J38*72)/2</f>
        <v/>
      </c>
      <c r="O39" s="5" t="n"/>
      <c r="P39" s="2" t="n">
        <v>1</v>
      </c>
      <c r="Q39" s="2">
        <f>$B$2&amp;"|"&amp;K39&amp;"$"&amp;$C$2&amp;"|"&amp;L39&amp;"$"&amp;$D$2&amp;"|"&amp;M39&amp;"$"&amp;$E$2&amp;"|"&amp;N39&amp;"$"&amp;$F$2&amp;"|"&amp;O39&amp;"$"&amp;$G$2&amp;"|"&amp;P39</f>
        <v/>
      </c>
    </row>
    <row r="40">
      <c r="A40" s="2" t="n">
        <v>18</v>
      </c>
      <c r="B40" s="14">
        <f>$B$23+A39*200</f>
        <v/>
      </c>
      <c r="C40" s="8" t="n"/>
      <c r="D40" s="5">
        <f>36*A39+$D$23</f>
        <v/>
      </c>
      <c r="E40" s="8">
        <f>A39*20+$E$23</f>
        <v/>
      </c>
      <c r="F40" s="8" t="n"/>
      <c r="G40" s="8" t="n"/>
      <c r="H40" s="2">
        <f>$B$2&amp;"|"&amp;B40&amp;"$"&amp;$C$2&amp;"|"&amp;C40&amp;"$"&amp;$D$2&amp;"|"&amp;D40&amp;"$"&amp;$E$2&amp;"|"&amp;E40&amp;"$"&amp;$F$2&amp;"|"&amp;F40&amp;"$"&amp;$G$2&amp;"|"&amp;G40</f>
        <v/>
      </c>
      <c r="I40" s="14" t="n"/>
      <c r="J40" s="2" t="n">
        <v>18</v>
      </c>
      <c r="K40" s="2">
        <f>($K$23+J39*400)/2</f>
        <v/>
      </c>
      <c r="L40" s="5" t="n"/>
      <c r="M40" s="2">
        <f>($M$23+J39*72)/2</f>
        <v/>
      </c>
      <c r="O40" s="5" t="n"/>
      <c r="P40" s="2" t="n">
        <v>1</v>
      </c>
      <c r="Q40" s="2">
        <f>$B$2&amp;"|"&amp;K40&amp;"$"&amp;$C$2&amp;"|"&amp;L40&amp;"$"&amp;$D$2&amp;"|"&amp;M40&amp;"$"&amp;$E$2&amp;"|"&amp;N40&amp;"$"&amp;$F$2&amp;"|"&amp;O40&amp;"$"&amp;$G$2&amp;"|"&amp;P40</f>
        <v/>
      </c>
    </row>
    <row r="41">
      <c r="A41" s="2" t="n">
        <v>19</v>
      </c>
      <c r="B41" s="14">
        <f>$B$23+A40*200</f>
        <v/>
      </c>
      <c r="C41" s="8" t="n"/>
      <c r="D41" s="5">
        <f>36*A40+$D$23</f>
        <v/>
      </c>
      <c r="E41" s="8">
        <f>A40*20+$E$23</f>
        <v/>
      </c>
      <c r="F41" s="8" t="n"/>
      <c r="G41" s="8" t="n"/>
      <c r="H41" s="2">
        <f>$B$2&amp;"|"&amp;B41&amp;"$"&amp;$C$2&amp;"|"&amp;C41&amp;"$"&amp;$D$2&amp;"|"&amp;D41&amp;"$"&amp;$E$2&amp;"|"&amp;E41&amp;"$"&amp;$F$2&amp;"|"&amp;F41&amp;"$"&amp;$G$2&amp;"|"&amp;G41</f>
        <v/>
      </c>
      <c r="I41" s="14" t="n"/>
      <c r="J41" s="2" t="n">
        <v>19</v>
      </c>
      <c r="K41" s="2">
        <f>($K$23+J40*400)/2</f>
        <v/>
      </c>
      <c r="L41" s="5" t="n"/>
      <c r="M41" s="2">
        <f>($M$23+J40*72)/2</f>
        <v/>
      </c>
      <c r="O41" s="5" t="n"/>
      <c r="P41" s="2" t="n">
        <v>1</v>
      </c>
      <c r="Q41" s="2">
        <f>$B$2&amp;"|"&amp;K41&amp;"$"&amp;$C$2&amp;"|"&amp;L41&amp;"$"&amp;$D$2&amp;"|"&amp;M41&amp;"$"&amp;$E$2&amp;"|"&amp;N41&amp;"$"&amp;$F$2&amp;"|"&amp;O41&amp;"$"&amp;$G$2&amp;"|"&amp;P41</f>
        <v/>
      </c>
    </row>
    <row r="42">
      <c r="A42" s="2" t="n">
        <v>20</v>
      </c>
      <c r="B42" s="14">
        <f>$B$23+A41*200</f>
        <v/>
      </c>
      <c r="C42" s="8" t="n"/>
      <c r="D42" s="5">
        <f>36*A41+$D$23</f>
        <v/>
      </c>
      <c r="E42" s="8">
        <f>A41*20+$E$23</f>
        <v/>
      </c>
      <c r="F42" s="8" t="n"/>
      <c r="G42" s="8" t="n"/>
      <c r="H42" s="2">
        <f>$B$2&amp;"|"&amp;B42&amp;"$"&amp;$C$2&amp;"|"&amp;C42&amp;"$"&amp;$D$2&amp;"|"&amp;D42&amp;"$"&amp;$E$2&amp;"|"&amp;E42&amp;"$"&amp;$F$2&amp;"|"&amp;F42&amp;"$"&amp;$G$2&amp;"|"&amp;G42</f>
        <v/>
      </c>
      <c r="I42" s="14" t="n"/>
      <c r="J42" s="2" t="n">
        <v>20</v>
      </c>
      <c r="K42" s="2">
        <f>($K$23+J41*400)/2</f>
        <v/>
      </c>
      <c r="L42" s="5" t="n"/>
      <c r="M42" s="2">
        <f>($M$23+J41*72)/2</f>
        <v/>
      </c>
      <c r="O42" s="5" t="n"/>
      <c r="P42" s="2" t="n">
        <v>1</v>
      </c>
      <c r="Q42" s="2">
        <f>$B$2&amp;"|"&amp;K42&amp;"$"&amp;$C$2&amp;"|"&amp;L42&amp;"$"&amp;$D$2&amp;"|"&amp;M42&amp;"$"&amp;$E$2&amp;"|"&amp;N42&amp;"$"&amp;$F$2&amp;"|"&amp;O42&amp;"$"&amp;$G$2&amp;"|"&amp;P42</f>
        <v/>
      </c>
    </row>
    <row r="43">
      <c r="A43" s="2" t="n">
        <v>21</v>
      </c>
      <c r="B43" s="14">
        <f>$B$23+A42*200</f>
        <v/>
      </c>
      <c r="C43" s="8" t="n"/>
      <c r="D43" s="5">
        <f>36*A42+$D$23</f>
        <v/>
      </c>
      <c r="E43" s="8">
        <f>A42*20+$E$23</f>
        <v/>
      </c>
      <c r="G43" s="8" t="n"/>
      <c r="H43" s="2">
        <f>$B$2&amp;"|"&amp;B43&amp;"$"&amp;$C$2&amp;"|"&amp;C43&amp;"$"&amp;$D$2&amp;"|"&amp;D43&amp;"$"&amp;$E$2&amp;"|"&amp;E43&amp;"$"&amp;$F$2&amp;"|"&amp;F43&amp;"$"&amp;$G$2&amp;"|"&amp;G43</f>
        <v/>
      </c>
      <c r="J43" s="2" t="n">
        <v>21</v>
      </c>
      <c r="K43" s="2">
        <f>($K$23+J42*400)/2</f>
        <v/>
      </c>
      <c r="L43" s="5" t="n"/>
      <c r="M43" s="2">
        <f>($M$23+J42*72)/2</f>
        <v/>
      </c>
      <c r="O43" s="5" t="n"/>
      <c r="P43" s="2" t="n">
        <v>1</v>
      </c>
      <c r="Q43" s="2">
        <f>$B$2&amp;"|"&amp;K43&amp;"$"&amp;$C$2&amp;"|"&amp;L43&amp;"$"&amp;$D$2&amp;"|"&amp;M43&amp;"$"&amp;$E$2&amp;"|"&amp;N43&amp;"$"&amp;$F$2&amp;"|"&amp;O43&amp;"$"&amp;$G$2&amp;"|"&amp;P43</f>
        <v/>
      </c>
    </row>
    <row r="44">
      <c r="A44" s="2" t="n">
        <v>22</v>
      </c>
      <c r="B44" s="14">
        <f>$B$23+A43*200</f>
        <v/>
      </c>
      <c r="C44" s="8" t="n"/>
      <c r="D44" s="5">
        <f>36*A43+$D$23</f>
        <v/>
      </c>
      <c r="E44" s="8">
        <f>A43*20+$E$23</f>
        <v/>
      </c>
      <c r="G44" s="8" t="n"/>
      <c r="H44" s="2">
        <f>$B$2&amp;"|"&amp;B44&amp;"$"&amp;$C$2&amp;"|"&amp;C44&amp;"$"&amp;$D$2&amp;"|"&amp;D44&amp;"$"&amp;$E$2&amp;"|"&amp;E44&amp;"$"&amp;$F$2&amp;"|"&amp;F44&amp;"$"&amp;$G$2&amp;"|"&amp;G44</f>
        <v/>
      </c>
      <c r="J44" s="2" t="n">
        <v>22</v>
      </c>
      <c r="K44" s="2">
        <f>($K$23+J43*400)/2</f>
        <v/>
      </c>
      <c r="L44" s="5" t="n"/>
      <c r="M44" s="2">
        <f>($M$23+J43*72)/2</f>
        <v/>
      </c>
      <c r="O44" s="5" t="n"/>
      <c r="P44" s="2" t="n">
        <v>1</v>
      </c>
      <c r="Q44" s="2">
        <f>$B$2&amp;"|"&amp;K44&amp;"$"&amp;$C$2&amp;"|"&amp;L44&amp;"$"&amp;$D$2&amp;"|"&amp;M44&amp;"$"&amp;$E$2&amp;"|"&amp;N44&amp;"$"&amp;$F$2&amp;"|"&amp;O44&amp;"$"&amp;$G$2&amp;"|"&amp;P44</f>
        <v/>
      </c>
    </row>
    <row r="45">
      <c r="A45" s="2" t="n">
        <v>23</v>
      </c>
      <c r="B45" s="14">
        <f>$B$23+A44*200</f>
        <v/>
      </c>
      <c r="C45" s="8" t="n"/>
      <c r="D45" s="5">
        <f>36*A44+$D$23</f>
        <v/>
      </c>
      <c r="E45" s="8">
        <f>A44*20+$E$23</f>
        <v/>
      </c>
      <c r="G45" s="8" t="n"/>
      <c r="H45" s="2">
        <f>$B$2&amp;"|"&amp;B45&amp;"$"&amp;$C$2&amp;"|"&amp;C45&amp;"$"&amp;$D$2&amp;"|"&amp;D45&amp;"$"&amp;$E$2&amp;"|"&amp;E45&amp;"$"&amp;$F$2&amp;"|"&amp;F45&amp;"$"&amp;$G$2&amp;"|"&amp;G45</f>
        <v/>
      </c>
      <c r="J45" s="2" t="n">
        <v>23</v>
      </c>
      <c r="K45" s="2">
        <f>($K$23+J44*400)/2</f>
        <v/>
      </c>
      <c r="L45" s="5" t="n"/>
      <c r="M45" s="2">
        <f>($M$23+J44*72)/2</f>
        <v/>
      </c>
      <c r="O45" s="5" t="n"/>
      <c r="P45" s="2" t="n">
        <v>1</v>
      </c>
      <c r="Q45" s="2">
        <f>$B$2&amp;"|"&amp;K45&amp;"$"&amp;$C$2&amp;"|"&amp;L45&amp;"$"&amp;$D$2&amp;"|"&amp;M45&amp;"$"&amp;$E$2&amp;"|"&amp;N45&amp;"$"&amp;$F$2&amp;"|"&amp;O45&amp;"$"&amp;$G$2&amp;"|"&amp;P45</f>
        <v/>
      </c>
    </row>
    <row r="46">
      <c r="A46" s="2" t="n">
        <v>24</v>
      </c>
      <c r="B46" s="14">
        <f>$B$23+A45*200</f>
        <v/>
      </c>
      <c r="C46" s="8" t="n"/>
      <c r="D46" s="5">
        <f>36*A45+$D$23</f>
        <v/>
      </c>
      <c r="E46" s="8">
        <f>A45*20+$E$23</f>
        <v/>
      </c>
      <c r="G46" s="8" t="n"/>
      <c r="H46" s="2">
        <f>$B$2&amp;"|"&amp;B46&amp;"$"&amp;$C$2&amp;"|"&amp;C46&amp;"$"&amp;$D$2&amp;"|"&amp;D46&amp;"$"&amp;$E$2&amp;"|"&amp;E46&amp;"$"&amp;$F$2&amp;"|"&amp;F46&amp;"$"&amp;$G$2&amp;"|"&amp;G46&amp;"$"&amp;$G$47&amp;"|"&amp;H47</f>
        <v/>
      </c>
      <c r="J46" s="2" t="n">
        <v>24</v>
      </c>
      <c r="K46" s="2">
        <f>($K$23+J45*400)/2</f>
        <v/>
      </c>
      <c r="L46" s="5" t="n"/>
      <c r="M46" s="2">
        <f>($M$23+J45*72)/2</f>
        <v/>
      </c>
      <c r="O46" s="5" t="n"/>
      <c r="P46" s="2" t="n">
        <v>1</v>
      </c>
      <c r="Q46" s="2">
        <f>$B$2&amp;"|"&amp;K46&amp;"$"&amp;$C$2&amp;"|"&amp;L46&amp;"$"&amp;$D$2&amp;"|"&amp;M46&amp;"$"&amp;$E$2&amp;"|"&amp;N46&amp;"$"&amp;$F$2&amp;"|"&amp;O46&amp;"$"&amp;$G$2&amp;"|"&amp;P46</f>
        <v/>
      </c>
    </row>
    <row r="47">
      <c r="G47" s="8" t="n"/>
      <c r="H47" s="8" t="n"/>
      <c r="J47" s="2" t="n">
        <v>25</v>
      </c>
      <c r="K47" s="2">
        <f>($K$23+J46*400)/2</f>
        <v/>
      </c>
      <c r="L47" s="5" t="n"/>
      <c r="M47" s="2">
        <f>($M$23+J46*72)/2</f>
        <v/>
      </c>
      <c r="O47" s="5" t="n"/>
      <c r="P47" s="2" t="n">
        <v>1</v>
      </c>
      <c r="Q47" s="2">
        <f>$B$2&amp;"|"&amp;K47&amp;"$"&amp;$C$2&amp;"|"&amp;L47&amp;"$"&amp;$D$2&amp;"|"&amp;M47&amp;"$"&amp;$E$2&amp;"|"&amp;N47&amp;"$"&amp;$F$2&amp;"|"&amp;O47&amp;"$"&amp;$G$2&amp;"|"&amp;P47</f>
        <v/>
      </c>
    </row>
    <row r="48">
      <c r="B48" s="2" t="n">
        <v>1.2</v>
      </c>
      <c r="J48" s="2" t="n">
        <v>26</v>
      </c>
      <c r="K48" s="2">
        <f>($K$23+J47*400)/2</f>
        <v/>
      </c>
      <c r="L48" s="5" t="n"/>
      <c r="M48" s="2">
        <f>($M$23+J47*72)/2</f>
        <v/>
      </c>
      <c r="O48" s="5" t="n"/>
      <c r="P48" s="2" t="n">
        <v>1</v>
      </c>
      <c r="Q48" s="2">
        <f>$B$2&amp;"|"&amp;K48&amp;"$"&amp;$C$2&amp;"|"&amp;L48&amp;"$"&amp;$D$2&amp;"|"&amp;M48&amp;"$"&amp;$E$2&amp;"|"&amp;N48&amp;"$"&amp;$F$2&amp;"|"&amp;O48&amp;"$"&amp;$G$2&amp;"|"&amp;P48</f>
        <v/>
      </c>
    </row>
    <row r="49">
      <c r="A49" s="2" t="inlineStr">
        <is>
          <t>第2关资源</t>
        </is>
      </c>
      <c r="B49" s="2" t="inlineStr">
        <is>
          <t>灵石</t>
        </is>
      </c>
      <c r="C49" s="70" t="inlineStr">
        <is>
          <t>太玄果</t>
        </is>
      </c>
      <c r="D49" s="70" t="inlineStr">
        <is>
          <t>2阶清灵草</t>
        </is>
      </c>
      <c r="E49" s="70" t="inlineStr">
        <is>
          <t>2阶月灵矿</t>
        </is>
      </c>
      <c r="F49" s="70" t="inlineStr">
        <is>
          <t>2阶技能残页</t>
        </is>
      </c>
      <c r="G49" s="70" t="inlineStr">
        <is>
          <t>星尘</t>
        </is>
      </c>
      <c r="J49" s="2" t="n">
        <v>27</v>
      </c>
      <c r="K49" s="2">
        <f>($K$23+J48*400)/2</f>
        <v/>
      </c>
      <c r="L49" s="5" t="n"/>
      <c r="M49" s="2">
        <f>($M$23+J48*72)/2</f>
        <v/>
      </c>
      <c r="O49" s="5" t="n"/>
      <c r="P49" s="2" t="n">
        <v>1</v>
      </c>
      <c r="Q49" s="2">
        <f>$B$2&amp;"|"&amp;K49&amp;"$"&amp;$C$2&amp;"|"&amp;L49&amp;"$"&amp;$D$2&amp;"|"&amp;M49&amp;"$"&amp;$E$2&amp;"|"&amp;N49&amp;"$"&amp;$F$2&amp;"|"&amp;O49&amp;"$"&amp;$G$2&amp;"|"&amp;P49</f>
        <v/>
      </c>
    </row>
    <row r="50">
      <c r="A50" s="2" t="n">
        <v>1</v>
      </c>
      <c r="B50" s="2" t="n">
        <v>1440</v>
      </c>
      <c r="C50" s="8" t="n"/>
      <c r="D50" s="81" t="n">
        <v>523</v>
      </c>
      <c r="E50" s="81" t="n">
        <v>240</v>
      </c>
      <c r="F50" s="8" t="n"/>
      <c r="G50" s="8" t="n"/>
      <c r="H50" s="2">
        <f>$B$2&amp;"|"&amp;B50&amp;"$"&amp;$C$3&amp;"|"&amp;C50&amp;"$"&amp;$D$3&amp;"|"&amp;D50&amp;"$"&amp;$E$3&amp;"|"&amp;E50&amp;"$"&amp;$F$3&amp;"|"&amp;F50&amp;"$"&amp;$G$3&amp;"|"&amp;G50</f>
        <v/>
      </c>
      <c r="J50" s="2" t="n">
        <v>28</v>
      </c>
      <c r="K50" s="2">
        <f>($K$23+J49*400)/2</f>
        <v/>
      </c>
      <c r="L50" s="5" t="n"/>
      <c r="M50" s="2">
        <f>($M$23+J49*72)/2</f>
        <v/>
      </c>
      <c r="O50" s="5" t="n"/>
      <c r="P50" s="2" t="n">
        <v>1</v>
      </c>
      <c r="Q50" s="2">
        <f>$B$2&amp;"|"&amp;K50&amp;"$"&amp;$C$2&amp;"|"&amp;L50&amp;"$"&amp;$D$2&amp;"|"&amp;M50&amp;"$"&amp;$E$2&amp;"|"&amp;N50&amp;"$"&amp;$F$2&amp;"|"&amp;O50&amp;"$"&amp;$G$2&amp;"|"&amp;P50</f>
        <v/>
      </c>
    </row>
    <row r="51">
      <c r="A51" s="2" t="n">
        <v>2</v>
      </c>
      <c r="B51" s="2" t="n">
        <v>1680</v>
      </c>
      <c r="C51" s="8" t="n"/>
      <c r="D51" s="81" t="n">
        <v>566</v>
      </c>
      <c r="E51" s="81" t="n">
        <v>264</v>
      </c>
      <c r="F51" s="8" t="n"/>
      <c r="G51" s="8" t="n"/>
      <c r="H51" s="2">
        <f>$B$2&amp;"|"&amp;B51&amp;"$"&amp;$C$3&amp;"|"&amp;C51&amp;"$"&amp;$D$3&amp;"|"&amp;D51&amp;"$"&amp;$E$3&amp;"|"&amp;E51&amp;"$"&amp;$F$3&amp;"|"&amp;F51&amp;"$"&amp;$G$3&amp;"|"&amp;G51</f>
        <v/>
      </c>
      <c r="J51" s="2" t="n">
        <v>29</v>
      </c>
      <c r="K51" s="2">
        <f>($K$23+J50*400)/2</f>
        <v/>
      </c>
      <c r="L51" s="5" t="n"/>
      <c r="M51" s="2">
        <f>($M$23+J50*72)/2</f>
        <v/>
      </c>
      <c r="O51" s="5" t="n"/>
      <c r="P51" s="2" t="n">
        <v>1</v>
      </c>
      <c r="Q51" s="2">
        <f>$B$2&amp;"|"&amp;K51&amp;"$"&amp;$C$2&amp;"|"&amp;L51&amp;"$"&amp;$D$2&amp;"|"&amp;M51&amp;"$"&amp;$E$2&amp;"|"&amp;N51&amp;"$"&amp;$F$2&amp;"|"&amp;O51&amp;"$"&amp;$G$2&amp;"|"&amp;P51</f>
        <v/>
      </c>
    </row>
    <row r="52">
      <c r="A52" s="2" t="n">
        <v>3</v>
      </c>
      <c r="B52" s="2" t="n">
        <v>1920</v>
      </c>
      <c r="C52" s="8" t="n"/>
      <c r="D52" s="81" t="n">
        <v>610</v>
      </c>
      <c r="E52" s="81" t="n">
        <v>288</v>
      </c>
      <c r="F52" s="8" t="n"/>
      <c r="G52" s="8" t="n"/>
      <c r="H52" s="2">
        <f>$B$2&amp;"|"&amp;B52&amp;"$"&amp;$C$3&amp;"|"&amp;C52&amp;"$"&amp;$D$3&amp;"|"&amp;D52&amp;"$"&amp;$E$3&amp;"|"&amp;E52&amp;"$"&amp;$F$3&amp;"|"&amp;F52&amp;"$"&amp;$G$3&amp;"|"&amp;G52</f>
        <v/>
      </c>
      <c r="J52" s="2" t="n">
        <v>30</v>
      </c>
      <c r="K52" s="2">
        <f>($K$23+J51*400)/2</f>
        <v/>
      </c>
      <c r="L52" s="5" t="n"/>
      <c r="M52" s="2">
        <f>($M$23+J51*72)/2</f>
        <v/>
      </c>
      <c r="O52" s="5" t="n"/>
      <c r="P52" s="2" t="n">
        <v>1</v>
      </c>
      <c r="Q52" s="2">
        <f>$B$2&amp;"|"&amp;K52&amp;"$"&amp;$C$2&amp;"|"&amp;L52&amp;"$"&amp;$D$2&amp;"|"&amp;M52&amp;"$"&amp;$E$2&amp;"|"&amp;N52&amp;"$"&amp;$F$2&amp;"|"&amp;O52&amp;"$"&amp;$G$2&amp;"|"&amp;P52</f>
        <v/>
      </c>
    </row>
    <row r="53">
      <c r="A53" s="2" t="n">
        <v>4</v>
      </c>
      <c r="B53" s="2" t="n">
        <v>2160</v>
      </c>
      <c r="C53" s="8" t="n"/>
      <c r="D53" s="81" t="n">
        <v>653</v>
      </c>
      <c r="E53" s="81" t="n">
        <v>312</v>
      </c>
      <c r="F53" s="8" t="n"/>
      <c r="G53" s="8" t="n"/>
      <c r="H53" s="2">
        <f>$B$2&amp;"|"&amp;B53&amp;"$"&amp;$C$3&amp;"|"&amp;C53&amp;"$"&amp;$D$3&amp;"|"&amp;D53&amp;"$"&amp;$E$3&amp;"|"&amp;E53&amp;"$"&amp;$F$3&amp;"|"&amp;F53&amp;"$"&amp;$G$3&amp;"|"&amp;G53</f>
        <v/>
      </c>
    </row>
    <row r="54">
      <c r="A54" s="2" t="n">
        <v>5</v>
      </c>
      <c r="B54" s="2" t="n">
        <v>2400</v>
      </c>
      <c r="C54" s="8" t="n"/>
      <c r="D54" s="81" t="n">
        <v>696</v>
      </c>
      <c r="E54" s="81" t="n">
        <v>336</v>
      </c>
      <c r="F54" s="8" t="n"/>
      <c r="G54" s="8" t="n"/>
      <c r="H54" s="2">
        <f>$B$2&amp;"|"&amp;B54&amp;"$"&amp;$C$3&amp;"|"&amp;C54&amp;"$"&amp;$D$3&amp;"|"&amp;D54&amp;"$"&amp;$E$3&amp;"|"&amp;E54&amp;"$"&amp;$F$3&amp;"|"&amp;F54&amp;"$"&amp;$G$3&amp;"|"&amp;G54</f>
        <v/>
      </c>
    </row>
    <row r="55">
      <c r="A55" s="2" t="n">
        <v>6</v>
      </c>
      <c r="B55" s="2" t="n">
        <v>2640</v>
      </c>
      <c r="C55" s="8" t="n"/>
      <c r="D55" s="81" t="n">
        <v>739</v>
      </c>
      <c r="E55" s="81" t="n">
        <v>360</v>
      </c>
      <c r="F55" s="8" t="n"/>
      <c r="G55" s="8" t="n"/>
      <c r="H55" s="2">
        <f>$B$2&amp;"|"&amp;B55&amp;"$"&amp;$C$3&amp;"|"&amp;C55&amp;"$"&amp;$D$3&amp;"|"&amp;D55&amp;"$"&amp;$E$3&amp;"|"&amp;E55&amp;"$"&amp;$F$3&amp;"|"&amp;F55&amp;"$"&amp;$G$3&amp;"|"&amp;G55</f>
        <v/>
      </c>
      <c r="J55" s="79" t="inlineStr">
        <is>
          <t>第2关裂隙资源</t>
        </is>
      </c>
      <c r="K55" s="2" t="inlineStr">
        <is>
          <t>灵石</t>
        </is>
      </c>
      <c r="L55" s="70" t="inlineStr">
        <is>
          <t>太玄果</t>
        </is>
      </c>
      <c r="M55" s="70" t="inlineStr">
        <is>
          <t>清灵草</t>
        </is>
      </c>
      <c r="N55" s="70" t="inlineStr">
        <is>
          <t>月灵矿</t>
        </is>
      </c>
      <c r="O55" s="70" t="inlineStr">
        <is>
          <t>技能残页</t>
        </is>
      </c>
      <c r="P55" s="70" t="inlineStr">
        <is>
          <t>星尘</t>
        </is>
      </c>
    </row>
    <row r="56">
      <c r="A56" s="2" t="n">
        <v>7</v>
      </c>
      <c r="B56" s="2" t="n">
        <v>2880</v>
      </c>
      <c r="C56" s="8" t="n"/>
      <c r="D56" s="81" t="n">
        <v>782</v>
      </c>
      <c r="E56" s="81" t="n">
        <v>384</v>
      </c>
      <c r="F56" s="8" t="n"/>
      <c r="G56" s="8" t="n"/>
      <c r="H56" s="2">
        <f>$B$2&amp;"|"&amp;B56&amp;"$"&amp;$C$3&amp;"|"&amp;C56&amp;"$"&amp;$D$3&amp;"|"&amp;D56&amp;"$"&amp;$E$3&amp;"|"&amp;E56&amp;"$"&amp;$F$3&amp;"|"&amp;F56&amp;"$"&amp;$G$3&amp;"|"&amp;G56</f>
        <v/>
      </c>
      <c r="J56" s="2" t="n">
        <v>1</v>
      </c>
      <c r="K56" s="2">
        <f>(B50*2)/2</f>
        <v/>
      </c>
      <c r="L56" s="5" t="n"/>
      <c r="M56" s="2">
        <f>(D50*2)/2</f>
        <v/>
      </c>
      <c r="O56" s="5" t="n"/>
      <c r="P56" s="2" t="n">
        <v>1</v>
      </c>
      <c r="Q56" s="2">
        <f>$B$2&amp;"|"&amp;K56&amp;"$"&amp;$C$3&amp;"|"&amp;L56&amp;"$"&amp;$D$3&amp;"|"&amp;M56&amp;"$"&amp;$E$3&amp;"|"&amp;N56&amp;"$"&amp;$F$3&amp;"|"&amp;O56&amp;"$"&amp;$G$3&amp;"|"&amp;P56</f>
        <v/>
      </c>
    </row>
    <row r="57">
      <c r="A57" s="2" t="n">
        <v>8</v>
      </c>
      <c r="B57" s="2" t="n">
        <v>3120</v>
      </c>
      <c r="C57" s="8" t="n"/>
      <c r="D57" s="81" t="n">
        <v>826</v>
      </c>
      <c r="E57" s="81" t="n">
        <v>408</v>
      </c>
      <c r="F57" s="8" t="n"/>
      <c r="G57" s="8" t="n"/>
      <c r="H57" s="2">
        <f>$B$2&amp;"|"&amp;B57&amp;"$"&amp;$C$3&amp;"|"&amp;C57&amp;"$"&amp;$D$3&amp;"|"&amp;D57&amp;"$"&amp;$E$3&amp;"|"&amp;E57&amp;"$"&amp;$F$3&amp;"|"&amp;F57&amp;"$"&amp;$G$3&amp;"|"&amp;G57</f>
        <v/>
      </c>
      <c r="J57" s="2" t="n">
        <v>2</v>
      </c>
      <c r="K57" s="2">
        <f>(B51*2)/2</f>
        <v/>
      </c>
      <c r="L57" s="5" t="n"/>
      <c r="M57" s="2">
        <f>(D51*2)/2</f>
        <v/>
      </c>
      <c r="O57" s="5" t="n"/>
      <c r="P57" s="2" t="n">
        <v>1</v>
      </c>
      <c r="Q57" s="2">
        <f>$B$2&amp;"|"&amp;K57&amp;"$"&amp;$C$3&amp;"|"&amp;L57&amp;"$"&amp;$D$3&amp;"|"&amp;M57&amp;"$"&amp;$E$3&amp;"|"&amp;N57&amp;"$"&amp;$F$3&amp;"|"&amp;O57&amp;"$"&amp;$G$3&amp;"|"&amp;P57</f>
        <v/>
      </c>
    </row>
    <row r="58">
      <c r="A58" s="2" t="n">
        <v>9</v>
      </c>
      <c r="B58" s="2" t="n">
        <v>3360</v>
      </c>
      <c r="C58" s="8" t="n"/>
      <c r="D58" s="81" t="n">
        <v>869</v>
      </c>
      <c r="E58" s="81" t="n">
        <v>432</v>
      </c>
      <c r="F58" s="8" t="n"/>
      <c r="G58" s="8" t="n"/>
      <c r="H58" s="2">
        <f>$B$2&amp;"|"&amp;B58&amp;"$"&amp;$C$3&amp;"|"&amp;C58&amp;"$"&amp;$D$3&amp;"|"&amp;D58&amp;"$"&amp;$E$3&amp;"|"&amp;E58&amp;"$"&amp;$F$3&amp;"|"&amp;F58&amp;"$"&amp;$G$3&amp;"|"&amp;G58</f>
        <v/>
      </c>
      <c r="J58" s="2" t="n">
        <v>3</v>
      </c>
      <c r="K58" s="2">
        <f>(B52*2)/2</f>
        <v/>
      </c>
      <c r="L58" s="5" t="n"/>
      <c r="M58" s="2">
        <f>(D52*2)/2</f>
        <v/>
      </c>
      <c r="O58" s="5" t="n"/>
      <c r="P58" s="2" t="n">
        <v>1</v>
      </c>
      <c r="Q58" s="2">
        <f>$B$2&amp;"|"&amp;K58&amp;"$"&amp;$C$3&amp;"|"&amp;L58&amp;"$"&amp;$D$3&amp;"|"&amp;M58&amp;"$"&amp;$E$3&amp;"|"&amp;N58&amp;"$"&amp;$F$3&amp;"|"&amp;O58&amp;"$"&amp;$G$3&amp;"|"&amp;P58</f>
        <v/>
      </c>
    </row>
    <row r="59">
      <c r="A59" s="2" t="n">
        <v>10</v>
      </c>
      <c r="B59" s="2" t="n">
        <v>3600</v>
      </c>
      <c r="C59" s="8" t="n"/>
      <c r="D59" s="81" t="n">
        <v>912</v>
      </c>
      <c r="E59" s="81" t="n">
        <v>456</v>
      </c>
      <c r="F59" s="8" t="n"/>
      <c r="G59" s="8" t="n"/>
      <c r="H59" s="2">
        <f>$B$2&amp;"|"&amp;B59&amp;"$"&amp;$C$3&amp;"|"&amp;C59&amp;"$"&amp;$D$3&amp;"|"&amp;D59&amp;"$"&amp;$E$3&amp;"|"&amp;E59&amp;"$"&amp;$F$3&amp;"|"&amp;F59&amp;"$"&amp;$G$3&amp;"|"&amp;G59</f>
        <v/>
      </c>
      <c r="J59" s="2" t="n">
        <v>4</v>
      </c>
      <c r="K59" s="2">
        <f>(B53*2)/2</f>
        <v/>
      </c>
      <c r="L59" s="5" t="n"/>
      <c r="M59" s="2">
        <f>(D53*2)/2</f>
        <v/>
      </c>
      <c r="O59" s="5" t="n"/>
      <c r="P59" s="2" t="n">
        <v>1</v>
      </c>
      <c r="Q59" s="2">
        <f>$B$2&amp;"|"&amp;K59&amp;"$"&amp;$C$3&amp;"|"&amp;L59&amp;"$"&amp;$D$3&amp;"|"&amp;M59&amp;"$"&amp;$E$3&amp;"|"&amp;N59&amp;"$"&amp;$F$3&amp;"|"&amp;O59&amp;"$"&amp;$G$3&amp;"|"&amp;P59</f>
        <v/>
      </c>
    </row>
    <row r="60">
      <c r="A60" s="2" t="n">
        <v>11</v>
      </c>
      <c r="B60" s="2" t="n">
        <v>3840</v>
      </c>
      <c r="C60" s="8" t="n"/>
      <c r="D60" s="81" t="n">
        <v>955</v>
      </c>
      <c r="E60" s="81" t="n">
        <v>480</v>
      </c>
      <c r="F60" s="8" t="n"/>
      <c r="G60" s="8" t="n"/>
      <c r="H60" s="2">
        <f>$B$2&amp;"|"&amp;B60&amp;"$"&amp;$C$3&amp;"|"&amp;C60&amp;"$"&amp;$D$3&amp;"|"&amp;D60&amp;"$"&amp;$E$3&amp;"|"&amp;E60&amp;"$"&amp;$F$3&amp;"|"&amp;F60&amp;"$"&amp;$G$3&amp;"|"&amp;G60</f>
        <v/>
      </c>
      <c r="J60" s="2" t="n">
        <v>5</v>
      </c>
      <c r="K60" s="2">
        <f>(B54*2)/2</f>
        <v/>
      </c>
      <c r="L60" s="5" t="n"/>
      <c r="M60" s="2">
        <f>(D54*2)/2</f>
        <v/>
      </c>
      <c r="O60" s="5" t="n"/>
      <c r="P60" s="2" t="n">
        <v>1</v>
      </c>
      <c r="Q60" s="2">
        <f>$B$2&amp;"|"&amp;K60&amp;"$"&amp;$C$3&amp;"|"&amp;L60&amp;"$"&amp;$D$3&amp;"|"&amp;M60&amp;"$"&amp;$E$3&amp;"|"&amp;N60&amp;"$"&amp;$F$3&amp;"|"&amp;O60&amp;"$"&amp;$G$3&amp;"|"&amp;P60</f>
        <v/>
      </c>
    </row>
    <row r="61">
      <c r="A61" s="2" t="n">
        <v>12</v>
      </c>
      <c r="B61" s="2" t="n">
        <v>4080</v>
      </c>
      <c r="C61" s="8" t="n"/>
      <c r="D61" s="81" t="n">
        <v>998</v>
      </c>
      <c r="E61" s="81" t="n">
        <v>504</v>
      </c>
      <c r="F61" s="8" t="n"/>
      <c r="G61" s="8" t="n"/>
      <c r="H61" s="2">
        <f>$B$2&amp;"|"&amp;B61&amp;"$"&amp;$C$3&amp;"|"&amp;C61&amp;"$"&amp;$D$3&amp;"|"&amp;D61&amp;"$"&amp;$E$3&amp;"|"&amp;E61&amp;"$"&amp;$F$3&amp;"|"&amp;F61&amp;"$"&amp;$G$3&amp;"|"&amp;G61</f>
        <v/>
      </c>
      <c r="J61" s="2" t="n">
        <v>6</v>
      </c>
      <c r="K61" s="2">
        <f>(B55*2)/2</f>
        <v/>
      </c>
      <c r="L61" s="5" t="n"/>
      <c r="M61" s="2">
        <f>(D55*2)/2</f>
        <v/>
      </c>
      <c r="O61" s="5" t="n"/>
      <c r="P61" s="2" t="n">
        <v>1</v>
      </c>
      <c r="Q61" s="2">
        <f>$B$2&amp;"|"&amp;K61&amp;"$"&amp;$C$3&amp;"|"&amp;L61&amp;"$"&amp;$D$3&amp;"|"&amp;M61&amp;"$"&amp;$E$3&amp;"|"&amp;N61&amp;"$"&amp;$F$3&amp;"|"&amp;O61&amp;"$"&amp;$G$3&amp;"|"&amp;P61</f>
        <v/>
      </c>
    </row>
    <row r="62">
      <c r="A62" s="2" t="n">
        <v>13</v>
      </c>
      <c r="B62" s="2" t="n">
        <v>4320</v>
      </c>
      <c r="C62" s="8" t="n"/>
      <c r="D62" s="81" t="n">
        <v>1042</v>
      </c>
      <c r="E62" s="81" t="n">
        <v>528</v>
      </c>
      <c r="F62" s="8" t="n"/>
      <c r="G62" s="8" t="n"/>
      <c r="H62" s="2">
        <f>$B$2&amp;"|"&amp;B62&amp;"$"&amp;$C$3&amp;"|"&amp;C62&amp;"$"&amp;$D$3&amp;"|"&amp;D62&amp;"$"&amp;$E$3&amp;"|"&amp;E62&amp;"$"&amp;$F$3&amp;"|"&amp;F62&amp;"$"&amp;$G$3&amp;"|"&amp;G62</f>
        <v/>
      </c>
      <c r="J62" s="2" t="n">
        <v>7</v>
      </c>
      <c r="K62" s="2">
        <f>(B56*2)/2</f>
        <v/>
      </c>
      <c r="L62" s="5" t="n"/>
      <c r="M62" s="2">
        <f>(D56*2)/2</f>
        <v/>
      </c>
      <c r="O62" s="5" t="n"/>
      <c r="P62" s="2" t="n">
        <v>1</v>
      </c>
      <c r="Q62" s="2">
        <f>$B$2&amp;"|"&amp;K62&amp;"$"&amp;$C$3&amp;"|"&amp;L62&amp;"$"&amp;$D$3&amp;"|"&amp;M62&amp;"$"&amp;$E$3&amp;"|"&amp;N62&amp;"$"&amp;$F$3&amp;"|"&amp;O62&amp;"$"&amp;$G$3&amp;"|"&amp;P62</f>
        <v/>
      </c>
    </row>
    <row r="63">
      <c r="A63" s="2" t="n">
        <v>14</v>
      </c>
      <c r="B63" s="2" t="n">
        <v>4560</v>
      </c>
      <c r="C63" s="8" t="n"/>
      <c r="D63" s="81" t="n">
        <v>1085</v>
      </c>
      <c r="E63" s="81" t="n">
        <v>552</v>
      </c>
      <c r="F63" s="8" t="n"/>
      <c r="G63" s="8" t="n"/>
      <c r="H63" s="2">
        <f>$B$2&amp;"|"&amp;B63&amp;"$"&amp;$C$3&amp;"|"&amp;C63&amp;"$"&amp;$D$3&amp;"|"&amp;D63&amp;"$"&amp;$E$3&amp;"|"&amp;E63&amp;"$"&amp;$F$3&amp;"|"&amp;F63&amp;"$"&amp;$G$3&amp;"|"&amp;G63</f>
        <v/>
      </c>
      <c r="J63" s="2" t="n">
        <v>8</v>
      </c>
      <c r="K63" s="2">
        <f>(B57*2)/2</f>
        <v/>
      </c>
      <c r="L63" s="5" t="n"/>
      <c r="M63" s="2">
        <f>(D57*2)/2</f>
        <v/>
      </c>
      <c r="O63" s="5" t="n"/>
      <c r="P63" s="2" t="n">
        <v>1</v>
      </c>
      <c r="Q63" s="2">
        <f>$B$2&amp;"|"&amp;K63&amp;"$"&amp;$C$3&amp;"|"&amp;L63&amp;"$"&amp;$D$3&amp;"|"&amp;M63&amp;"$"&amp;$E$3&amp;"|"&amp;N63&amp;"$"&amp;$F$3&amp;"|"&amp;O63&amp;"$"&amp;$G$3&amp;"|"&amp;P63</f>
        <v/>
      </c>
    </row>
    <row r="64">
      <c r="A64" s="2" t="n">
        <v>15</v>
      </c>
      <c r="B64" s="2" t="n">
        <v>4800</v>
      </c>
      <c r="C64" s="8" t="n"/>
      <c r="D64" s="81" t="n">
        <v>1128</v>
      </c>
      <c r="E64" s="81" t="n">
        <v>576</v>
      </c>
      <c r="F64" s="8" t="n"/>
      <c r="G64" s="8" t="n"/>
      <c r="H64" s="2">
        <f>$B$2&amp;"|"&amp;B64&amp;"$"&amp;$C$3&amp;"|"&amp;C64&amp;"$"&amp;$D$3&amp;"|"&amp;D64&amp;"$"&amp;$E$3&amp;"|"&amp;E64&amp;"$"&amp;$F$3&amp;"|"&amp;F64&amp;"$"&amp;$G$3&amp;"|"&amp;G64</f>
        <v/>
      </c>
      <c r="J64" s="2" t="n">
        <v>9</v>
      </c>
      <c r="K64" s="2">
        <f>(B58*2)/2</f>
        <v/>
      </c>
      <c r="L64" s="5" t="n"/>
      <c r="M64" s="2">
        <f>(D58*2)/2</f>
        <v/>
      </c>
      <c r="O64" s="5" t="n"/>
      <c r="P64" s="2" t="n">
        <v>1</v>
      </c>
      <c r="Q64" s="2">
        <f>$B$2&amp;"|"&amp;K64&amp;"$"&amp;$C$3&amp;"|"&amp;L64&amp;"$"&amp;$D$3&amp;"|"&amp;M64&amp;"$"&amp;$E$3&amp;"|"&amp;N64&amp;"$"&amp;$F$3&amp;"|"&amp;O64&amp;"$"&amp;$G$3&amp;"|"&amp;P64</f>
        <v/>
      </c>
    </row>
    <row r="65">
      <c r="A65" s="2" t="n">
        <v>16</v>
      </c>
      <c r="B65" s="2" t="n">
        <v>5040</v>
      </c>
      <c r="C65" s="8" t="n"/>
      <c r="D65" s="81" t="n">
        <v>1171</v>
      </c>
      <c r="E65" s="81" t="n">
        <v>600</v>
      </c>
      <c r="F65" s="8" t="n"/>
      <c r="G65" s="8" t="n"/>
      <c r="H65" s="2">
        <f>$B$2&amp;"|"&amp;B65&amp;"$"&amp;$C$3&amp;"|"&amp;C65&amp;"$"&amp;$D$3&amp;"|"&amp;D65&amp;"$"&amp;$E$3&amp;"|"&amp;E65&amp;"$"&amp;$F$3&amp;"|"&amp;F65&amp;"$"&amp;$G$3&amp;"|"&amp;G65</f>
        <v/>
      </c>
      <c r="J65" s="2" t="n">
        <v>10</v>
      </c>
      <c r="K65" s="2">
        <f>(B59*2)/2</f>
        <v/>
      </c>
      <c r="L65" s="5" t="n"/>
      <c r="M65" s="2">
        <f>(D59*2)/2</f>
        <v/>
      </c>
      <c r="O65" s="5" t="n"/>
      <c r="P65" s="2" t="n">
        <v>1</v>
      </c>
      <c r="Q65" s="2">
        <f>$B$2&amp;"|"&amp;K65&amp;"$"&amp;$C$3&amp;"|"&amp;L65&amp;"$"&amp;$D$3&amp;"|"&amp;M65&amp;"$"&amp;$E$3&amp;"|"&amp;N65&amp;"$"&amp;$F$3&amp;"|"&amp;O65&amp;"$"&amp;$G$3&amp;"|"&amp;P65</f>
        <v/>
      </c>
    </row>
    <row r="66">
      <c r="A66" s="2" t="n">
        <v>17</v>
      </c>
      <c r="B66" s="2" t="n">
        <v>5280</v>
      </c>
      <c r="C66" s="8" t="n"/>
      <c r="D66" s="81" t="n">
        <v>1214</v>
      </c>
      <c r="E66" s="81" t="n">
        <v>624</v>
      </c>
      <c r="F66" s="8" t="n"/>
      <c r="G66" s="8" t="n"/>
      <c r="H66" s="2">
        <f>$B$2&amp;"|"&amp;B66&amp;"$"&amp;$C$3&amp;"|"&amp;C66&amp;"$"&amp;$D$3&amp;"|"&amp;D66&amp;"$"&amp;$E$3&amp;"|"&amp;E66&amp;"$"&amp;$F$3&amp;"|"&amp;F66&amp;"$"&amp;$G$3&amp;"|"&amp;G66</f>
        <v/>
      </c>
      <c r="J66" s="2" t="n">
        <v>11</v>
      </c>
      <c r="K66" s="2">
        <f>(B60*2)/2</f>
        <v/>
      </c>
      <c r="L66" s="5" t="n"/>
      <c r="M66" s="2">
        <f>(D60*2)/2</f>
        <v/>
      </c>
      <c r="O66" s="5" t="n"/>
      <c r="P66" s="2" t="n">
        <v>1</v>
      </c>
      <c r="Q66" s="2">
        <f>$B$2&amp;"|"&amp;K66&amp;"$"&amp;$C$3&amp;"|"&amp;L66&amp;"$"&amp;$D$3&amp;"|"&amp;M66&amp;"$"&amp;$E$3&amp;"|"&amp;N66&amp;"$"&amp;$F$3&amp;"|"&amp;O66&amp;"$"&amp;$G$3&amp;"|"&amp;P66</f>
        <v/>
      </c>
    </row>
    <row r="67">
      <c r="A67" s="2" t="n">
        <v>18</v>
      </c>
      <c r="B67" s="2" t="n">
        <v>5520</v>
      </c>
      <c r="C67" s="8" t="n"/>
      <c r="D67" s="81" t="n">
        <v>1258</v>
      </c>
      <c r="E67" s="81" t="n">
        <v>648</v>
      </c>
      <c r="F67" s="8" t="n"/>
      <c r="G67" s="8" t="n"/>
      <c r="H67" s="2">
        <f>$B$2&amp;"|"&amp;B67&amp;"$"&amp;$C$3&amp;"|"&amp;C67&amp;"$"&amp;$D$3&amp;"|"&amp;D67&amp;"$"&amp;$E$3&amp;"|"&amp;E67&amp;"$"&amp;$F$3&amp;"|"&amp;F67&amp;"$"&amp;$G$3&amp;"|"&amp;G67</f>
        <v/>
      </c>
      <c r="J67" s="2" t="n">
        <v>12</v>
      </c>
      <c r="K67" s="2">
        <f>(B61*2)/2</f>
        <v/>
      </c>
      <c r="L67" s="5" t="n"/>
      <c r="M67" s="2">
        <f>(D61*2)/2</f>
        <v/>
      </c>
      <c r="O67" s="5" t="n"/>
      <c r="P67" s="2" t="n">
        <v>1</v>
      </c>
      <c r="Q67" s="2">
        <f>$B$2&amp;"|"&amp;K67&amp;"$"&amp;$C$3&amp;"|"&amp;L67&amp;"$"&amp;$D$3&amp;"|"&amp;M67&amp;"$"&amp;$E$3&amp;"|"&amp;N67&amp;"$"&amp;$F$3&amp;"|"&amp;O67&amp;"$"&amp;$G$3&amp;"|"&amp;P67</f>
        <v/>
      </c>
    </row>
    <row r="68">
      <c r="A68" s="2" t="n">
        <v>19</v>
      </c>
      <c r="B68" s="2" t="n">
        <v>5760</v>
      </c>
      <c r="C68" s="8" t="n"/>
      <c r="D68" s="81" t="n">
        <v>1301</v>
      </c>
      <c r="E68" s="81" t="n">
        <v>672</v>
      </c>
      <c r="F68" s="8" t="n"/>
      <c r="G68" s="8" t="n"/>
      <c r="H68" s="2">
        <f>$B$2&amp;"|"&amp;B68&amp;"$"&amp;$C$3&amp;"|"&amp;C68&amp;"$"&amp;$D$3&amp;"|"&amp;D68&amp;"$"&amp;$E$3&amp;"|"&amp;E68&amp;"$"&amp;$F$3&amp;"|"&amp;F68&amp;"$"&amp;$G$3&amp;"|"&amp;G68</f>
        <v/>
      </c>
      <c r="J68" s="2" t="n">
        <v>13</v>
      </c>
      <c r="K68" s="2">
        <f>(B62*2)/2</f>
        <v/>
      </c>
      <c r="L68" s="5" t="n"/>
      <c r="M68" s="2">
        <f>(D62*2)/2</f>
        <v/>
      </c>
      <c r="O68" s="5" t="n"/>
      <c r="P68" s="2" t="n">
        <v>1</v>
      </c>
      <c r="Q68" s="2">
        <f>$B$2&amp;"|"&amp;K68&amp;"$"&amp;$C$3&amp;"|"&amp;L68&amp;"$"&amp;$D$3&amp;"|"&amp;M68&amp;"$"&amp;$E$3&amp;"|"&amp;N68&amp;"$"&amp;$F$3&amp;"|"&amp;O68&amp;"$"&amp;$G$3&amp;"|"&amp;P68</f>
        <v/>
      </c>
    </row>
    <row r="69">
      <c r="A69" s="2" t="n">
        <v>20</v>
      </c>
      <c r="B69" s="2" t="n">
        <v>6000</v>
      </c>
      <c r="C69" s="8" t="n"/>
      <c r="D69" s="81" t="n">
        <v>1344</v>
      </c>
      <c r="E69" s="81" t="n">
        <v>696</v>
      </c>
      <c r="F69" s="8" t="n"/>
      <c r="G69" s="8" t="n"/>
      <c r="H69" s="2">
        <f>$B$2&amp;"|"&amp;B69&amp;"$"&amp;$C$3&amp;"|"&amp;C69&amp;"$"&amp;$D$3&amp;"|"&amp;D69&amp;"$"&amp;$E$3&amp;"|"&amp;E69&amp;"$"&amp;$F$3&amp;"|"&amp;F69&amp;"$"&amp;$G$3&amp;"|"&amp;G69</f>
        <v/>
      </c>
      <c r="J69" s="2" t="n">
        <v>14</v>
      </c>
      <c r="K69" s="2">
        <f>(B63*2)/2</f>
        <v/>
      </c>
      <c r="L69" s="5" t="n"/>
      <c r="M69" s="2">
        <f>(D63*2)/2</f>
        <v/>
      </c>
      <c r="O69" s="5" t="n"/>
      <c r="P69" s="2" t="n">
        <v>1</v>
      </c>
      <c r="Q69" s="2">
        <f>$B$2&amp;"|"&amp;K69&amp;"$"&amp;$C$3&amp;"|"&amp;L69&amp;"$"&amp;$D$3&amp;"|"&amp;M69&amp;"$"&amp;$E$3&amp;"|"&amp;N69&amp;"$"&amp;$F$3&amp;"|"&amp;O69&amp;"$"&amp;$G$3&amp;"|"&amp;P69</f>
        <v/>
      </c>
    </row>
    <row r="70">
      <c r="A70" s="2" t="n">
        <v>21</v>
      </c>
      <c r="B70" s="2" t="n">
        <v>6240</v>
      </c>
      <c r="C70" s="8" t="n"/>
      <c r="D70" s="81" t="n">
        <v>1387</v>
      </c>
      <c r="E70" s="81" t="n">
        <v>720</v>
      </c>
      <c r="G70" s="8" t="n"/>
      <c r="H70" s="2">
        <f>$B$2&amp;"|"&amp;B70&amp;"$"&amp;$C$3&amp;"|"&amp;C70&amp;"$"&amp;$D$3&amp;"|"&amp;D70&amp;"$"&amp;$E$3&amp;"|"&amp;E70&amp;"$"&amp;$F$3&amp;"|"&amp;F70&amp;"$"&amp;$G$3&amp;"|"&amp;G70</f>
        <v/>
      </c>
      <c r="J70" s="2" t="n">
        <v>15</v>
      </c>
      <c r="K70" s="2">
        <f>(B64*2)/2</f>
        <v/>
      </c>
      <c r="L70" s="5" t="n"/>
      <c r="M70" s="2">
        <f>(D64*2)/2</f>
        <v/>
      </c>
      <c r="O70" s="5" t="n"/>
      <c r="P70" s="2" t="n">
        <v>1</v>
      </c>
      <c r="Q70" s="2">
        <f>$B$2&amp;"|"&amp;K70&amp;"$"&amp;$C$3&amp;"|"&amp;L70&amp;"$"&amp;$D$3&amp;"|"&amp;M70&amp;"$"&amp;$E$3&amp;"|"&amp;N70&amp;"$"&amp;$F$3&amp;"|"&amp;O70&amp;"$"&amp;$G$3&amp;"|"&amp;P70</f>
        <v/>
      </c>
    </row>
    <row r="71">
      <c r="A71" s="2" t="n">
        <v>22</v>
      </c>
      <c r="B71" s="2" t="n">
        <v>6480</v>
      </c>
      <c r="C71" s="8" t="n"/>
      <c r="D71" s="81" t="n">
        <v>1430</v>
      </c>
      <c r="E71" s="81" t="n">
        <v>744</v>
      </c>
      <c r="G71" s="8" t="n"/>
      <c r="H71" s="2">
        <f>$B$2&amp;"|"&amp;B71&amp;"$"&amp;$C$3&amp;"|"&amp;C71&amp;"$"&amp;$D$3&amp;"|"&amp;D71&amp;"$"&amp;$E$3&amp;"|"&amp;E71&amp;"$"&amp;$F$3&amp;"|"&amp;F71&amp;"$"&amp;$G$3&amp;"|"&amp;G71</f>
        <v/>
      </c>
      <c r="J71" s="2" t="n">
        <v>16</v>
      </c>
      <c r="K71" s="2">
        <f>(B65*2)/2</f>
        <v/>
      </c>
      <c r="L71" s="5" t="n"/>
      <c r="M71" s="2">
        <f>(D65*2)/2</f>
        <v/>
      </c>
      <c r="O71" s="5" t="n"/>
      <c r="P71" s="2" t="n">
        <v>1</v>
      </c>
      <c r="Q71" s="2">
        <f>$B$2&amp;"|"&amp;K71&amp;"$"&amp;$C$3&amp;"|"&amp;L71&amp;"$"&amp;$D$3&amp;"|"&amp;M71&amp;"$"&amp;$E$3&amp;"|"&amp;N71&amp;"$"&amp;$F$3&amp;"|"&amp;O71&amp;"$"&amp;$G$3&amp;"|"&amp;P71</f>
        <v/>
      </c>
    </row>
    <row r="72">
      <c r="A72" s="2" t="n">
        <v>23</v>
      </c>
      <c r="B72" s="2" t="n">
        <v>6720</v>
      </c>
      <c r="C72" s="8" t="n"/>
      <c r="D72" s="81" t="n">
        <v>1474</v>
      </c>
      <c r="E72" s="81" t="n">
        <v>768</v>
      </c>
      <c r="G72" s="8" t="n"/>
      <c r="H72" s="2">
        <f>$B$2&amp;"|"&amp;B72&amp;"$"&amp;$C$3&amp;"|"&amp;C72&amp;"$"&amp;$D$3&amp;"|"&amp;D72&amp;"$"&amp;$E$3&amp;"|"&amp;E72&amp;"$"&amp;$F$3&amp;"|"&amp;F72&amp;"$"&amp;$G$3&amp;"|"&amp;G72</f>
        <v/>
      </c>
      <c r="J72" s="2" t="n">
        <v>17</v>
      </c>
      <c r="K72" s="2">
        <f>(B66*2)/2</f>
        <v/>
      </c>
      <c r="L72" s="5" t="n"/>
      <c r="M72" s="2">
        <f>(D66*2)/2</f>
        <v/>
      </c>
      <c r="O72" s="5" t="n"/>
      <c r="P72" s="2" t="n">
        <v>1</v>
      </c>
      <c r="Q72" s="2">
        <f>$B$2&amp;"|"&amp;K72&amp;"$"&amp;$C$3&amp;"|"&amp;L72&amp;"$"&amp;$D$3&amp;"|"&amp;M72&amp;"$"&amp;$E$3&amp;"|"&amp;N72&amp;"$"&amp;$F$3&amp;"|"&amp;O72&amp;"$"&amp;$G$3&amp;"|"&amp;P72</f>
        <v/>
      </c>
    </row>
    <row r="73">
      <c r="A73" s="2" t="n">
        <v>24</v>
      </c>
      <c r="B73" s="2" t="n">
        <v>6960</v>
      </c>
      <c r="C73" s="8" t="n"/>
      <c r="D73" s="81" t="n">
        <v>1517</v>
      </c>
      <c r="E73" s="81" t="n">
        <v>792</v>
      </c>
      <c r="G73" s="8" t="n"/>
      <c r="H73" s="2">
        <f>$B$2&amp;"|"&amp;B73&amp;"$"&amp;$C$3&amp;"|"&amp;C73&amp;"$"&amp;$D$3&amp;"|"&amp;D73&amp;"$"&amp;$E$3&amp;"|"&amp;E73&amp;"$"&amp;$F$3&amp;"|"&amp;F73&amp;"$"&amp;$G$3&amp;"|"&amp;G73</f>
        <v/>
      </c>
      <c r="J73" s="2" t="n">
        <v>18</v>
      </c>
      <c r="K73" s="2">
        <f>(B67*2)/2</f>
        <v/>
      </c>
      <c r="L73" s="5" t="n"/>
      <c r="M73" s="2">
        <f>(D67*2)/2</f>
        <v/>
      </c>
      <c r="O73" s="5" t="n"/>
      <c r="P73" s="2" t="n">
        <v>1</v>
      </c>
      <c r="Q73" s="2">
        <f>$B$2&amp;"|"&amp;K73&amp;"$"&amp;$C$3&amp;"|"&amp;L73&amp;"$"&amp;$D$3&amp;"|"&amp;M73&amp;"$"&amp;$E$3&amp;"|"&amp;N73&amp;"$"&amp;$F$3&amp;"|"&amp;O73&amp;"$"&amp;$G$3&amp;"|"&amp;P73</f>
        <v/>
      </c>
    </row>
    <row r="74">
      <c r="A74" s="2" t="n">
        <v>25</v>
      </c>
      <c r="B74" s="2" t="n">
        <v>7200</v>
      </c>
      <c r="C74" s="8" t="n"/>
      <c r="D74" s="81" t="n">
        <v>1560</v>
      </c>
      <c r="E74" s="81" t="n">
        <v>816</v>
      </c>
      <c r="H74" s="2">
        <f>$B$2&amp;"|"&amp;B74&amp;"$"&amp;$C$3&amp;"|"&amp;C74&amp;"$"&amp;$D$3&amp;"|"&amp;D74&amp;"$"&amp;$E$3&amp;"|"&amp;E74&amp;"$"&amp;$F$3&amp;"|"&amp;F74&amp;"$"&amp;$G$3&amp;"|"&amp;G74</f>
        <v/>
      </c>
      <c r="J74" s="2" t="n">
        <v>19</v>
      </c>
      <c r="K74" s="2">
        <f>(B68*2)/2</f>
        <v/>
      </c>
      <c r="L74" s="5" t="n"/>
      <c r="M74" s="2">
        <f>(D68*2)/2</f>
        <v/>
      </c>
      <c r="O74" s="5" t="n"/>
      <c r="P74" s="2" t="n">
        <v>1</v>
      </c>
      <c r="Q74" s="2">
        <f>$B$2&amp;"|"&amp;K74&amp;"$"&amp;$C$3&amp;"|"&amp;L74&amp;"$"&amp;$D$3&amp;"|"&amp;M74&amp;"$"&amp;$E$3&amp;"|"&amp;N74&amp;"$"&amp;$F$3&amp;"|"&amp;O74&amp;"$"&amp;$G$3&amp;"|"&amp;P74</f>
        <v/>
      </c>
    </row>
    <row r="75">
      <c r="A75" s="2" t="n">
        <v>26</v>
      </c>
      <c r="B75" s="2" t="n">
        <v>7440</v>
      </c>
      <c r="C75" s="8" t="n"/>
      <c r="D75" s="81" t="n">
        <v>1603</v>
      </c>
      <c r="E75" s="81" t="n">
        <v>840</v>
      </c>
      <c r="H75" s="2">
        <f>$B$2&amp;"|"&amp;B75&amp;"$"&amp;$C$3&amp;"|"&amp;C75&amp;"$"&amp;$D$3&amp;"|"&amp;D75&amp;"$"&amp;$E$3&amp;"|"&amp;E75&amp;"$"&amp;$F$3&amp;"|"&amp;F75&amp;"$"&amp;$G$3&amp;"|"&amp;G75</f>
        <v/>
      </c>
      <c r="J75" s="2" t="n">
        <v>20</v>
      </c>
      <c r="K75" s="2">
        <f>(B69*2)/2</f>
        <v/>
      </c>
      <c r="L75" s="5" t="n"/>
      <c r="M75" s="2">
        <f>(D69*2)/2</f>
        <v/>
      </c>
      <c r="O75" s="5" t="n"/>
      <c r="P75" s="2" t="n">
        <v>1</v>
      </c>
      <c r="Q75" s="2">
        <f>$B$2&amp;"|"&amp;K75&amp;"$"&amp;$C$3&amp;"|"&amp;L75&amp;"$"&amp;$D$3&amp;"|"&amp;M75&amp;"$"&amp;$E$3&amp;"|"&amp;N75&amp;"$"&amp;$F$3&amp;"|"&amp;O75&amp;"$"&amp;$G$3&amp;"|"&amp;P75</f>
        <v/>
      </c>
    </row>
    <row r="76">
      <c r="A76" s="2" t="n">
        <v>27</v>
      </c>
      <c r="B76" s="2" t="n">
        <v>7680</v>
      </c>
      <c r="C76" s="8" t="n"/>
      <c r="D76" s="81" t="n">
        <v>1646</v>
      </c>
      <c r="E76" s="81" t="n">
        <v>864</v>
      </c>
      <c r="H76" s="2">
        <f>$B$2&amp;"|"&amp;B76&amp;"$"&amp;$C$3&amp;"|"&amp;C76&amp;"$"&amp;$D$3&amp;"|"&amp;D76&amp;"$"&amp;$E$3&amp;"|"&amp;E76&amp;"$"&amp;$F$3&amp;"|"&amp;F76&amp;"$"&amp;$G$3&amp;"|"&amp;G76</f>
        <v/>
      </c>
      <c r="J76" s="2" t="n">
        <v>21</v>
      </c>
      <c r="K76" s="2">
        <f>(B70*2)/2</f>
        <v/>
      </c>
      <c r="L76" s="5" t="n"/>
      <c r="M76" s="2">
        <f>(D70*2)/2</f>
        <v/>
      </c>
      <c r="O76" s="5" t="n"/>
      <c r="P76" s="2" t="n">
        <v>1</v>
      </c>
      <c r="Q76" s="2">
        <f>$B$2&amp;"|"&amp;K76&amp;"$"&amp;$C$3&amp;"|"&amp;L76&amp;"$"&amp;$D$3&amp;"|"&amp;M76&amp;"$"&amp;$E$3&amp;"|"&amp;N76&amp;"$"&amp;$F$3&amp;"|"&amp;O76&amp;"$"&amp;$G$3&amp;"|"&amp;P76</f>
        <v/>
      </c>
    </row>
    <row r="77">
      <c r="A77" s="2" t="n">
        <v>28</v>
      </c>
      <c r="B77" s="2" t="n">
        <v>7920</v>
      </c>
      <c r="C77" s="8" t="n"/>
      <c r="D77" s="81" t="n">
        <v>1690</v>
      </c>
      <c r="E77" s="81" t="n">
        <v>888</v>
      </c>
      <c r="H77" s="2">
        <f>$B$2&amp;"|"&amp;B77&amp;"$"&amp;$C$3&amp;"|"&amp;C77&amp;"$"&amp;$D$3&amp;"|"&amp;D77&amp;"$"&amp;$E$3&amp;"|"&amp;E77&amp;"$"&amp;$F$3&amp;"|"&amp;F77&amp;"$"&amp;$G$3&amp;"|"&amp;G77</f>
        <v/>
      </c>
      <c r="J77" s="2" t="n">
        <v>22</v>
      </c>
      <c r="K77" s="2">
        <f>(B71*2)/2</f>
        <v/>
      </c>
      <c r="L77" s="5" t="n"/>
      <c r="M77" s="2">
        <f>(D71*2)/2</f>
        <v/>
      </c>
      <c r="O77" s="5" t="n"/>
      <c r="P77" s="2" t="n">
        <v>1</v>
      </c>
      <c r="Q77" s="2">
        <f>$B$2&amp;"|"&amp;K77&amp;"$"&amp;$C$3&amp;"|"&amp;L77&amp;"$"&amp;$D$3&amp;"|"&amp;M77&amp;"$"&amp;$E$3&amp;"|"&amp;N77&amp;"$"&amp;$F$3&amp;"|"&amp;O77&amp;"$"&amp;$G$3&amp;"|"&amp;P77</f>
        <v/>
      </c>
    </row>
    <row r="78">
      <c r="A78" s="2" t="n">
        <v>29</v>
      </c>
      <c r="B78" s="2" t="n">
        <v>8160</v>
      </c>
      <c r="C78" s="8" t="n"/>
      <c r="D78" s="81" t="n">
        <v>1733</v>
      </c>
      <c r="E78" s="81" t="n">
        <v>912</v>
      </c>
      <c r="H78" s="2">
        <f>$B$2&amp;"|"&amp;B78&amp;"$"&amp;$C$3&amp;"|"&amp;C78&amp;"$"&amp;$D$3&amp;"|"&amp;D78&amp;"$"&amp;$E$3&amp;"|"&amp;E78&amp;"$"&amp;$F$3&amp;"|"&amp;F78&amp;"$"&amp;$G$3&amp;"|"&amp;G78</f>
        <v/>
      </c>
      <c r="J78" s="2" t="n">
        <v>23</v>
      </c>
      <c r="K78" s="2">
        <f>(B72*2)/2</f>
        <v/>
      </c>
      <c r="L78" s="5" t="n"/>
      <c r="M78" s="2">
        <f>(D72*2)/2</f>
        <v/>
      </c>
      <c r="O78" s="5" t="n"/>
      <c r="P78" s="2" t="n">
        <v>1</v>
      </c>
      <c r="Q78" s="2">
        <f>$B$2&amp;"|"&amp;K78&amp;"$"&amp;$C$3&amp;"|"&amp;L78&amp;"$"&amp;$D$3&amp;"|"&amp;M78&amp;"$"&amp;$E$3&amp;"|"&amp;N78&amp;"$"&amp;$F$3&amp;"|"&amp;O78&amp;"$"&amp;$G$3&amp;"|"&amp;P78</f>
        <v/>
      </c>
    </row>
    <row r="79">
      <c r="A79" s="2" t="n">
        <v>30</v>
      </c>
      <c r="B79" s="2" t="n">
        <v>8400</v>
      </c>
      <c r="C79" s="8" t="n"/>
      <c r="D79" s="81" t="n">
        <v>1776</v>
      </c>
      <c r="E79" s="81" t="n">
        <v>936</v>
      </c>
      <c r="H79" s="8">
        <f>$B$2&amp;"|"&amp;B79&amp;"$"&amp;$C$3&amp;"|"&amp;C79&amp;"$"&amp;$D$3&amp;"|"&amp;D79&amp;"$"&amp;$E$3&amp;"|"&amp;E79&amp;"$"&amp;$F$3&amp;"|"&amp;F79&amp;"$"&amp;$G$3&amp;"|"&amp;G79</f>
        <v/>
      </c>
      <c r="J79" s="2" t="n">
        <v>24</v>
      </c>
      <c r="K79" s="2">
        <f>(B73*2)/2</f>
        <v/>
      </c>
      <c r="L79" s="5" t="n"/>
      <c r="M79" s="2">
        <f>(D73*2)/2</f>
        <v/>
      </c>
      <c r="O79" s="5" t="n"/>
      <c r="P79" s="2" t="n">
        <v>1</v>
      </c>
      <c r="Q79" s="2">
        <f>$B$2&amp;"|"&amp;K79&amp;"$"&amp;$C$3&amp;"|"&amp;L79&amp;"$"&amp;$D$3&amp;"|"&amp;M79&amp;"$"&amp;$E$3&amp;"|"&amp;N79&amp;"$"&amp;$F$3&amp;"|"&amp;O79&amp;"$"&amp;$G$3&amp;"|"&amp;P79</f>
        <v/>
      </c>
    </row>
    <row r="80">
      <c r="J80" s="2" t="n">
        <v>25</v>
      </c>
      <c r="K80" s="2">
        <f>(B74*2)/2</f>
        <v/>
      </c>
      <c r="L80" s="5" t="n"/>
      <c r="M80" s="2">
        <f>(D74*2)/2</f>
        <v/>
      </c>
      <c r="O80" s="5" t="n"/>
      <c r="P80" s="2" t="n">
        <v>1</v>
      </c>
      <c r="Q80" s="2">
        <f>$B$2&amp;"|"&amp;K80&amp;"$"&amp;$C$3&amp;"|"&amp;L80&amp;"$"&amp;$D$3&amp;"|"&amp;M80&amp;"$"&amp;$E$3&amp;"|"&amp;N80&amp;"$"&amp;$F$3&amp;"|"&amp;O80&amp;"$"&amp;$G$3&amp;"|"&amp;P80</f>
        <v/>
      </c>
    </row>
    <row r="81">
      <c r="J81" s="2" t="n">
        <v>26</v>
      </c>
      <c r="K81" s="2">
        <f>(B75*2)/2</f>
        <v/>
      </c>
      <c r="L81" s="5" t="n"/>
      <c r="M81" s="2">
        <f>(D75*2)/2</f>
        <v/>
      </c>
      <c r="O81" s="5" t="n"/>
      <c r="P81" s="2" t="n">
        <v>1</v>
      </c>
      <c r="Q81" s="2">
        <f>$B$2&amp;"|"&amp;K81&amp;"$"&amp;$C$3&amp;"|"&amp;L81&amp;"$"&amp;$D$3&amp;"|"&amp;M81&amp;"$"&amp;$E$3&amp;"|"&amp;N81&amp;"$"&amp;$F$3&amp;"|"&amp;O81&amp;"$"&amp;$G$3&amp;"|"&amp;P81</f>
        <v/>
      </c>
    </row>
    <row r="82">
      <c r="J82" s="2" t="n">
        <v>27</v>
      </c>
      <c r="K82" s="2">
        <f>(B76*2)/2</f>
        <v/>
      </c>
      <c r="L82" s="5" t="n"/>
      <c r="M82" s="2">
        <f>(D76*2)/2</f>
        <v/>
      </c>
      <c r="O82" s="5" t="n"/>
      <c r="P82" s="2" t="n">
        <v>1</v>
      </c>
      <c r="Q82" s="2">
        <f>$B$2&amp;"|"&amp;K82&amp;"$"&amp;$C$3&amp;"|"&amp;L82&amp;"$"&amp;$D$3&amp;"|"&amp;M82&amp;"$"&amp;$E$3&amp;"|"&amp;N82&amp;"$"&amp;$F$3&amp;"|"&amp;O82&amp;"$"&amp;$G$3&amp;"|"&amp;P82</f>
        <v/>
      </c>
    </row>
    <row r="83">
      <c r="J83" s="2" t="n">
        <v>28</v>
      </c>
      <c r="K83" s="2">
        <f>(B77*2)/2</f>
        <v/>
      </c>
      <c r="L83" s="5" t="n"/>
      <c r="M83" s="2">
        <f>(D77*2)/2</f>
        <v/>
      </c>
      <c r="O83" s="5" t="n"/>
      <c r="P83" s="2" t="n">
        <v>1</v>
      </c>
      <c r="Q83" s="2">
        <f>$B$2&amp;"|"&amp;K83&amp;"$"&amp;$C$3&amp;"|"&amp;L83&amp;"$"&amp;$D$3&amp;"|"&amp;M83&amp;"$"&amp;$E$3&amp;"|"&amp;N83&amp;"$"&amp;$F$3&amp;"|"&amp;O83&amp;"$"&amp;$G$3&amp;"|"&amp;P83</f>
        <v/>
      </c>
    </row>
    <row r="84">
      <c r="J84" s="2" t="n">
        <v>29</v>
      </c>
      <c r="K84" s="2">
        <f>(B78*2)/2</f>
        <v/>
      </c>
      <c r="L84" s="5" t="n"/>
      <c r="M84" s="2">
        <f>(D78*2)/2</f>
        <v/>
      </c>
      <c r="O84" s="5" t="n"/>
      <c r="P84" s="2" t="n">
        <v>1</v>
      </c>
      <c r="Q84" s="2">
        <f>$B$2&amp;"|"&amp;K84&amp;"$"&amp;$C$3&amp;"|"&amp;L84&amp;"$"&amp;$D$3&amp;"|"&amp;M84&amp;"$"&amp;$E$3&amp;"|"&amp;N84&amp;"$"&amp;$F$3&amp;"|"&amp;O84&amp;"$"&amp;$G$3&amp;"|"&amp;P84</f>
        <v/>
      </c>
    </row>
    <row r="85">
      <c r="J85" s="2" t="n">
        <v>30</v>
      </c>
      <c r="K85" s="2">
        <f>(B79*2)/2</f>
        <v/>
      </c>
      <c r="L85" s="5" t="n"/>
      <c r="M85" s="2">
        <f>(D79*2)/2</f>
        <v/>
      </c>
      <c r="O85" s="5" t="n"/>
      <c r="P85" s="2" t="n">
        <v>1</v>
      </c>
      <c r="Q85" s="2">
        <f>$B$2&amp;"|"&amp;K85&amp;"$"&amp;$C$3&amp;"|"&amp;L85&amp;"$"&amp;$D$3&amp;"|"&amp;M85&amp;"$"&amp;$E$3&amp;"|"&amp;N85&amp;"$"&amp;$F$3&amp;"|"&amp;O85&amp;"$"&amp;$G$3&amp;"|"&amp;P85</f>
        <v/>
      </c>
    </row>
    <row r="87">
      <c r="A87" s="79" t="inlineStr">
        <is>
          <t>第3关资源</t>
        </is>
      </c>
      <c r="B87" s="2" t="inlineStr">
        <is>
          <t>灵石</t>
        </is>
      </c>
      <c r="C87" s="70" t="inlineStr">
        <is>
          <t>太玄果</t>
        </is>
      </c>
      <c r="D87" s="41" t="inlineStr">
        <is>
          <t>3阶清灵草</t>
        </is>
      </c>
      <c r="E87" s="41" t="inlineStr">
        <is>
          <t>3阶月灵矿</t>
        </is>
      </c>
      <c r="F87" s="70" t="inlineStr">
        <is>
          <t>2阶技能残页</t>
        </is>
      </c>
      <c r="G87" s="70" t="inlineStr">
        <is>
          <t>星尘</t>
        </is>
      </c>
      <c r="J87" s="79" t="inlineStr">
        <is>
          <t>第3关裂隙资源</t>
        </is>
      </c>
      <c r="K87" s="2" t="inlineStr">
        <is>
          <t>灵石</t>
        </is>
      </c>
      <c r="L87" s="70" t="inlineStr">
        <is>
          <t>太玄果</t>
        </is>
      </c>
      <c r="M87" s="70" t="inlineStr">
        <is>
          <t>清灵草</t>
        </is>
      </c>
      <c r="N87" s="70" t="inlineStr">
        <is>
          <t>月灵矿</t>
        </is>
      </c>
      <c r="O87" s="70" t="inlineStr">
        <is>
          <t>技能残页</t>
        </is>
      </c>
      <c r="P87" s="70" t="inlineStr">
        <is>
          <t>星尘</t>
        </is>
      </c>
    </row>
    <row r="88">
      <c r="A88" s="2" t="n">
        <v>1</v>
      </c>
      <c r="B88" s="2" t="n">
        <v>1440</v>
      </c>
      <c r="C88" s="8" t="n"/>
      <c r="D88" s="81" t="n">
        <v>523</v>
      </c>
      <c r="E88" s="81" t="n">
        <v>240</v>
      </c>
      <c r="F88" s="8" t="n"/>
      <c r="G88" s="8" t="n"/>
      <c r="H88" s="2">
        <f>$B$2&amp;"|"&amp;B88&amp;"$"&amp;$C$4&amp;"|"&amp;C88&amp;"$"&amp;$D$4&amp;"|"&amp;D88&amp;"$"&amp;$E$4&amp;"|"&amp;E88&amp;"$"&amp;$F$4&amp;"|"&amp;F88&amp;"$"&amp;$G$4&amp;"|"&amp;G88</f>
        <v/>
      </c>
      <c r="J88" s="2" t="n">
        <v>1</v>
      </c>
      <c r="K88" s="2" t="n">
        <v>3600</v>
      </c>
      <c r="L88" s="5" t="n"/>
      <c r="M88" s="2" t="n">
        <v>912</v>
      </c>
      <c r="N88" s="2" t="n">
        <v>456</v>
      </c>
      <c r="O88" s="5" t="n"/>
      <c r="Q88" s="2" t="inlineStr">
        <is>
          <t>10001|3600$93001|$83001|912$113001|456$123001|$193001|</t>
        </is>
      </c>
    </row>
    <row r="89">
      <c r="A89" s="2" t="n">
        <v>2</v>
      </c>
      <c r="B89" s="2" t="n">
        <v>1680</v>
      </c>
      <c r="C89" s="8" t="n"/>
      <c r="D89" s="81" t="n">
        <v>566</v>
      </c>
      <c r="E89" s="81" t="n">
        <v>264</v>
      </c>
      <c r="F89" s="8" t="n"/>
      <c r="G89" s="8" t="n"/>
      <c r="H89" s="2">
        <f>$B$2&amp;"|"&amp;B89&amp;"$"&amp;$C$4&amp;"|"&amp;C89&amp;"$"&amp;$D$4&amp;"|"&amp;D89&amp;"$"&amp;$E$4&amp;"|"&amp;E89&amp;"$"&amp;$F$4&amp;"|"&amp;F89&amp;"$"&amp;$G$4&amp;"|"&amp;G89</f>
        <v/>
      </c>
      <c r="J89" s="2" t="n">
        <v>2</v>
      </c>
      <c r="K89" s="2" t="n">
        <v>3840</v>
      </c>
      <c r="L89" s="5" t="n"/>
      <c r="M89" s="2" t="n">
        <v>955</v>
      </c>
      <c r="N89" s="2" t="n">
        <v>480</v>
      </c>
      <c r="O89" s="5" t="n"/>
      <c r="Q89" s="2" t="inlineStr">
        <is>
          <t>10001|3840$93001|$83001|955$113001|480$123001|$193001|</t>
        </is>
      </c>
    </row>
    <row r="90">
      <c r="A90" s="2" t="n">
        <v>3</v>
      </c>
      <c r="B90" s="2" t="n">
        <v>1920</v>
      </c>
      <c r="C90" s="8" t="n"/>
      <c r="D90" s="81" t="n">
        <v>610</v>
      </c>
      <c r="E90" s="81" t="n">
        <v>288</v>
      </c>
      <c r="F90" s="8" t="n"/>
      <c r="G90" s="8" t="n"/>
      <c r="H90" s="2">
        <f>$B$2&amp;"|"&amp;B90&amp;"$"&amp;$C$4&amp;"|"&amp;C90&amp;"$"&amp;$D$4&amp;"|"&amp;D90&amp;"$"&amp;$E$4&amp;"|"&amp;E90&amp;"$"&amp;$F$4&amp;"|"&amp;F90&amp;"$"&amp;$G$4&amp;"|"&amp;G90</f>
        <v/>
      </c>
      <c r="J90" s="2" t="n">
        <v>3</v>
      </c>
      <c r="K90" s="2" t="n">
        <v>4080</v>
      </c>
      <c r="L90" s="5" t="n"/>
      <c r="M90" s="2" t="n">
        <v>998</v>
      </c>
      <c r="N90" s="2" t="n">
        <v>504</v>
      </c>
      <c r="O90" s="5" t="n"/>
      <c r="Q90" s="2" t="inlineStr">
        <is>
          <t>10001|4080$93001|$83001|998$113001|504$123001|$193001|</t>
        </is>
      </c>
    </row>
    <row r="91">
      <c r="A91" s="2" t="n">
        <v>4</v>
      </c>
      <c r="B91" s="2" t="n">
        <v>2160</v>
      </c>
      <c r="C91" s="8" t="n"/>
      <c r="D91" s="81" t="n">
        <v>653</v>
      </c>
      <c r="E91" s="81" t="n">
        <v>312</v>
      </c>
      <c r="F91" s="8" t="n"/>
      <c r="G91" s="8" t="n"/>
      <c r="H91" s="2">
        <f>$B$2&amp;"|"&amp;B91&amp;"$"&amp;$C$4&amp;"|"&amp;C91&amp;"$"&amp;$D$4&amp;"|"&amp;D91&amp;"$"&amp;$E$4&amp;"|"&amp;E91&amp;"$"&amp;$F$4&amp;"|"&amp;F91&amp;"$"&amp;$G$4&amp;"|"&amp;G91</f>
        <v/>
      </c>
      <c r="J91" s="2" t="n">
        <v>4</v>
      </c>
      <c r="K91" s="2" t="n">
        <v>4320</v>
      </c>
      <c r="L91" s="5" t="n"/>
      <c r="M91" s="2" t="n">
        <v>1042</v>
      </c>
      <c r="N91" s="2" t="n">
        <v>528</v>
      </c>
      <c r="O91" s="5" t="n"/>
      <c r="Q91" s="2" t="inlineStr">
        <is>
          <t>10001|4320$93001|$83001|1042$113001|528$123001|$193001|</t>
        </is>
      </c>
    </row>
    <row r="92">
      <c r="A92" s="2" t="n">
        <v>5</v>
      </c>
      <c r="B92" s="2" t="n">
        <v>2400</v>
      </c>
      <c r="C92" s="8" t="n"/>
      <c r="D92" s="81" t="n">
        <v>696</v>
      </c>
      <c r="E92" s="81" t="n">
        <v>336</v>
      </c>
      <c r="F92" s="8" t="n"/>
      <c r="G92" s="8" t="n"/>
      <c r="H92" s="2">
        <f>$B$2&amp;"|"&amp;B92&amp;"$"&amp;$C$4&amp;"|"&amp;C92&amp;"$"&amp;$D$4&amp;"|"&amp;D92&amp;"$"&amp;$E$4&amp;"|"&amp;E92&amp;"$"&amp;$F$4&amp;"|"&amp;F92&amp;"$"&amp;$G$4&amp;"|"&amp;G92</f>
        <v/>
      </c>
      <c r="J92" s="2" t="n">
        <v>5</v>
      </c>
      <c r="K92" s="2" t="n">
        <v>4560</v>
      </c>
      <c r="L92" s="5" t="n"/>
      <c r="M92" s="2" t="n">
        <v>1085</v>
      </c>
      <c r="N92" s="2" t="n">
        <v>552</v>
      </c>
      <c r="O92" s="5" t="n"/>
      <c r="Q92" s="2" t="inlineStr">
        <is>
          <t>10001|4560$93001|$83001|1085$113001|552$123001|$193001|</t>
        </is>
      </c>
    </row>
    <row r="93">
      <c r="A93" s="2" t="n">
        <v>6</v>
      </c>
      <c r="B93" s="2" t="n">
        <v>2640</v>
      </c>
      <c r="C93" s="8" t="n"/>
      <c r="D93" s="81" t="n">
        <v>739</v>
      </c>
      <c r="E93" s="81" t="n">
        <v>360</v>
      </c>
      <c r="F93" s="8" t="n"/>
      <c r="G93" s="8" t="n"/>
      <c r="H93" s="2">
        <f>$B$2&amp;"|"&amp;B93&amp;"$"&amp;$C$4&amp;"|"&amp;C93&amp;"$"&amp;$D$4&amp;"|"&amp;D93&amp;"$"&amp;$E$4&amp;"|"&amp;E93&amp;"$"&amp;$F$4&amp;"|"&amp;F93&amp;"$"&amp;$G$4&amp;"|"&amp;G93</f>
        <v/>
      </c>
      <c r="J93" s="2" t="n">
        <v>6</v>
      </c>
      <c r="K93" s="2" t="n">
        <v>4800</v>
      </c>
      <c r="L93" s="5" t="n"/>
      <c r="M93" s="2" t="n">
        <v>1128</v>
      </c>
      <c r="N93" s="2" t="n">
        <v>576</v>
      </c>
      <c r="O93" s="5" t="n"/>
      <c r="Q93" s="2" t="inlineStr">
        <is>
          <t>10001|4800$93001|$83001|1128$113001|576$123001|$193001|</t>
        </is>
      </c>
    </row>
    <row r="94">
      <c r="A94" s="2" t="n">
        <v>7</v>
      </c>
      <c r="B94" s="2" t="n">
        <v>2880</v>
      </c>
      <c r="C94" s="8" t="n"/>
      <c r="D94" s="81" t="n">
        <v>782</v>
      </c>
      <c r="E94" s="81" t="n">
        <v>384</v>
      </c>
      <c r="F94" s="8" t="n"/>
      <c r="G94" s="8" t="n"/>
      <c r="H94" s="2">
        <f>$B$2&amp;"|"&amp;B94&amp;"$"&amp;$C$4&amp;"|"&amp;C94&amp;"$"&amp;$D$4&amp;"|"&amp;D94&amp;"$"&amp;$E$4&amp;"|"&amp;E94&amp;"$"&amp;$F$4&amp;"|"&amp;F94&amp;"$"&amp;$G$4&amp;"|"&amp;G94</f>
        <v/>
      </c>
      <c r="J94" s="2" t="n">
        <v>7</v>
      </c>
      <c r="K94" s="2" t="n">
        <v>5040</v>
      </c>
      <c r="L94" s="5" t="n"/>
      <c r="M94" s="2" t="n">
        <v>1171</v>
      </c>
      <c r="N94" s="2" t="n">
        <v>600</v>
      </c>
      <c r="O94" s="5" t="n"/>
      <c r="Q94" s="2" t="inlineStr">
        <is>
          <t>10001|5040$93001|$83001|1171$113001|600$123001|$193001|</t>
        </is>
      </c>
    </row>
    <row r="95">
      <c r="A95" s="2" t="n">
        <v>8</v>
      </c>
      <c r="B95" s="2" t="n">
        <v>3120</v>
      </c>
      <c r="C95" s="8" t="n"/>
      <c r="D95" s="81" t="n">
        <v>826</v>
      </c>
      <c r="E95" s="81" t="n">
        <v>408</v>
      </c>
      <c r="F95" s="8" t="n"/>
      <c r="G95" s="8" t="n"/>
      <c r="H95" s="2">
        <f>$B$2&amp;"|"&amp;B95&amp;"$"&amp;$C$4&amp;"|"&amp;C95&amp;"$"&amp;$D$4&amp;"|"&amp;D95&amp;"$"&amp;$E$4&amp;"|"&amp;E95&amp;"$"&amp;$F$4&amp;"|"&amp;F95&amp;"$"&amp;$G$4&amp;"|"&amp;G95</f>
        <v/>
      </c>
      <c r="J95" s="2" t="n">
        <v>8</v>
      </c>
      <c r="K95" s="2" t="n">
        <v>5280</v>
      </c>
      <c r="L95" s="5" t="n"/>
      <c r="M95" s="2" t="n">
        <v>1214</v>
      </c>
      <c r="N95" s="2" t="n">
        <v>624</v>
      </c>
      <c r="O95" s="5" t="n"/>
      <c r="Q95" s="2" t="inlineStr">
        <is>
          <t>10001|5280$93001|$83001|1214$113001|624$123001|$193001|</t>
        </is>
      </c>
    </row>
    <row r="96">
      <c r="A96" s="2" t="n">
        <v>9</v>
      </c>
      <c r="B96" s="2" t="n">
        <v>3360</v>
      </c>
      <c r="C96" s="8" t="n"/>
      <c r="D96" s="81" t="n">
        <v>869</v>
      </c>
      <c r="E96" s="81" t="n">
        <v>432</v>
      </c>
      <c r="F96" s="8" t="n"/>
      <c r="G96" s="8" t="n"/>
      <c r="H96" s="2">
        <f>$B$2&amp;"|"&amp;B96&amp;"$"&amp;$C$4&amp;"|"&amp;C96&amp;"$"&amp;$D$4&amp;"|"&amp;D96&amp;"$"&amp;$E$4&amp;"|"&amp;E96&amp;"$"&amp;$F$4&amp;"|"&amp;F96&amp;"$"&amp;$G$4&amp;"|"&amp;G96</f>
        <v/>
      </c>
      <c r="J96" s="2" t="n">
        <v>9</v>
      </c>
      <c r="K96" s="2" t="n">
        <v>5520</v>
      </c>
      <c r="L96" s="5" t="n"/>
      <c r="M96" s="2" t="n">
        <v>1258</v>
      </c>
      <c r="N96" s="2" t="n">
        <v>648</v>
      </c>
      <c r="O96" s="5" t="n"/>
      <c r="Q96" s="2" t="inlineStr">
        <is>
          <t>10001|5520$93001|$83001|1258$113001|648$123001|$193001|</t>
        </is>
      </c>
    </row>
    <row r="97">
      <c r="A97" s="2" t="n">
        <v>10</v>
      </c>
      <c r="B97" s="2" t="n">
        <v>3600</v>
      </c>
      <c r="C97" s="8" t="n"/>
      <c r="D97" s="81" t="n">
        <v>912</v>
      </c>
      <c r="E97" s="81" t="n">
        <v>456</v>
      </c>
      <c r="F97" s="8" t="n"/>
      <c r="G97" s="8" t="n"/>
      <c r="H97" s="2">
        <f>$B$2&amp;"|"&amp;B97&amp;"$"&amp;$C$4&amp;"|"&amp;C97&amp;"$"&amp;$D$4&amp;"|"&amp;D97&amp;"$"&amp;$E$4&amp;"|"&amp;E97&amp;"$"&amp;$F$4&amp;"|"&amp;F97&amp;"$"&amp;$G$4&amp;"|"&amp;G97</f>
        <v/>
      </c>
      <c r="J97" s="2" t="n">
        <v>10</v>
      </c>
      <c r="K97" s="2" t="n">
        <v>5760</v>
      </c>
      <c r="L97" s="5" t="n"/>
      <c r="M97" s="2" t="n">
        <v>1301</v>
      </c>
      <c r="N97" s="2" t="n">
        <v>672</v>
      </c>
      <c r="O97" s="5" t="n"/>
      <c r="Q97" s="2" t="inlineStr">
        <is>
          <t>10001|5760$93001|$83001|1301$113001|672$123001|$193001|</t>
        </is>
      </c>
    </row>
    <row r="98">
      <c r="A98" s="2" t="n">
        <v>11</v>
      </c>
      <c r="B98" s="2" t="n">
        <v>3840</v>
      </c>
      <c r="C98" s="8" t="n"/>
      <c r="D98" s="81" t="n">
        <v>955</v>
      </c>
      <c r="E98" s="81" t="n">
        <v>480</v>
      </c>
      <c r="F98" s="8" t="n"/>
      <c r="G98" s="8" t="n"/>
      <c r="H98" s="2">
        <f>$B$2&amp;"|"&amp;B98&amp;"$"&amp;$C$4&amp;"|"&amp;C98&amp;"$"&amp;$D$4&amp;"|"&amp;D98&amp;"$"&amp;$E$4&amp;"|"&amp;E98&amp;"$"&amp;$F$4&amp;"|"&amp;F98&amp;"$"&amp;$G$4&amp;"|"&amp;G98</f>
        <v/>
      </c>
      <c r="J98" s="2" t="n">
        <v>11</v>
      </c>
      <c r="K98" s="2" t="n">
        <v>6000</v>
      </c>
      <c r="L98" s="5" t="n"/>
      <c r="M98" s="2" t="n">
        <v>1344</v>
      </c>
      <c r="N98" s="2" t="n">
        <v>696</v>
      </c>
      <c r="O98" s="5" t="n"/>
      <c r="Q98" s="2" t="inlineStr">
        <is>
          <t>10001|6000$93001|$83001|1344$113001|696$123001|$193001|</t>
        </is>
      </c>
    </row>
    <row r="99">
      <c r="A99" s="2" t="n">
        <v>12</v>
      </c>
      <c r="B99" s="2" t="n">
        <v>4080</v>
      </c>
      <c r="C99" s="8" t="n"/>
      <c r="D99" s="81" t="n">
        <v>998</v>
      </c>
      <c r="E99" s="81" t="n">
        <v>504</v>
      </c>
      <c r="F99" s="8" t="n"/>
      <c r="G99" s="8" t="n"/>
      <c r="H99" s="2">
        <f>$B$2&amp;"|"&amp;B99&amp;"$"&amp;$C$4&amp;"|"&amp;C99&amp;"$"&amp;$D$4&amp;"|"&amp;D99&amp;"$"&amp;$E$4&amp;"|"&amp;E99&amp;"$"&amp;$F$4&amp;"|"&amp;F99&amp;"$"&amp;$G$4&amp;"|"&amp;G99</f>
        <v/>
      </c>
      <c r="J99" s="2" t="n">
        <v>12</v>
      </c>
      <c r="K99" s="2" t="n">
        <v>6240</v>
      </c>
      <c r="L99" s="5" t="n"/>
      <c r="M99" s="2" t="n">
        <v>1387</v>
      </c>
      <c r="N99" s="2" t="n">
        <v>720</v>
      </c>
      <c r="O99" s="5" t="n"/>
      <c r="Q99" s="2" t="inlineStr">
        <is>
          <t>10001|6240$93001|$83001|1387$113001|720$123001|$193001|</t>
        </is>
      </c>
    </row>
    <row r="100">
      <c r="A100" s="2" t="n">
        <v>13</v>
      </c>
      <c r="B100" s="2" t="n">
        <v>4320</v>
      </c>
      <c r="C100" s="8" t="n"/>
      <c r="D100" s="81" t="n">
        <v>1042</v>
      </c>
      <c r="E100" s="81" t="n">
        <v>528</v>
      </c>
      <c r="F100" s="8" t="n"/>
      <c r="G100" s="8" t="n"/>
      <c r="H100" s="2">
        <f>$B$2&amp;"|"&amp;B100&amp;"$"&amp;$C$4&amp;"|"&amp;C100&amp;"$"&amp;$D$4&amp;"|"&amp;D100&amp;"$"&amp;$E$4&amp;"|"&amp;E100&amp;"$"&amp;$F$4&amp;"|"&amp;F100&amp;"$"&amp;$G$4&amp;"|"&amp;G100</f>
        <v/>
      </c>
      <c r="J100" s="2" t="n">
        <v>13</v>
      </c>
      <c r="K100" s="2" t="n">
        <v>6480</v>
      </c>
      <c r="L100" s="5" t="n"/>
      <c r="M100" s="2" t="n">
        <v>1430</v>
      </c>
      <c r="N100" s="2" t="n">
        <v>744</v>
      </c>
      <c r="O100" s="5" t="n"/>
      <c r="Q100" s="2" t="inlineStr">
        <is>
          <t>10001|6480$93001|$83001|1430$113001|744$123001|$193001|</t>
        </is>
      </c>
    </row>
    <row r="101">
      <c r="A101" s="2" t="n">
        <v>14</v>
      </c>
      <c r="B101" s="2" t="n">
        <v>4560</v>
      </c>
      <c r="C101" s="8" t="n"/>
      <c r="D101" s="81" t="n">
        <v>1085</v>
      </c>
      <c r="E101" s="81" t="n">
        <v>552</v>
      </c>
      <c r="F101" s="8" t="n"/>
      <c r="G101" s="8" t="n"/>
      <c r="H101" s="2">
        <f>$B$2&amp;"|"&amp;B101&amp;"$"&amp;$C$4&amp;"|"&amp;C101&amp;"$"&amp;$D$4&amp;"|"&amp;D101&amp;"$"&amp;$E$4&amp;"|"&amp;E101&amp;"$"&amp;$F$4&amp;"|"&amp;F101&amp;"$"&amp;$G$4&amp;"|"&amp;G101</f>
        <v/>
      </c>
      <c r="J101" s="2" t="n">
        <v>14</v>
      </c>
      <c r="K101" s="2" t="n">
        <v>6720</v>
      </c>
      <c r="L101" s="5" t="n"/>
      <c r="M101" s="2" t="n">
        <v>1474</v>
      </c>
      <c r="N101" s="2" t="n">
        <v>768</v>
      </c>
      <c r="O101" s="5" t="n"/>
      <c r="Q101" s="2" t="inlineStr">
        <is>
          <t>10001|6720$93001|$83001|1474$113001|768$123001|$193001|</t>
        </is>
      </c>
    </row>
    <row r="102">
      <c r="A102" s="2" t="n">
        <v>15</v>
      </c>
      <c r="B102" s="2" t="n">
        <v>4800</v>
      </c>
      <c r="C102" s="8" t="n"/>
      <c r="D102" s="81" t="n">
        <v>1128</v>
      </c>
      <c r="E102" s="81" t="n">
        <v>576</v>
      </c>
      <c r="F102" s="8" t="n"/>
      <c r="G102" s="8" t="n"/>
      <c r="H102" s="2">
        <f>$B$2&amp;"|"&amp;B102&amp;"$"&amp;$C$4&amp;"|"&amp;C102&amp;"$"&amp;$D$4&amp;"|"&amp;D102&amp;"$"&amp;$E$4&amp;"|"&amp;E102&amp;"$"&amp;$F$4&amp;"|"&amp;F102&amp;"$"&amp;$G$4&amp;"|"&amp;G102</f>
        <v/>
      </c>
      <c r="J102" s="2" t="n">
        <v>15</v>
      </c>
      <c r="K102" s="2" t="n">
        <v>6960</v>
      </c>
      <c r="L102" s="5" t="n"/>
      <c r="M102" s="2" t="n">
        <v>1517</v>
      </c>
      <c r="N102" s="2" t="n">
        <v>792</v>
      </c>
      <c r="O102" s="5" t="n"/>
      <c r="Q102" s="2" t="inlineStr">
        <is>
          <t>10001|6960$93001|$83001|1517$113001|792$123001|$193001|</t>
        </is>
      </c>
    </row>
    <row r="103">
      <c r="A103" s="2" t="n">
        <v>16</v>
      </c>
      <c r="B103" s="2" t="n">
        <v>5040</v>
      </c>
      <c r="C103" s="8" t="n"/>
      <c r="D103" s="81" t="n">
        <v>1171</v>
      </c>
      <c r="E103" s="81" t="n">
        <v>600</v>
      </c>
      <c r="F103" s="8" t="n"/>
      <c r="G103" s="8" t="n"/>
      <c r="H103" s="2">
        <f>$B$2&amp;"|"&amp;B103&amp;"$"&amp;$C$4&amp;"|"&amp;C103&amp;"$"&amp;$D$4&amp;"|"&amp;D103&amp;"$"&amp;$E$4&amp;"|"&amp;E103&amp;"$"&amp;$F$4&amp;"|"&amp;F103&amp;"$"&amp;$G$4&amp;"|"&amp;G103</f>
        <v/>
      </c>
      <c r="J103" s="2" t="n">
        <v>16</v>
      </c>
      <c r="K103" s="2" t="n">
        <v>7200</v>
      </c>
      <c r="L103" s="5" t="n"/>
      <c r="M103" s="2" t="n">
        <v>1560</v>
      </c>
      <c r="N103" s="2" t="n">
        <v>816</v>
      </c>
      <c r="O103" s="5" t="n"/>
      <c r="Q103" s="2" t="inlineStr">
        <is>
          <t>10001|7200$93001|$83001|1560$113001|816$123001|$193001|</t>
        </is>
      </c>
    </row>
    <row r="104">
      <c r="A104" s="2" t="n">
        <v>17</v>
      </c>
      <c r="B104" s="2" t="n">
        <v>5280</v>
      </c>
      <c r="C104" s="8" t="n"/>
      <c r="D104" s="81" t="n">
        <v>1214</v>
      </c>
      <c r="E104" s="81" t="n">
        <v>624</v>
      </c>
      <c r="F104" s="8" t="n"/>
      <c r="G104" s="8" t="n"/>
      <c r="H104" s="2">
        <f>$B$2&amp;"|"&amp;B104&amp;"$"&amp;$C$4&amp;"|"&amp;C104&amp;"$"&amp;$D$4&amp;"|"&amp;D104&amp;"$"&amp;$E$4&amp;"|"&amp;E104&amp;"$"&amp;$F$4&amp;"|"&amp;F104&amp;"$"&amp;$G$4&amp;"|"&amp;G104</f>
        <v/>
      </c>
      <c r="J104" s="2" t="n">
        <v>17</v>
      </c>
      <c r="K104" s="2" t="n">
        <v>7440</v>
      </c>
      <c r="L104" s="5" t="n"/>
      <c r="M104" s="2" t="n">
        <v>1603</v>
      </c>
      <c r="N104" s="2" t="n">
        <v>840</v>
      </c>
      <c r="O104" s="5" t="n"/>
      <c r="Q104" s="2" t="inlineStr">
        <is>
          <t>10001|7440$93001|$83001|1603$113001|840$123001|$193001|</t>
        </is>
      </c>
    </row>
    <row r="105">
      <c r="A105" s="2" t="n">
        <v>18</v>
      </c>
      <c r="B105" s="2" t="n">
        <v>5520</v>
      </c>
      <c r="C105" s="8" t="n"/>
      <c r="D105" s="81" t="n">
        <v>1258</v>
      </c>
      <c r="E105" s="81" t="n">
        <v>648</v>
      </c>
      <c r="F105" s="8" t="n"/>
      <c r="G105" s="8" t="n"/>
      <c r="H105" s="2">
        <f>$B$2&amp;"|"&amp;B105&amp;"$"&amp;$C$4&amp;"|"&amp;C105&amp;"$"&amp;$D$4&amp;"|"&amp;D105&amp;"$"&amp;$E$4&amp;"|"&amp;E105&amp;"$"&amp;$F$4&amp;"|"&amp;F105&amp;"$"&amp;$G$4&amp;"|"&amp;G105</f>
        <v/>
      </c>
      <c r="J105" s="2" t="n">
        <v>18</v>
      </c>
      <c r="K105" s="2" t="n">
        <v>7680</v>
      </c>
      <c r="L105" s="5" t="n"/>
      <c r="M105" s="2" t="n">
        <v>1646</v>
      </c>
      <c r="N105" s="2" t="n">
        <v>864</v>
      </c>
      <c r="O105" s="5" t="n"/>
      <c r="Q105" s="2" t="inlineStr">
        <is>
          <t>10001|7680$93001|$83001|1646$113001|864$123001|$193001|</t>
        </is>
      </c>
    </row>
    <row r="106">
      <c r="A106" s="2" t="n">
        <v>19</v>
      </c>
      <c r="B106" s="2" t="n">
        <v>5760</v>
      </c>
      <c r="C106" s="8" t="n"/>
      <c r="D106" s="81" t="n">
        <v>1301</v>
      </c>
      <c r="E106" s="81" t="n">
        <v>672</v>
      </c>
      <c r="F106" s="8" t="n"/>
      <c r="G106" s="8" t="n"/>
      <c r="H106" s="2">
        <f>$B$2&amp;"|"&amp;B106&amp;"$"&amp;$C$4&amp;"|"&amp;C106&amp;"$"&amp;$D$4&amp;"|"&amp;D106&amp;"$"&amp;$E$4&amp;"|"&amp;E106&amp;"$"&amp;$F$4&amp;"|"&amp;F106&amp;"$"&amp;$G$4&amp;"|"&amp;G106</f>
        <v/>
      </c>
      <c r="J106" s="2" t="n">
        <v>19</v>
      </c>
      <c r="K106" s="2" t="n">
        <v>7920</v>
      </c>
      <c r="L106" s="5" t="n"/>
      <c r="M106" s="2" t="n">
        <v>1690</v>
      </c>
      <c r="N106" s="2" t="n">
        <v>888</v>
      </c>
      <c r="O106" s="5" t="n"/>
      <c r="Q106" s="2" t="inlineStr">
        <is>
          <t>10001|7920$93001|$83001|1690$113001|888$123001|$193001|</t>
        </is>
      </c>
    </row>
    <row r="107">
      <c r="A107" s="2" t="n">
        <v>20</v>
      </c>
      <c r="B107" s="2" t="n">
        <v>6000</v>
      </c>
      <c r="C107" s="8" t="n"/>
      <c r="D107" s="81" t="n">
        <v>1344</v>
      </c>
      <c r="E107" s="81" t="n">
        <v>696</v>
      </c>
      <c r="F107" s="8" t="n"/>
      <c r="G107" s="8" t="n"/>
      <c r="H107" s="2">
        <f>$B$2&amp;"|"&amp;B107&amp;"$"&amp;$C$4&amp;"|"&amp;C107&amp;"$"&amp;$D$4&amp;"|"&amp;D107&amp;"$"&amp;$E$4&amp;"|"&amp;E107&amp;"$"&amp;$F$4&amp;"|"&amp;F107&amp;"$"&amp;$G$4&amp;"|"&amp;G107</f>
        <v/>
      </c>
      <c r="J107" s="2" t="n">
        <v>20</v>
      </c>
      <c r="K107" s="2" t="n">
        <v>8160</v>
      </c>
      <c r="L107" s="5" t="n"/>
      <c r="M107" s="2" t="n">
        <v>1733</v>
      </c>
      <c r="N107" s="2" t="n">
        <v>912</v>
      </c>
      <c r="O107" s="5" t="n"/>
      <c r="Q107" s="2" t="inlineStr">
        <is>
          <t>10001|8160$93001|$83001|1733$113001|912$123001|$193001|</t>
        </is>
      </c>
    </row>
    <row r="108">
      <c r="A108" s="2" t="n">
        <v>21</v>
      </c>
      <c r="B108" s="2" t="n">
        <v>6240</v>
      </c>
      <c r="C108" s="8" t="n"/>
      <c r="D108" s="81" t="n">
        <v>1387</v>
      </c>
      <c r="E108" s="81" t="n">
        <v>720</v>
      </c>
      <c r="G108" s="8" t="n"/>
      <c r="H108" s="2">
        <f>$B$2&amp;"|"&amp;B108&amp;"$"&amp;$C$4&amp;"|"&amp;C108&amp;"$"&amp;$D$4&amp;"|"&amp;D108&amp;"$"&amp;$E$4&amp;"|"&amp;E108&amp;"$"&amp;$F$4&amp;"|"&amp;F108&amp;"$"&amp;$G$4&amp;"|"&amp;G108</f>
        <v/>
      </c>
      <c r="J108" s="2" t="n">
        <v>21</v>
      </c>
      <c r="K108" s="2" t="n">
        <v>8400</v>
      </c>
      <c r="L108" s="5" t="n"/>
      <c r="M108" s="2" t="n">
        <v>1776</v>
      </c>
      <c r="N108" s="2" t="n">
        <v>936</v>
      </c>
      <c r="O108" s="5" t="n"/>
      <c r="Q108" s="2" t="inlineStr">
        <is>
          <t>10001|8400$93001|$83001|1776$113001|936$123001|$193001|</t>
        </is>
      </c>
    </row>
    <row r="109">
      <c r="A109" s="2" t="n">
        <v>22</v>
      </c>
      <c r="B109" s="2" t="n">
        <v>6480</v>
      </c>
      <c r="C109" s="8" t="n"/>
      <c r="D109" s="81" t="n">
        <v>1430</v>
      </c>
      <c r="E109" s="81" t="n">
        <v>744</v>
      </c>
      <c r="G109" s="8" t="n"/>
      <c r="H109" s="2">
        <f>$B$2&amp;"|"&amp;B109&amp;"$"&amp;$C$4&amp;"|"&amp;C109&amp;"$"&amp;$D$4&amp;"|"&amp;D109&amp;"$"&amp;$E$4&amp;"|"&amp;E109&amp;"$"&amp;$F$4&amp;"|"&amp;F109&amp;"$"&amp;$G$4&amp;"|"&amp;G109</f>
        <v/>
      </c>
      <c r="J109" s="2" t="n">
        <v>22</v>
      </c>
      <c r="K109" s="2" t="n">
        <v>8640</v>
      </c>
      <c r="L109" s="5" t="n"/>
      <c r="M109" s="2" t="n">
        <v>1819</v>
      </c>
      <c r="N109" s="2" t="n">
        <v>960</v>
      </c>
      <c r="O109" s="5" t="n"/>
      <c r="Q109" s="2" t="inlineStr">
        <is>
          <t>10001|8640$93001|$83001|1819$113001|960$123001|$193001|</t>
        </is>
      </c>
    </row>
    <row r="110">
      <c r="A110" s="2" t="n">
        <v>23</v>
      </c>
      <c r="B110" s="2" t="n">
        <v>6720</v>
      </c>
      <c r="C110" s="8" t="n"/>
      <c r="D110" s="81" t="n">
        <v>1474</v>
      </c>
      <c r="E110" s="81" t="n">
        <v>768</v>
      </c>
      <c r="G110" s="8" t="n"/>
      <c r="H110" s="2">
        <f>$B$2&amp;"|"&amp;B110&amp;"$"&amp;$C$4&amp;"|"&amp;C110&amp;"$"&amp;$D$4&amp;"|"&amp;D110&amp;"$"&amp;$E$4&amp;"|"&amp;E110&amp;"$"&amp;$F$4&amp;"|"&amp;F110&amp;"$"&amp;$G$4&amp;"|"&amp;G110</f>
        <v/>
      </c>
      <c r="J110" s="2" t="n">
        <v>23</v>
      </c>
      <c r="K110" s="2" t="n">
        <v>8880</v>
      </c>
      <c r="L110" s="5" t="n"/>
      <c r="M110" s="2" t="n">
        <v>1862</v>
      </c>
      <c r="N110" s="2" t="n">
        <v>984</v>
      </c>
      <c r="O110" s="5" t="n"/>
      <c r="Q110" s="2" t="inlineStr">
        <is>
          <t>10001|8880$93001|$83001|1862$113001|984$123001|$193001|</t>
        </is>
      </c>
    </row>
    <row r="111">
      <c r="A111" s="2" t="n">
        <v>24</v>
      </c>
      <c r="B111" s="2" t="n">
        <v>6960</v>
      </c>
      <c r="C111" s="8" t="n"/>
      <c r="D111" s="81" t="n">
        <v>1517</v>
      </c>
      <c r="E111" s="81" t="n">
        <v>792</v>
      </c>
      <c r="G111" s="8" t="n"/>
      <c r="H111" s="2">
        <f>$B$2&amp;"|"&amp;B111&amp;"$"&amp;$C$4&amp;"|"&amp;C111&amp;"$"&amp;$D$4&amp;"|"&amp;D111&amp;"$"&amp;$E$4&amp;"|"&amp;E111&amp;"$"&amp;$F$4&amp;"|"&amp;F111&amp;"$"&amp;$G$4&amp;"|"&amp;G111</f>
        <v/>
      </c>
      <c r="J111" s="2" t="n">
        <v>24</v>
      </c>
      <c r="K111" s="2" t="n">
        <v>9120</v>
      </c>
      <c r="L111" s="5" t="n"/>
      <c r="M111" s="2" t="n">
        <v>1905</v>
      </c>
      <c r="N111" s="2" t="n">
        <v>1008</v>
      </c>
      <c r="O111" s="5" t="n"/>
      <c r="Q111" s="2" t="inlineStr">
        <is>
          <t>10001|9120$93001|$83001|1905$113001|1008$123001|$193001|</t>
        </is>
      </c>
    </row>
    <row r="112">
      <c r="A112" s="2" t="n">
        <v>25</v>
      </c>
      <c r="B112" s="2" t="n">
        <v>7200</v>
      </c>
      <c r="C112" s="8" t="n"/>
      <c r="D112" s="81" t="n">
        <v>1560</v>
      </c>
      <c r="E112" s="81" t="n">
        <v>816</v>
      </c>
      <c r="H112" s="2">
        <f>$B$2&amp;"|"&amp;B112&amp;"$"&amp;$C$4&amp;"|"&amp;C112&amp;"$"&amp;$D$4&amp;"|"&amp;D112&amp;"$"&amp;$E$4&amp;"|"&amp;E112&amp;"$"&amp;$F$4&amp;"|"&amp;F112&amp;"$"&amp;$G$4&amp;"|"&amp;G112</f>
        <v/>
      </c>
      <c r="J112" s="2" t="n">
        <v>25</v>
      </c>
      <c r="K112" s="2" t="n">
        <v>9360</v>
      </c>
      <c r="L112" s="5" t="n"/>
      <c r="M112" s="2" t="n">
        <v>1948</v>
      </c>
      <c r="N112" s="2" t="n">
        <v>1032</v>
      </c>
      <c r="O112" s="5" t="n"/>
      <c r="Q112" s="2" t="inlineStr">
        <is>
          <t>10001|9360$93001|$83001|1948$113001|1032$123001|$193001|</t>
        </is>
      </c>
    </row>
    <row r="113">
      <c r="A113" s="2" t="n">
        <v>26</v>
      </c>
      <c r="B113" s="2" t="n">
        <v>7440</v>
      </c>
      <c r="C113" s="8" t="n"/>
      <c r="D113" s="81" t="n">
        <v>1603</v>
      </c>
      <c r="E113" s="81" t="n">
        <v>840</v>
      </c>
      <c r="H113" s="2">
        <f>$B$2&amp;"|"&amp;B113&amp;"$"&amp;$C$4&amp;"|"&amp;C113&amp;"$"&amp;$D$4&amp;"|"&amp;D113&amp;"$"&amp;$E$4&amp;"|"&amp;E113&amp;"$"&amp;$F$4&amp;"|"&amp;F113&amp;"$"&amp;$G$4&amp;"|"&amp;G113</f>
        <v/>
      </c>
      <c r="J113" s="2" t="n">
        <v>26</v>
      </c>
      <c r="K113" s="2" t="n">
        <v>9600</v>
      </c>
      <c r="L113" s="5" t="n"/>
      <c r="M113" s="2" t="n">
        <v>1991</v>
      </c>
      <c r="N113" s="2" t="n">
        <v>1056</v>
      </c>
      <c r="O113" s="5" t="n"/>
      <c r="Q113" s="2" t="inlineStr">
        <is>
          <t>10001|9600$93001|$83001|1991$113001|1056$123001|$193001|</t>
        </is>
      </c>
    </row>
    <row r="114">
      <c r="A114" s="2" t="n">
        <v>27</v>
      </c>
      <c r="B114" s="2" t="n">
        <v>7680</v>
      </c>
      <c r="C114" s="8" t="n"/>
      <c r="D114" s="81" t="n">
        <v>1646</v>
      </c>
      <c r="E114" s="81" t="n">
        <v>864</v>
      </c>
      <c r="H114" s="2">
        <f>$B$2&amp;"|"&amp;B114&amp;"$"&amp;$C$4&amp;"|"&amp;C114&amp;"$"&amp;$D$4&amp;"|"&amp;D114&amp;"$"&amp;$E$4&amp;"|"&amp;E114&amp;"$"&amp;$F$4&amp;"|"&amp;F114&amp;"$"&amp;$G$4&amp;"|"&amp;G114</f>
        <v/>
      </c>
      <c r="J114" s="2" t="n">
        <v>27</v>
      </c>
      <c r="K114" s="2" t="n">
        <v>9840</v>
      </c>
      <c r="L114" s="5" t="n"/>
      <c r="M114" s="2" t="n">
        <v>2034</v>
      </c>
      <c r="N114" s="2" t="n">
        <v>1080</v>
      </c>
      <c r="O114" s="5" t="n"/>
      <c r="Q114" s="2" t="inlineStr">
        <is>
          <t>10001|9840$93001|$83001|2034$113001|1080$123001|$193001|</t>
        </is>
      </c>
    </row>
    <row r="115">
      <c r="A115" s="2" t="n">
        <v>28</v>
      </c>
      <c r="B115" s="2" t="n">
        <v>7920</v>
      </c>
      <c r="C115" s="8" t="n"/>
      <c r="D115" s="81" t="n">
        <v>1690</v>
      </c>
      <c r="E115" s="81" t="n">
        <v>888</v>
      </c>
      <c r="H115" s="2">
        <f>$B$2&amp;"|"&amp;B115&amp;"$"&amp;$C$4&amp;"|"&amp;C115&amp;"$"&amp;$D$4&amp;"|"&amp;D115&amp;"$"&amp;$E$4&amp;"|"&amp;E115&amp;"$"&amp;$F$4&amp;"|"&amp;F115&amp;"$"&amp;$G$4&amp;"|"&amp;G115</f>
        <v/>
      </c>
      <c r="J115" s="2" t="n">
        <v>28</v>
      </c>
      <c r="K115" s="2" t="n">
        <v>10080</v>
      </c>
      <c r="L115" s="5" t="n"/>
      <c r="M115" s="2" t="n">
        <v>2077</v>
      </c>
      <c r="N115" s="2" t="n">
        <v>1104</v>
      </c>
      <c r="O115" s="5" t="n"/>
      <c r="Q115" s="2" t="inlineStr">
        <is>
          <t>10001|10080$93001|$83001|2077$113001|1104$123001|$193001|</t>
        </is>
      </c>
    </row>
    <row r="116">
      <c r="A116" s="2" t="n">
        <v>29</v>
      </c>
      <c r="B116" s="2" t="n">
        <v>8160</v>
      </c>
      <c r="C116" s="8" t="n"/>
      <c r="D116" s="81" t="n">
        <v>1733</v>
      </c>
      <c r="E116" s="81" t="n">
        <v>912</v>
      </c>
      <c r="H116" s="2">
        <f>$B$2&amp;"|"&amp;B116&amp;"$"&amp;$C$4&amp;"|"&amp;C116&amp;"$"&amp;$D$4&amp;"|"&amp;D116&amp;"$"&amp;$E$4&amp;"|"&amp;E116&amp;"$"&amp;$F$4&amp;"|"&amp;F116&amp;"$"&amp;$G$4&amp;"|"&amp;G116</f>
        <v/>
      </c>
      <c r="J116" s="2" t="n">
        <v>29</v>
      </c>
      <c r="K116" s="2" t="n">
        <v>10320</v>
      </c>
      <c r="L116" s="5" t="n"/>
      <c r="M116" s="2" t="n">
        <v>2120</v>
      </c>
      <c r="N116" s="2" t="n">
        <v>1128</v>
      </c>
      <c r="O116" s="5" t="n"/>
      <c r="Q116" s="2" t="inlineStr">
        <is>
          <t>10001|10320$93001|$83001|2120$113001|1128$123001|$193001|</t>
        </is>
      </c>
    </row>
    <row r="117">
      <c r="A117" s="2" t="n">
        <v>30</v>
      </c>
      <c r="B117" s="2" t="n">
        <v>8400</v>
      </c>
      <c r="C117" s="8" t="n"/>
      <c r="D117" s="81" t="n">
        <v>1776</v>
      </c>
      <c r="E117" s="81" t="n">
        <v>936</v>
      </c>
      <c r="H117" s="2">
        <f>$B$2&amp;"|"&amp;B117&amp;"$"&amp;$C$4&amp;"|"&amp;C117&amp;"$"&amp;$D$4&amp;"|"&amp;D117&amp;"$"&amp;$E$4&amp;"|"&amp;E117&amp;"$"&amp;$F$4&amp;"|"&amp;F117&amp;"$"&amp;$G$4&amp;"|"&amp;G117</f>
        <v/>
      </c>
      <c r="J117" s="2" t="n">
        <v>30</v>
      </c>
      <c r="K117" s="2" t="n">
        <v>10560</v>
      </c>
      <c r="L117" s="5" t="n"/>
      <c r="M117" s="2" t="n">
        <v>2163</v>
      </c>
      <c r="N117" s="2" t="n">
        <v>1152</v>
      </c>
      <c r="O117" s="5" t="n"/>
      <c r="Q117" s="2" t="inlineStr">
        <is>
          <t>10001|10560$93001|$83001|2163$113001|1152$123001|$193001|</t>
        </is>
      </c>
    </row>
    <row r="118">
      <c r="A118" s="2" t="n">
        <v>31</v>
      </c>
      <c r="B118" s="2" t="n">
        <v>8640</v>
      </c>
      <c r="D118" s="81" t="n">
        <v>1819</v>
      </c>
      <c r="E118" s="81" t="n">
        <v>960</v>
      </c>
      <c r="H118" s="2">
        <f>$B$2&amp;"|"&amp;B118&amp;"$"&amp;$C$4&amp;"|"&amp;C118&amp;"$"&amp;$D$4&amp;"|"&amp;D118&amp;"$"&amp;$E$4&amp;"|"&amp;E118&amp;"$"&amp;$F$4&amp;"|"&amp;F118&amp;"$"&amp;$G$4&amp;"|"&amp;G118</f>
        <v/>
      </c>
    </row>
    <row r="119">
      <c r="A119" s="2" t="n">
        <v>32</v>
      </c>
      <c r="B119" s="2" t="n">
        <v>8880</v>
      </c>
      <c r="D119" s="81" t="n">
        <v>1862</v>
      </c>
      <c r="E119" s="81" t="n">
        <v>984</v>
      </c>
      <c r="H119" s="2">
        <f>$B$2&amp;"|"&amp;B119&amp;"$"&amp;$C$4&amp;"|"&amp;C119&amp;"$"&amp;$D$4&amp;"|"&amp;D119&amp;"$"&amp;$E$4&amp;"|"&amp;E119&amp;"$"&amp;$F$4&amp;"|"&amp;F119&amp;"$"&amp;$G$4&amp;"|"&amp;G119</f>
        <v/>
      </c>
    </row>
    <row r="120">
      <c r="A120" s="2" t="n">
        <v>33</v>
      </c>
      <c r="B120" s="2" t="n">
        <v>9120</v>
      </c>
      <c r="D120" s="81" t="n">
        <v>1905</v>
      </c>
      <c r="E120" s="81" t="n">
        <v>1008</v>
      </c>
      <c r="H120" s="2">
        <f>$B$2&amp;"|"&amp;B120&amp;"$"&amp;$C$4&amp;"|"&amp;C120&amp;"$"&amp;$D$4&amp;"|"&amp;D120&amp;"$"&amp;$E$4&amp;"|"&amp;E120&amp;"$"&amp;$F$4&amp;"|"&amp;F120&amp;"$"&amp;$G$4&amp;"|"&amp;G120</f>
        <v/>
      </c>
    </row>
    <row r="121">
      <c r="A121" s="2" t="n">
        <v>34</v>
      </c>
      <c r="B121" s="2" t="n">
        <v>9360</v>
      </c>
      <c r="D121" s="81" t="n">
        <v>1948</v>
      </c>
      <c r="E121" s="81" t="n">
        <v>1032</v>
      </c>
      <c r="H121" s="2">
        <f>$B$2&amp;"|"&amp;B121&amp;"$"&amp;$C$4&amp;"|"&amp;C121&amp;"$"&amp;$D$4&amp;"|"&amp;D121&amp;"$"&amp;$E$4&amp;"|"&amp;E121&amp;"$"&amp;$F$4&amp;"|"&amp;F121&amp;"$"&amp;$G$4&amp;"|"&amp;G121</f>
        <v/>
      </c>
    </row>
    <row r="122">
      <c r="A122" s="2" t="n">
        <v>35</v>
      </c>
      <c r="B122" s="2" t="n">
        <v>9600</v>
      </c>
      <c r="D122" s="81" t="n">
        <v>1991</v>
      </c>
      <c r="E122" s="81" t="n">
        <v>1056</v>
      </c>
      <c r="H122" s="2">
        <f>$B$2&amp;"|"&amp;B122&amp;"$"&amp;$C$4&amp;"|"&amp;C122&amp;"$"&amp;$D$4&amp;"|"&amp;D122&amp;"$"&amp;$E$4&amp;"|"&amp;E122&amp;"$"&amp;$F$4&amp;"|"&amp;F122&amp;"$"&amp;$G$4&amp;"|"&amp;G122</f>
        <v/>
      </c>
    </row>
    <row r="123">
      <c r="A123" s="2" t="n">
        <v>36</v>
      </c>
      <c r="B123" s="2" t="n">
        <v>9840</v>
      </c>
      <c r="D123" s="81" t="n">
        <v>2034</v>
      </c>
      <c r="E123" s="81" t="n">
        <v>1080</v>
      </c>
      <c r="H123" s="2">
        <f>$B$2&amp;"|"&amp;B123&amp;"$"&amp;$C$4&amp;"|"&amp;C123&amp;"$"&amp;$D$4&amp;"|"&amp;D123&amp;"$"&amp;$E$4&amp;"|"&amp;E123&amp;"$"&amp;$F$4&amp;"|"&amp;F123&amp;"$"&amp;$G$4&amp;"|"&amp;G123</f>
        <v/>
      </c>
    </row>
    <row r="124">
      <c r="A124" s="2" t="n">
        <v>37</v>
      </c>
      <c r="B124" s="2" t="n">
        <v>10080</v>
      </c>
      <c r="D124" s="81" t="n">
        <v>2077</v>
      </c>
      <c r="E124" s="81" t="n">
        <v>1104</v>
      </c>
      <c r="H124" s="2">
        <f>$B$2&amp;"|"&amp;B124&amp;"$"&amp;$C$4&amp;"|"&amp;C124&amp;"$"&amp;$D$4&amp;"|"&amp;D124&amp;"$"&amp;$E$4&amp;"|"&amp;E124&amp;"$"&amp;$F$4&amp;"|"&amp;F124&amp;"$"&amp;$G$4&amp;"|"&amp;G124</f>
        <v/>
      </c>
    </row>
    <row r="125">
      <c r="A125" s="2" t="n">
        <v>38</v>
      </c>
      <c r="B125" s="2" t="n">
        <v>10320</v>
      </c>
      <c r="D125" s="81" t="n">
        <v>2120</v>
      </c>
      <c r="E125" s="81" t="n">
        <v>1128</v>
      </c>
      <c r="H125" s="2">
        <f>$B$2&amp;"|"&amp;B125&amp;"$"&amp;$C$4&amp;"|"&amp;C125&amp;"$"&amp;$D$4&amp;"|"&amp;D125&amp;"$"&amp;$E$4&amp;"|"&amp;E125&amp;"$"&amp;$F$4&amp;"|"&amp;F125&amp;"$"&amp;$G$4&amp;"|"&amp;G125</f>
        <v/>
      </c>
    </row>
    <row r="126">
      <c r="A126" s="2" t="n">
        <v>39</v>
      </c>
      <c r="B126" s="2" t="n">
        <v>10560</v>
      </c>
      <c r="D126" s="81" t="n">
        <v>2163</v>
      </c>
      <c r="E126" s="81" t="n">
        <v>1152</v>
      </c>
      <c r="H126" s="2">
        <f>$B$2&amp;"|"&amp;B126&amp;"$"&amp;$C$4&amp;"|"&amp;C126&amp;"$"&amp;$D$4&amp;"|"&amp;D126&amp;"$"&amp;$E$4&amp;"|"&amp;E126&amp;"$"&amp;$F$4&amp;"|"&amp;F126&amp;"$"&amp;$G$4&amp;"|"&amp;G126</f>
        <v/>
      </c>
    </row>
    <row r="127">
      <c r="A127" s="2" t="n">
        <v>40</v>
      </c>
      <c r="B127" s="2" t="n">
        <v>10800</v>
      </c>
      <c r="D127" s="81" t="n">
        <v>2206</v>
      </c>
      <c r="E127" s="81" t="n">
        <v>1176</v>
      </c>
      <c r="H127" s="2">
        <f>$B$2&amp;"|"&amp;B127&amp;"$"&amp;$C$4&amp;"|"&amp;C127&amp;"$"&amp;$D$4&amp;"|"&amp;D127&amp;"$"&amp;$E$4&amp;"|"&amp;E127&amp;"$"&amp;$F$4&amp;"|"&amp;F127&amp;"$"&amp;$G$4&amp;"|"&amp;G127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2021-08-15T14:55:00Z</dcterms:created>
  <dcterms:modified xmlns:dcterms="http://purl.org/dc/terms/" xmlns:xsi="http://www.w3.org/2001/XMLSchema-instance" xsi:type="dcterms:W3CDTF">2026-01-12T03:12:28Z</dcterms:modified>
  <cp:lastModifiedBy>鹏程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2052-11.1.0.14309</vt:lpwstr>
  </property>
  <property name="ICV" fmtid="{D5CDD505-2E9C-101B-9397-08002B2CF9AE}" pid="3">
    <vt:lpwstr xmlns:vt="http://schemas.openxmlformats.org/officeDocument/2006/docPropsVTypes">20758242B31843FA9BE3A91DF128943E_12</vt:lpwstr>
  </property>
</Properties>
</file>