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00" yWindow="1200" windowWidth="45465" windowHeight="133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_ "/>
    <numFmt numFmtId="165" formatCode="0_);[Red]\(0\)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799798577837458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79982909634693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7998290963469344"/>
        <bgColor indexed="64"/>
      </patternFill>
    </fill>
    <fill>
      <patternFill patternType="solid">
        <fgColor theme="7" tint="0.7998290963469344"/>
        <bgColor indexed="64"/>
      </patternFill>
    </fill>
    <fill>
      <patternFill patternType="solid">
        <fgColor theme="8" tint="0.79982909634693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8596148564104"/>
        <bgColor indexed="64"/>
      </patternFill>
    </fill>
    <fill>
      <patternFill patternType="solid">
        <fgColor theme="5" tint="0.399853511154515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20651875362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8290963469344"/>
        <bgColor indexed="64"/>
      </patternFill>
    </fill>
    <fill>
      <patternFill patternType="solid">
        <fgColor theme="4" tint="0.79982909634693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165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5" fontId="0" fillId="4" borderId="0" applyAlignment="1" pivotButton="0" quotePrefix="0" xfId="0">
      <alignment vertical="center"/>
    </xf>
    <xf numFmtId="165" fontId="0" fillId="5" borderId="0" applyAlignment="1" pivotButton="0" quotePrefix="0" xfId="0">
      <alignment vertical="center"/>
    </xf>
    <xf numFmtId="165" fontId="0" fillId="6" borderId="0" applyAlignment="1" pivotButton="0" quotePrefix="0" xfId="0">
      <alignment vertical="center"/>
    </xf>
    <xf numFmtId="49" fontId="0" fillId="0" borderId="0" pivotButton="0" quotePrefix="0" xfId="0"/>
    <xf numFmtId="0" fontId="0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49" fontId="0" fillId="10" borderId="0" applyAlignment="1" pivotButton="0" quotePrefix="0" xfId="0">
      <alignment wrapText="1"/>
    </xf>
    <xf numFmtId="49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0" fillId="12" borderId="0" applyAlignment="1" pivotButton="0" quotePrefix="0" xfId="0">
      <alignment vertical="center"/>
    </xf>
    <xf numFmtId="0" fontId="0" fillId="6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0" fillId="13" borderId="0" applyAlignment="1" pivotButton="0" quotePrefix="0" xfId="0">
      <alignment vertical="center" wrapText="1"/>
    </xf>
    <xf numFmtId="0" fontId="0" fillId="14" borderId="0" applyAlignment="1" pivotButton="0" quotePrefix="0" xfId="0">
      <alignment vertical="center" wrapText="1"/>
    </xf>
    <xf numFmtId="0" fontId="0" fillId="15" borderId="0" applyAlignment="1" pivotButton="0" quotePrefix="0" xfId="0">
      <alignment vertical="center" wrapText="1"/>
    </xf>
    <xf numFmtId="0" fontId="0" fillId="16" borderId="0" applyAlignment="1" pivotButton="0" quotePrefix="0" xfId="0">
      <alignment vertical="center" wrapText="1"/>
    </xf>
    <xf numFmtId="49" fontId="0" fillId="1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49" fontId="0" fillId="3" borderId="0" applyAlignment="1" pivotButton="0" quotePrefix="0" xfId="0">
      <alignment vertical="center" wrapText="1"/>
    </xf>
    <xf numFmtId="0" fontId="0" fillId="17" borderId="0" applyAlignment="1" pivotButton="0" quotePrefix="0" xfId="0">
      <alignment vertical="center"/>
    </xf>
    <xf numFmtId="0" fontId="0" fillId="0" borderId="0" applyAlignment="1" pivotButton="0" quotePrefix="0" xfId="0">
      <alignment horizontal="justify" vertical="center"/>
    </xf>
    <xf numFmtId="49" fontId="0" fillId="3" borderId="0" applyAlignment="1" pivotButton="0" quotePrefix="0" xfId="0">
      <alignment vertical="center" wrapText="1"/>
    </xf>
    <xf numFmtId="0" fontId="0" fillId="17" borderId="0" applyAlignment="1" pivotButton="0" quotePrefix="0" xfId="0">
      <alignment vertical="center"/>
    </xf>
    <xf numFmtId="0" fontId="0" fillId="0" borderId="0" applyAlignment="1" pivotButton="0" quotePrefix="0" xfId="0">
      <alignment horizontal="justify" vertical="center"/>
    </xf>
    <xf numFmtId="0" fontId="0" fillId="17" borderId="0" applyAlignment="1" pivotButton="0" quotePrefix="0" xfId="0">
      <alignment vertical="center"/>
    </xf>
    <xf numFmtId="0" fontId="0" fillId="3" borderId="0" applyAlignment="1" pivotButton="0" quotePrefix="0" xfId="0">
      <alignment horizontal="justify" vertical="center"/>
    </xf>
    <xf numFmtId="49" fontId="0" fillId="18" borderId="0" applyAlignment="1" pivotButton="0" quotePrefix="0" xfId="0">
      <alignment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justify" vertical="center"/>
    </xf>
    <xf numFmtId="49" fontId="0" fillId="18" borderId="0" applyAlignment="1" pivotButton="0" quotePrefix="0" xfId="0">
      <alignment vertical="center" wrapText="1"/>
    </xf>
    <xf numFmtId="49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horizontal="justify" vertical="center"/>
    </xf>
    <xf numFmtId="49" fontId="0" fillId="2" borderId="0" applyAlignment="1" pivotButton="0" quotePrefix="0" xfId="0">
      <alignment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justify" vertical="center"/>
    </xf>
    <xf numFmtId="49" fontId="0" fillId="19" borderId="0" applyAlignment="1" pivotButton="0" quotePrefix="0" xfId="0">
      <alignment vertical="center" wrapText="1"/>
    </xf>
    <xf numFmtId="0" fontId="0" fillId="19" borderId="0" applyAlignment="1" pivotButton="0" quotePrefix="0" xfId="0">
      <alignment vertical="center"/>
    </xf>
    <xf numFmtId="0" fontId="0" fillId="19" borderId="0" applyAlignment="1" pivotButton="0" quotePrefix="0" xfId="0">
      <alignment horizontal="justify" vertical="center"/>
    </xf>
    <xf numFmtId="49" fontId="0" fillId="19" borderId="0" applyAlignment="1" pivotButton="0" quotePrefix="0" xfId="0">
      <alignment vertical="center" wrapText="1"/>
    </xf>
    <xf numFmtId="49" fontId="0" fillId="20" borderId="0" applyAlignment="1" pivotButton="0" quotePrefix="0" xfId="0">
      <alignment vertical="center" wrapText="1"/>
    </xf>
    <xf numFmtId="0" fontId="0" fillId="20" borderId="0" applyAlignment="1" pivotButton="0" quotePrefix="0" xfId="0">
      <alignment vertical="center"/>
    </xf>
    <xf numFmtId="0" fontId="0" fillId="20" borderId="0" applyAlignment="1" pivotButton="0" quotePrefix="0" xfId="0">
      <alignment horizontal="justify" vertical="center"/>
    </xf>
    <xf numFmtId="49" fontId="0" fillId="20" borderId="0" applyAlignment="1" pivotButton="0" quotePrefix="0" xfId="0">
      <alignment vertical="center" wrapText="1"/>
    </xf>
    <xf numFmtId="0" fontId="0" fillId="20" borderId="0" applyAlignment="1" pivotButton="0" quotePrefix="0" xfId="0">
      <alignment vertical="center"/>
    </xf>
    <xf numFmtId="49" fontId="0" fillId="21" borderId="0" applyAlignment="1" pivotButton="0" quotePrefix="0" xfId="0">
      <alignment vertical="center" wrapText="1"/>
    </xf>
    <xf numFmtId="0" fontId="0" fillId="21" borderId="0" applyAlignment="1" pivotButton="0" quotePrefix="0" xfId="0">
      <alignment vertical="center"/>
    </xf>
    <xf numFmtId="0" fontId="0" fillId="21" borderId="0" applyAlignment="1" pivotButton="0" quotePrefix="0" xfId="0">
      <alignment horizontal="justify" vertical="center"/>
    </xf>
    <xf numFmtId="49" fontId="0" fillId="21" borderId="0" applyAlignment="1" pivotButton="0" quotePrefix="0" xfId="0">
      <alignment vertical="center" wrapText="1"/>
    </xf>
    <xf numFmtId="0" fontId="0" fillId="22" borderId="0" applyAlignment="1" pivotButton="0" quotePrefix="0" xfId="0">
      <alignment vertical="center"/>
    </xf>
    <xf numFmtId="0" fontId="0" fillId="22" borderId="0" applyAlignment="1" pivotButton="0" quotePrefix="0" xfId="0">
      <alignment horizontal="justify" vertical="center"/>
    </xf>
    <xf numFmtId="49" fontId="0" fillId="22" borderId="0" applyAlignment="1" pivotButton="0" quotePrefix="0" xfId="0">
      <alignment vertical="center" wrapText="1"/>
    </xf>
    <xf numFmtId="0" fontId="0" fillId="22" borderId="0" applyAlignment="1" pivotButton="0" quotePrefix="0" xfId="0">
      <alignment vertical="center"/>
    </xf>
    <xf numFmtId="0" fontId="0" fillId="22" borderId="0" applyAlignment="1" pivotButton="0" quotePrefix="0" xfId="0">
      <alignment vertical="center"/>
    </xf>
    <xf numFmtId="0" fontId="0" fillId="22" borderId="0" applyAlignment="1" pivotButton="0" quotePrefix="0" xfId="0">
      <alignment horizontal="justify" vertical="center"/>
    </xf>
    <xf numFmtId="49" fontId="0" fillId="22" borderId="0" applyAlignment="1" pivotButton="0" quotePrefix="0" xfId="0">
      <alignment vertical="center" wrapText="1"/>
    </xf>
    <xf numFmtId="0" fontId="0" fillId="12" borderId="0" applyAlignment="1" pivotButton="0" quotePrefix="0" xfId="0">
      <alignment vertical="center"/>
    </xf>
    <xf numFmtId="0" fontId="0" fillId="12" borderId="0" applyAlignment="1" pivotButton="0" quotePrefix="0" xfId="0">
      <alignment horizontal="justify" vertical="center"/>
    </xf>
    <xf numFmtId="49" fontId="0" fillId="12" borderId="0" applyAlignment="1" pivotButton="0" quotePrefix="0" xfId="0">
      <alignment vertical="center" wrapText="1"/>
    </xf>
    <xf numFmtId="0" fontId="0" fillId="23" borderId="0" applyAlignment="1" pivotButton="0" quotePrefix="0" xfId="0">
      <alignment vertical="center"/>
    </xf>
    <xf numFmtId="0" fontId="0" fillId="23" borderId="0" applyAlignment="1" pivotButton="0" quotePrefix="0" xfId="0">
      <alignment horizontal="justify" vertical="center"/>
    </xf>
    <xf numFmtId="49" fontId="0" fillId="23" borderId="0" applyAlignment="1" pivotButton="0" quotePrefix="0" xfId="0">
      <alignment vertical="center" wrapText="1"/>
    </xf>
    <xf numFmtId="49" fontId="0" fillId="23" borderId="0" applyAlignment="1" pivotButton="0" quotePrefix="0" xfId="0">
      <alignment vertical="center" wrapText="1"/>
    </xf>
    <xf numFmtId="49" fontId="0" fillId="24" borderId="0" applyAlignment="1" pivotButton="0" quotePrefix="0" xfId="0">
      <alignment vertical="center" wrapText="1"/>
    </xf>
    <xf numFmtId="49" fontId="0" fillId="7" borderId="0" applyAlignment="1" pivotButton="0" quotePrefix="0" xfId="0">
      <alignment vertical="center" wrapText="1"/>
    </xf>
    <xf numFmtId="49" fontId="0" fillId="7" borderId="0" applyAlignment="1" pivotButton="0" quotePrefix="0" xfId="0">
      <alignment vertical="center" wrapText="1"/>
    </xf>
    <xf numFmtId="49" fontId="0" fillId="10" borderId="0" applyAlignment="1" pivotButton="0" quotePrefix="0" xfId="0">
      <alignment vertical="center" wrapText="1"/>
    </xf>
    <xf numFmtId="0" fontId="0" fillId="10" borderId="0" applyAlignment="1" pivotButton="0" quotePrefix="0" xfId="0">
      <alignment horizontal="justify" vertical="center" wrapText="1"/>
    </xf>
    <xf numFmtId="49" fontId="0" fillId="10" borderId="0" applyAlignment="1" pivotButton="0" quotePrefix="0" xfId="0">
      <alignment vertical="center" wrapText="1"/>
    </xf>
    <xf numFmtId="49" fontId="0" fillId="10" borderId="0" applyAlignment="1" pivotButton="0" quotePrefix="0" xfId="0">
      <alignment vertical="center" wrapText="1"/>
    </xf>
    <xf numFmtId="49" fontId="0" fillId="13" borderId="0" applyAlignment="1" pivotButton="0" quotePrefix="0" xfId="0">
      <alignment vertical="center" wrapText="1"/>
    </xf>
    <xf numFmtId="0" fontId="0" fillId="13" borderId="0" applyAlignment="1" pivotButton="0" quotePrefix="0" xfId="0">
      <alignment horizontal="justify" vertical="center" wrapText="1"/>
    </xf>
    <xf numFmtId="49" fontId="0" fillId="13" borderId="0" applyAlignment="1" pivotButton="0" quotePrefix="0" xfId="0">
      <alignment vertical="center" wrapText="1"/>
    </xf>
    <xf numFmtId="49" fontId="0" fillId="13" borderId="0" applyAlignment="1" pivotButton="0" quotePrefix="0" xfId="0">
      <alignment vertical="center" wrapText="1"/>
    </xf>
    <xf numFmtId="49" fontId="0" fillId="15" borderId="0" applyAlignment="1" pivotButton="0" quotePrefix="0" xfId="0">
      <alignment vertical="center" wrapText="1"/>
    </xf>
    <xf numFmtId="0" fontId="0" fillId="15" borderId="0" applyAlignment="1" pivotButton="0" quotePrefix="0" xfId="0">
      <alignment horizontal="justify" vertical="center" wrapText="1"/>
    </xf>
    <xf numFmtId="49" fontId="0" fillId="15" borderId="0" applyAlignment="1" pivotButton="0" quotePrefix="0" xfId="0">
      <alignment vertical="center" wrapText="1"/>
    </xf>
    <xf numFmtId="0" fontId="0" fillId="12" borderId="0" applyAlignment="1" pivotButton="0" quotePrefix="0" xfId="0">
      <alignment horizontal="justify" vertical="center"/>
    </xf>
    <xf numFmtId="49" fontId="0" fillId="25" borderId="0" applyAlignment="1" pivotButton="0" quotePrefix="0" xfId="0">
      <alignment vertical="center" wrapText="1"/>
    </xf>
    <xf numFmtId="0" fontId="0" fillId="25" borderId="0" applyAlignment="1" pivotButton="0" quotePrefix="0" xfId="0">
      <alignment horizontal="justify" vertical="center"/>
    </xf>
    <xf numFmtId="49" fontId="0" fillId="25" borderId="0" applyAlignment="1" pivotButton="0" quotePrefix="0" xfId="0">
      <alignment vertical="center" wrapText="1"/>
    </xf>
    <xf numFmtId="49" fontId="0" fillId="26" borderId="0" applyAlignment="1" pivotButton="0" quotePrefix="0" xfId="0">
      <alignment vertical="center" wrapText="1"/>
    </xf>
    <xf numFmtId="49" fontId="0" fillId="2" borderId="0" applyAlignment="1" pivotButton="0" quotePrefix="0" xfId="0">
      <alignment vertical="center"/>
    </xf>
    <xf numFmtId="49" fontId="0" fillId="12" borderId="0" applyAlignment="1" pivotButton="0" quotePrefix="0" xfId="0">
      <alignment vertical="center"/>
    </xf>
    <xf numFmtId="49" fontId="1" fillId="18" borderId="0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21" borderId="0" applyAlignment="1" pivotButton="0" quotePrefix="0" xfId="0">
      <alignment vertical="center" wrapText="1"/>
    </xf>
    <xf numFmtId="49" fontId="1" fillId="20" borderId="0" applyAlignment="1" pivotButton="0" quotePrefix="0" xfId="0">
      <alignment vertical="center" wrapText="1"/>
    </xf>
    <xf numFmtId="49" fontId="1" fillId="22" borderId="0" applyAlignment="1" pivotButton="0" quotePrefix="0" xfId="0">
      <alignment vertical="center" wrapText="1"/>
    </xf>
    <xf numFmtId="49" fontId="1" fillId="12" borderId="0" applyAlignment="1" pivotButton="0" quotePrefix="0" xfId="0">
      <alignment vertical="center" wrapText="1"/>
    </xf>
    <xf numFmtId="49" fontId="1" fillId="23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/>
    </xf>
    <xf numFmtId="0" fontId="0" fillId="10" borderId="0" applyAlignment="1" pivotButton="0" quotePrefix="0" xfId="0">
      <alignment horizontal="justify" vertical="center"/>
    </xf>
    <xf numFmtId="49" fontId="1" fillId="10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/>
    </xf>
    <xf numFmtId="0" fontId="0" fillId="10" borderId="0" applyAlignment="1" pivotButton="0" quotePrefix="0" xfId="0">
      <alignment horizontal="justify" vertical="center"/>
    </xf>
    <xf numFmtId="49" fontId="1" fillId="0" borderId="0" applyAlignment="1" pivotButton="0" quotePrefix="0" xfId="0">
      <alignment vertical="center" wrapText="1"/>
    </xf>
    <xf numFmtId="49" fontId="1" fillId="7" borderId="0" applyAlignment="1" pivotButton="0" quotePrefix="0" xfId="0">
      <alignment vertical="center" wrapText="1"/>
    </xf>
    <xf numFmtId="49" fontId="1" fillId="15" borderId="0" applyAlignment="1" pivotButton="0" quotePrefix="0" xfId="0">
      <alignment vertical="center" wrapText="1"/>
    </xf>
    <xf numFmtId="49" fontId="1" fillId="13" borderId="0" applyAlignment="1" pivotButton="0" quotePrefix="0" xfId="0">
      <alignment vertical="center"/>
    </xf>
    <xf numFmtId="49" fontId="1" fillId="2" borderId="0" applyAlignment="1" pivotButton="0" quotePrefix="0" xfId="0">
      <alignment vertical="center"/>
    </xf>
    <xf numFmtId="49" fontId="1" fillId="5" borderId="0" applyAlignment="1" pivotButton="0" quotePrefix="0" xfId="0">
      <alignment vertical="center"/>
    </xf>
    <xf numFmtId="0" fontId="0" fillId="22" borderId="0" applyAlignment="1" pivotButton="0" quotePrefix="0" xfId="0">
      <alignment vertical="center"/>
    </xf>
    <xf numFmtId="49" fontId="1" fillId="13" borderId="0" applyAlignment="1" pivotButton="0" quotePrefix="0" xfId="0">
      <alignment vertical="center" wrapText="1"/>
    </xf>
    <xf numFmtId="49" fontId="1" fillId="25" borderId="0" applyAlignment="1" pivotButton="0" quotePrefix="0" xfId="0">
      <alignment vertical="center" wrapText="1"/>
    </xf>
    <xf numFmtId="0" fontId="0" fillId="0" borderId="0" pivotButton="0" quotePrefix="0" xfId="0"/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2" borderId="0" applyAlignment="1" pivotButton="0" quotePrefix="0" xfId="0">
      <alignment vertical="center"/>
    </xf>
    <xf numFmtId="165" fontId="0" fillId="4" borderId="0" applyAlignment="1" pivotButton="0" quotePrefix="0" xfId="0">
      <alignment vertical="center"/>
    </xf>
    <xf numFmtId="165" fontId="0" fillId="5" borderId="0" applyAlignment="1" pivotButton="0" quotePrefix="0" xfId="0">
      <alignment vertical="center"/>
    </xf>
    <xf numFmtId="165" fontId="0" fillId="6" borderId="0" applyAlignment="1" pivotButton="0" quotePrefix="0" xfId="0">
      <alignment vertical="center"/>
    </xf>
  </cellXfs>
  <cellStyles count="1">
    <cellStyle name="常规" xfId="0" builtinId="0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A256"/>
  <sheetViews>
    <sheetView tabSelected="1" workbookViewId="0">
      <pane ySplit="1" topLeftCell="A91" activePane="bottomLeft" state="frozen"/>
      <selection pane="bottomLeft" activeCell="Z89" sqref="Z89"/>
    </sheetView>
  </sheetViews>
  <sheetFormatPr baseColWidth="8" defaultColWidth="9" defaultRowHeight="13.5"/>
  <cols>
    <col width="9" customWidth="1" style="40" min="1" max="1"/>
    <col width="10.125" customWidth="1" style="40" min="2" max="2"/>
    <col width="42.625" customWidth="1" style="40" min="3" max="3"/>
    <col width="15.125" customWidth="1" style="40" min="4" max="4"/>
    <col width="30.875" customWidth="1" style="40" min="5" max="5"/>
    <col width="9" customWidth="1" style="40" min="6" max="6"/>
    <col width="12.125" customWidth="1" style="40" min="7" max="7"/>
    <col width="9" customWidth="1" style="40" min="8" max="11"/>
    <col width="11.5" customWidth="1" style="40" min="12" max="12"/>
    <col width="10.25" customWidth="1" style="40" min="13" max="13"/>
    <col width="9.375" customWidth="1" style="40" min="14" max="14"/>
    <col width="8.5" customWidth="1" style="40" min="15" max="15"/>
    <col width="9" customWidth="1" style="40" min="16" max="18"/>
    <col width="16.75" customWidth="1" style="40" min="19" max="20"/>
    <col width="9" customWidth="1" style="40" min="21" max="24"/>
    <col width="10.125" customWidth="1" style="40" min="25" max="25"/>
    <col width="9" customWidth="1" style="40" min="26" max="16384"/>
  </cols>
  <sheetData>
    <row r="1" ht="27" customHeight="1" s="127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</t>
        </is>
      </c>
      <c r="E1" t="inlineStr">
        <is>
          <t>hideDes</t>
        </is>
      </c>
      <c r="F1" t="inlineStr">
        <is>
          <t>param</t>
        </is>
      </c>
      <c r="G1" t="inlineStr">
        <is>
          <t>type</t>
        </is>
      </c>
      <c r="H1" t="inlineStr">
        <is>
          <t>structLayer</t>
        </is>
      </c>
      <c r="I1" t="inlineStr">
        <is>
          <t>btn1Txt</t>
        </is>
      </c>
      <c r="J1" t="inlineStr">
        <is>
          <t>btn2Txt</t>
        </is>
      </c>
      <c r="K1" t="inlineStr">
        <is>
          <t>tagName</t>
        </is>
      </c>
      <c r="L1" t="inlineStr">
        <is>
          <t>consume</t>
        </is>
      </c>
      <c r="M1" t="inlineStr">
        <is>
          <t>finishShow</t>
        </is>
      </c>
      <c r="N1" t="inlineStr">
        <is>
          <t>rdmByTime</t>
        </is>
      </c>
      <c r="O1" t="inlineStr">
        <is>
          <t>rdmMonth</t>
        </is>
      </c>
      <c r="P1" t="inlineStr">
        <is>
          <t>unique</t>
        </is>
      </c>
      <c r="Q1" t="inlineStr">
        <is>
          <t>pos</t>
        </is>
      </c>
      <c r="R1" t="inlineStr">
        <is>
          <t>sustain</t>
        </is>
      </c>
      <c r="S1" t="inlineStr">
        <is>
          <t>dangerousLevel</t>
        </is>
      </c>
      <c r="T1" t="inlineStr">
        <is>
          <t>enemyGroup</t>
        </is>
      </c>
      <c r="U1" t="inlineStr">
        <is>
          <t>enemyGroupLevel</t>
        </is>
      </c>
      <c r="V1" t="inlineStr">
        <is>
          <t>unlockMapLevel</t>
        </is>
      </c>
      <c r="W1" t="inlineStr">
        <is>
          <t>EventAppearType</t>
        </is>
      </c>
      <c r="X1" t="inlineStr">
        <is>
          <t>uiName</t>
        </is>
      </c>
      <c r="Y1" t="inlineStr">
        <is>
          <t>param2</t>
        </is>
      </c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  <c r="U2" t="inlineStr">
        <is>
          <t>string</t>
        </is>
      </c>
      <c r="V2" t="inlineStr">
        <is>
          <t>string</t>
        </is>
      </c>
      <c r="W2" t="inlineStr">
        <is>
          <t>string</t>
        </is>
      </c>
      <c r="X2" t="inlineStr">
        <is>
          <t>string</t>
        </is>
      </c>
      <c r="Y2" t="inlineStr">
        <is>
          <t>string</t>
        </is>
      </c>
      <c r="Z2" t="inlineStr">
        <is>
          <t>string</t>
        </is>
      </c>
      <c r="AA2" t="inlineStr">
        <is>
          <t>string</t>
        </is>
      </c>
      <c r="AB2" t="inlineStr">
        <is>
          <t>string</t>
        </is>
      </c>
      <c r="AC2" t="inlineStr">
        <is>
          <t>string</t>
        </is>
      </c>
      <c r="AD2" t="inlineStr">
        <is>
          <t>string</t>
        </is>
      </c>
      <c r="AE2" t="inlineStr">
        <is>
          <t>string</t>
        </is>
      </c>
      <c r="AF2" t="inlineStr">
        <is>
          <t>string</t>
        </is>
      </c>
      <c r="AG2" t="inlineStr">
        <is>
          <t>string</t>
        </is>
      </c>
      <c r="AH2" t="inlineStr">
        <is>
          <t>string</t>
        </is>
      </c>
      <c r="AI2" t="inlineStr">
        <is>
          <t>string</t>
        </is>
      </c>
      <c r="AJ2" t="inlineStr">
        <is>
          <t>string</t>
        </is>
      </c>
      <c r="AK2" t="inlineStr">
        <is>
          <t>string</t>
        </is>
      </c>
      <c r="AL2" t="inlineStr">
        <is>
          <t>string</t>
        </is>
      </c>
      <c r="AM2" t="inlineStr">
        <is>
          <t>string</t>
        </is>
      </c>
      <c r="AN2" t="inlineStr">
        <is>
          <t>string</t>
        </is>
      </c>
      <c r="AO2" t="inlineStr">
        <is>
          <t>string</t>
        </is>
      </c>
      <c r="AP2" t="inlineStr">
        <is>
          <t>string</t>
        </is>
      </c>
      <c r="AQ2" t="inlineStr">
        <is>
          <t>string</t>
        </is>
      </c>
      <c r="AR2" t="inlineStr">
        <is>
          <t>string</t>
        </is>
      </c>
      <c r="AS2" t="inlineStr">
        <is>
          <t>string</t>
        </is>
      </c>
      <c r="AT2" t="inlineStr">
        <is>
          <t>string</t>
        </is>
      </c>
      <c r="AU2" t="inlineStr">
        <is>
          <t>string</t>
        </is>
      </c>
      <c r="AV2" t="inlineStr">
        <is>
          <t>string</t>
        </is>
      </c>
      <c r="AW2" t="inlineStr">
        <is>
          <t>string</t>
        </is>
      </c>
      <c r="AX2" t="inlineStr">
        <is>
          <t>string</t>
        </is>
      </c>
      <c r="AY2" t="inlineStr">
        <is>
          <t>string</t>
        </is>
      </c>
      <c r="AZ2" t="inlineStr">
        <is>
          <t>string</t>
        </is>
      </c>
      <c r="BA2" t="inlineStr">
        <is>
          <t>string</t>
        </is>
      </c>
      <c r="BB2" t="inlineStr">
        <is>
          <t>string</t>
        </is>
      </c>
      <c r="BC2" t="inlineStr">
        <is>
          <t>string</t>
        </is>
      </c>
      <c r="BD2" t="inlineStr">
        <is>
          <t>string</t>
        </is>
      </c>
      <c r="BE2" t="inlineStr">
        <is>
          <t>string</t>
        </is>
      </c>
      <c r="BF2" t="inlineStr">
        <is>
          <t>string</t>
        </is>
      </c>
      <c r="BG2" t="inlineStr">
        <is>
          <t>string</t>
        </is>
      </c>
      <c r="BH2" t="inlineStr">
        <is>
          <t>string</t>
        </is>
      </c>
      <c r="BI2" t="inlineStr">
        <is>
          <t>string</t>
        </is>
      </c>
      <c r="BJ2" t="inlineStr">
        <is>
          <t>string</t>
        </is>
      </c>
      <c r="BK2" t="inlineStr">
        <is>
          <t>string</t>
        </is>
      </c>
      <c r="BL2" t="inlineStr">
        <is>
          <t>string</t>
        </is>
      </c>
      <c r="BM2" t="inlineStr">
        <is>
          <t>string</t>
        </is>
      </c>
      <c r="BN2" t="inlineStr">
        <is>
          <t>string</t>
        </is>
      </c>
      <c r="BO2" t="inlineStr">
        <is>
          <t>string</t>
        </is>
      </c>
      <c r="BP2" t="inlineStr">
        <is>
          <t>string</t>
        </is>
      </c>
      <c r="BQ2" t="inlineStr">
        <is>
          <t>string</t>
        </is>
      </c>
      <c r="BR2" t="inlineStr">
        <is>
          <t>string</t>
        </is>
      </c>
      <c r="BS2" t="inlineStr">
        <is>
          <t>string</t>
        </is>
      </c>
      <c r="BT2" t="inlineStr">
        <is>
          <t>string</t>
        </is>
      </c>
      <c r="BU2" t="inlineStr">
        <is>
          <t>string</t>
        </is>
      </c>
      <c r="BV2" t="inlineStr">
        <is>
          <t>string</t>
        </is>
      </c>
      <c r="BW2" t="inlineStr">
        <is>
          <t>string</t>
        </is>
      </c>
      <c r="BX2" t="inlineStr">
        <is>
          <t>string</t>
        </is>
      </c>
      <c r="BY2" t="inlineStr">
        <is>
          <t>string</t>
        </is>
      </c>
      <c r="BZ2" t="inlineStr">
        <is>
          <t>string</t>
        </is>
      </c>
      <c r="CA2" t="inlineStr">
        <is>
          <t>string</t>
        </is>
      </c>
      <c r="CB2" t="inlineStr">
        <is>
          <t>string</t>
        </is>
      </c>
      <c r="CC2" t="inlineStr">
        <is>
          <t>string</t>
        </is>
      </c>
      <c r="CD2" t="inlineStr">
        <is>
          <t>string</t>
        </is>
      </c>
      <c r="CE2" t="inlineStr">
        <is>
          <t>string</t>
        </is>
      </c>
      <c r="CF2" t="inlineStr">
        <is>
          <t>string</t>
        </is>
      </c>
      <c r="CG2" t="inlineStr">
        <is>
          <t>string</t>
        </is>
      </c>
      <c r="CH2" t="inlineStr">
        <is>
          <t>string</t>
        </is>
      </c>
      <c r="CI2" t="inlineStr">
        <is>
          <t>string</t>
        </is>
      </c>
      <c r="CJ2" t="inlineStr">
        <is>
          <t>string</t>
        </is>
      </c>
      <c r="CK2" t="inlineStr">
        <is>
          <t>string</t>
        </is>
      </c>
      <c r="CL2" t="inlineStr">
        <is>
          <t>string</t>
        </is>
      </c>
      <c r="CM2" t="inlineStr">
        <is>
          <t>string</t>
        </is>
      </c>
      <c r="CN2" t="inlineStr">
        <is>
          <t>string</t>
        </is>
      </c>
      <c r="CO2" t="inlineStr">
        <is>
          <t>string</t>
        </is>
      </c>
      <c r="CP2" t="inlineStr">
        <is>
          <t>string</t>
        </is>
      </c>
      <c r="CQ2" t="inlineStr">
        <is>
          <t>string</t>
        </is>
      </c>
      <c r="CR2" t="inlineStr">
        <is>
          <t>string</t>
        </is>
      </c>
      <c r="CS2" t="inlineStr">
        <is>
          <t>string</t>
        </is>
      </c>
      <c r="CT2" t="inlineStr">
        <is>
          <t>string</t>
        </is>
      </c>
      <c r="CU2" t="inlineStr">
        <is>
          <t>string</t>
        </is>
      </c>
      <c r="CV2" t="inlineStr">
        <is>
          <t>string</t>
        </is>
      </c>
      <c r="CW2" t="inlineStr">
        <is>
          <t>string</t>
        </is>
      </c>
      <c r="CX2" t="inlineStr">
        <is>
          <t>string</t>
        </is>
      </c>
      <c r="CY2" t="inlineStr">
        <is>
          <t>string</t>
        </is>
      </c>
      <c r="CZ2" t="inlineStr">
        <is>
          <t>string</t>
        </is>
      </c>
      <c r="DA2" t="inlineStr">
        <is>
          <t>string</t>
        </is>
      </c>
      <c r="DB2" t="inlineStr">
        <is>
          <t>string</t>
        </is>
      </c>
      <c r="DC2" t="inlineStr">
        <is>
          <t>string</t>
        </is>
      </c>
      <c r="DD2" t="inlineStr">
        <is>
          <t>string</t>
        </is>
      </c>
      <c r="DE2" t="inlineStr">
        <is>
          <t>string</t>
        </is>
      </c>
      <c r="DF2" t="inlineStr">
        <is>
          <t>string</t>
        </is>
      </c>
      <c r="DG2" t="inlineStr">
        <is>
          <t>string</t>
        </is>
      </c>
      <c r="DH2" t="inlineStr">
        <is>
          <t>string</t>
        </is>
      </c>
      <c r="DI2" t="inlineStr">
        <is>
          <t>string</t>
        </is>
      </c>
      <c r="DJ2" t="inlineStr">
        <is>
          <t>string</t>
        </is>
      </c>
      <c r="DK2" t="inlineStr">
        <is>
          <t>string</t>
        </is>
      </c>
      <c r="DL2" t="inlineStr">
        <is>
          <t>string</t>
        </is>
      </c>
      <c r="DM2" t="inlineStr">
        <is>
          <t>string</t>
        </is>
      </c>
      <c r="DN2" t="inlineStr">
        <is>
          <t>string</t>
        </is>
      </c>
      <c r="DO2" t="inlineStr">
        <is>
          <t>string</t>
        </is>
      </c>
      <c r="DP2" t="inlineStr">
        <is>
          <t>string</t>
        </is>
      </c>
      <c r="DQ2" t="inlineStr">
        <is>
          <t>string</t>
        </is>
      </c>
      <c r="DR2" t="inlineStr">
        <is>
          <t>string</t>
        </is>
      </c>
      <c r="DS2" t="inlineStr">
        <is>
          <t>string</t>
        </is>
      </c>
      <c r="DT2" t="inlineStr">
        <is>
          <t>string</t>
        </is>
      </c>
      <c r="DU2" t="inlineStr">
        <is>
          <t>string</t>
        </is>
      </c>
      <c r="DV2" t="inlineStr">
        <is>
          <t>string</t>
        </is>
      </c>
      <c r="DW2" t="inlineStr">
        <is>
          <t>string</t>
        </is>
      </c>
      <c r="DX2" t="inlineStr">
        <is>
          <t>string</t>
        </is>
      </c>
      <c r="DY2" t="inlineStr">
        <is>
          <t>string</t>
        </is>
      </c>
      <c r="DZ2" t="inlineStr">
        <is>
          <t>string</t>
        </is>
      </c>
      <c r="EA2" t="inlineStr">
        <is>
          <t>string</t>
        </is>
      </c>
      <c r="EB2" t="inlineStr">
        <is>
          <t>string</t>
        </is>
      </c>
      <c r="EC2" t="inlineStr">
        <is>
          <t>string</t>
        </is>
      </c>
      <c r="ED2" t="inlineStr">
        <is>
          <t>string</t>
        </is>
      </c>
      <c r="EE2" t="inlineStr">
        <is>
          <t>string</t>
        </is>
      </c>
      <c r="EF2" t="inlineStr">
        <is>
          <t>string</t>
        </is>
      </c>
      <c r="EG2" t="inlineStr">
        <is>
          <t>string</t>
        </is>
      </c>
      <c r="EH2" t="inlineStr">
        <is>
          <t>string</t>
        </is>
      </c>
      <c r="EI2" t="inlineStr">
        <is>
          <t>string</t>
        </is>
      </c>
      <c r="EJ2" t="inlineStr">
        <is>
          <t>string</t>
        </is>
      </c>
      <c r="EK2" t="inlineStr">
        <is>
          <t>string</t>
        </is>
      </c>
      <c r="EL2" t="inlineStr">
        <is>
          <t>string</t>
        </is>
      </c>
      <c r="EM2" t="inlineStr">
        <is>
          <t>string</t>
        </is>
      </c>
      <c r="EN2" t="inlineStr">
        <is>
          <t>string</t>
        </is>
      </c>
      <c r="EO2" t="inlineStr">
        <is>
          <t>string</t>
        </is>
      </c>
      <c r="EP2" t="inlineStr">
        <is>
          <t>string</t>
        </is>
      </c>
      <c r="EQ2" t="inlineStr">
        <is>
          <t>string</t>
        </is>
      </c>
      <c r="ER2" t="inlineStr">
        <is>
          <t>string</t>
        </is>
      </c>
      <c r="ES2" t="inlineStr">
        <is>
          <t>string</t>
        </is>
      </c>
      <c r="ET2" t="inlineStr">
        <is>
          <t>string</t>
        </is>
      </c>
      <c r="EU2" t="inlineStr">
        <is>
          <t>string</t>
        </is>
      </c>
      <c r="EV2" t="inlineStr">
        <is>
          <t>string</t>
        </is>
      </c>
      <c r="EW2" t="inlineStr">
        <is>
          <t>string</t>
        </is>
      </c>
      <c r="EX2" t="inlineStr">
        <is>
          <t>string</t>
        </is>
      </c>
      <c r="EY2" t="inlineStr">
        <is>
          <t>string</t>
        </is>
      </c>
      <c r="EZ2" t="inlineStr">
        <is>
          <t>string</t>
        </is>
      </c>
      <c r="FA2" t="inlineStr">
        <is>
          <t>string</t>
        </is>
      </c>
      <c r="FB2" t="inlineStr">
        <is>
          <t>string</t>
        </is>
      </c>
      <c r="FC2" t="inlineStr">
        <is>
          <t>string</t>
        </is>
      </c>
      <c r="FD2" t="inlineStr">
        <is>
          <t>string</t>
        </is>
      </c>
      <c r="FE2" t="inlineStr">
        <is>
          <t>string</t>
        </is>
      </c>
      <c r="FF2" t="inlineStr">
        <is>
          <t>string</t>
        </is>
      </c>
      <c r="FG2" t="inlineStr">
        <is>
          <t>string</t>
        </is>
      </c>
      <c r="FH2" t="inlineStr">
        <is>
          <t>string</t>
        </is>
      </c>
      <c r="FI2" t="inlineStr">
        <is>
          <t>string</t>
        </is>
      </c>
      <c r="FJ2" t="inlineStr">
        <is>
          <t>string</t>
        </is>
      </c>
      <c r="FK2" t="inlineStr">
        <is>
          <t>string</t>
        </is>
      </c>
      <c r="FL2" t="inlineStr">
        <is>
          <t>string</t>
        </is>
      </c>
      <c r="FM2" t="inlineStr">
        <is>
          <t>string</t>
        </is>
      </c>
      <c r="FN2" t="inlineStr">
        <is>
          <t>string</t>
        </is>
      </c>
      <c r="FO2" t="inlineStr">
        <is>
          <t>string</t>
        </is>
      </c>
      <c r="FP2" t="inlineStr">
        <is>
          <t>string</t>
        </is>
      </c>
      <c r="FQ2" t="inlineStr">
        <is>
          <t>string</t>
        </is>
      </c>
      <c r="FR2" t="inlineStr">
        <is>
          <t>string</t>
        </is>
      </c>
      <c r="FS2" t="inlineStr">
        <is>
          <t>string</t>
        </is>
      </c>
      <c r="FT2" t="inlineStr">
        <is>
          <t>string</t>
        </is>
      </c>
      <c r="FU2" t="inlineStr">
        <is>
          <t>string</t>
        </is>
      </c>
      <c r="FV2" t="inlineStr">
        <is>
          <t>string</t>
        </is>
      </c>
      <c r="FW2" t="inlineStr">
        <is>
          <t>string</t>
        </is>
      </c>
      <c r="FX2" t="inlineStr">
        <is>
          <t>string</t>
        </is>
      </c>
      <c r="FY2" t="inlineStr">
        <is>
          <t>string</t>
        </is>
      </c>
      <c r="FZ2" t="inlineStr">
        <is>
          <t>string</t>
        </is>
      </c>
      <c r="GA2" t="inlineStr">
        <is>
          <t>string</t>
        </is>
      </c>
      <c r="GB2" t="inlineStr">
        <is>
          <t>string</t>
        </is>
      </c>
      <c r="GC2" t="inlineStr">
        <is>
          <t>string</t>
        </is>
      </c>
      <c r="GD2" t="inlineStr">
        <is>
          <t>string</t>
        </is>
      </c>
      <c r="GE2" t="inlineStr">
        <is>
          <t>string</t>
        </is>
      </c>
      <c r="GF2" t="inlineStr">
        <is>
          <t>string</t>
        </is>
      </c>
      <c r="GG2" t="inlineStr">
        <is>
          <t>string</t>
        </is>
      </c>
      <c r="GH2" t="inlineStr">
        <is>
          <t>string</t>
        </is>
      </c>
      <c r="GI2" t="inlineStr">
        <is>
          <t>string</t>
        </is>
      </c>
      <c r="GJ2" t="inlineStr">
        <is>
          <t>string</t>
        </is>
      </c>
      <c r="GK2" t="inlineStr">
        <is>
          <t>string</t>
        </is>
      </c>
      <c r="GL2" t="inlineStr">
        <is>
          <t>string</t>
        </is>
      </c>
      <c r="GM2" t="inlineStr">
        <is>
          <t>string</t>
        </is>
      </c>
      <c r="GN2" t="inlineStr">
        <is>
          <t>string</t>
        </is>
      </c>
      <c r="GO2" t="inlineStr">
        <is>
          <t>string</t>
        </is>
      </c>
      <c r="GP2" t="inlineStr">
        <is>
          <t>string</t>
        </is>
      </c>
      <c r="GQ2" t="inlineStr">
        <is>
          <t>string</t>
        </is>
      </c>
      <c r="GR2" t="inlineStr">
        <is>
          <t>string</t>
        </is>
      </c>
      <c r="GS2" t="inlineStr">
        <is>
          <t>string</t>
        </is>
      </c>
      <c r="GT2" t="inlineStr">
        <is>
          <t>string</t>
        </is>
      </c>
      <c r="GU2" t="inlineStr">
        <is>
          <t>string</t>
        </is>
      </c>
      <c r="GV2" t="inlineStr">
        <is>
          <t>string</t>
        </is>
      </c>
      <c r="GW2" t="inlineStr">
        <is>
          <t>string</t>
        </is>
      </c>
      <c r="GX2" t="inlineStr">
        <is>
          <t>string</t>
        </is>
      </c>
      <c r="GY2" t="inlineStr">
        <is>
          <t>string</t>
        </is>
      </c>
      <c r="GZ2" t="inlineStr">
        <is>
          <t>string</t>
        </is>
      </c>
      <c r="HA2" t="inlineStr">
        <is>
          <t>string</t>
        </is>
      </c>
      <c r="HB2" t="inlineStr">
        <is>
          <t>string</t>
        </is>
      </c>
      <c r="HC2" t="inlineStr">
        <is>
          <t>string</t>
        </is>
      </c>
      <c r="HD2" t="inlineStr">
        <is>
          <t>string</t>
        </is>
      </c>
      <c r="HE2" t="inlineStr">
        <is>
          <t>string</t>
        </is>
      </c>
      <c r="HF2" t="inlineStr">
        <is>
          <t>string</t>
        </is>
      </c>
      <c r="HG2" t="inlineStr">
        <is>
          <t>string</t>
        </is>
      </c>
      <c r="HH2" t="inlineStr">
        <is>
          <t>string</t>
        </is>
      </c>
      <c r="HI2" t="inlineStr">
        <is>
          <t>string</t>
        </is>
      </c>
      <c r="HJ2" t="inlineStr">
        <is>
          <t>string</t>
        </is>
      </c>
      <c r="HK2" t="inlineStr">
        <is>
          <t>string</t>
        </is>
      </c>
      <c r="HL2" t="inlineStr">
        <is>
          <t>string</t>
        </is>
      </c>
      <c r="HM2" t="inlineStr">
        <is>
          <t>string</t>
        </is>
      </c>
      <c r="HN2" t="inlineStr">
        <is>
          <t>string</t>
        </is>
      </c>
      <c r="HO2" t="inlineStr">
        <is>
          <t>string</t>
        </is>
      </c>
      <c r="HP2" t="inlineStr">
        <is>
          <t>string</t>
        </is>
      </c>
      <c r="HQ2" t="inlineStr">
        <is>
          <t>string</t>
        </is>
      </c>
      <c r="HR2" t="inlineStr">
        <is>
          <t>string</t>
        </is>
      </c>
      <c r="HS2" t="inlineStr">
        <is>
          <t>string</t>
        </is>
      </c>
      <c r="HT2" t="inlineStr">
        <is>
          <t>string</t>
        </is>
      </c>
      <c r="HU2" t="inlineStr">
        <is>
          <t>string</t>
        </is>
      </c>
      <c r="HV2" t="inlineStr">
        <is>
          <t>string</t>
        </is>
      </c>
      <c r="HW2" t="inlineStr">
        <is>
          <t>string</t>
        </is>
      </c>
      <c r="HX2" t="inlineStr">
        <is>
          <t>string</t>
        </is>
      </c>
      <c r="HY2" t="inlineStr">
        <is>
          <t>string</t>
        </is>
      </c>
      <c r="HZ2" t="inlineStr">
        <is>
          <t>string</t>
        </is>
      </c>
      <c r="IA2" t="inlineStr">
        <is>
          <t>string</t>
        </is>
      </c>
    </row>
    <row r="3">
      <c r="A3" t="inlineStr">
        <is>
          <t>##</t>
        </is>
      </c>
      <c r="B3" s="40" t="inlineStr">
        <is>
          <t>id</t>
        </is>
      </c>
      <c r="C3" s="40" t="inlineStr">
        <is>
          <t>name</t>
        </is>
      </c>
      <c r="D3" s="40" t="inlineStr">
        <is>
          <t>des</t>
        </is>
      </c>
      <c r="E3" s="40" t="inlineStr">
        <is>
          <t>hideDes</t>
        </is>
      </c>
      <c r="F3" s="40" t="inlineStr">
        <is>
          <t>param</t>
        </is>
      </c>
      <c r="G3" s="40" t="inlineStr">
        <is>
          <t>type</t>
        </is>
      </c>
      <c r="H3" s="40" t="inlineStr">
        <is>
          <t>structLayer</t>
        </is>
      </c>
      <c r="I3" s="40" t="inlineStr">
        <is>
          <t>btn1Txt</t>
        </is>
      </c>
      <c r="J3" s="40" t="inlineStr">
        <is>
          <t>btn2Txt</t>
        </is>
      </c>
      <c r="K3" s="40" t="inlineStr">
        <is>
          <t>tagName</t>
        </is>
      </c>
      <c r="L3" s="40" t="inlineStr">
        <is>
          <t>consume</t>
        </is>
      </c>
      <c r="M3" s="40" t="inlineStr">
        <is>
          <t>finishShow</t>
        </is>
      </c>
      <c r="N3" s="40" t="inlineStr">
        <is>
          <t>rdmByTime</t>
        </is>
      </c>
      <c r="O3" s="40" t="inlineStr">
        <is>
          <t>rdmMonth</t>
        </is>
      </c>
      <c r="P3" s="40" t="inlineStr">
        <is>
          <t>unique</t>
        </is>
      </c>
      <c r="Q3" s="40" t="inlineStr">
        <is>
          <t>pos</t>
        </is>
      </c>
      <c r="R3" s="40" t="inlineStr">
        <is>
          <t>sustain</t>
        </is>
      </c>
      <c r="S3" s="40" t="inlineStr">
        <is>
          <t>dangerousLevel</t>
        </is>
      </c>
      <c r="T3" s="40" t="inlineStr">
        <is>
          <t>enemyGroup</t>
        </is>
      </c>
      <c r="U3" s="118" t="inlineStr">
        <is>
          <t>enemyGroupLevel</t>
        </is>
      </c>
      <c r="V3" s="40" t="inlineStr">
        <is>
          <t>unlockMapLevel</t>
        </is>
      </c>
      <c r="W3" s="40" t="inlineStr">
        <is>
          <t>EventAppearType</t>
        </is>
      </c>
      <c r="X3" s="40" t="inlineStr">
        <is>
          <t>uiName</t>
        </is>
      </c>
      <c r="Y3" s="40" t="inlineStr">
        <is>
          <t>param2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</row>
    <row r="4">
      <c r="B4" s="40" t="n">
        <v>10001</v>
      </c>
      <c r="C4" s="40" t="inlineStr">
        <is>
          <t>灵气</t>
        </is>
      </c>
      <c r="D4" s="40" t="inlineStr">
        <is>
          <t>少量灵气充沛之地，适宜修炼</t>
        </is>
      </c>
      <c r="F4" s="40" t="inlineStr">
        <is>
          <t>25|100</t>
        </is>
      </c>
      <c r="G4" s="40" t="n">
        <v>2</v>
      </c>
      <c r="H4" s="40" t="inlineStr">
        <is>
          <t>1</t>
        </is>
      </c>
      <c r="I4" s="40" t="inlineStr">
        <is>
          <t>在此修炼</t>
        </is>
      </c>
      <c r="J4" s="40" t="inlineStr">
        <is>
          <t>无视它</t>
        </is>
      </c>
      <c r="R4" s="40" t="inlineStr">
        <is>
          <t>-1</t>
        </is>
      </c>
    </row>
    <row r="5" ht="67.5" customHeight="1" s="127">
      <c r="B5" s="40" t="n">
        <v>10002</v>
      </c>
      <c r="C5" s="40" t="inlineStr">
        <is>
          <t>灵树</t>
        </is>
      </c>
      <c r="D5" s="40" t="inlineStr">
        <is>
          <t>灵树结实了，可以隐约看到林叶间有一些太玄果</t>
        </is>
      </c>
      <c r="E5" s="40" t="n"/>
      <c r="F5" s="40" t="n">
        <v>25</v>
      </c>
      <c r="G5" s="40" t="n">
        <v>2</v>
      </c>
      <c r="H5" s="40" t="inlineStr">
        <is>
          <t>2</t>
        </is>
      </c>
      <c r="I5" s="40" t="inlineStr">
        <is>
          <t>采摘</t>
        </is>
      </c>
      <c r="J5" s="40" t="inlineStr">
        <is>
          <t>无视它</t>
        </is>
      </c>
      <c r="R5" s="40" t="inlineStr">
        <is>
          <t>-1</t>
        </is>
      </c>
      <c r="Z5" s="40" t="n"/>
    </row>
    <row r="6" ht="54" customHeight="1" s="127">
      <c r="B6" s="40" t="inlineStr">
        <is>
          <t>10003</t>
        </is>
      </c>
      <c r="C6" s="40" t="inlineStr">
        <is>
          <t>灵气</t>
        </is>
      </c>
      <c r="D6" s="40" t="inlineStr">
        <is>
          <t>少量灵气充沛之地，适宜修炼</t>
        </is>
      </c>
      <c r="F6" s="40" t="inlineStr">
        <is>
          <t>25|100</t>
        </is>
      </c>
      <c r="G6" s="40" t="n">
        <v>2</v>
      </c>
      <c r="H6" s="40" t="inlineStr">
        <is>
          <t>1</t>
        </is>
      </c>
      <c r="I6" s="40" t="inlineStr">
        <is>
          <t>在此修炼</t>
        </is>
      </c>
      <c r="J6" s="40" t="inlineStr">
        <is>
          <t>无视它</t>
        </is>
      </c>
      <c r="R6" s="40" t="inlineStr">
        <is>
          <t>-1</t>
        </is>
      </c>
    </row>
    <row r="7" ht="67.5" customHeight="1" s="127">
      <c r="B7" s="44" t="inlineStr">
        <is>
          <t>20004</t>
        </is>
      </c>
      <c r="C7" s="47" t="inlineStr">
        <is>
          <t>月灵矿脉</t>
        </is>
      </c>
      <c r="D7" s="46" t="inlineStr">
        <is>
          <t>此地终年被浓雾笼罩，只有月光能照入其中。矿脉中遍布月灵矿和其他珍稀矿石，是无数炼器师梦寐以求的地方。</t>
        </is>
      </c>
      <c r="E7" s="44" t="n"/>
      <c r="F7" s="107" t="inlineStr">
        <is>
          <t>111001|330|400</t>
        </is>
      </c>
      <c r="G7" s="44" t="inlineStr">
        <is>
          <t>3</t>
        </is>
      </c>
      <c r="H7" s="44" t="inlineStr">
        <is>
          <t>1</t>
        </is>
      </c>
      <c r="I7" s="44" t="inlineStr">
        <is>
          <t>探索</t>
        </is>
      </c>
      <c r="J7" s="44" t="inlineStr">
        <is>
          <t>无视它</t>
        </is>
      </c>
      <c r="K7" s="44" t="inlineStr">
        <is>
          <t>矿</t>
        </is>
      </c>
      <c r="L7" s="44" t="inlineStr">
        <is>
          <t>7</t>
        </is>
      </c>
      <c r="M7" s="44" t="inlineStr">
        <is>
          <t>这里的资源已经被取走，只余一些不值钱的碎石块</t>
        </is>
      </c>
      <c r="N7" s="44" t="n"/>
      <c r="O7" s="44" t="n"/>
      <c r="P7" s="44" t="n"/>
      <c r="Q7" s="44" t="n"/>
      <c r="R7" s="44" t="inlineStr">
        <is>
          <t>-1</t>
        </is>
      </c>
      <c r="S7" s="44" t="n"/>
      <c r="T7" s="44" t="n"/>
      <c r="U7" s="44" t="n"/>
      <c r="V7" s="44" t="n"/>
      <c r="W7" s="44" t="n"/>
      <c r="X7" s="44" t="inlineStr">
        <is>
          <t>img_kuangchang</t>
        </is>
      </c>
      <c r="Y7" s="44" t="n"/>
      <c r="Z7" s="47" t="n"/>
    </row>
    <row r="8" ht="121.5" customHeight="1" s="127">
      <c r="B8" s="44" t="inlineStr">
        <is>
          <t>20005</t>
        </is>
      </c>
      <c r="C8" s="47" t="inlineStr">
        <is>
          <t>小树林</t>
        </is>
      </c>
      <c r="D8" s="46" t="inlineStr">
        <is>
          <t>传说有一片遍布珍木异兽的森林，隐匿在仙渺山脉中，森林外围布有结界，有缘人方可进入其中。</t>
        </is>
      </c>
      <c r="E8" s="44" t="n"/>
      <c r="F8" s="107" t="inlineStr">
        <is>
          <t>91001|60|80</t>
        </is>
      </c>
      <c r="G8" s="44" t="inlineStr">
        <is>
          <t>3</t>
        </is>
      </c>
      <c r="H8" s="44" t="inlineStr">
        <is>
          <t>1</t>
        </is>
      </c>
      <c r="I8" s="44" t="inlineStr">
        <is>
          <t>探索</t>
        </is>
      </c>
      <c r="J8" s="44" t="inlineStr">
        <is>
          <t>无视它</t>
        </is>
      </c>
      <c r="K8" s="44" t="inlineStr">
        <is>
          <t>矿</t>
        </is>
      </c>
      <c r="L8" s="44" t="inlineStr">
        <is>
          <t>7</t>
        </is>
      </c>
      <c r="M8" s="44" t="inlineStr">
        <is>
          <t>这片地脉已经没有任何有价值的东西</t>
        </is>
      </c>
      <c r="N8" s="44" t="n"/>
      <c r="O8" s="44" t="n"/>
      <c r="P8" s="44" t="n"/>
      <c r="Q8" s="44" t="n"/>
      <c r="R8" s="44" t="inlineStr">
        <is>
          <t>-1</t>
        </is>
      </c>
      <c r="S8" s="44" t="n"/>
      <c r="T8" s="44" t="n"/>
      <c r="U8" s="44" t="n"/>
      <c r="V8" s="44" t="n"/>
      <c r="W8" s="44" t="n"/>
      <c r="X8" s="44" t="inlineStr">
        <is>
          <t>img_mjbaoxiang2-2</t>
        </is>
      </c>
      <c r="Y8" s="44" t="n"/>
      <c r="Z8" s="47" t="n"/>
    </row>
    <row r="9" ht="108" customHeight="1" s="127">
      <c r="B9" s="44" t="inlineStr">
        <is>
          <t>20006</t>
        </is>
      </c>
      <c r="C9" s="44" t="inlineStr">
        <is>
          <t>憩息点</t>
        </is>
      </c>
      <c r="D9" s="44" t="inlineStr">
        <is>
          <t>这里有泉水的润泽，似乎能恢复不少精力</t>
        </is>
      </c>
      <c r="E9" s="44" t="n"/>
      <c r="F9" s="44" t="inlineStr">
        <is>
          <t>20|30</t>
        </is>
      </c>
      <c r="G9" s="44" t="inlineStr">
        <is>
          <t>4</t>
        </is>
      </c>
      <c r="H9" s="44" t="inlineStr">
        <is>
          <t>1</t>
        </is>
      </c>
      <c r="I9" s="44" t="inlineStr">
        <is>
          <t>休息</t>
        </is>
      </c>
      <c r="J9" s="44" t="inlineStr">
        <is>
          <t>无视它</t>
        </is>
      </c>
      <c r="K9" s="44" t="inlineStr">
        <is>
          <t>休息</t>
        </is>
      </c>
      <c r="L9" s="44" t="n"/>
      <c r="M9" s="44" t="inlineStr">
        <is>
          <t>经过泉水的润泽，弟子们已经好多了。泉水已经干涸</t>
        </is>
      </c>
      <c r="N9" s="44" t="n"/>
      <c r="O9" s="44" t="n"/>
      <c r="P9" s="44" t="n"/>
      <c r="Q9" s="44" t="n"/>
      <c r="R9" s="44" t="inlineStr">
        <is>
          <t>-1</t>
        </is>
      </c>
      <c r="S9" s="44" t="n"/>
      <c r="T9" s="44" t="n"/>
      <c r="U9" s="44" t="n"/>
      <c r="V9" s="44" t="n"/>
      <c r="W9" s="44" t="n"/>
      <c r="X9" s="44" t="inlineStr">
        <is>
          <t>img_xiuxidian</t>
        </is>
      </c>
      <c r="Y9" s="44" t="n"/>
      <c r="Z9" s="44" t="n"/>
    </row>
    <row r="10" ht="130.5" customHeight="1" s="127">
      <c r="B10" s="44" t="inlineStr">
        <is>
          <t>20007</t>
        </is>
      </c>
      <c r="C10" s="47" t="inlineStr">
        <is>
          <t>荒废遗迹</t>
        </is>
      </c>
      <c r="D10" s="48" t="inlineStr">
        <is>
          <t>一座被微弱结界笼罩的庭院，从结界阵法上散发的威压来看，应该是某位大能曾经的住所。</t>
        </is>
      </c>
      <c r="E10" s="44" t="n"/>
      <c r="F10" s="107" t="inlineStr">
        <is>
          <t>10001|700|1600,161001|1|3$10001|1000|1200</t>
        </is>
      </c>
      <c r="G10" s="44" t="inlineStr">
        <is>
          <t>5</t>
        </is>
      </c>
      <c r="H10" s="44" t="inlineStr">
        <is>
          <t>1</t>
        </is>
      </c>
      <c r="I10" s="44" t="inlineStr">
        <is>
          <t>简单搜寻</t>
        </is>
      </c>
      <c r="J10" s="44" t="inlineStr">
        <is>
          <t>彻底探索</t>
        </is>
      </c>
      <c r="K10" s="44" t="inlineStr">
        <is>
          <t>矿</t>
        </is>
      </c>
      <c r="L10" s="44" t="inlineStr">
        <is>
          <t>7</t>
        </is>
      </c>
      <c r="M10" s="44" t="inlineStr">
        <is>
          <t>还是不要贸然靠近危险，弟子在门口简单搜巡了一番，并在边缘角落发现了意外之喜</t>
        </is>
      </c>
      <c r="N10" s="44" t="n"/>
      <c r="O10" s="44" t="n"/>
      <c r="P10" s="44" t="n"/>
      <c r="Q10" s="44" t="n"/>
      <c r="R10" s="44" t="inlineStr">
        <is>
          <t>-1</t>
        </is>
      </c>
      <c r="S10" s="44" t="inlineStr">
        <is>
          <t>1</t>
        </is>
      </c>
      <c r="T10" s="44" t="n"/>
      <c r="U10" s="44" t="n"/>
      <c r="V10" s="44" t="n"/>
      <c r="W10" s="44" t="n"/>
      <c r="X10" s="44" t="inlineStr">
        <is>
          <t>img_huangfeiyiji</t>
        </is>
      </c>
      <c r="Y10" s="44" t="inlineStr">
        <is>
          <t>[弟子]在搜寻过程中惊动了遗迹中憩息的野兽，朝众人扑了过来！|3000</t>
        </is>
      </c>
      <c r="Z10" s="47" t="n"/>
    </row>
    <row r="11" ht="130.5" customHeight="1" s="127">
      <c r="B11" s="44" t="inlineStr">
        <is>
          <t>20008</t>
        </is>
      </c>
      <c r="C11" s="47" t="inlineStr">
        <is>
          <t>简陋木屋</t>
        </is>
      </c>
      <c r="D11" s="46" t="inlineStr">
        <is>
          <t>一座摇摇欲坠的简陋木屋，不知为何会出现在此地，看样子是什么人匆匆搭建的。</t>
        </is>
      </c>
      <c r="E11" s="44" t="n"/>
      <c r="F11" s="107" t="inlineStr">
        <is>
          <t>10001|1000|1200,161001|2|4$10001|1500|1800</t>
        </is>
      </c>
      <c r="G11" s="44" t="inlineStr">
        <is>
          <t>5</t>
        </is>
      </c>
      <c r="H11" s="44" t="inlineStr">
        <is>
          <t>1</t>
        </is>
      </c>
      <c r="I11" s="44" t="inlineStr">
        <is>
          <t>简单搜寻</t>
        </is>
      </c>
      <c r="J11" s="44" t="inlineStr">
        <is>
          <t>彻底探索</t>
        </is>
      </c>
      <c r="K11" s="44" t="inlineStr">
        <is>
          <t>矿</t>
        </is>
      </c>
      <c r="L11" s="44" t="inlineStr">
        <is>
          <t>7</t>
        </is>
      </c>
      <c r="M11" s="44" t="inlineStr">
        <is>
          <t>还是不要贸然靠近危险，弟子在门口简单搜巡了一番，并在边缘角落发现了意外之喜</t>
        </is>
      </c>
      <c r="N11" s="44" t="n"/>
      <c r="O11" s="44" t="n"/>
      <c r="P11" s="44" t="n"/>
      <c r="Q11" s="44" t="n"/>
      <c r="R11" s="44" t="inlineStr">
        <is>
          <t>-1</t>
        </is>
      </c>
      <c r="S11" s="44" t="inlineStr">
        <is>
          <t>2</t>
        </is>
      </c>
      <c r="T11" s="44" t="n"/>
      <c r="U11" s="44" t="n"/>
      <c r="V11" s="44" t="n"/>
      <c r="W11" s="44" t="n"/>
      <c r="X11" s="44" t="inlineStr">
        <is>
          <t>img_jianloumuwu</t>
        </is>
      </c>
      <c r="Y11" s="44" t="inlineStr">
        <is>
          <t>居然有一名隐修尚未离开，似乎入了魔道，向众人发动攻击！|6000</t>
        </is>
      </c>
      <c r="Z11" s="47" t="n"/>
    </row>
    <row r="12" ht="130.5" customHeight="1" s="127">
      <c r="B12" s="44" t="inlineStr">
        <is>
          <t>20009</t>
        </is>
      </c>
      <c r="C12" s="47" t="inlineStr">
        <is>
          <t>古朴木屋</t>
        </is>
      </c>
      <c r="D12" s="46" t="inlineStr">
        <is>
          <t>一座透着古朴意境的木屋，可能是某位大能曾居住过的地方。</t>
        </is>
      </c>
      <c r="E12" s="44" t="n"/>
      <c r="F12" s="107" t="inlineStr">
        <is>
          <t>10001|1300|1600,161001|4|6$10001|1800|2200</t>
        </is>
      </c>
      <c r="G12" s="44" t="inlineStr">
        <is>
          <t>5</t>
        </is>
      </c>
      <c r="H12" s="44" t="inlineStr">
        <is>
          <t>1</t>
        </is>
      </c>
      <c r="I12" s="44" t="inlineStr">
        <is>
          <t>简单搜寻</t>
        </is>
      </c>
      <c r="J12" s="44" t="inlineStr">
        <is>
          <t>彻底探索</t>
        </is>
      </c>
      <c r="K12" s="44" t="inlineStr">
        <is>
          <t>矿</t>
        </is>
      </c>
      <c r="L12" s="44" t="inlineStr">
        <is>
          <t>7</t>
        </is>
      </c>
      <c r="M12" s="44" t="inlineStr">
        <is>
          <t>还是不要贸然靠近危险，弟子在门口简单搜巡了一番，并在边缘角落发现了意外之喜</t>
        </is>
      </c>
      <c r="N12" s="44" t="n"/>
      <c r="O12" s="44" t="n"/>
      <c r="P12" s="44" t="n"/>
      <c r="Q12" s="44" t="n"/>
      <c r="R12" s="44" t="inlineStr">
        <is>
          <t>-1</t>
        </is>
      </c>
      <c r="S12" s="44" t="inlineStr">
        <is>
          <t>3</t>
        </is>
      </c>
      <c r="T12" s="44" t="n"/>
      <c r="U12" s="44" t="n"/>
      <c r="V12" s="44" t="n"/>
      <c r="W12" s="44" t="n"/>
      <c r="X12" s="44" t="inlineStr">
        <is>
          <t>img_gupumuw</t>
        </is>
      </c>
      <c r="Y12" s="44" t="inlineStr">
        <is>
          <t>大能的残魂还未散去，向众人发动攻击！|9000</t>
        </is>
      </c>
      <c r="Z12" s="47" t="n"/>
    </row>
    <row r="13" ht="130.5" customHeight="1" s="127">
      <c r="B13" s="52" t="inlineStr">
        <is>
          <t>20010</t>
        </is>
      </c>
      <c r="C13" s="56" t="inlineStr">
        <is>
          <t>隐龙地脉</t>
        </is>
      </c>
      <c r="D13" s="57" t="inlineStr">
        <is>
          <t>隐龙地脉夺天地运势而成，乃一界灵气源头，储存着极为珍稀的灵气液，服用一滴就能修为大涨</t>
        </is>
      </c>
      <c r="E13" s="52" t="n"/>
      <c r="F13" s="52" t="inlineStr">
        <is>
          <t>2000|3000</t>
        </is>
      </c>
      <c r="G13" s="52" t="inlineStr">
        <is>
          <t>6</t>
        </is>
      </c>
      <c r="H13" s="52" t="inlineStr">
        <is>
          <t>1</t>
        </is>
      </c>
      <c r="I13" s="52" t="inlineStr">
        <is>
          <t>探索</t>
        </is>
      </c>
      <c r="J13" s="52" t="inlineStr">
        <is>
          <t>无视它</t>
        </is>
      </c>
      <c r="K13" s="52" t="inlineStr">
        <is>
          <t>矿</t>
        </is>
      </c>
      <c r="L13" s="52" t="inlineStr">
        <is>
          <t>7</t>
        </is>
      </c>
      <c r="M13" s="52" t="inlineStr">
        <is>
          <t>此处的灵气液已经被吸收殆尽，土地上满是泥泞的污迹</t>
        </is>
      </c>
      <c r="N13" s="52" t="n"/>
      <c r="O13" s="52" t="n"/>
      <c r="P13" s="52" t="n"/>
      <c r="Q13" s="52" t="n"/>
      <c r="R13" s="44" t="inlineStr">
        <is>
          <t>-1</t>
        </is>
      </c>
      <c r="S13" s="52" t="n"/>
      <c r="T13" s="52" t="n"/>
      <c r="U13" s="52" t="n"/>
      <c r="V13" s="52" t="n"/>
      <c r="W13" s="52" t="n"/>
      <c r="X13" s="52" t="inlineStr">
        <is>
          <t>img_longmai</t>
        </is>
      </c>
      <c r="Y13" s="52" t="n"/>
      <c r="Z13" s="56" t="n"/>
    </row>
    <row r="14" ht="130.5" customHeight="1" s="127">
      <c r="B14" s="55" t="inlineStr">
        <is>
          <t>20011</t>
        </is>
      </c>
      <c r="C14" s="6" t="inlineStr">
        <is>
          <t>陌生女子</t>
        </is>
      </c>
      <c r="D14" s="54" t="inlineStr">
        <is>
          <t>荒郊野岭，一位陌生女子坐在树下哭泣，要顺路搭救她吗？</t>
        </is>
      </c>
      <c r="E14" s="55" t="n"/>
      <c r="F14" s="55" t="inlineStr">
        <is>
          <t>2</t>
        </is>
      </c>
      <c r="G14" s="55" t="inlineStr">
        <is>
          <t>7</t>
        </is>
      </c>
      <c r="H14" s="55" t="inlineStr">
        <is>
          <t>1</t>
        </is>
      </c>
      <c r="I14" s="55" t="inlineStr">
        <is>
          <t>搭救</t>
        </is>
      </c>
      <c r="J14" s="55" t="inlineStr">
        <is>
          <t>无视它</t>
        </is>
      </c>
      <c r="K14" s="55" t="inlineStr">
        <is>
          <t>矿</t>
        </is>
      </c>
      <c r="L14" s="55" t="inlineStr">
        <is>
          <t>7</t>
        </is>
      </c>
      <c r="M14" s="55" t="inlineStr">
        <is>
          <t>女子拜谢了你，随后将自行前往宗门报道。</t>
        </is>
      </c>
      <c r="N14" s="55" t="n"/>
      <c r="O14" s="55" t="n"/>
      <c r="P14" s="55" t="n"/>
      <c r="Q14" s="55" t="n"/>
      <c r="R14" s="55" t="inlineStr">
        <is>
          <t>-1</t>
        </is>
      </c>
      <c r="S14" s="55" t="n"/>
      <c r="T14" s="55" t="n"/>
      <c r="U14" s="55" t="n"/>
      <c r="V14" s="55" t="n"/>
      <c r="W14" s="55" t="n"/>
      <c r="X14" s="55" t="inlineStr">
        <is>
          <t>img_hongbiao</t>
        </is>
      </c>
      <c r="Y14" s="55" t="inlineStr">
        <is>
          <t>恩人，多谢你的帮助，小女子走投无路，希望宗门能收留我。</t>
        </is>
      </c>
      <c r="Z14" s="6" t="n"/>
    </row>
    <row r="15" ht="130.5" customHeight="1" s="127">
      <c r="B15" s="55" t="inlineStr">
        <is>
          <t>20012</t>
        </is>
      </c>
      <c r="C15" s="6" t="inlineStr">
        <is>
          <t>迷路的村民</t>
        </is>
      </c>
      <c r="D15" s="54" t="inlineStr">
        <is>
          <t>看上去是个迷路的村民，要顺路搭救他吗？</t>
        </is>
      </c>
      <c r="E15" s="55" t="n"/>
      <c r="F15" s="55" t="inlineStr">
        <is>
          <t>0</t>
        </is>
      </c>
      <c r="G15" s="55" t="inlineStr">
        <is>
          <t>7</t>
        </is>
      </c>
      <c r="H15" s="55" t="inlineStr">
        <is>
          <t>1</t>
        </is>
      </c>
      <c r="I15" s="55" t="inlineStr">
        <is>
          <t>搭救</t>
        </is>
      </c>
      <c r="J15" s="55" t="inlineStr">
        <is>
          <t>无视它</t>
        </is>
      </c>
      <c r="K15" s="55" t="inlineStr">
        <is>
          <t>矿</t>
        </is>
      </c>
      <c r="L15" s="55" t="inlineStr">
        <is>
          <t>7</t>
        </is>
      </c>
      <c r="M15" s="55" t="inlineStr">
        <is>
          <t>村民拜谢了你，随后将自行前往宗门报道。</t>
        </is>
      </c>
      <c r="N15" s="55" t="n"/>
      <c r="O15" s="55" t="n"/>
      <c r="P15" s="55" t="n"/>
      <c r="Q15" s="55" t="n"/>
      <c r="R15" s="55" t="inlineStr">
        <is>
          <t>-1</t>
        </is>
      </c>
      <c r="S15" s="55" t="n"/>
      <c r="T15" s="55" t="n"/>
      <c r="U15" s="55" t="n"/>
      <c r="V15" s="55" t="n"/>
      <c r="W15" s="55" t="n"/>
      <c r="X15" s="55" t="inlineStr">
        <is>
          <t>img_hongbiao</t>
        </is>
      </c>
      <c r="Y15" s="55" t="inlineStr">
        <is>
          <t>多谢恩人相救，敬仰宗门已久，希望宗门能收留我。</t>
        </is>
      </c>
      <c r="Z15" s="6" t="n"/>
    </row>
    <row r="16" ht="130.5" customHeight="1" s="127">
      <c r="B16" s="52" t="inlineStr">
        <is>
          <t>20013</t>
        </is>
      </c>
      <c r="C16" s="56" t="inlineStr">
        <is>
          <t>小片药圃</t>
        </is>
      </c>
      <c r="D16" s="57" t="inlineStr">
        <is>
          <t>掩藏在一处山涧里的小片药圃，似乎从来没人踏足过。</t>
        </is>
      </c>
      <c r="E16" s="52" t="n"/>
      <c r="F16" s="106" t="inlineStr">
        <is>
          <t>91001|60|80,61001|10|20$91001|120|200</t>
        </is>
      </c>
      <c r="G16" s="52" t="inlineStr">
        <is>
          <t>5</t>
        </is>
      </c>
      <c r="H16" s="52" t="inlineStr">
        <is>
          <t>1</t>
        </is>
      </c>
      <c r="I16" s="52" t="inlineStr">
        <is>
          <t>简单搜寻</t>
        </is>
      </c>
      <c r="J16" s="52" t="inlineStr">
        <is>
          <t>彻底探索</t>
        </is>
      </c>
      <c r="K16" s="52" t="inlineStr">
        <is>
          <t>矿</t>
        </is>
      </c>
      <c r="L16" s="52" t="inlineStr">
        <is>
          <t>7</t>
        </is>
      </c>
      <c r="M16" s="52" t="inlineStr">
        <is>
          <t>还是不要贸然靠近危险，弟子在附近简单搜巡了一番，并在边缘角落发现了意外之喜</t>
        </is>
      </c>
      <c r="N16" s="52" t="n"/>
      <c r="O16" s="52" t="n"/>
      <c r="P16" s="52" t="n"/>
      <c r="Q16" s="52" t="n"/>
      <c r="R16" s="52" t="inlineStr">
        <is>
          <t>-1</t>
        </is>
      </c>
      <c r="S16" s="52" t="inlineStr">
        <is>
          <t>1</t>
        </is>
      </c>
      <c r="T16" s="52" t="n"/>
      <c r="U16" s="52" t="n"/>
      <c r="V16" s="52" t="n"/>
      <c r="W16" s="52" t="n"/>
      <c r="X16" s="52" t="inlineStr">
        <is>
          <t>img_yaopu1</t>
        </is>
      </c>
      <c r="Y16" s="52" t="inlineStr">
        <is>
          <t>[弟子]在搜寻过程中惊动了遗迹中憩息的野兽，朝众人扑了过来！|6000</t>
        </is>
      </c>
      <c r="Z16" s="56" t="n"/>
    </row>
    <row r="17" ht="130.5" customHeight="1" s="127">
      <c r="B17" s="52" t="inlineStr">
        <is>
          <t>20014</t>
        </is>
      </c>
      <c r="C17" s="56" t="inlineStr">
        <is>
          <t>中型药圃</t>
        </is>
      </c>
      <c r="D17" s="57" t="inlineStr">
        <is>
          <t>掩藏在一处山涧里的中型药圃，透出灵树生长引发的幽光</t>
        </is>
      </c>
      <c r="E17" s="52" t="n"/>
      <c r="F17" s="106" t="inlineStr">
        <is>
          <t>91001|80|100,61001|20|30$91001|120|140</t>
        </is>
      </c>
      <c r="G17" s="52" t="inlineStr">
        <is>
          <t>5</t>
        </is>
      </c>
      <c r="H17" s="52" t="inlineStr">
        <is>
          <t>1</t>
        </is>
      </c>
      <c r="I17" s="52" t="inlineStr">
        <is>
          <t>简单搜寻</t>
        </is>
      </c>
      <c r="J17" s="52" t="inlineStr">
        <is>
          <t>彻底探索</t>
        </is>
      </c>
      <c r="K17" s="52" t="inlineStr">
        <is>
          <t>矿</t>
        </is>
      </c>
      <c r="L17" s="52" t="inlineStr">
        <is>
          <t>7</t>
        </is>
      </c>
      <c r="M17" s="52" t="inlineStr">
        <is>
          <t>还是不要贸然靠近危险，弟子在附近简单搜巡了一番，并在边缘角落发现了意外之喜</t>
        </is>
      </c>
      <c r="N17" s="52" t="n"/>
      <c r="O17" s="52" t="n"/>
      <c r="P17" s="52" t="n"/>
      <c r="Q17" s="52" t="n"/>
      <c r="R17" s="52" t="inlineStr">
        <is>
          <t>-1</t>
        </is>
      </c>
      <c r="S17" s="52" t="inlineStr">
        <is>
          <t>2</t>
        </is>
      </c>
      <c r="T17" s="52" t="n"/>
      <c r="U17" s="52" t="n"/>
      <c r="V17" s="52" t="n"/>
      <c r="W17" s="52" t="n"/>
      <c r="X17" s="52" t="inlineStr">
        <is>
          <t>img_yaopu2</t>
        </is>
      </c>
      <c r="Y17" s="52" t="inlineStr">
        <is>
          <t>[弟子]在搜寻过程中惊动了遗迹中憩息的野兽，朝众人扑了过来！|10000</t>
        </is>
      </c>
      <c r="Z17" s="56" t="n"/>
    </row>
    <row r="18" ht="130.5" customHeight="1" s="127">
      <c r="B18" s="52" t="inlineStr">
        <is>
          <t>20015</t>
        </is>
      </c>
      <c r="C18" s="56" t="inlineStr">
        <is>
          <t>大片药圃</t>
        </is>
      </c>
      <c r="D18" s="57" t="inlineStr">
        <is>
          <t>掩藏在一处灵气充裕山谷里的大片药圃，长满了珍贵灵植。</t>
        </is>
      </c>
      <c r="E18" s="52" t="n"/>
      <c r="F18" s="106" t="inlineStr">
        <is>
          <t>91001|100|120,61001|30|40$91001|140|180</t>
        </is>
      </c>
      <c r="G18" s="52" t="inlineStr">
        <is>
          <t>5</t>
        </is>
      </c>
      <c r="H18" s="52" t="inlineStr">
        <is>
          <t>1</t>
        </is>
      </c>
      <c r="I18" s="52" t="inlineStr">
        <is>
          <t>简单搜寻</t>
        </is>
      </c>
      <c r="J18" s="52" t="inlineStr">
        <is>
          <t>彻底探索</t>
        </is>
      </c>
      <c r="K18" s="52" t="inlineStr">
        <is>
          <t>矿</t>
        </is>
      </c>
      <c r="L18" s="52" t="inlineStr">
        <is>
          <t>7</t>
        </is>
      </c>
      <c r="M18" s="52" t="inlineStr">
        <is>
          <t>还是不要贸然靠近危险，弟子在附近简单搜巡了一番，并在边缘角落发现了意外之喜</t>
        </is>
      </c>
      <c r="N18" s="52" t="n"/>
      <c r="O18" s="52" t="n"/>
      <c r="P18" s="52" t="n"/>
      <c r="Q18" s="52" t="n"/>
      <c r="R18" s="52" t="inlineStr">
        <is>
          <t>-1</t>
        </is>
      </c>
      <c r="S18" s="52" t="inlineStr">
        <is>
          <t>2</t>
        </is>
      </c>
      <c r="T18" s="52" t="n"/>
      <c r="U18" s="52" t="n"/>
      <c r="V18" s="52" t="n"/>
      <c r="W18" s="52" t="n"/>
      <c r="X18" s="52" t="inlineStr">
        <is>
          <t>img_yaopu3</t>
        </is>
      </c>
      <c r="Y18" s="52" t="inlineStr">
        <is>
          <t>[弟子]在搜寻过程中惊动了遗迹中憩息的野兽，朝众人扑了过来！|14000</t>
        </is>
      </c>
      <c r="Z18" s="56" t="n"/>
    </row>
    <row r="19" ht="130.5" customHeight="1" s="127">
      <c r="B19" s="61" t="inlineStr">
        <is>
          <t>20016</t>
        </is>
      </c>
      <c r="C19" s="59" t="inlineStr">
        <is>
          <t>灵罗盘</t>
        </is>
      </c>
      <c r="D19" s="60" t="inlineStr">
        <is>
          <t>灵罗盘内嵌寻灵阵法，它将为你揭示方圆10里的探索点</t>
        </is>
      </c>
      <c r="E19" s="61" t="n"/>
      <c r="F19" s="61" t="inlineStr">
        <is>
          <t>1</t>
        </is>
      </c>
      <c r="G19" s="61" t="inlineStr">
        <is>
          <t>8</t>
        </is>
      </c>
      <c r="H19" s="61" t="inlineStr">
        <is>
          <t>1</t>
        </is>
      </c>
      <c r="I19" s="61" t="inlineStr">
        <is>
          <t>揭示</t>
        </is>
      </c>
      <c r="J19" s="61" t="inlineStr">
        <is>
          <t>无视它</t>
        </is>
      </c>
      <c r="K19" s="61" t="inlineStr">
        <is>
          <t>矿</t>
        </is>
      </c>
      <c r="L19" s="61" t="inlineStr">
        <is>
          <t>7</t>
        </is>
      </c>
      <c r="M19" s="61" t="n"/>
      <c r="N19" s="61" t="n"/>
      <c r="O19" s="61" t="n"/>
      <c r="P19" s="61" t="n"/>
      <c r="Q19" s="61" t="n"/>
      <c r="R19" s="61" t="inlineStr">
        <is>
          <t>-1</t>
        </is>
      </c>
      <c r="S19" s="61" t="n"/>
      <c r="T19" s="61" t="n"/>
      <c r="U19" s="61" t="n"/>
      <c r="V19" s="61" t="n"/>
      <c r="W19" s="61" t="n"/>
      <c r="X19" s="61" t="inlineStr">
        <is>
          <t>img_luopanxiao</t>
        </is>
      </c>
      <c r="Y19" s="61" t="n"/>
      <c r="Z19" s="59" t="n"/>
    </row>
    <row r="20" ht="130.5" customHeight="1" s="127">
      <c r="B20" s="61" t="inlineStr">
        <is>
          <t>20017</t>
        </is>
      </c>
      <c r="C20" s="59" t="inlineStr">
        <is>
          <t>灵罗盘(大）</t>
        </is>
      </c>
      <c r="D20" s="60" t="inlineStr">
        <is>
          <t>灵罗盘内嵌寻灵阵法，它将为你揭示方圆10里的探索点</t>
        </is>
      </c>
      <c r="E20" s="61" t="n"/>
      <c r="F20" s="61" t="inlineStr">
        <is>
          <t>2</t>
        </is>
      </c>
      <c r="G20" s="61" t="inlineStr">
        <is>
          <t>8</t>
        </is>
      </c>
      <c r="H20" s="61" t="inlineStr">
        <is>
          <t>1</t>
        </is>
      </c>
      <c r="I20" s="61" t="inlineStr">
        <is>
          <t>揭示</t>
        </is>
      </c>
      <c r="J20" s="61" t="inlineStr">
        <is>
          <t>无视它</t>
        </is>
      </c>
      <c r="K20" s="61" t="inlineStr">
        <is>
          <t>矿</t>
        </is>
      </c>
      <c r="L20" s="61" t="inlineStr">
        <is>
          <t>7</t>
        </is>
      </c>
      <c r="M20" s="61" t="n"/>
      <c r="N20" s="61" t="n"/>
      <c r="O20" s="61" t="n"/>
      <c r="P20" s="61" t="n"/>
      <c r="Q20" s="61" t="n"/>
      <c r="R20" s="61" t="inlineStr">
        <is>
          <t>-1</t>
        </is>
      </c>
      <c r="S20" s="61" t="n"/>
      <c r="T20" s="61" t="n"/>
      <c r="U20" s="61" t="n"/>
      <c r="V20" s="61" t="n"/>
      <c r="W20" s="61" t="n"/>
      <c r="X20" s="61" t="inlineStr">
        <is>
          <t>img_luopanda</t>
        </is>
      </c>
      <c r="Y20" s="61" t="n"/>
      <c r="Z20" s="59" t="n"/>
    </row>
    <row r="21" ht="130.5" customHeight="1" s="127">
      <c r="B21" s="65" t="inlineStr">
        <is>
          <t>21001</t>
        </is>
      </c>
      <c r="C21" s="66" t="inlineStr">
        <is>
          <t>月灵矿脉</t>
        </is>
      </c>
      <c r="D21" s="64" t="inlineStr">
        <is>
          <t>此地终年被浓雾笼罩，只有月光能照入其中。矿脉中遍布月灵矿和其他珍稀矿石，是无数炼器师梦寐以求的地方。</t>
        </is>
      </c>
      <c r="E21" s="65" t="n"/>
      <c r="F21" s="65" t="inlineStr">
        <is>
          <t>111001|495|675</t>
        </is>
      </c>
      <c r="G21" s="65" t="inlineStr">
        <is>
          <t>3</t>
        </is>
      </c>
      <c r="H21" s="65" t="inlineStr">
        <is>
          <t>1</t>
        </is>
      </c>
      <c r="I21" s="65" t="inlineStr">
        <is>
          <t>探索</t>
        </is>
      </c>
      <c r="J21" s="65" t="inlineStr">
        <is>
          <t>无视它</t>
        </is>
      </c>
      <c r="K21" s="65" t="inlineStr">
        <is>
          <t>矿</t>
        </is>
      </c>
      <c r="L21" s="65" t="inlineStr">
        <is>
          <t>7</t>
        </is>
      </c>
      <c r="M21" s="65" t="inlineStr">
        <is>
          <t>这里的资源已经被取走，只余一些不值钱的碎石块</t>
        </is>
      </c>
      <c r="N21" s="65" t="n"/>
      <c r="O21" s="65" t="n"/>
      <c r="P21" s="65" t="n"/>
      <c r="Q21" s="65" t="n"/>
      <c r="R21" s="65" t="inlineStr">
        <is>
          <t>-1</t>
        </is>
      </c>
      <c r="S21" s="65" t="n"/>
      <c r="T21" s="65" t="n"/>
      <c r="U21" s="65" t="n"/>
      <c r="V21" s="65" t="n"/>
      <c r="W21" s="65" t="n"/>
      <c r="X21" s="65" t="inlineStr">
        <is>
          <t>img_kuangchang</t>
        </is>
      </c>
      <c r="Y21" s="65" t="n"/>
      <c r="Z21" s="66" t="n"/>
      <c r="AA21" s="65" t="n"/>
      <c r="AB21" s="65" t="n"/>
      <c r="AC21" s="65" t="n"/>
      <c r="AD21" s="65" t="n"/>
      <c r="AE21" s="65" t="n"/>
      <c r="AF21" s="65" t="n"/>
      <c r="AG21" s="65" t="n"/>
      <c r="AH21" s="65" t="n"/>
      <c r="AI21" s="65" t="n"/>
      <c r="AJ21" s="65" t="n"/>
      <c r="AK21" s="65" t="n"/>
      <c r="AL21" s="65" t="n"/>
      <c r="AM21" s="65" t="n"/>
      <c r="AN21" s="85" t="n"/>
      <c r="AO21" s="85" t="n"/>
      <c r="AP21" s="85" t="n"/>
      <c r="AQ21" s="85" t="n"/>
      <c r="AR21" s="85" t="n"/>
      <c r="AS21" s="85" t="n"/>
      <c r="AT21" s="85" t="n"/>
      <c r="AU21" s="85" t="n"/>
      <c r="AV21" s="85" t="n"/>
      <c r="AW21" s="85" t="n"/>
      <c r="AX21" s="85" t="n"/>
      <c r="AY21" s="85" t="n"/>
      <c r="AZ21" s="85" t="n"/>
      <c r="BA21" s="85" t="n"/>
      <c r="BB21" s="85" t="n"/>
      <c r="BC21" s="85" t="n"/>
      <c r="BD21" s="85" t="n"/>
      <c r="BE21" s="85" t="n"/>
      <c r="BF21" s="85" t="n"/>
      <c r="BG21" s="85" t="n"/>
      <c r="BH21" s="85" t="n"/>
      <c r="BI21" s="85" t="n"/>
      <c r="BJ21" s="85" t="n"/>
      <c r="BK21" s="85" t="n"/>
      <c r="BL21" s="85" t="n"/>
      <c r="BM21" s="85" t="n"/>
      <c r="BN21" s="85" t="n"/>
      <c r="BO21" s="85" t="n"/>
      <c r="BP21" s="85" t="n"/>
      <c r="BQ21" s="85" t="n"/>
      <c r="BR21" s="85" t="n"/>
      <c r="BS21" s="85" t="n"/>
      <c r="BT21" s="85" t="n"/>
      <c r="BU21" s="85" t="n"/>
      <c r="BV21" s="85" t="n"/>
      <c r="BW21" s="85" t="n"/>
      <c r="BX21" s="85" t="n"/>
      <c r="BY21" s="85" t="n"/>
      <c r="BZ21" s="85" t="n"/>
      <c r="CA21" s="85" t="n"/>
      <c r="CB21" s="85" t="n"/>
      <c r="CC21" s="85" t="n"/>
      <c r="CD21" s="85" t="n"/>
      <c r="CE21" s="85" t="n"/>
      <c r="CF21" s="85" t="n"/>
      <c r="CG21" s="85" t="n"/>
      <c r="CH21" s="85" t="n"/>
      <c r="CI21" s="85" t="n"/>
      <c r="CJ21" s="85" t="n"/>
      <c r="CK21" s="85" t="n"/>
      <c r="CL21" s="85" t="n"/>
      <c r="CM21" s="85" t="n"/>
      <c r="CN21" s="85" t="n"/>
      <c r="CO21" s="85" t="n"/>
      <c r="CP21" s="85" t="n"/>
      <c r="CQ21" s="85" t="n"/>
      <c r="CR21" s="85" t="n"/>
      <c r="CS21" s="85" t="n"/>
      <c r="CT21" s="85" t="n"/>
      <c r="CU21" s="85" t="n"/>
      <c r="CV21" s="85" t="n"/>
      <c r="CW21" s="85" t="n"/>
      <c r="CX21" s="85" t="n"/>
      <c r="CY21" s="85" t="n"/>
      <c r="CZ21" s="85" t="n"/>
      <c r="DA21" s="85" t="n"/>
      <c r="DB21" s="85" t="n"/>
      <c r="DC21" s="85" t="n"/>
      <c r="DD21" s="85" t="n"/>
      <c r="DE21" s="85" t="n"/>
      <c r="DF21" s="85" t="n"/>
      <c r="DG21" s="85" t="n"/>
      <c r="DH21" s="85" t="n"/>
      <c r="DI21" s="85" t="n"/>
      <c r="DJ21" s="85" t="n"/>
      <c r="DK21" s="85" t="n"/>
      <c r="DL21" s="85" t="n"/>
      <c r="DM21" s="85" t="n"/>
      <c r="DN21" s="85" t="n"/>
      <c r="DO21" s="85" t="n"/>
      <c r="DP21" s="85" t="n"/>
      <c r="DQ21" s="85" t="n"/>
      <c r="DR21" s="85" t="n"/>
      <c r="DS21" s="85" t="n"/>
      <c r="DT21" s="85" t="n"/>
      <c r="DU21" s="85" t="n"/>
      <c r="DV21" s="85" t="n"/>
      <c r="DW21" s="85" t="n"/>
      <c r="DX21" s="85" t="n"/>
      <c r="DY21" s="85" t="n"/>
      <c r="DZ21" s="85" t="n"/>
      <c r="EA21" s="85" t="n"/>
      <c r="EB21" s="85" t="n"/>
      <c r="EC21" s="85" t="n"/>
      <c r="ED21" s="85" t="n"/>
      <c r="EE21" s="85" t="n"/>
      <c r="EF21" s="85" t="n"/>
      <c r="EG21" s="85" t="n"/>
      <c r="EH21" s="85" t="n"/>
      <c r="EI21" s="85" t="n"/>
      <c r="EJ21" s="85" t="n"/>
      <c r="EK21" s="85" t="n"/>
      <c r="EL21" s="85" t="n"/>
      <c r="EM21" s="85" t="n"/>
      <c r="EN21" s="85" t="n"/>
      <c r="EO21" s="85" t="n"/>
      <c r="EP21" s="85" t="n"/>
      <c r="EQ21" s="85" t="n"/>
      <c r="ER21" s="85" t="n"/>
      <c r="ES21" s="85" t="n"/>
      <c r="ET21" s="85" t="n"/>
      <c r="EU21" s="85" t="n"/>
      <c r="EV21" s="85" t="n"/>
      <c r="EW21" s="85" t="n"/>
      <c r="EX21" s="85" t="n"/>
      <c r="EY21" s="85" t="n"/>
      <c r="EZ21" s="85" t="n"/>
      <c r="FA21" s="85" t="n"/>
      <c r="FB21" s="85" t="n"/>
      <c r="FC21" s="85" t="n"/>
      <c r="FD21" s="85" t="n"/>
      <c r="FE21" s="85" t="n"/>
      <c r="FF21" s="85" t="n"/>
      <c r="FG21" s="85" t="n"/>
      <c r="FH21" s="85" t="n"/>
      <c r="FI21" s="85" t="n"/>
      <c r="FJ21" s="85" t="n"/>
      <c r="FK21" s="85" t="n"/>
      <c r="FL21" s="85" t="n"/>
      <c r="FM21" s="85" t="n"/>
      <c r="FN21" s="85" t="n"/>
      <c r="FO21" s="85" t="n"/>
      <c r="FP21" s="85" t="n"/>
      <c r="FQ21" s="85" t="n"/>
      <c r="FR21" s="85" t="n"/>
      <c r="FS21" s="85" t="n"/>
      <c r="FT21" s="85" t="n"/>
      <c r="FU21" s="85" t="n"/>
      <c r="FV21" s="85" t="n"/>
      <c r="FW21" s="85" t="n"/>
      <c r="FX21" s="85" t="n"/>
      <c r="FY21" s="85" t="n"/>
      <c r="FZ21" s="85" t="n"/>
      <c r="GA21" s="85" t="n"/>
      <c r="GB21" s="85" t="n"/>
      <c r="GC21" s="85" t="n"/>
      <c r="GD21" s="85" t="n"/>
      <c r="GE21" s="85" t="n"/>
      <c r="GF21" s="85" t="n"/>
      <c r="GG21" s="85" t="n"/>
      <c r="GH21" s="85" t="n"/>
      <c r="GI21" s="85" t="n"/>
      <c r="GJ21" s="85" t="n"/>
      <c r="GK21" s="85" t="n"/>
      <c r="GL21" s="85" t="n"/>
      <c r="GM21" s="85" t="n"/>
      <c r="GN21" s="85" t="n"/>
      <c r="GO21" s="85" t="n"/>
      <c r="GP21" s="85" t="n"/>
      <c r="GQ21" s="85" t="n"/>
      <c r="GR21" s="85" t="n"/>
      <c r="GS21" s="85" t="n"/>
      <c r="GT21" s="85" t="n"/>
      <c r="GU21" s="85" t="n"/>
      <c r="GV21" s="85" t="n"/>
      <c r="GW21" s="85" t="n"/>
      <c r="GX21" s="85" t="n"/>
      <c r="GY21" s="85" t="n"/>
      <c r="GZ21" s="85" t="n"/>
      <c r="HA21" s="85" t="n"/>
      <c r="HB21" s="85" t="n"/>
      <c r="HC21" s="85" t="n"/>
      <c r="HD21" s="85" t="n"/>
      <c r="HE21" s="85" t="n"/>
      <c r="HF21" s="85" t="n"/>
      <c r="HG21" s="85" t="n"/>
      <c r="HH21" s="85" t="n"/>
      <c r="HI21" s="85" t="n"/>
      <c r="HJ21" s="85" t="n"/>
      <c r="HK21" s="85" t="n"/>
      <c r="HL21" s="85" t="n"/>
      <c r="HM21" s="85" t="n"/>
      <c r="HN21" s="85" t="n"/>
      <c r="HO21" s="85" t="n"/>
      <c r="HP21" s="85" t="n"/>
      <c r="HQ21" s="85" t="n"/>
      <c r="HR21" s="85" t="n"/>
      <c r="HS21" s="85" t="n"/>
      <c r="HT21" s="85" t="n"/>
      <c r="HU21" s="85" t="n"/>
      <c r="HV21" s="85" t="n"/>
      <c r="HW21" s="85" t="n"/>
      <c r="HX21" s="85" t="n"/>
      <c r="HY21" s="85" t="n"/>
      <c r="HZ21" s="85" t="n"/>
      <c r="IA21" s="85" t="n"/>
    </row>
    <row r="22" ht="130.5" customHeight="1" s="127">
      <c r="B22" s="65" t="inlineStr">
        <is>
          <t>21002</t>
        </is>
      </c>
      <c r="C22" s="66" t="inlineStr">
        <is>
          <t>小树林</t>
        </is>
      </c>
      <c r="D22" s="64" t="inlineStr">
        <is>
          <t>传说有一片遍布珍木异兽的森林，隐匿在仙渺山脉中，森林外围布有结界，有缘人方可进入其中。</t>
        </is>
      </c>
      <c r="E22" s="65" t="n"/>
      <c r="F22" s="109" t="inlineStr">
        <is>
          <t>91001|100|120</t>
        </is>
      </c>
      <c r="G22" s="65" t="inlineStr">
        <is>
          <t>3</t>
        </is>
      </c>
      <c r="H22" s="65" t="inlineStr">
        <is>
          <t>1</t>
        </is>
      </c>
      <c r="I22" s="65" t="inlineStr">
        <is>
          <t>探索</t>
        </is>
      </c>
      <c r="J22" s="65" t="inlineStr">
        <is>
          <t>无视它</t>
        </is>
      </c>
      <c r="K22" s="65" t="inlineStr">
        <is>
          <t>矿</t>
        </is>
      </c>
      <c r="L22" s="65" t="inlineStr">
        <is>
          <t>7</t>
        </is>
      </c>
      <c r="M22" s="65" t="inlineStr">
        <is>
          <t>这片地脉已经没有任何有价值的东西</t>
        </is>
      </c>
      <c r="N22" s="65" t="n"/>
      <c r="O22" s="65" t="n"/>
      <c r="P22" s="65" t="n"/>
      <c r="Q22" s="65" t="n"/>
      <c r="R22" s="65" t="inlineStr">
        <is>
          <t>-1</t>
        </is>
      </c>
      <c r="S22" s="65" t="n"/>
      <c r="T22" s="65" t="n"/>
      <c r="U22" s="65" t="n"/>
      <c r="V22" s="65" t="n"/>
      <c r="W22" s="65" t="n"/>
      <c r="X22" s="65" t="inlineStr">
        <is>
          <t>img_mjbaoxiang2-2</t>
        </is>
      </c>
      <c r="Y22" s="65" t="n"/>
      <c r="Z22" s="66" t="n"/>
      <c r="AA22" s="65" t="n"/>
      <c r="AB22" s="65" t="n"/>
      <c r="AC22" s="65" t="n"/>
      <c r="AD22" s="65" t="n"/>
      <c r="AE22" s="65" t="n"/>
      <c r="AF22" s="65" t="n"/>
      <c r="AG22" s="65" t="n"/>
      <c r="AH22" s="65" t="n"/>
      <c r="AI22" s="65" t="n"/>
      <c r="AJ22" s="65" t="n"/>
      <c r="AK22" s="65" t="n"/>
      <c r="AL22" s="65" t="n"/>
      <c r="AM22" s="65" t="n"/>
      <c r="AN22" s="85" t="n"/>
      <c r="AO22" s="85" t="n"/>
      <c r="AP22" s="85" t="n"/>
      <c r="AQ22" s="85" t="n"/>
      <c r="AR22" s="85" t="n"/>
      <c r="AS22" s="85" t="n"/>
      <c r="AT22" s="85" t="n"/>
      <c r="AU22" s="85" t="n"/>
      <c r="AV22" s="85" t="n"/>
      <c r="AW22" s="85" t="n"/>
      <c r="AX22" s="85" t="n"/>
      <c r="AY22" s="85" t="n"/>
      <c r="AZ22" s="85" t="n"/>
      <c r="BA22" s="85" t="n"/>
      <c r="BB22" s="85" t="n"/>
      <c r="BC22" s="85" t="n"/>
      <c r="BD22" s="85" t="n"/>
      <c r="BE22" s="85" t="n"/>
      <c r="BF22" s="85" t="n"/>
      <c r="BG22" s="85" t="n"/>
      <c r="BH22" s="85" t="n"/>
      <c r="BI22" s="85" t="n"/>
      <c r="BJ22" s="85" t="n"/>
      <c r="BK22" s="85" t="n"/>
      <c r="BL22" s="85" t="n"/>
      <c r="BM22" s="85" t="n"/>
      <c r="BN22" s="85" t="n"/>
      <c r="BO22" s="85" t="n"/>
      <c r="BP22" s="85" t="n"/>
      <c r="BQ22" s="85" t="n"/>
      <c r="BR22" s="85" t="n"/>
      <c r="BS22" s="85" t="n"/>
      <c r="BT22" s="85" t="n"/>
      <c r="BU22" s="85" t="n"/>
      <c r="BV22" s="85" t="n"/>
      <c r="BW22" s="85" t="n"/>
      <c r="BX22" s="85" t="n"/>
      <c r="BY22" s="85" t="n"/>
      <c r="BZ22" s="85" t="n"/>
      <c r="CA22" s="85" t="n"/>
      <c r="CB22" s="85" t="n"/>
      <c r="CC22" s="85" t="n"/>
      <c r="CD22" s="85" t="n"/>
      <c r="CE22" s="85" t="n"/>
      <c r="CF22" s="85" t="n"/>
      <c r="CG22" s="85" t="n"/>
      <c r="CH22" s="85" t="n"/>
      <c r="CI22" s="85" t="n"/>
      <c r="CJ22" s="85" t="n"/>
      <c r="CK22" s="85" t="n"/>
      <c r="CL22" s="85" t="n"/>
      <c r="CM22" s="85" t="n"/>
      <c r="CN22" s="85" t="n"/>
      <c r="CO22" s="85" t="n"/>
      <c r="CP22" s="85" t="n"/>
      <c r="CQ22" s="85" t="n"/>
      <c r="CR22" s="85" t="n"/>
      <c r="CS22" s="85" t="n"/>
      <c r="CT22" s="85" t="n"/>
      <c r="CU22" s="85" t="n"/>
      <c r="CV22" s="85" t="n"/>
      <c r="CW22" s="85" t="n"/>
      <c r="CX22" s="85" t="n"/>
      <c r="CY22" s="85" t="n"/>
      <c r="CZ22" s="85" t="n"/>
      <c r="DA22" s="85" t="n"/>
      <c r="DB22" s="85" t="n"/>
      <c r="DC22" s="85" t="n"/>
      <c r="DD22" s="85" t="n"/>
      <c r="DE22" s="85" t="n"/>
      <c r="DF22" s="85" t="n"/>
      <c r="DG22" s="85" t="n"/>
      <c r="DH22" s="85" t="n"/>
      <c r="DI22" s="85" t="n"/>
      <c r="DJ22" s="85" t="n"/>
      <c r="DK22" s="85" t="n"/>
      <c r="DL22" s="85" t="n"/>
      <c r="DM22" s="85" t="n"/>
      <c r="DN22" s="85" t="n"/>
      <c r="DO22" s="85" t="n"/>
      <c r="DP22" s="85" t="n"/>
      <c r="DQ22" s="85" t="n"/>
      <c r="DR22" s="85" t="n"/>
      <c r="DS22" s="85" t="n"/>
      <c r="DT22" s="85" t="n"/>
      <c r="DU22" s="85" t="n"/>
      <c r="DV22" s="85" t="n"/>
      <c r="DW22" s="85" t="n"/>
      <c r="DX22" s="85" t="n"/>
      <c r="DY22" s="85" t="n"/>
      <c r="DZ22" s="85" t="n"/>
      <c r="EA22" s="85" t="n"/>
      <c r="EB22" s="85" t="n"/>
      <c r="EC22" s="85" t="n"/>
      <c r="ED22" s="85" t="n"/>
      <c r="EE22" s="85" t="n"/>
      <c r="EF22" s="85" t="n"/>
      <c r="EG22" s="85" t="n"/>
      <c r="EH22" s="85" t="n"/>
      <c r="EI22" s="85" t="n"/>
      <c r="EJ22" s="85" t="n"/>
      <c r="EK22" s="85" t="n"/>
      <c r="EL22" s="85" t="n"/>
      <c r="EM22" s="85" t="n"/>
      <c r="EN22" s="85" t="n"/>
      <c r="EO22" s="85" t="n"/>
      <c r="EP22" s="85" t="n"/>
      <c r="EQ22" s="85" t="n"/>
      <c r="ER22" s="85" t="n"/>
      <c r="ES22" s="85" t="n"/>
      <c r="ET22" s="85" t="n"/>
      <c r="EU22" s="85" t="n"/>
      <c r="EV22" s="85" t="n"/>
      <c r="EW22" s="85" t="n"/>
      <c r="EX22" s="85" t="n"/>
      <c r="EY22" s="85" t="n"/>
      <c r="EZ22" s="85" t="n"/>
      <c r="FA22" s="85" t="n"/>
      <c r="FB22" s="85" t="n"/>
      <c r="FC22" s="85" t="n"/>
      <c r="FD22" s="85" t="n"/>
      <c r="FE22" s="85" t="n"/>
      <c r="FF22" s="85" t="n"/>
      <c r="FG22" s="85" t="n"/>
      <c r="FH22" s="85" t="n"/>
      <c r="FI22" s="85" t="n"/>
      <c r="FJ22" s="85" t="n"/>
      <c r="FK22" s="85" t="n"/>
      <c r="FL22" s="85" t="n"/>
      <c r="FM22" s="85" t="n"/>
      <c r="FN22" s="85" t="n"/>
      <c r="FO22" s="85" t="n"/>
      <c r="FP22" s="85" t="n"/>
      <c r="FQ22" s="85" t="n"/>
      <c r="FR22" s="85" t="n"/>
      <c r="FS22" s="85" t="n"/>
      <c r="FT22" s="85" t="n"/>
      <c r="FU22" s="85" t="n"/>
      <c r="FV22" s="85" t="n"/>
      <c r="FW22" s="85" t="n"/>
      <c r="FX22" s="85" t="n"/>
      <c r="FY22" s="85" t="n"/>
      <c r="FZ22" s="85" t="n"/>
      <c r="GA22" s="85" t="n"/>
      <c r="GB22" s="85" t="n"/>
      <c r="GC22" s="85" t="n"/>
      <c r="GD22" s="85" t="n"/>
      <c r="GE22" s="85" t="n"/>
      <c r="GF22" s="85" t="n"/>
      <c r="GG22" s="85" t="n"/>
      <c r="GH22" s="85" t="n"/>
      <c r="GI22" s="85" t="n"/>
      <c r="GJ22" s="85" t="n"/>
      <c r="GK22" s="85" t="n"/>
      <c r="GL22" s="85" t="n"/>
      <c r="GM22" s="85" t="n"/>
      <c r="GN22" s="85" t="n"/>
      <c r="GO22" s="85" t="n"/>
      <c r="GP22" s="85" t="n"/>
      <c r="GQ22" s="85" t="n"/>
      <c r="GR22" s="85" t="n"/>
      <c r="GS22" s="85" t="n"/>
      <c r="GT22" s="85" t="n"/>
      <c r="GU22" s="85" t="n"/>
      <c r="GV22" s="85" t="n"/>
      <c r="GW22" s="85" t="n"/>
      <c r="GX22" s="85" t="n"/>
      <c r="GY22" s="85" t="n"/>
      <c r="GZ22" s="85" t="n"/>
      <c r="HA22" s="85" t="n"/>
      <c r="HB22" s="85" t="n"/>
      <c r="HC22" s="85" t="n"/>
      <c r="HD22" s="85" t="n"/>
      <c r="HE22" s="85" t="n"/>
      <c r="HF22" s="85" t="n"/>
      <c r="HG22" s="85" t="n"/>
      <c r="HH22" s="85" t="n"/>
      <c r="HI22" s="85" t="n"/>
      <c r="HJ22" s="85" t="n"/>
      <c r="HK22" s="85" t="n"/>
      <c r="HL22" s="85" t="n"/>
      <c r="HM22" s="85" t="n"/>
      <c r="HN22" s="85" t="n"/>
      <c r="HO22" s="85" t="n"/>
      <c r="HP22" s="85" t="n"/>
      <c r="HQ22" s="85" t="n"/>
      <c r="HR22" s="85" t="n"/>
      <c r="HS22" s="85" t="n"/>
      <c r="HT22" s="85" t="n"/>
      <c r="HU22" s="85" t="n"/>
      <c r="HV22" s="85" t="n"/>
      <c r="HW22" s="85" t="n"/>
      <c r="HX22" s="85" t="n"/>
      <c r="HY22" s="85" t="n"/>
      <c r="HZ22" s="85" t="n"/>
      <c r="IA22" s="85" t="n"/>
    </row>
    <row r="23" ht="130.5" customHeight="1" s="127">
      <c r="B23" s="65" t="inlineStr">
        <is>
          <t>21003</t>
        </is>
      </c>
      <c r="C23" s="44" t="inlineStr">
        <is>
          <t>憩息点</t>
        </is>
      </c>
      <c r="D23" s="44" t="inlineStr">
        <is>
          <t>这里有泉水的润泽，似乎能恢复不少精力</t>
        </is>
      </c>
      <c r="E23" s="44" t="n"/>
      <c r="F23" s="44" t="inlineStr">
        <is>
          <t>20|30</t>
        </is>
      </c>
      <c r="G23" s="44" t="inlineStr">
        <is>
          <t>4</t>
        </is>
      </c>
      <c r="H23" s="44" t="inlineStr">
        <is>
          <t>1</t>
        </is>
      </c>
      <c r="I23" s="44" t="inlineStr">
        <is>
          <t>休息</t>
        </is>
      </c>
      <c r="J23" s="44" t="inlineStr">
        <is>
          <t>无视它</t>
        </is>
      </c>
      <c r="K23" s="44" t="inlineStr">
        <is>
          <t>休息</t>
        </is>
      </c>
      <c r="L23" s="44" t="n"/>
      <c r="M23" s="44" t="inlineStr">
        <is>
          <t>经过泉水的润泽，弟子们已经好多了。泉水已经干涸</t>
        </is>
      </c>
      <c r="N23" s="44" t="n"/>
      <c r="O23" s="44" t="n"/>
      <c r="P23" s="44" t="n"/>
      <c r="Q23" s="44" t="n"/>
      <c r="R23" s="44" t="inlineStr">
        <is>
          <t>-1</t>
        </is>
      </c>
      <c r="S23" s="44" t="n"/>
      <c r="T23" s="44" t="n"/>
      <c r="U23" s="44" t="n"/>
      <c r="V23" s="44" t="n"/>
      <c r="W23" s="44" t="n"/>
      <c r="X23" s="44" t="inlineStr">
        <is>
          <t>img_xiuxidian</t>
        </is>
      </c>
      <c r="Y23" s="65" t="n"/>
      <c r="Z23" s="44" t="n"/>
      <c r="AA23" s="65" t="n"/>
      <c r="AB23" s="65" t="n"/>
      <c r="AC23" s="65" t="n"/>
      <c r="AD23" s="65" t="n"/>
      <c r="AE23" s="65" t="n"/>
      <c r="AF23" s="65" t="n"/>
      <c r="AG23" s="65" t="n"/>
      <c r="AH23" s="65" t="n"/>
      <c r="AI23" s="65" t="n"/>
      <c r="AJ23" s="65" t="n"/>
      <c r="AK23" s="65" t="n"/>
      <c r="AL23" s="65" t="n"/>
      <c r="AM23" s="65" t="n"/>
      <c r="AN23" s="85" t="n"/>
      <c r="AO23" s="85" t="n"/>
      <c r="AP23" s="85" t="n"/>
      <c r="AQ23" s="85" t="n"/>
      <c r="AR23" s="85" t="n"/>
      <c r="AS23" s="85" t="n"/>
      <c r="AT23" s="85" t="n"/>
      <c r="AU23" s="85" t="n"/>
      <c r="AV23" s="85" t="n"/>
      <c r="AW23" s="85" t="n"/>
      <c r="AX23" s="85" t="n"/>
      <c r="AY23" s="85" t="n"/>
      <c r="AZ23" s="85" t="n"/>
      <c r="BA23" s="85" t="n"/>
      <c r="BB23" s="85" t="n"/>
      <c r="BC23" s="85" t="n"/>
      <c r="BD23" s="85" t="n"/>
      <c r="BE23" s="85" t="n"/>
      <c r="BF23" s="85" t="n"/>
      <c r="BG23" s="85" t="n"/>
      <c r="BH23" s="85" t="n"/>
      <c r="BI23" s="85" t="n"/>
      <c r="BJ23" s="85" t="n"/>
      <c r="BK23" s="85" t="n"/>
      <c r="BL23" s="85" t="n"/>
      <c r="BM23" s="85" t="n"/>
      <c r="BN23" s="85" t="n"/>
      <c r="BO23" s="85" t="n"/>
      <c r="BP23" s="85" t="n"/>
      <c r="BQ23" s="85" t="n"/>
      <c r="BR23" s="85" t="n"/>
      <c r="BS23" s="85" t="n"/>
      <c r="BT23" s="85" t="n"/>
      <c r="BU23" s="85" t="n"/>
      <c r="BV23" s="85" t="n"/>
      <c r="BW23" s="85" t="n"/>
      <c r="BX23" s="85" t="n"/>
      <c r="BY23" s="85" t="n"/>
      <c r="BZ23" s="85" t="n"/>
      <c r="CA23" s="85" t="n"/>
      <c r="CB23" s="85" t="n"/>
      <c r="CC23" s="85" t="n"/>
      <c r="CD23" s="85" t="n"/>
      <c r="CE23" s="85" t="n"/>
      <c r="CF23" s="85" t="n"/>
      <c r="CG23" s="85" t="n"/>
      <c r="CH23" s="85" t="n"/>
      <c r="CI23" s="85" t="n"/>
      <c r="CJ23" s="85" t="n"/>
      <c r="CK23" s="85" t="n"/>
      <c r="CL23" s="85" t="n"/>
      <c r="CM23" s="85" t="n"/>
      <c r="CN23" s="85" t="n"/>
      <c r="CO23" s="85" t="n"/>
      <c r="CP23" s="85" t="n"/>
      <c r="CQ23" s="85" t="n"/>
      <c r="CR23" s="85" t="n"/>
      <c r="CS23" s="85" t="n"/>
      <c r="CT23" s="85" t="n"/>
      <c r="CU23" s="85" t="n"/>
      <c r="CV23" s="85" t="n"/>
      <c r="CW23" s="85" t="n"/>
      <c r="CX23" s="85" t="n"/>
      <c r="CY23" s="85" t="n"/>
      <c r="CZ23" s="85" t="n"/>
      <c r="DA23" s="85" t="n"/>
      <c r="DB23" s="85" t="n"/>
      <c r="DC23" s="85" t="n"/>
      <c r="DD23" s="85" t="n"/>
      <c r="DE23" s="85" t="n"/>
      <c r="DF23" s="85" t="n"/>
      <c r="DG23" s="85" t="n"/>
      <c r="DH23" s="85" t="n"/>
      <c r="DI23" s="85" t="n"/>
      <c r="DJ23" s="85" t="n"/>
      <c r="DK23" s="85" t="n"/>
      <c r="DL23" s="85" t="n"/>
      <c r="DM23" s="85" t="n"/>
      <c r="DN23" s="85" t="n"/>
      <c r="DO23" s="85" t="n"/>
      <c r="DP23" s="85" t="n"/>
      <c r="DQ23" s="85" t="n"/>
      <c r="DR23" s="85" t="n"/>
      <c r="DS23" s="85" t="n"/>
      <c r="DT23" s="85" t="n"/>
      <c r="DU23" s="85" t="n"/>
      <c r="DV23" s="85" t="n"/>
      <c r="DW23" s="85" t="n"/>
      <c r="DX23" s="85" t="n"/>
      <c r="DY23" s="85" t="n"/>
      <c r="DZ23" s="85" t="n"/>
      <c r="EA23" s="85" t="n"/>
      <c r="EB23" s="85" t="n"/>
      <c r="EC23" s="85" t="n"/>
      <c r="ED23" s="85" t="n"/>
      <c r="EE23" s="85" t="n"/>
      <c r="EF23" s="85" t="n"/>
      <c r="EG23" s="85" t="n"/>
      <c r="EH23" s="85" t="n"/>
      <c r="EI23" s="85" t="n"/>
      <c r="EJ23" s="85" t="n"/>
      <c r="EK23" s="85" t="n"/>
      <c r="EL23" s="85" t="n"/>
      <c r="EM23" s="85" t="n"/>
      <c r="EN23" s="85" t="n"/>
      <c r="EO23" s="85" t="n"/>
      <c r="EP23" s="85" t="n"/>
      <c r="EQ23" s="85" t="n"/>
      <c r="ER23" s="85" t="n"/>
      <c r="ES23" s="85" t="n"/>
      <c r="ET23" s="85" t="n"/>
      <c r="EU23" s="85" t="n"/>
      <c r="EV23" s="85" t="n"/>
      <c r="EW23" s="85" t="n"/>
      <c r="EX23" s="85" t="n"/>
      <c r="EY23" s="85" t="n"/>
      <c r="EZ23" s="85" t="n"/>
      <c r="FA23" s="85" t="n"/>
      <c r="FB23" s="85" t="n"/>
      <c r="FC23" s="85" t="n"/>
      <c r="FD23" s="85" t="n"/>
      <c r="FE23" s="85" t="n"/>
      <c r="FF23" s="85" t="n"/>
      <c r="FG23" s="85" t="n"/>
      <c r="FH23" s="85" t="n"/>
      <c r="FI23" s="85" t="n"/>
      <c r="FJ23" s="85" t="n"/>
      <c r="FK23" s="85" t="n"/>
      <c r="FL23" s="85" t="n"/>
      <c r="FM23" s="85" t="n"/>
      <c r="FN23" s="85" t="n"/>
      <c r="FO23" s="85" t="n"/>
      <c r="FP23" s="85" t="n"/>
      <c r="FQ23" s="85" t="n"/>
      <c r="FR23" s="85" t="n"/>
      <c r="FS23" s="85" t="n"/>
      <c r="FT23" s="85" t="n"/>
      <c r="FU23" s="85" t="n"/>
      <c r="FV23" s="85" t="n"/>
      <c r="FW23" s="85" t="n"/>
      <c r="FX23" s="85" t="n"/>
      <c r="FY23" s="85" t="n"/>
      <c r="FZ23" s="85" t="n"/>
      <c r="GA23" s="85" t="n"/>
      <c r="GB23" s="85" t="n"/>
      <c r="GC23" s="85" t="n"/>
      <c r="GD23" s="85" t="n"/>
      <c r="GE23" s="85" t="n"/>
      <c r="GF23" s="85" t="n"/>
      <c r="GG23" s="85" t="n"/>
      <c r="GH23" s="85" t="n"/>
      <c r="GI23" s="85" t="n"/>
      <c r="GJ23" s="85" t="n"/>
      <c r="GK23" s="85" t="n"/>
      <c r="GL23" s="85" t="n"/>
      <c r="GM23" s="85" t="n"/>
      <c r="GN23" s="85" t="n"/>
      <c r="GO23" s="85" t="n"/>
      <c r="GP23" s="85" t="n"/>
      <c r="GQ23" s="85" t="n"/>
      <c r="GR23" s="85" t="n"/>
      <c r="GS23" s="85" t="n"/>
      <c r="GT23" s="85" t="n"/>
      <c r="GU23" s="85" t="n"/>
      <c r="GV23" s="85" t="n"/>
      <c r="GW23" s="85" t="n"/>
      <c r="GX23" s="85" t="n"/>
      <c r="GY23" s="85" t="n"/>
      <c r="GZ23" s="85" t="n"/>
      <c r="HA23" s="85" t="n"/>
      <c r="HB23" s="85" t="n"/>
      <c r="HC23" s="85" t="n"/>
      <c r="HD23" s="85" t="n"/>
      <c r="HE23" s="85" t="n"/>
      <c r="HF23" s="85" t="n"/>
      <c r="HG23" s="85" t="n"/>
      <c r="HH23" s="85" t="n"/>
      <c r="HI23" s="85" t="n"/>
      <c r="HJ23" s="85" t="n"/>
      <c r="HK23" s="85" t="n"/>
      <c r="HL23" s="85" t="n"/>
      <c r="HM23" s="85" t="n"/>
      <c r="HN23" s="85" t="n"/>
      <c r="HO23" s="85" t="n"/>
      <c r="HP23" s="85" t="n"/>
      <c r="HQ23" s="85" t="n"/>
      <c r="HR23" s="85" t="n"/>
      <c r="HS23" s="85" t="n"/>
      <c r="HT23" s="85" t="n"/>
      <c r="HU23" s="85" t="n"/>
      <c r="HV23" s="85" t="n"/>
      <c r="HW23" s="85" t="n"/>
      <c r="HX23" s="85" t="n"/>
      <c r="HY23" s="85" t="n"/>
      <c r="HZ23" s="85" t="n"/>
      <c r="IA23" s="85" t="n"/>
    </row>
    <row r="24" ht="130.5" customHeight="1" s="127">
      <c r="B24" s="65" t="inlineStr">
        <is>
          <t>21004</t>
        </is>
      </c>
      <c r="C24" s="70" t="inlineStr">
        <is>
          <t>荒废遗迹</t>
        </is>
      </c>
      <c r="D24" s="70" t="inlineStr">
        <is>
          <t>一座被微弱结界笼罩的庭院，从结界阵法上散发的威压来看，应该是某位大能曾经的住所。</t>
        </is>
      </c>
      <c r="E24" s="70" t="n"/>
      <c r="F24" s="108" t="inlineStr">
        <is>
          <t>10001|700|1000,161001|1|3$10001|1000|1200</t>
        </is>
      </c>
      <c r="G24" s="70" t="inlineStr">
        <is>
          <t>5</t>
        </is>
      </c>
      <c r="H24" s="70" t="inlineStr">
        <is>
          <t>1</t>
        </is>
      </c>
      <c r="I24" s="70" t="inlineStr">
        <is>
          <t>简单搜寻</t>
        </is>
      </c>
      <c r="J24" s="70" t="inlineStr">
        <is>
          <t>彻底探索</t>
        </is>
      </c>
      <c r="K24" s="70" t="inlineStr">
        <is>
          <t>矿</t>
        </is>
      </c>
      <c r="L24" s="70" t="inlineStr">
        <is>
          <t>7</t>
        </is>
      </c>
      <c r="M24" s="70" t="inlineStr">
        <is>
          <t>还是不要贸然靠近危险，弟子在门口简单搜巡了一番，并在边缘角落发现了意外之喜</t>
        </is>
      </c>
      <c r="N24" s="70" t="n"/>
      <c r="O24" s="70" t="n"/>
      <c r="P24" s="70" t="n"/>
      <c r="Q24" s="70" t="n"/>
      <c r="R24" s="70" t="inlineStr">
        <is>
          <t>-1</t>
        </is>
      </c>
      <c r="S24" s="70" t="inlineStr">
        <is>
          <t>1</t>
        </is>
      </c>
      <c r="T24" s="70" t="n"/>
      <c r="U24" s="70" t="n"/>
      <c r="V24" s="70" t="n"/>
      <c r="W24" s="70" t="n"/>
      <c r="X24" s="70" t="inlineStr">
        <is>
          <t>img_huangfeiyiji</t>
        </is>
      </c>
      <c r="Y24" s="70" t="inlineStr">
        <is>
          <t>[弟子]在搜寻过程中惊动了遗迹中憩息的野兽，朝众人扑了过来！|6000</t>
        </is>
      </c>
      <c r="Z24" s="70" t="n"/>
      <c r="AA24" s="65" t="n"/>
      <c r="AB24" s="65" t="n"/>
      <c r="AC24" s="65" t="n"/>
      <c r="AD24" s="65" t="n"/>
      <c r="AE24" s="65" t="n"/>
      <c r="AF24" s="65" t="n"/>
      <c r="AG24" s="65" t="n"/>
      <c r="AH24" s="65" t="n"/>
      <c r="AI24" s="65" t="n"/>
      <c r="AJ24" s="65" t="n"/>
      <c r="AK24" s="65" t="n"/>
      <c r="AL24" s="65" t="n"/>
      <c r="AM24" s="65" t="n"/>
      <c r="AN24" s="85" t="n"/>
      <c r="AO24" s="85" t="n"/>
      <c r="AP24" s="85" t="n"/>
      <c r="AQ24" s="85" t="n"/>
      <c r="AR24" s="85" t="n"/>
      <c r="AS24" s="85" t="n"/>
      <c r="AT24" s="85" t="n"/>
      <c r="AU24" s="85" t="n"/>
      <c r="AV24" s="85" t="n"/>
      <c r="AW24" s="85" t="n"/>
      <c r="AX24" s="85" t="n"/>
      <c r="AY24" s="85" t="n"/>
      <c r="AZ24" s="85" t="n"/>
      <c r="BA24" s="85" t="n"/>
      <c r="BB24" s="85" t="n"/>
      <c r="BC24" s="85" t="n"/>
      <c r="BD24" s="85" t="n"/>
      <c r="BE24" s="85" t="n"/>
      <c r="BF24" s="85" t="n"/>
      <c r="BG24" s="85" t="n"/>
      <c r="BH24" s="85" t="n"/>
      <c r="BI24" s="85" t="n"/>
      <c r="BJ24" s="85" t="n"/>
      <c r="BK24" s="85" t="n"/>
      <c r="BL24" s="85" t="n"/>
      <c r="BM24" s="85" t="n"/>
      <c r="BN24" s="85" t="n"/>
      <c r="BO24" s="85" t="n"/>
      <c r="BP24" s="85" t="n"/>
      <c r="BQ24" s="85" t="n"/>
      <c r="BR24" s="85" t="n"/>
      <c r="BS24" s="85" t="n"/>
      <c r="BT24" s="85" t="n"/>
      <c r="BU24" s="85" t="n"/>
      <c r="BV24" s="85" t="n"/>
      <c r="BW24" s="85" t="n"/>
      <c r="BX24" s="85" t="n"/>
      <c r="BY24" s="85" t="n"/>
      <c r="BZ24" s="85" t="n"/>
      <c r="CA24" s="85" t="n"/>
      <c r="CB24" s="85" t="n"/>
      <c r="CC24" s="85" t="n"/>
      <c r="CD24" s="85" t="n"/>
      <c r="CE24" s="85" t="n"/>
      <c r="CF24" s="85" t="n"/>
      <c r="CG24" s="85" t="n"/>
      <c r="CH24" s="85" t="n"/>
      <c r="CI24" s="85" t="n"/>
      <c r="CJ24" s="85" t="n"/>
      <c r="CK24" s="85" t="n"/>
      <c r="CL24" s="85" t="n"/>
      <c r="CM24" s="85" t="n"/>
      <c r="CN24" s="85" t="n"/>
      <c r="CO24" s="85" t="n"/>
      <c r="CP24" s="85" t="n"/>
      <c r="CQ24" s="85" t="n"/>
      <c r="CR24" s="85" t="n"/>
      <c r="CS24" s="85" t="n"/>
      <c r="CT24" s="85" t="n"/>
      <c r="CU24" s="85" t="n"/>
      <c r="CV24" s="85" t="n"/>
      <c r="CW24" s="85" t="n"/>
      <c r="CX24" s="85" t="n"/>
      <c r="CY24" s="85" t="n"/>
      <c r="CZ24" s="85" t="n"/>
      <c r="DA24" s="85" t="n"/>
      <c r="DB24" s="85" t="n"/>
      <c r="DC24" s="85" t="n"/>
      <c r="DD24" s="85" t="n"/>
      <c r="DE24" s="85" t="n"/>
      <c r="DF24" s="85" t="n"/>
      <c r="DG24" s="85" t="n"/>
      <c r="DH24" s="85" t="n"/>
      <c r="DI24" s="85" t="n"/>
      <c r="DJ24" s="85" t="n"/>
      <c r="DK24" s="85" t="n"/>
      <c r="DL24" s="85" t="n"/>
      <c r="DM24" s="85" t="n"/>
      <c r="DN24" s="85" t="n"/>
      <c r="DO24" s="85" t="n"/>
      <c r="DP24" s="85" t="n"/>
      <c r="DQ24" s="85" t="n"/>
      <c r="DR24" s="85" t="n"/>
      <c r="DS24" s="85" t="n"/>
      <c r="DT24" s="85" t="n"/>
      <c r="DU24" s="85" t="n"/>
      <c r="DV24" s="85" t="n"/>
      <c r="DW24" s="85" t="n"/>
      <c r="DX24" s="85" t="n"/>
      <c r="DY24" s="85" t="n"/>
      <c r="DZ24" s="85" t="n"/>
      <c r="EA24" s="85" t="n"/>
      <c r="EB24" s="85" t="n"/>
      <c r="EC24" s="85" t="n"/>
      <c r="ED24" s="85" t="n"/>
      <c r="EE24" s="85" t="n"/>
      <c r="EF24" s="85" t="n"/>
      <c r="EG24" s="85" t="n"/>
      <c r="EH24" s="85" t="n"/>
      <c r="EI24" s="85" t="n"/>
      <c r="EJ24" s="85" t="n"/>
      <c r="EK24" s="85" t="n"/>
      <c r="EL24" s="85" t="n"/>
      <c r="EM24" s="85" t="n"/>
      <c r="EN24" s="85" t="n"/>
      <c r="EO24" s="85" t="n"/>
      <c r="EP24" s="85" t="n"/>
      <c r="EQ24" s="85" t="n"/>
      <c r="ER24" s="85" t="n"/>
      <c r="ES24" s="85" t="n"/>
      <c r="ET24" s="85" t="n"/>
      <c r="EU24" s="85" t="n"/>
      <c r="EV24" s="85" t="n"/>
      <c r="EW24" s="85" t="n"/>
      <c r="EX24" s="85" t="n"/>
      <c r="EY24" s="85" t="n"/>
      <c r="EZ24" s="85" t="n"/>
      <c r="FA24" s="85" t="n"/>
      <c r="FB24" s="85" t="n"/>
      <c r="FC24" s="85" t="n"/>
      <c r="FD24" s="85" t="n"/>
      <c r="FE24" s="85" t="n"/>
      <c r="FF24" s="85" t="n"/>
      <c r="FG24" s="85" t="n"/>
      <c r="FH24" s="85" t="n"/>
      <c r="FI24" s="85" t="n"/>
      <c r="FJ24" s="85" t="n"/>
      <c r="FK24" s="85" t="n"/>
      <c r="FL24" s="85" t="n"/>
      <c r="FM24" s="85" t="n"/>
      <c r="FN24" s="85" t="n"/>
      <c r="FO24" s="85" t="n"/>
      <c r="FP24" s="85" t="n"/>
      <c r="FQ24" s="85" t="n"/>
      <c r="FR24" s="85" t="n"/>
      <c r="FS24" s="85" t="n"/>
      <c r="FT24" s="85" t="n"/>
      <c r="FU24" s="85" t="n"/>
      <c r="FV24" s="85" t="n"/>
      <c r="FW24" s="85" t="n"/>
      <c r="FX24" s="85" t="n"/>
      <c r="FY24" s="85" t="n"/>
      <c r="FZ24" s="85" t="n"/>
      <c r="GA24" s="85" t="n"/>
      <c r="GB24" s="85" t="n"/>
      <c r="GC24" s="85" t="n"/>
      <c r="GD24" s="85" t="n"/>
      <c r="GE24" s="85" t="n"/>
      <c r="GF24" s="85" t="n"/>
      <c r="GG24" s="85" t="n"/>
      <c r="GH24" s="85" t="n"/>
      <c r="GI24" s="85" t="n"/>
      <c r="GJ24" s="85" t="n"/>
      <c r="GK24" s="85" t="n"/>
      <c r="GL24" s="85" t="n"/>
      <c r="GM24" s="85" t="n"/>
      <c r="GN24" s="85" t="n"/>
      <c r="GO24" s="85" t="n"/>
      <c r="GP24" s="85" t="n"/>
      <c r="GQ24" s="85" t="n"/>
      <c r="GR24" s="85" t="n"/>
      <c r="GS24" s="85" t="n"/>
      <c r="GT24" s="85" t="n"/>
      <c r="GU24" s="85" t="n"/>
      <c r="GV24" s="85" t="n"/>
      <c r="GW24" s="85" t="n"/>
      <c r="GX24" s="85" t="n"/>
      <c r="GY24" s="85" t="n"/>
      <c r="GZ24" s="85" t="n"/>
      <c r="HA24" s="85" t="n"/>
      <c r="HB24" s="85" t="n"/>
      <c r="HC24" s="85" t="n"/>
      <c r="HD24" s="85" t="n"/>
      <c r="HE24" s="85" t="n"/>
      <c r="HF24" s="85" t="n"/>
      <c r="HG24" s="85" t="n"/>
      <c r="HH24" s="85" t="n"/>
      <c r="HI24" s="85" t="n"/>
      <c r="HJ24" s="85" t="n"/>
      <c r="HK24" s="85" t="n"/>
      <c r="HL24" s="85" t="n"/>
      <c r="HM24" s="85" t="n"/>
      <c r="HN24" s="85" t="n"/>
      <c r="HO24" s="85" t="n"/>
      <c r="HP24" s="85" t="n"/>
      <c r="HQ24" s="85" t="n"/>
      <c r="HR24" s="85" t="n"/>
      <c r="HS24" s="85" t="n"/>
      <c r="HT24" s="85" t="n"/>
      <c r="HU24" s="85" t="n"/>
      <c r="HV24" s="85" t="n"/>
      <c r="HW24" s="85" t="n"/>
      <c r="HX24" s="85" t="n"/>
      <c r="HY24" s="85" t="n"/>
      <c r="HZ24" s="85" t="n"/>
      <c r="IA24" s="85" t="n"/>
    </row>
    <row r="25" ht="130.5" customHeight="1" s="127">
      <c r="B25" s="65" t="inlineStr">
        <is>
          <t>21005</t>
        </is>
      </c>
      <c r="C25" s="70" t="inlineStr">
        <is>
          <t>简陋木屋</t>
        </is>
      </c>
      <c r="D25" s="70" t="inlineStr">
        <is>
          <t>一座摇摇欲坠的简陋木屋，不知为何会出现在此地，看样子是什么人匆匆搭建的。</t>
        </is>
      </c>
      <c r="E25" s="70" t="n"/>
      <c r="F25" s="108" t="inlineStr">
        <is>
          <t>10001|1000|1200,161001|2|4$10001|1500|1800</t>
        </is>
      </c>
      <c r="G25" s="70" t="inlineStr">
        <is>
          <t>5</t>
        </is>
      </c>
      <c r="H25" s="70" t="inlineStr">
        <is>
          <t>1</t>
        </is>
      </c>
      <c r="I25" s="70" t="inlineStr">
        <is>
          <t>简单搜寻</t>
        </is>
      </c>
      <c r="J25" s="70" t="inlineStr">
        <is>
          <t>彻底探索</t>
        </is>
      </c>
      <c r="K25" s="70" t="inlineStr">
        <is>
          <t>矿</t>
        </is>
      </c>
      <c r="L25" s="70" t="inlineStr">
        <is>
          <t>7</t>
        </is>
      </c>
      <c r="M25" s="70" t="inlineStr">
        <is>
          <t>还是不要贸然靠近危险，弟子在门口简单搜巡了一番，并在边缘角落发现了意外之喜</t>
        </is>
      </c>
      <c r="N25" s="70" t="n"/>
      <c r="O25" s="70" t="n"/>
      <c r="P25" s="70" t="n"/>
      <c r="Q25" s="70" t="n"/>
      <c r="R25" s="70" t="inlineStr">
        <is>
          <t>-1</t>
        </is>
      </c>
      <c r="S25" s="70" t="inlineStr">
        <is>
          <t>2</t>
        </is>
      </c>
      <c r="T25" s="70" t="n"/>
      <c r="U25" s="70" t="n"/>
      <c r="V25" s="70" t="n"/>
      <c r="W25" s="70" t="n"/>
      <c r="X25" s="70" t="inlineStr">
        <is>
          <t>img_jianloumuwu</t>
        </is>
      </c>
      <c r="Y25" s="70" t="inlineStr">
        <is>
          <t>居然有一名隐修尚未离开，似乎入了魔道，向众人发动攻击！|10000</t>
        </is>
      </c>
      <c r="Z25" s="70" t="n"/>
      <c r="AA25" s="65" t="n"/>
      <c r="AB25" s="65" t="n"/>
      <c r="AC25" s="65" t="n"/>
      <c r="AD25" s="65" t="n"/>
      <c r="AE25" s="65" t="n"/>
      <c r="AF25" s="65" t="n"/>
      <c r="AG25" s="65" t="n"/>
      <c r="AH25" s="65" t="n"/>
      <c r="AI25" s="65" t="n"/>
      <c r="AJ25" s="65" t="n"/>
      <c r="AK25" s="65" t="n"/>
      <c r="AL25" s="65" t="n"/>
      <c r="AM25" s="65" t="n"/>
      <c r="AN25" s="85" t="n"/>
      <c r="AO25" s="85" t="n"/>
      <c r="AP25" s="85" t="n"/>
      <c r="AQ25" s="85" t="n"/>
      <c r="AR25" s="85" t="n"/>
      <c r="AS25" s="85" t="n"/>
      <c r="AT25" s="85" t="n"/>
      <c r="AU25" s="85" t="n"/>
      <c r="AV25" s="85" t="n"/>
      <c r="AW25" s="85" t="n"/>
      <c r="AX25" s="85" t="n"/>
      <c r="AY25" s="85" t="n"/>
      <c r="AZ25" s="85" t="n"/>
      <c r="BA25" s="85" t="n"/>
      <c r="BB25" s="85" t="n"/>
      <c r="BC25" s="85" t="n"/>
      <c r="BD25" s="85" t="n"/>
      <c r="BE25" s="85" t="n"/>
      <c r="BF25" s="85" t="n"/>
      <c r="BG25" s="85" t="n"/>
      <c r="BH25" s="85" t="n"/>
      <c r="BI25" s="85" t="n"/>
      <c r="BJ25" s="85" t="n"/>
      <c r="BK25" s="85" t="n"/>
      <c r="BL25" s="85" t="n"/>
      <c r="BM25" s="85" t="n"/>
      <c r="BN25" s="85" t="n"/>
      <c r="BO25" s="85" t="n"/>
      <c r="BP25" s="85" t="n"/>
      <c r="BQ25" s="85" t="n"/>
      <c r="BR25" s="85" t="n"/>
      <c r="BS25" s="85" t="n"/>
      <c r="BT25" s="85" t="n"/>
      <c r="BU25" s="85" t="n"/>
      <c r="BV25" s="85" t="n"/>
      <c r="BW25" s="85" t="n"/>
      <c r="BX25" s="85" t="n"/>
      <c r="BY25" s="85" t="n"/>
      <c r="BZ25" s="85" t="n"/>
      <c r="CA25" s="85" t="n"/>
      <c r="CB25" s="85" t="n"/>
      <c r="CC25" s="85" t="n"/>
      <c r="CD25" s="85" t="n"/>
      <c r="CE25" s="85" t="n"/>
      <c r="CF25" s="85" t="n"/>
      <c r="CG25" s="85" t="n"/>
      <c r="CH25" s="85" t="n"/>
      <c r="CI25" s="85" t="n"/>
      <c r="CJ25" s="85" t="n"/>
      <c r="CK25" s="85" t="n"/>
      <c r="CL25" s="85" t="n"/>
      <c r="CM25" s="85" t="n"/>
      <c r="CN25" s="85" t="n"/>
      <c r="CO25" s="85" t="n"/>
      <c r="CP25" s="85" t="n"/>
      <c r="CQ25" s="85" t="n"/>
      <c r="CR25" s="85" t="n"/>
      <c r="CS25" s="85" t="n"/>
      <c r="CT25" s="85" t="n"/>
      <c r="CU25" s="85" t="n"/>
      <c r="CV25" s="85" t="n"/>
      <c r="CW25" s="85" t="n"/>
      <c r="CX25" s="85" t="n"/>
      <c r="CY25" s="85" t="n"/>
      <c r="CZ25" s="85" t="n"/>
      <c r="DA25" s="85" t="n"/>
      <c r="DB25" s="85" t="n"/>
      <c r="DC25" s="85" t="n"/>
      <c r="DD25" s="85" t="n"/>
      <c r="DE25" s="85" t="n"/>
      <c r="DF25" s="85" t="n"/>
      <c r="DG25" s="85" t="n"/>
      <c r="DH25" s="85" t="n"/>
      <c r="DI25" s="85" t="n"/>
      <c r="DJ25" s="85" t="n"/>
      <c r="DK25" s="85" t="n"/>
      <c r="DL25" s="85" t="n"/>
      <c r="DM25" s="85" t="n"/>
      <c r="DN25" s="85" t="n"/>
      <c r="DO25" s="85" t="n"/>
      <c r="DP25" s="85" t="n"/>
      <c r="DQ25" s="85" t="n"/>
      <c r="DR25" s="85" t="n"/>
      <c r="DS25" s="85" t="n"/>
      <c r="DT25" s="85" t="n"/>
      <c r="DU25" s="85" t="n"/>
      <c r="DV25" s="85" t="n"/>
      <c r="DW25" s="85" t="n"/>
      <c r="DX25" s="85" t="n"/>
      <c r="DY25" s="85" t="n"/>
      <c r="DZ25" s="85" t="n"/>
      <c r="EA25" s="85" t="n"/>
      <c r="EB25" s="85" t="n"/>
      <c r="EC25" s="85" t="n"/>
      <c r="ED25" s="85" t="n"/>
      <c r="EE25" s="85" t="n"/>
      <c r="EF25" s="85" t="n"/>
      <c r="EG25" s="85" t="n"/>
      <c r="EH25" s="85" t="n"/>
      <c r="EI25" s="85" t="n"/>
      <c r="EJ25" s="85" t="n"/>
      <c r="EK25" s="85" t="n"/>
      <c r="EL25" s="85" t="n"/>
      <c r="EM25" s="85" t="n"/>
      <c r="EN25" s="85" t="n"/>
      <c r="EO25" s="85" t="n"/>
      <c r="EP25" s="85" t="n"/>
      <c r="EQ25" s="85" t="n"/>
      <c r="ER25" s="85" t="n"/>
      <c r="ES25" s="85" t="n"/>
      <c r="ET25" s="85" t="n"/>
      <c r="EU25" s="85" t="n"/>
      <c r="EV25" s="85" t="n"/>
      <c r="EW25" s="85" t="n"/>
      <c r="EX25" s="85" t="n"/>
      <c r="EY25" s="85" t="n"/>
      <c r="EZ25" s="85" t="n"/>
      <c r="FA25" s="85" t="n"/>
      <c r="FB25" s="85" t="n"/>
      <c r="FC25" s="85" t="n"/>
      <c r="FD25" s="85" t="n"/>
      <c r="FE25" s="85" t="n"/>
      <c r="FF25" s="85" t="n"/>
      <c r="FG25" s="85" t="n"/>
      <c r="FH25" s="85" t="n"/>
      <c r="FI25" s="85" t="n"/>
      <c r="FJ25" s="85" t="n"/>
      <c r="FK25" s="85" t="n"/>
      <c r="FL25" s="85" t="n"/>
      <c r="FM25" s="85" t="n"/>
      <c r="FN25" s="85" t="n"/>
      <c r="FO25" s="85" t="n"/>
      <c r="FP25" s="85" t="n"/>
      <c r="FQ25" s="85" t="n"/>
      <c r="FR25" s="85" t="n"/>
      <c r="FS25" s="85" t="n"/>
      <c r="FT25" s="85" t="n"/>
      <c r="FU25" s="85" t="n"/>
      <c r="FV25" s="85" t="n"/>
      <c r="FW25" s="85" t="n"/>
      <c r="FX25" s="85" t="n"/>
      <c r="FY25" s="85" t="n"/>
      <c r="FZ25" s="85" t="n"/>
      <c r="GA25" s="85" t="n"/>
      <c r="GB25" s="85" t="n"/>
      <c r="GC25" s="85" t="n"/>
      <c r="GD25" s="85" t="n"/>
      <c r="GE25" s="85" t="n"/>
      <c r="GF25" s="85" t="n"/>
      <c r="GG25" s="85" t="n"/>
      <c r="GH25" s="85" t="n"/>
      <c r="GI25" s="85" t="n"/>
      <c r="GJ25" s="85" t="n"/>
      <c r="GK25" s="85" t="n"/>
      <c r="GL25" s="85" t="n"/>
      <c r="GM25" s="85" t="n"/>
      <c r="GN25" s="85" t="n"/>
      <c r="GO25" s="85" t="n"/>
      <c r="GP25" s="85" t="n"/>
      <c r="GQ25" s="85" t="n"/>
      <c r="GR25" s="85" t="n"/>
      <c r="GS25" s="85" t="n"/>
      <c r="GT25" s="85" t="n"/>
      <c r="GU25" s="85" t="n"/>
      <c r="GV25" s="85" t="n"/>
      <c r="GW25" s="85" t="n"/>
      <c r="GX25" s="85" t="n"/>
      <c r="GY25" s="85" t="n"/>
      <c r="GZ25" s="85" t="n"/>
      <c r="HA25" s="85" t="n"/>
      <c r="HB25" s="85" t="n"/>
      <c r="HC25" s="85" t="n"/>
      <c r="HD25" s="85" t="n"/>
      <c r="HE25" s="85" t="n"/>
      <c r="HF25" s="85" t="n"/>
      <c r="HG25" s="85" t="n"/>
      <c r="HH25" s="85" t="n"/>
      <c r="HI25" s="85" t="n"/>
      <c r="HJ25" s="85" t="n"/>
      <c r="HK25" s="85" t="n"/>
      <c r="HL25" s="85" t="n"/>
      <c r="HM25" s="85" t="n"/>
      <c r="HN25" s="85" t="n"/>
      <c r="HO25" s="85" t="n"/>
      <c r="HP25" s="85" t="n"/>
      <c r="HQ25" s="85" t="n"/>
      <c r="HR25" s="85" t="n"/>
      <c r="HS25" s="85" t="n"/>
      <c r="HT25" s="85" t="n"/>
      <c r="HU25" s="85" t="n"/>
      <c r="HV25" s="85" t="n"/>
      <c r="HW25" s="85" t="n"/>
      <c r="HX25" s="85" t="n"/>
      <c r="HY25" s="85" t="n"/>
      <c r="HZ25" s="85" t="n"/>
      <c r="IA25" s="85" t="n"/>
    </row>
    <row r="26" ht="130.5" customHeight="1" s="127">
      <c r="B26" s="65" t="inlineStr">
        <is>
          <t>21006</t>
        </is>
      </c>
      <c r="C26" s="70" t="inlineStr">
        <is>
          <t>古朴木屋</t>
        </is>
      </c>
      <c r="D26" s="70" t="inlineStr">
        <is>
          <t>一座透着古朴意境的木屋，可能是某位大能曾居住过的地方。</t>
        </is>
      </c>
      <c r="E26" s="70" t="n"/>
      <c r="F26" s="108" t="inlineStr">
        <is>
          <t>10001|1500|1800,161001|4|6$10001|1800|2200</t>
        </is>
      </c>
      <c r="G26" s="70" t="inlineStr">
        <is>
          <t>5</t>
        </is>
      </c>
      <c r="H26" s="70" t="inlineStr">
        <is>
          <t>1</t>
        </is>
      </c>
      <c r="I26" s="70" t="inlineStr">
        <is>
          <t>简单搜寻</t>
        </is>
      </c>
      <c r="J26" s="70" t="inlineStr">
        <is>
          <t>彻底探索</t>
        </is>
      </c>
      <c r="K26" s="70" t="inlineStr">
        <is>
          <t>矿</t>
        </is>
      </c>
      <c r="L26" s="70" t="inlineStr">
        <is>
          <t>7</t>
        </is>
      </c>
      <c r="M26" s="70" t="inlineStr">
        <is>
          <t>还是不要贸然靠近危险，弟子在门口简单搜巡了一番，并在边缘角落发现了意外之喜</t>
        </is>
      </c>
      <c r="N26" s="70" t="n"/>
      <c r="O26" s="70" t="n"/>
      <c r="P26" s="70" t="n"/>
      <c r="Q26" s="70" t="n"/>
      <c r="R26" s="70" t="inlineStr">
        <is>
          <t>-1</t>
        </is>
      </c>
      <c r="S26" s="70" t="inlineStr">
        <is>
          <t>3</t>
        </is>
      </c>
      <c r="T26" s="70" t="n"/>
      <c r="U26" s="70" t="n"/>
      <c r="V26" s="70" t="n"/>
      <c r="W26" s="70" t="n"/>
      <c r="X26" s="70" t="inlineStr">
        <is>
          <t>img_gupumuw</t>
        </is>
      </c>
      <c r="Y26" s="70" t="inlineStr">
        <is>
          <t>大能的残魂还未散去，向众人发动攻击！|14000</t>
        </is>
      </c>
      <c r="Z26" s="70" t="n"/>
      <c r="AA26" s="65" t="n"/>
      <c r="AB26" s="65" t="n"/>
      <c r="AC26" s="65" t="n"/>
      <c r="AD26" s="65" t="n"/>
      <c r="AE26" s="65" t="n"/>
      <c r="AF26" s="65" t="n"/>
      <c r="AG26" s="65" t="n"/>
      <c r="AH26" s="65" t="n"/>
      <c r="AI26" s="65" t="n"/>
      <c r="AJ26" s="65" t="n"/>
      <c r="AK26" s="65" t="n"/>
      <c r="AL26" s="65" t="n"/>
      <c r="AM26" s="65" t="n"/>
      <c r="AN26" s="85" t="n"/>
      <c r="AO26" s="85" t="n"/>
      <c r="AP26" s="85" t="n"/>
      <c r="AQ26" s="85" t="n"/>
      <c r="AR26" s="85" t="n"/>
      <c r="AS26" s="85" t="n"/>
      <c r="AT26" s="85" t="n"/>
      <c r="AU26" s="85" t="n"/>
      <c r="AV26" s="85" t="n"/>
      <c r="AW26" s="85" t="n"/>
      <c r="AX26" s="85" t="n"/>
      <c r="AY26" s="85" t="n"/>
      <c r="AZ26" s="85" t="n"/>
      <c r="BA26" s="85" t="n"/>
      <c r="BB26" s="85" t="n"/>
      <c r="BC26" s="85" t="n"/>
      <c r="BD26" s="85" t="n"/>
      <c r="BE26" s="85" t="n"/>
      <c r="BF26" s="85" t="n"/>
      <c r="BG26" s="85" t="n"/>
      <c r="BH26" s="85" t="n"/>
      <c r="BI26" s="85" t="n"/>
      <c r="BJ26" s="85" t="n"/>
      <c r="BK26" s="85" t="n"/>
      <c r="BL26" s="85" t="n"/>
      <c r="BM26" s="85" t="n"/>
      <c r="BN26" s="85" t="n"/>
      <c r="BO26" s="85" t="n"/>
      <c r="BP26" s="85" t="n"/>
      <c r="BQ26" s="85" t="n"/>
      <c r="BR26" s="85" t="n"/>
      <c r="BS26" s="85" t="n"/>
      <c r="BT26" s="85" t="n"/>
      <c r="BU26" s="85" t="n"/>
      <c r="BV26" s="85" t="n"/>
      <c r="BW26" s="85" t="n"/>
      <c r="BX26" s="85" t="n"/>
      <c r="BY26" s="85" t="n"/>
      <c r="BZ26" s="85" t="n"/>
      <c r="CA26" s="85" t="n"/>
      <c r="CB26" s="85" t="n"/>
      <c r="CC26" s="85" t="n"/>
      <c r="CD26" s="85" t="n"/>
      <c r="CE26" s="85" t="n"/>
      <c r="CF26" s="85" t="n"/>
      <c r="CG26" s="85" t="n"/>
      <c r="CH26" s="85" t="n"/>
      <c r="CI26" s="85" t="n"/>
      <c r="CJ26" s="85" t="n"/>
      <c r="CK26" s="85" t="n"/>
      <c r="CL26" s="85" t="n"/>
      <c r="CM26" s="85" t="n"/>
      <c r="CN26" s="85" t="n"/>
      <c r="CO26" s="85" t="n"/>
      <c r="CP26" s="85" t="n"/>
      <c r="CQ26" s="85" t="n"/>
      <c r="CR26" s="85" t="n"/>
      <c r="CS26" s="85" t="n"/>
      <c r="CT26" s="85" t="n"/>
      <c r="CU26" s="85" t="n"/>
      <c r="CV26" s="85" t="n"/>
      <c r="CW26" s="85" t="n"/>
      <c r="CX26" s="85" t="n"/>
      <c r="CY26" s="85" t="n"/>
      <c r="CZ26" s="85" t="n"/>
      <c r="DA26" s="85" t="n"/>
      <c r="DB26" s="85" t="n"/>
      <c r="DC26" s="85" t="n"/>
      <c r="DD26" s="85" t="n"/>
      <c r="DE26" s="85" t="n"/>
      <c r="DF26" s="85" t="n"/>
      <c r="DG26" s="85" t="n"/>
      <c r="DH26" s="85" t="n"/>
      <c r="DI26" s="85" t="n"/>
      <c r="DJ26" s="85" t="n"/>
      <c r="DK26" s="85" t="n"/>
      <c r="DL26" s="85" t="n"/>
      <c r="DM26" s="85" t="n"/>
      <c r="DN26" s="85" t="n"/>
      <c r="DO26" s="85" t="n"/>
      <c r="DP26" s="85" t="n"/>
      <c r="DQ26" s="85" t="n"/>
      <c r="DR26" s="85" t="n"/>
      <c r="DS26" s="85" t="n"/>
      <c r="DT26" s="85" t="n"/>
      <c r="DU26" s="85" t="n"/>
      <c r="DV26" s="85" t="n"/>
      <c r="DW26" s="85" t="n"/>
      <c r="DX26" s="85" t="n"/>
      <c r="DY26" s="85" t="n"/>
      <c r="DZ26" s="85" t="n"/>
      <c r="EA26" s="85" t="n"/>
      <c r="EB26" s="85" t="n"/>
      <c r="EC26" s="85" t="n"/>
      <c r="ED26" s="85" t="n"/>
      <c r="EE26" s="85" t="n"/>
      <c r="EF26" s="85" t="n"/>
      <c r="EG26" s="85" t="n"/>
      <c r="EH26" s="85" t="n"/>
      <c r="EI26" s="85" t="n"/>
      <c r="EJ26" s="85" t="n"/>
      <c r="EK26" s="85" t="n"/>
      <c r="EL26" s="85" t="n"/>
      <c r="EM26" s="85" t="n"/>
      <c r="EN26" s="85" t="n"/>
      <c r="EO26" s="85" t="n"/>
      <c r="EP26" s="85" t="n"/>
      <c r="EQ26" s="85" t="n"/>
      <c r="ER26" s="85" t="n"/>
      <c r="ES26" s="85" t="n"/>
      <c r="ET26" s="85" t="n"/>
      <c r="EU26" s="85" t="n"/>
      <c r="EV26" s="85" t="n"/>
      <c r="EW26" s="85" t="n"/>
      <c r="EX26" s="85" t="n"/>
      <c r="EY26" s="85" t="n"/>
      <c r="EZ26" s="85" t="n"/>
      <c r="FA26" s="85" t="n"/>
      <c r="FB26" s="85" t="n"/>
      <c r="FC26" s="85" t="n"/>
      <c r="FD26" s="85" t="n"/>
      <c r="FE26" s="85" t="n"/>
      <c r="FF26" s="85" t="n"/>
      <c r="FG26" s="85" t="n"/>
      <c r="FH26" s="85" t="n"/>
      <c r="FI26" s="85" t="n"/>
      <c r="FJ26" s="85" t="n"/>
      <c r="FK26" s="85" t="n"/>
      <c r="FL26" s="85" t="n"/>
      <c r="FM26" s="85" t="n"/>
      <c r="FN26" s="85" t="n"/>
      <c r="FO26" s="85" t="n"/>
      <c r="FP26" s="85" t="n"/>
      <c r="FQ26" s="85" t="n"/>
      <c r="FR26" s="85" t="n"/>
      <c r="FS26" s="85" t="n"/>
      <c r="FT26" s="85" t="n"/>
      <c r="FU26" s="85" t="n"/>
      <c r="FV26" s="85" t="n"/>
      <c r="FW26" s="85" t="n"/>
      <c r="FX26" s="85" t="n"/>
      <c r="FY26" s="85" t="n"/>
      <c r="FZ26" s="85" t="n"/>
      <c r="GA26" s="85" t="n"/>
      <c r="GB26" s="85" t="n"/>
      <c r="GC26" s="85" t="n"/>
      <c r="GD26" s="85" t="n"/>
      <c r="GE26" s="85" t="n"/>
      <c r="GF26" s="85" t="n"/>
      <c r="GG26" s="85" t="n"/>
      <c r="GH26" s="85" t="n"/>
      <c r="GI26" s="85" t="n"/>
      <c r="GJ26" s="85" t="n"/>
      <c r="GK26" s="85" t="n"/>
      <c r="GL26" s="85" t="n"/>
      <c r="GM26" s="85" t="n"/>
      <c r="GN26" s="85" t="n"/>
      <c r="GO26" s="85" t="n"/>
      <c r="GP26" s="85" t="n"/>
      <c r="GQ26" s="85" t="n"/>
      <c r="GR26" s="85" t="n"/>
      <c r="GS26" s="85" t="n"/>
      <c r="GT26" s="85" t="n"/>
      <c r="GU26" s="85" t="n"/>
      <c r="GV26" s="85" t="n"/>
      <c r="GW26" s="85" t="n"/>
      <c r="GX26" s="85" t="n"/>
      <c r="GY26" s="85" t="n"/>
      <c r="GZ26" s="85" t="n"/>
      <c r="HA26" s="85" t="n"/>
      <c r="HB26" s="85" t="n"/>
      <c r="HC26" s="85" t="n"/>
      <c r="HD26" s="85" t="n"/>
      <c r="HE26" s="85" t="n"/>
      <c r="HF26" s="85" t="n"/>
      <c r="HG26" s="85" t="n"/>
      <c r="HH26" s="85" t="n"/>
      <c r="HI26" s="85" t="n"/>
      <c r="HJ26" s="85" t="n"/>
      <c r="HK26" s="85" t="n"/>
      <c r="HL26" s="85" t="n"/>
      <c r="HM26" s="85" t="n"/>
      <c r="HN26" s="85" t="n"/>
      <c r="HO26" s="85" t="n"/>
      <c r="HP26" s="85" t="n"/>
      <c r="HQ26" s="85" t="n"/>
      <c r="HR26" s="85" t="n"/>
      <c r="HS26" s="85" t="n"/>
      <c r="HT26" s="85" t="n"/>
      <c r="HU26" s="85" t="n"/>
      <c r="HV26" s="85" t="n"/>
      <c r="HW26" s="85" t="n"/>
      <c r="HX26" s="85" t="n"/>
      <c r="HY26" s="85" t="n"/>
      <c r="HZ26" s="85" t="n"/>
      <c r="IA26" s="85" t="n"/>
    </row>
    <row r="27" ht="130.5" customHeight="1" s="127">
      <c r="B27" s="65" t="inlineStr">
        <is>
          <t>21007</t>
        </is>
      </c>
      <c r="C27" s="68" t="inlineStr">
        <is>
          <t>飘渺庭院</t>
        </is>
      </c>
      <c r="D27" s="69" t="inlineStr">
        <is>
          <t>一座被微弱结界笼罩的庭院，从结界阵法上散发的威压来看，应该是某位大能曾经的住所。</t>
        </is>
      </c>
      <c r="E27" s="70" t="n"/>
      <c r="F27" s="108" t="inlineStr">
        <is>
          <t>10001|1800|2200,161001|6|8$152001|0|1$10001|2200|2600</t>
        </is>
      </c>
      <c r="G27" s="70" t="inlineStr">
        <is>
          <t>5</t>
        </is>
      </c>
      <c r="H27" s="70" t="inlineStr">
        <is>
          <t>1</t>
        </is>
      </c>
      <c r="I27" s="70" t="inlineStr">
        <is>
          <t>简单搜寻</t>
        </is>
      </c>
      <c r="J27" s="70" t="inlineStr">
        <is>
          <t>彻底探索</t>
        </is>
      </c>
      <c r="K27" s="70" t="inlineStr">
        <is>
          <t>矿</t>
        </is>
      </c>
      <c r="L27" s="70" t="inlineStr">
        <is>
          <t>7</t>
        </is>
      </c>
      <c r="M27" s="70" t="inlineStr">
        <is>
          <t>还是不要贸然靠近危险，弟子在门口简单搜巡了一番，并在边缘角落发现了意外之喜</t>
        </is>
      </c>
      <c r="N27" s="70" t="n"/>
      <c r="O27" s="70" t="n"/>
      <c r="P27" s="70" t="n"/>
      <c r="Q27" s="70" t="n"/>
      <c r="R27" s="70" t="inlineStr">
        <is>
          <t>-1</t>
        </is>
      </c>
      <c r="S27" s="70" t="inlineStr">
        <is>
          <t>4</t>
        </is>
      </c>
      <c r="T27" s="70" t="n"/>
      <c r="U27" s="70" t="n"/>
      <c r="V27" s="70" t="n"/>
      <c r="W27" s="70" t="n"/>
      <c r="X27" s="70" t="inlineStr">
        <is>
          <t>img_gupumuw</t>
        </is>
      </c>
      <c r="Y27" s="70" t="inlineStr">
        <is>
          <t>大能的残魂还未散去，向众人发动攻击！|18000</t>
        </is>
      </c>
      <c r="Z27" s="68" t="n"/>
      <c r="AA27" s="65" t="n"/>
      <c r="AB27" s="65" t="n"/>
      <c r="AC27" s="65" t="n"/>
      <c r="AD27" s="65" t="n"/>
      <c r="AE27" s="65" t="n"/>
      <c r="AF27" s="65" t="n"/>
      <c r="AG27" s="65" t="n"/>
      <c r="AH27" s="65" t="n"/>
      <c r="AI27" s="65" t="n"/>
      <c r="AJ27" s="65" t="n"/>
      <c r="AK27" s="65" t="n"/>
      <c r="AL27" s="65" t="n"/>
      <c r="AM27" s="65" t="n"/>
      <c r="AN27" s="85" t="n"/>
      <c r="AO27" s="85" t="n"/>
      <c r="AP27" s="85" t="n"/>
      <c r="AQ27" s="85" t="n"/>
      <c r="AR27" s="85" t="n"/>
      <c r="AS27" s="85" t="n"/>
      <c r="AT27" s="85" t="n"/>
      <c r="AU27" s="85" t="n"/>
      <c r="AV27" s="85" t="n"/>
      <c r="AW27" s="85" t="n"/>
      <c r="AX27" s="85" t="n"/>
      <c r="AY27" s="85" t="n"/>
      <c r="AZ27" s="85" t="n"/>
      <c r="BA27" s="85" t="n"/>
      <c r="BB27" s="85" t="n"/>
      <c r="BC27" s="85" t="n"/>
      <c r="BD27" s="85" t="n"/>
      <c r="BE27" s="85" t="n"/>
      <c r="BF27" s="85" t="n"/>
      <c r="BG27" s="85" t="n"/>
      <c r="BH27" s="85" t="n"/>
      <c r="BI27" s="85" t="n"/>
      <c r="BJ27" s="85" t="n"/>
      <c r="BK27" s="85" t="n"/>
      <c r="BL27" s="85" t="n"/>
      <c r="BM27" s="85" t="n"/>
      <c r="BN27" s="85" t="n"/>
      <c r="BO27" s="85" t="n"/>
      <c r="BP27" s="85" t="n"/>
      <c r="BQ27" s="85" t="n"/>
      <c r="BR27" s="85" t="n"/>
      <c r="BS27" s="85" t="n"/>
      <c r="BT27" s="85" t="n"/>
      <c r="BU27" s="85" t="n"/>
      <c r="BV27" s="85" t="n"/>
      <c r="BW27" s="85" t="n"/>
      <c r="BX27" s="85" t="n"/>
      <c r="BY27" s="85" t="n"/>
      <c r="BZ27" s="85" t="n"/>
      <c r="CA27" s="85" t="n"/>
      <c r="CB27" s="85" t="n"/>
      <c r="CC27" s="85" t="n"/>
      <c r="CD27" s="85" t="n"/>
      <c r="CE27" s="85" t="n"/>
      <c r="CF27" s="85" t="n"/>
      <c r="CG27" s="85" t="n"/>
      <c r="CH27" s="85" t="n"/>
      <c r="CI27" s="85" t="n"/>
      <c r="CJ27" s="85" t="n"/>
      <c r="CK27" s="85" t="n"/>
      <c r="CL27" s="85" t="n"/>
      <c r="CM27" s="85" t="n"/>
      <c r="CN27" s="85" t="n"/>
      <c r="CO27" s="85" t="n"/>
      <c r="CP27" s="85" t="n"/>
      <c r="CQ27" s="85" t="n"/>
      <c r="CR27" s="85" t="n"/>
      <c r="CS27" s="85" t="n"/>
      <c r="CT27" s="85" t="n"/>
      <c r="CU27" s="85" t="n"/>
      <c r="CV27" s="85" t="n"/>
      <c r="CW27" s="85" t="n"/>
      <c r="CX27" s="85" t="n"/>
      <c r="CY27" s="85" t="n"/>
      <c r="CZ27" s="85" t="n"/>
      <c r="DA27" s="85" t="n"/>
      <c r="DB27" s="85" t="n"/>
      <c r="DC27" s="85" t="n"/>
      <c r="DD27" s="85" t="n"/>
      <c r="DE27" s="85" t="n"/>
      <c r="DF27" s="85" t="n"/>
      <c r="DG27" s="85" t="n"/>
      <c r="DH27" s="85" t="n"/>
      <c r="DI27" s="85" t="n"/>
      <c r="DJ27" s="85" t="n"/>
      <c r="DK27" s="85" t="n"/>
      <c r="DL27" s="85" t="n"/>
      <c r="DM27" s="85" t="n"/>
      <c r="DN27" s="85" t="n"/>
      <c r="DO27" s="85" t="n"/>
      <c r="DP27" s="85" t="n"/>
      <c r="DQ27" s="85" t="n"/>
      <c r="DR27" s="85" t="n"/>
      <c r="DS27" s="85" t="n"/>
      <c r="DT27" s="85" t="n"/>
      <c r="DU27" s="85" t="n"/>
      <c r="DV27" s="85" t="n"/>
      <c r="DW27" s="85" t="n"/>
      <c r="DX27" s="85" t="n"/>
      <c r="DY27" s="85" t="n"/>
      <c r="DZ27" s="85" t="n"/>
      <c r="EA27" s="85" t="n"/>
      <c r="EB27" s="85" t="n"/>
      <c r="EC27" s="85" t="n"/>
      <c r="ED27" s="85" t="n"/>
      <c r="EE27" s="85" t="n"/>
      <c r="EF27" s="85" t="n"/>
      <c r="EG27" s="85" t="n"/>
      <c r="EH27" s="85" t="n"/>
      <c r="EI27" s="85" t="n"/>
      <c r="EJ27" s="85" t="n"/>
      <c r="EK27" s="85" t="n"/>
      <c r="EL27" s="85" t="n"/>
      <c r="EM27" s="85" t="n"/>
      <c r="EN27" s="85" t="n"/>
      <c r="EO27" s="85" t="n"/>
      <c r="EP27" s="85" t="n"/>
      <c r="EQ27" s="85" t="n"/>
      <c r="ER27" s="85" t="n"/>
      <c r="ES27" s="85" t="n"/>
      <c r="ET27" s="85" t="n"/>
      <c r="EU27" s="85" t="n"/>
      <c r="EV27" s="85" t="n"/>
      <c r="EW27" s="85" t="n"/>
      <c r="EX27" s="85" t="n"/>
      <c r="EY27" s="85" t="n"/>
      <c r="EZ27" s="85" t="n"/>
      <c r="FA27" s="85" t="n"/>
      <c r="FB27" s="85" t="n"/>
      <c r="FC27" s="85" t="n"/>
      <c r="FD27" s="85" t="n"/>
      <c r="FE27" s="85" t="n"/>
      <c r="FF27" s="85" t="n"/>
      <c r="FG27" s="85" t="n"/>
      <c r="FH27" s="85" t="n"/>
      <c r="FI27" s="85" t="n"/>
      <c r="FJ27" s="85" t="n"/>
      <c r="FK27" s="85" t="n"/>
      <c r="FL27" s="85" t="n"/>
      <c r="FM27" s="85" t="n"/>
      <c r="FN27" s="85" t="n"/>
      <c r="FO27" s="85" t="n"/>
      <c r="FP27" s="85" t="n"/>
      <c r="FQ27" s="85" t="n"/>
      <c r="FR27" s="85" t="n"/>
      <c r="FS27" s="85" t="n"/>
      <c r="FT27" s="85" t="n"/>
      <c r="FU27" s="85" t="n"/>
      <c r="FV27" s="85" t="n"/>
      <c r="FW27" s="85" t="n"/>
      <c r="FX27" s="85" t="n"/>
      <c r="FY27" s="85" t="n"/>
      <c r="FZ27" s="85" t="n"/>
      <c r="GA27" s="85" t="n"/>
      <c r="GB27" s="85" t="n"/>
      <c r="GC27" s="85" t="n"/>
      <c r="GD27" s="85" t="n"/>
      <c r="GE27" s="85" t="n"/>
      <c r="GF27" s="85" t="n"/>
      <c r="GG27" s="85" t="n"/>
      <c r="GH27" s="85" t="n"/>
      <c r="GI27" s="85" t="n"/>
      <c r="GJ27" s="85" t="n"/>
      <c r="GK27" s="85" t="n"/>
      <c r="GL27" s="85" t="n"/>
      <c r="GM27" s="85" t="n"/>
      <c r="GN27" s="85" t="n"/>
      <c r="GO27" s="85" t="n"/>
      <c r="GP27" s="85" t="n"/>
      <c r="GQ27" s="85" t="n"/>
      <c r="GR27" s="85" t="n"/>
      <c r="GS27" s="85" t="n"/>
      <c r="GT27" s="85" t="n"/>
      <c r="GU27" s="85" t="n"/>
      <c r="GV27" s="85" t="n"/>
      <c r="GW27" s="85" t="n"/>
      <c r="GX27" s="85" t="n"/>
      <c r="GY27" s="85" t="n"/>
      <c r="GZ27" s="85" t="n"/>
      <c r="HA27" s="85" t="n"/>
      <c r="HB27" s="85" t="n"/>
      <c r="HC27" s="85" t="n"/>
      <c r="HD27" s="85" t="n"/>
      <c r="HE27" s="85" t="n"/>
      <c r="HF27" s="85" t="n"/>
      <c r="HG27" s="85" t="n"/>
      <c r="HH27" s="85" t="n"/>
      <c r="HI27" s="85" t="n"/>
      <c r="HJ27" s="85" t="n"/>
      <c r="HK27" s="85" t="n"/>
      <c r="HL27" s="85" t="n"/>
      <c r="HM27" s="85" t="n"/>
      <c r="HN27" s="85" t="n"/>
      <c r="HO27" s="85" t="n"/>
      <c r="HP27" s="85" t="n"/>
      <c r="HQ27" s="85" t="n"/>
      <c r="HR27" s="85" t="n"/>
      <c r="HS27" s="85" t="n"/>
      <c r="HT27" s="85" t="n"/>
      <c r="HU27" s="85" t="n"/>
      <c r="HV27" s="85" t="n"/>
      <c r="HW27" s="85" t="n"/>
      <c r="HX27" s="85" t="n"/>
      <c r="HY27" s="85" t="n"/>
      <c r="HZ27" s="85" t="n"/>
      <c r="IA27" s="85" t="n"/>
    </row>
    <row r="28" ht="130.5" customHeight="1" s="127">
      <c r="B28" s="65" t="inlineStr">
        <is>
          <t>21008</t>
        </is>
      </c>
      <c r="C28" s="68" t="inlineStr">
        <is>
          <t>破败宫殿</t>
        </is>
      </c>
      <c r="D28" s="69" t="inlineStr">
        <is>
          <t>一座庞大的建筑，应该是一座宫殿，虽然已经破败不堪，但远远望去，仍能感到其恢弘的气势。</t>
        </is>
      </c>
      <c r="E28" s="70" t="n"/>
      <c r="F28" s="108" t="inlineStr">
        <is>
          <t>10001|2200|2600,161001|8|10$152001|0|1$10001|2600|3000</t>
        </is>
      </c>
      <c r="G28" s="70" t="inlineStr">
        <is>
          <t>5</t>
        </is>
      </c>
      <c r="H28" s="70" t="inlineStr">
        <is>
          <t>1</t>
        </is>
      </c>
      <c r="I28" s="70" t="inlineStr">
        <is>
          <t>简单搜寻</t>
        </is>
      </c>
      <c r="J28" s="70" t="inlineStr">
        <is>
          <t>彻底探索</t>
        </is>
      </c>
      <c r="K28" s="70" t="inlineStr">
        <is>
          <t>矿</t>
        </is>
      </c>
      <c r="L28" s="70" t="inlineStr">
        <is>
          <t>7</t>
        </is>
      </c>
      <c r="M28" s="70" t="inlineStr">
        <is>
          <t>还是不要贸然靠近危险，弟子在门口简单搜巡了一番，并在边缘角落发现了意外之喜</t>
        </is>
      </c>
      <c r="N28" s="70" t="n"/>
      <c r="O28" s="70" t="n"/>
      <c r="P28" s="70" t="n"/>
      <c r="Q28" s="70" t="n"/>
      <c r="R28" s="70" t="inlineStr">
        <is>
          <t>-1</t>
        </is>
      </c>
      <c r="S28" s="70" t="inlineStr">
        <is>
          <t>5</t>
        </is>
      </c>
      <c r="T28" s="70" t="n"/>
      <c r="U28" s="70" t="n"/>
      <c r="V28" s="70" t="n"/>
      <c r="W28" s="70" t="n"/>
      <c r="X28" s="70" t="inlineStr">
        <is>
          <t>img_gupumuw</t>
        </is>
      </c>
      <c r="Y28" s="70" t="inlineStr">
        <is>
          <t>大能的残魂还未散去，向众人发动攻击！|22000</t>
        </is>
      </c>
      <c r="Z28" s="68" t="n"/>
      <c r="AA28" s="65" t="n"/>
      <c r="AB28" s="65" t="n"/>
      <c r="AC28" s="65" t="n"/>
      <c r="AD28" s="65" t="n"/>
      <c r="AE28" s="65" t="n"/>
      <c r="AF28" s="65" t="n"/>
      <c r="AG28" s="65" t="n"/>
      <c r="AH28" s="65" t="n"/>
      <c r="AI28" s="65" t="n"/>
      <c r="AJ28" s="65" t="n"/>
      <c r="AK28" s="65" t="n"/>
      <c r="AL28" s="65" t="n"/>
      <c r="AM28" s="65" t="n"/>
      <c r="AN28" s="85" t="n"/>
      <c r="AO28" s="85" t="n"/>
      <c r="AP28" s="85" t="n"/>
      <c r="AQ28" s="85" t="n"/>
      <c r="AR28" s="85" t="n"/>
      <c r="AS28" s="85" t="n"/>
      <c r="AT28" s="85" t="n"/>
      <c r="AU28" s="85" t="n"/>
      <c r="AV28" s="85" t="n"/>
      <c r="AW28" s="85" t="n"/>
      <c r="AX28" s="85" t="n"/>
      <c r="AY28" s="85" t="n"/>
      <c r="AZ28" s="85" t="n"/>
      <c r="BA28" s="85" t="n"/>
      <c r="BB28" s="85" t="n"/>
      <c r="BC28" s="85" t="n"/>
      <c r="BD28" s="85" t="n"/>
      <c r="BE28" s="85" t="n"/>
      <c r="BF28" s="85" t="n"/>
      <c r="BG28" s="85" t="n"/>
      <c r="BH28" s="85" t="n"/>
      <c r="BI28" s="85" t="n"/>
      <c r="BJ28" s="85" t="n"/>
      <c r="BK28" s="85" t="n"/>
      <c r="BL28" s="85" t="n"/>
      <c r="BM28" s="85" t="n"/>
      <c r="BN28" s="85" t="n"/>
      <c r="BO28" s="85" t="n"/>
      <c r="BP28" s="85" t="n"/>
      <c r="BQ28" s="85" t="n"/>
      <c r="BR28" s="85" t="n"/>
      <c r="BS28" s="85" t="n"/>
      <c r="BT28" s="85" t="n"/>
      <c r="BU28" s="85" t="n"/>
      <c r="BV28" s="85" t="n"/>
      <c r="BW28" s="85" t="n"/>
      <c r="BX28" s="85" t="n"/>
      <c r="BY28" s="85" t="n"/>
      <c r="BZ28" s="85" t="n"/>
      <c r="CA28" s="85" t="n"/>
      <c r="CB28" s="85" t="n"/>
      <c r="CC28" s="85" t="n"/>
      <c r="CD28" s="85" t="n"/>
      <c r="CE28" s="85" t="n"/>
      <c r="CF28" s="85" t="n"/>
      <c r="CG28" s="85" t="n"/>
      <c r="CH28" s="85" t="n"/>
      <c r="CI28" s="85" t="n"/>
      <c r="CJ28" s="85" t="n"/>
      <c r="CK28" s="85" t="n"/>
      <c r="CL28" s="85" t="n"/>
      <c r="CM28" s="85" t="n"/>
      <c r="CN28" s="85" t="n"/>
      <c r="CO28" s="85" t="n"/>
      <c r="CP28" s="85" t="n"/>
      <c r="CQ28" s="85" t="n"/>
      <c r="CR28" s="85" t="n"/>
      <c r="CS28" s="85" t="n"/>
      <c r="CT28" s="85" t="n"/>
      <c r="CU28" s="85" t="n"/>
      <c r="CV28" s="85" t="n"/>
      <c r="CW28" s="85" t="n"/>
      <c r="CX28" s="85" t="n"/>
      <c r="CY28" s="85" t="n"/>
      <c r="CZ28" s="85" t="n"/>
      <c r="DA28" s="85" t="n"/>
      <c r="DB28" s="85" t="n"/>
      <c r="DC28" s="85" t="n"/>
      <c r="DD28" s="85" t="n"/>
      <c r="DE28" s="85" t="n"/>
      <c r="DF28" s="85" t="n"/>
      <c r="DG28" s="85" t="n"/>
      <c r="DH28" s="85" t="n"/>
      <c r="DI28" s="85" t="n"/>
      <c r="DJ28" s="85" t="n"/>
      <c r="DK28" s="85" t="n"/>
      <c r="DL28" s="85" t="n"/>
      <c r="DM28" s="85" t="n"/>
      <c r="DN28" s="85" t="n"/>
      <c r="DO28" s="85" t="n"/>
      <c r="DP28" s="85" t="n"/>
      <c r="DQ28" s="85" t="n"/>
      <c r="DR28" s="85" t="n"/>
      <c r="DS28" s="85" t="n"/>
      <c r="DT28" s="85" t="n"/>
      <c r="DU28" s="85" t="n"/>
      <c r="DV28" s="85" t="n"/>
      <c r="DW28" s="85" t="n"/>
      <c r="DX28" s="85" t="n"/>
      <c r="DY28" s="85" t="n"/>
      <c r="DZ28" s="85" t="n"/>
      <c r="EA28" s="85" t="n"/>
      <c r="EB28" s="85" t="n"/>
      <c r="EC28" s="85" t="n"/>
      <c r="ED28" s="85" t="n"/>
      <c r="EE28" s="85" t="n"/>
      <c r="EF28" s="85" t="n"/>
      <c r="EG28" s="85" t="n"/>
      <c r="EH28" s="85" t="n"/>
      <c r="EI28" s="85" t="n"/>
      <c r="EJ28" s="85" t="n"/>
      <c r="EK28" s="85" t="n"/>
      <c r="EL28" s="85" t="n"/>
      <c r="EM28" s="85" t="n"/>
      <c r="EN28" s="85" t="n"/>
      <c r="EO28" s="85" t="n"/>
      <c r="EP28" s="85" t="n"/>
      <c r="EQ28" s="85" t="n"/>
      <c r="ER28" s="85" t="n"/>
      <c r="ES28" s="85" t="n"/>
      <c r="ET28" s="85" t="n"/>
      <c r="EU28" s="85" t="n"/>
      <c r="EV28" s="85" t="n"/>
      <c r="EW28" s="85" t="n"/>
      <c r="EX28" s="85" t="n"/>
      <c r="EY28" s="85" t="n"/>
      <c r="EZ28" s="85" t="n"/>
      <c r="FA28" s="85" t="n"/>
      <c r="FB28" s="85" t="n"/>
      <c r="FC28" s="85" t="n"/>
      <c r="FD28" s="85" t="n"/>
      <c r="FE28" s="85" t="n"/>
      <c r="FF28" s="85" t="n"/>
      <c r="FG28" s="85" t="n"/>
      <c r="FH28" s="85" t="n"/>
      <c r="FI28" s="85" t="n"/>
      <c r="FJ28" s="85" t="n"/>
      <c r="FK28" s="85" t="n"/>
      <c r="FL28" s="85" t="n"/>
      <c r="FM28" s="85" t="n"/>
      <c r="FN28" s="85" t="n"/>
      <c r="FO28" s="85" t="n"/>
      <c r="FP28" s="85" t="n"/>
      <c r="FQ28" s="85" t="n"/>
      <c r="FR28" s="85" t="n"/>
      <c r="FS28" s="85" t="n"/>
      <c r="FT28" s="85" t="n"/>
      <c r="FU28" s="85" t="n"/>
      <c r="FV28" s="85" t="n"/>
      <c r="FW28" s="85" t="n"/>
      <c r="FX28" s="85" t="n"/>
      <c r="FY28" s="85" t="n"/>
      <c r="FZ28" s="85" t="n"/>
      <c r="GA28" s="85" t="n"/>
      <c r="GB28" s="85" t="n"/>
      <c r="GC28" s="85" t="n"/>
      <c r="GD28" s="85" t="n"/>
      <c r="GE28" s="85" t="n"/>
      <c r="GF28" s="85" t="n"/>
      <c r="GG28" s="85" t="n"/>
      <c r="GH28" s="85" t="n"/>
      <c r="GI28" s="85" t="n"/>
      <c r="GJ28" s="85" t="n"/>
      <c r="GK28" s="85" t="n"/>
      <c r="GL28" s="85" t="n"/>
      <c r="GM28" s="85" t="n"/>
      <c r="GN28" s="85" t="n"/>
      <c r="GO28" s="85" t="n"/>
      <c r="GP28" s="85" t="n"/>
      <c r="GQ28" s="85" t="n"/>
      <c r="GR28" s="85" t="n"/>
      <c r="GS28" s="85" t="n"/>
      <c r="GT28" s="85" t="n"/>
      <c r="GU28" s="85" t="n"/>
      <c r="GV28" s="85" t="n"/>
      <c r="GW28" s="85" t="n"/>
      <c r="GX28" s="85" t="n"/>
      <c r="GY28" s="85" t="n"/>
      <c r="GZ28" s="85" t="n"/>
      <c r="HA28" s="85" t="n"/>
      <c r="HB28" s="85" t="n"/>
      <c r="HC28" s="85" t="n"/>
      <c r="HD28" s="85" t="n"/>
      <c r="HE28" s="85" t="n"/>
      <c r="HF28" s="85" t="n"/>
      <c r="HG28" s="85" t="n"/>
      <c r="HH28" s="85" t="n"/>
      <c r="HI28" s="85" t="n"/>
      <c r="HJ28" s="85" t="n"/>
      <c r="HK28" s="85" t="n"/>
      <c r="HL28" s="85" t="n"/>
      <c r="HM28" s="85" t="n"/>
      <c r="HN28" s="85" t="n"/>
      <c r="HO28" s="85" t="n"/>
      <c r="HP28" s="85" t="n"/>
      <c r="HQ28" s="85" t="n"/>
      <c r="HR28" s="85" t="n"/>
      <c r="HS28" s="85" t="n"/>
      <c r="HT28" s="85" t="n"/>
      <c r="HU28" s="85" t="n"/>
      <c r="HV28" s="85" t="n"/>
      <c r="HW28" s="85" t="n"/>
      <c r="HX28" s="85" t="n"/>
      <c r="HY28" s="85" t="n"/>
      <c r="HZ28" s="85" t="n"/>
      <c r="IA28" s="85" t="n"/>
    </row>
    <row r="29" ht="130.5" customHeight="1" s="127">
      <c r="B29" s="65" t="inlineStr">
        <is>
          <t>21009</t>
        </is>
      </c>
      <c r="C29" s="68" t="inlineStr">
        <is>
          <t>隐龙地脉</t>
        </is>
      </c>
      <c r="D29" s="69" t="inlineStr">
        <is>
          <t>隐龙地脉夺天地运势而成，乃一界灵气源头，储存着极为珍稀的灵气液，服用一滴就能修为大涨</t>
        </is>
      </c>
      <c r="E29" s="70" t="n"/>
      <c r="F29" s="70" t="inlineStr">
        <is>
          <t>3000|4500</t>
        </is>
      </c>
      <c r="G29" s="70" t="inlineStr">
        <is>
          <t>6</t>
        </is>
      </c>
      <c r="H29" s="70" t="inlineStr">
        <is>
          <t>1</t>
        </is>
      </c>
      <c r="I29" s="70" t="inlineStr">
        <is>
          <t>探索</t>
        </is>
      </c>
      <c r="J29" s="70" t="inlineStr">
        <is>
          <t>无视它</t>
        </is>
      </c>
      <c r="K29" s="70" t="inlineStr">
        <is>
          <t>矿</t>
        </is>
      </c>
      <c r="L29" s="70" t="inlineStr">
        <is>
          <t>7</t>
        </is>
      </c>
      <c r="M29" s="70" t="inlineStr">
        <is>
          <t>此处的灵气液已经被吸收殆尽，土地上满是泥泞的污迹</t>
        </is>
      </c>
      <c r="N29" s="70" t="n"/>
      <c r="O29" s="70" t="n"/>
      <c r="P29" s="70" t="n"/>
      <c r="Q29" s="70" t="n"/>
      <c r="R29" s="70" t="inlineStr">
        <is>
          <t>-1</t>
        </is>
      </c>
      <c r="S29" s="70" t="n"/>
      <c r="T29" s="70" t="n"/>
      <c r="U29" s="70" t="n"/>
      <c r="V29" s="70" t="n"/>
      <c r="W29" s="70" t="n"/>
      <c r="X29" s="70" t="inlineStr">
        <is>
          <t>img_longmai</t>
        </is>
      </c>
      <c r="Y29" s="70" t="n"/>
      <c r="Z29" s="68" t="n"/>
      <c r="AA29" s="65" t="n"/>
      <c r="AB29" s="65" t="n"/>
      <c r="AC29" s="65" t="n"/>
      <c r="AD29" s="65" t="n"/>
      <c r="AE29" s="65" t="n"/>
      <c r="AF29" s="65" t="n"/>
      <c r="AG29" s="65" t="n"/>
      <c r="AH29" s="65" t="n"/>
      <c r="AI29" s="65" t="n"/>
      <c r="AJ29" s="65" t="n"/>
      <c r="AK29" s="65" t="n"/>
      <c r="AL29" s="65" t="n"/>
      <c r="AM29" s="65" t="n"/>
      <c r="AN29" s="85" t="n"/>
      <c r="AO29" s="85" t="n"/>
      <c r="AP29" s="85" t="n"/>
      <c r="AQ29" s="85" t="n"/>
      <c r="AR29" s="85" t="n"/>
      <c r="AS29" s="85" t="n"/>
      <c r="AT29" s="85" t="n"/>
      <c r="AU29" s="85" t="n"/>
      <c r="AV29" s="85" t="n"/>
      <c r="AW29" s="85" t="n"/>
      <c r="AX29" s="85" t="n"/>
      <c r="AY29" s="85" t="n"/>
      <c r="AZ29" s="85" t="n"/>
      <c r="BA29" s="85" t="n"/>
      <c r="BB29" s="85" t="n"/>
      <c r="BC29" s="85" t="n"/>
      <c r="BD29" s="85" t="n"/>
      <c r="BE29" s="85" t="n"/>
      <c r="BF29" s="85" t="n"/>
      <c r="BG29" s="85" t="n"/>
      <c r="BH29" s="85" t="n"/>
      <c r="BI29" s="85" t="n"/>
      <c r="BJ29" s="85" t="n"/>
      <c r="BK29" s="85" t="n"/>
      <c r="BL29" s="85" t="n"/>
      <c r="BM29" s="85" t="n"/>
      <c r="BN29" s="85" t="n"/>
      <c r="BO29" s="85" t="n"/>
      <c r="BP29" s="85" t="n"/>
      <c r="BQ29" s="85" t="n"/>
      <c r="BR29" s="85" t="n"/>
      <c r="BS29" s="85" t="n"/>
      <c r="BT29" s="85" t="n"/>
      <c r="BU29" s="85" t="n"/>
      <c r="BV29" s="85" t="n"/>
      <c r="BW29" s="85" t="n"/>
      <c r="BX29" s="85" t="n"/>
      <c r="BY29" s="85" t="n"/>
      <c r="BZ29" s="85" t="n"/>
      <c r="CA29" s="85" t="n"/>
      <c r="CB29" s="85" t="n"/>
      <c r="CC29" s="85" t="n"/>
      <c r="CD29" s="85" t="n"/>
      <c r="CE29" s="85" t="n"/>
      <c r="CF29" s="85" t="n"/>
      <c r="CG29" s="85" t="n"/>
      <c r="CH29" s="85" t="n"/>
      <c r="CI29" s="85" t="n"/>
      <c r="CJ29" s="85" t="n"/>
      <c r="CK29" s="85" t="n"/>
      <c r="CL29" s="85" t="n"/>
      <c r="CM29" s="85" t="n"/>
      <c r="CN29" s="85" t="n"/>
      <c r="CO29" s="85" t="n"/>
      <c r="CP29" s="85" t="n"/>
      <c r="CQ29" s="85" t="n"/>
      <c r="CR29" s="85" t="n"/>
      <c r="CS29" s="85" t="n"/>
      <c r="CT29" s="85" t="n"/>
      <c r="CU29" s="85" t="n"/>
      <c r="CV29" s="85" t="n"/>
      <c r="CW29" s="85" t="n"/>
      <c r="CX29" s="85" t="n"/>
      <c r="CY29" s="85" t="n"/>
      <c r="CZ29" s="85" t="n"/>
      <c r="DA29" s="85" t="n"/>
      <c r="DB29" s="85" t="n"/>
      <c r="DC29" s="85" t="n"/>
      <c r="DD29" s="85" t="n"/>
      <c r="DE29" s="85" t="n"/>
      <c r="DF29" s="85" t="n"/>
      <c r="DG29" s="85" t="n"/>
      <c r="DH29" s="85" t="n"/>
      <c r="DI29" s="85" t="n"/>
      <c r="DJ29" s="85" t="n"/>
      <c r="DK29" s="85" t="n"/>
      <c r="DL29" s="85" t="n"/>
      <c r="DM29" s="85" t="n"/>
      <c r="DN29" s="85" t="n"/>
      <c r="DO29" s="85" t="n"/>
      <c r="DP29" s="85" t="n"/>
      <c r="DQ29" s="85" t="n"/>
      <c r="DR29" s="85" t="n"/>
      <c r="DS29" s="85" t="n"/>
      <c r="DT29" s="85" t="n"/>
      <c r="DU29" s="85" t="n"/>
      <c r="DV29" s="85" t="n"/>
      <c r="DW29" s="85" t="n"/>
      <c r="DX29" s="85" t="n"/>
      <c r="DY29" s="85" t="n"/>
      <c r="DZ29" s="85" t="n"/>
      <c r="EA29" s="85" t="n"/>
      <c r="EB29" s="85" t="n"/>
      <c r="EC29" s="85" t="n"/>
      <c r="ED29" s="85" t="n"/>
      <c r="EE29" s="85" t="n"/>
      <c r="EF29" s="85" t="n"/>
      <c r="EG29" s="85" t="n"/>
      <c r="EH29" s="85" t="n"/>
      <c r="EI29" s="85" t="n"/>
      <c r="EJ29" s="85" t="n"/>
      <c r="EK29" s="85" t="n"/>
      <c r="EL29" s="85" t="n"/>
      <c r="EM29" s="85" t="n"/>
      <c r="EN29" s="85" t="n"/>
      <c r="EO29" s="85" t="n"/>
      <c r="EP29" s="85" t="n"/>
      <c r="EQ29" s="85" t="n"/>
      <c r="ER29" s="85" t="n"/>
      <c r="ES29" s="85" t="n"/>
      <c r="ET29" s="85" t="n"/>
      <c r="EU29" s="85" t="n"/>
      <c r="EV29" s="85" t="n"/>
      <c r="EW29" s="85" t="n"/>
      <c r="EX29" s="85" t="n"/>
      <c r="EY29" s="85" t="n"/>
      <c r="EZ29" s="85" t="n"/>
      <c r="FA29" s="85" t="n"/>
      <c r="FB29" s="85" t="n"/>
      <c r="FC29" s="85" t="n"/>
      <c r="FD29" s="85" t="n"/>
      <c r="FE29" s="85" t="n"/>
      <c r="FF29" s="85" t="n"/>
      <c r="FG29" s="85" t="n"/>
      <c r="FH29" s="85" t="n"/>
      <c r="FI29" s="85" t="n"/>
      <c r="FJ29" s="85" t="n"/>
      <c r="FK29" s="85" t="n"/>
      <c r="FL29" s="85" t="n"/>
      <c r="FM29" s="85" t="n"/>
      <c r="FN29" s="85" t="n"/>
      <c r="FO29" s="85" t="n"/>
      <c r="FP29" s="85" t="n"/>
      <c r="FQ29" s="85" t="n"/>
      <c r="FR29" s="85" t="n"/>
      <c r="FS29" s="85" t="n"/>
      <c r="FT29" s="85" t="n"/>
      <c r="FU29" s="85" t="n"/>
      <c r="FV29" s="85" t="n"/>
      <c r="FW29" s="85" t="n"/>
      <c r="FX29" s="85" t="n"/>
      <c r="FY29" s="85" t="n"/>
      <c r="FZ29" s="85" t="n"/>
      <c r="GA29" s="85" t="n"/>
      <c r="GB29" s="85" t="n"/>
      <c r="GC29" s="85" t="n"/>
      <c r="GD29" s="85" t="n"/>
      <c r="GE29" s="85" t="n"/>
      <c r="GF29" s="85" t="n"/>
      <c r="GG29" s="85" t="n"/>
      <c r="GH29" s="85" t="n"/>
      <c r="GI29" s="85" t="n"/>
      <c r="GJ29" s="85" t="n"/>
      <c r="GK29" s="85" t="n"/>
      <c r="GL29" s="85" t="n"/>
      <c r="GM29" s="85" t="n"/>
      <c r="GN29" s="85" t="n"/>
      <c r="GO29" s="85" t="n"/>
      <c r="GP29" s="85" t="n"/>
      <c r="GQ29" s="85" t="n"/>
      <c r="GR29" s="85" t="n"/>
      <c r="GS29" s="85" t="n"/>
      <c r="GT29" s="85" t="n"/>
      <c r="GU29" s="85" t="n"/>
      <c r="GV29" s="85" t="n"/>
      <c r="GW29" s="85" t="n"/>
      <c r="GX29" s="85" t="n"/>
      <c r="GY29" s="85" t="n"/>
      <c r="GZ29" s="85" t="n"/>
      <c r="HA29" s="85" t="n"/>
      <c r="HB29" s="85" t="n"/>
      <c r="HC29" s="85" t="n"/>
      <c r="HD29" s="85" t="n"/>
      <c r="HE29" s="85" t="n"/>
      <c r="HF29" s="85" t="n"/>
      <c r="HG29" s="85" t="n"/>
      <c r="HH29" s="85" t="n"/>
      <c r="HI29" s="85" t="n"/>
      <c r="HJ29" s="85" t="n"/>
      <c r="HK29" s="85" t="n"/>
      <c r="HL29" s="85" t="n"/>
      <c r="HM29" s="85" t="n"/>
      <c r="HN29" s="85" t="n"/>
      <c r="HO29" s="85" t="n"/>
      <c r="HP29" s="85" t="n"/>
      <c r="HQ29" s="85" t="n"/>
      <c r="HR29" s="85" t="n"/>
      <c r="HS29" s="85" t="n"/>
      <c r="HT29" s="85" t="n"/>
      <c r="HU29" s="85" t="n"/>
      <c r="HV29" s="85" t="n"/>
      <c r="HW29" s="85" t="n"/>
      <c r="HX29" s="85" t="n"/>
      <c r="HY29" s="85" t="n"/>
      <c r="HZ29" s="85" t="n"/>
      <c r="IA29" s="85" t="n"/>
    </row>
    <row r="30" ht="130.5" customHeight="1" s="127">
      <c r="B30" s="65" t="inlineStr">
        <is>
          <t>21010</t>
        </is>
      </c>
      <c r="C30" s="6" t="inlineStr">
        <is>
          <t>陌生女子</t>
        </is>
      </c>
      <c r="D30" s="54" t="inlineStr">
        <is>
          <t>荒郊野岭，一位陌生女子坐在树下哭泣，要顺路搭救她吗？</t>
        </is>
      </c>
      <c r="E30" s="55" t="n"/>
      <c r="F30" s="55" t="inlineStr">
        <is>
          <t>2</t>
        </is>
      </c>
      <c r="G30" s="55" t="inlineStr">
        <is>
          <t>7</t>
        </is>
      </c>
      <c r="H30" s="55" t="inlineStr">
        <is>
          <t>1</t>
        </is>
      </c>
      <c r="I30" s="55" t="inlineStr">
        <is>
          <t>搭救</t>
        </is>
      </c>
      <c r="J30" s="55" t="inlineStr">
        <is>
          <t>无视它</t>
        </is>
      </c>
      <c r="K30" s="55" t="inlineStr">
        <is>
          <t>矿</t>
        </is>
      </c>
      <c r="L30" s="55" t="inlineStr">
        <is>
          <t>7</t>
        </is>
      </c>
      <c r="M30" s="55" t="inlineStr">
        <is>
          <t>女子拜谢了你，随后将自行前往宗门报道。</t>
        </is>
      </c>
      <c r="N30" s="55" t="n"/>
      <c r="O30" s="55" t="n"/>
      <c r="P30" s="55" t="n"/>
      <c r="Q30" s="55" t="n"/>
      <c r="R30" s="55" t="inlineStr">
        <is>
          <t>-1</t>
        </is>
      </c>
      <c r="S30" s="55" t="n"/>
      <c r="T30" s="55" t="n"/>
      <c r="U30" s="55" t="n"/>
      <c r="V30" s="55" t="n"/>
      <c r="W30" s="55" t="n"/>
      <c r="X30" s="55" t="inlineStr">
        <is>
          <t>img_hongbiao</t>
        </is>
      </c>
      <c r="Y30" s="55" t="inlineStr">
        <is>
          <t>恩人，多谢你的帮助，小女子走投无路，希望宗门能收留我。</t>
        </is>
      </c>
      <c r="Z30" s="6" t="n"/>
      <c r="AA30" s="65" t="n"/>
      <c r="AB30" s="65" t="n"/>
      <c r="AC30" s="65" t="n"/>
      <c r="AD30" s="65" t="n"/>
      <c r="AE30" s="65" t="n"/>
      <c r="AF30" s="65" t="n"/>
      <c r="AG30" s="65" t="n"/>
      <c r="AH30" s="65" t="n"/>
      <c r="AI30" s="65" t="n"/>
      <c r="AJ30" s="65" t="n"/>
      <c r="AK30" s="65" t="n"/>
      <c r="AL30" s="65" t="n"/>
      <c r="AM30" s="65" t="n"/>
      <c r="AN30" s="85" t="n"/>
      <c r="AO30" s="85" t="n"/>
      <c r="AP30" s="85" t="n"/>
      <c r="AQ30" s="85" t="n"/>
      <c r="AR30" s="85" t="n"/>
      <c r="AS30" s="85" t="n"/>
      <c r="AT30" s="85" t="n"/>
      <c r="AU30" s="85" t="n"/>
      <c r="AV30" s="85" t="n"/>
      <c r="AW30" s="85" t="n"/>
      <c r="AX30" s="85" t="n"/>
      <c r="AY30" s="85" t="n"/>
      <c r="AZ30" s="85" t="n"/>
      <c r="BA30" s="85" t="n"/>
      <c r="BB30" s="85" t="n"/>
      <c r="BC30" s="85" t="n"/>
      <c r="BD30" s="85" t="n"/>
      <c r="BE30" s="85" t="n"/>
      <c r="BF30" s="85" t="n"/>
      <c r="BG30" s="85" t="n"/>
      <c r="BH30" s="85" t="n"/>
      <c r="BI30" s="85" t="n"/>
      <c r="BJ30" s="85" t="n"/>
      <c r="BK30" s="85" t="n"/>
      <c r="BL30" s="85" t="n"/>
      <c r="BM30" s="85" t="n"/>
      <c r="BN30" s="85" t="n"/>
      <c r="BO30" s="85" t="n"/>
      <c r="BP30" s="85" t="n"/>
      <c r="BQ30" s="85" t="n"/>
      <c r="BR30" s="85" t="n"/>
      <c r="BS30" s="85" t="n"/>
      <c r="BT30" s="85" t="n"/>
      <c r="BU30" s="85" t="n"/>
      <c r="BV30" s="85" t="n"/>
      <c r="BW30" s="85" t="n"/>
      <c r="BX30" s="85" t="n"/>
      <c r="BY30" s="85" t="n"/>
      <c r="BZ30" s="85" t="n"/>
      <c r="CA30" s="85" t="n"/>
      <c r="CB30" s="85" t="n"/>
      <c r="CC30" s="85" t="n"/>
      <c r="CD30" s="85" t="n"/>
      <c r="CE30" s="85" t="n"/>
      <c r="CF30" s="85" t="n"/>
      <c r="CG30" s="85" t="n"/>
      <c r="CH30" s="85" t="n"/>
      <c r="CI30" s="85" t="n"/>
      <c r="CJ30" s="85" t="n"/>
      <c r="CK30" s="85" t="n"/>
      <c r="CL30" s="85" t="n"/>
      <c r="CM30" s="85" t="n"/>
      <c r="CN30" s="85" t="n"/>
      <c r="CO30" s="85" t="n"/>
      <c r="CP30" s="85" t="n"/>
      <c r="CQ30" s="85" t="n"/>
      <c r="CR30" s="85" t="n"/>
      <c r="CS30" s="85" t="n"/>
      <c r="CT30" s="85" t="n"/>
      <c r="CU30" s="85" t="n"/>
      <c r="CV30" s="85" t="n"/>
      <c r="CW30" s="85" t="n"/>
      <c r="CX30" s="85" t="n"/>
      <c r="CY30" s="85" t="n"/>
      <c r="CZ30" s="85" t="n"/>
      <c r="DA30" s="85" t="n"/>
      <c r="DB30" s="85" t="n"/>
      <c r="DC30" s="85" t="n"/>
      <c r="DD30" s="85" t="n"/>
      <c r="DE30" s="85" t="n"/>
      <c r="DF30" s="85" t="n"/>
      <c r="DG30" s="85" t="n"/>
      <c r="DH30" s="85" t="n"/>
      <c r="DI30" s="85" t="n"/>
      <c r="DJ30" s="85" t="n"/>
      <c r="DK30" s="85" t="n"/>
      <c r="DL30" s="85" t="n"/>
      <c r="DM30" s="85" t="n"/>
      <c r="DN30" s="85" t="n"/>
      <c r="DO30" s="85" t="n"/>
      <c r="DP30" s="85" t="n"/>
      <c r="DQ30" s="85" t="n"/>
      <c r="DR30" s="85" t="n"/>
      <c r="DS30" s="85" t="n"/>
      <c r="DT30" s="85" t="n"/>
      <c r="DU30" s="85" t="n"/>
      <c r="DV30" s="85" t="n"/>
      <c r="DW30" s="85" t="n"/>
      <c r="DX30" s="85" t="n"/>
      <c r="DY30" s="85" t="n"/>
      <c r="DZ30" s="85" t="n"/>
      <c r="EA30" s="85" t="n"/>
      <c r="EB30" s="85" t="n"/>
      <c r="EC30" s="85" t="n"/>
      <c r="ED30" s="85" t="n"/>
      <c r="EE30" s="85" t="n"/>
      <c r="EF30" s="85" t="n"/>
      <c r="EG30" s="85" t="n"/>
      <c r="EH30" s="85" t="n"/>
      <c r="EI30" s="85" t="n"/>
      <c r="EJ30" s="85" t="n"/>
      <c r="EK30" s="85" t="n"/>
      <c r="EL30" s="85" t="n"/>
      <c r="EM30" s="85" t="n"/>
      <c r="EN30" s="85" t="n"/>
      <c r="EO30" s="85" t="n"/>
      <c r="EP30" s="85" t="n"/>
      <c r="EQ30" s="85" t="n"/>
      <c r="ER30" s="85" t="n"/>
      <c r="ES30" s="85" t="n"/>
      <c r="ET30" s="85" t="n"/>
      <c r="EU30" s="85" t="n"/>
      <c r="EV30" s="85" t="n"/>
      <c r="EW30" s="85" t="n"/>
      <c r="EX30" s="85" t="n"/>
      <c r="EY30" s="85" t="n"/>
      <c r="EZ30" s="85" t="n"/>
      <c r="FA30" s="85" t="n"/>
      <c r="FB30" s="85" t="n"/>
      <c r="FC30" s="85" t="n"/>
      <c r="FD30" s="85" t="n"/>
      <c r="FE30" s="85" t="n"/>
      <c r="FF30" s="85" t="n"/>
      <c r="FG30" s="85" t="n"/>
      <c r="FH30" s="85" t="n"/>
      <c r="FI30" s="85" t="n"/>
      <c r="FJ30" s="85" t="n"/>
      <c r="FK30" s="85" t="n"/>
      <c r="FL30" s="85" t="n"/>
      <c r="FM30" s="85" t="n"/>
      <c r="FN30" s="85" t="n"/>
      <c r="FO30" s="85" t="n"/>
      <c r="FP30" s="85" t="n"/>
      <c r="FQ30" s="85" t="n"/>
      <c r="FR30" s="85" t="n"/>
      <c r="FS30" s="85" t="n"/>
      <c r="FT30" s="85" t="n"/>
      <c r="FU30" s="85" t="n"/>
      <c r="FV30" s="85" t="n"/>
      <c r="FW30" s="85" t="n"/>
      <c r="FX30" s="85" t="n"/>
      <c r="FY30" s="85" t="n"/>
      <c r="FZ30" s="85" t="n"/>
      <c r="GA30" s="85" t="n"/>
      <c r="GB30" s="85" t="n"/>
      <c r="GC30" s="85" t="n"/>
      <c r="GD30" s="85" t="n"/>
      <c r="GE30" s="85" t="n"/>
      <c r="GF30" s="85" t="n"/>
      <c r="GG30" s="85" t="n"/>
      <c r="GH30" s="85" t="n"/>
      <c r="GI30" s="85" t="n"/>
      <c r="GJ30" s="85" t="n"/>
      <c r="GK30" s="85" t="n"/>
      <c r="GL30" s="85" t="n"/>
      <c r="GM30" s="85" t="n"/>
      <c r="GN30" s="85" t="n"/>
      <c r="GO30" s="85" t="n"/>
      <c r="GP30" s="85" t="n"/>
      <c r="GQ30" s="85" t="n"/>
      <c r="GR30" s="85" t="n"/>
      <c r="GS30" s="85" t="n"/>
      <c r="GT30" s="85" t="n"/>
      <c r="GU30" s="85" t="n"/>
      <c r="GV30" s="85" t="n"/>
      <c r="GW30" s="85" t="n"/>
      <c r="GX30" s="85" t="n"/>
      <c r="GY30" s="85" t="n"/>
      <c r="GZ30" s="85" t="n"/>
      <c r="HA30" s="85" t="n"/>
      <c r="HB30" s="85" t="n"/>
      <c r="HC30" s="85" t="n"/>
      <c r="HD30" s="85" t="n"/>
      <c r="HE30" s="85" t="n"/>
      <c r="HF30" s="85" t="n"/>
      <c r="HG30" s="85" t="n"/>
      <c r="HH30" s="85" t="n"/>
      <c r="HI30" s="85" t="n"/>
      <c r="HJ30" s="85" t="n"/>
      <c r="HK30" s="85" t="n"/>
      <c r="HL30" s="85" t="n"/>
      <c r="HM30" s="85" t="n"/>
      <c r="HN30" s="85" t="n"/>
      <c r="HO30" s="85" t="n"/>
      <c r="HP30" s="85" t="n"/>
      <c r="HQ30" s="85" t="n"/>
      <c r="HR30" s="85" t="n"/>
      <c r="HS30" s="85" t="n"/>
      <c r="HT30" s="85" t="n"/>
      <c r="HU30" s="85" t="n"/>
      <c r="HV30" s="85" t="n"/>
      <c r="HW30" s="85" t="n"/>
      <c r="HX30" s="85" t="n"/>
      <c r="HY30" s="85" t="n"/>
      <c r="HZ30" s="85" t="n"/>
      <c r="IA30" s="85" t="n"/>
    </row>
    <row r="31" ht="130.5" customHeight="1" s="127">
      <c r="B31" s="65" t="inlineStr">
        <is>
          <t>21011</t>
        </is>
      </c>
      <c r="C31" s="6" t="inlineStr">
        <is>
          <t>迷路的村民</t>
        </is>
      </c>
      <c r="D31" s="54" t="inlineStr">
        <is>
          <t>看上去是个迷路的村民，要顺路搭救他吗？</t>
        </is>
      </c>
      <c r="E31" s="55" t="n"/>
      <c r="F31" s="55" t="inlineStr">
        <is>
          <t>0</t>
        </is>
      </c>
      <c r="G31" s="55" t="inlineStr">
        <is>
          <t>7</t>
        </is>
      </c>
      <c r="H31" s="55" t="inlineStr">
        <is>
          <t>1</t>
        </is>
      </c>
      <c r="I31" s="55" t="inlineStr">
        <is>
          <t>搭救</t>
        </is>
      </c>
      <c r="J31" s="55" t="inlineStr">
        <is>
          <t>无视它</t>
        </is>
      </c>
      <c r="K31" s="55" t="inlineStr">
        <is>
          <t>矿</t>
        </is>
      </c>
      <c r="L31" s="55" t="inlineStr">
        <is>
          <t>7</t>
        </is>
      </c>
      <c r="M31" s="55" t="inlineStr">
        <is>
          <t>村民拜谢了你，随后将自行前往宗门报道。</t>
        </is>
      </c>
      <c r="N31" s="55" t="n"/>
      <c r="O31" s="55" t="n"/>
      <c r="P31" s="55" t="n"/>
      <c r="Q31" s="55" t="n"/>
      <c r="R31" s="55" t="inlineStr">
        <is>
          <t>-1</t>
        </is>
      </c>
      <c r="S31" s="55" t="n"/>
      <c r="T31" s="55" t="n"/>
      <c r="U31" s="55" t="n"/>
      <c r="V31" s="55" t="n"/>
      <c r="W31" s="55" t="n"/>
      <c r="X31" s="55" t="inlineStr">
        <is>
          <t>img_hongbiao</t>
        </is>
      </c>
      <c r="Y31" s="55" t="inlineStr">
        <is>
          <t>多谢恩人相救，敬仰宗门已久，希望宗门能收留我。</t>
        </is>
      </c>
      <c r="Z31" s="6" t="n"/>
      <c r="AA31" s="65" t="n"/>
      <c r="AB31" s="65" t="n"/>
      <c r="AC31" s="65" t="n"/>
      <c r="AD31" s="65" t="n"/>
      <c r="AE31" s="65" t="n"/>
      <c r="AF31" s="65" t="n"/>
      <c r="AG31" s="65" t="n"/>
      <c r="AH31" s="65" t="n"/>
      <c r="AI31" s="65" t="n"/>
      <c r="AJ31" s="65" t="n"/>
      <c r="AK31" s="65" t="n"/>
      <c r="AL31" s="65" t="n"/>
      <c r="AM31" s="65" t="n"/>
      <c r="AN31" s="85" t="n"/>
      <c r="AO31" s="85" t="n"/>
      <c r="AP31" s="85" t="n"/>
      <c r="AQ31" s="85" t="n"/>
      <c r="AR31" s="85" t="n"/>
      <c r="AS31" s="85" t="n"/>
      <c r="AT31" s="85" t="n"/>
      <c r="AU31" s="85" t="n"/>
      <c r="AV31" s="85" t="n"/>
      <c r="AW31" s="85" t="n"/>
      <c r="AX31" s="85" t="n"/>
      <c r="AY31" s="85" t="n"/>
      <c r="AZ31" s="85" t="n"/>
      <c r="BA31" s="85" t="n"/>
      <c r="BB31" s="85" t="n"/>
      <c r="BC31" s="85" t="n"/>
      <c r="BD31" s="85" t="n"/>
      <c r="BE31" s="85" t="n"/>
      <c r="BF31" s="85" t="n"/>
      <c r="BG31" s="85" t="n"/>
      <c r="BH31" s="85" t="n"/>
      <c r="BI31" s="85" t="n"/>
      <c r="BJ31" s="85" t="n"/>
      <c r="BK31" s="85" t="n"/>
      <c r="BL31" s="85" t="n"/>
      <c r="BM31" s="85" t="n"/>
      <c r="BN31" s="85" t="n"/>
      <c r="BO31" s="85" t="n"/>
      <c r="BP31" s="85" t="n"/>
      <c r="BQ31" s="85" t="n"/>
      <c r="BR31" s="85" t="n"/>
      <c r="BS31" s="85" t="n"/>
      <c r="BT31" s="85" t="n"/>
      <c r="BU31" s="85" t="n"/>
      <c r="BV31" s="85" t="n"/>
      <c r="BW31" s="85" t="n"/>
      <c r="BX31" s="85" t="n"/>
      <c r="BY31" s="85" t="n"/>
      <c r="BZ31" s="85" t="n"/>
      <c r="CA31" s="85" t="n"/>
      <c r="CB31" s="85" t="n"/>
      <c r="CC31" s="85" t="n"/>
      <c r="CD31" s="85" t="n"/>
      <c r="CE31" s="85" t="n"/>
      <c r="CF31" s="85" t="n"/>
      <c r="CG31" s="85" t="n"/>
      <c r="CH31" s="85" t="n"/>
      <c r="CI31" s="85" t="n"/>
      <c r="CJ31" s="85" t="n"/>
      <c r="CK31" s="85" t="n"/>
      <c r="CL31" s="85" t="n"/>
      <c r="CM31" s="85" t="n"/>
      <c r="CN31" s="85" t="n"/>
      <c r="CO31" s="85" t="n"/>
      <c r="CP31" s="85" t="n"/>
      <c r="CQ31" s="85" t="n"/>
      <c r="CR31" s="85" t="n"/>
      <c r="CS31" s="85" t="n"/>
      <c r="CT31" s="85" t="n"/>
      <c r="CU31" s="85" t="n"/>
      <c r="CV31" s="85" t="n"/>
      <c r="CW31" s="85" t="n"/>
      <c r="CX31" s="85" t="n"/>
      <c r="CY31" s="85" t="n"/>
      <c r="CZ31" s="85" t="n"/>
      <c r="DA31" s="85" t="n"/>
      <c r="DB31" s="85" t="n"/>
      <c r="DC31" s="85" t="n"/>
      <c r="DD31" s="85" t="n"/>
      <c r="DE31" s="85" t="n"/>
      <c r="DF31" s="85" t="n"/>
      <c r="DG31" s="85" t="n"/>
      <c r="DH31" s="85" t="n"/>
      <c r="DI31" s="85" t="n"/>
      <c r="DJ31" s="85" t="n"/>
      <c r="DK31" s="85" t="n"/>
      <c r="DL31" s="85" t="n"/>
      <c r="DM31" s="85" t="n"/>
      <c r="DN31" s="85" t="n"/>
      <c r="DO31" s="85" t="n"/>
      <c r="DP31" s="85" t="n"/>
      <c r="DQ31" s="85" t="n"/>
      <c r="DR31" s="85" t="n"/>
      <c r="DS31" s="85" t="n"/>
      <c r="DT31" s="85" t="n"/>
      <c r="DU31" s="85" t="n"/>
      <c r="DV31" s="85" t="n"/>
      <c r="DW31" s="85" t="n"/>
      <c r="DX31" s="85" t="n"/>
      <c r="DY31" s="85" t="n"/>
      <c r="DZ31" s="85" t="n"/>
      <c r="EA31" s="85" t="n"/>
      <c r="EB31" s="85" t="n"/>
      <c r="EC31" s="85" t="n"/>
      <c r="ED31" s="85" t="n"/>
      <c r="EE31" s="85" t="n"/>
      <c r="EF31" s="85" t="n"/>
      <c r="EG31" s="85" t="n"/>
      <c r="EH31" s="85" t="n"/>
      <c r="EI31" s="85" t="n"/>
      <c r="EJ31" s="85" t="n"/>
      <c r="EK31" s="85" t="n"/>
      <c r="EL31" s="85" t="n"/>
      <c r="EM31" s="85" t="n"/>
      <c r="EN31" s="85" t="n"/>
      <c r="EO31" s="85" t="n"/>
      <c r="EP31" s="85" t="n"/>
      <c r="EQ31" s="85" t="n"/>
      <c r="ER31" s="85" t="n"/>
      <c r="ES31" s="85" t="n"/>
      <c r="ET31" s="85" t="n"/>
      <c r="EU31" s="85" t="n"/>
      <c r="EV31" s="85" t="n"/>
      <c r="EW31" s="85" t="n"/>
      <c r="EX31" s="85" t="n"/>
      <c r="EY31" s="85" t="n"/>
      <c r="EZ31" s="85" t="n"/>
      <c r="FA31" s="85" t="n"/>
      <c r="FB31" s="85" t="n"/>
      <c r="FC31" s="85" t="n"/>
      <c r="FD31" s="85" t="n"/>
      <c r="FE31" s="85" t="n"/>
      <c r="FF31" s="85" t="n"/>
      <c r="FG31" s="85" t="n"/>
      <c r="FH31" s="85" t="n"/>
      <c r="FI31" s="85" t="n"/>
      <c r="FJ31" s="85" t="n"/>
      <c r="FK31" s="85" t="n"/>
      <c r="FL31" s="85" t="n"/>
      <c r="FM31" s="85" t="n"/>
      <c r="FN31" s="85" t="n"/>
      <c r="FO31" s="85" t="n"/>
      <c r="FP31" s="85" t="n"/>
      <c r="FQ31" s="85" t="n"/>
      <c r="FR31" s="85" t="n"/>
      <c r="FS31" s="85" t="n"/>
      <c r="FT31" s="85" t="n"/>
      <c r="FU31" s="85" t="n"/>
      <c r="FV31" s="85" t="n"/>
      <c r="FW31" s="85" t="n"/>
      <c r="FX31" s="85" t="n"/>
      <c r="FY31" s="85" t="n"/>
      <c r="FZ31" s="85" t="n"/>
      <c r="GA31" s="85" t="n"/>
      <c r="GB31" s="85" t="n"/>
      <c r="GC31" s="85" t="n"/>
      <c r="GD31" s="85" t="n"/>
      <c r="GE31" s="85" t="n"/>
      <c r="GF31" s="85" t="n"/>
      <c r="GG31" s="85" t="n"/>
      <c r="GH31" s="85" t="n"/>
      <c r="GI31" s="85" t="n"/>
      <c r="GJ31" s="85" t="n"/>
      <c r="GK31" s="85" t="n"/>
      <c r="GL31" s="85" t="n"/>
      <c r="GM31" s="85" t="n"/>
      <c r="GN31" s="85" t="n"/>
      <c r="GO31" s="85" t="n"/>
      <c r="GP31" s="85" t="n"/>
      <c r="GQ31" s="85" t="n"/>
      <c r="GR31" s="85" t="n"/>
      <c r="GS31" s="85" t="n"/>
      <c r="GT31" s="85" t="n"/>
      <c r="GU31" s="85" t="n"/>
      <c r="GV31" s="85" t="n"/>
      <c r="GW31" s="85" t="n"/>
      <c r="GX31" s="85" t="n"/>
      <c r="GY31" s="85" t="n"/>
      <c r="GZ31" s="85" t="n"/>
      <c r="HA31" s="85" t="n"/>
      <c r="HB31" s="85" t="n"/>
      <c r="HC31" s="85" t="n"/>
      <c r="HD31" s="85" t="n"/>
      <c r="HE31" s="85" t="n"/>
      <c r="HF31" s="85" t="n"/>
      <c r="HG31" s="85" t="n"/>
      <c r="HH31" s="85" t="n"/>
      <c r="HI31" s="85" t="n"/>
      <c r="HJ31" s="85" t="n"/>
      <c r="HK31" s="85" t="n"/>
      <c r="HL31" s="85" t="n"/>
      <c r="HM31" s="85" t="n"/>
      <c r="HN31" s="85" t="n"/>
      <c r="HO31" s="85" t="n"/>
      <c r="HP31" s="85" t="n"/>
      <c r="HQ31" s="85" t="n"/>
      <c r="HR31" s="85" t="n"/>
      <c r="HS31" s="85" t="n"/>
      <c r="HT31" s="85" t="n"/>
      <c r="HU31" s="85" t="n"/>
      <c r="HV31" s="85" t="n"/>
      <c r="HW31" s="85" t="n"/>
      <c r="HX31" s="85" t="n"/>
      <c r="HY31" s="85" t="n"/>
      <c r="HZ31" s="85" t="n"/>
      <c r="IA31" s="85" t="n"/>
    </row>
    <row r="32" ht="130.5" customHeight="1" s="127">
      <c r="B32" s="65" t="inlineStr">
        <is>
          <t>21012</t>
        </is>
      </c>
      <c r="C32" s="56" t="inlineStr">
        <is>
          <t>小片药圃</t>
        </is>
      </c>
      <c r="D32" s="57" t="inlineStr">
        <is>
          <t>掩藏在一处山涧里的小片药圃，似乎从来没人踏足过。</t>
        </is>
      </c>
      <c r="E32" s="52" t="n"/>
      <c r="F32" s="106" t="inlineStr">
        <is>
          <t>91001|40|60,61001|10|20$91001|100|120</t>
        </is>
      </c>
      <c r="G32" s="52" t="inlineStr">
        <is>
          <t>5</t>
        </is>
      </c>
      <c r="H32" s="52" t="inlineStr">
        <is>
          <t>1</t>
        </is>
      </c>
      <c r="I32" s="52" t="inlineStr">
        <is>
          <t>简单搜寻</t>
        </is>
      </c>
      <c r="J32" s="52" t="inlineStr">
        <is>
          <t>彻底探索</t>
        </is>
      </c>
      <c r="K32" s="52" t="inlineStr">
        <is>
          <t>矿</t>
        </is>
      </c>
      <c r="L32" s="52" t="inlineStr">
        <is>
          <t>7</t>
        </is>
      </c>
      <c r="M32" s="52" t="inlineStr">
        <is>
          <t>还是不要贸然靠近危险，弟子在附近简单搜巡了一番，并在边缘角落发现了意外之喜</t>
        </is>
      </c>
      <c r="N32" s="52" t="n"/>
      <c r="O32" s="52" t="n"/>
      <c r="P32" s="52" t="n"/>
      <c r="Q32" s="52" t="n"/>
      <c r="R32" s="52" t="inlineStr">
        <is>
          <t>-1</t>
        </is>
      </c>
      <c r="S32" s="52" t="inlineStr">
        <is>
          <t>1</t>
        </is>
      </c>
      <c r="T32" s="52" t="n"/>
      <c r="U32" s="52" t="n"/>
      <c r="V32" s="52" t="n"/>
      <c r="W32" s="52" t="n"/>
      <c r="X32" s="52" t="inlineStr">
        <is>
          <t>img_yaopu1</t>
        </is>
      </c>
      <c r="Y32" s="52" t="inlineStr">
        <is>
          <t>[弟子]在搜寻过程中惊动了遗迹中憩息的野兽，朝众人扑了过来！|6000</t>
        </is>
      </c>
      <c r="Z32" s="56" t="n"/>
      <c r="AA32" s="65" t="n"/>
      <c r="AB32" s="65" t="n"/>
      <c r="AC32" s="65" t="n"/>
      <c r="AD32" s="65" t="n"/>
      <c r="AE32" s="65" t="n"/>
      <c r="AF32" s="65" t="n"/>
      <c r="AG32" s="65" t="n"/>
      <c r="AH32" s="65" t="n"/>
      <c r="AI32" s="65" t="n"/>
      <c r="AJ32" s="65" t="n"/>
      <c r="AK32" s="65" t="n"/>
      <c r="AL32" s="65" t="n"/>
      <c r="AM32" s="65" t="n"/>
      <c r="AN32" s="85" t="n"/>
      <c r="AO32" s="85" t="n"/>
      <c r="AP32" s="85" t="n"/>
      <c r="AQ32" s="85" t="n"/>
      <c r="AR32" s="85" t="n"/>
      <c r="AS32" s="85" t="n"/>
      <c r="AT32" s="85" t="n"/>
      <c r="AU32" s="85" t="n"/>
      <c r="AV32" s="85" t="n"/>
      <c r="AW32" s="85" t="n"/>
      <c r="AX32" s="85" t="n"/>
      <c r="AY32" s="85" t="n"/>
      <c r="AZ32" s="85" t="n"/>
      <c r="BA32" s="85" t="n"/>
      <c r="BB32" s="85" t="n"/>
      <c r="BC32" s="85" t="n"/>
      <c r="BD32" s="85" t="n"/>
      <c r="BE32" s="85" t="n"/>
      <c r="BF32" s="85" t="n"/>
      <c r="BG32" s="85" t="n"/>
      <c r="BH32" s="85" t="n"/>
      <c r="BI32" s="85" t="n"/>
      <c r="BJ32" s="85" t="n"/>
      <c r="BK32" s="85" t="n"/>
      <c r="BL32" s="85" t="n"/>
      <c r="BM32" s="85" t="n"/>
      <c r="BN32" s="85" t="n"/>
      <c r="BO32" s="85" t="n"/>
      <c r="BP32" s="85" t="n"/>
      <c r="BQ32" s="85" t="n"/>
      <c r="BR32" s="85" t="n"/>
      <c r="BS32" s="85" t="n"/>
      <c r="BT32" s="85" t="n"/>
      <c r="BU32" s="85" t="n"/>
      <c r="BV32" s="85" t="n"/>
      <c r="BW32" s="85" t="n"/>
      <c r="BX32" s="85" t="n"/>
      <c r="BY32" s="85" t="n"/>
      <c r="BZ32" s="85" t="n"/>
      <c r="CA32" s="85" t="n"/>
      <c r="CB32" s="85" t="n"/>
      <c r="CC32" s="85" t="n"/>
      <c r="CD32" s="85" t="n"/>
      <c r="CE32" s="85" t="n"/>
      <c r="CF32" s="85" t="n"/>
      <c r="CG32" s="85" t="n"/>
      <c r="CH32" s="85" t="n"/>
      <c r="CI32" s="85" t="n"/>
      <c r="CJ32" s="85" t="n"/>
      <c r="CK32" s="85" t="n"/>
      <c r="CL32" s="85" t="n"/>
      <c r="CM32" s="85" t="n"/>
      <c r="CN32" s="85" t="n"/>
      <c r="CO32" s="85" t="n"/>
      <c r="CP32" s="85" t="n"/>
      <c r="CQ32" s="85" t="n"/>
      <c r="CR32" s="85" t="n"/>
      <c r="CS32" s="85" t="n"/>
      <c r="CT32" s="85" t="n"/>
      <c r="CU32" s="85" t="n"/>
      <c r="CV32" s="85" t="n"/>
      <c r="CW32" s="85" t="n"/>
      <c r="CX32" s="85" t="n"/>
      <c r="CY32" s="85" t="n"/>
      <c r="CZ32" s="85" t="n"/>
      <c r="DA32" s="85" t="n"/>
      <c r="DB32" s="85" t="n"/>
      <c r="DC32" s="85" t="n"/>
      <c r="DD32" s="85" t="n"/>
      <c r="DE32" s="85" t="n"/>
      <c r="DF32" s="85" t="n"/>
      <c r="DG32" s="85" t="n"/>
      <c r="DH32" s="85" t="n"/>
      <c r="DI32" s="85" t="n"/>
      <c r="DJ32" s="85" t="n"/>
      <c r="DK32" s="85" t="n"/>
      <c r="DL32" s="85" t="n"/>
      <c r="DM32" s="85" t="n"/>
      <c r="DN32" s="85" t="n"/>
      <c r="DO32" s="85" t="n"/>
      <c r="DP32" s="85" t="n"/>
      <c r="DQ32" s="85" t="n"/>
      <c r="DR32" s="85" t="n"/>
      <c r="DS32" s="85" t="n"/>
      <c r="DT32" s="85" t="n"/>
      <c r="DU32" s="85" t="n"/>
      <c r="DV32" s="85" t="n"/>
      <c r="DW32" s="85" t="n"/>
      <c r="DX32" s="85" t="n"/>
      <c r="DY32" s="85" t="n"/>
      <c r="DZ32" s="85" t="n"/>
      <c r="EA32" s="85" t="n"/>
      <c r="EB32" s="85" t="n"/>
      <c r="EC32" s="85" t="n"/>
      <c r="ED32" s="85" t="n"/>
      <c r="EE32" s="85" t="n"/>
      <c r="EF32" s="85" t="n"/>
      <c r="EG32" s="85" t="n"/>
      <c r="EH32" s="85" t="n"/>
      <c r="EI32" s="85" t="n"/>
      <c r="EJ32" s="85" t="n"/>
      <c r="EK32" s="85" t="n"/>
      <c r="EL32" s="85" t="n"/>
      <c r="EM32" s="85" t="n"/>
      <c r="EN32" s="85" t="n"/>
      <c r="EO32" s="85" t="n"/>
      <c r="EP32" s="85" t="n"/>
      <c r="EQ32" s="85" t="n"/>
      <c r="ER32" s="85" t="n"/>
      <c r="ES32" s="85" t="n"/>
      <c r="ET32" s="85" t="n"/>
      <c r="EU32" s="85" t="n"/>
      <c r="EV32" s="85" t="n"/>
      <c r="EW32" s="85" t="n"/>
      <c r="EX32" s="85" t="n"/>
      <c r="EY32" s="85" t="n"/>
      <c r="EZ32" s="85" t="n"/>
      <c r="FA32" s="85" t="n"/>
      <c r="FB32" s="85" t="n"/>
      <c r="FC32" s="85" t="n"/>
      <c r="FD32" s="85" t="n"/>
      <c r="FE32" s="85" t="n"/>
      <c r="FF32" s="85" t="n"/>
      <c r="FG32" s="85" t="n"/>
      <c r="FH32" s="85" t="n"/>
      <c r="FI32" s="85" t="n"/>
      <c r="FJ32" s="85" t="n"/>
      <c r="FK32" s="85" t="n"/>
      <c r="FL32" s="85" t="n"/>
      <c r="FM32" s="85" t="n"/>
      <c r="FN32" s="85" t="n"/>
      <c r="FO32" s="85" t="n"/>
      <c r="FP32" s="85" t="n"/>
      <c r="FQ32" s="85" t="n"/>
      <c r="FR32" s="85" t="n"/>
      <c r="FS32" s="85" t="n"/>
      <c r="FT32" s="85" t="n"/>
      <c r="FU32" s="85" t="n"/>
      <c r="FV32" s="85" t="n"/>
      <c r="FW32" s="85" t="n"/>
      <c r="FX32" s="85" t="n"/>
      <c r="FY32" s="85" t="n"/>
      <c r="FZ32" s="85" t="n"/>
      <c r="GA32" s="85" t="n"/>
      <c r="GB32" s="85" t="n"/>
      <c r="GC32" s="85" t="n"/>
      <c r="GD32" s="85" t="n"/>
      <c r="GE32" s="85" t="n"/>
      <c r="GF32" s="85" t="n"/>
      <c r="GG32" s="85" t="n"/>
      <c r="GH32" s="85" t="n"/>
      <c r="GI32" s="85" t="n"/>
      <c r="GJ32" s="85" t="n"/>
      <c r="GK32" s="85" t="n"/>
      <c r="GL32" s="85" t="n"/>
      <c r="GM32" s="85" t="n"/>
      <c r="GN32" s="85" t="n"/>
      <c r="GO32" s="85" t="n"/>
      <c r="GP32" s="85" t="n"/>
      <c r="GQ32" s="85" t="n"/>
      <c r="GR32" s="85" t="n"/>
      <c r="GS32" s="85" t="n"/>
      <c r="GT32" s="85" t="n"/>
      <c r="GU32" s="85" t="n"/>
      <c r="GV32" s="85" t="n"/>
      <c r="GW32" s="85" t="n"/>
      <c r="GX32" s="85" t="n"/>
      <c r="GY32" s="85" t="n"/>
      <c r="GZ32" s="85" t="n"/>
      <c r="HA32" s="85" t="n"/>
      <c r="HB32" s="85" t="n"/>
      <c r="HC32" s="85" t="n"/>
      <c r="HD32" s="85" t="n"/>
      <c r="HE32" s="85" t="n"/>
      <c r="HF32" s="85" t="n"/>
      <c r="HG32" s="85" t="n"/>
      <c r="HH32" s="85" t="n"/>
      <c r="HI32" s="85" t="n"/>
      <c r="HJ32" s="85" t="n"/>
      <c r="HK32" s="85" t="n"/>
      <c r="HL32" s="85" t="n"/>
      <c r="HM32" s="85" t="n"/>
      <c r="HN32" s="85" t="n"/>
      <c r="HO32" s="85" t="n"/>
      <c r="HP32" s="85" t="n"/>
      <c r="HQ32" s="85" t="n"/>
      <c r="HR32" s="85" t="n"/>
      <c r="HS32" s="85" t="n"/>
      <c r="HT32" s="85" t="n"/>
      <c r="HU32" s="85" t="n"/>
      <c r="HV32" s="85" t="n"/>
      <c r="HW32" s="85" t="n"/>
      <c r="HX32" s="85" t="n"/>
      <c r="HY32" s="85" t="n"/>
      <c r="HZ32" s="85" t="n"/>
      <c r="IA32" s="85" t="n"/>
    </row>
    <row r="33" ht="130.5" customHeight="1" s="127">
      <c r="B33" s="65" t="inlineStr">
        <is>
          <t>21013</t>
        </is>
      </c>
      <c r="C33" s="56" t="inlineStr">
        <is>
          <t>中型药圃</t>
        </is>
      </c>
      <c r="D33" s="57" t="inlineStr">
        <is>
          <t>掩藏在一处山涧里的中型药圃，透出灵树生长引发的幽光</t>
        </is>
      </c>
      <c r="E33" s="52" t="n"/>
      <c r="F33" s="106" t="inlineStr">
        <is>
          <t>91001|60|80,61001|20|30$91001|100|140</t>
        </is>
      </c>
      <c r="G33" s="52" t="inlineStr">
        <is>
          <t>5</t>
        </is>
      </c>
      <c r="H33" s="52" t="inlineStr">
        <is>
          <t>1</t>
        </is>
      </c>
      <c r="I33" s="52" t="inlineStr">
        <is>
          <t>简单搜寻</t>
        </is>
      </c>
      <c r="J33" s="52" t="inlineStr">
        <is>
          <t>彻底探索</t>
        </is>
      </c>
      <c r="K33" s="52" t="inlineStr">
        <is>
          <t>矿</t>
        </is>
      </c>
      <c r="L33" s="52" t="inlineStr">
        <is>
          <t>7</t>
        </is>
      </c>
      <c r="M33" s="52" t="inlineStr">
        <is>
          <t>还是不要贸然靠近危险，弟子在附近简单搜巡了一番，并在边缘角落发现了意外之喜</t>
        </is>
      </c>
      <c r="N33" s="52" t="n"/>
      <c r="O33" s="52" t="n"/>
      <c r="P33" s="52" t="n"/>
      <c r="Q33" s="52" t="n"/>
      <c r="R33" s="52" t="inlineStr">
        <is>
          <t>-1</t>
        </is>
      </c>
      <c r="S33" s="52" t="inlineStr">
        <is>
          <t>2</t>
        </is>
      </c>
      <c r="T33" s="52" t="n"/>
      <c r="U33" s="52" t="n"/>
      <c r="V33" s="52" t="n"/>
      <c r="W33" s="52" t="n"/>
      <c r="X33" s="52" t="inlineStr">
        <is>
          <t>img_yaopu2</t>
        </is>
      </c>
      <c r="Y33" s="52" t="inlineStr">
        <is>
          <t>[弟子]在搜寻过程中惊动了遗迹中憩息的野兽，朝众人扑了过来！|10000</t>
        </is>
      </c>
      <c r="Z33" s="56" t="n"/>
      <c r="AA33" s="65" t="n"/>
      <c r="AB33" s="65" t="n"/>
      <c r="AC33" s="65" t="n"/>
      <c r="AD33" s="65" t="n"/>
      <c r="AE33" s="65" t="n"/>
      <c r="AF33" s="65" t="n"/>
      <c r="AG33" s="65" t="n"/>
      <c r="AH33" s="65" t="n"/>
      <c r="AI33" s="65" t="n"/>
      <c r="AJ33" s="65" t="n"/>
      <c r="AK33" s="65" t="n"/>
      <c r="AL33" s="65" t="n"/>
      <c r="AM33" s="65" t="n"/>
      <c r="AN33" s="85" t="n"/>
      <c r="AO33" s="85" t="n"/>
      <c r="AP33" s="85" t="n"/>
      <c r="AQ33" s="85" t="n"/>
      <c r="AR33" s="85" t="n"/>
      <c r="AS33" s="85" t="n"/>
      <c r="AT33" s="85" t="n"/>
      <c r="AU33" s="85" t="n"/>
      <c r="AV33" s="85" t="n"/>
      <c r="AW33" s="85" t="n"/>
      <c r="AX33" s="85" t="n"/>
      <c r="AY33" s="85" t="n"/>
      <c r="AZ33" s="85" t="n"/>
      <c r="BA33" s="85" t="n"/>
      <c r="BB33" s="85" t="n"/>
      <c r="BC33" s="85" t="n"/>
      <c r="BD33" s="85" t="n"/>
      <c r="BE33" s="85" t="n"/>
      <c r="BF33" s="85" t="n"/>
      <c r="BG33" s="85" t="n"/>
      <c r="BH33" s="85" t="n"/>
      <c r="BI33" s="85" t="n"/>
      <c r="BJ33" s="85" t="n"/>
      <c r="BK33" s="85" t="n"/>
      <c r="BL33" s="85" t="n"/>
      <c r="BM33" s="85" t="n"/>
      <c r="BN33" s="85" t="n"/>
      <c r="BO33" s="85" t="n"/>
      <c r="BP33" s="85" t="n"/>
      <c r="BQ33" s="85" t="n"/>
      <c r="BR33" s="85" t="n"/>
      <c r="BS33" s="85" t="n"/>
      <c r="BT33" s="85" t="n"/>
      <c r="BU33" s="85" t="n"/>
      <c r="BV33" s="85" t="n"/>
      <c r="BW33" s="85" t="n"/>
      <c r="BX33" s="85" t="n"/>
      <c r="BY33" s="85" t="n"/>
      <c r="BZ33" s="85" t="n"/>
      <c r="CA33" s="85" t="n"/>
      <c r="CB33" s="85" t="n"/>
      <c r="CC33" s="85" t="n"/>
      <c r="CD33" s="85" t="n"/>
      <c r="CE33" s="85" t="n"/>
      <c r="CF33" s="85" t="n"/>
      <c r="CG33" s="85" t="n"/>
      <c r="CH33" s="85" t="n"/>
      <c r="CI33" s="85" t="n"/>
      <c r="CJ33" s="85" t="n"/>
      <c r="CK33" s="85" t="n"/>
      <c r="CL33" s="85" t="n"/>
      <c r="CM33" s="85" t="n"/>
      <c r="CN33" s="85" t="n"/>
      <c r="CO33" s="85" t="n"/>
      <c r="CP33" s="85" t="n"/>
      <c r="CQ33" s="85" t="n"/>
      <c r="CR33" s="85" t="n"/>
      <c r="CS33" s="85" t="n"/>
      <c r="CT33" s="85" t="n"/>
      <c r="CU33" s="85" t="n"/>
      <c r="CV33" s="85" t="n"/>
      <c r="CW33" s="85" t="n"/>
      <c r="CX33" s="85" t="n"/>
      <c r="CY33" s="85" t="n"/>
      <c r="CZ33" s="85" t="n"/>
      <c r="DA33" s="85" t="n"/>
      <c r="DB33" s="85" t="n"/>
      <c r="DC33" s="85" t="n"/>
      <c r="DD33" s="85" t="n"/>
      <c r="DE33" s="85" t="n"/>
      <c r="DF33" s="85" t="n"/>
      <c r="DG33" s="85" t="n"/>
      <c r="DH33" s="85" t="n"/>
      <c r="DI33" s="85" t="n"/>
      <c r="DJ33" s="85" t="n"/>
      <c r="DK33" s="85" t="n"/>
      <c r="DL33" s="85" t="n"/>
      <c r="DM33" s="85" t="n"/>
      <c r="DN33" s="85" t="n"/>
      <c r="DO33" s="85" t="n"/>
      <c r="DP33" s="85" t="n"/>
      <c r="DQ33" s="85" t="n"/>
      <c r="DR33" s="85" t="n"/>
      <c r="DS33" s="85" t="n"/>
      <c r="DT33" s="85" t="n"/>
      <c r="DU33" s="85" t="n"/>
      <c r="DV33" s="85" t="n"/>
      <c r="DW33" s="85" t="n"/>
      <c r="DX33" s="85" t="n"/>
      <c r="DY33" s="85" t="n"/>
      <c r="DZ33" s="85" t="n"/>
      <c r="EA33" s="85" t="n"/>
      <c r="EB33" s="85" t="n"/>
      <c r="EC33" s="85" t="n"/>
      <c r="ED33" s="85" t="n"/>
      <c r="EE33" s="85" t="n"/>
      <c r="EF33" s="85" t="n"/>
      <c r="EG33" s="85" t="n"/>
      <c r="EH33" s="85" t="n"/>
      <c r="EI33" s="85" t="n"/>
      <c r="EJ33" s="85" t="n"/>
      <c r="EK33" s="85" t="n"/>
      <c r="EL33" s="85" t="n"/>
      <c r="EM33" s="85" t="n"/>
      <c r="EN33" s="85" t="n"/>
      <c r="EO33" s="85" t="n"/>
      <c r="EP33" s="85" t="n"/>
      <c r="EQ33" s="85" t="n"/>
      <c r="ER33" s="85" t="n"/>
      <c r="ES33" s="85" t="n"/>
      <c r="ET33" s="85" t="n"/>
      <c r="EU33" s="85" t="n"/>
      <c r="EV33" s="85" t="n"/>
      <c r="EW33" s="85" t="n"/>
      <c r="EX33" s="85" t="n"/>
      <c r="EY33" s="85" t="n"/>
      <c r="EZ33" s="85" t="n"/>
      <c r="FA33" s="85" t="n"/>
      <c r="FB33" s="85" t="n"/>
      <c r="FC33" s="85" t="n"/>
      <c r="FD33" s="85" t="n"/>
      <c r="FE33" s="85" t="n"/>
      <c r="FF33" s="85" t="n"/>
      <c r="FG33" s="85" t="n"/>
      <c r="FH33" s="85" t="n"/>
      <c r="FI33" s="85" t="n"/>
      <c r="FJ33" s="85" t="n"/>
      <c r="FK33" s="85" t="n"/>
      <c r="FL33" s="85" t="n"/>
      <c r="FM33" s="85" t="n"/>
      <c r="FN33" s="85" t="n"/>
      <c r="FO33" s="85" t="n"/>
      <c r="FP33" s="85" t="n"/>
      <c r="FQ33" s="85" t="n"/>
      <c r="FR33" s="85" t="n"/>
      <c r="FS33" s="85" t="n"/>
      <c r="FT33" s="85" t="n"/>
      <c r="FU33" s="85" t="n"/>
      <c r="FV33" s="85" t="n"/>
      <c r="FW33" s="85" t="n"/>
      <c r="FX33" s="85" t="n"/>
      <c r="FY33" s="85" t="n"/>
      <c r="FZ33" s="85" t="n"/>
      <c r="GA33" s="85" t="n"/>
      <c r="GB33" s="85" t="n"/>
      <c r="GC33" s="85" t="n"/>
      <c r="GD33" s="85" t="n"/>
      <c r="GE33" s="85" t="n"/>
      <c r="GF33" s="85" t="n"/>
      <c r="GG33" s="85" t="n"/>
      <c r="GH33" s="85" t="n"/>
      <c r="GI33" s="85" t="n"/>
      <c r="GJ33" s="85" t="n"/>
      <c r="GK33" s="85" t="n"/>
      <c r="GL33" s="85" t="n"/>
      <c r="GM33" s="85" t="n"/>
      <c r="GN33" s="85" t="n"/>
      <c r="GO33" s="85" t="n"/>
      <c r="GP33" s="85" t="n"/>
      <c r="GQ33" s="85" t="n"/>
      <c r="GR33" s="85" t="n"/>
      <c r="GS33" s="85" t="n"/>
      <c r="GT33" s="85" t="n"/>
      <c r="GU33" s="85" t="n"/>
      <c r="GV33" s="85" t="n"/>
      <c r="GW33" s="85" t="n"/>
      <c r="GX33" s="85" t="n"/>
      <c r="GY33" s="85" t="n"/>
      <c r="GZ33" s="85" t="n"/>
      <c r="HA33" s="85" t="n"/>
      <c r="HB33" s="85" t="n"/>
      <c r="HC33" s="85" t="n"/>
      <c r="HD33" s="85" t="n"/>
      <c r="HE33" s="85" t="n"/>
      <c r="HF33" s="85" t="n"/>
      <c r="HG33" s="85" t="n"/>
      <c r="HH33" s="85" t="n"/>
      <c r="HI33" s="85" t="n"/>
      <c r="HJ33" s="85" t="n"/>
      <c r="HK33" s="85" t="n"/>
      <c r="HL33" s="85" t="n"/>
      <c r="HM33" s="85" t="n"/>
      <c r="HN33" s="85" t="n"/>
      <c r="HO33" s="85" t="n"/>
      <c r="HP33" s="85" t="n"/>
      <c r="HQ33" s="85" t="n"/>
      <c r="HR33" s="85" t="n"/>
      <c r="HS33" s="85" t="n"/>
      <c r="HT33" s="85" t="n"/>
      <c r="HU33" s="85" t="n"/>
      <c r="HV33" s="85" t="n"/>
      <c r="HW33" s="85" t="n"/>
      <c r="HX33" s="85" t="n"/>
      <c r="HY33" s="85" t="n"/>
      <c r="HZ33" s="85" t="n"/>
      <c r="IA33" s="85" t="n"/>
    </row>
    <row r="34" ht="130.5" customHeight="1" s="127">
      <c r="B34" s="65" t="inlineStr">
        <is>
          <t>21014</t>
        </is>
      </c>
      <c r="C34" s="56" t="inlineStr">
        <is>
          <t>大片药圃</t>
        </is>
      </c>
      <c r="D34" s="57" t="inlineStr">
        <is>
          <t>掩藏在一处灵气充裕山谷里的大片药圃，长满了珍贵灵植。</t>
        </is>
      </c>
      <c r="E34" s="52" t="n"/>
      <c r="F34" s="106" t="inlineStr">
        <is>
          <t>91001|80|100,61001|30|40$91001|140|180</t>
        </is>
      </c>
      <c r="G34" s="52" t="inlineStr">
        <is>
          <t>5</t>
        </is>
      </c>
      <c r="H34" s="52" t="inlineStr">
        <is>
          <t>1</t>
        </is>
      </c>
      <c r="I34" s="52" t="inlineStr">
        <is>
          <t>简单搜寻</t>
        </is>
      </c>
      <c r="J34" s="52" t="inlineStr">
        <is>
          <t>彻底探索</t>
        </is>
      </c>
      <c r="K34" s="52" t="inlineStr">
        <is>
          <t>矿</t>
        </is>
      </c>
      <c r="L34" s="52" t="inlineStr">
        <is>
          <t>7</t>
        </is>
      </c>
      <c r="M34" s="52" t="inlineStr">
        <is>
          <t>还是不要贸然靠近危险，弟子在附近简单搜巡了一番，并在边缘角落发现了意外之喜</t>
        </is>
      </c>
      <c r="N34" s="52" t="n"/>
      <c r="O34" s="52" t="n"/>
      <c r="P34" s="52" t="n"/>
      <c r="Q34" s="52" t="n"/>
      <c r="R34" s="52" t="inlineStr">
        <is>
          <t>-1</t>
        </is>
      </c>
      <c r="S34" s="52" t="inlineStr">
        <is>
          <t>3</t>
        </is>
      </c>
      <c r="T34" s="52" t="n"/>
      <c r="U34" s="52" t="n"/>
      <c r="V34" s="52" t="n"/>
      <c r="W34" s="52" t="n"/>
      <c r="X34" s="52" t="inlineStr">
        <is>
          <t>img_yaopu3</t>
        </is>
      </c>
      <c r="Y34" s="52" t="inlineStr">
        <is>
          <t>[弟子]在搜寻过程中惊动了遗迹中憩息的野兽，朝众人扑了过来！|14000</t>
        </is>
      </c>
      <c r="Z34" s="56" t="n"/>
      <c r="AA34" s="65" t="n"/>
      <c r="AB34" s="65" t="n"/>
      <c r="AC34" s="65" t="n"/>
      <c r="AD34" s="65" t="n"/>
      <c r="AE34" s="65" t="n"/>
      <c r="AF34" s="65" t="n"/>
      <c r="AG34" s="65" t="n"/>
      <c r="AH34" s="65" t="n"/>
      <c r="AI34" s="65" t="n"/>
      <c r="AJ34" s="65" t="n"/>
      <c r="AK34" s="65" t="n"/>
      <c r="AL34" s="65" t="n"/>
      <c r="AM34" s="65" t="n"/>
      <c r="AN34" s="85" t="n"/>
      <c r="AO34" s="85" t="n"/>
      <c r="AP34" s="85" t="n"/>
      <c r="AQ34" s="85" t="n"/>
      <c r="AR34" s="85" t="n"/>
      <c r="AS34" s="85" t="n"/>
      <c r="AT34" s="85" t="n"/>
      <c r="AU34" s="85" t="n"/>
      <c r="AV34" s="85" t="n"/>
      <c r="AW34" s="85" t="n"/>
      <c r="AX34" s="85" t="n"/>
      <c r="AY34" s="85" t="n"/>
      <c r="AZ34" s="85" t="n"/>
      <c r="BA34" s="85" t="n"/>
      <c r="BB34" s="85" t="n"/>
      <c r="BC34" s="85" t="n"/>
      <c r="BD34" s="85" t="n"/>
      <c r="BE34" s="85" t="n"/>
      <c r="BF34" s="85" t="n"/>
      <c r="BG34" s="85" t="n"/>
      <c r="BH34" s="85" t="n"/>
      <c r="BI34" s="85" t="n"/>
      <c r="BJ34" s="85" t="n"/>
      <c r="BK34" s="85" t="n"/>
      <c r="BL34" s="85" t="n"/>
      <c r="BM34" s="85" t="n"/>
      <c r="BN34" s="85" t="n"/>
      <c r="BO34" s="85" t="n"/>
      <c r="BP34" s="85" t="n"/>
      <c r="BQ34" s="85" t="n"/>
      <c r="BR34" s="85" t="n"/>
      <c r="BS34" s="85" t="n"/>
      <c r="BT34" s="85" t="n"/>
      <c r="BU34" s="85" t="n"/>
      <c r="BV34" s="85" t="n"/>
      <c r="BW34" s="85" t="n"/>
      <c r="BX34" s="85" t="n"/>
      <c r="BY34" s="85" t="n"/>
      <c r="BZ34" s="85" t="n"/>
      <c r="CA34" s="85" t="n"/>
      <c r="CB34" s="85" t="n"/>
      <c r="CC34" s="85" t="n"/>
      <c r="CD34" s="85" t="n"/>
      <c r="CE34" s="85" t="n"/>
      <c r="CF34" s="85" t="n"/>
      <c r="CG34" s="85" t="n"/>
      <c r="CH34" s="85" t="n"/>
      <c r="CI34" s="85" t="n"/>
      <c r="CJ34" s="85" t="n"/>
      <c r="CK34" s="85" t="n"/>
      <c r="CL34" s="85" t="n"/>
      <c r="CM34" s="85" t="n"/>
      <c r="CN34" s="85" t="n"/>
      <c r="CO34" s="85" t="n"/>
      <c r="CP34" s="85" t="n"/>
      <c r="CQ34" s="85" t="n"/>
      <c r="CR34" s="85" t="n"/>
      <c r="CS34" s="85" t="n"/>
      <c r="CT34" s="85" t="n"/>
      <c r="CU34" s="85" t="n"/>
      <c r="CV34" s="85" t="n"/>
      <c r="CW34" s="85" t="n"/>
      <c r="CX34" s="85" t="n"/>
      <c r="CY34" s="85" t="n"/>
      <c r="CZ34" s="85" t="n"/>
      <c r="DA34" s="85" t="n"/>
      <c r="DB34" s="85" t="n"/>
      <c r="DC34" s="85" t="n"/>
      <c r="DD34" s="85" t="n"/>
      <c r="DE34" s="85" t="n"/>
      <c r="DF34" s="85" t="n"/>
      <c r="DG34" s="85" t="n"/>
      <c r="DH34" s="85" t="n"/>
      <c r="DI34" s="85" t="n"/>
      <c r="DJ34" s="85" t="n"/>
      <c r="DK34" s="85" t="n"/>
      <c r="DL34" s="85" t="n"/>
      <c r="DM34" s="85" t="n"/>
      <c r="DN34" s="85" t="n"/>
      <c r="DO34" s="85" t="n"/>
      <c r="DP34" s="85" t="n"/>
      <c r="DQ34" s="85" t="n"/>
      <c r="DR34" s="85" t="n"/>
      <c r="DS34" s="85" t="n"/>
      <c r="DT34" s="85" t="n"/>
      <c r="DU34" s="85" t="n"/>
      <c r="DV34" s="85" t="n"/>
      <c r="DW34" s="85" t="n"/>
      <c r="DX34" s="85" t="n"/>
      <c r="DY34" s="85" t="n"/>
      <c r="DZ34" s="85" t="n"/>
      <c r="EA34" s="85" t="n"/>
      <c r="EB34" s="85" t="n"/>
      <c r="EC34" s="85" t="n"/>
      <c r="ED34" s="85" t="n"/>
      <c r="EE34" s="85" t="n"/>
      <c r="EF34" s="85" t="n"/>
      <c r="EG34" s="85" t="n"/>
      <c r="EH34" s="85" t="n"/>
      <c r="EI34" s="85" t="n"/>
      <c r="EJ34" s="85" t="n"/>
      <c r="EK34" s="85" t="n"/>
      <c r="EL34" s="85" t="n"/>
      <c r="EM34" s="85" t="n"/>
      <c r="EN34" s="85" t="n"/>
      <c r="EO34" s="85" t="n"/>
      <c r="EP34" s="85" t="n"/>
      <c r="EQ34" s="85" t="n"/>
      <c r="ER34" s="85" t="n"/>
      <c r="ES34" s="85" t="n"/>
      <c r="ET34" s="85" t="n"/>
      <c r="EU34" s="85" t="n"/>
      <c r="EV34" s="85" t="n"/>
      <c r="EW34" s="85" t="n"/>
      <c r="EX34" s="85" t="n"/>
      <c r="EY34" s="85" t="n"/>
      <c r="EZ34" s="85" t="n"/>
      <c r="FA34" s="85" t="n"/>
      <c r="FB34" s="85" t="n"/>
      <c r="FC34" s="85" t="n"/>
      <c r="FD34" s="85" t="n"/>
      <c r="FE34" s="85" t="n"/>
      <c r="FF34" s="85" t="n"/>
      <c r="FG34" s="85" t="n"/>
      <c r="FH34" s="85" t="n"/>
      <c r="FI34" s="85" t="n"/>
      <c r="FJ34" s="85" t="n"/>
      <c r="FK34" s="85" t="n"/>
      <c r="FL34" s="85" t="n"/>
      <c r="FM34" s="85" t="n"/>
      <c r="FN34" s="85" t="n"/>
      <c r="FO34" s="85" t="n"/>
      <c r="FP34" s="85" t="n"/>
      <c r="FQ34" s="85" t="n"/>
      <c r="FR34" s="85" t="n"/>
      <c r="FS34" s="85" t="n"/>
      <c r="FT34" s="85" t="n"/>
      <c r="FU34" s="85" t="n"/>
      <c r="FV34" s="85" t="n"/>
      <c r="FW34" s="85" t="n"/>
      <c r="FX34" s="85" t="n"/>
      <c r="FY34" s="85" t="n"/>
      <c r="FZ34" s="85" t="n"/>
      <c r="GA34" s="85" t="n"/>
      <c r="GB34" s="85" t="n"/>
      <c r="GC34" s="85" t="n"/>
      <c r="GD34" s="85" t="n"/>
      <c r="GE34" s="85" t="n"/>
      <c r="GF34" s="85" t="n"/>
      <c r="GG34" s="85" t="n"/>
      <c r="GH34" s="85" t="n"/>
      <c r="GI34" s="85" t="n"/>
      <c r="GJ34" s="85" t="n"/>
      <c r="GK34" s="85" t="n"/>
      <c r="GL34" s="85" t="n"/>
      <c r="GM34" s="85" t="n"/>
      <c r="GN34" s="85" t="n"/>
      <c r="GO34" s="85" t="n"/>
      <c r="GP34" s="85" t="n"/>
      <c r="GQ34" s="85" t="n"/>
      <c r="GR34" s="85" t="n"/>
      <c r="GS34" s="85" t="n"/>
      <c r="GT34" s="85" t="n"/>
      <c r="GU34" s="85" t="n"/>
      <c r="GV34" s="85" t="n"/>
      <c r="GW34" s="85" t="n"/>
      <c r="GX34" s="85" t="n"/>
      <c r="GY34" s="85" t="n"/>
      <c r="GZ34" s="85" t="n"/>
      <c r="HA34" s="85" t="n"/>
      <c r="HB34" s="85" t="n"/>
      <c r="HC34" s="85" t="n"/>
      <c r="HD34" s="85" t="n"/>
      <c r="HE34" s="85" t="n"/>
      <c r="HF34" s="85" t="n"/>
      <c r="HG34" s="85" t="n"/>
      <c r="HH34" s="85" t="n"/>
      <c r="HI34" s="85" t="n"/>
      <c r="HJ34" s="85" t="n"/>
      <c r="HK34" s="85" t="n"/>
      <c r="HL34" s="85" t="n"/>
      <c r="HM34" s="85" t="n"/>
      <c r="HN34" s="85" t="n"/>
      <c r="HO34" s="85" t="n"/>
      <c r="HP34" s="85" t="n"/>
      <c r="HQ34" s="85" t="n"/>
      <c r="HR34" s="85" t="n"/>
      <c r="HS34" s="85" t="n"/>
      <c r="HT34" s="85" t="n"/>
      <c r="HU34" s="85" t="n"/>
      <c r="HV34" s="85" t="n"/>
      <c r="HW34" s="85" t="n"/>
      <c r="HX34" s="85" t="n"/>
      <c r="HY34" s="85" t="n"/>
      <c r="HZ34" s="85" t="n"/>
      <c r="IA34" s="85" t="n"/>
    </row>
    <row r="35" ht="130.5" customHeight="1" s="127">
      <c r="B35" s="65" t="inlineStr">
        <is>
          <t>21015</t>
        </is>
      </c>
      <c r="C35" s="124" t="inlineStr">
        <is>
          <t>仙渺森林</t>
        </is>
      </c>
      <c r="D35" s="76" t="inlineStr">
        <is>
          <t>传说有一片遍布珍木异兽的森林，隐匿在仙渺山脉中，森林外围布有结界，有缘人方可进入其中。</t>
        </is>
      </c>
      <c r="E35" s="77" t="n"/>
      <c r="F35" s="106" t="inlineStr">
        <is>
          <t>91001|100|120,61001|40|50$152001|0|1$91001|180|220</t>
        </is>
      </c>
      <c r="G35" s="52" t="inlineStr">
        <is>
          <t>5</t>
        </is>
      </c>
      <c r="H35" s="52" t="inlineStr">
        <is>
          <t>1</t>
        </is>
      </c>
      <c r="I35" s="52" t="inlineStr">
        <is>
          <t>简单搜寻</t>
        </is>
      </c>
      <c r="J35" s="52" t="inlineStr">
        <is>
          <t>彻底探索</t>
        </is>
      </c>
      <c r="K35" s="52" t="inlineStr">
        <is>
          <t>矿</t>
        </is>
      </c>
      <c r="L35" s="52" t="inlineStr">
        <is>
          <t>7</t>
        </is>
      </c>
      <c r="M35" s="52" t="inlineStr">
        <is>
          <t>还是不要贸然靠近危险，弟子在附近简单搜巡了一番，并在边缘角落发现了意外之喜</t>
        </is>
      </c>
      <c r="N35" s="52" t="n"/>
      <c r="O35" s="52" t="n"/>
      <c r="P35" s="52" t="n"/>
      <c r="Q35" s="52" t="n"/>
      <c r="R35" s="52" t="inlineStr">
        <is>
          <t>-1</t>
        </is>
      </c>
      <c r="S35" s="52" t="inlineStr">
        <is>
          <t>4</t>
        </is>
      </c>
      <c r="T35" s="52" t="n"/>
      <c r="U35" s="52" t="n"/>
      <c r="V35" s="52" t="n"/>
      <c r="W35" s="52" t="n"/>
      <c r="X35" s="52" t="inlineStr">
        <is>
          <t>img_yaopu3</t>
        </is>
      </c>
      <c r="Y35" s="52" t="inlineStr">
        <is>
          <t>此地栖息的异兽对不速之客充满敌意，朝众人扑了过来！|18000</t>
        </is>
      </c>
      <c r="Z35" s="124" t="n"/>
      <c r="AA35" s="65" t="n"/>
      <c r="AB35" s="65" t="n"/>
      <c r="AC35" s="65" t="n"/>
      <c r="AD35" s="65" t="n"/>
      <c r="AE35" s="65" t="n"/>
      <c r="AF35" s="65" t="n"/>
      <c r="AG35" s="65" t="n"/>
      <c r="AH35" s="65" t="n"/>
      <c r="AI35" s="65" t="n"/>
      <c r="AJ35" s="65" t="n"/>
      <c r="AK35" s="65" t="n"/>
      <c r="AL35" s="65" t="n"/>
      <c r="AM35" s="65" t="n"/>
      <c r="AN35" s="85" t="n"/>
      <c r="AO35" s="85" t="n"/>
      <c r="AP35" s="85" t="n"/>
      <c r="AQ35" s="85" t="n"/>
      <c r="AR35" s="85" t="n"/>
      <c r="AS35" s="85" t="n"/>
      <c r="AT35" s="85" t="n"/>
      <c r="AU35" s="85" t="n"/>
      <c r="AV35" s="85" t="n"/>
      <c r="AW35" s="85" t="n"/>
      <c r="AX35" s="85" t="n"/>
      <c r="AY35" s="85" t="n"/>
      <c r="AZ35" s="85" t="n"/>
      <c r="BA35" s="85" t="n"/>
      <c r="BB35" s="85" t="n"/>
      <c r="BC35" s="85" t="n"/>
      <c r="BD35" s="85" t="n"/>
      <c r="BE35" s="85" t="n"/>
      <c r="BF35" s="85" t="n"/>
      <c r="BG35" s="85" t="n"/>
      <c r="BH35" s="85" t="n"/>
      <c r="BI35" s="85" t="n"/>
      <c r="BJ35" s="85" t="n"/>
      <c r="BK35" s="85" t="n"/>
      <c r="BL35" s="85" t="n"/>
      <c r="BM35" s="85" t="n"/>
      <c r="BN35" s="85" t="n"/>
      <c r="BO35" s="85" t="n"/>
      <c r="BP35" s="85" t="n"/>
      <c r="BQ35" s="85" t="n"/>
      <c r="BR35" s="85" t="n"/>
      <c r="BS35" s="85" t="n"/>
      <c r="BT35" s="85" t="n"/>
      <c r="BU35" s="85" t="n"/>
      <c r="BV35" s="85" t="n"/>
      <c r="BW35" s="85" t="n"/>
      <c r="BX35" s="85" t="n"/>
      <c r="BY35" s="85" t="n"/>
      <c r="BZ35" s="85" t="n"/>
      <c r="CA35" s="85" t="n"/>
      <c r="CB35" s="85" t="n"/>
      <c r="CC35" s="85" t="n"/>
      <c r="CD35" s="85" t="n"/>
      <c r="CE35" s="85" t="n"/>
      <c r="CF35" s="85" t="n"/>
      <c r="CG35" s="85" t="n"/>
      <c r="CH35" s="85" t="n"/>
      <c r="CI35" s="85" t="n"/>
      <c r="CJ35" s="85" t="n"/>
      <c r="CK35" s="85" t="n"/>
      <c r="CL35" s="85" t="n"/>
      <c r="CM35" s="85" t="n"/>
      <c r="CN35" s="85" t="n"/>
      <c r="CO35" s="85" t="n"/>
      <c r="CP35" s="85" t="n"/>
      <c r="CQ35" s="85" t="n"/>
      <c r="CR35" s="85" t="n"/>
      <c r="CS35" s="85" t="n"/>
      <c r="CT35" s="85" t="n"/>
      <c r="CU35" s="85" t="n"/>
      <c r="CV35" s="85" t="n"/>
      <c r="CW35" s="85" t="n"/>
      <c r="CX35" s="85" t="n"/>
      <c r="CY35" s="85" t="n"/>
      <c r="CZ35" s="85" t="n"/>
      <c r="DA35" s="85" t="n"/>
      <c r="DB35" s="85" t="n"/>
      <c r="DC35" s="85" t="n"/>
      <c r="DD35" s="85" t="n"/>
      <c r="DE35" s="85" t="n"/>
      <c r="DF35" s="85" t="n"/>
      <c r="DG35" s="85" t="n"/>
      <c r="DH35" s="85" t="n"/>
      <c r="DI35" s="85" t="n"/>
      <c r="DJ35" s="85" t="n"/>
      <c r="DK35" s="85" t="n"/>
      <c r="DL35" s="85" t="n"/>
      <c r="DM35" s="85" t="n"/>
      <c r="DN35" s="85" t="n"/>
      <c r="DO35" s="85" t="n"/>
      <c r="DP35" s="85" t="n"/>
      <c r="DQ35" s="85" t="n"/>
      <c r="DR35" s="85" t="n"/>
      <c r="DS35" s="85" t="n"/>
      <c r="DT35" s="85" t="n"/>
      <c r="DU35" s="85" t="n"/>
      <c r="DV35" s="85" t="n"/>
      <c r="DW35" s="85" t="n"/>
      <c r="DX35" s="85" t="n"/>
      <c r="DY35" s="85" t="n"/>
      <c r="DZ35" s="85" t="n"/>
      <c r="EA35" s="85" t="n"/>
      <c r="EB35" s="85" t="n"/>
      <c r="EC35" s="85" t="n"/>
      <c r="ED35" s="85" t="n"/>
      <c r="EE35" s="85" t="n"/>
      <c r="EF35" s="85" t="n"/>
      <c r="EG35" s="85" t="n"/>
      <c r="EH35" s="85" t="n"/>
      <c r="EI35" s="85" t="n"/>
      <c r="EJ35" s="85" t="n"/>
      <c r="EK35" s="85" t="n"/>
      <c r="EL35" s="85" t="n"/>
      <c r="EM35" s="85" t="n"/>
      <c r="EN35" s="85" t="n"/>
      <c r="EO35" s="85" t="n"/>
      <c r="EP35" s="85" t="n"/>
      <c r="EQ35" s="85" t="n"/>
      <c r="ER35" s="85" t="n"/>
      <c r="ES35" s="85" t="n"/>
      <c r="ET35" s="85" t="n"/>
      <c r="EU35" s="85" t="n"/>
      <c r="EV35" s="85" t="n"/>
      <c r="EW35" s="85" t="n"/>
      <c r="EX35" s="85" t="n"/>
      <c r="EY35" s="85" t="n"/>
      <c r="EZ35" s="85" t="n"/>
      <c r="FA35" s="85" t="n"/>
      <c r="FB35" s="85" t="n"/>
      <c r="FC35" s="85" t="n"/>
      <c r="FD35" s="85" t="n"/>
      <c r="FE35" s="85" t="n"/>
      <c r="FF35" s="85" t="n"/>
      <c r="FG35" s="85" t="n"/>
      <c r="FH35" s="85" t="n"/>
      <c r="FI35" s="85" t="n"/>
      <c r="FJ35" s="85" t="n"/>
      <c r="FK35" s="85" t="n"/>
      <c r="FL35" s="85" t="n"/>
      <c r="FM35" s="85" t="n"/>
      <c r="FN35" s="85" t="n"/>
      <c r="FO35" s="85" t="n"/>
      <c r="FP35" s="85" t="n"/>
      <c r="FQ35" s="85" t="n"/>
      <c r="FR35" s="85" t="n"/>
      <c r="FS35" s="85" t="n"/>
      <c r="FT35" s="85" t="n"/>
      <c r="FU35" s="85" t="n"/>
      <c r="FV35" s="85" t="n"/>
      <c r="FW35" s="85" t="n"/>
      <c r="FX35" s="85" t="n"/>
      <c r="FY35" s="85" t="n"/>
      <c r="FZ35" s="85" t="n"/>
      <c r="GA35" s="85" t="n"/>
      <c r="GB35" s="85" t="n"/>
      <c r="GC35" s="85" t="n"/>
      <c r="GD35" s="85" t="n"/>
      <c r="GE35" s="85" t="n"/>
      <c r="GF35" s="85" t="n"/>
      <c r="GG35" s="85" t="n"/>
      <c r="GH35" s="85" t="n"/>
      <c r="GI35" s="85" t="n"/>
      <c r="GJ35" s="85" t="n"/>
      <c r="GK35" s="85" t="n"/>
      <c r="GL35" s="85" t="n"/>
      <c r="GM35" s="85" t="n"/>
      <c r="GN35" s="85" t="n"/>
      <c r="GO35" s="85" t="n"/>
      <c r="GP35" s="85" t="n"/>
      <c r="GQ35" s="85" t="n"/>
      <c r="GR35" s="85" t="n"/>
      <c r="GS35" s="85" t="n"/>
      <c r="GT35" s="85" t="n"/>
      <c r="GU35" s="85" t="n"/>
      <c r="GV35" s="85" t="n"/>
      <c r="GW35" s="85" t="n"/>
      <c r="GX35" s="85" t="n"/>
      <c r="GY35" s="85" t="n"/>
      <c r="GZ35" s="85" t="n"/>
      <c r="HA35" s="85" t="n"/>
      <c r="HB35" s="85" t="n"/>
      <c r="HC35" s="85" t="n"/>
      <c r="HD35" s="85" t="n"/>
      <c r="HE35" s="85" t="n"/>
      <c r="HF35" s="85" t="n"/>
      <c r="HG35" s="85" t="n"/>
      <c r="HH35" s="85" t="n"/>
      <c r="HI35" s="85" t="n"/>
      <c r="HJ35" s="85" t="n"/>
      <c r="HK35" s="85" t="n"/>
      <c r="HL35" s="85" t="n"/>
      <c r="HM35" s="85" t="n"/>
      <c r="HN35" s="85" t="n"/>
      <c r="HO35" s="85" t="n"/>
      <c r="HP35" s="85" t="n"/>
      <c r="HQ35" s="85" t="n"/>
      <c r="HR35" s="85" t="n"/>
      <c r="HS35" s="85" t="n"/>
      <c r="HT35" s="85" t="n"/>
      <c r="HU35" s="85" t="n"/>
      <c r="HV35" s="85" t="n"/>
      <c r="HW35" s="85" t="n"/>
      <c r="HX35" s="85" t="n"/>
      <c r="HY35" s="85" t="n"/>
      <c r="HZ35" s="85" t="n"/>
      <c r="IA35" s="85" t="n"/>
    </row>
    <row r="36" ht="130.5" customHeight="1" s="127">
      <c r="B36" s="65" t="inlineStr">
        <is>
          <t>21016</t>
        </is>
      </c>
      <c r="C36" s="124" t="inlineStr">
        <is>
          <t>药王灵域</t>
        </is>
      </c>
      <c r="D36" s="76" t="inlineStr">
        <is>
          <t>据说是某位早已消失的药王大能培育灵植的药田，后流落至凡境，内里遍布奇花异草，无数散修无不想入内一探。</t>
        </is>
      </c>
      <c r="E36" s="77" t="n"/>
      <c r="F36" s="106" t="inlineStr">
        <is>
          <t>91001|120|140,61001|50|60$152001|0|1$91001|220|260</t>
        </is>
      </c>
      <c r="G36" s="52" t="inlineStr">
        <is>
          <t>5</t>
        </is>
      </c>
      <c r="H36" s="52" t="inlineStr">
        <is>
          <t>1</t>
        </is>
      </c>
      <c r="I36" s="52" t="inlineStr">
        <is>
          <t>简单搜寻</t>
        </is>
      </c>
      <c r="J36" s="52" t="inlineStr">
        <is>
          <t>彻底探索</t>
        </is>
      </c>
      <c r="K36" s="52" t="inlineStr">
        <is>
          <t>矿</t>
        </is>
      </c>
      <c r="L36" s="52" t="inlineStr">
        <is>
          <t>7</t>
        </is>
      </c>
      <c r="M36" s="52" t="inlineStr">
        <is>
          <t>还是不要贸然靠近危险，弟子在附近简单搜巡了一番，并在边缘角落发现了意外之喜</t>
        </is>
      </c>
      <c r="N36" s="52" t="n"/>
      <c r="O36" s="52" t="n"/>
      <c r="P36" s="52" t="n"/>
      <c r="Q36" s="52" t="n"/>
      <c r="R36" s="52" t="inlineStr">
        <is>
          <t>-1</t>
        </is>
      </c>
      <c r="S36" s="52" t="inlineStr">
        <is>
          <t>5</t>
        </is>
      </c>
      <c r="T36" s="52" t="n"/>
      <c r="U36" s="52" t="n"/>
      <c r="V36" s="52" t="n"/>
      <c r="W36" s="52" t="n"/>
      <c r="X36" s="52" t="inlineStr">
        <is>
          <t>img_yaopu3</t>
        </is>
      </c>
      <c r="Y36" s="52" t="inlineStr">
        <is>
          <t>药王十分反感有人闯入禁地，朝众人发动攻击！|22000</t>
        </is>
      </c>
      <c r="Z36" s="124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65" t="n"/>
      <c r="AM36" s="65" t="n"/>
      <c r="AN36" s="85" t="n"/>
      <c r="AO36" s="85" t="n"/>
      <c r="AP36" s="85" t="n"/>
      <c r="AQ36" s="85" t="n"/>
      <c r="AR36" s="85" t="n"/>
      <c r="AS36" s="85" t="n"/>
      <c r="AT36" s="85" t="n"/>
      <c r="AU36" s="85" t="n"/>
      <c r="AV36" s="85" t="n"/>
      <c r="AW36" s="85" t="n"/>
      <c r="AX36" s="85" t="n"/>
      <c r="AY36" s="85" t="n"/>
      <c r="AZ36" s="85" t="n"/>
      <c r="BA36" s="85" t="n"/>
      <c r="BB36" s="85" t="n"/>
      <c r="BC36" s="85" t="n"/>
      <c r="BD36" s="85" t="n"/>
      <c r="BE36" s="85" t="n"/>
      <c r="BF36" s="85" t="n"/>
      <c r="BG36" s="85" t="n"/>
      <c r="BH36" s="85" t="n"/>
      <c r="BI36" s="85" t="n"/>
      <c r="BJ36" s="85" t="n"/>
      <c r="BK36" s="85" t="n"/>
      <c r="BL36" s="85" t="n"/>
      <c r="BM36" s="85" t="n"/>
      <c r="BN36" s="85" t="n"/>
      <c r="BO36" s="85" t="n"/>
      <c r="BP36" s="85" t="n"/>
      <c r="BQ36" s="85" t="n"/>
      <c r="BR36" s="85" t="n"/>
      <c r="BS36" s="85" t="n"/>
      <c r="BT36" s="85" t="n"/>
      <c r="BU36" s="85" t="n"/>
      <c r="BV36" s="85" t="n"/>
      <c r="BW36" s="85" t="n"/>
      <c r="BX36" s="85" t="n"/>
      <c r="BY36" s="85" t="n"/>
      <c r="BZ36" s="85" t="n"/>
      <c r="CA36" s="85" t="n"/>
      <c r="CB36" s="85" t="n"/>
      <c r="CC36" s="85" t="n"/>
      <c r="CD36" s="85" t="n"/>
      <c r="CE36" s="85" t="n"/>
      <c r="CF36" s="85" t="n"/>
      <c r="CG36" s="85" t="n"/>
      <c r="CH36" s="85" t="n"/>
      <c r="CI36" s="85" t="n"/>
      <c r="CJ36" s="85" t="n"/>
      <c r="CK36" s="85" t="n"/>
      <c r="CL36" s="85" t="n"/>
      <c r="CM36" s="85" t="n"/>
      <c r="CN36" s="85" t="n"/>
      <c r="CO36" s="85" t="n"/>
      <c r="CP36" s="85" t="n"/>
      <c r="CQ36" s="85" t="n"/>
      <c r="CR36" s="85" t="n"/>
      <c r="CS36" s="85" t="n"/>
      <c r="CT36" s="85" t="n"/>
      <c r="CU36" s="85" t="n"/>
      <c r="CV36" s="85" t="n"/>
      <c r="CW36" s="85" t="n"/>
      <c r="CX36" s="85" t="n"/>
      <c r="CY36" s="85" t="n"/>
      <c r="CZ36" s="85" t="n"/>
      <c r="DA36" s="85" t="n"/>
      <c r="DB36" s="85" t="n"/>
      <c r="DC36" s="85" t="n"/>
      <c r="DD36" s="85" t="n"/>
      <c r="DE36" s="85" t="n"/>
      <c r="DF36" s="85" t="n"/>
      <c r="DG36" s="85" t="n"/>
      <c r="DH36" s="85" t="n"/>
      <c r="DI36" s="85" t="n"/>
      <c r="DJ36" s="85" t="n"/>
      <c r="DK36" s="85" t="n"/>
      <c r="DL36" s="85" t="n"/>
      <c r="DM36" s="85" t="n"/>
      <c r="DN36" s="85" t="n"/>
      <c r="DO36" s="85" t="n"/>
      <c r="DP36" s="85" t="n"/>
      <c r="DQ36" s="85" t="n"/>
      <c r="DR36" s="85" t="n"/>
      <c r="DS36" s="85" t="n"/>
      <c r="DT36" s="85" t="n"/>
      <c r="DU36" s="85" t="n"/>
      <c r="DV36" s="85" t="n"/>
      <c r="DW36" s="85" t="n"/>
      <c r="DX36" s="85" t="n"/>
      <c r="DY36" s="85" t="n"/>
      <c r="DZ36" s="85" t="n"/>
      <c r="EA36" s="85" t="n"/>
      <c r="EB36" s="85" t="n"/>
      <c r="EC36" s="85" t="n"/>
      <c r="ED36" s="85" t="n"/>
      <c r="EE36" s="85" t="n"/>
      <c r="EF36" s="85" t="n"/>
      <c r="EG36" s="85" t="n"/>
      <c r="EH36" s="85" t="n"/>
      <c r="EI36" s="85" t="n"/>
      <c r="EJ36" s="85" t="n"/>
      <c r="EK36" s="85" t="n"/>
      <c r="EL36" s="85" t="n"/>
      <c r="EM36" s="85" t="n"/>
      <c r="EN36" s="85" t="n"/>
      <c r="EO36" s="85" t="n"/>
      <c r="EP36" s="85" t="n"/>
      <c r="EQ36" s="85" t="n"/>
      <c r="ER36" s="85" t="n"/>
      <c r="ES36" s="85" t="n"/>
      <c r="ET36" s="85" t="n"/>
      <c r="EU36" s="85" t="n"/>
      <c r="EV36" s="85" t="n"/>
      <c r="EW36" s="85" t="n"/>
      <c r="EX36" s="85" t="n"/>
      <c r="EY36" s="85" t="n"/>
      <c r="EZ36" s="85" t="n"/>
      <c r="FA36" s="85" t="n"/>
      <c r="FB36" s="85" t="n"/>
      <c r="FC36" s="85" t="n"/>
      <c r="FD36" s="85" t="n"/>
      <c r="FE36" s="85" t="n"/>
      <c r="FF36" s="85" t="n"/>
      <c r="FG36" s="85" t="n"/>
      <c r="FH36" s="85" t="n"/>
      <c r="FI36" s="85" t="n"/>
      <c r="FJ36" s="85" t="n"/>
      <c r="FK36" s="85" t="n"/>
      <c r="FL36" s="85" t="n"/>
      <c r="FM36" s="85" t="n"/>
      <c r="FN36" s="85" t="n"/>
      <c r="FO36" s="85" t="n"/>
      <c r="FP36" s="85" t="n"/>
      <c r="FQ36" s="85" t="n"/>
      <c r="FR36" s="85" t="n"/>
      <c r="FS36" s="85" t="n"/>
      <c r="FT36" s="85" t="n"/>
      <c r="FU36" s="85" t="n"/>
      <c r="FV36" s="85" t="n"/>
      <c r="FW36" s="85" t="n"/>
      <c r="FX36" s="85" t="n"/>
      <c r="FY36" s="85" t="n"/>
      <c r="FZ36" s="85" t="n"/>
      <c r="GA36" s="85" t="n"/>
      <c r="GB36" s="85" t="n"/>
      <c r="GC36" s="85" t="n"/>
      <c r="GD36" s="85" t="n"/>
      <c r="GE36" s="85" t="n"/>
      <c r="GF36" s="85" t="n"/>
      <c r="GG36" s="85" t="n"/>
      <c r="GH36" s="85" t="n"/>
      <c r="GI36" s="85" t="n"/>
      <c r="GJ36" s="85" t="n"/>
      <c r="GK36" s="85" t="n"/>
      <c r="GL36" s="85" t="n"/>
      <c r="GM36" s="85" t="n"/>
      <c r="GN36" s="85" t="n"/>
      <c r="GO36" s="85" t="n"/>
      <c r="GP36" s="85" t="n"/>
      <c r="GQ36" s="85" t="n"/>
      <c r="GR36" s="85" t="n"/>
      <c r="GS36" s="85" t="n"/>
      <c r="GT36" s="85" t="n"/>
      <c r="GU36" s="85" t="n"/>
      <c r="GV36" s="85" t="n"/>
      <c r="GW36" s="85" t="n"/>
      <c r="GX36" s="85" t="n"/>
      <c r="GY36" s="85" t="n"/>
      <c r="GZ36" s="85" t="n"/>
      <c r="HA36" s="85" t="n"/>
      <c r="HB36" s="85" t="n"/>
      <c r="HC36" s="85" t="n"/>
      <c r="HD36" s="85" t="n"/>
      <c r="HE36" s="85" t="n"/>
      <c r="HF36" s="85" t="n"/>
      <c r="HG36" s="85" t="n"/>
      <c r="HH36" s="85" t="n"/>
      <c r="HI36" s="85" t="n"/>
      <c r="HJ36" s="85" t="n"/>
      <c r="HK36" s="85" t="n"/>
      <c r="HL36" s="85" t="n"/>
      <c r="HM36" s="85" t="n"/>
      <c r="HN36" s="85" t="n"/>
      <c r="HO36" s="85" t="n"/>
      <c r="HP36" s="85" t="n"/>
      <c r="HQ36" s="85" t="n"/>
      <c r="HR36" s="85" t="n"/>
      <c r="HS36" s="85" t="n"/>
      <c r="HT36" s="85" t="n"/>
      <c r="HU36" s="85" t="n"/>
      <c r="HV36" s="85" t="n"/>
      <c r="HW36" s="85" t="n"/>
      <c r="HX36" s="85" t="n"/>
      <c r="HY36" s="85" t="n"/>
      <c r="HZ36" s="85" t="n"/>
      <c r="IA36" s="85" t="n"/>
    </row>
    <row r="37" ht="130.5" customHeight="1" s="127">
      <c r="B37" s="65" t="inlineStr">
        <is>
          <t>21017</t>
        </is>
      </c>
      <c r="C37" s="59" t="inlineStr">
        <is>
          <t>灵罗盘</t>
        </is>
      </c>
      <c r="D37" s="60" t="inlineStr">
        <is>
          <t>灵罗盘内嵌寻灵阵法，它将为你揭示方圆10里的探索点</t>
        </is>
      </c>
      <c r="E37" s="61" t="n"/>
      <c r="F37" s="61" t="inlineStr">
        <is>
          <t>1</t>
        </is>
      </c>
      <c r="G37" s="61" t="inlineStr">
        <is>
          <t>8</t>
        </is>
      </c>
      <c r="H37" s="61" t="inlineStr">
        <is>
          <t>1</t>
        </is>
      </c>
      <c r="I37" s="61" t="inlineStr">
        <is>
          <t>揭示</t>
        </is>
      </c>
      <c r="J37" s="61" t="inlineStr">
        <is>
          <t>无视它</t>
        </is>
      </c>
      <c r="K37" s="61" t="inlineStr">
        <is>
          <t>矿</t>
        </is>
      </c>
      <c r="L37" s="61" t="inlineStr">
        <is>
          <t>7</t>
        </is>
      </c>
      <c r="M37" s="61" t="n"/>
      <c r="N37" s="61" t="n"/>
      <c r="O37" s="61" t="n"/>
      <c r="P37" s="61" t="n"/>
      <c r="Q37" s="61" t="n"/>
      <c r="R37" s="61" t="inlineStr">
        <is>
          <t>-1</t>
        </is>
      </c>
      <c r="S37" s="61" t="n"/>
      <c r="T37" s="61" t="n"/>
      <c r="U37" s="61" t="n"/>
      <c r="V37" s="61" t="n"/>
      <c r="W37" s="61" t="n"/>
      <c r="X37" s="61" t="inlineStr">
        <is>
          <t>img_luopanxiao</t>
        </is>
      </c>
      <c r="Y37" s="61" t="n"/>
      <c r="Z37" s="59" t="n"/>
      <c r="AA37" s="65" t="n"/>
      <c r="AB37" s="65" t="n"/>
      <c r="AC37" s="65" t="n"/>
      <c r="AD37" s="65" t="n"/>
      <c r="AE37" s="65" t="n"/>
      <c r="AF37" s="65" t="n"/>
      <c r="AG37" s="65" t="n"/>
      <c r="AH37" s="65" t="n"/>
      <c r="AI37" s="65" t="n"/>
      <c r="AJ37" s="65" t="n"/>
      <c r="AK37" s="65" t="n"/>
      <c r="AL37" s="65" t="n"/>
      <c r="AM37" s="65" t="n"/>
      <c r="AN37" s="85" t="n"/>
      <c r="AO37" s="85" t="n"/>
      <c r="AP37" s="85" t="n"/>
      <c r="AQ37" s="85" t="n"/>
      <c r="AR37" s="85" t="n"/>
      <c r="AS37" s="85" t="n"/>
      <c r="AT37" s="85" t="n"/>
      <c r="AU37" s="85" t="n"/>
      <c r="AV37" s="85" t="n"/>
      <c r="AW37" s="85" t="n"/>
      <c r="AX37" s="85" t="n"/>
      <c r="AY37" s="85" t="n"/>
      <c r="AZ37" s="85" t="n"/>
      <c r="BA37" s="85" t="n"/>
      <c r="BB37" s="85" t="n"/>
      <c r="BC37" s="85" t="n"/>
      <c r="BD37" s="85" t="n"/>
      <c r="BE37" s="85" t="n"/>
      <c r="BF37" s="85" t="n"/>
      <c r="BG37" s="85" t="n"/>
      <c r="BH37" s="85" t="n"/>
      <c r="BI37" s="85" t="n"/>
      <c r="BJ37" s="85" t="n"/>
      <c r="BK37" s="85" t="n"/>
      <c r="BL37" s="85" t="n"/>
      <c r="BM37" s="85" t="n"/>
      <c r="BN37" s="85" t="n"/>
      <c r="BO37" s="85" t="n"/>
      <c r="BP37" s="85" t="n"/>
      <c r="BQ37" s="85" t="n"/>
      <c r="BR37" s="85" t="n"/>
      <c r="BS37" s="85" t="n"/>
      <c r="BT37" s="85" t="n"/>
      <c r="BU37" s="85" t="n"/>
      <c r="BV37" s="85" t="n"/>
      <c r="BW37" s="85" t="n"/>
      <c r="BX37" s="85" t="n"/>
      <c r="BY37" s="85" t="n"/>
      <c r="BZ37" s="85" t="n"/>
      <c r="CA37" s="85" t="n"/>
      <c r="CB37" s="85" t="n"/>
      <c r="CC37" s="85" t="n"/>
      <c r="CD37" s="85" t="n"/>
      <c r="CE37" s="85" t="n"/>
      <c r="CF37" s="85" t="n"/>
      <c r="CG37" s="85" t="n"/>
      <c r="CH37" s="85" t="n"/>
      <c r="CI37" s="85" t="n"/>
      <c r="CJ37" s="85" t="n"/>
      <c r="CK37" s="85" t="n"/>
      <c r="CL37" s="85" t="n"/>
      <c r="CM37" s="85" t="n"/>
      <c r="CN37" s="85" t="n"/>
      <c r="CO37" s="85" t="n"/>
      <c r="CP37" s="85" t="n"/>
      <c r="CQ37" s="85" t="n"/>
      <c r="CR37" s="85" t="n"/>
      <c r="CS37" s="85" t="n"/>
      <c r="CT37" s="85" t="n"/>
      <c r="CU37" s="85" t="n"/>
      <c r="CV37" s="85" t="n"/>
      <c r="CW37" s="85" t="n"/>
      <c r="CX37" s="85" t="n"/>
      <c r="CY37" s="85" t="n"/>
      <c r="CZ37" s="85" t="n"/>
      <c r="DA37" s="85" t="n"/>
      <c r="DB37" s="85" t="n"/>
      <c r="DC37" s="85" t="n"/>
      <c r="DD37" s="85" t="n"/>
      <c r="DE37" s="85" t="n"/>
      <c r="DF37" s="85" t="n"/>
      <c r="DG37" s="85" t="n"/>
      <c r="DH37" s="85" t="n"/>
      <c r="DI37" s="85" t="n"/>
      <c r="DJ37" s="85" t="n"/>
      <c r="DK37" s="85" t="n"/>
      <c r="DL37" s="85" t="n"/>
      <c r="DM37" s="85" t="n"/>
      <c r="DN37" s="85" t="n"/>
      <c r="DO37" s="85" t="n"/>
      <c r="DP37" s="85" t="n"/>
      <c r="DQ37" s="85" t="n"/>
      <c r="DR37" s="85" t="n"/>
      <c r="DS37" s="85" t="n"/>
      <c r="DT37" s="85" t="n"/>
      <c r="DU37" s="85" t="n"/>
      <c r="DV37" s="85" t="n"/>
      <c r="DW37" s="85" t="n"/>
      <c r="DX37" s="85" t="n"/>
      <c r="DY37" s="85" t="n"/>
      <c r="DZ37" s="85" t="n"/>
      <c r="EA37" s="85" t="n"/>
      <c r="EB37" s="85" t="n"/>
      <c r="EC37" s="85" t="n"/>
      <c r="ED37" s="85" t="n"/>
      <c r="EE37" s="85" t="n"/>
      <c r="EF37" s="85" t="n"/>
      <c r="EG37" s="85" t="n"/>
      <c r="EH37" s="85" t="n"/>
      <c r="EI37" s="85" t="n"/>
      <c r="EJ37" s="85" t="n"/>
      <c r="EK37" s="85" t="n"/>
      <c r="EL37" s="85" t="n"/>
      <c r="EM37" s="85" t="n"/>
      <c r="EN37" s="85" t="n"/>
      <c r="EO37" s="85" t="n"/>
      <c r="EP37" s="85" t="n"/>
      <c r="EQ37" s="85" t="n"/>
      <c r="ER37" s="85" t="n"/>
      <c r="ES37" s="85" t="n"/>
      <c r="ET37" s="85" t="n"/>
      <c r="EU37" s="85" t="n"/>
      <c r="EV37" s="85" t="n"/>
      <c r="EW37" s="85" t="n"/>
      <c r="EX37" s="85" t="n"/>
      <c r="EY37" s="85" t="n"/>
      <c r="EZ37" s="85" t="n"/>
      <c r="FA37" s="85" t="n"/>
      <c r="FB37" s="85" t="n"/>
      <c r="FC37" s="85" t="n"/>
      <c r="FD37" s="85" t="n"/>
      <c r="FE37" s="85" t="n"/>
      <c r="FF37" s="85" t="n"/>
      <c r="FG37" s="85" t="n"/>
      <c r="FH37" s="85" t="n"/>
      <c r="FI37" s="85" t="n"/>
      <c r="FJ37" s="85" t="n"/>
      <c r="FK37" s="85" t="n"/>
      <c r="FL37" s="85" t="n"/>
      <c r="FM37" s="85" t="n"/>
      <c r="FN37" s="85" t="n"/>
      <c r="FO37" s="85" t="n"/>
      <c r="FP37" s="85" t="n"/>
      <c r="FQ37" s="85" t="n"/>
      <c r="FR37" s="85" t="n"/>
      <c r="FS37" s="85" t="n"/>
      <c r="FT37" s="85" t="n"/>
      <c r="FU37" s="85" t="n"/>
      <c r="FV37" s="85" t="n"/>
      <c r="FW37" s="85" t="n"/>
      <c r="FX37" s="85" t="n"/>
      <c r="FY37" s="85" t="n"/>
      <c r="FZ37" s="85" t="n"/>
      <c r="GA37" s="85" t="n"/>
      <c r="GB37" s="85" t="n"/>
      <c r="GC37" s="85" t="n"/>
      <c r="GD37" s="85" t="n"/>
      <c r="GE37" s="85" t="n"/>
      <c r="GF37" s="85" t="n"/>
      <c r="GG37" s="85" t="n"/>
      <c r="GH37" s="85" t="n"/>
      <c r="GI37" s="85" t="n"/>
      <c r="GJ37" s="85" t="n"/>
      <c r="GK37" s="85" t="n"/>
      <c r="GL37" s="85" t="n"/>
      <c r="GM37" s="85" t="n"/>
      <c r="GN37" s="85" t="n"/>
      <c r="GO37" s="85" t="n"/>
      <c r="GP37" s="85" t="n"/>
      <c r="GQ37" s="85" t="n"/>
      <c r="GR37" s="85" t="n"/>
      <c r="GS37" s="85" t="n"/>
      <c r="GT37" s="85" t="n"/>
      <c r="GU37" s="85" t="n"/>
      <c r="GV37" s="85" t="n"/>
      <c r="GW37" s="85" t="n"/>
      <c r="GX37" s="85" t="n"/>
      <c r="GY37" s="85" t="n"/>
      <c r="GZ37" s="85" t="n"/>
      <c r="HA37" s="85" t="n"/>
      <c r="HB37" s="85" t="n"/>
      <c r="HC37" s="85" t="n"/>
      <c r="HD37" s="85" t="n"/>
      <c r="HE37" s="85" t="n"/>
      <c r="HF37" s="85" t="n"/>
      <c r="HG37" s="85" t="n"/>
      <c r="HH37" s="85" t="n"/>
      <c r="HI37" s="85" t="n"/>
      <c r="HJ37" s="85" t="n"/>
      <c r="HK37" s="85" t="n"/>
      <c r="HL37" s="85" t="n"/>
      <c r="HM37" s="85" t="n"/>
      <c r="HN37" s="85" t="n"/>
      <c r="HO37" s="85" t="n"/>
      <c r="HP37" s="85" t="n"/>
      <c r="HQ37" s="85" t="n"/>
      <c r="HR37" s="85" t="n"/>
      <c r="HS37" s="85" t="n"/>
      <c r="HT37" s="85" t="n"/>
      <c r="HU37" s="85" t="n"/>
      <c r="HV37" s="85" t="n"/>
      <c r="HW37" s="85" t="n"/>
      <c r="HX37" s="85" t="n"/>
      <c r="HY37" s="85" t="n"/>
      <c r="HZ37" s="85" t="n"/>
      <c r="IA37" s="85" t="n"/>
    </row>
    <row r="38" ht="130.5" customHeight="1" s="127">
      <c r="B38" s="65" t="inlineStr">
        <is>
          <t>21018</t>
        </is>
      </c>
      <c r="C38" s="59" t="inlineStr">
        <is>
          <t>灵罗盘(大）</t>
        </is>
      </c>
      <c r="D38" s="60" t="inlineStr">
        <is>
          <t>灵罗盘内嵌寻灵阵法，它将为你揭示方圆10里的探索点</t>
        </is>
      </c>
      <c r="E38" s="61" t="n"/>
      <c r="F38" s="61" t="inlineStr">
        <is>
          <t>2</t>
        </is>
      </c>
      <c r="G38" s="61" t="inlineStr">
        <is>
          <t>8</t>
        </is>
      </c>
      <c r="H38" s="61" t="inlineStr">
        <is>
          <t>1</t>
        </is>
      </c>
      <c r="I38" s="61" t="inlineStr">
        <is>
          <t>揭示</t>
        </is>
      </c>
      <c r="J38" s="61" t="inlineStr">
        <is>
          <t>无视它</t>
        </is>
      </c>
      <c r="K38" s="61" t="inlineStr">
        <is>
          <t>矿</t>
        </is>
      </c>
      <c r="L38" s="61" t="inlineStr">
        <is>
          <t>7</t>
        </is>
      </c>
      <c r="M38" s="61" t="n"/>
      <c r="N38" s="61" t="n"/>
      <c r="O38" s="61" t="n"/>
      <c r="P38" s="61" t="n"/>
      <c r="Q38" s="61" t="n"/>
      <c r="R38" s="61" t="inlineStr">
        <is>
          <t>-1</t>
        </is>
      </c>
      <c r="S38" s="61" t="n"/>
      <c r="T38" s="61" t="n"/>
      <c r="U38" s="61" t="n"/>
      <c r="V38" s="61" t="n"/>
      <c r="W38" s="61" t="n"/>
      <c r="X38" s="61" t="inlineStr">
        <is>
          <t>img_luopanda</t>
        </is>
      </c>
      <c r="Y38" s="61" t="n"/>
      <c r="Z38" s="59" t="n"/>
      <c r="AA38" s="65" t="n"/>
      <c r="AB38" s="65" t="n"/>
      <c r="AC38" s="65" t="n"/>
      <c r="AD38" s="65" t="n"/>
      <c r="AE38" s="65" t="n"/>
      <c r="AF38" s="65" t="n"/>
      <c r="AG38" s="65" t="n"/>
      <c r="AH38" s="65" t="n"/>
      <c r="AI38" s="65" t="n"/>
      <c r="AJ38" s="65" t="n"/>
      <c r="AK38" s="65" t="n"/>
      <c r="AL38" s="65" t="n"/>
      <c r="AM38" s="65" t="n"/>
      <c r="AN38" s="85" t="n"/>
      <c r="AO38" s="85" t="n"/>
      <c r="AP38" s="85" t="n"/>
      <c r="AQ38" s="85" t="n"/>
      <c r="AR38" s="85" t="n"/>
      <c r="AS38" s="85" t="n"/>
      <c r="AT38" s="85" t="n"/>
      <c r="AU38" s="85" t="n"/>
      <c r="AV38" s="85" t="n"/>
      <c r="AW38" s="85" t="n"/>
      <c r="AX38" s="85" t="n"/>
      <c r="AY38" s="85" t="n"/>
      <c r="AZ38" s="85" t="n"/>
      <c r="BA38" s="85" t="n"/>
      <c r="BB38" s="85" t="n"/>
      <c r="BC38" s="85" t="n"/>
      <c r="BD38" s="85" t="n"/>
      <c r="BE38" s="85" t="n"/>
      <c r="BF38" s="85" t="n"/>
      <c r="BG38" s="85" t="n"/>
      <c r="BH38" s="85" t="n"/>
      <c r="BI38" s="85" t="n"/>
      <c r="BJ38" s="85" t="n"/>
      <c r="BK38" s="85" t="n"/>
      <c r="BL38" s="85" t="n"/>
      <c r="BM38" s="85" t="n"/>
      <c r="BN38" s="85" t="n"/>
      <c r="BO38" s="85" t="n"/>
      <c r="BP38" s="85" t="n"/>
      <c r="BQ38" s="85" t="n"/>
      <c r="BR38" s="85" t="n"/>
      <c r="BS38" s="85" t="n"/>
      <c r="BT38" s="85" t="n"/>
      <c r="BU38" s="85" t="n"/>
      <c r="BV38" s="85" t="n"/>
      <c r="BW38" s="85" t="n"/>
      <c r="BX38" s="85" t="n"/>
      <c r="BY38" s="85" t="n"/>
      <c r="BZ38" s="85" t="n"/>
      <c r="CA38" s="85" t="n"/>
      <c r="CB38" s="85" t="n"/>
      <c r="CC38" s="85" t="n"/>
      <c r="CD38" s="85" t="n"/>
      <c r="CE38" s="85" t="n"/>
      <c r="CF38" s="85" t="n"/>
      <c r="CG38" s="85" t="n"/>
      <c r="CH38" s="85" t="n"/>
      <c r="CI38" s="85" t="n"/>
      <c r="CJ38" s="85" t="n"/>
      <c r="CK38" s="85" t="n"/>
      <c r="CL38" s="85" t="n"/>
      <c r="CM38" s="85" t="n"/>
      <c r="CN38" s="85" t="n"/>
      <c r="CO38" s="85" t="n"/>
      <c r="CP38" s="85" t="n"/>
      <c r="CQ38" s="85" t="n"/>
      <c r="CR38" s="85" t="n"/>
      <c r="CS38" s="85" t="n"/>
      <c r="CT38" s="85" t="n"/>
      <c r="CU38" s="85" t="n"/>
      <c r="CV38" s="85" t="n"/>
      <c r="CW38" s="85" t="n"/>
      <c r="CX38" s="85" t="n"/>
      <c r="CY38" s="85" t="n"/>
      <c r="CZ38" s="85" t="n"/>
      <c r="DA38" s="85" t="n"/>
      <c r="DB38" s="85" t="n"/>
      <c r="DC38" s="85" t="n"/>
      <c r="DD38" s="85" t="n"/>
      <c r="DE38" s="85" t="n"/>
      <c r="DF38" s="85" t="n"/>
      <c r="DG38" s="85" t="n"/>
      <c r="DH38" s="85" t="n"/>
      <c r="DI38" s="85" t="n"/>
      <c r="DJ38" s="85" t="n"/>
      <c r="DK38" s="85" t="n"/>
      <c r="DL38" s="85" t="n"/>
      <c r="DM38" s="85" t="n"/>
      <c r="DN38" s="85" t="n"/>
      <c r="DO38" s="85" t="n"/>
      <c r="DP38" s="85" t="n"/>
      <c r="DQ38" s="85" t="n"/>
      <c r="DR38" s="85" t="n"/>
      <c r="DS38" s="85" t="n"/>
      <c r="DT38" s="85" t="n"/>
      <c r="DU38" s="85" t="n"/>
      <c r="DV38" s="85" t="n"/>
      <c r="DW38" s="85" t="n"/>
      <c r="DX38" s="85" t="n"/>
      <c r="DY38" s="85" t="n"/>
      <c r="DZ38" s="85" t="n"/>
      <c r="EA38" s="85" t="n"/>
      <c r="EB38" s="85" t="n"/>
      <c r="EC38" s="85" t="n"/>
      <c r="ED38" s="85" t="n"/>
      <c r="EE38" s="85" t="n"/>
      <c r="EF38" s="85" t="n"/>
      <c r="EG38" s="85" t="n"/>
      <c r="EH38" s="85" t="n"/>
      <c r="EI38" s="85" t="n"/>
      <c r="EJ38" s="85" t="n"/>
      <c r="EK38" s="85" t="n"/>
      <c r="EL38" s="85" t="n"/>
      <c r="EM38" s="85" t="n"/>
      <c r="EN38" s="85" t="n"/>
      <c r="EO38" s="85" t="n"/>
      <c r="EP38" s="85" t="n"/>
      <c r="EQ38" s="85" t="n"/>
      <c r="ER38" s="85" t="n"/>
      <c r="ES38" s="85" t="n"/>
      <c r="ET38" s="85" t="n"/>
      <c r="EU38" s="85" t="n"/>
      <c r="EV38" s="85" t="n"/>
      <c r="EW38" s="85" t="n"/>
      <c r="EX38" s="85" t="n"/>
      <c r="EY38" s="85" t="n"/>
      <c r="EZ38" s="85" t="n"/>
      <c r="FA38" s="85" t="n"/>
      <c r="FB38" s="85" t="n"/>
      <c r="FC38" s="85" t="n"/>
      <c r="FD38" s="85" t="n"/>
      <c r="FE38" s="85" t="n"/>
      <c r="FF38" s="85" t="n"/>
      <c r="FG38" s="85" t="n"/>
      <c r="FH38" s="85" t="n"/>
      <c r="FI38" s="85" t="n"/>
      <c r="FJ38" s="85" t="n"/>
      <c r="FK38" s="85" t="n"/>
      <c r="FL38" s="85" t="n"/>
      <c r="FM38" s="85" t="n"/>
      <c r="FN38" s="85" t="n"/>
      <c r="FO38" s="85" t="n"/>
      <c r="FP38" s="85" t="n"/>
      <c r="FQ38" s="85" t="n"/>
      <c r="FR38" s="85" t="n"/>
      <c r="FS38" s="85" t="n"/>
      <c r="FT38" s="85" t="n"/>
      <c r="FU38" s="85" t="n"/>
      <c r="FV38" s="85" t="n"/>
      <c r="FW38" s="85" t="n"/>
      <c r="FX38" s="85" t="n"/>
      <c r="FY38" s="85" t="n"/>
      <c r="FZ38" s="85" t="n"/>
      <c r="GA38" s="85" t="n"/>
      <c r="GB38" s="85" t="n"/>
      <c r="GC38" s="85" t="n"/>
      <c r="GD38" s="85" t="n"/>
      <c r="GE38" s="85" t="n"/>
      <c r="GF38" s="85" t="n"/>
      <c r="GG38" s="85" t="n"/>
      <c r="GH38" s="85" t="n"/>
      <c r="GI38" s="85" t="n"/>
      <c r="GJ38" s="85" t="n"/>
      <c r="GK38" s="85" t="n"/>
      <c r="GL38" s="85" t="n"/>
      <c r="GM38" s="85" t="n"/>
      <c r="GN38" s="85" t="n"/>
      <c r="GO38" s="85" t="n"/>
      <c r="GP38" s="85" t="n"/>
      <c r="GQ38" s="85" t="n"/>
      <c r="GR38" s="85" t="n"/>
      <c r="GS38" s="85" t="n"/>
      <c r="GT38" s="85" t="n"/>
      <c r="GU38" s="85" t="n"/>
      <c r="GV38" s="85" t="n"/>
      <c r="GW38" s="85" t="n"/>
      <c r="GX38" s="85" t="n"/>
      <c r="GY38" s="85" t="n"/>
      <c r="GZ38" s="85" t="n"/>
      <c r="HA38" s="85" t="n"/>
      <c r="HB38" s="85" t="n"/>
      <c r="HC38" s="85" t="n"/>
      <c r="HD38" s="85" t="n"/>
      <c r="HE38" s="85" t="n"/>
      <c r="HF38" s="85" t="n"/>
      <c r="HG38" s="85" t="n"/>
      <c r="HH38" s="85" t="n"/>
      <c r="HI38" s="85" t="n"/>
      <c r="HJ38" s="85" t="n"/>
      <c r="HK38" s="85" t="n"/>
      <c r="HL38" s="85" t="n"/>
      <c r="HM38" s="85" t="n"/>
      <c r="HN38" s="85" t="n"/>
      <c r="HO38" s="85" t="n"/>
      <c r="HP38" s="85" t="n"/>
      <c r="HQ38" s="85" t="n"/>
      <c r="HR38" s="85" t="n"/>
      <c r="HS38" s="85" t="n"/>
      <c r="HT38" s="85" t="n"/>
      <c r="HU38" s="85" t="n"/>
      <c r="HV38" s="85" t="n"/>
      <c r="HW38" s="85" t="n"/>
      <c r="HX38" s="85" t="n"/>
      <c r="HY38" s="85" t="n"/>
      <c r="HZ38" s="85" t="n"/>
      <c r="IA38" s="85" t="n"/>
    </row>
    <row r="39" ht="130.5" customHeight="1" s="127">
      <c r="B39" s="65" t="inlineStr">
        <is>
          <t>22001</t>
        </is>
      </c>
      <c r="C39" s="66" t="inlineStr">
        <is>
          <t>月灵矿脉</t>
        </is>
      </c>
      <c r="D39" s="64" t="inlineStr">
        <is>
          <t>此地终年被浓雾笼罩，只有月光能照入其中。矿脉中遍布月灵矿和其他珍稀矿石，是无数炼器师梦寐以求的地方。</t>
        </is>
      </c>
      <c r="E39" s="65" t="n"/>
      <c r="F39" s="109" t="inlineStr">
        <is>
          <t>112001|495|575</t>
        </is>
      </c>
      <c r="G39" s="65" t="inlineStr">
        <is>
          <t>3</t>
        </is>
      </c>
      <c r="H39" s="65" t="inlineStr">
        <is>
          <t>1</t>
        </is>
      </c>
      <c r="I39" s="65" t="inlineStr">
        <is>
          <t>探索</t>
        </is>
      </c>
      <c r="J39" s="65" t="inlineStr">
        <is>
          <t>无视它</t>
        </is>
      </c>
      <c r="K39" s="65" t="inlineStr">
        <is>
          <t>矿</t>
        </is>
      </c>
      <c r="L39" s="65" t="inlineStr">
        <is>
          <t>7</t>
        </is>
      </c>
      <c r="M39" s="65" t="inlineStr">
        <is>
          <t>这里的资源已经被取走，只余一些不值钱的碎石块</t>
        </is>
      </c>
      <c r="N39" s="65" t="n"/>
      <c r="O39" s="65" t="n"/>
      <c r="P39" s="65" t="n"/>
      <c r="Q39" s="65" t="n"/>
      <c r="R39" s="65" t="inlineStr">
        <is>
          <t>-1</t>
        </is>
      </c>
      <c r="S39" s="65" t="n"/>
      <c r="T39" s="65" t="n"/>
      <c r="U39" s="65" t="n"/>
      <c r="V39" s="65" t="n"/>
      <c r="W39" s="65" t="n"/>
      <c r="X39" s="65" t="inlineStr">
        <is>
          <t>img_kuangchang</t>
        </is>
      </c>
      <c r="Y39" s="61" t="n"/>
      <c r="Z39" s="66" t="n"/>
      <c r="AA39" s="65" t="n"/>
      <c r="AB39" s="65" t="n"/>
      <c r="AC39" s="65" t="n"/>
      <c r="AD39" s="65" t="n"/>
      <c r="AE39" s="65" t="n"/>
      <c r="AF39" s="65" t="n"/>
      <c r="AG39" s="65" t="n"/>
      <c r="AH39" s="65" t="n"/>
      <c r="AI39" s="65" t="n"/>
      <c r="AJ39" s="65" t="n"/>
      <c r="AK39" s="65" t="n"/>
      <c r="AL39" s="65" t="n"/>
      <c r="AM39" s="65" t="n"/>
      <c r="AN39" s="85" t="n"/>
      <c r="AO39" s="85" t="n"/>
      <c r="AP39" s="85" t="n"/>
      <c r="AQ39" s="85" t="n"/>
      <c r="AR39" s="85" t="n"/>
      <c r="AS39" s="85" t="n"/>
      <c r="AT39" s="85" t="n"/>
      <c r="AU39" s="85" t="n"/>
      <c r="AV39" s="85" t="n"/>
      <c r="AW39" s="85" t="n"/>
      <c r="AX39" s="85" t="n"/>
      <c r="AY39" s="85" t="n"/>
      <c r="AZ39" s="85" t="n"/>
      <c r="BA39" s="85" t="n"/>
      <c r="BB39" s="85" t="n"/>
      <c r="BC39" s="85" t="n"/>
      <c r="BD39" s="85" t="n"/>
      <c r="BE39" s="85" t="n"/>
      <c r="BF39" s="85" t="n"/>
      <c r="BG39" s="85" t="n"/>
      <c r="BH39" s="85" t="n"/>
      <c r="BI39" s="85" t="n"/>
      <c r="BJ39" s="85" t="n"/>
      <c r="BK39" s="85" t="n"/>
      <c r="BL39" s="85" t="n"/>
      <c r="BM39" s="85" t="n"/>
      <c r="BN39" s="85" t="n"/>
      <c r="BO39" s="85" t="n"/>
      <c r="BP39" s="85" t="n"/>
      <c r="BQ39" s="85" t="n"/>
      <c r="BR39" s="85" t="n"/>
      <c r="BS39" s="85" t="n"/>
      <c r="BT39" s="85" t="n"/>
      <c r="BU39" s="85" t="n"/>
      <c r="BV39" s="85" t="n"/>
      <c r="BW39" s="85" t="n"/>
      <c r="BX39" s="85" t="n"/>
      <c r="BY39" s="85" t="n"/>
      <c r="BZ39" s="85" t="n"/>
      <c r="CA39" s="85" t="n"/>
      <c r="CB39" s="85" t="n"/>
      <c r="CC39" s="85" t="n"/>
      <c r="CD39" s="85" t="n"/>
      <c r="CE39" s="85" t="n"/>
      <c r="CF39" s="85" t="n"/>
      <c r="CG39" s="85" t="n"/>
      <c r="CH39" s="85" t="n"/>
      <c r="CI39" s="85" t="n"/>
      <c r="CJ39" s="85" t="n"/>
      <c r="CK39" s="85" t="n"/>
      <c r="CL39" s="85" t="n"/>
      <c r="CM39" s="85" t="n"/>
      <c r="CN39" s="85" t="n"/>
      <c r="CO39" s="85" t="n"/>
      <c r="CP39" s="85" t="n"/>
      <c r="CQ39" s="85" t="n"/>
      <c r="CR39" s="85" t="n"/>
      <c r="CS39" s="85" t="n"/>
      <c r="CT39" s="85" t="n"/>
      <c r="CU39" s="85" t="n"/>
      <c r="CV39" s="85" t="n"/>
      <c r="CW39" s="85" t="n"/>
      <c r="CX39" s="85" t="n"/>
      <c r="CY39" s="85" t="n"/>
      <c r="CZ39" s="85" t="n"/>
      <c r="DA39" s="85" t="n"/>
      <c r="DB39" s="85" t="n"/>
      <c r="DC39" s="85" t="n"/>
      <c r="DD39" s="85" t="n"/>
      <c r="DE39" s="85" t="n"/>
      <c r="DF39" s="85" t="n"/>
      <c r="DG39" s="85" t="n"/>
      <c r="DH39" s="85" t="n"/>
      <c r="DI39" s="85" t="n"/>
      <c r="DJ39" s="85" t="n"/>
      <c r="DK39" s="85" t="n"/>
      <c r="DL39" s="85" t="n"/>
      <c r="DM39" s="85" t="n"/>
      <c r="DN39" s="85" t="n"/>
      <c r="DO39" s="85" t="n"/>
      <c r="DP39" s="85" t="n"/>
      <c r="DQ39" s="85" t="n"/>
      <c r="DR39" s="85" t="n"/>
      <c r="DS39" s="85" t="n"/>
      <c r="DT39" s="85" t="n"/>
      <c r="DU39" s="85" t="n"/>
      <c r="DV39" s="85" t="n"/>
      <c r="DW39" s="85" t="n"/>
      <c r="DX39" s="85" t="n"/>
      <c r="DY39" s="85" t="n"/>
      <c r="DZ39" s="85" t="n"/>
      <c r="EA39" s="85" t="n"/>
      <c r="EB39" s="85" t="n"/>
      <c r="EC39" s="85" t="n"/>
      <c r="ED39" s="85" t="n"/>
      <c r="EE39" s="85" t="n"/>
      <c r="EF39" s="85" t="n"/>
      <c r="EG39" s="85" t="n"/>
      <c r="EH39" s="85" t="n"/>
      <c r="EI39" s="85" t="n"/>
      <c r="EJ39" s="85" t="n"/>
      <c r="EK39" s="85" t="n"/>
      <c r="EL39" s="85" t="n"/>
      <c r="EM39" s="85" t="n"/>
      <c r="EN39" s="85" t="n"/>
      <c r="EO39" s="85" t="n"/>
      <c r="EP39" s="85" t="n"/>
      <c r="EQ39" s="85" t="n"/>
      <c r="ER39" s="85" t="n"/>
      <c r="ES39" s="85" t="n"/>
      <c r="ET39" s="85" t="n"/>
      <c r="EU39" s="85" t="n"/>
      <c r="EV39" s="85" t="n"/>
      <c r="EW39" s="85" t="n"/>
      <c r="EX39" s="85" t="n"/>
      <c r="EY39" s="85" t="n"/>
      <c r="EZ39" s="85" t="n"/>
      <c r="FA39" s="85" t="n"/>
      <c r="FB39" s="85" t="n"/>
      <c r="FC39" s="85" t="n"/>
      <c r="FD39" s="85" t="n"/>
      <c r="FE39" s="85" t="n"/>
      <c r="FF39" s="85" t="n"/>
      <c r="FG39" s="85" t="n"/>
      <c r="FH39" s="85" t="n"/>
      <c r="FI39" s="85" t="n"/>
      <c r="FJ39" s="85" t="n"/>
      <c r="FK39" s="85" t="n"/>
      <c r="FL39" s="85" t="n"/>
      <c r="FM39" s="85" t="n"/>
      <c r="FN39" s="85" t="n"/>
      <c r="FO39" s="85" t="n"/>
      <c r="FP39" s="85" t="n"/>
      <c r="FQ39" s="85" t="n"/>
      <c r="FR39" s="85" t="n"/>
      <c r="FS39" s="85" t="n"/>
      <c r="FT39" s="85" t="n"/>
      <c r="FU39" s="85" t="n"/>
      <c r="FV39" s="85" t="n"/>
      <c r="FW39" s="85" t="n"/>
      <c r="FX39" s="85" t="n"/>
      <c r="FY39" s="85" t="n"/>
      <c r="FZ39" s="85" t="n"/>
      <c r="GA39" s="85" t="n"/>
      <c r="GB39" s="85" t="n"/>
      <c r="GC39" s="85" t="n"/>
      <c r="GD39" s="85" t="n"/>
      <c r="GE39" s="85" t="n"/>
      <c r="GF39" s="85" t="n"/>
      <c r="GG39" s="85" t="n"/>
      <c r="GH39" s="85" t="n"/>
      <c r="GI39" s="85" t="n"/>
      <c r="GJ39" s="85" t="n"/>
      <c r="GK39" s="85" t="n"/>
      <c r="GL39" s="85" t="n"/>
      <c r="GM39" s="85" t="n"/>
      <c r="GN39" s="85" t="n"/>
      <c r="GO39" s="85" t="n"/>
      <c r="GP39" s="85" t="n"/>
      <c r="GQ39" s="85" t="n"/>
      <c r="GR39" s="85" t="n"/>
      <c r="GS39" s="85" t="n"/>
      <c r="GT39" s="85" t="n"/>
      <c r="GU39" s="85" t="n"/>
      <c r="GV39" s="85" t="n"/>
      <c r="GW39" s="85" t="n"/>
      <c r="GX39" s="85" t="n"/>
      <c r="GY39" s="85" t="n"/>
      <c r="GZ39" s="85" t="n"/>
      <c r="HA39" s="85" t="n"/>
      <c r="HB39" s="85" t="n"/>
      <c r="HC39" s="85" t="n"/>
      <c r="HD39" s="85" t="n"/>
      <c r="HE39" s="85" t="n"/>
      <c r="HF39" s="85" t="n"/>
      <c r="HG39" s="85" t="n"/>
      <c r="HH39" s="85" t="n"/>
      <c r="HI39" s="85" t="n"/>
      <c r="HJ39" s="85" t="n"/>
      <c r="HK39" s="85" t="n"/>
      <c r="HL39" s="85" t="n"/>
      <c r="HM39" s="85" t="n"/>
      <c r="HN39" s="85" t="n"/>
      <c r="HO39" s="85" t="n"/>
      <c r="HP39" s="85" t="n"/>
      <c r="HQ39" s="85" t="n"/>
      <c r="HR39" s="85" t="n"/>
      <c r="HS39" s="85" t="n"/>
      <c r="HT39" s="85" t="n"/>
      <c r="HU39" s="85" t="n"/>
      <c r="HV39" s="85" t="n"/>
      <c r="HW39" s="85" t="n"/>
      <c r="HX39" s="85" t="n"/>
      <c r="HY39" s="85" t="n"/>
      <c r="HZ39" s="85" t="n"/>
      <c r="IA39" s="85" t="n"/>
    </row>
    <row r="40" ht="130.5" customHeight="1" s="127">
      <c r="B40" s="65" t="inlineStr">
        <is>
          <t>22002</t>
        </is>
      </c>
      <c r="C40" s="66" t="inlineStr">
        <is>
          <t>小树林</t>
        </is>
      </c>
      <c r="D40" s="64" t="inlineStr">
        <is>
          <t>传说有一片遍布珍木异兽的森林，隐匿在仙渺山脉中，森林外围布有结界，有缘人方可进入其中。</t>
        </is>
      </c>
      <c r="E40" s="65" t="n"/>
      <c r="F40" s="109" t="inlineStr">
        <is>
          <t>92001|120|140</t>
        </is>
      </c>
      <c r="G40" s="65" t="inlineStr">
        <is>
          <t>3</t>
        </is>
      </c>
      <c r="H40" s="65" t="inlineStr">
        <is>
          <t>1</t>
        </is>
      </c>
      <c r="I40" s="65" t="inlineStr">
        <is>
          <t>探索</t>
        </is>
      </c>
      <c r="J40" s="65" t="inlineStr">
        <is>
          <t>无视它</t>
        </is>
      </c>
      <c r="K40" s="65" t="inlineStr">
        <is>
          <t>矿</t>
        </is>
      </c>
      <c r="L40" s="65" t="inlineStr">
        <is>
          <t>7</t>
        </is>
      </c>
      <c r="M40" s="65" t="inlineStr">
        <is>
          <t>这片地脉已经没有任何有价值的东西</t>
        </is>
      </c>
      <c r="N40" s="65" t="n"/>
      <c r="O40" s="65" t="n"/>
      <c r="P40" s="65" t="n"/>
      <c r="Q40" s="65" t="n"/>
      <c r="R40" s="65" t="inlineStr">
        <is>
          <t>-1</t>
        </is>
      </c>
      <c r="S40" s="65" t="n"/>
      <c r="T40" s="65" t="n"/>
      <c r="U40" s="65" t="n"/>
      <c r="V40" s="65" t="n"/>
      <c r="W40" s="65" t="n"/>
      <c r="X40" s="65" t="inlineStr">
        <is>
          <t>img_mjbaoxiang2-2</t>
        </is>
      </c>
      <c r="Y40" s="61" t="n"/>
      <c r="Z40" s="66" t="n"/>
      <c r="AA40" s="65" t="n"/>
      <c r="AB40" s="65" t="n"/>
      <c r="AC40" s="65" t="n"/>
      <c r="AD40" s="65" t="n"/>
      <c r="AE40" s="65" t="n"/>
      <c r="AF40" s="65" t="n"/>
      <c r="AG40" s="65" t="n"/>
      <c r="AH40" s="65" t="n"/>
      <c r="AI40" s="65" t="n"/>
      <c r="AJ40" s="65" t="n"/>
      <c r="AK40" s="65" t="n"/>
      <c r="AL40" s="65" t="n"/>
      <c r="AM40" s="65" t="n"/>
      <c r="AN40" s="85" t="n"/>
      <c r="AO40" s="85" t="n"/>
      <c r="AP40" s="85" t="n"/>
      <c r="AQ40" s="85" t="n"/>
      <c r="AR40" s="85" t="n"/>
      <c r="AS40" s="85" t="n"/>
      <c r="AT40" s="85" t="n"/>
      <c r="AU40" s="85" t="n"/>
      <c r="AV40" s="85" t="n"/>
      <c r="AW40" s="85" t="n"/>
      <c r="AX40" s="85" t="n"/>
      <c r="AY40" s="85" t="n"/>
      <c r="AZ40" s="85" t="n"/>
      <c r="BA40" s="85" t="n"/>
      <c r="BB40" s="85" t="n"/>
      <c r="BC40" s="85" t="n"/>
      <c r="BD40" s="85" t="n"/>
      <c r="BE40" s="85" t="n"/>
      <c r="BF40" s="85" t="n"/>
      <c r="BG40" s="85" t="n"/>
      <c r="BH40" s="85" t="n"/>
      <c r="BI40" s="85" t="n"/>
      <c r="BJ40" s="85" t="n"/>
      <c r="BK40" s="85" t="n"/>
      <c r="BL40" s="85" t="n"/>
      <c r="BM40" s="85" t="n"/>
      <c r="BN40" s="85" t="n"/>
      <c r="BO40" s="85" t="n"/>
      <c r="BP40" s="85" t="n"/>
      <c r="BQ40" s="85" t="n"/>
      <c r="BR40" s="85" t="n"/>
      <c r="BS40" s="85" t="n"/>
      <c r="BT40" s="85" t="n"/>
      <c r="BU40" s="85" t="n"/>
      <c r="BV40" s="85" t="n"/>
      <c r="BW40" s="85" t="n"/>
      <c r="BX40" s="85" t="n"/>
      <c r="BY40" s="85" t="n"/>
      <c r="BZ40" s="85" t="n"/>
      <c r="CA40" s="85" t="n"/>
      <c r="CB40" s="85" t="n"/>
      <c r="CC40" s="85" t="n"/>
      <c r="CD40" s="85" t="n"/>
      <c r="CE40" s="85" t="n"/>
      <c r="CF40" s="85" t="n"/>
      <c r="CG40" s="85" t="n"/>
      <c r="CH40" s="85" t="n"/>
      <c r="CI40" s="85" t="n"/>
      <c r="CJ40" s="85" t="n"/>
      <c r="CK40" s="85" t="n"/>
      <c r="CL40" s="85" t="n"/>
      <c r="CM40" s="85" t="n"/>
      <c r="CN40" s="85" t="n"/>
      <c r="CO40" s="85" t="n"/>
      <c r="CP40" s="85" t="n"/>
      <c r="CQ40" s="85" t="n"/>
      <c r="CR40" s="85" t="n"/>
      <c r="CS40" s="85" t="n"/>
      <c r="CT40" s="85" t="n"/>
      <c r="CU40" s="85" t="n"/>
      <c r="CV40" s="85" t="n"/>
      <c r="CW40" s="85" t="n"/>
      <c r="CX40" s="85" t="n"/>
      <c r="CY40" s="85" t="n"/>
      <c r="CZ40" s="85" t="n"/>
      <c r="DA40" s="85" t="n"/>
      <c r="DB40" s="85" t="n"/>
      <c r="DC40" s="85" t="n"/>
      <c r="DD40" s="85" t="n"/>
      <c r="DE40" s="85" t="n"/>
      <c r="DF40" s="85" t="n"/>
      <c r="DG40" s="85" t="n"/>
      <c r="DH40" s="85" t="n"/>
      <c r="DI40" s="85" t="n"/>
      <c r="DJ40" s="85" t="n"/>
      <c r="DK40" s="85" t="n"/>
      <c r="DL40" s="85" t="n"/>
      <c r="DM40" s="85" t="n"/>
      <c r="DN40" s="85" t="n"/>
      <c r="DO40" s="85" t="n"/>
      <c r="DP40" s="85" t="n"/>
      <c r="DQ40" s="85" t="n"/>
      <c r="DR40" s="85" t="n"/>
      <c r="DS40" s="85" t="n"/>
      <c r="DT40" s="85" t="n"/>
      <c r="DU40" s="85" t="n"/>
      <c r="DV40" s="85" t="n"/>
      <c r="DW40" s="85" t="n"/>
      <c r="DX40" s="85" t="n"/>
      <c r="DY40" s="85" t="n"/>
      <c r="DZ40" s="85" t="n"/>
      <c r="EA40" s="85" t="n"/>
      <c r="EB40" s="85" t="n"/>
      <c r="EC40" s="85" t="n"/>
      <c r="ED40" s="85" t="n"/>
      <c r="EE40" s="85" t="n"/>
      <c r="EF40" s="85" t="n"/>
      <c r="EG40" s="85" t="n"/>
      <c r="EH40" s="85" t="n"/>
      <c r="EI40" s="85" t="n"/>
      <c r="EJ40" s="85" t="n"/>
      <c r="EK40" s="85" t="n"/>
      <c r="EL40" s="85" t="n"/>
      <c r="EM40" s="85" t="n"/>
      <c r="EN40" s="85" t="n"/>
      <c r="EO40" s="85" t="n"/>
      <c r="EP40" s="85" t="n"/>
      <c r="EQ40" s="85" t="n"/>
      <c r="ER40" s="85" t="n"/>
      <c r="ES40" s="85" t="n"/>
      <c r="ET40" s="85" t="n"/>
      <c r="EU40" s="85" t="n"/>
      <c r="EV40" s="85" t="n"/>
      <c r="EW40" s="85" t="n"/>
      <c r="EX40" s="85" t="n"/>
      <c r="EY40" s="85" t="n"/>
      <c r="EZ40" s="85" t="n"/>
      <c r="FA40" s="85" t="n"/>
      <c r="FB40" s="85" t="n"/>
      <c r="FC40" s="85" t="n"/>
      <c r="FD40" s="85" t="n"/>
      <c r="FE40" s="85" t="n"/>
      <c r="FF40" s="85" t="n"/>
      <c r="FG40" s="85" t="n"/>
      <c r="FH40" s="85" t="n"/>
      <c r="FI40" s="85" t="n"/>
      <c r="FJ40" s="85" t="n"/>
      <c r="FK40" s="85" t="n"/>
      <c r="FL40" s="85" t="n"/>
      <c r="FM40" s="85" t="n"/>
      <c r="FN40" s="85" t="n"/>
      <c r="FO40" s="85" t="n"/>
      <c r="FP40" s="85" t="n"/>
      <c r="FQ40" s="85" t="n"/>
      <c r="FR40" s="85" t="n"/>
      <c r="FS40" s="85" t="n"/>
      <c r="FT40" s="85" t="n"/>
      <c r="FU40" s="85" t="n"/>
      <c r="FV40" s="85" t="n"/>
      <c r="FW40" s="85" t="n"/>
      <c r="FX40" s="85" t="n"/>
      <c r="FY40" s="85" t="n"/>
      <c r="FZ40" s="85" t="n"/>
      <c r="GA40" s="85" t="n"/>
      <c r="GB40" s="85" t="n"/>
      <c r="GC40" s="85" t="n"/>
      <c r="GD40" s="85" t="n"/>
      <c r="GE40" s="85" t="n"/>
      <c r="GF40" s="85" t="n"/>
      <c r="GG40" s="85" t="n"/>
      <c r="GH40" s="85" t="n"/>
      <c r="GI40" s="85" t="n"/>
      <c r="GJ40" s="85" t="n"/>
      <c r="GK40" s="85" t="n"/>
      <c r="GL40" s="85" t="n"/>
      <c r="GM40" s="85" t="n"/>
      <c r="GN40" s="85" t="n"/>
      <c r="GO40" s="85" t="n"/>
      <c r="GP40" s="85" t="n"/>
      <c r="GQ40" s="85" t="n"/>
      <c r="GR40" s="85" t="n"/>
      <c r="GS40" s="85" t="n"/>
      <c r="GT40" s="85" t="n"/>
      <c r="GU40" s="85" t="n"/>
      <c r="GV40" s="85" t="n"/>
      <c r="GW40" s="85" t="n"/>
      <c r="GX40" s="85" t="n"/>
      <c r="GY40" s="85" t="n"/>
      <c r="GZ40" s="85" t="n"/>
      <c r="HA40" s="85" t="n"/>
      <c r="HB40" s="85" t="n"/>
      <c r="HC40" s="85" t="n"/>
      <c r="HD40" s="85" t="n"/>
      <c r="HE40" s="85" t="n"/>
      <c r="HF40" s="85" t="n"/>
      <c r="HG40" s="85" t="n"/>
      <c r="HH40" s="85" t="n"/>
      <c r="HI40" s="85" t="n"/>
      <c r="HJ40" s="85" t="n"/>
      <c r="HK40" s="85" t="n"/>
      <c r="HL40" s="85" t="n"/>
      <c r="HM40" s="85" t="n"/>
      <c r="HN40" s="85" t="n"/>
      <c r="HO40" s="85" t="n"/>
      <c r="HP40" s="85" t="n"/>
      <c r="HQ40" s="85" t="n"/>
      <c r="HR40" s="85" t="n"/>
      <c r="HS40" s="85" t="n"/>
      <c r="HT40" s="85" t="n"/>
      <c r="HU40" s="85" t="n"/>
      <c r="HV40" s="85" t="n"/>
      <c r="HW40" s="85" t="n"/>
      <c r="HX40" s="85" t="n"/>
      <c r="HY40" s="85" t="n"/>
      <c r="HZ40" s="85" t="n"/>
      <c r="IA40" s="85" t="n"/>
    </row>
    <row r="41" ht="130.5" customHeight="1" s="127">
      <c r="B41" s="65" t="inlineStr">
        <is>
          <t>22003</t>
        </is>
      </c>
      <c r="C41" s="59" t="inlineStr">
        <is>
          <t>憩息点</t>
        </is>
      </c>
      <c r="D41" s="60" t="inlineStr">
        <is>
          <t>这里有泉水的润泽，似乎能恢复不少精力</t>
        </is>
      </c>
      <c r="E41" s="61" t="n"/>
      <c r="F41" s="61" t="inlineStr">
        <is>
          <t>20|30</t>
        </is>
      </c>
      <c r="G41" s="61" t="inlineStr">
        <is>
          <t>4</t>
        </is>
      </c>
      <c r="H41" s="61" t="inlineStr">
        <is>
          <t>1</t>
        </is>
      </c>
      <c r="I41" s="61" t="inlineStr">
        <is>
          <t>休息</t>
        </is>
      </c>
      <c r="J41" s="61" t="inlineStr">
        <is>
          <t>无视它</t>
        </is>
      </c>
      <c r="K41" s="61" t="inlineStr">
        <is>
          <t>休息</t>
        </is>
      </c>
      <c r="L41" s="61" t="n"/>
      <c r="M41" s="61" t="inlineStr">
        <is>
          <t>经过泉水的润泽，弟子们已经好多了。泉水已经干涸</t>
        </is>
      </c>
      <c r="N41" s="61" t="n"/>
      <c r="O41" s="61" t="n"/>
      <c r="P41" s="61" t="n"/>
      <c r="Q41" s="61" t="n"/>
      <c r="R41" s="61" t="inlineStr">
        <is>
          <t>-1</t>
        </is>
      </c>
      <c r="S41" s="61" t="n"/>
      <c r="T41" s="61" t="n"/>
      <c r="U41" s="61" t="n"/>
      <c r="V41" s="61" t="n"/>
      <c r="W41" s="61" t="n"/>
      <c r="X41" s="61" t="inlineStr">
        <is>
          <t>img_xiuxidian</t>
        </is>
      </c>
      <c r="Y41" s="61" t="n"/>
      <c r="Z41" s="59" t="n"/>
      <c r="AA41" s="65" t="n"/>
      <c r="AB41" s="65" t="n"/>
      <c r="AC41" s="65" t="n"/>
      <c r="AD41" s="65" t="n"/>
      <c r="AE41" s="65" t="n"/>
      <c r="AF41" s="65" t="n"/>
      <c r="AG41" s="65" t="n"/>
      <c r="AH41" s="65" t="n"/>
      <c r="AI41" s="65" t="n"/>
      <c r="AJ41" s="65" t="n"/>
      <c r="AK41" s="65" t="n"/>
      <c r="AL41" s="65" t="n"/>
      <c r="AM41" s="65" t="n"/>
      <c r="AN41" s="85" t="n"/>
      <c r="AO41" s="85" t="n"/>
      <c r="AP41" s="85" t="n"/>
      <c r="AQ41" s="85" t="n"/>
      <c r="AR41" s="85" t="n"/>
      <c r="AS41" s="85" t="n"/>
      <c r="AT41" s="85" t="n"/>
      <c r="AU41" s="85" t="n"/>
      <c r="AV41" s="85" t="n"/>
      <c r="AW41" s="85" t="n"/>
      <c r="AX41" s="85" t="n"/>
      <c r="AY41" s="85" t="n"/>
      <c r="AZ41" s="85" t="n"/>
      <c r="BA41" s="85" t="n"/>
      <c r="BB41" s="85" t="n"/>
      <c r="BC41" s="85" t="n"/>
      <c r="BD41" s="85" t="n"/>
      <c r="BE41" s="85" t="n"/>
      <c r="BF41" s="85" t="n"/>
      <c r="BG41" s="85" t="n"/>
      <c r="BH41" s="85" t="n"/>
      <c r="BI41" s="85" t="n"/>
      <c r="BJ41" s="85" t="n"/>
      <c r="BK41" s="85" t="n"/>
      <c r="BL41" s="85" t="n"/>
      <c r="BM41" s="85" t="n"/>
      <c r="BN41" s="85" t="n"/>
      <c r="BO41" s="85" t="n"/>
      <c r="BP41" s="85" t="n"/>
      <c r="BQ41" s="85" t="n"/>
      <c r="BR41" s="85" t="n"/>
      <c r="BS41" s="85" t="n"/>
      <c r="BT41" s="85" t="n"/>
      <c r="BU41" s="85" t="n"/>
      <c r="BV41" s="85" t="n"/>
      <c r="BW41" s="85" t="n"/>
      <c r="BX41" s="85" t="n"/>
      <c r="BY41" s="85" t="n"/>
      <c r="BZ41" s="85" t="n"/>
      <c r="CA41" s="85" t="n"/>
      <c r="CB41" s="85" t="n"/>
      <c r="CC41" s="85" t="n"/>
      <c r="CD41" s="85" t="n"/>
      <c r="CE41" s="85" t="n"/>
      <c r="CF41" s="85" t="n"/>
      <c r="CG41" s="85" t="n"/>
      <c r="CH41" s="85" t="n"/>
      <c r="CI41" s="85" t="n"/>
      <c r="CJ41" s="85" t="n"/>
      <c r="CK41" s="85" t="n"/>
      <c r="CL41" s="85" t="n"/>
      <c r="CM41" s="85" t="n"/>
      <c r="CN41" s="85" t="n"/>
      <c r="CO41" s="85" t="n"/>
      <c r="CP41" s="85" t="n"/>
      <c r="CQ41" s="85" t="n"/>
      <c r="CR41" s="85" t="n"/>
      <c r="CS41" s="85" t="n"/>
      <c r="CT41" s="85" t="n"/>
      <c r="CU41" s="85" t="n"/>
      <c r="CV41" s="85" t="n"/>
      <c r="CW41" s="85" t="n"/>
      <c r="CX41" s="85" t="n"/>
      <c r="CY41" s="85" t="n"/>
      <c r="CZ41" s="85" t="n"/>
      <c r="DA41" s="85" t="n"/>
      <c r="DB41" s="85" t="n"/>
      <c r="DC41" s="85" t="n"/>
      <c r="DD41" s="85" t="n"/>
      <c r="DE41" s="85" t="n"/>
      <c r="DF41" s="85" t="n"/>
      <c r="DG41" s="85" t="n"/>
      <c r="DH41" s="85" t="n"/>
      <c r="DI41" s="85" t="n"/>
      <c r="DJ41" s="85" t="n"/>
      <c r="DK41" s="85" t="n"/>
      <c r="DL41" s="85" t="n"/>
      <c r="DM41" s="85" t="n"/>
      <c r="DN41" s="85" t="n"/>
      <c r="DO41" s="85" t="n"/>
      <c r="DP41" s="85" t="n"/>
      <c r="DQ41" s="85" t="n"/>
      <c r="DR41" s="85" t="n"/>
      <c r="DS41" s="85" t="n"/>
      <c r="DT41" s="85" t="n"/>
      <c r="DU41" s="85" t="n"/>
      <c r="DV41" s="85" t="n"/>
      <c r="DW41" s="85" t="n"/>
      <c r="DX41" s="85" t="n"/>
      <c r="DY41" s="85" t="n"/>
      <c r="DZ41" s="85" t="n"/>
      <c r="EA41" s="85" t="n"/>
      <c r="EB41" s="85" t="n"/>
      <c r="EC41" s="85" t="n"/>
      <c r="ED41" s="85" t="n"/>
      <c r="EE41" s="85" t="n"/>
      <c r="EF41" s="85" t="n"/>
      <c r="EG41" s="85" t="n"/>
      <c r="EH41" s="85" t="n"/>
      <c r="EI41" s="85" t="n"/>
      <c r="EJ41" s="85" t="n"/>
      <c r="EK41" s="85" t="n"/>
      <c r="EL41" s="85" t="n"/>
      <c r="EM41" s="85" t="n"/>
      <c r="EN41" s="85" t="n"/>
      <c r="EO41" s="85" t="n"/>
      <c r="EP41" s="85" t="n"/>
      <c r="EQ41" s="85" t="n"/>
      <c r="ER41" s="85" t="n"/>
      <c r="ES41" s="85" t="n"/>
      <c r="ET41" s="85" t="n"/>
      <c r="EU41" s="85" t="n"/>
      <c r="EV41" s="85" t="n"/>
      <c r="EW41" s="85" t="n"/>
      <c r="EX41" s="85" t="n"/>
      <c r="EY41" s="85" t="n"/>
      <c r="EZ41" s="85" t="n"/>
      <c r="FA41" s="85" t="n"/>
      <c r="FB41" s="85" t="n"/>
      <c r="FC41" s="85" t="n"/>
      <c r="FD41" s="85" t="n"/>
      <c r="FE41" s="85" t="n"/>
      <c r="FF41" s="85" t="n"/>
      <c r="FG41" s="85" t="n"/>
      <c r="FH41" s="85" t="n"/>
      <c r="FI41" s="85" t="n"/>
      <c r="FJ41" s="85" t="n"/>
      <c r="FK41" s="85" t="n"/>
      <c r="FL41" s="85" t="n"/>
      <c r="FM41" s="85" t="n"/>
      <c r="FN41" s="85" t="n"/>
      <c r="FO41" s="85" t="n"/>
      <c r="FP41" s="85" t="n"/>
      <c r="FQ41" s="85" t="n"/>
      <c r="FR41" s="85" t="n"/>
      <c r="FS41" s="85" t="n"/>
      <c r="FT41" s="85" t="n"/>
      <c r="FU41" s="85" t="n"/>
      <c r="FV41" s="85" t="n"/>
      <c r="FW41" s="85" t="n"/>
      <c r="FX41" s="85" t="n"/>
      <c r="FY41" s="85" t="n"/>
      <c r="FZ41" s="85" t="n"/>
      <c r="GA41" s="85" t="n"/>
      <c r="GB41" s="85" t="n"/>
      <c r="GC41" s="85" t="n"/>
      <c r="GD41" s="85" t="n"/>
      <c r="GE41" s="85" t="n"/>
      <c r="GF41" s="85" t="n"/>
      <c r="GG41" s="85" t="n"/>
      <c r="GH41" s="85" t="n"/>
      <c r="GI41" s="85" t="n"/>
      <c r="GJ41" s="85" t="n"/>
      <c r="GK41" s="85" t="n"/>
      <c r="GL41" s="85" t="n"/>
      <c r="GM41" s="85" t="n"/>
      <c r="GN41" s="85" t="n"/>
      <c r="GO41" s="85" t="n"/>
      <c r="GP41" s="85" t="n"/>
      <c r="GQ41" s="85" t="n"/>
      <c r="GR41" s="85" t="n"/>
      <c r="GS41" s="85" t="n"/>
      <c r="GT41" s="85" t="n"/>
      <c r="GU41" s="85" t="n"/>
      <c r="GV41" s="85" t="n"/>
      <c r="GW41" s="85" t="n"/>
      <c r="GX41" s="85" t="n"/>
      <c r="GY41" s="85" t="n"/>
      <c r="GZ41" s="85" t="n"/>
      <c r="HA41" s="85" t="n"/>
      <c r="HB41" s="85" t="n"/>
      <c r="HC41" s="85" t="n"/>
      <c r="HD41" s="85" t="n"/>
      <c r="HE41" s="85" t="n"/>
      <c r="HF41" s="85" t="n"/>
      <c r="HG41" s="85" t="n"/>
      <c r="HH41" s="85" t="n"/>
      <c r="HI41" s="85" t="n"/>
      <c r="HJ41" s="85" t="n"/>
      <c r="HK41" s="85" t="n"/>
      <c r="HL41" s="85" t="n"/>
      <c r="HM41" s="85" t="n"/>
      <c r="HN41" s="85" t="n"/>
      <c r="HO41" s="85" t="n"/>
      <c r="HP41" s="85" t="n"/>
      <c r="HQ41" s="85" t="n"/>
      <c r="HR41" s="85" t="n"/>
      <c r="HS41" s="85" t="n"/>
      <c r="HT41" s="85" t="n"/>
      <c r="HU41" s="85" t="n"/>
      <c r="HV41" s="85" t="n"/>
      <c r="HW41" s="85" t="n"/>
      <c r="HX41" s="85" t="n"/>
      <c r="HY41" s="85" t="n"/>
      <c r="HZ41" s="85" t="n"/>
      <c r="IA41" s="85" t="n"/>
    </row>
    <row r="42" ht="130.5" customHeight="1" s="127">
      <c r="B42" s="65" t="inlineStr">
        <is>
          <t>22004</t>
        </is>
      </c>
      <c r="C42" s="124" t="inlineStr">
        <is>
          <t>荒废遗迹</t>
        </is>
      </c>
      <c r="D42" s="76" t="inlineStr">
        <is>
          <t>一座被微弱结界笼罩的庭院，从结界阵法上散发的威压来看，应该是某位大能曾经的住所。</t>
        </is>
      </c>
      <c r="E42" s="77" t="n"/>
      <c r="F42" s="110" t="inlineStr">
        <is>
          <t>10001|1000|1300,162001|1|3$10001|1300|1600</t>
        </is>
      </c>
      <c r="G42" s="77" t="inlineStr">
        <is>
          <t>5</t>
        </is>
      </c>
      <c r="H42" s="77" t="inlineStr">
        <is>
          <t>1</t>
        </is>
      </c>
      <c r="I42" s="77" t="inlineStr">
        <is>
          <t>简单搜寻</t>
        </is>
      </c>
      <c r="J42" s="77" t="inlineStr">
        <is>
          <t>彻底探索</t>
        </is>
      </c>
      <c r="K42" s="77" t="inlineStr">
        <is>
          <t>矿</t>
        </is>
      </c>
      <c r="L42" s="77" t="inlineStr">
        <is>
          <t>7</t>
        </is>
      </c>
      <c r="M42" s="77" t="inlineStr">
        <is>
          <t>还是不要贸然靠近危险，弟子在门口简单搜巡了一番，并在边缘角落发现了意外之喜</t>
        </is>
      </c>
      <c r="N42" s="77" t="n"/>
      <c r="O42" s="77" t="n"/>
      <c r="P42" s="77" t="n"/>
      <c r="Q42" s="77" t="n"/>
      <c r="R42" s="77" t="inlineStr">
        <is>
          <t>-1</t>
        </is>
      </c>
      <c r="S42" s="77" t="inlineStr">
        <is>
          <t>1</t>
        </is>
      </c>
      <c r="T42" s="77" t="n"/>
      <c r="U42" s="77" t="n"/>
      <c r="V42" s="77" t="n"/>
      <c r="W42" s="77" t="n"/>
      <c r="X42" s="77" t="inlineStr">
        <is>
          <t>img_huangfeiyiji</t>
        </is>
      </c>
      <c r="Y42" s="77" t="inlineStr">
        <is>
          <t>[弟子]在搜寻过程中惊动了遗迹中憩息的野兽，朝众人扑了过来！|13000</t>
        </is>
      </c>
      <c r="Z42" s="124" t="n"/>
      <c r="AA42" s="65" t="n"/>
      <c r="AB42" s="65" t="n"/>
      <c r="AC42" s="65" t="n"/>
      <c r="AD42" s="65" t="n"/>
      <c r="AE42" s="65" t="n"/>
      <c r="AF42" s="65" t="n"/>
      <c r="AG42" s="65" t="n"/>
      <c r="AH42" s="65" t="n"/>
      <c r="AI42" s="65" t="n"/>
      <c r="AJ42" s="65" t="n"/>
      <c r="AK42" s="65" t="n"/>
      <c r="AL42" s="65" t="n"/>
      <c r="AM42" s="65" t="n"/>
      <c r="AN42" s="85" t="n"/>
      <c r="AO42" s="85" t="n"/>
      <c r="AP42" s="85" t="n"/>
      <c r="AQ42" s="85" t="n"/>
      <c r="AR42" s="85" t="n"/>
      <c r="AS42" s="85" t="n"/>
      <c r="AT42" s="85" t="n"/>
      <c r="AU42" s="85" t="n"/>
      <c r="AV42" s="85" t="n"/>
      <c r="AW42" s="85" t="n"/>
      <c r="AX42" s="85" t="n"/>
      <c r="AY42" s="85" t="n"/>
      <c r="AZ42" s="85" t="n"/>
      <c r="BA42" s="85" t="n"/>
      <c r="BB42" s="85" t="n"/>
      <c r="BC42" s="85" t="n"/>
      <c r="BD42" s="85" t="n"/>
      <c r="BE42" s="85" t="n"/>
      <c r="BF42" s="85" t="n"/>
      <c r="BG42" s="85" t="n"/>
      <c r="BH42" s="85" t="n"/>
      <c r="BI42" s="85" t="n"/>
      <c r="BJ42" s="85" t="n"/>
      <c r="BK42" s="85" t="n"/>
      <c r="BL42" s="85" t="n"/>
      <c r="BM42" s="85" t="n"/>
      <c r="BN42" s="85" t="n"/>
      <c r="BO42" s="85" t="n"/>
      <c r="BP42" s="85" t="n"/>
      <c r="BQ42" s="85" t="n"/>
      <c r="BR42" s="85" t="n"/>
      <c r="BS42" s="85" t="n"/>
      <c r="BT42" s="85" t="n"/>
      <c r="BU42" s="85" t="n"/>
      <c r="BV42" s="85" t="n"/>
      <c r="BW42" s="85" t="n"/>
      <c r="BX42" s="85" t="n"/>
      <c r="BY42" s="85" t="n"/>
      <c r="BZ42" s="85" t="n"/>
      <c r="CA42" s="85" t="n"/>
      <c r="CB42" s="85" t="n"/>
      <c r="CC42" s="85" t="n"/>
      <c r="CD42" s="85" t="n"/>
      <c r="CE42" s="85" t="n"/>
      <c r="CF42" s="85" t="n"/>
      <c r="CG42" s="85" t="n"/>
      <c r="CH42" s="85" t="n"/>
      <c r="CI42" s="85" t="n"/>
      <c r="CJ42" s="85" t="n"/>
      <c r="CK42" s="85" t="n"/>
      <c r="CL42" s="85" t="n"/>
      <c r="CM42" s="85" t="n"/>
      <c r="CN42" s="85" t="n"/>
      <c r="CO42" s="85" t="n"/>
      <c r="CP42" s="85" t="n"/>
      <c r="CQ42" s="85" t="n"/>
      <c r="CR42" s="85" t="n"/>
      <c r="CS42" s="85" t="n"/>
      <c r="CT42" s="85" t="n"/>
      <c r="CU42" s="85" t="n"/>
      <c r="CV42" s="85" t="n"/>
      <c r="CW42" s="85" t="n"/>
      <c r="CX42" s="85" t="n"/>
      <c r="CY42" s="85" t="n"/>
      <c r="CZ42" s="85" t="n"/>
      <c r="DA42" s="85" t="n"/>
      <c r="DB42" s="85" t="n"/>
      <c r="DC42" s="85" t="n"/>
      <c r="DD42" s="85" t="n"/>
      <c r="DE42" s="85" t="n"/>
      <c r="DF42" s="85" t="n"/>
      <c r="DG42" s="85" t="n"/>
      <c r="DH42" s="85" t="n"/>
      <c r="DI42" s="85" t="n"/>
      <c r="DJ42" s="85" t="n"/>
      <c r="DK42" s="85" t="n"/>
      <c r="DL42" s="85" t="n"/>
      <c r="DM42" s="85" t="n"/>
      <c r="DN42" s="85" t="n"/>
      <c r="DO42" s="85" t="n"/>
      <c r="DP42" s="85" t="n"/>
      <c r="DQ42" s="85" t="n"/>
      <c r="DR42" s="85" t="n"/>
      <c r="DS42" s="85" t="n"/>
      <c r="DT42" s="85" t="n"/>
      <c r="DU42" s="85" t="n"/>
      <c r="DV42" s="85" t="n"/>
      <c r="DW42" s="85" t="n"/>
      <c r="DX42" s="85" t="n"/>
      <c r="DY42" s="85" t="n"/>
      <c r="DZ42" s="85" t="n"/>
      <c r="EA42" s="85" t="n"/>
      <c r="EB42" s="85" t="n"/>
      <c r="EC42" s="85" t="n"/>
      <c r="ED42" s="85" t="n"/>
      <c r="EE42" s="85" t="n"/>
      <c r="EF42" s="85" t="n"/>
      <c r="EG42" s="85" t="n"/>
      <c r="EH42" s="85" t="n"/>
      <c r="EI42" s="85" t="n"/>
      <c r="EJ42" s="85" t="n"/>
      <c r="EK42" s="85" t="n"/>
      <c r="EL42" s="85" t="n"/>
      <c r="EM42" s="85" t="n"/>
      <c r="EN42" s="85" t="n"/>
      <c r="EO42" s="85" t="n"/>
      <c r="EP42" s="85" t="n"/>
      <c r="EQ42" s="85" t="n"/>
      <c r="ER42" s="85" t="n"/>
      <c r="ES42" s="85" t="n"/>
      <c r="ET42" s="85" t="n"/>
      <c r="EU42" s="85" t="n"/>
      <c r="EV42" s="85" t="n"/>
      <c r="EW42" s="85" t="n"/>
      <c r="EX42" s="85" t="n"/>
      <c r="EY42" s="85" t="n"/>
      <c r="EZ42" s="85" t="n"/>
      <c r="FA42" s="85" t="n"/>
      <c r="FB42" s="85" t="n"/>
      <c r="FC42" s="85" t="n"/>
      <c r="FD42" s="85" t="n"/>
      <c r="FE42" s="85" t="n"/>
      <c r="FF42" s="85" t="n"/>
      <c r="FG42" s="85" t="n"/>
      <c r="FH42" s="85" t="n"/>
      <c r="FI42" s="85" t="n"/>
      <c r="FJ42" s="85" t="n"/>
      <c r="FK42" s="85" t="n"/>
      <c r="FL42" s="85" t="n"/>
      <c r="FM42" s="85" t="n"/>
      <c r="FN42" s="85" t="n"/>
      <c r="FO42" s="85" t="n"/>
      <c r="FP42" s="85" t="n"/>
      <c r="FQ42" s="85" t="n"/>
      <c r="FR42" s="85" t="n"/>
      <c r="FS42" s="85" t="n"/>
      <c r="FT42" s="85" t="n"/>
      <c r="FU42" s="85" t="n"/>
      <c r="FV42" s="85" t="n"/>
      <c r="FW42" s="85" t="n"/>
      <c r="FX42" s="85" t="n"/>
      <c r="FY42" s="85" t="n"/>
      <c r="FZ42" s="85" t="n"/>
      <c r="GA42" s="85" t="n"/>
      <c r="GB42" s="85" t="n"/>
      <c r="GC42" s="85" t="n"/>
      <c r="GD42" s="85" t="n"/>
      <c r="GE42" s="85" t="n"/>
      <c r="GF42" s="85" t="n"/>
      <c r="GG42" s="85" t="n"/>
      <c r="GH42" s="85" t="n"/>
      <c r="GI42" s="85" t="n"/>
      <c r="GJ42" s="85" t="n"/>
      <c r="GK42" s="85" t="n"/>
      <c r="GL42" s="85" t="n"/>
      <c r="GM42" s="85" t="n"/>
      <c r="GN42" s="85" t="n"/>
      <c r="GO42" s="85" t="n"/>
      <c r="GP42" s="85" t="n"/>
      <c r="GQ42" s="85" t="n"/>
      <c r="GR42" s="85" t="n"/>
      <c r="GS42" s="85" t="n"/>
      <c r="GT42" s="85" t="n"/>
      <c r="GU42" s="85" t="n"/>
      <c r="GV42" s="85" t="n"/>
      <c r="GW42" s="85" t="n"/>
      <c r="GX42" s="85" t="n"/>
      <c r="GY42" s="85" t="n"/>
      <c r="GZ42" s="85" t="n"/>
      <c r="HA42" s="85" t="n"/>
      <c r="HB42" s="85" t="n"/>
      <c r="HC42" s="85" t="n"/>
      <c r="HD42" s="85" t="n"/>
      <c r="HE42" s="85" t="n"/>
      <c r="HF42" s="85" t="n"/>
      <c r="HG42" s="85" t="n"/>
      <c r="HH42" s="85" t="n"/>
      <c r="HI42" s="85" t="n"/>
      <c r="HJ42" s="85" t="n"/>
      <c r="HK42" s="85" t="n"/>
      <c r="HL42" s="85" t="n"/>
      <c r="HM42" s="85" t="n"/>
      <c r="HN42" s="85" t="n"/>
      <c r="HO42" s="85" t="n"/>
      <c r="HP42" s="85" t="n"/>
      <c r="HQ42" s="85" t="n"/>
      <c r="HR42" s="85" t="n"/>
      <c r="HS42" s="85" t="n"/>
      <c r="HT42" s="85" t="n"/>
      <c r="HU42" s="85" t="n"/>
      <c r="HV42" s="85" t="n"/>
      <c r="HW42" s="85" t="n"/>
      <c r="HX42" s="85" t="n"/>
      <c r="HY42" s="85" t="n"/>
      <c r="HZ42" s="85" t="n"/>
      <c r="IA42" s="85" t="n"/>
    </row>
    <row r="43" ht="130.5" customHeight="1" s="127">
      <c r="B43" s="65" t="inlineStr">
        <is>
          <t>22005</t>
        </is>
      </c>
      <c r="C43" s="124" t="inlineStr">
        <is>
          <t>简陋木屋</t>
        </is>
      </c>
      <c r="D43" s="76" t="inlineStr">
        <is>
          <t>一座摇摇欲坠的简陋木屋，不知为何会出现在此地，看样子是什么人匆匆搭建的。</t>
        </is>
      </c>
      <c r="E43" s="77" t="n"/>
      <c r="F43" s="110" t="inlineStr">
        <is>
          <t>10001|1300|1600,162001|2|4$10001|2000|2400</t>
        </is>
      </c>
      <c r="G43" s="77" t="inlineStr">
        <is>
          <t>5</t>
        </is>
      </c>
      <c r="H43" s="77" t="inlineStr">
        <is>
          <t>1</t>
        </is>
      </c>
      <c r="I43" s="77" t="inlineStr">
        <is>
          <t>简单搜寻</t>
        </is>
      </c>
      <c r="J43" s="77" t="inlineStr">
        <is>
          <t>彻底探索</t>
        </is>
      </c>
      <c r="K43" s="77" t="inlineStr">
        <is>
          <t>矿</t>
        </is>
      </c>
      <c r="L43" s="77" t="inlineStr">
        <is>
          <t>7</t>
        </is>
      </c>
      <c r="M43" s="77" t="inlineStr">
        <is>
          <t>还是不要贸然靠近危险，弟子在门口简单搜巡了一番，并在边缘角落发现了意外之喜</t>
        </is>
      </c>
      <c r="N43" s="77" t="n"/>
      <c r="O43" s="77" t="n"/>
      <c r="P43" s="77" t="n"/>
      <c r="Q43" s="77" t="n"/>
      <c r="R43" s="77" t="inlineStr">
        <is>
          <t>-1</t>
        </is>
      </c>
      <c r="S43" s="77" t="inlineStr">
        <is>
          <t>2</t>
        </is>
      </c>
      <c r="T43" s="77" t="n"/>
      <c r="U43" s="77" t="n"/>
      <c r="V43" s="77" t="n"/>
      <c r="W43" s="77" t="n"/>
      <c r="X43" s="77" t="inlineStr">
        <is>
          <t>img_jianloumuwu</t>
        </is>
      </c>
      <c r="Y43" s="77" t="inlineStr">
        <is>
          <t>居然有一名隐修尚未离开，似乎入了魔道，向众人发动攻击！|20000</t>
        </is>
      </c>
      <c r="Z43" s="124" t="n"/>
      <c r="AA43" s="65" t="n"/>
      <c r="AB43" s="65" t="n"/>
      <c r="AC43" s="65" t="n"/>
      <c r="AD43" s="65" t="n"/>
      <c r="AE43" s="65" t="n"/>
      <c r="AF43" s="65" t="n"/>
      <c r="AG43" s="65" t="n"/>
      <c r="AH43" s="65" t="n"/>
      <c r="AI43" s="65" t="n"/>
      <c r="AJ43" s="65" t="n"/>
      <c r="AK43" s="65" t="n"/>
      <c r="AL43" s="65" t="n"/>
      <c r="AM43" s="65" t="n"/>
      <c r="AN43" s="85" t="n"/>
      <c r="AO43" s="85" t="n"/>
      <c r="AP43" s="85" t="n"/>
      <c r="AQ43" s="85" t="n"/>
      <c r="AR43" s="85" t="n"/>
      <c r="AS43" s="85" t="n"/>
      <c r="AT43" s="85" t="n"/>
      <c r="AU43" s="85" t="n"/>
      <c r="AV43" s="85" t="n"/>
      <c r="AW43" s="85" t="n"/>
      <c r="AX43" s="85" t="n"/>
      <c r="AY43" s="85" t="n"/>
      <c r="AZ43" s="85" t="n"/>
      <c r="BA43" s="85" t="n"/>
      <c r="BB43" s="85" t="n"/>
      <c r="BC43" s="85" t="n"/>
      <c r="BD43" s="85" t="n"/>
      <c r="BE43" s="85" t="n"/>
      <c r="BF43" s="85" t="n"/>
      <c r="BG43" s="85" t="n"/>
      <c r="BH43" s="85" t="n"/>
      <c r="BI43" s="85" t="n"/>
      <c r="BJ43" s="85" t="n"/>
      <c r="BK43" s="85" t="n"/>
      <c r="BL43" s="85" t="n"/>
      <c r="BM43" s="85" t="n"/>
      <c r="BN43" s="85" t="n"/>
      <c r="BO43" s="85" t="n"/>
      <c r="BP43" s="85" t="n"/>
      <c r="BQ43" s="85" t="n"/>
      <c r="BR43" s="85" t="n"/>
      <c r="BS43" s="85" t="n"/>
      <c r="BT43" s="85" t="n"/>
      <c r="BU43" s="85" t="n"/>
      <c r="BV43" s="85" t="n"/>
      <c r="BW43" s="85" t="n"/>
      <c r="BX43" s="85" t="n"/>
      <c r="BY43" s="85" t="n"/>
      <c r="BZ43" s="85" t="n"/>
      <c r="CA43" s="85" t="n"/>
      <c r="CB43" s="85" t="n"/>
      <c r="CC43" s="85" t="n"/>
      <c r="CD43" s="85" t="n"/>
      <c r="CE43" s="85" t="n"/>
      <c r="CF43" s="85" t="n"/>
      <c r="CG43" s="85" t="n"/>
      <c r="CH43" s="85" t="n"/>
      <c r="CI43" s="85" t="n"/>
      <c r="CJ43" s="85" t="n"/>
      <c r="CK43" s="85" t="n"/>
      <c r="CL43" s="85" t="n"/>
      <c r="CM43" s="85" t="n"/>
      <c r="CN43" s="85" t="n"/>
      <c r="CO43" s="85" t="n"/>
      <c r="CP43" s="85" t="n"/>
      <c r="CQ43" s="85" t="n"/>
      <c r="CR43" s="85" t="n"/>
      <c r="CS43" s="85" t="n"/>
      <c r="CT43" s="85" t="n"/>
      <c r="CU43" s="85" t="n"/>
      <c r="CV43" s="85" t="n"/>
      <c r="CW43" s="85" t="n"/>
      <c r="CX43" s="85" t="n"/>
      <c r="CY43" s="85" t="n"/>
      <c r="CZ43" s="85" t="n"/>
      <c r="DA43" s="85" t="n"/>
      <c r="DB43" s="85" t="n"/>
      <c r="DC43" s="85" t="n"/>
      <c r="DD43" s="85" t="n"/>
      <c r="DE43" s="85" t="n"/>
      <c r="DF43" s="85" t="n"/>
      <c r="DG43" s="85" t="n"/>
      <c r="DH43" s="85" t="n"/>
      <c r="DI43" s="85" t="n"/>
      <c r="DJ43" s="85" t="n"/>
      <c r="DK43" s="85" t="n"/>
      <c r="DL43" s="85" t="n"/>
      <c r="DM43" s="85" t="n"/>
      <c r="DN43" s="85" t="n"/>
      <c r="DO43" s="85" t="n"/>
      <c r="DP43" s="85" t="n"/>
      <c r="DQ43" s="85" t="n"/>
      <c r="DR43" s="85" t="n"/>
      <c r="DS43" s="85" t="n"/>
      <c r="DT43" s="85" t="n"/>
      <c r="DU43" s="85" t="n"/>
      <c r="DV43" s="85" t="n"/>
      <c r="DW43" s="85" t="n"/>
      <c r="DX43" s="85" t="n"/>
      <c r="DY43" s="85" t="n"/>
      <c r="DZ43" s="85" t="n"/>
      <c r="EA43" s="85" t="n"/>
      <c r="EB43" s="85" t="n"/>
      <c r="EC43" s="85" t="n"/>
      <c r="ED43" s="85" t="n"/>
      <c r="EE43" s="85" t="n"/>
      <c r="EF43" s="85" t="n"/>
      <c r="EG43" s="85" t="n"/>
      <c r="EH43" s="85" t="n"/>
      <c r="EI43" s="85" t="n"/>
      <c r="EJ43" s="85" t="n"/>
      <c r="EK43" s="85" t="n"/>
      <c r="EL43" s="85" t="n"/>
      <c r="EM43" s="85" t="n"/>
      <c r="EN43" s="85" t="n"/>
      <c r="EO43" s="85" t="n"/>
      <c r="EP43" s="85" t="n"/>
      <c r="EQ43" s="85" t="n"/>
      <c r="ER43" s="85" t="n"/>
      <c r="ES43" s="85" t="n"/>
      <c r="ET43" s="85" t="n"/>
      <c r="EU43" s="85" t="n"/>
      <c r="EV43" s="85" t="n"/>
      <c r="EW43" s="85" t="n"/>
      <c r="EX43" s="85" t="n"/>
      <c r="EY43" s="85" t="n"/>
      <c r="EZ43" s="85" t="n"/>
      <c r="FA43" s="85" t="n"/>
      <c r="FB43" s="85" t="n"/>
      <c r="FC43" s="85" t="n"/>
      <c r="FD43" s="85" t="n"/>
      <c r="FE43" s="85" t="n"/>
      <c r="FF43" s="85" t="n"/>
      <c r="FG43" s="85" t="n"/>
      <c r="FH43" s="85" t="n"/>
      <c r="FI43" s="85" t="n"/>
      <c r="FJ43" s="85" t="n"/>
      <c r="FK43" s="85" t="n"/>
      <c r="FL43" s="85" t="n"/>
      <c r="FM43" s="85" t="n"/>
      <c r="FN43" s="85" t="n"/>
      <c r="FO43" s="85" t="n"/>
      <c r="FP43" s="85" t="n"/>
      <c r="FQ43" s="85" t="n"/>
      <c r="FR43" s="85" t="n"/>
      <c r="FS43" s="85" t="n"/>
      <c r="FT43" s="85" t="n"/>
      <c r="FU43" s="85" t="n"/>
      <c r="FV43" s="85" t="n"/>
      <c r="FW43" s="85" t="n"/>
      <c r="FX43" s="85" t="n"/>
      <c r="FY43" s="85" t="n"/>
      <c r="FZ43" s="85" t="n"/>
      <c r="GA43" s="85" t="n"/>
      <c r="GB43" s="85" t="n"/>
      <c r="GC43" s="85" t="n"/>
      <c r="GD43" s="85" t="n"/>
      <c r="GE43" s="85" t="n"/>
      <c r="GF43" s="85" t="n"/>
      <c r="GG43" s="85" t="n"/>
      <c r="GH43" s="85" t="n"/>
      <c r="GI43" s="85" t="n"/>
      <c r="GJ43" s="85" t="n"/>
      <c r="GK43" s="85" t="n"/>
      <c r="GL43" s="85" t="n"/>
      <c r="GM43" s="85" t="n"/>
      <c r="GN43" s="85" t="n"/>
      <c r="GO43" s="85" t="n"/>
      <c r="GP43" s="85" t="n"/>
      <c r="GQ43" s="85" t="n"/>
      <c r="GR43" s="85" t="n"/>
      <c r="GS43" s="85" t="n"/>
      <c r="GT43" s="85" t="n"/>
      <c r="GU43" s="85" t="n"/>
      <c r="GV43" s="85" t="n"/>
      <c r="GW43" s="85" t="n"/>
      <c r="GX43" s="85" t="n"/>
      <c r="GY43" s="85" t="n"/>
      <c r="GZ43" s="85" t="n"/>
      <c r="HA43" s="85" t="n"/>
      <c r="HB43" s="85" t="n"/>
      <c r="HC43" s="85" t="n"/>
      <c r="HD43" s="85" t="n"/>
      <c r="HE43" s="85" t="n"/>
      <c r="HF43" s="85" t="n"/>
      <c r="HG43" s="85" t="n"/>
      <c r="HH43" s="85" t="n"/>
      <c r="HI43" s="85" t="n"/>
      <c r="HJ43" s="85" t="n"/>
      <c r="HK43" s="85" t="n"/>
      <c r="HL43" s="85" t="n"/>
      <c r="HM43" s="85" t="n"/>
      <c r="HN43" s="85" t="n"/>
      <c r="HO43" s="85" t="n"/>
      <c r="HP43" s="85" t="n"/>
      <c r="HQ43" s="85" t="n"/>
      <c r="HR43" s="85" t="n"/>
      <c r="HS43" s="85" t="n"/>
      <c r="HT43" s="85" t="n"/>
      <c r="HU43" s="85" t="n"/>
      <c r="HV43" s="85" t="n"/>
      <c r="HW43" s="85" t="n"/>
      <c r="HX43" s="85" t="n"/>
      <c r="HY43" s="85" t="n"/>
      <c r="HZ43" s="85" t="n"/>
      <c r="IA43" s="85" t="n"/>
    </row>
    <row r="44" ht="130.5" customHeight="1" s="127">
      <c r="B44" s="65" t="inlineStr">
        <is>
          <t>22006</t>
        </is>
      </c>
      <c r="C44" s="124" t="inlineStr">
        <is>
          <t>古朴木屋</t>
        </is>
      </c>
      <c r="D44" s="76" t="inlineStr">
        <is>
          <t>一座透着古朴意境的木屋，可能是某位大能曾居住过的地方。</t>
        </is>
      </c>
      <c r="E44" s="77" t="n"/>
      <c r="F44" s="110" t="inlineStr">
        <is>
          <t>10001|2000|2400,162001|4|6$10001|2800|3200</t>
        </is>
      </c>
      <c r="G44" s="77" t="inlineStr">
        <is>
          <t>5</t>
        </is>
      </c>
      <c r="H44" s="77" t="inlineStr">
        <is>
          <t>1</t>
        </is>
      </c>
      <c r="I44" s="77" t="inlineStr">
        <is>
          <t>简单搜寻</t>
        </is>
      </c>
      <c r="J44" s="77" t="inlineStr">
        <is>
          <t>彻底探索</t>
        </is>
      </c>
      <c r="K44" s="77" t="inlineStr">
        <is>
          <t>矿</t>
        </is>
      </c>
      <c r="L44" s="77" t="inlineStr">
        <is>
          <t>7</t>
        </is>
      </c>
      <c r="M44" s="77" t="inlineStr">
        <is>
          <t>还是不要贸然靠近危险，弟子在门口简单搜巡了一番，并在边缘角落发现了意外之喜</t>
        </is>
      </c>
      <c r="N44" s="77" t="n"/>
      <c r="O44" s="77" t="n"/>
      <c r="P44" s="77" t="n"/>
      <c r="Q44" s="77" t="n"/>
      <c r="R44" s="77" t="inlineStr">
        <is>
          <t>-1</t>
        </is>
      </c>
      <c r="S44" s="77" t="inlineStr">
        <is>
          <t>3</t>
        </is>
      </c>
      <c r="T44" s="77" t="n"/>
      <c r="U44" s="77" t="n"/>
      <c r="V44" s="77" t="n"/>
      <c r="W44" s="77" t="n"/>
      <c r="X44" s="77" t="inlineStr">
        <is>
          <t>img_gupumuw</t>
        </is>
      </c>
      <c r="Y44" s="77" t="inlineStr">
        <is>
          <t>大能的残魂还未散去，向众人发动攻击！|27000</t>
        </is>
      </c>
      <c r="Z44" s="124" t="n"/>
      <c r="AA44" s="65" t="n"/>
      <c r="AB44" s="65" t="n"/>
      <c r="AC44" s="65" t="n"/>
      <c r="AD44" s="65" t="n"/>
      <c r="AE44" s="65" t="n"/>
      <c r="AF44" s="65" t="n"/>
      <c r="AG44" s="65" t="n"/>
      <c r="AH44" s="65" t="n"/>
      <c r="AI44" s="65" t="n"/>
      <c r="AJ44" s="65" t="n"/>
      <c r="AK44" s="65" t="n"/>
      <c r="AL44" s="65" t="n"/>
      <c r="AM44" s="65" t="n"/>
      <c r="AN44" s="85" t="n"/>
      <c r="AO44" s="85" t="n"/>
      <c r="AP44" s="85" t="n"/>
      <c r="AQ44" s="85" t="n"/>
      <c r="AR44" s="85" t="n"/>
      <c r="AS44" s="85" t="n"/>
      <c r="AT44" s="85" t="n"/>
      <c r="AU44" s="85" t="n"/>
      <c r="AV44" s="85" t="n"/>
      <c r="AW44" s="85" t="n"/>
      <c r="AX44" s="85" t="n"/>
      <c r="AY44" s="85" t="n"/>
      <c r="AZ44" s="85" t="n"/>
      <c r="BA44" s="85" t="n"/>
      <c r="BB44" s="85" t="n"/>
      <c r="BC44" s="85" t="n"/>
      <c r="BD44" s="85" t="n"/>
      <c r="BE44" s="85" t="n"/>
      <c r="BF44" s="85" t="n"/>
      <c r="BG44" s="85" t="n"/>
      <c r="BH44" s="85" t="n"/>
      <c r="BI44" s="85" t="n"/>
      <c r="BJ44" s="85" t="n"/>
      <c r="BK44" s="85" t="n"/>
      <c r="BL44" s="85" t="n"/>
      <c r="BM44" s="85" t="n"/>
      <c r="BN44" s="85" t="n"/>
      <c r="BO44" s="85" t="n"/>
      <c r="BP44" s="85" t="n"/>
      <c r="BQ44" s="85" t="n"/>
      <c r="BR44" s="85" t="n"/>
      <c r="BS44" s="85" t="n"/>
      <c r="BT44" s="85" t="n"/>
      <c r="BU44" s="85" t="n"/>
      <c r="BV44" s="85" t="n"/>
      <c r="BW44" s="85" t="n"/>
      <c r="BX44" s="85" t="n"/>
      <c r="BY44" s="85" t="n"/>
      <c r="BZ44" s="85" t="n"/>
      <c r="CA44" s="85" t="n"/>
      <c r="CB44" s="85" t="n"/>
      <c r="CC44" s="85" t="n"/>
      <c r="CD44" s="85" t="n"/>
      <c r="CE44" s="85" t="n"/>
      <c r="CF44" s="85" t="n"/>
      <c r="CG44" s="85" t="n"/>
      <c r="CH44" s="85" t="n"/>
      <c r="CI44" s="85" t="n"/>
      <c r="CJ44" s="85" t="n"/>
      <c r="CK44" s="85" t="n"/>
      <c r="CL44" s="85" t="n"/>
      <c r="CM44" s="85" t="n"/>
      <c r="CN44" s="85" t="n"/>
      <c r="CO44" s="85" t="n"/>
      <c r="CP44" s="85" t="n"/>
      <c r="CQ44" s="85" t="n"/>
      <c r="CR44" s="85" t="n"/>
      <c r="CS44" s="85" t="n"/>
      <c r="CT44" s="85" t="n"/>
      <c r="CU44" s="85" t="n"/>
      <c r="CV44" s="85" t="n"/>
      <c r="CW44" s="85" t="n"/>
      <c r="CX44" s="85" t="n"/>
      <c r="CY44" s="85" t="n"/>
      <c r="CZ44" s="85" t="n"/>
      <c r="DA44" s="85" t="n"/>
      <c r="DB44" s="85" t="n"/>
      <c r="DC44" s="85" t="n"/>
      <c r="DD44" s="85" t="n"/>
      <c r="DE44" s="85" t="n"/>
      <c r="DF44" s="85" t="n"/>
      <c r="DG44" s="85" t="n"/>
      <c r="DH44" s="85" t="n"/>
      <c r="DI44" s="85" t="n"/>
      <c r="DJ44" s="85" t="n"/>
      <c r="DK44" s="85" t="n"/>
      <c r="DL44" s="85" t="n"/>
      <c r="DM44" s="85" t="n"/>
      <c r="DN44" s="85" t="n"/>
      <c r="DO44" s="85" t="n"/>
      <c r="DP44" s="85" t="n"/>
      <c r="DQ44" s="85" t="n"/>
      <c r="DR44" s="85" t="n"/>
      <c r="DS44" s="85" t="n"/>
      <c r="DT44" s="85" t="n"/>
      <c r="DU44" s="85" t="n"/>
      <c r="DV44" s="85" t="n"/>
      <c r="DW44" s="85" t="n"/>
      <c r="DX44" s="85" t="n"/>
      <c r="DY44" s="85" t="n"/>
      <c r="DZ44" s="85" t="n"/>
      <c r="EA44" s="85" t="n"/>
      <c r="EB44" s="85" t="n"/>
      <c r="EC44" s="85" t="n"/>
      <c r="ED44" s="85" t="n"/>
      <c r="EE44" s="85" t="n"/>
      <c r="EF44" s="85" t="n"/>
      <c r="EG44" s="85" t="n"/>
      <c r="EH44" s="85" t="n"/>
      <c r="EI44" s="85" t="n"/>
      <c r="EJ44" s="85" t="n"/>
      <c r="EK44" s="85" t="n"/>
      <c r="EL44" s="85" t="n"/>
      <c r="EM44" s="85" t="n"/>
      <c r="EN44" s="85" t="n"/>
      <c r="EO44" s="85" t="n"/>
      <c r="EP44" s="85" t="n"/>
      <c r="EQ44" s="85" t="n"/>
      <c r="ER44" s="85" t="n"/>
      <c r="ES44" s="85" t="n"/>
      <c r="ET44" s="85" t="n"/>
      <c r="EU44" s="85" t="n"/>
      <c r="EV44" s="85" t="n"/>
      <c r="EW44" s="85" t="n"/>
      <c r="EX44" s="85" t="n"/>
      <c r="EY44" s="85" t="n"/>
      <c r="EZ44" s="85" t="n"/>
      <c r="FA44" s="85" t="n"/>
      <c r="FB44" s="85" t="n"/>
      <c r="FC44" s="85" t="n"/>
      <c r="FD44" s="85" t="n"/>
      <c r="FE44" s="85" t="n"/>
      <c r="FF44" s="85" t="n"/>
      <c r="FG44" s="85" t="n"/>
      <c r="FH44" s="85" t="n"/>
      <c r="FI44" s="85" t="n"/>
      <c r="FJ44" s="85" t="n"/>
      <c r="FK44" s="85" t="n"/>
      <c r="FL44" s="85" t="n"/>
      <c r="FM44" s="85" t="n"/>
      <c r="FN44" s="85" t="n"/>
      <c r="FO44" s="85" t="n"/>
      <c r="FP44" s="85" t="n"/>
      <c r="FQ44" s="85" t="n"/>
      <c r="FR44" s="85" t="n"/>
      <c r="FS44" s="85" t="n"/>
      <c r="FT44" s="85" t="n"/>
      <c r="FU44" s="85" t="n"/>
      <c r="FV44" s="85" t="n"/>
      <c r="FW44" s="85" t="n"/>
      <c r="FX44" s="85" t="n"/>
      <c r="FY44" s="85" t="n"/>
      <c r="FZ44" s="85" t="n"/>
      <c r="GA44" s="85" t="n"/>
      <c r="GB44" s="85" t="n"/>
      <c r="GC44" s="85" t="n"/>
      <c r="GD44" s="85" t="n"/>
      <c r="GE44" s="85" t="n"/>
      <c r="GF44" s="85" t="n"/>
      <c r="GG44" s="85" t="n"/>
      <c r="GH44" s="85" t="n"/>
      <c r="GI44" s="85" t="n"/>
      <c r="GJ44" s="85" t="n"/>
      <c r="GK44" s="85" t="n"/>
      <c r="GL44" s="85" t="n"/>
      <c r="GM44" s="85" t="n"/>
      <c r="GN44" s="85" t="n"/>
      <c r="GO44" s="85" t="n"/>
      <c r="GP44" s="85" t="n"/>
      <c r="GQ44" s="85" t="n"/>
      <c r="GR44" s="85" t="n"/>
      <c r="GS44" s="85" t="n"/>
      <c r="GT44" s="85" t="n"/>
      <c r="GU44" s="85" t="n"/>
      <c r="GV44" s="85" t="n"/>
      <c r="GW44" s="85" t="n"/>
      <c r="GX44" s="85" t="n"/>
      <c r="GY44" s="85" t="n"/>
      <c r="GZ44" s="85" t="n"/>
      <c r="HA44" s="85" t="n"/>
      <c r="HB44" s="85" t="n"/>
      <c r="HC44" s="85" t="n"/>
      <c r="HD44" s="85" t="n"/>
      <c r="HE44" s="85" t="n"/>
      <c r="HF44" s="85" t="n"/>
      <c r="HG44" s="85" t="n"/>
      <c r="HH44" s="85" t="n"/>
      <c r="HI44" s="85" t="n"/>
      <c r="HJ44" s="85" t="n"/>
      <c r="HK44" s="85" t="n"/>
      <c r="HL44" s="85" t="n"/>
      <c r="HM44" s="85" t="n"/>
      <c r="HN44" s="85" t="n"/>
      <c r="HO44" s="85" t="n"/>
      <c r="HP44" s="85" t="n"/>
      <c r="HQ44" s="85" t="n"/>
      <c r="HR44" s="85" t="n"/>
      <c r="HS44" s="85" t="n"/>
      <c r="HT44" s="85" t="n"/>
      <c r="HU44" s="85" t="n"/>
      <c r="HV44" s="85" t="n"/>
      <c r="HW44" s="85" t="n"/>
      <c r="HX44" s="85" t="n"/>
      <c r="HY44" s="85" t="n"/>
      <c r="HZ44" s="85" t="n"/>
      <c r="IA44" s="85" t="n"/>
    </row>
    <row r="45" ht="130.5" customFormat="1" customHeight="1" s="80">
      <c r="B45" s="65" t="inlineStr">
        <is>
          <t>22007</t>
        </is>
      </c>
      <c r="C45" s="124" t="inlineStr">
        <is>
          <t>飘渺庭院</t>
        </is>
      </c>
      <c r="D45" s="76" t="inlineStr">
        <is>
          <t>一座被微弱结界笼罩的庭院，从结界阵法上散发的威压来看，应该是某位大能曾经的住所。</t>
        </is>
      </c>
      <c r="E45" s="77" t="n"/>
      <c r="F45" s="110" t="inlineStr">
        <is>
          <t>10001|2800|3200,162001|6|8$152001|0|1$10001|3200|3600</t>
        </is>
      </c>
      <c r="G45" s="77" t="inlineStr">
        <is>
          <t>5</t>
        </is>
      </c>
      <c r="H45" s="77" t="inlineStr">
        <is>
          <t>1</t>
        </is>
      </c>
      <c r="I45" s="77" t="inlineStr">
        <is>
          <t>简单搜寻</t>
        </is>
      </c>
      <c r="J45" s="77" t="inlineStr">
        <is>
          <t>彻底探索</t>
        </is>
      </c>
      <c r="K45" s="77" t="inlineStr">
        <is>
          <t>矿</t>
        </is>
      </c>
      <c r="L45" s="77" t="inlineStr">
        <is>
          <t>7</t>
        </is>
      </c>
      <c r="M45" s="77" t="inlineStr">
        <is>
          <t>还是不要贸然靠近危险，弟子在门口简单搜巡了一番，并在边缘角落发现了意外之喜</t>
        </is>
      </c>
      <c r="N45" s="77" t="n"/>
      <c r="O45" s="77" t="n"/>
      <c r="P45" s="77" t="n"/>
      <c r="Q45" s="77" t="n"/>
      <c r="R45" s="77" t="inlineStr">
        <is>
          <t>-1</t>
        </is>
      </c>
      <c r="S45" s="77" t="inlineStr">
        <is>
          <t>4</t>
        </is>
      </c>
      <c r="T45" s="77" t="n"/>
      <c r="U45" s="77" t="n"/>
      <c r="V45" s="77" t="n"/>
      <c r="W45" s="77" t="n"/>
      <c r="X45" s="77" t="inlineStr">
        <is>
          <t>img_gupumuw</t>
        </is>
      </c>
      <c r="Y45" s="77" t="inlineStr">
        <is>
          <t>大能的残魂还未散去，向众人发动攻击！|34000</t>
        </is>
      </c>
      <c r="Z45" s="124" t="n"/>
      <c r="AA45" s="65" t="n"/>
      <c r="AB45" s="65" t="n"/>
      <c r="AC45" s="65" t="n"/>
      <c r="AD45" s="65" t="n"/>
      <c r="AE45" s="65" t="n"/>
      <c r="AF45" s="65" t="n"/>
      <c r="AG45" s="65" t="n"/>
      <c r="AH45" s="65" t="n"/>
      <c r="AI45" s="65" t="n"/>
      <c r="AJ45" s="65" t="n"/>
      <c r="AK45" s="65" t="n"/>
      <c r="AL45" s="65" t="n"/>
      <c r="AM45" s="65" t="n"/>
      <c r="AN45" s="85" t="n"/>
      <c r="AO45" s="85" t="n"/>
      <c r="AP45" s="85" t="n"/>
      <c r="AQ45" s="85" t="n"/>
      <c r="AR45" s="85" t="n"/>
      <c r="AS45" s="85" t="n"/>
      <c r="AT45" s="85" t="n"/>
      <c r="AU45" s="85" t="n"/>
      <c r="AV45" s="85" t="n"/>
      <c r="AW45" s="85" t="n"/>
      <c r="AX45" s="85" t="n"/>
      <c r="AY45" s="85" t="n"/>
      <c r="AZ45" s="85" t="n"/>
      <c r="BA45" s="85" t="n"/>
      <c r="BB45" s="85" t="n"/>
      <c r="BC45" s="85" t="n"/>
      <c r="BD45" s="85" t="n"/>
      <c r="BE45" s="85" t="n"/>
      <c r="BF45" s="85" t="n"/>
      <c r="BG45" s="85" t="n"/>
      <c r="BH45" s="85" t="n"/>
      <c r="BI45" s="85" t="n"/>
      <c r="BJ45" s="85" t="n"/>
      <c r="BK45" s="85" t="n"/>
      <c r="BL45" s="85" t="n"/>
      <c r="BM45" s="85" t="n"/>
      <c r="BN45" s="85" t="n"/>
      <c r="BO45" s="85" t="n"/>
      <c r="BP45" s="85" t="n"/>
      <c r="BQ45" s="85" t="n"/>
      <c r="BR45" s="85" t="n"/>
      <c r="BS45" s="85" t="n"/>
      <c r="BT45" s="85" t="n"/>
      <c r="BU45" s="85" t="n"/>
      <c r="BV45" s="85" t="n"/>
      <c r="BW45" s="85" t="n"/>
      <c r="BX45" s="85" t="n"/>
      <c r="BY45" s="85" t="n"/>
      <c r="BZ45" s="85" t="n"/>
      <c r="CA45" s="85" t="n"/>
      <c r="CB45" s="85" t="n"/>
      <c r="CC45" s="85" t="n"/>
      <c r="CD45" s="85" t="n"/>
      <c r="CE45" s="85" t="n"/>
      <c r="CF45" s="85" t="n"/>
      <c r="CG45" s="85" t="n"/>
      <c r="CH45" s="85" t="n"/>
      <c r="CI45" s="85" t="n"/>
      <c r="CJ45" s="85" t="n"/>
      <c r="CK45" s="85" t="n"/>
      <c r="CL45" s="85" t="n"/>
      <c r="CM45" s="85" t="n"/>
      <c r="CN45" s="85" t="n"/>
      <c r="CO45" s="85" t="n"/>
      <c r="CP45" s="85" t="n"/>
      <c r="CQ45" s="85" t="n"/>
      <c r="CR45" s="85" t="n"/>
      <c r="CS45" s="85" t="n"/>
      <c r="CT45" s="85" t="n"/>
      <c r="CU45" s="85" t="n"/>
      <c r="CV45" s="85" t="n"/>
      <c r="CW45" s="85" t="n"/>
      <c r="CX45" s="85" t="n"/>
      <c r="CY45" s="85" t="n"/>
      <c r="CZ45" s="85" t="n"/>
      <c r="DA45" s="85" t="n"/>
      <c r="DB45" s="85" t="n"/>
      <c r="DC45" s="85" t="n"/>
      <c r="DD45" s="85" t="n"/>
      <c r="DE45" s="85" t="n"/>
      <c r="DF45" s="85" t="n"/>
      <c r="DG45" s="85" t="n"/>
      <c r="DH45" s="85" t="n"/>
      <c r="DI45" s="85" t="n"/>
      <c r="DJ45" s="85" t="n"/>
      <c r="DK45" s="85" t="n"/>
      <c r="DL45" s="85" t="n"/>
      <c r="DM45" s="85" t="n"/>
      <c r="DN45" s="85" t="n"/>
      <c r="DO45" s="85" t="n"/>
      <c r="DP45" s="85" t="n"/>
      <c r="DQ45" s="85" t="n"/>
      <c r="DR45" s="85" t="n"/>
      <c r="DS45" s="85" t="n"/>
      <c r="DT45" s="85" t="n"/>
      <c r="DU45" s="85" t="n"/>
      <c r="DV45" s="85" t="n"/>
      <c r="DW45" s="85" t="n"/>
      <c r="DX45" s="85" t="n"/>
      <c r="DY45" s="85" t="n"/>
      <c r="DZ45" s="85" t="n"/>
      <c r="EA45" s="85" t="n"/>
      <c r="EB45" s="85" t="n"/>
      <c r="EC45" s="85" t="n"/>
      <c r="ED45" s="85" t="n"/>
      <c r="EE45" s="85" t="n"/>
      <c r="EF45" s="85" t="n"/>
      <c r="EG45" s="85" t="n"/>
      <c r="EH45" s="85" t="n"/>
      <c r="EI45" s="85" t="n"/>
      <c r="EJ45" s="85" t="n"/>
      <c r="EK45" s="85" t="n"/>
      <c r="EL45" s="85" t="n"/>
      <c r="EM45" s="85" t="n"/>
      <c r="EN45" s="85" t="n"/>
      <c r="EO45" s="85" t="n"/>
      <c r="EP45" s="85" t="n"/>
      <c r="EQ45" s="85" t="n"/>
      <c r="ER45" s="85" t="n"/>
      <c r="ES45" s="85" t="n"/>
      <c r="ET45" s="85" t="n"/>
      <c r="EU45" s="85" t="n"/>
      <c r="EV45" s="85" t="n"/>
      <c r="EW45" s="85" t="n"/>
      <c r="EX45" s="85" t="n"/>
      <c r="EY45" s="85" t="n"/>
      <c r="EZ45" s="85" t="n"/>
      <c r="FA45" s="85" t="n"/>
      <c r="FB45" s="85" t="n"/>
      <c r="FC45" s="85" t="n"/>
      <c r="FD45" s="85" t="n"/>
      <c r="FE45" s="85" t="n"/>
      <c r="FF45" s="85" t="n"/>
      <c r="FG45" s="85" t="n"/>
      <c r="FH45" s="85" t="n"/>
      <c r="FI45" s="85" t="n"/>
      <c r="FJ45" s="85" t="n"/>
      <c r="FK45" s="85" t="n"/>
      <c r="FL45" s="85" t="n"/>
      <c r="FM45" s="85" t="n"/>
      <c r="FN45" s="85" t="n"/>
      <c r="FO45" s="85" t="n"/>
      <c r="FP45" s="85" t="n"/>
      <c r="FQ45" s="85" t="n"/>
      <c r="FR45" s="85" t="n"/>
      <c r="FS45" s="85" t="n"/>
      <c r="FT45" s="85" t="n"/>
      <c r="FU45" s="85" t="n"/>
      <c r="FV45" s="85" t="n"/>
      <c r="FW45" s="85" t="n"/>
      <c r="FX45" s="85" t="n"/>
      <c r="FY45" s="85" t="n"/>
      <c r="FZ45" s="85" t="n"/>
      <c r="GA45" s="85" t="n"/>
      <c r="GB45" s="85" t="n"/>
      <c r="GC45" s="85" t="n"/>
      <c r="GD45" s="85" t="n"/>
      <c r="GE45" s="85" t="n"/>
      <c r="GF45" s="85" t="n"/>
      <c r="GG45" s="85" t="n"/>
      <c r="GH45" s="85" t="n"/>
      <c r="GI45" s="85" t="n"/>
      <c r="GJ45" s="85" t="n"/>
      <c r="GK45" s="85" t="n"/>
      <c r="GL45" s="85" t="n"/>
      <c r="GM45" s="85" t="n"/>
      <c r="GN45" s="85" t="n"/>
      <c r="GO45" s="85" t="n"/>
      <c r="GP45" s="85" t="n"/>
      <c r="GQ45" s="85" t="n"/>
      <c r="GR45" s="85" t="n"/>
      <c r="GS45" s="85" t="n"/>
      <c r="GT45" s="85" t="n"/>
      <c r="GU45" s="85" t="n"/>
      <c r="GV45" s="85" t="n"/>
      <c r="GW45" s="85" t="n"/>
      <c r="GX45" s="85" t="n"/>
      <c r="GY45" s="85" t="n"/>
      <c r="GZ45" s="85" t="n"/>
      <c r="HA45" s="85" t="n"/>
      <c r="HB45" s="85" t="n"/>
      <c r="HC45" s="85" t="n"/>
      <c r="HD45" s="85" t="n"/>
      <c r="HE45" s="85" t="n"/>
      <c r="HF45" s="85" t="n"/>
      <c r="HG45" s="85" t="n"/>
      <c r="HH45" s="85" t="n"/>
      <c r="HI45" s="85" t="n"/>
      <c r="HJ45" s="85" t="n"/>
      <c r="HK45" s="85" t="n"/>
      <c r="HL45" s="85" t="n"/>
      <c r="HM45" s="85" t="n"/>
      <c r="HN45" s="85" t="n"/>
      <c r="HO45" s="85" t="n"/>
      <c r="HP45" s="85" t="n"/>
      <c r="HQ45" s="85" t="n"/>
      <c r="HR45" s="85" t="n"/>
      <c r="HS45" s="85" t="n"/>
      <c r="HT45" s="85" t="n"/>
      <c r="HU45" s="85" t="n"/>
      <c r="HV45" s="85" t="n"/>
      <c r="HW45" s="85" t="n"/>
      <c r="HX45" s="85" t="n"/>
      <c r="HY45" s="85" t="n"/>
      <c r="HZ45" s="85" t="n"/>
      <c r="IA45" s="85" t="n"/>
    </row>
    <row r="46" ht="130.5" customFormat="1" customHeight="1" s="80">
      <c r="B46" s="65" t="inlineStr">
        <is>
          <t>22008</t>
        </is>
      </c>
      <c r="C46" s="124" t="inlineStr">
        <is>
          <t>破败宫殿</t>
        </is>
      </c>
      <c r="D46" s="76" t="inlineStr">
        <is>
          <t>一座庞大的建筑，应该是一座宫殿，虽然已经破败不堪，但远远望去，仍能感到其恢弘的气势。</t>
        </is>
      </c>
      <c r="E46" s="77" t="n"/>
      <c r="F46" s="110" t="inlineStr">
        <is>
          <t>10001|3200|3600,162001|8|10$152001|0|1$10001|3600|4000</t>
        </is>
      </c>
      <c r="G46" s="77" t="inlineStr">
        <is>
          <t>5</t>
        </is>
      </c>
      <c r="H46" s="77" t="inlineStr">
        <is>
          <t>1</t>
        </is>
      </c>
      <c r="I46" s="77" t="inlineStr">
        <is>
          <t>简单搜寻</t>
        </is>
      </c>
      <c r="J46" s="77" t="inlineStr">
        <is>
          <t>彻底探索</t>
        </is>
      </c>
      <c r="K46" s="77" t="inlineStr">
        <is>
          <t>矿</t>
        </is>
      </c>
      <c r="L46" s="77" t="inlineStr">
        <is>
          <t>7</t>
        </is>
      </c>
      <c r="M46" s="77" t="inlineStr">
        <is>
          <t>还是不要贸然靠近危险，弟子在门口简单搜巡了一番，并在边缘角落发现了意外之喜</t>
        </is>
      </c>
      <c r="N46" s="77" t="n"/>
      <c r="O46" s="77" t="n"/>
      <c r="P46" s="77" t="n"/>
      <c r="Q46" s="77" t="n"/>
      <c r="R46" s="77" t="inlineStr">
        <is>
          <t>-1</t>
        </is>
      </c>
      <c r="S46" s="77" t="inlineStr">
        <is>
          <t>5</t>
        </is>
      </c>
      <c r="T46" s="77" t="n"/>
      <c r="U46" s="77" t="n"/>
      <c r="V46" s="77" t="n"/>
      <c r="W46" s="77" t="n"/>
      <c r="X46" s="77" t="inlineStr">
        <is>
          <t>img_gupumuw</t>
        </is>
      </c>
      <c r="Y46" s="77" t="inlineStr">
        <is>
          <t>大能的残魂还未散去，向众人发动攻击！|41000</t>
        </is>
      </c>
      <c r="Z46" s="124" t="n"/>
      <c r="AA46" s="65" t="n"/>
      <c r="AB46" s="65" t="n"/>
      <c r="AC46" s="65" t="n"/>
      <c r="AD46" s="65" t="n"/>
      <c r="AE46" s="65" t="n"/>
      <c r="AF46" s="65" t="n"/>
      <c r="AG46" s="65" t="n"/>
      <c r="AH46" s="65" t="n"/>
      <c r="AI46" s="65" t="n"/>
      <c r="AJ46" s="65" t="n"/>
      <c r="AK46" s="65" t="n"/>
      <c r="AL46" s="65" t="n"/>
      <c r="AM46" s="65" t="n"/>
      <c r="AN46" s="85" t="n"/>
      <c r="AO46" s="85" t="n"/>
      <c r="AP46" s="85" t="n"/>
      <c r="AQ46" s="85" t="n"/>
      <c r="AR46" s="85" t="n"/>
      <c r="AS46" s="85" t="n"/>
      <c r="AT46" s="85" t="n"/>
      <c r="AU46" s="85" t="n"/>
      <c r="AV46" s="85" t="n"/>
      <c r="AW46" s="85" t="n"/>
      <c r="AX46" s="85" t="n"/>
      <c r="AY46" s="85" t="n"/>
      <c r="AZ46" s="85" t="n"/>
      <c r="BA46" s="85" t="n"/>
      <c r="BB46" s="85" t="n"/>
      <c r="BC46" s="85" t="n"/>
      <c r="BD46" s="85" t="n"/>
      <c r="BE46" s="85" t="n"/>
      <c r="BF46" s="85" t="n"/>
      <c r="BG46" s="85" t="n"/>
      <c r="BH46" s="85" t="n"/>
      <c r="BI46" s="85" t="n"/>
      <c r="BJ46" s="85" t="n"/>
      <c r="BK46" s="85" t="n"/>
      <c r="BL46" s="85" t="n"/>
      <c r="BM46" s="85" t="n"/>
      <c r="BN46" s="85" t="n"/>
      <c r="BO46" s="85" t="n"/>
      <c r="BP46" s="85" t="n"/>
      <c r="BQ46" s="85" t="n"/>
      <c r="BR46" s="85" t="n"/>
      <c r="BS46" s="85" t="n"/>
      <c r="BT46" s="85" t="n"/>
      <c r="BU46" s="85" t="n"/>
      <c r="BV46" s="85" t="n"/>
      <c r="BW46" s="85" t="n"/>
      <c r="BX46" s="85" t="n"/>
      <c r="BY46" s="85" t="n"/>
      <c r="BZ46" s="85" t="n"/>
      <c r="CA46" s="85" t="n"/>
      <c r="CB46" s="85" t="n"/>
      <c r="CC46" s="85" t="n"/>
      <c r="CD46" s="85" t="n"/>
      <c r="CE46" s="85" t="n"/>
      <c r="CF46" s="85" t="n"/>
      <c r="CG46" s="85" t="n"/>
      <c r="CH46" s="85" t="n"/>
      <c r="CI46" s="85" t="n"/>
      <c r="CJ46" s="85" t="n"/>
      <c r="CK46" s="85" t="n"/>
      <c r="CL46" s="85" t="n"/>
      <c r="CM46" s="85" t="n"/>
      <c r="CN46" s="85" t="n"/>
      <c r="CO46" s="85" t="n"/>
      <c r="CP46" s="85" t="n"/>
      <c r="CQ46" s="85" t="n"/>
      <c r="CR46" s="85" t="n"/>
      <c r="CS46" s="85" t="n"/>
      <c r="CT46" s="85" t="n"/>
      <c r="CU46" s="85" t="n"/>
      <c r="CV46" s="85" t="n"/>
      <c r="CW46" s="85" t="n"/>
      <c r="CX46" s="85" t="n"/>
      <c r="CY46" s="85" t="n"/>
      <c r="CZ46" s="85" t="n"/>
      <c r="DA46" s="85" t="n"/>
      <c r="DB46" s="85" t="n"/>
      <c r="DC46" s="85" t="n"/>
      <c r="DD46" s="85" t="n"/>
      <c r="DE46" s="85" t="n"/>
      <c r="DF46" s="85" t="n"/>
      <c r="DG46" s="85" t="n"/>
      <c r="DH46" s="85" t="n"/>
      <c r="DI46" s="85" t="n"/>
      <c r="DJ46" s="85" t="n"/>
      <c r="DK46" s="85" t="n"/>
      <c r="DL46" s="85" t="n"/>
      <c r="DM46" s="85" t="n"/>
      <c r="DN46" s="85" t="n"/>
      <c r="DO46" s="85" t="n"/>
      <c r="DP46" s="85" t="n"/>
      <c r="DQ46" s="85" t="n"/>
      <c r="DR46" s="85" t="n"/>
      <c r="DS46" s="85" t="n"/>
      <c r="DT46" s="85" t="n"/>
      <c r="DU46" s="85" t="n"/>
      <c r="DV46" s="85" t="n"/>
      <c r="DW46" s="85" t="n"/>
      <c r="DX46" s="85" t="n"/>
      <c r="DY46" s="85" t="n"/>
      <c r="DZ46" s="85" t="n"/>
      <c r="EA46" s="85" t="n"/>
      <c r="EB46" s="85" t="n"/>
      <c r="EC46" s="85" t="n"/>
      <c r="ED46" s="85" t="n"/>
      <c r="EE46" s="85" t="n"/>
      <c r="EF46" s="85" t="n"/>
      <c r="EG46" s="85" t="n"/>
      <c r="EH46" s="85" t="n"/>
      <c r="EI46" s="85" t="n"/>
      <c r="EJ46" s="85" t="n"/>
      <c r="EK46" s="85" t="n"/>
      <c r="EL46" s="85" t="n"/>
      <c r="EM46" s="85" t="n"/>
      <c r="EN46" s="85" t="n"/>
      <c r="EO46" s="85" t="n"/>
      <c r="EP46" s="85" t="n"/>
      <c r="EQ46" s="85" t="n"/>
      <c r="ER46" s="85" t="n"/>
      <c r="ES46" s="85" t="n"/>
      <c r="ET46" s="85" t="n"/>
      <c r="EU46" s="85" t="n"/>
      <c r="EV46" s="85" t="n"/>
      <c r="EW46" s="85" t="n"/>
      <c r="EX46" s="85" t="n"/>
      <c r="EY46" s="85" t="n"/>
      <c r="EZ46" s="85" t="n"/>
      <c r="FA46" s="85" t="n"/>
      <c r="FB46" s="85" t="n"/>
      <c r="FC46" s="85" t="n"/>
      <c r="FD46" s="85" t="n"/>
      <c r="FE46" s="85" t="n"/>
      <c r="FF46" s="85" t="n"/>
      <c r="FG46" s="85" t="n"/>
      <c r="FH46" s="85" t="n"/>
      <c r="FI46" s="85" t="n"/>
      <c r="FJ46" s="85" t="n"/>
      <c r="FK46" s="85" t="n"/>
      <c r="FL46" s="85" t="n"/>
      <c r="FM46" s="85" t="n"/>
      <c r="FN46" s="85" t="n"/>
      <c r="FO46" s="85" t="n"/>
      <c r="FP46" s="85" t="n"/>
      <c r="FQ46" s="85" t="n"/>
      <c r="FR46" s="85" t="n"/>
      <c r="FS46" s="85" t="n"/>
      <c r="FT46" s="85" t="n"/>
      <c r="FU46" s="85" t="n"/>
      <c r="FV46" s="85" t="n"/>
      <c r="FW46" s="85" t="n"/>
      <c r="FX46" s="85" t="n"/>
      <c r="FY46" s="85" t="n"/>
      <c r="FZ46" s="85" t="n"/>
      <c r="GA46" s="85" t="n"/>
      <c r="GB46" s="85" t="n"/>
      <c r="GC46" s="85" t="n"/>
      <c r="GD46" s="85" t="n"/>
      <c r="GE46" s="85" t="n"/>
      <c r="GF46" s="85" t="n"/>
      <c r="GG46" s="85" t="n"/>
      <c r="GH46" s="85" t="n"/>
      <c r="GI46" s="85" t="n"/>
      <c r="GJ46" s="85" t="n"/>
      <c r="GK46" s="85" t="n"/>
      <c r="GL46" s="85" t="n"/>
      <c r="GM46" s="85" t="n"/>
      <c r="GN46" s="85" t="n"/>
      <c r="GO46" s="85" t="n"/>
      <c r="GP46" s="85" t="n"/>
      <c r="GQ46" s="85" t="n"/>
      <c r="GR46" s="85" t="n"/>
      <c r="GS46" s="85" t="n"/>
      <c r="GT46" s="85" t="n"/>
      <c r="GU46" s="85" t="n"/>
      <c r="GV46" s="85" t="n"/>
      <c r="GW46" s="85" t="n"/>
      <c r="GX46" s="85" t="n"/>
      <c r="GY46" s="85" t="n"/>
      <c r="GZ46" s="85" t="n"/>
      <c r="HA46" s="85" t="n"/>
      <c r="HB46" s="85" t="n"/>
      <c r="HC46" s="85" t="n"/>
      <c r="HD46" s="85" t="n"/>
      <c r="HE46" s="85" t="n"/>
      <c r="HF46" s="85" t="n"/>
      <c r="HG46" s="85" t="n"/>
      <c r="HH46" s="85" t="n"/>
      <c r="HI46" s="85" t="n"/>
      <c r="HJ46" s="85" t="n"/>
      <c r="HK46" s="85" t="n"/>
      <c r="HL46" s="85" t="n"/>
      <c r="HM46" s="85" t="n"/>
      <c r="HN46" s="85" t="n"/>
      <c r="HO46" s="85" t="n"/>
      <c r="HP46" s="85" t="n"/>
      <c r="HQ46" s="85" t="n"/>
      <c r="HR46" s="85" t="n"/>
      <c r="HS46" s="85" t="n"/>
      <c r="HT46" s="85" t="n"/>
      <c r="HU46" s="85" t="n"/>
      <c r="HV46" s="85" t="n"/>
      <c r="HW46" s="85" t="n"/>
      <c r="HX46" s="85" t="n"/>
      <c r="HY46" s="85" t="n"/>
      <c r="HZ46" s="85" t="n"/>
      <c r="IA46" s="85" t="n"/>
    </row>
    <row r="47" ht="130.5" customFormat="1" customHeight="1" s="80">
      <c r="B47" s="65" t="inlineStr">
        <is>
          <t>22009</t>
        </is>
      </c>
      <c r="C47" s="78" t="inlineStr">
        <is>
          <t>隐龙地脉</t>
        </is>
      </c>
      <c r="D47" s="99" t="inlineStr">
        <is>
          <t>隐龙地脉夺天地运势而成，乃一界灵气源头，储存着极为珍稀的灵气液，服用一滴就能修为大涨</t>
        </is>
      </c>
      <c r="F47" s="111" t="inlineStr">
        <is>
          <t>5000|8500</t>
        </is>
      </c>
      <c r="G47" s="80" t="inlineStr">
        <is>
          <t>6</t>
        </is>
      </c>
      <c r="H47" s="80" t="inlineStr">
        <is>
          <t>1</t>
        </is>
      </c>
      <c r="I47" s="80" t="inlineStr">
        <is>
          <t>探索</t>
        </is>
      </c>
      <c r="J47" s="80" t="inlineStr">
        <is>
          <t>无视它</t>
        </is>
      </c>
      <c r="K47" s="80" t="inlineStr">
        <is>
          <t>矿</t>
        </is>
      </c>
      <c r="L47" s="80" t="inlineStr">
        <is>
          <t>7</t>
        </is>
      </c>
      <c r="M47" s="80" t="inlineStr">
        <is>
          <t>此处的灵气液已经被吸收殆尽，土地上满是泥泞的污迹</t>
        </is>
      </c>
      <c r="R47" s="80" t="inlineStr">
        <is>
          <t>-1</t>
        </is>
      </c>
      <c r="S47" s="80" t="n"/>
      <c r="X47" s="80" t="inlineStr">
        <is>
          <t>img_longmai</t>
        </is>
      </c>
      <c r="Y47" s="80" t="n"/>
      <c r="Z47" s="78" t="n"/>
    </row>
    <row r="48" ht="130.5" customFormat="1" customHeight="1" s="80">
      <c r="B48" s="65" t="inlineStr">
        <is>
          <t>22010</t>
        </is>
      </c>
      <c r="C48" s="78" t="inlineStr">
        <is>
          <t>陌生女子</t>
        </is>
      </c>
      <c r="D48" s="99" t="inlineStr">
        <is>
          <t>荒郊野岭，一位陌生女子坐在树下哭泣，要顺路搭救她吗？</t>
        </is>
      </c>
      <c r="F48" s="80" t="inlineStr">
        <is>
          <t>2</t>
        </is>
      </c>
      <c r="G48" s="80" t="inlineStr">
        <is>
          <t>7</t>
        </is>
      </c>
      <c r="H48" s="80" t="inlineStr">
        <is>
          <t>1</t>
        </is>
      </c>
      <c r="I48" s="80" t="inlineStr">
        <is>
          <t>搭救</t>
        </is>
      </c>
      <c r="J48" s="80" t="inlineStr">
        <is>
          <t>无视它</t>
        </is>
      </c>
      <c r="K48" s="80" t="inlineStr">
        <is>
          <t>矿</t>
        </is>
      </c>
      <c r="L48" s="80" t="inlineStr">
        <is>
          <t>7</t>
        </is>
      </c>
      <c r="M48" s="80" t="inlineStr">
        <is>
          <t>女子拜谢了你，随后将自行前往宗门报道。</t>
        </is>
      </c>
      <c r="R48" s="80" t="inlineStr">
        <is>
          <t>-1</t>
        </is>
      </c>
      <c r="S48" s="80" t="n"/>
      <c r="X48" s="80" t="inlineStr">
        <is>
          <t>img_hongbiao</t>
        </is>
      </c>
      <c r="Y48" s="80" t="inlineStr">
        <is>
          <t>恩人，多谢你的帮助，小女子走投无路，希望宗门能收留我。</t>
        </is>
      </c>
      <c r="Z48" s="78" t="n"/>
    </row>
    <row r="49" ht="130.5" customFormat="1" customHeight="1" s="80">
      <c r="B49" s="65" t="inlineStr">
        <is>
          <t>22011</t>
        </is>
      </c>
      <c r="C49" s="78" t="inlineStr">
        <is>
          <t>迷路的村民</t>
        </is>
      </c>
      <c r="D49" s="99" t="inlineStr">
        <is>
          <t>看上去是个迷路的村民，要顺路搭救他吗？</t>
        </is>
      </c>
      <c r="F49" s="80" t="inlineStr">
        <is>
          <t>0</t>
        </is>
      </c>
      <c r="G49" s="80" t="inlineStr">
        <is>
          <t>7</t>
        </is>
      </c>
      <c r="H49" s="80" t="inlineStr">
        <is>
          <t>1</t>
        </is>
      </c>
      <c r="I49" s="80" t="inlineStr">
        <is>
          <t>搭救</t>
        </is>
      </c>
      <c r="J49" s="80" t="inlineStr">
        <is>
          <t>无视它</t>
        </is>
      </c>
      <c r="K49" s="80" t="inlineStr">
        <is>
          <t>矿</t>
        </is>
      </c>
      <c r="L49" s="80" t="inlineStr">
        <is>
          <t>7</t>
        </is>
      </c>
      <c r="M49" s="80" t="inlineStr">
        <is>
          <t>村民拜谢了你，随后将自行前往宗门报道。</t>
        </is>
      </c>
      <c r="R49" s="80" t="inlineStr">
        <is>
          <t>-1</t>
        </is>
      </c>
      <c r="S49" s="80" t="n"/>
      <c r="X49" s="80" t="inlineStr">
        <is>
          <t>img_hongbiao</t>
        </is>
      </c>
      <c r="Y49" s="80" t="inlineStr">
        <is>
          <t>多谢恩人相救，敬仰宗门已久，希望宗门能收留我。</t>
        </is>
      </c>
      <c r="Z49" s="78" t="n"/>
    </row>
    <row r="50" ht="130.5" customFormat="1" customHeight="1" s="80">
      <c r="B50" s="65" t="inlineStr">
        <is>
          <t>22012</t>
        </is>
      </c>
      <c r="C50" s="81" t="inlineStr">
        <is>
          <t>小片药圃</t>
        </is>
      </c>
      <c r="D50" s="82" t="inlineStr">
        <is>
          <t>掩藏在一处山涧里的小片药圃，似乎从来没人踏足过。</t>
        </is>
      </c>
      <c r="E50" s="84" t="n"/>
      <c r="F50" s="112" t="inlineStr">
        <is>
          <t>92001|40|60,62001|10|20$92001|60|80</t>
        </is>
      </c>
      <c r="G50" s="84" t="inlineStr">
        <is>
          <t>5</t>
        </is>
      </c>
      <c r="H50" s="84" t="inlineStr">
        <is>
          <t>1</t>
        </is>
      </c>
      <c r="I50" s="84" t="inlineStr">
        <is>
          <t>简单搜寻</t>
        </is>
      </c>
      <c r="J50" s="84" t="inlineStr">
        <is>
          <t>彻底探索</t>
        </is>
      </c>
      <c r="K50" s="84" t="inlineStr">
        <is>
          <t>矿</t>
        </is>
      </c>
      <c r="L50" s="84" t="inlineStr">
        <is>
          <t>7</t>
        </is>
      </c>
      <c r="M50" s="84" t="inlineStr">
        <is>
          <t>还是不要贸然靠近危险，弟子在附近简单搜巡了一番，并在边缘角落发现了意外之喜</t>
        </is>
      </c>
      <c r="N50" s="84" t="n"/>
      <c r="O50" s="84" t="n"/>
      <c r="P50" s="84" t="n"/>
      <c r="Q50" s="84" t="n"/>
      <c r="R50" s="84" t="inlineStr">
        <is>
          <t>-1</t>
        </is>
      </c>
      <c r="S50" s="84" t="inlineStr">
        <is>
          <t>1</t>
        </is>
      </c>
      <c r="T50" s="84" t="n"/>
      <c r="U50" s="84" t="n"/>
      <c r="V50" s="84" t="n"/>
      <c r="W50" s="84" t="n"/>
      <c r="X50" s="84" t="inlineStr">
        <is>
          <t>img_yaopu1</t>
        </is>
      </c>
      <c r="Y50" s="84" t="inlineStr">
        <is>
          <t>[弟子]在搜寻过程中惊动了遗迹中憩息的野兽，朝众人扑了过来！|13000</t>
        </is>
      </c>
      <c r="Z50" s="81" t="n"/>
    </row>
    <row r="51" ht="130.5" customFormat="1" customHeight="1" s="80">
      <c r="B51" s="65" t="inlineStr">
        <is>
          <t>22013</t>
        </is>
      </c>
      <c r="C51" s="81" t="inlineStr">
        <is>
          <t>中型药圃</t>
        </is>
      </c>
      <c r="D51" s="82" t="inlineStr">
        <is>
          <t>掩藏在一处山涧里的中型药圃，透出灵树生长引发的幽光</t>
        </is>
      </c>
      <c r="E51" s="84" t="n"/>
      <c r="F51" s="112" t="inlineStr">
        <is>
          <t>92001|60|80,62001|20|30$92001|80|100</t>
        </is>
      </c>
      <c r="G51" s="84" t="inlineStr">
        <is>
          <t>5</t>
        </is>
      </c>
      <c r="H51" s="84" t="inlineStr">
        <is>
          <t>1</t>
        </is>
      </c>
      <c r="I51" s="84" t="inlineStr">
        <is>
          <t>简单搜寻</t>
        </is>
      </c>
      <c r="J51" s="84" t="inlineStr">
        <is>
          <t>彻底探索</t>
        </is>
      </c>
      <c r="K51" s="84" t="inlineStr">
        <is>
          <t>矿</t>
        </is>
      </c>
      <c r="L51" s="84" t="inlineStr">
        <is>
          <t>7</t>
        </is>
      </c>
      <c r="M51" s="84" t="inlineStr">
        <is>
          <t>还是不要贸然靠近危险，弟子在附近简单搜巡了一番，并在边缘角落发现了意外之喜</t>
        </is>
      </c>
      <c r="N51" s="84" t="n"/>
      <c r="O51" s="84" t="n"/>
      <c r="P51" s="84" t="n"/>
      <c r="Q51" s="84" t="n"/>
      <c r="R51" s="84" t="inlineStr">
        <is>
          <t>-1</t>
        </is>
      </c>
      <c r="S51" s="84" t="inlineStr">
        <is>
          <t>2</t>
        </is>
      </c>
      <c r="T51" s="84" t="n"/>
      <c r="U51" s="84" t="n"/>
      <c r="V51" s="84" t="n"/>
      <c r="W51" s="84" t="n"/>
      <c r="X51" s="84" t="inlineStr">
        <is>
          <t>img_yaopu2</t>
        </is>
      </c>
      <c r="Y51" s="84" t="inlineStr">
        <is>
          <t>[弟子]在搜寻过程中惊动了遗迹中憩息的野兽，朝众人扑了过来！|20000</t>
        </is>
      </c>
      <c r="Z51" s="81" t="n"/>
    </row>
    <row r="52" ht="130.5" customFormat="1" customHeight="1" s="80">
      <c r="B52" s="65" t="inlineStr">
        <is>
          <t>22014</t>
        </is>
      </c>
      <c r="C52" s="81" t="inlineStr">
        <is>
          <t>大片药圃</t>
        </is>
      </c>
      <c r="D52" s="82" t="inlineStr">
        <is>
          <t>掩藏在一处灵气充裕山谷里的大片药圃，长满了珍贵灵植。</t>
        </is>
      </c>
      <c r="E52" s="84" t="n"/>
      <c r="F52" s="112" t="inlineStr">
        <is>
          <t>92001|80|100,62001|30|40$92001|100|120</t>
        </is>
      </c>
      <c r="G52" s="84" t="inlineStr">
        <is>
          <t>5</t>
        </is>
      </c>
      <c r="H52" s="84" t="inlineStr">
        <is>
          <t>1</t>
        </is>
      </c>
      <c r="I52" s="84" t="inlineStr">
        <is>
          <t>简单搜寻</t>
        </is>
      </c>
      <c r="J52" s="84" t="inlineStr">
        <is>
          <t>彻底探索</t>
        </is>
      </c>
      <c r="K52" s="84" t="inlineStr">
        <is>
          <t>矿</t>
        </is>
      </c>
      <c r="L52" s="84" t="inlineStr">
        <is>
          <t>7</t>
        </is>
      </c>
      <c r="M52" s="84" t="inlineStr">
        <is>
          <t>还是不要贸然靠近危险，弟子在附近简单搜巡了一番，并在边缘角落发现了意外之喜</t>
        </is>
      </c>
      <c r="N52" s="84" t="n"/>
      <c r="O52" s="84" t="n"/>
      <c r="P52" s="84" t="n"/>
      <c r="Q52" s="84" t="n"/>
      <c r="R52" s="84" t="inlineStr">
        <is>
          <t>-1</t>
        </is>
      </c>
      <c r="S52" s="84" t="inlineStr">
        <is>
          <t>3</t>
        </is>
      </c>
      <c r="T52" s="84" t="n"/>
      <c r="U52" s="84" t="n"/>
      <c r="V52" s="84" t="n"/>
      <c r="W52" s="84" t="n"/>
      <c r="X52" s="84" t="inlineStr">
        <is>
          <t>img_yaopu3</t>
        </is>
      </c>
      <c r="Y52" s="84" t="inlineStr">
        <is>
          <t>[弟子]在搜寻过程中惊动了遗迹中憩息的野兽，朝众人扑了过来！|27000</t>
        </is>
      </c>
      <c r="Z52" s="81" t="n"/>
    </row>
    <row r="53" ht="130.5" customFormat="1" customHeight="1" s="80">
      <c r="B53" s="65" t="inlineStr">
        <is>
          <t>22015</t>
        </is>
      </c>
      <c r="C53" s="81" t="inlineStr">
        <is>
          <t>仙渺森林</t>
        </is>
      </c>
      <c r="D53" s="82" t="inlineStr">
        <is>
          <t>传说有一片遍布珍木异兽的森林，隐匿在仙渺山脉中，森林外围布有结界，有缘人方可进入其中。</t>
        </is>
      </c>
      <c r="E53" s="84" t="n"/>
      <c r="F53" s="112" t="inlineStr">
        <is>
          <t>92001|100|120,62001|40|50$152001|0|1$92001|120|140</t>
        </is>
      </c>
      <c r="G53" s="84" t="inlineStr">
        <is>
          <t>5</t>
        </is>
      </c>
      <c r="H53" s="84" t="inlineStr">
        <is>
          <t>1</t>
        </is>
      </c>
      <c r="I53" s="84" t="inlineStr">
        <is>
          <t>简单搜寻</t>
        </is>
      </c>
      <c r="J53" s="84" t="inlineStr">
        <is>
          <t>彻底探索</t>
        </is>
      </c>
      <c r="K53" s="84" t="inlineStr">
        <is>
          <t>矿</t>
        </is>
      </c>
      <c r="L53" s="84" t="inlineStr">
        <is>
          <t>7</t>
        </is>
      </c>
      <c r="M53" s="84" t="inlineStr">
        <is>
          <t>还是不要贸然靠近危险，弟子在附近简单搜巡了一番，并在边缘角落发现了意外之喜</t>
        </is>
      </c>
      <c r="N53" s="84" t="n"/>
      <c r="O53" s="84" t="n"/>
      <c r="P53" s="84" t="n"/>
      <c r="Q53" s="84" t="n"/>
      <c r="R53" s="84" t="inlineStr">
        <is>
          <t>-1</t>
        </is>
      </c>
      <c r="S53" s="84" t="inlineStr">
        <is>
          <t>4</t>
        </is>
      </c>
      <c r="T53" s="84" t="n"/>
      <c r="U53" s="84" t="n"/>
      <c r="V53" s="84" t="n"/>
      <c r="W53" s="84" t="n"/>
      <c r="X53" s="84" t="inlineStr">
        <is>
          <t>img_yaopu3</t>
        </is>
      </c>
      <c r="Y53" s="84" t="inlineStr">
        <is>
          <t>此地栖息的异兽对不速之客充满敌意，朝众人扑了过来！|34000</t>
        </is>
      </c>
      <c r="Z53" s="81" t="n"/>
    </row>
    <row r="54" ht="130.5" customFormat="1" customHeight="1" s="80">
      <c r="B54" s="65" t="inlineStr">
        <is>
          <t>22016</t>
        </is>
      </c>
      <c r="C54" s="81" t="inlineStr">
        <is>
          <t>药王灵域</t>
        </is>
      </c>
      <c r="D54" s="82" t="inlineStr">
        <is>
          <t>据说是某位早已消失的药王大能培育灵植的药田，后流落至凡境，内里遍布奇花异草，无数散修无不想入内一探。</t>
        </is>
      </c>
      <c r="E54" s="84" t="n"/>
      <c r="F54" s="112" t="inlineStr">
        <is>
          <t>92001|120|140,62001|50|60$152001|0|1$92001|140|160</t>
        </is>
      </c>
      <c r="G54" s="84" t="inlineStr">
        <is>
          <t>5</t>
        </is>
      </c>
      <c r="H54" s="84" t="inlineStr">
        <is>
          <t>1</t>
        </is>
      </c>
      <c r="I54" s="84" t="inlineStr">
        <is>
          <t>简单搜寻</t>
        </is>
      </c>
      <c r="J54" s="84" t="inlineStr">
        <is>
          <t>彻底探索</t>
        </is>
      </c>
      <c r="K54" s="84" t="inlineStr">
        <is>
          <t>矿</t>
        </is>
      </c>
      <c r="L54" s="84" t="inlineStr">
        <is>
          <t>7</t>
        </is>
      </c>
      <c r="M54" s="84" t="inlineStr">
        <is>
          <t>还是不要贸然靠近危险，弟子在附近简单搜巡了一番，并在边缘角落发现了意外之喜</t>
        </is>
      </c>
      <c r="N54" s="84" t="n"/>
      <c r="O54" s="84" t="n"/>
      <c r="P54" s="84" t="n"/>
      <c r="Q54" s="84" t="n"/>
      <c r="R54" s="84" t="inlineStr">
        <is>
          <t>-1</t>
        </is>
      </c>
      <c r="S54" s="84" t="inlineStr">
        <is>
          <t>5</t>
        </is>
      </c>
      <c r="T54" s="84" t="n"/>
      <c r="U54" s="84" t="n"/>
      <c r="V54" s="84" t="n"/>
      <c r="W54" s="84" t="n"/>
      <c r="X54" s="84" t="inlineStr">
        <is>
          <t>img_yaopu3</t>
        </is>
      </c>
      <c r="Y54" s="84" t="inlineStr">
        <is>
          <t>药王十分反感有人闯入禁地，朝众人发动攻击！|41000</t>
        </is>
      </c>
      <c r="Z54" s="81" t="n"/>
    </row>
    <row r="55" ht="130.5" customFormat="1" customHeight="1" s="91">
      <c r="B55" s="65" t="inlineStr">
        <is>
          <t>22017</t>
        </is>
      </c>
      <c r="C55" s="59" t="inlineStr">
        <is>
          <t>灵罗盘</t>
        </is>
      </c>
      <c r="D55" s="60" t="inlineStr">
        <is>
          <t>灵罗盘内嵌寻灵阵法，它将为你揭示方圆10里的探索点</t>
        </is>
      </c>
      <c r="E55" s="61" t="n"/>
      <c r="F55" s="61" t="inlineStr">
        <is>
          <t>1</t>
        </is>
      </c>
      <c r="G55" s="61" t="inlineStr">
        <is>
          <t>8</t>
        </is>
      </c>
      <c r="H55" s="61" t="inlineStr">
        <is>
          <t>1</t>
        </is>
      </c>
      <c r="I55" s="61" t="inlineStr">
        <is>
          <t>揭示</t>
        </is>
      </c>
      <c r="J55" s="61" t="inlineStr">
        <is>
          <t>无视它</t>
        </is>
      </c>
      <c r="K55" s="61" t="inlineStr">
        <is>
          <t>矿</t>
        </is>
      </c>
      <c r="L55" s="61" t="inlineStr">
        <is>
          <t>7</t>
        </is>
      </c>
      <c r="M55" s="61" t="n"/>
      <c r="N55" s="61" t="n"/>
      <c r="O55" s="61" t="n"/>
      <c r="P55" s="61" t="n"/>
      <c r="Q55" s="61" t="n"/>
      <c r="R55" s="61" t="inlineStr">
        <is>
          <t>-1</t>
        </is>
      </c>
      <c r="S55" s="61" t="n"/>
      <c r="T55" s="61" t="n"/>
      <c r="U55" s="61" t="n"/>
      <c r="V55" s="61" t="n"/>
      <c r="W55" s="61" t="n"/>
      <c r="X55" s="61" t="inlineStr">
        <is>
          <t>img_luopanxiao</t>
        </is>
      </c>
      <c r="Y55" s="61" t="n"/>
      <c r="Z55" s="59" t="n"/>
    </row>
    <row r="56" ht="130.5" customFormat="1" customHeight="1" s="91">
      <c r="B56" s="65" t="inlineStr">
        <is>
          <t>22018</t>
        </is>
      </c>
      <c r="C56" s="59" t="inlineStr">
        <is>
          <t>灵罗盘(大）</t>
        </is>
      </c>
      <c r="D56" s="60" t="inlineStr">
        <is>
          <t>灵罗盘内嵌寻灵阵法，它将为你揭示方圆10里的探索点</t>
        </is>
      </c>
      <c r="E56" s="61" t="n"/>
      <c r="F56" s="61" t="inlineStr">
        <is>
          <t>2</t>
        </is>
      </c>
      <c r="G56" s="61" t="inlineStr">
        <is>
          <t>8</t>
        </is>
      </c>
      <c r="H56" s="61" t="inlineStr">
        <is>
          <t>1</t>
        </is>
      </c>
      <c r="I56" s="61" t="inlineStr">
        <is>
          <t>揭示</t>
        </is>
      </c>
      <c r="J56" s="61" t="inlineStr">
        <is>
          <t>无视它</t>
        </is>
      </c>
      <c r="K56" s="61" t="inlineStr">
        <is>
          <t>矿</t>
        </is>
      </c>
      <c r="L56" s="61" t="inlineStr">
        <is>
          <t>7</t>
        </is>
      </c>
      <c r="M56" s="61" t="n"/>
      <c r="N56" s="61" t="n"/>
      <c r="O56" s="61" t="n"/>
      <c r="P56" s="61" t="n"/>
      <c r="Q56" s="61" t="n"/>
      <c r="R56" s="61" t="inlineStr">
        <is>
          <t>-1</t>
        </is>
      </c>
      <c r="S56" s="61" t="n"/>
      <c r="T56" s="61" t="n"/>
      <c r="U56" s="61" t="n"/>
      <c r="V56" s="61" t="n"/>
      <c r="W56" s="61" t="n"/>
      <c r="X56" s="61" t="inlineStr">
        <is>
          <t>img_luopanda</t>
        </is>
      </c>
      <c r="Y56" s="61" t="n"/>
      <c r="Z56" s="59" t="n"/>
    </row>
    <row r="57" ht="130.5" customFormat="1" customHeight="1" s="91">
      <c r="B57" s="115" t="inlineStr">
        <is>
          <t>23001</t>
        </is>
      </c>
      <c r="C57" s="116" t="inlineStr">
        <is>
          <t>月灵矿脉</t>
        </is>
      </c>
      <c r="D57" s="117" t="inlineStr">
        <is>
          <t>此地终年被浓雾笼罩，只有月光能照入其中。矿脉中遍布月灵矿和其他珍稀矿石，是无数炼器师梦寐以求的地方。</t>
        </is>
      </c>
      <c r="F57" s="115" t="inlineStr">
        <is>
          <t>113001|495|575</t>
        </is>
      </c>
      <c r="G57" s="91" t="inlineStr">
        <is>
          <t>3</t>
        </is>
      </c>
      <c r="H57" s="91" t="inlineStr">
        <is>
          <t>1</t>
        </is>
      </c>
      <c r="I57" s="91" t="inlineStr">
        <is>
          <t>探索</t>
        </is>
      </c>
      <c r="J57" s="91" t="inlineStr">
        <is>
          <t>无视它</t>
        </is>
      </c>
      <c r="K57" s="91" t="inlineStr">
        <is>
          <t>矿</t>
        </is>
      </c>
      <c r="L57" s="91" t="inlineStr">
        <is>
          <t>7</t>
        </is>
      </c>
      <c r="M57" s="91" t="inlineStr">
        <is>
          <t>这里的资源已经被取走，只余一些不值钱的碎石块</t>
        </is>
      </c>
      <c r="R57" s="91" t="inlineStr">
        <is>
          <t>-1</t>
        </is>
      </c>
      <c r="X57" s="91" t="inlineStr">
        <is>
          <t>img_kuangchang</t>
        </is>
      </c>
      <c r="Y57" s="91" t="n"/>
      <c r="Z57" s="116" t="n"/>
    </row>
    <row r="58" ht="130.5" customFormat="1" customHeight="1" s="91">
      <c r="B58" s="115" t="inlineStr">
        <is>
          <t>23002</t>
        </is>
      </c>
      <c r="C58" s="116" t="inlineStr">
        <is>
          <t>小树林</t>
        </is>
      </c>
      <c r="D58" s="117" t="inlineStr">
        <is>
          <t>传说有一片遍布珍木异兽的森林，隐匿在仙渺山脉中，森林外围布有结界，有缘人方可进入其中。</t>
        </is>
      </c>
      <c r="F58" s="115" t="inlineStr">
        <is>
          <t>93001|120|140</t>
        </is>
      </c>
      <c r="G58" s="91" t="inlineStr">
        <is>
          <t>3</t>
        </is>
      </c>
      <c r="H58" s="91" t="inlineStr">
        <is>
          <t>1</t>
        </is>
      </c>
      <c r="I58" s="91" t="inlineStr">
        <is>
          <t>探索</t>
        </is>
      </c>
      <c r="J58" s="91" t="inlineStr">
        <is>
          <t>无视它</t>
        </is>
      </c>
      <c r="K58" s="91" t="inlineStr">
        <is>
          <t>矿</t>
        </is>
      </c>
      <c r="L58" s="91" t="inlineStr">
        <is>
          <t>7</t>
        </is>
      </c>
      <c r="M58" s="91" t="inlineStr">
        <is>
          <t>这片地脉已经没有任何有价值的东西</t>
        </is>
      </c>
      <c r="R58" s="91" t="inlineStr">
        <is>
          <t>-1</t>
        </is>
      </c>
      <c r="X58" s="91" t="inlineStr">
        <is>
          <t>img_mjbaoxiang2-2</t>
        </is>
      </c>
      <c r="Y58" s="91" t="n"/>
      <c r="Z58" s="116" t="n"/>
    </row>
    <row r="59" ht="130.5" customFormat="1" customHeight="1" s="91">
      <c r="B59" s="115" t="inlineStr">
        <is>
          <t>23003</t>
        </is>
      </c>
      <c r="C59" s="116" t="inlineStr">
        <is>
          <t>憩息点</t>
        </is>
      </c>
      <c r="D59" s="117" t="inlineStr">
        <is>
          <t>这里有泉水的润泽，似乎能恢复不少精力</t>
        </is>
      </c>
      <c r="F59" s="91" t="inlineStr">
        <is>
          <t>20|30</t>
        </is>
      </c>
      <c r="G59" s="91" t="inlineStr">
        <is>
          <t>4</t>
        </is>
      </c>
      <c r="H59" s="91" t="inlineStr">
        <is>
          <t>1</t>
        </is>
      </c>
      <c r="I59" s="91" t="inlineStr">
        <is>
          <t>休息</t>
        </is>
      </c>
      <c r="J59" s="91" t="inlineStr">
        <is>
          <t>无视它</t>
        </is>
      </c>
      <c r="K59" s="91" t="inlineStr">
        <is>
          <t>休息</t>
        </is>
      </c>
      <c r="L59" s="91" t="n"/>
      <c r="M59" s="91" t="inlineStr">
        <is>
          <t>经过泉水的润泽，弟子们已经好多了。泉水已经干涸</t>
        </is>
      </c>
      <c r="R59" s="91" t="inlineStr">
        <is>
          <t>-1</t>
        </is>
      </c>
      <c r="S59" s="91" t="n"/>
      <c r="X59" s="91" t="inlineStr">
        <is>
          <t>img_xiuxidian</t>
        </is>
      </c>
      <c r="Y59" s="91" t="n"/>
      <c r="Z59" s="116" t="n"/>
    </row>
    <row r="60" ht="130.5" customFormat="1" customHeight="1" s="91">
      <c r="B60" s="115" t="inlineStr">
        <is>
          <t>23004</t>
        </is>
      </c>
      <c r="C60" s="116" t="inlineStr">
        <is>
          <t>荒废遗迹</t>
        </is>
      </c>
      <c r="D60" s="117" t="inlineStr">
        <is>
          <t>一座被微弱结界笼罩的庭院，从结界阵法上散发的威压来看，应该是某位大能曾经的住所。</t>
        </is>
      </c>
      <c r="F60" s="115" t="inlineStr">
        <is>
          <t>10001|3600|4000,163001|1|3$10001|4000|4400</t>
        </is>
      </c>
      <c r="G60" s="91" t="inlineStr">
        <is>
          <t>5</t>
        </is>
      </c>
      <c r="H60" s="91" t="inlineStr">
        <is>
          <t>1</t>
        </is>
      </c>
      <c r="I60" s="91" t="inlineStr">
        <is>
          <t>简单搜寻</t>
        </is>
      </c>
      <c r="J60" s="91" t="inlineStr">
        <is>
          <t>彻底探索</t>
        </is>
      </c>
      <c r="K60" s="91" t="inlineStr">
        <is>
          <t>矿</t>
        </is>
      </c>
      <c r="L60" s="91" t="inlineStr">
        <is>
          <t>7</t>
        </is>
      </c>
      <c r="M60" s="91" t="inlineStr">
        <is>
          <t>还是不要贸然靠近危险，弟子在门口简单搜巡了一番，并在边缘角落发现了意外之喜</t>
        </is>
      </c>
      <c r="R60" s="91" t="inlineStr">
        <is>
          <t>-1</t>
        </is>
      </c>
      <c r="S60" s="91" t="inlineStr">
        <is>
          <t>1</t>
        </is>
      </c>
      <c r="X60" s="91" t="inlineStr">
        <is>
          <t>img_huangfeiyiji</t>
        </is>
      </c>
      <c r="Y60" s="115" t="inlineStr">
        <is>
          <t>[弟子]在搜寻过程中惊动了遗迹中憩息的野兽，朝众人扑了过来！|31800</t>
        </is>
      </c>
      <c r="Z60" s="116" t="n"/>
    </row>
    <row r="61" ht="130.5" customFormat="1" customHeight="1" s="91">
      <c r="B61" s="115" t="inlineStr">
        <is>
          <t>23005</t>
        </is>
      </c>
      <c r="C61" s="116" t="inlineStr">
        <is>
          <t>简陋木屋</t>
        </is>
      </c>
      <c r="D61" s="117" t="inlineStr">
        <is>
          <t>一座摇摇欲坠的简陋木屋，不知为何会出现在此地，看样子是什么人匆匆搭建的。</t>
        </is>
      </c>
      <c r="F61" s="115" t="inlineStr">
        <is>
          <t>10001|4000|4400,163001|2|4$10001|4400|4800</t>
        </is>
      </c>
      <c r="G61" s="91" t="inlineStr">
        <is>
          <t>5</t>
        </is>
      </c>
      <c r="H61" s="91" t="inlineStr">
        <is>
          <t>1</t>
        </is>
      </c>
      <c r="I61" s="91" t="inlineStr">
        <is>
          <t>简单搜寻</t>
        </is>
      </c>
      <c r="J61" s="91" t="inlineStr">
        <is>
          <t>彻底探索</t>
        </is>
      </c>
      <c r="K61" s="91" t="inlineStr">
        <is>
          <t>矿</t>
        </is>
      </c>
      <c r="L61" s="91" t="inlineStr">
        <is>
          <t>7</t>
        </is>
      </c>
      <c r="M61" s="91" t="inlineStr">
        <is>
          <t>还是不要贸然靠近危险，弟子在门口简单搜巡了一番，并在边缘角落发现了意外之喜</t>
        </is>
      </c>
      <c r="R61" s="91" t="inlineStr">
        <is>
          <t>-1</t>
        </is>
      </c>
      <c r="S61" s="91" t="inlineStr">
        <is>
          <t>2</t>
        </is>
      </c>
      <c r="X61" s="91" t="inlineStr">
        <is>
          <t>img_jianloumuwu</t>
        </is>
      </c>
      <c r="Y61" s="115" t="inlineStr">
        <is>
          <t>居然有一名隐修尚未离开，似乎入了魔道，向众人发动攻击！|35000</t>
        </is>
      </c>
      <c r="Z61" s="116" t="n"/>
    </row>
    <row r="62" ht="130.5" customFormat="1" customHeight="1" s="91">
      <c r="B62" s="115" t="inlineStr">
        <is>
          <t>23006</t>
        </is>
      </c>
      <c r="C62" s="116" t="inlineStr">
        <is>
          <t>古朴木屋</t>
        </is>
      </c>
      <c r="D62" s="117" t="inlineStr">
        <is>
          <t>一座透着古朴意境的木屋，可能是某位大能曾居住过的地方。</t>
        </is>
      </c>
      <c r="F62" s="115" t="inlineStr">
        <is>
          <t>10001|4400|4800,163001|4|6$10001|4800|5200</t>
        </is>
      </c>
      <c r="G62" s="91" t="inlineStr">
        <is>
          <t>5</t>
        </is>
      </c>
      <c r="H62" s="91" t="inlineStr">
        <is>
          <t>1</t>
        </is>
      </c>
      <c r="I62" s="91" t="inlineStr">
        <is>
          <t>简单搜寻</t>
        </is>
      </c>
      <c r="J62" s="91" t="inlineStr">
        <is>
          <t>彻底探索</t>
        </is>
      </c>
      <c r="K62" s="91" t="inlineStr">
        <is>
          <t>矿</t>
        </is>
      </c>
      <c r="L62" s="91" t="inlineStr">
        <is>
          <t>7</t>
        </is>
      </c>
      <c r="M62" s="91" t="inlineStr">
        <is>
          <t>还是不要贸然靠近危险，弟子在门口简单搜巡了一番，并在边缘角落发现了意外之喜</t>
        </is>
      </c>
      <c r="R62" s="91" t="inlineStr">
        <is>
          <t>-1</t>
        </is>
      </c>
      <c r="S62" s="91" t="inlineStr">
        <is>
          <t>3</t>
        </is>
      </c>
      <c r="X62" s="91" t="inlineStr">
        <is>
          <t>img_gupumuw</t>
        </is>
      </c>
      <c r="Y62" s="115" t="inlineStr">
        <is>
          <t>大能的残魂还未散去，向众人发动攻击！|40000</t>
        </is>
      </c>
      <c r="Z62" s="116" t="n"/>
    </row>
    <row r="63" ht="130.5" customFormat="1" customHeight="1" s="91">
      <c r="B63" s="115" t="inlineStr">
        <is>
          <t>23007</t>
        </is>
      </c>
      <c r="C63" s="116" t="inlineStr">
        <is>
          <t>飘渺庭院</t>
        </is>
      </c>
      <c r="D63" s="117" t="inlineStr">
        <is>
          <t>一座被微弱结界笼罩的庭院，从结界阵法上散发的威压来看，应该是某位大能曾经的住所。</t>
        </is>
      </c>
      <c r="F63" s="115" t="inlineStr">
        <is>
          <t>10001|4800|5200,163001|6|8$152001|0|1$10001|5200|5600</t>
        </is>
      </c>
      <c r="G63" s="91" t="inlineStr">
        <is>
          <t>5</t>
        </is>
      </c>
      <c r="H63" s="91" t="inlineStr">
        <is>
          <t>1</t>
        </is>
      </c>
      <c r="I63" s="91" t="inlineStr">
        <is>
          <t>简单搜寻</t>
        </is>
      </c>
      <c r="J63" s="91" t="inlineStr">
        <is>
          <t>彻底探索</t>
        </is>
      </c>
      <c r="K63" s="91" t="inlineStr">
        <is>
          <t>矿</t>
        </is>
      </c>
      <c r="L63" s="91" t="inlineStr">
        <is>
          <t>7</t>
        </is>
      </c>
      <c r="M63" s="91" t="inlineStr">
        <is>
          <t>还是不要贸然靠近危险，弟子在门口简单搜巡了一番，并在边缘角落发现了意外之喜</t>
        </is>
      </c>
      <c r="R63" s="91" t="inlineStr">
        <is>
          <t>-1</t>
        </is>
      </c>
      <c r="S63" s="91" t="inlineStr">
        <is>
          <t>4</t>
        </is>
      </c>
      <c r="X63" s="91" t="inlineStr">
        <is>
          <t>img_gupumuw</t>
        </is>
      </c>
      <c r="Y63" s="115" t="inlineStr">
        <is>
          <t>大能的残魂还未散去，向众人发动攻击！|45000</t>
        </is>
      </c>
      <c r="Z63" s="116" t="n"/>
    </row>
    <row r="64" ht="130.5" customFormat="1" customHeight="1" s="91">
      <c r="B64" s="115" t="inlineStr">
        <is>
          <t>23008</t>
        </is>
      </c>
      <c r="C64" s="116" t="inlineStr">
        <is>
          <t>破败宫殿</t>
        </is>
      </c>
      <c r="D64" s="117" t="inlineStr">
        <is>
          <t>一座庞大的建筑，应该是一座宫殿，虽然已经破败不堪，但远远望去，仍能感到其恢弘的气势。</t>
        </is>
      </c>
      <c r="F64" s="115" t="inlineStr">
        <is>
          <t>10001|5200|5600,163001|8|10$152001|0|1$10001|5600|6000</t>
        </is>
      </c>
      <c r="G64" s="91" t="inlineStr">
        <is>
          <t>5</t>
        </is>
      </c>
      <c r="H64" s="91" t="inlineStr">
        <is>
          <t>1</t>
        </is>
      </c>
      <c r="I64" s="91" t="inlineStr">
        <is>
          <t>简单搜寻</t>
        </is>
      </c>
      <c r="J64" s="91" t="inlineStr">
        <is>
          <t>彻底探索</t>
        </is>
      </c>
      <c r="K64" s="91" t="inlineStr">
        <is>
          <t>矿</t>
        </is>
      </c>
      <c r="L64" s="91" t="inlineStr">
        <is>
          <t>7</t>
        </is>
      </c>
      <c r="M64" s="91" t="inlineStr">
        <is>
          <t>还是不要贸然靠近危险，弟子在门口简单搜巡了一番，并在边缘角落发现了意外之喜</t>
        </is>
      </c>
      <c r="R64" s="91" t="inlineStr">
        <is>
          <t>-1</t>
        </is>
      </c>
      <c r="S64" s="91" t="inlineStr">
        <is>
          <t>5</t>
        </is>
      </c>
      <c r="X64" s="91" t="inlineStr">
        <is>
          <t>img_gupumuw</t>
        </is>
      </c>
      <c r="Y64" s="115" t="inlineStr">
        <is>
          <t>大能的残魂还未散去，向众人发动攻击！|50000</t>
        </is>
      </c>
      <c r="Z64" s="116" t="n"/>
    </row>
    <row r="65" ht="130.5" customFormat="1" customHeight="1" s="91">
      <c r="B65" s="115" t="inlineStr">
        <is>
          <t>23009</t>
        </is>
      </c>
      <c r="C65" s="116" t="inlineStr">
        <is>
          <t>隐龙地脉</t>
        </is>
      </c>
      <c r="D65" s="117" t="inlineStr">
        <is>
          <t>隐龙地脉夺天地运势而成，乃一界灵气源头，储存着极为珍稀的灵气液，服用一滴就能修为大涨</t>
        </is>
      </c>
      <c r="F65" s="115" t="inlineStr">
        <is>
          <t>5500|8000</t>
        </is>
      </c>
      <c r="G65" s="91" t="inlineStr">
        <is>
          <t>6</t>
        </is>
      </c>
      <c r="H65" s="91" t="inlineStr">
        <is>
          <t>1</t>
        </is>
      </c>
      <c r="I65" s="91" t="inlineStr">
        <is>
          <t>探索</t>
        </is>
      </c>
      <c r="J65" s="91" t="inlineStr">
        <is>
          <t>无视它</t>
        </is>
      </c>
      <c r="K65" s="91" t="inlineStr">
        <is>
          <t>矿</t>
        </is>
      </c>
      <c r="L65" s="91" t="inlineStr">
        <is>
          <t>7</t>
        </is>
      </c>
      <c r="M65" s="91" t="inlineStr">
        <is>
          <t>此处的灵气液已经被吸收殆尽，土地上满是泥泞的污迹</t>
        </is>
      </c>
      <c r="R65" s="91" t="inlineStr">
        <is>
          <t>-1</t>
        </is>
      </c>
      <c r="S65" s="91" t="n"/>
      <c r="X65" s="91" t="inlineStr">
        <is>
          <t>img_longmai</t>
        </is>
      </c>
      <c r="Y65" s="91" t="n"/>
      <c r="Z65" s="116" t="n"/>
    </row>
    <row r="66" ht="130.5" customFormat="1" customHeight="1" s="91">
      <c r="B66" s="115" t="inlineStr">
        <is>
          <t>23010</t>
        </is>
      </c>
      <c r="C66" s="116" t="inlineStr">
        <is>
          <t>陌生女子</t>
        </is>
      </c>
      <c r="D66" s="117" t="inlineStr">
        <is>
          <t>荒郊野岭，一位陌生女子坐在树下哭泣，要顺路搭救她吗？</t>
        </is>
      </c>
      <c r="F66" s="91" t="inlineStr">
        <is>
          <t>2</t>
        </is>
      </c>
      <c r="G66" s="91" t="inlineStr">
        <is>
          <t>7</t>
        </is>
      </c>
      <c r="H66" s="91" t="inlineStr">
        <is>
          <t>1</t>
        </is>
      </c>
      <c r="I66" s="91" t="inlineStr">
        <is>
          <t>搭救</t>
        </is>
      </c>
      <c r="J66" s="91" t="inlineStr">
        <is>
          <t>无视它</t>
        </is>
      </c>
      <c r="K66" s="91" t="inlineStr">
        <is>
          <t>矿</t>
        </is>
      </c>
      <c r="L66" s="91" t="inlineStr">
        <is>
          <t>7</t>
        </is>
      </c>
      <c r="M66" s="91" t="inlineStr">
        <is>
          <t>女子拜谢了你，随后将自行前往宗门报道。</t>
        </is>
      </c>
      <c r="R66" s="91" t="inlineStr">
        <is>
          <t>-1</t>
        </is>
      </c>
      <c r="S66" s="91" t="n"/>
      <c r="X66" s="91" t="inlineStr">
        <is>
          <t>img_hongbiao</t>
        </is>
      </c>
      <c r="Y66" s="91" t="inlineStr">
        <is>
          <t>恩人，多谢你的帮助，小女子走投无路，希望宗门能收留我。</t>
        </is>
      </c>
      <c r="Z66" s="116" t="n"/>
    </row>
    <row r="67" ht="130.5" customFormat="1" customHeight="1" s="91">
      <c r="B67" s="115" t="inlineStr">
        <is>
          <t>23011</t>
        </is>
      </c>
      <c r="C67" s="116" t="inlineStr">
        <is>
          <t>迷路的村民</t>
        </is>
      </c>
      <c r="D67" s="117" t="inlineStr">
        <is>
          <t>看上去是个迷路的村民，要顺路搭救他吗？</t>
        </is>
      </c>
      <c r="F67" s="91" t="inlineStr">
        <is>
          <t>0</t>
        </is>
      </c>
      <c r="G67" s="91" t="inlineStr">
        <is>
          <t>7</t>
        </is>
      </c>
      <c r="H67" s="91" t="inlineStr">
        <is>
          <t>1</t>
        </is>
      </c>
      <c r="I67" s="91" t="inlineStr">
        <is>
          <t>搭救</t>
        </is>
      </c>
      <c r="J67" s="91" t="inlineStr">
        <is>
          <t>无视它</t>
        </is>
      </c>
      <c r="K67" s="91" t="inlineStr">
        <is>
          <t>矿</t>
        </is>
      </c>
      <c r="L67" s="91" t="inlineStr">
        <is>
          <t>7</t>
        </is>
      </c>
      <c r="M67" s="91" t="inlineStr">
        <is>
          <t>村民拜谢了你，随后将自行前往宗门报道。</t>
        </is>
      </c>
      <c r="R67" s="91" t="inlineStr">
        <is>
          <t>-1</t>
        </is>
      </c>
      <c r="S67" s="91" t="n"/>
      <c r="X67" s="91" t="inlineStr">
        <is>
          <t>img_hongbiao</t>
        </is>
      </c>
      <c r="Y67" s="91" t="inlineStr">
        <is>
          <t>多谢恩人相救，敬仰宗门已久，希望宗门能收留我。</t>
        </is>
      </c>
      <c r="Z67" s="116" t="n"/>
    </row>
    <row r="68" ht="130.5" customFormat="1" customHeight="1" s="91">
      <c r="B68" s="115" t="inlineStr">
        <is>
          <t>23012</t>
        </is>
      </c>
      <c r="C68" s="116" t="inlineStr">
        <is>
          <t>小片药圃</t>
        </is>
      </c>
      <c r="D68" s="117" t="inlineStr">
        <is>
          <t>掩藏在一处山涧里的小片药圃，似乎从来没人踏足过。</t>
        </is>
      </c>
      <c r="F68" s="115" t="inlineStr">
        <is>
          <t>93001|40|60,63001|10|20$93001|60|80</t>
        </is>
      </c>
      <c r="G68" s="91" t="inlineStr">
        <is>
          <t>5</t>
        </is>
      </c>
      <c r="H68" s="91" t="inlineStr">
        <is>
          <t>1</t>
        </is>
      </c>
      <c r="I68" s="91" t="inlineStr">
        <is>
          <t>简单搜寻</t>
        </is>
      </c>
      <c r="J68" s="91" t="inlineStr">
        <is>
          <t>彻底探索</t>
        </is>
      </c>
      <c r="K68" s="91" t="inlineStr">
        <is>
          <t>矿</t>
        </is>
      </c>
      <c r="L68" s="91" t="inlineStr">
        <is>
          <t>7</t>
        </is>
      </c>
      <c r="M68" s="91" t="inlineStr">
        <is>
          <t>还是不要贸然靠近危险，弟子在附近简单搜巡了一番，并在边缘角落发现了意外之喜</t>
        </is>
      </c>
      <c r="R68" s="91" t="inlineStr">
        <is>
          <t>-1</t>
        </is>
      </c>
      <c r="S68" s="91" t="inlineStr">
        <is>
          <t>1</t>
        </is>
      </c>
      <c r="X68" s="91" t="inlineStr">
        <is>
          <t>img_yaopu1</t>
        </is>
      </c>
      <c r="Y68" s="115" t="inlineStr">
        <is>
          <t>[弟子]在搜寻过程中惊动了遗迹中憩息的野兽，朝众人扑了过来！|31000</t>
        </is>
      </c>
      <c r="Z68" s="116" t="n"/>
    </row>
    <row r="69" ht="130.5" customFormat="1" customHeight="1" s="91">
      <c r="B69" s="115" t="inlineStr">
        <is>
          <t>23013</t>
        </is>
      </c>
      <c r="C69" s="116" t="inlineStr">
        <is>
          <t>中型药圃</t>
        </is>
      </c>
      <c r="D69" s="117" t="inlineStr">
        <is>
          <t>掩藏在一处山涧里的中型药圃，透出灵树生长引发的幽光</t>
        </is>
      </c>
      <c r="F69" s="115" t="inlineStr">
        <is>
          <t>93001|60|80,63001|20|30$93001|80|100</t>
        </is>
      </c>
      <c r="G69" s="91" t="inlineStr">
        <is>
          <t>5</t>
        </is>
      </c>
      <c r="H69" s="91" t="inlineStr">
        <is>
          <t>1</t>
        </is>
      </c>
      <c r="I69" s="91" t="inlineStr">
        <is>
          <t>简单搜寻</t>
        </is>
      </c>
      <c r="J69" s="91" t="inlineStr">
        <is>
          <t>彻底探索</t>
        </is>
      </c>
      <c r="K69" s="91" t="inlineStr">
        <is>
          <t>矿</t>
        </is>
      </c>
      <c r="L69" s="91" t="inlineStr">
        <is>
          <t>7</t>
        </is>
      </c>
      <c r="M69" s="91" t="inlineStr">
        <is>
          <t>还是不要贸然靠近危险，弟子在附近简单搜巡了一番，并在边缘角落发现了意外之喜</t>
        </is>
      </c>
      <c r="R69" s="91" t="inlineStr">
        <is>
          <t>-1</t>
        </is>
      </c>
      <c r="S69" s="91" t="inlineStr">
        <is>
          <t>2</t>
        </is>
      </c>
      <c r="X69" s="91" t="inlineStr">
        <is>
          <t>img_yaopu2</t>
        </is>
      </c>
      <c r="Y69" s="115" t="inlineStr">
        <is>
          <t>[弟子]在搜寻过程中惊动了遗迹中憩息的野兽，朝众人扑了过来！|35000</t>
        </is>
      </c>
      <c r="Z69" s="116" t="n"/>
    </row>
    <row r="70" ht="130.5" customFormat="1" customHeight="1" s="91">
      <c r="B70" s="115" t="inlineStr">
        <is>
          <t>23014</t>
        </is>
      </c>
      <c r="C70" s="116" t="inlineStr">
        <is>
          <t>大片药圃</t>
        </is>
      </c>
      <c r="D70" s="117" t="inlineStr">
        <is>
          <t>掩藏在一处灵气充裕山谷里的大片药圃，长满了珍贵灵植。</t>
        </is>
      </c>
      <c r="F70" s="115" t="inlineStr">
        <is>
          <t>93001|80|100,63001|30|40$93001|100|120</t>
        </is>
      </c>
      <c r="G70" s="91" t="inlineStr">
        <is>
          <t>5</t>
        </is>
      </c>
      <c r="H70" s="91" t="inlineStr">
        <is>
          <t>1</t>
        </is>
      </c>
      <c r="I70" s="91" t="inlineStr">
        <is>
          <t>简单搜寻</t>
        </is>
      </c>
      <c r="J70" s="91" t="inlineStr">
        <is>
          <t>彻底探索</t>
        </is>
      </c>
      <c r="K70" s="91" t="inlineStr">
        <is>
          <t>矿</t>
        </is>
      </c>
      <c r="L70" s="91" t="inlineStr">
        <is>
          <t>7</t>
        </is>
      </c>
      <c r="M70" s="91" t="inlineStr">
        <is>
          <t>还是不要贸然靠近危险，弟子在附近简单搜巡了一番，并在边缘角落发现了意外之喜</t>
        </is>
      </c>
      <c r="R70" s="91" t="inlineStr">
        <is>
          <t>-1</t>
        </is>
      </c>
      <c r="S70" s="91" t="inlineStr">
        <is>
          <t>3</t>
        </is>
      </c>
      <c r="X70" s="91" t="inlineStr">
        <is>
          <t>img_yaopu3</t>
        </is>
      </c>
      <c r="Y70" s="115" t="inlineStr">
        <is>
          <t>[弟子]在搜寻过程中惊动了遗迹中憩息的野兽，朝众人扑了过来！|40000</t>
        </is>
      </c>
      <c r="Z70" s="116" t="n"/>
    </row>
    <row r="71" ht="130.5" customFormat="1" customHeight="1" s="91">
      <c r="B71" s="115" t="inlineStr">
        <is>
          <t>23015</t>
        </is>
      </c>
      <c r="C71" s="116" t="inlineStr">
        <is>
          <t>仙渺森林</t>
        </is>
      </c>
      <c r="D71" s="117" t="inlineStr">
        <is>
          <t>传说有一片遍布珍木异兽的森林，隐匿在仙渺山脉中，森林外围布有结界，有缘人方可进入其中。</t>
        </is>
      </c>
      <c r="F71" s="115" t="inlineStr">
        <is>
          <t>93001|100|120,63001|40|50$152001|0|1$93001|120|140</t>
        </is>
      </c>
      <c r="G71" s="91" t="inlineStr">
        <is>
          <t>5</t>
        </is>
      </c>
      <c r="H71" s="91" t="inlineStr">
        <is>
          <t>1</t>
        </is>
      </c>
      <c r="I71" s="91" t="inlineStr">
        <is>
          <t>简单搜寻</t>
        </is>
      </c>
      <c r="J71" s="91" t="inlineStr">
        <is>
          <t>彻底探索</t>
        </is>
      </c>
      <c r="K71" s="91" t="inlineStr">
        <is>
          <t>矿</t>
        </is>
      </c>
      <c r="L71" s="91" t="inlineStr">
        <is>
          <t>7</t>
        </is>
      </c>
      <c r="M71" s="91" t="inlineStr">
        <is>
          <t>还是不要贸然靠近危险，弟子在附近简单搜巡了一番，并在边缘角落发现了意外之喜</t>
        </is>
      </c>
      <c r="R71" s="91" t="inlineStr">
        <is>
          <t>-1</t>
        </is>
      </c>
      <c r="S71" s="91" t="inlineStr">
        <is>
          <t>4</t>
        </is>
      </c>
      <c r="X71" s="91" t="inlineStr">
        <is>
          <t>img_yaopu3</t>
        </is>
      </c>
      <c r="Y71" s="115" t="inlineStr">
        <is>
          <t>此地栖息的异兽对不速之客充满敌意，朝众人扑了过来！|45000</t>
        </is>
      </c>
      <c r="Z71" s="116" t="n"/>
    </row>
    <row r="72" ht="130.5" customFormat="1" customHeight="1" s="91">
      <c r="B72" s="115" t="inlineStr">
        <is>
          <t>23016</t>
        </is>
      </c>
      <c r="C72" s="116" t="inlineStr">
        <is>
          <t>药王灵域</t>
        </is>
      </c>
      <c r="D72" s="117" t="inlineStr">
        <is>
          <t>据说是某位早已消失的药王大能培育灵植的药田，后流落至凡境，内里遍布奇花异草，无数散修无不想入内一探。</t>
        </is>
      </c>
      <c r="F72" s="115" t="inlineStr">
        <is>
          <t>93001|120|140,63001|50|60$152001|0|1$93001|140|160</t>
        </is>
      </c>
      <c r="G72" s="91" t="inlineStr">
        <is>
          <t>5</t>
        </is>
      </c>
      <c r="H72" s="91" t="inlineStr">
        <is>
          <t>1</t>
        </is>
      </c>
      <c r="I72" s="91" t="inlineStr">
        <is>
          <t>简单搜寻</t>
        </is>
      </c>
      <c r="J72" s="91" t="inlineStr">
        <is>
          <t>彻底探索</t>
        </is>
      </c>
      <c r="K72" s="91" t="inlineStr">
        <is>
          <t>矿</t>
        </is>
      </c>
      <c r="L72" s="91" t="inlineStr">
        <is>
          <t>7</t>
        </is>
      </c>
      <c r="M72" s="91" t="inlineStr">
        <is>
          <t>还是不要贸然靠近危险，弟子在附近简单搜巡了一番，并在边缘角落发现了意外之喜</t>
        </is>
      </c>
      <c r="R72" s="91" t="inlineStr">
        <is>
          <t>-1</t>
        </is>
      </c>
      <c r="S72" s="91" t="inlineStr">
        <is>
          <t>5</t>
        </is>
      </c>
      <c r="X72" s="91" t="inlineStr">
        <is>
          <t>img_yaopu3</t>
        </is>
      </c>
      <c r="Y72" s="115" t="inlineStr">
        <is>
          <t>药王十分反感有人闯入禁地，朝众人发动攻击！|50000</t>
        </is>
      </c>
      <c r="Z72" s="116" t="n"/>
    </row>
    <row r="73" ht="130.5" customFormat="1" customHeight="1" s="77">
      <c r="B73" s="115" t="inlineStr">
        <is>
          <t>23017</t>
        </is>
      </c>
      <c r="C73" s="116" t="inlineStr">
        <is>
          <t>灵罗盘</t>
        </is>
      </c>
      <c r="D73" s="117" t="inlineStr">
        <is>
          <t>灵罗盘内嵌寻灵阵法，它将为你揭示方圆10里的探索点</t>
        </is>
      </c>
      <c r="F73" s="91" t="inlineStr">
        <is>
          <t>1</t>
        </is>
      </c>
      <c r="G73" s="91" t="inlineStr">
        <is>
          <t>8</t>
        </is>
      </c>
      <c r="H73" s="91" t="inlineStr">
        <is>
          <t>1</t>
        </is>
      </c>
      <c r="I73" s="91" t="inlineStr">
        <is>
          <t>揭示</t>
        </is>
      </c>
      <c r="J73" s="91" t="inlineStr">
        <is>
          <t>无视它</t>
        </is>
      </c>
      <c r="K73" s="91" t="inlineStr">
        <is>
          <t>矿</t>
        </is>
      </c>
      <c r="L73" s="91" t="inlineStr">
        <is>
          <t>7</t>
        </is>
      </c>
      <c r="M73" s="91" t="n"/>
      <c r="R73" s="91" t="inlineStr">
        <is>
          <t>-1</t>
        </is>
      </c>
      <c r="S73" s="91" t="n"/>
      <c r="X73" s="91" t="inlineStr">
        <is>
          <t>img_luopanxiao</t>
        </is>
      </c>
      <c r="Y73" s="91" t="n"/>
      <c r="Z73" s="116" t="n"/>
    </row>
    <row r="74" ht="130.5" customFormat="1" customHeight="1" s="77">
      <c r="B74" s="115" t="inlineStr">
        <is>
          <t>23018</t>
        </is>
      </c>
      <c r="C74" s="116" t="inlineStr">
        <is>
          <t>灵罗盘(大）</t>
        </is>
      </c>
      <c r="D74" s="117" t="inlineStr">
        <is>
          <t>灵罗盘内嵌寻灵阵法，它将为你揭示方圆10里的探索点</t>
        </is>
      </c>
      <c r="F74" s="91" t="inlineStr">
        <is>
          <t>2</t>
        </is>
      </c>
      <c r="G74" s="91" t="inlineStr">
        <is>
          <t>8</t>
        </is>
      </c>
      <c r="H74" s="91" t="inlineStr">
        <is>
          <t>1</t>
        </is>
      </c>
      <c r="I74" s="91" t="inlineStr">
        <is>
          <t>揭示</t>
        </is>
      </c>
      <c r="J74" s="91" t="inlineStr">
        <is>
          <t>无视它</t>
        </is>
      </c>
      <c r="K74" s="91" t="inlineStr">
        <is>
          <t>矿</t>
        </is>
      </c>
      <c r="L74" s="91" t="inlineStr">
        <is>
          <t>7</t>
        </is>
      </c>
      <c r="M74" s="91" t="n"/>
      <c r="R74" s="91" t="inlineStr">
        <is>
          <t>-1</t>
        </is>
      </c>
      <c r="S74" s="91" t="n"/>
      <c r="X74" s="91" t="inlineStr">
        <is>
          <t>img_luopanda</t>
        </is>
      </c>
      <c r="Y74" s="91" t="n"/>
      <c r="Z74" s="116" t="n"/>
    </row>
    <row r="75" ht="130.5" customFormat="1" customHeight="1" s="77">
      <c r="B75" s="110" t="inlineStr">
        <is>
          <t>24001</t>
        </is>
      </c>
      <c r="C75" s="124" t="inlineStr">
        <is>
          <t>月灵矿脉</t>
        </is>
      </c>
      <c r="D75" s="76" t="inlineStr">
        <is>
          <t>此地终年被浓雾笼罩，只有月光能照入其中。矿脉中遍布月灵矿和其他珍稀矿石，是无数炼器师梦寐以求的地方。</t>
        </is>
      </c>
      <c r="F75" s="110" t="inlineStr">
        <is>
          <t>114001|495|575</t>
        </is>
      </c>
      <c r="G75" s="77" t="inlineStr">
        <is>
          <t>3</t>
        </is>
      </c>
      <c r="H75" s="77" t="inlineStr">
        <is>
          <t>1</t>
        </is>
      </c>
      <c r="I75" s="77" t="inlineStr">
        <is>
          <t>探索</t>
        </is>
      </c>
      <c r="J75" s="77" t="inlineStr">
        <is>
          <t>无视它</t>
        </is>
      </c>
      <c r="K75" s="77" t="inlineStr">
        <is>
          <t>矿</t>
        </is>
      </c>
      <c r="L75" s="77" t="inlineStr">
        <is>
          <t>7</t>
        </is>
      </c>
      <c r="M75" s="77" t="inlineStr">
        <is>
          <t>这里的资源已经被取走，只余一些不值钱的碎石块</t>
        </is>
      </c>
      <c r="R75" s="77" t="inlineStr">
        <is>
          <t>-1</t>
        </is>
      </c>
      <c r="X75" s="77" t="inlineStr">
        <is>
          <t>img_kuangchang</t>
        </is>
      </c>
      <c r="Y75" s="77" t="n"/>
      <c r="Z75" s="124" t="n"/>
    </row>
    <row r="76" ht="130.5" customFormat="1" customHeight="1" s="77">
      <c r="B76" s="110" t="inlineStr">
        <is>
          <t>24002</t>
        </is>
      </c>
      <c r="C76" s="124" t="inlineStr">
        <is>
          <t>小树林</t>
        </is>
      </c>
      <c r="D76" s="76" t="inlineStr">
        <is>
          <t>传说有一片遍布珍木异兽的森林，隐匿在仙渺山脉中，森林外围布有结界，有缘人方可进入其中。</t>
        </is>
      </c>
      <c r="F76" s="110" t="inlineStr">
        <is>
          <t>94001|120|140</t>
        </is>
      </c>
      <c r="G76" s="77" t="inlineStr">
        <is>
          <t>3</t>
        </is>
      </c>
      <c r="H76" s="77" t="inlineStr">
        <is>
          <t>1</t>
        </is>
      </c>
      <c r="I76" s="77" t="inlineStr">
        <is>
          <t>探索</t>
        </is>
      </c>
      <c r="J76" s="77" t="inlineStr">
        <is>
          <t>无视它</t>
        </is>
      </c>
      <c r="K76" s="77" t="inlineStr">
        <is>
          <t>矿</t>
        </is>
      </c>
      <c r="L76" s="77" t="inlineStr">
        <is>
          <t>7</t>
        </is>
      </c>
      <c r="M76" s="77" t="inlineStr">
        <is>
          <t>这片地脉已经没有任何有价值的东西</t>
        </is>
      </c>
      <c r="R76" s="77" t="inlineStr">
        <is>
          <t>-1</t>
        </is>
      </c>
      <c r="X76" s="77" t="inlineStr">
        <is>
          <t>img_mjbaoxiang2-2</t>
        </is>
      </c>
      <c r="Y76" s="77" t="n"/>
      <c r="Z76" s="124" t="n"/>
    </row>
    <row r="77" ht="130.5" customFormat="1" customHeight="1" s="77">
      <c r="B77" s="110" t="inlineStr">
        <is>
          <t>24003</t>
        </is>
      </c>
      <c r="C77" s="124" t="inlineStr">
        <is>
          <t>憩息点</t>
        </is>
      </c>
      <c r="D77" s="76" t="inlineStr">
        <is>
          <t>这里有泉水的润泽，似乎能恢复不少精力</t>
        </is>
      </c>
      <c r="F77" s="77" t="inlineStr">
        <is>
          <t>20|30</t>
        </is>
      </c>
      <c r="G77" s="77" t="inlineStr">
        <is>
          <t>4</t>
        </is>
      </c>
      <c r="H77" s="77" t="inlineStr">
        <is>
          <t>1</t>
        </is>
      </c>
      <c r="I77" s="77" t="inlineStr">
        <is>
          <t>休息</t>
        </is>
      </c>
      <c r="J77" s="77" t="inlineStr">
        <is>
          <t>无视它</t>
        </is>
      </c>
      <c r="K77" s="77" t="inlineStr">
        <is>
          <t>休息</t>
        </is>
      </c>
      <c r="L77" s="77" t="n"/>
      <c r="M77" s="77" t="inlineStr">
        <is>
          <t>经过泉水的润泽，弟子们已经好多了。泉水已经干涸</t>
        </is>
      </c>
      <c r="R77" s="77" t="inlineStr">
        <is>
          <t>-1</t>
        </is>
      </c>
      <c r="S77" s="77" t="n"/>
      <c r="X77" s="77" t="inlineStr">
        <is>
          <t>img_xiuxidian</t>
        </is>
      </c>
      <c r="Y77" s="77" t="n"/>
      <c r="Z77" s="124" t="n"/>
    </row>
    <row r="78" ht="130.5" customFormat="1" customHeight="1" s="77">
      <c r="B78" s="110" t="inlineStr">
        <is>
          <t>24004</t>
        </is>
      </c>
      <c r="C78" s="124" t="inlineStr">
        <is>
          <t>荒废遗迹</t>
        </is>
      </c>
      <c r="D78" s="76" t="inlineStr">
        <is>
          <t>一座被微弱结界笼罩的庭院，从结界阵法上散发的威压来看，应该是某位大能曾经的住所。</t>
        </is>
      </c>
      <c r="F78" s="110" t="inlineStr">
        <is>
          <t>10001|3600|4000,164001|1|3$10001|4000|4400</t>
        </is>
      </c>
      <c r="G78" s="77" t="inlineStr">
        <is>
          <t>5</t>
        </is>
      </c>
      <c r="H78" s="77" t="inlineStr">
        <is>
          <t>1</t>
        </is>
      </c>
      <c r="I78" s="77" t="inlineStr">
        <is>
          <t>简单搜寻</t>
        </is>
      </c>
      <c r="J78" s="77" t="inlineStr">
        <is>
          <t>彻底探索</t>
        </is>
      </c>
      <c r="K78" s="77" t="inlineStr">
        <is>
          <t>矿</t>
        </is>
      </c>
      <c r="L78" s="77" t="inlineStr">
        <is>
          <t>7</t>
        </is>
      </c>
      <c r="M78" s="77" t="inlineStr">
        <is>
          <t>还是不要贸然靠近危险，弟子在门口简单搜巡了一番，并在边缘角落发现了意外之喜</t>
        </is>
      </c>
      <c r="R78" s="77" t="inlineStr">
        <is>
          <t>-1</t>
        </is>
      </c>
      <c r="S78" s="77" t="inlineStr">
        <is>
          <t>1</t>
        </is>
      </c>
      <c r="X78" s="77" t="inlineStr">
        <is>
          <t>img_huangfeiyiji</t>
        </is>
      </c>
      <c r="Y78" s="110" t="inlineStr">
        <is>
          <t>[弟子]在搜寻过程中惊动了遗迹中憩息的野兽，朝众人扑了过来！|50000</t>
        </is>
      </c>
      <c r="Z78" s="124" t="n"/>
    </row>
    <row r="79" ht="130.5" customFormat="1" customHeight="1" s="77">
      <c r="B79" s="110" t="inlineStr">
        <is>
          <t>24005</t>
        </is>
      </c>
      <c r="C79" s="124" t="inlineStr">
        <is>
          <t>简陋木屋</t>
        </is>
      </c>
      <c r="D79" s="76" t="inlineStr">
        <is>
          <t>一座摇摇欲坠的简陋木屋，不知为何会出现在此地，看样子是什么人匆匆搭建的。</t>
        </is>
      </c>
      <c r="F79" s="110" t="inlineStr">
        <is>
          <t>10001|4000|4400,164001|2|4$10001|4400|4800</t>
        </is>
      </c>
      <c r="G79" s="77" t="inlineStr">
        <is>
          <t>5</t>
        </is>
      </c>
      <c r="H79" s="77" t="inlineStr">
        <is>
          <t>1</t>
        </is>
      </c>
      <c r="I79" s="77" t="inlineStr">
        <is>
          <t>简单搜寻</t>
        </is>
      </c>
      <c r="J79" s="77" t="inlineStr">
        <is>
          <t>彻底探索</t>
        </is>
      </c>
      <c r="K79" s="77" t="inlineStr">
        <is>
          <t>矿</t>
        </is>
      </c>
      <c r="L79" s="77" t="inlineStr">
        <is>
          <t>7</t>
        </is>
      </c>
      <c r="M79" s="77" t="inlineStr">
        <is>
          <t>还是不要贸然靠近危险，弟子在门口简单搜巡了一番，并在边缘角落发现了意外之喜</t>
        </is>
      </c>
      <c r="R79" s="77" t="inlineStr">
        <is>
          <t>-1</t>
        </is>
      </c>
      <c r="S79" s="77" t="inlineStr">
        <is>
          <t>2</t>
        </is>
      </c>
      <c r="X79" s="77" t="inlineStr">
        <is>
          <t>img_jianloumuwu</t>
        </is>
      </c>
      <c r="Y79" s="110" t="inlineStr">
        <is>
          <t>居然有一名隐修尚未离开，似乎入了魔道，向众人发动攻击！|55000</t>
        </is>
      </c>
      <c r="Z79" s="124" t="n"/>
    </row>
    <row r="80" ht="130.5" customFormat="1" customHeight="1" s="77">
      <c r="B80" s="110" t="inlineStr">
        <is>
          <t>24006</t>
        </is>
      </c>
      <c r="C80" s="124" t="inlineStr">
        <is>
          <t>古朴木屋</t>
        </is>
      </c>
      <c r="D80" s="76" t="inlineStr">
        <is>
          <t>一座透着古朴意境的木屋，可能是某位大能曾居住过的地方。</t>
        </is>
      </c>
      <c r="F80" s="110" t="inlineStr">
        <is>
          <t>10001|4400|4800,164001|4|6$10001|4800|5200</t>
        </is>
      </c>
      <c r="G80" s="77" t="inlineStr">
        <is>
          <t>5</t>
        </is>
      </c>
      <c r="H80" s="77" t="inlineStr">
        <is>
          <t>1</t>
        </is>
      </c>
      <c r="I80" s="77" t="inlineStr">
        <is>
          <t>简单搜寻</t>
        </is>
      </c>
      <c r="J80" s="77" t="inlineStr">
        <is>
          <t>彻底探索</t>
        </is>
      </c>
      <c r="K80" s="77" t="inlineStr">
        <is>
          <t>矿</t>
        </is>
      </c>
      <c r="L80" s="77" t="inlineStr">
        <is>
          <t>7</t>
        </is>
      </c>
      <c r="M80" s="77" t="inlineStr">
        <is>
          <t>还是不要贸然靠近危险，弟子在门口简单搜巡了一番，并在边缘角落发现了意外之喜</t>
        </is>
      </c>
      <c r="R80" s="77" t="inlineStr">
        <is>
          <t>-1</t>
        </is>
      </c>
      <c r="S80" s="77" t="inlineStr">
        <is>
          <t>3</t>
        </is>
      </c>
      <c r="X80" s="77" t="inlineStr">
        <is>
          <t>img_gupumuw</t>
        </is>
      </c>
      <c r="Y80" s="110" t="inlineStr">
        <is>
          <t>大能的残魂还未散去，向众人发动攻击！|60000</t>
        </is>
      </c>
      <c r="Z80" s="124" t="n"/>
    </row>
    <row r="81" ht="130.5" customFormat="1" customHeight="1" s="77">
      <c r="B81" s="110" t="inlineStr">
        <is>
          <t>24007</t>
        </is>
      </c>
      <c r="C81" s="124" t="inlineStr">
        <is>
          <t>飘渺庭院</t>
        </is>
      </c>
      <c r="D81" s="76" t="inlineStr">
        <is>
          <t>一座被微弱结界笼罩的庭院，从结界阵法上散发的威压来看，应该是某位大能曾经的住所。</t>
        </is>
      </c>
      <c r="F81" s="110" t="inlineStr">
        <is>
          <t>10001|4800|5200,164001|6|8$152001|0|1$10001|5200|5600</t>
        </is>
      </c>
      <c r="G81" s="77" t="inlineStr">
        <is>
          <t>5</t>
        </is>
      </c>
      <c r="H81" s="77" t="inlineStr">
        <is>
          <t>1</t>
        </is>
      </c>
      <c r="I81" s="77" t="inlineStr">
        <is>
          <t>简单搜寻</t>
        </is>
      </c>
      <c r="J81" s="77" t="inlineStr">
        <is>
          <t>彻底探索</t>
        </is>
      </c>
      <c r="K81" s="77" t="inlineStr">
        <is>
          <t>矿</t>
        </is>
      </c>
      <c r="L81" s="77" t="inlineStr">
        <is>
          <t>7</t>
        </is>
      </c>
      <c r="M81" s="77" t="inlineStr">
        <is>
          <t>还是不要贸然靠近危险，弟子在门口简单搜巡了一番，并在边缘角落发现了意外之喜</t>
        </is>
      </c>
      <c r="R81" s="77" t="inlineStr">
        <is>
          <t>-1</t>
        </is>
      </c>
      <c r="S81" s="77" t="inlineStr">
        <is>
          <t>4</t>
        </is>
      </c>
      <c r="X81" s="77" t="inlineStr">
        <is>
          <t>img_gupumuw</t>
        </is>
      </c>
      <c r="Y81" s="110" t="inlineStr">
        <is>
          <t>大能的残魂还未散去，向众人发动攻击！|65000</t>
        </is>
      </c>
      <c r="Z81" s="124" t="n"/>
    </row>
    <row r="82" ht="130.5" customFormat="1" customHeight="1" s="77">
      <c r="B82" s="110" t="inlineStr">
        <is>
          <t>24008</t>
        </is>
      </c>
      <c r="C82" s="124" t="inlineStr">
        <is>
          <t>破败宫殿</t>
        </is>
      </c>
      <c r="D82" s="76" t="inlineStr">
        <is>
          <t>一座庞大的建筑，应该是一座宫殿，虽然已经破败不堪，但远远望去，仍能感到其恢弘的气势。</t>
        </is>
      </c>
      <c r="F82" s="110" t="inlineStr">
        <is>
          <t>10001|5200|5600,164001|8|10$152001|0|1$10001|5600|6000</t>
        </is>
      </c>
      <c r="G82" s="77" t="inlineStr">
        <is>
          <t>5</t>
        </is>
      </c>
      <c r="H82" s="77" t="inlineStr">
        <is>
          <t>1</t>
        </is>
      </c>
      <c r="I82" s="77" t="inlineStr">
        <is>
          <t>简单搜寻</t>
        </is>
      </c>
      <c r="J82" s="77" t="inlineStr">
        <is>
          <t>彻底探索</t>
        </is>
      </c>
      <c r="K82" s="77" t="inlineStr">
        <is>
          <t>矿</t>
        </is>
      </c>
      <c r="L82" s="77" t="inlineStr">
        <is>
          <t>7</t>
        </is>
      </c>
      <c r="M82" s="77" t="inlineStr">
        <is>
          <t>还是不要贸然靠近危险，弟子在门口简单搜巡了一番，并在边缘角落发现了意外之喜</t>
        </is>
      </c>
      <c r="R82" s="77" t="inlineStr">
        <is>
          <t>-1</t>
        </is>
      </c>
      <c r="S82" s="77" t="inlineStr">
        <is>
          <t>5</t>
        </is>
      </c>
      <c r="X82" s="77" t="inlineStr">
        <is>
          <t>img_gupumuw</t>
        </is>
      </c>
      <c r="Y82" s="110" t="inlineStr">
        <is>
          <t>大能的残魂还未散去，向众人发动攻击！|70000</t>
        </is>
      </c>
      <c r="Z82" s="124" t="n"/>
    </row>
    <row r="83" ht="130.5" customFormat="1" customHeight="1" s="77">
      <c r="B83" s="110" t="inlineStr">
        <is>
          <t>24009</t>
        </is>
      </c>
      <c r="C83" s="124" t="inlineStr">
        <is>
          <t>隐龙地脉</t>
        </is>
      </c>
      <c r="D83" s="76" t="inlineStr">
        <is>
          <t>隐龙地脉夺天地运势而成，乃一界灵气源头，储存着极为珍稀的灵气液，服用一滴就能修为大涨</t>
        </is>
      </c>
      <c r="F83" s="110" t="inlineStr">
        <is>
          <t>5500|8000</t>
        </is>
      </c>
      <c r="G83" s="77" t="inlineStr">
        <is>
          <t>6</t>
        </is>
      </c>
      <c r="H83" s="77" t="inlineStr">
        <is>
          <t>1</t>
        </is>
      </c>
      <c r="I83" s="77" t="inlineStr">
        <is>
          <t>探索</t>
        </is>
      </c>
      <c r="J83" s="77" t="inlineStr">
        <is>
          <t>无视它</t>
        </is>
      </c>
      <c r="K83" s="77" t="inlineStr">
        <is>
          <t>矿</t>
        </is>
      </c>
      <c r="L83" s="77" t="inlineStr">
        <is>
          <t>7</t>
        </is>
      </c>
      <c r="M83" s="77" t="inlineStr">
        <is>
          <t>此处的灵气液已经被吸收殆尽，土地上满是泥泞的污迹</t>
        </is>
      </c>
      <c r="R83" s="77" t="inlineStr">
        <is>
          <t>-1</t>
        </is>
      </c>
      <c r="S83" s="77" t="n"/>
      <c r="X83" s="77" t="inlineStr">
        <is>
          <t>img_longmai</t>
        </is>
      </c>
      <c r="Y83" s="77" t="n"/>
      <c r="Z83" s="124" t="n"/>
    </row>
    <row r="84" ht="130.5" customFormat="1" customHeight="1" s="77">
      <c r="B84" s="110" t="inlineStr">
        <is>
          <t>24010</t>
        </is>
      </c>
      <c r="C84" s="124" t="inlineStr">
        <is>
          <t>陌生女子</t>
        </is>
      </c>
      <c r="D84" s="76" t="inlineStr">
        <is>
          <t>荒郊野岭，一位陌生女子坐在树下哭泣，要顺路搭救她吗？</t>
        </is>
      </c>
      <c r="F84" s="77" t="inlineStr">
        <is>
          <t>2</t>
        </is>
      </c>
      <c r="G84" s="77" t="inlineStr">
        <is>
          <t>7</t>
        </is>
      </c>
      <c r="H84" s="77" t="inlineStr">
        <is>
          <t>1</t>
        </is>
      </c>
      <c r="I84" s="77" t="inlineStr">
        <is>
          <t>搭救</t>
        </is>
      </c>
      <c r="J84" s="77" t="inlineStr">
        <is>
          <t>无视它</t>
        </is>
      </c>
      <c r="K84" s="77" t="inlineStr">
        <is>
          <t>矿</t>
        </is>
      </c>
      <c r="L84" s="77" t="inlineStr">
        <is>
          <t>7</t>
        </is>
      </c>
      <c r="M84" s="77" t="inlineStr">
        <is>
          <t>女子拜谢了你，随后将自行前往宗门报道。</t>
        </is>
      </c>
      <c r="R84" s="77" t="inlineStr">
        <is>
          <t>-1</t>
        </is>
      </c>
      <c r="S84" s="77" t="n"/>
      <c r="X84" s="77" t="inlineStr">
        <is>
          <t>img_hongbiao</t>
        </is>
      </c>
      <c r="Y84" s="77" t="inlineStr">
        <is>
          <t>恩人，多谢你的帮助，小女子走投无路，希望宗门能收留我。</t>
        </is>
      </c>
      <c r="Z84" s="124" t="n"/>
    </row>
    <row r="85" ht="130.5" customFormat="1" customHeight="1" s="77">
      <c r="B85" s="110" t="inlineStr">
        <is>
          <t>24011</t>
        </is>
      </c>
      <c r="C85" s="124" t="inlineStr">
        <is>
          <t>迷路的村民</t>
        </is>
      </c>
      <c r="D85" s="76" t="inlineStr">
        <is>
          <t>看上去是个迷路的村民，要顺路搭救他吗？</t>
        </is>
      </c>
      <c r="F85" s="77" t="inlineStr">
        <is>
          <t>0</t>
        </is>
      </c>
      <c r="G85" s="77" t="inlineStr">
        <is>
          <t>7</t>
        </is>
      </c>
      <c r="H85" s="77" t="inlineStr">
        <is>
          <t>1</t>
        </is>
      </c>
      <c r="I85" s="77" t="inlineStr">
        <is>
          <t>搭救</t>
        </is>
      </c>
      <c r="J85" s="77" t="inlineStr">
        <is>
          <t>无视它</t>
        </is>
      </c>
      <c r="K85" s="77" t="inlineStr">
        <is>
          <t>矿</t>
        </is>
      </c>
      <c r="L85" s="77" t="inlineStr">
        <is>
          <t>7</t>
        </is>
      </c>
      <c r="M85" s="77" t="inlineStr">
        <is>
          <t>村民拜谢了你，随后将自行前往宗门报道。</t>
        </is>
      </c>
      <c r="R85" s="77" t="inlineStr">
        <is>
          <t>-1</t>
        </is>
      </c>
      <c r="S85" s="77" t="n"/>
      <c r="X85" s="77" t="inlineStr">
        <is>
          <t>img_hongbiao</t>
        </is>
      </c>
      <c r="Y85" s="77" t="inlineStr">
        <is>
          <t>多谢恩人相救，敬仰宗门已久，希望宗门能收留我。</t>
        </is>
      </c>
      <c r="Z85" s="124" t="n"/>
    </row>
    <row r="86" ht="130.5" customFormat="1" customHeight="1" s="77">
      <c r="B86" s="110" t="inlineStr">
        <is>
          <t>24012</t>
        </is>
      </c>
      <c r="C86" s="124" t="inlineStr">
        <is>
          <t>小片药圃</t>
        </is>
      </c>
      <c r="D86" s="76" t="inlineStr">
        <is>
          <t>掩藏在一处山涧里的小片药圃，似乎从来没人踏足过。</t>
        </is>
      </c>
      <c r="F86" s="110" t="inlineStr">
        <is>
          <t>94001|40|60,64001|10|20$94001|60|80</t>
        </is>
      </c>
      <c r="G86" s="77" t="inlineStr">
        <is>
          <t>5</t>
        </is>
      </c>
      <c r="H86" s="77" t="inlineStr">
        <is>
          <t>1</t>
        </is>
      </c>
      <c r="I86" s="77" t="inlineStr">
        <is>
          <t>简单搜寻</t>
        </is>
      </c>
      <c r="J86" s="77" t="inlineStr">
        <is>
          <t>彻底探索</t>
        </is>
      </c>
      <c r="K86" s="77" t="inlineStr">
        <is>
          <t>矿</t>
        </is>
      </c>
      <c r="L86" s="77" t="inlineStr">
        <is>
          <t>7</t>
        </is>
      </c>
      <c r="M86" s="77" t="inlineStr">
        <is>
          <t>还是不要贸然靠近危险，弟子在附近简单搜巡了一番，并在边缘角落发现了意外之喜</t>
        </is>
      </c>
      <c r="R86" s="77" t="inlineStr">
        <is>
          <t>-1</t>
        </is>
      </c>
      <c r="S86" s="77" t="inlineStr">
        <is>
          <t>1</t>
        </is>
      </c>
      <c r="X86" s="77" t="inlineStr">
        <is>
          <t>img_yaopu1</t>
        </is>
      </c>
      <c r="Y86" s="110" t="inlineStr">
        <is>
          <t>[弟子]在搜寻过程中惊动了遗迹中憩息的野兽，朝众人扑了过来！|50000</t>
        </is>
      </c>
      <c r="Z86" s="124" t="n"/>
    </row>
    <row r="87" ht="130.5" customFormat="1" customHeight="1" s="77">
      <c r="B87" s="110" t="inlineStr">
        <is>
          <t>24013</t>
        </is>
      </c>
      <c r="C87" s="124" t="inlineStr">
        <is>
          <t>中型药圃</t>
        </is>
      </c>
      <c r="D87" s="76" t="inlineStr">
        <is>
          <t>掩藏在一处山涧里的中型药圃，透出灵树生长引发的幽光</t>
        </is>
      </c>
      <c r="F87" s="110" t="inlineStr">
        <is>
          <t>94001|60|80,64001|20|30$94001|80|100</t>
        </is>
      </c>
      <c r="G87" s="77" t="inlineStr">
        <is>
          <t>5</t>
        </is>
      </c>
      <c r="H87" s="77" t="inlineStr">
        <is>
          <t>1</t>
        </is>
      </c>
      <c r="I87" s="77" t="inlineStr">
        <is>
          <t>简单搜寻</t>
        </is>
      </c>
      <c r="J87" s="77" t="inlineStr">
        <is>
          <t>彻底探索</t>
        </is>
      </c>
      <c r="K87" s="77" t="inlineStr">
        <is>
          <t>矿</t>
        </is>
      </c>
      <c r="L87" s="77" t="inlineStr">
        <is>
          <t>7</t>
        </is>
      </c>
      <c r="M87" s="77" t="inlineStr">
        <is>
          <t>还是不要贸然靠近危险，弟子在附近简单搜巡了一番，并在边缘角落发现了意外之喜</t>
        </is>
      </c>
      <c r="R87" s="77" t="inlineStr">
        <is>
          <t>-1</t>
        </is>
      </c>
      <c r="S87" s="77" t="inlineStr">
        <is>
          <t>2</t>
        </is>
      </c>
      <c r="X87" s="77" t="inlineStr">
        <is>
          <t>img_yaopu2</t>
        </is>
      </c>
      <c r="Y87" s="110" t="inlineStr">
        <is>
          <t>[弟子]在搜寻过程中惊动了遗迹中憩息的野兽，朝众人扑了过来！|55000</t>
        </is>
      </c>
      <c r="Z87" s="124" t="n"/>
    </row>
    <row r="88" ht="130.5" customFormat="1" customHeight="1" s="77">
      <c r="B88" s="110" t="inlineStr">
        <is>
          <t>24014</t>
        </is>
      </c>
      <c r="C88" s="124" t="inlineStr">
        <is>
          <t>大片药圃</t>
        </is>
      </c>
      <c r="D88" s="76" t="inlineStr">
        <is>
          <t>掩藏在一处灵气充裕山谷里的大片药圃，长满了珍贵灵植。</t>
        </is>
      </c>
      <c r="F88" s="110" t="inlineStr">
        <is>
          <t>94001|80|100,64001|30|40$94001|100|120</t>
        </is>
      </c>
      <c r="G88" s="77" t="inlineStr">
        <is>
          <t>5</t>
        </is>
      </c>
      <c r="H88" s="77" t="inlineStr">
        <is>
          <t>1</t>
        </is>
      </c>
      <c r="I88" s="77" t="inlineStr">
        <is>
          <t>简单搜寻</t>
        </is>
      </c>
      <c r="J88" s="77" t="inlineStr">
        <is>
          <t>彻底探索</t>
        </is>
      </c>
      <c r="K88" s="77" t="inlineStr">
        <is>
          <t>矿</t>
        </is>
      </c>
      <c r="L88" s="77" t="inlineStr">
        <is>
          <t>7</t>
        </is>
      </c>
      <c r="M88" s="77" t="inlineStr">
        <is>
          <t>还是不要贸然靠近危险，弟子在附近简单搜巡了一番，并在边缘角落发现了意外之喜</t>
        </is>
      </c>
      <c r="R88" s="77" t="inlineStr">
        <is>
          <t>-1</t>
        </is>
      </c>
      <c r="S88" s="77" t="inlineStr">
        <is>
          <t>3</t>
        </is>
      </c>
      <c r="X88" s="77" t="inlineStr">
        <is>
          <t>img_yaopu3</t>
        </is>
      </c>
      <c r="Y88" s="110" t="inlineStr">
        <is>
          <t>[弟子]在搜寻过程中惊动了遗迹中憩息的野兽，朝众人扑了过来！|60000</t>
        </is>
      </c>
      <c r="Z88" s="124" t="n"/>
    </row>
    <row r="89" ht="130.5" customFormat="1" customHeight="1" s="77">
      <c r="B89" s="110" t="inlineStr">
        <is>
          <t>24015</t>
        </is>
      </c>
      <c r="C89" s="124" t="inlineStr">
        <is>
          <t>仙渺森林</t>
        </is>
      </c>
      <c r="D89" s="76" t="inlineStr">
        <is>
          <t>传说有一片遍布珍木异兽的森林，隐匿在仙渺山脉中，森林外围布有结界，有缘人方可进入其中。</t>
        </is>
      </c>
      <c r="F89" s="110" t="inlineStr">
        <is>
          <t>94001|100|120,64001|40|50$152001|0|1$94001|120|140</t>
        </is>
      </c>
      <c r="G89" s="77" t="inlineStr">
        <is>
          <t>5</t>
        </is>
      </c>
      <c r="H89" s="77" t="inlineStr">
        <is>
          <t>1</t>
        </is>
      </c>
      <c r="I89" s="77" t="inlineStr">
        <is>
          <t>简单搜寻</t>
        </is>
      </c>
      <c r="J89" s="77" t="inlineStr">
        <is>
          <t>彻底探索</t>
        </is>
      </c>
      <c r="K89" s="77" t="inlineStr">
        <is>
          <t>矿</t>
        </is>
      </c>
      <c r="L89" s="77" t="inlineStr">
        <is>
          <t>7</t>
        </is>
      </c>
      <c r="M89" s="77" t="inlineStr">
        <is>
          <t>还是不要贸然靠近危险，弟子在附近简单搜巡了一番，并在边缘角落发现了意外之喜</t>
        </is>
      </c>
      <c r="R89" s="77" t="inlineStr">
        <is>
          <t>-1</t>
        </is>
      </c>
      <c r="S89" s="77" t="inlineStr">
        <is>
          <t>4</t>
        </is>
      </c>
      <c r="X89" s="77" t="inlineStr">
        <is>
          <t>img_yaopu3</t>
        </is>
      </c>
      <c r="Y89" s="110" t="inlineStr">
        <is>
          <t>此地栖息的异兽对不速之客充满敌意，朝众人扑了过来！|65000</t>
        </is>
      </c>
      <c r="Z89" s="124" t="n"/>
    </row>
    <row r="90" ht="130.5" customFormat="1" customHeight="1" s="77">
      <c r="B90" s="110" t="inlineStr">
        <is>
          <t>24016</t>
        </is>
      </c>
      <c r="C90" s="124" t="inlineStr">
        <is>
          <t>药王灵域</t>
        </is>
      </c>
      <c r="D90" s="76" t="inlineStr">
        <is>
          <t>据说是某位早已消失的药王大能培育灵植的药田，后流落至凡境，内里遍布奇花异草，无数散修无不想入内一探。</t>
        </is>
      </c>
      <c r="F90" s="110" t="inlineStr">
        <is>
          <t>94001|120|140,64001|50|60$152001|0|1$94001|140|160</t>
        </is>
      </c>
      <c r="G90" s="77" t="inlineStr">
        <is>
          <t>5</t>
        </is>
      </c>
      <c r="H90" s="77" t="inlineStr">
        <is>
          <t>1</t>
        </is>
      </c>
      <c r="I90" s="77" t="inlineStr">
        <is>
          <t>简单搜寻</t>
        </is>
      </c>
      <c r="J90" s="77" t="inlineStr">
        <is>
          <t>彻底探索</t>
        </is>
      </c>
      <c r="K90" s="77" t="inlineStr">
        <is>
          <t>矿</t>
        </is>
      </c>
      <c r="L90" s="77" t="inlineStr">
        <is>
          <t>7</t>
        </is>
      </c>
      <c r="M90" s="77" t="inlineStr">
        <is>
          <t>还是不要贸然靠近危险，弟子在附近简单搜巡了一番，并在边缘角落发现了意外之喜</t>
        </is>
      </c>
      <c r="R90" s="77" t="inlineStr">
        <is>
          <t>-1</t>
        </is>
      </c>
      <c r="S90" s="77" t="inlineStr">
        <is>
          <t>5</t>
        </is>
      </c>
      <c r="X90" s="77" t="inlineStr">
        <is>
          <t>img_yaopu3</t>
        </is>
      </c>
      <c r="Y90" s="110" t="inlineStr">
        <is>
          <t>药王十分反感有人闯入禁地，朝众人发动攻击！|70000</t>
        </is>
      </c>
      <c r="Z90" s="124" t="n"/>
    </row>
    <row r="91" ht="62.25" customHeight="1" s="127">
      <c r="B91" s="110" t="inlineStr">
        <is>
          <t>24017</t>
        </is>
      </c>
      <c r="C91" s="124" t="inlineStr">
        <is>
          <t>灵罗盘</t>
        </is>
      </c>
      <c r="D91" s="76" t="inlineStr">
        <is>
          <t>灵罗盘内嵌寻灵阵法，它将为你揭示方圆10里的探索点</t>
        </is>
      </c>
      <c r="F91" s="77" t="inlineStr">
        <is>
          <t>1</t>
        </is>
      </c>
      <c r="G91" s="77" t="inlineStr">
        <is>
          <t>8</t>
        </is>
      </c>
      <c r="H91" s="77" t="inlineStr">
        <is>
          <t>1</t>
        </is>
      </c>
      <c r="I91" s="77" t="inlineStr">
        <is>
          <t>揭示</t>
        </is>
      </c>
      <c r="J91" s="77" t="inlineStr">
        <is>
          <t>无视它</t>
        </is>
      </c>
      <c r="K91" s="77" t="inlineStr">
        <is>
          <t>矿</t>
        </is>
      </c>
      <c r="L91" s="77" t="inlineStr">
        <is>
          <t>7</t>
        </is>
      </c>
      <c r="M91" s="77" t="n"/>
      <c r="R91" s="77" t="inlineStr">
        <is>
          <t>-1</t>
        </is>
      </c>
      <c r="S91" s="77" t="n"/>
      <c r="X91" s="77" t="inlineStr">
        <is>
          <t>img_luopanxiao</t>
        </is>
      </c>
      <c r="Y91" s="77" t="n"/>
      <c r="Z91" s="124" t="n"/>
    </row>
    <row r="92" ht="40.5" customHeight="1" s="127">
      <c r="B92" s="110" t="inlineStr">
        <is>
          <t>24018</t>
        </is>
      </c>
      <c r="C92" s="124" t="inlineStr">
        <is>
          <t>灵罗盘(大）</t>
        </is>
      </c>
      <c r="D92" s="76" t="inlineStr">
        <is>
          <t>灵罗盘内嵌寻灵阵法，它将为你揭示方圆10里的探索点</t>
        </is>
      </c>
      <c r="F92" s="77" t="inlineStr">
        <is>
          <t>2</t>
        </is>
      </c>
      <c r="G92" s="77" t="inlineStr">
        <is>
          <t>8</t>
        </is>
      </c>
      <c r="H92" s="77" t="inlineStr">
        <is>
          <t>1</t>
        </is>
      </c>
      <c r="I92" s="77" t="inlineStr">
        <is>
          <t>揭示</t>
        </is>
      </c>
      <c r="J92" s="77" t="inlineStr">
        <is>
          <t>无视它</t>
        </is>
      </c>
      <c r="K92" s="77" t="inlineStr">
        <is>
          <t>矿</t>
        </is>
      </c>
      <c r="L92" s="77" t="inlineStr">
        <is>
          <t>7</t>
        </is>
      </c>
      <c r="M92" s="77" t="n"/>
      <c r="R92" s="77" t="inlineStr">
        <is>
          <t>-1</t>
        </is>
      </c>
      <c r="S92" s="77" t="n"/>
      <c r="X92" s="77" t="inlineStr">
        <is>
          <t>img_luopanda</t>
        </is>
      </c>
      <c r="Y92" s="77" t="n"/>
      <c r="Z92" s="124" t="n"/>
    </row>
    <row r="93" ht="27" customHeight="1" s="127">
      <c r="B93" s="40" t="inlineStr">
        <is>
          <t>10007</t>
        </is>
      </c>
      <c r="C93" s="40" t="inlineStr">
        <is>
          <t>神算子</t>
        </is>
      </c>
      <c r="D93" s="40" t="inlineStr">
        <is>
          <t>一命二运三风水，四积功德五读书。六名七相八敬神，九交贵人十养生。这位小友可是要找我测运？|人生善恶非命定，为善作恶各自招。这位小友可是要找我测运？|燕子含泥春正长，经营费尽全无功，一朝春去风雨至，毁尽燕巢又成泥。这位小友可是要找我测运？|骨肉凋残可奈何，半是穷困半是孤。经书未有缘，鸡窗白首是穷年。这位小友可是要找我测运？|烟霞绕水网未收，江头也可试魚钩。这位小友可是要找我测运？|时享运又通，镇日笑春风。这位小友可是要找我测运？</t>
        </is>
      </c>
      <c r="E93" s="40" t="n"/>
      <c r="G93" s="40" t="inlineStr">
        <is>
          <t>1000</t>
        </is>
      </c>
      <c r="H93" s="40" t="inlineStr">
        <is>
          <t>1</t>
        </is>
      </c>
      <c r="I93" s="40" t="inlineStr">
        <is>
          <t>测运</t>
        </is>
      </c>
      <c r="J93" s="40" t="inlineStr">
        <is>
          <t>告辞</t>
        </is>
      </c>
      <c r="M93" s="40" t="inlineStr">
        <is>
          <t>地上一片凌乱的足迹，算命的早已离去</t>
        </is>
      </c>
      <c r="R93" s="40" t="inlineStr">
        <is>
          <t>-1</t>
        </is>
      </c>
      <c r="Z93" s="40" t="n"/>
    </row>
    <row r="94" ht="40.5" customHeight="1" s="127">
      <c r="B94" s="40" t="inlineStr">
        <is>
          <t>10008</t>
        </is>
      </c>
      <c r="C94" s="40" t="inlineStr">
        <is>
          <t>灵气</t>
        </is>
      </c>
      <c r="D94" s="40" t="inlineStr">
        <is>
          <t>少量灵气充沛之地，适宜修炼</t>
        </is>
      </c>
      <c r="E94" s="40" t="inlineStr">
        <is>
          <t>山下附近随机出现的事件灵气</t>
        </is>
      </c>
      <c r="F94" s="40" t="inlineStr">
        <is>
          <t>300|600</t>
        </is>
      </c>
      <c r="G94" s="40" t="n">
        <v>2</v>
      </c>
      <c r="H94" s="40" t="inlineStr">
        <is>
          <t>1</t>
        </is>
      </c>
      <c r="I94" s="40" t="inlineStr">
        <is>
          <t>在此修炼</t>
        </is>
      </c>
      <c r="J94" s="40" t="inlineStr">
        <is>
          <t>无视它</t>
        </is>
      </c>
      <c r="M94" s="52" t="inlineStr">
        <is>
          <t>此处的灵气已经被吸收殆尽</t>
        </is>
      </c>
      <c r="N94" s="40" t="inlineStr">
        <is>
          <t>1</t>
        </is>
      </c>
      <c r="O94" s="40" t="inlineStr">
        <is>
          <t>12|16</t>
        </is>
      </c>
      <c r="P94" s="40" t="inlineStr">
        <is>
          <t>1</t>
        </is>
      </c>
      <c r="Q94" s="40" t="inlineStr">
        <is>
          <t>9|1|15</t>
        </is>
      </c>
      <c r="R94" s="118" t="inlineStr">
        <is>
          <t>-1</t>
        </is>
      </c>
      <c r="S94" s="40" t="inlineStr">
        <is>
          <t>1</t>
        </is>
      </c>
      <c r="V94" s="40" t="inlineStr">
        <is>
          <t>0</t>
        </is>
      </c>
      <c r="W94" s="40" t="inlineStr">
        <is>
          <t>2</t>
        </is>
      </c>
    </row>
    <row r="95" ht="40.5" customHeight="1" s="127">
      <c r="B95" s="40" t="inlineStr">
        <is>
          <t>10009</t>
        </is>
      </c>
      <c r="C95" s="40" t="inlineStr">
        <is>
          <t>噬灵腹蛇</t>
        </is>
      </c>
      <c r="D95" s="40" t="inlineStr">
        <is>
          <t>噬灵腹蛇领地，栖息在此地的蝮蛇有剧毒，但生长在此地的清灵草却是不可多得的宝物……</t>
        </is>
      </c>
      <c r="E95" s="40" t="inlineStr">
        <is>
          <t>山下出现的蛇</t>
        </is>
      </c>
      <c r="F95" s="40" t="inlineStr">
        <is>
          <t>81001|50|133$10001|300|600</t>
        </is>
      </c>
      <c r="G95" s="40" t="inlineStr">
        <is>
          <t>1</t>
        </is>
      </c>
      <c r="H95" s="40" t="inlineStr">
        <is>
          <t>1</t>
        </is>
      </c>
      <c r="I95" s="40" t="inlineStr">
        <is>
          <t>探索一番</t>
        </is>
      </c>
      <c r="J95" s="40" t="inlineStr">
        <is>
          <t>无视它</t>
        </is>
      </c>
      <c r="N95" s="40" t="inlineStr">
        <is>
          <t>1</t>
        </is>
      </c>
      <c r="O95" s="40" t="inlineStr">
        <is>
          <t>12|16</t>
        </is>
      </c>
      <c r="P95" s="40" t="inlineStr">
        <is>
          <t>1</t>
        </is>
      </c>
      <c r="Q95" s="40" t="inlineStr">
        <is>
          <t>9|1|15</t>
        </is>
      </c>
      <c r="R95" s="40" t="inlineStr">
        <is>
          <t>-1</t>
        </is>
      </c>
      <c r="S95" s="40" t="inlineStr">
        <is>
          <t>1</t>
        </is>
      </c>
      <c r="T95" s="40" t="inlineStr">
        <is>
          <t>30008|30009|30010</t>
        </is>
      </c>
      <c r="U95" s="118" t="inlineStr">
        <is>
          <t>1|1|1</t>
        </is>
      </c>
      <c r="V95" s="40" t="inlineStr">
        <is>
          <t>0</t>
        </is>
      </c>
      <c r="W95" s="40" t="inlineStr">
        <is>
          <t>2</t>
        </is>
      </c>
    </row>
    <row r="96" ht="40.5" customHeight="1" s="127">
      <c r="B96" s="40" t="inlineStr">
        <is>
          <t>10010</t>
        </is>
      </c>
      <c r="C96" s="40" t="inlineStr">
        <is>
          <t>灵气</t>
        </is>
      </c>
      <c r="D96" s="40" t="inlineStr">
        <is>
          <t>少量灵气充沛之地，适宜修炼</t>
        </is>
      </c>
      <c r="E96" s="40" t="inlineStr">
        <is>
          <t>云海宗附近随机出现的事件灵气</t>
        </is>
      </c>
      <c r="F96" s="40" t="inlineStr">
        <is>
          <t>350|450</t>
        </is>
      </c>
      <c r="G96" s="40" t="n">
        <v>2</v>
      </c>
      <c r="H96" s="40" t="inlineStr">
        <is>
          <t>1</t>
        </is>
      </c>
      <c r="I96" s="40" t="inlineStr">
        <is>
          <t>在此修炼</t>
        </is>
      </c>
      <c r="J96" s="40" t="inlineStr">
        <is>
          <t>无视它</t>
        </is>
      </c>
      <c r="M96" s="52" t="inlineStr">
        <is>
          <t>此处的灵气已经被吸收殆尽</t>
        </is>
      </c>
      <c r="N96" s="40" t="inlineStr">
        <is>
          <t>1</t>
        </is>
      </c>
      <c r="O96" s="40" t="inlineStr">
        <is>
          <t>12|18</t>
        </is>
      </c>
      <c r="P96" s="40" t="inlineStr">
        <is>
          <t>1</t>
        </is>
      </c>
      <c r="Q96" s="40" t="inlineStr">
        <is>
          <t>10|10000|16</t>
        </is>
      </c>
      <c r="R96" s="40" t="inlineStr">
        <is>
          <t>-1</t>
        </is>
      </c>
      <c r="S96" s="40" t="inlineStr">
        <is>
          <t>1</t>
        </is>
      </c>
      <c r="V96" s="40" t="inlineStr">
        <is>
          <t>0</t>
        </is>
      </c>
      <c r="W96" s="40" t="inlineStr">
        <is>
          <t>1</t>
        </is>
      </c>
    </row>
    <row r="97" ht="27" customHeight="1" s="127">
      <c r="B97" s="40" t="inlineStr">
        <is>
          <t>10011</t>
        </is>
      </c>
      <c r="C97" s="40" t="inlineStr">
        <is>
          <t>灵气</t>
        </is>
      </c>
      <c r="D97" s="40" t="inlineStr">
        <is>
          <t>中等灵气充沛之地，适宜修炼</t>
        </is>
      </c>
      <c r="E97" s="40" t="inlineStr">
        <is>
          <t>云海宗附近随机出现的事件灵气</t>
        </is>
      </c>
      <c r="F97" s="40" t="inlineStr">
        <is>
          <t>600|700</t>
        </is>
      </c>
      <c r="G97" s="40" t="n">
        <v>2</v>
      </c>
      <c r="H97" s="40" t="inlineStr">
        <is>
          <t>1</t>
        </is>
      </c>
      <c r="I97" s="40" t="inlineStr">
        <is>
          <t>在此修炼</t>
        </is>
      </c>
      <c r="J97" s="40" t="inlineStr">
        <is>
          <t>无视它</t>
        </is>
      </c>
      <c r="M97" s="52" t="inlineStr">
        <is>
          <t>此处的灵气已经被吸收殆尽</t>
        </is>
      </c>
      <c r="N97" s="40" t="inlineStr">
        <is>
          <t>1</t>
        </is>
      </c>
      <c r="O97" s="40" t="inlineStr">
        <is>
          <t>12|18</t>
        </is>
      </c>
      <c r="P97" s="40" t="inlineStr">
        <is>
          <t>1</t>
        </is>
      </c>
      <c r="Q97" s="40" t="inlineStr">
        <is>
          <t>10|10000|16</t>
        </is>
      </c>
      <c r="R97" s="40" t="inlineStr">
        <is>
          <t>-1</t>
        </is>
      </c>
      <c r="S97" s="40" t="inlineStr">
        <is>
          <t>2</t>
        </is>
      </c>
      <c r="V97" s="40" t="inlineStr">
        <is>
          <t>0</t>
        </is>
      </c>
      <c r="W97" s="40" t="inlineStr">
        <is>
          <t>1</t>
        </is>
      </c>
      <c r="Z97" s="40" t="n"/>
    </row>
    <row r="98" ht="27" customHeight="1" s="127">
      <c r="B98" s="40" t="inlineStr">
        <is>
          <t>10012</t>
        </is>
      </c>
      <c r="C98" s="40" t="inlineStr">
        <is>
          <t>灵气</t>
        </is>
      </c>
      <c r="D98" s="40" t="inlineStr">
        <is>
          <t>中等灵气充沛之地，适宜修炼</t>
        </is>
      </c>
      <c r="E98" s="40" t="inlineStr">
        <is>
          <t>云海宗附近随机出现的事件灵气</t>
        </is>
      </c>
      <c r="F98" s="40" t="inlineStr">
        <is>
          <t>1200|1300</t>
        </is>
      </c>
      <c r="G98" s="40" t="n">
        <v>2</v>
      </c>
      <c r="H98" s="40" t="inlineStr">
        <is>
          <t>1</t>
        </is>
      </c>
      <c r="I98" s="40" t="inlineStr">
        <is>
          <t>在此修炼</t>
        </is>
      </c>
      <c r="J98" s="40" t="inlineStr">
        <is>
          <t>无视它</t>
        </is>
      </c>
      <c r="M98" s="52" t="inlineStr">
        <is>
          <t>此处的灵气已经被吸收殆尽</t>
        </is>
      </c>
      <c r="N98" s="40" t="inlineStr">
        <is>
          <t>1</t>
        </is>
      </c>
      <c r="O98" s="40" t="inlineStr">
        <is>
          <t>12|18</t>
        </is>
      </c>
      <c r="P98" s="40" t="inlineStr">
        <is>
          <t>1</t>
        </is>
      </c>
      <c r="Q98" s="40" t="inlineStr">
        <is>
          <t>10|10000|16</t>
        </is>
      </c>
      <c r="R98" s="40" t="inlineStr">
        <is>
          <t>-1</t>
        </is>
      </c>
      <c r="S98" s="40" t="inlineStr">
        <is>
          <t>3</t>
        </is>
      </c>
      <c r="V98" s="40" t="inlineStr">
        <is>
          <t>0</t>
        </is>
      </c>
      <c r="W98" s="40" t="inlineStr">
        <is>
          <t>1</t>
        </is>
      </c>
      <c r="Z98" s="40" t="n"/>
    </row>
    <row r="99" ht="27" customHeight="1" s="127">
      <c r="B99" s="40" t="inlineStr">
        <is>
          <t>10101</t>
        </is>
      </c>
      <c r="C99" s="40" t="inlineStr">
        <is>
          <t>噬灵腹蛇</t>
        </is>
      </c>
      <c r="D99" s="40" t="inlineStr">
        <is>
          <t>噬灵腹蛇领地，栖息在此地的蝮蛇有剧毒，但生长在此地的清灵草却是不可多得的宝物……</t>
        </is>
      </c>
      <c r="E99" s="40" t="inlineStr">
        <is>
          <t>云海宗难度1</t>
        </is>
      </c>
      <c r="F99" s="40" t="inlineStr">
        <is>
          <t>81001|133|366$10001|600|1200</t>
        </is>
      </c>
      <c r="G99" s="40" t="inlineStr">
        <is>
          <t>1</t>
        </is>
      </c>
      <c r="H99" s="40" t="inlineStr">
        <is>
          <t>1</t>
        </is>
      </c>
      <c r="I99" s="40" t="inlineStr">
        <is>
          <t>探索一番</t>
        </is>
      </c>
      <c r="J99" s="40" t="inlineStr">
        <is>
          <t>无视它</t>
        </is>
      </c>
      <c r="N99" s="40" t="inlineStr">
        <is>
          <t>1</t>
        </is>
      </c>
      <c r="O99" s="40" t="inlineStr">
        <is>
          <t>12|18</t>
        </is>
      </c>
      <c r="P99" s="40" t="inlineStr">
        <is>
          <t>1</t>
        </is>
      </c>
      <c r="Q99" s="40" t="inlineStr">
        <is>
          <t>10|10000|16</t>
        </is>
      </c>
      <c r="R99" s="40" t="inlineStr">
        <is>
          <t>-1</t>
        </is>
      </c>
      <c r="S99" s="40" t="inlineStr">
        <is>
          <t>1</t>
        </is>
      </c>
      <c r="T99" s="40" t="inlineStr">
        <is>
          <t>30011|30011|30011|30012|30013</t>
        </is>
      </c>
      <c r="U99" s="118" t="inlineStr">
        <is>
          <t>1|1|1|1|1</t>
        </is>
      </c>
      <c r="V99" s="40" t="inlineStr">
        <is>
          <t>0</t>
        </is>
      </c>
      <c r="W99" s="40" t="inlineStr">
        <is>
          <t>1</t>
        </is>
      </c>
    </row>
    <row r="100" ht="40.5" customHeight="1" s="127">
      <c r="B100" s="40" t="inlineStr">
        <is>
          <t>10102</t>
        </is>
      </c>
      <c r="C100" s="40" t="inlineStr">
        <is>
          <t>噬灵腹蛇</t>
        </is>
      </c>
      <c r="D100" s="40" t="inlineStr">
        <is>
          <t>噬灵腹蛇领地，栖息在此地的蝮蛇有剧毒，但生长在此地的清灵草却是不可多得的宝物……</t>
        </is>
      </c>
      <c r="E100" s="40" t="inlineStr">
        <is>
          <t>云海宗难度2</t>
        </is>
      </c>
      <c r="F100" s="40" t="inlineStr">
        <is>
          <t>81001|360|439$10001|1200|1500</t>
        </is>
      </c>
      <c r="G100" s="40" t="inlineStr">
        <is>
          <t>1</t>
        </is>
      </c>
      <c r="H100" s="40" t="inlineStr">
        <is>
          <t>1</t>
        </is>
      </c>
      <c r="I100" s="40" t="inlineStr">
        <is>
          <t>探索一番</t>
        </is>
      </c>
      <c r="J100" s="40" t="inlineStr">
        <is>
          <t>无视它</t>
        </is>
      </c>
      <c r="N100" s="40" t="inlineStr">
        <is>
          <t>1</t>
        </is>
      </c>
      <c r="O100" s="40" t="inlineStr">
        <is>
          <t>12|18</t>
        </is>
      </c>
      <c r="P100" s="40" t="inlineStr">
        <is>
          <t>1</t>
        </is>
      </c>
      <c r="Q100" s="40" t="inlineStr">
        <is>
          <t>10|10000|16</t>
        </is>
      </c>
      <c r="R100" s="40" t="inlineStr">
        <is>
          <t>-1</t>
        </is>
      </c>
      <c r="S100" s="40" t="inlineStr">
        <is>
          <t>2</t>
        </is>
      </c>
      <c r="T100" s="40" t="inlineStr">
        <is>
          <t>30011|30011|30011|30012|30013</t>
        </is>
      </c>
      <c r="U100" s="118" t="inlineStr">
        <is>
          <t>4|4|4|4|4</t>
        </is>
      </c>
      <c r="V100" s="40" t="inlineStr">
        <is>
          <t>0</t>
        </is>
      </c>
      <c r="W100" s="40" t="inlineStr">
        <is>
          <t>1</t>
        </is>
      </c>
    </row>
    <row r="101" ht="40.5" customHeight="1" s="127">
      <c r="B101" s="40" t="inlineStr">
        <is>
          <t>10103</t>
        </is>
      </c>
      <c r="C101" s="40" t="inlineStr">
        <is>
          <t>噬灵腹蛇</t>
        </is>
      </c>
      <c r="D101" s="40" t="inlineStr">
        <is>
          <t>噬灵腹蛇领地，栖息在此地的蝮蛇有剧毒，但生长在此地的清灵草却是不可多得的宝物……</t>
        </is>
      </c>
      <c r="E101" s="40" t="inlineStr">
        <is>
          <t>云海宗难度3</t>
        </is>
      </c>
      <c r="F101" s="40" t="inlineStr">
        <is>
          <t>81001|439|530$10001|1500|1800</t>
        </is>
      </c>
      <c r="G101" s="40" t="inlineStr">
        <is>
          <t>1</t>
        </is>
      </c>
      <c r="H101" s="40" t="inlineStr">
        <is>
          <t>1</t>
        </is>
      </c>
      <c r="I101" s="40" t="inlineStr">
        <is>
          <t>探索一番</t>
        </is>
      </c>
      <c r="J101" s="40" t="inlineStr">
        <is>
          <t>无视它</t>
        </is>
      </c>
      <c r="N101" s="40" t="inlineStr">
        <is>
          <t>1</t>
        </is>
      </c>
      <c r="O101" s="40" t="inlineStr">
        <is>
          <t>12|18</t>
        </is>
      </c>
      <c r="P101" s="40" t="inlineStr">
        <is>
          <t>1</t>
        </is>
      </c>
      <c r="Q101" s="40" t="inlineStr">
        <is>
          <t>10|10000|16</t>
        </is>
      </c>
      <c r="R101" s="40" t="inlineStr">
        <is>
          <t>-1</t>
        </is>
      </c>
      <c r="S101" s="40" t="inlineStr">
        <is>
          <t>3</t>
        </is>
      </c>
      <c r="T101" s="40" t="inlineStr">
        <is>
          <t>30011|30011|30011|30012|30013</t>
        </is>
      </c>
      <c r="U101" s="118" t="inlineStr">
        <is>
          <t>7|7|7|7|7</t>
        </is>
      </c>
      <c r="V101" s="40" t="inlineStr">
        <is>
          <t>0</t>
        </is>
      </c>
      <c r="W101" s="40" t="inlineStr">
        <is>
          <t>1</t>
        </is>
      </c>
    </row>
    <row r="102" ht="40.5" customHeight="1" s="127">
      <c r="B102" s="40" t="inlineStr">
        <is>
          <t>11001</t>
        </is>
      </c>
      <c r="C102" s="40" t="inlineStr">
        <is>
          <t>灵气</t>
        </is>
      </c>
      <c r="D102" s="40" t="inlineStr">
        <is>
          <t>少量灵气充沛之地，适宜修炼</t>
        </is>
      </c>
      <c r="E102" s="40" t="inlineStr">
        <is>
          <t>季狸国难度1</t>
        </is>
      </c>
      <c r="F102" s="40" t="inlineStr">
        <is>
          <t>350|450</t>
        </is>
      </c>
      <c r="G102" s="40" t="n">
        <v>2</v>
      </c>
      <c r="H102" s="40" t="inlineStr">
        <is>
          <t>1</t>
        </is>
      </c>
      <c r="I102" s="40" t="inlineStr">
        <is>
          <t>在此修炼</t>
        </is>
      </c>
      <c r="J102" s="40" t="inlineStr">
        <is>
          <t>无视它</t>
        </is>
      </c>
      <c r="M102" s="52" t="inlineStr">
        <is>
          <t>此处的灵气已经被吸收殆尽</t>
        </is>
      </c>
      <c r="N102" s="40" t="inlineStr">
        <is>
          <t>1</t>
        </is>
      </c>
      <c r="O102" s="40" t="inlineStr">
        <is>
          <t>6|12</t>
        </is>
      </c>
      <c r="P102" s="40" t="inlineStr">
        <is>
          <t>1</t>
        </is>
      </c>
      <c r="Q102" s="40" t="inlineStr">
        <is>
          <t>10|10001|16</t>
        </is>
      </c>
      <c r="R102" s="40" t="inlineStr">
        <is>
          <t>-1</t>
        </is>
      </c>
      <c r="S102" s="40" t="inlineStr">
        <is>
          <t>1</t>
        </is>
      </c>
      <c r="V102" s="40" t="inlineStr">
        <is>
          <t>1</t>
        </is>
      </c>
      <c r="W102" s="40" t="inlineStr">
        <is>
          <t>1</t>
        </is>
      </c>
    </row>
    <row r="103" ht="40.5" customHeight="1" s="127">
      <c r="B103" s="40" t="inlineStr">
        <is>
          <t>11002</t>
        </is>
      </c>
      <c r="C103" s="40" t="inlineStr">
        <is>
          <t>灵气</t>
        </is>
      </c>
      <c r="D103" s="40" t="inlineStr">
        <is>
          <t>中等灵气充沛之地，适宜修炼</t>
        </is>
      </c>
      <c r="E103" s="40" t="inlineStr">
        <is>
          <t>季狸国难度2</t>
        </is>
      </c>
      <c r="F103" s="40" t="inlineStr">
        <is>
          <t>600|700</t>
        </is>
      </c>
      <c r="G103" s="40" t="n">
        <v>2</v>
      </c>
      <c r="H103" s="40" t="inlineStr">
        <is>
          <t>1</t>
        </is>
      </c>
      <c r="I103" s="40" t="inlineStr">
        <is>
          <t>在此修炼</t>
        </is>
      </c>
      <c r="J103" s="40" t="inlineStr">
        <is>
          <t>无视它</t>
        </is>
      </c>
      <c r="M103" s="52" t="inlineStr">
        <is>
          <t>此处的灵气已经被吸收殆尽</t>
        </is>
      </c>
      <c r="N103" s="40" t="inlineStr">
        <is>
          <t>1</t>
        </is>
      </c>
      <c r="O103" s="40" t="inlineStr">
        <is>
          <t>9|15</t>
        </is>
      </c>
      <c r="P103" s="40" t="inlineStr">
        <is>
          <t>1</t>
        </is>
      </c>
      <c r="Q103" s="40" t="inlineStr">
        <is>
          <t>10|10001|16</t>
        </is>
      </c>
      <c r="R103" s="40" t="inlineStr">
        <is>
          <t>-1</t>
        </is>
      </c>
      <c r="S103" s="40" t="inlineStr">
        <is>
          <t>2</t>
        </is>
      </c>
      <c r="V103" s="40" t="inlineStr">
        <is>
          <t>1</t>
        </is>
      </c>
      <c r="W103" s="40" t="inlineStr">
        <is>
          <t>1</t>
        </is>
      </c>
    </row>
    <row r="104" ht="40.5" customHeight="1" s="127">
      <c r="B104" s="40" t="inlineStr">
        <is>
          <t>11003</t>
        </is>
      </c>
      <c r="C104" s="40" t="inlineStr">
        <is>
          <t>灵气</t>
        </is>
      </c>
      <c r="D104" s="40" t="inlineStr">
        <is>
          <t>中等灵气充沛之地，适宜修炼</t>
        </is>
      </c>
      <c r="E104" s="40" t="inlineStr">
        <is>
          <t>季狸国难度3</t>
        </is>
      </c>
      <c r="F104" s="40" t="inlineStr">
        <is>
          <t>1200|1300</t>
        </is>
      </c>
      <c r="G104" s="40" t="n">
        <v>2</v>
      </c>
      <c r="H104" s="40" t="inlineStr">
        <is>
          <t>1</t>
        </is>
      </c>
      <c r="I104" s="40" t="inlineStr">
        <is>
          <t>在此修炼</t>
        </is>
      </c>
      <c r="J104" s="40" t="inlineStr">
        <is>
          <t>无视它</t>
        </is>
      </c>
      <c r="M104" s="52" t="inlineStr">
        <is>
          <t>此处的灵气已经被吸收殆尽</t>
        </is>
      </c>
      <c r="N104" s="40" t="inlineStr">
        <is>
          <t>1</t>
        </is>
      </c>
      <c r="O104" s="40" t="inlineStr">
        <is>
          <t>12|18</t>
        </is>
      </c>
      <c r="P104" s="40" t="inlineStr">
        <is>
          <t>1</t>
        </is>
      </c>
      <c r="Q104" s="40" t="inlineStr">
        <is>
          <t>10|10001|16</t>
        </is>
      </c>
      <c r="R104" s="40" t="inlineStr">
        <is>
          <t>-1</t>
        </is>
      </c>
      <c r="S104" s="40" t="inlineStr">
        <is>
          <t>3</t>
        </is>
      </c>
      <c r="T104" s="40" t="n"/>
      <c r="U104" s="40" t="n"/>
      <c r="V104" s="40" t="inlineStr">
        <is>
          <t>1</t>
        </is>
      </c>
      <c r="W104" s="40" t="inlineStr">
        <is>
          <t>1</t>
        </is>
      </c>
    </row>
    <row r="105" ht="27" customHeight="1" s="127">
      <c r="B105" s="40" t="inlineStr">
        <is>
          <t>11004</t>
        </is>
      </c>
      <c r="C105" s="40" t="inlineStr">
        <is>
          <t>灵气</t>
        </is>
      </c>
      <c r="D105" s="40" t="inlineStr">
        <is>
          <t>大量灵气充沛之地，适宜修炼</t>
        </is>
      </c>
      <c r="E105" s="40" t="inlineStr">
        <is>
          <t>季狸国难度4</t>
        </is>
      </c>
      <c r="F105" s="40" t="inlineStr">
        <is>
          <t>2200|2300</t>
        </is>
      </c>
      <c r="G105" s="40" t="n">
        <v>2</v>
      </c>
      <c r="H105" s="40" t="inlineStr">
        <is>
          <t>1</t>
        </is>
      </c>
      <c r="I105" s="40" t="inlineStr">
        <is>
          <t>在此修炼</t>
        </is>
      </c>
      <c r="J105" s="40" t="inlineStr">
        <is>
          <t>无视它</t>
        </is>
      </c>
      <c r="M105" s="40" t="inlineStr">
        <is>
          <t>此处的灵气已经被吸收殆尽</t>
        </is>
      </c>
      <c r="N105" s="40" t="inlineStr">
        <is>
          <t>1</t>
        </is>
      </c>
      <c r="O105" s="40" t="inlineStr">
        <is>
          <t>15|21</t>
        </is>
      </c>
      <c r="P105" s="40" t="inlineStr">
        <is>
          <t>1</t>
        </is>
      </c>
      <c r="Q105" s="40" t="inlineStr">
        <is>
          <t>10|10001|16</t>
        </is>
      </c>
      <c r="R105" s="40" t="inlineStr">
        <is>
          <t>-1</t>
        </is>
      </c>
      <c r="S105" s="40" t="inlineStr">
        <is>
          <t>4</t>
        </is>
      </c>
      <c r="T105" s="40" t="n"/>
      <c r="U105" s="40" t="n"/>
      <c r="V105" s="40" t="inlineStr">
        <is>
          <t>1</t>
        </is>
      </c>
      <c r="W105" s="40" t="inlineStr">
        <is>
          <t>1</t>
        </is>
      </c>
    </row>
    <row r="106" ht="27" customHeight="1" s="127">
      <c r="B106" s="40" t="inlineStr">
        <is>
          <t>11005</t>
        </is>
      </c>
      <c r="C106" s="40" t="inlineStr">
        <is>
          <t>灵气</t>
        </is>
      </c>
      <c r="D106" s="40" t="inlineStr">
        <is>
          <t>海量灵气充沛之地，适宜修炼</t>
        </is>
      </c>
      <c r="E106" s="40" t="inlineStr">
        <is>
          <t>季狸国难度5</t>
        </is>
      </c>
      <c r="F106" s="40" t="inlineStr">
        <is>
          <t>4200|4300</t>
        </is>
      </c>
      <c r="G106" s="40" t="n">
        <v>2</v>
      </c>
      <c r="H106" s="40" t="inlineStr">
        <is>
          <t>1</t>
        </is>
      </c>
      <c r="I106" s="40" t="inlineStr">
        <is>
          <t>在此修炼</t>
        </is>
      </c>
      <c r="J106" s="40" t="inlineStr">
        <is>
          <t>无视它</t>
        </is>
      </c>
      <c r="M106" s="40" t="inlineStr">
        <is>
          <t>此处的灵气已经被吸收殆尽</t>
        </is>
      </c>
      <c r="N106" s="40" t="inlineStr">
        <is>
          <t>1</t>
        </is>
      </c>
      <c r="O106" s="40" t="inlineStr">
        <is>
          <t>24|28</t>
        </is>
      </c>
      <c r="P106" s="40" t="inlineStr">
        <is>
          <t>1</t>
        </is>
      </c>
      <c r="Q106" s="40" t="inlineStr">
        <is>
          <t>10|10001|16</t>
        </is>
      </c>
      <c r="R106" s="40" t="inlineStr">
        <is>
          <t>-1</t>
        </is>
      </c>
      <c r="S106" s="40" t="inlineStr">
        <is>
          <t>4</t>
        </is>
      </c>
      <c r="T106" s="40" t="n"/>
      <c r="U106" s="40" t="n"/>
      <c r="V106" s="40" t="inlineStr">
        <is>
          <t>1</t>
        </is>
      </c>
      <c r="W106" s="40" t="inlineStr">
        <is>
          <t>1</t>
        </is>
      </c>
    </row>
    <row r="107" ht="27" customHeight="1" s="127">
      <c r="B107" s="87" t="inlineStr">
        <is>
          <t>11101</t>
        </is>
      </c>
      <c r="C107" s="87" t="inlineStr">
        <is>
          <t>噬灵腹蛇</t>
        </is>
      </c>
      <c r="D107" s="87" t="inlineStr">
        <is>
          <t>噬灵腹蛇领地，栖息在此地的蝮蛇有剧毒，但生长在此地的清灵草却是不可多得的宝物……</t>
        </is>
      </c>
      <c r="E107" s="87" t="inlineStr">
        <is>
          <t>季狸国难度1</t>
        </is>
      </c>
      <c r="F107" s="87" t="inlineStr">
        <is>
          <t>10001|439|636$81001|1800|2160</t>
        </is>
      </c>
      <c r="G107" s="87" t="inlineStr">
        <is>
          <t>1</t>
        </is>
      </c>
      <c r="H107" s="87" t="inlineStr">
        <is>
          <t>1</t>
        </is>
      </c>
      <c r="I107" s="87" t="inlineStr">
        <is>
          <t>探索一番</t>
        </is>
      </c>
      <c r="J107" s="87" t="inlineStr">
        <is>
          <t>无视它</t>
        </is>
      </c>
      <c r="K107" s="87" t="n"/>
      <c r="L107" s="87" t="n"/>
      <c r="M107" s="87" t="n"/>
      <c r="N107" s="87" t="inlineStr">
        <is>
          <t>1</t>
        </is>
      </c>
      <c r="O107" s="87" t="inlineStr">
        <is>
          <t>6|12</t>
        </is>
      </c>
      <c r="P107" s="87" t="inlineStr">
        <is>
          <t>1</t>
        </is>
      </c>
      <c r="Q107" s="87" t="inlineStr">
        <is>
          <t>10|10001|16</t>
        </is>
      </c>
      <c r="R107" s="87" t="inlineStr">
        <is>
          <t>-1</t>
        </is>
      </c>
      <c r="S107" s="87" t="inlineStr">
        <is>
          <t>1</t>
        </is>
      </c>
      <c r="T107" s="119" t="inlineStr">
        <is>
          <t>30011|30011|30011|30012|30013</t>
        </is>
      </c>
      <c r="U107" s="119" t="inlineStr">
        <is>
          <t>9|9|9|9|9</t>
        </is>
      </c>
      <c r="V107" s="87" t="inlineStr">
        <is>
          <t>1</t>
        </is>
      </c>
      <c r="W107" s="87" t="inlineStr">
        <is>
          <t>1</t>
        </is>
      </c>
      <c r="Z107" s="87" t="n"/>
    </row>
    <row r="108" ht="27" customHeight="1" s="127">
      <c r="B108" s="87" t="inlineStr">
        <is>
          <t>11102</t>
        </is>
      </c>
      <c r="C108" s="87" t="inlineStr">
        <is>
          <t>噬灵腹蛇</t>
        </is>
      </c>
      <c r="D108" s="87" t="inlineStr">
        <is>
          <t>噬灵腹蛇领地，栖息在此地的蝮蛇有剧毒，但生长在此地的清灵草却是不可多得的宝物……</t>
        </is>
      </c>
      <c r="E108" s="87" t="inlineStr">
        <is>
          <t>季狸国难度2</t>
        </is>
      </c>
      <c r="F108" s="87" t="inlineStr">
        <is>
          <t>10001|527|763$81001|2160|2592</t>
        </is>
      </c>
      <c r="G108" s="87" t="inlineStr">
        <is>
          <t>1</t>
        </is>
      </c>
      <c r="H108" s="87" t="inlineStr">
        <is>
          <t>1</t>
        </is>
      </c>
      <c r="I108" s="87" t="inlineStr">
        <is>
          <t>探索一番</t>
        </is>
      </c>
      <c r="J108" s="87" t="inlineStr">
        <is>
          <t>无视它</t>
        </is>
      </c>
      <c r="K108" s="87" t="n"/>
      <c r="L108" s="87" t="n"/>
      <c r="M108" s="87" t="n"/>
      <c r="N108" s="87" t="inlineStr">
        <is>
          <t>1</t>
        </is>
      </c>
      <c r="O108" s="87" t="inlineStr">
        <is>
          <t>9|15</t>
        </is>
      </c>
      <c r="P108" s="87" t="inlineStr">
        <is>
          <t>1</t>
        </is>
      </c>
      <c r="Q108" s="87" t="inlineStr">
        <is>
          <t>10|10001|16</t>
        </is>
      </c>
      <c r="R108" s="87" t="inlineStr">
        <is>
          <t>-1</t>
        </is>
      </c>
      <c r="S108" s="87" t="inlineStr">
        <is>
          <t>2</t>
        </is>
      </c>
      <c r="T108" s="119" t="inlineStr">
        <is>
          <t>30011|30011|30011|30012|30013</t>
        </is>
      </c>
      <c r="U108" s="119" t="inlineStr">
        <is>
          <t>14|14|14|14|14</t>
        </is>
      </c>
      <c r="V108" s="87" t="inlineStr">
        <is>
          <t>1</t>
        </is>
      </c>
      <c r="W108" s="87" t="inlineStr">
        <is>
          <t>1</t>
        </is>
      </c>
      <c r="Z108" s="87" t="n"/>
    </row>
    <row r="109" ht="27" customHeight="1" s="127">
      <c r="B109" s="87" t="inlineStr">
        <is>
          <t>11103</t>
        </is>
      </c>
      <c r="C109" s="87" t="inlineStr">
        <is>
          <t>噬灵腹蛇</t>
        </is>
      </c>
      <c r="D109" s="87" t="inlineStr">
        <is>
          <t>噬灵腹蛇领地，栖息在此地的蝮蛇有剧毒，但生长在此地的清灵草却是不可多得的宝物……</t>
        </is>
      </c>
      <c r="E109" s="87" t="inlineStr">
        <is>
          <t>季狸国难度3</t>
        </is>
      </c>
      <c r="F109" s="87" t="inlineStr">
        <is>
          <t>10001|439|636$81001|1800|2160</t>
        </is>
      </c>
      <c r="G109" s="87" t="inlineStr">
        <is>
          <t>1</t>
        </is>
      </c>
      <c r="H109" s="87" t="inlineStr">
        <is>
          <t>1</t>
        </is>
      </c>
      <c r="I109" s="87" t="inlineStr">
        <is>
          <t>探索一番</t>
        </is>
      </c>
      <c r="J109" s="87" t="inlineStr">
        <is>
          <t>无视它</t>
        </is>
      </c>
      <c r="K109" s="87" t="n"/>
      <c r="L109" s="87" t="n"/>
      <c r="M109" s="87" t="n"/>
      <c r="N109" s="87" t="inlineStr">
        <is>
          <t>1</t>
        </is>
      </c>
      <c r="O109" s="87" t="inlineStr">
        <is>
          <t>12|18</t>
        </is>
      </c>
      <c r="P109" s="87" t="inlineStr">
        <is>
          <t>1</t>
        </is>
      </c>
      <c r="Q109" s="87" t="inlineStr">
        <is>
          <t>10|10001|16</t>
        </is>
      </c>
      <c r="R109" s="87" t="inlineStr">
        <is>
          <t>-1</t>
        </is>
      </c>
      <c r="S109" s="87" t="inlineStr">
        <is>
          <t>3</t>
        </is>
      </c>
      <c r="T109" s="119" t="inlineStr">
        <is>
          <t>30011|30011|30011|30012|30013</t>
        </is>
      </c>
      <c r="U109" s="119" t="inlineStr">
        <is>
          <t>19|19|19|19|19</t>
        </is>
      </c>
      <c r="V109" s="87" t="inlineStr">
        <is>
          <t>1</t>
        </is>
      </c>
      <c r="W109" s="87" t="inlineStr">
        <is>
          <t>1</t>
        </is>
      </c>
      <c r="Z109" s="87" t="n"/>
    </row>
    <row r="110" ht="27" customHeight="1" s="127">
      <c r="B110" s="87" t="inlineStr">
        <is>
          <t>11104</t>
        </is>
      </c>
      <c r="C110" s="87" t="inlineStr">
        <is>
          <t>噬灵腹蛇</t>
        </is>
      </c>
      <c r="D110" s="87" t="inlineStr">
        <is>
          <t>噬灵腹蛇领地，栖息在此地的蝮蛇有剧毒，但生长在此地的清灵草却是不可多得的宝物……</t>
        </is>
      </c>
      <c r="E110" s="87" t="inlineStr">
        <is>
          <t>季狸国难度4</t>
        </is>
      </c>
      <c r="F110" s="87" t="inlineStr">
        <is>
          <t>10001|527|763$81001|2160|2592</t>
        </is>
      </c>
      <c r="G110" s="87" t="inlineStr">
        <is>
          <t>1</t>
        </is>
      </c>
      <c r="H110" s="87" t="inlineStr">
        <is>
          <t>1</t>
        </is>
      </c>
      <c r="I110" s="87" t="inlineStr">
        <is>
          <t>探索一番</t>
        </is>
      </c>
      <c r="J110" s="87" t="inlineStr">
        <is>
          <t>无视它</t>
        </is>
      </c>
      <c r="K110" s="87" t="n"/>
      <c r="L110" s="87" t="n"/>
      <c r="M110" s="87" t="n"/>
      <c r="N110" s="87" t="inlineStr">
        <is>
          <t>1</t>
        </is>
      </c>
      <c r="O110" s="87" t="inlineStr">
        <is>
          <t>15|21</t>
        </is>
      </c>
      <c r="P110" s="87" t="inlineStr">
        <is>
          <t>1</t>
        </is>
      </c>
      <c r="Q110" s="87" t="inlineStr">
        <is>
          <t>10|10001|16</t>
        </is>
      </c>
      <c r="R110" s="87" t="inlineStr">
        <is>
          <t>-1</t>
        </is>
      </c>
      <c r="S110" s="87" t="inlineStr">
        <is>
          <t>4</t>
        </is>
      </c>
      <c r="T110" s="119" t="inlineStr">
        <is>
          <t>30011|30011|30011|30012|30013</t>
        </is>
      </c>
      <c r="U110" s="119" t="inlineStr">
        <is>
          <t>24|24|24|24|24</t>
        </is>
      </c>
      <c r="V110" s="87" t="inlineStr">
        <is>
          <t>1</t>
        </is>
      </c>
      <c r="W110" s="87" t="inlineStr">
        <is>
          <t>1</t>
        </is>
      </c>
      <c r="Z110" s="87" t="n"/>
    </row>
    <row r="111" ht="27" customHeight="1" s="127">
      <c r="B111" s="87" t="inlineStr">
        <is>
          <t>11105</t>
        </is>
      </c>
      <c r="C111" s="87" t="inlineStr">
        <is>
          <t>噬灵腹蛇</t>
        </is>
      </c>
      <c r="D111" s="87" t="inlineStr">
        <is>
          <t>噬灵腹蛇领地，栖息在此地的蝮蛇有剧毒，但生长在此地的清灵草却是不可多得的宝物……</t>
        </is>
      </c>
      <c r="E111" s="87" t="inlineStr">
        <is>
          <t>季狸国难度5</t>
        </is>
      </c>
      <c r="F111" s="87" t="inlineStr">
        <is>
          <t>10001|632|916$81001|2592|3110</t>
        </is>
      </c>
      <c r="G111" s="87" t="inlineStr">
        <is>
          <t>1</t>
        </is>
      </c>
      <c r="H111" s="87" t="inlineStr">
        <is>
          <t>1</t>
        </is>
      </c>
      <c r="I111" s="87" t="inlineStr">
        <is>
          <t>探索一番</t>
        </is>
      </c>
      <c r="J111" s="87" t="inlineStr">
        <is>
          <t>无视它</t>
        </is>
      </c>
      <c r="K111" s="87" t="n"/>
      <c r="L111" s="87" t="n"/>
      <c r="M111" s="87" t="n"/>
      <c r="N111" s="87" t="inlineStr">
        <is>
          <t>1</t>
        </is>
      </c>
      <c r="O111" s="87" t="inlineStr">
        <is>
          <t>24|28</t>
        </is>
      </c>
      <c r="P111" s="87" t="inlineStr">
        <is>
          <t>1</t>
        </is>
      </c>
      <c r="Q111" s="87" t="inlineStr">
        <is>
          <t>10|10001|16</t>
        </is>
      </c>
      <c r="R111" s="87" t="inlineStr">
        <is>
          <t>-1</t>
        </is>
      </c>
      <c r="S111" s="87" t="inlineStr">
        <is>
          <t>5</t>
        </is>
      </c>
      <c r="T111" s="119" t="inlineStr">
        <is>
          <t>30011|30011|30011|30012|30013</t>
        </is>
      </c>
      <c r="U111" s="119" t="inlineStr">
        <is>
          <t>29|29|29|29|29</t>
        </is>
      </c>
      <c r="V111" s="87" t="inlineStr">
        <is>
          <t>1</t>
        </is>
      </c>
      <c r="W111" s="87" t="inlineStr">
        <is>
          <t>1</t>
        </is>
      </c>
      <c r="Z111" s="87" t="n"/>
    </row>
    <row r="112" ht="27" customHeight="1" s="127">
      <c r="B112" s="87" t="inlineStr">
        <is>
          <t>11106</t>
        </is>
      </c>
      <c r="C112" s="91" t="inlineStr">
        <is>
          <t>灵鲲</t>
        </is>
      </c>
      <c r="D112" s="89" t="inlineStr">
        <is>
          <t>鲲游荡在星空深处，以星辰为食，常年累月的吞噬，使它的体内埋藏了无数珍宝。</t>
        </is>
      </c>
      <c r="E112" s="91" t="inlineStr">
        <is>
          <t>季狸国难度1</t>
        </is>
      </c>
      <c r="F112" s="91" t="inlineStr">
        <is>
          <t>131001|0|15$131101|0|15$131201|0|15</t>
        </is>
      </c>
      <c r="G112" s="91" t="inlineStr">
        <is>
          <t>1</t>
        </is>
      </c>
      <c r="H112" s="91" t="inlineStr">
        <is>
          <t>1</t>
        </is>
      </c>
      <c r="I112" s="91" t="inlineStr">
        <is>
          <t>探索一番</t>
        </is>
      </c>
      <c r="J112" s="91" t="inlineStr">
        <is>
          <t>无视它</t>
        </is>
      </c>
      <c r="K112" s="91" t="n"/>
      <c r="L112" s="91" t="n"/>
      <c r="M112" s="91" t="n"/>
      <c r="N112" s="91" t="inlineStr">
        <is>
          <t>1</t>
        </is>
      </c>
      <c r="O112" s="91" t="inlineStr">
        <is>
          <t>6|12</t>
        </is>
      </c>
      <c r="P112" s="91" t="inlineStr">
        <is>
          <t>1</t>
        </is>
      </c>
      <c r="Q112" s="91" t="inlineStr">
        <is>
          <t>10|10001|16</t>
        </is>
      </c>
      <c r="R112" s="91" t="inlineStr">
        <is>
          <t>-1</t>
        </is>
      </c>
      <c r="S112" s="91" t="inlineStr">
        <is>
          <t>1</t>
        </is>
      </c>
      <c r="T112" s="104" t="inlineStr">
        <is>
          <t>30035</t>
        </is>
      </c>
      <c r="U112" s="119" t="inlineStr">
        <is>
          <t>9</t>
        </is>
      </c>
      <c r="V112" s="87" t="inlineStr">
        <is>
          <t>1</t>
        </is>
      </c>
      <c r="W112" s="91" t="inlineStr">
        <is>
          <t>1</t>
        </is>
      </c>
      <c r="Z112" s="91" t="n"/>
    </row>
    <row r="113" ht="27" customHeight="1" s="127">
      <c r="B113" s="87" t="inlineStr">
        <is>
          <t>11107</t>
        </is>
      </c>
      <c r="C113" s="91" t="inlineStr">
        <is>
          <t>灵鲲</t>
        </is>
      </c>
      <c r="D113" s="89" t="inlineStr">
        <is>
          <t>鲲游荡在星空深处，以星辰为食，常年累月的吞噬，使它的体内埋藏了无数珍宝。</t>
        </is>
      </c>
      <c r="E113" s="91" t="inlineStr">
        <is>
          <t>季狸国难度2</t>
        </is>
      </c>
      <c r="F113" s="91" t="inlineStr">
        <is>
          <t>131001|15|30$131101|15|30$131201|15|30</t>
        </is>
      </c>
      <c r="G113" s="91" t="inlineStr">
        <is>
          <t>1</t>
        </is>
      </c>
      <c r="H113" s="91" t="inlineStr">
        <is>
          <t>1</t>
        </is>
      </c>
      <c r="I113" s="91" t="inlineStr">
        <is>
          <t>探索一番</t>
        </is>
      </c>
      <c r="J113" s="91" t="inlineStr">
        <is>
          <t>无视它</t>
        </is>
      </c>
      <c r="K113" s="91" t="n"/>
      <c r="L113" s="91" t="n"/>
      <c r="M113" s="91" t="n"/>
      <c r="N113" s="91" t="inlineStr">
        <is>
          <t>1</t>
        </is>
      </c>
      <c r="O113" s="91" t="inlineStr">
        <is>
          <t>9|15</t>
        </is>
      </c>
      <c r="P113" s="91" t="inlineStr">
        <is>
          <t>1</t>
        </is>
      </c>
      <c r="Q113" s="91" t="inlineStr">
        <is>
          <t>10|10001|16</t>
        </is>
      </c>
      <c r="R113" s="91" t="inlineStr">
        <is>
          <t>-1</t>
        </is>
      </c>
      <c r="S113" s="91" t="inlineStr">
        <is>
          <t>2</t>
        </is>
      </c>
      <c r="T113" s="104" t="inlineStr">
        <is>
          <t>30035</t>
        </is>
      </c>
      <c r="U113" s="119" t="inlineStr">
        <is>
          <t>14</t>
        </is>
      </c>
      <c r="V113" s="87" t="inlineStr">
        <is>
          <t>1</t>
        </is>
      </c>
      <c r="W113" s="91" t="inlineStr">
        <is>
          <t>1</t>
        </is>
      </c>
      <c r="Z113" s="91" t="n"/>
    </row>
    <row r="114" ht="27" customHeight="1" s="127">
      <c r="B114" s="87" t="inlineStr">
        <is>
          <t>11108</t>
        </is>
      </c>
      <c r="C114" s="91" t="inlineStr">
        <is>
          <t>灵鲲</t>
        </is>
      </c>
      <c r="D114" s="89" t="inlineStr">
        <is>
          <t>鲲游荡在星空深处，以星辰为食，常年累月的吞噬，使它的体内埋藏了无数珍宝。</t>
        </is>
      </c>
      <c r="E114" s="91" t="inlineStr">
        <is>
          <t>季狸国难度3</t>
        </is>
      </c>
      <c r="F114" s="91" t="inlineStr">
        <is>
          <t>131001|30|45$131101|30|45$131201|30|45</t>
        </is>
      </c>
      <c r="G114" s="91" t="inlineStr">
        <is>
          <t>1</t>
        </is>
      </c>
      <c r="H114" s="91" t="inlineStr">
        <is>
          <t>1</t>
        </is>
      </c>
      <c r="I114" s="91" t="inlineStr">
        <is>
          <t>探索一番</t>
        </is>
      </c>
      <c r="J114" s="91" t="inlineStr">
        <is>
          <t>无视它</t>
        </is>
      </c>
      <c r="K114" s="91" t="n"/>
      <c r="L114" s="91" t="n"/>
      <c r="M114" s="91" t="n"/>
      <c r="N114" s="91" t="inlineStr">
        <is>
          <t>1</t>
        </is>
      </c>
      <c r="O114" s="91" t="inlineStr">
        <is>
          <t>12|18</t>
        </is>
      </c>
      <c r="P114" s="91" t="inlineStr">
        <is>
          <t>1</t>
        </is>
      </c>
      <c r="Q114" s="91" t="inlineStr">
        <is>
          <t>10|10001|16</t>
        </is>
      </c>
      <c r="R114" s="91" t="inlineStr">
        <is>
          <t>-1</t>
        </is>
      </c>
      <c r="S114" s="91" t="inlineStr">
        <is>
          <t>3</t>
        </is>
      </c>
      <c r="T114" s="104" t="inlineStr">
        <is>
          <t>30035</t>
        </is>
      </c>
      <c r="U114" s="119" t="inlineStr">
        <is>
          <t>19</t>
        </is>
      </c>
      <c r="V114" s="87" t="inlineStr">
        <is>
          <t>1</t>
        </is>
      </c>
      <c r="W114" s="91" t="inlineStr">
        <is>
          <t>1</t>
        </is>
      </c>
      <c r="Z114" s="91" t="n"/>
    </row>
    <row r="115" ht="27" customHeight="1" s="127">
      <c r="B115" s="87" t="inlineStr">
        <is>
          <t>11109</t>
        </is>
      </c>
      <c r="C115" s="91" t="inlineStr">
        <is>
          <t>灵鲲</t>
        </is>
      </c>
      <c r="D115" s="89" t="inlineStr">
        <is>
          <t>鲲游荡在星空深处，以星辰为食，常年累月的吞噬，使它的体内埋藏了无数珍宝。</t>
        </is>
      </c>
      <c r="E115" s="91" t="inlineStr">
        <is>
          <t>季狸国难度4</t>
        </is>
      </c>
      <c r="F115" s="91" t="inlineStr">
        <is>
          <t>131001|45|60$131101|45|60$131201|45|60</t>
        </is>
      </c>
      <c r="G115" s="91" t="inlineStr">
        <is>
          <t>1</t>
        </is>
      </c>
      <c r="H115" s="91" t="inlineStr">
        <is>
          <t>1</t>
        </is>
      </c>
      <c r="I115" s="91" t="inlineStr">
        <is>
          <t>探索一番</t>
        </is>
      </c>
      <c r="J115" s="91" t="inlineStr">
        <is>
          <t>无视它</t>
        </is>
      </c>
      <c r="K115" s="91" t="n"/>
      <c r="L115" s="91" t="n"/>
      <c r="M115" s="91" t="n"/>
      <c r="N115" s="91" t="inlineStr">
        <is>
          <t>1</t>
        </is>
      </c>
      <c r="O115" s="91" t="inlineStr">
        <is>
          <t>15|21</t>
        </is>
      </c>
      <c r="P115" s="91" t="inlineStr">
        <is>
          <t>1</t>
        </is>
      </c>
      <c r="Q115" s="91" t="inlineStr">
        <is>
          <t>10|10001|16</t>
        </is>
      </c>
      <c r="R115" s="91" t="inlineStr">
        <is>
          <t>-1</t>
        </is>
      </c>
      <c r="S115" s="91" t="inlineStr">
        <is>
          <t>4</t>
        </is>
      </c>
      <c r="T115" s="104" t="inlineStr">
        <is>
          <t>30035</t>
        </is>
      </c>
      <c r="U115" s="119" t="inlineStr">
        <is>
          <t>24</t>
        </is>
      </c>
      <c r="V115" s="87" t="inlineStr">
        <is>
          <t>1</t>
        </is>
      </c>
      <c r="W115" s="91" t="inlineStr">
        <is>
          <t>1</t>
        </is>
      </c>
      <c r="Z115" s="91" t="n"/>
    </row>
    <row r="116" ht="27" customHeight="1" s="127">
      <c r="B116" s="87" t="inlineStr">
        <is>
          <t>11110</t>
        </is>
      </c>
      <c r="C116" s="91" t="inlineStr">
        <is>
          <t>灵鲲</t>
        </is>
      </c>
      <c r="D116" s="89" t="inlineStr">
        <is>
          <t>鲲游荡在星空深处，以星辰为食，常年累月的吞噬，使它的体内埋藏了无数珍宝。</t>
        </is>
      </c>
      <c r="E116" s="91" t="inlineStr">
        <is>
          <t>季狸国难度5</t>
        </is>
      </c>
      <c r="F116" s="91" t="inlineStr">
        <is>
          <t>131001|65|80$131101|65|80$131201|65|80</t>
        </is>
      </c>
      <c r="G116" s="91" t="inlineStr">
        <is>
          <t>1</t>
        </is>
      </c>
      <c r="H116" s="91" t="inlineStr">
        <is>
          <t>1</t>
        </is>
      </c>
      <c r="I116" s="91" t="inlineStr">
        <is>
          <t>探索一番</t>
        </is>
      </c>
      <c r="J116" s="91" t="inlineStr">
        <is>
          <t>无视它</t>
        </is>
      </c>
      <c r="K116" s="91" t="n"/>
      <c r="L116" s="91" t="n"/>
      <c r="M116" s="91" t="n"/>
      <c r="N116" s="91" t="inlineStr">
        <is>
          <t>1</t>
        </is>
      </c>
      <c r="O116" s="91" t="inlineStr">
        <is>
          <t>24|28</t>
        </is>
      </c>
      <c r="P116" s="91" t="inlineStr">
        <is>
          <t>1</t>
        </is>
      </c>
      <c r="Q116" s="91" t="inlineStr">
        <is>
          <t>10|10001|16</t>
        </is>
      </c>
      <c r="R116" s="91" t="inlineStr">
        <is>
          <t>-1</t>
        </is>
      </c>
      <c r="S116" s="91" t="inlineStr">
        <is>
          <t>5</t>
        </is>
      </c>
      <c r="T116" s="104" t="inlineStr">
        <is>
          <t>30035</t>
        </is>
      </c>
      <c r="U116" s="119" t="inlineStr">
        <is>
          <t>29</t>
        </is>
      </c>
      <c r="V116" s="87" t="inlineStr">
        <is>
          <t>1</t>
        </is>
      </c>
      <c r="W116" s="91" t="inlineStr">
        <is>
          <t>1</t>
        </is>
      </c>
      <c r="Z116" s="91" t="n"/>
    </row>
    <row r="117" ht="27" customHeight="1" s="127">
      <c r="B117" s="87" t="inlineStr">
        <is>
          <t>11111</t>
        </is>
      </c>
      <c r="C117" s="95" t="inlineStr">
        <is>
          <t>虎鲲</t>
        </is>
      </c>
      <c r="D117" s="93" t="inlineStr">
        <is>
          <t>鲲游荡在星空深处，以星辰为食，常年累月的吞噬，使它的体内埋藏了无数珍宝。</t>
        </is>
      </c>
      <c r="E117" s="95" t="inlineStr">
        <is>
          <t>季狸国难度1</t>
        </is>
      </c>
      <c r="F117" s="95" t="inlineStr">
        <is>
          <t>131301|0|15$131401|0|15$131501|0|15</t>
        </is>
      </c>
      <c r="G117" s="95" t="inlineStr">
        <is>
          <t>1</t>
        </is>
      </c>
      <c r="H117" s="95" t="inlineStr">
        <is>
          <t>1</t>
        </is>
      </c>
      <c r="I117" s="95" t="inlineStr">
        <is>
          <t>探索一番</t>
        </is>
      </c>
      <c r="J117" s="95" t="inlineStr">
        <is>
          <t>无视它</t>
        </is>
      </c>
      <c r="K117" s="95" t="n"/>
      <c r="L117" s="95" t="n"/>
      <c r="M117" s="95" t="n"/>
      <c r="N117" s="95" t="inlineStr">
        <is>
          <t>1</t>
        </is>
      </c>
      <c r="O117" s="95" t="inlineStr">
        <is>
          <t>6|12</t>
        </is>
      </c>
      <c r="P117" s="95" t="inlineStr">
        <is>
          <t>1</t>
        </is>
      </c>
      <c r="Q117" s="95" t="inlineStr">
        <is>
          <t>10|10001|16</t>
        </is>
      </c>
      <c r="R117" s="95" t="inlineStr">
        <is>
          <t>-1</t>
        </is>
      </c>
      <c r="S117" s="95" t="inlineStr">
        <is>
          <t>1</t>
        </is>
      </c>
      <c r="T117" s="121" t="inlineStr">
        <is>
          <t>30036</t>
        </is>
      </c>
      <c r="U117" s="119" t="inlineStr">
        <is>
          <t>9</t>
        </is>
      </c>
      <c r="V117" s="87" t="inlineStr">
        <is>
          <t>1</t>
        </is>
      </c>
      <c r="W117" s="95" t="inlineStr">
        <is>
          <t>1</t>
        </is>
      </c>
      <c r="Z117" s="95" t="n"/>
    </row>
    <row r="118" ht="27" customHeight="1" s="127">
      <c r="B118" s="87" t="inlineStr">
        <is>
          <t>11112</t>
        </is>
      </c>
      <c r="C118" s="95" t="inlineStr">
        <is>
          <t>虎鲲</t>
        </is>
      </c>
      <c r="D118" s="93" t="inlineStr">
        <is>
          <t>鲲游荡在星空深处，以星辰为食，常年累月的吞噬，使它的体内埋藏了无数珍宝。</t>
        </is>
      </c>
      <c r="E118" s="95" t="inlineStr">
        <is>
          <t>季狸国难度2</t>
        </is>
      </c>
      <c r="F118" s="95" t="inlineStr">
        <is>
          <t>131301|15|30$131401|15|30$131501|15|30</t>
        </is>
      </c>
      <c r="G118" s="95" t="inlineStr">
        <is>
          <t>1</t>
        </is>
      </c>
      <c r="H118" s="95" t="inlineStr">
        <is>
          <t>1</t>
        </is>
      </c>
      <c r="I118" s="95" t="inlineStr">
        <is>
          <t>探索一番</t>
        </is>
      </c>
      <c r="J118" s="95" t="inlineStr">
        <is>
          <t>无视它</t>
        </is>
      </c>
      <c r="K118" s="95" t="n"/>
      <c r="L118" s="95" t="n"/>
      <c r="M118" s="95" t="n"/>
      <c r="N118" s="95" t="inlineStr">
        <is>
          <t>1</t>
        </is>
      </c>
      <c r="O118" s="95" t="inlineStr">
        <is>
          <t>9|15</t>
        </is>
      </c>
      <c r="P118" s="95" t="inlineStr">
        <is>
          <t>1</t>
        </is>
      </c>
      <c r="Q118" s="95" t="inlineStr">
        <is>
          <t>10|10001|16</t>
        </is>
      </c>
      <c r="R118" s="95" t="inlineStr">
        <is>
          <t>-1</t>
        </is>
      </c>
      <c r="S118" s="95" t="inlineStr">
        <is>
          <t>2</t>
        </is>
      </c>
      <c r="T118" s="121" t="inlineStr">
        <is>
          <t>30036</t>
        </is>
      </c>
      <c r="U118" s="119" t="inlineStr">
        <is>
          <t>14</t>
        </is>
      </c>
      <c r="V118" s="87" t="inlineStr">
        <is>
          <t>1</t>
        </is>
      </c>
      <c r="W118" s="95" t="inlineStr">
        <is>
          <t>1</t>
        </is>
      </c>
      <c r="Z118" s="95" t="n"/>
    </row>
    <row r="119" ht="27" customHeight="1" s="127">
      <c r="B119" s="87" t="inlineStr">
        <is>
          <t>11113</t>
        </is>
      </c>
      <c r="C119" s="95" t="inlineStr">
        <is>
          <t>虎鲲</t>
        </is>
      </c>
      <c r="D119" s="93" t="inlineStr">
        <is>
          <t>鲲游荡在星空深处，以星辰为食，常年累月的吞噬，使它的体内埋藏了无数珍宝。</t>
        </is>
      </c>
      <c r="E119" s="95" t="inlineStr">
        <is>
          <t>季狸国难度3</t>
        </is>
      </c>
      <c r="F119" s="95" t="inlineStr">
        <is>
          <t>131301|30|45$131401|30|45$131501|30|45</t>
        </is>
      </c>
      <c r="G119" s="95" t="inlineStr">
        <is>
          <t>1</t>
        </is>
      </c>
      <c r="H119" s="95" t="inlineStr">
        <is>
          <t>1</t>
        </is>
      </c>
      <c r="I119" s="95" t="inlineStr">
        <is>
          <t>探索一番</t>
        </is>
      </c>
      <c r="J119" s="95" t="inlineStr">
        <is>
          <t>无视它</t>
        </is>
      </c>
      <c r="K119" s="95" t="n"/>
      <c r="L119" s="95" t="n"/>
      <c r="M119" s="95" t="n"/>
      <c r="N119" s="95" t="inlineStr">
        <is>
          <t>1</t>
        </is>
      </c>
      <c r="O119" s="95" t="inlineStr">
        <is>
          <t>12|18</t>
        </is>
      </c>
      <c r="P119" s="95" t="inlineStr">
        <is>
          <t>1</t>
        </is>
      </c>
      <c r="Q119" s="95" t="inlineStr">
        <is>
          <t>10|10001|16</t>
        </is>
      </c>
      <c r="R119" s="95" t="inlineStr">
        <is>
          <t>-1</t>
        </is>
      </c>
      <c r="S119" s="95" t="inlineStr">
        <is>
          <t>3</t>
        </is>
      </c>
      <c r="T119" s="121" t="inlineStr">
        <is>
          <t>30036</t>
        </is>
      </c>
      <c r="U119" s="119" t="inlineStr">
        <is>
          <t>19</t>
        </is>
      </c>
      <c r="V119" s="87" t="inlineStr">
        <is>
          <t>1</t>
        </is>
      </c>
      <c r="W119" s="95" t="inlineStr">
        <is>
          <t>1</t>
        </is>
      </c>
      <c r="Z119" s="95" t="n"/>
    </row>
    <row r="120" ht="27" customHeight="1" s="127">
      <c r="B120" s="87" t="inlineStr">
        <is>
          <t>11114</t>
        </is>
      </c>
      <c r="C120" s="95" t="inlineStr">
        <is>
          <t>虎鲲</t>
        </is>
      </c>
      <c r="D120" s="93" t="inlineStr">
        <is>
          <t>鲲游荡在星空深处，以星辰为食，常年累月的吞噬，使它的体内埋藏了无数珍宝。</t>
        </is>
      </c>
      <c r="E120" s="95" t="inlineStr">
        <is>
          <t>季狸国难度4</t>
        </is>
      </c>
      <c r="F120" s="95" t="inlineStr">
        <is>
          <t>131301|45|60$131401|45|60$131501|45|60</t>
        </is>
      </c>
      <c r="G120" s="95" t="inlineStr">
        <is>
          <t>1</t>
        </is>
      </c>
      <c r="H120" s="95" t="inlineStr">
        <is>
          <t>1</t>
        </is>
      </c>
      <c r="I120" s="95" t="inlineStr">
        <is>
          <t>探索一番</t>
        </is>
      </c>
      <c r="J120" s="95" t="inlineStr">
        <is>
          <t>无视它</t>
        </is>
      </c>
      <c r="K120" s="95" t="n"/>
      <c r="L120" s="95" t="n"/>
      <c r="M120" s="95" t="n"/>
      <c r="N120" s="95" t="inlineStr">
        <is>
          <t>1</t>
        </is>
      </c>
      <c r="O120" s="95" t="inlineStr">
        <is>
          <t>15|21</t>
        </is>
      </c>
      <c r="P120" s="95" t="inlineStr">
        <is>
          <t>1</t>
        </is>
      </c>
      <c r="Q120" s="95" t="inlineStr">
        <is>
          <t>10|10001|16</t>
        </is>
      </c>
      <c r="R120" s="95" t="inlineStr">
        <is>
          <t>-1</t>
        </is>
      </c>
      <c r="S120" s="95" t="inlineStr">
        <is>
          <t>4</t>
        </is>
      </c>
      <c r="T120" s="121" t="inlineStr">
        <is>
          <t>30036</t>
        </is>
      </c>
      <c r="U120" s="119" t="inlineStr">
        <is>
          <t>24</t>
        </is>
      </c>
      <c r="V120" s="87" t="inlineStr">
        <is>
          <t>1</t>
        </is>
      </c>
      <c r="W120" s="95" t="inlineStr">
        <is>
          <t>1</t>
        </is>
      </c>
      <c r="Z120" s="95" t="n"/>
    </row>
    <row r="121" ht="40.5" customHeight="1" s="127">
      <c r="B121" s="87" t="inlineStr">
        <is>
          <t>11115</t>
        </is>
      </c>
      <c r="C121" s="95" t="inlineStr">
        <is>
          <t>虎鲲</t>
        </is>
      </c>
      <c r="D121" s="93" t="inlineStr">
        <is>
          <t>鲲游荡在星空深处，以星辰为食，常年累月的吞噬，使它的体内埋藏了无数珍宝。</t>
        </is>
      </c>
      <c r="E121" s="95" t="inlineStr">
        <is>
          <t>季狸国难度5</t>
        </is>
      </c>
      <c r="F121" s="95" t="inlineStr">
        <is>
          <t>131301|65|80$131401|65|80$131501|65|80</t>
        </is>
      </c>
      <c r="G121" s="95" t="inlineStr">
        <is>
          <t>1</t>
        </is>
      </c>
      <c r="H121" s="95" t="inlineStr">
        <is>
          <t>1</t>
        </is>
      </c>
      <c r="I121" s="95" t="inlineStr">
        <is>
          <t>探索一番</t>
        </is>
      </c>
      <c r="J121" s="95" t="inlineStr">
        <is>
          <t>无视它</t>
        </is>
      </c>
      <c r="K121" s="95" t="n"/>
      <c r="L121" s="95" t="n"/>
      <c r="M121" s="95" t="n"/>
      <c r="N121" s="95" t="inlineStr">
        <is>
          <t>1</t>
        </is>
      </c>
      <c r="O121" s="95" t="inlineStr">
        <is>
          <t>24|28</t>
        </is>
      </c>
      <c r="P121" s="95" t="inlineStr">
        <is>
          <t>1</t>
        </is>
      </c>
      <c r="Q121" s="95" t="inlineStr">
        <is>
          <t>10|10001|16</t>
        </is>
      </c>
      <c r="R121" s="95" t="inlineStr">
        <is>
          <t>-1</t>
        </is>
      </c>
      <c r="S121" s="95" t="inlineStr">
        <is>
          <t>5</t>
        </is>
      </c>
      <c r="T121" s="121" t="inlineStr">
        <is>
          <t>30036</t>
        </is>
      </c>
      <c r="U121" s="119" t="inlineStr">
        <is>
          <t>29</t>
        </is>
      </c>
      <c r="V121" s="87" t="inlineStr">
        <is>
          <t>1</t>
        </is>
      </c>
      <c r="W121" s="95" t="inlineStr">
        <is>
          <t>1</t>
        </is>
      </c>
      <c r="Z121" s="95" t="n"/>
    </row>
    <row r="122" ht="40.5" customHeight="1" s="127">
      <c r="B122" s="87" t="inlineStr">
        <is>
          <t>11116</t>
        </is>
      </c>
      <c r="C122" s="98" t="inlineStr">
        <is>
          <t>骨鲲</t>
        </is>
      </c>
      <c r="D122" s="97" t="inlineStr">
        <is>
          <t>鲲游荡在星空深处，以星辰为食，常年累月的吞噬，使它的体内埋藏了无数珍宝。</t>
        </is>
      </c>
      <c r="E122" s="98" t="inlineStr">
        <is>
          <t>季狸国难度1</t>
        </is>
      </c>
      <c r="F122" s="98" t="inlineStr">
        <is>
          <t>131001|0|30$131101|0|30$131201|0|30$131401|0|30$131501|0|30</t>
        </is>
      </c>
      <c r="G122" s="98" t="inlineStr">
        <is>
          <t>1</t>
        </is>
      </c>
      <c r="H122" s="98" t="inlineStr">
        <is>
          <t>1</t>
        </is>
      </c>
      <c r="I122" s="98" t="inlineStr">
        <is>
          <t>探索一番</t>
        </is>
      </c>
      <c r="J122" s="98" t="inlineStr">
        <is>
          <t>无视它</t>
        </is>
      </c>
      <c r="K122" s="98" t="n"/>
      <c r="L122" s="98" t="n"/>
      <c r="M122" s="98" t="n"/>
      <c r="N122" s="98" t="inlineStr">
        <is>
          <t>1</t>
        </is>
      </c>
      <c r="O122" s="98" t="inlineStr">
        <is>
          <t>6|12</t>
        </is>
      </c>
      <c r="P122" s="98" t="inlineStr">
        <is>
          <t>1</t>
        </is>
      </c>
      <c r="Q122" s="98" t="inlineStr">
        <is>
          <t>10|10001|16</t>
        </is>
      </c>
      <c r="R122" s="98" t="inlineStr">
        <is>
          <t>-1</t>
        </is>
      </c>
      <c r="S122" s="98" t="inlineStr">
        <is>
          <t>1</t>
        </is>
      </c>
      <c r="T122" s="121" t="inlineStr">
        <is>
          <t>30037</t>
        </is>
      </c>
      <c r="U122" s="119" t="inlineStr">
        <is>
          <t>9</t>
        </is>
      </c>
      <c r="V122" s="87" t="inlineStr">
        <is>
          <t>1</t>
        </is>
      </c>
      <c r="W122" s="98" t="inlineStr">
        <is>
          <t>1</t>
        </is>
      </c>
      <c r="Z122" s="98" t="n"/>
    </row>
    <row r="123" ht="40.5" customHeight="1" s="127">
      <c r="B123" s="87" t="inlineStr">
        <is>
          <t>11117</t>
        </is>
      </c>
      <c r="C123" s="98" t="inlineStr">
        <is>
          <t>骨鲲</t>
        </is>
      </c>
      <c r="D123" s="97" t="inlineStr">
        <is>
          <t>鲲游荡在星空深处，以星辰为食，常年累月的吞噬，使它的体内埋藏了无数珍宝。</t>
        </is>
      </c>
      <c r="E123" s="98" t="inlineStr">
        <is>
          <t>季狸国难度2</t>
        </is>
      </c>
      <c r="F123" s="98" t="inlineStr">
        <is>
          <t>131001|30|60$131101|30|60$131201|30|60$131401|30|60$131501|30|60</t>
        </is>
      </c>
      <c r="G123" s="98" t="inlineStr">
        <is>
          <t>1</t>
        </is>
      </c>
      <c r="H123" s="98" t="inlineStr">
        <is>
          <t>1</t>
        </is>
      </c>
      <c r="I123" s="98" t="inlineStr">
        <is>
          <t>探索一番</t>
        </is>
      </c>
      <c r="J123" s="98" t="inlineStr">
        <is>
          <t>无视它</t>
        </is>
      </c>
      <c r="K123" s="98" t="n"/>
      <c r="L123" s="98" t="n"/>
      <c r="M123" s="98" t="n"/>
      <c r="N123" s="98" t="inlineStr">
        <is>
          <t>1</t>
        </is>
      </c>
      <c r="O123" s="98" t="inlineStr">
        <is>
          <t>9|15</t>
        </is>
      </c>
      <c r="P123" s="98" t="inlineStr">
        <is>
          <t>1</t>
        </is>
      </c>
      <c r="Q123" s="98" t="inlineStr">
        <is>
          <t>10|10001|16</t>
        </is>
      </c>
      <c r="R123" s="98" t="inlineStr">
        <is>
          <t>-1</t>
        </is>
      </c>
      <c r="S123" s="98" t="inlineStr">
        <is>
          <t>2</t>
        </is>
      </c>
      <c r="T123" s="121" t="inlineStr">
        <is>
          <t>30037</t>
        </is>
      </c>
      <c r="U123" s="119" t="inlineStr">
        <is>
          <t>14</t>
        </is>
      </c>
      <c r="V123" s="87" t="inlineStr">
        <is>
          <t>1</t>
        </is>
      </c>
      <c r="W123" s="98" t="inlineStr">
        <is>
          <t>1</t>
        </is>
      </c>
      <c r="Z123" s="98" t="n"/>
    </row>
    <row r="124" ht="40.5" customHeight="1" s="127">
      <c r="B124" s="87" t="inlineStr">
        <is>
          <t>11118</t>
        </is>
      </c>
      <c r="C124" s="98" t="inlineStr">
        <is>
          <t>骨鲲</t>
        </is>
      </c>
      <c r="D124" s="97" t="inlineStr">
        <is>
          <t>鲲游荡在星空深处，以星辰为食，常年累月的吞噬，使它的体内埋藏了无数珍宝。</t>
        </is>
      </c>
      <c r="E124" s="98" t="inlineStr">
        <is>
          <t>季狸国难度3</t>
        </is>
      </c>
      <c r="F124" s="98" t="inlineStr">
        <is>
          <t>131001|30|90$131101|30|90$131201|30|90$131401|30|90$131501|30|90</t>
        </is>
      </c>
      <c r="G124" s="98" t="inlineStr">
        <is>
          <t>1</t>
        </is>
      </c>
      <c r="H124" s="98" t="inlineStr">
        <is>
          <t>1</t>
        </is>
      </c>
      <c r="I124" s="98" t="inlineStr">
        <is>
          <t>探索一番</t>
        </is>
      </c>
      <c r="J124" s="98" t="inlineStr">
        <is>
          <t>无视它</t>
        </is>
      </c>
      <c r="K124" s="98" t="n"/>
      <c r="L124" s="98" t="n"/>
      <c r="M124" s="98" t="n"/>
      <c r="N124" s="98" t="inlineStr">
        <is>
          <t>1</t>
        </is>
      </c>
      <c r="O124" s="98" t="inlineStr">
        <is>
          <t>12|18</t>
        </is>
      </c>
      <c r="P124" s="98" t="inlineStr">
        <is>
          <t>1</t>
        </is>
      </c>
      <c r="Q124" s="98" t="inlineStr">
        <is>
          <t>10|10001|16</t>
        </is>
      </c>
      <c r="R124" s="98" t="inlineStr">
        <is>
          <t>-1</t>
        </is>
      </c>
      <c r="S124" s="98" t="inlineStr">
        <is>
          <t>3</t>
        </is>
      </c>
      <c r="T124" s="121" t="inlineStr">
        <is>
          <t>30037</t>
        </is>
      </c>
      <c r="U124" s="119" t="inlineStr">
        <is>
          <t>19</t>
        </is>
      </c>
      <c r="V124" s="87" t="inlineStr">
        <is>
          <t>1</t>
        </is>
      </c>
      <c r="W124" s="98" t="inlineStr">
        <is>
          <t>1</t>
        </is>
      </c>
      <c r="Z124" s="98" t="n"/>
    </row>
    <row r="125" ht="27" customHeight="1" s="127">
      <c r="B125" s="87" t="inlineStr">
        <is>
          <t>11119</t>
        </is>
      </c>
      <c r="C125" s="98" t="inlineStr">
        <is>
          <t>骨鲲</t>
        </is>
      </c>
      <c r="D125" s="97" t="inlineStr">
        <is>
          <t>鲲游荡在星空深处，以星辰为食，常年累月的吞噬，使它的体内埋藏了无数珍宝。</t>
        </is>
      </c>
      <c r="E125" s="98" t="inlineStr">
        <is>
          <t>季狸国难度4</t>
        </is>
      </c>
      <c r="F125" s="98" t="inlineStr">
        <is>
          <t>131001|90|120$131101|90|120$131201|90|120$131401|90|120$131501|90|120</t>
        </is>
      </c>
      <c r="G125" s="98" t="inlineStr">
        <is>
          <t>1</t>
        </is>
      </c>
      <c r="H125" s="98" t="inlineStr">
        <is>
          <t>1</t>
        </is>
      </c>
      <c r="I125" s="98" t="inlineStr">
        <is>
          <t>探索一番</t>
        </is>
      </c>
      <c r="J125" s="98" t="inlineStr">
        <is>
          <t>无视它</t>
        </is>
      </c>
      <c r="K125" s="98" t="n"/>
      <c r="L125" s="98" t="n"/>
      <c r="M125" s="98" t="n"/>
      <c r="N125" s="98" t="inlineStr">
        <is>
          <t>1</t>
        </is>
      </c>
      <c r="O125" s="98" t="inlineStr">
        <is>
          <t>15|21</t>
        </is>
      </c>
      <c r="P125" s="98" t="inlineStr">
        <is>
          <t>1</t>
        </is>
      </c>
      <c r="Q125" s="98" t="inlineStr">
        <is>
          <t>10|10001|16</t>
        </is>
      </c>
      <c r="R125" s="98" t="inlineStr">
        <is>
          <t>-1</t>
        </is>
      </c>
      <c r="S125" s="98" t="inlineStr">
        <is>
          <t>4</t>
        </is>
      </c>
      <c r="T125" s="121" t="inlineStr">
        <is>
          <t>30037</t>
        </is>
      </c>
      <c r="U125" s="119" t="inlineStr">
        <is>
          <t>24</t>
        </is>
      </c>
      <c r="V125" s="87" t="inlineStr">
        <is>
          <t>1</t>
        </is>
      </c>
      <c r="W125" s="98" t="inlineStr">
        <is>
          <t>1</t>
        </is>
      </c>
      <c r="Z125" s="98" t="n"/>
    </row>
    <row r="126" ht="27" customHeight="1" s="127">
      <c r="B126" s="87" t="inlineStr">
        <is>
          <t>11120</t>
        </is>
      </c>
      <c r="C126" s="98" t="inlineStr">
        <is>
          <t>骨鲲</t>
        </is>
      </c>
      <c r="D126" s="97" t="inlineStr">
        <is>
          <t>鲲游荡在星空深处，以星辰为食，常年累月的吞噬，使它的体内埋藏了无数珍宝。</t>
        </is>
      </c>
      <c r="E126" s="98" t="inlineStr">
        <is>
          <t>季狸国难度5</t>
        </is>
      </c>
      <c r="F126" s="98" t="inlineStr">
        <is>
          <t>131001|120|160$131101|120|160$131201|120|160$131401|120|160$131501|120|160</t>
        </is>
      </c>
      <c r="G126" s="98" t="inlineStr">
        <is>
          <t>1</t>
        </is>
      </c>
      <c r="H126" s="98" t="inlineStr">
        <is>
          <t>1</t>
        </is>
      </c>
      <c r="I126" s="98" t="inlineStr">
        <is>
          <t>探索一番</t>
        </is>
      </c>
      <c r="J126" s="98" t="inlineStr">
        <is>
          <t>无视它</t>
        </is>
      </c>
      <c r="K126" s="98" t="n"/>
      <c r="L126" s="98" t="n"/>
      <c r="M126" s="98" t="n"/>
      <c r="N126" s="98" t="inlineStr">
        <is>
          <t>1</t>
        </is>
      </c>
      <c r="O126" s="98" t="inlineStr">
        <is>
          <t>24|28</t>
        </is>
      </c>
      <c r="P126" s="98" t="inlineStr">
        <is>
          <t>1</t>
        </is>
      </c>
      <c r="Q126" s="98" t="inlineStr">
        <is>
          <t>10|10001|16</t>
        </is>
      </c>
      <c r="R126" s="98" t="inlineStr">
        <is>
          <t>-1</t>
        </is>
      </c>
      <c r="S126" s="98" t="inlineStr">
        <is>
          <t>5</t>
        </is>
      </c>
      <c r="T126" s="121" t="inlineStr">
        <is>
          <t>30037</t>
        </is>
      </c>
      <c r="U126" s="119" t="inlineStr">
        <is>
          <t>29</t>
        </is>
      </c>
      <c r="V126" s="87" t="inlineStr">
        <is>
          <t>1</t>
        </is>
      </c>
      <c r="W126" s="98" t="inlineStr">
        <is>
          <t>1</t>
        </is>
      </c>
      <c r="Z126" s="98" t="n"/>
    </row>
    <row r="127" ht="27" customHeight="1" s="127">
      <c r="B127" s="87" t="inlineStr">
        <is>
          <t>11121</t>
        </is>
      </c>
      <c r="C127" s="80" t="inlineStr">
        <is>
          <t>仙陨魂</t>
        </is>
      </c>
      <c r="D127" s="99" t="inlineStr">
        <is>
          <t>飞升何其艰难，冲击飞升之人十有八九都陨落了，他们不甘的魂魄形成了陨魂。</t>
        </is>
      </c>
      <c r="E127" s="80" t="inlineStr">
        <is>
          <t>季狸国难度1</t>
        </is>
      </c>
      <c r="F127" s="80" t="inlineStr">
        <is>
          <t>990002|0|1$121002|70|90$121004|70|90$121006|70|90</t>
        </is>
      </c>
      <c r="G127" s="80" t="inlineStr">
        <is>
          <t>1</t>
        </is>
      </c>
      <c r="H127" s="80" t="inlineStr">
        <is>
          <t>1</t>
        </is>
      </c>
      <c r="I127" s="80" t="inlineStr">
        <is>
          <t>探索一番</t>
        </is>
      </c>
      <c r="J127" s="80" t="inlineStr">
        <is>
          <t>无视它</t>
        </is>
      </c>
      <c r="K127" s="80" t="n"/>
      <c r="L127" s="80" t="n"/>
      <c r="M127" s="80" t="n"/>
      <c r="N127" s="80" t="inlineStr">
        <is>
          <t>1</t>
        </is>
      </c>
      <c r="O127" s="80" t="inlineStr">
        <is>
          <t>6|12</t>
        </is>
      </c>
      <c r="P127" s="80" t="inlineStr">
        <is>
          <t>1</t>
        </is>
      </c>
      <c r="Q127" s="80" t="inlineStr">
        <is>
          <t>10|10001|16</t>
        </is>
      </c>
      <c r="R127" s="80" t="inlineStr">
        <is>
          <t>-1</t>
        </is>
      </c>
      <c r="S127" s="80" t="inlineStr">
        <is>
          <t>1</t>
        </is>
      </c>
      <c r="T127" s="105" t="inlineStr">
        <is>
          <t>30050</t>
        </is>
      </c>
      <c r="U127" s="119" t="inlineStr">
        <is>
          <t>9</t>
        </is>
      </c>
      <c r="V127" s="87" t="inlineStr">
        <is>
          <t>1</t>
        </is>
      </c>
      <c r="W127" s="80" t="inlineStr">
        <is>
          <t>1</t>
        </is>
      </c>
      <c r="Z127" s="80" t="n"/>
    </row>
    <row r="128" ht="27" customHeight="1" s="127">
      <c r="B128" s="87" t="inlineStr">
        <is>
          <t>11122</t>
        </is>
      </c>
      <c r="C128" s="80" t="inlineStr">
        <is>
          <t>仙陨魂</t>
        </is>
      </c>
      <c r="D128" s="99" t="inlineStr">
        <is>
          <t>飞升何其艰难，冲击飞升之人十有八九都陨落了，他们不甘的魂魄形成了陨魂。</t>
        </is>
      </c>
      <c r="E128" s="80" t="inlineStr">
        <is>
          <t>季狸国难度2</t>
        </is>
      </c>
      <c r="F128" s="80" t="inlineStr">
        <is>
          <t>990002|0|2$121002|146|167$121004|146|167$121006|146|167</t>
        </is>
      </c>
      <c r="G128" s="80" t="inlineStr">
        <is>
          <t>1</t>
        </is>
      </c>
      <c r="H128" s="80" t="inlineStr">
        <is>
          <t>1</t>
        </is>
      </c>
      <c r="I128" s="80" t="inlineStr">
        <is>
          <t>探索一番</t>
        </is>
      </c>
      <c r="J128" s="80" t="inlineStr">
        <is>
          <t>无视它</t>
        </is>
      </c>
      <c r="K128" s="80" t="n"/>
      <c r="L128" s="80" t="n"/>
      <c r="M128" s="80" t="n"/>
      <c r="N128" s="80" t="inlineStr">
        <is>
          <t>1</t>
        </is>
      </c>
      <c r="O128" s="80" t="inlineStr">
        <is>
          <t>9|15</t>
        </is>
      </c>
      <c r="P128" s="80" t="inlineStr">
        <is>
          <t>1</t>
        </is>
      </c>
      <c r="Q128" s="80" t="inlineStr">
        <is>
          <t>10|10001|16</t>
        </is>
      </c>
      <c r="R128" s="80" t="inlineStr">
        <is>
          <t>-1</t>
        </is>
      </c>
      <c r="S128" s="80" t="inlineStr">
        <is>
          <t>2</t>
        </is>
      </c>
      <c r="T128" s="105" t="inlineStr">
        <is>
          <t>30050</t>
        </is>
      </c>
      <c r="U128" s="119" t="inlineStr">
        <is>
          <t>14</t>
        </is>
      </c>
      <c r="V128" s="87" t="inlineStr">
        <is>
          <t>1</t>
        </is>
      </c>
      <c r="W128" s="80" t="inlineStr">
        <is>
          <t>1</t>
        </is>
      </c>
      <c r="Z128" s="80" t="n"/>
    </row>
    <row r="129" ht="27" customHeight="1" s="127">
      <c r="B129" s="87" t="inlineStr">
        <is>
          <t>11123</t>
        </is>
      </c>
      <c r="C129" s="80" t="inlineStr">
        <is>
          <t>仙陨魂</t>
        </is>
      </c>
      <c r="D129" s="99" t="inlineStr">
        <is>
          <t>飞升何其艰难，冲击飞升之人十有八九都陨落了，他们不甘的魂魄形成了陨魂。</t>
        </is>
      </c>
      <c r="E129" s="80" t="inlineStr">
        <is>
          <t>季狸国难度3</t>
        </is>
      </c>
      <c r="F129" s="80" t="inlineStr">
        <is>
          <t>990002|0|3$121002|222|244$121004|222|244$121006|222|244</t>
        </is>
      </c>
      <c r="G129" s="80" t="inlineStr">
        <is>
          <t>1</t>
        </is>
      </c>
      <c r="H129" s="80" t="inlineStr">
        <is>
          <t>1</t>
        </is>
      </c>
      <c r="I129" s="80" t="inlineStr">
        <is>
          <t>探索一番</t>
        </is>
      </c>
      <c r="J129" s="80" t="inlineStr">
        <is>
          <t>无视它</t>
        </is>
      </c>
      <c r="K129" s="80" t="n"/>
      <c r="L129" s="80" t="n"/>
      <c r="M129" s="80" t="n"/>
      <c r="N129" s="80" t="inlineStr">
        <is>
          <t>1</t>
        </is>
      </c>
      <c r="O129" s="80" t="inlineStr">
        <is>
          <t>12|18</t>
        </is>
      </c>
      <c r="P129" s="80" t="inlineStr">
        <is>
          <t>1</t>
        </is>
      </c>
      <c r="Q129" s="80" t="inlineStr">
        <is>
          <t>10|10001|16</t>
        </is>
      </c>
      <c r="R129" s="80" t="inlineStr">
        <is>
          <t>-1</t>
        </is>
      </c>
      <c r="S129" s="80" t="inlineStr">
        <is>
          <t>3</t>
        </is>
      </c>
      <c r="T129" s="105" t="inlineStr">
        <is>
          <t>30050</t>
        </is>
      </c>
      <c r="U129" s="119" t="inlineStr">
        <is>
          <t>19</t>
        </is>
      </c>
      <c r="V129" s="87" t="inlineStr">
        <is>
          <t>1</t>
        </is>
      </c>
      <c r="W129" s="80" t="inlineStr">
        <is>
          <t>1</t>
        </is>
      </c>
      <c r="Z129" s="80" t="n"/>
    </row>
    <row r="130" ht="27" customHeight="1" s="127">
      <c r="B130" s="87" t="inlineStr">
        <is>
          <t>11124</t>
        </is>
      </c>
      <c r="C130" s="80" t="inlineStr">
        <is>
          <t>仙陨魂</t>
        </is>
      </c>
      <c r="D130" s="99" t="inlineStr">
        <is>
          <t>飞升何其艰难，冲击飞升之人十有八九都陨落了，他们不甘的魂魄形成了陨魂。</t>
        </is>
      </c>
      <c r="E130" s="80" t="inlineStr">
        <is>
          <t>季狸国难度4</t>
        </is>
      </c>
      <c r="F130" s="80" t="inlineStr">
        <is>
          <t>990002|0|4$121002|298|321$121004|298|321$121006|298|321</t>
        </is>
      </c>
      <c r="G130" s="80" t="inlineStr">
        <is>
          <t>1</t>
        </is>
      </c>
      <c r="H130" s="80" t="inlineStr">
        <is>
          <t>1</t>
        </is>
      </c>
      <c r="I130" s="80" t="inlineStr">
        <is>
          <t>探索一番</t>
        </is>
      </c>
      <c r="J130" s="80" t="inlineStr">
        <is>
          <t>无视它</t>
        </is>
      </c>
      <c r="K130" s="80" t="n"/>
      <c r="L130" s="80" t="n"/>
      <c r="M130" s="80" t="n"/>
      <c r="N130" s="80" t="inlineStr">
        <is>
          <t>1</t>
        </is>
      </c>
      <c r="O130" s="80" t="inlineStr">
        <is>
          <t>15|21</t>
        </is>
      </c>
      <c r="P130" s="80" t="inlineStr">
        <is>
          <t>1</t>
        </is>
      </c>
      <c r="Q130" s="80" t="inlineStr">
        <is>
          <t>10|10001|16</t>
        </is>
      </c>
      <c r="R130" s="80" t="inlineStr">
        <is>
          <t>-1</t>
        </is>
      </c>
      <c r="S130" s="80" t="inlineStr">
        <is>
          <t>4</t>
        </is>
      </c>
      <c r="T130" s="105" t="inlineStr">
        <is>
          <t>30050</t>
        </is>
      </c>
      <c r="U130" s="119" t="inlineStr">
        <is>
          <t>24</t>
        </is>
      </c>
      <c r="V130" s="87" t="inlineStr">
        <is>
          <t>1</t>
        </is>
      </c>
      <c r="W130" s="80" t="inlineStr">
        <is>
          <t>1</t>
        </is>
      </c>
      <c r="Z130" s="80" t="n"/>
    </row>
    <row r="131" ht="27" customHeight="1" s="127">
      <c r="B131" s="87" t="inlineStr">
        <is>
          <t>11125</t>
        </is>
      </c>
      <c r="C131" s="80" t="inlineStr">
        <is>
          <t>仙陨魂</t>
        </is>
      </c>
      <c r="D131" s="99" t="inlineStr">
        <is>
          <t>飞升何其艰难，冲击飞升之人十有八九都陨落了，他们不甘的魂魄形成了陨魂。</t>
        </is>
      </c>
      <c r="E131" s="80" t="inlineStr">
        <is>
          <t>季狸国难度5</t>
        </is>
      </c>
      <c r="F131" s="80" t="inlineStr">
        <is>
          <t>990002|0|5$121002|374|398$121004|374|398$121006|374|398</t>
        </is>
      </c>
      <c r="G131" s="80" t="inlineStr">
        <is>
          <t>1</t>
        </is>
      </c>
      <c r="H131" s="80" t="inlineStr">
        <is>
          <t>1</t>
        </is>
      </c>
      <c r="I131" s="80" t="inlineStr">
        <is>
          <t>探索一番</t>
        </is>
      </c>
      <c r="J131" s="80" t="inlineStr">
        <is>
          <t>无视它</t>
        </is>
      </c>
      <c r="K131" s="80" t="n"/>
      <c r="L131" s="80" t="n"/>
      <c r="M131" s="80" t="n"/>
      <c r="N131" s="80" t="inlineStr">
        <is>
          <t>1</t>
        </is>
      </c>
      <c r="O131" s="80" t="inlineStr">
        <is>
          <t>24|28</t>
        </is>
      </c>
      <c r="P131" s="80" t="inlineStr">
        <is>
          <t>1</t>
        </is>
      </c>
      <c r="Q131" s="80" t="inlineStr">
        <is>
          <t>10|10001|16</t>
        </is>
      </c>
      <c r="R131" s="80" t="inlineStr">
        <is>
          <t>-1</t>
        </is>
      </c>
      <c r="S131" s="80" t="inlineStr">
        <is>
          <t>5</t>
        </is>
      </c>
      <c r="T131" s="105" t="inlineStr">
        <is>
          <t>30050</t>
        </is>
      </c>
      <c r="U131" s="119" t="inlineStr">
        <is>
          <t>29</t>
        </is>
      </c>
      <c r="V131" s="87" t="inlineStr">
        <is>
          <t>1</t>
        </is>
      </c>
      <c r="W131" s="80" t="inlineStr">
        <is>
          <t>1</t>
        </is>
      </c>
      <c r="Z131" s="80" t="n"/>
    </row>
    <row r="132" ht="27" customHeight="1" s="127">
      <c r="B132" s="87" t="inlineStr">
        <is>
          <t>11126</t>
        </is>
      </c>
      <c r="C132" s="102" t="inlineStr">
        <is>
          <t>魔陨魂</t>
        </is>
      </c>
      <c r="D132" s="101" t="inlineStr">
        <is>
          <t>飞升何其艰难，冲击飞升之人十有八九都陨落了，他们不甘的魂魄形成了陨魂。</t>
        </is>
      </c>
      <c r="E132" s="102" t="inlineStr">
        <is>
          <t>季狸国难度1</t>
        </is>
      </c>
      <c r="F132" s="102" t="inlineStr">
        <is>
          <t>990003|0|1$121003|70|90$121005|70|90$121007|70|90</t>
        </is>
      </c>
      <c r="G132" s="102" t="inlineStr">
        <is>
          <t>1</t>
        </is>
      </c>
      <c r="H132" s="102" t="inlineStr">
        <is>
          <t>1</t>
        </is>
      </c>
      <c r="I132" s="102" t="inlineStr">
        <is>
          <t>探索一番</t>
        </is>
      </c>
      <c r="J132" s="102" t="inlineStr">
        <is>
          <t>无视它</t>
        </is>
      </c>
      <c r="K132" s="102" t="n"/>
      <c r="L132" s="102" t="n"/>
      <c r="M132" s="102" t="n"/>
      <c r="N132" s="102" t="inlineStr">
        <is>
          <t>1</t>
        </is>
      </c>
      <c r="O132" s="102" t="inlineStr">
        <is>
          <t>6|12</t>
        </is>
      </c>
      <c r="P132" s="102" t="inlineStr">
        <is>
          <t>1</t>
        </is>
      </c>
      <c r="Q132" s="102" t="inlineStr">
        <is>
          <t>10|10001|16</t>
        </is>
      </c>
      <c r="R132" s="102" t="inlineStr">
        <is>
          <t>-1</t>
        </is>
      </c>
      <c r="S132" s="102" t="inlineStr">
        <is>
          <t>1</t>
        </is>
      </c>
      <c r="T132" s="122" t="inlineStr">
        <is>
          <t>30051</t>
        </is>
      </c>
      <c r="U132" s="119" t="inlineStr">
        <is>
          <t>9</t>
        </is>
      </c>
      <c r="V132" s="87" t="inlineStr">
        <is>
          <t>1</t>
        </is>
      </c>
      <c r="W132" s="102" t="inlineStr">
        <is>
          <t>1</t>
        </is>
      </c>
      <c r="Z132" s="102" t="n"/>
    </row>
    <row r="133" ht="27" customHeight="1" s="127">
      <c r="B133" s="87" t="inlineStr">
        <is>
          <t>11127</t>
        </is>
      </c>
      <c r="C133" s="102" t="inlineStr">
        <is>
          <t>魔陨魂</t>
        </is>
      </c>
      <c r="D133" s="101" t="inlineStr">
        <is>
          <t>飞升何其艰难，冲击飞升之人十有八九都陨落了，他们不甘的魂魄形成了陨魂。</t>
        </is>
      </c>
      <c r="E133" s="102" t="inlineStr">
        <is>
          <t>季狸国难度2</t>
        </is>
      </c>
      <c r="F133" s="102" t="inlineStr">
        <is>
          <t>990003|0|2$121003|146|167$121005|146|167$121007|146|167</t>
        </is>
      </c>
      <c r="G133" s="102" t="inlineStr">
        <is>
          <t>1</t>
        </is>
      </c>
      <c r="H133" s="102" t="inlineStr">
        <is>
          <t>1</t>
        </is>
      </c>
      <c r="I133" s="102" t="inlineStr">
        <is>
          <t>探索一番</t>
        </is>
      </c>
      <c r="J133" s="102" t="inlineStr">
        <is>
          <t>无视它</t>
        </is>
      </c>
      <c r="K133" s="102" t="n"/>
      <c r="L133" s="102" t="n"/>
      <c r="M133" s="102" t="n"/>
      <c r="N133" s="102" t="inlineStr">
        <is>
          <t>1</t>
        </is>
      </c>
      <c r="O133" s="102" t="inlineStr">
        <is>
          <t>9|15</t>
        </is>
      </c>
      <c r="P133" s="102" t="inlineStr">
        <is>
          <t>1</t>
        </is>
      </c>
      <c r="Q133" s="102" t="inlineStr">
        <is>
          <t>10|10001|16</t>
        </is>
      </c>
      <c r="R133" s="102" t="inlineStr">
        <is>
          <t>-1</t>
        </is>
      </c>
      <c r="S133" s="102" t="inlineStr">
        <is>
          <t>2</t>
        </is>
      </c>
      <c r="T133" s="122" t="inlineStr">
        <is>
          <t>30051</t>
        </is>
      </c>
      <c r="U133" s="119" t="inlineStr">
        <is>
          <t>14</t>
        </is>
      </c>
      <c r="V133" s="87" t="inlineStr">
        <is>
          <t>1</t>
        </is>
      </c>
      <c r="W133" s="102" t="inlineStr">
        <is>
          <t>1</t>
        </is>
      </c>
      <c r="Z133" s="102" t="n"/>
    </row>
    <row r="134" ht="27" customHeight="1" s="127">
      <c r="B134" s="87" t="inlineStr">
        <is>
          <t>11128</t>
        </is>
      </c>
      <c r="C134" s="102" t="inlineStr">
        <is>
          <t>魔陨魂</t>
        </is>
      </c>
      <c r="D134" s="101" t="inlineStr">
        <is>
          <t>飞升何其艰难，冲击飞升之人十有八九都陨落了，他们不甘的魂魄形成了陨魂。</t>
        </is>
      </c>
      <c r="E134" s="102" t="inlineStr">
        <is>
          <t>季狸国难度3</t>
        </is>
      </c>
      <c r="F134" s="102" t="inlineStr">
        <is>
          <t>990003|0|3$121003|222|244$121005|222|244$121007|222|244</t>
        </is>
      </c>
      <c r="G134" s="102" t="inlineStr">
        <is>
          <t>1</t>
        </is>
      </c>
      <c r="H134" s="102" t="inlineStr">
        <is>
          <t>1</t>
        </is>
      </c>
      <c r="I134" s="102" t="inlineStr">
        <is>
          <t>探索一番</t>
        </is>
      </c>
      <c r="J134" s="102" t="inlineStr">
        <is>
          <t>无视它</t>
        </is>
      </c>
      <c r="K134" s="102" t="n"/>
      <c r="L134" s="102" t="n"/>
      <c r="M134" s="102" t="n"/>
      <c r="N134" s="102" t="inlineStr">
        <is>
          <t>1</t>
        </is>
      </c>
      <c r="O134" s="102" t="inlineStr">
        <is>
          <t>12|18</t>
        </is>
      </c>
      <c r="P134" s="102" t="inlineStr">
        <is>
          <t>1</t>
        </is>
      </c>
      <c r="Q134" s="102" t="inlineStr">
        <is>
          <t>10|10001|16</t>
        </is>
      </c>
      <c r="R134" s="102" t="inlineStr">
        <is>
          <t>-1</t>
        </is>
      </c>
      <c r="S134" s="102" t="inlineStr">
        <is>
          <t>3</t>
        </is>
      </c>
      <c r="T134" s="122" t="inlineStr">
        <is>
          <t>30051</t>
        </is>
      </c>
      <c r="U134" s="119" t="inlineStr">
        <is>
          <t>19</t>
        </is>
      </c>
      <c r="V134" s="87" t="inlineStr">
        <is>
          <t>1</t>
        </is>
      </c>
      <c r="W134" s="102" t="inlineStr">
        <is>
          <t>1</t>
        </is>
      </c>
      <c r="Z134" s="102" t="n"/>
    </row>
    <row r="135" ht="40.5" customHeight="1" s="127">
      <c r="B135" s="87" t="inlineStr">
        <is>
          <t>11129</t>
        </is>
      </c>
      <c r="C135" s="102" t="inlineStr">
        <is>
          <t>魔陨魂</t>
        </is>
      </c>
      <c r="D135" s="101" t="inlineStr">
        <is>
          <t>飞升何其艰难，冲击飞升之人十有八九都陨落了，他们不甘的魂魄形成了陨魂。</t>
        </is>
      </c>
      <c r="E135" s="102" t="inlineStr">
        <is>
          <t>季狸国难度4</t>
        </is>
      </c>
      <c r="F135" s="102" t="inlineStr">
        <is>
          <t>990003|0|4$121003|298|321$121005|298|321$121007|298|321</t>
        </is>
      </c>
      <c r="G135" s="102" t="inlineStr">
        <is>
          <t>1</t>
        </is>
      </c>
      <c r="H135" s="102" t="inlineStr">
        <is>
          <t>1</t>
        </is>
      </c>
      <c r="I135" s="102" t="inlineStr">
        <is>
          <t>探索一番</t>
        </is>
      </c>
      <c r="J135" s="102" t="inlineStr">
        <is>
          <t>无视它</t>
        </is>
      </c>
      <c r="K135" s="102" t="n"/>
      <c r="L135" s="102" t="n"/>
      <c r="M135" s="102" t="n"/>
      <c r="N135" s="102" t="inlineStr">
        <is>
          <t>1</t>
        </is>
      </c>
      <c r="O135" s="102" t="inlineStr">
        <is>
          <t>15|21</t>
        </is>
      </c>
      <c r="P135" s="102" t="inlineStr">
        <is>
          <t>1</t>
        </is>
      </c>
      <c r="Q135" s="102" t="inlineStr">
        <is>
          <t>10|10001|16</t>
        </is>
      </c>
      <c r="R135" s="102" t="inlineStr">
        <is>
          <t>-1</t>
        </is>
      </c>
      <c r="S135" s="102" t="inlineStr">
        <is>
          <t>4</t>
        </is>
      </c>
      <c r="T135" s="122" t="inlineStr">
        <is>
          <t>30051</t>
        </is>
      </c>
      <c r="U135" s="119" t="inlineStr">
        <is>
          <t>24</t>
        </is>
      </c>
      <c r="V135" s="87" t="inlineStr">
        <is>
          <t>1</t>
        </is>
      </c>
      <c r="W135" s="102" t="inlineStr">
        <is>
          <t>1</t>
        </is>
      </c>
      <c r="Z135" s="102" t="n"/>
    </row>
    <row r="136" ht="54" customHeight="1" s="127">
      <c r="B136" s="87" t="inlineStr">
        <is>
          <t>11130</t>
        </is>
      </c>
      <c r="C136" s="102" t="inlineStr">
        <is>
          <t>魔陨魂</t>
        </is>
      </c>
      <c r="D136" s="101" t="inlineStr">
        <is>
          <t>飞升何其艰难，冲击飞升之人十有八九都陨落了，他们不甘的魂魄形成了陨魂。</t>
        </is>
      </c>
      <c r="E136" s="102" t="inlineStr">
        <is>
          <t>季狸国难度5</t>
        </is>
      </c>
      <c r="F136" s="102" t="inlineStr">
        <is>
          <t>990003|0|5$121003|374|398$121005|374|398$121007|374|398</t>
        </is>
      </c>
      <c r="G136" s="102" t="inlineStr">
        <is>
          <t>1</t>
        </is>
      </c>
      <c r="H136" s="102" t="inlineStr">
        <is>
          <t>1</t>
        </is>
      </c>
      <c r="I136" s="102" t="inlineStr">
        <is>
          <t>探索一番</t>
        </is>
      </c>
      <c r="J136" s="102" t="inlineStr">
        <is>
          <t>无视它</t>
        </is>
      </c>
      <c r="K136" s="102" t="n"/>
      <c r="L136" s="102" t="n"/>
      <c r="M136" s="102" t="n"/>
      <c r="N136" s="102" t="inlineStr">
        <is>
          <t>1</t>
        </is>
      </c>
      <c r="O136" s="102" t="inlineStr">
        <is>
          <t>24|28</t>
        </is>
      </c>
      <c r="P136" s="102" t="inlineStr">
        <is>
          <t>1</t>
        </is>
      </c>
      <c r="Q136" s="102" t="inlineStr">
        <is>
          <t>10|10001|16</t>
        </is>
      </c>
      <c r="R136" s="102" t="inlineStr">
        <is>
          <t>-1</t>
        </is>
      </c>
      <c r="S136" s="102" t="inlineStr">
        <is>
          <t>5</t>
        </is>
      </c>
      <c r="T136" s="122" t="inlineStr">
        <is>
          <t>30051</t>
        </is>
      </c>
      <c r="U136" s="119" t="inlineStr">
        <is>
          <t>29</t>
        </is>
      </c>
      <c r="V136" s="87" t="inlineStr">
        <is>
          <t>1</t>
        </is>
      </c>
      <c r="W136" s="102" t="inlineStr">
        <is>
          <t>1</t>
        </is>
      </c>
      <c r="Z136" s="102" t="n"/>
    </row>
    <row r="137" ht="54" customHeight="1" s="127">
      <c r="B137" s="87" t="inlineStr">
        <is>
          <t>11131</t>
        </is>
      </c>
      <c r="C137" s="103" t="inlineStr">
        <is>
          <t>神陨魂</t>
        </is>
      </c>
      <c r="D137" s="101" t="inlineStr">
        <is>
          <t>飞升何其艰难，冲击飞升之人十有八九都陨落了，他们不甘的魂魄形成了陨魂。</t>
        </is>
      </c>
      <c r="E137" s="102" t="inlineStr">
        <is>
          <t>季狸国难度1</t>
        </is>
      </c>
      <c r="F137" s="40" t="inlineStr">
        <is>
          <t>990001|0|1$121002|70|90$121004|70|90$121006|70|90$121003|70|90$121005|70|90$121007|70|90</t>
        </is>
      </c>
      <c r="G137" s="102" t="inlineStr">
        <is>
          <t>1</t>
        </is>
      </c>
      <c r="H137" s="102" t="inlineStr">
        <is>
          <t>1</t>
        </is>
      </c>
      <c r="I137" s="102" t="inlineStr">
        <is>
          <t>探索一番</t>
        </is>
      </c>
      <c r="J137" s="102" t="inlineStr">
        <is>
          <t>无视它</t>
        </is>
      </c>
      <c r="K137" s="102" t="n"/>
      <c r="L137" s="102" t="n"/>
      <c r="M137" s="102" t="n"/>
      <c r="N137" s="102" t="inlineStr">
        <is>
          <t>1</t>
        </is>
      </c>
      <c r="O137" s="102" t="inlineStr">
        <is>
          <t>6|12</t>
        </is>
      </c>
      <c r="P137" s="102" t="inlineStr">
        <is>
          <t>1</t>
        </is>
      </c>
      <c r="Q137" s="102" t="inlineStr">
        <is>
          <t>10|10001|16</t>
        </is>
      </c>
      <c r="R137" s="102" t="inlineStr">
        <is>
          <t>-1</t>
        </is>
      </c>
      <c r="S137" s="102" t="inlineStr">
        <is>
          <t>1</t>
        </is>
      </c>
      <c r="T137" s="122" t="inlineStr">
        <is>
          <t>30052</t>
        </is>
      </c>
      <c r="U137" s="119" t="inlineStr">
        <is>
          <t>9</t>
        </is>
      </c>
      <c r="V137" s="87" t="inlineStr">
        <is>
          <t>1</t>
        </is>
      </c>
      <c r="W137" s="102" t="inlineStr">
        <is>
          <t>1</t>
        </is>
      </c>
      <c r="Z137" s="103" t="n"/>
    </row>
    <row r="138" ht="54" customHeight="1" s="127">
      <c r="B138" s="87" t="inlineStr">
        <is>
          <t>11132</t>
        </is>
      </c>
      <c r="C138" s="103" t="inlineStr">
        <is>
          <t>神陨魂</t>
        </is>
      </c>
      <c r="D138" s="101" t="inlineStr">
        <is>
          <t>飞升何其艰难，冲击飞升之人十有八九都陨落了，他们不甘的魂魄形成了陨魂。</t>
        </is>
      </c>
      <c r="E138" s="102" t="inlineStr">
        <is>
          <t>季狸国难度2</t>
        </is>
      </c>
      <c r="F138" s="40" t="inlineStr">
        <is>
          <t>990001|0|2$121002|146|167$121004|146|167$121006|146|167$121003|146|167$121005|146|167$121007|146|167</t>
        </is>
      </c>
      <c r="G138" s="102" t="inlineStr">
        <is>
          <t>1</t>
        </is>
      </c>
      <c r="H138" s="102" t="inlineStr">
        <is>
          <t>1</t>
        </is>
      </c>
      <c r="I138" s="102" t="inlineStr">
        <is>
          <t>探索一番</t>
        </is>
      </c>
      <c r="J138" s="102" t="inlineStr">
        <is>
          <t>无视它</t>
        </is>
      </c>
      <c r="K138" s="102" t="n"/>
      <c r="L138" s="102" t="n"/>
      <c r="M138" s="102" t="n"/>
      <c r="N138" s="102" t="inlineStr">
        <is>
          <t>1</t>
        </is>
      </c>
      <c r="O138" s="102" t="inlineStr">
        <is>
          <t>9|15</t>
        </is>
      </c>
      <c r="P138" s="102" t="inlineStr">
        <is>
          <t>1</t>
        </is>
      </c>
      <c r="Q138" s="102" t="inlineStr">
        <is>
          <t>10|10001|16</t>
        </is>
      </c>
      <c r="R138" s="102" t="inlineStr">
        <is>
          <t>-1</t>
        </is>
      </c>
      <c r="S138" s="102" t="inlineStr">
        <is>
          <t>2</t>
        </is>
      </c>
      <c r="T138" s="122" t="inlineStr">
        <is>
          <t>30052</t>
        </is>
      </c>
      <c r="U138" s="119" t="inlineStr">
        <is>
          <t>14</t>
        </is>
      </c>
      <c r="V138" s="87" t="inlineStr">
        <is>
          <t>1</t>
        </is>
      </c>
      <c r="W138" s="102" t="inlineStr">
        <is>
          <t>1</t>
        </is>
      </c>
      <c r="Z138" s="103" t="n"/>
    </row>
    <row r="139" ht="54" customHeight="1" s="127">
      <c r="B139" s="87" t="inlineStr">
        <is>
          <t>11133</t>
        </is>
      </c>
      <c r="C139" s="103" t="inlineStr">
        <is>
          <t>神陨魂</t>
        </is>
      </c>
      <c r="D139" s="101" t="inlineStr">
        <is>
          <t>飞升何其艰难，冲击飞升之人十有八九都陨落了，他们不甘的魂魄形成了陨魂。</t>
        </is>
      </c>
      <c r="E139" s="102" t="inlineStr">
        <is>
          <t>季狸国难度3</t>
        </is>
      </c>
      <c r="F139" s="40" t="inlineStr">
        <is>
          <t>990001|0|3$121002|222|244$121004|222|244$121006|222|244$121003|222|244$121005|222|244$121007|222|244</t>
        </is>
      </c>
      <c r="G139" s="102" t="inlineStr">
        <is>
          <t>1</t>
        </is>
      </c>
      <c r="H139" s="102" t="inlineStr">
        <is>
          <t>1</t>
        </is>
      </c>
      <c r="I139" s="102" t="inlineStr">
        <is>
          <t>探索一番</t>
        </is>
      </c>
      <c r="J139" s="102" t="inlineStr">
        <is>
          <t>无视它</t>
        </is>
      </c>
      <c r="K139" s="102" t="n"/>
      <c r="L139" s="102" t="n"/>
      <c r="M139" s="102" t="n"/>
      <c r="N139" s="102" t="inlineStr">
        <is>
          <t>1</t>
        </is>
      </c>
      <c r="O139" s="102" t="inlineStr">
        <is>
          <t>12|18</t>
        </is>
      </c>
      <c r="P139" s="102" t="inlineStr">
        <is>
          <t>1</t>
        </is>
      </c>
      <c r="Q139" s="102" t="inlineStr">
        <is>
          <t>10|10001|16</t>
        </is>
      </c>
      <c r="R139" s="102" t="inlineStr">
        <is>
          <t>-1</t>
        </is>
      </c>
      <c r="S139" s="102" t="inlineStr">
        <is>
          <t>3</t>
        </is>
      </c>
      <c r="T139" s="122" t="inlineStr">
        <is>
          <t>30052</t>
        </is>
      </c>
      <c r="U139" s="119" t="inlineStr">
        <is>
          <t>19</t>
        </is>
      </c>
      <c r="V139" s="87" t="inlineStr">
        <is>
          <t>1</t>
        </is>
      </c>
      <c r="W139" s="102" t="inlineStr">
        <is>
          <t>1</t>
        </is>
      </c>
      <c r="Z139" s="103" t="n"/>
    </row>
    <row r="140" ht="40.5" customHeight="1" s="127">
      <c r="B140" s="87" t="inlineStr">
        <is>
          <t>11134</t>
        </is>
      </c>
      <c r="C140" s="103" t="inlineStr">
        <is>
          <t>神陨魂</t>
        </is>
      </c>
      <c r="D140" s="101" t="inlineStr">
        <is>
          <t>飞升何其艰难，冲击飞升之人十有八九都陨落了，他们不甘的魂魄形成了陨魂。</t>
        </is>
      </c>
      <c r="E140" s="102" t="inlineStr">
        <is>
          <t>季狸国难度4</t>
        </is>
      </c>
      <c r="F140" s="40" t="inlineStr">
        <is>
          <t>990001|0|4$121002|298|321$121004|298|321$121006|298|321$121003|298|321$121005|298|321$121007|298|321</t>
        </is>
      </c>
      <c r="G140" s="102" t="inlineStr">
        <is>
          <t>1</t>
        </is>
      </c>
      <c r="H140" s="102" t="inlineStr">
        <is>
          <t>1</t>
        </is>
      </c>
      <c r="I140" s="102" t="inlineStr">
        <is>
          <t>探索一番</t>
        </is>
      </c>
      <c r="J140" s="102" t="inlineStr">
        <is>
          <t>无视它</t>
        </is>
      </c>
      <c r="K140" s="102" t="n"/>
      <c r="L140" s="102" t="n"/>
      <c r="M140" s="102" t="n"/>
      <c r="N140" s="102" t="inlineStr">
        <is>
          <t>1</t>
        </is>
      </c>
      <c r="O140" s="102" t="inlineStr">
        <is>
          <t>15|21</t>
        </is>
      </c>
      <c r="P140" s="102" t="inlineStr">
        <is>
          <t>1</t>
        </is>
      </c>
      <c r="Q140" s="102" t="inlineStr">
        <is>
          <t>10|10001|16</t>
        </is>
      </c>
      <c r="R140" s="102" t="inlineStr">
        <is>
          <t>-1</t>
        </is>
      </c>
      <c r="S140" s="102" t="inlineStr">
        <is>
          <t>4</t>
        </is>
      </c>
      <c r="T140" s="122" t="inlineStr">
        <is>
          <t>30052</t>
        </is>
      </c>
      <c r="U140" s="119" t="inlineStr">
        <is>
          <t>24</t>
        </is>
      </c>
      <c r="V140" s="87" t="inlineStr">
        <is>
          <t>1</t>
        </is>
      </c>
      <c r="W140" s="102" t="inlineStr">
        <is>
          <t>1</t>
        </is>
      </c>
      <c r="Z140" s="103" t="n"/>
    </row>
    <row r="141" ht="40.5" customHeight="1" s="127">
      <c r="B141" s="87" t="inlineStr">
        <is>
          <t>11135</t>
        </is>
      </c>
      <c r="C141" s="103" t="inlineStr">
        <is>
          <t>神陨魂</t>
        </is>
      </c>
      <c r="D141" s="101" t="inlineStr">
        <is>
          <t>飞升何其艰难，冲击飞升之人十有八九都陨落了，他们不甘的魂魄形成了陨魂。</t>
        </is>
      </c>
      <c r="E141" s="102" t="inlineStr">
        <is>
          <t>季狸国难度5</t>
        </is>
      </c>
      <c r="F141" s="40" t="inlineStr">
        <is>
          <t>990001|0|5$121002|374|398$121004|374|398$121006|374|398$121003|374|398$121005|374|398$121007|374|398</t>
        </is>
      </c>
      <c r="G141" s="102" t="inlineStr">
        <is>
          <t>1</t>
        </is>
      </c>
      <c r="H141" s="102" t="inlineStr">
        <is>
          <t>1</t>
        </is>
      </c>
      <c r="I141" s="102" t="inlineStr">
        <is>
          <t>探索一番</t>
        </is>
      </c>
      <c r="J141" s="102" t="inlineStr">
        <is>
          <t>无视它</t>
        </is>
      </c>
      <c r="K141" s="102" t="n"/>
      <c r="L141" s="102" t="n"/>
      <c r="M141" s="102" t="n"/>
      <c r="N141" s="102" t="inlineStr">
        <is>
          <t>1</t>
        </is>
      </c>
      <c r="O141" s="102" t="inlineStr">
        <is>
          <t>24|28</t>
        </is>
      </c>
      <c r="P141" s="102" t="inlineStr">
        <is>
          <t>1</t>
        </is>
      </c>
      <c r="Q141" s="102" t="inlineStr">
        <is>
          <t>10|10001|16</t>
        </is>
      </c>
      <c r="R141" s="102" t="inlineStr">
        <is>
          <t>-1</t>
        </is>
      </c>
      <c r="S141" s="102" t="inlineStr">
        <is>
          <t>5</t>
        </is>
      </c>
      <c r="T141" s="122" t="inlineStr">
        <is>
          <t>30052</t>
        </is>
      </c>
      <c r="U141" s="119" t="inlineStr">
        <is>
          <t>29</t>
        </is>
      </c>
      <c r="V141" s="87" t="inlineStr">
        <is>
          <t>1</t>
        </is>
      </c>
      <c r="W141" s="102" t="inlineStr">
        <is>
          <t>1</t>
        </is>
      </c>
      <c r="Z141" s="103" t="n"/>
    </row>
    <row r="142" ht="40.5" customHeight="1" s="127">
      <c r="B142" s="40" t="inlineStr">
        <is>
          <t>12101</t>
        </is>
      </c>
      <c r="C142" s="40" t="inlineStr">
        <is>
          <t>灵气</t>
        </is>
      </c>
      <c r="D142" s="40" t="inlineStr">
        <is>
          <t>少量灵气充沛之地，适宜修炼</t>
        </is>
      </c>
      <c r="E142" s="40" t="inlineStr">
        <is>
          <t>厌火国难度1</t>
        </is>
      </c>
      <c r="F142" s="40" t="inlineStr">
        <is>
          <t>2200|2724</t>
        </is>
      </c>
      <c r="G142" s="40" t="n">
        <v>2</v>
      </c>
      <c r="H142" s="40" t="inlineStr">
        <is>
          <t>1</t>
        </is>
      </c>
      <c r="I142" s="40" t="inlineStr">
        <is>
          <t>在此修炼</t>
        </is>
      </c>
      <c r="J142" s="40" t="inlineStr">
        <is>
          <t>无视它</t>
        </is>
      </c>
      <c r="M142" s="52" t="inlineStr">
        <is>
          <t>此处的灵气已经被吸收殆尽</t>
        </is>
      </c>
      <c r="N142" s="40" t="inlineStr">
        <is>
          <t>1</t>
        </is>
      </c>
      <c r="O142" s="40" t="inlineStr">
        <is>
          <t>6|12</t>
        </is>
      </c>
      <c r="P142" s="40" t="inlineStr">
        <is>
          <t>1</t>
        </is>
      </c>
      <c r="Q142" s="40" t="inlineStr">
        <is>
          <t>10|10002|16</t>
        </is>
      </c>
      <c r="R142" s="40" t="inlineStr">
        <is>
          <t>-1</t>
        </is>
      </c>
      <c r="S142" s="40" t="inlineStr">
        <is>
          <t>1</t>
        </is>
      </c>
      <c r="V142" s="87" t="inlineStr">
        <is>
          <t>2</t>
        </is>
      </c>
      <c r="W142" s="40" t="inlineStr">
        <is>
          <t>1</t>
        </is>
      </c>
    </row>
    <row r="143" ht="40.5" customHeight="1" s="127">
      <c r="B143" s="40" t="inlineStr">
        <is>
          <t>12102</t>
        </is>
      </c>
      <c r="C143" s="40" t="inlineStr">
        <is>
          <t>灵气</t>
        </is>
      </c>
      <c r="D143" s="40" t="inlineStr">
        <is>
          <t>中等灵气充沛之地，适宜修炼</t>
        </is>
      </c>
      <c r="E143" s="40" t="inlineStr">
        <is>
          <t>厌火国难度2</t>
        </is>
      </c>
      <c r="F143" s="40" t="inlineStr">
        <is>
          <t>3178|3632</t>
        </is>
      </c>
      <c r="G143" s="40" t="n">
        <v>2</v>
      </c>
      <c r="H143" s="40" t="inlineStr">
        <is>
          <t>1</t>
        </is>
      </c>
      <c r="I143" s="40" t="inlineStr">
        <is>
          <t>在此修炼</t>
        </is>
      </c>
      <c r="J143" s="40" t="inlineStr">
        <is>
          <t>无视它</t>
        </is>
      </c>
      <c r="M143" s="52" t="inlineStr">
        <is>
          <t>此处的灵气已经被吸收殆尽</t>
        </is>
      </c>
      <c r="N143" s="40" t="inlineStr">
        <is>
          <t>1</t>
        </is>
      </c>
      <c r="O143" s="40" t="inlineStr">
        <is>
          <t>9|15</t>
        </is>
      </c>
      <c r="P143" s="40" t="inlineStr">
        <is>
          <t>1</t>
        </is>
      </c>
      <c r="Q143" s="40" t="inlineStr">
        <is>
          <t>10|10002|16</t>
        </is>
      </c>
      <c r="R143" s="40" t="inlineStr">
        <is>
          <t>-1</t>
        </is>
      </c>
      <c r="S143" s="40" t="inlineStr">
        <is>
          <t>2</t>
        </is>
      </c>
      <c r="V143" s="87" t="inlineStr">
        <is>
          <t>2</t>
        </is>
      </c>
      <c r="W143" s="40" t="inlineStr">
        <is>
          <t>1</t>
        </is>
      </c>
    </row>
    <row r="144" ht="40.5" customHeight="1" s="127">
      <c r="B144" s="40" t="inlineStr">
        <is>
          <t>12103</t>
        </is>
      </c>
      <c r="C144" s="40" t="inlineStr">
        <is>
          <t>灵气</t>
        </is>
      </c>
      <c r="D144" s="40" t="inlineStr">
        <is>
          <t>中等灵气充沛之地，适宜修炼</t>
        </is>
      </c>
      <c r="E144" s="40" t="inlineStr">
        <is>
          <t>厌火国难度3</t>
        </is>
      </c>
      <c r="F144" s="40" t="inlineStr">
        <is>
          <t>4228|4830</t>
        </is>
      </c>
      <c r="G144" s="40" t="n">
        <v>2</v>
      </c>
      <c r="H144" s="40" t="inlineStr">
        <is>
          <t>1</t>
        </is>
      </c>
      <c r="I144" s="40" t="inlineStr">
        <is>
          <t>在此修炼</t>
        </is>
      </c>
      <c r="J144" s="40" t="inlineStr">
        <is>
          <t>无视它</t>
        </is>
      </c>
      <c r="M144" s="52" t="inlineStr">
        <is>
          <t>此处的灵气已经被吸收殆尽</t>
        </is>
      </c>
      <c r="N144" s="40" t="inlineStr">
        <is>
          <t>1</t>
        </is>
      </c>
      <c r="O144" s="40" t="inlineStr">
        <is>
          <t>12|18</t>
        </is>
      </c>
      <c r="P144" s="40" t="inlineStr">
        <is>
          <t>1</t>
        </is>
      </c>
      <c r="Q144" s="40" t="inlineStr">
        <is>
          <t>10|10002|16</t>
        </is>
      </c>
      <c r="R144" s="40" t="inlineStr">
        <is>
          <t>-1</t>
        </is>
      </c>
      <c r="S144" s="40" t="inlineStr">
        <is>
          <t>3</t>
        </is>
      </c>
      <c r="T144" s="40" t="n"/>
      <c r="U144" s="40" t="n"/>
      <c r="V144" s="87" t="inlineStr">
        <is>
          <t>2</t>
        </is>
      </c>
      <c r="W144" s="40" t="inlineStr">
        <is>
          <t>1</t>
        </is>
      </c>
    </row>
    <row r="145" ht="27" customHeight="1" s="127">
      <c r="B145" s="40" t="inlineStr">
        <is>
          <t>12104</t>
        </is>
      </c>
      <c r="C145" s="40" t="inlineStr">
        <is>
          <t>灵气</t>
        </is>
      </c>
      <c r="D145" s="40" t="inlineStr">
        <is>
          <t>大量灵气充沛之地，适宜修炼</t>
        </is>
      </c>
      <c r="E145" s="40" t="inlineStr">
        <is>
          <t>厌火国难度4</t>
        </is>
      </c>
      <c r="F145" s="40" t="inlineStr">
        <is>
          <t>6032|6786</t>
        </is>
      </c>
      <c r="G145" s="40" t="n">
        <v>2</v>
      </c>
      <c r="H145" s="40" t="inlineStr">
        <is>
          <t>1</t>
        </is>
      </c>
      <c r="I145" s="40" t="inlineStr">
        <is>
          <t>在此修炼</t>
        </is>
      </c>
      <c r="J145" s="40" t="inlineStr">
        <is>
          <t>无视它</t>
        </is>
      </c>
      <c r="M145" s="40" t="inlineStr">
        <is>
          <t>此处的灵气已经被吸收殆尽</t>
        </is>
      </c>
      <c r="N145" s="40" t="inlineStr">
        <is>
          <t>1</t>
        </is>
      </c>
      <c r="O145" s="40" t="inlineStr">
        <is>
          <t>15|21</t>
        </is>
      </c>
      <c r="P145" s="40" t="inlineStr">
        <is>
          <t>1</t>
        </is>
      </c>
      <c r="Q145" s="40" t="inlineStr">
        <is>
          <t>10|10002|16</t>
        </is>
      </c>
      <c r="R145" s="40" t="inlineStr">
        <is>
          <t>-1</t>
        </is>
      </c>
      <c r="S145" s="40" t="inlineStr">
        <is>
          <t>4</t>
        </is>
      </c>
      <c r="T145" s="40" t="n"/>
      <c r="U145" s="40" t="n"/>
      <c r="V145" s="87" t="inlineStr">
        <is>
          <t>2</t>
        </is>
      </c>
      <c r="W145" s="40" t="inlineStr">
        <is>
          <t>1</t>
        </is>
      </c>
    </row>
    <row r="146" ht="27" customHeight="1" s="127">
      <c r="B146" s="40" t="inlineStr">
        <is>
          <t>12105</t>
        </is>
      </c>
      <c r="C146" s="40" t="inlineStr">
        <is>
          <t>灵气</t>
        </is>
      </c>
      <c r="D146" s="40" t="inlineStr">
        <is>
          <t>海量灵气充沛之地，适宜修炼</t>
        </is>
      </c>
      <c r="E146" s="40" t="inlineStr">
        <is>
          <t>厌火国难度5</t>
        </is>
      </c>
      <c r="F146" s="40" t="inlineStr">
        <is>
          <t>8496|9912</t>
        </is>
      </c>
      <c r="G146" s="40" t="n">
        <v>2</v>
      </c>
      <c r="H146" s="40" t="inlineStr">
        <is>
          <t>1</t>
        </is>
      </c>
      <c r="I146" s="40" t="inlineStr">
        <is>
          <t>在此修炼</t>
        </is>
      </c>
      <c r="J146" s="40" t="inlineStr">
        <is>
          <t>无视它</t>
        </is>
      </c>
      <c r="M146" s="40" t="inlineStr">
        <is>
          <t>此处的灵气已经被吸收殆尽</t>
        </is>
      </c>
      <c r="N146" s="40" t="inlineStr">
        <is>
          <t>1</t>
        </is>
      </c>
      <c r="O146" s="40" t="inlineStr">
        <is>
          <t>24|28</t>
        </is>
      </c>
      <c r="P146" s="40" t="inlineStr">
        <is>
          <t>1</t>
        </is>
      </c>
      <c r="Q146" s="40" t="inlineStr">
        <is>
          <t>10|10002|16</t>
        </is>
      </c>
      <c r="R146" s="40" t="inlineStr">
        <is>
          <t>-1</t>
        </is>
      </c>
      <c r="S146" s="40" t="inlineStr">
        <is>
          <t>4</t>
        </is>
      </c>
      <c r="T146" s="40" t="n"/>
      <c r="U146" s="40" t="n"/>
      <c r="V146" s="87" t="inlineStr">
        <is>
          <t>2</t>
        </is>
      </c>
      <c r="W146" s="40" t="inlineStr">
        <is>
          <t>1</t>
        </is>
      </c>
    </row>
    <row r="147" ht="27" customHeight="1" s="127">
      <c r="B147" s="40" t="inlineStr">
        <is>
          <t>12106</t>
        </is>
      </c>
      <c r="C147" s="87" t="inlineStr">
        <is>
          <t>噬灵腹蛇</t>
        </is>
      </c>
      <c r="D147" s="87" t="inlineStr">
        <is>
          <t>噬灵腹蛇领地，栖息在此地的蝮蛇有剧毒，但生长在此地的清灵草却是不可多得的宝物……</t>
        </is>
      </c>
      <c r="E147" s="40" t="inlineStr">
        <is>
          <t>厌火国难度1</t>
        </is>
      </c>
      <c r="F147" s="87" t="inlineStr">
        <is>
          <t>10001|439|636$82001|1000|1300</t>
        </is>
      </c>
      <c r="G147" s="87" t="inlineStr">
        <is>
          <t>1</t>
        </is>
      </c>
      <c r="H147" s="87" t="inlineStr">
        <is>
          <t>1</t>
        </is>
      </c>
      <c r="I147" s="87" t="inlineStr">
        <is>
          <t>探索一番</t>
        </is>
      </c>
      <c r="J147" s="87" t="inlineStr">
        <is>
          <t>无视它</t>
        </is>
      </c>
      <c r="K147" s="87" t="n"/>
      <c r="L147" s="87" t="n"/>
      <c r="M147" s="87" t="n"/>
      <c r="N147" s="87" t="inlineStr">
        <is>
          <t>1</t>
        </is>
      </c>
      <c r="O147" s="87" t="inlineStr">
        <is>
          <t>6|12</t>
        </is>
      </c>
      <c r="P147" s="87" t="inlineStr">
        <is>
          <t>1</t>
        </is>
      </c>
      <c r="Q147" s="40" t="inlineStr">
        <is>
          <t>10|10002|16</t>
        </is>
      </c>
      <c r="R147" s="87" t="inlineStr">
        <is>
          <t>-1</t>
        </is>
      </c>
      <c r="S147" s="87" t="inlineStr">
        <is>
          <t>1</t>
        </is>
      </c>
      <c r="T147" s="119" t="inlineStr">
        <is>
          <t>30011|30011|30011|30012|30013</t>
        </is>
      </c>
      <c r="U147" s="119" t="inlineStr">
        <is>
          <t>31|31|31|31|31</t>
        </is>
      </c>
      <c r="V147" s="87" t="inlineStr">
        <is>
          <t>2</t>
        </is>
      </c>
      <c r="W147" s="87" t="inlineStr">
        <is>
          <t>1</t>
        </is>
      </c>
      <c r="Z147" s="87" t="n"/>
    </row>
    <row r="148" ht="27" customHeight="1" s="127">
      <c r="B148" s="40" t="inlineStr">
        <is>
          <t>12107</t>
        </is>
      </c>
      <c r="C148" s="87" t="inlineStr">
        <is>
          <t>噬灵腹蛇</t>
        </is>
      </c>
      <c r="D148" s="87" t="inlineStr">
        <is>
          <t>噬灵腹蛇领地，栖息在此地的蝮蛇有剧毒，但生长在此地的清灵草却是不可多得的宝物……</t>
        </is>
      </c>
      <c r="E148" s="40" t="inlineStr">
        <is>
          <t>厌火国难度2</t>
        </is>
      </c>
      <c r="F148" s="87" t="inlineStr">
        <is>
          <t>10001|527|763$82001|1300|1600</t>
        </is>
      </c>
      <c r="G148" s="87" t="inlineStr">
        <is>
          <t>1</t>
        </is>
      </c>
      <c r="H148" s="87" t="inlineStr">
        <is>
          <t>1</t>
        </is>
      </c>
      <c r="I148" s="87" t="inlineStr">
        <is>
          <t>探索一番</t>
        </is>
      </c>
      <c r="J148" s="87" t="inlineStr">
        <is>
          <t>无视它</t>
        </is>
      </c>
      <c r="K148" s="87" t="n"/>
      <c r="L148" s="87" t="n"/>
      <c r="M148" s="87" t="n"/>
      <c r="N148" s="87" t="inlineStr">
        <is>
          <t>1</t>
        </is>
      </c>
      <c r="O148" s="87" t="inlineStr">
        <is>
          <t>9|15</t>
        </is>
      </c>
      <c r="P148" s="87" t="inlineStr">
        <is>
          <t>1</t>
        </is>
      </c>
      <c r="Q148" s="40" t="inlineStr">
        <is>
          <t>10|10002|16</t>
        </is>
      </c>
      <c r="R148" s="87" t="inlineStr">
        <is>
          <t>-1</t>
        </is>
      </c>
      <c r="S148" s="87" t="inlineStr">
        <is>
          <t>2</t>
        </is>
      </c>
      <c r="T148" s="119" t="inlineStr">
        <is>
          <t>30011|30011|30011|30012|30013</t>
        </is>
      </c>
      <c r="U148" s="119" t="inlineStr">
        <is>
          <t>38|38|38|38|38</t>
        </is>
      </c>
      <c r="V148" s="87" t="inlineStr">
        <is>
          <t>2</t>
        </is>
      </c>
      <c r="W148" s="87" t="inlineStr">
        <is>
          <t>1</t>
        </is>
      </c>
      <c r="Z148" s="87" t="n"/>
    </row>
    <row r="149" ht="27" customHeight="1" s="127">
      <c r="B149" s="40" t="inlineStr">
        <is>
          <t>12108</t>
        </is>
      </c>
      <c r="C149" s="87" t="inlineStr">
        <is>
          <t>噬灵腹蛇</t>
        </is>
      </c>
      <c r="D149" s="87" t="inlineStr">
        <is>
          <t>噬灵腹蛇领地，栖息在此地的蝮蛇有剧毒，但生长在此地的清灵草却是不可多得的宝物……</t>
        </is>
      </c>
      <c r="E149" s="40" t="inlineStr">
        <is>
          <t>厌火国难度3</t>
        </is>
      </c>
      <c r="F149" s="87" t="inlineStr">
        <is>
          <t>10001|439|636$82001|1600|1900</t>
        </is>
      </c>
      <c r="G149" s="87" t="inlineStr">
        <is>
          <t>1</t>
        </is>
      </c>
      <c r="H149" s="87" t="inlineStr">
        <is>
          <t>1</t>
        </is>
      </c>
      <c r="I149" s="87" t="inlineStr">
        <is>
          <t>探索一番</t>
        </is>
      </c>
      <c r="J149" s="87" t="inlineStr">
        <is>
          <t>无视它</t>
        </is>
      </c>
      <c r="K149" s="87" t="n"/>
      <c r="L149" s="87" t="n"/>
      <c r="M149" s="87" t="n"/>
      <c r="N149" s="87" t="inlineStr">
        <is>
          <t>1</t>
        </is>
      </c>
      <c r="O149" s="87" t="inlineStr">
        <is>
          <t>12|18</t>
        </is>
      </c>
      <c r="P149" s="87" t="inlineStr">
        <is>
          <t>1</t>
        </is>
      </c>
      <c r="Q149" s="40" t="inlineStr">
        <is>
          <t>10|10002|16</t>
        </is>
      </c>
      <c r="R149" s="87" t="inlineStr">
        <is>
          <t>-1</t>
        </is>
      </c>
      <c r="S149" s="87" t="inlineStr">
        <is>
          <t>3</t>
        </is>
      </c>
      <c r="T149" s="119" t="inlineStr">
        <is>
          <t>30011|30011|30011|30012|30013</t>
        </is>
      </c>
      <c r="U149" s="119" t="inlineStr">
        <is>
          <t>46|46|46|46|46</t>
        </is>
      </c>
      <c r="V149" s="87" t="inlineStr">
        <is>
          <t>2</t>
        </is>
      </c>
      <c r="W149" s="87" t="inlineStr">
        <is>
          <t>1</t>
        </is>
      </c>
      <c r="Z149" s="87" t="n"/>
    </row>
    <row r="150" ht="27" customHeight="1" s="127">
      <c r="B150" s="40" t="inlineStr">
        <is>
          <t>12109</t>
        </is>
      </c>
      <c r="C150" s="87" t="inlineStr">
        <is>
          <t>噬灵腹蛇</t>
        </is>
      </c>
      <c r="D150" s="87" t="inlineStr">
        <is>
          <t>噬灵腹蛇领地，栖息在此地的蝮蛇有剧毒，但生长在此地的清灵草却是不可多得的宝物……</t>
        </is>
      </c>
      <c r="E150" s="40" t="inlineStr">
        <is>
          <t>厌火国难度4</t>
        </is>
      </c>
      <c r="F150" s="87" t="inlineStr">
        <is>
          <t>10001|527|763$82001|1900|2100</t>
        </is>
      </c>
      <c r="G150" s="87" t="inlineStr">
        <is>
          <t>1</t>
        </is>
      </c>
      <c r="H150" s="87" t="inlineStr">
        <is>
          <t>1</t>
        </is>
      </c>
      <c r="I150" s="87" t="inlineStr">
        <is>
          <t>探索一番</t>
        </is>
      </c>
      <c r="J150" s="87" t="inlineStr">
        <is>
          <t>无视它</t>
        </is>
      </c>
      <c r="K150" s="87" t="n"/>
      <c r="L150" s="87" t="n"/>
      <c r="M150" s="87" t="n"/>
      <c r="N150" s="87" t="inlineStr">
        <is>
          <t>1</t>
        </is>
      </c>
      <c r="O150" s="87" t="inlineStr">
        <is>
          <t>15|21</t>
        </is>
      </c>
      <c r="P150" s="87" t="inlineStr">
        <is>
          <t>1</t>
        </is>
      </c>
      <c r="Q150" s="40" t="inlineStr">
        <is>
          <t>10|10002|16</t>
        </is>
      </c>
      <c r="R150" s="87" t="inlineStr">
        <is>
          <t>-1</t>
        </is>
      </c>
      <c r="S150" s="87" t="inlineStr">
        <is>
          <t>4</t>
        </is>
      </c>
      <c r="T150" s="119" t="inlineStr">
        <is>
          <t>30011|30011|30011|30012|30013</t>
        </is>
      </c>
      <c r="U150" s="119" t="inlineStr">
        <is>
          <t>53|53|53|53|53</t>
        </is>
      </c>
      <c r="V150" s="87" t="inlineStr">
        <is>
          <t>2</t>
        </is>
      </c>
      <c r="W150" s="87" t="inlineStr">
        <is>
          <t>1</t>
        </is>
      </c>
      <c r="Z150" s="87" t="n"/>
    </row>
    <row r="151" ht="27" customHeight="1" s="127">
      <c r="B151" s="40" t="inlineStr">
        <is>
          <t>12110</t>
        </is>
      </c>
      <c r="C151" s="87" t="inlineStr">
        <is>
          <t>噬灵腹蛇</t>
        </is>
      </c>
      <c r="D151" s="87" t="inlineStr">
        <is>
          <t>噬灵腹蛇领地，栖息在此地的蝮蛇有剧毒，但生长在此地的清灵草却是不可多得的宝物……</t>
        </is>
      </c>
      <c r="E151" s="40" t="inlineStr">
        <is>
          <t>厌火国难度5</t>
        </is>
      </c>
      <c r="F151" s="87" t="inlineStr">
        <is>
          <t>10001|632|916$82001|2100|2400</t>
        </is>
      </c>
      <c r="G151" s="87" t="inlineStr">
        <is>
          <t>1</t>
        </is>
      </c>
      <c r="H151" s="87" t="inlineStr">
        <is>
          <t>1</t>
        </is>
      </c>
      <c r="I151" s="87" t="inlineStr">
        <is>
          <t>探索一番</t>
        </is>
      </c>
      <c r="J151" s="87" t="inlineStr">
        <is>
          <t>无视它</t>
        </is>
      </c>
      <c r="K151" s="87" t="n"/>
      <c r="L151" s="87" t="n"/>
      <c r="M151" s="87" t="n"/>
      <c r="N151" s="87" t="inlineStr">
        <is>
          <t>1</t>
        </is>
      </c>
      <c r="O151" s="87" t="inlineStr">
        <is>
          <t>24|28</t>
        </is>
      </c>
      <c r="P151" s="87" t="inlineStr">
        <is>
          <t>1</t>
        </is>
      </c>
      <c r="Q151" s="40" t="inlineStr">
        <is>
          <t>10|10002|16</t>
        </is>
      </c>
      <c r="R151" s="87" t="inlineStr">
        <is>
          <t>-1</t>
        </is>
      </c>
      <c r="S151" s="87" t="inlineStr">
        <is>
          <t>5</t>
        </is>
      </c>
      <c r="T151" s="119" t="inlineStr">
        <is>
          <t>30011|30011|30011|30012|30013</t>
        </is>
      </c>
      <c r="U151" s="119" t="inlineStr">
        <is>
          <t>59|59|59|59|59</t>
        </is>
      </c>
      <c r="V151" s="87" t="inlineStr">
        <is>
          <t>2</t>
        </is>
      </c>
      <c r="W151" s="87" t="inlineStr">
        <is>
          <t>1</t>
        </is>
      </c>
      <c r="Z151" s="87" t="n"/>
    </row>
    <row r="152" ht="27" customHeight="1" s="127">
      <c r="B152" s="40" t="inlineStr">
        <is>
          <t>12111</t>
        </is>
      </c>
      <c r="C152" s="91" t="inlineStr">
        <is>
          <t>灵鲲</t>
        </is>
      </c>
      <c r="D152" s="89" t="inlineStr">
        <is>
          <t>鲲游荡在星空深处，以星辰为食，常年累月的吞噬，使它的体内埋藏了无数珍宝。</t>
        </is>
      </c>
      <c r="E152" s="40" t="inlineStr">
        <is>
          <t>厌火国难度1</t>
        </is>
      </c>
      <c r="F152" s="91" t="inlineStr">
        <is>
          <t>132001|0|15$132101|0|15$132201|0|15</t>
        </is>
      </c>
      <c r="G152" s="91" t="inlineStr">
        <is>
          <t>1</t>
        </is>
      </c>
      <c r="H152" s="91" t="inlineStr">
        <is>
          <t>1</t>
        </is>
      </c>
      <c r="I152" s="91" t="inlineStr">
        <is>
          <t>探索一番</t>
        </is>
      </c>
      <c r="J152" s="91" t="inlineStr">
        <is>
          <t>无视它</t>
        </is>
      </c>
      <c r="K152" s="91" t="n"/>
      <c r="L152" s="91" t="n"/>
      <c r="M152" s="91" t="n"/>
      <c r="N152" s="91" t="inlineStr">
        <is>
          <t>1</t>
        </is>
      </c>
      <c r="O152" s="91" t="inlineStr">
        <is>
          <t>6|12</t>
        </is>
      </c>
      <c r="P152" s="91" t="inlineStr">
        <is>
          <t>1</t>
        </is>
      </c>
      <c r="Q152" s="40" t="inlineStr">
        <is>
          <t>10|10002|16</t>
        </is>
      </c>
      <c r="R152" s="91" t="inlineStr">
        <is>
          <t>-1</t>
        </is>
      </c>
      <c r="S152" s="91" t="inlineStr">
        <is>
          <t>1</t>
        </is>
      </c>
      <c r="T152" s="104" t="inlineStr">
        <is>
          <t>30035</t>
        </is>
      </c>
      <c r="U152" s="123" t="inlineStr">
        <is>
          <t>31</t>
        </is>
      </c>
      <c r="V152" s="87" t="inlineStr">
        <is>
          <t>2</t>
        </is>
      </c>
      <c r="W152" s="91" t="inlineStr">
        <is>
          <t>1</t>
        </is>
      </c>
      <c r="Z152" s="91" t="n"/>
    </row>
    <row r="153" ht="27" customHeight="1" s="127">
      <c r="B153" s="40" t="inlineStr">
        <is>
          <t>12112</t>
        </is>
      </c>
      <c r="C153" s="91" t="inlineStr">
        <is>
          <t>灵鲲</t>
        </is>
      </c>
      <c r="D153" s="89" t="inlineStr">
        <is>
          <t>鲲游荡在星空深处，以星辰为食，常年累月的吞噬，使它的体内埋藏了无数珍宝。</t>
        </is>
      </c>
      <c r="E153" s="40" t="inlineStr">
        <is>
          <t>厌火国难度2</t>
        </is>
      </c>
      <c r="F153" s="91" t="inlineStr">
        <is>
          <t>132001|15|30$132101|15|30$132201|15|30</t>
        </is>
      </c>
      <c r="G153" s="91" t="inlineStr">
        <is>
          <t>1</t>
        </is>
      </c>
      <c r="H153" s="91" t="inlineStr">
        <is>
          <t>1</t>
        </is>
      </c>
      <c r="I153" s="91" t="inlineStr">
        <is>
          <t>探索一番</t>
        </is>
      </c>
      <c r="J153" s="91" t="inlineStr">
        <is>
          <t>无视它</t>
        </is>
      </c>
      <c r="K153" s="91" t="n"/>
      <c r="L153" s="91" t="n"/>
      <c r="M153" s="91" t="n"/>
      <c r="N153" s="91" t="inlineStr">
        <is>
          <t>1</t>
        </is>
      </c>
      <c r="O153" s="91" t="inlineStr">
        <is>
          <t>9|15</t>
        </is>
      </c>
      <c r="P153" s="91" t="inlineStr">
        <is>
          <t>1</t>
        </is>
      </c>
      <c r="Q153" s="40" t="inlineStr">
        <is>
          <t>10|10002|16</t>
        </is>
      </c>
      <c r="R153" s="91" t="inlineStr">
        <is>
          <t>-1</t>
        </is>
      </c>
      <c r="S153" s="91" t="inlineStr">
        <is>
          <t>2</t>
        </is>
      </c>
      <c r="T153" s="104" t="inlineStr">
        <is>
          <t>30035</t>
        </is>
      </c>
      <c r="U153" s="123" t="inlineStr">
        <is>
          <t>38</t>
        </is>
      </c>
      <c r="V153" s="87" t="inlineStr">
        <is>
          <t>2</t>
        </is>
      </c>
      <c r="W153" s="91" t="inlineStr">
        <is>
          <t>1</t>
        </is>
      </c>
      <c r="Z153" s="91" t="n"/>
    </row>
    <row r="154" ht="27" customHeight="1" s="127">
      <c r="B154" s="40" t="inlineStr">
        <is>
          <t>12113</t>
        </is>
      </c>
      <c r="C154" s="91" t="inlineStr">
        <is>
          <t>灵鲲</t>
        </is>
      </c>
      <c r="D154" s="89" t="inlineStr">
        <is>
          <t>鲲游荡在星空深处，以星辰为食，常年累月的吞噬，使它的体内埋藏了无数珍宝。</t>
        </is>
      </c>
      <c r="E154" s="40" t="inlineStr">
        <is>
          <t>厌火国难度3</t>
        </is>
      </c>
      <c r="F154" s="91" t="inlineStr">
        <is>
          <t>132001|30|45$132101|30|45$132201|30|45</t>
        </is>
      </c>
      <c r="G154" s="91" t="inlineStr">
        <is>
          <t>1</t>
        </is>
      </c>
      <c r="H154" s="91" t="inlineStr">
        <is>
          <t>1</t>
        </is>
      </c>
      <c r="I154" s="91" t="inlineStr">
        <is>
          <t>探索一番</t>
        </is>
      </c>
      <c r="J154" s="91" t="inlineStr">
        <is>
          <t>无视它</t>
        </is>
      </c>
      <c r="K154" s="91" t="n"/>
      <c r="L154" s="91" t="n"/>
      <c r="M154" s="91" t="n"/>
      <c r="N154" s="91" t="inlineStr">
        <is>
          <t>1</t>
        </is>
      </c>
      <c r="O154" s="91" t="inlineStr">
        <is>
          <t>12|18</t>
        </is>
      </c>
      <c r="P154" s="91" t="inlineStr">
        <is>
          <t>1</t>
        </is>
      </c>
      <c r="Q154" s="40" t="inlineStr">
        <is>
          <t>10|10002|16</t>
        </is>
      </c>
      <c r="R154" s="91" t="inlineStr">
        <is>
          <t>-1</t>
        </is>
      </c>
      <c r="S154" s="91" t="inlineStr">
        <is>
          <t>3</t>
        </is>
      </c>
      <c r="T154" s="104" t="inlineStr">
        <is>
          <t>30035</t>
        </is>
      </c>
      <c r="U154" s="123" t="inlineStr">
        <is>
          <t>46</t>
        </is>
      </c>
      <c r="V154" s="87" t="inlineStr">
        <is>
          <t>2</t>
        </is>
      </c>
      <c r="W154" s="91" t="inlineStr">
        <is>
          <t>1</t>
        </is>
      </c>
      <c r="Z154" s="91" t="n"/>
    </row>
    <row r="155" ht="27" customHeight="1" s="127">
      <c r="B155" s="40" t="inlineStr">
        <is>
          <t>12114</t>
        </is>
      </c>
      <c r="C155" s="91" t="inlineStr">
        <is>
          <t>灵鲲</t>
        </is>
      </c>
      <c r="D155" s="89" t="inlineStr">
        <is>
          <t>鲲游荡在星空深处，以星辰为食，常年累月的吞噬，使它的体内埋藏了无数珍宝。</t>
        </is>
      </c>
      <c r="E155" s="40" t="inlineStr">
        <is>
          <t>厌火国难度4</t>
        </is>
      </c>
      <c r="F155" s="91" t="inlineStr">
        <is>
          <t>132001|45|60$132101|45|60$132201|45|60</t>
        </is>
      </c>
      <c r="G155" s="91" t="inlineStr">
        <is>
          <t>1</t>
        </is>
      </c>
      <c r="H155" s="91" t="inlineStr">
        <is>
          <t>1</t>
        </is>
      </c>
      <c r="I155" s="91" t="inlineStr">
        <is>
          <t>探索一番</t>
        </is>
      </c>
      <c r="J155" s="91" t="inlineStr">
        <is>
          <t>无视它</t>
        </is>
      </c>
      <c r="K155" s="91" t="n"/>
      <c r="L155" s="91" t="n"/>
      <c r="M155" s="91" t="n"/>
      <c r="N155" s="91" t="inlineStr">
        <is>
          <t>1</t>
        </is>
      </c>
      <c r="O155" s="91" t="inlineStr">
        <is>
          <t>15|21</t>
        </is>
      </c>
      <c r="P155" s="91" t="inlineStr">
        <is>
          <t>1</t>
        </is>
      </c>
      <c r="Q155" s="40" t="inlineStr">
        <is>
          <t>10|10002|16</t>
        </is>
      </c>
      <c r="R155" s="91" t="inlineStr">
        <is>
          <t>-1</t>
        </is>
      </c>
      <c r="S155" s="91" t="inlineStr">
        <is>
          <t>4</t>
        </is>
      </c>
      <c r="T155" s="104" t="inlineStr">
        <is>
          <t>30035</t>
        </is>
      </c>
      <c r="U155" s="123" t="inlineStr">
        <is>
          <t>53</t>
        </is>
      </c>
      <c r="V155" s="87" t="inlineStr">
        <is>
          <t>2</t>
        </is>
      </c>
      <c r="W155" s="91" t="inlineStr">
        <is>
          <t>1</t>
        </is>
      </c>
      <c r="Z155" s="91" t="n"/>
    </row>
    <row r="156" ht="27" customHeight="1" s="127">
      <c r="B156" s="40" t="inlineStr">
        <is>
          <t>12115</t>
        </is>
      </c>
      <c r="C156" s="91" t="inlineStr">
        <is>
          <t>灵鲲</t>
        </is>
      </c>
      <c r="D156" s="89" t="inlineStr">
        <is>
          <t>鲲游荡在星空深处，以星辰为食，常年累月的吞噬，使它的体内埋藏了无数珍宝。</t>
        </is>
      </c>
      <c r="E156" s="40" t="inlineStr">
        <is>
          <t>厌火国难度5</t>
        </is>
      </c>
      <c r="F156" s="91" t="inlineStr">
        <is>
          <t>132001|65|80$132101|65|80$132201|65|80</t>
        </is>
      </c>
      <c r="G156" s="91" t="inlineStr">
        <is>
          <t>1</t>
        </is>
      </c>
      <c r="H156" s="91" t="inlineStr">
        <is>
          <t>1</t>
        </is>
      </c>
      <c r="I156" s="91" t="inlineStr">
        <is>
          <t>探索一番</t>
        </is>
      </c>
      <c r="J156" s="91" t="inlineStr">
        <is>
          <t>无视它</t>
        </is>
      </c>
      <c r="K156" s="91" t="n"/>
      <c r="L156" s="91" t="n"/>
      <c r="M156" s="91" t="n"/>
      <c r="N156" s="91" t="inlineStr">
        <is>
          <t>1</t>
        </is>
      </c>
      <c r="O156" s="91" t="inlineStr">
        <is>
          <t>24|28</t>
        </is>
      </c>
      <c r="P156" s="91" t="inlineStr">
        <is>
          <t>1</t>
        </is>
      </c>
      <c r="Q156" s="40" t="inlineStr">
        <is>
          <t>10|10002|16</t>
        </is>
      </c>
      <c r="R156" s="91" t="inlineStr">
        <is>
          <t>-1</t>
        </is>
      </c>
      <c r="S156" s="91" t="inlineStr">
        <is>
          <t>5</t>
        </is>
      </c>
      <c r="T156" s="104" t="inlineStr">
        <is>
          <t>30035</t>
        </is>
      </c>
      <c r="U156" s="123" t="inlineStr">
        <is>
          <t>59</t>
        </is>
      </c>
      <c r="V156" s="87" t="inlineStr">
        <is>
          <t>2</t>
        </is>
      </c>
      <c r="W156" s="91" t="inlineStr">
        <is>
          <t>1</t>
        </is>
      </c>
      <c r="Z156" s="91" t="n"/>
    </row>
    <row r="157" ht="27" customHeight="1" s="127">
      <c r="B157" s="40" t="inlineStr">
        <is>
          <t>12116</t>
        </is>
      </c>
      <c r="C157" s="95" t="inlineStr">
        <is>
          <t>虎鲲</t>
        </is>
      </c>
      <c r="D157" s="93" t="inlineStr">
        <is>
          <t>鲲游荡在星空深处，以星辰为食，常年累月的吞噬，使它的体内埋藏了无数珍宝。</t>
        </is>
      </c>
      <c r="E157" s="40" t="inlineStr">
        <is>
          <t>厌火国难度1</t>
        </is>
      </c>
      <c r="F157" s="95" t="inlineStr">
        <is>
          <t>132301|0|15$132401|0|15$132501|0|15</t>
        </is>
      </c>
      <c r="G157" s="95" t="inlineStr">
        <is>
          <t>1</t>
        </is>
      </c>
      <c r="H157" s="95" t="inlineStr">
        <is>
          <t>1</t>
        </is>
      </c>
      <c r="I157" s="95" t="inlineStr">
        <is>
          <t>探索一番</t>
        </is>
      </c>
      <c r="J157" s="95" t="inlineStr">
        <is>
          <t>无视它</t>
        </is>
      </c>
      <c r="K157" s="95" t="n"/>
      <c r="L157" s="95" t="n"/>
      <c r="M157" s="95" t="n"/>
      <c r="N157" s="95" t="inlineStr">
        <is>
          <t>1</t>
        </is>
      </c>
      <c r="O157" s="95" t="inlineStr">
        <is>
          <t>6|12</t>
        </is>
      </c>
      <c r="P157" s="95" t="inlineStr">
        <is>
          <t>1</t>
        </is>
      </c>
      <c r="Q157" s="40" t="inlineStr">
        <is>
          <t>10|10002|16</t>
        </is>
      </c>
      <c r="R157" s="95" t="inlineStr">
        <is>
          <t>-1</t>
        </is>
      </c>
      <c r="S157" s="95" t="inlineStr">
        <is>
          <t>1</t>
        </is>
      </c>
      <c r="T157" s="121" t="inlineStr">
        <is>
          <t>30036</t>
        </is>
      </c>
      <c r="U157" s="123" t="inlineStr">
        <is>
          <t>31</t>
        </is>
      </c>
      <c r="V157" s="87" t="inlineStr">
        <is>
          <t>2</t>
        </is>
      </c>
      <c r="W157" s="95" t="inlineStr">
        <is>
          <t>1</t>
        </is>
      </c>
      <c r="Z157" s="95" t="n"/>
    </row>
    <row r="158" ht="27" customHeight="1" s="127">
      <c r="B158" s="40" t="inlineStr">
        <is>
          <t>12117</t>
        </is>
      </c>
      <c r="C158" s="95" t="inlineStr">
        <is>
          <t>虎鲲</t>
        </is>
      </c>
      <c r="D158" s="93" t="inlineStr">
        <is>
          <t>鲲游荡在星空深处，以星辰为食，常年累月的吞噬，使它的体内埋藏了无数珍宝。</t>
        </is>
      </c>
      <c r="E158" s="40" t="inlineStr">
        <is>
          <t>厌火国难度2</t>
        </is>
      </c>
      <c r="F158" s="95" t="inlineStr">
        <is>
          <t>132301|15|30$132401|15|30$132501|15|30</t>
        </is>
      </c>
      <c r="G158" s="95" t="inlineStr">
        <is>
          <t>1</t>
        </is>
      </c>
      <c r="H158" s="95" t="inlineStr">
        <is>
          <t>1</t>
        </is>
      </c>
      <c r="I158" s="95" t="inlineStr">
        <is>
          <t>探索一番</t>
        </is>
      </c>
      <c r="J158" s="95" t="inlineStr">
        <is>
          <t>无视它</t>
        </is>
      </c>
      <c r="K158" s="95" t="n"/>
      <c r="L158" s="95" t="n"/>
      <c r="M158" s="95" t="n"/>
      <c r="N158" s="95" t="inlineStr">
        <is>
          <t>1</t>
        </is>
      </c>
      <c r="O158" s="95" t="inlineStr">
        <is>
          <t>9|15</t>
        </is>
      </c>
      <c r="P158" s="95" t="inlineStr">
        <is>
          <t>1</t>
        </is>
      </c>
      <c r="Q158" s="40" t="inlineStr">
        <is>
          <t>10|10002|16</t>
        </is>
      </c>
      <c r="R158" s="95" t="inlineStr">
        <is>
          <t>-1</t>
        </is>
      </c>
      <c r="S158" s="95" t="inlineStr">
        <is>
          <t>2</t>
        </is>
      </c>
      <c r="T158" s="121" t="inlineStr">
        <is>
          <t>30036</t>
        </is>
      </c>
      <c r="U158" s="123" t="inlineStr">
        <is>
          <t>38</t>
        </is>
      </c>
      <c r="V158" s="87" t="inlineStr">
        <is>
          <t>2</t>
        </is>
      </c>
      <c r="W158" s="95" t="inlineStr">
        <is>
          <t>1</t>
        </is>
      </c>
      <c r="Z158" s="95" t="n"/>
    </row>
    <row r="159" ht="27" customHeight="1" s="127">
      <c r="B159" s="40" t="inlineStr">
        <is>
          <t>12118</t>
        </is>
      </c>
      <c r="C159" s="95" t="inlineStr">
        <is>
          <t>虎鲲</t>
        </is>
      </c>
      <c r="D159" s="93" t="inlineStr">
        <is>
          <t>鲲游荡在星空深处，以星辰为食，常年累月的吞噬，使它的体内埋藏了无数珍宝。</t>
        </is>
      </c>
      <c r="E159" s="40" t="inlineStr">
        <is>
          <t>厌火国难度3</t>
        </is>
      </c>
      <c r="F159" s="95" t="inlineStr">
        <is>
          <t>132301|30|45$132401|30|45$132501|30|45</t>
        </is>
      </c>
      <c r="G159" s="95" t="inlineStr">
        <is>
          <t>1</t>
        </is>
      </c>
      <c r="H159" s="95" t="inlineStr">
        <is>
          <t>1</t>
        </is>
      </c>
      <c r="I159" s="95" t="inlineStr">
        <is>
          <t>探索一番</t>
        </is>
      </c>
      <c r="J159" s="95" t="inlineStr">
        <is>
          <t>无视它</t>
        </is>
      </c>
      <c r="K159" s="95" t="n"/>
      <c r="L159" s="95" t="n"/>
      <c r="M159" s="95" t="n"/>
      <c r="N159" s="95" t="inlineStr">
        <is>
          <t>1</t>
        </is>
      </c>
      <c r="O159" s="95" t="inlineStr">
        <is>
          <t>12|18</t>
        </is>
      </c>
      <c r="P159" s="95" t="inlineStr">
        <is>
          <t>1</t>
        </is>
      </c>
      <c r="Q159" s="40" t="inlineStr">
        <is>
          <t>10|10002|16</t>
        </is>
      </c>
      <c r="R159" s="95" t="inlineStr">
        <is>
          <t>-1</t>
        </is>
      </c>
      <c r="S159" s="95" t="inlineStr">
        <is>
          <t>3</t>
        </is>
      </c>
      <c r="T159" s="121" t="inlineStr">
        <is>
          <t>30036</t>
        </is>
      </c>
      <c r="U159" s="123" t="inlineStr">
        <is>
          <t>46</t>
        </is>
      </c>
      <c r="V159" s="87" t="inlineStr">
        <is>
          <t>2</t>
        </is>
      </c>
      <c r="W159" s="95" t="inlineStr">
        <is>
          <t>1</t>
        </is>
      </c>
      <c r="Z159" s="95" t="n"/>
    </row>
    <row r="160" ht="40.5" customHeight="1" s="127">
      <c r="B160" s="40" t="inlineStr">
        <is>
          <t>12119</t>
        </is>
      </c>
      <c r="C160" s="95" t="inlineStr">
        <is>
          <t>虎鲲</t>
        </is>
      </c>
      <c r="D160" s="93" t="inlineStr">
        <is>
          <t>鲲游荡在星空深处，以星辰为食，常年累月的吞噬，使它的体内埋藏了无数珍宝。</t>
        </is>
      </c>
      <c r="E160" s="40" t="inlineStr">
        <is>
          <t>厌火国难度4</t>
        </is>
      </c>
      <c r="F160" s="95" t="inlineStr">
        <is>
          <t>132301|45|60$132401|45|60$132501|45|60</t>
        </is>
      </c>
      <c r="G160" s="95" t="inlineStr">
        <is>
          <t>1</t>
        </is>
      </c>
      <c r="H160" s="95" t="inlineStr">
        <is>
          <t>1</t>
        </is>
      </c>
      <c r="I160" s="95" t="inlineStr">
        <is>
          <t>探索一番</t>
        </is>
      </c>
      <c r="J160" s="95" t="inlineStr">
        <is>
          <t>无视它</t>
        </is>
      </c>
      <c r="K160" s="95" t="n"/>
      <c r="L160" s="95" t="n"/>
      <c r="M160" s="95" t="n"/>
      <c r="N160" s="95" t="inlineStr">
        <is>
          <t>1</t>
        </is>
      </c>
      <c r="O160" s="95" t="inlineStr">
        <is>
          <t>15|21</t>
        </is>
      </c>
      <c r="P160" s="95" t="inlineStr">
        <is>
          <t>1</t>
        </is>
      </c>
      <c r="Q160" s="40" t="inlineStr">
        <is>
          <t>10|10002|16</t>
        </is>
      </c>
      <c r="R160" s="95" t="inlineStr">
        <is>
          <t>-1</t>
        </is>
      </c>
      <c r="S160" s="95" t="inlineStr">
        <is>
          <t>4</t>
        </is>
      </c>
      <c r="T160" s="121" t="inlineStr">
        <is>
          <t>30036</t>
        </is>
      </c>
      <c r="U160" s="123" t="inlineStr">
        <is>
          <t>53</t>
        </is>
      </c>
      <c r="V160" s="87" t="inlineStr">
        <is>
          <t>2</t>
        </is>
      </c>
      <c r="W160" s="95" t="inlineStr">
        <is>
          <t>1</t>
        </is>
      </c>
      <c r="Z160" s="95" t="n"/>
    </row>
    <row r="161" ht="40.5" customHeight="1" s="127">
      <c r="B161" s="40" t="inlineStr">
        <is>
          <t>12120</t>
        </is>
      </c>
      <c r="C161" s="95" t="inlineStr">
        <is>
          <t>虎鲲</t>
        </is>
      </c>
      <c r="D161" s="93" t="inlineStr">
        <is>
          <t>鲲游荡在星空深处，以星辰为食，常年累月的吞噬，使它的体内埋藏了无数珍宝。</t>
        </is>
      </c>
      <c r="E161" s="40" t="inlineStr">
        <is>
          <t>厌火国难度5</t>
        </is>
      </c>
      <c r="F161" s="95" t="inlineStr">
        <is>
          <t>132301|65|80$132401|65|80$132501|65|80</t>
        </is>
      </c>
      <c r="G161" s="95" t="inlineStr">
        <is>
          <t>1</t>
        </is>
      </c>
      <c r="H161" s="95" t="inlineStr">
        <is>
          <t>1</t>
        </is>
      </c>
      <c r="I161" s="95" t="inlineStr">
        <is>
          <t>探索一番</t>
        </is>
      </c>
      <c r="J161" s="95" t="inlineStr">
        <is>
          <t>无视它</t>
        </is>
      </c>
      <c r="K161" s="95" t="n"/>
      <c r="L161" s="95" t="n"/>
      <c r="M161" s="95" t="n"/>
      <c r="N161" s="95" t="inlineStr">
        <is>
          <t>1</t>
        </is>
      </c>
      <c r="O161" s="95" t="inlineStr">
        <is>
          <t>24|28</t>
        </is>
      </c>
      <c r="P161" s="95" t="inlineStr">
        <is>
          <t>1</t>
        </is>
      </c>
      <c r="Q161" s="40" t="inlineStr">
        <is>
          <t>10|10002|16</t>
        </is>
      </c>
      <c r="R161" s="95" t="inlineStr">
        <is>
          <t>-1</t>
        </is>
      </c>
      <c r="S161" s="95" t="inlineStr">
        <is>
          <t>5</t>
        </is>
      </c>
      <c r="T161" s="121" t="inlineStr">
        <is>
          <t>30036</t>
        </is>
      </c>
      <c r="U161" s="123" t="inlineStr">
        <is>
          <t>59</t>
        </is>
      </c>
      <c r="V161" s="87" t="inlineStr">
        <is>
          <t>2</t>
        </is>
      </c>
      <c r="W161" s="95" t="inlineStr">
        <is>
          <t>1</t>
        </is>
      </c>
      <c r="Z161" s="95" t="n"/>
    </row>
    <row r="162" ht="40.5" customHeight="1" s="127">
      <c r="B162" s="40" t="inlineStr">
        <is>
          <t>12121</t>
        </is>
      </c>
      <c r="C162" s="98" t="inlineStr">
        <is>
          <t>骨鲲</t>
        </is>
      </c>
      <c r="D162" s="97" t="inlineStr">
        <is>
          <t>鲲游荡在星空深处，以星辰为食，常年累月的吞噬，使它的体内埋藏了无数珍宝。</t>
        </is>
      </c>
      <c r="E162" s="40" t="inlineStr">
        <is>
          <t>厌火国难度1</t>
        </is>
      </c>
      <c r="F162" s="120" t="inlineStr">
        <is>
          <t>132001|0|30$132101|0|30$132201|0|30$132301|0|30$132401|0|30$132501|0|30</t>
        </is>
      </c>
      <c r="G162" s="98" t="inlineStr">
        <is>
          <t>1</t>
        </is>
      </c>
      <c r="H162" s="98" t="inlineStr">
        <is>
          <t>1</t>
        </is>
      </c>
      <c r="I162" s="98" t="inlineStr">
        <is>
          <t>探索一番</t>
        </is>
      </c>
      <c r="J162" s="98" t="inlineStr">
        <is>
          <t>无视它</t>
        </is>
      </c>
      <c r="K162" s="98" t="n"/>
      <c r="L162" s="98" t="n"/>
      <c r="M162" s="98" t="n"/>
      <c r="N162" s="98" t="inlineStr">
        <is>
          <t>1</t>
        </is>
      </c>
      <c r="O162" s="98" t="inlineStr">
        <is>
          <t>6|12</t>
        </is>
      </c>
      <c r="P162" s="98" t="inlineStr">
        <is>
          <t>1</t>
        </is>
      </c>
      <c r="Q162" s="40" t="inlineStr">
        <is>
          <t>10|10002|16</t>
        </is>
      </c>
      <c r="R162" s="98" t="inlineStr">
        <is>
          <t>-1</t>
        </is>
      </c>
      <c r="S162" s="98" t="inlineStr">
        <is>
          <t>1</t>
        </is>
      </c>
      <c r="T162" s="121" t="inlineStr">
        <is>
          <t>30037</t>
        </is>
      </c>
      <c r="U162" s="123" t="inlineStr">
        <is>
          <t>31</t>
        </is>
      </c>
      <c r="V162" s="87" t="inlineStr">
        <is>
          <t>2</t>
        </is>
      </c>
      <c r="W162" s="98" t="inlineStr">
        <is>
          <t>1</t>
        </is>
      </c>
      <c r="Z162" s="98" t="n"/>
    </row>
    <row r="163" ht="40.5" customHeight="1" s="127">
      <c r="B163" s="40" t="inlineStr">
        <is>
          <t>12122</t>
        </is>
      </c>
      <c r="C163" s="98" t="inlineStr">
        <is>
          <t>骨鲲</t>
        </is>
      </c>
      <c r="D163" s="97" t="inlineStr">
        <is>
          <t>鲲游荡在星空深处，以星辰为食，常年累月的吞噬，使它的体内埋藏了无数珍宝。</t>
        </is>
      </c>
      <c r="E163" s="40" t="inlineStr">
        <is>
          <t>厌火国难度2</t>
        </is>
      </c>
      <c r="F163" s="98" t="inlineStr">
        <is>
          <t>132001|30|60$132101|30|60$132201|30|60$132301|30|60$132401|30|60$132501|30|60</t>
        </is>
      </c>
      <c r="G163" s="98" t="inlineStr">
        <is>
          <t>1</t>
        </is>
      </c>
      <c r="H163" s="98" t="inlineStr">
        <is>
          <t>1</t>
        </is>
      </c>
      <c r="I163" s="98" t="inlineStr">
        <is>
          <t>探索一番</t>
        </is>
      </c>
      <c r="J163" s="98" t="inlineStr">
        <is>
          <t>无视它</t>
        </is>
      </c>
      <c r="K163" s="98" t="n"/>
      <c r="L163" s="98" t="n"/>
      <c r="M163" s="98" t="n"/>
      <c r="N163" s="98" t="inlineStr">
        <is>
          <t>1</t>
        </is>
      </c>
      <c r="O163" s="98" t="inlineStr">
        <is>
          <t>9|15</t>
        </is>
      </c>
      <c r="P163" s="98" t="inlineStr">
        <is>
          <t>1</t>
        </is>
      </c>
      <c r="Q163" s="40" t="inlineStr">
        <is>
          <t>10|10002|16</t>
        </is>
      </c>
      <c r="R163" s="98" t="inlineStr">
        <is>
          <t>-1</t>
        </is>
      </c>
      <c r="S163" s="98" t="inlineStr">
        <is>
          <t>2</t>
        </is>
      </c>
      <c r="T163" s="121" t="inlineStr">
        <is>
          <t>30037</t>
        </is>
      </c>
      <c r="U163" s="123" t="inlineStr">
        <is>
          <t>38</t>
        </is>
      </c>
      <c r="V163" s="87" t="inlineStr">
        <is>
          <t>2</t>
        </is>
      </c>
      <c r="W163" s="98" t="inlineStr">
        <is>
          <t>1</t>
        </is>
      </c>
      <c r="Z163" s="98" t="n"/>
    </row>
    <row r="164" ht="40.5" customHeight="1" s="127">
      <c r="B164" s="40" t="inlineStr">
        <is>
          <t>12123</t>
        </is>
      </c>
      <c r="C164" s="98" t="inlineStr">
        <is>
          <t>骨鲲</t>
        </is>
      </c>
      <c r="D164" s="97" t="inlineStr">
        <is>
          <t>鲲游荡在星空深处，以星辰为食，常年累月的吞噬，使它的体内埋藏了无数珍宝。</t>
        </is>
      </c>
      <c r="E164" s="40" t="inlineStr">
        <is>
          <t>厌火国难度3</t>
        </is>
      </c>
      <c r="F164" s="98" t="inlineStr">
        <is>
          <t>132001|30|90$132101|30|90$132201|30|90$132301|30|90$132401|30|90$132501|30|90</t>
        </is>
      </c>
      <c r="G164" s="98" t="inlineStr">
        <is>
          <t>1</t>
        </is>
      </c>
      <c r="H164" s="98" t="inlineStr">
        <is>
          <t>1</t>
        </is>
      </c>
      <c r="I164" s="98" t="inlineStr">
        <is>
          <t>探索一番</t>
        </is>
      </c>
      <c r="J164" s="98" t="inlineStr">
        <is>
          <t>无视它</t>
        </is>
      </c>
      <c r="K164" s="98" t="n"/>
      <c r="L164" s="98" t="n"/>
      <c r="M164" s="98" t="n"/>
      <c r="N164" s="98" t="inlineStr">
        <is>
          <t>1</t>
        </is>
      </c>
      <c r="O164" s="98" t="inlineStr">
        <is>
          <t>12|18</t>
        </is>
      </c>
      <c r="P164" s="98" t="inlineStr">
        <is>
          <t>1</t>
        </is>
      </c>
      <c r="Q164" s="40" t="inlineStr">
        <is>
          <t>10|10002|16</t>
        </is>
      </c>
      <c r="R164" s="98" t="inlineStr">
        <is>
          <t>-1</t>
        </is>
      </c>
      <c r="S164" s="98" t="inlineStr">
        <is>
          <t>3</t>
        </is>
      </c>
      <c r="T164" s="121" t="inlineStr">
        <is>
          <t>30037</t>
        </is>
      </c>
      <c r="U164" s="123" t="inlineStr">
        <is>
          <t>46</t>
        </is>
      </c>
      <c r="V164" s="87" t="inlineStr">
        <is>
          <t>2</t>
        </is>
      </c>
      <c r="W164" s="98" t="inlineStr">
        <is>
          <t>1</t>
        </is>
      </c>
      <c r="Z164" s="98" t="n"/>
    </row>
    <row r="165" ht="27" customHeight="1" s="127">
      <c r="B165" s="40" t="inlineStr">
        <is>
          <t>12124</t>
        </is>
      </c>
      <c r="C165" s="98" t="inlineStr">
        <is>
          <t>骨鲲</t>
        </is>
      </c>
      <c r="D165" s="97" t="inlineStr">
        <is>
          <t>鲲游荡在星空深处，以星辰为食，常年累月的吞噬，使它的体内埋藏了无数珍宝。</t>
        </is>
      </c>
      <c r="E165" s="40" t="inlineStr">
        <is>
          <t>厌火国难度4</t>
        </is>
      </c>
      <c r="F165" s="98" t="inlineStr">
        <is>
          <t>132001|90|120$132101|90|120$132201|90|120$132301|90|120$132401|90|120$132501|90|120</t>
        </is>
      </c>
      <c r="G165" s="98" t="inlineStr">
        <is>
          <t>1</t>
        </is>
      </c>
      <c r="H165" s="98" t="inlineStr">
        <is>
          <t>1</t>
        </is>
      </c>
      <c r="I165" s="98" t="inlineStr">
        <is>
          <t>探索一番</t>
        </is>
      </c>
      <c r="J165" s="98" t="inlineStr">
        <is>
          <t>无视它</t>
        </is>
      </c>
      <c r="K165" s="98" t="n"/>
      <c r="L165" s="98" t="n"/>
      <c r="M165" s="98" t="n"/>
      <c r="N165" s="98" t="inlineStr">
        <is>
          <t>1</t>
        </is>
      </c>
      <c r="O165" s="98" t="inlineStr">
        <is>
          <t>15|21</t>
        </is>
      </c>
      <c r="P165" s="98" t="inlineStr">
        <is>
          <t>1</t>
        </is>
      </c>
      <c r="Q165" s="40" t="inlineStr">
        <is>
          <t>10|10002|16</t>
        </is>
      </c>
      <c r="R165" s="98" t="inlineStr">
        <is>
          <t>-1</t>
        </is>
      </c>
      <c r="S165" s="98" t="inlineStr">
        <is>
          <t>4</t>
        </is>
      </c>
      <c r="T165" s="121" t="inlineStr">
        <is>
          <t>30037</t>
        </is>
      </c>
      <c r="U165" s="123" t="inlineStr">
        <is>
          <t>53</t>
        </is>
      </c>
      <c r="V165" s="87" t="inlineStr">
        <is>
          <t>2</t>
        </is>
      </c>
      <c r="W165" s="98" t="inlineStr">
        <is>
          <t>1</t>
        </is>
      </c>
      <c r="Z165" s="98" t="n"/>
    </row>
    <row r="166" ht="27" customHeight="1" s="127">
      <c r="B166" s="40" t="inlineStr">
        <is>
          <t>12125</t>
        </is>
      </c>
      <c r="C166" s="98" t="inlineStr">
        <is>
          <t>骨鲲</t>
        </is>
      </c>
      <c r="D166" s="97" t="inlineStr">
        <is>
          <t>鲲游荡在星空深处，以星辰为食，常年累月的吞噬，使它的体内埋藏了无数珍宝。</t>
        </is>
      </c>
      <c r="E166" s="40" t="inlineStr">
        <is>
          <t>厌火国难度5</t>
        </is>
      </c>
      <c r="F166" s="98" t="inlineStr">
        <is>
          <t>132001|120|160$132101|120|160$132201|120|160$132301|120|160$132401|120|160$132501|120|160</t>
        </is>
      </c>
      <c r="G166" s="98" t="inlineStr">
        <is>
          <t>1</t>
        </is>
      </c>
      <c r="H166" s="98" t="inlineStr">
        <is>
          <t>1</t>
        </is>
      </c>
      <c r="I166" s="98" t="inlineStr">
        <is>
          <t>探索一番</t>
        </is>
      </c>
      <c r="J166" s="98" t="inlineStr">
        <is>
          <t>无视它</t>
        </is>
      </c>
      <c r="K166" s="98" t="n"/>
      <c r="L166" s="98" t="n"/>
      <c r="M166" s="98" t="n"/>
      <c r="N166" s="98" t="inlineStr">
        <is>
          <t>1</t>
        </is>
      </c>
      <c r="O166" s="98" t="inlineStr">
        <is>
          <t>24|28</t>
        </is>
      </c>
      <c r="P166" s="98" t="inlineStr">
        <is>
          <t>1</t>
        </is>
      </c>
      <c r="Q166" s="40" t="inlineStr">
        <is>
          <t>10|10002|16</t>
        </is>
      </c>
      <c r="R166" s="98" t="inlineStr">
        <is>
          <t>-1</t>
        </is>
      </c>
      <c r="S166" s="98" t="inlineStr">
        <is>
          <t>5</t>
        </is>
      </c>
      <c r="T166" s="121" t="inlineStr">
        <is>
          <t>30037</t>
        </is>
      </c>
      <c r="U166" s="123" t="inlineStr">
        <is>
          <t>59</t>
        </is>
      </c>
      <c r="V166" s="87" t="inlineStr">
        <is>
          <t>2</t>
        </is>
      </c>
      <c r="W166" s="98" t="inlineStr">
        <is>
          <t>1</t>
        </is>
      </c>
      <c r="Z166" s="98" t="n"/>
    </row>
    <row r="167" ht="27" customHeight="1" s="127">
      <c r="B167" s="40" t="inlineStr">
        <is>
          <t>12126</t>
        </is>
      </c>
      <c r="C167" s="80" t="inlineStr">
        <is>
          <t>仙陨魂</t>
        </is>
      </c>
      <c r="D167" s="99" t="inlineStr">
        <is>
          <t>飞升何其艰难，冲击飞升之人十有八九都陨落了，他们不甘的魂魄形成了陨魂。</t>
        </is>
      </c>
      <c r="E167" s="40" t="inlineStr">
        <is>
          <t>厌火国难度1</t>
        </is>
      </c>
      <c r="F167" s="80" t="inlineStr">
        <is>
          <t>990002|0|6$122002|450|475$122004|450|475$122006|450|475</t>
        </is>
      </c>
      <c r="G167" s="80" t="inlineStr">
        <is>
          <t>1</t>
        </is>
      </c>
      <c r="H167" s="80" t="inlineStr">
        <is>
          <t>1</t>
        </is>
      </c>
      <c r="I167" s="80" t="inlineStr">
        <is>
          <t>探索一番</t>
        </is>
      </c>
      <c r="J167" s="80" t="inlineStr">
        <is>
          <t>无视它</t>
        </is>
      </c>
      <c r="K167" s="80" t="n"/>
      <c r="L167" s="80" t="n"/>
      <c r="M167" s="80" t="n"/>
      <c r="N167" s="80" t="inlineStr">
        <is>
          <t>1</t>
        </is>
      </c>
      <c r="O167" s="80" t="inlineStr">
        <is>
          <t>6|12</t>
        </is>
      </c>
      <c r="P167" s="80" t="inlineStr">
        <is>
          <t>1</t>
        </is>
      </c>
      <c r="Q167" s="40" t="inlineStr">
        <is>
          <t>10|10002|16</t>
        </is>
      </c>
      <c r="R167" s="80" t="inlineStr">
        <is>
          <t>-1</t>
        </is>
      </c>
      <c r="S167" s="80" t="inlineStr">
        <is>
          <t>1</t>
        </is>
      </c>
      <c r="T167" s="105" t="inlineStr">
        <is>
          <t>30050</t>
        </is>
      </c>
      <c r="U167" s="123" t="inlineStr">
        <is>
          <t>31</t>
        </is>
      </c>
      <c r="V167" s="87" t="inlineStr">
        <is>
          <t>2</t>
        </is>
      </c>
      <c r="W167" s="80" t="inlineStr">
        <is>
          <t>1</t>
        </is>
      </c>
      <c r="Z167" s="80" t="n"/>
    </row>
    <row r="168" ht="27" customHeight="1" s="127">
      <c r="B168" s="40" t="inlineStr">
        <is>
          <t>12127</t>
        </is>
      </c>
      <c r="C168" s="80" t="inlineStr">
        <is>
          <t>仙陨魂</t>
        </is>
      </c>
      <c r="D168" s="99" t="inlineStr">
        <is>
          <t>飞升何其艰难，冲击飞升之人十有八九都陨落了，他们不甘的魂魄形成了陨魂。</t>
        </is>
      </c>
      <c r="E168" s="40" t="inlineStr">
        <is>
          <t>厌火国难度2</t>
        </is>
      </c>
      <c r="F168" s="80" t="inlineStr">
        <is>
          <t>990002|0|7$122002|526|552$122004|526|552$122006|526|552</t>
        </is>
      </c>
      <c r="G168" s="80" t="inlineStr">
        <is>
          <t>1</t>
        </is>
      </c>
      <c r="H168" s="80" t="inlineStr">
        <is>
          <t>1</t>
        </is>
      </c>
      <c r="I168" s="80" t="inlineStr">
        <is>
          <t>探索一番</t>
        </is>
      </c>
      <c r="J168" s="80" t="inlineStr">
        <is>
          <t>无视它</t>
        </is>
      </c>
      <c r="K168" s="80" t="n"/>
      <c r="L168" s="80" t="n"/>
      <c r="M168" s="80" t="n"/>
      <c r="N168" s="80" t="inlineStr">
        <is>
          <t>1</t>
        </is>
      </c>
      <c r="O168" s="80" t="inlineStr">
        <is>
          <t>9|15</t>
        </is>
      </c>
      <c r="P168" s="80" t="inlineStr">
        <is>
          <t>1</t>
        </is>
      </c>
      <c r="Q168" s="40" t="inlineStr">
        <is>
          <t>10|10002|16</t>
        </is>
      </c>
      <c r="R168" s="80" t="inlineStr">
        <is>
          <t>-1</t>
        </is>
      </c>
      <c r="S168" s="80" t="inlineStr">
        <is>
          <t>2</t>
        </is>
      </c>
      <c r="T168" s="105" t="inlineStr">
        <is>
          <t>30050</t>
        </is>
      </c>
      <c r="U168" s="123" t="inlineStr">
        <is>
          <t>38</t>
        </is>
      </c>
      <c r="V168" s="87" t="inlineStr">
        <is>
          <t>2</t>
        </is>
      </c>
      <c r="W168" s="80" t="inlineStr">
        <is>
          <t>1</t>
        </is>
      </c>
      <c r="Z168" s="80" t="n"/>
    </row>
    <row r="169" ht="27" customHeight="1" s="127">
      <c r="B169" s="40" t="inlineStr">
        <is>
          <t>12128</t>
        </is>
      </c>
      <c r="C169" s="80" t="inlineStr">
        <is>
          <t>仙陨魂</t>
        </is>
      </c>
      <c r="D169" s="99" t="inlineStr">
        <is>
          <t>飞升何其艰难，冲击飞升之人十有八九都陨落了，他们不甘的魂魄形成了陨魂。</t>
        </is>
      </c>
      <c r="E169" s="40" t="inlineStr">
        <is>
          <t>厌火国难度3</t>
        </is>
      </c>
      <c r="F169" s="80" t="inlineStr">
        <is>
          <t>990002|0|8$122002|602|629$122004|602|629$122006|602|629</t>
        </is>
      </c>
      <c r="G169" s="80" t="inlineStr">
        <is>
          <t>1</t>
        </is>
      </c>
      <c r="H169" s="80" t="inlineStr">
        <is>
          <t>1</t>
        </is>
      </c>
      <c r="I169" s="80" t="inlineStr">
        <is>
          <t>探索一番</t>
        </is>
      </c>
      <c r="J169" s="80" t="inlineStr">
        <is>
          <t>无视它</t>
        </is>
      </c>
      <c r="K169" s="80" t="n"/>
      <c r="L169" s="80" t="n"/>
      <c r="M169" s="80" t="n"/>
      <c r="N169" s="80" t="inlineStr">
        <is>
          <t>1</t>
        </is>
      </c>
      <c r="O169" s="80" t="inlineStr">
        <is>
          <t>12|18</t>
        </is>
      </c>
      <c r="P169" s="80" t="inlineStr">
        <is>
          <t>1</t>
        </is>
      </c>
      <c r="Q169" s="40" t="inlineStr">
        <is>
          <t>10|10002|16</t>
        </is>
      </c>
      <c r="R169" s="80" t="inlineStr">
        <is>
          <t>-1</t>
        </is>
      </c>
      <c r="S169" s="80" t="inlineStr">
        <is>
          <t>3</t>
        </is>
      </c>
      <c r="T169" s="105" t="inlineStr">
        <is>
          <t>30050</t>
        </is>
      </c>
      <c r="U169" s="123" t="inlineStr">
        <is>
          <t>46</t>
        </is>
      </c>
      <c r="V169" s="87" t="inlineStr">
        <is>
          <t>2</t>
        </is>
      </c>
      <c r="W169" s="80" t="inlineStr">
        <is>
          <t>1</t>
        </is>
      </c>
      <c r="Z169" s="80" t="n"/>
    </row>
    <row r="170" ht="27" customHeight="1" s="127">
      <c r="B170" s="40" t="inlineStr">
        <is>
          <t>12129</t>
        </is>
      </c>
      <c r="C170" s="80" t="inlineStr">
        <is>
          <t>仙陨魂</t>
        </is>
      </c>
      <c r="D170" s="99" t="inlineStr">
        <is>
          <t>飞升何其艰难，冲击飞升之人十有八九都陨落了，他们不甘的魂魄形成了陨魂。</t>
        </is>
      </c>
      <c r="E170" s="40" t="inlineStr">
        <is>
          <t>厌火国难度4</t>
        </is>
      </c>
      <c r="F170" s="80" t="inlineStr">
        <is>
          <t>990002|0|9$122002|678|706$122004|678|706$122006|678|706</t>
        </is>
      </c>
      <c r="G170" s="80" t="inlineStr">
        <is>
          <t>1</t>
        </is>
      </c>
      <c r="H170" s="80" t="inlineStr">
        <is>
          <t>1</t>
        </is>
      </c>
      <c r="I170" s="80" t="inlineStr">
        <is>
          <t>探索一番</t>
        </is>
      </c>
      <c r="J170" s="80" t="inlineStr">
        <is>
          <t>无视它</t>
        </is>
      </c>
      <c r="K170" s="80" t="n"/>
      <c r="L170" s="80" t="n"/>
      <c r="M170" s="80" t="n"/>
      <c r="N170" s="80" t="inlineStr">
        <is>
          <t>1</t>
        </is>
      </c>
      <c r="O170" s="80" t="inlineStr">
        <is>
          <t>15|21</t>
        </is>
      </c>
      <c r="P170" s="80" t="inlineStr">
        <is>
          <t>1</t>
        </is>
      </c>
      <c r="Q170" s="40" t="inlineStr">
        <is>
          <t>10|10002|16</t>
        </is>
      </c>
      <c r="R170" s="80" t="inlineStr">
        <is>
          <t>-1</t>
        </is>
      </c>
      <c r="S170" s="80" t="inlineStr">
        <is>
          <t>4</t>
        </is>
      </c>
      <c r="T170" s="105" t="inlineStr">
        <is>
          <t>30050</t>
        </is>
      </c>
      <c r="U170" s="123" t="inlineStr">
        <is>
          <t>53</t>
        </is>
      </c>
      <c r="V170" s="87" t="inlineStr">
        <is>
          <t>2</t>
        </is>
      </c>
      <c r="W170" s="80" t="inlineStr">
        <is>
          <t>1</t>
        </is>
      </c>
      <c r="Z170" s="80" t="n"/>
    </row>
    <row r="171" ht="27" customHeight="1" s="127">
      <c r="B171" s="40" t="inlineStr">
        <is>
          <t>12130</t>
        </is>
      </c>
      <c r="C171" s="80" t="inlineStr">
        <is>
          <t>仙陨魂</t>
        </is>
      </c>
      <c r="D171" s="99" t="inlineStr">
        <is>
          <t>飞升何其艰难，冲击飞升之人十有八九都陨落了，他们不甘的魂魄形成了陨魂。</t>
        </is>
      </c>
      <c r="E171" s="40" t="inlineStr">
        <is>
          <t>厌火国难度5</t>
        </is>
      </c>
      <c r="F171" s="80" t="inlineStr">
        <is>
          <t>990002|0|10$122002|754|783$122004|754|783$122006|754|783</t>
        </is>
      </c>
      <c r="G171" s="80" t="inlineStr">
        <is>
          <t>1</t>
        </is>
      </c>
      <c r="H171" s="80" t="inlineStr">
        <is>
          <t>1</t>
        </is>
      </c>
      <c r="I171" s="80" t="inlineStr">
        <is>
          <t>探索一番</t>
        </is>
      </c>
      <c r="J171" s="80" t="inlineStr">
        <is>
          <t>无视它</t>
        </is>
      </c>
      <c r="K171" s="80" t="n"/>
      <c r="L171" s="80" t="n"/>
      <c r="M171" s="80" t="n"/>
      <c r="N171" s="80" t="inlineStr">
        <is>
          <t>1</t>
        </is>
      </c>
      <c r="O171" s="80" t="inlineStr">
        <is>
          <t>24|28</t>
        </is>
      </c>
      <c r="P171" s="80" t="inlineStr">
        <is>
          <t>1</t>
        </is>
      </c>
      <c r="Q171" s="40" t="inlineStr">
        <is>
          <t>10|10002|16</t>
        </is>
      </c>
      <c r="R171" s="80" t="inlineStr">
        <is>
          <t>-1</t>
        </is>
      </c>
      <c r="S171" s="80" t="inlineStr">
        <is>
          <t>5</t>
        </is>
      </c>
      <c r="T171" s="105" t="inlineStr">
        <is>
          <t>30050</t>
        </is>
      </c>
      <c r="U171" s="123" t="inlineStr">
        <is>
          <t>59</t>
        </is>
      </c>
      <c r="V171" s="87" t="inlineStr">
        <is>
          <t>2</t>
        </is>
      </c>
      <c r="W171" s="80" t="inlineStr">
        <is>
          <t>1</t>
        </is>
      </c>
      <c r="Z171" s="80" t="n"/>
    </row>
    <row r="172" ht="27" customHeight="1" s="127">
      <c r="B172" s="40" t="inlineStr">
        <is>
          <t>12131</t>
        </is>
      </c>
      <c r="C172" s="102" t="inlineStr">
        <is>
          <t>魔陨魂</t>
        </is>
      </c>
      <c r="D172" s="101" t="inlineStr">
        <is>
          <t>飞升何其艰难，冲击飞升之人十有八九都陨落了，他们不甘的魂魄形成了陨魂。</t>
        </is>
      </c>
      <c r="E172" s="40" t="inlineStr">
        <is>
          <t>厌火国难度1</t>
        </is>
      </c>
      <c r="F172" s="102" t="inlineStr">
        <is>
          <t>990003|0|6$122003|450|475$122005|450|475$122007|450|475</t>
        </is>
      </c>
      <c r="G172" s="102" t="inlineStr">
        <is>
          <t>1</t>
        </is>
      </c>
      <c r="H172" s="102" t="inlineStr">
        <is>
          <t>1</t>
        </is>
      </c>
      <c r="I172" s="102" t="inlineStr">
        <is>
          <t>探索一番</t>
        </is>
      </c>
      <c r="J172" s="102" t="inlineStr">
        <is>
          <t>无视它</t>
        </is>
      </c>
      <c r="K172" s="102" t="n"/>
      <c r="L172" s="102" t="n"/>
      <c r="M172" s="102" t="n"/>
      <c r="N172" s="102" t="inlineStr">
        <is>
          <t>1</t>
        </is>
      </c>
      <c r="O172" s="102" t="inlineStr">
        <is>
          <t>6|12</t>
        </is>
      </c>
      <c r="P172" s="102" t="inlineStr">
        <is>
          <t>1</t>
        </is>
      </c>
      <c r="Q172" s="40" t="inlineStr">
        <is>
          <t>10|10002|16</t>
        </is>
      </c>
      <c r="R172" s="102" t="inlineStr">
        <is>
          <t>-1</t>
        </is>
      </c>
      <c r="S172" s="102" t="inlineStr">
        <is>
          <t>1</t>
        </is>
      </c>
      <c r="T172" s="122" t="inlineStr">
        <is>
          <t>30051</t>
        </is>
      </c>
      <c r="U172" s="123" t="inlineStr">
        <is>
          <t>31</t>
        </is>
      </c>
      <c r="V172" s="87" t="inlineStr">
        <is>
          <t>2</t>
        </is>
      </c>
      <c r="W172" s="102" t="inlineStr">
        <is>
          <t>1</t>
        </is>
      </c>
      <c r="Z172" s="102" t="n"/>
    </row>
    <row r="173" ht="27" customHeight="1" s="127">
      <c r="B173" s="40" t="inlineStr">
        <is>
          <t>12132</t>
        </is>
      </c>
      <c r="C173" s="102" t="inlineStr">
        <is>
          <t>魔陨魂</t>
        </is>
      </c>
      <c r="D173" s="101" t="inlineStr">
        <is>
          <t>飞升何其艰难，冲击飞升之人十有八九都陨落了，他们不甘的魂魄形成了陨魂。</t>
        </is>
      </c>
      <c r="E173" s="40" t="inlineStr">
        <is>
          <t>厌火国难度2</t>
        </is>
      </c>
      <c r="F173" s="102" t="inlineStr">
        <is>
          <t>990003|0|7$122003|526|552$122005|526|552$122007|526|552</t>
        </is>
      </c>
      <c r="G173" s="102" t="inlineStr">
        <is>
          <t>1</t>
        </is>
      </c>
      <c r="H173" s="102" t="inlineStr">
        <is>
          <t>1</t>
        </is>
      </c>
      <c r="I173" s="102" t="inlineStr">
        <is>
          <t>探索一番</t>
        </is>
      </c>
      <c r="J173" s="102" t="inlineStr">
        <is>
          <t>无视它</t>
        </is>
      </c>
      <c r="K173" s="102" t="n"/>
      <c r="L173" s="102" t="n"/>
      <c r="M173" s="102" t="n"/>
      <c r="N173" s="102" t="inlineStr">
        <is>
          <t>1</t>
        </is>
      </c>
      <c r="O173" s="102" t="inlineStr">
        <is>
          <t>9|15</t>
        </is>
      </c>
      <c r="P173" s="102" t="inlineStr">
        <is>
          <t>1</t>
        </is>
      </c>
      <c r="Q173" s="40" t="inlineStr">
        <is>
          <t>10|10002|16</t>
        </is>
      </c>
      <c r="R173" s="102" t="inlineStr">
        <is>
          <t>-1</t>
        </is>
      </c>
      <c r="S173" s="102" t="inlineStr">
        <is>
          <t>2</t>
        </is>
      </c>
      <c r="T173" s="122" t="inlineStr">
        <is>
          <t>30051</t>
        </is>
      </c>
      <c r="U173" s="123" t="inlineStr">
        <is>
          <t>38</t>
        </is>
      </c>
      <c r="V173" s="87" t="inlineStr">
        <is>
          <t>2</t>
        </is>
      </c>
      <c r="W173" s="102" t="inlineStr">
        <is>
          <t>1</t>
        </is>
      </c>
      <c r="Z173" s="102" t="n"/>
    </row>
    <row r="174" ht="27" customHeight="1" s="127">
      <c r="B174" s="40" t="inlineStr">
        <is>
          <t>12133</t>
        </is>
      </c>
      <c r="C174" s="102" t="inlineStr">
        <is>
          <t>魔陨魂</t>
        </is>
      </c>
      <c r="D174" s="101" t="inlineStr">
        <is>
          <t>飞升何其艰难，冲击飞升之人十有八九都陨落了，他们不甘的魂魄形成了陨魂。</t>
        </is>
      </c>
      <c r="E174" s="40" t="inlineStr">
        <is>
          <t>厌火国难度3</t>
        </is>
      </c>
      <c r="F174" s="102" t="inlineStr">
        <is>
          <t>990003|0|8$122003|602|629$122005|602|629$122007|602|629</t>
        </is>
      </c>
      <c r="G174" s="102" t="inlineStr">
        <is>
          <t>1</t>
        </is>
      </c>
      <c r="H174" s="102" t="inlineStr">
        <is>
          <t>1</t>
        </is>
      </c>
      <c r="I174" s="102" t="inlineStr">
        <is>
          <t>探索一番</t>
        </is>
      </c>
      <c r="J174" s="102" t="inlineStr">
        <is>
          <t>无视它</t>
        </is>
      </c>
      <c r="K174" s="102" t="n"/>
      <c r="L174" s="102" t="n"/>
      <c r="M174" s="102" t="n"/>
      <c r="N174" s="102" t="inlineStr">
        <is>
          <t>1</t>
        </is>
      </c>
      <c r="O174" s="102" t="inlineStr">
        <is>
          <t>12|18</t>
        </is>
      </c>
      <c r="P174" s="102" t="inlineStr">
        <is>
          <t>1</t>
        </is>
      </c>
      <c r="Q174" s="40" t="inlineStr">
        <is>
          <t>10|10002|16</t>
        </is>
      </c>
      <c r="R174" s="102" t="inlineStr">
        <is>
          <t>-1</t>
        </is>
      </c>
      <c r="S174" s="102" t="inlineStr">
        <is>
          <t>3</t>
        </is>
      </c>
      <c r="T174" s="122" t="inlineStr">
        <is>
          <t>30051</t>
        </is>
      </c>
      <c r="U174" s="123" t="inlineStr">
        <is>
          <t>46</t>
        </is>
      </c>
      <c r="V174" s="87" t="inlineStr">
        <is>
          <t>2</t>
        </is>
      </c>
      <c r="W174" s="102" t="inlineStr">
        <is>
          <t>1</t>
        </is>
      </c>
      <c r="Z174" s="102" t="n"/>
    </row>
    <row r="175" ht="54" customHeight="1" s="127">
      <c r="B175" s="40" t="inlineStr">
        <is>
          <t>12134</t>
        </is>
      </c>
      <c r="C175" s="102" t="inlineStr">
        <is>
          <t>魔陨魂</t>
        </is>
      </c>
      <c r="D175" s="101" t="inlineStr">
        <is>
          <t>飞升何其艰难，冲击飞升之人十有八九都陨落了，他们不甘的魂魄形成了陨魂。</t>
        </is>
      </c>
      <c r="E175" s="40" t="inlineStr">
        <is>
          <t>厌火国难度4</t>
        </is>
      </c>
      <c r="F175" s="102" t="inlineStr">
        <is>
          <t>990003|0|9$122003|678|706$122005|678|706$122007|678|706</t>
        </is>
      </c>
      <c r="G175" s="102" t="inlineStr">
        <is>
          <t>1</t>
        </is>
      </c>
      <c r="H175" s="102" t="inlineStr">
        <is>
          <t>1</t>
        </is>
      </c>
      <c r="I175" s="102" t="inlineStr">
        <is>
          <t>探索一番</t>
        </is>
      </c>
      <c r="J175" s="102" t="inlineStr">
        <is>
          <t>无视它</t>
        </is>
      </c>
      <c r="K175" s="102" t="n"/>
      <c r="L175" s="102" t="n"/>
      <c r="M175" s="102" t="n"/>
      <c r="N175" s="102" t="inlineStr">
        <is>
          <t>1</t>
        </is>
      </c>
      <c r="O175" s="102" t="inlineStr">
        <is>
          <t>15|21</t>
        </is>
      </c>
      <c r="P175" s="102" t="inlineStr">
        <is>
          <t>1</t>
        </is>
      </c>
      <c r="Q175" s="40" t="inlineStr">
        <is>
          <t>10|10002|16</t>
        </is>
      </c>
      <c r="R175" s="102" t="inlineStr">
        <is>
          <t>-1</t>
        </is>
      </c>
      <c r="S175" s="102" t="inlineStr">
        <is>
          <t>4</t>
        </is>
      </c>
      <c r="T175" s="122" t="inlineStr">
        <is>
          <t>30051</t>
        </is>
      </c>
      <c r="U175" s="123" t="inlineStr">
        <is>
          <t>53</t>
        </is>
      </c>
      <c r="V175" s="87" t="inlineStr">
        <is>
          <t>2</t>
        </is>
      </c>
      <c r="W175" s="102" t="inlineStr">
        <is>
          <t>1</t>
        </is>
      </c>
      <c r="Z175" s="102" t="n"/>
    </row>
    <row r="176" ht="54" customHeight="1" s="127">
      <c r="B176" s="40" t="inlineStr">
        <is>
          <t>12135</t>
        </is>
      </c>
      <c r="C176" s="102" t="inlineStr">
        <is>
          <t>魔陨魂</t>
        </is>
      </c>
      <c r="D176" s="101" t="inlineStr">
        <is>
          <t>飞升何其艰难，冲击飞升之人十有八九都陨落了，他们不甘的魂魄形成了陨魂。</t>
        </is>
      </c>
      <c r="E176" s="40" t="inlineStr">
        <is>
          <t>厌火国难度5</t>
        </is>
      </c>
      <c r="F176" s="102" t="inlineStr">
        <is>
          <t>990003|0|10$122003|754|783$122005|754|783$122007|754|783</t>
        </is>
      </c>
      <c r="G176" s="102" t="inlineStr">
        <is>
          <t>1</t>
        </is>
      </c>
      <c r="H176" s="102" t="inlineStr">
        <is>
          <t>1</t>
        </is>
      </c>
      <c r="I176" s="102" t="inlineStr">
        <is>
          <t>探索一番</t>
        </is>
      </c>
      <c r="J176" s="102" t="inlineStr">
        <is>
          <t>无视它</t>
        </is>
      </c>
      <c r="K176" s="102" t="n"/>
      <c r="L176" s="102" t="n"/>
      <c r="M176" s="102" t="n"/>
      <c r="N176" s="102" t="inlineStr">
        <is>
          <t>1</t>
        </is>
      </c>
      <c r="O176" s="102" t="inlineStr">
        <is>
          <t>24|28</t>
        </is>
      </c>
      <c r="P176" s="102" t="inlineStr">
        <is>
          <t>1</t>
        </is>
      </c>
      <c r="Q176" s="40" t="inlineStr">
        <is>
          <t>10|10002|16</t>
        </is>
      </c>
      <c r="R176" s="102" t="inlineStr">
        <is>
          <t>-1</t>
        </is>
      </c>
      <c r="S176" s="102" t="inlineStr">
        <is>
          <t>5</t>
        </is>
      </c>
      <c r="T176" s="122" t="inlineStr">
        <is>
          <t>30051</t>
        </is>
      </c>
      <c r="U176" s="123" t="inlineStr">
        <is>
          <t>59</t>
        </is>
      </c>
      <c r="V176" s="87" t="inlineStr">
        <is>
          <t>2</t>
        </is>
      </c>
      <c r="W176" s="102" t="inlineStr">
        <is>
          <t>1</t>
        </is>
      </c>
      <c r="Z176" s="102" t="n"/>
    </row>
    <row r="177" ht="54" customHeight="1" s="127">
      <c r="B177" s="40" t="inlineStr">
        <is>
          <t>12136</t>
        </is>
      </c>
      <c r="C177" s="103" t="inlineStr">
        <is>
          <t>神陨魂</t>
        </is>
      </c>
      <c r="D177" s="101" t="inlineStr">
        <is>
          <t>飞升何其艰难，冲击飞升之人十有八九都陨落了，他们不甘的魂魄形成了陨魂。</t>
        </is>
      </c>
      <c r="E177" s="40" t="inlineStr">
        <is>
          <t>厌火国难度1</t>
        </is>
      </c>
      <c r="F177" s="40" t="inlineStr">
        <is>
          <t>990001|0|6$122002|450|475$122004|450|475$122006|450|475$122003|450|475$122005|450|475$122007|450|475</t>
        </is>
      </c>
      <c r="G177" s="102" t="inlineStr">
        <is>
          <t>1</t>
        </is>
      </c>
      <c r="H177" s="102" t="inlineStr">
        <is>
          <t>1</t>
        </is>
      </c>
      <c r="I177" s="102" t="inlineStr">
        <is>
          <t>探索一番</t>
        </is>
      </c>
      <c r="J177" s="102" t="inlineStr">
        <is>
          <t>无视它</t>
        </is>
      </c>
      <c r="K177" s="102" t="n"/>
      <c r="L177" s="102" t="n"/>
      <c r="M177" s="102" t="n"/>
      <c r="N177" s="102" t="inlineStr">
        <is>
          <t>1</t>
        </is>
      </c>
      <c r="O177" s="102" t="inlineStr">
        <is>
          <t>6|12</t>
        </is>
      </c>
      <c r="P177" s="102" t="inlineStr">
        <is>
          <t>1</t>
        </is>
      </c>
      <c r="Q177" s="40" t="inlineStr">
        <is>
          <t>10|10002|16</t>
        </is>
      </c>
      <c r="R177" s="102" t="inlineStr">
        <is>
          <t>-1</t>
        </is>
      </c>
      <c r="S177" s="102" t="inlineStr">
        <is>
          <t>1</t>
        </is>
      </c>
      <c r="T177" s="122" t="inlineStr">
        <is>
          <t>30052</t>
        </is>
      </c>
      <c r="U177" s="123" t="inlineStr">
        <is>
          <t>31</t>
        </is>
      </c>
      <c r="V177" s="87" t="inlineStr">
        <is>
          <t>2</t>
        </is>
      </c>
      <c r="W177" s="102" t="inlineStr">
        <is>
          <t>1</t>
        </is>
      </c>
      <c r="Z177" s="103" t="n"/>
    </row>
    <row r="178" ht="54" customHeight="1" s="127">
      <c r="B178" s="40" t="inlineStr">
        <is>
          <t>12137</t>
        </is>
      </c>
      <c r="C178" s="103" t="inlineStr">
        <is>
          <t>神陨魂</t>
        </is>
      </c>
      <c r="D178" s="101" t="inlineStr">
        <is>
          <t>飞升何其艰难，冲击飞升之人十有八九都陨落了，他们不甘的魂魄形成了陨魂。</t>
        </is>
      </c>
      <c r="E178" s="40" t="inlineStr">
        <is>
          <t>厌火国难度2</t>
        </is>
      </c>
      <c r="F178" s="40" t="inlineStr">
        <is>
          <t>990001|0|7$122002|526|552$122004|526|552$122006|526|552$122003|526|552$122005|526|552$122007|526|552</t>
        </is>
      </c>
      <c r="G178" s="102" t="inlineStr">
        <is>
          <t>1</t>
        </is>
      </c>
      <c r="H178" s="102" t="inlineStr">
        <is>
          <t>1</t>
        </is>
      </c>
      <c r="I178" s="102" t="inlineStr">
        <is>
          <t>探索一番</t>
        </is>
      </c>
      <c r="J178" s="102" t="inlineStr">
        <is>
          <t>无视它</t>
        </is>
      </c>
      <c r="K178" s="102" t="n"/>
      <c r="L178" s="102" t="n"/>
      <c r="M178" s="102" t="n"/>
      <c r="N178" s="102" t="inlineStr">
        <is>
          <t>1</t>
        </is>
      </c>
      <c r="O178" s="102" t="inlineStr">
        <is>
          <t>9|15</t>
        </is>
      </c>
      <c r="P178" s="102" t="inlineStr">
        <is>
          <t>1</t>
        </is>
      </c>
      <c r="Q178" s="40" t="inlineStr">
        <is>
          <t>10|10002|16</t>
        </is>
      </c>
      <c r="R178" s="102" t="inlineStr">
        <is>
          <t>-1</t>
        </is>
      </c>
      <c r="S178" s="102" t="inlineStr">
        <is>
          <t>2</t>
        </is>
      </c>
      <c r="T178" s="122" t="inlineStr">
        <is>
          <t>30052</t>
        </is>
      </c>
      <c r="U178" s="123" t="inlineStr">
        <is>
          <t>38</t>
        </is>
      </c>
      <c r="V178" s="87" t="inlineStr">
        <is>
          <t>2</t>
        </is>
      </c>
      <c r="W178" s="102" t="inlineStr">
        <is>
          <t>1</t>
        </is>
      </c>
      <c r="Z178" s="103" t="n"/>
    </row>
    <row r="179" ht="54" customHeight="1" s="127">
      <c r="B179" s="40" t="inlineStr">
        <is>
          <t>12138</t>
        </is>
      </c>
      <c r="C179" s="103" t="inlineStr">
        <is>
          <t>神陨魂</t>
        </is>
      </c>
      <c r="D179" s="101" t="inlineStr">
        <is>
          <t>飞升何其艰难，冲击飞升之人十有八九都陨落了，他们不甘的魂魄形成了陨魂。</t>
        </is>
      </c>
      <c r="E179" s="40" t="inlineStr">
        <is>
          <t>厌火国难度3</t>
        </is>
      </c>
      <c r="F179" s="40" t="inlineStr">
        <is>
          <t>990001|0|8$122002|602|629$122004|602|629$122006|602|629$122003|602|629$122005|602|629$122007|602|629</t>
        </is>
      </c>
      <c r="G179" s="102" t="inlineStr">
        <is>
          <t>1</t>
        </is>
      </c>
      <c r="H179" s="102" t="inlineStr">
        <is>
          <t>1</t>
        </is>
      </c>
      <c r="I179" s="102" t="inlineStr">
        <is>
          <t>探索一番</t>
        </is>
      </c>
      <c r="J179" s="102" t="inlineStr">
        <is>
          <t>无视它</t>
        </is>
      </c>
      <c r="K179" s="102" t="n"/>
      <c r="L179" s="102" t="n"/>
      <c r="M179" s="102" t="n"/>
      <c r="N179" s="102" t="inlineStr">
        <is>
          <t>1</t>
        </is>
      </c>
      <c r="O179" s="102" t="inlineStr">
        <is>
          <t>12|18</t>
        </is>
      </c>
      <c r="P179" s="102" t="inlineStr">
        <is>
          <t>1</t>
        </is>
      </c>
      <c r="Q179" s="40" t="inlineStr">
        <is>
          <t>10|10002|16</t>
        </is>
      </c>
      <c r="R179" s="102" t="inlineStr">
        <is>
          <t>-1</t>
        </is>
      </c>
      <c r="S179" s="102" t="inlineStr">
        <is>
          <t>3</t>
        </is>
      </c>
      <c r="T179" s="122" t="inlineStr">
        <is>
          <t>30052</t>
        </is>
      </c>
      <c r="U179" s="123" t="inlineStr">
        <is>
          <t>46</t>
        </is>
      </c>
      <c r="V179" s="87" t="inlineStr">
        <is>
          <t>2</t>
        </is>
      </c>
      <c r="W179" s="102" t="inlineStr">
        <is>
          <t>1</t>
        </is>
      </c>
      <c r="Z179" s="103" t="n"/>
    </row>
    <row r="180" ht="40.5" customHeight="1" s="127">
      <c r="B180" s="40" t="inlineStr">
        <is>
          <t>12139</t>
        </is>
      </c>
      <c r="C180" s="103" t="inlineStr">
        <is>
          <t>神陨魂</t>
        </is>
      </c>
      <c r="D180" s="101" t="inlineStr">
        <is>
          <t>飞升何其艰难，冲击飞升之人十有八九都陨落了，他们不甘的魂魄形成了陨魂。</t>
        </is>
      </c>
      <c r="E180" s="40" t="inlineStr">
        <is>
          <t>厌火国难度4</t>
        </is>
      </c>
      <c r="F180" s="40" t="inlineStr">
        <is>
          <t>990001|0|9$122002|678|706$122004|678|706$122006|678|706$122003|678|706$122005|678|706$122007|678|706</t>
        </is>
      </c>
      <c r="G180" s="102" t="inlineStr">
        <is>
          <t>1</t>
        </is>
      </c>
      <c r="H180" s="102" t="inlineStr">
        <is>
          <t>1</t>
        </is>
      </c>
      <c r="I180" s="102" t="inlineStr">
        <is>
          <t>探索一番</t>
        </is>
      </c>
      <c r="J180" s="102" t="inlineStr">
        <is>
          <t>无视它</t>
        </is>
      </c>
      <c r="K180" s="102" t="n"/>
      <c r="L180" s="102" t="n"/>
      <c r="M180" s="102" t="n"/>
      <c r="N180" s="102" t="inlineStr">
        <is>
          <t>1</t>
        </is>
      </c>
      <c r="O180" s="102" t="inlineStr">
        <is>
          <t>15|21</t>
        </is>
      </c>
      <c r="P180" s="102" t="inlineStr">
        <is>
          <t>1</t>
        </is>
      </c>
      <c r="Q180" s="40" t="inlineStr">
        <is>
          <t>10|10002|16</t>
        </is>
      </c>
      <c r="R180" s="102" t="inlineStr">
        <is>
          <t>-1</t>
        </is>
      </c>
      <c r="S180" s="102" t="inlineStr">
        <is>
          <t>4</t>
        </is>
      </c>
      <c r="T180" s="122" t="inlineStr">
        <is>
          <t>30052</t>
        </is>
      </c>
      <c r="U180" s="123" t="inlineStr">
        <is>
          <t>53</t>
        </is>
      </c>
      <c r="V180" s="87" t="inlineStr">
        <is>
          <t>2</t>
        </is>
      </c>
      <c r="W180" s="102" t="inlineStr">
        <is>
          <t>1</t>
        </is>
      </c>
      <c r="Z180" s="103" t="n"/>
    </row>
    <row r="181" ht="40.5" customHeight="1" s="127">
      <c r="B181" s="40" t="inlineStr">
        <is>
          <t>12140</t>
        </is>
      </c>
      <c r="C181" s="103" t="inlineStr">
        <is>
          <t>神陨魂</t>
        </is>
      </c>
      <c r="D181" s="101" t="inlineStr">
        <is>
          <t>飞升何其艰难，冲击飞升之人十有八九都陨落了，他们不甘的魂魄形成了陨魂。</t>
        </is>
      </c>
      <c r="E181" s="40" t="inlineStr">
        <is>
          <t>厌火国难度5</t>
        </is>
      </c>
      <c r="F181" s="40" t="inlineStr">
        <is>
          <t>990001|0|10$122002|754|783$122004|754|783$122006|754|783$122003|754|783$122005|754|783$122007|754|783</t>
        </is>
      </c>
      <c r="G181" s="102" t="inlineStr">
        <is>
          <t>1</t>
        </is>
      </c>
      <c r="H181" s="102" t="inlineStr">
        <is>
          <t>1</t>
        </is>
      </c>
      <c r="I181" s="102" t="inlineStr">
        <is>
          <t>探索一番</t>
        </is>
      </c>
      <c r="J181" s="102" t="inlineStr">
        <is>
          <t>无视它</t>
        </is>
      </c>
      <c r="K181" s="102" t="n"/>
      <c r="L181" s="102" t="n"/>
      <c r="M181" s="102" t="n"/>
      <c r="N181" s="102" t="inlineStr">
        <is>
          <t>1</t>
        </is>
      </c>
      <c r="O181" s="102" t="inlineStr">
        <is>
          <t>24|28</t>
        </is>
      </c>
      <c r="P181" s="102" t="inlineStr">
        <is>
          <t>1</t>
        </is>
      </c>
      <c r="Q181" s="40" t="inlineStr">
        <is>
          <t>10|10002|16</t>
        </is>
      </c>
      <c r="R181" s="102" t="inlineStr">
        <is>
          <t>-1</t>
        </is>
      </c>
      <c r="S181" s="102" t="inlineStr">
        <is>
          <t>5</t>
        </is>
      </c>
      <c r="T181" s="122" t="inlineStr">
        <is>
          <t>30052</t>
        </is>
      </c>
      <c r="U181" s="123" t="inlineStr">
        <is>
          <t>59</t>
        </is>
      </c>
      <c r="V181" s="87" t="inlineStr">
        <is>
          <t>2</t>
        </is>
      </c>
      <c r="W181" s="102" t="inlineStr">
        <is>
          <t>1</t>
        </is>
      </c>
      <c r="Z181" s="103" t="n"/>
    </row>
    <row r="182" ht="40.5" customHeight="1" s="127">
      <c r="B182" s="118" t="inlineStr">
        <is>
          <t>13101</t>
        </is>
      </c>
      <c r="C182" s="40" t="inlineStr">
        <is>
          <t>灵气</t>
        </is>
      </c>
      <c r="D182" s="40" t="inlineStr">
        <is>
          <t>少量灵气充沛之地，适宜修炼</t>
        </is>
      </c>
      <c r="E182" s="118" t="inlineStr">
        <is>
          <t>白民国难度1</t>
        </is>
      </c>
      <c r="F182" s="118" t="inlineStr">
        <is>
          <t>4520|5424</t>
        </is>
      </c>
      <c r="G182" s="40" t="n">
        <v>2</v>
      </c>
      <c r="H182" s="40" t="inlineStr">
        <is>
          <t>1</t>
        </is>
      </c>
      <c r="I182" s="40" t="inlineStr">
        <is>
          <t>在此修炼</t>
        </is>
      </c>
      <c r="J182" s="40" t="inlineStr">
        <is>
          <t>无视它</t>
        </is>
      </c>
      <c r="M182" s="52" t="inlineStr">
        <is>
          <t>此处的灵气已经被吸收殆尽</t>
        </is>
      </c>
      <c r="N182" s="40" t="inlineStr">
        <is>
          <t>1</t>
        </is>
      </c>
      <c r="O182" s="40" t="inlineStr">
        <is>
          <t>6|12</t>
        </is>
      </c>
      <c r="P182" s="40" t="inlineStr">
        <is>
          <t>1</t>
        </is>
      </c>
      <c r="Q182" s="40" t="inlineStr">
        <is>
          <t>10|10002|16</t>
        </is>
      </c>
      <c r="R182" s="40" t="inlineStr">
        <is>
          <t>-1</t>
        </is>
      </c>
      <c r="S182" s="40" t="inlineStr">
        <is>
          <t>1</t>
        </is>
      </c>
      <c r="V182" s="119" t="inlineStr">
        <is>
          <t>3</t>
        </is>
      </c>
      <c r="W182" s="40" t="inlineStr">
        <is>
          <t>1</t>
        </is>
      </c>
    </row>
    <row r="183" ht="40.5" customHeight="1" s="127">
      <c r="B183" s="118" t="inlineStr">
        <is>
          <t>13102</t>
        </is>
      </c>
      <c r="C183" s="40" t="inlineStr">
        <is>
          <t>灵气</t>
        </is>
      </c>
      <c r="D183" s="40" t="inlineStr">
        <is>
          <t>中等灵气充沛之地，适宜修炼</t>
        </is>
      </c>
      <c r="E183" s="40" t="inlineStr">
        <is>
          <t>白民国难度2</t>
        </is>
      </c>
      <c r="F183" s="118" t="inlineStr">
        <is>
          <t>5424|7232</t>
        </is>
      </c>
      <c r="G183" s="40" t="n">
        <v>2</v>
      </c>
      <c r="H183" s="40" t="inlineStr">
        <is>
          <t>1</t>
        </is>
      </c>
      <c r="I183" s="40" t="inlineStr">
        <is>
          <t>在此修炼</t>
        </is>
      </c>
      <c r="J183" s="40" t="inlineStr">
        <is>
          <t>无视它</t>
        </is>
      </c>
      <c r="M183" s="52" t="inlineStr">
        <is>
          <t>此处的灵气已经被吸收殆尽</t>
        </is>
      </c>
      <c r="N183" s="40" t="inlineStr">
        <is>
          <t>1</t>
        </is>
      </c>
      <c r="O183" s="40" t="inlineStr">
        <is>
          <t>9|15</t>
        </is>
      </c>
      <c r="P183" s="40" t="inlineStr">
        <is>
          <t>1</t>
        </is>
      </c>
      <c r="Q183" s="40" t="inlineStr">
        <is>
          <t>10|10002|16</t>
        </is>
      </c>
      <c r="R183" s="40" t="inlineStr">
        <is>
          <t>-1</t>
        </is>
      </c>
      <c r="S183" s="40" t="inlineStr">
        <is>
          <t>2</t>
        </is>
      </c>
      <c r="V183" s="119" t="inlineStr">
        <is>
          <t>3</t>
        </is>
      </c>
      <c r="W183" s="40" t="inlineStr">
        <is>
          <t>1</t>
        </is>
      </c>
    </row>
    <row r="184" ht="40.5" customHeight="1" s="127">
      <c r="B184" s="118" t="inlineStr">
        <is>
          <t>13103</t>
        </is>
      </c>
      <c r="C184" s="40" t="inlineStr">
        <is>
          <t>灵气</t>
        </is>
      </c>
      <c r="D184" s="40" t="inlineStr">
        <is>
          <t>中等灵气充沛之地，适宜修炼</t>
        </is>
      </c>
      <c r="E184" s="40" t="inlineStr">
        <is>
          <t>白民国难度3</t>
        </is>
      </c>
      <c r="F184" s="118" t="inlineStr">
        <is>
          <t>7232|9486</t>
        </is>
      </c>
      <c r="G184" s="40" t="n">
        <v>2</v>
      </c>
      <c r="H184" s="40" t="inlineStr">
        <is>
          <t>1</t>
        </is>
      </c>
      <c r="I184" s="40" t="inlineStr">
        <is>
          <t>在此修炼</t>
        </is>
      </c>
      <c r="J184" s="40" t="inlineStr">
        <is>
          <t>无视它</t>
        </is>
      </c>
      <c r="M184" s="52" t="inlineStr">
        <is>
          <t>此处的灵气已经被吸收殆尽</t>
        </is>
      </c>
      <c r="N184" s="40" t="inlineStr">
        <is>
          <t>1</t>
        </is>
      </c>
      <c r="O184" s="40" t="inlineStr">
        <is>
          <t>12|18</t>
        </is>
      </c>
      <c r="P184" s="40" t="inlineStr">
        <is>
          <t>1</t>
        </is>
      </c>
      <c r="Q184" s="40" t="inlineStr">
        <is>
          <t>10|10002|16</t>
        </is>
      </c>
      <c r="R184" s="40" t="inlineStr">
        <is>
          <t>-1</t>
        </is>
      </c>
      <c r="S184" s="40" t="inlineStr">
        <is>
          <t>3</t>
        </is>
      </c>
      <c r="T184" s="40" t="n"/>
      <c r="U184" s="40" t="n"/>
      <c r="V184" s="119" t="inlineStr">
        <is>
          <t>3</t>
        </is>
      </c>
      <c r="W184" s="40" t="inlineStr">
        <is>
          <t>1</t>
        </is>
      </c>
    </row>
    <row r="185" ht="27" customHeight="1" s="127">
      <c r="B185" s="118" t="inlineStr">
        <is>
          <t>13104</t>
        </is>
      </c>
      <c r="C185" s="40" t="inlineStr">
        <is>
          <t>灵气</t>
        </is>
      </c>
      <c r="D185" s="40" t="inlineStr">
        <is>
          <t>大量灵气充沛之地，适宜修炼</t>
        </is>
      </c>
      <c r="E185" s="40" t="inlineStr">
        <is>
          <t>白民国难度4</t>
        </is>
      </c>
      <c r="F185" s="118" t="inlineStr">
        <is>
          <t>9483|12080</t>
        </is>
      </c>
      <c r="G185" s="40" t="n">
        <v>2</v>
      </c>
      <c r="H185" s="40" t="inlineStr">
        <is>
          <t>1</t>
        </is>
      </c>
      <c r="I185" s="40" t="inlineStr">
        <is>
          <t>在此修炼</t>
        </is>
      </c>
      <c r="J185" s="40" t="inlineStr">
        <is>
          <t>无视它</t>
        </is>
      </c>
      <c r="M185" s="40" t="inlineStr">
        <is>
          <t>此处的灵气已经被吸收殆尽</t>
        </is>
      </c>
      <c r="N185" s="40" t="inlineStr">
        <is>
          <t>1</t>
        </is>
      </c>
      <c r="O185" s="40" t="inlineStr">
        <is>
          <t>15|21</t>
        </is>
      </c>
      <c r="P185" s="40" t="inlineStr">
        <is>
          <t>1</t>
        </is>
      </c>
      <c r="Q185" s="40" t="inlineStr">
        <is>
          <t>10|10002|16</t>
        </is>
      </c>
      <c r="R185" s="40" t="inlineStr">
        <is>
          <t>-1</t>
        </is>
      </c>
      <c r="S185" s="40" t="inlineStr">
        <is>
          <t>4</t>
        </is>
      </c>
      <c r="T185" s="40" t="n"/>
      <c r="U185" s="40" t="n"/>
      <c r="V185" s="119" t="inlineStr">
        <is>
          <t>3</t>
        </is>
      </c>
      <c r="W185" s="40" t="inlineStr">
        <is>
          <t>1</t>
        </is>
      </c>
    </row>
    <row r="186" ht="27" customHeight="1" s="127">
      <c r="B186" s="118" t="inlineStr">
        <is>
          <t>13105</t>
        </is>
      </c>
      <c r="C186" s="40" t="inlineStr">
        <is>
          <t>灵气</t>
        </is>
      </c>
      <c r="D186" s="40" t="inlineStr">
        <is>
          <t>海量灵气充沛之地，适宜修炼</t>
        </is>
      </c>
      <c r="E186" s="40" t="inlineStr">
        <is>
          <t>白民国难度5</t>
        </is>
      </c>
      <c r="F186" s="118" t="inlineStr">
        <is>
          <t>12080|15000</t>
        </is>
      </c>
      <c r="G186" s="40" t="n">
        <v>2</v>
      </c>
      <c r="H186" s="40" t="inlineStr">
        <is>
          <t>1</t>
        </is>
      </c>
      <c r="I186" s="40" t="inlineStr">
        <is>
          <t>在此修炼</t>
        </is>
      </c>
      <c r="J186" s="40" t="inlineStr">
        <is>
          <t>无视它</t>
        </is>
      </c>
      <c r="M186" s="40" t="inlineStr">
        <is>
          <t>此处的灵气已经被吸收殆尽</t>
        </is>
      </c>
      <c r="N186" s="40" t="inlineStr">
        <is>
          <t>1</t>
        </is>
      </c>
      <c r="O186" s="40" t="inlineStr">
        <is>
          <t>24|28</t>
        </is>
      </c>
      <c r="P186" s="40" t="inlineStr">
        <is>
          <t>1</t>
        </is>
      </c>
      <c r="Q186" s="40" t="inlineStr">
        <is>
          <t>10|10002|16</t>
        </is>
      </c>
      <c r="R186" s="40" t="inlineStr">
        <is>
          <t>-1</t>
        </is>
      </c>
      <c r="S186" s="40" t="inlineStr">
        <is>
          <t>4</t>
        </is>
      </c>
      <c r="T186" s="40" t="n"/>
      <c r="U186" s="40" t="n"/>
      <c r="V186" s="119" t="inlineStr">
        <is>
          <t>3</t>
        </is>
      </c>
      <c r="W186" s="40" t="inlineStr">
        <is>
          <t>1</t>
        </is>
      </c>
    </row>
    <row r="187" ht="27" customHeight="1" s="127">
      <c r="B187" s="118" t="inlineStr">
        <is>
          <t>13106</t>
        </is>
      </c>
      <c r="C187" s="87" t="inlineStr">
        <is>
          <t>噬灵腹蛇</t>
        </is>
      </c>
      <c r="D187" s="87" t="inlineStr">
        <is>
          <t>噬灵腹蛇领地，栖息在此地的蝮蛇有剧毒，但生长在此地的清灵草却是不可多得的宝物……</t>
        </is>
      </c>
      <c r="E187" s="40" t="inlineStr">
        <is>
          <t>白民国难度1</t>
        </is>
      </c>
      <c r="F187" s="87" t="inlineStr">
        <is>
          <t>10001|636|1000$83001|1000|1300</t>
        </is>
      </c>
      <c r="G187" s="87" t="inlineStr">
        <is>
          <t>1</t>
        </is>
      </c>
      <c r="H187" s="87" t="inlineStr">
        <is>
          <t>1</t>
        </is>
      </c>
      <c r="I187" s="87" t="inlineStr">
        <is>
          <t>探索一番</t>
        </is>
      </c>
      <c r="J187" s="87" t="inlineStr">
        <is>
          <t>无视它</t>
        </is>
      </c>
      <c r="K187" s="87" t="n"/>
      <c r="L187" s="87" t="n"/>
      <c r="M187" s="87" t="n"/>
      <c r="N187" s="87" t="inlineStr">
        <is>
          <t>1</t>
        </is>
      </c>
      <c r="O187" s="87" t="inlineStr">
        <is>
          <t>6|12</t>
        </is>
      </c>
      <c r="P187" s="87" t="inlineStr">
        <is>
          <t>1</t>
        </is>
      </c>
      <c r="Q187" s="118" t="inlineStr">
        <is>
          <t>10|10003|16</t>
        </is>
      </c>
      <c r="R187" s="87" t="inlineStr">
        <is>
          <t>-1</t>
        </is>
      </c>
      <c r="S187" s="87" t="inlineStr">
        <is>
          <t>1</t>
        </is>
      </c>
      <c r="T187" s="119" t="inlineStr">
        <is>
          <t>30011|30011|30011|30012|30013</t>
        </is>
      </c>
      <c r="U187" s="119" t="inlineStr">
        <is>
          <t>61|61|61|61|61</t>
        </is>
      </c>
      <c r="V187" s="119" t="inlineStr">
        <is>
          <t>3</t>
        </is>
      </c>
      <c r="W187" s="87" t="inlineStr">
        <is>
          <t>1</t>
        </is>
      </c>
      <c r="Z187" s="87" t="n"/>
    </row>
    <row r="188" ht="27" customHeight="1" s="127">
      <c r="B188" s="118" t="inlineStr">
        <is>
          <t>13107</t>
        </is>
      </c>
      <c r="C188" s="87" t="inlineStr">
        <is>
          <t>噬灵腹蛇</t>
        </is>
      </c>
      <c r="D188" s="87" t="inlineStr">
        <is>
          <t>噬灵腹蛇领地，栖息在此地的蝮蛇有剧毒，但生长在此地的清灵草却是不可多得的宝物……</t>
        </is>
      </c>
      <c r="E188" s="40" t="inlineStr">
        <is>
          <t>白民国难度2</t>
        </is>
      </c>
      <c r="F188" s="87" t="inlineStr">
        <is>
          <t>10001|763|1300$83001|1300|1600</t>
        </is>
      </c>
      <c r="G188" s="87" t="inlineStr">
        <is>
          <t>1</t>
        </is>
      </c>
      <c r="H188" s="87" t="inlineStr">
        <is>
          <t>1</t>
        </is>
      </c>
      <c r="I188" s="87" t="inlineStr">
        <is>
          <t>探索一番</t>
        </is>
      </c>
      <c r="J188" s="87" t="inlineStr">
        <is>
          <t>无视它</t>
        </is>
      </c>
      <c r="K188" s="87" t="n"/>
      <c r="L188" s="87" t="n"/>
      <c r="M188" s="87" t="n"/>
      <c r="N188" s="87" t="inlineStr">
        <is>
          <t>1</t>
        </is>
      </c>
      <c r="O188" s="87" t="inlineStr">
        <is>
          <t>9|15</t>
        </is>
      </c>
      <c r="P188" s="87" t="inlineStr">
        <is>
          <t>1</t>
        </is>
      </c>
      <c r="Q188" s="118" t="inlineStr">
        <is>
          <t>10|10003|16</t>
        </is>
      </c>
      <c r="R188" s="87" t="inlineStr">
        <is>
          <t>-1</t>
        </is>
      </c>
      <c r="S188" s="87" t="inlineStr">
        <is>
          <t>2</t>
        </is>
      </c>
      <c r="T188" s="119" t="inlineStr">
        <is>
          <t>30011|30011|30011|30012|30013</t>
        </is>
      </c>
      <c r="U188" s="119" t="inlineStr">
        <is>
          <t>68|68|68|68|68</t>
        </is>
      </c>
      <c r="V188" s="119" t="inlineStr">
        <is>
          <t>3</t>
        </is>
      </c>
      <c r="W188" s="87" t="inlineStr">
        <is>
          <t>1</t>
        </is>
      </c>
      <c r="Z188" s="87" t="n"/>
    </row>
    <row r="189" ht="27" customHeight="1" s="127">
      <c r="B189" s="118" t="inlineStr">
        <is>
          <t>13108</t>
        </is>
      </c>
      <c r="C189" s="87" t="inlineStr">
        <is>
          <t>噬灵腹蛇</t>
        </is>
      </c>
      <c r="D189" s="87" t="inlineStr">
        <is>
          <t>噬灵腹蛇领地，栖息在此地的蝮蛇有剧毒，但生长在此地的清灵草却是不可多得的宝物……</t>
        </is>
      </c>
      <c r="E189" s="40" t="inlineStr">
        <is>
          <t>白民国难度3</t>
        </is>
      </c>
      <c r="F189" s="87" t="inlineStr">
        <is>
          <t>10001|636|1600$83001|1600|1900</t>
        </is>
      </c>
      <c r="G189" s="87" t="inlineStr">
        <is>
          <t>1</t>
        </is>
      </c>
      <c r="H189" s="87" t="inlineStr">
        <is>
          <t>1</t>
        </is>
      </c>
      <c r="I189" s="87" t="inlineStr">
        <is>
          <t>探索一番</t>
        </is>
      </c>
      <c r="J189" s="87" t="inlineStr">
        <is>
          <t>无视它</t>
        </is>
      </c>
      <c r="K189" s="87" t="n"/>
      <c r="L189" s="87" t="n"/>
      <c r="M189" s="87" t="n"/>
      <c r="N189" s="87" t="inlineStr">
        <is>
          <t>1</t>
        </is>
      </c>
      <c r="O189" s="87" t="inlineStr">
        <is>
          <t>12|18</t>
        </is>
      </c>
      <c r="P189" s="87" t="inlineStr">
        <is>
          <t>1</t>
        </is>
      </c>
      <c r="Q189" s="118" t="inlineStr">
        <is>
          <t>10|10003|16</t>
        </is>
      </c>
      <c r="R189" s="87" t="inlineStr">
        <is>
          <t>-1</t>
        </is>
      </c>
      <c r="S189" s="87" t="inlineStr">
        <is>
          <t>3</t>
        </is>
      </c>
      <c r="T189" s="119" t="inlineStr">
        <is>
          <t>30011|30011|30011|30012|30013</t>
        </is>
      </c>
      <c r="U189" s="119" t="inlineStr">
        <is>
          <t>76|76|76|76|76</t>
        </is>
      </c>
      <c r="V189" s="119" t="inlineStr">
        <is>
          <t>3</t>
        </is>
      </c>
      <c r="W189" s="87" t="inlineStr">
        <is>
          <t>1</t>
        </is>
      </c>
      <c r="Z189" s="87" t="n"/>
    </row>
    <row r="190" ht="27" customHeight="1" s="127">
      <c r="B190" s="118" t="inlineStr">
        <is>
          <t>13109</t>
        </is>
      </c>
      <c r="C190" s="87" t="inlineStr">
        <is>
          <t>噬灵腹蛇</t>
        </is>
      </c>
      <c r="D190" s="87" t="inlineStr">
        <is>
          <t>噬灵腹蛇领地，栖息在此地的蝮蛇有剧毒，但生长在此地的清灵草却是不可多得的宝物……</t>
        </is>
      </c>
      <c r="E190" s="40" t="inlineStr">
        <is>
          <t>白民国难度4</t>
        </is>
      </c>
      <c r="F190" s="87" t="inlineStr">
        <is>
          <t>10001|763|1900$83001|1900|2100</t>
        </is>
      </c>
      <c r="G190" s="87" t="inlineStr">
        <is>
          <t>1</t>
        </is>
      </c>
      <c r="H190" s="87" t="inlineStr">
        <is>
          <t>1</t>
        </is>
      </c>
      <c r="I190" s="87" t="inlineStr">
        <is>
          <t>探索一番</t>
        </is>
      </c>
      <c r="J190" s="87" t="inlineStr">
        <is>
          <t>无视它</t>
        </is>
      </c>
      <c r="K190" s="87" t="n"/>
      <c r="L190" s="87" t="n"/>
      <c r="M190" s="87" t="n"/>
      <c r="N190" s="87" t="inlineStr">
        <is>
          <t>1</t>
        </is>
      </c>
      <c r="O190" s="87" t="inlineStr">
        <is>
          <t>15|21</t>
        </is>
      </c>
      <c r="P190" s="87" t="inlineStr">
        <is>
          <t>1</t>
        </is>
      </c>
      <c r="Q190" s="118" t="inlineStr">
        <is>
          <t>10|10003|16</t>
        </is>
      </c>
      <c r="R190" s="87" t="inlineStr">
        <is>
          <t>-1</t>
        </is>
      </c>
      <c r="S190" s="87" t="inlineStr">
        <is>
          <t>4</t>
        </is>
      </c>
      <c r="T190" s="119" t="inlineStr">
        <is>
          <t>30011|30011|30011|30012|30013</t>
        </is>
      </c>
      <c r="U190" s="119" t="inlineStr">
        <is>
          <t>83|83|83|83|83</t>
        </is>
      </c>
      <c r="V190" s="119" t="inlineStr">
        <is>
          <t>3</t>
        </is>
      </c>
      <c r="W190" s="87" t="inlineStr">
        <is>
          <t>1</t>
        </is>
      </c>
      <c r="Z190" s="87" t="n"/>
    </row>
    <row r="191" ht="27" customHeight="1" s="127">
      <c r="B191" s="118" t="inlineStr">
        <is>
          <t>13110</t>
        </is>
      </c>
      <c r="C191" s="87" t="inlineStr">
        <is>
          <t>噬灵腹蛇</t>
        </is>
      </c>
      <c r="D191" s="87" t="inlineStr">
        <is>
          <t>噬灵腹蛇领地，栖息在此地的蝮蛇有剧毒，但生长在此地的清灵草却是不可多得的宝物……</t>
        </is>
      </c>
      <c r="E191" s="40" t="inlineStr">
        <is>
          <t>白民国难度5</t>
        </is>
      </c>
      <c r="F191" s="87" t="inlineStr">
        <is>
          <t>10001|916|2100$83001|2100|2400</t>
        </is>
      </c>
      <c r="G191" s="87" t="inlineStr">
        <is>
          <t>1</t>
        </is>
      </c>
      <c r="H191" s="87" t="inlineStr">
        <is>
          <t>1</t>
        </is>
      </c>
      <c r="I191" s="87" t="inlineStr">
        <is>
          <t>探索一番</t>
        </is>
      </c>
      <c r="J191" s="87" t="inlineStr">
        <is>
          <t>无视它</t>
        </is>
      </c>
      <c r="K191" s="87" t="n"/>
      <c r="L191" s="87" t="n"/>
      <c r="M191" s="87" t="n"/>
      <c r="N191" s="87" t="inlineStr">
        <is>
          <t>1</t>
        </is>
      </c>
      <c r="O191" s="87" t="inlineStr">
        <is>
          <t>24|28</t>
        </is>
      </c>
      <c r="P191" s="87" t="inlineStr">
        <is>
          <t>1</t>
        </is>
      </c>
      <c r="Q191" s="118" t="inlineStr">
        <is>
          <t>10|10003|16</t>
        </is>
      </c>
      <c r="R191" s="87" t="inlineStr">
        <is>
          <t>-1</t>
        </is>
      </c>
      <c r="S191" s="87" t="inlineStr">
        <is>
          <t>5</t>
        </is>
      </c>
      <c r="T191" s="119" t="inlineStr">
        <is>
          <t>30011|30011|30011|30012|30013</t>
        </is>
      </c>
      <c r="U191" s="119" t="inlineStr">
        <is>
          <t>89|89|89|89|89</t>
        </is>
      </c>
      <c r="V191" s="119" t="inlineStr">
        <is>
          <t>3</t>
        </is>
      </c>
      <c r="W191" s="87" t="inlineStr">
        <is>
          <t>1</t>
        </is>
      </c>
      <c r="Z191" s="87" t="n"/>
    </row>
    <row r="192" ht="27" customHeight="1" s="127">
      <c r="B192" s="118" t="inlineStr">
        <is>
          <t>13111</t>
        </is>
      </c>
      <c r="C192" s="91" t="inlineStr">
        <is>
          <t>灵鲲</t>
        </is>
      </c>
      <c r="D192" s="89" t="inlineStr">
        <is>
          <t>鲲游荡在星空深处，以星辰为食，常年累月的吞噬，使它的体内埋藏了无数珍宝。</t>
        </is>
      </c>
      <c r="E192" s="40" t="inlineStr">
        <is>
          <t>白民国难度1</t>
        </is>
      </c>
      <c r="F192" s="91" t="inlineStr">
        <is>
          <t>133001|0|15$133101|0|15$133201|0|15</t>
        </is>
      </c>
      <c r="G192" s="91" t="inlineStr">
        <is>
          <t>1</t>
        </is>
      </c>
      <c r="H192" s="91" t="inlineStr">
        <is>
          <t>1</t>
        </is>
      </c>
      <c r="I192" s="91" t="inlineStr">
        <is>
          <t>探索一番</t>
        </is>
      </c>
      <c r="J192" s="91" t="inlineStr">
        <is>
          <t>无视它</t>
        </is>
      </c>
      <c r="K192" s="91" t="n"/>
      <c r="L192" s="91" t="n"/>
      <c r="M192" s="91" t="n"/>
      <c r="N192" s="91" t="inlineStr">
        <is>
          <t>1</t>
        </is>
      </c>
      <c r="O192" s="91" t="inlineStr">
        <is>
          <t>6|12</t>
        </is>
      </c>
      <c r="P192" s="91" t="inlineStr">
        <is>
          <t>1</t>
        </is>
      </c>
      <c r="Q192" s="118" t="inlineStr">
        <is>
          <t>10|10003|16</t>
        </is>
      </c>
      <c r="R192" s="91" t="inlineStr">
        <is>
          <t>-1</t>
        </is>
      </c>
      <c r="S192" s="91" t="inlineStr">
        <is>
          <t>1</t>
        </is>
      </c>
      <c r="T192" s="104" t="inlineStr">
        <is>
          <t>30035</t>
        </is>
      </c>
      <c r="U192" s="123" t="inlineStr">
        <is>
          <t>61</t>
        </is>
      </c>
      <c r="V192" s="119" t="inlineStr">
        <is>
          <t>3</t>
        </is>
      </c>
      <c r="W192" s="91" t="inlineStr">
        <is>
          <t>1</t>
        </is>
      </c>
      <c r="Z192" s="91" t="n"/>
    </row>
    <row r="193" ht="27" customHeight="1" s="127">
      <c r="B193" s="118" t="inlineStr">
        <is>
          <t>13112</t>
        </is>
      </c>
      <c r="C193" s="91" t="inlineStr">
        <is>
          <t>灵鲲</t>
        </is>
      </c>
      <c r="D193" s="89" t="inlineStr">
        <is>
          <t>鲲游荡在星空深处，以星辰为食，常年累月的吞噬，使它的体内埋藏了无数珍宝。</t>
        </is>
      </c>
      <c r="E193" s="40" t="inlineStr">
        <is>
          <t>白民国难度2</t>
        </is>
      </c>
      <c r="F193" s="91" t="inlineStr">
        <is>
          <t>133001|15|30$133101|15|30$133201|15|30</t>
        </is>
      </c>
      <c r="G193" s="91" t="inlineStr">
        <is>
          <t>1</t>
        </is>
      </c>
      <c r="H193" s="91" t="inlineStr">
        <is>
          <t>1</t>
        </is>
      </c>
      <c r="I193" s="91" t="inlineStr">
        <is>
          <t>探索一番</t>
        </is>
      </c>
      <c r="J193" s="91" t="inlineStr">
        <is>
          <t>无视它</t>
        </is>
      </c>
      <c r="K193" s="91" t="n"/>
      <c r="L193" s="91" t="n"/>
      <c r="M193" s="91" t="n"/>
      <c r="N193" s="91" t="inlineStr">
        <is>
          <t>1</t>
        </is>
      </c>
      <c r="O193" s="91" t="inlineStr">
        <is>
          <t>9|15</t>
        </is>
      </c>
      <c r="P193" s="91" t="inlineStr">
        <is>
          <t>1</t>
        </is>
      </c>
      <c r="Q193" s="40" t="inlineStr">
        <is>
          <t>10|10003|16</t>
        </is>
      </c>
      <c r="R193" s="91" t="inlineStr">
        <is>
          <t>-1</t>
        </is>
      </c>
      <c r="S193" s="91" t="inlineStr">
        <is>
          <t>2</t>
        </is>
      </c>
      <c r="T193" s="104" t="inlineStr">
        <is>
          <t>30035</t>
        </is>
      </c>
      <c r="U193" s="123" t="inlineStr">
        <is>
          <t>68</t>
        </is>
      </c>
      <c r="V193" s="119" t="inlineStr">
        <is>
          <t>3</t>
        </is>
      </c>
      <c r="W193" s="91" t="inlineStr">
        <is>
          <t>1</t>
        </is>
      </c>
      <c r="Z193" s="91" t="n"/>
    </row>
    <row r="194" ht="27" customHeight="1" s="127">
      <c r="B194" s="118" t="inlineStr">
        <is>
          <t>13113</t>
        </is>
      </c>
      <c r="C194" s="91" t="inlineStr">
        <is>
          <t>灵鲲</t>
        </is>
      </c>
      <c r="D194" s="89" t="inlineStr">
        <is>
          <t>鲲游荡在星空深处，以星辰为食，常年累月的吞噬，使它的体内埋藏了无数珍宝。</t>
        </is>
      </c>
      <c r="E194" s="40" t="inlineStr">
        <is>
          <t>白民国难度3</t>
        </is>
      </c>
      <c r="F194" s="91" t="inlineStr">
        <is>
          <t>133001|30|45$133101|30|45$133201|30|45</t>
        </is>
      </c>
      <c r="G194" s="91" t="inlineStr">
        <is>
          <t>1</t>
        </is>
      </c>
      <c r="H194" s="91" t="inlineStr">
        <is>
          <t>1</t>
        </is>
      </c>
      <c r="I194" s="91" t="inlineStr">
        <is>
          <t>探索一番</t>
        </is>
      </c>
      <c r="J194" s="91" t="inlineStr">
        <is>
          <t>无视它</t>
        </is>
      </c>
      <c r="K194" s="91" t="n"/>
      <c r="L194" s="91" t="n"/>
      <c r="M194" s="91" t="n"/>
      <c r="N194" s="91" t="inlineStr">
        <is>
          <t>1</t>
        </is>
      </c>
      <c r="O194" s="91" t="inlineStr">
        <is>
          <t>12|18</t>
        </is>
      </c>
      <c r="P194" s="91" t="inlineStr">
        <is>
          <t>1</t>
        </is>
      </c>
      <c r="Q194" s="40" t="inlineStr">
        <is>
          <t>10|10003|16</t>
        </is>
      </c>
      <c r="R194" s="91" t="inlineStr">
        <is>
          <t>-1</t>
        </is>
      </c>
      <c r="S194" s="91" t="inlineStr">
        <is>
          <t>3</t>
        </is>
      </c>
      <c r="T194" s="104" t="inlineStr">
        <is>
          <t>30035</t>
        </is>
      </c>
      <c r="U194" s="123" t="inlineStr">
        <is>
          <t>76</t>
        </is>
      </c>
      <c r="V194" s="119" t="inlineStr">
        <is>
          <t>3</t>
        </is>
      </c>
      <c r="W194" s="91" t="inlineStr">
        <is>
          <t>1</t>
        </is>
      </c>
      <c r="Z194" s="91" t="n"/>
    </row>
    <row r="195" ht="27" customHeight="1" s="127">
      <c r="B195" s="118" t="inlineStr">
        <is>
          <t>13114</t>
        </is>
      </c>
      <c r="C195" s="91" t="inlineStr">
        <is>
          <t>灵鲲</t>
        </is>
      </c>
      <c r="D195" s="89" t="inlineStr">
        <is>
          <t>鲲游荡在星空深处，以星辰为食，常年累月的吞噬，使它的体内埋藏了无数珍宝。</t>
        </is>
      </c>
      <c r="E195" s="40" t="inlineStr">
        <is>
          <t>白民国难度4</t>
        </is>
      </c>
      <c r="F195" s="91" t="inlineStr">
        <is>
          <t>133001|45|60$133101|45|60$133201|45|60</t>
        </is>
      </c>
      <c r="G195" s="91" t="inlineStr">
        <is>
          <t>1</t>
        </is>
      </c>
      <c r="H195" s="91" t="inlineStr">
        <is>
          <t>1</t>
        </is>
      </c>
      <c r="I195" s="91" t="inlineStr">
        <is>
          <t>探索一番</t>
        </is>
      </c>
      <c r="J195" s="91" t="inlineStr">
        <is>
          <t>无视它</t>
        </is>
      </c>
      <c r="K195" s="91" t="n"/>
      <c r="L195" s="91" t="n"/>
      <c r="M195" s="91" t="n"/>
      <c r="N195" s="91" t="inlineStr">
        <is>
          <t>1</t>
        </is>
      </c>
      <c r="O195" s="91" t="inlineStr">
        <is>
          <t>15|21</t>
        </is>
      </c>
      <c r="P195" s="91" t="inlineStr">
        <is>
          <t>1</t>
        </is>
      </c>
      <c r="Q195" s="40" t="inlineStr">
        <is>
          <t>10|10003|16</t>
        </is>
      </c>
      <c r="R195" s="91" t="inlineStr">
        <is>
          <t>-1</t>
        </is>
      </c>
      <c r="S195" s="91" t="inlineStr">
        <is>
          <t>4</t>
        </is>
      </c>
      <c r="T195" s="104" t="inlineStr">
        <is>
          <t>30035</t>
        </is>
      </c>
      <c r="U195" s="123" t="inlineStr">
        <is>
          <t>83</t>
        </is>
      </c>
      <c r="V195" s="119" t="inlineStr">
        <is>
          <t>3</t>
        </is>
      </c>
      <c r="W195" s="91" t="inlineStr">
        <is>
          <t>1</t>
        </is>
      </c>
      <c r="Z195" s="91" t="n"/>
    </row>
    <row r="196" ht="27" customHeight="1" s="127">
      <c r="B196" s="118" t="inlineStr">
        <is>
          <t>13115</t>
        </is>
      </c>
      <c r="C196" s="91" t="inlineStr">
        <is>
          <t>灵鲲</t>
        </is>
      </c>
      <c r="D196" s="89" t="inlineStr">
        <is>
          <t>鲲游荡在星空深处，以星辰为食，常年累月的吞噬，使它的体内埋藏了无数珍宝。</t>
        </is>
      </c>
      <c r="E196" s="40" t="inlineStr">
        <is>
          <t>白民国难度5</t>
        </is>
      </c>
      <c r="F196" s="91" t="inlineStr">
        <is>
          <t>133001|65|80$133101|65|80$133201|65|80</t>
        </is>
      </c>
      <c r="G196" s="91" t="inlineStr">
        <is>
          <t>1</t>
        </is>
      </c>
      <c r="H196" s="91" t="inlineStr">
        <is>
          <t>1</t>
        </is>
      </c>
      <c r="I196" s="91" t="inlineStr">
        <is>
          <t>探索一番</t>
        </is>
      </c>
      <c r="J196" s="91" t="inlineStr">
        <is>
          <t>无视它</t>
        </is>
      </c>
      <c r="K196" s="91" t="n"/>
      <c r="L196" s="91" t="n"/>
      <c r="M196" s="91" t="n"/>
      <c r="N196" s="91" t="inlineStr">
        <is>
          <t>1</t>
        </is>
      </c>
      <c r="O196" s="91" t="inlineStr">
        <is>
          <t>24|28</t>
        </is>
      </c>
      <c r="P196" s="91" t="inlineStr">
        <is>
          <t>1</t>
        </is>
      </c>
      <c r="Q196" s="40" t="inlineStr">
        <is>
          <t>10|10003|16</t>
        </is>
      </c>
      <c r="R196" s="91" t="inlineStr">
        <is>
          <t>-1</t>
        </is>
      </c>
      <c r="S196" s="91" t="inlineStr">
        <is>
          <t>5</t>
        </is>
      </c>
      <c r="T196" s="104" t="inlineStr">
        <is>
          <t>30035</t>
        </is>
      </c>
      <c r="U196" s="123" t="inlineStr">
        <is>
          <t>89</t>
        </is>
      </c>
      <c r="V196" s="119" t="inlineStr">
        <is>
          <t>3</t>
        </is>
      </c>
      <c r="W196" s="91" t="inlineStr">
        <is>
          <t>1</t>
        </is>
      </c>
      <c r="Z196" s="91" t="n"/>
    </row>
    <row r="197" ht="27" customHeight="1" s="127">
      <c r="B197" s="118" t="inlineStr">
        <is>
          <t>13116</t>
        </is>
      </c>
      <c r="C197" s="95" t="inlineStr">
        <is>
          <t>虎鲲</t>
        </is>
      </c>
      <c r="D197" s="93" t="inlineStr">
        <is>
          <t>鲲游荡在星空深处，以星辰为食，常年累月的吞噬，使它的体内埋藏了无数珍宝。</t>
        </is>
      </c>
      <c r="E197" s="40" t="inlineStr">
        <is>
          <t>白民国难度1</t>
        </is>
      </c>
      <c r="F197" s="95" t="inlineStr">
        <is>
          <t>133301|0|15$133401|0|15$133501|0|15</t>
        </is>
      </c>
      <c r="G197" s="95" t="inlineStr">
        <is>
          <t>1</t>
        </is>
      </c>
      <c r="H197" s="95" t="inlineStr">
        <is>
          <t>1</t>
        </is>
      </c>
      <c r="I197" s="95" t="inlineStr">
        <is>
          <t>探索一番</t>
        </is>
      </c>
      <c r="J197" s="95" t="inlineStr">
        <is>
          <t>无视它</t>
        </is>
      </c>
      <c r="K197" s="95" t="n"/>
      <c r="L197" s="95" t="n"/>
      <c r="M197" s="95" t="n"/>
      <c r="N197" s="95" t="inlineStr">
        <is>
          <t>1</t>
        </is>
      </c>
      <c r="O197" s="95" t="inlineStr">
        <is>
          <t>6|12</t>
        </is>
      </c>
      <c r="P197" s="95" t="inlineStr">
        <is>
          <t>1</t>
        </is>
      </c>
      <c r="Q197" s="40" t="inlineStr">
        <is>
          <t>10|10003|16</t>
        </is>
      </c>
      <c r="R197" s="95" t="inlineStr">
        <is>
          <t>-1</t>
        </is>
      </c>
      <c r="S197" s="95" t="inlineStr">
        <is>
          <t>1</t>
        </is>
      </c>
      <c r="T197" s="121" t="inlineStr">
        <is>
          <t>30036</t>
        </is>
      </c>
      <c r="U197" s="123" t="inlineStr">
        <is>
          <t>61</t>
        </is>
      </c>
      <c r="V197" s="119" t="inlineStr">
        <is>
          <t>3</t>
        </is>
      </c>
      <c r="W197" s="95" t="inlineStr">
        <is>
          <t>1</t>
        </is>
      </c>
      <c r="Z197" s="95" t="n"/>
    </row>
    <row r="198" ht="27" customHeight="1" s="127">
      <c r="B198" s="118" t="inlineStr">
        <is>
          <t>13117</t>
        </is>
      </c>
      <c r="C198" s="95" t="inlineStr">
        <is>
          <t>虎鲲</t>
        </is>
      </c>
      <c r="D198" s="93" t="inlineStr">
        <is>
          <t>鲲游荡在星空深处，以星辰为食，常年累月的吞噬，使它的体内埋藏了无数珍宝。</t>
        </is>
      </c>
      <c r="E198" s="40" t="inlineStr">
        <is>
          <t>白民国难度2</t>
        </is>
      </c>
      <c r="F198" s="95" t="inlineStr">
        <is>
          <t>133301|15|30$133401|15|30$133501|15|30</t>
        </is>
      </c>
      <c r="G198" s="95" t="inlineStr">
        <is>
          <t>1</t>
        </is>
      </c>
      <c r="H198" s="95" t="inlineStr">
        <is>
          <t>1</t>
        </is>
      </c>
      <c r="I198" s="95" t="inlineStr">
        <is>
          <t>探索一番</t>
        </is>
      </c>
      <c r="J198" s="95" t="inlineStr">
        <is>
          <t>无视它</t>
        </is>
      </c>
      <c r="K198" s="95" t="n"/>
      <c r="L198" s="95" t="n"/>
      <c r="M198" s="95" t="n"/>
      <c r="N198" s="95" t="inlineStr">
        <is>
          <t>1</t>
        </is>
      </c>
      <c r="O198" s="95" t="inlineStr">
        <is>
          <t>9|15</t>
        </is>
      </c>
      <c r="P198" s="95" t="inlineStr">
        <is>
          <t>1</t>
        </is>
      </c>
      <c r="Q198" s="40" t="inlineStr">
        <is>
          <t>10|10003|16</t>
        </is>
      </c>
      <c r="R198" s="95" t="inlineStr">
        <is>
          <t>-1</t>
        </is>
      </c>
      <c r="S198" s="95" t="inlineStr">
        <is>
          <t>2</t>
        </is>
      </c>
      <c r="T198" s="121" t="inlineStr">
        <is>
          <t>30036</t>
        </is>
      </c>
      <c r="U198" s="123" t="inlineStr">
        <is>
          <t>68</t>
        </is>
      </c>
      <c r="V198" s="119" t="inlineStr">
        <is>
          <t>3</t>
        </is>
      </c>
      <c r="W198" s="95" t="inlineStr">
        <is>
          <t>1</t>
        </is>
      </c>
      <c r="Z198" s="95" t="n"/>
    </row>
    <row r="199" ht="27" customHeight="1" s="127">
      <c r="B199" s="118" t="inlineStr">
        <is>
          <t>13118</t>
        </is>
      </c>
      <c r="C199" s="95" t="inlineStr">
        <is>
          <t>虎鲲</t>
        </is>
      </c>
      <c r="D199" s="93" t="inlineStr">
        <is>
          <t>鲲游荡在星空深处，以星辰为食，常年累月的吞噬，使它的体内埋藏了无数珍宝。</t>
        </is>
      </c>
      <c r="E199" s="40" t="inlineStr">
        <is>
          <t>白民国难度3</t>
        </is>
      </c>
      <c r="F199" s="95" t="inlineStr">
        <is>
          <t>133301|30|45$133401|30|45$133501|30|45</t>
        </is>
      </c>
      <c r="G199" s="95" t="inlineStr">
        <is>
          <t>1</t>
        </is>
      </c>
      <c r="H199" s="95" t="inlineStr">
        <is>
          <t>1</t>
        </is>
      </c>
      <c r="I199" s="95" t="inlineStr">
        <is>
          <t>探索一番</t>
        </is>
      </c>
      <c r="J199" s="95" t="inlineStr">
        <is>
          <t>无视它</t>
        </is>
      </c>
      <c r="K199" s="95" t="n"/>
      <c r="L199" s="95" t="n"/>
      <c r="M199" s="95" t="n"/>
      <c r="N199" s="95" t="inlineStr">
        <is>
          <t>1</t>
        </is>
      </c>
      <c r="O199" s="95" t="inlineStr">
        <is>
          <t>12|18</t>
        </is>
      </c>
      <c r="P199" s="95" t="inlineStr">
        <is>
          <t>1</t>
        </is>
      </c>
      <c r="Q199" s="40" t="inlineStr">
        <is>
          <t>10|10003|16</t>
        </is>
      </c>
      <c r="R199" s="95" t="inlineStr">
        <is>
          <t>-1</t>
        </is>
      </c>
      <c r="S199" s="95" t="inlineStr">
        <is>
          <t>3</t>
        </is>
      </c>
      <c r="T199" s="121" t="inlineStr">
        <is>
          <t>30036</t>
        </is>
      </c>
      <c r="U199" s="123" t="inlineStr">
        <is>
          <t>76</t>
        </is>
      </c>
      <c r="V199" s="119" t="inlineStr">
        <is>
          <t>3</t>
        </is>
      </c>
      <c r="W199" s="95" t="inlineStr">
        <is>
          <t>1</t>
        </is>
      </c>
      <c r="Z199" s="95" t="n"/>
    </row>
    <row r="200" ht="40.5" customHeight="1" s="127">
      <c r="B200" s="118" t="inlineStr">
        <is>
          <t>13119</t>
        </is>
      </c>
      <c r="C200" s="95" t="inlineStr">
        <is>
          <t>虎鲲</t>
        </is>
      </c>
      <c r="D200" s="93" t="inlineStr">
        <is>
          <t>鲲游荡在星空深处，以星辰为食，常年累月的吞噬，使它的体内埋藏了无数珍宝。</t>
        </is>
      </c>
      <c r="E200" s="40" t="inlineStr">
        <is>
          <t>白民国难度4</t>
        </is>
      </c>
      <c r="F200" s="95" t="inlineStr">
        <is>
          <t>133301|45|60$133401|45|60$133501|45|60</t>
        </is>
      </c>
      <c r="G200" s="95" t="inlineStr">
        <is>
          <t>1</t>
        </is>
      </c>
      <c r="H200" s="95" t="inlineStr">
        <is>
          <t>1</t>
        </is>
      </c>
      <c r="I200" s="95" t="inlineStr">
        <is>
          <t>探索一番</t>
        </is>
      </c>
      <c r="J200" s="95" t="inlineStr">
        <is>
          <t>无视它</t>
        </is>
      </c>
      <c r="K200" s="95" t="n"/>
      <c r="L200" s="95" t="n"/>
      <c r="M200" s="95" t="n"/>
      <c r="N200" s="95" t="inlineStr">
        <is>
          <t>1</t>
        </is>
      </c>
      <c r="O200" s="95" t="inlineStr">
        <is>
          <t>15|21</t>
        </is>
      </c>
      <c r="P200" s="95" t="inlineStr">
        <is>
          <t>1</t>
        </is>
      </c>
      <c r="Q200" s="40" t="inlineStr">
        <is>
          <t>10|10003|16</t>
        </is>
      </c>
      <c r="R200" s="95" t="inlineStr">
        <is>
          <t>-1</t>
        </is>
      </c>
      <c r="S200" s="95" t="inlineStr">
        <is>
          <t>4</t>
        </is>
      </c>
      <c r="T200" s="121" t="inlineStr">
        <is>
          <t>30036</t>
        </is>
      </c>
      <c r="U200" s="123" t="inlineStr">
        <is>
          <t>83</t>
        </is>
      </c>
      <c r="V200" s="119" t="inlineStr">
        <is>
          <t>3</t>
        </is>
      </c>
      <c r="W200" s="95" t="inlineStr">
        <is>
          <t>1</t>
        </is>
      </c>
      <c r="Z200" s="95" t="n"/>
    </row>
    <row r="201" ht="40.5" customHeight="1" s="127">
      <c r="B201" s="118" t="inlineStr">
        <is>
          <t>13120</t>
        </is>
      </c>
      <c r="C201" s="95" t="inlineStr">
        <is>
          <t>虎鲲</t>
        </is>
      </c>
      <c r="D201" s="93" t="inlineStr">
        <is>
          <t>鲲游荡在星空深处，以星辰为食，常年累月的吞噬，使它的体内埋藏了无数珍宝。</t>
        </is>
      </c>
      <c r="E201" s="40" t="inlineStr">
        <is>
          <t>白民国难度5</t>
        </is>
      </c>
      <c r="F201" s="95" t="inlineStr">
        <is>
          <t>133301|65|80$133401|65|80$133501|65|80</t>
        </is>
      </c>
      <c r="G201" s="95" t="inlineStr">
        <is>
          <t>1</t>
        </is>
      </c>
      <c r="H201" s="95" t="inlineStr">
        <is>
          <t>1</t>
        </is>
      </c>
      <c r="I201" s="95" t="inlineStr">
        <is>
          <t>探索一番</t>
        </is>
      </c>
      <c r="J201" s="95" t="inlineStr">
        <is>
          <t>无视它</t>
        </is>
      </c>
      <c r="K201" s="95" t="n"/>
      <c r="L201" s="95" t="n"/>
      <c r="M201" s="95" t="n"/>
      <c r="N201" s="95" t="inlineStr">
        <is>
          <t>1</t>
        </is>
      </c>
      <c r="O201" s="95" t="inlineStr">
        <is>
          <t>24|28</t>
        </is>
      </c>
      <c r="P201" s="95" t="inlineStr">
        <is>
          <t>1</t>
        </is>
      </c>
      <c r="Q201" s="40" t="inlineStr">
        <is>
          <t>10|10003|16</t>
        </is>
      </c>
      <c r="R201" s="95" t="inlineStr">
        <is>
          <t>-1</t>
        </is>
      </c>
      <c r="S201" s="95" t="inlineStr">
        <is>
          <t>5</t>
        </is>
      </c>
      <c r="T201" s="121" t="inlineStr">
        <is>
          <t>30036</t>
        </is>
      </c>
      <c r="U201" s="123" t="inlineStr">
        <is>
          <t>89</t>
        </is>
      </c>
      <c r="V201" s="119" t="inlineStr">
        <is>
          <t>3</t>
        </is>
      </c>
      <c r="W201" s="95" t="inlineStr">
        <is>
          <t>1</t>
        </is>
      </c>
      <c r="Z201" s="95" t="n"/>
    </row>
    <row r="202" ht="40.5" customHeight="1" s="127">
      <c r="B202" s="118" t="inlineStr">
        <is>
          <t>13121</t>
        </is>
      </c>
      <c r="C202" s="98" t="inlineStr">
        <is>
          <t>骨鲲</t>
        </is>
      </c>
      <c r="D202" s="97" t="inlineStr">
        <is>
          <t>鲲游荡在星空深处，以星辰为食，常年累月的吞噬，使它的体内埋藏了无数珍宝。</t>
        </is>
      </c>
      <c r="E202" s="40" t="inlineStr">
        <is>
          <t>白民国难度1</t>
        </is>
      </c>
      <c r="F202" s="98" t="inlineStr">
        <is>
          <t>133001|0|30$133101|0|30$133201|0|30$133301|0|30$133401|0|30$133501|0|30</t>
        </is>
      </c>
      <c r="G202" s="98" t="inlineStr">
        <is>
          <t>1</t>
        </is>
      </c>
      <c r="H202" s="98" t="inlineStr">
        <is>
          <t>1</t>
        </is>
      </c>
      <c r="I202" s="98" t="inlineStr">
        <is>
          <t>探索一番</t>
        </is>
      </c>
      <c r="J202" s="98" t="inlineStr">
        <is>
          <t>无视它</t>
        </is>
      </c>
      <c r="K202" s="98" t="n"/>
      <c r="L202" s="98" t="n"/>
      <c r="M202" s="98" t="n"/>
      <c r="N202" s="98" t="inlineStr">
        <is>
          <t>1</t>
        </is>
      </c>
      <c r="O202" s="98" t="inlineStr">
        <is>
          <t>6|12</t>
        </is>
      </c>
      <c r="P202" s="98" t="inlineStr">
        <is>
          <t>1</t>
        </is>
      </c>
      <c r="Q202" s="40" t="inlineStr">
        <is>
          <t>10|10003|16</t>
        </is>
      </c>
      <c r="R202" s="98" t="inlineStr">
        <is>
          <t>-1</t>
        </is>
      </c>
      <c r="S202" s="98" t="inlineStr">
        <is>
          <t>1</t>
        </is>
      </c>
      <c r="T202" s="121" t="inlineStr">
        <is>
          <t>30037</t>
        </is>
      </c>
      <c r="U202" s="123" t="inlineStr">
        <is>
          <t>61</t>
        </is>
      </c>
      <c r="V202" s="119" t="inlineStr">
        <is>
          <t>3</t>
        </is>
      </c>
      <c r="W202" s="98" t="inlineStr">
        <is>
          <t>1</t>
        </is>
      </c>
      <c r="Z202" s="98" t="n"/>
    </row>
    <row r="203" ht="40.5" customHeight="1" s="127">
      <c r="B203" s="118" t="inlineStr">
        <is>
          <t>13122</t>
        </is>
      </c>
      <c r="C203" s="98" t="inlineStr">
        <is>
          <t>骨鲲</t>
        </is>
      </c>
      <c r="D203" s="97" t="inlineStr">
        <is>
          <t>鲲游荡在星空深处，以星辰为食，常年累月的吞噬，使它的体内埋藏了无数珍宝。</t>
        </is>
      </c>
      <c r="E203" s="40" t="inlineStr">
        <is>
          <t>白民国难度2</t>
        </is>
      </c>
      <c r="F203" s="98" t="inlineStr">
        <is>
          <t>133001|30|60$133101|30|60$133201|30|60$133301|30|60$133401|30|60$133501|30|60</t>
        </is>
      </c>
      <c r="G203" s="98" t="inlineStr">
        <is>
          <t>1</t>
        </is>
      </c>
      <c r="H203" s="98" t="inlineStr">
        <is>
          <t>1</t>
        </is>
      </c>
      <c r="I203" s="98" t="inlineStr">
        <is>
          <t>探索一番</t>
        </is>
      </c>
      <c r="J203" s="98" t="inlineStr">
        <is>
          <t>无视它</t>
        </is>
      </c>
      <c r="K203" s="98" t="n"/>
      <c r="L203" s="98" t="n"/>
      <c r="M203" s="98" t="n"/>
      <c r="N203" s="98" t="inlineStr">
        <is>
          <t>1</t>
        </is>
      </c>
      <c r="O203" s="98" t="inlineStr">
        <is>
          <t>9|15</t>
        </is>
      </c>
      <c r="P203" s="98" t="inlineStr">
        <is>
          <t>1</t>
        </is>
      </c>
      <c r="Q203" s="40" t="inlineStr">
        <is>
          <t>10|10003|16</t>
        </is>
      </c>
      <c r="R203" s="98" t="inlineStr">
        <is>
          <t>-1</t>
        </is>
      </c>
      <c r="S203" s="98" t="inlineStr">
        <is>
          <t>2</t>
        </is>
      </c>
      <c r="T203" s="121" t="inlineStr">
        <is>
          <t>30037</t>
        </is>
      </c>
      <c r="U203" s="123" t="inlineStr">
        <is>
          <t>68</t>
        </is>
      </c>
      <c r="V203" s="119" t="inlineStr">
        <is>
          <t>3</t>
        </is>
      </c>
      <c r="W203" s="98" t="inlineStr">
        <is>
          <t>1</t>
        </is>
      </c>
      <c r="Z203" s="98" t="n"/>
    </row>
    <row r="204" ht="40.5" customHeight="1" s="127">
      <c r="B204" s="118" t="inlineStr">
        <is>
          <t>13123</t>
        </is>
      </c>
      <c r="C204" s="98" t="inlineStr">
        <is>
          <t>骨鲲</t>
        </is>
      </c>
      <c r="D204" s="97" t="inlineStr">
        <is>
          <t>鲲游荡在星空深处，以星辰为食，常年累月的吞噬，使它的体内埋藏了无数珍宝。</t>
        </is>
      </c>
      <c r="E204" s="40" t="inlineStr">
        <is>
          <t>白民国难度3</t>
        </is>
      </c>
      <c r="F204" s="98" t="inlineStr">
        <is>
          <t>133001|30|90$133101|30|90$133201|30|90$133301|30|90$133401|30|90$133501|30|90</t>
        </is>
      </c>
      <c r="G204" s="98" t="inlineStr">
        <is>
          <t>1</t>
        </is>
      </c>
      <c r="H204" s="98" t="inlineStr">
        <is>
          <t>1</t>
        </is>
      </c>
      <c r="I204" s="98" t="inlineStr">
        <is>
          <t>探索一番</t>
        </is>
      </c>
      <c r="J204" s="98" t="inlineStr">
        <is>
          <t>无视它</t>
        </is>
      </c>
      <c r="K204" s="98" t="n"/>
      <c r="L204" s="98" t="n"/>
      <c r="M204" s="98" t="n"/>
      <c r="N204" s="98" t="inlineStr">
        <is>
          <t>1</t>
        </is>
      </c>
      <c r="O204" s="98" t="inlineStr">
        <is>
          <t>12|18</t>
        </is>
      </c>
      <c r="P204" s="98" t="inlineStr">
        <is>
          <t>1</t>
        </is>
      </c>
      <c r="Q204" s="40" t="inlineStr">
        <is>
          <t>10|10003|16</t>
        </is>
      </c>
      <c r="R204" s="98" t="inlineStr">
        <is>
          <t>-1</t>
        </is>
      </c>
      <c r="S204" s="98" t="inlineStr">
        <is>
          <t>3</t>
        </is>
      </c>
      <c r="T204" s="121" t="inlineStr">
        <is>
          <t>30037</t>
        </is>
      </c>
      <c r="U204" s="123" t="inlineStr">
        <is>
          <t>76</t>
        </is>
      </c>
      <c r="V204" s="119" t="inlineStr">
        <is>
          <t>3</t>
        </is>
      </c>
      <c r="W204" s="98" t="inlineStr">
        <is>
          <t>1</t>
        </is>
      </c>
      <c r="Z204" s="98" t="n"/>
    </row>
    <row r="205" ht="27" customHeight="1" s="127">
      <c r="B205" s="118" t="inlineStr">
        <is>
          <t>13124</t>
        </is>
      </c>
      <c r="C205" s="98" t="inlineStr">
        <is>
          <t>骨鲲</t>
        </is>
      </c>
      <c r="D205" s="97" t="inlineStr">
        <is>
          <t>鲲游荡在星空深处，以星辰为食，常年累月的吞噬，使它的体内埋藏了无数珍宝。</t>
        </is>
      </c>
      <c r="E205" s="40" t="inlineStr">
        <is>
          <t>白民国难度4</t>
        </is>
      </c>
      <c r="F205" s="98" t="inlineStr">
        <is>
          <t>133001|90|120$133101|90|120$133201|90|120$133301|90|120$133401|90|120$133501|90|120</t>
        </is>
      </c>
      <c r="G205" s="98" t="inlineStr">
        <is>
          <t>1</t>
        </is>
      </c>
      <c r="H205" s="98" t="inlineStr">
        <is>
          <t>1</t>
        </is>
      </c>
      <c r="I205" s="98" t="inlineStr">
        <is>
          <t>探索一番</t>
        </is>
      </c>
      <c r="J205" s="98" t="inlineStr">
        <is>
          <t>无视它</t>
        </is>
      </c>
      <c r="K205" s="98" t="n"/>
      <c r="L205" s="98" t="n"/>
      <c r="M205" s="98" t="n"/>
      <c r="N205" s="98" t="inlineStr">
        <is>
          <t>1</t>
        </is>
      </c>
      <c r="O205" s="98" t="inlineStr">
        <is>
          <t>15|21</t>
        </is>
      </c>
      <c r="P205" s="98" t="inlineStr">
        <is>
          <t>1</t>
        </is>
      </c>
      <c r="Q205" s="40" t="inlineStr">
        <is>
          <t>10|10003|16</t>
        </is>
      </c>
      <c r="R205" s="98" t="inlineStr">
        <is>
          <t>-1</t>
        </is>
      </c>
      <c r="S205" s="98" t="inlineStr">
        <is>
          <t>4</t>
        </is>
      </c>
      <c r="T205" s="121" t="inlineStr">
        <is>
          <t>30037</t>
        </is>
      </c>
      <c r="U205" s="123" t="inlineStr">
        <is>
          <t>83</t>
        </is>
      </c>
      <c r="V205" s="119" t="inlineStr">
        <is>
          <t>3</t>
        </is>
      </c>
      <c r="W205" s="98" t="inlineStr">
        <is>
          <t>1</t>
        </is>
      </c>
      <c r="Z205" s="98" t="n"/>
    </row>
    <row r="206" ht="27" customHeight="1" s="127">
      <c r="B206" s="118" t="inlineStr">
        <is>
          <t>13125</t>
        </is>
      </c>
      <c r="C206" s="98" t="inlineStr">
        <is>
          <t>骨鲲</t>
        </is>
      </c>
      <c r="D206" s="97" t="inlineStr">
        <is>
          <t>鲲游荡在星空深处，以星辰为食，常年累月的吞噬，使它的体内埋藏了无数珍宝。</t>
        </is>
      </c>
      <c r="E206" s="40" t="inlineStr">
        <is>
          <t>白民国难度5</t>
        </is>
      </c>
      <c r="F206" s="98" t="inlineStr">
        <is>
          <t>133001|120|160$133101|120|160$133201|120|160$133301|120|160$133401|120|160$133501|120|160</t>
        </is>
      </c>
      <c r="G206" s="98" t="inlineStr">
        <is>
          <t>1</t>
        </is>
      </c>
      <c r="H206" s="98" t="inlineStr">
        <is>
          <t>1</t>
        </is>
      </c>
      <c r="I206" s="98" t="inlineStr">
        <is>
          <t>探索一番</t>
        </is>
      </c>
      <c r="J206" s="98" t="inlineStr">
        <is>
          <t>无视它</t>
        </is>
      </c>
      <c r="K206" s="98" t="n"/>
      <c r="L206" s="98" t="n"/>
      <c r="M206" s="98" t="n"/>
      <c r="N206" s="98" t="inlineStr">
        <is>
          <t>1</t>
        </is>
      </c>
      <c r="O206" s="98" t="inlineStr">
        <is>
          <t>24|28</t>
        </is>
      </c>
      <c r="P206" s="98" t="inlineStr">
        <is>
          <t>1</t>
        </is>
      </c>
      <c r="Q206" s="40" t="inlineStr">
        <is>
          <t>10|10003|16</t>
        </is>
      </c>
      <c r="R206" s="98" t="inlineStr">
        <is>
          <t>-1</t>
        </is>
      </c>
      <c r="S206" s="98" t="inlineStr">
        <is>
          <t>5</t>
        </is>
      </c>
      <c r="T206" s="121" t="inlineStr">
        <is>
          <t>30037</t>
        </is>
      </c>
      <c r="U206" s="123" t="inlineStr">
        <is>
          <t>89</t>
        </is>
      </c>
      <c r="V206" s="119" t="inlineStr">
        <is>
          <t>3</t>
        </is>
      </c>
      <c r="W206" s="98" t="inlineStr">
        <is>
          <t>1</t>
        </is>
      </c>
      <c r="Z206" s="98" t="n"/>
    </row>
    <row r="207" ht="27" customHeight="1" s="127">
      <c r="B207" s="118" t="inlineStr">
        <is>
          <t>13126</t>
        </is>
      </c>
      <c r="C207" s="80" t="inlineStr">
        <is>
          <t>仙陨魂</t>
        </is>
      </c>
      <c r="D207" s="99" t="inlineStr">
        <is>
          <t>飞升何其艰难，冲击飞升之人十有八九都陨落了，他们不甘的魂魄形成了陨魂。</t>
        </is>
      </c>
      <c r="E207" s="40" t="inlineStr">
        <is>
          <t>白民国难度1</t>
        </is>
      </c>
      <c r="F207" s="80" t="inlineStr">
        <is>
          <t>990002|0|11$123002|830|860$123004|830|860$123006|830|860</t>
        </is>
      </c>
      <c r="G207" s="80" t="inlineStr">
        <is>
          <t>1</t>
        </is>
      </c>
      <c r="H207" s="80" t="inlineStr">
        <is>
          <t>1</t>
        </is>
      </c>
      <c r="I207" s="80" t="inlineStr">
        <is>
          <t>探索一番</t>
        </is>
      </c>
      <c r="J207" s="80" t="inlineStr">
        <is>
          <t>无视它</t>
        </is>
      </c>
      <c r="K207" s="80" t="n"/>
      <c r="L207" s="80" t="n"/>
      <c r="M207" s="80" t="n"/>
      <c r="N207" s="80" t="inlineStr">
        <is>
          <t>1</t>
        </is>
      </c>
      <c r="O207" s="80" t="inlineStr">
        <is>
          <t>6|12</t>
        </is>
      </c>
      <c r="P207" s="80" t="inlineStr">
        <is>
          <t>1</t>
        </is>
      </c>
      <c r="Q207" s="40" t="inlineStr">
        <is>
          <t>10|10003|16</t>
        </is>
      </c>
      <c r="R207" s="80" t="inlineStr">
        <is>
          <t>-1</t>
        </is>
      </c>
      <c r="S207" s="80" t="inlineStr">
        <is>
          <t>1</t>
        </is>
      </c>
      <c r="T207" s="105" t="inlineStr">
        <is>
          <t>30050</t>
        </is>
      </c>
      <c r="U207" s="123" t="inlineStr">
        <is>
          <t>61</t>
        </is>
      </c>
      <c r="V207" s="119" t="inlineStr">
        <is>
          <t>3</t>
        </is>
      </c>
      <c r="W207" s="80" t="inlineStr">
        <is>
          <t>1</t>
        </is>
      </c>
      <c r="Z207" s="80" t="n"/>
    </row>
    <row r="208" ht="40.5" customHeight="1" s="127">
      <c r="B208" s="118" t="inlineStr">
        <is>
          <t>13127</t>
        </is>
      </c>
      <c r="C208" s="80" t="inlineStr">
        <is>
          <t>仙陨魂</t>
        </is>
      </c>
      <c r="D208" s="99" t="inlineStr">
        <is>
          <t>飞升何其艰难，冲击飞升之人十有八九都陨落了，他们不甘的魂魄形成了陨魂。</t>
        </is>
      </c>
      <c r="E208" s="40" t="inlineStr">
        <is>
          <t>白民国难度2</t>
        </is>
      </c>
      <c r="F208" s="80" t="inlineStr">
        <is>
          <t>990002|0|12$123002|906|937$123004|906|937$123006|906|937</t>
        </is>
      </c>
      <c r="G208" s="80" t="inlineStr">
        <is>
          <t>1</t>
        </is>
      </c>
      <c r="H208" s="80" t="inlineStr">
        <is>
          <t>1</t>
        </is>
      </c>
      <c r="I208" s="80" t="inlineStr">
        <is>
          <t>探索一番</t>
        </is>
      </c>
      <c r="J208" s="80" t="inlineStr">
        <is>
          <t>无视它</t>
        </is>
      </c>
      <c r="K208" s="80" t="n"/>
      <c r="L208" s="80" t="n"/>
      <c r="M208" s="80" t="n"/>
      <c r="N208" s="80" t="inlineStr">
        <is>
          <t>1</t>
        </is>
      </c>
      <c r="O208" s="80" t="inlineStr">
        <is>
          <t>9|15</t>
        </is>
      </c>
      <c r="P208" s="80" t="inlineStr">
        <is>
          <t>1</t>
        </is>
      </c>
      <c r="Q208" s="40" t="inlineStr">
        <is>
          <t>10|10003|16</t>
        </is>
      </c>
      <c r="R208" s="80" t="inlineStr">
        <is>
          <t>-1</t>
        </is>
      </c>
      <c r="S208" s="80" t="inlineStr">
        <is>
          <t>2</t>
        </is>
      </c>
      <c r="T208" s="105" t="inlineStr">
        <is>
          <t>30050</t>
        </is>
      </c>
      <c r="U208" s="123" t="inlineStr">
        <is>
          <t>68</t>
        </is>
      </c>
      <c r="V208" s="119" t="inlineStr">
        <is>
          <t>3</t>
        </is>
      </c>
      <c r="W208" s="80" t="inlineStr">
        <is>
          <t>1</t>
        </is>
      </c>
      <c r="Z208" s="80" t="n"/>
    </row>
    <row r="209" ht="40.5" customHeight="1" s="127">
      <c r="B209" s="118" t="inlineStr">
        <is>
          <t>13128</t>
        </is>
      </c>
      <c r="C209" s="80" t="inlineStr">
        <is>
          <t>仙陨魂</t>
        </is>
      </c>
      <c r="D209" s="99" t="inlineStr">
        <is>
          <t>飞升何其艰难，冲击飞升之人十有八九都陨落了，他们不甘的魂魄形成了陨魂。</t>
        </is>
      </c>
      <c r="E209" s="40" t="inlineStr">
        <is>
          <t>白民国难度3</t>
        </is>
      </c>
      <c r="F209" s="80" t="inlineStr">
        <is>
          <t>990002|0|13$123002|982|1014$123004|982|1014$123006|982|1014</t>
        </is>
      </c>
      <c r="G209" s="80" t="inlineStr">
        <is>
          <t>1</t>
        </is>
      </c>
      <c r="H209" s="80" t="inlineStr">
        <is>
          <t>1</t>
        </is>
      </c>
      <c r="I209" s="80" t="inlineStr">
        <is>
          <t>探索一番</t>
        </is>
      </c>
      <c r="J209" s="80" t="inlineStr">
        <is>
          <t>无视它</t>
        </is>
      </c>
      <c r="K209" s="80" t="n"/>
      <c r="L209" s="80" t="n"/>
      <c r="M209" s="80" t="n"/>
      <c r="N209" s="80" t="inlineStr">
        <is>
          <t>1</t>
        </is>
      </c>
      <c r="O209" s="80" t="inlineStr">
        <is>
          <t>12|18</t>
        </is>
      </c>
      <c r="P209" s="80" t="inlineStr">
        <is>
          <t>1</t>
        </is>
      </c>
      <c r="Q209" s="40" t="inlineStr">
        <is>
          <t>10|10003|16</t>
        </is>
      </c>
      <c r="R209" s="80" t="inlineStr">
        <is>
          <t>-1</t>
        </is>
      </c>
      <c r="S209" s="80" t="inlineStr">
        <is>
          <t>3</t>
        </is>
      </c>
      <c r="T209" s="105" t="inlineStr">
        <is>
          <t>30050</t>
        </is>
      </c>
      <c r="U209" s="123" t="inlineStr">
        <is>
          <t>76</t>
        </is>
      </c>
      <c r="V209" s="119" t="inlineStr">
        <is>
          <t>3</t>
        </is>
      </c>
      <c r="W209" s="80" t="inlineStr">
        <is>
          <t>1</t>
        </is>
      </c>
      <c r="Z209" s="80" t="n"/>
    </row>
    <row r="210" ht="27" customHeight="1" s="127">
      <c r="B210" s="118" t="inlineStr">
        <is>
          <t>13129</t>
        </is>
      </c>
      <c r="C210" s="80" t="inlineStr">
        <is>
          <t>仙陨魂</t>
        </is>
      </c>
      <c r="D210" s="99" t="inlineStr">
        <is>
          <t>飞升何其艰难，冲击飞升之人十有八九都陨落了，他们不甘的魂魄形成了陨魂。</t>
        </is>
      </c>
      <c r="E210" s="40" t="inlineStr">
        <is>
          <t>白民国难度4</t>
        </is>
      </c>
      <c r="F210" s="80" t="inlineStr">
        <is>
          <t>990002|0|14$123002|1058|1091$123004|1058|1091$123006|1058|1091</t>
        </is>
      </c>
      <c r="G210" s="80" t="inlineStr">
        <is>
          <t>1</t>
        </is>
      </c>
      <c r="H210" s="80" t="inlineStr">
        <is>
          <t>1</t>
        </is>
      </c>
      <c r="I210" s="80" t="inlineStr">
        <is>
          <t>探索一番</t>
        </is>
      </c>
      <c r="J210" s="80" t="inlineStr">
        <is>
          <t>无视它</t>
        </is>
      </c>
      <c r="K210" s="80" t="n"/>
      <c r="L210" s="80" t="n"/>
      <c r="M210" s="80" t="n"/>
      <c r="N210" s="80" t="inlineStr">
        <is>
          <t>1</t>
        </is>
      </c>
      <c r="O210" s="80" t="inlineStr">
        <is>
          <t>15|21</t>
        </is>
      </c>
      <c r="P210" s="80" t="inlineStr">
        <is>
          <t>1</t>
        </is>
      </c>
      <c r="Q210" s="40" t="inlineStr">
        <is>
          <t>10|10003|16</t>
        </is>
      </c>
      <c r="R210" s="80" t="inlineStr">
        <is>
          <t>-1</t>
        </is>
      </c>
      <c r="S210" s="80" t="inlineStr">
        <is>
          <t>4</t>
        </is>
      </c>
      <c r="T210" s="105" t="inlineStr">
        <is>
          <t>30050</t>
        </is>
      </c>
      <c r="U210" s="123" t="inlineStr">
        <is>
          <t>83</t>
        </is>
      </c>
      <c r="V210" s="119" t="inlineStr">
        <is>
          <t>3</t>
        </is>
      </c>
      <c r="W210" s="80" t="inlineStr">
        <is>
          <t>1</t>
        </is>
      </c>
      <c r="Z210" s="80" t="n"/>
    </row>
    <row r="211" ht="27" customHeight="1" s="127">
      <c r="B211" s="118" t="inlineStr">
        <is>
          <t>13130</t>
        </is>
      </c>
      <c r="C211" s="80" t="inlineStr">
        <is>
          <t>仙陨魂</t>
        </is>
      </c>
      <c r="D211" s="99" t="inlineStr">
        <is>
          <t>飞升何其艰难，冲击飞升之人十有八九都陨落了，他们不甘的魂魄形成了陨魂。</t>
        </is>
      </c>
      <c r="E211" s="40" t="inlineStr">
        <is>
          <t>白民国难度5</t>
        </is>
      </c>
      <c r="F211" s="80" t="inlineStr">
        <is>
          <t>990002|0|15$123002|1134|1168$123004|1134|1168$123006|1134|1168</t>
        </is>
      </c>
      <c r="G211" s="80" t="inlineStr">
        <is>
          <t>1</t>
        </is>
      </c>
      <c r="H211" s="80" t="inlineStr">
        <is>
          <t>1</t>
        </is>
      </c>
      <c r="I211" s="80" t="inlineStr">
        <is>
          <t>探索一番</t>
        </is>
      </c>
      <c r="J211" s="80" t="inlineStr">
        <is>
          <t>无视它</t>
        </is>
      </c>
      <c r="K211" s="80" t="n"/>
      <c r="L211" s="80" t="n"/>
      <c r="M211" s="80" t="n"/>
      <c r="N211" s="80" t="inlineStr">
        <is>
          <t>1</t>
        </is>
      </c>
      <c r="O211" s="80" t="inlineStr">
        <is>
          <t>24|28</t>
        </is>
      </c>
      <c r="P211" s="80" t="inlineStr">
        <is>
          <t>1</t>
        </is>
      </c>
      <c r="Q211" s="40" t="inlineStr">
        <is>
          <t>10|10003|16</t>
        </is>
      </c>
      <c r="R211" s="80" t="inlineStr">
        <is>
          <t>-1</t>
        </is>
      </c>
      <c r="S211" s="80" t="inlineStr">
        <is>
          <t>5</t>
        </is>
      </c>
      <c r="T211" s="105" t="inlineStr">
        <is>
          <t>30050</t>
        </is>
      </c>
      <c r="U211" s="123" t="inlineStr">
        <is>
          <t>89</t>
        </is>
      </c>
      <c r="V211" s="119" t="inlineStr">
        <is>
          <t>3</t>
        </is>
      </c>
      <c r="W211" s="80" t="inlineStr">
        <is>
          <t>1</t>
        </is>
      </c>
      <c r="Z211" s="80" t="n"/>
    </row>
    <row r="212" ht="27" customHeight="1" s="127">
      <c r="B212" s="118" t="inlineStr">
        <is>
          <t>13131</t>
        </is>
      </c>
      <c r="C212" s="102" t="inlineStr">
        <is>
          <t>魔陨魂</t>
        </is>
      </c>
      <c r="D212" s="101" t="inlineStr">
        <is>
          <t>飞升何其艰难，冲击飞升之人十有八九都陨落了，他们不甘的魂魄形成了陨魂。</t>
        </is>
      </c>
      <c r="E212" s="40" t="inlineStr">
        <is>
          <t>白民国难度1</t>
        </is>
      </c>
      <c r="F212" s="102" t="inlineStr">
        <is>
          <t>990003|0|11$123003|830|860$123005|830|860$123007|830|860</t>
        </is>
      </c>
      <c r="G212" s="102" t="inlineStr">
        <is>
          <t>1</t>
        </is>
      </c>
      <c r="H212" s="102" t="inlineStr">
        <is>
          <t>1</t>
        </is>
      </c>
      <c r="I212" s="102" t="inlineStr">
        <is>
          <t>探索一番</t>
        </is>
      </c>
      <c r="J212" s="102" t="inlineStr">
        <is>
          <t>无视它</t>
        </is>
      </c>
      <c r="K212" s="102" t="n"/>
      <c r="L212" s="102" t="n"/>
      <c r="M212" s="102" t="n"/>
      <c r="N212" s="102" t="inlineStr">
        <is>
          <t>1</t>
        </is>
      </c>
      <c r="O212" s="102" t="inlineStr">
        <is>
          <t>6|12</t>
        </is>
      </c>
      <c r="P212" s="102" t="inlineStr">
        <is>
          <t>1</t>
        </is>
      </c>
      <c r="Q212" s="40" t="inlineStr">
        <is>
          <t>10|10003|16</t>
        </is>
      </c>
      <c r="R212" s="102" t="inlineStr">
        <is>
          <t>-1</t>
        </is>
      </c>
      <c r="S212" s="102" t="inlineStr">
        <is>
          <t>1</t>
        </is>
      </c>
      <c r="T212" s="122" t="inlineStr">
        <is>
          <t>30051</t>
        </is>
      </c>
      <c r="U212" s="123" t="inlineStr">
        <is>
          <t>61</t>
        </is>
      </c>
      <c r="V212" s="119" t="inlineStr">
        <is>
          <t>3</t>
        </is>
      </c>
      <c r="W212" s="102" t="inlineStr">
        <is>
          <t>1</t>
        </is>
      </c>
      <c r="Z212" s="102" t="n"/>
    </row>
    <row r="213" ht="40.5" customHeight="1" s="127">
      <c r="B213" s="118" t="inlineStr">
        <is>
          <t>13132</t>
        </is>
      </c>
      <c r="C213" s="102" t="inlineStr">
        <is>
          <t>魔陨魂</t>
        </is>
      </c>
      <c r="D213" s="101" t="inlineStr">
        <is>
          <t>飞升何其艰难，冲击飞升之人十有八九都陨落了，他们不甘的魂魄形成了陨魂。</t>
        </is>
      </c>
      <c r="E213" s="40" t="inlineStr">
        <is>
          <t>白民国难度2</t>
        </is>
      </c>
      <c r="F213" s="102" t="inlineStr">
        <is>
          <t>990003|0|12$123003|906|937$123005|906|937$123007|906|937</t>
        </is>
      </c>
      <c r="G213" s="102" t="inlineStr">
        <is>
          <t>1</t>
        </is>
      </c>
      <c r="H213" s="102" t="inlineStr">
        <is>
          <t>1</t>
        </is>
      </c>
      <c r="I213" s="102" t="inlineStr">
        <is>
          <t>探索一番</t>
        </is>
      </c>
      <c r="J213" s="102" t="inlineStr">
        <is>
          <t>无视它</t>
        </is>
      </c>
      <c r="K213" s="102" t="n"/>
      <c r="L213" s="102" t="n"/>
      <c r="M213" s="102" t="n"/>
      <c r="N213" s="102" t="inlineStr">
        <is>
          <t>1</t>
        </is>
      </c>
      <c r="O213" s="102" t="inlineStr">
        <is>
          <t>9|15</t>
        </is>
      </c>
      <c r="P213" s="102" t="inlineStr">
        <is>
          <t>1</t>
        </is>
      </c>
      <c r="Q213" s="40" t="inlineStr">
        <is>
          <t>10|10003|16</t>
        </is>
      </c>
      <c r="R213" s="102" t="inlineStr">
        <is>
          <t>-1</t>
        </is>
      </c>
      <c r="S213" s="102" t="inlineStr">
        <is>
          <t>2</t>
        </is>
      </c>
      <c r="T213" s="122" t="inlineStr">
        <is>
          <t>30051</t>
        </is>
      </c>
      <c r="U213" s="123" t="inlineStr">
        <is>
          <t>68</t>
        </is>
      </c>
      <c r="V213" s="119" t="inlineStr">
        <is>
          <t>3</t>
        </is>
      </c>
      <c r="W213" s="102" t="inlineStr">
        <is>
          <t>1</t>
        </is>
      </c>
      <c r="Z213" s="102" t="n"/>
    </row>
    <row r="214" ht="40.5" customHeight="1" s="127">
      <c r="B214" s="118" t="inlineStr">
        <is>
          <t>13133</t>
        </is>
      </c>
      <c r="C214" s="102" t="inlineStr">
        <is>
          <t>魔陨魂</t>
        </is>
      </c>
      <c r="D214" s="101" t="inlineStr">
        <is>
          <t>飞升何其艰难，冲击飞升之人十有八九都陨落了，他们不甘的魂魄形成了陨魂。</t>
        </is>
      </c>
      <c r="E214" s="40" t="inlineStr">
        <is>
          <t>白民国难度3</t>
        </is>
      </c>
      <c r="F214" s="102" t="inlineStr">
        <is>
          <t>990003|0|13$123003|982|1014$123005|982|1014$123007|982|1014</t>
        </is>
      </c>
      <c r="G214" s="102" t="inlineStr">
        <is>
          <t>1</t>
        </is>
      </c>
      <c r="H214" s="102" t="inlineStr">
        <is>
          <t>1</t>
        </is>
      </c>
      <c r="I214" s="102" t="inlineStr">
        <is>
          <t>探索一番</t>
        </is>
      </c>
      <c r="J214" s="102" t="inlineStr">
        <is>
          <t>无视它</t>
        </is>
      </c>
      <c r="K214" s="102" t="n"/>
      <c r="L214" s="102" t="n"/>
      <c r="M214" s="102" t="n"/>
      <c r="N214" s="102" t="inlineStr">
        <is>
          <t>1</t>
        </is>
      </c>
      <c r="O214" s="102" t="inlineStr">
        <is>
          <t>12|18</t>
        </is>
      </c>
      <c r="P214" s="102" t="inlineStr">
        <is>
          <t>1</t>
        </is>
      </c>
      <c r="Q214" s="40" t="inlineStr">
        <is>
          <t>10|10003|16</t>
        </is>
      </c>
      <c r="R214" s="102" t="inlineStr">
        <is>
          <t>-1</t>
        </is>
      </c>
      <c r="S214" s="102" t="inlineStr">
        <is>
          <t>3</t>
        </is>
      </c>
      <c r="T214" s="122" t="inlineStr">
        <is>
          <t>30051</t>
        </is>
      </c>
      <c r="U214" s="123" t="inlineStr">
        <is>
          <t>76</t>
        </is>
      </c>
      <c r="V214" s="119" t="inlineStr">
        <is>
          <t>3</t>
        </is>
      </c>
      <c r="W214" s="102" t="inlineStr">
        <is>
          <t>1</t>
        </is>
      </c>
      <c r="Z214" s="102" t="n"/>
    </row>
    <row r="215" ht="54" customHeight="1" s="127">
      <c r="B215" s="118" t="inlineStr">
        <is>
          <t>13134</t>
        </is>
      </c>
      <c r="C215" s="102" t="inlineStr">
        <is>
          <t>魔陨魂</t>
        </is>
      </c>
      <c r="D215" s="101" t="inlineStr">
        <is>
          <t>飞升何其艰难，冲击飞升之人十有八九都陨落了，他们不甘的魂魄形成了陨魂。</t>
        </is>
      </c>
      <c r="E215" s="40" t="inlineStr">
        <is>
          <t>白民国难度4</t>
        </is>
      </c>
      <c r="F215" s="102" t="inlineStr">
        <is>
          <t>990003|0|14$123003|1058|1091$123005|1058|1091$123007|1058|1091</t>
        </is>
      </c>
      <c r="G215" s="102" t="inlineStr">
        <is>
          <t>1</t>
        </is>
      </c>
      <c r="H215" s="102" t="inlineStr">
        <is>
          <t>1</t>
        </is>
      </c>
      <c r="I215" s="102" t="inlineStr">
        <is>
          <t>探索一番</t>
        </is>
      </c>
      <c r="J215" s="102" t="inlineStr">
        <is>
          <t>无视它</t>
        </is>
      </c>
      <c r="K215" s="102" t="n"/>
      <c r="L215" s="102" t="n"/>
      <c r="M215" s="102" t="n"/>
      <c r="N215" s="102" t="inlineStr">
        <is>
          <t>1</t>
        </is>
      </c>
      <c r="O215" s="102" t="inlineStr">
        <is>
          <t>15|21</t>
        </is>
      </c>
      <c r="P215" s="102" t="inlineStr">
        <is>
          <t>1</t>
        </is>
      </c>
      <c r="Q215" s="40" t="inlineStr">
        <is>
          <t>10|10003|16</t>
        </is>
      </c>
      <c r="R215" s="102" t="inlineStr">
        <is>
          <t>-1</t>
        </is>
      </c>
      <c r="S215" s="102" t="inlineStr">
        <is>
          <t>4</t>
        </is>
      </c>
      <c r="T215" s="122" t="inlineStr">
        <is>
          <t>30051</t>
        </is>
      </c>
      <c r="U215" s="123" t="inlineStr">
        <is>
          <t>83</t>
        </is>
      </c>
      <c r="V215" s="119" t="inlineStr">
        <is>
          <t>3</t>
        </is>
      </c>
      <c r="W215" s="102" t="inlineStr">
        <is>
          <t>1</t>
        </is>
      </c>
      <c r="Z215" s="102" t="n"/>
    </row>
    <row r="216" ht="54" customHeight="1" s="127">
      <c r="B216" s="118" t="inlineStr">
        <is>
          <t>13135</t>
        </is>
      </c>
      <c r="C216" s="102" t="inlineStr">
        <is>
          <t>魔陨魂</t>
        </is>
      </c>
      <c r="D216" s="101" t="inlineStr">
        <is>
          <t>飞升何其艰难，冲击飞升之人十有八九都陨落了，他们不甘的魂魄形成了陨魂。</t>
        </is>
      </c>
      <c r="E216" s="40" t="inlineStr">
        <is>
          <t>白民国难度5</t>
        </is>
      </c>
      <c r="F216" s="102" t="inlineStr">
        <is>
          <t>990003|0|15$123003|1134|1168$123005|1134|1168$123007|1134|1168</t>
        </is>
      </c>
      <c r="G216" s="102" t="inlineStr">
        <is>
          <t>1</t>
        </is>
      </c>
      <c r="H216" s="102" t="inlineStr">
        <is>
          <t>1</t>
        </is>
      </c>
      <c r="I216" s="102" t="inlineStr">
        <is>
          <t>探索一番</t>
        </is>
      </c>
      <c r="J216" s="102" t="inlineStr">
        <is>
          <t>无视它</t>
        </is>
      </c>
      <c r="K216" s="102" t="n"/>
      <c r="L216" s="102" t="n"/>
      <c r="M216" s="102" t="n"/>
      <c r="N216" s="102" t="inlineStr">
        <is>
          <t>1</t>
        </is>
      </c>
      <c r="O216" s="102" t="inlineStr">
        <is>
          <t>24|28</t>
        </is>
      </c>
      <c r="P216" s="102" t="inlineStr">
        <is>
          <t>1</t>
        </is>
      </c>
      <c r="Q216" s="40" t="inlineStr">
        <is>
          <t>10|10003|16</t>
        </is>
      </c>
      <c r="R216" s="102" t="inlineStr">
        <is>
          <t>-1</t>
        </is>
      </c>
      <c r="S216" s="102" t="inlineStr">
        <is>
          <t>5</t>
        </is>
      </c>
      <c r="T216" s="122" t="inlineStr">
        <is>
          <t>30051</t>
        </is>
      </c>
      <c r="U216" s="123" t="inlineStr">
        <is>
          <t>89</t>
        </is>
      </c>
      <c r="V216" s="119" t="inlineStr">
        <is>
          <t>3</t>
        </is>
      </c>
      <c r="W216" s="102" t="inlineStr">
        <is>
          <t>1</t>
        </is>
      </c>
      <c r="Z216" s="102" t="n"/>
    </row>
    <row r="217" ht="54" customHeight="1" s="127">
      <c r="B217" s="118" t="inlineStr">
        <is>
          <t>13136</t>
        </is>
      </c>
      <c r="C217" s="103" t="inlineStr">
        <is>
          <t>神陨魂</t>
        </is>
      </c>
      <c r="D217" s="101" t="inlineStr">
        <is>
          <t>飞升何其艰难，冲击飞升之人十有八九都陨落了，他们不甘的魂魄形成了陨魂。</t>
        </is>
      </c>
      <c r="E217" s="40" t="inlineStr">
        <is>
          <t>白民国难度1</t>
        </is>
      </c>
      <c r="F217" s="40" t="inlineStr">
        <is>
          <t>990001|0|11$123002|830|860$123004|830|860$123006|830|860$123003|830|860$123005|830|860$123007|830|860</t>
        </is>
      </c>
      <c r="G217" s="102" t="inlineStr">
        <is>
          <t>1</t>
        </is>
      </c>
      <c r="H217" s="102" t="inlineStr">
        <is>
          <t>1</t>
        </is>
      </c>
      <c r="I217" s="102" t="inlineStr">
        <is>
          <t>探索一番</t>
        </is>
      </c>
      <c r="J217" s="102" t="inlineStr">
        <is>
          <t>无视它</t>
        </is>
      </c>
      <c r="K217" s="102" t="n"/>
      <c r="L217" s="102" t="n"/>
      <c r="M217" s="102" t="n"/>
      <c r="N217" s="102" t="inlineStr">
        <is>
          <t>1</t>
        </is>
      </c>
      <c r="O217" s="102" t="inlineStr">
        <is>
          <t>6|12</t>
        </is>
      </c>
      <c r="P217" s="102" t="inlineStr">
        <is>
          <t>1</t>
        </is>
      </c>
      <c r="Q217" s="40" t="inlineStr">
        <is>
          <t>10|10003|16</t>
        </is>
      </c>
      <c r="R217" s="102" t="inlineStr">
        <is>
          <t>-1</t>
        </is>
      </c>
      <c r="S217" s="102" t="inlineStr">
        <is>
          <t>1</t>
        </is>
      </c>
      <c r="T217" s="122" t="inlineStr">
        <is>
          <t>30052</t>
        </is>
      </c>
      <c r="U217" s="123" t="inlineStr">
        <is>
          <t>61</t>
        </is>
      </c>
      <c r="V217" s="119" t="inlineStr">
        <is>
          <t>3</t>
        </is>
      </c>
      <c r="W217" s="102" t="inlineStr">
        <is>
          <t>1</t>
        </is>
      </c>
      <c r="Z217" s="103" t="n"/>
    </row>
    <row r="218" ht="54" customHeight="1" s="127">
      <c r="B218" s="118" t="inlineStr">
        <is>
          <t>13137</t>
        </is>
      </c>
      <c r="C218" s="103" t="inlineStr">
        <is>
          <t>神陨魂</t>
        </is>
      </c>
      <c r="D218" s="101" t="inlineStr">
        <is>
          <t>飞升何其艰难，冲击飞升之人十有八九都陨落了，他们不甘的魂魄形成了陨魂。</t>
        </is>
      </c>
      <c r="E218" s="40" t="inlineStr">
        <is>
          <t>白民国难度2</t>
        </is>
      </c>
      <c r="F218" s="40" t="inlineStr">
        <is>
          <t>990001|0|12$123002|906|937$123004|906|937$123006|906|937$123003|906|937$123005|906|937$123007|906|937</t>
        </is>
      </c>
      <c r="G218" s="102" t="inlineStr">
        <is>
          <t>1</t>
        </is>
      </c>
      <c r="H218" s="102" t="inlineStr">
        <is>
          <t>1</t>
        </is>
      </c>
      <c r="I218" s="102" t="inlineStr">
        <is>
          <t>探索一番</t>
        </is>
      </c>
      <c r="J218" s="102" t="inlineStr">
        <is>
          <t>无视它</t>
        </is>
      </c>
      <c r="K218" s="102" t="n"/>
      <c r="L218" s="102" t="n"/>
      <c r="M218" s="102" t="n"/>
      <c r="N218" s="102" t="inlineStr">
        <is>
          <t>1</t>
        </is>
      </c>
      <c r="O218" s="102" t="inlineStr">
        <is>
          <t>9|15</t>
        </is>
      </c>
      <c r="P218" s="102" t="inlineStr">
        <is>
          <t>1</t>
        </is>
      </c>
      <c r="Q218" s="40" t="inlineStr">
        <is>
          <t>10|10003|16</t>
        </is>
      </c>
      <c r="R218" s="102" t="inlineStr">
        <is>
          <t>-1</t>
        </is>
      </c>
      <c r="S218" s="102" t="inlineStr">
        <is>
          <t>2</t>
        </is>
      </c>
      <c r="T218" s="122" t="inlineStr">
        <is>
          <t>30052</t>
        </is>
      </c>
      <c r="U218" s="123" t="inlineStr">
        <is>
          <t>68</t>
        </is>
      </c>
      <c r="V218" s="119" t="inlineStr">
        <is>
          <t>3</t>
        </is>
      </c>
      <c r="W218" s="102" t="inlineStr">
        <is>
          <t>1</t>
        </is>
      </c>
      <c r="Z218" s="103" t="n"/>
    </row>
    <row r="219" ht="54" customHeight="1" s="127">
      <c r="B219" s="118" t="inlineStr">
        <is>
          <t>13138</t>
        </is>
      </c>
      <c r="C219" s="103" t="inlineStr">
        <is>
          <t>神陨魂</t>
        </is>
      </c>
      <c r="D219" s="101" t="inlineStr">
        <is>
          <t>飞升何其艰难，冲击飞升之人十有八九都陨落了，他们不甘的魂魄形成了陨魂。</t>
        </is>
      </c>
      <c r="E219" s="40" t="inlineStr">
        <is>
          <t>白民国难度3</t>
        </is>
      </c>
      <c r="F219" s="40" t="inlineStr">
        <is>
          <t>990001|0|13$123002|982|1014$123004|982|1014$123006|982|1014$123003|982|1014$123005|982|1014$123007|982|1014</t>
        </is>
      </c>
      <c r="G219" s="102" t="inlineStr">
        <is>
          <t>1</t>
        </is>
      </c>
      <c r="H219" s="102" t="inlineStr">
        <is>
          <t>1</t>
        </is>
      </c>
      <c r="I219" s="102" t="inlineStr">
        <is>
          <t>探索一番</t>
        </is>
      </c>
      <c r="J219" s="102" t="inlineStr">
        <is>
          <t>无视它</t>
        </is>
      </c>
      <c r="K219" s="102" t="n"/>
      <c r="L219" s="102" t="n"/>
      <c r="M219" s="102" t="n"/>
      <c r="N219" s="102" t="inlineStr">
        <is>
          <t>1</t>
        </is>
      </c>
      <c r="O219" s="102" t="inlineStr">
        <is>
          <t>12|18</t>
        </is>
      </c>
      <c r="P219" s="102" t="inlineStr">
        <is>
          <t>1</t>
        </is>
      </c>
      <c r="Q219" s="40" t="inlineStr">
        <is>
          <t>10|10003|16</t>
        </is>
      </c>
      <c r="R219" s="102" t="inlineStr">
        <is>
          <t>-1</t>
        </is>
      </c>
      <c r="S219" s="102" t="inlineStr">
        <is>
          <t>3</t>
        </is>
      </c>
      <c r="T219" s="122" t="inlineStr">
        <is>
          <t>30052</t>
        </is>
      </c>
      <c r="U219" s="123" t="inlineStr">
        <is>
          <t>76</t>
        </is>
      </c>
      <c r="V219" s="119" t="inlineStr">
        <is>
          <t>3</t>
        </is>
      </c>
      <c r="W219" s="102" t="inlineStr">
        <is>
          <t>1</t>
        </is>
      </c>
      <c r="Z219" s="103" t="n"/>
    </row>
    <row r="220" ht="27" customHeight="1" s="127">
      <c r="B220" s="118" t="inlineStr">
        <is>
          <t>13139</t>
        </is>
      </c>
      <c r="C220" s="103" t="inlineStr">
        <is>
          <t>神陨魂</t>
        </is>
      </c>
      <c r="D220" s="101" t="inlineStr">
        <is>
          <t>飞升何其艰难，冲击飞升之人十有八九都陨落了，他们不甘的魂魄形成了陨魂。</t>
        </is>
      </c>
      <c r="E220" s="40" t="inlineStr">
        <is>
          <t>白民国难度4</t>
        </is>
      </c>
      <c r="F220" s="40" t="inlineStr">
        <is>
          <t>990001|0|14$123002|1058|1091$123004|1058|1091$123006|1058|1091$123003|1058|1091$123005|1058|1091$123007|1058|1091</t>
        </is>
      </c>
      <c r="G220" s="102" t="inlineStr">
        <is>
          <t>1</t>
        </is>
      </c>
      <c r="H220" s="102" t="inlineStr">
        <is>
          <t>1</t>
        </is>
      </c>
      <c r="I220" s="102" t="inlineStr">
        <is>
          <t>探索一番</t>
        </is>
      </c>
      <c r="J220" s="102" t="inlineStr">
        <is>
          <t>无视它</t>
        </is>
      </c>
      <c r="K220" s="102" t="n"/>
      <c r="L220" s="102" t="n"/>
      <c r="M220" s="102" t="n"/>
      <c r="N220" s="102" t="inlineStr">
        <is>
          <t>1</t>
        </is>
      </c>
      <c r="O220" s="102" t="inlineStr">
        <is>
          <t>15|21</t>
        </is>
      </c>
      <c r="P220" s="102" t="inlineStr">
        <is>
          <t>1</t>
        </is>
      </c>
      <c r="Q220" s="40" t="inlineStr">
        <is>
          <t>10|10003|16</t>
        </is>
      </c>
      <c r="R220" s="102" t="inlineStr">
        <is>
          <t>-1</t>
        </is>
      </c>
      <c r="S220" s="102" t="inlineStr">
        <is>
          <t>4</t>
        </is>
      </c>
      <c r="T220" s="122" t="inlineStr">
        <is>
          <t>30052</t>
        </is>
      </c>
      <c r="U220" s="123" t="inlineStr">
        <is>
          <t>83</t>
        </is>
      </c>
      <c r="V220" s="119" t="inlineStr">
        <is>
          <t>3</t>
        </is>
      </c>
      <c r="W220" s="102" t="inlineStr">
        <is>
          <t>1</t>
        </is>
      </c>
      <c r="Z220" s="103" t="n"/>
    </row>
    <row r="221" ht="27" customHeight="1" s="127">
      <c r="B221" s="118" t="inlineStr">
        <is>
          <t>13140</t>
        </is>
      </c>
      <c r="C221" s="103" t="inlineStr">
        <is>
          <t>神陨魂</t>
        </is>
      </c>
      <c r="D221" s="101" t="inlineStr">
        <is>
          <t>飞升何其艰难，冲击飞升之人十有八九都陨落了，他们不甘的魂魄形成了陨魂。</t>
        </is>
      </c>
      <c r="E221" s="40" t="inlineStr">
        <is>
          <t>白民国难度5</t>
        </is>
      </c>
      <c r="F221" s="40" t="inlineStr">
        <is>
          <t>990001|0|15$123002|1134|1168$123004|1134|1168$123006|1134|1168$123003|1134|1168$123005|1134|1168$123007|1134|1168</t>
        </is>
      </c>
      <c r="G221" s="102" t="inlineStr">
        <is>
          <t>1</t>
        </is>
      </c>
      <c r="H221" s="102" t="inlineStr">
        <is>
          <t>1</t>
        </is>
      </c>
      <c r="I221" s="102" t="inlineStr">
        <is>
          <t>探索一番</t>
        </is>
      </c>
      <c r="J221" s="102" t="inlineStr">
        <is>
          <t>无视它</t>
        </is>
      </c>
      <c r="K221" s="102" t="n"/>
      <c r="L221" s="102" t="n"/>
      <c r="M221" s="102" t="n"/>
      <c r="N221" s="102" t="inlineStr">
        <is>
          <t>1</t>
        </is>
      </c>
      <c r="O221" s="102" t="inlineStr">
        <is>
          <t>24|28</t>
        </is>
      </c>
      <c r="P221" s="102" t="inlineStr">
        <is>
          <t>1</t>
        </is>
      </c>
      <c r="Q221" s="40" t="inlineStr">
        <is>
          <t>10|10003|16</t>
        </is>
      </c>
      <c r="R221" s="102" t="inlineStr">
        <is>
          <t>-1</t>
        </is>
      </c>
      <c r="S221" s="102" t="inlineStr">
        <is>
          <t>5</t>
        </is>
      </c>
      <c r="T221" s="122" t="inlineStr">
        <is>
          <t>30052</t>
        </is>
      </c>
      <c r="U221" s="123" t="inlineStr">
        <is>
          <t>89</t>
        </is>
      </c>
      <c r="V221" s="119" t="inlineStr">
        <is>
          <t>3</t>
        </is>
      </c>
      <c r="W221" s="102" t="inlineStr">
        <is>
          <t>1</t>
        </is>
      </c>
      <c r="Z221" s="103" t="n"/>
    </row>
    <row r="222" ht="27" customHeight="1" s="127">
      <c r="B222" s="118" t="inlineStr">
        <is>
          <t>14106</t>
        </is>
      </c>
      <c r="C222" s="87" t="inlineStr">
        <is>
          <t>噬灵腹蛇</t>
        </is>
      </c>
      <c r="D222" s="87" t="inlineStr">
        <is>
          <t>噬灵腹蛇领地，栖息在此地的蝮蛇有剧毒，但生长在此地的清灵草却是不可多得的宝物……</t>
        </is>
      </c>
      <c r="E222" s="118" t="inlineStr">
        <is>
          <t>羽民国难度1</t>
        </is>
      </c>
      <c r="F222" s="119" t="inlineStr">
        <is>
          <t>10001|636|1000$84001|1000|1300</t>
        </is>
      </c>
      <c r="G222" s="87" t="inlineStr">
        <is>
          <t>1</t>
        </is>
      </c>
      <c r="H222" s="87" t="inlineStr">
        <is>
          <t>1</t>
        </is>
      </c>
      <c r="I222" s="87" t="inlineStr">
        <is>
          <t>探索一番</t>
        </is>
      </c>
      <c r="J222" s="87" t="inlineStr">
        <is>
          <t>无视它</t>
        </is>
      </c>
      <c r="K222" s="87" t="n"/>
      <c r="L222" s="87" t="n"/>
      <c r="M222" s="87" t="n"/>
      <c r="N222" s="87" t="inlineStr">
        <is>
          <t>1</t>
        </is>
      </c>
      <c r="O222" s="87" t="inlineStr">
        <is>
          <t>6|12</t>
        </is>
      </c>
      <c r="P222" s="87" t="inlineStr">
        <is>
          <t>1</t>
        </is>
      </c>
      <c r="Q222" s="118" t="inlineStr">
        <is>
          <t>10|10004|16</t>
        </is>
      </c>
      <c r="R222" s="87" t="inlineStr">
        <is>
          <t>-1</t>
        </is>
      </c>
      <c r="S222" s="87" t="inlineStr">
        <is>
          <t>1</t>
        </is>
      </c>
      <c r="T222" s="119" t="inlineStr">
        <is>
          <t>30011|30011|30011|30012|30013</t>
        </is>
      </c>
      <c r="U222" s="119" t="inlineStr">
        <is>
          <t>91|91|91|91|91</t>
        </is>
      </c>
      <c r="V222" s="119" t="inlineStr">
        <is>
          <t>4</t>
        </is>
      </c>
      <c r="W222" s="87" t="inlineStr">
        <is>
          <t>1</t>
        </is>
      </c>
      <c r="Z222" s="87" t="n"/>
    </row>
    <row r="223" ht="27" customHeight="1" s="127">
      <c r="B223" s="118" t="inlineStr">
        <is>
          <t>14107</t>
        </is>
      </c>
      <c r="C223" s="87" t="inlineStr">
        <is>
          <t>噬灵腹蛇</t>
        </is>
      </c>
      <c r="D223" s="87" t="inlineStr">
        <is>
          <t>噬灵腹蛇领地，栖息在此地的蝮蛇有剧毒，但生长在此地的清灵草却是不可多得的宝物……</t>
        </is>
      </c>
      <c r="E223" s="118" t="inlineStr">
        <is>
          <t>羽民国难度2</t>
        </is>
      </c>
      <c r="F223" s="119" t="inlineStr">
        <is>
          <t>10001|763|1300$84001|1300|1600</t>
        </is>
      </c>
      <c r="G223" s="87" t="inlineStr">
        <is>
          <t>1</t>
        </is>
      </c>
      <c r="H223" s="87" t="inlineStr">
        <is>
          <t>1</t>
        </is>
      </c>
      <c r="I223" s="87" t="inlineStr">
        <is>
          <t>探索一番</t>
        </is>
      </c>
      <c r="J223" s="87" t="inlineStr">
        <is>
          <t>无视它</t>
        </is>
      </c>
      <c r="K223" s="87" t="n"/>
      <c r="L223" s="87" t="n"/>
      <c r="M223" s="87" t="n"/>
      <c r="N223" s="87" t="inlineStr">
        <is>
          <t>1</t>
        </is>
      </c>
      <c r="O223" s="87" t="inlineStr">
        <is>
          <t>9|15</t>
        </is>
      </c>
      <c r="P223" s="87" t="inlineStr">
        <is>
          <t>1</t>
        </is>
      </c>
      <c r="Q223" s="118" t="inlineStr">
        <is>
          <t>10|10004|16</t>
        </is>
      </c>
      <c r="R223" s="87" t="inlineStr">
        <is>
          <t>-1</t>
        </is>
      </c>
      <c r="S223" s="87" t="inlineStr">
        <is>
          <t>2</t>
        </is>
      </c>
      <c r="T223" s="119" t="inlineStr">
        <is>
          <t>30011|30011|30011|30012|30013</t>
        </is>
      </c>
      <c r="U223" s="119" t="inlineStr">
        <is>
          <t>98|98|98|98|98</t>
        </is>
      </c>
      <c r="V223" s="119" t="inlineStr">
        <is>
          <t>4</t>
        </is>
      </c>
      <c r="W223" s="87" t="inlineStr">
        <is>
          <t>1</t>
        </is>
      </c>
      <c r="Z223" s="87" t="n"/>
    </row>
    <row r="224" ht="27" customHeight="1" s="127">
      <c r="B224" s="118" t="inlineStr">
        <is>
          <t>14108</t>
        </is>
      </c>
      <c r="C224" s="87" t="inlineStr">
        <is>
          <t>噬灵腹蛇</t>
        </is>
      </c>
      <c r="D224" s="87" t="inlineStr">
        <is>
          <t>噬灵腹蛇领地，栖息在此地的蝮蛇有剧毒，但生长在此地的清灵草却是不可多得的宝物……</t>
        </is>
      </c>
      <c r="E224" s="118" t="inlineStr">
        <is>
          <t>羽民国难度3</t>
        </is>
      </c>
      <c r="F224" s="119" t="inlineStr">
        <is>
          <t>10001|636|1600$84001|1600|1900</t>
        </is>
      </c>
      <c r="G224" s="87" t="inlineStr">
        <is>
          <t>1</t>
        </is>
      </c>
      <c r="H224" s="87" t="inlineStr">
        <is>
          <t>1</t>
        </is>
      </c>
      <c r="I224" s="87" t="inlineStr">
        <is>
          <t>探索一番</t>
        </is>
      </c>
      <c r="J224" s="87" t="inlineStr">
        <is>
          <t>无视它</t>
        </is>
      </c>
      <c r="K224" s="87" t="n"/>
      <c r="L224" s="87" t="n"/>
      <c r="M224" s="87" t="n"/>
      <c r="N224" s="87" t="inlineStr">
        <is>
          <t>1</t>
        </is>
      </c>
      <c r="O224" s="87" t="inlineStr">
        <is>
          <t>12|18</t>
        </is>
      </c>
      <c r="P224" s="87" t="inlineStr">
        <is>
          <t>1</t>
        </is>
      </c>
      <c r="Q224" s="118" t="inlineStr">
        <is>
          <t>10|10004|16</t>
        </is>
      </c>
      <c r="R224" s="87" t="inlineStr">
        <is>
          <t>-1</t>
        </is>
      </c>
      <c r="S224" s="87" t="inlineStr">
        <is>
          <t>3</t>
        </is>
      </c>
      <c r="T224" s="119" t="inlineStr">
        <is>
          <t>30011|30011|30011|30012|30013</t>
        </is>
      </c>
      <c r="U224" s="119" t="inlineStr">
        <is>
          <t>106|106|106|106|106</t>
        </is>
      </c>
      <c r="V224" s="119" t="inlineStr">
        <is>
          <t>4</t>
        </is>
      </c>
      <c r="W224" s="87" t="inlineStr">
        <is>
          <t>1</t>
        </is>
      </c>
      <c r="Z224" s="87" t="n"/>
    </row>
    <row r="225" ht="27" customHeight="1" s="127">
      <c r="B225" s="118" t="inlineStr">
        <is>
          <t>14109</t>
        </is>
      </c>
      <c r="C225" s="87" t="inlineStr">
        <is>
          <t>噬灵腹蛇</t>
        </is>
      </c>
      <c r="D225" s="87" t="inlineStr">
        <is>
          <t>噬灵腹蛇领地，栖息在此地的蝮蛇有剧毒，但生长在此地的清灵草却是不可多得的宝物……</t>
        </is>
      </c>
      <c r="E225" s="118" t="inlineStr">
        <is>
          <t>羽民国难度4</t>
        </is>
      </c>
      <c r="F225" s="119" t="inlineStr">
        <is>
          <t>10001|763|1900$84001|1900|2100</t>
        </is>
      </c>
      <c r="G225" s="87" t="inlineStr">
        <is>
          <t>1</t>
        </is>
      </c>
      <c r="H225" s="87" t="inlineStr">
        <is>
          <t>1</t>
        </is>
      </c>
      <c r="I225" s="87" t="inlineStr">
        <is>
          <t>探索一番</t>
        </is>
      </c>
      <c r="J225" s="87" t="inlineStr">
        <is>
          <t>无视它</t>
        </is>
      </c>
      <c r="K225" s="87" t="n"/>
      <c r="L225" s="87" t="n"/>
      <c r="M225" s="87" t="n"/>
      <c r="N225" s="87" t="inlineStr">
        <is>
          <t>1</t>
        </is>
      </c>
      <c r="O225" s="87" t="inlineStr">
        <is>
          <t>15|21</t>
        </is>
      </c>
      <c r="P225" s="87" t="inlineStr">
        <is>
          <t>1</t>
        </is>
      </c>
      <c r="Q225" s="118" t="inlineStr">
        <is>
          <t>10|10004|16</t>
        </is>
      </c>
      <c r="R225" s="87" t="inlineStr">
        <is>
          <t>-1</t>
        </is>
      </c>
      <c r="S225" s="87" t="inlineStr">
        <is>
          <t>4</t>
        </is>
      </c>
      <c r="T225" s="119" t="inlineStr">
        <is>
          <t>30011|30011|30011|30012|30013</t>
        </is>
      </c>
      <c r="U225" s="119" t="inlineStr">
        <is>
          <t>113|113|113|113|113</t>
        </is>
      </c>
      <c r="V225" s="119" t="inlineStr">
        <is>
          <t>4</t>
        </is>
      </c>
      <c r="W225" s="87" t="inlineStr">
        <is>
          <t>1</t>
        </is>
      </c>
      <c r="Z225" s="87" t="n"/>
    </row>
    <row r="226" ht="27" customHeight="1" s="127">
      <c r="B226" s="118" t="inlineStr">
        <is>
          <t>14110</t>
        </is>
      </c>
      <c r="C226" s="87" t="inlineStr">
        <is>
          <t>噬灵腹蛇</t>
        </is>
      </c>
      <c r="D226" s="87" t="inlineStr">
        <is>
          <t>噬灵腹蛇领地，栖息在此地的蝮蛇有剧毒，但生长在此地的清灵草却是不可多得的宝物……</t>
        </is>
      </c>
      <c r="E226" s="118" t="inlineStr">
        <is>
          <t>羽民国难度5</t>
        </is>
      </c>
      <c r="F226" s="119" t="inlineStr">
        <is>
          <t>10001|916|2100$84001|2100|2400</t>
        </is>
      </c>
      <c r="G226" s="87" t="inlineStr">
        <is>
          <t>1</t>
        </is>
      </c>
      <c r="H226" s="87" t="inlineStr">
        <is>
          <t>1</t>
        </is>
      </c>
      <c r="I226" s="87" t="inlineStr">
        <is>
          <t>探索一番</t>
        </is>
      </c>
      <c r="J226" s="87" t="inlineStr">
        <is>
          <t>无视它</t>
        </is>
      </c>
      <c r="K226" s="87" t="n"/>
      <c r="L226" s="87" t="n"/>
      <c r="M226" s="87" t="n"/>
      <c r="N226" s="87" t="inlineStr">
        <is>
          <t>1</t>
        </is>
      </c>
      <c r="O226" s="87" t="inlineStr">
        <is>
          <t>24|28</t>
        </is>
      </c>
      <c r="P226" s="87" t="inlineStr">
        <is>
          <t>1</t>
        </is>
      </c>
      <c r="Q226" s="118" t="inlineStr">
        <is>
          <t>10|10004|16</t>
        </is>
      </c>
      <c r="R226" s="87" t="inlineStr">
        <is>
          <t>-1</t>
        </is>
      </c>
      <c r="S226" s="87" t="inlineStr">
        <is>
          <t>5</t>
        </is>
      </c>
      <c r="T226" s="119" t="inlineStr">
        <is>
          <t>30011|30011|30011|30012|30013</t>
        </is>
      </c>
      <c r="U226" s="119" t="inlineStr">
        <is>
          <t>119|119|119|119|119</t>
        </is>
      </c>
      <c r="V226" s="119" t="inlineStr">
        <is>
          <t>4</t>
        </is>
      </c>
      <c r="W226" s="87" t="inlineStr">
        <is>
          <t>1</t>
        </is>
      </c>
      <c r="Z226" s="87" t="n"/>
    </row>
    <row r="227" ht="27" customHeight="1" s="127">
      <c r="B227" s="118" t="inlineStr">
        <is>
          <t>14111</t>
        </is>
      </c>
      <c r="C227" s="91" t="inlineStr">
        <is>
          <t>灵鲲</t>
        </is>
      </c>
      <c r="D227" s="89" t="inlineStr">
        <is>
          <t>鲲游荡在星空深处，以星辰为食，常年累月的吞噬，使它的体内埋藏了无数珍宝。</t>
        </is>
      </c>
      <c r="E227" s="118" t="inlineStr">
        <is>
          <t>羽民国难度1</t>
        </is>
      </c>
      <c r="F227" s="115" t="inlineStr">
        <is>
          <t>134001|0|15$134101|0|15$134201|0|15</t>
        </is>
      </c>
      <c r="G227" s="91" t="inlineStr">
        <is>
          <t>1</t>
        </is>
      </c>
      <c r="H227" s="91" t="inlineStr">
        <is>
          <t>1</t>
        </is>
      </c>
      <c r="I227" s="91" t="inlineStr">
        <is>
          <t>探索一番</t>
        </is>
      </c>
      <c r="J227" s="91" t="inlineStr">
        <is>
          <t>无视它</t>
        </is>
      </c>
      <c r="K227" s="91" t="n"/>
      <c r="L227" s="91" t="n"/>
      <c r="M227" s="91" t="n"/>
      <c r="N227" s="91" t="inlineStr">
        <is>
          <t>1</t>
        </is>
      </c>
      <c r="O227" s="91" t="inlineStr">
        <is>
          <t>6|12</t>
        </is>
      </c>
      <c r="P227" s="91" t="inlineStr">
        <is>
          <t>1</t>
        </is>
      </c>
      <c r="Q227" s="118" t="inlineStr">
        <is>
          <t>10|10004|16</t>
        </is>
      </c>
      <c r="R227" s="91" t="inlineStr">
        <is>
          <t>-1</t>
        </is>
      </c>
      <c r="S227" s="91" t="inlineStr">
        <is>
          <t>1</t>
        </is>
      </c>
      <c r="T227" s="104" t="inlineStr">
        <is>
          <t>30035</t>
        </is>
      </c>
      <c r="U227" s="123" t="inlineStr">
        <is>
          <t>91</t>
        </is>
      </c>
      <c r="V227" s="119" t="inlineStr">
        <is>
          <t>4</t>
        </is>
      </c>
      <c r="W227" s="91" t="inlineStr">
        <is>
          <t>1</t>
        </is>
      </c>
      <c r="Z227" s="91" t="n"/>
    </row>
    <row r="228" ht="27" customHeight="1" s="127">
      <c r="B228" s="118" t="inlineStr">
        <is>
          <t>14112</t>
        </is>
      </c>
      <c r="C228" s="91" t="inlineStr">
        <is>
          <t>灵鲲</t>
        </is>
      </c>
      <c r="D228" s="89" t="inlineStr">
        <is>
          <t>鲲游荡在星空深处，以星辰为食，常年累月的吞噬，使它的体内埋藏了无数珍宝。</t>
        </is>
      </c>
      <c r="E228" s="118" t="inlineStr">
        <is>
          <t>羽民国难度2</t>
        </is>
      </c>
      <c r="F228" s="115" t="inlineStr">
        <is>
          <t>134001|15|30$134101|15|30$134201|15|30</t>
        </is>
      </c>
      <c r="G228" s="91" t="inlineStr">
        <is>
          <t>1</t>
        </is>
      </c>
      <c r="H228" s="91" t="inlineStr">
        <is>
          <t>1</t>
        </is>
      </c>
      <c r="I228" s="91" t="inlineStr">
        <is>
          <t>探索一番</t>
        </is>
      </c>
      <c r="J228" s="91" t="inlineStr">
        <is>
          <t>无视它</t>
        </is>
      </c>
      <c r="K228" s="91" t="n"/>
      <c r="L228" s="91" t="n"/>
      <c r="M228" s="91" t="n"/>
      <c r="N228" s="91" t="inlineStr">
        <is>
          <t>1</t>
        </is>
      </c>
      <c r="O228" s="91" t="inlineStr">
        <is>
          <t>9|15</t>
        </is>
      </c>
      <c r="P228" s="91" t="inlineStr">
        <is>
          <t>1</t>
        </is>
      </c>
      <c r="Q228" s="118" t="inlineStr">
        <is>
          <t>10|10004|16</t>
        </is>
      </c>
      <c r="R228" s="91" t="inlineStr">
        <is>
          <t>-1</t>
        </is>
      </c>
      <c r="S228" s="91" t="inlineStr">
        <is>
          <t>2</t>
        </is>
      </c>
      <c r="T228" s="104" t="inlineStr">
        <is>
          <t>30035</t>
        </is>
      </c>
      <c r="U228" s="123" t="inlineStr">
        <is>
          <t>98</t>
        </is>
      </c>
      <c r="V228" s="119" t="inlineStr">
        <is>
          <t>4</t>
        </is>
      </c>
      <c r="W228" s="91" t="inlineStr">
        <is>
          <t>1</t>
        </is>
      </c>
      <c r="Z228" s="91" t="n"/>
    </row>
    <row r="229" ht="27" customHeight="1" s="127">
      <c r="B229" s="118" t="inlineStr">
        <is>
          <t>14113</t>
        </is>
      </c>
      <c r="C229" s="91" t="inlineStr">
        <is>
          <t>灵鲲</t>
        </is>
      </c>
      <c r="D229" s="89" t="inlineStr">
        <is>
          <t>鲲游荡在星空深处，以星辰为食，常年累月的吞噬，使它的体内埋藏了无数珍宝。</t>
        </is>
      </c>
      <c r="E229" s="118" t="inlineStr">
        <is>
          <t>羽民国难度3</t>
        </is>
      </c>
      <c r="F229" s="115" t="inlineStr">
        <is>
          <t>134001|30|45$134101|30|45$134201|30|45</t>
        </is>
      </c>
      <c r="G229" s="91" t="inlineStr">
        <is>
          <t>1</t>
        </is>
      </c>
      <c r="H229" s="91" t="inlineStr">
        <is>
          <t>1</t>
        </is>
      </c>
      <c r="I229" s="91" t="inlineStr">
        <is>
          <t>探索一番</t>
        </is>
      </c>
      <c r="J229" s="91" t="inlineStr">
        <is>
          <t>无视它</t>
        </is>
      </c>
      <c r="K229" s="91" t="n"/>
      <c r="L229" s="91" t="n"/>
      <c r="M229" s="91" t="n"/>
      <c r="N229" s="91" t="inlineStr">
        <is>
          <t>1</t>
        </is>
      </c>
      <c r="O229" s="91" t="inlineStr">
        <is>
          <t>12|18</t>
        </is>
      </c>
      <c r="P229" s="91" t="inlineStr">
        <is>
          <t>1</t>
        </is>
      </c>
      <c r="Q229" s="118" t="inlineStr">
        <is>
          <t>10|10004|16</t>
        </is>
      </c>
      <c r="R229" s="91" t="inlineStr">
        <is>
          <t>-1</t>
        </is>
      </c>
      <c r="S229" s="91" t="inlineStr">
        <is>
          <t>3</t>
        </is>
      </c>
      <c r="T229" s="104" t="inlineStr">
        <is>
          <t>30035</t>
        </is>
      </c>
      <c r="U229" s="123" t="inlineStr">
        <is>
          <t>106</t>
        </is>
      </c>
      <c r="V229" s="119" t="inlineStr">
        <is>
          <t>4</t>
        </is>
      </c>
      <c r="W229" s="91" t="inlineStr">
        <is>
          <t>1</t>
        </is>
      </c>
      <c r="Z229" s="91" t="n"/>
    </row>
    <row r="230" ht="27" customHeight="1" s="127">
      <c r="B230" s="118" t="inlineStr">
        <is>
          <t>14114</t>
        </is>
      </c>
      <c r="C230" s="91" t="inlineStr">
        <is>
          <t>灵鲲</t>
        </is>
      </c>
      <c r="D230" s="89" t="inlineStr">
        <is>
          <t>鲲游荡在星空深处，以星辰为食，常年累月的吞噬，使它的体内埋藏了无数珍宝。</t>
        </is>
      </c>
      <c r="E230" s="118" t="inlineStr">
        <is>
          <t>羽民国难度4</t>
        </is>
      </c>
      <c r="F230" s="115" t="inlineStr">
        <is>
          <t>134001|45|60$134101|45|60$134201|45|60</t>
        </is>
      </c>
      <c r="G230" s="91" t="inlineStr">
        <is>
          <t>1</t>
        </is>
      </c>
      <c r="H230" s="91" t="inlineStr">
        <is>
          <t>1</t>
        </is>
      </c>
      <c r="I230" s="91" t="inlineStr">
        <is>
          <t>探索一番</t>
        </is>
      </c>
      <c r="J230" s="91" t="inlineStr">
        <is>
          <t>无视它</t>
        </is>
      </c>
      <c r="K230" s="91" t="n"/>
      <c r="L230" s="91" t="n"/>
      <c r="M230" s="91" t="n"/>
      <c r="N230" s="91" t="inlineStr">
        <is>
          <t>1</t>
        </is>
      </c>
      <c r="O230" s="91" t="inlineStr">
        <is>
          <t>15|21</t>
        </is>
      </c>
      <c r="P230" s="91" t="inlineStr">
        <is>
          <t>1</t>
        </is>
      </c>
      <c r="Q230" s="118" t="inlineStr">
        <is>
          <t>10|10004|16</t>
        </is>
      </c>
      <c r="R230" s="91" t="inlineStr">
        <is>
          <t>-1</t>
        </is>
      </c>
      <c r="S230" s="91" t="inlineStr">
        <is>
          <t>4</t>
        </is>
      </c>
      <c r="T230" s="104" t="inlineStr">
        <is>
          <t>30035</t>
        </is>
      </c>
      <c r="U230" s="123" t="inlineStr">
        <is>
          <t>113</t>
        </is>
      </c>
      <c r="V230" s="119" t="inlineStr">
        <is>
          <t>4</t>
        </is>
      </c>
      <c r="W230" s="91" t="inlineStr">
        <is>
          <t>1</t>
        </is>
      </c>
      <c r="Z230" s="91" t="n"/>
    </row>
    <row r="231" ht="27" customHeight="1" s="127">
      <c r="B231" s="118" t="inlineStr">
        <is>
          <t>14115</t>
        </is>
      </c>
      <c r="C231" s="91" t="inlineStr">
        <is>
          <t>灵鲲</t>
        </is>
      </c>
      <c r="D231" s="89" t="inlineStr">
        <is>
          <t>鲲游荡在星空深处，以星辰为食，常年累月的吞噬，使它的体内埋藏了无数珍宝。</t>
        </is>
      </c>
      <c r="E231" s="118" t="inlineStr">
        <is>
          <t>羽民国难度5</t>
        </is>
      </c>
      <c r="F231" s="115" t="inlineStr">
        <is>
          <t>134001|65|80$134101|65|80$134201|65|80</t>
        </is>
      </c>
      <c r="G231" s="91" t="inlineStr">
        <is>
          <t>1</t>
        </is>
      </c>
      <c r="H231" s="91" t="inlineStr">
        <is>
          <t>1</t>
        </is>
      </c>
      <c r="I231" s="91" t="inlineStr">
        <is>
          <t>探索一番</t>
        </is>
      </c>
      <c r="J231" s="91" t="inlineStr">
        <is>
          <t>无视它</t>
        </is>
      </c>
      <c r="K231" s="91" t="n"/>
      <c r="L231" s="91" t="n"/>
      <c r="M231" s="91" t="n"/>
      <c r="N231" s="91" t="inlineStr">
        <is>
          <t>1</t>
        </is>
      </c>
      <c r="O231" s="91" t="inlineStr">
        <is>
          <t>24|28</t>
        </is>
      </c>
      <c r="P231" s="91" t="inlineStr">
        <is>
          <t>1</t>
        </is>
      </c>
      <c r="Q231" s="118" t="inlineStr">
        <is>
          <t>10|10004|16</t>
        </is>
      </c>
      <c r="R231" s="91" t="inlineStr">
        <is>
          <t>-1</t>
        </is>
      </c>
      <c r="S231" s="91" t="inlineStr">
        <is>
          <t>5</t>
        </is>
      </c>
      <c r="T231" s="104" t="inlineStr">
        <is>
          <t>30035</t>
        </is>
      </c>
      <c r="U231" s="123" t="inlineStr">
        <is>
          <t>119</t>
        </is>
      </c>
      <c r="V231" s="119" t="inlineStr">
        <is>
          <t>4</t>
        </is>
      </c>
      <c r="W231" s="91" t="inlineStr">
        <is>
          <t>1</t>
        </is>
      </c>
      <c r="Z231" s="91" t="n"/>
    </row>
    <row r="232" ht="27" customHeight="1" s="127">
      <c r="B232" s="118" t="inlineStr">
        <is>
          <t>14116</t>
        </is>
      </c>
      <c r="C232" s="95" t="inlineStr">
        <is>
          <t>虎鲲</t>
        </is>
      </c>
      <c r="D232" s="93" t="inlineStr">
        <is>
          <t>鲲游荡在星空深处，以星辰为食，常年累月的吞噬，使它的体内埋藏了无数珍宝。</t>
        </is>
      </c>
      <c r="E232" s="118" t="inlineStr">
        <is>
          <t>羽民国难度1</t>
        </is>
      </c>
      <c r="F232" s="125" t="inlineStr">
        <is>
          <t>134301|0|15$134401|0|15$134501|0|15</t>
        </is>
      </c>
      <c r="G232" s="95" t="inlineStr">
        <is>
          <t>1</t>
        </is>
      </c>
      <c r="H232" s="95" t="inlineStr">
        <is>
          <t>1</t>
        </is>
      </c>
      <c r="I232" s="95" t="inlineStr">
        <is>
          <t>探索一番</t>
        </is>
      </c>
      <c r="J232" s="95" t="inlineStr">
        <is>
          <t>无视它</t>
        </is>
      </c>
      <c r="K232" s="95" t="n"/>
      <c r="L232" s="95" t="n"/>
      <c r="M232" s="95" t="n"/>
      <c r="N232" s="95" t="inlineStr">
        <is>
          <t>1</t>
        </is>
      </c>
      <c r="O232" s="95" t="inlineStr">
        <is>
          <t>6|12</t>
        </is>
      </c>
      <c r="P232" s="95" t="inlineStr">
        <is>
          <t>1</t>
        </is>
      </c>
      <c r="Q232" s="118" t="inlineStr">
        <is>
          <t>10|10004|16</t>
        </is>
      </c>
      <c r="R232" s="95" t="inlineStr">
        <is>
          <t>-1</t>
        </is>
      </c>
      <c r="S232" s="95" t="inlineStr">
        <is>
          <t>1</t>
        </is>
      </c>
      <c r="T232" s="121" t="inlineStr">
        <is>
          <t>30036</t>
        </is>
      </c>
      <c r="U232" s="123" t="inlineStr">
        <is>
          <t>91</t>
        </is>
      </c>
      <c r="V232" s="119" t="inlineStr">
        <is>
          <t>4</t>
        </is>
      </c>
      <c r="W232" s="95" t="inlineStr">
        <is>
          <t>1</t>
        </is>
      </c>
      <c r="Z232" s="95" t="n"/>
    </row>
    <row r="233" ht="27" customHeight="1" s="127">
      <c r="B233" s="118" t="inlineStr">
        <is>
          <t>14117</t>
        </is>
      </c>
      <c r="C233" s="95" t="inlineStr">
        <is>
          <t>虎鲲</t>
        </is>
      </c>
      <c r="D233" s="93" t="inlineStr">
        <is>
          <t>鲲游荡在星空深处，以星辰为食，常年累月的吞噬，使它的体内埋藏了无数珍宝。</t>
        </is>
      </c>
      <c r="E233" s="118" t="inlineStr">
        <is>
          <t>羽民国难度2</t>
        </is>
      </c>
      <c r="F233" s="125" t="inlineStr">
        <is>
          <t>134301|15|30$134401|15|30$134501|15|30</t>
        </is>
      </c>
      <c r="G233" s="95" t="inlineStr">
        <is>
          <t>1</t>
        </is>
      </c>
      <c r="H233" s="95" t="inlineStr">
        <is>
          <t>1</t>
        </is>
      </c>
      <c r="I233" s="95" t="inlineStr">
        <is>
          <t>探索一番</t>
        </is>
      </c>
      <c r="J233" s="95" t="inlineStr">
        <is>
          <t>无视它</t>
        </is>
      </c>
      <c r="K233" s="95" t="n"/>
      <c r="L233" s="95" t="n"/>
      <c r="M233" s="95" t="n"/>
      <c r="N233" s="95" t="inlineStr">
        <is>
          <t>1</t>
        </is>
      </c>
      <c r="O233" s="95" t="inlineStr">
        <is>
          <t>9|15</t>
        </is>
      </c>
      <c r="P233" s="95" t="inlineStr">
        <is>
          <t>1</t>
        </is>
      </c>
      <c r="Q233" s="118" t="inlineStr">
        <is>
          <t>10|10004|16</t>
        </is>
      </c>
      <c r="R233" s="95" t="inlineStr">
        <is>
          <t>-1</t>
        </is>
      </c>
      <c r="S233" s="95" t="inlineStr">
        <is>
          <t>2</t>
        </is>
      </c>
      <c r="T233" s="121" t="inlineStr">
        <is>
          <t>30036</t>
        </is>
      </c>
      <c r="U233" s="123" t="inlineStr">
        <is>
          <t>98</t>
        </is>
      </c>
      <c r="V233" s="119" t="inlineStr">
        <is>
          <t>4</t>
        </is>
      </c>
      <c r="W233" s="95" t="inlineStr">
        <is>
          <t>1</t>
        </is>
      </c>
      <c r="Z233" s="95" t="n"/>
    </row>
    <row r="234" ht="27" customHeight="1" s="127">
      <c r="B234" s="118" t="inlineStr">
        <is>
          <t>14118</t>
        </is>
      </c>
      <c r="C234" s="95" t="inlineStr">
        <is>
          <t>虎鲲</t>
        </is>
      </c>
      <c r="D234" s="93" t="inlineStr">
        <is>
          <t>鲲游荡在星空深处，以星辰为食，常年累月的吞噬，使它的体内埋藏了无数珍宝。</t>
        </is>
      </c>
      <c r="E234" s="118" t="inlineStr">
        <is>
          <t>羽民国难度3</t>
        </is>
      </c>
      <c r="F234" s="125" t="inlineStr">
        <is>
          <t>134301|30|45$134401|30|45$134501|30|45</t>
        </is>
      </c>
      <c r="G234" s="95" t="inlineStr">
        <is>
          <t>1</t>
        </is>
      </c>
      <c r="H234" s="95" t="inlineStr">
        <is>
          <t>1</t>
        </is>
      </c>
      <c r="I234" s="95" t="inlineStr">
        <is>
          <t>探索一番</t>
        </is>
      </c>
      <c r="J234" s="95" t="inlineStr">
        <is>
          <t>无视它</t>
        </is>
      </c>
      <c r="K234" s="95" t="n"/>
      <c r="L234" s="95" t="n"/>
      <c r="M234" s="95" t="n"/>
      <c r="N234" s="95" t="inlineStr">
        <is>
          <t>1</t>
        </is>
      </c>
      <c r="O234" s="95" t="inlineStr">
        <is>
          <t>12|18</t>
        </is>
      </c>
      <c r="P234" s="95" t="inlineStr">
        <is>
          <t>1</t>
        </is>
      </c>
      <c r="Q234" s="118" t="inlineStr">
        <is>
          <t>10|10004|16</t>
        </is>
      </c>
      <c r="R234" s="95" t="inlineStr">
        <is>
          <t>-1</t>
        </is>
      </c>
      <c r="S234" s="95" t="inlineStr">
        <is>
          <t>3</t>
        </is>
      </c>
      <c r="T234" s="121" t="inlineStr">
        <is>
          <t>30036</t>
        </is>
      </c>
      <c r="U234" s="123" t="inlineStr">
        <is>
          <t>106</t>
        </is>
      </c>
      <c r="V234" s="119" t="inlineStr">
        <is>
          <t>4</t>
        </is>
      </c>
      <c r="W234" s="95" t="inlineStr">
        <is>
          <t>1</t>
        </is>
      </c>
      <c r="Z234" s="95" t="n"/>
    </row>
    <row r="235" ht="40.5" customHeight="1" s="127">
      <c r="B235" s="118" t="inlineStr">
        <is>
          <t>14119</t>
        </is>
      </c>
      <c r="C235" s="95" t="inlineStr">
        <is>
          <t>虎鲲</t>
        </is>
      </c>
      <c r="D235" s="93" t="inlineStr">
        <is>
          <t>鲲游荡在星空深处，以星辰为食，常年累月的吞噬，使它的体内埋藏了无数珍宝。</t>
        </is>
      </c>
      <c r="E235" s="118" t="inlineStr">
        <is>
          <t>羽民国难度4</t>
        </is>
      </c>
      <c r="F235" s="125" t="inlineStr">
        <is>
          <t>134301|45|60$134401|45|60$134501|45|60</t>
        </is>
      </c>
      <c r="G235" s="95" t="inlineStr">
        <is>
          <t>1</t>
        </is>
      </c>
      <c r="H235" s="95" t="inlineStr">
        <is>
          <t>1</t>
        </is>
      </c>
      <c r="I235" s="95" t="inlineStr">
        <is>
          <t>探索一番</t>
        </is>
      </c>
      <c r="J235" s="95" t="inlineStr">
        <is>
          <t>无视它</t>
        </is>
      </c>
      <c r="K235" s="95" t="n"/>
      <c r="L235" s="95" t="n"/>
      <c r="M235" s="95" t="n"/>
      <c r="N235" s="95" t="inlineStr">
        <is>
          <t>1</t>
        </is>
      </c>
      <c r="O235" s="95" t="inlineStr">
        <is>
          <t>15|21</t>
        </is>
      </c>
      <c r="P235" s="95" t="inlineStr">
        <is>
          <t>1</t>
        </is>
      </c>
      <c r="Q235" s="118" t="inlineStr">
        <is>
          <t>10|10004|16</t>
        </is>
      </c>
      <c r="R235" s="95" t="inlineStr">
        <is>
          <t>-1</t>
        </is>
      </c>
      <c r="S235" s="95" t="inlineStr">
        <is>
          <t>4</t>
        </is>
      </c>
      <c r="T235" s="121" t="inlineStr">
        <is>
          <t>30036</t>
        </is>
      </c>
      <c r="U235" s="123" t="inlineStr">
        <is>
          <t>113</t>
        </is>
      </c>
      <c r="V235" s="119" t="inlineStr">
        <is>
          <t>4</t>
        </is>
      </c>
      <c r="W235" s="95" t="inlineStr">
        <is>
          <t>1</t>
        </is>
      </c>
      <c r="Z235" s="95" t="n"/>
    </row>
    <row r="236" ht="40.5" customHeight="1" s="127">
      <c r="B236" s="118" t="inlineStr">
        <is>
          <t>14120</t>
        </is>
      </c>
      <c r="C236" s="95" t="inlineStr">
        <is>
          <t>虎鲲</t>
        </is>
      </c>
      <c r="D236" s="93" t="inlineStr">
        <is>
          <t>鲲游荡在星空深处，以星辰为食，常年累月的吞噬，使它的体内埋藏了无数珍宝。</t>
        </is>
      </c>
      <c r="E236" s="118" t="inlineStr">
        <is>
          <t>羽民国难度5</t>
        </is>
      </c>
      <c r="F236" s="125" t="inlineStr">
        <is>
          <t>134301|65|80$134401|65|80$134501|65|80</t>
        </is>
      </c>
      <c r="G236" s="95" t="inlineStr">
        <is>
          <t>1</t>
        </is>
      </c>
      <c r="H236" s="95" t="inlineStr">
        <is>
          <t>1</t>
        </is>
      </c>
      <c r="I236" s="95" t="inlineStr">
        <is>
          <t>探索一番</t>
        </is>
      </c>
      <c r="J236" s="95" t="inlineStr">
        <is>
          <t>无视它</t>
        </is>
      </c>
      <c r="K236" s="95" t="n"/>
      <c r="L236" s="95" t="n"/>
      <c r="M236" s="95" t="n"/>
      <c r="N236" s="95" t="inlineStr">
        <is>
          <t>1</t>
        </is>
      </c>
      <c r="O236" s="95" t="inlineStr">
        <is>
          <t>24|28</t>
        </is>
      </c>
      <c r="P236" s="95" t="inlineStr">
        <is>
          <t>1</t>
        </is>
      </c>
      <c r="Q236" s="118" t="inlineStr">
        <is>
          <t>10|10004|16</t>
        </is>
      </c>
      <c r="R236" s="95" t="inlineStr">
        <is>
          <t>-1</t>
        </is>
      </c>
      <c r="S236" s="95" t="inlineStr">
        <is>
          <t>5</t>
        </is>
      </c>
      <c r="T236" s="121" t="inlineStr">
        <is>
          <t>30036</t>
        </is>
      </c>
      <c r="U236" s="123" t="inlineStr">
        <is>
          <t>119</t>
        </is>
      </c>
      <c r="V236" s="119" t="inlineStr">
        <is>
          <t>4</t>
        </is>
      </c>
      <c r="W236" s="95" t="inlineStr">
        <is>
          <t>1</t>
        </is>
      </c>
      <c r="Z236" s="95" t="n"/>
    </row>
    <row r="237" ht="40.5" customHeight="1" s="127">
      <c r="B237" s="118" t="inlineStr">
        <is>
          <t>14121</t>
        </is>
      </c>
      <c r="C237" s="98" t="inlineStr">
        <is>
          <t>骨鲲</t>
        </is>
      </c>
      <c r="D237" s="97" t="inlineStr">
        <is>
          <t>鲲游荡在星空深处，以星辰为食，常年累月的吞噬，使它的体内埋藏了无数珍宝。</t>
        </is>
      </c>
      <c r="E237" s="118" t="inlineStr">
        <is>
          <t>羽民国难度1</t>
        </is>
      </c>
      <c r="F237" s="120" t="inlineStr">
        <is>
          <t>134001|0|30$134101|0|30$134201|0|30$134301|0|30$134401|0|30$134501|0|30</t>
        </is>
      </c>
      <c r="G237" s="98" t="inlineStr">
        <is>
          <t>1</t>
        </is>
      </c>
      <c r="H237" s="98" t="inlineStr">
        <is>
          <t>1</t>
        </is>
      </c>
      <c r="I237" s="98" t="inlineStr">
        <is>
          <t>探索一番</t>
        </is>
      </c>
      <c r="J237" s="98" t="inlineStr">
        <is>
          <t>无视它</t>
        </is>
      </c>
      <c r="K237" s="98" t="n"/>
      <c r="L237" s="98" t="n"/>
      <c r="M237" s="98" t="n"/>
      <c r="N237" s="98" t="inlineStr">
        <is>
          <t>1</t>
        </is>
      </c>
      <c r="O237" s="98" t="inlineStr">
        <is>
          <t>6|12</t>
        </is>
      </c>
      <c r="P237" s="98" t="inlineStr">
        <is>
          <t>1</t>
        </is>
      </c>
      <c r="Q237" s="118" t="inlineStr">
        <is>
          <t>10|10004|16</t>
        </is>
      </c>
      <c r="R237" s="98" t="inlineStr">
        <is>
          <t>-1</t>
        </is>
      </c>
      <c r="S237" s="98" t="inlineStr">
        <is>
          <t>1</t>
        </is>
      </c>
      <c r="T237" s="121" t="inlineStr">
        <is>
          <t>30037</t>
        </is>
      </c>
      <c r="U237" s="123" t="inlineStr">
        <is>
          <t>91</t>
        </is>
      </c>
      <c r="V237" s="119" t="inlineStr">
        <is>
          <t>4</t>
        </is>
      </c>
      <c r="W237" s="98" t="inlineStr">
        <is>
          <t>1</t>
        </is>
      </c>
      <c r="Z237" s="98" t="n"/>
    </row>
    <row r="238" ht="40.5" customHeight="1" s="127">
      <c r="B238" s="118" t="inlineStr">
        <is>
          <t>14122</t>
        </is>
      </c>
      <c r="C238" s="98" t="inlineStr">
        <is>
          <t>骨鲲</t>
        </is>
      </c>
      <c r="D238" s="97" t="inlineStr">
        <is>
          <t>鲲游荡在星空深处，以星辰为食，常年累月的吞噬，使它的体内埋藏了无数珍宝。</t>
        </is>
      </c>
      <c r="E238" s="118" t="inlineStr">
        <is>
          <t>羽民国难度2</t>
        </is>
      </c>
      <c r="F238" s="120" t="inlineStr">
        <is>
          <t>134001|30|60$134101|30|60$134201|30|60$134301|30|60$134401|30|60$134501|30|60</t>
        </is>
      </c>
      <c r="G238" s="98" t="inlineStr">
        <is>
          <t>1</t>
        </is>
      </c>
      <c r="H238" s="98" t="inlineStr">
        <is>
          <t>1</t>
        </is>
      </c>
      <c r="I238" s="98" t="inlineStr">
        <is>
          <t>探索一番</t>
        </is>
      </c>
      <c r="J238" s="98" t="inlineStr">
        <is>
          <t>无视它</t>
        </is>
      </c>
      <c r="K238" s="98" t="n"/>
      <c r="L238" s="98" t="n"/>
      <c r="M238" s="98" t="n"/>
      <c r="N238" s="98" t="inlineStr">
        <is>
          <t>1</t>
        </is>
      </c>
      <c r="O238" s="98" t="inlineStr">
        <is>
          <t>9|15</t>
        </is>
      </c>
      <c r="P238" s="98" t="inlineStr">
        <is>
          <t>1</t>
        </is>
      </c>
      <c r="Q238" s="118" t="inlineStr">
        <is>
          <t>10|10004|16</t>
        </is>
      </c>
      <c r="R238" s="98" t="inlineStr">
        <is>
          <t>-1</t>
        </is>
      </c>
      <c r="S238" s="98" t="inlineStr">
        <is>
          <t>2</t>
        </is>
      </c>
      <c r="T238" s="121" t="inlineStr">
        <is>
          <t>30037</t>
        </is>
      </c>
      <c r="U238" s="123" t="inlineStr">
        <is>
          <t>98</t>
        </is>
      </c>
      <c r="V238" s="119" t="inlineStr">
        <is>
          <t>4</t>
        </is>
      </c>
      <c r="W238" s="98" t="inlineStr">
        <is>
          <t>1</t>
        </is>
      </c>
      <c r="Z238" s="98" t="n"/>
    </row>
    <row r="239" ht="40.5" customHeight="1" s="127">
      <c r="B239" s="118" t="inlineStr">
        <is>
          <t>14123</t>
        </is>
      </c>
      <c r="C239" s="98" t="inlineStr">
        <is>
          <t>骨鲲</t>
        </is>
      </c>
      <c r="D239" s="97" t="inlineStr">
        <is>
          <t>鲲游荡在星空深处，以星辰为食，常年累月的吞噬，使它的体内埋藏了无数珍宝。</t>
        </is>
      </c>
      <c r="E239" s="118" t="inlineStr">
        <is>
          <t>羽民国难度3</t>
        </is>
      </c>
      <c r="F239" s="120" t="inlineStr">
        <is>
          <t>134001|30|90$134101|30|90$134201|30|90$134301|30|90$134401|30|90$134501|30|90</t>
        </is>
      </c>
      <c r="G239" s="98" t="inlineStr">
        <is>
          <t>1</t>
        </is>
      </c>
      <c r="H239" s="98" t="inlineStr">
        <is>
          <t>1</t>
        </is>
      </c>
      <c r="I239" s="98" t="inlineStr">
        <is>
          <t>探索一番</t>
        </is>
      </c>
      <c r="J239" s="98" t="inlineStr">
        <is>
          <t>无视它</t>
        </is>
      </c>
      <c r="K239" s="98" t="n"/>
      <c r="L239" s="98" t="n"/>
      <c r="M239" s="98" t="n"/>
      <c r="N239" s="98" t="inlineStr">
        <is>
          <t>1</t>
        </is>
      </c>
      <c r="O239" s="98" t="inlineStr">
        <is>
          <t>12|18</t>
        </is>
      </c>
      <c r="P239" s="98" t="inlineStr">
        <is>
          <t>1</t>
        </is>
      </c>
      <c r="Q239" s="118" t="inlineStr">
        <is>
          <t>10|10004|16</t>
        </is>
      </c>
      <c r="R239" s="98" t="inlineStr">
        <is>
          <t>-1</t>
        </is>
      </c>
      <c r="S239" s="98" t="inlineStr">
        <is>
          <t>3</t>
        </is>
      </c>
      <c r="T239" s="121" t="inlineStr">
        <is>
          <t>30037</t>
        </is>
      </c>
      <c r="U239" s="123" t="inlineStr">
        <is>
          <t>106</t>
        </is>
      </c>
      <c r="V239" s="119" t="inlineStr">
        <is>
          <t>4</t>
        </is>
      </c>
      <c r="W239" s="98" t="inlineStr">
        <is>
          <t>1</t>
        </is>
      </c>
      <c r="Z239" s="98" t="n"/>
    </row>
    <row r="240" ht="27" customHeight="1" s="127">
      <c r="B240" s="118" t="inlineStr">
        <is>
          <t>14124</t>
        </is>
      </c>
      <c r="C240" s="98" t="inlineStr">
        <is>
          <t>骨鲲</t>
        </is>
      </c>
      <c r="D240" s="97" t="inlineStr">
        <is>
          <t>鲲游荡在星空深处，以星辰为食，常年累月的吞噬，使它的体内埋藏了无数珍宝。</t>
        </is>
      </c>
      <c r="E240" s="118" t="inlineStr">
        <is>
          <t>羽民国难度4</t>
        </is>
      </c>
      <c r="F240" s="120" t="inlineStr">
        <is>
          <t>134001|90|120$134101|90|120$134201|90|120$134301|90|120$134401|90|120$134501|90|120</t>
        </is>
      </c>
      <c r="G240" s="98" t="inlineStr">
        <is>
          <t>1</t>
        </is>
      </c>
      <c r="H240" s="98" t="inlineStr">
        <is>
          <t>1</t>
        </is>
      </c>
      <c r="I240" s="98" t="inlineStr">
        <is>
          <t>探索一番</t>
        </is>
      </c>
      <c r="J240" s="98" t="inlineStr">
        <is>
          <t>无视它</t>
        </is>
      </c>
      <c r="K240" s="98" t="n"/>
      <c r="L240" s="98" t="n"/>
      <c r="M240" s="98" t="n"/>
      <c r="N240" s="98" t="inlineStr">
        <is>
          <t>1</t>
        </is>
      </c>
      <c r="O240" s="98" t="inlineStr">
        <is>
          <t>15|21</t>
        </is>
      </c>
      <c r="P240" s="98" t="inlineStr">
        <is>
          <t>1</t>
        </is>
      </c>
      <c r="Q240" s="118" t="inlineStr">
        <is>
          <t>10|10004|16</t>
        </is>
      </c>
      <c r="R240" s="98" t="inlineStr">
        <is>
          <t>-1</t>
        </is>
      </c>
      <c r="S240" s="98" t="inlineStr">
        <is>
          <t>4</t>
        </is>
      </c>
      <c r="T240" s="121" t="inlineStr">
        <is>
          <t>30037</t>
        </is>
      </c>
      <c r="U240" s="123" t="inlineStr">
        <is>
          <t>113</t>
        </is>
      </c>
      <c r="V240" s="119" t="inlineStr">
        <is>
          <t>4</t>
        </is>
      </c>
      <c r="W240" s="98" t="inlineStr">
        <is>
          <t>1</t>
        </is>
      </c>
      <c r="Z240" s="98" t="n"/>
    </row>
    <row r="241" ht="27" customHeight="1" s="127">
      <c r="B241" s="118" t="inlineStr">
        <is>
          <t>14125</t>
        </is>
      </c>
      <c r="C241" s="98" t="inlineStr">
        <is>
          <t>骨鲲</t>
        </is>
      </c>
      <c r="D241" s="97" t="inlineStr">
        <is>
          <t>鲲游荡在星空深处，以星辰为食，常年累月的吞噬，使它的体内埋藏了无数珍宝。</t>
        </is>
      </c>
      <c r="E241" s="118" t="inlineStr">
        <is>
          <t>羽民国难度5</t>
        </is>
      </c>
      <c r="F241" s="120" t="inlineStr">
        <is>
          <t>134001|120|160$134101|120|160$134201|120|160$134301|120|160$134401|120|160$134501|120|160</t>
        </is>
      </c>
      <c r="G241" s="98" t="inlineStr">
        <is>
          <t>1</t>
        </is>
      </c>
      <c r="H241" s="98" t="inlineStr">
        <is>
          <t>1</t>
        </is>
      </c>
      <c r="I241" s="98" t="inlineStr">
        <is>
          <t>探索一番</t>
        </is>
      </c>
      <c r="J241" s="98" t="inlineStr">
        <is>
          <t>无视它</t>
        </is>
      </c>
      <c r="K241" s="98" t="n"/>
      <c r="L241" s="98" t="n"/>
      <c r="M241" s="98" t="n"/>
      <c r="N241" s="98" t="inlineStr">
        <is>
          <t>1</t>
        </is>
      </c>
      <c r="O241" s="98" t="inlineStr">
        <is>
          <t>24|28</t>
        </is>
      </c>
      <c r="P241" s="98" t="inlineStr">
        <is>
          <t>1</t>
        </is>
      </c>
      <c r="Q241" s="118" t="inlineStr">
        <is>
          <t>10|10004|16</t>
        </is>
      </c>
      <c r="R241" s="98" t="inlineStr">
        <is>
          <t>-1</t>
        </is>
      </c>
      <c r="S241" s="98" t="inlineStr">
        <is>
          <t>5</t>
        </is>
      </c>
      <c r="T241" s="121" t="inlineStr">
        <is>
          <t>30037</t>
        </is>
      </c>
      <c r="U241" s="123" t="inlineStr">
        <is>
          <t>119</t>
        </is>
      </c>
      <c r="V241" s="119" t="inlineStr">
        <is>
          <t>4</t>
        </is>
      </c>
      <c r="W241" s="98" t="inlineStr">
        <is>
          <t>1</t>
        </is>
      </c>
      <c r="Z241" s="98" t="n"/>
    </row>
    <row r="242" ht="27" customHeight="1" s="127">
      <c r="B242" s="118" t="inlineStr">
        <is>
          <t>14126</t>
        </is>
      </c>
      <c r="C242" s="80" t="inlineStr">
        <is>
          <t>仙陨魂</t>
        </is>
      </c>
      <c r="D242" s="99" t="inlineStr">
        <is>
          <t>飞升何其艰难，冲击飞升之人十有八九都陨落了，他们不甘的魂魄形成了陨魂。</t>
        </is>
      </c>
      <c r="E242" s="118" t="inlineStr">
        <is>
          <t>羽民国难度1</t>
        </is>
      </c>
      <c r="F242" s="111" t="inlineStr">
        <is>
          <t>990002|0|11$124002|830|860$124004|830|860$124006|830|860</t>
        </is>
      </c>
      <c r="G242" s="80" t="inlineStr">
        <is>
          <t>1</t>
        </is>
      </c>
      <c r="H242" s="80" t="inlineStr">
        <is>
          <t>1</t>
        </is>
      </c>
      <c r="I242" s="80" t="inlineStr">
        <is>
          <t>探索一番</t>
        </is>
      </c>
      <c r="J242" s="80" t="inlineStr">
        <is>
          <t>无视它</t>
        </is>
      </c>
      <c r="K242" s="80" t="n"/>
      <c r="L242" s="80" t="n"/>
      <c r="M242" s="80" t="n"/>
      <c r="N242" s="80" t="inlineStr">
        <is>
          <t>1</t>
        </is>
      </c>
      <c r="O242" s="80" t="inlineStr">
        <is>
          <t>6|12</t>
        </is>
      </c>
      <c r="P242" s="80" t="inlineStr">
        <is>
          <t>1</t>
        </is>
      </c>
      <c r="Q242" s="118" t="inlineStr">
        <is>
          <t>10|10004|16</t>
        </is>
      </c>
      <c r="R242" s="80" t="inlineStr">
        <is>
          <t>-1</t>
        </is>
      </c>
      <c r="S242" s="80" t="inlineStr">
        <is>
          <t>1</t>
        </is>
      </c>
      <c r="T242" s="105" t="inlineStr">
        <is>
          <t>30050</t>
        </is>
      </c>
      <c r="U242" s="123" t="inlineStr">
        <is>
          <t>91</t>
        </is>
      </c>
      <c r="V242" s="119" t="inlineStr">
        <is>
          <t>4</t>
        </is>
      </c>
      <c r="W242" s="80" t="inlineStr">
        <is>
          <t>1</t>
        </is>
      </c>
      <c r="Z242" s="80" t="n"/>
    </row>
    <row r="243" ht="40.5" customHeight="1" s="127">
      <c r="B243" s="118" t="inlineStr">
        <is>
          <t>14127</t>
        </is>
      </c>
      <c r="C243" s="80" t="inlineStr">
        <is>
          <t>仙陨魂</t>
        </is>
      </c>
      <c r="D243" s="99" t="inlineStr">
        <is>
          <t>飞升何其艰难，冲击飞升之人十有八九都陨落了，他们不甘的魂魄形成了陨魂。</t>
        </is>
      </c>
      <c r="E243" s="118" t="inlineStr">
        <is>
          <t>羽民国难度2</t>
        </is>
      </c>
      <c r="F243" s="111" t="inlineStr">
        <is>
          <t>990002|0|12$124002|906|937$124004|906|937$124006|906|937</t>
        </is>
      </c>
      <c r="G243" s="80" t="inlineStr">
        <is>
          <t>1</t>
        </is>
      </c>
      <c r="H243" s="80" t="inlineStr">
        <is>
          <t>1</t>
        </is>
      </c>
      <c r="I243" s="80" t="inlineStr">
        <is>
          <t>探索一番</t>
        </is>
      </c>
      <c r="J243" s="80" t="inlineStr">
        <is>
          <t>无视它</t>
        </is>
      </c>
      <c r="K243" s="80" t="n"/>
      <c r="L243" s="80" t="n"/>
      <c r="M243" s="80" t="n"/>
      <c r="N243" s="80" t="inlineStr">
        <is>
          <t>1</t>
        </is>
      </c>
      <c r="O243" s="80" t="inlineStr">
        <is>
          <t>9|15</t>
        </is>
      </c>
      <c r="P243" s="80" t="inlineStr">
        <is>
          <t>1</t>
        </is>
      </c>
      <c r="Q243" s="118" t="inlineStr">
        <is>
          <t>10|10004|16</t>
        </is>
      </c>
      <c r="R243" s="80" t="inlineStr">
        <is>
          <t>-1</t>
        </is>
      </c>
      <c r="S243" s="80" t="inlineStr">
        <is>
          <t>2</t>
        </is>
      </c>
      <c r="T243" s="105" t="inlineStr">
        <is>
          <t>30050</t>
        </is>
      </c>
      <c r="U243" s="123" t="inlineStr">
        <is>
          <t>98</t>
        </is>
      </c>
      <c r="V243" s="119" t="inlineStr">
        <is>
          <t>4</t>
        </is>
      </c>
      <c r="W243" s="80" t="inlineStr">
        <is>
          <t>1</t>
        </is>
      </c>
      <c r="Z243" s="80" t="n"/>
    </row>
    <row r="244" ht="40.5" customHeight="1" s="127">
      <c r="B244" s="118" t="inlineStr">
        <is>
          <t>14128</t>
        </is>
      </c>
      <c r="C244" s="80" t="inlineStr">
        <is>
          <t>仙陨魂</t>
        </is>
      </c>
      <c r="D244" s="99" t="inlineStr">
        <is>
          <t>飞升何其艰难，冲击飞升之人十有八九都陨落了，他们不甘的魂魄形成了陨魂。</t>
        </is>
      </c>
      <c r="E244" s="118" t="inlineStr">
        <is>
          <t>羽民国难度3</t>
        </is>
      </c>
      <c r="F244" s="111" t="inlineStr">
        <is>
          <t>990002|0|13$124002|982|1014$124004|982|1014$124006|982|1014</t>
        </is>
      </c>
      <c r="G244" s="80" t="inlineStr">
        <is>
          <t>1</t>
        </is>
      </c>
      <c r="H244" s="80" t="inlineStr">
        <is>
          <t>1</t>
        </is>
      </c>
      <c r="I244" s="80" t="inlineStr">
        <is>
          <t>探索一番</t>
        </is>
      </c>
      <c r="J244" s="80" t="inlineStr">
        <is>
          <t>无视它</t>
        </is>
      </c>
      <c r="K244" s="80" t="n"/>
      <c r="L244" s="80" t="n"/>
      <c r="M244" s="80" t="n"/>
      <c r="N244" s="80" t="inlineStr">
        <is>
          <t>1</t>
        </is>
      </c>
      <c r="O244" s="80" t="inlineStr">
        <is>
          <t>12|18</t>
        </is>
      </c>
      <c r="P244" s="80" t="inlineStr">
        <is>
          <t>1</t>
        </is>
      </c>
      <c r="Q244" s="118" t="inlineStr">
        <is>
          <t>10|10004|16</t>
        </is>
      </c>
      <c r="R244" s="80" t="inlineStr">
        <is>
          <t>-1</t>
        </is>
      </c>
      <c r="S244" s="80" t="inlineStr">
        <is>
          <t>3</t>
        </is>
      </c>
      <c r="T244" s="105" t="inlineStr">
        <is>
          <t>30050</t>
        </is>
      </c>
      <c r="U244" s="123" t="inlineStr">
        <is>
          <t>106</t>
        </is>
      </c>
      <c r="V244" s="119" t="inlineStr">
        <is>
          <t>4</t>
        </is>
      </c>
      <c r="W244" s="80" t="inlineStr">
        <is>
          <t>1</t>
        </is>
      </c>
      <c r="Z244" s="80" t="n"/>
    </row>
    <row r="245" ht="27" customHeight="1" s="127">
      <c r="B245" s="118" t="inlineStr">
        <is>
          <t>14129</t>
        </is>
      </c>
      <c r="C245" s="80" t="inlineStr">
        <is>
          <t>仙陨魂</t>
        </is>
      </c>
      <c r="D245" s="99" t="inlineStr">
        <is>
          <t>飞升何其艰难，冲击飞升之人十有八九都陨落了，他们不甘的魂魄形成了陨魂。</t>
        </is>
      </c>
      <c r="E245" s="118" t="inlineStr">
        <is>
          <t>羽民国难度4</t>
        </is>
      </c>
      <c r="F245" s="111" t="inlineStr">
        <is>
          <t>990002|0|14$124002|1058|1091$124004|1058|1091$124006|1058|1091</t>
        </is>
      </c>
      <c r="G245" s="80" t="inlineStr">
        <is>
          <t>1</t>
        </is>
      </c>
      <c r="H245" s="80" t="inlineStr">
        <is>
          <t>1</t>
        </is>
      </c>
      <c r="I245" s="80" t="inlineStr">
        <is>
          <t>探索一番</t>
        </is>
      </c>
      <c r="J245" s="80" t="inlineStr">
        <is>
          <t>无视它</t>
        </is>
      </c>
      <c r="K245" s="80" t="n"/>
      <c r="L245" s="80" t="n"/>
      <c r="M245" s="80" t="n"/>
      <c r="N245" s="80" t="inlineStr">
        <is>
          <t>1</t>
        </is>
      </c>
      <c r="O245" s="80" t="inlineStr">
        <is>
          <t>15|21</t>
        </is>
      </c>
      <c r="P245" s="80" t="inlineStr">
        <is>
          <t>1</t>
        </is>
      </c>
      <c r="Q245" s="118" t="inlineStr">
        <is>
          <t>10|10004|16</t>
        </is>
      </c>
      <c r="R245" s="80" t="inlineStr">
        <is>
          <t>-1</t>
        </is>
      </c>
      <c r="S245" s="80" t="inlineStr">
        <is>
          <t>4</t>
        </is>
      </c>
      <c r="T245" s="105" t="inlineStr">
        <is>
          <t>30050</t>
        </is>
      </c>
      <c r="U245" s="123" t="inlineStr">
        <is>
          <t>113</t>
        </is>
      </c>
      <c r="V245" s="119" t="inlineStr">
        <is>
          <t>4</t>
        </is>
      </c>
      <c r="W245" s="80" t="inlineStr">
        <is>
          <t>1</t>
        </is>
      </c>
      <c r="Z245" s="80" t="n"/>
    </row>
    <row r="246" ht="27" customHeight="1" s="127">
      <c r="B246" s="118" t="inlineStr">
        <is>
          <t>14130</t>
        </is>
      </c>
      <c r="C246" s="80" t="inlineStr">
        <is>
          <t>仙陨魂</t>
        </is>
      </c>
      <c r="D246" s="99" t="inlineStr">
        <is>
          <t>飞升何其艰难，冲击飞升之人十有八九都陨落了，他们不甘的魂魄形成了陨魂。</t>
        </is>
      </c>
      <c r="E246" s="118" t="inlineStr">
        <is>
          <t>羽民国难度5</t>
        </is>
      </c>
      <c r="F246" s="111" t="inlineStr">
        <is>
          <t>990002|0|15$124002|1134|1168$124004|1134|1168$124006|1134|1168</t>
        </is>
      </c>
      <c r="G246" s="80" t="inlineStr">
        <is>
          <t>1</t>
        </is>
      </c>
      <c r="H246" s="80" t="inlineStr">
        <is>
          <t>1</t>
        </is>
      </c>
      <c r="I246" s="80" t="inlineStr">
        <is>
          <t>探索一番</t>
        </is>
      </c>
      <c r="J246" s="80" t="inlineStr">
        <is>
          <t>无视它</t>
        </is>
      </c>
      <c r="K246" s="80" t="n"/>
      <c r="L246" s="80" t="n"/>
      <c r="M246" s="80" t="n"/>
      <c r="N246" s="80" t="inlineStr">
        <is>
          <t>1</t>
        </is>
      </c>
      <c r="O246" s="80" t="inlineStr">
        <is>
          <t>24|28</t>
        </is>
      </c>
      <c r="P246" s="80" t="inlineStr">
        <is>
          <t>1</t>
        </is>
      </c>
      <c r="Q246" s="118" t="inlineStr">
        <is>
          <t>10|10004|16</t>
        </is>
      </c>
      <c r="R246" s="80" t="inlineStr">
        <is>
          <t>-1</t>
        </is>
      </c>
      <c r="S246" s="80" t="inlineStr">
        <is>
          <t>5</t>
        </is>
      </c>
      <c r="T246" s="105" t="inlineStr">
        <is>
          <t>30050</t>
        </is>
      </c>
      <c r="U246" s="123" t="inlineStr">
        <is>
          <t>119</t>
        </is>
      </c>
      <c r="V246" s="119" t="inlineStr">
        <is>
          <t>4</t>
        </is>
      </c>
      <c r="W246" s="80" t="inlineStr">
        <is>
          <t>1</t>
        </is>
      </c>
      <c r="Z246" s="80" t="n"/>
    </row>
    <row r="247" ht="27" customHeight="1" s="127">
      <c r="B247" s="118" t="inlineStr">
        <is>
          <t>14131</t>
        </is>
      </c>
      <c r="C247" s="102" t="inlineStr">
        <is>
          <t>魔陨魂</t>
        </is>
      </c>
      <c r="D247" s="101" t="inlineStr">
        <is>
          <t>飞升何其艰难，冲击飞升之人十有八九都陨落了，他们不甘的魂魄形成了陨魂。</t>
        </is>
      </c>
      <c r="E247" s="118" t="inlineStr">
        <is>
          <t>羽民国难度1</t>
        </is>
      </c>
      <c r="F247" s="126" t="inlineStr">
        <is>
          <t>990003|0|11$124003|830|860$124005|830|860$124007|830|860</t>
        </is>
      </c>
      <c r="G247" s="102" t="inlineStr">
        <is>
          <t>1</t>
        </is>
      </c>
      <c r="H247" s="102" t="inlineStr">
        <is>
          <t>1</t>
        </is>
      </c>
      <c r="I247" s="102" t="inlineStr">
        <is>
          <t>探索一番</t>
        </is>
      </c>
      <c r="J247" s="102" t="inlineStr">
        <is>
          <t>无视它</t>
        </is>
      </c>
      <c r="K247" s="102" t="n"/>
      <c r="L247" s="102" t="n"/>
      <c r="M247" s="102" t="n"/>
      <c r="N247" s="102" t="inlineStr">
        <is>
          <t>1</t>
        </is>
      </c>
      <c r="O247" s="102" t="inlineStr">
        <is>
          <t>6|12</t>
        </is>
      </c>
      <c r="P247" s="102" t="inlineStr">
        <is>
          <t>1</t>
        </is>
      </c>
      <c r="Q247" s="118" t="inlineStr">
        <is>
          <t>10|10004|16</t>
        </is>
      </c>
      <c r="R247" s="102" t="inlineStr">
        <is>
          <t>-1</t>
        </is>
      </c>
      <c r="S247" s="102" t="inlineStr">
        <is>
          <t>1</t>
        </is>
      </c>
      <c r="T247" s="122" t="inlineStr">
        <is>
          <t>30051</t>
        </is>
      </c>
      <c r="U247" s="123" t="inlineStr">
        <is>
          <t>91</t>
        </is>
      </c>
      <c r="V247" s="119" t="inlineStr">
        <is>
          <t>4</t>
        </is>
      </c>
      <c r="W247" s="102" t="inlineStr">
        <is>
          <t>1</t>
        </is>
      </c>
      <c r="Z247" s="102" t="n"/>
    </row>
    <row r="248" ht="40.5" customHeight="1" s="127">
      <c r="B248" s="118" t="inlineStr">
        <is>
          <t>14132</t>
        </is>
      </c>
      <c r="C248" s="102" t="inlineStr">
        <is>
          <t>魔陨魂</t>
        </is>
      </c>
      <c r="D248" s="101" t="inlineStr">
        <is>
          <t>飞升何其艰难，冲击飞升之人十有八九都陨落了，他们不甘的魂魄形成了陨魂。</t>
        </is>
      </c>
      <c r="E248" s="118" t="inlineStr">
        <is>
          <t>羽民国难度2</t>
        </is>
      </c>
      <c r="F248" s="126" t="inlineStr">
        <is>
          <t>990003|0|12$124003|906|937$124005|906|937$124007|906|937</t>
        </is>
      </c>
      <c r="G248" s="102" t="inlineStr">
        <is>
          <t>1</t>
        </is>
      </c>
      <c r="H248" s="102" t="inlineStr">
        <is>
          <t>1</t>
        </is>
      </c>
      <c r="I248" s="102" t="inlineStr">
        <is>
          <t>探索一番</t>
        </is>
      </c>
      <c r="J248" s="102" t="inlineStr">
        <is>
          <t>无视它</t>
        </is>
      </c>
      <c r="K248" s="102" t="n"/>
      <c r="L248" s="102" t="n"/>
      <c r="M248" s="102" t="n"/>
      <c r="N248" s="102" t="inlineStr">
        <is>
          <t>1</t>
        </is>
      </c>
      <c r="O248" s="102" t="inlineStr">
        <is>
          <t>9|15</t>
        </is>
      </c>
      <c r="P248" s="102" t="inlineStr">
        <is>
          <t>1</t>
        </is>
      </c>
      <c r="Q248" s="118" t="inlineStr">
        <is>
          <t>10|10004|16</t>
        </is>
      </c>
      <c r="R248" s="102" t="inlineStr">
        <is>
          <t>-1</t>
        </is>
      </c>
      <c r="S248" s="102" t="inlineStr">
        <is>
          <t>2</t>
        </is>
      </c>
      <c r="T248" s="122" t="inlineStr">
        <is>
          <t>30051</t>
        </is>
      </c>
      <c r="U248" s="123" t="inlineStr">
        <is>
          <t>98</t>
        </is>
      </c>
      <c r="V248" s="119" t="inlineStr">
        <is>
          <t>4</t>
        </is>
      </c>
      <c r="W248" s="102" t="inlineStr">
        <is>
          <t>1</t>
        </is>
      </c>
      <c r="Z248" s="102" t="n"/>
    </row>
    <row r="249" ht="40.5" customHeight="1" s="127">
      <c r="B249" s="118" t="inlineStr">
        <is>
          <t>14133</t>
        </is>
      </c>
      <c r="C249" s="102" t="inlineStr">
        <is>
          <t>魔陨魂</t>
        </is>
      </c>
      <c r="D249" s="101" t="inlineStr">
        <is>
          <t>飞升何其艰难，冲击飞升之人十有八九都陨落了，他们不甘的魂魄形成了陨魂。</t>
        </is>
      </c>
      <c r="E249" s="118" t="inlineStr">
        <is>
          <t>羽民国难度3</t>
        </is>
      </c>
      <c r="F249" s="126" t="inlineStr">
        <is>
          <t>990003|0|13$124003|982|1014$124005|982|1014$124007|982|1014</t>
        </is>
      </c>
      <c r="G249" s="102" t="inlineStr">
        <is>
          <t>1</t>
        </is>
      </c>
      <c r="H249" s="102" t="inlineStr">
        <is>
          <t>1</t>
        </is>
      </c>
      <c r="I249" s="102" t="inlineStr">
        <is>
          <t>探索一番</t>
        </is>
      </c>
      <c r="J249" s="102" t="inlineStr">
        <is>
          <t>无视它</t>
        </is>
      </c>
      <c r="K249" s="102" t="n"/>
      <c r="L249" s="102" t="n"/>
      <c r="M249" s="102" t="n"/>
      <c r="N249" s="102" t="inlineStr">
        <is>
          <t>1</t>
        </is>
      </c>
      <c r="O249" s="102" t="inlineStr">
        <is>
          <t>12|18</t>
        </is>
      </c>
      <c r="P249" s="102" t="inlineStr">
        <is>
          <t>1</t>
        </is>
      </c>
      <c r="Q249" s="118" t="inlineStr">
        <is>
          <t>10|10004|16</t>
        </is>
      </c>
      <c r="R249" s="102" t="inlineStr">
        <is>
          <t>-1</t>
        </is>
      </c>
      <c r="S249" s="102" t="inlineStr">
        <is>
          <t>3</t>
        </is>
      </c>
      <c r="T249" s="122" t="inlineStr">
        <is>
          <t>30051</t>
        </is>
      </c>
      <c r="U249" s="123" t="inlineStr">
        <is>
          <t>106</t>
        </is>
      </c>
      <c r="V249" s="119" t="inlineStr">
        <is>
          <t>4</t>
        </is>
      </c>
      <c r="W249" s="102" t="inlineStr">
        <is>
          <t>1</t>
        </is>
      </c>
      <c r="Z249" s="102" t="n"/>
    </row>
    <row r="250" ht="54" customHeight="1" s="127">
      <c r="B250" s="118" t="inlineStr">
        <is>
          <t>14134</t>
        </is>
      </c>
      <c r="C250" s="102" t="inlineStr">
        <is>
          <t>魔陨魂</t>
        </is>
      </c>
      <c r="D250" s="101" t="inlineStr">
        <is>
          <t>飞升何其艰难，冲击飞升之人十有八九都陨落了，他们不甘的魂魄形成了陨魂。</t>
        </is>
      </c>
      <c r="E250" s="118" t="inlineStr">
        <is>
          <t>羽民国难度4</t>
        </is>
      </c>
      <c r="F250" s="126" t="inlineStr">
        <is>
          <t>990003|0|14$124003|1058|1091$124005|1058|1091$124007|1058|1091</t>
        </is>
      </c>
      <c r="G250" s="102" t="inlineStr">
        <is>
          <t>1</t>
        </is>
      </c>
      <c r="H250" s="102" t="inlineStr">
        <is>
          <t>1</t>
        </is>
      </c>
      <c r="I250" s="102" t="inlineStr">
        <is>
          <t>探索一番</t>
        </is>
      </c>
      <c r="J250" s="102" t="inlineStr">
        <is>
          <t>无视它</t>
        </is>
      </c>
      <c r="K250" s="102" t="n"/>
      <c r="L250" s="102" t="n"/>
      <c r="M250" s="102" t="n"/>
      <c r="N250" s="102" t="inlineStr">
        <is>
          <t>1</t>
        </is>
      </c>
      <c r="O250" s="102" t="inlineStr">
        <is>
          <t>15|21</t>
        </is>
      </c>
      <c r="P250" s="102" t="inlineStr">
        <is>
          <t>1</t>
        </is>
      </c>
      <c r="Q250" s="118" t="inlineStr">
        <is>
          <t>10|10004|16</t>
        </is>
      </c>
      <c r="R250" s="102" t="inlineStr">
        <is>
          <t>-1</t>
        </is>
      </c>
      <c r="S250" s="102" t="inlineStr">
        <is>
          <t>4</t>
        </is>
      </c>
      <c r="T250" s="122" t="inlineStr">
        <is>
          <t>30051</t>
        </is>
      </c>
      <c r="U250" s="123" t="inlineStr">
        <is>
          <t>113</t>
        </is>
      </c>
      <c r="V250" s="119" t="inlineStr">
        <is>
          <t>4</t>
        </is>
      </c>
      <c r="W250" s="102" t="inlineStr">
        <is>
          <t>1</t>
        </is>
      </c>
      <c r="Z250" s="102" t="n"/>
    </row>
    <row r="251" ht="54" customHeight="1" s="127">
      <c r="B251" s="118" t="inlineStr">
        <is>
          <t>14135</t>
        </is>
      </c>
      <c r="C251" s="102" t="inlineStr">
        <is>
          <t>魔陨魂</t>
        </is>
      </c>
      <c r="D251" s="101" t="inlineStr">
        <is>
          <t>飞升何其艰难，冲击飞升之人十有八九都陨落了，他们不甘的魂魄形成了陨魂。</t>
        </is>
      </c>
      <c r="E251" s="118" t="inlineStr">
        <is>
          <t>羽民国难度5</t>
        </is>
      </c>
      <c r="F251" s="126" t="inlineStr">
        <is>
          <t>990003|0|15$124003|1134|1168$124005|1134|1168$124007|1134|1168</t>
        </is>
      </c>
      <c r="G251" s="102" t="inlineStr">
        <is>
          <t>1</t>
        </is>
      </c>
      <c r="H251" s="102" t="inlineStr">
        <is>
          <t>1</t>
        </is>
      </c>
      <c r="I251" s="102" t="inlineStr">
        <is>
          <t>探索一番</t>
        </is>
      </c>
      <c r="J251" s="102" t="inlineStr">
        <is>
          <t>无视它</t>
        </is>
      </c>
      <c r="K251" s="102" t="n"/>
      <c r="L251" s="102" t="n"/>
      <c r="M251" s="102" t="n"/>
      <c r="N251" s="102" t="inlineStr">
        <is>
          <t>1</t>
        </is>
      </c>
      <c r="O251" s="102" t="inlineStr">
        <is>
          <t>24|28</t>
        </is>
      </c>
      <c r="P251" s="102" t="inlineStr">
        <is>
          <t>1</t>
        </is>
      </c>
      <c r="Q251" s="118" t="inlineStr">
        <is>
          <t>10|10004|16</t>
        </is>
      </c>
      <c r="R251" s="102" t="inlineStr">
        <is>
          <t>-1</t>
        </is>
      </c>
      <c r="S251" s="102" t="inlineStr">
        <is>
          <t>5</t>
        </is>
      </c>
      <c r="T251" s="122" t="inlineStr">
        <is>
          <t>30051</t>
        </is>
      </c>
      <c r="U251" s="123" t="inlineStr">
        <is>
          <t>119</t>
        </is>
      </c>
      <c r="V251" s="119" t="inlineStr">
        <is>
          <t>4</t>
        </is>
      </c>
      <c r="W251" s="102" t="inlineStr">
        <is>
          <t>1</t>
        </is>
      </c>
      <c r="Z251" s="102" t="n"/>
    </row>
    <row r="252" ht="54" customHeight="1" s="127">
      <c r="B252" s="118" t="inlineStr">
        <is>
          <t>14136</t>
        </is>
      </c>
      <c r="C252" s="103" t="inlineStr">
        <is>
          <t>神陨魂</t>
        </is>
      </c>
      <c r="D252" s="101" t="inlineStr">
        <is>
          <t>飞升何其艰难，冲击飞升之人十有八九都陨落了，他们不甘的魂魄形成了陨魂。</t>
        </is>
      </c>
      <c r="E252" s="118" t="inlineStr">
        <is>
          <t>羽民国难度1</t>
        </is>
      </c>
      <c r="F252" s="118" t="inlineStr">
        <is>
          <t>990001|0|11$124002|830|860$124004|830|860$124006|830|860$124003|830|860$124005|830|860$124007|830|860</t>
        </is>
      </c>
      <c r="G252" s="102" t="inlineStr">
        <is>
          <t>1</t>
        </is>
      </c>
      <c r="H252" s="102" t="inlineStr">
        <is>
          <t>1</t>
        </is>
      </c>
      <c r="I252" s="102" t="inlineStr">
        <is>
          <t>探索一番</t>
        </is>
      </c>
      <c r="J252" s="102" t="inlineStr">
        <is>
          <t>无视它</t>
        </is>
      </c>
      <c r="K252" s="102" t="n"/>
      <c r="L252" s="102" t="n"/>
      <c r="M252" s="102" t="n"/>
      <c r="N252" s="102" t="inlineStr">
        <is>
          <t>1</t>
        </is>
      </c>
      <c r="O252" s="102" t="inlineStr">
        <is>
          <t>6|12</t>
        </is>
      </c>
      <c r="P252" s="102" t="inlineStr">
        <is>
          <t>1</t>
        </is>
      </c>
      <c r="Q252" s="118" t="inlineStr">
        <is>
          <t>10|10004|16</t>
        </is>
      </c>
      <c r="R252" s="102" t="inlineStr">
        <is>
          <t>-1</t>
        </is>
      </c>
      <c r="S252" s="102" t="inlineStr">
        <is>
          <t>1</t>
        </is>
      </c>
      <c r="T252" s="122" t="inlineStr">
        <is>
          <t>30052</t>
        </is>
      </c>
      <c r="U252" s="123" t="inlineStr">
        <is>
          <t>91</t>
        </is>
      </c>
      <c r="V252" s="119" t="inlineStr">
        <is>
          <t>4</t>
        </is>
      </c>
      <c r="W252" s="102" t="inlineStr">
        <is>
          <t>1</t>
        </is>
      </c>
      <c r="Z252" s="103" t="n"/>
    </row>
    <row r="253" ht="54" customHeight="1" s="127">
      <c r="B253" s="118" t="inlineStr">
        <is>
          <t>14137</t>
        </is>
      </c>
      <c r="C253" s="103" t="inlineStr">
        <is>
          <t>神陨魂</t>
        </is>
      </c>
      <c r="D253" s="101" t="inlineStr">
        <is>
          <t>飞升何其艰难，冲击飞升之人十有八九都陨落了，他们不甘的魂魄形成了陨魂。</t>
        </is>
      </c>
      <c r="E253" s="118" t="inlineStr">
        <is>
          <t>羽民国难度2</t>
        </is>
      </c>
      <c r="F253" s="118" t="inlineStr">
        <is>
          <t>990001|0|12$124002|906|937$124004|906|937$124006|906|937$124003|906|937$124005|906|937$124007|906|937</t>
        </is>
      </c>
      <c r="G253" s="102" t="inlineStr">
        <is>
          <t>1</t>
        </is>
      </c>
      <c r="H253" s="102" t="inlineStr">
        <is>
          <t>1</t>
        </is>
      </c>
      <c r="I253" s="102" t="inlineStr">
        <is>
          <t>探索一番</t>
        </is>
      </c>
      <c r="J253" s="102" t="inlineStr">
        <is>
          <t>无视它</t>
        </is>
      </c>
      <c r="K253" s="102" t="n"/>
      <c r="L253" s="102" t="n"/>
      <c r="M253" s="102" t="n"/>
      <c r="N253" s="102" t="inlineStr">
        <is>
          <t>1</t>
        </is>
      </c>
      <c r="O253" s="102" t="inlineStr">
        <is>
          <t>9|15</t>
        </is>
      </c>
      <c r="P253" s="102" t="inlineStr">
        <is>
          <t>1</t>
        </is>
      </c>
      <c r="Q253" s="118" t="inlineStr">
        <is>
          <t>10|10004|16</t>
        </is>
      </c>
      <c r="R253" s="102" t="inlineStr">
        <is>
          <t>-1</t>
        </is>
      </c>
      <c r="S253" s="102" t="inlineStr">
        <is>
          <t>2</t>
        </is>
      </c>
      <c r="T253" s="122" t="inlineStr">
        <is>
          <t>30052</t>
        </is>
      </c>
      <c r="U253" s="123" t="inlineStr">
        <is>
          <t>98</t>
        </is>
      </c>
      <c r="V253" s="119" t="inlineStr">
        <is>
          <t>4</t>
        </is>
      </c>
      <c r="W253" s="102" t="inlineStr">
        <is>
          <t>1</t>
        </is>
      </c>
      <c r="Z253" s="103" t="n"/>
    </row>
    <row r="254" ht="54" customHeight="1" s="127">
      <c r="B254" s="118" t="inlineStr">
        <is>
          <t>14138</t>
        </is>
      </c>
      <c r="C254" s="103" t="inlineStr">
        <is>
          <t>神陨魂</t>
        </is>
      </c>
      <c r="D254" s="101" t="inlineStr">
        <is>
          <t>飞升何其艰难，冲击飞升之人十有八九都陨落了，他们不甘的魂魄形成了陨魂。</t>
        </is>
      </c>
      <c r="E254" s="118" t="inlineStr">
        <is>
          <t>羽民国难度3</t>
        </is>
      </c>
      <c r="F254" s="118" t="inlineStr">
        <is>
          <t>990001|0|13$124002|982|1014$124004|982|1014$124006|982|1014$124003|982|1014$124005|982|1014$124007|982|1014</t>
        </is>
      </c>
      <c r="G254" s="102" t="inlineStr">
        <is>
          <t>1</t>
        </is>
      </c>
      <c r="H254" s="102" t="inlineStr">
        <is>
          <t>1</t>
        </is>
      </c>
      <c r="I254" s="102" t="inlineStr">
        <is>
          <t>探索一番</t>
        </is>
      </c>
      <c r="J254" s="102" t="inlineStr">
        <is>
          <t>无视它</t>
        </is>
      </c>
      <c r="K254" s="102" t="n"/>
      <c r="L254" s="102" t="n"/>
      <c r="M254" s="102" t="n"/>
      <c r="N254" s="102" t="inlineStr">
        <is>
          <t>1</t>
        </is>
      </c>
      <c r="O254" s="102" t="inlineStr">
        <is>
          <t>12|18</t>
        </is>
      </c>
      <c r="P254" s="102" t="inlineStr">
        <is>
          <t>1</t>
        </is>
      </c>
      <c r="Q254" s="118" t="inlineStr">
        <is>
          <t>10|10004|16</t>
        </is>
      </c>
      <c r="R254" s="102" t="inlineStr">
        <is>
          <t>-1</t>
        </is>
      </c>
      <c r="S254" s="102" t="inlineStr">
        <is>
          <t>3</t>
        </is>
      </c>
      <c r="T254" s="122" t="inlineStr">
        <is>
          <t>30052</t>
        </is>
      </c>
      <c r="U254" s="123" t="inlineStr">
        <is>
          <t>106</t>
        </is>
      </c>
      <c r="V254" s="119" t="inlineStr">
        <is>
          <t>4</t>
        </is>
      </c>
      <c r="W254" s="102" t="inlineStr">
        <is>
          <t>1</t>
        </is>
      </c>
      <c r="Z254" s="103" t="n"/>
    </row>
    <row r="255">
      <c r="B255" s="118" t="inlineStr">
        <is>
          <t>14139</t>
        </is>
      </c>
      <c r="C255" s="103" t="inlineStr">
        <is>
          <t>神陨魂</t>
        </is>
      </c>
      <c r="D255" s="101" t="inlineStr">
        <is>
          <t>飞升何其艰难，冲击飞升之人十有八九都陨落了，他们不甘的魂魄形成了陨魂。</t>
        </is>
      </c>
      <c r="E255" s="118" t="inlineStr">
        <is>
          <t>羽民国难度4</t>
        </is>
      </c>
      <c r="F255" s="118" t="inlineStr">
        <is>
          <t>990001|0|14$124002|1058|1091$124004|1058|1091$124006|1058|1091$124003|1058|1091$124005|1058|1091$124007|1058|1091</t>
        </is>
      </c>
      <c r="G255" s="102" t="inlineStr">
        <is>
          <t>1</t>
        </is>
      </c>
      <c r="H255" s="102" t="inlineStr">
        <is>
          <t>1</t>
        </is>
      </c>
      <c r="I255" s="102" t="inlineStr">
        <is>
          <t>探索一番</t>
        </is>
      </c>
      <c r="J255" s="102" t="inlineStr">
        <is>
          <t>无视它</t>
        </is>
      </c>
      <c r="K255" s="102" t="n"/>
      <c r="L255" s="102" t="n"/>
      <c r="M255" s="102" t="n"/>
      <c r="N255" s="102" t="inlineStr">
        <is>
          <t>1</t>
        </is>
      </c>
      <c r="O255" s="102" t="inlineStr">
        <is>
          <t>15|21</t>
        </is>
      </c>
      <c r="P255" s="102" t="inlineStr">
        <is>
          <t>1</t>
        </is>
      </c>
      <c r="Q255" s="118" t="inlineStr">
        <is>
          <t>10|10004|16</t>
        </is>
      </c>
      <c r="R255" s="102" t="inlineStr">
        <is>
          <t>-1</t>
        </is>
      </c>
      <c r="S255" s="102" t="inlineStr">
        <is>
          <t>4</t>
        </is>
      </c>
      <c r="T255" s="122" t="inlineStr">
        <is>
          <t>30052</t>
        </is>
      </c>
      <c r="U255" s="123" t="inlineStr">
        <is>
          <t>113</t>
        </is>
      </c>
      <c r="V255" s="119" t="inlineStr">
        <is>
          <t>4</t>
        </is>
      </c>
      <c r="W255" s="102" t="inlineStr">
        <is>
          <t>1</t>
        </is>
      </c>
      <c r="Z255" s="103" t="n"/>
    </row>
    <row r="256">
      <c r="B256" s="118" t="inlineStr">
        <is>
          <t>14140</t>
        </is>
      </c>
      <c r="C256" s="103" t="inlineStr">
        <is>
          <t>神陨魂</t>
        </is>
      </c>
      <c r="D256" s="101" t="inlineStr">
        <is>
          <t>飞升何其艰难，冲击飞升之人十有八九都陨落了，他们不甘的魂魄形成了陨魂。</t>
        </is>
      </c>
      <c r="E256" s="118" t="inlineStr">
        <is>
          <t>羽民国难度5</t>
        </is>
      </c>
      <c r="F256" s="118" t="inlineStr">
        <is>
          <t>990001|0|15$124002|1134|1168$124004|1134|1168$124006|1134|1168$124003|1134|1168$124005|1134|1168$124007|1134|1168</t>
        </is>
      </c>
      <c r="G256" s="102" t="inlineStr">
        <is>
          <t>1</t>
        </is>
      </c>
      <c r="H256" s="102" t="inlineStr">
        <is>
          <t>1</t>
        </is>
      </c>
      <c r="I256" s="102" t="inlineStr">
        <is>
          <t>探索一番</t>
        </is>
      </c>
      <c r="J256" s="102" t="inlineStr">
        <is>
          <t>无视它</t>
        </is>
      </c>
      <c r="K256" s="102" t="n"/>
      <c r="L256" s="102" t="n"/>
      <c r="M256" s="102" t="n"/>
      <c r="N256" s="102" t="inlineStr">
        <is>
          <t>1</t>
        </is>
      </c>
      <c r="O256" s="102" t="inlineStr">
        <is>
          <t>24|28</t>
        </is>
      </c>
      <c r="P256" s="102" t="inlineStr">
        <is>
          <t>1</t>
        </is>
      </c>
      <c r="Q256" s="118" t="inlineStr">
        <is>
          <t>10|10004|16</t>
        </is>
      </c>
      <c r="R256" s="102" t="inlineStr">
        <is>
          <t>-1</t>
        </is>
      </c>
      <c r="S256" s="102" t="inlineStr">
        <is>
          <t>5</t>
        </is>
      </c>
      <c r="T256" s="122" t="inlineStr">
        <is>
          <t>30052</t>
        </is>
      </c>
      <c r="U256" s="123" t="inlineStr">
        <is>
          <t>119</t>
        </is>
      </c>
      <c r="V256" s="119" t="inlineStr">
        <is>
          <t>4</t>
        </is>
      </c>
      <c r="W256" s="102" t="inlineStr">
        <is>
          <t>1</t>
        </is>
      </c>
      <c r="Z256" s="103" t="n"/>
    </row>
  </sheetData>
  <conditionalFormatting sqref="C110:C114">
    <cfRule type="duplicateValues" priority="12" dxfId="0"/>
  </conditionalFormatting>
  <conditionalFormatting sqref="C115:C119">
    <cfRule type="duplicateValues" priority="11" dxfId="0"/>
  </conditionalFormatting>
  <conditionalFormatting sqref="C120:C124">
    <cfRule type="duplicateValues" priority="10" dxfId="0"/>
  </conditionalFormatting>
  <conditionalFormatting sqref="C150:C154">
    <cfRule type="duplicateValues" priority="9" dxfId="0"/>
  </conditionalFormatting>
  <conditionalFormatting sqref="C155:C159">
    <cfRule type="duplicateValues" priority="8" dxfId="0"/>
  </conditionalFormatting>
  <conditionalFormatting sqref="C160:C164">
    <cfRule type="duplicateValues" priority="7" dxfId="0"/>
  </conditionalFormatting>
  <conditionalFormatting sqref="C190:C194">
    <cfRule type="duplicateValues" priority="6" dxfId="0"/>
  </conditionalFormatting>
  <conditionalFormatting sqref="C195:C199">
    <cfRule type="duplicateValues" priority="5" dxfId="0"/>
  </conditionalFormatting>
  <conditionalFormatting sqref="C200:C204">
    <cfRule type="duplicateValues" priority="4" dxfId="0"/>
  </conditionalFormatting>
  <conditionalFormatting sqref="C225:C229">
    <cfRule type="duplicateValues" priority="3" dxfId="0"/>
  </conditionalFormatting>
  <conditionalFormatting sqref="C230:C234">
    <cfRule type="duplicateValues" priority="2" dxfId="0"/>
  </conditionalFormatting>
  <conditionalFormatting sqref="C235:C239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0"/>
  <sheetViews>
    <sheetView topLeftCell="A253" workbookViewId="0">
      <selection activeCell="J246" sqref="J246:J250"/>
    </sheetView>
  </sheetViews>
  <sheetFormatPr baseColWidth="8" defaultColWidth="9" defaultRowHeight="13.5"/>
  <cols>
    <col width="12.625" customWidth="1" style="127" min="3" max="3"/>
    <col width="12.875" customWidth="1" style="127" min="4" max="4"/>
    <col width="8.75" customWidth="1" style="127" min="8" max="8"/>
    <col width="33" customWidth="1" style="127" min="9" max="10"/>
    <col width="50.625" customWidth="1" style="127" min="11" max="11"/>
    <col width="13.375" customWidth="1" style="127" min="14" max="14"/>
    <col width="29.625" customWidth="1" style="127" min="15" max="15"/>
    <col width="11.625" customWidth="1" style="127" min="18" max="18"/>
    <col width="32.625" customWidth="1" style="127" min="19" max="19"/>
    <col width="29" customWidth="1" style="127" min="23" max="23"/>
  </cols>
  <sheetData>
    <row r="1">
      <c r="E1" s="2" t="inlineStr">
        <is>
          <t>灵石</t>
        </is>
      </c>
      <c r="G1" s="2" t="inlineStr">
        <is>
          <t>凡级清灵草</t>
        </is>
      </c>
      <c r="N1" s="128" t="inlineStr">
        <is>
          <t>小蛇属性</t>
        </is>
      </c>
      <c r="O1" s="128" t="n"/>
      <c r="P1" s="128" t="n"/>
      <c r="Q1" s="128" t="n"/>
      <c r="R1" s="2" t="inlineStr">
        <is>
          <t>中蛇属性</t>
        </is>
      </c>
      <c r="V1" s="2" t="inlineStr">
        <is>
          <t>大蛇属性</t>
        </is>
      </c>
    </row>
    <row r="2">
      <c r="E2" s="2" t="n">
        <v>10001</v>
      </c>
      <c r="G2" s="2" t="n">
        <v>81001</v>
      </c>
      <c r="H2" s="2" t="n">
        <v>82001</v>
      </c>
      <c r="I2" s="2" t="n">
        <v>83001</v>
      </c>
      <c r="N2" s="128" t="inlineStr">
        <is>
          <t>血</t>
        </is>
      </c>
      <c r="O2" s="128" t="inlineStr">
        <is>
          <t>防</t>
        </is>
      </c>
      <c r="P2" s="128" t="inlineStr">
        <is>
          <t>攻</t>
        </is>
      </c>
      <c r="Q2" s="128" t="n"/>
      <c r="R2" s="128" t="inlineStr">
        <is>
          <t>血</t>
        </is>
      </c>
      <c r="S2" s="128" t="inlineStr">
        <is>
          <t>防</t>
        </is>
      </c>
      <c r="T2" s="128" t="inlineStr">
        <is>
          <t>攻</t>
        </is>
      </c>
      <c r="V2" s="128" t="inlineStr">
        <is>
          <t>血</t>
        </is>
      </c>
      <c r="W2" s="128" t="inlineStr">
        <is>
          <t>防</t>
        </is>
      </c>
      <c r="X2" s="128" t="inlineStr">
        <is>
          <t>攻</t>
        </is>
      </c>
    </row>
    <row r="3">
      <c r="D3" s="2" t="inlineStr">
        <is>
          <t>噬灵蝮蛇投放</t>
        </is>
      </c>
      <c r="N3" s="128" t="n">
        <v>10001</v>
      </c>
      <c r="O3" s="128" t="n">
        <v>10004</v>
      </c>
      <c r="P3" s="128" t="n">
        <v>10003</v>
      </c>
      <c r="Q3" s="128" t="n"/>
      <c r="R3" s="128" t="n">
        <v>10001</v>
      </c>
      <c r="S3" s="128" t="n">
        <v>10004</v>
      </c>
      <c r="T3" s="128" t="n">
        <v>10003</v>
      </c>
      <c r="V3" s="128" t="n">
        <v>10001</v>
      </c>
      <c r="W3" s="128" t="n">
        <v>10004</v>
      </c>
      <c r="X3" s="128" t="n">
        <v>10003</v>
      </c>
    </row>
    <row r="4">
      <c r="E4" s="129" t="n">
        <v>439</v>
      </c>
      <c r="F4" s="129" t="n">
        <v>636</v>
      </c>
      <c r="G4" s="129" t="n">
        <v>1000</v>
      </c>
      <c r="H4" s="129" t="n">
        <v>1300</v>
      </c>
      <c r="I4" s="2">
        <f>$E$2&amp;"|"&amp;E4&amp;"|"&amp;F4&amp;"$"&amp;$G$2&amp;"|"&amp;G4&amp;"|"&amp;H4</f>
        <v/>
      </c>
      <c r="J4" s="2">
        <f>$E$2&amp;"|"&amp;E4&amp;"|"&amp;F4&amp;"$"&amp;$H$2&amp;"|"&amp;G4&amp;"|"&amp;H4</f>
        <v/>
      </c>
      <c r="K4" s="2">
        <f>$E$2&amp;"|"&amp;F4&amp;"|"&amp;G4&amp;"$"&amp;$I$2&amp;"|"&amp;G4&amp;"|"&amp;H4</f>
        <v/>
      </c>
      <c r="M4" s="6" t="n">
        <v>1</v>
      </c>
      <c r="N4" s="2" t="n">
        <v>600</v>
      </c>
      <c r="O4" s="2" t="n">
        <v>360</v>
      </c>
      <c r="P4" s="2" t="n">
        <v>360</v>
      </c>
      <c r="Q4" s="6">
        <f>$K$99&amp;"|"&amp;N4&amp;"$"&amp;$L$99&amp;"|"&amp;O4&amp;"$"&amp;$M$99&amp;"|"&amp;P4</f>
        <v/>
      </c>
      <c r="R4" s="129" t="n">
        <v>1800</v>
      </c>
      <c r="S4" s="129" t="n">
        <v>360</v>
      </c>
      <c r="T4" s="129" t="n">
        <v>360</v>
      </c>
      <c r="U4" s="6">
        <f>$K$99&amp;"|"&amp;R4&amp;"$"&amp;$L$99&amp;"|"&amp;S4&amp;"$"&amp;$M$99&amp;"|"&amp;T4</f>
        <v/>
      </c>
      <c r="V4" s="129" t="n">
        <v>5400</v>
      </c>
      <c r="W4" s="129" t="n">
        <v>360</v>
      </c>
      <c r="X4" s="129" t="n">
        <v>360</v>
      </c>
      <c r="Y4" s="6">
        <f>$K$99&amp;"|"&amp;V4&amp;"$"&amp;$L$99&amp;"|"&amp;W4&amp;"$"&amp;$M$99&amp;"|"&amp;X4</f>
        <v/>
      </c>
      <c r="Z4" s="6" t="n"/>
      <c r="AA4" s="6" t="n"/>
    </row>
    <row r="5">
      <c r="E5" s="129">
        <f>E4*1.2</f>
        <v/>
      </c>
      <c r="F5" s="129">
        <f>F4*1.2</f>
        <v/>
      </c>
      <c r="G5" s="129" t="n">
        <v>1300</v>
      </c>
      <c r="H5" s="129" t="n">
        <v>1600</v>
      </c>
      <c r="I5" s="2">
        <f>$E$2&amp;"|"&amp;E5&amp;"|"&amp;F5&amp;"$"&amp;$G$2&amp;"|"&amp;G5&amp;"|"&amp;H5</f>
        <v/>
      </c>
      <c r="J5" s="2">
        <f>$E$2&amp;"|"&amp;E5&amp;"|"&amp;F5&amp;"$"&amp;$H$2&amp;"|"&amp;G5&amp;"|"&amp;H5</f>
        <v/>
      </c>
      <c r="K5" s="2">
        <f>$E$2&amp;"|"&amp;F5&amp;"|"&amp;G5&amp;"$"&amp;$I$2&amp;"|"&amp;G5&amp;"|"&amp;H5</f>
        <v/>
      </c>
      <c r="M5" s="6" t="n">
        <v>2</v>
      </c>
      <c r="N5" s="2" t="n">
        <v>1200</v>
      </c>
      <c r="O5" s="2" t="n">
        <v>450</v>
      </c>
      <c r="P5" s="2" t="n">
        <v>450</v>
      </c>
      <c r="Q5" s="6">
        <f>$K$99&amp;"|"&amp;N5&amp;"$"&amp;$L$99&amp;"|"&amp;O5&amp;"$"&amp;$M$99&amp;"|"&amp;P5</f>
        <v/>
      </c>
      <c r="R5" s="129" t="n">
        <v>3925</v>
      </c>
      <c r="S5" s="129" t="n">
        <v>450</v>
      </c>
      <c r="T5" s="129" t="n">
        <v>450</v>
      </c>
      <c r="U5" s="6">
        <f>$K$99&amp;"|"&amp;R5&amp;"$"&amp;$L$99&amp;"|"&amp;S5&amp;"$"&amp;$M$99&amp;"|"&amp;T5</f>
        <v/>
      </c>
      <c r="V5" s="129" t="n">
        <v>10175</v>
      </c>
      <c r="W5" s="129" t="n">
        <v>450</v>
      </c>
      <c r="X5" s="129" t="n">
        <v>450</v>
      </c>
      <c r="Y5" s="6">
        <f>$K$99&amp;"|"&amp;V5&amp;"$"&amp;$L$99&amp;"|"&amp;W5&amp;"$"&amp;$M$99&amp;"|"&amp;X5</f>
        <v/>
      </c>
      <c r="Z5" s="6" t="n"/>
      <c r="AA5" s="6" t="n"/>
    </row>
    <row r="6">
      <c r="E6" s="129" t="n">
        <v>439</v>
      </c>
      <c r="F6" s="129" t="n">
        <v>636</v>
      </c>
      <c r="G6" s="129" t="n">
        <v>1600</v>
      </c>
      <c r="H6" s="129" t="n">
        <v>1900</v>
      </c>
      <c r="I6" s="2">
        <f>$E$2&amp;"|"&amp;E6&amp;"|"&amp;F6&amp;"$"&amp;$G$2&amp;"|"&amp;G6&amp;"|"&amp;H6</f>
        <v/>
      </c>
      <c r="J6" s="2">
        <f>$E$2&amp;"|"&amp;E6&amp;"|"&amp;F6&amp;"$"&amp;$H$2&amp;"|"&amp;G6&amp;"|"&amp;H6</f>
        <v/>
      </c>
      <c r="K6" s="2">
        <f>$E$2&amp;"|"&amp;F6&amp;"|"&amp;G6&amp;"$"&amp;$I$2&amp;"|"&amp;G6&amp;"|"&amp;H6</f>
        <v/>
      </c>
      <c r="M6" s="6" t="n">
        <v>3</v>
      </c>
      <c r="N6" s="2" t="n">
        <v>1800</v>
      </c>
      <c r="O6" s="2" t="n">
        <v>540</v>
      </c>
      <c r="P6" s="2" t="n">
        <v>540</v>
      </c>
      <c r="Q6" s="6">
        <f>$K$99&amp;"|"&amp;N6&amp;"$"&amp;$L$99&amp;"|"&amp;O6&amp;"$"&amp;$M$99&amp;"|"&amp;P6</f>
        <v/>
      </c>
      <c r="R6" s="129" t="n">
        <v>6049</v>
      </c>
      <c r="S6" s="129" t="n">
        <v>540</v>
      </c>
      <c r="T6" s="129" t="n">
        <v>540</v>
      </c>
      <c r="U6" s="6">
        <f>$K$99&amp;"|"&amp;R6&amp;"$"&amp;$L$99&amp;"|"&amp;S6&amp;"$"&amp;$M$99&amp;"|"&amp;T6</f>
        <v/>
      </c>
      <c r="V6" s="129" t="n">
        <v>14950</v>
      </c>
      <c r="W6" s="129" t="n">
        <v>540</v>
      </c>
      <c r="X6" s="129" t="n">
        <v>540</v>
      </c>
      <c r="Y6" s="6">
        <f>$K$99&amp;"|"&amp;V6&amp;"$"&amp;$L$99&amp;"|"&amp;W6&amp;"$"&amp;$M$99&amp;"|"&amp;X6</f>
        <v/>
      </c>
      <c r="Z6" s="6" t="n"/>
      <c r="AA6" s="6" t="n"/>
    </row>
    <row r="7">
      <c r="E7" s="129">
        <f>E6*1.2</f>
        <v/>
      </c>
      <c r="F7" s="129">
        <f>F6*1.2</f>
        <v/>
      </c>
      <c r="G7" s="129" t="n">
        <v>1900</v>
      </c>
      <c r="H7" s="129" t="n">
        <v>2100</v>
      </c>
      <c r="I7" s="2">
        <f>$E$2&amp;"|"&amp;E7&amp;"|"&amp;F7&amp;"$"&amp;$G$2&amp;"|"&amp;G7&amp;"|"&amp;H7</f>
        <v/>
      </c>
      <c r="J7" s="2">
        <f>$E$2&amp;"|"&amp;E7&amp;"|"&amp;F7&amp;"$"&amp;$H$2&amp;"|"&amp;G7&amp;"|"&amp;H7</f>
        <v/>
      </c>
      <c r="K7" s="2">
        <f>$E$2&amp;"|"&amp;F7&amp;"|"&amp;G7&amp;"$"&amp;$I$2&amp;"|"&amp;G7&amp;"|"&amp;H7</f>
        <v/>
      </c>
      <c r="M7" s="6" t="n">
        <v>4</v>
      </c>
      <c r="N7" s="2" t="n">
        <v>2400</v>
      </c>
      <c r="O7" s="2" t="n">
        <v>630</v>
      </c>
      <c r="P7" s="2" t="n">
        <v>630</v>
      </c>
      <c r="Q7" s="6">
        <f>$K$99&amp;"|"&amp;N7&amp;"$"&amp;$L$99&amp;"|"&amp;O7&amp;"$"&amp;$M$99&amp;"|"&amp;P7</f>
        <v/>
      </c>
      <c r="R7" s="129" t="n">
        <v>8174</v>
      </c>
      <c r="S7" s="129" t="n">
        <v>630</v>
      </c>
      <c r="T7" s="129" t="n">
        <v>630</v>
      </c>
      <c r="U7" s="6">
        <f>$K$99&amp;"|"&amp;R7&amp;"$"&amp;$L$99&amp;"|"&amp;S7&amp;"$"&amp;$M$99&amp;"|"&amp;T7</f>
        <v/>
      </c>
      <c r="V7" s="129" t="n">
        <v>19724</v>
      </c>
      <c r="W7" s="129" t="n">
        <v>630</v>
      </c>
      <c r="X7" s="129" t="n">
        <v>630</v>
      </c>
      <c r="Y7" s="6">
        <f>$K$99&amp;"|"&amp;V7&amp;"$"&amp;$L$99&amp;"|"&amp;W7&amp;"$"&amp;$M$99&amp;"|"&amp;X7</f>
        <v/>
      </c>
      <c r="Z7" s="6" t="n"/>
      <c r="AA7" s="6" t="n"/>
    </row>
    <row r="8">
      <c r="E8" s="129">
        <f>E7*1.2</f>
        <v/>
      </c>
      <c r="F8" s="129">
        <f>F7*1.2</f>
        <v/>
      </c>
      <c r="G8" s="129" t="n">
        <v>2100</v>
      </c>
      <c r="H8" s="129" t="n">
        <v>2400</v>
      </c>
      <c r="I8" s="2">
        <f>$E$2&amp;"|"&amp;E8&amp;"|"&amp;F8&amp;"$"&amp;$G$2&amp;"|"&amp;G8&amp;"|"&amp;H8</f>
        <v/>
      </c>
      <c r="J8" s="2">
        <f>$E$2&amp;"|"&amp;E8&amp;"|"&amp;F8&amp;"$"&amp;$H$2&amp;"|"&amp;G8&amp;"|"&amp;H8</f>
        <v/>
      </c>
      <c r="K8" s="2">
        <f>$E$2&amp;"|"&amp;F8&amp;"|"&amp;G8&amp;"$"&amp;$I$2&amp;"|"&amp;G8&amp;"|"&amp;H8</f>
        <v/>
      </c>
      <c r="M8" s="6" t="n">
        <v>5</v>
      </c>
      <c r="N8" s="2" t="n">
        <v>3000</v>
      </c>
      <c r="O8" s="2" t="n">
        <v>720</v>
      </c>
      <c r="P8" s="2" t="n">
        <v>720</v>
      </c>
      <c r="Q8" s="6">
        <f>$K$99&amp;"|"&amp;N8&amp;"$"&amp;$L$99&amp;"|"&amp;O8&amp;"$"&amp;$M$99&amp;"|"&amp;P8</f>
        <v/>
      </c>
      <c r="R8" s="129" t="n">
        <v>10298</v>
      </c>
      <c r="S8" s="129" t="n">
        <v>720</v>
      </c>
      <c r="T8" s="129" t="n">
        <v>720</v>
      </c>
      <c r="U8" s="6">
        <f>$K$99&amp;"|"&amp;R8&amp;"$"&amp;$L$99&amp;"|"&amp;S8&amp;"$"&amp;$M$99&amp;"|"&amp;T8</f>
        <v/>
      </c>
      <c r="V8" s="129" t="n">
        <v>24499</v>
      </c>
      <c r="W8" s="129" t="n">
        <v>720</v>
      </c>
      <c r="X8" s="129" t="n">
        <v>720</v>
      </c>
      <c r="Y8" s="6">
        <f>$K$99&amp;"|"&amp;V8&amp;"$"&amp;$L$99&amp;"|"&amp;W8&amp;"$"&amp;$M$99&amp;"|"&amp;X8</f>
        <v/>
      </c>
      <c r="Z8" s="6" t="n"/>
      <c r="AA8" s="6" t="n"/>
    </row>
    <row r="9">
      <c r="E9" s="129" t="n"/>
      <c r="F9" s="129" t="n"/>
      <c r="G9" s="129" t="n"/>
      <c r="H9" s="129" t="n"/>
      <c r="M9" s="15" t="n">
        <v>6</v>
      </c>
      <c r="N9" s="2" t="n">
        <v>3600</v>
      </c>
      <c r="O9" s="2" t="n">
        <v>810</v>
      </c>
      <c r="P9" s="2" t="n">
        <v>810</v>
      </c>
      <c r="Q9" s="15">
        <f>$K$99&amp;"|"&amp;N9&amp;"$"&amp;$L$99&amp;"|"&amp;O9&amp;"$"&amp;$M$99&amp;"|"&amp;P9</f>
        <v/>
      </c>
      <c r="R9" s="129" t="n">
        <v>12423</v>
      </c>
      <c r="S9" s="129" t="n">
        <v>810</v>
      </c>
      <c r="T9" s="129" t="n">
        <v>810</v>
      </c>
      <c r="U9" s="15">
        <f>$K$99&amp;"|"&amp;R9&amp;"$"&amp;$L$99&amp;"|"&amp;S9&amp;"$"&amp;$M$99&amp;"|"&amp;T9</f>
        <v/>
      </c>
      <c r="V9" s="129" t="n">
        <v>29274</v>
      </c>
      <c r="W9" s="129" t="n">
        <v>810</v>
      </c>
      <c r="X9" s="129" t="n">
        <v>810</v>
      </c>
      <c r="Y9" s="15">
        <f>$K$99&amp;"|"&amp;V9&amp;"$"&amp;$L$99&amp;"|"&amp;W9&amp;"$"&amp;$M$99&amp;"|"&amp;X9</f>
        <v/>
      </c>
      <c r="Z9" s="15" t="n"/>
      <c r="AA9" s="15" t="n"/>
    </row>
    <row r="10">
      <c r="E10" s="129" t="n"/>
      <c r="F10" s="129" t="n"/>
      <c r="G10" s="129" t="n"/>
      <c r="H10" s="129" t="n"/>
      <c r="M10" s="15" t="n">
        <v>7</v>
      </c>
      <c r="N10" s="2" t="n">
        <v>4200</v>
      </c>
      <c r="O10" s="2" t="n">
        <v>900</v>
      </c>
      <c r="P10" s="2" t="n">
        <v>900</v>
      </c>
      <c r="Q10" s="15">
        <f>$K$99&amp;"|"&amp;N10&amp;"$"&amp;$L$99&amp;"|"&amp;O10&amp;"$"&amp;$M$99&amp;"|"&amp;P10</f>
        <v/>
      </c>
      <c r="R10" s="129" t="n">
        <v>14548</v>
      </c>
      <c r="S10" s="129" t="n">
        <v>900</v>
      </c>
      <c r="T10" s="129" t="n">
        <v>900</v>
      </c>
      <c r="U10" s="15">
        <f>$K$99&amp;"|"&amp;R10&amp;"$"&amp;$L$99&amp;"|"&amp;S10&amp;"$"&amp;$M$99&amp;"|"&amp;T10</f>
        <v/>
      </c>
      <c r="V10" s="129" t="n">
        <v>34049</v>
      </c>
      <c r="W10" s="129" t="n">
        <v>900</v>
      </c>
      <c r="X10" s="129" t="n">
        <v>900</v>
      </c>
      <c r="Y10" s="15">
        <f>$K$99&amp;"|"&amp;V10&amp;"$"&amp;$L$99&amp;"|"&amp;W10&amp;"$"&amp;$M$99&amp;"|"&amp;X10</f>
        <v/>
      </c>
      <c r="Z10" s="15" t="n"/>
      <c r="AA10" s="15" t="n"/>
    </row>
    <row r="11">
      <c r="E11" s="129" t="n"/>
      <c r="F11" s="129" t="n"/>
      <c r="G11" s="129" t="n"/>
      <c r="H11" s="129" t="n"/>
      <c r="M11" s="15" t="n">
        <v>8</v>
      </c>
      <c r="N11" s="2" t="n">
        <v>4800</v>
      </c>
      <c r="O11" s="2" t="n">
        <v>990</v>
      </c>
      <c r="P11" s="2" t="n">
        <v>990</v>
      </c>
      <c r="Q11" s="15">
        <f>$K$99&amp;"|"&amp;N11&amp;"$"&amp;$L$99&amp;"|"&amp;O11&amp;"$"&amp;$M$99&amp;"|"&amp;P11</f>
        <v/>
      </c>
      <c r="R11" s="129" t="n">
        <v>16672</v>
      </c>
      <c r="S11" s="129" t="n">
        <v>990</v>
      </c>
      <c r="T11" s="129" t="n">
        <v>990</v>
      </c>
      <c r="U11" s="15">
        <f>$K$99&amp;"|"&amp;R11&amp;"$"&amp;$L$99&amp;"|"&amp;S11&amp;"$"&amp;$M$99&amp;"|"&amp;T11</f>
        <v/>
      </c>
      <c r="V11" s="129" t="n">
        <v>38824</v>
      </c>
      <c r="W11" s="129" t="n">
        <v>990</v>
      </c>
      <c r="X11" s="129" t="n">
        <v>990</v>
      </c>
      <c r="Y11" s="15">
        <f>$K$99&amp;"|"&amp;V11&amp;"$"&amp;$L$99&amp;"|"&amp;W11&amp;"$"&amp;$M$99&amp;"|"&amp;X11</f>
        <v/>
      </c>
      <c r="Z11" s="15" t="n"/>
      <c r="AA11" s="15" t="n"/>
    </row>
    <row r="12">
      <c r="E12" s="129" t="n"/>
      <c r="F12" s="129" t="n"/>
      <c r="G12" s="129" t="n"/>
      <c r="H12" s="129" t="n"/>
      <c r="M12" s="15" t="n">
        <v>9</v>
      </c>
      <c r="N12" s="2" t="n">
        <v>5400</v>
      </c>
      <c r="O12" s="2" t="n">
        <v>1080</v>
      </c>
      <c r="P12" s="2" t="n">
        <v>1080</v>
      </c>
      <c r="Q12" s="15">
        <f>$K$99&amp;"|"&amp;N12&amp;"$"&amp;$L$99&amp;"|"&amp;O12&amp;"$"&amp;$M$99&amp;"|"&amp;P12</f>
        <v/>
      </c>
      <c r="R12" s="129" t="n">
        <v>18797</v>
      </c>
      <c r="S12" s="129" t="n">
        <v>1080</v>
      </c>
      <c r="T12" s="129" t="n">
        <v>1080</v>
      </c>
      <c r="U12" s="15">
        <f>$K$99&amp;"|"&amp;R12&amp;"$"&amp;$L$99&amp;"|"&amp;S12&amp;"$"&amp;$M$99&amp;"|"&amp;T12</f>
        <v/>
      </c>
      <c r="V12" s="129" t="n">
        <v>43598</v>
      </c>
      <c r="W12" s="129" t="n">
        <v>1080</v>
      </c>
      <c r="X12" s="129" t="n">
        <v>1080</v>
      </c>
      <c r="Y12" s="15">
        <f>$K$99&amp;"|"&amp;V12&amp;"$"&amp;$L$99&amp;"|"&amp;W12&amp;"$"&amp;$M$99&amp;"|"&amp;X12</f>
        <v/>
      </c>
      <c r="Z12" s="15" t="n"/>
      <c r="AA12" s="15" t="n"/>
    </row>
    <row r="13">
      <c r="E13" s="129" t="n"/>
      <c r="F13" s="129" t="n"/>
      <c r="G13" s="129" t="n"/>
      <c r="H13" s="129" t="n"/>
      <c r="M13" s="15" t="n">
        <v>10</v>
      </c>
      <c r="N13" s="2" t="n">
        <v>6000</v>
      </c>
      <c r="O13" s="2" t="n">
        <v>1170</v>
      </c>
      <c r="P13" s="2" t="n">
        <v>1170</v>
      </c>
      <c r="Q13" s="15">
        <f>$K$99&amp;"|"&amp;N13&amp;"$"&amp;$L$99&amp;"|"&amp;O13&amp;"$"&amp;$M$99&amp;"|"&amp;P13</f>
        <v/>
      </c>
      <c r="R13" s="129" t="n">
        <v>20921</v>
      </c>
      <c r="S13" s="129" t="n">
        <v>1170</v>
      </c>
      <c r="T13" s="129" t="n">
        <v>1170</v>
      </c>
      <c r="U13" s="15">
        <f>$K$99&amp;"|"&amp;R13&amp;"$"&amp;$L$99&amp;"|"&amp;S13&amp;"$"&amp;$M$99&amp;"|"&amp;T13</f>
        <v/>
      </c>
      <c r="V13" s="129" t="n">
        <v>48373</v>
      </c>
      <c r="W13" s="129" t="n">
        <v>1170</v>
      </c>
      <c r="X13" s="129" t="n">
        <v>1170</v>
      </c>
      <c r="Y13" s="15">
        <f>$K$99&amp;"|"&amp;V13&amp;"$"&amp;$L$99&amp;"|"&amp;W13&amp;"$"&amp;$M$99&amp;"|"&amp;X13</f>
        <v/>
      </c>
      <c r="Z13" s="15" t="n"/>
      <c r="AA13" s="15" t="n"/>
    </row>
    <row r="14">
      <c r="E14" s="129" t="n"/>
      <c r="F14" s="129" t="n"/>
      <c r="G14" s="129" t="n"/>
      <c r="H14" s="129" t="n"/>
      <c r="M14" s="2" t="n">
        <v>11</v>
      </c>
      <c r="N14" s="2" t="n">
        <v>7700</v>
      </c>
      <c r="O14" s="2" t="n">
        <v>1470</v>
      </c>
      <c r="P14" s="2" t="n">
        <v>1470</v>
      </c>
      <c r="Q14" s="2">
        <f>$K$99&amp;"|"&amp;N14&amp;"$"&amp;$L$99&amp;"|"&amp;O14&amp;"$"&amp;$M$99&amp;"|"&amp;P14</f>
        <v/>
      </c>
      <c r="R14" s="129" t="n">
        <v>26887</v>
      </c>
      <c r="S14" s="129" t="n">
        <v>1470</v>
      </c>
      <c r="T14" s="129" t="n">
        <v>1470</v>
      </c>
      <c r="U14" s="2">
        <f>$K$99&amp;"|"&amp;R14&amp;"$"&amp;$L$99&amp;"|"&amp;S14&amp;"$"&amp;$M$99&amp;"|"&amp;T14</f>
        <v/>
      </c>
      <c r="V14" s="129" t="n">
        <v>62006</v>
      </c>
      <c r="W14" s="129" t="n">
        <v>1470</v>
      </c>
      <c r="X14" s="129" t="n">
        <v>1470</v>
      </c>
      <c r="Y14" s="2">
        <f>$K$99&amp;"|"&amp;V14&amp;"$"&amp;$L$99&amp;"|"&amp;W14&amp;"$"&amp;$M$99&amp;"|"&amp;X14</f>
        <v/>
      </c>
    </row>
    <row r="15">
      <c r="E15" s="129" t="n"/>
      <c r="F15" s="129" t="n"/>
      <c r="G15" s="129" t="n"/>
      <c r="H15" s="129" t="n"/>
      <c r="M15" s="2" t="n">
        <v>12</v>
      </c>
      <c r="N15" s="2" t="n">
        <v>8400</v>
      </c>
      <c r="O15" s="2" t="n">
        <v>1575</v>
      </c>
      <c r="P15" s="2" t="n">
        <v>1575</v>
      </c>
      <c r="Q15" s="2">
        <f>$K$99&amp;"|"&amp;N15&amp;"$"&amp;$L$99&amp;"|"&amp;O15&amp;"$"&amp;$M$99&amp;"|"&amp;P15</f>
        <v/>
      </c>
      <c r="R15" s="129" t="n">
        <v>29366</v>
      </c>
      <c r="S15" s="129" t="n">
        <v>1575</v>
      </c>
      <c r="T15" s="129" t="n">
        <v>1575</v>
      </c>
      <c r="U15" s="2">
        <f>$K$99&amp;"|"&amp;R15&amp;"$"&amp;$L$99&amp;"|"&amp;S15&amp;"$"&amp;$M$99&amp;"|"&amp;T15</f>
        <v/>
      </c>
      <c r="V15" s="129" t="n">
        <v>67577</v>
      </c>
      <c r="W15" s="129" t="n">
        <v>1575</v>
      </c>
      <c r="X15" s="129" t="n">
        <v>1575</v>
      </c>
      <c r="Y15" s="2">
        <f>$K$99&amp;"|"&amp;V15&amp;"$"&amp;$L$99&amp;"|"&amp;W15&amp;"$"&amp;$M$99&amp;"|"&amp;X15</f>
        <v/>
      </c>
    </row>
    <row r="16">
      <c r="E16" s="129" t="n"/>
      <c r="F16" s="129" t="n"/>
      <c r="G16" s="129" t="n"/>
      <c r="H16" s="129" t="n"/>
      <c r="M16" s="2" t="n">
        <v>13</v>
      </c>
      <c r="N16" s="2" t="n">
        <v>9100</v>
      </c>
      <c r="O16" s="2" t="n">
        <v>1680</v>
      </c>
      <c r="P16" s="2" t="n">
        <v>1680</v>
      </c>
      <c r="Q16" s="2">
        <f>$K$99&amp;"|"&amp;N16&amp;"$"&amp;$L$99&amp;"|"&amp;O16&amp;"$"&amp;$M$99&amp;"|"&amp;P16</f>
        <v/>
      </c>
      <c r="R16" s="129" t="n">
        <v>31844</v>
      </c>
      <c r="S16" s="129" t="n">
        <v>1680</v>
      </c>
      <c r="T16" s="129" t="n">
        <v>1680</v>
      </c>
      <c r="U16" s="2">
        <f>$K$99&amp;"|"&amp;R16&amp;"$"&amp;$L$99&amp;"|"&amp;S16&amp;"$"&amp;$M$99&amp;"|"&amp;T16</f>
        <v/>
      </c>
      <c r="V16" s="129" t="n">
        <v>73147</v>
      </c>
      <c r="W16" s="129" t="n">
        <v>1680</v>
      </c>
      <c r="X16" s="129" t="n">
        <v>1680</v>
      </c>
      <c r="Y16" s="2">
        <f>$K$99&amp;"|"&amp;V16&amp;"$"&amp;$L$99&amp;"|"&amp;W16&amp;"$"&amp;$M$99&amp;"|"&amp;X16</f>
        <v/>
      </c>
    </row>
    <row r="17">
      <c r="E17" s="129" t="n"/>
      <c r="F17" s="129" t="n"/>
      <c r="G17" s="129" t="n"/>
      <c r="H17" s="129" t="n"/>
      <c r="M17" s="2" t="n">
        <v>14</v>
      </c>
      <c r="N17" s="2" t="n">
        <v>9800</v>
      </c>
      <c r="O17" s="2" t="n">
        <v>1785</v>
      </c>
      <c r="P17" s="2" t="n">
        <v>1785</v>
      </c>
      <c r="Q17" s="2">
        <f>$K$99&amp;"|"&amp;N17&amp;"$"&amp;$L$99&amp;"|"&amp;O17&amp;"$"&amp;$M$99&amp;"|"&amp;P17</f>
        <v/>
      </c>
      <c r="R17" s="129" t="n">
        <v>34323</v>
      </c>
      <c r="S17" s="129" t="n">
        <v>1785</v>
      </c>
      <c r="T17" s="129" t="n">
        <v>1785</v>
      </c>
      <c r="U17" s="2">
        <f>$K$99&amp;"|"&amp;R17&amp;"$"&amp;$L$99&amp;"|"&amp;S17&amp;"$"&amp;$M$99&amp;"|"&amp;T17</f>
        <v/>
      </c>
      <c r="V17" s="129" t="n">
        <v>78718</v>
      </c>
      <c r="W17" s="129" t="n">
        <v>1785</v>
      </c>
      <c r="X17" s="129" t="n">
        <v>1785</v>
      </c>
      <c r="Y17" s="2">
        <f>$K$99&amp;"|"&amp;V17&amp;"$"&amp;$L$99&amp;"|"&amp;W17&amp;"$"&amp;$M$99&amp;"|"&amp;X17</f>
        <v/>
      </c>
    </row>
    <row r="18">
      <c r="E18" s="129" t="n"/>
      <c r="F18" s="129" t="n"/>
      <c r="G18" s="129" t="n"/>
      <c r="H18" s="129" t="n"/>
      <c r="M18" s="2" t="n">
        <v>15</v>
      </c>
      <c r="N18" s="2" t="n">
        <v>10500</v>
      </c>
      <c r="O18" s="2" t="n">
        <v>1890</v>
      </c>
      <c r="P18" s="2" t="n">
        <v>1890</v>
      </c>
      <c r="Q18" s="2">
        <f>$K$99&amp;"|"&amp;N18&amp;"$"&amp;$L$99&amp;"|"&amp;O18&amp;"$"&amp;$M$99&amp;"|"&amp;P18</f>
        <v/>
      </c>
      <c r="R18" s="129" t="n">
        <v>36802</v>
      </c>
      <c r="S18" s="129" t="n">
        <v>1890</v>
      </c>
      <c r="T18" s="129" t="n">
        <v>1890</v>
      </c>
      <c r="U18" s="2">
        <f>$K$99&amp;"|"&amp;R18&amp;"$"&amp;$L$99&amp;"|"&amp;S18&amp;"$"&amp;$M$99&amp;"|"&amp;T18</f>
        <v/>
      </c>
      <c r="V18" s="129" t="n">
        <v>84288</v>
      </c>
      <c r="W18" s="129" t="n">
        <v>1890</v>
      </c>
      <c r="X18" s="129" t="n">
        <v>1890</v>
      </c>
      <c r="Y18" s="2">
        <f>$K$99&amp;"|"&amp;V18&amp;"$"&amp;$L$99&amp;"|"&amp;W18&amp;"$"&amp;$M$99&amp;"|"&amp;X18</f>
        <v/>
      </c>
    </row>
    <row r="19">
      <c r="E19" s="129" t="n"/>
      <c r="F19" s="129" t="n"/>
      <c r="G19" s="129" t="n"/>
      <c r="H19" s="129" t="n"/>
      <c r="M19" s="2" t="n">
        <v>16</v>
      </c>
      <c r="N19" s="130" t="n">
        <v>16000</v>
      </c>
      <c r="O19" s="130" t="n">
        <v>2850</v>
      </c>
      <c r="P19" s="130" t="n">
        <v>2850</v>
      </c>
      <c r="Q19" s="2">
        <f>$K$99&amp;"|"&amp;N19&amp;"$"&amp;$L$99&amp;"|"&amp;O19&amp;"$"&amp;$M$99&amp;"|"&amp;P19</f>
        <v/>
      </c>
      <c r="R19" s="130" t="n">
        <v>56115</v>
      </c>
      <c r="S19" s="130" t="n">
        <v>2850</v>
      </c>
      <c r="T19" s="130" t="n">
        <v>2850</v>
      </c>
      <c r="U19" s="2">
        <f>$K$99&amp;"|"&amp;R19&amp;"$"&amp;$L$99&amp;"|"&amp;S19&amp;"$"&amp;$M$99&amp;"|"&amp;T19</f>
        <v/>
      </c>
      <c r="V19" s="130" t="n">
        <v>128370</v>
      </c>
      <c r="W19" s="130" t="n">
        <v>2850</v>
      </c>
      <c r="X19" s="130" t="n">
        <v>2850</v>
      </c>
      <c r="Y19" s="2">
        <f>$K$99&amp;"|"&amp;V19&amp;"$"&amp;$L$99&amp;"|"&amp;W19&amp;"$"&amp;$M$99&amp;"|"&amp;X19</f>
        <v/>
      </c>
    </row>
    <row r="20">
      <c r="E20" s="129" t="n"/>
      <c r="F20" s="129" t="n"/>
      <c r="G20" s="129" t="n"/>
      <c r="H20" s="129" t="n"/>
      <c r="M20" s="2" t="n">
        <v>17</v>
      </c>
      <c r="N20" s="130" t="n">
        <v>17000</v>
      </c>
      <c r="O20" s="130" t="n">
        <v>3000</v>
      </c>
      <c r="P20" s="130" t="n">
        <v>3000</v>
      </c>
      <c r="Q20" s="2">
        <f>$K$99&amp;"|"&amp;N20&amp;"$"&amp;$L$99&amp;"|"&amp;O20&amp;"$"&amp;$M$99&amp;"|"&amp;P20</f>
        <v/>
      </c>
      <c r="R20" s="130" t="n">
        <v>59656</v>
      </c>
      <c r="S20" s="130" t="n">
        <v>3000</v>
      </c>
      <c r="T20" s="130" t="n">
        <v>3000</v>
      </c>
      <c r="U20" s="2">
        <f>$K$99&amp;"|"&amp;R20&amp;"$"&amp;$L$99&amp;"|"&amp;S20&amp;"$"&amp;$M$99&amp;"|"&amp;T20</f>
        <v/>
      </c>
      <c r="V20" s="130" t="n">
        <v>136328</v>
      </c>
      <c r="W20" s="130" t="n">
        <v>3000</v>
      </c>
      <c r="X20" s="130" t="n">
        <v>3000</v>
      </c>
      <c r="Y20" s="2">
        <f>$K$99&amp;"|"&amp;V20&amp;"$"&amp;$L$99&amp;"|"&amp;W20&amp;"$"&amp;$M$99&amp;"|"&amp;X20</f>
        <v/>
      </c>
    </row>
    <row r="21">
      <c r="E21" s="129" t="n"/>
      <c r="F21" s="129" t="n"/>
      <c r="G21" s="129" t="n"/>
      <c r="H21" s="129" t="n"/>
      <c r="M21" s="2" t="n">
        <v>18</v>
      </c>
      <c r="N21" s="130" t="n">
        <v>18000</v>
      </c>
      <c r="O21" s="130" t="n">
        <v>3150</v>
      </c>
      <c r="P21" s="130" t="n">
        <v>3150</v>
      </c>
      <c r="Q21" s="2">
        <f>$K$99&amp;"|"&amp;N21&amp;"$"&amp;$L$99&amp;"|"&amp;O21&amp;"$"&amp;$M$99&amp;"|"&amp;P21</f>
        <v/>
      </c>
      <c r="R21" s="130" t="n">
        <v>63197</v>
      </c>
      <c r="S21" s="130" t="n">
        <v>3150</v>
      </c>
      <c r="T21" s="130" t="n">
        <v>3150</v>
      </c>
      <c r="U21" s="2">
        <f>$K$99&amp;"|"&amp;R21&amp;"$"&amp;$L$99&amp;"|"&amp;S21&amp;"$"&amp;$M$99&amp;"|"&amp;T21</f>
        <v/>
      </c>
      <c r="V21" s="130" t="n">
        <v>144286</v>
      </c>
      <c r="W21" s="130" t="n">
        <v>3150</v>
      </c>
      <c r="X21" s="130" t="n">
        <v>3150</v>
      </c>
      <c r="Y21" s="2">
        <f>$K$99&amp;"|"&amp;V21&amp;"$"&amp;$L$99&amp;"|"&amp;W21&amp;"$"&amp;$M$99&amp;"|"&amp;X21</f>
        <v/>
      </c>
    </row>
    <row r="22">
      <c r="E22" s="129" t="n"/>
      <c r="F22" s="129" t="n"/>
      <c r="G22" s="129" t="n"/>
      <c r="H22" s="129" t="n"/>
      <c r="M22" s="2" t="n">
        <v>19</v>
      </c>
      <c r="N22" s="130" t="n">
        <v>19000</v>
      </c>
      <c r="O22" s="130" t="n">
        <v>3300</v>
      </c>
      <c r="P22" s="130" t="n">
        <v>3300</v>
      </c>
      <c r="Q22" s="2">
        <f>$K$99&amp;"|"&amp;N22&amp;"$"&amp;$L$99&amp;"|"&amp;O22&amp;"$"&amp;$M$99&amp;"|"&amp;P22</f>
        <v/>
      </c>
      <c r="R22" s="130" t="n">
        <v>66738</v>
      </c>
      <c r="S22" s="130" t="n">
        <v>3300</v>
      </c>
      <c r="T22" s="130" t="n">
        <v>3300</v>
      </c>
      <c r="U22" s="2">
        <f>$K$99&amp;"|"&amp;R22&amp;"$"&amp;$L$99&amp;"|"&amp;S22&amp;"$"&amp;$M$99&amp;"|"&amp;T22</f>
        <v/>
      </c>
      <c r="V22" s="130" t="n">
        <v>152244</v>
      </c>
      <c r="W22" s="130" t="n">
        <v>3300</v>
      </c>
      <c r="X22" s="130" t="n">
        <v>3300</v>
      </c>
      <c r="Y22" s="2">
        <f>$K$99&amp;"|"&amp;V22&amp;"$"&amp;$L$99&amp;"|"&amp;W22&amp;"$"&amp;$M$99&amp;"|"&amp;X22</f>
        <v/>
      </c>
    </row>
    <row r="23">
      <c r="E23" s="129" t="n"/>
      <c r="F23" s="129" t="n"/>
      <c r="G23" s="129" t="n"/>
      <c r="H23" s="129" t="n"/>
      <c r="M23" s="2" t="n">
        <v>20</v>
      </c>
      <c r="N23" s="130" t="n">
        <v>20000</v>
      </c>
      <c r="O23" s="130" t="n">
        <v>3450</v>
      </c>
      <c r="P23" s="130" t="n">
        <v>3450</v>
      </c>
      <c r="Q23" s="2">
        <f>$K$99&amp;"|"&amp;N23&amp;"$"&amp;$L$99&amp;"|"&amp;O23&amp;"$"&amp;$M$99&amp;"|"&amp;P23</f>
        <v/>
      </c>
      <c r="R23" s="130" t="n">
        <v>70279</v>
      </c>
      <c r="S23" s="130" t="n">
        <v>3450</v>
      </c>
      <c r="T23" s="130" t="n">
        <v>3450</v>
      </c>
      <c r="U23" s="2">
        <f>$K$99&amp;"|"&amp;R23&amp;"$"&amp;$L$99&amp;"|"&amp;S23&amp;"$"&amp;$M$99&amp;"|"&amp;T23</f>
        <v/>
      </c>
      <c r="V23" s="130" t="n">
        <v>160202</v>
      </c>
      <c r="W23" s="130" t="n">
        <v>3450</v>
      </c>
      <c r="X23" s="130" t="n">
        <v>3450</v>
      </c>
      <c r="Y23" s="2">
        <f>$K$99&amp;"|"&amp;V23&amp;"$"&amp;$L$99&amp;"|"&amp;W23&amp;"$"&amp;$M$99&amp;"|"&amp;X23</f>
        <v/>
      </c>
    </row>
    <row r="24">
      <c r="E24" s="129" t="n"/>
      <c r="F24" s="129" t="n"/>
      <c r="G24" s="129" t="n"/>
      <c r="H24" s="129" t="n"/>
      <c r="M24" s="2" t="n">
        <v>21</v>
      </c>
      <c r="N24" s="130" t="n">
        <v>21000</v>
      </c>
      <c r="O24" s="130" t="n">
        <v>3600</v>
      </c>
      <c r="P24" s="130" t="n">
        <v>3600</v>
      </c>
      <c r="Q24" s="2">
        <f>$K$99&amp;"|"&amp;N24&amp;"$"&amp;$L$99&amp;"|"&amp;O24&amp;"$"&amp;$M$99&amp;"|"&amp;P24</f>
        <v/>
      </c>
      <c r="R24" s="130" t="n">
        <v>73820</v>
      </c>
      <c r="S24" s="130" t="n">
        <v>3600</v>
      </c>
      <c r="T24" s="130" t="n">
        <v>3600</v>
      </c>
      <c r="U24" s="2">
        <f>$K$99&amp;"|"&amp;R24&amp;"$"&amp;$L$99&amp;"|"&amp;S24&amp;"$"&amp;$M$99&amp;"|"&amp;T24</f>
        <v/>
      </c>
      <c r="V24" s="130" t="n">
        <v>168160</v>
      </c>
      <c r="W24" s="130" t="n">
        <v>3600</v>
      </c>
      <c r="X24" s="130" t="n">
        <v>3600</v>
      </c>
      <c r="Y24" s="2">
        <f>$K$99&amp;"|"&amp;V24&amp;"$"&amp;$L$99&amp;"|"&amp;W24&amp;"$"&amp;$M$99&amp;"|"&amp;X24</f>
        <v/>
      </c>
    </row>
    <row r="25">
      <c r="E25" s="129" t="n"/>
      <c r="F25" s="129" t="n"/>
      <c r="G25" s="129" t="n"/>
      <c r="H25" s="129" t="n"/>
      <c r="M25" s="2" t="n">
        <v>22</v>
      </c>
      <c r="N25" s="130" t="n">
        <v>22000</v>
      </c>
      <c r="O25" s="130" t="n">
        <v>3750</v>
      </c>
      <c r="P25" s="130" t="n">
        <v>3750</v>
      </c>
      <c r="Q25" s="2">
        <f>$K$99&amp;"|"&amp;N25&amp;"$"&amp;$L$99&amp;"|"&amp;O25&amp;"$"&amp;$M$99&amp;"|"&amp;P25</f>
        <v/>
      </c>
      <c r="R25" s="130" t="n">
        <v>77361</v>
      </c>
      <c r="S25" s="130" t="n">
        <v>3750</v>
      </c>
      <c r="T25" s="130" t="n">
        <v>3750</v>
      </c>
      <c r="U25" s="2">
        <f>$K$99&amp;"|"&amp;R25&amp;"$"&amp;$L$99&amp;"|"&amp;S25&amp;"$"&amp;$M$99&amp;"|"&amp;T25</f>
        <v/>
      </c>
      <c r="V25" s="130" t="n">
        <v>176118</v>
      </c>
      <c r="W25" s="130" t="n">
        <v>3750</v>
      </c>
      <c r="X25" s="130" t="n">
        <v>3750</v>
      </c>
      <c r="Y25" s="2">
        <f>$K$99&amp;"|"&amp;V25&amp;"$"&amp;$L$99&amp;"|"&amp;W25&amp;"$"&amp;$M$99&amp;"|"&amp;X25</f>
        <v/>
      </c>
    </row>
    <row r="26">
      <c r="E26" s="129" t="n"/>
      <c r="F26" s="129" t="n"/>
      <c r="G26" s="129" t="n"/>
      <c r="H26" s="129" t="n"/>
      <c r="M26" s="2" t="n">
        <v>23</v>
      </c>
      <c r="N26" s="130" t="n">
        <v>23000</v>
      </c>
      <c r="O26" s="130" t="n">
        <v>3900</v>
      </c>
      <c r="P26" s="130" t="n">
        <v>3900</v>
      </c>
      <c r="Q26" s="2">
        <f>$K$99&amp;"|"&amp;N26&amp;"$"&amp;$L$99&amp;"|"&amp;O26&amp;"$"&amp;$M$99&amp;"|"&amp;P26</f>
        <v/>
      </c>
      <c r="R26" s="130" t="n">
        <v>80902</v>
      </c>
      <c r="S26" s="130" t="n">
        <v>3900</v>
      </c>
      <c r="T26" s="130" t="n">
        <v>3900</v>
      </c>
      <c r="U26" s="2">
        <f>$K$99&amp;"|"&amp;R26&amp;"$"&amp;$L$99&amp;"|"&amp;S26&amp;"$"&amp;$M$99&amp;"|"&amp;T26</f>
        <v/>
      </c>
      <c r="V26" s="130" t="n">
        <v>184076</v>
      </c>
      <c r="W26" s="130" t="n">
        <v>3900</v>
      </c>
      <c r="X26" s="130" t="n">
        <v>3900</v>
      </c>
      <c r="Y26" s="2">
        <f>$K$99&amp;"|"&amp;V26&amp;"$"&amp;$L$99&amp;"|"&amp;W26&amp;"$"&amp;$M$99&amp;"|"&amp;X26</f>
        <v/>
      </c>
    </row>
    <row r="27">
      <c r="E27" s="129" t="n"/>
      <c r="F27" s="129" t="n"/>
      <c r="G27" s="129" t="n"/>
      <c r="H27" s="129" t="n"/>
      <c r="M27" s="2" t="n">
        <v>24</v>
      </c>
      <c r="N27" s="130" t="n">
        <v>24000</v>
      </c>
      <c r="O27" s="130" t="n">
        <v>4050</v>
      </c>
      <c r="P27" s="130" t="n">
        <v>4050</v>
      </c>
      <c r="Q27" s="2">
        <f>$K$99&amp;"|"&amp;N27&amp;"$"&amp;$L$99&amp;"|"&amp;O27&amp;"$"&amp;$M$99&amp;"|"&amp;P27</f>
        <v/>
      </c>
      <c r="R27" s="130" t="n">
        <v>84443</v>
      </c>
      <c r="S27" s="130" t="n">
        <v>4050</v>
      </c>
      <c r="T27" s="130" t="n">
        <v>4050</v>
      </c>
      <c r="U27" s="2">
        <f>$K$99&amp;"|"&amp;R27&amp;"$"&amp;$L$99&amp;"|"&amp;S27&amp;"$"&amp;$M$99&amp;"|"&amp;T27</f>
        <v/>
      </c>
      <c r="V27" s="130" t="n">
        <v>192034</v>
      </c>
      <c r="W27" s="130" t="n">
        <v>4050</v>
      </c>
      <c r="X27" s="130" t="n">
        <v>4050</v>
      </c>
      <c r="Y27" s="2">
        <f>$K$99&amp;"|"&amp;V27&amp;"$"&amp;$L$99&amp;"|"&amp;W27&amp;"$"&amp;$M$99&amp;"|"&amp;X27</f>
        <v/>
      </c>
    </row>
    <row r="28">
      <c r="E28" s="129" t="n"/>
      <c r="F28" s="129" t="n"/>
      <c r="G28" s="129" t="n"/>
      <c r="H28" s="129" t="n"/>
      <c r="M28" s="2" t="n">
        <v>25</v>
      </c>
      <c r="N28" s="130" t="n">
        <v>25000</v>
      </c>
      <c r="O28" s="130" t="n">
        <v>4200</v>
      </c>
      <c r="P28" s="130" t="n">
        <v>4200</v>
      </c>
      <c r="Q28" s="2">
        <f>$K$99&amp;"|"&amp;N28&amp;"$"&amp;$L$99&amp;"|"&amp;O28&amp;"$"&amp;$M$99&amp;"|"&amp;P28</f>
        <v/>
      </c>
      <c r="R28" s="130" t="n">
        <v>87984</v>
      </c>
      <c r="S28" s="130" t="n">
        <v>4200</v>
      </c>
      <c r="T28" s="130" t="n">
        <v>4200</v>
      </c>
      <c r="U28" s="2">
        <f>$K$99&amp;"|"&amp;R28&amp;"$"&amp;$L$99&amp;"|"&amp;S28&amp;"$"&amp;$M$99&amp;"|"&amp;T28</f>
        <v/>
      </c>
      <c r="V28" s="130" t="n">
        <v>199992</v>
      </c>
      <c r="W28" s="130" t="n">
        <v>4200</v>
      </c>
      <c r="X28" s="130" t="n">
        <v>4200</v>
      </c>
      <c r="Y28" s="2">
        <f>$K$99&amp;"|"&amp;V28&amp;"$"&amp;$L$99&amp;"|"&amp;W28&amp;"$"&amp;$M$99&amp;"|"&amp;X28</f>
        <v/>
      </c>
    </row>
    <row r="29">
      <c r="E29" s="129" t="n"/>
      <c r="F29" s="129" t="n"/>
      <c r="G29" s="129" t="n"/>
      <c r="H29" s="129" t="n"/>
      <c r="K29" s="131" t="n"/>
      <c r="L29" s="131" t="n"/>
      <c r="M29" s="131" t="n"/>
      <c r="N29" s="2" t="n">
        <v>0.6</v>
      </c>
      <c r="O29" s="2" t="n">
        <v>0.7</v>
      </c>
    </row>
    <row r="30">
      <c r="E30" s="129" t="n"/>
      <c r="F30" s="129" t="n"/>
      <c r="G30" s="129" t="n"/>
      <c r="H30" s="129" t="n"/>
      <c r="K30" s="131" t="n"/>
      <c r="L30" s="131" t="n"/>
      <c r="M30" s="131" t="n"/>
    </row>
    <row r="31">
      <c r="E31" s="129" t="n"/>
      <c r="F31" s="129" t="n"/>
      <c r="G31" s="129" t="n"/>
      <c r="H31" s="129" t="n"/>
      <c r="K31" s="132" t="n"/>
      <c r="L31" s="132" t="n"/>
      <c r="M31" s="132" t="n"/>
    </row>
    <row r="32">
      <c r="E32" s="129" t="n"/>
      <c r="F32" s="129" t="n"/>
      <c r="G32" s="129" t="n"/>
      <c r="H32" s="129" t="n"/>
      <c r="K32" s="132" t="n"/>
      <c r="L32" s="132" t="n"/>
      <c r="M32" s="132" t="n"/>
    </row>
    <row r="33">
      <c r="E33" s="129" t="n"/>
      <c r="F33" s="129" t="n"/>
      <c r="G33" s="129" t="n"/>
      <c r="H33" s="129" t="n"/>
      <c r="K33" s="132" t="n"/>
      <c r="L33" s="132" t="n"/>
      <c r="M33" s="132" t="n"/>
    </row>
    <row r="34">
      <c r="E34" s="129" t="n"/>
      <c r="F34" s="129" t="n"/>
      <c r="G34" s="129" t="n"/>
      <c r="H34" s="129" t="n"/>
      <c r="K34" s="133" t="n"/>
      <c r="L34" s="133" t="n"/>
      <c r="M34" s="133" t="n"/>
    </row>
    <row r="35">
      <c r="E35" s="129" t="n"/>
      <c r="F35" s="129" t="n"/>
      <c r="G35" s="129" t="n"/>
      <c r="H35" s="129" t="n"/>
      <c r="K35" s="133" t="n"/>
      <c r="L35" s="133" t="n"/>
      <c r="M35" s="133" t="n"/>
    </row>
    <row r="36">
      <c r="E36" s="129" t="n"/>
      <c r="F36" s="129" t="n"/>
      <c r="G36" s="129" t="n"/>
      <c r="H36" s="129" t="n"/>
      <c r="K36" s="133" t="n"/>
      <c r="L36" s="133" t="n"/>
      <c r="M36" s="133" t="n"/>
    </row>
    <row r="37">
      <c r="E37" s="129" t="n"/>
      <c r="F37" s="129" t="n"/>
      <c r="G37" s="129" t="n"/>
      <c r="H37" s="129" t="n"/>
      <c r="K37" s="133" t="n"/>
      <c r="L37" s="133" t="n"/>
      <c r="M37" s="133" t="n"/>
    </row>
    <row r="38">
      <c r="E38" s="129" t="n"/>
      <c r="F38" s="129" t="n"/>
      <c r="G38" s="129" t="n"/>
      <c r="H38" s="129" t="n"/>
      <c r="K38" s="133" t="n"/>
      <c r="L38" s="133" t="n"/>
      <c r="M38" s="133" t="n"/>
    </row>
    <row r="39">
      <c r="E39" s="129" t="n"/>
      <c r="F39" s="129" t="n"/>
      <c r="G39" s="129" t="n"/>
      <c r="H39" s="129" t="n"/>
      <c r="K39" s="133" t="n"/>
      <c r="L39" s="133" t="n"/>
      <c r="M39" s="133" t="n"/>
    </row>
    <row r="40">
      <c r="E40" s="129" t="n"/>
      <c r="F40" s="129" t="n"/>
      <c r="G40" s="129" t="n"/>
      <c r="H40" s="129" t="n"/>
      <c r="K40" s="133" t="n"/>
      <c r="L40" s="133" t="n"/>
      <c r="M40" s="133" t="n"/>
    </row>
    <row r="41">
      <c r="E41" s="129" t="n"/>
      <c r="F41" s="129" t="n"/>
      <c r="G41" s="129" t="n"/>
      <c r="H41" s="129" t="n"/>
      <c r="K41" s="133" t="n"/>
      <c r="L41" s="133" t="n"/>
      <c r="M41" s="133" t="n"/>
    </row>
    <row r="42">
      <c r="E42" s="129" t="n"/>
      <c r="F42" s="129" t="n"/>
      <c r="G42" s="129" t="n"/>
      <c r="H42" s="129" t="n"/>
      <c r="K42" s="133" t="n"/>
      <c r="L42" s="133" t="n"/>
      <c r="M42" s="133" t="n"/>
    </row>
    <row r="43">
      <c r="E43" s="129" t="n"/>
      <c r="F43" s="129" t="n"/>
      <c r="G43" s="129" t="n"/>
      <c r="H43" s="129" t="n"/>
      <c r="K43" s="133" t="n"/>
      <c r="L43" s="133" t="n"/>
      <c r="M43" s="133" t="n"/>
    </row>
    <row r="44">
      <c r="E44" s="129" t="n"/>
      <c r="F44" s="129" t="n"/>
      <c r="G44" s="129" t="n"/>
      <c r="H44" s="129" t="n"/>
      <c r="K44" s="133" t="n"/>
      <c r="L44" s="133" t="n"/>
      <c r="M44" s="133" t="n"/>
    </row>
    <row r="45">
      <c r="E45" s="129" t="n"/>
      <c r="F45" s="129" t="n"/>
      <c r="G45" s="129" t="n"/>
      <c r="H45" s="129" t="n"/>
      <c r="K45" s="133" t="n"/>
      <c r="L45" s="133" t="n"/>
      <c r="M45" s="133" t="n"/>
    </row>
    <row r="46">
      <c r="E46" s="129" t="n"/>
      <c r="F46" s="129" t="n"/>
      <c r="G46" s="129" t="n"/>
      <c r="H46" s="129" t="n"/>
      <c r="K46" s="133" t="n"/>
      <c r="L46" s="133" t="n"/>
      <c r="M46" s="133" t="n"/>
    </row>
    <row r="47">
      <c r="E47" s="129" t="n"/>
      <c r="F47" s="129" t="n"/>
      <c r="G47" s="129" t="n"/>
      <c r="H47" s="129" t="n"/>
      <c r="K47" s="133" t="n"/>
      <c r="L47" s="133" t="n"/>
      <c r="M47" s="133" t="n"/>
    </row>
    <row r="48">
      <c r="E48" s="129" t="n"/>
      <c r="F48" s="129" t="n"/>
      <c r="G48" s="129" t="n"/>
      <c r="H48" s="129" t="n"/>
      <c r="K48" s="133" t="n"/>
      <c r="L48" s="133" t="n"/>
      <c r="M48" s="133" t="n"/>
    </row>
    <row r="49">
      <c r="E49" s="129" t="n"/>
      <c r="F49" s="129" t="n"/>
      <c r="G49" s="129" t="n"/>
      <c r="H49" s="129" t="n"/>
      <c r="K49" s="133" t="n"/>
      <c r="L49" s="133" t="n"/>
      <c r="M49" s="133" t="n"/>
    </row>
    <row r="50">
      <c r="E50" s="129" t="n"/>
      <c r="F50" s="129" t="n"/>
      <c r="G50" s="129" t="n"/>
      <c r="H50" s="129" t="n"/>
      <c r="K50" s="133" t="n"/>
      <c r="L50" s="133" t="n"/>
      <c r="M50" s="133" t="n"/>
    </row>
    <row r="51">
      <c r="E51" s="129" t="n"/>
      <c r="F51" s="129" t="n"/>
      <c r="G51" s="129" t="n"/>
      <c r="H51" s="129" t="n"/>
      <c r="K51" s="133" t="n"/>
      <c r="L51" s="133" t="n"/>
      <c r="M51" s="133" t="n"/>
    </row>
    <row r="52">
      <c r="E52" s="129" t="n"/>
      <c r="F52" s="129" t="n"/>
      <c r="G52" s="129" t="n"/>
      <c r="H52" s="129" t="n"/>
      <c r="K52" s="133" t="n"/>
      <c r="L52" s="133" t="n"/>
      <c r="M52" s="133" t="n"/>
    </row>
    <row r="53">
      <c r="E53" s="129" t="n"/>
      <c r="F53" s="129" t="n"/>
      <c r="G53" s="129" t="n"/>
      <c r="H53" s="129" t="n"/>
      <c r="K53" s="133" t="n"/>
      <c r="L53" s="133" t="n"/>
      <c r="M53" s="133" t="n"/>
    </row>
    <row r="54">
      <c r="E54" s="129" t="n"/>
      <c r="F54" s="129" t="n"/>
      <c r="G54" s="129" t="n"/>
      <c r="H54" s="129" t="n"/>
      <c r="K54" s="133" t="n"/>
      <c r="L54" s="133" t="n"/>
      <c r="M54" s="133" t="n"/>
    </row>
    <row r="55">
      <c r="E55" s="129" t="n"/>
      <c r="F55" s="129" t="n"/>
      <c r="G55" s="129" t="n"/>
      <c r="H55" s="129" t="n"/>
      <c r="K55" s="133" t="n"/>
      <c r="L55" s="133" t="n"/>
      <c r="M55" s="133" t="n"/>
    </row>
    <row r="56">
      <c r="E56" s="129" t="n"/>
      <c r="F56" s="129" t="n"/>
      <c r="G56" s="129" t="n"/>
      <c r="H56" s="129" t="n"/>
      <c r="K56" s="133" t="n"/>
      <c r="L56" s="133" t="n"/>
      <c r="M56" s="133" t="n"/>
    </row>
    <row r="57">
      <c r="E57" s="129" t="n"/>
      <c r="F57" s="129" t="n"/>
      <c r="G57" s="129" t="n"/>
      <c r="H57" s="129" t="n"/>
      <c r="K57" s="133" t="n"/>
      <c r="L57" s="133" t="n"/>
      <c r="M57" s="133" t="n"/>
    </row>
    <row r="58">
      <c r="E58" s="129" t="n"/>
      <c r="F58" s="129" t="n"/>
      <c r="G58" s="129" t="n"/>
      <c r="H58" s="129" t="n"/>
      <c r="K58" s="133" t="n"/>
      <c r="L58" s="133" t="n"/>
      <c r="M58" s="133" t="n"/>
    </row>
    <row r="59">
      <c r="E59" s="129" t="n"/>
      <c r="F59" s="129" t="n"/>
      <c r="G59" s="129" t="n"/>
      <c r="H59" s="129" t="n"/>
      <c r="K59" s="133" t="n"/>
      <c r="L59" s="133" t="n"/>
      <c r="M59" s="133" t="n"/>
    </row>
    <row r="60">
      <c r="E60" s="129" t="n"/>
      <c r="F60" s="129" t="n"/>
      <c r="G60" s="129" t="n"/>
      <c r="H60" s="129" t="n"/>
      <c r="K60" s="133" t="n"/>
      <c r="L60" s="133" t="n"/>
      <c r="M60" s="133" t="n"/>
    </row>
    <row r="61">
      <c r="E61" s="129" t="n"/>
      <c r="F61" s="129" t="n"/>
      <c r="G61" s="129" t="n"/>
      <c r="H61" s="129" t="n"/>
      <c r="K61" s="133" t="n"/>
      <c r="L61" s="133" t="n"/>
      <c r="M61" s="133" t="n"/>
    </row>
    <row r="62">
      <c r="E62" s="129" t="n"/>
      <c r="F62" s="129" t="n"/>
      <c r="G62" s="129" t="n"/>
      <c r="H62" s="129" t="n"/>
      <c r="K62" s="133" t="n"/>
      <c r="L62" s="133" t="n"/>
      <c r="M62" s="133" t="n"/>
    </row>
    <row r="63">
      <c r="E63" s="129" t="n"/>
      <c r="F63" s="129" t="n"/>
      <c r="G63" s="129" t="n"/>
      <c r="H63" s="129" t="n"/>
      <c r="K63" s="133" t="n"/>
      <c r="L63" s="133" t="n"/>
      <c r="M63" s="133" t="n"/>
    </row>
    <row r="64">
      <c r="E64" s="129" t="n"/>
      <c r="F64" s="129" t="n"/>
      <c r="G64" s="129" t="n"/>
      <c r="H64" s="129" t="n"/>
      <c r="K64" s="133" t="n"/>
      <c r="L64" s="133" t="n"/>
      <c r="M64" s="133" t="n"/>
    </row>
    <row r="65">
      <c r="E65" s="129" t="n"/>
      <c r="F65" s="129" t="n"/>
      <c r="G65" s="129" t="n"/>
      <c r="H65" s="129" t="n"/>
      <c r="K65" s="133" t="n"/>
      <c r="L65" s="133" t="n"/>
      <c r="M65" s="133" t="n"/>
    </row>
    <row r="66">
      <c r="E66" s="129" t="n"/>
      <c r="F66" s="129" t="n"/>
      <c r="G66" s="129" t="n"/>
      <c r="H66" s="129" t="n"/>
      <c r="K66" s="133" t="n"/>
      <c r="L66" s="133" t="n"/>
      <c r="M66" s="133" t="n"/>
    </row>
    <row r="67">
      <c r="E67" s="129" t="n"/>
      <c r="F67" s="129" t="n"/>
      <c r="G67" s="129" t="n"/>
      <c r="H67" s="129" t="n"/>
      <c r="K67" s="133" t="n"/>
      <c r="L67" s="133" t="n"/>
      <c r="M67" s="133" t="n"/>
    </row>
    <row r="68">
      <c r="E68" s="129" t="n"/>
      <c r="F68" s="129" t="n"/>
      <c r="G68" s="129" t="n"/>
      <c r="H68" s="129" t="n"/>
      <c r="K68" s="133" t="n"/>
      <c r="L68" s="133" t="n"/>
      <c r="M68" s="133" t="n"/>
    </row>
    <row r="69">
      <c r="E69" s="129" t="n"/>
      <c r="F69" s="129" t="n"/>
      <c r="G69" s="129" t="n"/>
      <c r="H69" s="129" t="n"/>
      <c r="K69" s="133" t="n"/>
      <c r="L69" s="133" t="n"/>
      <c r="M69" s="133" t="n"/>
    </row>
    <row r="70">
      <c r="E70" s="129" t="n"/>
      <c r="F70" s="129" t="n"/>
      <c r="G70" s="129" t="n"/>
      <c r="H70" s="129" t="n"/>
      <c r="K70" s="133" t="n"/>
      <c r="L70" s="133" t="n"/>
      <c r="M70" s="133" t="n"/>
    </row>
    <row r="71">
      <c r="E71" s="129" t="n"/>
      <c r="F71" s="129" t="n"/>
      <c r="G71" s="129" t="n"/>
      <c r="H71" s="129" t="n"/>
      <c r="K71" s="133" t="n"/>
      <c r="L71" s="133" t="n"/>
      <c r="M71" s="133" t="n"/>
    </row>
    <row r="72">
      <c r="E72" s="129" t="n"/>
      <c r="F72" s="129" t="n"/>
      <c r="G72" s="129" t="n"/>
      <c r="H72" s="129" t="n"/>
      <c r="K72" s="133" t="n"/>
      <c r="L72" s="133" t="n"/>
      <c r="M72" s="133" t="n"/>
    </row>
    <row r="73">
      <c r="E73" s="129" t="n"/>
      <c r="F73" s="129" t="n"/>
      <c r="G73" s="129" t="n"/>
      <c r="H73" s="129" t="n"/>
      <c r="K73" s="133" t="n"/>
      <c r="L73" s="133" t="n"/>
      <c r="M73" s="133" t="n"/>
    </row>
    <row r="74">
      <c r="E74" s="129" t="n"/>
      <c r="F74" s="129" t="n"/>
      <c r="G74" s="129" t="n"/>
      <c r="H74" s="129" t="n"/>
      <c r="K74" s="133" t="n"/>
      <c r="L74" s="133" t="n"/>
      <c r="M74" s="133" t="n"/>
    </row>
    <row r="75">
      <c r="E75" s="129" t="n"/>
      <c r="F75" s="129" t="n"/>
      <c r="G75" s="129" t="n"/>
      <c r="H75" s="129" t="n"/>
      <c r="K75" s="133" t="n"/>
      <c r="L75" s="133" t="n"/>
      <c r="M75" s="133" t="n"/>
    </row>
    <row r="76">
      <c r="E76" s="129" t="n"/>
      <c r="F76" s="129" t="n"/>
      <c r="G76" s="129" t="n"/>
      <c r="H76" s="129" t="n"/>
      <c r="K76" s="133" t="n"/>
      <c r="L76" s="133" t="n"/>
      <c r="M76" s="133" t="n"/>
    </row>
    <row r="77">
      <c r="E77" s="129" t="n"/>
      <c r="F77" s="129" t="n"/>
      <c r="G77" s="129" t="n"/>
      <c r="H77" s="129" t="n"/>
      <c r="K77" s="133" t="n"/>
      <c r="L77" s="133" t="n"/>
      <c r="M77" s="133" t="n"/>
    </row>
    <row r="78">
      <c r="E78" s="129" t="n"/>
      <c r="F78" s="129" t="n"/>
      <c r="G78" s="129" t="n"/>
      <c r="H78" s="129" t="n"/>
      <c r="K78" s="133" t="n"/>
      <c r="L78" s="133" t="n"/>
      <c r="M78" s="133" t="n"/>
    </row>
    <row r="79">
      <c r="E79" s="129" t="n"/>
      <c r="F79" s="129" t="n"/>
      <c r="G79" s="129" t="n"/>
      <c r="H79" s="129" t="n"/>
      <c r="K79" s="133" t="n"/>
      <c r="L79" s="133" t="n"/>
      <c r="M79" s="133" t="n"/>
    </row>
    <row r="80">
      <c r="E80" s="129" t="n"/>
      <c r="F80" s="129" t="n"/>
      <c r="G80" s="129" t="n"/>
      <c r="H80" s="129" t="n"/>
      <c r="K80" s="133" t="n"/>
      <c r="L80" s="133" t="n"/>
      <c r="M80" s="133" t="n"/>
    </row>
    <row r="81">
      <c r="E81" s="129" t="n"/>
      <c r="F81" s="129" t="n"/>
      <c r="G81" s="129" t="n"/>
      <c r="H81" s="129" t="n"/>
      <c r="K81" s="133" t="n"/>
      <c r="L81" s="133" t="n"/>
      <c r="M81" s="133" t="n"/>
    </row>
    <row r="82">
      <c r="E82" s="129" t="n"/>
      <c r="F82" s="129" t="n"/>
      <c r="G82" s="129" t="n"/>
      <c r="H82" s="129" t="n"/>
      <c r="K82" s="133" t="n"/>
      <c r="L82" s="133" t="n"/>
      <c r="M82" s="133" t="n"/>
    </row>
    <row r="83">
      <c r="E83" s="129" t="n"/>
      <c r="F83" s="129" t="n"/>
      <c r="G83" s="129" t="n"/>
      <c r="H83" s="129" t="n"/>
      <c r="K83" s="133" t="n"/>
      <c r="L83" s="133" t="n"/>
      <c r="M83" s="133" t="n"/>
    </row>
    <row r="84">
      <c r="E84" s="129" t="n"/>
      <c r="F84" s="129" t="n"/>
      <c r="G84" s="129" t="n"/>
      <c r="H84" s="129" t="n"/>
      <c r="K84" s="133" t="n"/>
      <c r="L84" s="133" t="n"/>
      <c r="M84" s="133" t="n"/>
    </row>
    <row r="85">
      <c r="E85" s="129" t="n"/>
      <c r="F85" s="129" t="n"/>
      <c r="G85" s="129" t="n"/>
      <c r="H85" s="129" t="n"/>
      <c r="K85" s="133" t="n"/>
      <c r="L85" s="133" t="n"/>
      <c r="M85" s="133" t="n"/>
    </row>
    <row r="86">
      <c r="E86" s="129" t="n"/>
      <c r="F86" s="129" t="n"/>
      <c r="G86" s="129" t="n"/>
      <c r="H86" s="129" t="n"/>
      <c r="K86" s="133" t="n"/>
      <c r="L86" s="133" t="n"/>
      <c r="M86" s="133" t="n"/>
    </row>
    <row r="87">
      <c r="E87" s="129" t="n"/>
      <c r="F87" s="129" t="n"/>
      <c r="G87" s="129" t="n"/>
      <c r="H87" s="129" t="n"/>
      <c r="K87" s="133" t="n"/>
      <c r="L87" s="133" t="n"/>
      <c r="M87" s="133" t="n"/>
    </row>
    <row r="88">
      <c r="E88" s="129" t="n"/>
      <c r="F88" s="129" t="n"/>
      <c r="G88" s="129" t="n"/>
      <c r="H88" s="129" t="n"/>
      <c r="K88" s="133" t="n"/>
      <c r="L88" s="133" t="n"/>
      <c r="M88" s="133" t="n"/>
    </row>
    <row r="89">
      <c r="E89" s="129" t="n"/>
      <c r="F89" s="129" t="n"/>
      <c r="G89" s="129" t="n"/>
      <c r="H89" s="129" t="n"/>
      <c r="K89" s="133" t="n"/>
      <c r="L89" s="133" t="n"/>
      <c r="M89" s="133" t="n"/>
    </row>
    <row r="90">
      <c r="E90" s="129" t="n"/>
      <c r="F90" s="129" t="n"/>
      <c r="G90" s="129" t="n"/>
      <c r="H90" s="129" t="n"/>
      <c r="K90" s="133" t="n"/>
      <c r="L90" s="133" t="n"/>
      <c r="M90" s="133" t="n"/>
    </row>
    <row r="91">
      <c r="E91" s="129" t="n"/>
      <c r="F91" s="129" t="n"/>
      <c r="G91" s="129" t="n"/>
      <c r="H91" s="129" t="n"/>
      <c r="K91" s="133" t="n"/>
      <c r="L91" s="133" t="n"/>
      <c r="M91" s="133" t="n"/>
    </row>
    <row r="92">
      <c r="E92" s="129" t="n"/>
      <c r="F92" s="129" t="n"/>
      <c r="G92" s="129" t="n"/>
      <c r="H92" s="129" t="n"/>
      <c r="K92" s="133" t="n"/>
      <c r="L92" s="133" t="n"/>
      <c r="M92" s="133" t="n"/>
    </row>
    <row r="93">
      <c r="E93" s="129" t="n"/>
      <c r="F93" s="129" t="n"/>
      <c r="G93" s="129" t="n"/>
      <c r="H93" s="129" t="n"/>
      <c r="K93" s="133" t="n"/>
      <c r="L93" s="133" t="n"/>
      <c r="M93" s="133" t="n"/>
    </row>
    <row r="94">
      <c r="E94" s="129" t="n"/>
      <c r="F94" s="129" t="n"/>
      <c r="G94" s="129" t="n"/>
      <c r="H94" s="129" t="n"/>
      <c r="K94" s="133" t="n"/>
      <c r="L94" s="133" t="n"/>
      <c r="M94" s="133" t="n"/>
    </row>
    <row r="95">
      <c r="E95" s="129" t="n"/>
      <c r="F95" s="129" t="n"/>
      <c r="G95" s="129" t="n"/>
      <c r="H95" s="129" t="n"/>
      <c r="K95" s="133" t="n"/>
      <c r="L95" s="133" t="n"/>
      <c r="M95" s="133" t="n"/>
    </row>
    <row r="96">
      <c r="E96" s="129" t="n"/>
      <c r="F96" s="129" t="n"/>
      <c r="G96" s="129" t="n"/>
      <c r="H96" s="129" t="n"/>
      <c r="K96" s="133" t="n"/>
      <c r="L96" s="133" t="n"/>
      <c r="M96" s="133" t="n"/>
    </row>
    <row r="97">
      <c r="E97" s="129" t="n"/>
      <c r="F97" s="129" t="n"/>
      <c r="G97" s="129" t="n"/>
      <c r="H97" s="129" t="n"/>
      <c r="K97" s="128" t="n"/>
      <c r="L97" s="128" t="n"/>
      <c r="M97" s="128" t="n"/>
      <c r="N97" s="128" t="n"/>
    </row>
    <row r="98">
      <c r="K98" s="2" t="inlineStr">
        <is>
          <t>血</t>
        </is>
      </c>
      <c r="L98" s="2" t="inlineStr">
        <is>
          <t>防</t>
        </is>
      </c>
      <c r="M98" s="2" t="inlineStr">
        <is>
          <t>攻</t>
        </is>
      </c>
      <c r="N98" s="2" t="n">
        <v>0.6</v>
      </c>
      <c r="O98" s="2" t="n">
        <v>0.7</v>
      </c>
    </row>
    <row r="99">
      <c r="D99" s="2" t="inlineStr">
        <is>
          <t>灵鲲投放</t>
        </is>
      </c>
      <c r="G99" s="2" t="inlineStr">
        <is>
          <t>星尘</t>
        </is>
      </c>
      <c r="H99" s="2" t="inlineStr">
        <is>
          <t>数量</t>
        </is>
      </c>
      <c r="J99" s="2" t="inlineStr">
        <is>
          <t>灵鲲属性</t>
        </is>
      </c>
      <c r="K99" s="2" t="n">
        <v>10001</v>
      </c>
      <c r="L99" s="2" t="n">
        <v>10004</v>
      </c>
      <c r="M99" s="2" t="n">
        <v>10003</v>
      </c>
    </row>
    <row r="100">
      <c r="E100" s="12" t="inlineStr">
        <is>
          <t>131001</t>
        </is>
      </c>
      <c r="F100" s="2" t="n">
        <v>131101</v>
      </c>
      <c r="G100" s="2" t="n">
        <v>131201</v>
      </c>
      <c r="H100" s="18" t="inlineStr">
        <is>
          <t>0|15</t>
        </is>
      </c>
      <c r="I100" s="18">
        <f>$E$100&amp;"|"&amp;H100&amp;"$"&amp;$F$100&amp;"|"&amp;H100&amp;"$"&amp;$G$100&amp;"|"&amp;H100</f>
        <v/>
      </c>
      <c r="J100" s="18" t="n">
        <v>1</v>
      </c>
      <c r="K100" s="129" t="n">
        <v>3600</v>
      </c>
      <c r="L100" s="129" t="n">
        <v>300</v>
      </c>
      <c r="M100" s="129" t="n">
        <v>300</v>
      </c>
      <c r="N100" s="2">
        <f>$K$99&amp;"|"&amp;K100&amp;"$"&amp;$L$99&amp;"|"&amp;L100&amp;"$"&amp;$M$99&amp;"|"&amp;M100</f>
        <v/>
      </c>
    </row>
    <row r="101">
      <c r="E101" s="12" t="inlineStr">
        <is>
          <t>132001</t>
        </is>
      </c>
      <c r="F101" s="2" t="n">
        <v>132101</v>
      </c>
      <c r="G101" s="2" t="n">
        <v>132201</v>
      </c>
      <c r="H101" s="18" t="inlineStr">
        <is>
          <t>15|30</t>
        </is>
      </c>
      <c r="I101" s="18">
        <f>$E$100&amp;"|"&amp;H101&amp;"$"&amp;$F$100&amp;"|"&amp;H101&amp;"$"&amp;$G$100&amp;"|"&amp;H101</f>
        <v/>
      </c>
      <c r="J101" s="18" t="n">
        <v>2</v>
      </c>
      <c r="K101" s="129" t="n">
        <v>7450</v>
      </c>
      <c r="L101" s="129" t="n">
        <v>367</v>
      </c>
      <c r="M101" s="129" t="n">
        <v>367</v>
      </c>
      <c r="N101" s="2">
        <f>$K$99&amp;"|"&amp;K101&amp;"$"&amp;$L$99&amp;"|"&amp;L101&amp;"$"&amp;$M$99&amp;"|"&amp;M101</f>
        <v/>
      </c>
    </row>
    <row r="102">
      <c r="E102" s="12" t="inlineStr">
        <is>
          <t>133001</t>
        </is>
      </c>
      <c r="F102" s="2" t="n">
        <v>133101</v>
      </c>
      <c r="G102" s="2" t="n">
        <v>133201</v>
      </c>
      <c r="H102" s="18" t="inlineStr">
        <is>
          <t>30|45</t>
        </is>
      </c>
      <c r="I102" s="18">
        <f>$E$100&amp;"|"&amp;H102&amp;"$"&amp;$F$100&amp;"|"&amp;H102&amp;"$"&amp;$G$100&amp;"|"&amp;H102</f>
        <v/>
      </c>
      <c r="J102" s="18" t="n">
        <v>3</v>
      </c>
      <c r="K102" s="129" t="n">
        <v>11299</v>
      </c>
      <c r="L102" s="129" t="n">
        <v>434</v>
      </c>
      <c r="M102" s="129" t="n">
        <v>434</v>
      </c>
      <c r="N102" s="2">
        <f>$K$99&amp;"|"&amp;K102&amp;"$"&amp;$L$99&amp;"|"&amp;L102&amp;"$"&amp;$M$99&amp;"|"&amp;M102</f>
        <v/>
      </c>
    </row>
    <row r="103">
      <c r="E103" s="12" t="inlineStr">
        <is>
          <t>134001</t>
        </is>
      </c>
      <c r="F103" s="2" t="n">
        <v>134101</v>
      </c>
      <c r="G103" s="2" t="n">
        <v>134201</v>
      </c>
      <c r="H103" s="18" t="inlineStr">
        <is>
          <t>45|60</t>
        </is>
      </c>
      <c r="I103" s="18">
        <f>$E$100&amp;"|"&amp;H103&amp;"$"&amp;$F$100&amp;"|"&amp;H103&amp;"$"&amp;$G$100&amp;"|"&amp;H103</f>
        <v/>
      </c>
      <c r="J103" s="18" t="n">
        <v>4</v>
      </c>
      <c r="K103" s="129" t="n">
        <v>15149</v>
      </c>
      <c r="L103" s="129" t="n">
        <v>502</v>
      </c>
      <c r="M103" s="129" t="n">
        <v>502</v>
      </c>
      <c r="N103" s="2">
        <f>$K$99&amp;"|"&amp;K103&amp;"$"&amp;$L$99&amp;"|"&amp;L103&amp;"$"&amp;$M$99&amp;"|"&amp;M103</f>
        <v/>
      </c>
    </row>
    <row r="104">
      <c r="E104" s="12" t="inlineStr">
        <is>
          <t>135001</t>
        </is>
      </c>
      <c r="F104" s="2" t="n">
        <v>135101</v>
      </c>
      <c r="G104" s="2" t="n">
        <v>135201</v>
      </c>
      <c r="H104" s="18" t="inlineStr">
        <is>
          <t>65|80</t>
        </is>
      </c>
      <c r="I104" s="18">
        <f>$E$100&amp;"|"&amp;H104&amp;"$"&amp;$F$100&amp;"|"&amp;H104&amp;"$"&amp;$G$100&amp;"|"&amp;H104</f>
        <v/>
      </c>
      <c r="J104" s="18" t="n">
        <v>5</v>
      </c>
      <c r="K104" s="129" t="n">
        <v>18998</v>
      </c>
      <c r="L104" s="129" t="n">
        <v>569</v>
      </c>
      <c r="M104" s="129" t="n">
        <v>569</v>
      </c>
      <c r="N104" s="2">
        <f>$K$99&amp;"|"&amp;K104&amp;"$"&amp;$L$99&amp;"|"&amp;L104&amp;"$"&amp;$M$99&amp;"|"&amp;M104</f>
        <v/>
      </c>
    </row>
    <row r="105">
      <c r="H105" s="19" t="inlineStr">
        <is>
          <t>0|15</t>
        </is>
      </c>
      <c r="I105" s="19">
        <f>$E$101&amp;"|"&amp;H105&amp;"$"&amp;$F$101&amp;"|"&amp;H105&amp;"$"&amp;$G$101&amp;"|"&amp;H105</f>
        <v/>
      </c>
      <c r="J105" s="19" t="n">
        <v>6</v>
      </c>
      <c r="K105" s="129" t="n">
        <v>22848</v>
      </c>
      <c r="L105" s="129" t="n">
        <v>636</v>
      </c>
      <c r="M105" s="129" t="n">
        <v>636</v>
      </c>
      <c r="N105" s="2">
        <f>$K$99&amp;"|"&amp;K105&amp;"$"&amp;$L$99&amp;"|"&amp;L105&amp;"$"&amp;$M$99&amp;"|"&amp;M105</f>
        <v/>
      </c>
    </row>
    <row r="106">
      <c r="H106" s="19" t="inlineStr">
        <is>
          <t>15|30</t>
        </is>
      </c>
      <c r="I106" s="19">
        <f>$E$101&amp;"|"&amp;H106&amp;"$"&amp;$F$101&amp;"|"&amp;H106&amp;"$"&amp;$G$101&amp;"|"&amp;H106</f>
        <v/>
      </c>
      <c r="J106" s="19" t="n">
        <v>7</v>
      </c>
      <c r="K106" s="129" t="n">
        <v>26698</v>
      </c>
      <c r="L106" s="129" t="n">
        <v>703</v>
      </c>
      <c r="M106" s="129" t="n">
        <v>703</v>
      </c>
      <c r="N106" s="2">
        <f>$K$99&amp;"|"&amp;K106&amp;"$"&amp;$L$99&amp;"|"&amp;L106&amp;"$"&amp;$M$99&amp;"|"&amp;M106</f>
        <v/>
      </c>
    </row>
    <row r="107">
      <c r="H107" s="19" t="inlineStr">
        <is>
          <t>30|45</t>
        </is>
      </c>
      <c r="I107" s="19">
        <f>$E$101&amp;"|"&amp;H107&amp;"$"&amp;$F$101&amp;"|"&amp;H107&amp;"$"&amp;$G$101&amp;"|"&amp;H107</f>
        <v/>
      </c>
      <c r="J107" s="19" t="n">
        <v>8</v>
      </c>
      <c r="K107" s="129" t="n">
        <v>30547</v>
      </c>
      <c r="L107" s="129" t="n">
        <v>770</v>
      </c>
      <c r="M107" s="129" t="n">
        <v>770</v>
      </c>
      <c r="N107" s="2">
        <f>$K$99&amp;"|"&amp;K107&amp;"$"&amp;$L$99&amp;"|"&amp;L107&amp;"$"&amp;$M$99&amp;"|"&amp;M107</f>
        <v/>
      </c>
    </row>
    <row r="108">
      <c r="H108" s="19" t="inlineStr">
        <is>
          <t>45|60</t>
        </is>
      </c>
      <c r="I108" s="19">
        <f>$E$101&amp;"|"&amp;H108&amp;"$"&amp;$F$101&amp;"|"&amp;H108&amp;"$"&amp;$G$101&amp;"|"&amp;H108</f>
        <v/>
      </c>
      <c r="J108" s="19" t="n">
        <v>9</v>
      </c>
      <c r="K108" s="129" t="n">
        <v>34397</v>
      </c>
      <c r="L108" s="129" t="n">
        <v>838</v>
      </c>
      <c r="M108" s="129" t="n">
        <v>838</v>
      </c>
      <c r="N108" s="2">
        <f>$K$99&amp;"|"&amp;K108&amp;"$"&amp;$L$99&amp;"|"&amp;L108&amp;"$"&amp;$M$99&amp;"|"&amp;M108</f>
        <v/>
      </c>
    </row>
    <row r="109">
      <c r="H109" s="19" t="inlineStr">
        <is>
          <t>65|80</t>
        </is>
      </c>
      <c r="I109" s="19">
        <f>$E$101&amp;"|"&amp;H109&amp;"$"&amp;$F$101&amp;"|"&amp;H109&amp;"$"&amp;$G$101&amp;"|"&amp;H109</f>
        <v/>
      </c>
      <c r="J109" s="19" t="n">
        <v>10</v>
      </c>
      <c r="K109" s="129" t="n">
        <v>38246</v>
      </c>
      <c r="L109" s="129" t="n">
        <v>905</v>
      </c>
      <c r="M109" s="129" t="n">
        <v>905</v>
      </c>
      <c r="N109" s="2">
        <f>$K$99&amp;"|"&amp;K109&amp;"$"&amp;$L$99&amp;"|"&amp;L109&amp;"$"&amp;$M$99&amp;"|"&amp;M109</f>
        <v/>
      </c>
    </row>
    <row r="110">
      <c r="H110" s="15" t="inlineStr">
        <is>
          <t>0|15</t>
        </is>
      </c>
      <c r="I110" s="15">
        <f>$E$102&amp;"|"&amp;H110&amp;"$"&amp;$F$102&amp;"|"&amp;H110&amp;"$"&amp;$G$102&amp;"|"&amp;H110</f>
        <v/>
      </c>
      <c r="J110" s="15" t="n">
        <v>11</v>
      </c>
      <c r="K110" s="129" t="n">
        <v>49112</v>
      </c>
      <c r="L110" s="129" t="n">
        <v>1134</v>
      </c>
      <c r="M110" s="129" t="n">
        <v>1134</v>
      </c>
      <c r="N110" s="2">
        <f>$K$99&amp;"|"&amp;K110&amp;"$"&amp;$L$99&amp;"|"&amp;L110&amp;"$"&amp;$M$99&amp;"|"&amp;M110</f>
        <v/>
      </c>
    </row>
    <row r="111">
      <c r="H111" s="15" t="inlineStr">
        <is>
          <t>15|30</t>
        </is>
      </c>
      <c r="I111" s="15">
        <f>$E$102&amp;"|"&amp;H111&amp;"$"&amp;$F$102&amp;"|"&amp;H111&amp;"$"&amp;$G$102&amp;"|"&amp;H111</f>
        <v/>
      </c>
      <c r="J111" s="15" t="n">
        <v>12</v>
      </c>
      <c r="K111" s="129" t="n">
        <v>53603</v>
      </c>
      <c r="L111" s="129" t="n">
        <v>1212</v>
      </c>
      <c r="M111" s="129" t="n">
        <v>1212</v>
      </c>
      <c r="N111" s="2">
        <f>$K$99&amp;"|"&amp;K111&amp;"$"&amp;$L$99&amp;"|"&amp;L111&amp;"$"&amp;$M$99&amp;"|"&amp;M111</f>
        <v/>
      </c>
    </row>
    <row r="112">
      <c r="H112" s="15" t="inlineStr">
        <is>
          <t>30|45</t>
        </is>
      </c>
      <c r="I112" s="15">
        <f>$E$102&amp;"|"&amp;H112&amp;"$"&amp;$F$102&amp;"|"&amp;H112&amp;"$"&amp;$G$102&amp;"|"&amp;H112</f>
        <v/>
      </c>
      <c r="J112" s="15" t="n">
        <v>13</v>
      </c>
      <c r="K112" s="129" t="n">
        <v>58094</v>
      </c>
      <c r="L112" s="129" t="n">
        <v>1291</v>
      </c>
      <c r="M112" s="129" t="n">
        <v>1291</v>
      </c>
      <c r="N112" s="2">
        <f>$K$99&amp;"|"&amp;K112&amp;"$"&amp;$L$99&amp;"|"&amp;L112&amp;"$"&amp;$M$99&amp;"|"&amp;M112</f>
        <v/>
      </c>
    </row>
    <row r="113">
      <c r="H113" s="15" t="inlineStr">
        <is>
          <t>45|60</t>
        </is>
      </c>
      <c r="I113" s="15">
        <f>$E$102&amp;"|"&amp;H113&amp;"$"&amp;$F$102&amp;"|"&amp;H113&amp;"$"&amp;$G$102&amp;"|"&amp;H113</f>
        <v/>
      </c>
      <c r="J113" s="15" t="n">
        <v>14</v>
      </c>
      <c r="K113" s="129" t="n">
        <v>62586</v>
      </c>
      <c r="L113" s="129" t="n">
        <v>1369</v>
      </c>
      <c r="M113" s="129" t="n">
        <v>1369</v>
      </c>
      <c r="N113" s="2">
        <f>$K$99&amp;"|"&amp;K113&amp;"$"&amp;$L$99&amp;"|"&amp;L113&amp;"$"&amp;$M$99&amp;"|"&amp;M113</f>
        <v/>
      </c>
    </row>
    <row r="114">
      <c r="H114" s="15" t="inlineStr">
        <is>
          <t>65|80</t>
        </is>
      </c>
      <c r="I114" s="15">
        <f>$E$102&amp;"|"&amp;H114&amp;"$"&amp;$F$102&amp;"|"&amp;H114&amp;"$"&amp;$G$102&amp;"|"&amp;H114</f>
        <v/>
      </c>
      <c r="J114" s="15" t="n">
        <v>15</v>
      </c>
      <c r="K114" s="129" t="n">
        <v>67077</v>
      </c>
      <c r="L114" s="129" t="n">
        <v>1448</v>
      </c>
      <c r="M114" s="129" t="n">
        <v>1448</v>
      </c>
      <c r="N114" s="2">
        <f>$K$99&amp;"|"&amp;K114&amp;"$"&amp;$L$99&amp;"|"&amp;L114&amp;"$"&amp;$M$99&amp;"|"&amp;M114</f>
        <v/>
      </c>
    </row>
    <row r="115">
      <c r="H115" s="20" t="inlineStr">
        <is>
          <t>0|15</t>
        </is>
      </c>
      <c r="I115" s="20">
        <f>$E$103&amp;"|"&amp;H115&amp;"$"&amp;$F$103&amp;"|"&amp;H115&amp;"$"&amp;$G$103&amp;"|"&amp;H115</f>
        <v/>
      </c>
      <c r="J115" s="20" t="n">
        <v>16</v>
      </c>
      <c r="K115" s="18" t="n">
        <v>102240</v>
      </c>
      <c r="L115" s="18" t="n">
        <v>2180</v>
      </c>
      <c r="M115" s="18" t="n">
        <v>2180</v>
      </c>
      <c r="N115" s="2">
        <f>$K$99&amp;"|"&amp;K115&amp;"$"&amp;$L$99&amp;"|"&amp;L115&amp;"$"&amp;$M$99&amp;"|"&amp;M115</f>
        <v/>
      </c>
    </row>
    <row r="116">
      <c r="H116" s="20" t="inlineStr">
        <is>
          <t>15|30</t>
        </is>
      </c>
      <c r="I116" s="20">
        <f>$E$103&amp;"|"&amp;H116&amp;"$"&amp;$F$103&amp;"|"&amp;H116&amp;"$"&amp;$G$103&amp;"|"&amp;H116</f>
        <v/>
      </c>
      <c r="J116" s="20" t="n">
        <v>17</v>
      </c>
      <c r="K116" s="18" t="n">
        <v>108656</v>
      </c>
      <c r="L116" s="18" t="n">
        <v>2292</v>
      </c>
      <c r="M116" s="18" t="n">
        <v>2292</v>
      </c>
      <c r="N116" s="2">
        <f>$K$99&amp;"|"&amp;K116&amp;"$"&amp;$L$99&amp;"|"&amp;L116&amp;"$"&amp;$M$99&amp;"|"&amp;M116</f>
        <v/>
      </c>
    </row>
    <row r="117">
      <c r="H117" s="20" t="inlineStr">
        <is>
          <t>30|45</t>
        </is>
      </c>
      <c r="I117" s="20">
        <f>$E$103&amp;"|"&amp;H117&amp;"$"&amp;$F$103&amp;"|"&amp;H117&amp;"$"&amp;$G$103&amp;"|"&amp;H117</f>
        <v/>
      </c>
      <c r="J117" s="20" t="n">
        <v>18</v>
      </c>
      <c r="K117" s="18" t="n">
        <v>115072</v>
      </c>
      <c r="L117" s="18" t="n">
        <v>2404</v>
      </c>
      <c r="M117" s="18" t="n">
        <v>2404</v>
      </c>
      <c r="N117" s="2">
        <f>$K$99&amp;"|"&amp;K117&amp;"$"&amp;$L$99&amp;"|"&amp;L117&amp;"$"&amp;$M$99&amp;"|"&amp;M117</f>
        <v/>
      </c>
    </row>
    <row r="118">
      <c r="H118" s="20" t="inlineStr">
        <is>
          <t>45|60</t>
        </is>
      </c>
      <c r="I118" s="20">
        <f>$E$103&amp;"|"&amp;H118&amp;"$"&amp;$F$103&amp;"|"&amp;H118&amp;"$"&amp;$G$103&amp;"|"&amp;H118</f>
        <v/>
      </c>
      <c r="J118" s="20" t="n">
        <v>19</v>
      </c>
      <c r="K118" s="18" t="n">
        <v>121488</v>
      </c>
      <c r="L118" s="18" t="n">
        <v>2516</v>
      </c>
      <c r="M118" s="18" t="n">
        <v>2516</v>
      </c>
      <c r="N118" s="2">
        <f>$K$99&amp;"|"&amp;K118&amp;"$"&amp;$L$99&amp;"|"&amp;L118&amp;"$"&amp;$M$99&amp;"|"&amp;M118</f>
        <v/>
      </c>
    </row>
    <row r="119">
      <c r="H119" s="20" t="inlineStr">
        <is>
          <t>65|80</t>
        </is>
      </c>
      <c r="I119" s="20">
        <f>$E$103&amp;"|"&amp;H119&amp;"$"&amp;$F$103&amp;"|"&amp;H119&amp;"$"&amp;$G$103&amp;"|"&amp;H119</f>
        <v/>
      </c>
      <c r="J119" s="20" t="n">
        <v>20</v>
      </c>
      <c r="K119" s="18" t="n">
        <v>127904</v>
      </c>
      <c r="L119" s="18" t="n">
        <v>2628</v>
      </c>
      <c r="M119" s="18" t="n">
        <v>2628</v>
      </c>
      <c r="N119" s="2">
        <f>$K$99&amp;"|"&amp;K119&amp;"$"&amp;$L$99&amp;"|"&amp;L119&amp;"$"&amp;$M$99&amp;"|"&amp;M119</f>
        <v/>
      </c>
    </row>
    <row r="120">
      <c r="H120" s="116" t="inlineStr">
        <is>
          <t>0|15</t>
        </is>
      </c>
      <c r="I120" s="116">
        <f>$E$104&amp;"|"&amp;H120&amp;"$"&amp;$F$104&amp;"|"&amp;H120&amp;"$"&amp;$G$104&amp;"|"&amp;H120</f>
        <v/>
      </c>
      <c r="J120" s="116" t="n">
        <v>21</v>
      </c>
      <c r="K120" s="18" t="n">
        <v>134320</v>
      </c>
      <c r="L120" s="18" t="n">
        <v>2740</v>
      </c>
      <c r="M120" s="18" t="n">
        <v>2740</v>
      </c>
      <c r="N120" s="2">
        <f>$K$99&amp;"|"&amp;K120&amp;"$"&amp;$L$99&amp;"|"&amp;L120&amp;"$"&amp;$M$99&amp;"|"&amp;M120</f>
        <v/>
      </c>
    </row>
    <row r="121">
      <c r="H121" s="116" t="inlineStr">
        <is>
          <t>15|30</t>
        </is>
      </c>
      <c r="I121" s="116">
        <f>$E$104&amp;"|"&amp;H121&amp;"$"&amp;$F$104&amp;"|"&amp;H121&amp;"$"&amp;$G$104&amp;"|"&amp;H121</f>
        <v/>
      </c>
      <c r="J121" s="116" t="n">
        <v>22</v>
      </c>
      <c r="K121" s="18" t="n">
        <v>140736</v>
      </c>
      <c r="L121" s="18" t="n">
        <v>2852</v>
      </c>
      <c r="M121" s="18" t="n">
        <v>2852</v>
      </c>
      <c r="N121" s="2">
        <f>$K$99&amp;"|"&amp;K121&amp;"$"&amp;$L$99&amp;"|"&amp;L121&amp;"$"&amp;$M$99&amp;"|"&amp;M121</f>
        <v/>
      </c>
    </row>
    <row r="122">
      <c r="H122" s="116" t="inlineStr">
        <is>
          <t>30|45</t>
        </is>
      </c>
      <c r="I122" s="116">
        <f>$E$104&amp;"|"&amp;H122&amp;"$"&amp;$F$104&amp;"|"&amp;H122&amp;"$"&amp;$G$104&amp;"|"&amp;H122</f>
        <v/>
      </c>
      <c r="J122" s="116" t="n">
        <v>23</v>
      </c>
      <c r="K122" s="18" t="n">
        <v>147152</v>
      </c>
      <c r="L122" s="18" t="n">
        <v>2964</v>
      </c>
      <c r="M122" s="18" t="n">
        <v>2964</v>
      </c>
      <c r="N122" s="2">
        <f>$K$99&amp;"|"&amp;K122&amp;"$"&amp;$L$99&amp;"|"&amp;L122&amp;"$"&amp;$M$99&amp;"|"&amp;M122</f>
        <v/>
      </c>
    </row>
    <row r="123">
      <c r="H123" s="116" t="inlineStr">
        <is>
          <t>45|60</t>
        </is>
      </c>
      <c r="I123" s="116">
        <f>$E$104&amp;"|"&amp;H123&amp;"$"&amp;$F$104&amp;"|"&amp;H123&amp;"$"&amp;$G$104&amp;"|"&amp;H123</f>
        <v/>
      </c>
      <c r="J123" s="116" t="n">
        <v>24</v>
      </c>
      <c r="K123" s="18" t="n">
        <v>153568</v>
      </c>
      <c r="L123" s="18" t="n">
        <v>3076</v>
      </c>
      <c r="M123" s="18" t="n">
        <v>3076</v>
      </c>
      <c r="N123" s="2">
        <f>$K$99&amp;"|"&amp;K123&amp;"$"&amp;$L$99&amp;"|"&amp;L123&amp;"$"&amp;$M$99&amp;"|"&amp;M123</f>
        <v/>
      </c>
    </row>
    <row r="124">
      <c r="H124" s="116" t="inlineStr">
        <is>
          <t>65|80</t>
        </is>
      </c>
      <c r="I124" s="116">
        <f>$E$104&amp;"|"&amp;H124&amp;"$"&amp;$F$104&amp;"|"&amp;H124&amp;"$"&amp;$G$104&amp;"|"&amp;H124</f>
        <v/>
      </c>
      <c r="J124" s="116" t="n">
        <v>25</v>
      </c>
      <c r="K124" s="18" t="n">
        <v>159984</v>
      </c>
      <c r="L124" s="18" t="n">
        <v>3188</v>
      </c>
      <c r="M124" s="18" t="n">
        <v>3188</v>
      </c>
      <c r="N124" s="2">
        <f>$K$99&amp;"|"&amp;K124&amp;"$"&amp;$L$99&amp;"|"&amp;L124&amp;"$"&amp;$M$99&amp;"|"&amp;M124</f>
        <v/>
      </c>
    </row>
    <row r="126">
      <c r="D126" s="2" t="inlineStr">
        <is>
          <t>虎鲲投放</t>
        </is>
      </c>
    </row>
    <row r="127">
      <c r="E127" s="12" t="inlineStr">
        <is>
          <t>131301</t>
        </is>
      </c>
      <c r="F127" s="2" t="n">
        <v>131401</v>
      </c>
      <c r="G127" s="2" t="n">
        <v>131501</v>
      </c>
      <c r="H127" s="18" t="inlineStr">
        <is>
          <t>0|15</t>
        </is>
      </c>
      <c r="I127" s="18">
        <f>$E$127&amp;"|"&amp;H127&amp;"$"&amp;$F$127&amp;"|"&amp;H127&amp;"$"&amp;$G$127&amp;"|"&amp;H127</f>
        <v/>
      </c>
      <c r="J127" s="18" t="n">
        <v>1</v>
      </c>
      <c r="K127" s="18" t="n">
        <v>6000</v>
      </c>
      <c r="L127" s="18" t="n">
        <v>500</v>
      </c>
      <c r="M127" s="18" t="n">
        <v>500</v>
      </c>
      <c r="N127" s="2">
        <f>$K$99&amp;"|"&amp;K127&amp;"$"&amp;$L$99&amp;"|"&amp;L127&amp;"$"&amp;$M$99&amp;"|"&amp;M127</f>
        <v/>
      </c>
    </row>
    <row r="128">
      <c r="E128" s="12" t="inlineStr">
        <is>
          <t>132301</t>
        </is>
      </c>
      <c r="F128" s="2" t="n">
        <v>132401</v>
      </c>
      <c r="G128" s="2" t="n">
        <v>132501</v>
      </c>
      <c r="H128" s="18" t="inlineStr">
        <is>
          <t>15|30</t>
        </is>
      </c>
      <c r="I128" s="18">
        <f>$E$127&amp;"|"&amp;H128&amp;"$"&amp;$F$127&amp;"|"&amp;H128&amp;"$"&amp;$G$127&amp;"|"&amp;H128</f>
        <v/>
      </c>
      <c r="J128" s="18" t="n">
        <v>2</v>
      </c>
      <c r="K128" s="18">
        <f>K127+6416</f>
        <v/>
      </c>
      <c r="L128" s="18">
        <f>L127+112</f>
        <v/>
      </c>
      <c r="M128" s="18">
        <f>M127+112</f>
        <v/>
      </c>
      <c r="N128" s="2">
        <f>$K$99&amp;"|"&amp;K128&amp;"$"&amp;$L$99&amp;"|"&amp;L128&amp;"$"&amp;$M$99&amp;"|"&amp;M128</f>
        <v/>
      </c>
    </row>
    <row r="129">
      <c r="E129" s="12" t="inlineStr">
        <is>
          <t>133301</t>
        </is>
      </c>
      <c r="F129" s="2" t="n">
        <v>133401</v>
      </c>
      <c r="G129" s="2" t="n">
        <v>133501</v>
      </c>
      <c r="H129" s="18" t="inlineStr">
        <is>
          <t>30|45</t>
        </is>
      </c>
      <c r="I129" s="18">
        <f>$E$127&amp;"|"&amp;H129&amp;"$"&amp;$F$127&amp;"|"&amp;H129&amp;"$"&amp;$G$127&amp;"|"&amp;H129</f>
        <v/>
      </c>
      <c r="J129" s="18" t="n">
        <v>3</v>
      </c>
      <c r="K129" s="18">
        <f>K128+6416</f>
        <v/>
      </c>
      <c r="L129" s="18">
        <f>L128+112</f>
        <v/>
      </c>
      <c r="M129" s="18">
        <f>M128+112</f>
        <v/>
      </c>
      <c r="N129" s="2">
        <f>$K$99&amp;"|"&amp;K129&amp;"$"&amp;$L$99&amp;"|"&amp;L129&amp;"$"&amp;$M$99&amp;"|"&amp;M129</f>
        <v/>
      </c>
    </row>
    <row r="130">
      <c r="E130" s="12" t="inlineStr">
        <is>
          <t>134301</t>
        </is>
      </c>
      <c r="F130" s="2" t="n">
        <v>134401</v>
      </c>
      <c r="G130" s="2" t="n">
        <v>134501</v>
      </c>
      <c r="H130" s="18" t="inlineStr">
        <is>
          <t>45|60</t>
        </is>
      </c>
      <c r="I130" s="18">
        <f>$E$127&amp;"|"&amp;H130&amp;"$"&amp;$F$127&amp;"|"&amp;H130&amp;"$"&amp;$G$127&amp;"|"&amp;H130</f>
        <v/>
      </c>
      <c r="J130" s="18" t="n">
        <v>4</v>
      </c>
      <c r="K130" s="18">
        <f>K129+6416</f>
        <v/>
      </c>
      <c r="L130" s="18">
        <f>L129+112</f>
        <v/>
      </c>
      <c r="M130" s="18">
        <f>M129+112</f>
        <v/>
      </c>
      <c r="N130" s="2">
        <f>$K$99&amp;"|"&amp;K130&amp;"$"&amp;$L$99&amp;"|"&amp;L130&amp;"$"&amp;$M$99&amp;"|"&amp;M130</f>
        <v/>
      </c>
    </row>
    <row r="131">
      <c r="E131" s="12" t="inlineStr">
        <is>
          <t>135301</t>
        </is>
      </c>
      <c r="F131" s="2" t="n">
        <v>135401</v>
      </c>
      <c r="G131" s="2" t="n">
        <v>135501</v>
      </c>
      <c r="H131" s="18" t="inlineStr">
        <is>
          <t>65|80</t>
        </is>
      </c>
      <c r="I131" s="18">
        <f>$E$127&amp;"|"&amp;H131&amp;"$"&amp;$F$127&amp;"|"&amp;H131&amp;"$"&amp;$G$127&amp;"|"&amp;H131</f>
        <v/>
      </c>
      <c r="J131" s="18" t="n">
        <v>5</v>
      </c>
      <c r="K131" s="18">
        <f>K130+6416</f>
        <v/>
      </c>
      <c r="L131" s="18">
        <f>L130+112</f>
        <v/>
      </c>
      <c r="M131" s="18">
        <f>M130+112</f>
        <v/>
      </c>
      <c r="N131" s="2">
        <f>$K$99&amp;"|"&amp;K131&amp;"$"&amp;$L$99&amp;"|"&amp;L131&amp;"$"&amp;$M$99&amp;"|"&amp;M131</f>
        <v/>
      </c>
    </row>
    <row r="132">
      <c r="H132" s="19" t="inlineStr">
        <is>
          <t>0|15</t>
        </is>
      </c>
      <c r="I132" s="19">
        <f>$E$128&amp;"|"&amp;H132&amp;"$"&amp;$F$128&amp;"|"&amp;H132&amp;"$"&amp;$G$128&amp;"|"&amp;H132</f>
        <v/>
      </c>
      <c r="J132" s="19" t="n">
        <v>6</v>
      </c>
      <c r="K132" s="18">
        <f>K131+6416</f>
        <v/>
      </c>
      <c r="L132" s="18">
        <f>L131+112</f>
        <v/>
      </c>
      <c r="M132" s="18">
        <f>M131+112</f>
        <v/>
      </c>
      <c r="N132" s="2">
        <f>$K$99&amp;"|"&amp;K132&amp;"$"&amp;$L$99&amp;"|"&amp;L132&amp;"$"&amp;$M$99&amp;"|"&amp;M132</f>
        <v/>
      </c>
    </row>
    <row r="133">
      <c r="H133" s="19" t="inlineStr">
        <is>
          <t>15|30</t>
        </is>
      </c>
      <c r="I133" s="19">
        <f>$E$128&amp;"|"&amp;H133&amp;"$"&amp;$F$128&amp;"|"&amp;H133&amp;"$"&amp;$G$128&amp;"|"&amp;H133</f>
        <v/>
      </c>
      <c r="J133" s="19" t="n">
        <v>7</v>
      </c>
      <c r="K133" s="18">
        <f>K132+6416</f>
        <v/>
      </c>
      <c r="L133" s="18">
        <f>L132+112</f>
        <v/>
      </c>
      <c r="M133" s="18">
        <f>M132+112</f>
        <v/>
      </c>
      <c r="N133" s="2">
        <f>$K$99&amp;"|"&amp;K133&amp;"$"&amp;$L$99&amp;"|"&amp;L133&amp;"$"&amp;$M$99&amp;"|"&amp;M133</f>
        <v/>
      </c>
    </row>
    <row r="134">
      <c r="H134" s="19" t="inlineStr">
        <is>
          <t>30|45</t>
        </is>
      </c>
      <c r="I134" s="19">
        <f>$E$128&amp;"|"&amp;H134&amp;"$"&amp;$F$128&amp;"|"&amp;H134&amp;"$"&amp;$G$128&amp;"|"&amp;H134</f>
        <v/>
      </c>
      <c r="J134" s="19" t="n">
        <v>8</v>
      </c>
      <c r="K134" s="18">
        <f>K133+6416</f>
        <v/>
      </c>
      <c r="L134" s="18">
        <f>L133+112</f>
        <v/>
      </c>
      <c r="M134" s="18">
        <f>M133+112</f>
        <v/>
      </c>
      <c r="N134" s="2">
        <f>$K$99&amp;"|"&amp;K134&amp;"$"&amp;$L$99&amp;"|"&amp;L134&amp;"$"&amp;$M$99&amp;"|"&amp;M134</f>
        <v/>
      </c>
    </row>
    <row r="135">
      <c r="H135" s="19" t="inlineStr">
        <is>
          <t>45|60</t>
        </is>
      </c>
      <c r="I135" s="19">
        <f>$E$128&amp;"|"&amp;H135&amp;"$"&amp;$F$128&amp;"|"&amp;H135&amp;"$"&amp;$G$128&amp;"|"&amp;H135</f>
        <v/>
      </c>
      <c r="J135" s="19" t="n">
        <v>9</v>
      </c>
      <c r="K135" s="18">
        <f>K134+6416</f>
        <v/>
      </c>
      <c r="L135" s="18">
        <f>L134+112</f>
        <v/>
      </c>
      <c r="M135" s="18">
        <f>M134+112</f>
        <v/>
      </c>
      <c r="N135" s="2">
        <f>$K$99&amp;"|"&amp;K135&amp;"$"&amp;$L$99&amp;"|"&amp;L135&amp;"$"&amp;$M$99&amp;"|"&amp;M135</f>
        <v/>
      </c>
    </row>
    <row r="136">
      <c r="H136" s="19" t="inlineStr">
        <is>
          <t>65|80</t>
        </is>
      </c>
      <c r="I136" s="19">
        <f>$E$128&amp;"|"&amp;H136&amp;"$"&amp;$F$128&amp;"|"&amp;H136&amp;"$"&amp;$G$128&amp;"|"&amp;H136</f>
        <v/>
      </c>
      <c r="J136" s="19" t="n">
        <v>10</v>
      </c>
      <c r="K136" s="18">
        <f>K135+6416</f>
        <v/>
      </c>
      <c r="L136" s="18">
        <f>L135+112</f>
        <v/>
      </c>
      <c r="M136" s="18">
        <f>M135+112</f>
        <v/>
      </c>
      <c r="N136" s="2">
        <f>$K$99&amp;"|"&amp;K136&amp;"$"&amp;$L$99&amp;"|"&amp;L136&amp;"$"&amp;$M$99&amp;"|"&amp;M136</f>
        <v/>
      </c>
    </row>
    <row r="137">
      <c r="H137" s="15" t="inlineStr">
        <is>
          <t>0|15</t>
        </is>
      </c>
      <c r="I137" s="15">
        <f>$E$129&amp;"|"&amp;H137&amp;"$"&amp;$F$129&amp;"|"&amp;H137&amp;"$"&amp;$G$129&amp;"|"&amp;H137</f>
        <v/>
      </c>
      <c r="J137" s="15" t="n">
        <v>11</v>
      </c>
      <c r="K137" s="18">
        <f>K136+6416</f>
        <v/>
      </c>
      <c r="L137" s="18">
        <f>L136+112</f>
        <v/>
      </c>
      <c r="M137" s="18">
        <f>M136+112</f>
        <v/>
      </c>
      <c r="N137" s="2">
        <f>$K$99&amp;"|"&amp;K137&amp;"$"&amp;$L$99&amp;"|"&amp;L137&amp;"$"&amp;$M$99&amp;"|"&amp;M137</f>
        <v/>
      </c>
    </row>
    <row r="138">
      <c r="H138" s="15" t="inlineStr">
        <is>
          <t>15|30</t>
        </is>
      </c>
      <c r="I138" s="15">
        <f>$E$129&amp;"|"&amp;H138&amp;"$"&amp;$F$129&amp;"|"&amp;H138&amp;"$"&amp;$G$129&amp;"|"&amp;H138</f>
        <v/>
      </c>
      <c r="J138" s="15" t="n">
        <v>12</v>
      </c>
      <c r="K138" s="18">
        <f>K137+6416</f>
        <v/>
      </c>
      <c r="L138" s="18">
        <f>L137+112</f>
        <v/>
      </c>
      <c r="M138" s="18">
        <f>M137+112</f>
        <v/>
      </c>
      <c r="N138" s="2">
        <f>$K$99&amp;"|"&amp;K138&amp;"$"&amp;$L$99&amp;"|"&amp;L138&amp;"$"&amp;$M$99&amp;"|"&amp;M138</f>
        <v/>
      </c>
    </row>
    <row r="139">
      <c r="H139" s="15" t="inlineStr">
        <is>
          <t>30|45</t>
        </is>
      </c>
      <c r="I139" s="15">
        <f>$E$129&amp;"|"&amp;H139&amp;"$"&amp;$F$129&amp;"|"&amp;H139&amp;"$"&amp;$G$129&amp;"|"&amp;H139</f>
        <v/>
      </c>
      <c r="J139" s="15" t="n">
        <v>13</v>
      </c>
      <c r="K139" s="18">
        <f>K138+6416</f>
        <v/>
      </c>
      <c r="L139" s="18">
        <f>L138+112</f>
        <v/>
      </c>
      <c r="M139" s="18">
        <f>M138+112</f>
        <v/>
      </c>
      <c r="N139" s="2">
        <f>$K$99&amp;"|"&amp;K139&amp;"$"&amp;$L$99&amp;"|"&amp;L139&amp;"$"&amp;$M$99&amp;"|"&amp;M139</f>
        <v/>
      </c>
    </row>
    <row r="140">
      <c r="H140" s="15" t="inlineStr">
        <is>
          <t>45|60</t>
        </is>
      </c>
      <c r="I140" s="15">
        <f>$E$129&amp;"|"&amp;H140&amp;"$"&amp;$F$129&amp;"|"&amp;H140&amp;"$"&amp;$G$129&amp;"|"&amp;H140</f>
        <v/>
      </c>
      <c r="J140" s="15" t="n">
        <v>14</v>
      </c>
      <c r="K140" s="18">
        <f>K139+6416</f>
        <v/>
      </c>
      <c r="L140" s="18">
        <f>L139+112</f>
        <v/>
      </c>
      <c r="M140" s="18">
        <f>M139+112</f>
        <v/>
      </c>
      <c r="N140" s="2">
        <f>$K$99&amp;"|"&amp;K140&amp;"$"&amp;$L$99&amp;"|"&amp;L140&amp;"$"&amp;$M$99&amp;"|"&amp;M140</f>
        <v/>
      </c>
    </row>
    <row r="141">
      <c r="H141" s="15" t="inlineStr">
        <is>
          <t>65|80</t>
        </is>
      </c>
      <c r="I141" s="15">
        <f>$E$129&amp;"|"&amp;H141&amp;"$"&amp;$F$129&amp;"|"&amp;H141&amp;"$"&amp;$G$129&amp;"|"&amp;H141</f>
        <v/>
      </c>
      <c r="J141" s="15" t="n">
        <v>15</v>
      </c>
      <c r="K141" s="18">
        <f>K140+6416</f>
        <v/>
      </c>
      <c r="L141" s="18">
        <f>L140+112</f>
        <v/>
      </c>
      <c r="M141" s="18">
        <f>M140+112</f>
        <v/>
      </c>
      <c r="N141" s="2">
        <f>$K$99&amp;"|"&amp;K141&amp;"$"&amp;$L$99&amp;"|"&amp;L141&amp;"$"&amp;$M$99&amp;"|"&amp;M141</f>
        <v/>
      </c>
    </row>
    <row r="142">
      <c r="H142" s="20" t="inlineStr">
        <is>
          <t>0|15</t>
        </is>
      </c>
      <c r="I142" s="20">
        <f>$E$130&amp;"|"&amp;H142&amp;"$"&amp;$F$130&amp;"|"&amp;H142&amp;"$"&amp;$G$130&amp;"|"&amp;H142</f>
        <v/>
      </c>
      <c r="J142" s="20" t="n">
        <v>16</v>
      </c>
      <c r="K142" s="18">
        <f>K141+6416</f>
        <v/>
      </c>
      <c r="L142" s="18">
        <f>L141+112</f>
        <v/>
      </c>
      <c r="M142" s="18">
        <f>M141+112</f>
        <v/>
      </c>
      <c r="N142" s="2">
        <f>$K$99&amp;"|"&amp;K142&amp;"$"&amp;$L$99&amp;"|"&amp;L142&amp;"$"&amp;$M$99&amp;"|"&amp;M142</f>
        <v/>
      </c>
    </row>
    <row r="143">
      <c r="H143" s="20" t="inlineStr">
        <is>
          <t>15|30</t>
        </is>
      </c>
      <c r="I143" s="20">
        <f>$E$130&amp;"|"&amp;H143&amp;"$"&amp;$F$130&amp;"|"&amp;H143&amp;"$"&amp;$G$130&amp;"|"&amp;H143</f>
        <v/>
      </c>
      <c r="J143" s="20" t="n">
        <v>17</v>
      </c>
      <c r="K143" s="18">
        <f>K142+6416</f>
        <v/>
      </c>
      <c r="L143" s="18">
        <f>L142+112</f>
        <v/>
      </c>
      <c r="M143" s="18">
        <f>M142+112</f>
        <v/>
      </c>
      <c r="N143" s="2">
        <f>$K$99&amp;"|"&amp;K143&amp;"$"&amp;$L$99&amp;"|"&amp;L143&amp;"$"&amp;$M$99&amp;"|"&amp;M143</f>
        <v/>
      </c>
    </row>
    <row r="144">
      <c r="H144" s="20" t="inlineStr">
        <is>
          <t>30|45</t>
        </is>
      </c>
      <c r="I144" s="20">
        <f>$E$130&amp;"|"&amp;H144&amp;"$"&amp;$F$130&amp;"|"&amp;H144&amp;"$"&amp;$G$130&amp;"|"&amp;H144</f>
        <v/>
      </c>
      <c r="J144" s="20" t="n">
        <v>18</v>
      </c>
      <c r="K144" s="18">
        <f>K143+6416</f>
        <v/>
      </c>
      <c r="L144" s="18">
        <f>L143+112</f>
        <v/>
      </c>
      <c r="M144" s="18">
        <f>M143+112</f>
        <v/>
      </c>
      <c r="N144" s="2">
        <f>$K$99&amp;"|"&amp;K144&amp;"$"&amp;$L$99&amp;"|"&amp;L144&amp;"$"&amp;$M$99&amp;"|"&amp;M144</f>
        <v/>
      </c>
    </row>
    <row r="145">
      <c r="H145" s="20" t="inlineStr">
        <is>
          <t>45|60</t>
        </is>
      </c>
      <c r="I145" s="20">
        <f>$E$130&amp;"|"&amp;H145&amp;"$"&amp;$F$130&amp;"|"&amp;H145&amp;"$"&amp;$G$130&amp;"|"&amp;H145</f>
        <v/>
      </c>
      <c r="J145" s="20" t="n">
        <v>19</v>
      </c>
      <c r="K145" s="18">
        <f>K144+6416</f>
        <v/>
      </c>
      <c r="L145" s="18">
        <f>L144+112</f>
        <v/>
      </c>
      <c r="M145" s="18">
        <f>M144+112</f>
        <v/>
      </c>
      <c r="N145" s="2">
        <f>$K$99&amp;"|"&amp;K145&amp;"$"&amp;$L$99&amp;"|"&amp;L145&amp;"$"&amp;$M$99&amp;"|"&amp;M145</f>
        <v/>
      </c>
    </row>
    <row r="146">
      <c r="H146" s="20" t="inlineStr">
        <is>
          <t>65|80</t>
        </is>
      </c>
      <c r="I146" s="20">
        <f>$E$130&amp;"|"&amp;H146&amp;"$"&amp;$F$130&amp;"|"&amp;H146&amp;"$"&amp;$G$130&amp;"|"&amp;H146</f>
        <v/>
      </c>
      <c r="J146" s="20" t="n">
        <v>20</v>
      </c>
      <c r="K146" s="18">
        <f>K145+6416</f>
        <v/>
      </c>
      <c r="L146" s="18">
        <f>L145+112</f>
        <v/>
      </c>
      <c r="M146" s="18">
        <f>M145+112</f>
        <v/>
      </c>
      <c r="N146" s="2">
        <f>$K$99&amp;"|"&amp;K146&amp;"$"&amp;$L$99&amp;"|"&amp;L146&amp;"$"&amp;$M$99&amp;"|"&amp;M146</f>
        <v/>
      </c>
    </row>
    <row r="147">
      <c r="H147" s="116" t="inlineStr">
        <is>
          <t>0|15</t>
        </is>
      </c>
      <c r="I147" s="116">
        <f>$E$131&amp;"|"&amp;H147&amp;"$"&amp;$F$131&amp;"|"&amp;H147&amp;"$"&amp;$G$131&amp;"|"&amp;H147</f>
        <v/>
      </c>
      <c r="J147" s="116" t="n">
        <v>21</v>
      </c>
      <c r="K147" s="18">
        <f>K146+6416</f>
        <v/>
      </c>
      <c r="L147" s="18">
        <f>L146+112</f>
        <v/>
      </c>
      <c r="M147" s="18">
        <f>M146+112</f>
        <v/>
      </c>
      <c r="N147" s="2">
        <f>$K$99&amp;"|"&amp;K147&amp;"$"&amp;$L$99&amp;"|"&amp;L147&amp;"$"&amp;$M$99&amp;"|"&amp;M147</f>
        <v/>
      </c>
    </row>
    <row r="148">
      <c r="H148" s="116" t="inlineStr">
        <is>
          <t>15|30</t>
        </is>
      </c>
      <c r="I148" s="116">
        <f>$E$131&amp;"|"&amp;H148&amp;"$"&amp;$F$131&amp;"|"&amp;H148&amp;"$"&amp;$G$131&amp;"|"&amp;H148</f>
        <v/>
      </c>
      <c r="J148" s="116" t="n">
        <v>22</v>
      </c>
      <c r="K148" s="18">
        <f>K147+6416</f>
        <v/>
      </c>
      <c r="L148" s="18">
        <f>L147+112</f>
        <v/>
      </c>
      <c r="M148" s="18">
        <f>M147+112</f>
        <v/>
      </c>
      <c r="N148" s="2">
        <f>$K$99&amp;"|"&amp;K148&amp;"$"&amp;$L$99&amp;"|"&amp;L148&amp;"$"&amp;$M$99&amp;"|"&amp;M148</f>
        <v/>
      </c>
    </row>
    <row r="149">
      <c r="H149" s="116" t="inlineStr">
        <is>
          <t>30|45</t>
        </is>
      </c>
      <c r="I149" s="116">
        <f>$E$131&amp;"|"&amp;H149&amp;"$"&amp;$F$131&amp;"|"&amp;H149&amp;"$"&amp;$G$131&amp;"|"&amp;H149</f>
        <v/>
      </c>
      <c r="J149" s="116" t="n">
        <v>23</v>
      </c>
      <c r="K149" s="18">
        <f>K148+6416</f>
        <v/>
      </c>
      <c r="L149" s="18">
        <f>L148+112</f>
        <v/>
      </c>
      <c r="M149" s="18">
        <f>M148+112</f>
        <v/>
      </c>
      <c r="N149" s="2">
        <f>$K$99&amp;"|"&amp;K149&amp;"$"&amp;$L$99&amp;"|"&amp;L149&amp;"$"&amp;$M$99&amp;"|"&amp;M149</f>
        <v/>
      </c>
    </row>
    <row r="150">
      <c r="H150" s="116" t="inlineStr">
        <is>
          <t>45|60</t>
        </is>
      </c>
      <c r="I150" s="116">
        <f>$E$131&amp;"|"&amp;H150&amp;"$"&amp;$F$131&amp;"|"&amp;H150&amp;"$"&amp;$G$131&amp;"|"&amp;H150</f>
        <v/>
      </c>
      <c r="J150" s="116" t="n">
        <v>24</v>
      </c>
      <c r="K150" s="18">
        <f>K149+6416</f>
        <v/>
      </c>
      <c r="L150" s="18">
        <f>L149+112</f>
        <v/>
      </c>
      <c r="M150" s="18">
        <f>M149+112</f>
        <v/>
      </c>
      <c r="N150" s="2">
        <f>$K$99&amp;"|"&amp;K150&amp;"$"&amp;$L$99&amp;"|"&amp;L150&amp;"$"&amp;$M$99&amp;"|"&amp;M150</f>
        <v/>
      </c>
    </row>
    <row r="151">
      <c r="H151" s="116" t="inlineStr">
        <is>
          <t>65|80</t>
        </is>
      </c>
      <c r="I151" s="116">
        <f>$E$131&amp;"|"&amp;H151&amp;"$"&amp;$F$131&amp;"|"&amp;H151&amp;"$"&amp;$G$131&amp;"|"&amp;H151</f>
        <v/>
      </c>
      <c r="J151" s="116" t="n">
        <v>25</v>
      </c>
      <c r="K151" s="18">
        <f>K150+6416</f>
        <v/>
      </c>
      <c r="L151" s="18">
        <f>L150+112</f>
        <v/>
      </c>
      <c r="M151" s="18">
        <f>M150+112</f>
        <v/>
      </c>
      <c r="N151" s="2">
        <f>$K$99&amp;"|"&amp;K151&amp;"$"&amp;$L$99&amp;"|"&amp;L151&amp;"$"&amp;$M$99&amp;"|"&amp;M151</f>
        <v/>
      </c>
    </row>
    <row r="153">
      <c r="D153" s="2" t="inlineStr">
        <is>
          <t>骨鲲投放</t>
        </is>
      </c>
    </row>
    <row r="154" ht="27" customHeight="1" s="127">
      <c r="E154" s="12" t="n"/>
      <c r="H154" s="18" t="inlineStr">
        <is>
          <t>0|30</t>
        </is>
      </c>
      <c r="I154" s="26">
        <f>$E$100&amp;"|"&amp;H154&amp;"$"&amp;$F$100&amp;"|"&amp;H154&amp;"$"&amp;$G$100&amp;"|"&amp;H154&amp;"$"&amp;$F$127&amp;"|"&amp;H154&amp;"$"&amp;$G$127&amp;"|"&amp;H154</f>
        <v/>
      </c>
      <c r="J154" s="18" t="n">
        <v>1</v>
      </c>
      <c r="K154" s="18" t="n">
        <v>6000</v>
      </c>
      <c r="L154" s="18" t="n">
        <v>500</v>
      </c>
      <c r="M154" s="18" t="n">
        <v>500</v>
      </c>
      <c r="N154" s="2">
        <f>$K$99&amp;"|"&amp;K154&amp;"$"&amp;$L$99&amp;"|"&amp;L154&amp;"$"&amp;$M$99&amp;"|"&amp;M154</f>
        <v/>
      </c>
    </row>
    <row r="155" ht="27" customHeight="1" s="127">
      <c r="E155" s="12" t="n"/>
      <c r="H155" s="18" t="inlineStr">
        <is>
          <t>30|60</t>
        </is>
      </c>
      <c r="I155" s="26">
        <f>$E$100&amp;"|"&amp;H155&amp;"$"&amp;$F$100&amp;"|"&amp;H155&amp;"$"&amp;$G$100&amp;"|"&amp;H155&amp;"$"&amp;$F$127&amp;"|"&amp;H155&amp;"$"&amp;$G$127&amp;"|"&amp;H155</f>
        <v/>
      </c>
      <c r="J155" s="18" t="n">
        <v>2</v>
      </c>
      <c r="K155" s="18">
        <f>K154+6416</f>
        <v/>
      </c>
      <c r="L155" s="18">
        <f>L154+112</f>
        <v/>
      </c>
      <c r="M155" s="18">
        <f>M154+112</f>
        <v/>
      </c>
      <c r="N155" s="2">
        <f>$K$99&amp;"|"&amp;K155&amp;"$"&amp;$L$99&amp;"|"&amp;L155&amp;"$"&amp;$M$99&amp;"|"&amp;M155</f>
        <v/>
      </c>
    </row>
    <row r="156" ht="27" customHeight="1" s="127">
      <c r="E156" s="12" t="n"/>
      <c r="H156" s="18" t="inlineStr">
        <is>
          <t>30|90</t>
        </is>
      </c>
      <c r="I156" s="26">
        <f>$E$100&amp;"|"&amp;H156&amp;"$"&amp;$F$100&amp;"|"&amp;H156&amp;"$"&amp;$G$100&amp;"|"&amp;H156&amp;"$"&amp;$F$127&amp;"|"&amp;H156&amp;"$"&amp;$G$127&amp;"|"&amp;H156</f>
        <v/>
      </c>
      <c r="J156" s="18" t="n">
        <v>3</v>
      </c>
      <c r="K156" s="18">
        <f>K155+6416</f>
        <v/>
      </c>
      <c r="L156" s="18">
        <f>L155+112</f>
        <v/>
      </c>
      <c r="M156" s="18">
        <f>M155+112</f>
        <v/>
      </c>
      <c r="N156" s="2">
        <f>$K$99&amp;"|"&amp;K156&amp;"$"&amp;$L$99&amp;"|"&amp;L156&amp;"$"&amp;$M$99&amp;"|"&amp;M156</f>
        <v/>
      </c>
    </row>
    <row r="157" ht="40.5" customHeight="1" s="127">
      <c r="E157" s="12" t="n"/>
      <c r="H157" s="18" t="inlineStr">
        <is>
          <t>90|120</t>
        </is>
      </c>
      <c r="I157" s="26">
        <f>$E$100&amp;"|"&amp;H157&amp;"$"&amp;$F$100&amp;"|"&amp;H157&amp;"$"&amp;$G$100&amp;"|"&amp;H157&amp;"$"&amp;$F$127&amp;"|"&amp;H157&amp;"$"&amp;$G$127&amp;"|"&amp;H157</f>
        <v/>
      </c>
      <c r="J157" s="18" t="n">
        <v>4</v>
      </c>
      <c r="K157" s="18">
        <f>K156+6416</f>
        <v/>
      </c>
      <c r="L157" s="18">
        <f>L156+112</f>
        <v/>
      </c>
      <c r="M157" s="18">
        <f>M156+112</f>
        <v/>
      </c>
      <c r="N157" s="2">
        <f>$K$99&amp;"|"&amp;K157&amp;"$"&amp;$L$99&amp;"|"&amp;L157&amp;"$"&amp;$M$99&amp;"|"&amp;M157</f>
        <v/>
      </c>
    </row>
    <row r="158" ht="40.5" customHeight="1" s="127">
      <c r="E158" s="12" t="n"/>
      <c r="H158" s="18" t="inlineStr">
        <is>
          <t>120|160</t>
        </is>
      </c>
      <c r="I158" s="26">
        <f>$E$100&amp;"|"&amp;H158&amp;"$"&amp;$F$100&amp;"|"&amp;H158&amp;"$"&amp;$G$100&amp;"|"&amp;H158&amp;"$"&amp;$F$127&amp;"|"&amp;H158&amp;"$"&amp;$G$127&amp;"|"&amp;H158</f>
        <v/>
      </c>
      <c r="J158" s="18" t="n">
        <v>5</v>
      </c>
      <c r="K158" s="18">
        <f>K157+6416</f>
        <v/>
      </c>
      <c r="L158" s="18">
        <f>L157+112</f>
        <v/>
      </c>
      <c r="M158" s="18">
        <f>M157+112</f>
        <v/>
      </c>
      <c r="N158" s="2">
        <f>$K$99&amp;"|"&amp;K158&amp;"$"&amp;$L$99&amp;"|"&amp;L158&amp;"$"&amp;$M$99&amp;"|"&amp;M158</f>
        <v/>
      </c>
    </row>
    <row r="159" ht="40.5" customHeight="1" s="127">
      <c r="H159" s="19" t="inlineStr">
        <is>
          <t>0|30</t>
        </is>
      </c>
      <c r="I159" s="27">
        <f>$E$101&amp;"|"&amp;H154&amp;"$"&amp;$F$101&amp;"|"&amp;H154&amp;"$"&amp;$G$101&amp;"|"&amp;H154&amp;"$"&amp;$E$128&amp;"|"&amp;H159&amp;"$"&amp;$F$128&amp;"|"&amp;H159&amp;"$"&amp;$G$128&amp;"|"&amp;H159</f>
        <v/>
      </c>
      <c r="J159" s="19" t="n">
        <v>6</v>
      </c>
      <c r="K159" s="18">
        <f>K158+6416</f>
        <v/>
      </c>
      <c r="L159" s="18">
        <f>L158+112</f>
        <v/>
      </c>
      <c r="M159" s="18">
        <f>M158+112</f>
        <v/>
      </c>
      <c r="N159" s="2">
        <f>$K$99&amp;"|"&amp;K159&amp;"$"&amp;$L$99&amp;"|"&amp;L159&amp;"$"&amp;$M$99&amp;"|"&amp;M159</f>
        <v/>
      </c>
    </row>
    <row r="160" ht="40.5" customHeight="1" s="127">
      <c r="H160" s="19" t="inlineStr">
        <is>
          <t>30|60</t>
        </is>
      </c>
      <c r="I160" s="27">
        <f>$E$101&amp;"|"&amp;H155&amp;"$"&amp;$F$101&amp;"|"&amp;H155&amp;"$"&amp;$G$101&amp;"|"&amp;H155&amp;"$"&amp;$E$128&amp;"|"&amp;H160&amp;"$"&amp;$F$128&amp;"|"&amp;H160&amp;"$"&amp;$G$128&amp;"|"&amp;H160</f>
        <v/>
      </c>
      <c r="J160" s="19" t="n">
        <v>7</v>
      </c>
      <c r="K160" s="18">
        <f>K159+6416</f>
        <v/>
      </c>
      <c r="L160" s="18">
        <f>L159+112</f>
        <v/>
      </c>
      <c r="M160" s="18">
        <f>M159+112</f>
        <v/>
      </c>
      <c r="N160" s="2">
        <f>$K$99&amp;"|"&amp;K160&amp;"$"&amp;$L$99&amp;"|"&amp;L160&amp;"$"&amp;$M$99&amp;"|"&amp;M160</f>
        <v/>
      </c>
    </row>
    <row r="161" ht="40.5" customHeight="1" s="127">
      <c r="H161" s="19" t="inlineStr">
        <is>
          <t>30|90</t>
        </is>
      </c>
      <c r="I161" s="27">
        <f>$E$101&amp;"|"&amp;H156&amp;"$"&amp;$F$101&amp;"|"&amp;H156&amp;"$"&amp;$G$101&amp;"|"&amp;H156&amp;"$"&amp;$E$128&amp;"|"&amp;H161&amp;"$"&amp;$F$128&amp;"|"&amp;H161&amp;"$"&amp;$G$128&amp;"|"&amp;H161</f>
        <v/>
      </c>
      <c r="J161" s="19" t="n">
        <v>8</v>
      </c>
      <c r="K161" s="18">
        <f>K160+6416</f>
        <v/>
      </c>
      <c r="L161" s="18">
        <f>L160+112</f>
        <v/>
      </c>
      <c r="M161" s="18">
        <f>M160+112</f>
        <v/>
      </c>
      <c r="N161" s="2">
        <f>$K$99&amp;"|"&amp;K161&amp;"$"&amp;$L$99&amp;"|"&amp;L161&amp;"$"&amp;$M$99&amp;"|"&amp;M161</f>
        <v/>
      </c>
    </row>
    <row r="162" ht="40.5" customHeight="1" s="127">
      <c r="H162" s="19" t="inlineStr">
        <is>
          <t>90|120</t>
        </is>
      </c>
      <c r="I162" s="27">
        <f>$E$101&amp;"|"&amp;H157&amp;"$"&amp;$F$101&amp;"|"&amp;H157&amp;"$"&amp;$G$101&amp;"|"&amp;H157&amp;"$"&amp;$E$128&amp;"|"&amp;H162&amp;"$"&amp;$F$128&amp;"|"&amp;H162&amp;"$"&amp;$G$128&amp;"|"&amp;H162</f>
        <v/>
      </c>
      <c r="J162" s="19" t="n">
        <v>9</v>
      </c>
      <c r="K162" s="18">
        <f>K161+6416</f>
        <v/>
      </c>
      <c r="L162" s="18">
        <f>L161+112</f>
        <v/>
      </c>
      <c r="M162" s="18">
        <f>M161+112</f>
        <v/>
      </c>
      <c r="N162" s="2">
        <f>$K$99&amp;"|"&amp;K162&amp;"$"&amp;$L$99&amp;"|"&amp;L162&amp;"$"&amp;$M$99&amp;"|"&amp;M162</f>
        <v/>
      </c>
    </row>
    <row r="163" ht="40.5" customHeight="1" s="127">
      <c r="H163" s="19" t="inlineStr">
        <is>
          <t>120|160</t>
        </is>
      </c>
      <c r="I163" s="27">
        <f>$E$101&amp;"|"&amp;H158&amp;"$"&amp;$F$101&amp;"|"&amp;H158&amp;"$"&amp;$G$101&amp;"|"&amp;H158&amp;"$"&amp;$E$128&amp;"|"&amp;H163&amp;"$"&amp;$F$128&amp;"|"&amp;H163&amp;"$"&amp;$G$128&amp;"|"&amp;H163</f>
        <v/>
      </c>
      <c r="J163" s="19" t="n">
        <v>10</v>
      </c>
      <c r="K163" s="18">
        <f>K162+6416</f>
        <v/>
      </c>
      <c r="L163" s="18">
        <f>L162+112</f>
        <v/>
      </c>
      <c r="M163" s="18">
        <f>M162+112</f>
        <v/>
      </c>
      <c r="N163" s="2">
        <f>$K$99&amp;"|"&amp;K163&amp;"$"&amp;$L$99&amp;"|"&amp;L163&amp;"$"&amp;$M$99&amp;"|"&amp;M163</f>
        <v/>
      </c>
    </row>
    <row r="164" ht="40.5" customHeight="1" s="127">
      <c r="H164" s="15" t="inlineStr">
        <is>
          <t>0|30</t>
        </is>
      </c>
      <c r="I164" s="28">
        <f>$E$102&amp;"|"&amp;H154&amp;"$"&amp;$F$102&amp;"|"&amp;H154&amp;"$"&amp;$G$102&amp;"|"&amp;H154&amp;"$"&amp;$E$129&amp;"|"&amp;H164&amp;"$"&amp;$F$129&amp;"|"&amp;H164&amp;"$"&amp;$G$129&amp;"|"&amp;H164</f>
        <v/>
      </c>
      <c r="J164" s="15" t="n">
        <v>11</v>
      </c>
      <c r="K164" s="18">
        <f>K163+6416</f>
        <v/>
      </c>
      <c r="L164" s="18">
        <f>L163+112</f>
        <v/>
      </c>
      <c r="M164" s="18">
        <f>M163+112</f>
        <v/>
      </c>
      <c r="N164" s="2">
        <f>$K$99&amp;"|"&amp;K164&amp;"$"&amp;$L$99&amp;"|"&amp;L164&amp;"$"&amp;$M$99&amp;"|"&amp;M164</f>
        <v/>
      </c>
    </row>
    <row r="165" ht="40.5" customHeight="1" s="127">
      <c r="H165" s="15" t="inlineStr">
        <is>
          <t>30|60</t>
        </is>
      </c>
      <c r="I165" s="28">
        <f>$E$102&amp;"|"&amp;H155&amp;"$"&amp;$F$102&amp;"|"&amp;H155&amp;"$"&amp;$G$102&amp;"|"&amp;H155&amp;"$"&amp;$E$129&amp;"|"&amp;H165&amp;"$"&amp;$F$129&amp;"|"&amp;H165&amp;"$"&amp;$G$129&amp;"|"&amp;H165</f>
        <v/>
      </c>
      <c r="J165" s="15" t="n">
        <v>12</v>
      </c>
      <c r="K165" s="18">
        <f>K164+6416</f>
        <v/>
      </c>
      <c r="L165" s="18">
        <f>L164+112</f>
        <v/>
      </c>
      <c r="M165" s="18">
        <f>M164+112</f>
        <v/>
      </c>
      <c r="N165" s="2">
        <f>$K$99&amp;"|"&amp;K165&amp;"$"&amp;$L$99&amp;"|"&amp;L165&amp;"$"&amp;$M$99&amp;"|"&amp;M165</f>
        <v/>
      </c>
    </row>
    <row r="166" ht="40.5" customHeight="1" s="127">
      <c r="H166" s="15" t="inlineStr">
        <is>
          <t>30|90</t>
        </is>
      </c>
      <c r="I166" s="28">
        <f>$E$102&amp;"|"&amp;H156&amp;"$"&amp;$F$102&amp;"|"&amp;H156&amp;"$"&amp;$G$102&amp;"|"&amp;H156&amp;"$"&amp;$E$129&amp;"|"&amp;H166&amp;"$"&amp;$F$129&amp;"|"&amp;H166&amp;"$"&amp;$G$129&amp;"|"&amp;H166</f>
        <v/>
      </c>
      <c r="J166" s="15" t="n">
        <v>13</v>
      </c>
      <c r="K166" s="18">
        <f>K165+6416</f>
        <v/>
      </c>
      <c r="L166" s="18">
        <f>L165+112</f>
        <v/>
      </c>
      <c r="M166" s="18">
        <f>M165+112</f>
        <v/>
      </c>
      <c r="N166" s="2">
        <f>$K$99&amp;"|"&amp;K166&amp;"$"&amp;$L$99&amp;"|"&amp;L166&amp;"$"&amp;$M$99&amp;"|"&amp;M166</f>
        <v/>
      </c>
    </row>
    <row r="167" ht="40.5" customHeight="1" s="127">
      <c r="H167" s="15" t="inlineStr">
        <is>
          <t>90|120</t>
        </is>
      </c>
      <c r="I167" s="28">
        <f>$E$102&amp;"|"&amp;H157&amp;"$"&amp;$F$102&amp;"|"&amp;H157&amp;"$"&amp;$G$102&amp;"|"&amp;H157&amp;"$"&amp;$E$129&amp;"|"&amp;H167&amp;"$"&amp;$F$129&amp;"|"&amp;H167&amp;"$"&amp;$G$129&amp;"|"&amp;H167</f>
        <v/>
      </c>
      <c r="J167" s="15" t="n">
        <v>14</v>
      </c>
      <c r="K167" s="18">
        <f>K166+6416</f>
        <v/>
      </c>
      <c r="L167" s="18">
        <f>L166+112</f>
        <v/>
      </c>
      <c r="M167" s="18">
        <f>M166+112</f>
        <v/>
      </c>
      <c r="N167" s="2">
        <f>$K$99&amp;"|"&amp;K167&amp;"$"&amp;$L$99&amp;"|"&amp;L167&amp;"$"&amp;$M$99&amp;"|"&amp;M167</f>
        <v/>
      </c>
    </row>
    <row r="168" ht="40.5" customHeight="1" s="127">
      <c r="H168" s="15" t="inlineStr">
        <is>
          <t>120|160</t>
        </is>
      </c>
      <c r="I168" s="28">
        <f>$E$102&amp;"|"&amp;H158&amp;"$"&amp;$F$102&amp;"|"&amp;H158&amp;"$"&amp;$G$102&amp;"|"&amp;H158&amp;"$"&amp;$E$129&amp;"|"&amp;H168&amp;"$"&amp;$F$129&amp;"|"&amp;H168&amp;"$"&amp;$G$129&amp;"|"&amp;H168</f>
        <v/>
      </c>
      <c r="J168" s="15" t="n">
        <v>15</v>
      </c>
      <c r="K168" s="18">
        <f>K167+6416</f>
        <v/>
      </c>
      <c r="L168" s="18">
        <f>L167+112</f>
        <v/>
      </c>
      <c r="M168" s="18">
        <f>M167+112</f>
        <v/>
      </c>
      <c r="N168" s="2">
        <f>$K$99&amp;"|"&amp;K168&amp;"$"&amp;$L$99&amp;"|"&amp;L168&amp;"$"&amp;$M$99&amp;"|"&amp;M168</f>
        <v/>
      </c>
    </row>
    <row r="169" ht="40.5" customHeight="1" s="127">
      <c r="H169" s="20" t="inlineStr">
        <is>
          <t>0|30</t>
        </is>
      </c>
      <c r="I169" s="29">
        <f>$E$103&amp;"|"&amp;H154&amp;"$"&amp;$F$103&amp;"|"&amp;H154&amp;"$"&amp;$G$103&amp;"|"&amp;H154&amp;"$"&amp;$E$130&amp;"|"&amp;H169&amp;"$"&amp;$F$130&amp;"|"&amp;H169&amp;"$"&amp;$G$130&amp;"|"&amp;H169</f>
        <v/>
      </c>
      <c r="J169" s="20" t="n">
        <v>16</v>
      </c>
      <c r="K169" s="18">
        <f>K168+6416</f>
        <v/>
      </c>
      <c r="L169" s="18">
        <f>L168+112</f>
        <v/>
      </c>
      <c r="M169" s="18">
        <f>M168+112</f>
        <v/>
      </c>
      <c r="N169" s="2">
        <f>$K$99&amp;"|"&amp;K169&amp;"$"&amp;$L$99&amp;"|"&amp;L169&amp;"$"&amp;$M$99&amp;"|"&amp;M169</f>
        <v/>
      </c>
    </row>
    <row r="170" ht="40.5" customHeight="1" s="127">
      <c r="H170" s="20" t="inlineStr">
        <is>
          <t>30|60</t>
        </is>
      </c>
      <c r="I170" s="29">
        <f>$E$103&amp;"|"&amp;H155&amp;"$"&amp;$F$103&amp;"|"&amp;H155&amp;"$"&amp;$G$103&amp;"|"&amp;H155&amp;"$"&amp;$E$130&amp;"|"&amp;H170&amp;"$"&amp;$F$130&amp;"|"&amp;H170&amp;"$"&amp;$G$130&amp;"|"&amp;H170</f>
        <v/>
      </c>
      <c r="J170" s="20" t="n">
        <v>17</v>
      </c>
      <c r="K170" s="18">
        <f>K169+6416</f>
        <v/>
      </c>
      <c r="L170" s="18">
        <f>L169+112</f>
        <v/>
      </c>
      <c r="M170" s="18">
        <f>M169+112</f>
        <v/>
      </c>
      <c r="N170" s="2">
        <f>$K$99&amp;"|"&amp;K170&amp;"$"&amp;$L$99&amp;"|"&amp;L170&amp;"$"&amp;$M$99&amp;"|"&amp;M170</f>
        <v/>
      </c>
    </row>
    <row r="171" ht="40.5" customHeight="1" s="127">
      <c r="H171" s="20" t="inlineStr">
        <is>
          <t>30|90</t>
        </is>
      </c>
      <c r="I171" s="29">
        <f>$E$103&amp;"|"&amp;H156&amp;"$"&amp;$F$103&amp;"|"&amp;H156&amp;"$"&amp;$G$103&amp;"|"&amp;H156&amp;"$"&amp;$E$130&amp;"|"&amp;H171&amp;"$"&amp;$F$130&amp;"|"&amp;H171&amp;"$"&amp;$G$130&amp;"|"&amp;H171</f>
        <v/>
      </c>
      <c r="J171" s="20" t="n">
        <v>18</v>
      </c>
      <c r="K171" s="18">
        <f>K170+6416</f>
        <v/>
      </c>
      <c r="L171" s="18">
        <f>L170+112</f>
        <v/>
      </c>
      <c r="M171" s="18">
        <f>M170+112</f>
        <v/>
      </c>
      <c r="N171" s="2">
        <f>$K$99&amp;"|"&amp;K171&amp;"$"&amp;$L$99&amp;"|"&amp;L171&amp;"$"&amp;$M$99&amp;"|"&amp;M171</f>
        <v/>
      </c>
    </row>
    <row r="172" ht="40.5" customHeight="1" s="127">
      <c r="H172" s="20" t="inlineStr">
        <is>
          <t>90|120</t>
        </is>
      </c>
      <c r="I172" s="29">
        <f>$E$103&amp;"|"&amp;H157&amp;"$"&amp;$F$103&amp;"|"&amp;H157&amp;"$"&amp;$G$103&amp;"|"&amp;H157&amp;"$"&amp;$E$130&amp;"|"&amp;H172&amp;"$"&amp;$F$130&amp;"|"&amp;H172&amp;"$"&amp;$G$130&amp;"|"&amp;H172</f>
        <v/>
      </c>
      <c r="J172" s="20" t="n">
        <v>19</v>
      </c>
      <c r="K172" s="18">
        <f>K171+6416</f>
        <v/>
      </c>
      <c r="L172" s="18">
        <f>L171+112</f>
        <v/>
      </c>
      <c r="M172" s="18">
        <f>M171+112</f>
        <v/>
      </c>
      <c r="N172" s="2">
        <f>$K$99&amp;"|"&amp;K172&amp;"$"&amp;$L$99&amp;"|"&amp;L172&amp;"$"&amp;$M$99&amp;"|"&amp;M172</f>
        <v/>
      </c>
    </row>
    <row r="173" ht="40.5" customHeight="1" s="127">
      <c r="H173" s="20" t="inlineStr">
        <is>
          <t>120|160</t>
        </is>
      </c>
      <c r="I173" s="29">
        <f>$E$103&amp;"|"&amp;H158&amp;"$"&amp;$F$103&amp;"|"&amp;H158&amp;"$"&amp;$G$103&amp;"|"&amp;H158&amp;"$"&amp;$E$130&amp;"|"&amp;H173&amp;"$"&amp;$F$130&amp;"|"&amp;H173&amp;"$"&amp;$G$130&amp;"|"&amp;H173</f>
        <v/>
      </c>
      <c r="J173" s="20" t="n">
        <v>20</v>
      </c>
      <c r="K173" s="18">
        <f>K172+6416</f>
        <v/>
      </c>
      <c r="L173" s="18">
        <f>L172+112</f>
        <v/>
      </c>
      <c r="M173" s="18">
        <f>M172+112</f>
        <v/>
      </c>
      <c r="N173" s="2">
        <f>$K$99&amp;"|"&amp;K173&amp;"$"&amp;$L$99&amp;"|"&amp;L173&amp;"$"&amp;$M$99&amp;"|"&amp;M173</f>
        <v/>
      </c>
    </row>
    <row r="174" ht="40.5" customHeight="1" s="127">
      <c r="H174" s="116" t="inlineStr">
        <is>
          <t>0|30</t>
        </is>
      </c>
      <c r="I174" s="30">
        <f>$E$104&amp;"|"&amp;H154&amp;"$"&amp;$F$104&amp;"|"&amp;H154&amp;"$"&amp;$G$104&amp;"|"&amp;H154&amp;"$"&amp;$E$131&amp;"|"&amp;H174&amp;"$"&amp;$F$131&amp;"|"&amp;H174&amp;"$"&amp;$G$131&amp;"|"&amp;H174</f>
        <v/>
      </c>
      <c r="J174" s="116" t="n">
        <v>21</v>
      </c>
      <c r="K174" s="18">
        <f>K173+6416</f>
        <v/>
      </c>
      <c r="L174" s="18">
        <f>L173+112</f>
        <v/>
      </c>
      <c r="M174" s="18">
        <f>M173+112</f>
        <v/>
      </c>
      <c r="N174" s="2">
        <f>$K$99&amp;"|"&amp;K174&amp;"$"&amp;$L$99&amp;"|"&amp;L174&amp;"$"&amp;$M$99&amp;"|"&amp;M174</f>
        <v/>
      </c>
    </row>
    <row r="175" ht="40.5" customHeight="1" s="127">
      <c r="H175" s="116" t="inlineStr">
        <is>
          <t>30|60</t>
        </is>
      </c>
      <c r="I175" s="30">
        <f>$E$104&amp;"|"&amp;H155&amp;"$"&amp;$F$104&amp;"|"&amp;H155&amp;"$"&amp;$G$104&amp;"|"&amp;H155&amp;"$"&amp;$E$131&amp;"|"&amp;H175&amp;"$"&amp;$F$131&amp;"|"&amp;H175&amp;"$"&amp;$G$131&amp;"|"&amp;H175</f>
        <v/>
      </c>
      <c r="J175" s="116" t="n">
        <v>22</v>
      </c>
      <c r="K175" s="18">
        <f>K174+6416</f>
        <v/>
      </c>
      <c r="L175" s="18">
        <f>L174+112</f>
        <v/>
      </c>
      <c r="M175" s="18">
        <f>M174+112</f>
        <v/>
      </c>
      <c r="N175" s="2">
        <f>$K$99&amp;"|"&amp;K175&amp;"$"&amp;$L$99&amp;"|"&amp;L175&amp;"$"&amp;$M$99&amp;"|"&amp;M175</f>
        <v/>
      </c>
    </row>
    <row r="176" ht="40.5" customHeight="1" s="127">
      <c r="H176" s="116" t="inlineStr">
        <is>
          <t>30|90</t>
        </is>
      </c>
      <c r="I176" s="30">
        <f>$E$104&amp;"|"&amp;H156&amp;"$"&amp;$F$104&amp;"|"&amp;H156&amp;"$"&amp;$G$104&amp;"|"&amp;H156&amp;"$"&amp;$E$131&amp;"|"&amp;H176&amp;"$"&amp;$F$131&amp;"|"&amp;H176&amp;"$"&amp;$G$131&amp;"|"&amp;H176</f>
        <v/>
      </c>
      <c r="J176" s="116" t="n">
        <v>23</v>
      </c>
      <c r="K176" s="18">
        <f>K175+6416</f>
        <v/>
      </c>
      <c r="L176" s="18">
        <f>L175+112</f>
        <v/>
      </c>
      <c r="M176" s="18">
        <f>M175+112</f>
        <v/>
      </c>
      <c r="N176" s="2">
        <f>$K$99&amp;"|"&amp;K176&amp;"$"&amp;$L$99&amp;"|"&amp;L176&amp;"$"&amp;$M$99&amp;"|"&amp;M176</f>
        <v/>
      </c>
    </row>
    <row r="177" ht="40.5" customHeight="1" s="127">
      <c r="H177" s="116" t="inlineStr">
        <is>
          <t>90|120</t>
        </is>
      </c>
      <c r="I177" s="30">
        <f>$E$104&amp;"|"&amp;H157&amp;"$"&amp;$F$104&amp;"|"&amp;H157&amp;"$"&amp;$G$104&amp;"|"&amp;H157&amp;"$"&amp;$E$131&amp;"|"&amp;H177&amp;"$"&amp;$F$131&amp;"|"&amp;H177&amp;"$"&amp;$G$131&amp;"|"&amp;H177</f>
        <v/>
      </c>
      <c r="J177" s="116" t="n">
        <v>24</v>
      </c>
      <c r="K177" s="18">
        <f>K176+6416</f>
        <v/>
      </c>
      <c r="L177" s="18">
        <f>L176+112</f>
        <v/>
      </c>
      <c r="M177" s="18">
        <f>M176+112</f>
        <v/>
      </c>
      <c r="N177" s="2">
        <f>$K$99&amp;"|"&amp;K177&amp;"$"&amp;$L$99&amp;"|"&amp;L177&amp;"$"&amp;$M$99&amp;"|"&amp;M177</f>
        <v/>
      </c>
    </row>
    <row r="178" ht="40.5" customHeight="1" s="127">
      <c r="H178" s="116" t="inlineStr">
        <is>
          <t>120|160</t>
        </is>
      </c>
      <c r="I178" s="30">
        <f>$E$104&amp;"|"&amp;H158&amp;"$"&amp;$F$104&amp;"|"&amp;H158&amp;"$"&amp;$G$104&amp;"|"&amp;H158&amp;"$"&amp;$E$131&amp;"|"&amp;H178&amp;"$"&amp;$F$131&amp;"|"&amp;H178&amp;"$"&amp;$G$131&amp;"|"&amp;H178</f>
        <v/>
      </c>
      <c r="J178" s="116" t="n">
        <v>25</v>
      </c>
      <c r="K178" s="18">
        <f>K177+6416</f>
        <v/>
      </c>
      <c r="L178" s="18">
        <f>L177+112</f>
        <v/>
      </c>
      <c r="M178" s="18">
        <f>M177+112</f>
        <v/>
      </c>
      <c r="N178" s="2">
        <f>$K$99&amp;"|"&amp;K178&amp;"$"&amp;$L$99&amp;"|"&amp;L178&amp;"$"&amp;$M$99&amp;"|"&amp;M178</f>
        <v/>
      </c>
    </row>
    <row r="179">
      <c r="R179" s="2" t="n">
        <v>0.6</v>
      </c>
      <c r="S179" s="2" t="n">
        <v>0.7</v>
      </c>
    </row>
    <row r="180">
      <c r="F180" s="22" t="n"/>
      <c r="L180" s="2" t="inlineStr">
        <is>
          <t>血</t>
        </is>
      </c>
      <c r="M180" s="2" t="inlineStr">
        <is>
          <t>防</t>
        </is>
      </c>
      <c r="N180" s="2" t="inlineStr">
        <is>
          <t>攻</t>
        </is>
      </c>
      <c r="P180" s="2" t="inlineStr">
        <is>
          <t>血</t>
        </is>
      </c>
      <c r="Q180" s="2" t="inlineStr">
        <is>
          <t>防</t>
        </is>
      </c>
      <c r="R180" s="2" t="inlineStr">
        <is>
          <t>攻</t>
        </is>
      </c>
    </row>
    <row r="181">
      <c r="D181" s="2" t="inlineStr">
        <is>
          <t>仙陨魂投放</t>
        </is>
      </c>
      <c r="E181" s="23" t="inlineStr">
        <is>
          <t>990002</t>
        </is>
      </c>
      <c r="F181" s="2" t="n">
        <v>121002</v>
      </c>
      <c r="G181" s="2" t="n">
        <v>121004</v>
      </c>
      <c r="H181" s="2" t="n">
        <v>121006</v>
      </c>
      <c r="I181" s="2" t="n">
        <v>121006</v>
      </c>
      <c r="L181" s="2" t="n">
        <v>10001</v>
      </c>
      <c r="M181" s="2" t="n">
        <v>10004</v>
      </c>
      <c r="N181" s="2" t="n">
        <v>10003</v>
      </c>
      <c r="P181" s="2" t="n">
        <v>10001</v>
      </c>
      <c r="Q181" s="2" t="n">
        <v>10004</v>
      </c>
      <c r="R181" s="2" t="n">
        <v>10003</v>
      </c>
    </row>
    <row r="182">
      <c r="A182" s="2" t="n">
        <v>1</v>
      </c>
      <c r="B182" s="2" t="n">
        <v>70</v>
      </c>
      <c r="C182" s="2" t="n">
        <v>90</v>
      </c>
      <c r="D182" s="24" t="n"/>
      <c r="E182" s="24" t="n">
        <v>1</v>
      </c>
      <c r="F182" s="24" t="n">
        <v>122002</v>
      </c>
      <c r="G182" s="24" t="n">
        <v>122004</v>
      </c>
      <c r="H182" s="24" t="n">
        <v>122006</v>
      </c>
      <c r="I182" s="24" t="n">
        <v>122006</v>
      </c>
      <c r="J182" s="24">
        <f>B182&amp;"|"&amp;C182</f>
        <v/>
      </c>
      <c r="K182" s="31">
        <f>$E$181&amp;"|"&amp;0&amp;"|"&amp;E182&amp;"$"&amp;$F$181&amp;"|"&amp;J182&amp;"$"&amp;$G$181&amp;"|"&amp;J182&amp;"$"&amp;$H$181&amp;"|"&amp;J182</f>
        <v/>
      </c>
      <c r="L182" s="129" t="n">
        <v>3600</v>
      </c>
      <c r="M182" s="129" t="n">
        <v>300</v>
      </c>
      <c r="N182" s="129" t="n">
        <v>300</v>
      </c>
      <c r="O182" s="78">
        <f>$K$99&amp;"|"&amp;L182&amp;"$"&amp;$L$99&amp;"|"&amp;M182&amp;"$"&amp;$M$99&amp;"|"&amp;N182</f>
        <v/>
      </c>
      <c r="P182" s="78">
        <f>2500*E182+500</f>
        <v/>
      </c>
      <c r="Q182" s="78">
        <f>45*E182+205</f>
        <v/>
      </c>
      <c r="R182" s="78">
        <f>42*E182+188</f>
        <v/>
      </c>
      <c r="S182" s="78">
        <f>$K$99&amp;"|"&amp;P182&amp;"$"&amp;$L$99&amp;"|"&amp;Q182&amp;"$"&amp;$M$99&amp;"|"&amp;R182</f>
        <v/>
      </c>
    </row>
    <row r="183" ht="27" customHeight="1" s="127">
      <c r="A183" s="2" t="n">
        <v>2</v>
      </c>
      <c r="B183" s="2">
        <f>B182+76</f>
        <v/>
      </c>
      <c r="C183" s="2">
        <f>C182+77</f>
        <v/>
      </c>
      <c r="D183" s="24" t="n"/>
      <c r="E183" s="24" t="n">
        <v>2</v>
      </c>
      <c r="F183" s="24" t="n">
        <v>123002</v>
      </c>
      <c r="G183" s="24" t="n">
        <v>123004</v>
      </c>
      <c r="H183" s="24" t="n">
        <v>123006</v>
      </c>
      <c r="I183" s="24" t="n">
        <v>123006</v>
      </c>
      <c r="J183" s="24">
        <f>B183&amp;"|"&amp;C183</f>
        <v/>
      </c>
      <c r="K183" s="31">
        <f>$E$181&amp;"|"&amp;0&amp;"|"&amp;E183&amp;"$"&amp;$F$181&amp;"|"&amp;J183&amp;"$"&amp;$G$181&amp;"|"&amp;J183&amp;"$"&amp;$H$181&amp;"|"&amp;J183</f>
        <v/>
      </c>
      <c r="L183" s="129" t="n">
        <v>7450</v>
      </c>
      <c r="M183" s="129" t="n">
        <v>367</v>
      </c>
      <c r="N183" s="129" t="n">
        <v>367</v>
      </c>
      <c r="O183" s="78">
        <f>$K$99&amp;"|"&amp;L183&amp;"$"&amp;$L$99&amp;"|"&amp;M183&amp;"$"&amp;$M$99&amp;"|"&amp;N183</f>
        <v/>
      </c>
      <c r="P183" s="78">
        <f>2500*E183+500</f>
        <v/>
      </c>
      <c r="Q183" s="78">
        <f>45*E183+205</f>
        <v/>
      </c>
      <c r="R183" s="78">
        <f>42*E183+188</f>
        <v/>
      </c>
      <c r="S183" s="78">
        <f>$K$99&amp;"|"&amp;P183&amp;"$"&amp;$L$99&amp;"|"&amp;Q183&amp;"$"&amp;$M$99&amp;"|"&amp;R183</f>
        <v/>
      </c>
    </row>
    <row r="184" ht="27" customHeight="1" s="127">
      <c r="A184" s="2" t="n">
        <v>3</v>
      </c>
      <c r="B184" s="2">
        <f>B183+76</f>
        <v/>
      </c>
      <c r="C184" s="2">
        <f>C183+77</f>
        <v/>
      </c>
      <c r="D184" s="24" t="n"/>
      <c r="E184" s="24" t="n">
        <v>3</v>
      </c>
      <c r="F184" s="24" t="n">
        <v>124002</v>
      </c>
      <c r="G184" s="24" t="n">
        <v>124004</v>
      </c>
      <c r="H184" s="24" t="n">
        <v>124006</v>
      </c>
      <c r="I184" s="24" t="n">
        <v>124006</v>
      </c>
      <c r="J184" s="24">
        <f>B184&amp;"|"&amp;C184</f>
        <v/>
      </c>
      <c r="K184" s="31">
        <f>$E$181&amp;"|"&amp;0&amp;"|"&amp;E184&amp;"$"&amp;$F$181&amp;"|"&amp;J184&amp;"$"&amp;$G$181&amp;"|"&amp;J184&amp;"$"&amp;$H$181&amp;"|"&amp;J184</f>
        <v/>
      </c>
      <c r="L184" s="129" t="n">
        <v>11299</v>
      </c>
      <c r="M184" s="129" t="n">
        <v>434</v>
      </c>
      <c r="N184" s="129" t="n">
        <v>434</v>
      </c>
      <c r="O184" s="78">
        <f>$K$99&amp;"|"&amp;L184&amp;"$"&amp;$L$99&amp;"|"&amp;M184&amp;"$"&amp;$M$99&amp;"|"&amp;N184</f>
        <v/>
      </c>
      <c r="P184" s="78">
        <f>2500*E184+500</f>
        <v/>
      </c>
      <c r="Q184" s="78">
        <f>45*E184+205</f>
        <v/>
      </c>
      <c r="R184" s="78">
        <f>42*E184+188</f>
        <v/>
      </c>
      <c r="S184" s="78">
        <f>$K$99&amp;"|"&amp;P184&amp;"$"&amp;$L$99&amp;"|"&amp;Q184&amp;"$"&amp;$M$99&amp;"|"&amp;R184</f>
        <v/>
      </c>
    </row>
    <row r="185" ht="27" customHeight="1" s="127">
      <c r="A185" s="2" t="n">
        <v>4</v>
      </c>
      <c r="B185" s="2">
        <f>B184+76</f>
        <v/>
      </c>
      <c r="C185" s="2">
        <f>C184+77</f>
        <v/>
      </c>
      <c r="D185" s="24" t="n"/>
      <c r="E185" s="24" t="n">
        <v>4</v>
      </c>
      <c r="F185" s="24" t="n">
        <v>125002</v>
      </c>
      <c r="G185" s="24" t="n">
        <v>125004</v>
      </c>
      <c r="H185" s="24" t="n">
        <v>125006</v>
      </c>
      <c r="I185" s="24" t="n">
        <v>125006</v>
      </c>
      <c r="J185" s="24">
        <f>B185&amp;"|"&amp;C185</f>
        <v/>
      </c>
      <c r="K185" s="31">
        <f>$E$181&amp;"|"&amp;0&amp;"|"&amp;E185&amp;"$"&amp;$F$181&amp;"|"&amp;J185&amp;"$"&amp;$G$181&amp;"|"&amp;J185&amp;"$"&amp;$H$181&amp;"|"&amp;J185</f>
        <v/>
      </c>
      <c r="L185" s="129" t="n">
        <v>15149</v>
      </c>
      <c r="M185" s="129" t="n">
        <v>502</v>
      </c>
      <c r="N185" s="129" t="n">
        <v>502</v>
      </c>
      <c r="O185" s="78">
        <f>$K$99&amp;"|"&amp;L185&amp;"$"&amp;$L$99&amp;"|"&amp;M185&amp;"$"&amp;$M$99&amp;"|"&amp;N185</f>
        <v/>
      </c>
      <c r="P185" s="78">
        <f>2500*E185+500</f>
        <v/>
      </c>
      <c r="Q185" s="78">
        <f>45*E185+205</f>
        <v/>
      </c>
      <c r="R185" s="78">
        <f>42*E185+188</f>
        <v/>
      </c>
      <c r="S185" s="78">
        <f>$K$99&amp;"|"&amp;P185&amp;"$"&amp;$L$99&amp;"|"&amp;Q185&amp;"$"&amp;$M$99&amp;"|"&amp;R185</f>
        <v/>
      </c>
    </row>
    <row r="186" ht="27" customHeight="1" s="127">
      <c r="A186" s="2" t="n">
        <v>5</v>
      </c>
      <c r="B186" s="2">
        <f>B185+76</f>
        <v/>
      </c>
      <c r="C186" s="2">
        <f>C185+77</f>
        <v/>
      </c>
      <c r="D186" s="24" t="n"/>
      <c r="E186" s="24" t="n">
        <v>5</v>
      </c>
      <c r="F186" s="24" t="n"/>
      <c r="G186" s="24" t="n"/>
      <c r="H186" s="24" t="n"/>
      <c r="J186" s="24">
        <f>B186&amp;"|"&amp;C186</f>
        <v/>
      </c>
      <c r="K186" s="31">
        <f>$E$181&amp;"|"&amp;0&amp;"|"&amp;E186&amp;"$"&amp;$F$181&amp;"|"&amp;J186&amp;"$"&amp;$G$181&amp;"|"&amp;J186&amp;"$"&amp;$H$181&amp;"|"&amp;J186</f>
        <v/>
      </c>
      <c r="L186" s="129" t="n">
        <v>18998</v>
      </c>
      <c r="M186" s="129" t="n">
        <v>569</v>
      </c>
      <c r="N186" s="129" t="n">
        <v>569</v>
      </c>
      <c r="O186" s="78">
        <f>$K$99&amp;"|"&amp;L186&amp;"$"&amp;$L$99&amp;"|"&amp;M186&amp;"$"&amp;$M$99&amp;"|"&amp;N186</f>
        <v/>
      </c>
      <c r="P186" s="78">
        <f>2500*E186+500</f>
        <v/>
      </c>
      <c r="Q186" s="78">
        <f>45*E186+205</f>
        <v/>
      </c>
      <c r="R186" s="78">
        <f>42*E186+188</f>
        <v/>
      </c>
      <c r="S186" s="78">
        <f>$K$99&amp;"|"&amp;P186&amp;"$"&amp;$L$99&amp;"|"&amp;Q186&amp;"$"&amp;$M$99&amp;"|"&amp;R186</f>
        <v/>
      </c>
    </row>
    <row r="187" ht="34.5" customHeight="1" s="127">
      <c r="A187" s="2" t="n">
        <v>6</v>
      </c>
      <c r="B187" s="2">
        <f>B186+76</f>
        <v/>
      </c>
      <c r="C187" s="2">
        <f>C186+77</f>
        <v/>
      </c>
      <c r="D187" s="25" t="n"/>
      <c r="E187" s="25" t="n">
        <v>6</v>
      </c>
      <c r="F187" s="25" t="n"/>
      <c r="G187" s="25" t="n"/>
      <c r="H187" s="25" t="n"/>
      <c r="J187" s="25">
        <f>B187&amp;"|"&amp;C187</f>
        <v/>
      </c>
      <c r="K187" s="33">
        <f>$E$181&amp;"|"&amp;0&amp;"|"&amp;E187&amp;"$"&amp;$F$182&amp;"|"&amp;J187&amp;"$"&amp;$G$182&amp;"|"&amp;J187&amp;"$"&amp;$H$182&amp;"|"&amp;J187</f>
        <v/>
      </c>
      <c r="L187" s="129" t="n">
        <v>22848</v>
      </c>
      <c r="M187" s="129" t="n">
        <v>636</v>
      </c>
      <c r="N187" s="129" t="n">
        <v>636</v>
      </c>
      <c r="O187" s="2">
        <f>$K$99&amp;"|"&amp;L187&amp;"$"&amp;$L$99&amp;"|"&amp;M187&amp;"$"&amp;$M$99&amp;"|"&amp;N187</f>
        <v/>
      </c>
      <c r="P187" s="2">
        <f>2500*E187+500</f>
        <v/>
      </c>
      <c r="Q187" s="2">
        <f>45*E187+205</f>
        <v/>
      </c>
      <c r="R187" s="2">
        <f>42*E187+188</f>
        <v/>
      </c>
      <c r="S187" s="34">
        <f>$K$99&amp;"|"&amp;P187&amp;"$"&amp;$L$99&amp;"|"&amp;Q187&amp;"$"&amp;$M$99&amp;"|"&amp;R187</f>
        <v/>
      </c>
    </row>
    <row r="188" ht="27" customHeight="1" s="127">
      <c r="A188" s="2" t="n">
        <v>7</v>
      </c>
      <c r="B188" s="2">
        <f>B187+76</f>
        <v/>
      </c>
      <c r="C188" s="2">
        <f>C187+77</f>
        <v/>
      </c>
      <c r="D188" s="25" t="n"/>
      <c r="E188" s="25" t="n">
        <v>7</v>
      </c>
      <c r="F188" s="25" t="n"/>
      <c r="G188" s="25" t="n"/>
      <c r="H188" s="25" t="n"/>
      <c r="J188" s="25">
        <f>B188&amp;"|"&amp;C188</f>
        <v/>
      </c>
      <c r="K188" s="33">
        <f>$E$181&amp;"|"&amp;0&amp;"|"&amp;E188&amp;"$"&amp;$F$182&amp;"|"&amp;J188&amp;"$"&amp;$G$182&amp;"|"&amp;J188&amp;"$"&amp;$H$182&amp;"|"&amp;J188</f>
        <v/>
      </c>
      <c r="L188" s="129" t="n">
        <v>26698</v>
      </c>
      <c r="M188" s="129" t="n">
        <v>703</v>
      </c>
      <c r="N188" s="129" t="n">
        <v>703</v>
      </c>
      <c r="O188" s="2">
        <f>$K$99&amp;"|"&amp;L188&amp;"$"&amp;$L$99&amp;"|"&amp;M188&amp;"$"&amp;$M$99&amp;"|"&amp;N188</f>
        <v/>
      </c>
      <c r="P188" s="2">
        <f>2500*E188+500</f>
        <v/>
      </c>
      <c r="Q188" s="2">
        <f>45*E188+205</f>
        <v/>
      </c>
      <c r="R188" s="2">
        <f>42*E188+188</f>
        <v/>
      </c>
      <c r="S188" s="34">
        <f>$K$99&amp;"|"&amp;P188&amp;"$"&amp;$L$99&amp;"|"&amp;Q188&amp;"$"&amp;$M$99&amp;"|"&amp;R188</f>
        <v/>
      </c>
    </row>
    <row r="189" ht="27" customHeight="1" s="127">
      <c r="A189" s="2" t="n">
        <v>8</v>
      </c>
      <c r="B189" s="2">
        <f>B188+76</f>
        <v/>
      </c>
      <c r="C189" s="2">
        <f>C188+77</f>
        <v/>
      </c>
      <c r="D189" s="25" t="n"/>
      <c r="E189" s="25" t="n">
        <v>8</v>
      </c>
      <c r="F189" s="25" t="n"/>
      <c r="G189" s="25" t="n"/>
      <c r="H189" s="25" t="n"/>
      <c r="J189" s="25">
        <f>B189&amp;"|"&amp;C189</f>
        <v/>
      </c>
      <c r="K189" s="33">
        <f>$E$181&amp;"|"&amp;0&amp;"|"&amp;E189&amp;"$"&amp;$F$182&amp;"|"&amp;J189&amp;"$"&amp;$G$182&amp;"|"&amp;J189&amp;"$"&amp;$H$182&amp;"|"&amp;J189</f>
        <v/>
      </c>
      <c r="L189" s="129" t="n">
        <v>30547</v>
      </c>
      <c r="M189" s="129" t="n">
        <v>770</v>
      </c>
      <c r="N189" s="129" t="n">
        <v>770</v>
      </c>
      <c r="O189" s="2">
        <f>$K$99&amp;"|"&amp;L189&amp;"$"&amp;$L$99&amp;"|"&amp;M189&amp;"$"&amp;$M$99&amp;"|"&amp;N189</f>
        <v/>
      </c>
      <c r="P189" s="2">
        <f>2500*E189+500</f>
        <v/>
      </c>
      <c r="Q189" s="2">
        <f>45*E189+205</f>
        <v/>
      </c>
      <c r="R189" s="2">
        <f>42*E189+188</f>
        <v/>
      </c>
      <c r="S189" s="34">
        <f>$K$99&amp;"|"&amp;P189&amp;"$"&amp;$L$99&amp;"|"&amp;Q189&amp;"$"&amp;$M$99&amp;"|"&amp;R189</f>
        <v/>
      </c>
    </row>
    <row r="190" ht="27" customHeight="1" s="127">
      <c r="A190" s="2" t="n">
        <v>9</v>
      </c>
      <c r="B190" s="2">
        <f>B189+76</f>
        <v/>
      </c>
      <c r="C190" s="2">
        <f>C189+77</f>
        <v/>
      </c>
      <c r="D190" s="25" t="n"/>
      <c r="E190" s="25" t="n">
        <v>9</v>
      </c>
      <c r="F190" s="25" t="n"/>
      <c r="G190" s="25" t="n"/>
      <c r="H190" s="25" t="n"/>
      <c r="J190" s="25">
        <f>B190&amp;"|"&amp;C190</f>
        <v/>
      </c>
      <c r="K190" s="33">
        <f>$E$181&amp;"|"&amp;0&amp;"|"&amp;E190&amp;"$"&amp;$F$182&amp;"|"&amp;J190&amp;"$"&amp;$G$182&amp;"|"&amp;J190&amp;"$"&amp;$H$182&amp;"|"&amp;J190</f>
        <v/>
      </c>
      <c r="L190" s="129" t="n">
        <v>34397</v>
      </c>
      <c r="M190" s="129" t="n">
        <v>838</v>
      </c>
      <c r="N190" s="129" t="n">
        <v>838</v>
      </c>
      <c r="O190" s="2">
        <f>$K$99&amp;"|"&amp;L190&amp;"$"&amp;$L$99&amp;"|"&amp;M190&amp;"$"&amp;$M$99&amp;"|"&amp;N190</f>
        <v/>
      </c>
      <c r="P190" s="2">
        <f>2500*E190+500</f>
        <v/>
      </c>
      <c r="Q190" s="2">
        <f>45*E190+205</f>
        <v/>
      </c>
      <c r="R190" s="2">
        <f>42*E190+188</f>
        <v/>
      </c>
      <c r="S190" s="34">
        <f>$K$99&amp;"|"&amp;P190&amp;"$"&amp;$L$99&amp;"|"&amp;Q190&amp;"$"&amp;$M$99&amp;"|"&amp;R190</f>
        <v/>
      </c>
    </row>
    <row r="191" ht="27" customHeight="1" s="127">
      <c r="A191" s="2" t="n">
        <v>10</v>
      </c>
      <c r="B191" s="2">
        <f>B190+76</f>
        <v/>
      </c>
      <c r="C191" s="2">
        <f>C190+77</f>
        <v/>
      </c>
      <c r="D191" s="25" t="n"/>
      <c r="E191" s="25" t="n">
        <v>10</v>
      </c>
      <c r="F191" s="25" t="n"/>
      <c r="G191" s="25" t="n"/>
      <c r="H191" s="25" t="n"/>
      <c r="J191" s="25">
        <f>B191&amp;"|"&amp;C191</f>
        <v/>
      </c>
      <c r="K191" s="33">
        <f>$E$181&amp;"|"&amp;0&amp;"|"&amp;E191&amp;"$"&amp;$F$182&amp;"|"&amp;J191&amp;"$"&amp;$G$182&amp;"|"&amp;J191&amp;"$"&amp;$H$182&amp;"|"&amp;J191</f>
        <v/>
      </c>
      <c r="L191" s="129" t="n">
        <v>38246</v>
      </c>
      <c r="M191" s="129" t="n">
        <v>905</v>
      </c>
      <c r="N191" s="129" t="n">
        <v>905</v>
      </c>
      <c r="O191" s="2">
        <f>$K$99&amp;"|"&amp;L191&amp;"$"&amp;$L$99&amp;"|"&amp;M191&amp;"$"&amp;$M$99&amp;"|"&amp;N191</f>
        <v/>
      </c>
      <c r="P191" s="2">
        <f>2500*E191+500</f>
        <v/>
      </c>
      <c r="Q191" s="2">
        <f>45*E191+205</f>
        <v/>
      </c>
      <c r="R191" s="2">
        <f>42*E191+188</f>
        <v/>
      </c>
      <c r="S191" s="34">
        <f>$K$99&amp;"|"&amp;P191&amp;"$"&amp;$L$99&amp;"|"&amp;Q191&amp;"$"&amp;$M$99&amp;"|"&amp;R191</f>
        <v/>
      </c>
    </row>
    <row r="192" ht="27" customHeight="1" s="127">
      <c r="A192" s="2" t="n">
        <v>11</v>
      </c>
      <c r="B192" s="2">
        <f>B191+76</f>
        <v/>
      </c>
      <c r="C192" s="2">
        <f>C191+77</f>
        <v/>
      </c>
      <c r="D192" s="24" t="n"/>
      <c r="E192" s="24" t="n">
        <v>11</v>
      </c>
      <c r="F192" s="24" t="n"/>
      <c r="G192" s="24" t="n"/>
      <c r="H192" s="24" t="n"/>
      <c r="J192" s="24">
        <f>B192&amp;"|"&amp;C192</f>
        <v/>
      </c>
      <c r="K192" s="31">
        <f>$E$181&amp;"|"&amp;0&amp;"|"&amp;E192&amp;"$"&amp;$F$183&amp;"|"&amp;J192&amp;"$"&amp;$G$183&amp;"|"&amp;J192&amp;"$"&amp;$H$183&amp;"|"&amp;J192</f>
        <v/>
      </c>
      <c r="L192" s="129" t="n">
        <v>49112</v>
      </c>
      <c r="M192" s="129" t="n">
        <v>1134</v>
      </c>
      <c r="N192" s="129" t="n">
        <v>1134</v>
      </c>
      <c r="O192" s="2">
        <f>$K$99&amp;"|"&amp;L192&amp;"$"&amp;$L$99&amp;"|"&amp;M192&amp;"$"&amp;$M$99&amp;"|"&amp;N192</f>
        <v/>
      </c>
      <c r="P192" s="2">
        <f>2500*E192+500</f>
        <v/>
      </c>
      <c r="Q192" s="2">
        <f>45*E192+205</f>
        <v/>
      </c>
      <c r="R192" s="2">
        <f>42*E192+188</f>
        <v/>
      </c>
      <c r="S192" s="2">
        <f>$K$99&amp;"|"&amp;P192&amp;"$"&amp;$L$99&amp;"|"&amp;Q192&amp;"$"&amp;$M$99&amp;"|"&amp;R192</f>
        <v/>
      </c>
    </row>
    <row r="193" ht="27" customHeight="1" s="127">
      <c r="A193" s="2" t="n">
        <v>12</v>
      </c>
      <c r="B193" s="2">
        <f>B192+76</f>
        <v/>
      </c>
      <c r="C193" s="2">
        <f>C192+77</f>
        <v/>
      </c>
      <c r="D193" s="24" t="n"/>
      <c r="E193" s="24" t="n">
        <v>12</v>
      </c>
      <c r="F193" s="24" t="n"/>
      <c r="G193" s="24" t="n"/>
      <c r="H193" s="24" t="n"/>
      <c r="J193" s="24">
        <f>B193&amp;"|"&amp;C193</f>
        <v/>
      </c>
      <c r="K193" s="31">
        <f>$E$181&amp;"|"&amp;0&amp;"|"&amp;E193&amp;"$"&amp;$F$183&amp;"|"&amp;J193&amp;"$"&amp;$G$183&amp;"|"&amp;J193&amp;"$"&amp;$H$183&amp;"|"&amp;J193</f>
        <v/>
      </c>
      <c r="L193" s="129" t="n">
        <v>53603</v>
      </c>
      <c r="M193" s="129" t="n">
        <v>1212</v>
      </c>
      <c r="N193" s="129" t="n">
        <v>1212</v>
      </c>
      <c r="O193" s="2">
        <f>$K$99&amp;"|"&amp;L193&amp;"$"&amp;$L$99&amp;"|"&amp;M193&amp;"$"&amp;$M$99&amp;"|"&amp;N193</f>
        <v/>
      </c>
      <c r="P193" s="2">
        <f>2500*E193+500</f>
        <v/>
      </c>
      <c r="Q193" s="2">
        <f>45*E193+205</f>
        <v/>
      </c>
      <c r="R193" s="2">
        <f>42*E193+188</f>
        <v/>
      </c>
      <c r="S193" s="2">
        <f>$K$99&amp;"|"&amp;P193&amp;"$"&amp;$L$99&amp;"|"&amp;Q193&amp;"$"&amp;$M$99&amp;"|"&amp;R193</f>
        <v/>
      </c>
    </row>
    <row r="194" ht="27" customHeight="1" s="127">
      <c r="A194" s="2" t="n">
        <v>13</v>
      </c>
      <c r="B194" s="2">
        <f>B193+76</f>
        <v/>
      </c>
      <c r="C194" s="2">
        <f>C193+77</f>
        <v/>
      </c>
      <c r="D194" s="24" t="n"/>
      <c r="E194" s="24" t="n">
        <v>13</v>
      </c>
      <c r="F194" s="24" t="n"/>
      <c r="G194" s="24" t="n"/>
      <c r="H194" s="24" t="n"/>
      <c r="J194" s="24">
        <f>B194&amp;"|"&amp;C194</f>
        <v/>
      </c>
      <c r="K194" s="31">
        <f>$E$181&amp;"|"&amp;0&amp;"|"&amp;E194&amp;"$"&amp;$F$183&amp;"|"&amp;J194&amp;"$"&amp;$G$183&amp;"|"&amp;J194&amp;"$"&amp;$H$183&amp;"|"&amp;J194</f>
        <v/>
      </c>
      <c r="L194" s="129" t="n">
        <v>58094</v>
      </c>
      <c r="M194" s="129" t="n">
        <v>1291</v>
      </c>
      <c r="N194" s="129" t="n">
        <v>1291</v>
      </c>
      <c r="O194" s="2">
        <f>$K$99&amp;"|"&amp;L194&amp;"$"&amp;$L$99&amp;"|"&amp;M194&amp;"$"&amp;$M$99&amp;"|"&amp;N194</f>
        <v/>
      </c>
      <c r="P194" s="2">
        <f>2500*E194+500</f>
        <v/>
      </c>
      <c r="Q194" s="2">
        <f>45*E194+205</f>
        <v/>
      </c>
      <c r="R194" s="2">
        <f>42*E194+188</f>
        <v/>
      </c>
      <c r="S194" s="2">
        <f>$K$99&amp;"|"&amp;P194&amp;"$"&amp;$L$99&amp;"|"&amp;Q194&amp;"$"&amp;$M$99&amp;"|"&amp;R194</f>
        <v/>
      </c>
    </row>
    <row r="195" ht="27" customHeight="1" s="127">
      <c r="A195" s="2" t="n">
        <v>14</v>
      </c>
      <c r="B195" s="2">
        <f>B194+76</f>
        <v/>
      </c>
      <c r="C195" s="2">
        <f>C194+77</f>
        <v/>
      </c>
      <c r="D195" s="24" t="n"/>
      <c r="E195" s="24" t="n">
        <v>14</v>
      </c>
      <c r="F195" s="24" t="n"/>
      <c r="G195" s="24" t="n"/>
      <c r="H195" s="24" t="n"/>
      <c r="J195" s="24">
        <f>B195&amp;"|"&amp;C195</f>
        <v/>
      </c>
      <c r="K195" s="31">
        <f>$E$181&amp;"|"&amp;0&amp;"|"&amp;E195&amp;"$"&amp;$F$183&amp;"|"&amp;J195&amp;"$"&amp;$G$183&amp;"|"&amp;J195&amp;"$"&amp;$H$183&amp;"|"&amp;J195</f>
        <v/>
      </c>
      <c r="L195" s="129" t="n">
        <v>62586</v>
      </c>
      <c r="M195" s="129" t="n">
        <v>1369</v>
      </c>
      <c r="N195" s="129" t="n">
        <v>1369</v>
      </c>
      <c r="O195" s="2">
        <f>$K$99&amp;"|"&amp;L195&amp;"$"&amp;$L$99&amp;"|"&amp;M195&amp;"$"&amp;$M$99&amp;"|"&amp;N195</f>
        <v/>
      </c>
      <c r="P195" s="2">
        <f>2500*E195+500</f>
        <v/>
      </c>
      <c r="Q195" s="2">
        <f>45*E195+205</f>
        <v/>
      </c>
      <c r="R195" s="2">
        <f>42*E195+188</f>
        <v/>
      </c>
      <c r="S195" s="2">
        <f>$K$99&amp;"|"&amp;P195&amp;"$"&amp;$L$99&amp;"|"&amp;Q195&amp;"$"&amp;$M$99&amp;"|"&amp;R195</f>
        <v/>
      </c>
    </row>
    <row r="196" ht="27" customHeight="1" s="127">
      <c r="A196" s="2" t="n">
        <v>15</v>
      </c>
      <c r="B196" s="2">
        <f>B195+76</f>
        <v/>
      </c>
      <c r="C196" s="2">
        <f>C195+77</f>
        <v/>
      </c>
      <c r="D196" s="24" t="n"/>
      <c r="E196" s="24" t="n">
        <v>15</v>
      </c>
      <c r="F196" s="24" t="n"/>
      <c r="G196" s="24" t="n"/>
      <c r="H196" s="24" t="n"/>
      <c r="J196" s="24">
        <f>B196&amp;"|"&amp;C196</f>
        <v/>
      </c>
      <c r="K196" s="31">
        <f>$E$181&amp;"|"&amp;0&amp;"|"&amp;E196&amp;"$"&amp;$F$183&amp;"|"&amp;J196&amp;"$"&amp;$G$183&amp;"|"&amp;J196&amp;"$"&amp;$H$183&amp;"|"&amp;J196</f>
        <v/>
      </c>
      <c r="L196" s="129" t="n">
        <v>67077</v>
      </c>
      <c r="M196" s="129" t="n">
        <v>1448</v>
      </c>
      <c r="N196" s="129" t="n">
        <v>1448</v>
      </c>
      <c r="O196" s="2">
        <f>$K$99&amp;"|"&amp;L196&amp;"$"&amp;$L$99&amp;"|"&amp;M196&amp;"$"&amp;$M$99&amp;"|"&amp;N196</f>
        <v/>
      </c>
      <c r="P196" s="2">
        <f>2500*E196+500</f>
        <v/>
      </c>
      <c r="Q196" s="2">
        <f>45*E196+205</f>
        <v/>
      </c>
      <c r="R196" s="2">
        <f>42*E196+188</f>
        <v/>
      </c>
      <c r="S196" s="2">
        <f>$K$99&amp;"|"&amp;P196&amp;"$"&amp;$L$99&amp;"|"&amp;Q196&amp;"$"&amp;$M$99&amp;"|"&amp;R196</f>
        <v/>
      </c>
    </row>
    <row r="197" ht="27" customHeight="1" s="127">
      <c r="A197" s="2" t="n">
        <v>16</v>
      </c>
      <c r="B197" s="2">
        <f>B196+76</f>
        <v/>
      </c>
      <c r="C197" s="2">
        <f>C196+77</f>
        <v/>
      </c>
      <c r="D197" s="15" t="n"/>
      <c r="E197" s="15" t="n">
        <v>16</v>
      </c>
      <c r="F197" s="15" t="n"/>
      <c r="G197" s="15" t="n"/>
      <c r="H197" s="15" t="n"/>
      <c r="J197" s="15">
        <f>B197&amp;"|"&amp;C197</f>
        <v/>
      </c>
      <c r="K197" s="28">
        <f>$E$181&amp;"|"&amp;0&amp;"|"&amp;E197&amp;"$"&amp;$F$184&amp;"|"&amp;J197&amp;"$"&amp;$G$184&amp;"|"&amp;J197&amp;"$"&amp;$H$184&amp;"|"&amp;J197</f>
        <v/>
      </c>
      <c r="L197" s="18" t="n">
        <v>102240</v>
      </c>
      <c r="M197" s="18" t="n">
        <v>2180</v>
      </c>
      <c r="N197" s="18" t="n">
        <v>2180</v>
      </c>
      <c r="O197" s="2">
        <f>$K$99&amp;"|"&amp;L197&amp;"$"&amp;$L$99&amp;"|"&amp;M197&amp;"$"&amp;$M$99&amp;"|"&amp;N197</f>
        <v/>
      </c>
      <c r="P197" s="2">
        <f>2500*E197+500</f>
        <v/>
      </c>
      <c r="Q197" s="2">
        <f>45*E197+205</f>
        <v/>
      </c>
      <c r="R197" s="2">
        <f>42*E197+188</f>
        <v/>
      </c>
      <c r="S197" s="2">
        <f>$K$99&amp;"|"&amp;P197&amp;"$"&amp;$L$99&amp;"|"&amp;Q197&amp;"$"&amp;$M$99&amp;"|"&amp;R197</f>
        <v/>
      </c>
    </row>
    <row r="198" ht="27" customHeight="1" s="127">
      <c r="A198" s="2" t="n">
        <v>17</v>
      </c>
      <c r="B198" s="2">
        <f>B197+76</f>
        <v/>
      </c>
      <c r="C198" s="2">
        <f>C197+77</f>
        <v/>
      </c>
      <c r="D198" s="15" t="n"/>
      <c r="E198" s="15" t="n">
        <v>17</v>
      </c>
      <c r="F198" s="15" t="n"/>
      <c r="G198" s="15" t="n"/>
      <c r="H198" s="15" t="n"/>
      <c r="J198" s="15">
        <f>B198&amp;"|"&amp;C198</f>
        <v/>
      </c>
      <c r="K198" s="28">
        <f>$E$181&amp;"|"&amp;0&amp;"|"&amp;E198&amp;"$"&amp;$F$184&amp;"|"&amp;J198&amp;"$"&amp;$G$184&amp;"|"&amp;J198&amp;"$"&amp;$H$184&amp;"|"&amp;J198</f>
        <v/>
      </c>
      <c r="L198" s="18" t="n">
        <v>108656</v>
      </c>
      <c r="M198" s="18" t="n">
        <v>2292</v>
      </c>
      <c r="N198" s="18" t="n">
        <v>2292</v>
      </c>
      <c r="O198" s="2">
        <f>$K$99&amp;"|"&amp;L198&amp;"$"&amp;$L$99&amp;"|"&amp;M198&amp;"$"&amp;$M$99&amp;"|"&amp;N198</f>
        <v/>
      </c>
      <c r="P198" s="2">
        <f>2500*E198+500</f>
        <v/>
      </c>
      <c r="Q198" s="2">
        <f>45*E198+205</f>
        <v/>
      </c>
      <c r="R198" s="2">
        <f>42*E198+188</f>
        <v/>
      </c>
      <c r="S198" s="2">
        <f>$K$99&amp;"|"&amp;P198&amp;"$"&amp;$L$99&amp;"|"&amp;Q198&amp;"$"&amp;$M$99&amp;"|"&amp;R198</f>
        <v/>
      </c>
    </row>
    <row r="199" ht="27" customHeight="1" s="127">
      <c r="A199" s="2" t="n">
        <v>18</v>
      </c>
      <c r="B199" s="2">
        <f>B198+76</f>
        <v/>
      </c>
      <c r="C199" s="2">
        <f>C198+77</f>
        <v/>
      </c>
      <c r="D199" s="15" t="n"/>
      <c r="E199" s="15" t="n">
        <v>18</v>
      </c>
      <c r="F199" s="15" t="n"/>
      <c r="G199" s="15" t="n"/>
      <c r="H199" s="15" t="n"/>
      <c r="J199" s="15">
        <f>B199&amp;"|"&amp;C199</f>
        <v/>
      </c>
      <c r="K199" s="28">
        <f>$E$181&amp;"|"&amp;0&amp;"|"&amp;E199&amp;"$"&amp;$F$184&amp;"|"&amp;J199&amp;"$"&amp;$G$184&amp;"|"&amp;J199&amp;"$"&amp;$H$184&amp;"|"&amp;J199</f>
        <v/>
      </c>
      <c r="L199" s="18" t="n">
        <v>115072</v>
      </c>
      <c r="M199" s="18" t="n">
        <v>2404</v>
      </c>
      <c r="N199" s="18" t="n">
        <v>2404</v>
      </c>
      <c r="O199" s="2">
        <f>$K$99&amp;"|"&amp;L199&amp;"$"&amp;$L$99&amp;"|"&amp;M199&amp;"$"&amp;$M$99&amp;"|"&amp;N199</f>
        <v/>
      </c>
      <c r="P199" s="2">
        <f>2500*E199+500</f>
        <v/>
      </c>
      <c r="Q199" s="2">
        <f>45*E199+205</f>
        <v/>
      </c>
      <c r="R199" s="2">
        <f>42*E199+188</f>
        <v/>
      </c>
      <c r="S199" s="2">
        <f>$K$99&amp;"|"&amp;P199&amp;"$"&amp;$L$99&amp;"|"&amp;Q199&amp;"$"&amp;$M$99&amp;"|"&amp;R199</f>
        <v/>
      </c>
    </row>
    <row r="200" ht="27" customHeight="1" s="127">
      <c r="A200" s="2" t="n">
        <v>19</v>
      </c>
      <c r="B200" s="2">
        <f>B199+76</f>
        <v/>
      </c>
      <c r="C200" s="2">
        <f>C199+77</f>
        <v/>
      </c>
      <c r="D200" s="15" t="n"/>
      <c r="E200" s="15" t="n">
        <v>19</v>
      </c>
      <c r="F200" s="15" t="n"/>
      <c r="G200" s="15" t="n"/>
      <c r="H200" s="15" t="n"/>
      <c r="J200" s="15">
        <f>B200&amp;"|"&amp;C200</f>
        <v/>
      </c>
      <c r="K200" s="28">
        <f>$E$181&amp;"|"&amp;0&amp;"|"&amp;E200&amp;"$"&amp;$F$184&amp;"|"&amp;J200&amp;"$"&amp;$G$184&amp;"|"&amp;J200&amp;"$"&amp;$H$184&amp;"|"&amp;J200</f>
        <v/>
      </c>
      <c r="L200" s="18" t="n">
        <v>121488</v>
      </c>
      <c r="M200" s="18" t="n">
        <v>2516</v>
      </c>
      <c r="N200" s="18" t="n">
        <v>2516</v>
      </c>
      <c r="O200" s="2">
        <f>$K$99&amp;"|"&amp;L200&amp;"$"&amp;$L$99&amp;"|"&amp;M200&amp;"$"&amp;$M$99&amp;"|"&amp;N200</f>
        <v/>
      </c>
      <c r="P200" s="2">
        <f>2500*E200+500</f>
        <v/>
      </c>
      <c r="Q200" s="2">
        <f>45*E200+205</f>
        <v/>
      </c>
      <c r="R200" s="2">
        <f>42*E200+188</f>
        <v/>
      </c>
      <c r="S200" s="2">
        <f>$K$99&amp;"|"&amp;P200&amp;"$"&amp;$L$99&amp;"|"&amp;Q200&amp;"$"&amp;$M$99&amp;"|"&amp;R200</f>
        <v/>
      </c>
    </row>
    <row r="201" ht="27" customHeight="1" s="127">
      <c r="A201" s="2" t="n">
        <v>20</v>
      </c>
      <c r="B201" s="2">
        <f>B200+76</f>
        <v/>
      </c>
      <c r="C201" s="2">
        <f>C200+77</f>
        <v/>
      </c>
      <c r="D201" s="15" t="n"/>
      <c r="E201" s="15" t="n">
        <v>20</v>
      </c>
      <c r="F201" s="15" t="n"/>
      <c r="G201" s="15" t="n"/>
      <c r="H201" s="15" t="n"/>
      <c r="J201" s="15">
        <f>B201&amp;"|"&amp;C201</f>
        <v/>
      </c>
      <c r="K201" s="28">
        <f>$E$181&amp;"|"&amp;0&amp;"|"&amp;E201&amp;"$"&amp;$F$184&amp;"|"&amp;J201&amp;"$"&amp;$G$184&amp;"|"&amp;J201&amp;"$"&amp;$H$184&amp;"|"&amp;J201</f>
        <v/>
      </c>
      <c r="L201" s="18" t="n">
        <v>127904</v>
      </c>
      <c r="M201" s="18" t="n">
        <v>2628</v>
      </c>
      <c r="N201" s="18" t="n">
        <v>2628</v>
      </c>
      <c r="O201" s="2">
        <f>$K$99&amp;"|"&amp;L201&amp;"$"&amp;$L$99&amp;"|"&amp;M201&amp;"$"&amp;$M$99&amp;"|"&amp;N201</f>
        <v/>
      </c>
      <c r="P201" s="2">
        <f>2500*E201+500</f>
        <v/>
      </c>
      <c r="Q201" s="2">
        <f>45*E201+205</f>
        <v/>
      </c>
      <c r="R201" s="2">
        <f>42*E201+188</f>
        <v/>
      </c>
      <c r="S201" s="2">
        <f>$K$99&amp;"|"&amp;P201&amp;"$"&amp;$L$99&amp;"|"&amp;Q201&amp;"$"&amp;$M$99&amp;"|"&amp;R201</f>
        <v/>
      </c>
    </row>
    <row r="202" ht="27" customHeight="1" s="127">
      <c r="A202" s="2" t="n">
        <v>21</v>
      </c>
      <c r="B202" s="2">
        <f>B201+76</f>
        <v/>
      </c>
      <c r="C202" s="2">
        <f>C201+77</f>
        <v/>
      </c>
      <c r="D202" s="20" t="n"/>
      <c r="E202" s="20" t="n">
        <v>21</v>
      </c>
      <c r="F202" s="20" t="n"/>
      <c r="G202" s="20" t="n"/>
      <c r="H202" s="20" t="n"/>
      <c r="J202" s="20">
        <f>B202&amp;"|"&amp;C202</f>
        <v/>
      </c>
      <c r="K202" s="29">
        <f>$E$181&amp;"|"&amp;0&amp;"|"&amp;E202&amp;"$"&amp;$F$185&amp;"|"&amp;J202&amp;"$"&amp;$G$185&amp;"|"&amp;J202&amp;"$"&amp;$H$185&amp;"|"&amp;J202</f>
        <v/>
      </c>
      <c r="L202" s="18" t="n">
        <v>134320</v>
      </c>
      <c r="M202" s="18" t="n">
        <v>2740</v>
      </c>
      <c r="N202" s="18" t="n">
        <v>2740</v>
      </c>
      <c r="O202" s="2">
        <f>$K$99&amp;"|"&amp;L202&amp;"$"&amp;$L$99&amp;"|"&amp;M202&amp;"$"&amp;$M$99&amp;"|"&amp;N202</f>
        <v/>
      </c>
      <c r="P202" s="2">
        <f>2500*E202+500</f>
        <v/>
      </c>
      <c r="Q202" s="2">
        <f>45*E202+205</f>
        <v/>
      </c>
      <c r="R202" s="2">
        <f>42*E202+188</f>
        <v/>
      </c>
      <c r="S202" s="2">
        <f>$K$99&amp;"|"&amp;P202&amp;"$"&amp;$L$99&amp;"|"&amp;Q202&amp;"$"&amp;$M$99&amp;"|"&amp;R202</f>
        <v/>
      </c>
    </row>
    <row r="203" ht="27" customHeight="1" s="127">
      <c r="A203" s="2" t="n">
        <v>22</v>
      </c>
      <c r="B203" s="2">
        <f>B202+76</f>
        <v/>
      </c>
      <c r="C203" s="2">
        <f>C202+77</f>
        <v/>
      </c>
      <c r="D203" s="20" t="n"/>
      <c r="E203" s="20" t="n">
        <v>22</v>
      </c>
      <c r="F203" s="20" t="n"/>
      <c r="G203" s="20" t="n"/>
      <c r="H203" s="20" t="n"/>
      <c r="J203" s="20">
        <f>B203&amp;"|"&amp;C203</f>
        <v/>
      </c>
      <c r="K203" s="29">
        <f>$E$181&amp;"|"&amp;0&amp;"|"&amp;E203&amp;"$"&amp;$F$185&amp;"|"&amp;J203&amp;"$"&amp;$G$185&amp;"|"&amp;J203&amp;"$"&amp;$H$185&amp;"|"&amp;J203</f>
        <v/>
      </c>
      <c r="L203" s="18" t="n">
        <v>140736</v>
      </c>
      <c r="M203" s="18" t="n">
        <v>2852</v>
      </c>
      <c r="N203" s="18" t="n">
        <v>2852</v>
      </c>
      <c r="O203" s="2">
        <f>$K$99&amp;"|"&amp;L203&amp;"$"&amp;$L$99&amp;"|"&amp;M203&amp;"$"&amp;$M$99&amp;"|"&amp;N203</f>
        <v/>
      </c>
      <c r="P203" s="2">
        <f>2500*E203+500</f>
        <v/>
      </c>
      <c r="Q203" s="2">
        <f>45*E203+205</f>
        <v/>
      </c>
      <c r="R203" s="2">
        <f>42*E203+188</f>
        <v/>
      </c>
      <c r="S203" s="2">
        <f>$K$99&amp;"|"&amp;P203&amp;"$"&amp;$L$99&amp;"|"&amp;Q203&amp;"$"&amp;$M$99&amp;"|"&amp;R203</f>
        <v/>
      </c>
    </row>
    <row r="204" ht="27" customHeight="1" s="127">
      <c r="A204" s="2" t="n">
        <v>23</v>
      </c>
      <c r="B204" s="2">
        <f>B203+76</f>
        <v/>
      </c>
      <c r="C204" s="2">
        <f>C203+77</f>
        <v/>
      </c>
      <c r="D204" s="20" t="n"/>
      <c r="E204" s="20" t="n">
        <v>23</v>
      </c>
      <c r="F204" s="20" t="n"/>
      <c r="G204" s="20" t="n"/>
      <c r="H204" s="20" t="n"/>
      <c r="J204" s="20">
        <f>B204&amp;"|"&amp;C204</f>
        <v/>
      </c>
      <c r="K204" s="29">
        <f>$E$181&amp;"|"&amp;0&amp;"|"&amp;E204&amp;"$"&amp;$F$185&amp;"|"&amp;J204&amp;"$"&amp;$G$185&amp;"|"&amp;J204&amp;"$"&amp;$H$185&amp;"|"&amp;J204</f>
        <v/>
      </c>
      <c r="L204" s="18" t="n">
        <v>147152</v>
      </c>
      <c r="M204" s="18" t="n">
        <v>2964</v>
      </c>
      <c r="N204" s="18" t="n">
        <v>2964</v>
      </c>
      <c r="O204" s="2">
        <f>$K$99&amp;"|"&amp;L204&amp;"$"&amp;$L$99&amp;"|"&amp;M204&amp;"$"&amp;$M$99&amp;"|"&amp;N204</f>
        <v/>
      </c>
      <c r="P204" s="2">
        <f>2500*E204+500</f>
        <v/>
      </c>
      <c r="Q204" s="2">
        <f>45*E204+205</f>
        <v/>
      </c>
      <c r="R204" s="2">
        <f>42*E204+188</f>
        <v/>
      </c>
      <c r="S204" s="2">
        <f>$K$99&amp;"|"&amp;P204&amp;"$"&amp;$L$99&amp;"|"&amp;Q204&amp;"$"&amp;$M$99&amp;"|"&amp;R204</f>
        <v/>
      </c>
    </row>
    <row r="205" ht="27" customHeight="1" s="127">
      <c r="A205" s="2" t="n">
        <v>24</v>
      </c>
      <c r="B205" s="2">
        <f>B204+76</f>
        <v/>
      </c>
      <c r="C205" s="2">
        <f>C204+77</f>
        <v/>
      </c>
      <c r="D205" s="20" t="n"/>
      <c r="E205" s="20" t="n">
        <v>24</v>
      </c>
      <c r="F205" s="20" t="n"/>
      <c r="G205" s="20" t="n"/>
      <c r="H205" s="20" t="n"/>
      <c r="J205" s="20">
        <f>B205&amp;"|"&amp;C205</f>
        <v/>
      </c>
      <c r="K205" s="29">
        <f>$E$181&amp;"|"&amp;0&amp;"|"&amp;E205&amp;"$"&amp;$F$185&amp;"|"&amp;J205&amp;"$"&amp;$G$185&amp;"|"&amp;J205&amp;"$"&amp;$H$185&amp;"|"&amp;J205</f>
        <v/>
      </c>
      <c r="L205" s="18" t="n">
        <v>153568</v>
      </c>
      <c r="M205" s="18" t="n">
        <v>3076</v>
      </c>
      <c r="N205" s="18" t="n">
        <v>3076</v>
      </c>
      <c r="O205" s="2">
        <f>$K$99&amp;"|"&amp;L205&amp;"$"&amp;$L$99&amp;"|"&amp;M205&amp;"$"&amp;$M$99&amp;"|"&amp;N205</f>
        <v/>
      </c>
      <c r="P205" s="2">
        <f>2500*E205+500</f>
        <v/>
      </c>
      <c r="Q205" s="2">
        <f>45*E205+205</f>
        <v/>
      </c>
      <c r="R205" s="2">
        <f>42*E205+188</f>
        <v/>
      </c>
      <c r="S205" s="2">
        <f>$K$99&amp;"|"&amp;P205&amp;"$"&amp;$L$99&amp;"|"&amp;Q205&amp;"$"&amp;$M$99&amp;"|"&amp;R205</f>
        <v/>
      </c>
    </row>
    <row r="206" ht="27" customHeight="1" s="127">
      <c r="A206" s="2" t="n">
        <v>25</v>
      </c>
      <c r="B206" s="2">
        <f>B205+76</f>
        <v/>
      </c>
      <c r="C206" s="2">
        <f>C205+77</f>
        <v/>
      </c>
      <c r="D206" s="20" t="n"/>
      <c r="E206" s="20" t="n">
        <v>25</v>
      </c>
      <c r="F206" s="20" t="n"/>
      <c r="G206" s="20" t="n"/>
      <c r="H206" s="20" t="n"/>
      <c r="J206" s="20">
        <f>B206&amp;"|"&amp;C206</f>
        <v/>
      </c>
      <c r="K206" s="29">
        <f>$E$181&amp;"|"&amp;0&amp;"|"&amp;E206&amp;"$"&amp;$F$185&amp;"|"&amp;J206&amp;"$"&amp;$G$185&amp;"|"&amp;J206&amp;"$"&amp;$H$185&amp;"|"&amp;J206</f>
        <v/>
      </c>
      <c r="L206" s="18" t="n">
        <v>159984</v>
      </c>
      <c r="M206" s="18" t="n">
        <v>3188</v>
      </c>
      <c r="N206" s="18" t="n">
        <v>3188</v>
      </c>
      <c r="O206" s="2">
        <f>$K$99&amp;"|"&amp;L206&amp;"$"&amp;$L$99&amp;"|"&amp;M206&amp;"$"&amp;$M$99&amp;"|"&amp;N206</f>
        <v/>
      </c>
      <c r="P206" s="2">
        <f>2500*E206+500</f>
        <v/>
      </c>
      <c r="Q206" s="2">
        <f>45*E206+205</f>
        <v/>
      </c>
      <c r="R206" s="2">
        <f>42*E206+188</f>
        <v/>
      </c>
      <c r="S206" s="2">
        <f>$K$99&amp;"|"&amp;P206&amp;"$"&amp;$L$99&amp;"|"&amp;Q206&amp;"$"&amp;$M$99&amp;"|"&amp;R206</f>
        <v/>
      </c>
    </row>
    <row r="207" ht="54" customHeight="1" s="127">
      <c r="F207" s="22" t="inlineStr">
        <is>
          <t>121004|121003|121009|121008</t>
        </is>
      </c>
    </row>
    <row r="208">
      <c r="D208" s="2" t="inlineStr">
        <is>
          <t>魔陨魂投放</t>
        </is>
      </c>
      <c r="E208" s="23" t="inlineStr">
        <is>
          <t>990003</t>
        </is>
      </c>
      <c r="F208" s="2" t="n">
        <v>121003</v>
      </c>
      <c r="G208" s="2" t="n">
        <v>121005</v>
      </c>
      <c r="H208" s="2" t="n">
        <v>121007</v>
      </c>
      <c r="I208" s="2" t="n">
        <v>121008</v>
      </c>
    </row>
    <row r="209">
      <c r="A209" s="2" t="n">
        <v>1</v>
      </c>
      <c r="B209" s="2" t="n">
        <v>70</v>
      </c>
      <c r="C209" s="2" t="n">
        <v>90</v>
      </c>
      <c r="D209" s="24" t="n"/>
      <c r="E209" s="24" t="n">
        <v>1</v>
      </c>
      <c r="F209" s="24" t="n">
        <v>122003</v>
      </c>
      <c r="G209" s="24" t="n">
        <v>122005</v>
      </c>
      <c r="H209" s="24" t="n">
        <v>122007</v>
      </c>
      <c r="I209" s="2" t="n">
        <v>122008</v>
      </c>
      <c r="J209" s="24">
        <f>B209&amp;"|"&amp;C209</f>
        <v/>
      </c>
      <c r="K209" s="31">
        <f>$E$208&amp;"|"&amp;0&amp;"|"&amp;E209&amp;"$"&amp;$F$208&amp;"|"&amp;J209&amp;"$"&amp;$G$208&amp;"|"&amp;J209&amp;"$"&amp;$H$208&amp;"|"&amp;J209</f>
        <v/>
      </c>
    </row>
    <row r="210" ht="27" customHeight="1" s="127">
      <c r="A210" s="2" t="n">
        <v>2</v>
      </c>
      <c r="B210" s="2">
        <f>B209+76</f>
        <v/>
      </c>
      <c r="C210" s="2">
        <f>C209+77</f>
        <v/>
      </c>
      <c r="D210" s="24" t="n"/>
      <c r="E210" s="24" t="n">
        <v>2</v>
      </c>
      <c r="F210" s="24" t="n">
        <v>123003</v>
      </c>
      <c r="G210" s="24" t="n">
        <v>123005</v>
      </c>
      <c r="H210" s="24" t="n">
        <v>123007</v>
      </c>
      <c r="I210" s="2" t="n">
        <v>123008</v>
      </c>
      <c r="J210" s="24">
        <f>B210&amp;"|"&amp;C210</f>
        <v/>
      </c>
      <c r="K210" s="31">
        <f>$E$208&amp;"|"&amp;0&amp;"|"&amp;E210&amp;"$"&amp;$F$208&amp;"|"&amp;J210&amp;"$"&amp;$G$208&amp;"|"&amp;J210&amp;"$"&amp;$H$208&amp;"|"&amp;J210</f>
        <v/>
      </c>
    </row>
    <row r="211" ht="27" customHeight="1" s="127">
      <c r="A211" s="2" t="n">
        <v>3</v>
      </c>
      <c r="B211" s="2">
        <f>B210+76</f>
        <v/>
      </c>
      <c r="C211" s="2">
        <f>C210+77</f>
        <v/>
      </c>
      <c r="D211" s="24" t="n"/>
      <c r="E211" s="24" t="n">
        <v>3</v>
      </c>
      <c r="F211" s="24" t="n">
        <v>124003</v>
      </c>
      <c r="G211" s="24" t="n">
        <v>124005</v>
      </c>
      <c r="H211" s="24" t="n">
        <v>124007</v>
      </c>
      <c r="I211" s="2" t="n">
        <v>124008</v>
      </c>
      <c r="J211" s="24">
        <f>B211&amp;"|"&amp;C211</f>
        <v/>
      </c>
      <c r="K211" s="31">
        <f>$E$208&amp;"|"&amp;0&amp;"|"&amp;E211&amp;"$"&amp;$F$208&amp;"|"&amp;J211&amp;"$"&amp;$G$208&amp;"|"&amp;J211&amp;"$"&amp;$H$208&amp;"|"&amp;J211</f>
        <v/>
      </c>
    </row>
    <row r="212" ht="27" customHeight="1" s="127">
      <c r="A212" s="2" t="n">
        <v>4</v>
      </c>
      <c r="B212" s="2">
        <f>B211+76</f>
        <v/>
      </c>
      <c r="C212" s="2">
        <f>C211+77</f>
        <v/>
      </c>
      <c r="D212" s="24" t="n"/>
      <c r="E212" s="24" t="n">
        <v>4</v>
      </c>
      <c r="F212" s="24" t="n">
        <v>125003</v>
      </c>
      <c r="G212" s="24" t="n">
        <v>125005</v>
      </c>
      <c r="H212" s="24" t="n">
        <v>125007</v>
      </c>
      <c r="I212" s="2" t="n">
        <v>125008</v>
      </c>
      <c r="J212" s="24">
        <f>B212&amp;"|"&amp;C212</f>
        <v/>
      </c>
      <c r="K212" s="31">
        <f>$E$208&amp;"|"&amp;0&amp;"|"&amp;E212&amp;"$"&amp;$F$208&amp;"|"&amp;J212&amp;"$"&amp;$G$208&amp;"|"&amp;J212&amp;"$"&amp;$H$208&amp;"|"&amp;J212</f>
        <v/>
      </c>
    </row>
    <row r="213" ht="27" customHeight="1" s="127">
      <c r="A213" s="2" t="n">
        <v>5</v>
      </c>
      <c r="B213" s="2">
        <f>B212+76</f>
        <v/>
      </c>
      <c r="C213" s="2">
        <f>C212+77</f>
        <v/>
      </c>
      <c r="D213" s="24" t="n"/>
      <c r="E213" s="24" t="n">
        <v>5</v>
      </c>
      <c r="F213" s="24" t="n"/>
      <c r="G213" s="24" t="n"/>
      <c r="H213" s="24" t="n"/>
      <c r="J213" s="24">
        <f>B213&amp;"|"&amp;C213</f>
        <v/>
      </c>
      <c r="K213" s="31">
        <f>$E$208&amp;"|"&amp;0&amp;"|"&amp;E213&amp;"$"&amp;$F$208&amp;"|"&amp;J213&amp;"$"&amp;$G$208&amp;"|"&amp;J213&amp;"$"&amp;$H$208&amp;"|"&amp;J213</f>
        <v/>
      </c>
    </row>
    <row r="214" ht="27" customHeight="1" s="127">
      <c r="A214" s="2" t="n">
        <v>6</v>
      </c>
      <c r="B214" s="2">
        <f>B213+76</f>
        <v/>
      </c>
      <c r="C214" s="2">
        <f>C213+77</f>
        <v/>
      </c>
      <c r="D214" s="25" t="n"/>
      <c r="E214" s="25" t="n">
        <v>6</v>
      </c>
      <c r="F214" s="25" t="n"/>
      <c r="G214" s="25" t="n"/>
      <c r="H214" s="25" t="n"/>
      <c r="J214" s="25">
        <f>B214&amp;"|"&amp;C214</f>
        <v/>
      </c>
      <c r="K214" s="33">
        <f>$E$208&amp;"|"&amp;0&amp;"|"&amp;E214&amp;"$"&amp;$F$209&amp;"|"&amp;J214&amp;"$"&amp;$G$209&amp;"|"&amp;J214&amp;"$"&amp;$H$209&amp;"|"&amp;J214</f>
        <v/>
      </c>
    </row>
    <row r="215" ht="27" customHeight="1" s="127">
      <c r="A215" s="2" t="n">
        <v>7</v>
      </c>
      <c r="B215" s="2">
        <f>B214+76</f>
        <v/>
      </c>
      <c r="C215" s="2">
        <f>C214+77</f>
        <v/>
      </c>
      <c r="D215" s="25" t="n"/>
      <c r="E215" s="25" t="n">
        <v>7</v>
      </c>
      <c r="F215" s="25" t="n"/>
      <c r="G215" s="25" t="n"/>
      <c r="H215" s="25" t="n"/>
      <c r="J215" s="25">
        <f>B215&amp;"|"&amp;C215</f>
        <v/>
      </c>
      <c r="K215" s="33">
        <f>$E$208&amp;"|"&amp;0&amp;"|"&amp;E215&amp;"$"&amp;$F$209&amp;"|"&amp;J215&amp;"$"&amp;$G$209&amp;"|"&amp;J215&amp;"$"&amp;$H$209&amp;"|"&amp;J215</f>
        <v/>
      </c>
    </row>
    <row r="216" ht="27" customHeight="1" s="127">
      <c r="A216" s="2" t="n">
        <v>8</v>
      </c>
      <c r="B216" s="2">
        <f>B215+76</f>
        <v/>
      </c>
      <c r="C216" s="2">
        <f>C215+77</f>
        <v/>
      </c>
      <c r="D216" s="25" t="n"/>
      <c r="E216" s="25" t="n">
        <v>8</v>
      </c>
      <c r="F216" s="25" t="n"/>
      <c r="G216" s="25" t="n"/>
      <c r="H216" s="25" t="n"/>
      <c r="J216" s="25">
        <f>B216&amp;"|"&amp;C216</f>
        <v/>
      </c>
      <c r="K216" s="33">
        <f>$E$208&amp;"|"&amp;0&amp;"|"&amp;E216&amp;"$"&amp;$F$209&amp;"|"&amp;J216&amp;"$"&amp;$G$209&amp;"|"&amp;J216&amp;"$"&amp;$H$209&amp;"|"&amp;J216</f>
        <v/>
      </c>
    </row>
    <row r="217" ht="27" customHeight="1" s="127">
      <c r="A217" s="2" t="n">
        <v>9</v>
      </c>
      <c r="B217" s="2">
        <f>B216+76</f>
        <v/>
      </c>
      <c r="C217" s="2">
        <f>C216+77</f>
        <v/>
      </c>
      <c r="D217" s="25" t="n"/>
      <c r="E217" s="25" t="n">
        <v>9</v>
      </c>
      <c r="F217" s="25" t="n"/>
      <c r="G217" s="25" t="n"/>
      <c r="H217" s="25" t="n"/>
      <c r="J217" s="25">
        <f>B217&amp;"|"&amp;C217</f>
        <v/>
      </c>
      <c r="K217" s="33">
        <f>$E$208&amp;"|"&amp;0&amp;"|"&amp;E217&amp;"$"&amp;$F$209&amp;"|"&amp;J217&amp;"$"&amp;$G$209&amp;"|"&amp;J217&amp;"$"&amp;$H$209&amp;"|"&amp;J217</f>
        <v/>
      </c>
    </row>
    <row r="218" ht="27" customHeight="1" s="127">
      <c r="A218" s="2" t="n">
        <v>10</v>
      </c>
      <c r="B218" s="2">
        <f>B217+76</f>
        <v/>
      </c>
      <c r="C218" s="2">
        <f>C217+77</f>
        <v/>
      </c>
      <c r="D218" s="25" t="n"/>
      <c r="E218" s="25" t="n">
        <v>10</v>
      </c>
      <c r="F218" s="25" t="n"/>
      <c r="G218" s="25" t="n"/>
      <c r="H218" s="25" t="n"/>
      <c r="J218" s="25">
        <f>B218&amp;"|"&amp;C218</f>
        <v/>
      </c>
      <c r="K218" s="33">
        <f>$E$208&amp;"|"&amp;0&amp;"|"&amp;E218&amp;"$"&amp;$F$209&amp;"|"&amp;J218&amp;"$"&amp;$G$209&amp;"|"&amp;J218&amp;"$"&amp;$H$209&amp;"|"&amp;J218</f>
        <v/>
      </c>
    </row>
    <row r="219" ht="27" customHeight="1" s="127">
      <c r="A219" s="2" t="n">
        <v>11</v>
      </c>
      <c r="B219" s="2">
        <f>B218+76</f>
        <v/>
      </c>
      <c r="C219" s="2">
        <f>C218+77</f>
        <v/>
      </c>
      <c r="D219" s="24" t="n"/>
      <c r="E219" s="24" t="n">
        <v>11</v>
      </c>
      <c r="F219" s="24" t="n"/>
      <c r="G219" s="24" t="n"/>
      <c r="H219" s="24" t="n"/>
      <c r="J219" s="24">
        <f>B219&amp;"|"&amp;C219</f>
        <v/>
      </c>
      <c r="K219" s="35">
        <f>$E$208&amp;"|"&amp;0&amp;"|"&amp;E219&amp;"$"&amp;$F$210&amp;"|"&amp;J219&amp;"$"&amp;$G$210&amp;"|"&amp;J219&amp;"$"&amp;$H$210&amp;"|"&amp;J219</f>
        <v/>
      </c>
    </row>
    <row r="220" ht="27" customHeight="1" s="127">
      <c r="A220" s="2" t="n">
        <v>12</v>
      </c>
      <c r="B220" s="2">
        <f>B219+76</f>
        <v/>
      </c>
      <c r="C220" s="2">
        <f>C219+77</f>
        <v/>
      </c>
      <c r="D220" s="24" t="n"/>
      <c r="E220" s="24" t="n">
        <v>12</v>
      </c>
      <c r="F220" s="24" t="n"/>
      <c r="G220" s="24" t="n"/>
      <c r="H220" s="24" t="n"/>
      <c r="J220" s="24">
        <f>B220&amp;"|"&amp;C220</f>
        <v/>
      </c>
      <c r="K220" s="35">
        <f>$E$208&amp;"|"&amp;0&amp;"|"&amp;E220&amp;"$"&amp;$F$210&amp;"|"&amp;J220&amp;"$"&amp;$G$210&amp;"|"&amp;J220&amp;"$"&amp;$H$210&amp;"|"&amp;J220</f>
        <v/>
      </c>
    </row>
    <row r="221" ht="27" customHeight="1" s="127">
      <c r="A221" s="2" t="n">
        <v>13</v>
      </c>
      <c r="B221" s="2">
        <f>B220+76</f>
        <v/>
      </c>
      <c r="C221" s="2">
        <f>C220+77</f>
        <v/>
      </c>
      <c r="D221" s="24" t="n"/>
      <c r="E221" s="24" t="n">
        <v>13</v>
      </c>
      <c r="F221" s="24" t="n"/>
      <c r="G221" s="24" t="n"/>
      <c r="H221" s="24" t="n"/>
      <c r="J221" s="24">
        <f>B221&amp;"|"&amp;C221</f>
        <v/>
      </c>
      <c r="K221" s="35">
        <f>$E$208&amp;"|"&amp;0&amp;"|"&amp;E221&amp;"$"&amp;$F$210&amp;"|"&amp;J221&amp;"$"&amp;$G$210&amp;"|"&amp;J221&amp;"$"&amp;$H$210&amp;"|"&amp;J221</f>
        <v/>
      </c>
    </row>
    <row r="222" ht="27" customHeight="1" s="127">
      <c r="A222" s="2" t="n">
        <v>14</v>
      </c>
      <c r="B222" s="2">
        <f>B221+76</f>
        <v/>
      </c>
      <c r="C222" s="2">
        <f>C221+77</f>
        <v/>
      </c>
      <c r="D222" s="24" t="n"/>
      <c r="E222" s="24" t="n">
        <v>14</v>
      </c>
      <c r="F222" s="24" t="n"/>
      <c r="G222" s="24" t="n"/>
      <c r="H222" s="24" t="n"/>
      <c r="J222" s="24">
        <f>B222&amp;"|"&amp;C222</f>
        <v/>
      </c>
      <c r="K222" s="35">
        <f>$E$208&amp;"|"&amp;0&amp;"|"&amp;E222&amp;"$"&amp;$F$210&amp;"|"&amp;J222&amp;"$"&amp;$G$210&amp;"|"&amp;J222&amp;"$"&amp;$H$210&amp;"|"&amp;J222</f>
        <v/>
      </c>
    </row>
    <row r="223" ht="27" customHeight="1" s="127">
      <c r="A223" s="2" t="n">
        <v>15</v>
      </c>
      <c r="B223" s="2">
        <f>B222+76</f>
        <v/>
      </c>
      <c r="C223" s="2">
        <f>C222+77</f>
        <v/>
      </c>
      <c r="D223" s="24" t="n"/>
      <c r="E223" s="24" t="n">
        <v>15</v>
      </c>
      <c r="F223" s="24" t="n"/>
      <c r="G223" s="24" t="n"/>
      <c r="H223" s="24" t="n"/>
      <c r="J223" s="24">
        <f>B223&amp;"|"&amp;C223</f>
        <v/>
      </c>
      <c r="K223" s="35">
        <f>$E$208&amp;"|"&amp;0&amp;"|"&amp;E223&amp;"$"&amp;$F$210&amp;"|"&amp;J223&amp;"$"&amp;$G$210&amp;"|"&amp;J223&amp;"$"&amp;$H$210&amp;"|"&amp;J223</f>
        <v/>
      </c>
    </row>
    <row r="224" ht="27" customHeight="1" s="127">
      <c r="A224" s="2" t="n">
        <v>16</v>
      </c>
      <c r="B224" s="2">
        <f>B223+76</f>
        <v/>
      </c>
      <c r="C224" s="2">
        <f>C223+77</f>
        <v/>
      </c>
      <c r="D224" s="15" t="n"/>
      <c r="E224" s="15" t="n">
        <v>16</v>
      </c>
      <c r="F224" s="15" t="n"/>
      <c r="G224" s="15" t="n"/>
      <c r="H224" s="15" t="n"/>
      <c r="J224" s="15">
        <f>B224&amp;"|"&amp;C224</f>
        <v/>
      </c>
      <c r="K224" s="28">
        <f>$E$208&amp;"|"&amp;0&amp;"|"&amp;E224&amp;"$"&amp;$F$211&amp;"|"&amp;J224&amp;"$"&amp;$G$211&amp;"|"&amp;J224&amp;"$"&amp;$H$211&amp;"|"&amp;J224</f>
        <v/>
      </c>
    </row>
    <row r="225" ht="27" customHeight="1" s="127">
      <c r="A225" s="2" t="n">
        <v>17</v>
      </c>
      <c r="B225" s="2">
        <f>B224+76</f>
        <v/>
      </c>
      <c r="C225" s="2">
        <f>C224+77</f>
        <v/>
      </c>
      <c r="D225" s="15" t="n"/>
      <c r="E225" s="15" t="n">
        <v>17</v>
      </c>
      <c r="F225" s="15" t="n"/>
      <c r="G225" s="15" t="n"/>
      <c r="H225" s="15" t="n"/>
      <c r="J225" s="15">
        <f>B225&amp;"|"&amp;C225</f>
        <v/>
      </c>
      <c r="K225" s="28">
        <f>$E$208&amp;"|"&amp;0&amp;"|"&amp;E225&amp;"$"&amp;$F$211&amp;"|"&amp;J225&amp;"$"&amp;$G$211&amp;"|"&amp;J225&amp;"$"&amp;$H$211&amp;"|"&amp;J225</f>
        <v/>
      </c>
    </row>
    <row r="226" ht="27" customHeight="1" s="127">
      <c r="A226" s="2" t="n">
        <v>18</v>
      </c>
      <c r="B226" s="2">
        <f>B225+76</f>
        <v/>
      </c>
      <c r="C226" s="2">
        <f>C225+77</f>
        <v/>
      </c>
      <c r="D226" s="15" t="n"/>
      <c r="E226" s="15" t="n">
        <v>18</v>
      </c>
      <c r="F226" s="15" t="n"/>
      <c r="G226" s="15" t="n"/>
      <c r="H226" s="15" t="n"/>
      <c r="J226" s="15">
        <f>B226&amp;"|"&amp;C226</f>
        <v/>
      </c>
      <c r="K226" s="28">
        <f>$E$208&amp;"|"&amp;0&amp;"|"&amp;E226&amp;"$"&amp;$F$211&amp;"|"&amp;J226&amp;"$"&amp;$G$211&amp;"|"&amp;J226&amp;"$"&amp;$H$211&amp;"|"&amp;J226</f>
        <v/>
      </c>
    </row>
    <row r="227" ht="27" customHeight="1" s="127">
      <c r="A227" s="2" t="n">
        <v>19</v>
      </c>
      <c r="B227" s="2">
        <f>B226+76</f>
        <v/>
      </c>
      <c r="C227" s="2">
        <f>C226+77</f>
        <v/>
      </c>
      <c r="D227" s="15" t="n"/>
      <c r="E227" s="15" t="n">
        <v>19</v>
      </c>
      <c r="F227" s="15" t="n"/>
      <c r="G227" s="15" t="n"/>
      <c r="H227" s="15" t="n"/>
      <c r="J227" s="15">
        <f>B227&amp;"|"&amp;C227</f>
        <v/>
      </c>
      <c r="K227" s="28">
        <f>$E$208&amp;"|"&amp;0&amp;"|"&amp;E227&amp;"$"&amp;$F$211&amp;"|"&amp;J227&amp;"$"&amp;$G$211&amp;"|"&amp;J227&amp;"$"&amp;$H$211&amp;"|"&amp;J227</f>
        <v/>
      </c>
    </row>
    <row r="228" ht="27" customHeight="1" s="127">
      <c r="A228" s="2" t="n">
        <v>20</v>
      </c>
      <c r="B228" s="2">
        <f>B227+76</f>
        <v/>
      </c>
      <c r="C228" s="2">
        <f>C227+77</f>
        <v/>
      </c>
      <c r="D228" s="15" t="n"/>
      <c r="E228" s="15" t="n">
        <v>20</v>
      </c>
      <c r="F228" s="15" t="n"/>
      <c r="G228" s="15" t="n"/>
      <c r="H228" s="15" t="n"/>
      <c r="J228" s="15">
        <f>B228&amp;"|"&amp;C228</f>
        <v/>
      </c>
      <c r="K228" s="28">
        <f>$E$208&amp;"|"&amp;0&amp;"|"&amp;E228&amp;"$"&amp;$F$211&amp;"|"&amp;J228&amp;"$"&amp;$G$211&amp;"|"&amp;J228&amp;"$"&amp;$H$211&amp;"|"&amp;J228</f>
        <v/>
      </c>
    </row>
    <row r="229" ht="27" customHeight="1" s="127">
      <c r="A229" s="2" t="n">
        <v>21</v>
      </c>
      <c r="B229" s="2">
        <f>B228+76</f>
        <v/>
      </c>
      <c r="C229" s="2">
        <f>C228+77</f>
        <v/>
      </c>
      <c r="D229" s="20" t="n"/>
      <c r="E229" s="20" t="n">
        <v>21</v>
      </c>
      <c r="F229" s="20" t="n"/>
      <c r="G229" s="20" t="n"/>
      <c r="H229" s="20" t="n"/>
      <c r="J229" s="20">
        <f>B229&amp;"|"&amp;C229</f>
        <v/>
      </c>
      <c r="K229" s="29">
        <f>$E$208&amp;"|"&amp;0&amp;"|"&amp;E229&amp;"$"&amp;$F$212&amp;"|"&amp;J229&amp;"$"&amp;$G$212&amp;"|"&amp;J229&amp;"$"&amp;$H$212&amp;"|"&amp;J229</f>
        <v/>
      </c>
    </row>
    <row r="230" ht="27" customHeight="1" s="127">
      <c r="A230" s="2" t="n">
        <v>22</v>
      </c>
      <c r="B230" s="2">
        <f>B229+76</f>
        <v/>
      </c>
      <c r="C230" s="2">
        <f>C229+77</f>
        <v/>
      </c>
      <c r="D230" s="20" t="n"/>
      <c r="E230" s="20" t="n">
        <v>22</v>
      </c>
      <c r="F230" s="20" t="n"/>
      <c r="G230" s="20" t="n"/>
      <c r="H230" s="20" t="n"/>
      <c r="J230" s="20">
        <f>B230&amp;"|"&amp;C230</f>
        <v/>
      </c>
      <c r="K230" s="29">
        <f>$E$208&amp;"|"&amp;0&amp;"|"&amp;E230&amp;"$"&amp;$F$212&amp;"|"&amp;J230&amp;"$"&amp;$G$212&amp;"|"&amp;J230&amp;"$"&amp;$H$212&amp;"|"&amp;J230</f>
        <v/>
      </c>
    </row>
    <row r="231" ht="27" customHeight="1" s="127">
      <c r="A231" s="2" t="n">
        <v>23</v>
      </c>
      <c r="B231" s="2">
        <f>B230+76</f>
        <v/>
      </c>
      <c r="C231" s="2">
        <f>C230+77</f>
        <v/>
      </c>
      <c r="D231" s="20" t="n"/>
      <c r="E231" s="20" t="n">
        <v>23</v>
      </c>
      <c r="F231" s="20" t="n"/>
      <c r="G231" s="20" t="n"/>
      <c r="H231" s="20" t="n"/>
      <c r="J231" s="20">
        <f>B231&amp;"|"&amp;C231</f>
        <v/>
      </c>
      <c r="K231" s="29">
        <f>$E$208&amp;"|"&amp;0&amp;"|"&amp;E231&amp;"$"&amp;$F$212&amp;"|"&amp;J231&amp;"$"&amp;$G$212&amp;"|"&amp;J231&amp;"$"&amp;$H$212&amp;"|"&amp;J231</f>
        <v/>
      </c>
    </row>
    <row r="232" ht="27" customHeight="1" s="127">
      <c r="A232" s="2" t="n">
        <v>24</v>
      </c>
      <c r="B232" s="2">
        <f>B231+76</f>
        <v/>
      </c>
      <c r="C232" s="2">
        <f>C231+77</f>
        <v/>
      </c>
      <c r="D232" s="20" t="n"/>
      <c r="E232" s="20" t="n">
        <v>24</v>
      </c>
      <c r="F232" s="20" t="n"/>
      <c r="G232" s="20" t="n"/>
      <c r="H232" s="20" t="n"/>
      <c r="J232" s="20">
        <f>B232&amp;"|"&amp;C232</f>
        <v/>
      </c>
      <c r="K232" s="29">
        <f>$E$208&amp;"|"&amp;0&amp;"|"&amp;E232&amp;"$"&amp;$F$212&amp;"|"&amp;J232&amp;"$"&amp;$G$212&amp;"|"&amp;J232&amp;"$"&amp;$H$212&amp;"|"&amp;J232</f>
        <v/>
      </c>
    </row>
    <row r="233" ht="27" customHeight="1" s="127">
      <c r="A233" s="2" t="n">
        <v>25</v>
      </c>
      <c r="B233" s="2">
        <f>B232+76</f>
        <v/>
      </c>
      <c r="C233" s="2">
        <f>C232+77</f>
        <v/>
      </c>
      <c r="D233" s="20" t="n"/>
      <c r="E233" s="20" t="n">
        <v>25</v>
      </c>
      <c r="F233" s="20" t="n"/>
      <c r="G233" s="20" t="n"/>
      <c r="H233" s="20" t="n"/>
      <c r="J233" s="20">
        <f>B233&amp;"|"&amp;C233</f>
        <v/>
      </c>
      <c r="K233" s="29">
        <f>$E$208&amp;"|"&amp;0&amp;"|"&amp;E233&amp;"$"&amp;$F$212&amp;"|"&amp;J233&amp;"$"&amp;$G$212&amp;"|"&amp;J233&amp;"$"&amp;$H$212&amp;"|"&amp;J233</f>
        <v/>
      </c>
    </row>
    <row r="235">
      <c r="D235" s="2" t="inlineStr">
        <is>
          <t>神陨魂投放</t>
        </is>
      </c>
      <c r="E235" s="23" t="inlineStr">
        <is>
          <t>990001</t>
        </is>
      </c>
      <c r="F235" s="2" t="n">
        <v>121002</v>
      </c>
      <c r="G235" s="2" t="n">
        <v>121005</v>
      </c>
      <c r="H235" s="2" t="n">
        <v>121007</v>
      </c>
    </row>
    <row r="236" ht="40.5" customHeight="1" s="127">
      <c r="A236" s="2" t="n">
        <v>1</v>
      </c>
      <c r="B236" s="2" t="n">
        <v>70</v>
      </c>
      <c r="C236" s="2" t="n">
        <v>90</v>
      </c>
      <c r="D236" s="24" t="n"/>
      <c r="E236" s="24" t="n">
        <v>1</v>
      </c>
      <c r="F236" s="24" t="n">
        <v>122002</v>
      </c>
      <c r="G236" s="24" t="n">
        <v>122005</v>
      </c>
      <c r="H236" s="24" t="n">
        <v>122007</v>
      </c>
      <c r="I236" s="24">
        <f>B236&amp;"|"&amp;C236</f>
        <v/>
      </c>
      <c r="J236" s="31">
        <f>$E$235&amp;"|"&amp;0&amp;"|"&amp;E236&amp;"$"&amp;$F$181&amp;"|"&amp;I236&amp;"$"&amp;$G$181&amp;"|"&amp;I236&amp;"$"&amp;$H$181&amp;"|"&amp;I236&amp;"$"&amp;$F$208&amp;"|"&amp;J209&amp;"$"&amp;$G$208&amp;"|"&amp;J209&amp;"$"&amp;$H$208&amp;"|"&amp;J209</f>
        <v/>
      </c>
    </row>
    <row r="237" ht="54" customHeight="1" s="127">
      <c r="A237" s="2" t="n">
        <v>2</v>
      </c>
      <c r="B237" s="2">
        <f>B236+76</f>
        <v/>
      </c>
      <c r="C237" s="2">
        <f>C236+77</f>
        <v/>
      </c>
      <c r="D237" s="24" t="n"/>
      <c r="E237" s="24" t="n">
        <v>2</v>
      </c>
      <c r="F237" s="24" t="n">
        <v>123002</v>
      </c>
      <c r="G237" s="24" t="n">
        <v>123005</v>
      </c>
      <c r="H237" s="24" t="n">
        <v>123007</v>
      </c>
      <c r="I237" s="24">
        <f>B237&amp;"|"&amp;C237</f>
        <v/>
      </c>
      <c r="J237" s="31">
        <f>$E$235&amp;"|"&amp;0&amp;"|"&amp;E237&amp;"$"&amp;$F$181&amp;"|"&amp;I237&amp;"$"&amp;$G$181&amp;"|"&amp;I237&amp;"$"&amp;$H$181&amp;"|"&amp;I237&amp;"$"&amp;$F$208&amp;"|"&amp;J210&amp;"$"&amp;$G$208&amp;"|"&amp;J210&amp;"$"&amp;$H$208&amp;"|"&amp;J210</f>
        <v/>
      </c>
    </row>
    <row r="238" ht="54" customHeight="1" s="127">
      <c r="A238" s="2" t="n">
        <v>3</v>
      </c>
      <c r="B238" s="2">
        <f>B237+76</f>
        <v/>
      </c>
      <c r="C238" s="2">
        <f>C237+77</f>
        <v/>
      </c>
      <c r="D238" s="24" t="n"/>
      <c r="E238" s="24" t="n">
        <v>3</v>
      </c>
      <c r="F238" s="24" t="n">
        <v>124002</v>
      </c>
      <c r="G238" s="24" t="n">
        <v>124005</v>
      </c>
      <c r="H238" s="24" t="n">
        <v>124007</v>
      </c>
      <c r="I238" s="24">
        <f>B238&amp;"|"&amp;C238</f>
        <v/>
      </c>
      <c r="J238" s="31">
        <f>$E$235&amp;"|"&amp;0&amp;"|"&amp;E238&amp;"$"&amp;$F$181&amp;"|"&amp;I238&amp;"$"&amp;$G$181&amp;"|"&amp;I238&amp;"$"&amp;$H$181&amp;"|"&amp;I238&amp;"$"&amp;$F$208&amp;"|"&amp;J211&amp;"$"&amp;$G$208&amp;"|"&amp;J211&amp;"$"&amp;$H$208&amp;"|"&amp;J211</f>
        <v/>
      </c>
    </row>
    <row r="239" ht="54" customHeight="1" s="127">
      <c r="A239" s="2" t="n">
        <v>4</v>
      </c>
      <c r="B239" s="2">
        <f>B238+76</f>
        <v/>
      </c>
      <c r="C239" s="2">
        <f>C238+77</f>
        <v/>
      </c>
      <c r="D239" s="24" t="n"/>
      <c r="E239" s="24" t="n">
        <v>4</v>
      </c>
      <c r="F239" s="24" t="n">
        <v>125002</v>
      </c>
      <c r="G239" s="24" t="n">
        <v>125005</v>
      </c>
      <c r="H239" s="24" t="n">
        <v>125007</v>
      </c>
      <c r="I239" s="24">
        <f>B239&amp;"|"&amp;C239</f>
        <v/>
      </c>
      <c r="J239" s="31">
        <f>$E$235&amp;"|"&amp;0&amp;"|"&amp;E239&amp;"$"&amp;$F$181&amp;"|"&amp;I239&amp;"$"&amp;$G$181&amp;"|"&amp;I239&amp;"$"&amp;$H$181&amp;"|"&amp;I239&amp;"$"&amp;$F$208&amp;"|"&amp;J212&amp;"$"&amp;$G$208&amp;"|"&amp;J212&amp;"$"&amp;$H$208&amp;"|"&amp;J212</f>
        <v/>
      </c>
    </row>
    <row r="240" ht="42" customHeight="1" s="127">
      <c r="A240" s="2" t="n">
        <v>5</v>
      </c>
      <c r="B240" s="2">
        <f>B239+76</f>
        <v/>
      </c>
      <c r="C240" s="2">
        <f>C239+77</f>
        <v/>
      </c>
      <c r="D240" s="24" t="n"/>
      <c r="E240" s="24" t="n">
        <v>5</v>
      </c>
      <c r="F240" s="24" t="n"/>
      <c r="G240" s="24" t="n"/>
      <c r="H240" s="24" t="n"/>
      <c r="I240" s="24">
        <f>B240&amp;"|"&amp;C240</f>
        <v/>
      </c>
      <c r="J240" s="31">
        <f>$E$235&amp;"|"&amp;0&amp;"|"&amp;E240&amp;"$"&amp;$F$181&amp;"|"&amp;I240&amp;"$"&amp;$G$181&amp;"|"&amp;I240&amp;"$"&amp;$H$181&amp;"|"&amp;I240&amp;"$"&amp;$F$208&amp;"|"&amp;J213&amp;"$"&amp;$G$208&amp;"|"&amp;J213&amp;"$"&amp;$H$208&amp;"|"&amp;J213</f>
        <v/>
      </c>
    </row>
    <row r="241" ht="54" customHeight="1" s="127">
      <c r="A241" s="2" t="n">
        <v>6</v>
      </c>
      <c r="B241" s="2">
        <f>B240+76</f>
        <v/>
      </c>
      <c r="C241" s="2">
        <f>C240+77</f>
        <v/>
      </c>
      <c r="D241" s="25" t="n"/>
      <c r="E241" s="25" t="n">
        <v>6</v>
      </c>
      <c r="F241" s="25" t="n"/>
      <c r="G241" s="25" t="n"/>
      <c r="H241" s="25" t="n"/>
      <c r="I241" s="25">
        <f>B241&amp;"|"&amp;C241</f>
        <v/>
      </c>
      <c r="J241" s="36">
        <f>$E$235&amp;"|"&amp;0&amp;"|"&amp;E241&amp;"$"&amp;$F$182&amp;"|"&amp;I241&amp;"$"&amp;$G$182&amp;"|"&amp;I241&amp;"$"&amp;$H$182&amp;"|"&amp;I241&amp;"$"&amp;$F$209&amp;"|"&amp;J214&amp;"$"&amp;$G$209&amp;"|"&amp;J214&amp;"$"&amp;$H$209&amp;"|"&amp;J214</f>
        <v/>
      </c>
    </row>
    <row r="242" ht="54" customHeight="1" s="127">
      <c r="A242" s="2" t="n">
        <v>7</v>
      </c>
      <c r="B242" s="2">
        <f>B241+76</f>
        <v/>
      </c>
      <c r="C242" s="2">
        <f>C241+77</f>
        <v/>
      </c>
      <c r="D242" s="25" t="n"/>
      <c r="E242" s="25" t="n">
        <v>7</v>
      </c>
      <c r="F242" s="25" t="n"/>
      <c r="G242" s="25" t="n"/>
      <c r="H242" s="25" t="n"/>
      <c r="I242" s="25">
        <f>B242&amp;"|"&amp;C242</f>
        <v/>
      </c>
      <c r="J242" s="36">
        <f>$E$235&amp;"|"&amp;0&amp;"|"&amp;E242&amp;"$"&amp;$F$182&amp;"|"&amp;I242&amp;"$"&amp;$G$182&amp;"|"&amp;I242&amp;"$"&amp;$H$182&amp;"|"&amp;I242&amp;"$"&amp;$F$209&amp;"|"&amp;J215&amp;"$"&amp;$G$209&amp;"|"&amp;J215&amp;"$"&amp;$H$209&amp;"|"&amp;J215</f>
        <v/>
      </c>
    </row>
    <row r="243" ht="54" customHeight="1" s="127">
      <c r="A243" s="2" t="n">
        <v>8</v>
      </c>
      <c r="B243" s="2">
        <f>B242+76</f>
        <v/>
      </c>
      <c r="C243" s="2">
        <f>C242+77</f>
        <v/>
      </c>
      <c r="D243" s="25" t="n"/>
      <c r="E243" s="25" t="n">
        <v>8</v>
      </c>
      <c r="F243" s="25" t="n"/>
      <c r="G243" s="25" t="n"/>
      <c r="H243" s="25" t="n"/>
      <c r="I243" s="25">
        <f>B243&amp;"|"&amp;C243</f>
        <v/>
      </c>
      <c r="J243" s="36">
        <f>$E$235&amp;"|"&amp;0&amp;"|"&amp;E243&amp;"$"&amp;$F$182&amp;"|"&amp;I243&amp;"$"&amp;$G$182&amp;"|"&amp;I243&amp;"$"&amp;$H$182&amp;"|"&amp;I243&amp;"$"&amp;$F$209&amp;"|"&amp;J216&amp;"$"&amp;$G$209&amp;"|"&amp;J216&amp;"$"&amp;$H$209&amp;"|"&amp;J216</f>
        <v/>
      </c>
    </row>
    <row r="244" ht="54" customHeight="1" s="127">
      <c r="A244" s="2" t="n">
        <v>9</v>
      </c>
      <c r="B244" s="2">
        <f>B243+76</f>
        <v/>
      </c>
      <c r="C244" s="2">
        <f>C243+77</f>
        <v/>
      </c>
      <c r="D244" s="25" t="n"/>
      <c r="E244" s="25" t="n">
        <v>9</v>
      </c>
      <c r="F244" s="25" t="n"/>
      <c r="G244" s="25" t="n"/>
      <c r="H244" s="25" t="n"/>
      <c r="I244" s="25">
        <f>B244&amp;"|"&amp;C244</f>
        <v/>
      </c>
      <c r="J244" s="36">
        <f>$E$235&amp;"|"&amp;0&amp;"|"&amp;E244&amp;"$"&amp;$F$182&amp;"|"&amp;I244&amp;"$"&amp;$G$182&amp;"|"&amp;I244&amp;"$"&amp;$H$182&amp;"|"&amp;I244&amp;"$"&amp;$F$209&amp;"|"&amp;J217&amp;"$"&amp;$G$209&amp;"|"&amp;J217&amp;"$"&amp;$H$209&amp;"|"&amp;J217</f>
        <v/>
      </c>
    </row>
    <row r="245" ht="54" customHeight="1" s="127">
      <c r="A245" s="2" t="n">
        <v>10</v>
      </c>
      <c r="B245" s="2">
        <f>B244+76</f>
        <v/>
      </c>
      <c r="C245" s="2">
        <f>C244+77</f>
        <v/>
      </c>
      <c r="D245" s="25" t="n"/>
      <c r="E245" s="25" t="n">
        <v>10</v>
      </c>
      <c r="F245" s="25" t="n"/>
      <c r="G245" s="25" t="n"/>
      <c r="H245" s="25" t="n"/>
      <c r="I245" s="25">
        <f>B245&amp;"|"&amp;C245</f>
        <v/>
      </c>
      <c r="J245" s="36">
        <f>$E$235&amp;"|"&amp;0&amp;"|"&amp;E245&amp;"$"&amp;$F$182&amp;"|"&amp;I245&amp;"$"&amp;$G$182&amp;"|"&amp;I245&amp;"$"&amp;$H$182&amp;"|"&amp;I245&amp;"$"&amp;$F$209&amp;"|"&amp;J218&amp;"$"&amp;$G$209&amp;"|"&amp;J218&amp;"$"&amp;$H$209&amp;"|"&amp;J218</f>
        <v/>
      </c>
    </row>
    <row r="246" ht="54" customHeight="1" s="127">
      <c r="A246" s="2" t="n">
        <v>11</v>
      </c>
      <c r="B246" s="2">
        <f>B245+76</f>
        <v/>
      </c>
      <c r="C246" s="2">
        <f>C245+77</f>
        <v/>
      </c>
      <c r="D246" s="24" t="n"/>
      <c r="E246" s="24" t="n">
        <v>11</v>
      </c>
      <c r="F246" s="24" t="n"/>
      <c r="G246" s="24" t="n"/>
      <c r="H246" s="24" t="n"/>
      <c r="I246" s="24">
        <f>B246&amp;"|"&amp;C246</f>
        <v/>
      </c>
      <c r="J246" s="31">
        <f>$E$235&amp;"|"&amp;0&amp;"|"&amp;E246&amp;"$"&amp;$F$183&amp;"|"&amp;I246&amp;"$"&amp;$G$183&amp;"|"&amp;I246&amp;"$"&amp;$H$183&amp;"|"&amp;I246&amp;"$"&amp;$F$210&amp;"|"&amp;J219&amp;"$"&amp;$G$210&amp;"|"&amp;J219&amp;"$"&amp;$H$210&amp;"|"&amp;J219</f>
        <v/>
      </c>
    </row>
    <row r="247" ht="54" customHeight="1" s="127">
      <c r="A247" s="2" t="n">
        <v>12</v>
      </c>
      <c r="B247" s="2">
        <f>B246+76</f>
        <v/>
      </c>
      <c r="C247" s="2">
        <f>C246+77</f>
        <v/>
      </c>
      <c r="D247" s="24" t="n"/>
      <c r="E247" s="24" t="n">
        <v>12</v>
      </c>
      <c r="F247" s="24" t="n"/>
      <c r="G247" s="24" t="n"/>
      <c r="H247" s="24" t="n"/>
      <c r="I247" s="24">
        <f>B247&amp;"|"&amp;C247</f>
        <v/>
      </c>
      <c r="J247" s="31">
        <f>$E$235&amp;"|"&amp;0&amp;"|"&amp;E247&amp;"$"&amp;$F$183&amp;"|"&amp;I247&amp;"$"&amp;$G$183&amp;"|"&amp;I247&amp;"$"&amp;$H$183&amp;"|"&amp;I247&amp;"$"&amp;$F$210&amp;"|"&amp;J220&amp;"$"&amp;$G$210&amp;"|"&amp;J220&amp;"$"&amp;$H$210&amp;"|"&amp;J220</f>
        <v/>
      </c>
    </row>
    <row r="248" ht="54" customHeight="1" s="127">
      <c r="A248" s="2" t="n">
        <v>13</v>
      </c>
      <c r="B248" s="2">
        <f>B247+76</f>
        <v/>
      </c>
      <c r="C248" s="2">
        <f>C247+77</f>
        <v/>
      </c>
      <c r="D248" s="24" t="n"/>
      <c r="E248" s="24" t="n">
        <v>13</v>
      </c>
      <c r="F248" s="24" t="n"/>
      <c r="G248" s="24" t="n"/>
      <c r="H248" s="24" t="n"/>
      <c r="I248" s="24">
        <f>B248&amp;"|"&amp;C248</f>
        <v/>
      </c>
      <c r="J248" s="31">
        <f>$E$235&amp;"|"&amp;0&amp;"|"&amp;E248&amp;"$"&amp;$F$183&amp;"|"&amp;I248&amp;"$"&amp;$G$183&amp;"|"&amp;I248&amp;"$"&amp;$H$183&amp;"|"&amp;I248&amp;"$"&amp;$F$210&amp;"|"&amp;J221&amp;"$"&amp;$G$210&amp;"|"&amp;J221&amp;"$"&amp;$H$210&amp;"|"&amp;J221</f>
        <v/>
      </c>
    </row>
    <row r="249" ht="54" customHeight="1" s="127">
      <c r="A249" s="2" t="n">
        <v>14</v>
      </c>
      <c r="B249" s="2">
        <f>B248+76</f>
        <v/>
      </c>
      <c r="C249" s="2">
        <f>C248+77</f>
        <v/>
      </c>
      <c r="D249" s="24" t="n"/>
      <c r="E249" s="24" t="n">
        <v>14</v>
      </c>
      <c r="F249" s="24" t="n"/>
      <c r="G249" s="24" t="n"/>
      <c r="H249" s="24" t="n"/>
      <c r="I249" s="24">
        <f>B249&amp;"|"&amp;C249</f>
        <v/>
      </c>
      <c r="J249" s="31">
        <f>$E$235&amp;"|"&amp;0&amp;"|"&amp;E249&amp;"$"&amp;$F$183&amp;"|"&amp;I249&amp;"$"&amp;$G$183&amp;"|"&amp;I249&amp;"$"&amp;$H$183&amp;"|"&amp;I249&amp;"$"&amp;$F$210&amp;"|"&amp;J222&amp;"$"&amp;$G$210&amp;"|"&amp;J222&amp;"$"&amp;$H$210&amp;"|"&amp;J222</f>
        <v/>
      </c>
    </row>
    <row r="250" ht="54" customHeight="1" s="127">
      <c r="A250" s="2" t="n">
        <v>15</v>
      </c>
      <c r="B250" s="2">
        <f>B249+76</f>
        <v/>
      </c>
      <c r="C250" s="2">
        <f>C249+77</f>
        <v/>
      </c>
      <c r="D250" s="24" t="n"/>
      <c r="E250" s="24" t="n">
        <v>15</v>
      </c>
      <c r="F250" s="24" t="n"/>
      <c r="G250" s="24" t="n"/>
      <c r="H250" s="24" t="n"/>
      <c r="I250" s="24">
        <f>B250&amp;"|"&amp;C250</f>
        <v/>
      </c>
      <c r="J250" s="31">
        <f>$E$235&amp;"|"&amp;0&amp;"|"&amp;E250&amp;"$"&amp;$F$183&amp;"|"&amp;I250&amp;"$"&amp;$G$183&amp;"|"&amp;I250&amp;"$"&amp;$H$183&amp;"|"&amp;I250&amp;"$"&amp;$F$210&amp;"|"&amp;J223&amp;"$"&amp;$G$210&amp;"|"&amp;J223&amp;"$"&amp;$H$210&amp;"|"&amp;J223</f>
        <v/>
      </c>
    </row>
    <row r="251" ht="54" customHeight="1" s="127">
      <c r="A251" s="2" t="n">
        <v>16</v>
      </c>
      <c r="B251" s="2">
        <f>B250+76</f>
        <v/>
      </c>
      <c r="C251" s="2">
        <f>C250+77</f>
        <v/>
      </c>
      <c r="D251" s="15" t="n"/>
      <c r="E251" s="15" t="n">
        <v>16</v>
      </c>
      <c r="F251" s="15" t="n"/>
      <c r="G251" s="15" t="n"/>
      <c r="H251" s="15" t="n"/>
      <c r="I251" s="15">
        <f>B251&amp;"|"&amp;C251</f>
        <v/>
      </c>
      <c r="J251" s="37">
        <f>$E$235&amp;"|"&amp;0&amp;"|"&amp;E251&amp;"$"&amp;$F$184&amp;"|"&amp;I251&amp;"$"&amp;$G$184&amp;"|"&amp;I251&amp;"$"&amp;$H$184&amp;"|"&amp;I251&amp;"$"&amp;$F$211&amp;"|"&amp;J224&amp;"$"&amp;$G$211&amp;"|"&amp;J224&amp;"$"&amp;$H$211&amp;"|"&amp;J224</f>
        <v/>
      </c>
    </row>
    <row r="252" ht="54" customHeight="1" s="127">
      <c r="A252" s="2" t="n">
        <v>17</v>
      </c>
      <c r="B252" s="2">
        <f>B251+76</f>
        <v/>
      </c>
      <c r="C252" s="2">
        <f>C251+77</f>
        <v/>
      </c>
      <c r="D252" s="15" t="n"/>
      <c r="E252" s="15" t="n">
        <v>17</v>
      </c>
      <c r="F252" s="15" t="n"/>
      <c r="G252" s="15" t="n"/>
      <c r="H252" s="15" t="n"/>
      <c r="I252" s="15">
        <f>B252&amp;"|"&amp;C252</f>
        <v/>
      </c>
      <c r="J252" s="37">
        <f>$E$235&amp;"|"&amp;0&amp;"|"&amp;E252&amp;"$"&amp;$F$184&amp;"|"&amp;I252&amp;"$"&amp;$G$184&amp;"|"&amp;I252&amp;"$"&amp;$H$184&amp;"|"&amp;I252&amp;"$"&amp;$F$211&amp;"|"&amp;J225&amp;"$"&amp;$G$211&amp;"|"&amp;J225&amp;"$"&amp;$H$211&amp;"|"&amp;J225</f>
        <v/>
      </c>
    </row>
    <row r="253" ht="54" customHeight="1" s="127">
      <c r="A253" s="2" t="n">
        <v>18</v>
      </c>
      <c r="B253" s="2">
        <f>B252+76</f>
        <v/>
      </c>
      <c r="C253" s="2">
        <f>C252+77</f>
        <v/>
      </c>
      <c r="D253" s="15" t="n"/>
      <c r="E253" s="15" t="n">
        <v>18</v>
      </c>
      <c r="F253" s="15" t="n"/>
      <c r="G253" s="15" t="n"/>
      <c r="H253" s="15" t="n"/>
      <c r="I253" s="15">
        <f>B253&amp;"|"&amp;C253</f>
        <v/>
      </c>
      <c r="J253" s="37">
        <f>$E$235&amp;"|"&amp;0&amp;"|"&amp;E253&amp;"$"&amp;$F$184&amp;"|"&amp;I253&amp;"$"&amp;$G$184&amp;"|"&amp;I253&amp;"$"&amp;$H$184&amp;"|"&amp;I253&amp;"$"&amp;$F$211&amp;"|"&amp;J226&amp;"$"&amp;$G$211&amp;"|"&amp;J226&amp;"$"&amp;$H$211&amp;"|"&amp;J226</f>
        <v/>
      </c>
    </row>
    <row r="254" ht="54" customHeight="1" s="127">
      <c r="A254" s="2" t="n">
        <v>19</v>
      </c>
      <c r="B254" s="2">
        <f>B253+76</f>
        <v/>
      </c>
      <c r="C254" s="2">
        <f>C253+77</f>
        <v/>
      </c>
      <c r="D254" s="15" t="n"/>
      <c r="E254" s="15" t="n">
        <v>19</v>
      </c>
      <c r="F254" s="15" t="n"/>
      <c r="G254" s="15" t="n"/>
      <c r="H254" s="15" t="n"/>
      <c r="I254" s="15">
        <f>B254&amp;"|"&amp;C254</f>
        <v/>
      </c>
      <c r="J254" s="37">
        <f>$E$235&amp;"|"&amp;0&amp;"|"&amp;E254&amp;"$"&amp;$F$184&amp;"|"&amp;I254&amp;"$"&amp;$G$184&amp;"|"&amp;I254&amp;"$"&amp;$H$184&amp;"|"&amp;I254&amp;"$"&amp;$F$211&amp;"|"&amp;J227&amp;"$"&amp;$G$211&amp;"|"&amp;J227&amp;"$"&amp;$H$211&amp;"|"&amp;J227</f>
        <v/>
      </c>
    </row>
    <row r="255" ht="54" customHeight="1" s="127">
      <c r="A255" s="2" t="n">
        <v>20</v>
      </c>
      <c r="B255" s="2">
        <f>B254+76</f>
        <v/>
      </c>
      <c r="C255" s="2">
        <f>C254+77</f>
        <v/>
      </c>
      <c r="D255" s="15" t="n"/>
      <c r="E255" s="15" t="n">
        <v>20</v>
      </c>
      <c r="F255" s="15" t="n"/>
      <c r="G255" s="15" t="n"/>
      <c r="H255" s="15" t="n"/>
      <c r="I255" s="15">
        <f>B255&amp;"|"&amp;C255</f>
        <v/>
      </c>
      <c r="J255" s="37">
        <f>$E$235&amp;"|"&amp;0&amp;"|"&amp;E255&amp;"$"&amp;$F$184&amp;"|"&amp;I255&amp;"$"&amp;$G$184&amp;"|"&amp;I255&amp;"$"&amp;$H$184&amp;"|"&amp;I255&amp;"$"&amp;$F$211&amp;"|"&amp;J228&amp;"$"&amp;$G$211&amp;"|"&amp;J228&amp;"$"&amp;$H$211&amp;"|"&amp;J228</f>
        <v/>
      </c>
    </row>
    <row r="256" ht="54" customHeight="1" s="127">
      <c r="A256" s="2" t="n">
        <v>21</v>
      </c>
      <c r="B256" s="2">
        <f>B255+76</f>
        <v/>
      </c>
      <c r="C256" s="2">
        <f>C255+77</f>
        <v/>
      </c>
      <c r="D256" s="20" t="n"/>
      <c r="E256" s="20" t="n">
        <v>21</v>
      </c>
      <c r="F256" s="20" t="n"/>
      <c r="G256" s="20" t="n"/>
      <c r="H256" s="20" t="n"/>
      <c r="I256" s="20">
        <f>B256&amp;"|"&amp;C256</f>
        <v/>
      </c>
      <c r="J256" s="38">
        <f>$E$235&amp;"|"&amp;0&amp;"|"&amp;E256&amp;"$"&amp;$F$185&amp;"|"&amp;I256&amp;"$"&amp;$G$185&amp;"|"&amp;I256&amp;"$"&amp;$H$185&amp;"|"&amp;I256&amp;"$"&amp;$F$212&amp;"|"&amp;J229&amp;"$"&amp;$G$212&amp;"|"&amp;J229&amp;"$"&amp;$H$212&amp;"|"&amp;J229</f>
        <v/>
      </c>
    </row>
    <row r="257" ht="54" customHeight="1" s="127">
      <c r="A257" s="2" t="n">
        <v>22</v>
      </c>
      <c r="B257" s="2">
        <f>B256+76</f>
        <v/>
      </c>
      <c r="C257" s="2">
        <f>C256+77</f>
        <v/>
      </c>
      <c r="D257" s="20" t="n"/>
      <c r="E257" s="20" t="n">
        <v>22</v>
      </c>
      <c r="F257" s="20" t="n"/>
      <c r="G257" s="20" t="n"/>
      <c r="H257" s="20" t="n"/>
      <c r="I257" s="20">
        <f>B257&amp;"|"&amp;C257</f>
        <v/>
      </c>
      <c r="J257" s="38">
        <f>$E$235&amp;"|"&amp;0&amp;"|"&amp;E257&amp;"$"&amp;$F$185&amp;"|"&amp;I257&amp;"$"&amp;$G$185&amp;"|"&amp;I257&amp;"$"&amp;$H$185&amp;"|"&amp;I257&amp;"$"&amp;$F$212&amp;"|"&amp;J230&amp;"$"&amp;$G$212&amp;"|"&amp;J230&amp;"$"&amp;$H$212&amp;"|"&amp;J230</f>
        <v/>
      </c>
    </row>
    <row r="258" ht="54" customHeight="1" s="127">
      <c r="A258" s="2" t="n">
        <v>23</v>
      </c>
      <c r="B258" s="2">
        <f>B257+76</f>
        <v/>
      </c>
      <c r="C258" s="2">
        <f>C257+77</f>
        <v/>
      </c>
      <c r="D258" s="20" t="n"/>
      <c r="E258" s="20" t="n">
        <v>23</v>
      </c>
      <c r="F258" s="20" t="n"/>
      <c r="G258" s="20" t="n"/>
      <c r="H258" s="20" t="n"/>
      <c r="I258" s="20">
        <f>B258&amp;"|"&amp;C258</f>
        <v/>
      </c>
      <c r="J258" s="38">
        <f>$E$235&amp;"|"&amp;0&amp;"|"&amp;E258&amp;"$"&amp;$F$185&amp;"|"&amp;I258&amp;"$"&amp;$G$185&amp;"|"&amp;I258&amp;"$"&amp;$H$185&amp;"|"&amp;I258&amp;"$"&amp;$F$212&amp;"|"&amp;J231&amp;"$"&amp;$G$212&amp;"|"&amp;J231&amp;"$"&amp;$H$212&amp;"|"&amp;J231</f>
        <v/>
      </c>
    </row>
    <row r="259" ht="54" customHeight="1" s="127">
      <c r="A259" s="2" t="n">
        <v>24</v>
      </c>
      <c r="B259" s="2">
        <f>B258+76</f>
        <v/>
      </c>
      <c r="C259" s="2">
        <f>C258+77</f>
        <v/>
      </c>
      <c r="D259" s="20" t="n"/>
      <c r="E259" s="20" t="n">
        <v>24</v>
      </c>
      <c r="F259" s="20" t="n"/>
      <c r="G259" s="20" t="n"/>
      <c r="H259" s="20" t="n"/>
      <c r="I259" s="20">
        <f>B259&amp;"|"&amp;C259</f>
        <v/>
      </c>
      <c r="J259" s="38">
        <f>$E$235&amp;"|"&amp;0&amp;"|"&amp;E259&amp;"$"&amp;$F$185&amp;"|"&amp;I259&amp;"$"&amp;$G$185&amp;"|"&amp;I259&amp;"$"&amp;$H$185&amp;"|"&amp;I259&amp;"$"&amp;$F$212&amp;"|"&amp;J232&amp;"$"&amp;$G$212&amp;"|"&amp;J232&amp;"$"&amp;$H$212&amp;"|"&amp;J232</f>
        <v/>
      </c>
    </row>
    <row r="260" ht="54" customHeight="1" s="127">
      <c r="A260" s="2" t="n">
        <v>25</v>
      </c>
      <c r="B260" s="2">
        <f>B259+76</f>
        <v/>
      </c>
      <c r="C260" s="2">
        <f>C259+77</f>
        <v/>
      </c>
      <c r="D260" s="20" t="n"/>
      <c r="E260" s="20" t="n">
        <v>25</v>
      </c>
      <c r="F260" s="20" t="n"/>
      <c r="G260" s="20" t="n"/>
      <c r="H260" s="20" t="n"/>
      <c r="I260" s="20">
        <f>B260&amp;"|"&amp;C260</f>
        <v/>
      </c>
      <c r="J260" s="38">
        <f>$E$235&amp;"|"&amp;0&amp;"|"&amp;E260&amp;"$"&amp;$F$185&amp;"|"&amp;I260&amp;"$"&amp;$G$185&amp;"|"&amp;I260&amp;"$"&amp;$H$185&amp;"|"&amp;I260&amp;"$"&amp;$F$212&amp;"|"&amp;J233&amp;"$"&amp;$G$212&amp;"|"&amp;J233&amp;"$"&amp;$H$212&amp;"|"&amp;J233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3" sqref="B3"/>
    </sheetView>
  </sheetViews>
  <sheetFormatPr baseColWidth="8" defaultColWidth="9" defaultRowHeight="13.5"/>
  <sheetData>
    <row r="1" ht="27" customHeight="1" s="127">
      <c r="A1" s="40" t="inlineStr">
        <is>
          <t>修为点</t>
        </is>
      </c>
      <c r="B1" s="40" t="inlineStr">
        <is>
          <t>给弟子加修为用的</t>
        </is>
      </c>
    </row>
    <row r="2" ht="27" customHeight="1" s="127">
      <c r="A2" s="40" t="inlineStr">
        <is>
          <t>buff点</t>
        </is>
      </c>
      <c r="B2" s="40" t="inlineStr">
        <is>
          <t>加探索buff</t>
        </is>
      </c>
    </row>
    <row r="3" ht="135" customHeight="1" s="127">
      <c r="A3" s="40" t="inlineStr">
        <is>
          <t>战斗点</t>
        </is>
      </c>
      <c r="B3" s="40" t="inlineStr">
        <is>
          <t>几个难度的怪物 获取奖励（修为 灵石 小概率获取书 蛋 源力结晶 消耗大量精力</t>
        </is>
      </c>
    </row>
    <row r="4" ht="40.5" customHeight="1" s="127">
      <c r="A4" s="40" t="inlineStr">
        <is>
          <t>落单弟子</t>
        </is>
      </c>
      <c r="B4" s="40" t="inlineStr">
        <is>
          <t>有概率碰到弟子 可以招募</t>
        </is>
      </c>
    </row>
    <row r="5" ht="54" customHeight="1" s="127">
      <c r="A5" s="40" t="inlineStr">
        <is>
          <t>天材地宝</t>
        </is>
      </c>
      <c r="B5" s="40" t="inlineStr">
        <is>
          <t>特殊炼丹材料 宗门升级材料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2021-10-20T13:57:00Z</dcterms:created>
  <dcterms:modified xmlns:dcterms="http://purl.org/dc/terms/" xmlns:xsi="http://www.w3.org/2001/XMLSchema-instance" xsi:type="dcterms:W3CDTF">2026-01-12T03:12:29Z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