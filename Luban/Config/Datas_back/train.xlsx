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475"/>
  </bookViews>
  <sheets>
    <sheet name="Sheet1" sheetId="1" r:id="rId1"/>
    <sheet name="公式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<sst xmlns="http://schemas.openxmlformats.org/spreadsheetml/2006/main" count="1119" uniqueCount="373">
  <si>
    <t>##var</t>
  </si>
  <si>
    <t>id</t>
  </si>
  <si>
    <t>bigPhaseName</t>
  </si>
  <si>
    <t>centerPhaseName</t>
  </si>
  <si>
    <t>smallPhaseName</t>
  </si>
  <si>
    <t>proChange</t>
  </si>
  <si>
    <t>lingShiNeed</t>
  </si>
  <si>
    <t>xiuWeiAddSpeed</t>
  </si>
  <si>
    <t>xiuWeiNeed</t>
  </si>
  <si>
    <t>successRate</t>
  </si>
  <si>
    <t>successDanId</t>
  </si>
  <si>
    <t>##type</t>
  </si>
  <si>
    <t>string</t>
  </si>
  <si>
    <t>##</t>
  </si>
  <si>
    <t>1</t>
  </si>
  <si>
    <t>炼气化体</t>
  </si>
  <si>
    <t>炼气</t>
  </si>
  <si>
    <t>炼气1阶</t>
  </si>
  <si>
    <t>10001|6$10002|$10003|$10004|$10005|$10006|</t>
  </si>
  <si>
    <t>101001</t>
  </si>
  <si>
    <t>2</t>
  </si>
  <si>
    <t>炼气2阶</t>
  </si>
  <si>
    <t>10001|100$10002|$10003|5$10004|12$10005|$10006|</t>
  </si>
  <si>
    <t>57.3</t>
  </si>
  <si>
    <t>250</t>
  </si>
  <si>
    <t>3</t>
  </si>
  <si>
    <t>炼气3阶</t>
  </si>
  <si>
    <t>450</t>
  </si>
  <si>
    <t>64.6</t>
  </si>
  <si>
    <t>700</t>
  </si>
  <si>
    <t>4</t>
  </si>
  <si>
    <t>炼气4阶</t>
  </si>
  <si>
    <t>5</t>
  </si>
  <si>
    <t>炼气5阶</t>
  </si>
  <si>
    <t>6</t>
  </si>
  <si>
    <t>炼气6阶</t>
  </si>
  <si>
    <t>100</t>
  </si>
  <si>
    <t>7</t>
  </si>
  <si>
    <t>炼气7阶</t>
  </si>
  <si>
    <t>8</t>
  </si>
  <si>
    <t>炼气8阶</t>
  </si>
  <si>
    <t>9</t>
  </si>
  <si>
    <t>炼气9阶</t>
  </si>
  <si>
    <t>10</t>
  </si>
  <si>
    <t>炼气10阶</t>
  </si>
  <si>
    <t>11</t>
  </si>
  <si>
    <t>内腑</t>
  </si>
  <si>
    <t>内腑1阶</t>
  </si>
  <si>
    <t>10001|100$10002|2$10003|5$10004|12$10005|1$10006|2</t>
  </si>
  <si>
    <t>12</t>
  </si>
  <si>
    <t>内腑2阶</t>
  </si>
  <si>
    <t>32500</t>
  </si>
  <si>
    <t>13</t>
  </si>
  <si>
    <t>内腑3阶</t>
  </si>
  <si>
    <t>14</t>
  </si>
  <si>
    <t>内腑4阶</t>
  </si>
  <si>
    <t>15</t>
  </si>
  <si>
    <t>内腑5阶</t>
  </si>
  <si>
    <t>11250</t>
  </si>
  <si>
    <t>16</t>
  </si>
  <si>
    <t>内腑6阶</t>
  </si>
  <si>
    <t>17</t>
  </si>
  <si>
    <t>内腑7阶</t>
  </si>
  <si>
    <t>18</t>
  </si>
  <si>
    <t>内腑8阶</t>
  </si>
  <si>
    <t>19</t>
  </si>
  <si>
    <t>内腑9阶</t>
  </si>
  <si>
    <t>20</t>
  </si>
  <si>
    <t>内腑10阶</t>
  </si>
  <si>
    <t>21</t>
  </si>
  <si>
    <t>筑基</t>
  </si>
  <si>
    <t>筑基1阶</t>
  </si>
  <si>
    <t>10001|100$10002|1$10003|5$10004|12$10005|2$10006|4</t>
  </si>
  <si>
    <t>22</t>
  </si>
  <si>
    <t>筑基2阶</t>
  </si>
  <si>
    <t>23</t>
  </si>
  <si>
    <t>筑基3阶</t>
  </si>
  <si>
    <t>24</t>
  </si>
  <si>
    <t>筑基4阶</t>
  </si>
  <si>
    <t>25</t>
  </si>
  <si>
    <t>筑基5阶</t>
  </si>
  <si>
    <t>26</t>
  </si>
  <si>
    <t>筑基6阶</t>
  </si>
  <si>
    <t>27</t>
  </si>
  <si>
    <t>筑基7阶</t>
  </si>
  <si>
    <t>28</t>
  </si>
  <si>
    <t>筑基8阶</t>
  </si>
  <si>
    <t>29</t>
  </si>
  <si>
    <t>筑基9阶</t>
  </si>
  <si>
    <t>30</t>
  </si>
  <si>
    <t>筑基10阶</t>
  </si>
  <si>
    <t>31</t>
  </si>
  <si>
    <t>炼体化精</t>
  </si>
  <si>
    <t>旋照</t>
  </si>
  <si>
    <t>旋照1阶</t>
  </si>
  <si>
    <t>102001</t>
  </si>
  <si>
    <t>32</t>
  </si>
  <si>
    <t>旋照2阶</t>
  </si>
  <si>
    <t>33</t>
  </si>
  <si>
    <t>旋照3阶</t>
  </si>
  <si>
    <t>34</t>
  </si>
  <si>
    <t>旋照4阶</t>
  </si>
  <si>
    <t>35</t>
  </si>
  <si>
    <t>旋照5阶</t>
  </si>
  <si>
    <t>36</t>
  </si>
  <si>
    <t>旋照6阶</t>
  </si>
  <si>
    <t>37</t>
  </si>
  <si>
    <t>旋照7阶</t>
  </si>
  <si>
    <t>38</t>
  </si>
  <si>
    <t>旋照8阶</t>
  </si>
  <si>
    <t>39</t>
  </si>
  <si>
    <t>旋照9阶</t>
  </si>
  <si>
    <t>40</t>
  </si>
  <si>
    <t>旋照10阶</t>
  </si>
  <si>
    <t>41</t>
  </si>
  <si>
    <t>开光</t>
  </si>
  <si>
    <t>开光1阶</t>
  </si>
  <si>
    <t>10001|100$10002|1$10003|5$10004|12$10005|1$10006|2</t>
  </si>
  <si>
    <t>42</t>
  </si>
  <si>
    <t>开光2阶</t>
  </si>
  <si>
    <t>43</t>
  </si>
  <si>
    <t>开光3阶</t>
  </si>
  <si>
    <t>44</t>
  </si>
  <si>
    <t>开光4阶</t>
  </si>
  <si>
    <t>45</t>
  </si>
  <si>
    <t>开光5阶</t>
  </si>
  <si>
    <t>46</t>
  </si>
  <si>
    <t>开光6阶</t>
  </si>
  <si>
    <t>47</t>
  </si>
  <si>
    <t>开光7阶</t>
  </si>
  <si>
    <t>48</t>
  </si>
  <si>
    <t>开光8阶</t>
  </si>
  <si>
    <t>49</t>
  </si>
  <si>
    <t>开光9阶</t>
  </si>
  <si>
    <t>50</t>
  </si>
  <si>
    <t>开光10阶</t>
  </si>
  <si>
    <t>51</t>
  </si>
  <si>
    <t>融合</t>
  </si>
  <si>
    <t>融合1阶</t>
  </si>
  <si>
    <t>10001|100$10002|1$10003|5$10004|12$10005|1$10006|3</t>
  </si>
  <si>
    <t>52</t>
  </si>
  <si>
    <t>融合2阶</t>
  </si>
  <si>
    <t>53</t>
  </si>
  <si>
    <t>融合3阶</t>
  </si>
  <si>
    <t>54</t>
  </si>
  <si>
    <t>融合4阶</t>
  </si>
  <si>
    <t>55</t>
  </si>
  <si>
    <t>融合5阶</t>
  </si>
  <si>
    <t>56</t>
  </si>
  <si>
    <t>融合6阶</t>
  </si>
  <si>
    <t>57</t>
  </si>
  <si>
    <t>融合7阶</t>
  </si>
  <si>
    <t>58</t>
  </si>
  <si>
    <t>融合8阶</t>
  </si>
  <si>
    <t>59</t>
  </si>
  <si>
    <t>融合9阶</t>
  </si>
  <si>
    <t>60</t>
  </si>
  <si>
    <t>融合10阶</t>
  </si>
  <si>
    <t>61</t>
  </si>
  <si>
    <t>炼精化神</t>
  </si>
  <si>
    <t>心动</t>
  </si>
  <si>
    <t>心动1阶</t>
  </si>
  <si>
    <t>103001</t>
  </si>
  <si>
    <t>62</t>
  </si>
  <si>
    <t>心动2阶</t>
  </si>
  <si>
    <t>63</t>
  </si>
  <si>
    <t>心动3阶</t>
  </si>
  <si>
    <t>64</t>
  </si>
  <si>
    <t>心动4阶</t>
  </si>
  <si>
    <t>65</t>
  </si>
  <si>
    <t>心动5阶</t>
  </si>
  <si>
    <t>66</t>
  </si>
  <si>
    <t>心动6阶</t>
  </si>
  <si>
    <t>67</t>
  </si>
  <si>
    <t>心动7阶</t>
  </si>
  <si>
    <t>68</t>
  </si>
  <si>
    <t>心动8阶</t>
  </si>
  <si>
    <t>69</t>
  </si>
  <si>
    <t>心动9阶</t>
  </si>
  <si>
    <t>70</t>
  </si>
  <si>
    <t>心动10阶</t>
  </si>
  <si>
    <t>71</t>
  </si>
  <si>
    <t>灵寂</t>
  </si>
  <si>
    <t>灵寂1阶</t>
  </si>
  <si>
    <t>10001|100$10002|1$10003|5$10004|12$10005|2$10006|3</t>
  </si>
  <si>
    <t>72</t>
  </si>
  <si>
    <t>灵寂2阶</t>
  </si>
  <si>
    <t>73</t>
  </si>
  <si>
    <t>灵寂3阶</t>
  </si>
  <si>
    <t>74</t>
  </si>
  <si>
    <t>灵寂4阶</t>
  </si>
  <si>
    <t>75</t>
  </si>
  <si>
    <t>灵寂5阶</t>
  </si>
  <si>
    <t>76</t>
  </si>
  <si>
    <t>灵寂6阶</t>
  </si>
  <si>
    <t>77</t>
  </si>
  <si>
    <t>灵寂7阶</t>
  </si>
  <si>
    <t>78</t>
  </si>
  <si>
    <t>灵寂8阶</t>
  </si>
  <si>
    <t>79</t>
  </si>
  <si>
    <t>灵寂9阶</t>
  </si>
  <si>
    <t>80</t>
  </si>
  <si>
    <t>灵寂10阶</t>
  </si>
  <si>
    <t>81</t>
  </si>
  <si>
    <t>金丹</t>
  </si>
  <si>
    <t>金丹1阶</t>
  </si>
  <si>
    <t>82</t>
  </si>
  <si>
    <t>金丹2阶</t>
  </si>
  <si>
    <t>83</t>
  </si>
  <si>
    <t>金丹3阶</t>
  </si>
  <si>
    <t>84</t>
  </si>
  <si>
    <t>金丹4阶</t>
  </si>
  <si>
    <t>85</t>
  </si>
  <si>
    <t>金丹5阶</t>
  </si>
  <si>
    <t>86</t>
  </si>
  <si>
    <t>金丹6阶</t>
  </si>
  <si>
    <t>87</t>
  </si>
  <si>
    <t>金丹7阶</t>
  </si>
  <si>
    <t>88</t>
  </si>
  <si>
    <t>金丹8阶</t>
  </si>
  <si>
    <t>89</t>
  </si>
  <si>
    <t>金丹9阶</t>
  </si>
  <si>
    <t>90</t>
  </si>
  <si>
    <t>金丹10阶</t>
  </si>
  <si>
    <t>91</t>
  </si>
  <si>
    <t>炼神返虚</t>
  </si>
  <si>
    <t>元婴</t>
  </si>
  <si>
    <t>元婴1阶</t>
  </si>
  <si>
    <t>104001</t>
  </si>
  <si>
    <t>92</t>
  </si>
  <si>
    <t>元婴2阶</t>
  </si>
  <si>
    <t>93</t>
  </si>
  <si>
    <t>元婴3阶</t>
  </si>
  <si>
    <t>94</t>
  </si>
  <si>
    <t>元婴4阶</t>
  </si>
  <si>
    <t>95</t>
  </si>
  <si>
    <t>元婴5阶</t>
  </si>
  <si>
    <t>96</t>
  </si>
  <si>
    <t>元婴6阶</t>
  </si>
  <si>
    <t>97</t>
  </si>
  <si>
    <t>元婴7阶</t>
  </si>
  <si>
    <t>98</t>
  </si>
  <si>
    <t>元婴8阶</t>
  </si>
  <si>
    <t>99</t>
  </si>
  <si>
    <t>元婴9阶</t>
  </si>
  <si>
    <t>元婴10阶</t>
  </si>
  <si>
    <t>101</t>
  </si>
  <si>
    <t>出窍</t>
  </si>
  <si>
    <t>出窍1阶</t>
  </si>
  <si>
    <t>102</t>
  </si>
  <si>
    <t>出窍2阶</t>
  </si>
  <si>
    <t>103</t>
  </si>
  <si>
    <t>出窍3阶</t>
  </si>
  <si>
    <t>104</t>
  </si>
  <si>
    <t>出窍4阶</t>
  </si>
  <si>
    <t>105</t>
  </si>
  <si>
    <t>出窍5阶</t>
  </si>
  <si>
    <t>106</t>
  </si>
  <si>
    <t>出窍6阶</t>
  </si>
  <si>
    <t>107</t>
  </si>
  <si>
    <t>出窍7阶</t>
  </si>
  <si>
    <t>108</t>
  </si>
  <si>
    <t>出窍8阶</t>
  </si>
  <si>
    <t>109</t>
  </si>
  <si>
    <t>出窍9阶</t>
  </si>
  <si>
    <t>110</t>
  </si>
  <si>
    <t>出窍10阶</t>
  </si>
  <si>
    <t>111</t>
  </si>
  <si>
    <t>分神</t>
  </si>
  <si>
    <t>分神1阶</t>
  </si>
  <si>
    <t>10001|100$10002|2$10003|5$10004|12$10005|2$10006|3</t>
  </si>
  <si>
    <t>112</t>
  </si>
  <si>
    <t>分神2阶</t>
  </si>
  <si>
    <t>113</t>
  </si>
  <si>
    <t>分神3阶</t>
  </si>
  <si>
    <t>114</t>
  </si>
  <si>
    <t>分神4阶</t>
  </si>
  <si>
    <t>115</t>
  </si>
  <si>
    <t>分神5阶</t>
  </si>
  <si>
    <t>116</t>
  </si>
  <si>
    <t>分神6阶</t>
  </si>
  <si>
    <t>117</t>
  </si>
  <si>
    <t>分神7阶</t>
  </si>
  <si>
    <t>118</t>
  </si>
  <si>
    <t>分神8阶</t>
  </si>
  <si>
    <t>119</t>
  </si>
  <si>
    <t>分神9阶</t>
  </si>
  <si>
    <t>120</t>
  </si>
  <si>
    <t>分神10阶</t>
  </si>
  <si>
    <t>121</t>
  </si>
  <si>
    <t>炼虚合道</t>
  </si>
  <si>
    <t>合体</t>
  </si>
  <si>
    <t>合体1阶</t>
  </si>
  <si>
    <t>105001</t>
  </si>
  <si>
    <t>122</t>
  </si>
  <si>
    <t>合体2阶</t>
  </si>
  <si>
    <t>123</t>
  </si>
  <si>
    <t>合体3阶</t>
  </si>
  <si>
    <t>124</t>
  </si>
  <si>
    <t>合体4阶</t>
  </si>
  <si>
    <t>125</t>
  </si>
  <si>
    <t>合体5阶</t>
  </si>
  <si>
    <t>126</t>
  </si>
  <si>
    <t>合体6阶</t>
  </si>
  <si>
    <t>127</t>
  </si>
  <si>
    <t>合体7阶</t>
  </si>
  <si>
    <t>128</t>
  </si>
  <si>
    <t>合体8阶</t>
  </si>
  <si>
    <t>129</t>
  </si>
  <si>
    <t>合体9阶</t>
  </si>
  <si>
    <t>130</t>
  </si>
  <si>
    <t>合体10阶</t>
  </si>
  <si>
    <t>131</t>
  </si>
  <si>
    <t>渡劫</t>
  </si>
  <si>
    <t>渡劫1阶</t>
  </si>
  <si>
    <t>10001|100$10002|2$10003|5$10004|12$10005|1$10006|3</t>
  </si>
  <si>
    <t>132</t>
  </si>
  <si>
    <t>渡劫2阶</t>
  </si>
  <si>
    <t>133</t>
  </si>
  <si>
    <t>渡劫3阶</t>
  </si>
  <si>
    <t>134</t>
  </si>
  <si>
    <t>渡劫4阶</t>
  </si>
  <si>
    <t>135</t>
  </si>
  <si>
    <t>渡劫5阶</t>
  </si>
  <si>
    <t>136</t>
  </si>
  <si>
    <t>渡劫6阶</t>
  </si>
  <si>
    <t>137</t>
  </si>
  <si>
    <t>渡劫7阶</t>
  </si>
  <si>
    <t>138</t>
  </si>
  <si>
    <t>渡劫8阶</t>
  </si>
  <si>
    <t>139</t>
  </si>
  <si>
    <t>渡劫9阶</t>
  </si>
  <si>
    <t>140</t>
  </si>
  <si>
    <t>渡劫10阶</t>
  </si>
  <si>
    <t>141</t>
  </si>
  <si>
    <t>大乘</t>
  </si>
  <si>
    <t>大乘1阶</t>
  </si>
  <si>
    <t>142</t>
  </si>
  <si>
    <t>大乘2阶</t>
  </si>
  <si>
    <t>143</t>
  </si>
  <si>
    <t>大乘3阶</t>
  </si>
  <si>
    <t>144</t>
  </si>
  <si>
    <t>大乘4阶</t>
  </si>
  <si>
    <t>145</t>
  </si>
  <si>
    <t>大乘5阶</t>
  </si>
  <si>
    <t>146</t>
  </si>
  <si>
    <t>大乘6阶</t>
  </si>
  <si>
    <t>147</t>
  </si>
  <si>
    <t>大乘7阶</t>
  </si>
  <si>
    <t>148</t>
  </si>
  <si>
    <t>大乘8阶</t>
  </si>
  <si>
    <t>149</t>
  </si>
  <si>
    <t>大乘9阶</t>
  </si>
  <si>
    <t>150</t>
  </si>
  <si>
    <t>大乘10阶</t>
  </si>
  <si>
    <t>等级</t>
  </si>
  <si>
    <t>血</t>
  </si>
  <si>
    <t>气</t>
  </si>
  <si>
    <t>攻</t>
  </si>
  <si>
    <t>守</t>
  </si>
  <si>
    <t>锐</t>
  </si>
  <si>
    <t>伤</t>
  </si>
  <si>
    <t>proAdd</t>
  </si>
  <si>
    <t>属性变化</t>
  </si>
  <si>
    <t>需要的钱</t>
  </si>
  <si>
    <t>需要的修为</t>
  </si>
  <si>
    <t>K</t>
  </si>
  <si>
    <t>A</t>
  </si>
  <si>
    <t>t</t>
  </si>
  <si>
    <t>y(t)</t>
  </si>
  <si>
    <t>炼精化气</t>
  </si>
  <si>
    <t>炼气化神</t>
  </si>
  <si>
    <t>炼神还虚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</si>
</sst>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_);[Red]\(0\)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rgb="FF333333"/>
      <name val="微软雅黑"/>
      <charset val="134"/>
    </font>
    <font>
      <sz val="10"/>
      <color rgb="FF000000"/>
      <name val="Arial"/>
      <charset val="134"/>
    </font>
    <font>
      <sz val="10"/>
      <color rgb="FF000000"/>
      <name val="宋体"/>
      <charset val="134"/>
      <scheme val="minor"/>
    </font>
    <font>
      <sz val="10.5"/>
      <color rgb="FF121212"/>
      <name val="等线"/>
      <charset val="134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1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13" fillId="13" borderId="3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176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49" fontId="0" fillId="0" borderId="0" xfId="0" applyNumberFormat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3"/>
  <sheetViews>
    <sheetView tabSelected="1" topLeftCell="E1" workbookViewId="0">
      <selection activeCell="J11" sqref="J11"/>
    </sheetView>
  </sheetViews>
  <sheetFormatPr defaultColWidth="9" defaultRowHeight="13.5"/>
  <cols>
    <col min="1" max="1" width="9" style="11" customWidth="1"/>
    <col min="2" max="2" width="15.125" style="11" customWidth="1"/>
    <col min="3" max="3" width="17.125" style="11" customWidth="1"/>
    <col min="4" max="4" width="15.625" style="11" customWidth="1"/>
    <col min="5" max="5" width="54.875" style="11" customWidth="1"/>
    <col min="6" max="6" width="13" style="11" customWidth="1"/>
    <col min="7" max="7" width="16" style="11" customWidth="1"/>
    <col min="8" max="8" width="17.25" style="11" customWidth="1"/>
    <col min="9" max="9" width="12.25" style="11" customWidth="1"/>
    <col min="10" max="10" width="15.5" style="11" customWidth="1"/>
    <col min="11" max="16384" width="9" style="1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</row>
    <row r="3" spans="1:11">
      <c r="A3" t="s">
        <v>13</v>
      </c>
      <c r="B3" s="11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</row>
    <row r="4" spans="2:11">
      <c r="B4" s="3" t="s">
        <v>14</v>
      </c>
      <c r="C4" s="12" t="s">
        <v>15</v>
      </c>
      <c r="D4" s="3" t="s">
        <v>16</v>
      </c>
      <c r="E4" s="3" t="s">
        <v>17</v>
      </c>
      <c r="F4" s="11" t="s">
        <v>18</v>
      </c>
      <c r="G4" s="11">
        <v>50</v>
      </c>
      <c r="H4" s="11">
        <v>50</v>
      </c>
      <c r="I4" s="11">
        <v>50</v>
      </c>
      <c r="J4" s="14">
        <v>100</v>
      </c>
      <c r="K4" s="3" t="s">
        <v>19</v>
      </c>
    </row>
    <row r="5" spans="2:11">
      <c r="B5" s="3" t="s">
        <v>20</v>
      </c>
      <c r="C5" s="12" t="s">
        <v>15</v>
      </c>
      <c r="D5" s="3" t="s">
        <v>16</v>
      </c>
      <c r="E5" s="3" t="s">
        <v>21</v>
      </c>
      <c r="F5" s="3" t="s">
        <v>22</v>
      </c>
      <c r="G5" s="11">
        <v>200</v>
      </c>
      <c r="H5" s="3" t="s">
        <v>23</v>
      </c>
      <c r="I5" s="3" t="s">
        <v>24</v>
      </c>
      <c r="J5" s="14">
        <v>100</v>
      </c>
      <c r="K5" s="3" t="s">
        <v>19</v>
      </c>
    </row>
    <row r="6" spans="2:11">
      <c r="B6" s="3" t="s">
        <v>25</v>
      </c>
      <c r="C6" s="12" t="s">
        <v>15</v>
      </c>
      <c r="D6" s="3" t="s">
        <v>16</v>
      </c>
      <c r="E6" s="3" t="s">
        <v>26</v>
      </c>
      <c r="F6" s="11" t="s">
        <v>22</v>
      </c>
      <c r="G6" s="3" t="s">
        <v>27</v>
      </c>
      <c r="H6" s="3" t="s">
        <v>28</v>
      </c>
      <c r="I6" s="3" t="s">
        <v>29</v>
      </c>
      <c r="J6" s="14">
        <v>100</v>
      </c>
      <c r="K6" s="3" t="s">
        <v>19</v>
      </c>
    </row>
    <row r="7" spans="2:11">
      <c r="B7" s="3" t="s">
        <v>30</v>
      </c>
      <c r="C7" s="12" t="s">
        <v>15</v>
      </c>
      <c r="D7" s="3" t="s">
        <v>16</v>
      </c>
      <c r="E7" s="3" t="s">
        <v>31</v>
      </c>
      <c r="F7" s="3" t="s">
        <v>22</v>
      </c>
      <c r="G7" s="11">
        <v>800</v>
      </c>
      <c r="H7" s="11">
        <v>71.9</v>
      </c>
      <c r="I7" s="11">
        <v>1500</v>
      </c>
      <c r="J7" s="14">
        <v>100</v>
      </c>
      <c r="K7" s="3" t="s">
        <v>19</v>
      </c>
    </row>
    <row r="8" spans="2:11">
      <c r="B8" s="3" t="s">
        <v>32</v>
      </c>
      <c r="C8" s="12" t="s">
        <v>15</v>
      </c>
      <c r="D8" s="3" t="s">
        <v>16</v>
      </c>
      <c r="E8" s="3" t="s">
        <v>33</v>
      </c>
      <c r="F8" s="11" t="s">
        <v>22</v>
      </c>
      <c r="G8" s="11">
        <v>1250</v>
      </c>
      <c r="H8" s="11">
        <v>79.2</v>
      </c>
      <c r="I8" s="11">
        <v>2750</v>
      </c>
      <c r="J8" s="14">
        <v>100</v>
      </c>
      <c r="K8" s="3" t="s">
        <v>19</v>
      </c>
    </row>
    <row r="9" spans="2:11">
      <c r="B9" s="3" t="s">
        <v>34</v>
      </c>
      <c r="C9" s="12" t="s">
        <v>15</v>
      </c>
      <c r="D9" s="3" t="s">
        <v>16</v>
      </c>
      <c r="E9" s="3" t="s">
        <v>35</v>
      </c>
      <c r="F9" s="3" t="s">
        <v>22</v>
      </c>
      <c r="G9" s="11">
        <v>1800</v>
      </c>
      <c r="H9" s="11">
        <v>86.5</v>
      </c>
      <c r="I9" s="11">
        <v>4550</v>
      </c>
      <c r="J9" s="14" t="s">
        <v>36</v>
      </c>
      <c r="K9" s="3" t="s">
        <v>19</v>
      </c>
    </row>
    <row r="10" spans="2:11">
      <c r="B10" s="3" t="s">
        <v>37</v>
      </c>
      <c r="C10" s="12" t="s">
        <v>15</v>
      </c>
      <c r="D10" s="3" t="s">
        <v>16</v>
      </c>
      <c r="E10" s="3" t="s">
        <v>38</v>
      </c>
      <c r="F10" s="11" t="s">
        <v>22</v>
      </c>
      <c r="G10" s="11">
        <v>2450</v>
      </c>
      <c r="H10" s="11">
        <v>93.8</v>
      </c>
      <c r="I10" s="11">
        <v>7000</v>
      </c>
      <c r="J10" s="14">
        <v>100</v>
      </c>
      <c r="K10" s="3" t="s">
        <v>19</v>
      </c>
    </row>
    <row r="11" spans="2:11">
      <c r="B11" s="3" t="s">
        <v>39</v>
      </c>
      <c r="C11" s="12" t="s">
        <v>15</v>
      </c>
      <c r="D11" s="3" t="s">
        <v>16</v>
      </c>
      <c r="E11" s="3" t="s">
        <v>40</v>
      </c>
      <c r="F11" s="11" t="s">
        <v>22</v>
      </c>
      <c r="G11" s="11">
        <v>3200</v>
      </c>
      <c r="H11" s="11">
        <v>101.1</v>
      </c>
      <c r="I11" s="11">
        <v>10200</v>
      </c>
      <c r="J11" s="14">
        <v>100</v>
      </c>
      <c r="K11" s="3" t="s">
        <v>19</v>
      </c>
    </row>
    <row r="12" spans="2:11">
      <c r="B12" s="3" t="s">
        <v>41</v>
      </c>
      <c r="C12" s="12" t="s">
        <v>15</v>
      </c>
      <c r="D12" s="3" t="s">
        <v>16</v>
      </c>
      <c r="E12" s="3" t="s">
        <v>42</v>
      </c>
      <c r="F12" s="11" t="s">
        <v>22</v>
      </c>
      <c r="G12" s="11">
        <v>4050</v>
      </c>
      <c r="H12" s="11">
        <v>108.4</v>
      </c>
      <c r="I12" s="11">
        <v>14250</v>
      </c>
      <c r="J12" s="14">
        <v>100</v>
      </c>
      <c r="K12" s="3" t="s">
        <v>19</v>
      </c>
    </row>
    <row r="13" spans="2:11">
      <c r="B13" s="3" t="s">
        <v>43</v>
      </c>
      <c r="C13" s="12" t="s">
        <v>15</v>
      </c>
      <c r="D13" s="3" t="s">
        <v>16</v>
      </c>
      <c r="E13" s="3" t="s">
        <v>44</v>
      </c>
      <c r="F13" s="11" t="s">
        <v>22</v>
      </c>
      <c r="G13" s="11">
        <v>5000</v>
      </c>
      <c r="H13" s="11">
        <v>115.7</v>
      </c>
      <c r="I13" s="11">
        <v>19250</v>
      </c>
      <c r="J13" s="14" t="s">
        <v>36</v>
      </c>
      <c r="K13" s="3" t="s">
        <v>19</v>
      </c>
    </row>
    <row r="14" spans="2:11">
      <c r="B14" s="3" t="s">
        <v>45</v>
      </c>
      <c r="C14" s="12" t="s">
        <v>15</v>
      </c>
      <c r="D14" s="3" t="s">
        <v>46</v>
      </c>
      <c r="E14" s="3" t="s">
        <v>47</v>
      </c>
      <c r="F14" s="11" t="s">
        <v>48</v>
      </c>
      <c r="G14" s="11">
        <v>6050</v>
      </c>
      <c r="H14" s="11">
        <v>123</v>
      </c>
      <c r="I14" s="11">
        <v>25300</v>
      </c>
      <c r="J14" s="14" t="s">
        <v>36</v>
      </c>
      <c r="K14" s="3" t="s">
        <v>19</v>
      </c>
    </row>
    <row r="15" spans="2:11">
      <c r="B15" s="3" t="s">
        <v>49</v>
      </c>
      <c r="C15" s="12" t="s">
        <v>15</v>
      </c>
      <c r="D15" s="3" t="s">
        <v>46</v>
      </c>
      <c r="E15" s="3" t="s">
        <v>50</v>
      </c>
      <c r="F15" s="11" t="s">
        <v>22</v>
      </c>
      <c r="G15" s="11">
        <v>7200</v>
      </c>
      <c r="H15" s="11">
        <v>130.3</v>
      </c>
      <c r="I15" s="11" t="s">
        <v>51</v>
      </c>
      <c r="J15" s="14" t="s">
        <v>36</v>
      </c>
      <c r="K15" s="3" t="s">
        <v>19</v>
      </c>
    </row>
    <row r="16" spans="2:11">
      <c r="B16" s="3" t="s">
        <v>52</v>
      </c>
      <c r="C16" s="12" t="s">
        <v>15</v>
      </c>
      <c r="D16" s="3" t="s">
        <v>46</v>
      </c>
      <c r="E16" s="3" t="s">
        <v>53</v>
      </c>
      <c r="F16" s="11" t="s">
        <v>22</v>
      </c>
      <c r="G16" s="11">
        <v>8450</v>
      </c>
      <c r="H16" s="11">
        <v>137.6</v>
      </c>
      <c r="I16" s="11">
        <v>40950</v>
      </c>
      <c r="J16" s="14" t="s">
        <v>36</v>
      </c>
      <c r="K16" s="3" t="s">
        <v>19</v>
      </c>
    </row>
    <row r="17" spans="2:11">
      <c r="B17" s="3" t="s">
        <v>54</v>
      </c>
      <c r="C17" s="12" t="s">
        <v>15</v>
      </c>
      <c r="D17" s="3" t="s">
        <v>46</v>
      </c>
      <c r="E17" s="3" t="s">
        <v>55</v>
      </c>
      <c r="F17" s="11" t="s">
        <v>22</v>
      </c>
      <c r="G17" s="11">
        <v>9800</v>
      </c>
      <c r="H17" s="11">
        <v>144.9</v>
      </c>
      <c r="I17" s="11">
        <v>50750</v>
      </c>
      <c r="J17" s="14" t="s">
        <v>36</v>
      </c>
      <c r="K17" s="3" t="s">
        <v>19</v>
      </c>
    </row>
    <row r="18" spans="2:11">
      <c r="B18" s="3" t="s">
        <v>56</v>
      </c>
      <c r="C18" s="12" t="s">
        <v>15</v>
      </c>
      <c r="D18" s="3" t="s">
        <v>46</v>
      </c>
      <c r="E18" s="3" t="s">
        <v>57</v>
      </c>
      <c r="F18" s="11" t="s">
        <v>22</v>
      </c>
      <c r="G18" s="3" t="s">
        <v>58</v>
      </c>
      <c r="H18" s="11">
        <v>152.2</v>
      </c>
      <c r="I18" s="11">
        <v>62000</v>
      </c>
      <c r="J18" s="14" t="s">
        <v>36</v>
      </c>
      <c r="K18" s="3" t="s">
        <v>19</v>
      </c>
    </row>
    <row r="19" spans="2:11">
      <c r="B19" s="3" t="s">
        <v>59</v>
      </c>
      <c r="C19" s="12" t="s">
        <v>15</v>
      </c>
      <c r="D19" s="3" t="s">
        <v>46</v>
      </c>
      <c r="E19" s="3" t="s">
        <v>60</v>
      </c>
      <c r="F19" s="11" t="s">
        <v>22</v>
      </c>
      <c r="G19" s="11">
        <v>12800</v>
      </c>
      <c r="H19" s="11">
        <v>159.5</v>
      </c>
      <c r="I19" s="11">
        <v>74800</v>
      </c>
      <c r="J19" s="14" t="s">
        <v>36</v>
      </c>
      <c r="K19" s="3" t="s">
        <v>19</v>
      </c>
    </row>
    <row r="20" spans="2:11">
      <c r="B20" s="3" t="s">
        <v>61</v>
      </c>
      <c r="C20" s="12" t="s">
        <v>15</v>
      </c>
      <c r="D20" s="3" t="s">
        <v>46</v>
      </c>
      <c r="E20" s="3" t="s">
        <v>62</v>
      </c>
      <c r="F20" s="11" t="s">
        <v>22</v>
      </c>
      <c r="G20" s="11">
        <v>14450</v>
      </c>
      <c r="H20" s="11">
        <v>166.8</v>
      </c>
      <c r="I20" s="11">
        <v>89250</v>
      </c>
      <c r="J20" s="14" t="s">
        <v>36</v>
      </c>
      <c r="K20" s="3" t="s">
        <v>19</v>
      </c>
    </row>
    <row r="21" spans="2:11">
      <c r="B21" s="3" t="s">
        <v>63</v>
      </c>
      <c r="C21" s="12" t="s">
        <v>15</v>
      </c>
      <c r="D21" s="3" t="s">
        <v>46</v>
      </c>
      <c r="E21" s="3" t="s">
        <v>64</v>
      </c>
      <c r="F21" s="11" t="s">
        <v>22</v>
      </c>
      <c r="G21" s="11">
        <v>16200</v>
      </c>
      <c r="H21" s="11">
        <v>174.1</v>
      </c>
      <c r="I21" s="11">
        <v>105450</v>
      </c>
      <c r="J21" s="14" t="s">
        <v>36</v>
      </c>
      <c r="K21" s="3" t="s">
        <v>19</v>
      </c>
    </row>
    <row r="22" spans="2:11">
      <c r="B22" s="3" t="s">
        <v>65</v>
      </c>
      <c r="C22" s="12" t="s">
        <v>15</v>
      </c>
      <c r="D22" s="3" t="s">
        <v>46</v>
      </c>
      <c r="E22" s="3" t="s">
        <v>66</v>
      </c>
      <c r="F22" s="11" t="s">
        <v>22</v>
      </c>
      <c r="G22" s="11">
        <v>18050</v>
      </c>
      <c r="H22" s="11">
        <v>181.4</v>
      </c>
      <c r="I22" s="11">
        <v>123500</v>
      </c>
      <c r="J22" s="14" t="s">
        <v>36</v>
      </c>
      <c r="K22" s="3" t="s">
        <v>19</v>
      </c>
    </row>
    <row r="23" spans="2:11">
      <c r="B23" s="3" t="s">
        <v>67</v>
      </c>
      <c r="C23" s="12" t="s">
        <v>15</v>
      </c>
      <c r="D23" s="3" t="s">
        <v>46</v>
      </c>
      <c r="E23" s="3" t="s">
        <v>68</v>
      </c>
      <c r="F23" s="11" t="s">
        <v>22</v>
      </c>
      <c r="G23" s="11">
        <v>20000</v>
      </c>
      <c r="H23" s="11">
        <v>188.7</v>
      </c>
      <c r="I23" s="11">
        <v>143500</v>
      </c>
      <c r="J23" s="14" t="s">
        <v>36</v>
      </c>
      <c r="K23" s="3" t="s">
        <v>19</v>
      </c>
    </row>
    <row r="24" spans="2:11">
      <c r="B24" s="3" t="s">
        <v>69</v>
      </c>
      <c r="C24" s="12" t="s">
        <v>15</v>
      </c>
      <c r="D24" s="3" t="s">
        <v>70</v>
      </c>
      <c r="E24" s="3" t="s">
        <v>71</v>
      </c>
      <c r="F24" s="11" t="s">
        <v>72</v>
      </c>
      <c r="G24" s="11">
        <v>22050</v>
      </c>
      <c r="H24" s="11">
        <v>196</v>
      </c>
      <c r="I24" s="11">
        <v>165550</v>
      </c>
      <c r="J24" s="14" t="s">
        <v>36</v>
      </c>
      <c r="K24" s="3" t="s">
        <v>19</v>
      </c>
    </row>
    <row r="25" spans="2:11">
      <c r="B25" s="3" t="s">
        <v>73</v>
      </c>
      <c r="C25" s="12" t="s">
        <v>15</v>
      </c>
      <c r="D25" s="3" t="s">
        <v>70</v>
      </c>
      <c r="E25" s="3" t="s">
        <v>74</v>
      </c>
      <c r="F25" s="11" t="s">
        <v>22</v>
      </c>
      <c r="G25" s="11">
        <v>24200</v>
      </c>
      <c r="H25" s="11">
        <v>203.3</v>
      </c>
      <c r="I25" s="11">
        <v>189750</v>
      </c>
      <c r="J25" s="14" t="s">
        <v>36</v>
      </c>
      <c r="K25" s="3" t="s">
        <v>19</v>
      </c>
    </row>
    <row r="26" spans="2:11">
      <c r="B26" s="3" t="s">
        <v>75</v>
      </c>
      <c r="C26" s="12" t="s">
        <v>15</v>
      </c>
      <c r="D26" s="3" t="s">
        <v>70</v>
      </c>
      <c r="E26" s="3" t="s">
        <v>76</v>
      </c>
      <c r="F26" s="11" t="s">
        <v>22</v>
      </c>
      <c r="G26" s="11">
        <v>26450</v>
      </c>
      <c r="H26" s="11">
        <v>210.6</v>
      </c>
      <c r="I26" s="11">
        <v>216200</v>
      </c>
      <c r="J26" s="14" t="s">
        <v>36</v>
      </c>
      <c r="K26" s="3" t="s">
        <v>19</v>
      </c>
    </row>
    <row r="27" spans="2:11">
      <c r="B27" s="3" t="s">
        <v>77</v>
      </c>
      <c r="C27" s="12" t="s">
        <v>15</v>
      </c>
      <c r="D27" s="3" t="s">
        <v>70</v>
      </c>
      <c r="E27" s="3" t="s">
        <v>78</v>
      </c>
      <c r="F27" s="11" t="s">
        <v>22</v>
      </c>
      <c r="G27" s="11">
        <v>28800</v>
      </c>
      <c r="H27" s="11">
        <v>217.9</v>
      </c>
      <c r="I27" s="11">
        <v>245000</v>
      </c>
      <c r="J27" s="14" t="s">
        <v>36</v>
      </c>
      <c r="K27" s="3" t="s">
        <v>19</v>
      </c>
    </row>
    <row r="28" spans="2:11">
      <c r="B28" s="3" t="s">
        <v>79</v>
      </c>
      <c r="C28" s="12" t="s">
        <v>15</v>
      </c>
      <c r="D28" s="3" t="s">
        <v>70</v>
      </c>
      <c r="E28" s="3" t="s">
        <v>80</v>
      </c>
      <c r="F28" s="11" t="s">
        <v>22</v>
      </c>
      <c r="G28" s="11">
        <v>31250</v>
      </c>
      <c r="H28" s="11">
        <v>225.2</v>
      </c>
      <c r="I28" s="11">
        <v>276250</v>
      </c>
      <c r="J28" s="14" t="s">
        <v>36</v>
      </c>
      <c r="K28" s="3" t="s">
        <v>19</v>
      </c>
    </row>
    <row r="29" spans="2:11">
      <c r="B29" s="3" t="s">
        <v>81</v>
      </c>
      <c r="C29" s="12" t="s">
        <v>15</v>
      </c>
      <c r="D29" s="3" t="s">
        <v>70</v>
      </c>
      <c r="E29" s="3" t="s">
        <v>82</v>
      </c>
      <c r="F29" s="11" t="s">
        <v>22</v>
      </c>
      <c r="G29" s="11">
        <v>33800</v>
      </c>
      <c r="H29" s="11">
        <v>232.5</v>
      </c>
      <c r="I29" s="11">
        <v>310050</v>
      </c>
      <c r="J29" s="14" t="s">
        <v>36</v>
      </c>
      <c r="K29" s="3" t="s">
        <v>19</v>
      </c>
    </row>
    <row r="30" spans="2:11">
      <c r="B30" s="3" t="s">
        <v>83</v>
      </c>
      <c r="C30" s="12" t="s">
        <v>15</v>
      </c>
      <c r="D30" s="3" t="s">
        <v>70</v>
      </c>
      <c r="E30" s="3" t="s">
        <v>84</v>
      </c>
      <c r="F30" s="11" t="s">
        <v>22</v>
      </c>
      <c r="G30" s="11">
        <v>36450</v>
      </c>
      <c r="H30" s="11">
        <v>239.8</v>
      </c>
      <c r="I30" s="11">
        <v>346500</v>
      </c>
      <c r="J30" s="14" t="s">
        <v>36</v>
      </c>
      <c r="K30" s="3" t="s">
        <v>19</v>
      </c>
    </row>
    <row r="31" spans="2:11">
      <c r="B31" s="3" t="s">
        <v>85</v>
      </c>
      <c r="C31" s="12" t="s">
        <v>15</v>
      </c>
      <c r="D31" s="3" t="s">
        <v>70</v>
      </c>
      <c r="E31" s="3" t="s">
        <v>86</v>
      </c>
      <c r="F31" s="11" t="s">
        <v>22</v>
      </c>
      <c r="G31" s="11">
        <v>39200</v>
      </c>
      <c r="H31" s="11">
        <v>247.1</v>
      </c>
      <c r="I31" s="11">
        <v>385700</v>
      </c>
      <c r="J31" s="14" t="s">
        <v>36</v>
      </c>
      <c r="K31" s="3" t="s">
        <v>19</v>
      </c>
    </row>
    <row r="32" spans="2:11">
      <c r="B32" s="3" t="s">
        <v>87</v>
      </c>
      <c r="C32" s="12" t="s">
        <v>15</v>
      </c>
      <c r="D32" s="3" t="s">
        <v>70</v>
      </c>
      <c r="E32" s="3" t="s">
        <v>88</v>
      </c>
      <c r="F32" s="11" t="s">
        <v>22</v>
      </c>
      <c r="G32" s="11">
        <v>42050</v>
      </c>
      <c r="H32" s="11">
        <v>254.4</v>
      </c>
      <c r="I32" s="11">
        <v>427750</v>
      </c>
      <c r="J32" s="14" t="s">
        <v>36</v>
      </c>
      <c r="K32" s="3" t="s">
        <v>19</v>
      </c>
    </row>
    <row r="33" spans="2:11">
      <c r="B33" s="3" t="s">
        <v>89</v>
      </c>
      <c r="C33" s="12" t="s">
        <v>15</v>
      </c>
      <c r="D33" s="3" t="s">
        <v>70</v>
      </c>
      <c r="E33" s="3" t="s">
        <v>90</v>
      </c>
      <c r="F33" s="11" t="s">
        <v>22</v>
      </c>
      <c r="G33" s="11">
        <v>45000</v>
      </c>
      <c r="H33" s="11">
        <v>261.7</v>
      </c>
      <c r="I33" s="11">
        <v>472750</v>
      </c>
      <c r="J33" s="14" t="s">
        <v>36</v>
      </c>
      <c r="K33" s="3" t="s">
        <v>19</v>
      </c>
    </row>
    <row r="34" spans="2:11">
      <c r="B34" s="3" t="s">
        <v>91</v>
      </c>
      <c r="C34" s="13" t="s">
        <v>92</v>
      </c>
      <c r="D34" s="3" t="s">
        <v>93</v>
      </c>
      <c r="E34" s="3" t="s">
        <v>94</v>
      </c>
      <c r="F34" s="11" t="s">
        <v>48</v>
      </c>
      <c r="G34" s="11">
        <v>48050</v>
      </c>
      <c r="H34" s="11">
        <v>269</v>
      </c>
      <c r="I34" s="11">
        <v>520800</v>
      </c>
      <c r="J34" s="14" t="s">
        <v>36</v>
      </c>
      <c r="K34" s="3" t="s">
        <v>95</v>
      </c>
    </row>
    <row r="35" spans="2:11">
      <c r="B35" s="3" t="s">
        <v>96</v>
      </c>
      <c r="C35" s="13" t="s">
        <v>92</v>
      </c>
      <c r="D35" s="3" t="s">
        <v>93</v>
      </c>
      <c r="E35" s="3" t="s">
        <v>97</v>
      </c>
      <c r="F35" s="11" t="s">
        <v>22</v>
      </c>
      <c r="G35" s="11">
        <v>51200</v>
      </c>
      <c r="H35" s="11">
        <v>276.3</v>
      </c>
      <c r="I35" s="11">
        <v>572000</v>
      </c>
      <c r="J35" s="14" t="s">
        <v>36</v>
      </c>
      <c r="K35" s="3" t="s">
        <v>95</v>
      </c>
    </row>
    <row r="36" spans="2:11">
      <c r="B36" s="3" t="s">
        <v>98</v>
      </c>
      <c r="C36" s="13" t="s">
        <v>92</v>
      </c>
      <c r="D36" s="3" t="s">
        <v>93</v>
      </c>
      <c r="E36" s="3" t="s">
        <v>99</v>
      </c>
      <c r="F36" s="11" t="s">
        <v>22</v>
      </c>
      <c r="G36" s="11">
        <v>54450</v>
      </c>
      <c r="H36" s="11">
        <v>283.6</v>
      </c>
      <c r="I36" s="11">
        <v>626450</v>
      </c>
      <c r="J36" s="14" t="s">
        <v>36</v>
      </c>
      <c r="K36" s="3" t="s">
        <v>95</v>
      </c>
    </row>
    <row r="37" spans="2:11">
      <c r="B37" s="3" t="s">
        <v>100</v>
      </c>
      <c r="C37" s="13" t="s">
        <v>92</v>
      </c>
      <c r="D37" s="3" t="s">
        <v>93</v>
      </c>
      <c r="E37" s="3" t="s">
        <v>101</v>
      </c>
      <c r="F37" s="11" t="s">
        <v>22</v>
      </c>
      <c r="G37" s="11">
        <v>57800</v>
      </c>
      <c r="H37" s="11">
        <v>290.9</v>
      </c>
      <c r="I37" s="11">
        <v>684250</v>
      </c>
      <c r="J37" s="14" t="s">
        <v>36</v>
      </c>
      <c r="K37" s="3" t="s">
        <v>95</v>
      </c>
    </row>
    <row r="38" spans="2:11">
      <c r="B38" s="3" t="s">
        <v>102</v>
      </c>
      <c r="C38" s="13" t="s">
        <v>92</v>
      </c>
      <c r="D38" s="3" t="s">
        <v>93</v>
      </c>
      <c r="E38" s="3" t="s">
        <v>103</v>
      </c>
      <c r="F38" s="11" t="s">
        <v>22</v>
      </c>
      <c r="G38" s="11">
        <v>61250</v>
      </c>
      <c r="H38" s="11">
        <v>298.2</v>
      </c>
      <c r="I38" s="11">
        <v>745500</v>
      </c>
      <c r="J38" s="14" t="s">
        <v>36</v>
      </c>
      <c r="K38" s="3" t="s">
        <v>95</v>
      </c>
    </row>
    <row r="39" spans="2:11">
      <c r="B39" s="3" t="s">
        <v>104</v>
      </c>
      <c r="C39" s="13" t="s">
        <v>92</v>
      </c>
      <c r="D39" s="3" t="s">
        <v>93</v>
      </c>
      <c r="E39" s="3" t="s">
        <v>105</v>
      </c>
      <c r="F39" s="11" t="s">
        <v>22</v>
      </c>
      <c r="G39" s="11">
        <v>64800</v>
      </c>
      <c r="H39" s="11">
        <v>305.5</v>
      </c>
      <c r="I39" s="11">
        <v>810300</v>
      </c>
      <c r="J39" s="14" t="s">
        <v>36</v>
      </c>
      <c r="K39" s="3" t="s">
        <v>95</v>
      </c>
    </row>
    <row r="40" spans="2:11">
      <c r="B40" s="3" t="s">
        <v>106</v>
      </c>
      <c r="C40" s="13" t="s">
        <v>92</v>
      </c>
      <c r="D40" s="3" t="s">
        <v>93</v>
      </c>
      <c r="E40" s="3" t="s">
        <v>107</v>
      </c>
      <c r="F40" s="11" t="s">
        <v>22</v>
      </c>
      <c r="G40" s="11">
        <v>68450</v>
      </c>
      <c r="H40" s="11">
        <v>312.8</v>
      </c>
      <c r="I40" s="11">
        <v>878750</v>
      </c>
      <c r="J40" s="14" t="s">
        <v>36</v>
      </c>
      <c r="K40" s="3" t="s">
        <v>95</v>
      </c>
    </row>
    <row r="41" spans="2:11">
      <c r="B41" s="3" t="s">
        <v>108</v>
      </c>
      <c r="C41" s="13" t="s">
        <v>92</v>
      </c>
      <c r="D41" s="3" t="s">
        <v>93</v>
      </c>
      <c r="E41" s="3" t="s">
        <v>109</v>
      </c>
      <c r="F41" s="11" t="s">
        <v>22</v>
      </c>
      <c r="G41" s="11">
        <v>72200</v>
      </c>
      <c r="H41" s="11">
        <v>320.1</v>
      </c>
      <c r="I41" s="11">
        <v>950950</v>
      </c>
      <c r="J41" s="14" t="s">
        <v>36</v>
      </c>
      <c r="K41" s="3" t="s">
        <v>95</v>
      </c>
    </row>
    <row r="42" spans="2:11">
      <c r="B42" s="3" t="s">
        <v>110</v>
      </c>
      <c r="C42" s="13" t="s">
        <v>92</v>
      </c>
      <c r="D42" s="3" t="s">
        <v>93</v>
      </c>
      <c r="E42" s="3" t="s">
        <v>111</v>
      </c>
      <c r="F42" s="11" t="s">
        <v>22</v>
      </c>
      <c r="G42" s="11">
        <v>76050</v>
      </c>
      <c r="H42" s="11">
        <v>327.4</v>
      </c>
      <c r="I42" s="11">
        <v>1027000</v>
      </c>
      <c r="J42" s="14" t="s">
        <v>36</v>
      </c>
      <c r="K42" s="3" t="s">
        <v>95</v>
      </c>
    </row>
    <row r="43" spans="2:11">
      <c r="B43" s="3" t="s">
        <v>112</v>
      </c>
      <c r="C43" s="13" t="s">
        <v>92</v>
      </c>
      <c r="D43" s="3" t="s">
        <v>93</v>
      </c>
      <c r="E43" s="3" t="s">
        <v>113</v>
      </c>
      <c r="F43" s="11" t="s">
        <v>22</v>
      </c>
      <c r="G43" s="11">
        <v>80000</v>
      </c>
      <c r="H43" s="11">
        <v>334.7</v>
      </c>
      <c r="I43" s="11">
        <v>1107000</v>
      </c>
      <c r="J43" s="14" t="s">
        <v>36</v>
      </c>
      <c r="K43" s="3" t="s">
        <v>95</v>
      </c>
    </row>
    <row r="44" spans="2:11">
      <c r="B44" s="3" t="s">
        <v>114</v>
      </c>
      <c r="C44" s="13" t="s">
        <v>92</v>
      </c>
      <c r="D44" s="3" t="s">
        <v>115</v>
      </c>
      <c r="E44" s="3" t="s">
        <v>116</v>
      </c>
      <c r="F44" s="11" t="s">
        <v>117</v>
      </c>
      <c r="G44" s="11">
        <v>84050</v>
      </c>
      <c r="H44" s="11">
        <v>342</v>
      </c>
      <c r="I44" s="11">
        <v>1191050</v>
      </c>
      <c r="J44" s="14" t="s">
        <v>36</v>
      </c>
      <c r="K44" s="3" t="s">
        <v>95</v>
      </c>
    </row>
    <row r="45" spans="2:11">
      <c r="B45" s="3" t="s">
        <v>118</v>
      </c>
      <c r="C45" s="13" t="s">
        <v>92</v>
      </c>
      <c r="D45" s="3" t="s">
        <v>115</v>
      </c>
      <c r="E45" s="3" t="s">
        <v>119</v>
      </c>
      <c r="F45" s="11" t="s">
        <v>22</v>
      </c>
      <c r="G45" s="11">
        <v>88200</v>
      </c>
      <c r="H45" s="11">
        <v>349.3</v>
      </c>
      <c r="I45" s="11">
        <v>1279250</v>
      </c>
      <c r="J45" s="14" t="s">
        <v>36</v>
      </c>
      <c r="K45" s="3" t="s">
        <v>95</v>
      </c>
    </row>
    <row r="46" spans="2:11">
      <c r="B46" s="3" t="s">
        <v>120</v>
      </c>
      <c r="C46" s="13" t="s">
        <v>92</v>
      </c>
      <c r="D46" s="3" t="s">
        <v>115</v>
      </c>
      <c r="E46" s="3" t="s">
        <v>121</v>
      </c>
      <c r="F46" s="11" t="s">
        <v>22</v>
      </c>
      <c r="G46" s="11">
        <v>92450</v>
      </c>
      <c r="H46" s="11">
        <v>356.6</v>
      </c>
      <c r="I46" s="11">
        <v>1371700</v>
      </c>
      <c r="J46" s="14" t="s">
        <v>36</v>
      </c>
      <c r="K46" s="3" t="s">
        <v>95</v>
      </c>
    </row>
    <row r="47" spans="2:11">
      <c r="B47" s="3" t="s">
        <v>122</v>
      </c>
      <c r="C47" s="13" t="s">
        <v>92</v>
      </c>
      <c r="D47" s="3" t="s">
        <v>115</v>
      </c>
      <c r="E47" s="3" t="s">
        <v>123</v>
      </c>
      <c r="F47" s="11" t="s">
        <v>22</v>
      </c>
      <c r="G47" s="11">
        <v>96800</v>
      </c>
      <c r="H47" s="11">
        <v>363.9</v>
      </c>
      <c r="I47" s="11">
        <v>1468500</v>
      </c>
      <c r="J47" s="14" t="s">
        <v>36</v>
      </c>
      <c r="K47" s="3" t="s">
        <v>95</v>
      </c>
    </row>
    <row r="48" spans="2:11">
      <c r="B48" s="3" t="s">
        <v>124</v>
      </c>
      <c r="C48" s="13" t="s">
        <v>92</v>
      </c>
      <c r="D48" s="3" t="s">
        <v>115</v>
      </c>
      <c r="E48" s="3" t="s">
        <v>125</v>
      </c>
      <c r="F48" s="11" t="s">
        <v>22</v>
      </c>
      <c r="G48" s="11">
        <v>101250</v>
      </c>
      <c r="H48" s="11">
        <v>371.2</v>
      </c>
      <c r="I48" s="11">
        <v>1569750</v>
      </c>
      <c r="J48" s="14" t="s">
        <v>36</v>
      </c>
      <c r="K48" s="3" t="s">
        <v>95</v>
      </c>
    </row>
    <row r="49" spans="2:11">
      <c r="B49" s="3" t="s">
        <v>126</v>
      </c>
      <c r="C49" s="13" t="s">
        <v>92</v>
      </c>
      <c r="D49" s="3" t="s">
        <v>115</v>
      </c>
      <c r="E49" s="3" t="s">
        <v>127</v>
      </c>
      <c r="F49" s="11" t="s">
        <v>22</v>
      </c>
      <c r="G49" s="11">
        <v>105800</v>
      </c>
      <c r="H49" s="11">
        <v>378.5</v>
      </c>
      <c r="I49" s="11">
        <v>1675550</v>
      </c>
      <c r="J49" s="14" t="s">
        <v>36</v>
      </c>
      <c r="K49" s="3" t="s">
        <v>95</v>
      </c>
    </row>
    <row r="50" spans="2:11">
      <c r="B50" s="3" t="s">
        <v>128</v>
      </c>
      <c r="C50" s="13" t="s">
        <v>92</v>
      </c>
      <c r="D50" s="3" t="s">
        <v>115</v>
      </c>
      <c r="E50" s="3" t="s">
        <v>129</v>
      </c>
      <c r="F50" s="11" t="s">
        <v>22</v>
      </c>
      <c r="G50" s="11">
        <v>110450</v>
      </c>
      <c r="H50" s="11">
        <v>385.8</v>
      </c>
      <c r="I50" s="11">
        <v>1786000</v>
      </c>
      <c r="J50" s="14" t="s">
        <v>36</v>
      </c>
      <c r="K50" s="3" t="s">
        <v>95</v>
      </c>
    </row>
    <row r="51" spans="2:11">
      <c r="B51" s="3" t="s">
        <v>130</v>
      </c>
      <c r="C51" s="13" t="s">
        <v>92</v>
      </c>
      <c r="D51" s="3" t="s">
        <v>115</v>
      </c>
      <c r="E51" s="3" t="s">
        <v>131</v>
      </c>
      <c r="F51" s="11" t="s">
        <v>22</v>
      </c>
      <c r="G51" s="11">
        <v>115200</v>
      </c>
      <c r="H51" s="11">
        <v>393.1</v>
      </c>
      <c r="I51" s="11">
        <v>1901200</v>
      </c>
      <c r="J51" s="14" t="s">
        <v>36</v>
      </c>
      <c r="K51" s="3" t="s">
        <v>95</v>
      </c>
    </row>
    <row r="52" spans="2:11">
      <c r="B52" s="3" t="s">
        <v>132</v>
      </c>
      <c r="C52" s="13" t="s">
        <v>92</v>
      </c>
      <c r="D52" s="3" t="s">
        <v>115</v>
      </c>
      <c r="E52" s="3" t="s">
        <v>133</v>
      </c>
      <c r="F52" s="11" t="s">
        <v>22</v>
      </c>
      <c r="G52" s="11">
        <v>120050</v>
      </c>
      <c r="H52" s="11">
        <v>400.4</v>
      </c>
      <c r="I52" s="11">
        <v>2021250</v>
      </c>
      <c r="J52" s="14" t="s">
        <v>36</v>
      </c>
      <c r="K52" s="3" t="s">
        <v>95</v>
      </c>
    </row>
    <row r="53" spans="2:11">
      <c r="B53" s="3" t="s">
        <v>134</v>
      </c>
      <c r="C53" s="13" t="s">
        <v>92</v>
      </c>
      <c r="D53" s="3" t="s">
        <v>115</v>
      </c>
      <c r="E53" s="3" t="s">
        <v>135</v>
      </c>
      <c r="F53" s="11" t="s">
        <v>22</v>
      </c>
      <c r="G53" s="11">
        <v>125000</v>
      </c>
      <c r="H53" s="11">
        <v>407.7</v>
      </c>
      <c r="I53" s="11">
        <v>2146250</v>
      </c>
      <c r="J53" s="14" t="s">
        <v>36</v>
      </c>
      <c r="K53" s="3" t="s">
        <v>95</v>
      </c>
    </row>
    <row r="54" spans="2:11">
      <c r="B54" s="3" t="s">
        <v>136</v>
      </c>
      <c r="C54" s="13" t="s">
        <v>92</v>
      </c>
      <c r="D54" s="3" t="s">
        <v>137</v>
      </c>
      <c r="E54" s="3" t="s">
        <v>138</v>
      </c>
      <c r="F54" s="11" t="s">
        <v>139</v>
      </c>
      <c r="G54" s="11">
        <v>130050</v>
      </c>
      <c r="H54" s="11">
        <v>415</v>
      </c>
      <c r="I54" s="11">
        <v>2276300</v>
      </c>
      <c r="J54" s="14" t="s">
        <v>36</v>
      </c>
      <c r="K54" s="3" t="s">
        <v>95</v>
      </c>
    </row>
    <row r="55" spans="2:11">
      <c r="B55" s="3" t="s">
        <v>140</v>
      </c>
      <c r="C55" s="13" t="s">
        <v>92</v>
      </c>
      <c r="D55" s="3" t="s">
        <v>137</v>
      </c>
      <c r="E55" s="3" t="s">
        <v>141</v>
      </c>
      <c r="F55" s="11" t="s">
        <v>22</v>
      </c>
      <c r="G55" s="11">
        <v>135200</v>
      </c>
      <c r="H55" s="11">
        <v>422.3</v>
      </c>
      <c r="I55" s="11">
        <v>2411500</v>
      </c>
      <c r="J55" s="14" t="s">
        <v>36</v>
      </c>
      <c r="K55" s="3" t="s">
        <v>95</v>
      </c>
    </row>
    <row r="56" spans="2:11">
      <c r="B56" s="3" t="s">
        <v>142</v>
      </c>
      <c r="C56" s="13" t="s">
        <v>92</v>
      </c>
      <c r="D56" s="3" t="s">
        <v>137</v>
      </c>
      <c r="E56" s="3" t="s">
        <v>143</v>
      </c>
      <c r="F56" s="11" t="s">
        <v>22</v>
      </c>
      <c r="G56" s="11">
        <v>140450</v>
      </c>
      <c r="H56" s="11">
        <v>429.6</v>
      </c>
      <c r="I56" s="11">
        <v>2551950</v>
      </c>
      <c r="J56" s="14" t="s">
        <v>36</v>
      </c>
      <c r="K56" s="3" t="s">
        <v>95</v>
      </c>
    </row>
    <row r="57" spans="2:11">
      <c r="B57" s="3" t="s">
        <v>144</v>
      </c>
      <c r="C57" s="13" t="s">
        <v>92</v>
      </c>
      <c r="D57" s="3" t="s">
        <v>137</v>
      </c>
      <c r="E57" s="3" t="s">
        <v>145</v>
      </c>
      <c r="F57" s="11" t="s">
        <v>22</v>
      </c>
      <c r="G57" s="11">
        <v>145800</v>
      </c>
      <c r="H57" s="11">
        <v>436.9</v>
      </c>
      <c r="I57" s="11">
        <v>2697750</v>
      </c>
      <c r="J57" s="14" t="s">
        <v>36</v>
      </c>
      <c r="K57" s="3" t="s">
        <v>95</v>
      </c>
    </row>
    <row r="58" spans="2:11">
      <c r="B58" s="3" t="s">
        <v>146</v>
      </c>
      <c r="C58" s="13" t="s">
        <v>92</v>
      </c>
      <c r="D58" s="3" t="s">
        <v>137</v>
      </c>
      <c r="E58" s="3" t="s">
        <v>147</v>
      </c>
      <c r="F58" s="11" t="s">
        <v>22</v>
      </c>
      <c r="G58" s="11">
        <v>151250</v>
      </c>
      <c r="H58" s="11">
        <v>444.2</v>
      </c>
      <c r="I58" s="11">
        <v>2849000</v>
      </c>
      <c r="J58" s="14" t="s">
        <v>36</v>
      </c>
      <c r="K58" s="3" t="s">
        <v>95</v>
      </c>
    </row>
    <row r="59" spans="2:11">
      <c r="B59" s="3" t="s">
        <v>148</v>
      </c>
      <c r="C59" s="13" t="s">
        <v>92</v>
      </c>
      <c r="D59" s="3" t="s">
        <v>137</v>
      </c>
      <c r="E59" s="3" t="s">
        <v>149</v>
      </c>
      <c r="F59" s="11" t="s">
        <v>22</v>
      </c>
      <c r="G59" s="11">
        <v>156800</v>
      </c>
      <c r="H59" s="11">
        <v>451.5</v>
      </c>
      <c r="I59" s="11">
        <v>3005800</v>
      </c>
      <c r="J59" s="14" t="s">
        <v>36</v>
      </c>
      <c r="K59" s="3" t="s">
        <v>95</v>
      </c>
    </row>
    <row r="60" spans="2:11">
      <c r="B60" s="3" t="s">
        <v>150</v>
      </c>
      <c r="C60" s="13" t="s">
        <v>92</v>
      </c>
      <c r="D60" s="3" t="s">
        <v>137</v>
      </c>
      <c r="E60" s="3" t="s">
        <v>151</v>
      </c>
      <c r="F60" s="11" t="s">
        <v>22</v>
      </c>
      <c r="G60" s="11">
        <v>162450</v>
      </c>
      <c r="H60" s="11">
        <v>458.8</v>
      </c>
      <c r="I60" s="11">
        <v>3168250</v>
      </c>
      <c r="J60" s="14" t="s">
        <v>36</v>
      </c>
      <c r="K60" s="3" t="s">
        <v>95</v>
      </c>
    </row>
    <row r="61" spans="2:11">
      <c r="B61" s="3" t="s">
        <v>152</v>
      </c>
      <c r="C61" s="13" t="s">
        <v>92</v>
      </c>
      <c r="D61" s="3" t="s">
        <v>137</v>
      </c>
      <c r="E61" s="3" t="s">
        <v>153</v>
      </c>
      <c r="F61" s="11" t="s">
        <v>22</v>
      </c>
      <c r="G61" s="11">
        <v>168200</v>
      </c>
      <c r="H61" s="11">
        <v>466.1</v>
      </c>
      <c r="I61" s="11">
        <v>3336450</v>
      </c>
      <c r="J61" s="14" t="s">
        <v>36</v>
      </c>
      <c r="K61" s="3" t="s">
        <v>95</v>
      </c>
    </row>
    <row r="62" spans="2:11">
      <c r="B62" s="3" t="s">
        <v>154</v>
      </c>
      <c r="C62" s="13" t="s">
        <v>92</v>
      </c>
      <c r="D62" s="3" t="s">
        <v>137</v>
      </c>
      <c r="E62" s="3" t="s">
        <v>155</v>
      </c>
      <c r="F62" s="11" t="s">
        <v>22</v>
      </c>
      <c r="G62" s="11">
        <v>174050</v>
      </c>
      <c r="H62" s="11">
        <v>473.4</v>
      </c>
      <c r="I62" s="11">
        <v>3510500</v>
      </c>
      <c r="J62" s="14" t="s">
        <v>36</v>
      </c>
      <c r="K62" s="3" t="s">
        <v>95</v>
      </c>
    </row>
    <row r="63" spans="2:11">
      <c r="B63" s="3" t="s">
        <v>156</v>
      </c>
      <c r="C63" s="13" t="s">
        <v>92</v>
      </c>
      <c r="D63" s="3" t="s">
        <v>137</v>
      </c>
      <c r="E63" s="3" t="s">
        <v>157</v>
      </c>
      <c r="F63" s="11" t="s">
        <v>22</v>
      </c>
      <c r="G63" s="11">
        <v>180000</v>
      </c>
      <c r="H63" s="11">
        <v>480.7</v>
      </c>
      <c r="I63" s="11">
        <v>3690500</v>
      </c>
      <c r="J63" s="14" t="s">
        <v>36</v>
      </c>
      <c r="K63" s="3" t="s">
        <v>95</v>
      </c>
    </row>
    <row r="64" spans="2:11">
      <c r="B64" s="3" t="s">
        <v>158</v>
      </c>
      <c r="C64" s="3" t="s">
        <v>159</v>
      </c>
      <c r="D64" s="3" t="s">
        <v>160</v>
      </c>
      <c r="E64" s="3" t="s">
        <v>161</v>
      </c>
      <c r="F64" s="11" t="s">
        <v>48</v>
      </c>
      <c r="G64" s="11">
        <v>186050</v>
      </c>
      <c r="H64" s="11">
        <v>488</v>
      </c>
      <c r="I64" s="11">
        <v>3876550</v>
      </c>
      <c r="J64" s="14" t="s">
        <v>36</v>
      </c>
      <c r="K64" s="3" t="s">
        <v>162</v>
      </c>
    </row>
    <row r="65" spans="2:11">
      <c r="B65" s="3" t="s">
        <v>163</v>
      </c>
      <c r="C65" s="3" t="s">
        <v>159</v>
      </c>
      <c r="D65" s="3" t="s">
        <v>160</v>
      </c>
      <c r="E65" s="3" t="s">
        <v>164</v>
      </c>
      <c r="F65" s="11" t="s">
        <v>22</v>
      </c>
      <c r="G65" s="11">
        <v>192200</v>
      </c>
      <c r="H65" s="11">
        <v>495.3</v>
      </c>
      <c r="I65" s="11">
        <v>4068750</v>
      </c>
      <c r="J65" s="14" t="s">
        <v>36</v>
      </c>
      <c r="K65" s="3" t="s">
        <v>162</v>
      </c>
    </row>
    <row r="66" spans="2:11">
      <c r="B66" s="3" t="s">
        <v>165</v>
      </c>
      <c r="C66" s="3" t="s">
        <v>159</v>
      </c>
      <c r="D66" s="3" t="s">
        <v>160</v>
      </c>
      <c r="E66" s="3" t="s">
        <v>166</v>
      </c>
      <c r="F66" s="11" t="s">
        <v>22</v>
      </c>
      <c r="G66" s="11">
        <v>198450</v>
      </c>
      <c r="H66" s="11">
        <v>502.6</v>
      </c>
      <c r="I66" s="11">
        <v>4267200</v>
      </c>
      <c r="J66" s="14" t="s">
        <v>36</v>
      </c>
      <c r="K66" s="3" t="s">
        <v>162</v>
      </c>
    </row>
    <row r="67" spans="2:11">
      <c r="B67" s="3" t="s">
        <v>167</v>
      </c>
      <c r="C67" s="3" t="s">
        <v>159</v>
      </c>
      <c r="D67" s="3" t="s">
        <v>160</v>
      </c>
      <c r="E67" s="3" t="s">
        <v>168</v>
      </c>
      <c r="F67" s="11" t="s">
        <v>22</v>
      </c>
      <c r="G67" s="11">
        <v>204800</v>
      </c>
      <c r="H67" s="11">
        <v>509.9</v>
      </c>
      <c r="I67" s="11">
        <v>4472000</v>
      </c>
      <c r="J67" s="14" t="s">
        <v>36</v>
      </c>
      <c r="K67" s="3" t="s">
        <v>162</v>
      </c>
    </row>
    <row r="68" spans="2:11">
      <c r="B68" s="3" t="s">
        <v>169</v>
      </c>
      <c r="C68" s="3" t="s">
        <v>159</v>
      </c>
      <c r="D68" s="3" t="s">
        <v>160</v>
      </c>
      <c r="E68" s="3" t="s">
        <v>170</v>
      </c>
      <c r="F68" s="11" t="s">
        <v>22</v>
      </c>
      <c r="G68" s="11">
        <v>211250</v>
      </c>
      <c r="H68" s="11">
        <v>517.2</v>
      </c>
      <c r="I68" s="11">
        <v>4683250</v>
      </c>
      <c r="J68" s="14" t="s">
        <v>36</v>
      </c>
      <c r="K68" s="3" t="s">
        <v>162</v>
      </c>
    </row>
    <row r="69" spans="2:11">
      <c r="B69" s="3" t="s">
        <v>171</v>
      </c>
      <c r="C69" s="3" t="s">
        <v>159</v>
      </c>
      <c r="D69" s="3" t="s">
        <v>160</v>
      </c>
      <c r="E69" s="3" t="s">
        <v>172</v>
      </c>
      <c r="F69" s="11" t="s">
        <v>22</v>
      </c>
      <c r="G69" s="11">
        <v>217800</v>
      </c>
      <c r="H69" s="11">
        <v>524.5</v>
      </c>
      <c r="I69" s="11">
        <v>4901050</v>
      </c>
      <c r="J69" s="14" t="s">
        <v>36</v>
      </c>
      <c r="K69" s="3" t="s">
        <v>162</v>
      </c>
    </row>
    <row r="70" spans="2:11">
      <c r="B70" s="3" t="s">
        <v>173</v>
      </c>
      <c r="C70" s="3" t="s">
        <v>159</v>
      </c>
      <c r="D70" s="3" t="s">
        <v>160</v>
      </c>
      <c r="E70" s="3" t="s">
        <v>174</v>
      </c>
      <c r="F70" s="11" t="s">
        <v>22</v>
      </c>
      <c r="G70" s="11">
        <v>224450</v>
      </c>
      <c r="H70" s="11">
        <v>531.8</v>
      </c>
      <c r="I70" s="11">
        <v>5125500</v>
      </c>
      <c r="J70" s="14" t="s">
        <v>36</v>
      </c>
      <c r="K70" s="3" t="s">
        <v>162</v>
      </c>
    </row>
    <row r="71" spans="2:11">
      <c r="B71" s="3" t="s">
        <v>175</v>
      </c>
      <c r="C71" s="3" t="s">
        <v>159</v>
      </c>
      <c r="D71" s="3" t="s">
        <v>160</v>
      </c>
      <c r="E71" s="3" t="s">
        <v>176</v>
      </c>
      <c r="F71" s="11" t="s">
        <v>22</v>
      </c>
      <c r="G71" s="11">
        <v>231200</v>
      </c>
      <c r="H71" s="11">
        <v>539.1</v>
      </c>
      <c r="I71" s="11">
        <v>5356700</v>
      </c>
      <c r="J71" s="14" t="s">
        <v>36</v>
      </c>
      <c r="K71" s="3" t="s">
        <v>162</v>
      </c>
    </row>
    <row r="72" spans="2:11">
      <c r="B72" s="3" t="s">
        <v>177</v>
      </c>
      <c r="C72" s="3" t="s">
        <v>159</v>
      </c>
      <c r="D72" s="3" t="s">
        <v>160</v>
      </c>
      <c r="E72" s="3" t="s">
        <v>178</v>
      </c>
      <c r="F72" s="11" t="s">
        <v>22</v>
      </c>
      <c r="G72" s="11">
        <v>238050</v>
      </c>
      <c r="H72" s="11">
        <v>546.4</v>
      </c>
      <c r="I72" s="11">
        <v>5594750</v>
      </c>
      <c r="J72" s="14" t="s">
        <v>36</v>
      </c>
      <c r="K72" s="3" t="s">
        <v>162</v>
      </c>
    </row>
    <row r="73" spans="2:11">
      <c r="B73" s="3" t="s">
        <v>179</v>
      </c>
      <c r="C73" s="3" t="s">
        <v>159</v>
      </c>
      <c r="D73" s="3" t="s">
        <v>160</v>
      </c>
      <c r="E73" s="3" t="s">
        <v>180</v>
      </c>
      <c r="F73" s="11" t="s">
        <v>22</v>
      </c>
      <c r="G73" s="11">
        <v>245000</v>
      </c>
      <c r="H73" s="11">
        <v>553.7</v>
      </c>
      <c r="I73" s="11">
        <v>5839750</v>
      </c>
      <c r="J73" s="14" t="s">
        <v>36</v>
      </c>
      <c r="K73" s="3" t="s">
        <v>162</v>
      </c>
    </row>
    <row r="74" spans="2:11">
      <c r="B74" s="3" t="s">
        <v>181</v>
      </c>
      <c r="C74" s="3" t="s">
        <v>159</v>
      </c>
      <c r="D74" s="11" t="s">
        <v>182</v>
      </c>
      <c r="E74" s="3" t="s">
        <v>183</v>
      </c>
      <c r="F74" s="11" t="s">
        <v>184</v>
      </c>
      <c r="G74" s="11">
        <v>252050</v>
      </c>
      <c r="H74" s="11">
        <v>561</v>
      </c>
      <c r="I74" s="11">
        <v>6091800</v>
      </c>
      <c r="J74" s="14" t="s">
        <v>36</v>
      </c>
      <c r="K74" s="3" t="s">
        <v>162</v>
      </c>
    </row>
    <row r="75" spans="2:11">
      <c r="B75" s="3" t="s">
        <v>185</v>
      </c>
      <c r="C75" s="3" t="s">
        <v>159</v>
      </c>
      <c r="D75" s="11" t="s">
        <v>182</v>
      </c>
      <c r="E75" s="3" t="s">
        <v>186</v>
      </c>
      <c r="F75" s="11" t="s">
        <v>22</v>
      </c>
      <c r="G75" s="11">
        <v>259200</v>
      </c>
      <c r="H75" s="11">
        <v>568.3</v>
      </c>
      <c r="I75" s="11">
        <v>6351000</v>
      </c>
      <c r="J75" s="14" t="s">
        <v>36</v>
      </c>
      <c r="K75" s="3" t="s">
        <v>162</v>
      </c>
    </row>
    <row r="76" spans="2:11">
      <c r="B76" s="3" t="s">
        <v>187</v>
      </c>
      <c r="C76" s="3" t="s">
        <v>159</v>
      </c>
      <c r="D76" s="11" t="s">
        <v>182</v>
      </c>
      <c r="E76" s="3" t="s">
        <v>188</v>
      </c>
      <c r="F76" s="11" t="s">
        <v>22</v>
      </c>
      <c r="G76" s="11">
        <v>266450</v>
      </c>
      <c r="H76" s="11">
        <v>575.6</v>
      </c>
      <c r="I76" s="11">
        <v>6617450</v>
      </c>
      <c r="J76" s="14" t="s">
        <v>36</v>
      </c>
      <c r="K76" s="3" t="s">
        <v>162</v>
      </c>
    </row>
    <row r="77" spans="2:11">
      <c r="B77" s="3" t="s">
        <v>189</v>
      </c>
      <c r="C77" s="3" t="s">
        <v>159</v>
      </c>
      <c r="D77" s="11" t="s">
        <v>182</v>
      </c>
      <c r="E77" s="3" t="s">
        <v>190</v>
      </c>
      <c r="F77" s="11" t="s">
        <v>22</v>
      </c>
      <c r="G77" s="11">
        <v>273800</v>
      </c>
      <c r="H77" s="11">
        <v>582.9</v>
      </c>
      <c r="I77" s="11">
        <v>6891250</v>
      </c>
      <c r="J77" s="14" t="s">
        <v>36</v>
      </c>
      <c r="K77" s="3" t="s">
        <v>162</v>
      </c>
    </row>
    <row r="78" spans="2:11">
      <c r="B78" s="3" t="s">
        <v>191</v>
      </c>
      <c r="C78" s="3" t="s">
        <v>159</v>
      </c>
      <c r="D78" s="11" t="s">
        <v>182</v>
      </c>
      <c r="E78" s="3" t="s">
        <v>192</v>
      </c>
      <c r="F78" s="11" t="s">
        <v>22</v>
      </c>
      <c r="G78" s="11">
        <v>281250</v>
      </c>
      <c r="H78" s="11">
        <v>590.2</v>
      </c>
      <c r="I78" s="11">
        <v>7172500</v>
      </c>
      <c r="J78" s="14" t="s">
        <v>36</v>
      </c>
      <c r="K78" s="3" t="s">
        <v>162</v>
      </c>
    </row>
    <row r="79" spans="2:11">
      <c r="B79" s="3" t="s">
        <v>193</v>
      </c>
      <c r="C79" s="3" t="s">
        <v>159</v>
      </c>
      <c r="D79" s="11" t="s">
        <v>182</v>
      </c>
      <c r="E79" s="3" t="s">
        <v>194</v>
      </c>
      <c r="F79" s="11" t="s">
        <v>22</v>
      </c>
      <c r="G79" s="11">
        <v>288800</v>
      </c>
      <c r="H79" s="11">
        <v>597.5</v>
      </c>
      <c r="I79" s="11">
        <v>7461300</v>
      </c>
      <c r="J79" s="14" t="s">
        <v>36</v>
      </c>
      <c r="K79" s="3" t="s">
        <v>162</v>
      </c>
    </row>
    <row r="80" spans="2:11">
      <c r="B80" s="3" t="s">
        <v>195</v>
      </c>
      <c r="C80" s="3" t="s">
        <v>159</v>
      </c>
      <c r="D80" s="11" t="s">
        <v>182</v>
      </c>
      <c r="E80" s="3" t="s">
        <v>196</v>
      </c>
      <c r="F80" s="11" t="s">
        <v>22</v>
      </c>
      <c r="G80" s="11">
        <v>296450</v>
      </c>
      <c r="H80" s="11">
        <v>604.8</v>
      </c>
      <c r="I80" s="11">
        <v>7757750</v>
      </c>
      <c r="J80" s="14" t="s">
        <v>36</v>
      </c>
      <c r="K80" s="3" t="s">
        <v>162</v>
      </c>
    </row>
    <row r="81" spans="2:11">
      <c r="B81" s="3" t="s">
        <v>197</v>
      </c>
      <c r="C81" s="3" t="s">
        <v>159</v>
      </c>
      <c r="D81" s="11" t="s">
        <v>182</v>
      </c>
      <c r="E81" s="3" t="s">
        <v>198</v>
      </c>
      <c r="F81" s="11" t="s">
        <v>22</v>
      </c>
      <c r="G81" s="11">
        <v>304200</v>
      </c>
      <c r="H81" s="11">
        <v>612.1</v>
      </c>
      <c r="I81" s="11">
        <v>8061950</v>
      </c>
      <c r="J81" s="14" t="s">
        <v>36</v>
      </c>
      <c r="K81" s="3" t="s">
        <v>162</v>
      </c>
    </row>
    <row r="82" spans="2:11">
      <c r="B82" s="3" t="s">
        <v>199</v>
      </c>
      <c r="C82" s="3" t="s">
        <v>159</v>
      </c>
      <c r="D82" s="11" t="s">
        <v>182</v>
      </c>
      <c r="E82" s="3" t="s">
        <v>200</v>
      </c>
      <c r="F82" s="11" t="s">
        <v>22</v>
      </c>
      <c r="G82" s="11">
        <v>312050</v>
      </c>
      <c r="H82" s="11">
        <v>619.4</v>
      </c>
      <c r="I82" s="11">
        <v>8374000</v>
      </c>
      <c r="J82" s="14" t="s">
        <v>36</v>
      </c>
      <c r="K82" s="3" t="s">
        <v>162</v>
      </c>
    </row>
    <row r="83" spans="2:11">
      <c r="B83" s="3" t="s">
        <v>201</v>
      </c>
      <c r="C83" s="3" t="s">
        <v>159</v>
      </c>
      <c r="D83" s="11" t="s">
        <v>182</v>
      </c>
      <c r="E83" s="3" t="s">
        <v>202</v>
      </c>
      <c r="F83" s="11" t="s">
        <v>22</v>
      </c>
      <c r="G83" s="11">
        <v>320000</v>
      </c>
      <c r="H83" s="11">
        <v>626.7</v>
      </c>
      <c r="I83" s="11">
        <v>8694000</v>
      </c>
      <c r="J83" s="14" t="s">
        <v>36</v>
      </c>
      <c r="K83" s="3" t="s">
        <v>162</v>
      </c>
    </row>
    <row r="84" spans="2:11">
      <c r="B84" s="3" t="s">
        <v>203</v>
      </c>
      <c r="C84" s="3" t="s">
        <v>159</v>
      </c>
      <c r="D84" s="11" t="s">
        <v>204</v>
      </c>
      <c r="E84" s="3" t="s">
        <v>205</v>
      </c>
      <c r="F84" s="11" t="s">
        <v>48</v>
      </c>
      <c r="G84" s="11">
        <v>328050</v>
      </c>
      <c r="H84" s="11">
        <v>634</v>
      </c>
      <c r="I84" s="11">
        <v>9022050</v>
      </c>
      <c r="J84" s="14" t="s">
        <v>36</v>
      </c>
      <c r="K84" s="3" t="s">
        <v>162</v>
      </c>
    </row>
    <row r="85" spans="2:11">
      <c r="B85" s="3" t="s">
        <v>206</v>
      </c>
      <c r="C85" s="3" t="s">
        <v>159</v>
      </c>
      <c r="D85" s="11" t="s">
        <v>204</v>
      </c>
      <c r="E85" s="3" t="s">
        <v>207</v>
      </c>
      <c r="F85" s="11" t="s">
        <v>22</v>
      </c>
      <c r="G85" s="11">
        <v>336200</v>
      </c>
      <c r="H85" s="11">
        <v>641.3</v>
      </c>
      <c r="I85" s="11">
        <v>9358250</v>
      </c>
      <c r="J85" s="14" t="s">
        <v>36</v>
      </c>
      <c r="K85" s="3" t="s">
        <v>162</v>
      </c>
    </row>
    <row r="86" spans="2:11">
      <c r="B86" s="3" t="s">
        <v>208</v>
      </c>
      <c r="C86" s="3" t="s">
        <v>159</v>
      </c>
      <c r="D86" s="11" t="s">
        <v>204</v>
      </c>
      <c r="E86" s="3" t="s">
        <v>209</v>
      </c>
      <c r="F86" s="11" t="s">
        <v>22</v>
      </c>
      <c r="G86" s="11">
        <v>344450</v>
      </c>
      <c r="H86" s="11">
        <v>648.6</v>
      </c>
      <c r="I86" s="11">
        <v>9702700</v>
      </c>
      <c r="J86" s="14" t="s">
        <v>36</v>
      </c>
      <c r="K86" s="3" t="s">
        <v>162</v>
      </c>
    </row>
    <row r="87" spans="2:11">
      <c r="B87" s="3" t="s">
        <v>210</v>
      </c>
      <c r="C87" s="3" t="s">
        <v>159</v>
      </c>
      <c r="D87" s="11" t="s">
        <v>204</v>
      </c>
      <c r="E87" s="3" t="s">
        <v>211</v>
      </c>
      <c r="F87" s="11" t="s">
        <v>22</v>
      </c>
      <c r="G87" s="11">
        <v>352800</v>
      </c>
      <c r="H87" s="11">
        <v>655.9</v>
      </c>
      <c r="I87" s="11">
        <v>10055500</v>
      </c>
      <c r="J87" s="14" t="s">
        <v>36</v>
      </c>
      <c r="K87" s="3" t="s">
        <v>162</v>
      </c>
    </row>
    <row r="88" spans="2:11">
      <c r="B88" s="3" t="s">
        <v>212</v>
      </c>
      <c r="C88" s="3" t="s">
        <v>159</v>
      </c>
      <c r="D88" s="11" t="s">
        <v>204</v>
      </c>
      <c r="E88" s="3" t="s">
        <v>213</v>
      </c>
      <c r="F88" s="11" t="s">
        <v>22</v>
      </c>
      <c r="G88" s="11">
        <v>361250</v>
      </c>
      <c r="H88" s="11">
        <v>663.2</v>
      </c>
      <c r="I88" s="11">
        <v>10416750</v>
      </c>
      <c r="J88" s="14" t="s">
        <v>36</v>
      </c>
      <c r="K88" s="3" t="s">
        <v>162</v>
      </c>
    </row>
    <row r="89" spans="2:11">
      <c r="B89" s="3" t="s">
        <v>214</v>
      </c>
      <c r="C89" s="3" t="s">
        <v>159</v>
      </c>
      <c r="D89" s="11" t="s">
        <v>204</v>
      </c>
      <c r="E89" s="3" t="s">
        <v>215</v>
      </c>
      <c r="F89" s="11" t="s">
        <v>22</v>
      </c>
      <c r="G89" s="11">
        <v>369800</v>
      </c>
      <c r="H89" s="11">
        <v>670.5</v>
      </c>
      <c r="I89" s="11">
        <v>10786550</v>
      </c>
      <c r="J89" s="14" t="s">
        <v>36</v>
      </c>
      <c r="K89" s="3" t="s">
        <v>162</v>
      </c>
    </row>
    <row r="90" spans="2:11">
      <c r="B90" s="3" t="s">
        <v>216</v>
      </c>
      <c r="C90" s="3" t="s">
        <v>159</v>
      </c>
      <c r="D90" s="11" t="s">
        <v>204</v>
      </c>
      <c r="E90" s="3" t="s">
        <v>217</v>
      </c>
      <c r="F90" s="11" t="s">
        <v>22</v>
      </c>
      <c r="G90" s="11">
        <v>378450</v>
      </c>
      <c r="H90" s="11">
        <v>677.8</v>
      </c>
      <c r="I90" s="11">
        <v>11165000</v>
      </c>
      <c r="J90" s="14" t="s">
        <v>36</v>
      </c>
      <c r="K90" s="3" t="s">
        <v>162</v>
      </c>
    </row>
    <row r="91" spans="2:11">
      <c r="B91" s="3" t="s">
        <v>218</v>
      </c>
      <c r="C91" s="3" t="s">
        <v>159</v>
      </c>
      <c r="D91" s="11" t="s">
        <v>204</v>
      </c>
      <c r="E91" s="3" t="s">
        <v>219</v>
      </c>
      <c r="F91" s="11" t="s">
        <v>22</v>
      </c>
      <c r="G91" s="11">
        <v>387200</v>
      </c>
      <c r="H91" s="11">
        <v>685.1</v>
      </c>
      <c r="I91" s="11">
        <v>11552200</v>
      </c>
      <c r="J91" s="14" t="s">
        <v>36</v>
      </c>
      <c r="K91" s="3" t="s">
        <v>162</v>
      </c>
    </row>
    <row r="92" spans="2:11">
      <c r="B92" s="3" t="s">
        <v>220</v>
      </c>
      <c r="C92" s="3" t="s">
        <v>159</v>
      </c>
      <c r="D92" s="11" t="s">
        <v>204</v>
      </c>
      <c r="E92" s="3" t="s">
        <v>221</v>
      </c>
      <c r="F92" s="11" t="s">
        <v>22</v>
      </c>
      <c r="G92" s="11">
        <v>396050</v>
      </c>
      <c r="H92" s="11">
        <v>692.4</v>
      </c>
      <c r="I92" s="11">
        <v>11948250</v>
      </c>
      <c r="J92" s="14" t="s">
        <v>36</v>
      </c>
      <c r="K92" s="3" t="s">
        <v>162</v>
      </c>
    </row>
    <row r="93" spans="2:11">
      <c r="B93" s="3" t="s">
        <v>222</v>
      </c>
      <c r="C93" s="3" t="s">
        <v>159</v>
      </c>
      <c r="D93" s="11" t="s">
        <v>204</v>
      </c>
      <c r="E93" s="3" t="s">
        <v>223</v>
      </c>
      <c r="F93" s="11" t="s">
        <v>22</v>
      </c>
      <c r="G93" s="11">
        <v>405000</v>
      </c>
      <c r="H93" s="11">
        <v>699.7</v>
      </c>
      <c r="I93" s="11">
        <v>12353250</v>
      </c>
      <c r="J93" s="14" t="s">
        <v>36</v>
      </c>
      <c r="K93" s="3" t="s">
        <v>162</v>
      </c>
    </row>
    <row r="94" spans="2:11">
      <c r="B94" s="3" t="s">
        <v>224</v>
      </c>
      <c r="C94" s="3" t="s">
        <v>225</v>
      </c>
      <c r="D94" s="3" t="s">
        <v>226</v>
      </c>
      <c r="E94" s="3" t="s">
        <v>227</v>
      </c>
      <c r="F94" s="11" t="s">
        <v>139</v>
      </c>
      <c r="G94" s="11">
        <v>414050</v>
      </c>
      <c r="H94" s="11">
        <v>707</v>
      </c>
      <c r="I94" s="11">
        <v>12767300</v>
      </c>
      <c r="J94" s="14" t="s">
        <v>36</v>
      </c>
      <c r="K94" s="3" t="s">
        <v>228</v>
      </c>
    </row>
    <row r="95" spans="2:11">
      <c r="B95" s="3" t="s">
        <v>229</v>
      </c>
      <c r="C95" s="3" t="s">
        <v>225</v>
      </c>
      <c r="D95" s="3" t="s">
        <v>226</v>
      </c>
      <c r="E95" s="3" t="s">
        <v>230</v>
      </c>
      <c r="F95" s="11" t="s">
        <v>22</v>
      </c>
      <c r="G95" s="11">
        <v>423200</v>
      </c>
      <c r="H95" s="11">
        <v>714.3</v>
      </c>
      <c r="I95" s="11">
        <v>13190500</v>
      </c>
      <c r="J95" s="14" t="s">
        <v>36</v>
      </c>
      <c r="K95" s="3" t="s">
        <v>228</v>
      </c>
    </row>
    <row r="96" spans="2:11">
      <c r="B96" s="3" t="s">
        <v>231</v>
      </c>
      <c r="C96" s="3" t="s">
        <v>225</v>
      </c>
      <c r="D96" s="3" t="s">
        <v>226</v>
      </c>
      <c r="E96" s="3" t="s">
        <v>232</v>
      </c>
      <c r="F96" s="11" t="s">
        <v>22</v>
      </c>
      <c r="G96" s="11">
        <v>432450</v>
      </c>
      <c r="H96" s="11">
        <v>721.6</v>
      </c>
      <c r="I96" s="11">
        <v>13622950</v>
      </c>
      <c r="J96" s="14" t="s">
        <v>36</v>
      </c>
      <c r="K96" s="3" t="s">
        <v>228</v>
      </c>
    </row>
    <row r="97" spans="2:11">
      <c r="B97" s="3" t="s">
        <v>233</v>
      </c>
      <c r="C97" s="3" t="s">
        <v>225</v>
      </c>
      <c r="D97" s="3" t="s">
        <v>226</v>
      </c>
      <c r="E97" s="3" t="s">
        <v>234</v>
      </c>
      <c r="F97" s="11" t="s">
        <v>22</v>
      </c>
      <c r="G97" s="11">
        <v>441800</v>
      </c>
      <c r="H97" s="11">
        <v>728.9</v>
      </c>
      <c r="I97" s="11">
        <v>14064750</v>
      </c>
      <c r="J97" s="14" t="s">
        <v>36</v>
      </c>
      <c r="K97" s="3" t="s">
        <v>228</v>
      </c>
    </row>
    <row r="98" spans="2:11">
      <c r="B98" s="3" t="s">
        <v>235</v>
      </c>
      <c r="C98" s="3" t="s">
        <v>225</v>
      </c>
      <c r="D98" s="3" t="s">
        <v>226</v>
      </c>
      <c r="E98" s="3" t="s">
        <v>236</v>
      </c>
      <c r="F98" s="11" t="s">
        <v>22</v>
      </c>
      <c r="G98" s="11">
        <v>451250</v>
      </c>
      <c r="H98" s="11">
        <v>736.2</v>
      </c>
      <c r="I98" s="11">
        <v>14516000</v>
      </c>
      <c r="J98" s="14" t="s">
        <v>36</v>
      </c>
      <c r="K98" s="3" t="s">
        <v>228</v>
      </c>
    </row>
    <row r="99" spans="2:11">
      <c r="B99" s="3" t="s">
        <v>237</v>
      </c>
      <c r="C99" s="3" t="s">
        <v>225</v>
      </c>
      <c r="D99" s="3" t="s">
        <v>226</v>
      </c>
      <c r="E99" s="3" t="s">
        <v>238</v>
      </c>
      <c r="F99" s="11" t="s">
        <v>22</v>
      </c>
      <c r="G99" s="11">
        <v>460800</v>
      </c>
      <c r="H99" s="11">
        <v>743.5</v>
      </c>
      <c r="I99" s="11">
        <v>14976800</v>
      </c>
      <c r="J99" s="14" t="s">
        <v>36</v>
      </c>
      <c r="K99" s="3" t="s">
        <v>228</v>
      </c>
    </row>
    <row r="100" spans="2:11">
      <c r="B100" s="3" t="s">
        <v>239</v>
      </c>
      <c r="C100" s="3" t="s">
        <v>225</v>
      </c>
      <c r="D100" s="3" t="s">
        <v>226</v>
      </c>
      <c r="E100" s="3" t="s">
        <v>240</v>
      </c>
      <c r="F100" s="11" t="s">
        <v>22</v>
      </c>
      <c r="G100" s="11">
        <v>470450</v>
      </c>
      <c r="H100" s="11">
        <v>750.8</v>
      </c>
      <c r="I100" s="11">
        <v>15447250</v>
      </c>
      <c r="J100" s="14" t="s">
        <v>36</v>
      </c>
      <c r="K100" s="3" t="s">
        <v>228</v>
      </c>
    </row>
    <row r="101" spans="2:11">
      <c r="B101" s="3" t="s">
        <v>241</v>
      </c>
      <c r="C101" s="3" t="s">
        <v>225</v>
      </c>
      <c r="D101" s="3" t="s">
        <v>226</v>
      </c>
      <c r="E101" s="3" t="s">
        <v>242</v>
      </c>
      <c r="F101" s="11" t="s">
        <v>22</v>
      </c>
      <c r="G101" s="11">
        <v>480200</v>
      </c>
      <c r="H101" s="11">
        <v>758.1</v>
      </c>
      <c r="I101" s="11">
        <v>15927450</v>
      </c>
      <c r="J101" s="14" t="s">
        <v>36</v>
      </c>
      <c r="K101" s="3" t="s">
        <v>228</v>
      </c>
    </row>
    <row r="102" spans="2:11">
      <c r="B102" s="3" t="s">
        <v>243</v>
      </c>
      <c r="C102" s="3" t="s">
        <v>225</v>
      </c>
      <c r="D102" s="3" t="s">
        <v>226</v>
      </c>
      <c r="E102" s="3" t="s">
        <v>244</v>
      </c>
      <c r="F102" s="11" t="s">
        <v>22</v>
      </c>
      <c r="G102" s="11">
        <v>490050</v>
      </c>
      <c r="H102" s="11">
        <v>765.4</v>
      </c>
      <c r="I102" s="11">
        <v>16417500</v>
      </c>
      <c r="J102" s="14" t="s">
        <v>36</v>
      </c>
      <c r="K102" s="3" t="s">
        <v>228</v>
      </c>
    </row>
    <row r="103" spans="2:11">
      <c r="B103" s="3" t="s">
        <v>36</v>
      </c>
      <c r="C103" s="3" t="s">
        <v>225</v>
      </c>
      <c r="D103" s="3" t="s">
        <v>226</v>
      </c>
      <c r="E103" s="3" t="s">
        <v>245</v>
      </c>
      <c r="F103" s="11" t="s">
        <v>22</v>
      </c>
      <c r="G103" s="11">
        <v>500000</v>
      </c>
      <c r="H103" s="11">
        <v>772.7</v>
      </c>
      <c r="I103" s="11">
        <v>16917500</v>
      </c>
      <c r="J103" s="14" t="s">
        <v>36</v>
      </c>
      <c r="K103" s="3" t="s">
        <v>228</v>
      </c>
    </row>
    <row r="104" spans="2:11">
      <c r="B104" s="3" t="s">
        <v>246</v>
      </c>
      <c r="C104" s="3" t="s">
        <v>225</v>
      </c>
      <c r="D104" s="11" t="s">
        <v>247</v>
      </c>
      <c r="E104" s="3" t="s">
        <v>248</v>
      </c>
      <c r="F104" s="11" t="s">
        <v>48</v>
      </c>
      <c r="G104" s="11">
        <v>510050</v>
      </c>
      <c r="H104" s="11">
        <v>780</v>
      </c>
      <c r="I104" s="11">
        <v>17427550</v>
      </c>
      <c r="J104" s="14" t="s">
        <v>36</v>
      </c>
      <c r="K104" s="3" t="s">
        <v>228</v>
      </c>
    </row>
    <row r="105" spans="2:11">
      <c r="B105" s="3" t="s">
        <v>249</v>
      </c>
      <c r="C105" s="3" t="s">
        <v>225</v>
      </c>
      <c r="D105" s="11" t="s">
        <v>247</v>
      </c>
      <c r="E105" s="3" t="s">
        <v>250</v>
      </c>
      <c r="F105" s="11" t="s">
        <v>22</v>
      </c>
      <c r="G105" s="11">
        <v>520200</v>
      </c>
      <c r="H105" s="11">
        <v>787.3</v>
      </c>
      <c r="I105" s="11">
        <v>17947750</v>
      </c>
      <c r="J105" s="14" t="s">
        <v>36</v>
      </c>
      <c r="K105" s="3" t="s">
        <v>228</v>
      </c>
    </row>
    <row r="106" spans="2:11">
      <c r="B106" s="3" t="s">
        <v>251</v>
      </c>
      <c r="C106" s="3" t="s">
        <v>225</v>
      </c>
      <c r="D106" s="11" t="s">
        <v>247</v>
      </c>
      <c r="E106" s="3" t="s">
        <v>252</v>
      </c>
      <c r="F106" s="11" t="s">
        <v>22</v>
      </c>
      <c r="G106" s="11">
        <v>530450</v>
      </c>
      <c r="H106" s="11">
        <v>794.6</v>
      </c>
      <c r="I106" s="11">
        <v>18478200</v>
      </c>
      <c r="J106" s="14" t="s">
        <v>36</v>
      </c>
      <c r="K106" s="3" t="s">
        <v>228</v>
      </c>
    </row>
    <row r="107" spans="2:11">
      <c r="B107" s="3" t="s">
        <v>253</v>
      </c>
      <c r="C107" s="3" t="s">
        <v>225</v>
      </c>
      <c r="D107" s="11" t="s">
        <v>247</v>
      </c>
      <c r="E107" s="3" t="s">
        <v>254</v>
      </c>
      <c r="F107" s="11" t="s">
        <v>22</v>
      </c>
      <c r="G107" s="11">
        <v>540800</v>
      </c>
      <c r="H107" s="11">
        <v>801.9</v>
      </c>
      <c r="I107" s="11">
        <v>19019000</v>
      </c>
      <c r="J107" s="14" t="s">
        <v>36</v>
      </c>
      <c r="K107" s="3" t="s">
        <v>228</v>
      </c>
    </row>
    <row r="108" spans="2:11">
      <c r="B108" s="3" t="s">
        <v>255</v>
      </c>
      <c r="C108" s="3" t="s">
        <v>225</v>
      </c>
      <c r="D108" s="11" t="s">
        <v>247</v>
      </c>
      <c r="E108" s="3" t="s">
        <v>256</v>
      </c>
      <c r="F108" s="11" t="s">
        <v>22</v>
      </c>
      <c r="G108" s="11">
        <v>551250</v>
      </c>
      <c r="H108" s="11">
        <v>809.2</v>
      </c>
      <c r="I108" s="11">
        <v>19570250</v>
      </c>
      <c r="J108" s="14" t="s">
        <v>36</v>
      </c>
      <c r="K108" s="3" t="s">
        <v>228</v>
      </c>
    </row>
    <row r="109" spans="2:11">
      <c r="B109" s="3" t="s">
        <v>257</v>
      </c>
      <c r="C109" s="3" t="s">
        <v>225</v>
      </c>
      <c r="D109" s="11" t="s">
        <v>247</v>
      </c>
      <c r="E109" s="3" t="s">
        <v>258</v>
      </c>
      <c r="F109" s="11" t="s">
        <v>22</v>
      </c>
      <c r="G109" s="11">
        <v>561800</v>
      </c>
      <c r="H109" s="11">
        <v>816.5</v>
      </c>
      <c r="I109" s="11">
        <v>20132050</v>
      </c>
      <c r="J109" s="14" t="s">
        <v>36</v>
      </c>
      <c r="K109" s="3" t="s">
        <v>228</v>
      </c>
    </row>
    <row r="110" spans="2:11">
      <c r="B110" s="3" t="s">
        <v>259</v>
      </c>
      <c r="C110" s="3" t="s">
        <v>225</v>
      </c>
      <c r="D110" s="11" t="s">
        <v>247</v>
      </c>
      <c r="E110" s="3" t="s">
        <v>260</v>
      </c>
      <c r="F110" s="11" t="s">
        <v>22</v>
      </c>
      <c r="G110" s="11">
        <v>572450</v>
      </c>
      <c r="H110" s="11">
        <v>823.8</v>
      </c>
      <c r="I110" s="11">
        <v>20704500</v>
      </c>
      <c r="J110" s="14" t="s">
        <v>36</v>
      </c>
      <c r="K110" s="3" t="s">
        <v>228</v>
      </c>
    </row>
    <row r="111" spans="2:11">
      <c r="B111" s="3" t="s">
        <v>261</v>
      </c>
      <c r="C111" s="3" t="s">
        <v>225</v>
      </c>
      <c r="D111" s="11" t="s">
        <v>247</v>
      </c>
      <c r="E111" s="3" t="s">
        <v>262</v>
      </c>
      <c r="F111" s="11" t="s">
        <v>22</v>
      </c>
      <c r="G111" s="11">
        <v>583200</v>
      </c>
      <c r="H111" s="11">
        <v>831.1</v>
      </c>
      <c r="I111" s="11">
        <v>21287700</v>
      </c>
      <c r="J111" s="14" t="s">
        <v>36</v>
      </c>
      <c r="K111" s="3" t="s">
        <v>228</v>
      </c>
    </row>
    <row r="112" spans="2:11">
      <c r="B112" s="3" t="s">
        <v>263</v>
      </c>
      <c r="C112" s="3" t="s">
        <v>225</v>
      </c>
      <c r="D112" s="11" t="s">
        <v>247</v>
      </c>
      <c r="E112" s="3" t="s">
        <v>264</v>
      </c>
      <c r="F112" s="11" t="s">
        <v>22</v>
      </c>
      <c r="G112" s="11">
        <v>594050</v>
      </c>
      <c r="H112" s="11">
        <v>838.4</v>
      </c>
      <c r="I112" s="11">
        <v>21881750</v>
      </c>
      <c r="J112" s="14" t="s">
        <v>36</v>
      </c>
      <c r="K112" s="3" t="s">
        <v>228</v>
      </c>
    </row>
    <row r="113" spans="2:11">
      <c r="B113" s="3" t="s">
        <v>265</v>
      </c>
      <c r="C113" s="3" t="s">
        <v>225</v>
      </c>
      <c r="D113" s="11" t="s">
        <v>247</v>
      </c>
      <c r="E113" s="3" t="s">
        <v>266</v>
      </c>
      <c r="F113" s="11" t="s">
        <v>22</v>
      </c>
      <c r="G113" s="11">
        <v>605000</v>
      </c>
      <c r="H113" s="11">
        <v>845.7</v>
      </c>
      <c r="I113" s="11">
        <v>22486750</v>
      </c>
      <c r="J113" s="14" t="s">
        <v>36</v>
      </c>
      <c r="K113" s="3" t="s">
        <v>228</v>
      </c>
    </row>
    <row r="114" spans="2:11">
      <c r="B114" s="3" t="s">
        <v>267</v>
      </c>
      <c r="C114" s="3" t="s">
        <v>225</v>
      </c>
      <c r="D114" s="11" t="s">
        <v>268</v>
      </c>
      <c r="E114" s="3" t="s">
        <v>269</v>
      </c>
      <c r="F114" s="3" t="s">
        <v>270</v>
      </c>
      <c r="G114" s="11">
        <v>616050</v>
      </c>
      <c r="H114" s="11">
        <v>853</v>
      </c>
      <c r="I114" s="11">
        <v>23102800</v>
      </c>
      <c r="J114" s="14" t="s">
        <v>36</v>
      </c>
      <c r="K114" s="3" t="s">
        <v>228</v>
      </c>
    </row>
    <row r="115" spans="2:11">
      <c r="B115" s="3" t="s">
        <v>271</v>
      </c>
      <c r="C115" s="3" t="s">
        <v>225</v>
      </c>
      <c r="D115" s="11" t="s">
        <v>268</v>
      </c>
      <c r="E115" s="3" t="s">
        <v>272</v>
      </c>
      <c r="F115" s="11" t="s">
        <v>22</v>
      </c>
      <c r="G115" s="11">
        <v>627200</v>
      </c>
      <c r="H115" s="11">
        <v>860.3</v>
      </c>
      <c r="I115" s="11">
        <v>23730000</v>
      </c>
      <c r="J115" s="14" t="s">
        <v>36</v>
      </c>
      <c r="K115" s="3" t="s">
        <v>228</v>
      </c>
    </row>
    <row r="116" spans="2:11">
      <c r="B116" s="3" t="s">
        <v>273</v>
      </c>
      <c r="C116" s="3" t="s">
        <v>225</v>
      </c>
      <c r="D116" s="11" t="s">
        <v>268</v>
      </c>
      <c r="E116" s="3" t="s">
        <v>274</v>
      </c>
      <c r="F116" s="11" t="s">
        <v>22</v>
      </c>
      <c r="G116" s="11">
        <v>638450</v>
      </c>
      <c r="H116" s="11">
        <v>867.6</v>
      </c>
      <c r="I116" s="11">
        <v>24368450</v>
      </c>
      <c r="J116" s="14" t="s">
        <v>36</v>
      </c>
      <c r="K116" s="3" t="s">
        <v>228</v>
      </c>
    </row>
    <row r="117" spans="2:11">
      <c r="B117" s="3" t="s">
        <v>275</v>
      </c>
      <c r="C117" s="3" t="s">
        <v>225</v>
      </c>
      <c r="D117" s="11" t="s">
        <v>268</v>
      </c>
      <c r="E117" s="3" t="s">
        <v>276</v>
      </c>
      <c r="F117" s="11" t="s">
        <v>22</v>
      </c>
      <c r="G117" s="11">
        <v>649800</v>
      </c>
      <c r="H117" s="11">
        <v>874.9</v>
      </c>
      <c r="I117" s="11">
        <v>25018250</v>
      </c>
      <c r="J117" s="14" t="s">
        <v>36</v>
      </c>
      <c r="K117" s="3" t="s">
        <v>228</v>
      </c>
    </row>
    <row r="118" spans="2:11">
      <c r="B118" s="3" t="s">
        <v>277</v>
      </c>
      <c r="C118" s="3" t="s">
        <v>225</v>
      </c>
      <c r="D118" s="11" t="s">
        <v>268</v>
      </c>
      <c r="E118" s="3" t="s">
        <v>278</v>
      </c>
      <c r="F118" s="11" t="s">
        <v>22</v>
      </c>
      <c r="G118" s="11">
        <v>661250</v>
      </c>
      <c r="H118" s="11">
        <v>882.2</v>
      </c>
      <c r="I118" s="11">
        <v>25679500</v>
      </c>
      <c r="J118" s="14" t="s">
        <v>36</v>
      </c>
      <c r="K118" s="3" t="s">
        <v>228</v>
      </c>
    </row>
    <row r="119" spans="2:11">
      <c r="B119" s="3" t="s">
        <v>279</v>
      </c>
      <c r="C119" s="3" t="s">
        <v>225</v>
      </c>
      <c r="D119" s="11" t="s">
        <v>268</v>
      </c>
      <c r="E119" s="3" t="s">
        <v>280</v>
      </c>
      <c r="F119" s="11" t="s">
        <v>22</v>
      </c>
      <c r="G119" s="11">
        <v>672800</v>
      </c>
      <c r="H119" s="11">
        <v>889.5</v>
      </c>
      <c r="I119" s="11">
        <v>26352300</v>
      </c>
      <c r="J119" s="14" t="s">
        <v>36</v>
      </c>
      <c r="K119" s="3" t="s">
        <v>228</v>
      </c>
    </row>
    <row r="120" spans="2:11">
      <c r="B120" s="3" t="s">
        <v>281</v>
      </c>
      <c r="C120" s="3" t="s">
        <v>225</v>
      </c>
      <c r="D120" s="11" t="s">
        <v>268</v>
      </c>
      <c r="E120" s="3" t="s">
        <v>282</v>
      </c>
      <c r="F120" s="11" t="s">
        <v>22</v>
      </c>
      <c r="G120" s="11">
        <v>684450</v>
      </c>
      <c r="H120" s="11">
        <v>896.8</v>
      </c>
      <c r="I120" s="11">
        <v>27036750</v>
      </c>
      <c r="J120" s="14" t="s">
        <v>36</v>
      </c>
      <c r="K120" s="3" t="s">
        <v>228</v>
      </c>
    </row>
    <row r="121" spans="2:11">
      <c r="B121" s="3" t="s">
        <v>283</v>
      </c>
      <c r="C121" s="3" t="s">
        <v>225</v>
      </c>
      <c r="D121" s="11" t="s">
        <v>268</v>
      </c>
      <c r="E121" s="3" t="s">
        <v>284</v>
      </c>
      <c r="F121" s="11" t="s">
        <v>22</v>
      </c>
      <c r="G121" s="11">
        <v>696200</v>
      </c>
      <c r="H121" s="11">
        <v>904.1</v>
      </c>
      <c r="I121" s="11">
        <v>27732950</v>
      </c>
      <c r="J121" s="14" t="s">
        <v>36</v>
      </c>
      <c r="K121" s="3" t="s">
        <v>228</v>
      </c>
    </row>
    <row r="122" spans="2:11">
      <c r="B122" s="3" t="s">
        <v>285</v>
      </c>
      <c r="C122" s="3" t="s">
        <v>225</v>
      </c>
      <c r="D122" s="11" t="s">
        <v>268</v>
      </c>
      <c r="E122" s="3" t="s">
        <v>286</v>
      </c>
      <c r="F122" s="11" t="s">
        <v>22</v>
      </c>
      <c r="G122" s="11">
        <v>708050</v>
      </c>
      <c r="H122" s="11">
        <v>911.4</v>
      </c>
      <c r="I122" s="11">
        <v>28441000</v>
      </c>
      <c r="J122" s="14" t="s">
        <v>36</v>
      </c>
      <c r="K122" s="3" t="s">
        <v>228</v>
      </c>
    </row>
    <row r="123" spans="2:11">
      <c r="B123" s="3" t="s">
        <v>287</v>
      </c>
      <c r="C123" s="3" t="s">
        <v>225</v>
      </c>
      <c r="D123" s="11" t="s">
        <v>268</v>
      </c>
      <c r="E123" s="3" t="s">
        <v>288</v>
      </c>
      <c r="F123" s="11" t="s">
        <v>22</v>
      </c>
      <c r="G123" s="11">
        <v>720000</v>
      </c>
      <c r="H123" s="11">
        <v>918.7</v>
      </c>
      <c r="I123" s="11">
        <v>29161000</v>
      </c>
      <c r="J123" s="14" t="s">
        <v>36</v>
      </c>
      <c r="K123" s="3" t="s">
        <v>228</v>
      </c>
    </row>
    <row r="124" spans="2:11">
      <c r="B124" s="3" t="s">
        <v>289</v>
      </c>
      <c r="C124" s="11" t="s">
        <v>290</v>
      </c>
      <c r="D124" s="3" t="s">
        <v>291</v>
      </c>
      <c r="E124" s="3" t="s">
        <v>292</v>
      </c>
      <c r="F124" s="11" t="s">
        <v>117</v>
      </c>
      <c r="G124" s="11">
        <v>732050</v>
      </c>
      <c r="H124" s="11">
        <v>926</v>
      </c>
      <c r="I124" s="11">
        <v>29893050</v>
      </c>
      <c r="J124" s="14" t="s">
        <v>36</v>
      </c>
      <c r="K124" s="3" t="s">
        <v>293</v>
      </c>
    </row>
    <row r="125" spans="2:11">
      <c r="B125" s="3" t="s">
        <v>294</v>
      </c>
      <c r="C125" s="11" t="s">
        <v>290</v>
      </c>
      <c r="D125" s="3" t="s">
        <v>291</v>
      </c>
      <c r="E125" s="3" t="s">
        <v>295</v>
      </c>
      <c r="F125" s="11" t="s">
        <v>22</v>
      </c>
      <c r="G125" s="11">
        <v>744200</v>
      </c>
      <c r="H125" s="11">
        <v>933.3</v>
      </c>
      <c r="I125" s="11">
        <v>30637250</v>
      </c>
      <c r="J125" s="14" t="s">
        <v>36</v>
      </c>
      <c r="K125" s="3" t="s">
        <v>293</v>
      </c>
    </row>
    <row r="126" spans="2:11">
      <c r="B126" s="3" t="s">
        <v>296</v>
      </c>
      <c r="C126" s="11" t="s">
        <v>290</v>
      </c>
      <c r="D126" s="3" t="s">
        <v>291</v>
      </c>
      <c r="E126" s="3" t="s">
        <v>297</v>
      </c>
      <c r="F126" s="11" t="s">
        <v>22</v>
      </c>
      <c r="G126" s="11">
        <v>756450</v>
      </c>
      <c r="H126" s="11">
        <v>940.6</v>
      </c>
      <c r="I126" s="11">
        <v>31393700</v>
      </c>
      <c r="J126" s="14" t="s">
        <v>36</v>
      </c>
      <c r="K126" s="3" t="s">
        <v>293</v>
      </c>
    </row>
    <row r="127" spans="2:11">
      <c r="B127" s="3" t="s">
        <v>298</v>
      </c>
      <c r="C127" s="11" t="s">
        <v>290</v>
      </c>
      <c r="D127" s="3" t="s">
        <v>291</v>
      </c>
      <c r="E127" s="3" t="s">
        <v>299</v>
      </c>
      <c r="F127" s="11" t="s">
        <v>22</v>
      </c>
      <c r="G127" s="11">
        <v>768800</v>
      </c>
      <c r="H127" s="11">
        <v>947.9</v>
      </c>
      <c r="I127" s="11">
        <v>32162500</v>
      </c>
      <c r="J127" s="14" t="s">
        <v>36</v>
      </c>
      <c r="K127" s="3" t="s">
        <v>293</v>
      </c>
    </row>
    <row r="128" spans="2:11">
      <c r="B128" s="3" t="s">
        <v>300</v>
      </c>
      <c r="C128" s="11" t="s">
        <v>290</v>
      </c>
      <c r="D128" s="3" t="s">
        <v>291</v>
      </c>
      <c r="E128" s="3" t="s">
        <v>301</v>
      </c>
      <c r="F128" s="11" t="s">
        <v>22</v>
      </c>
      <c r="G128" s="11">
        <v>781250</v>
      </c>
      <c r="H128" s="11">
        <v>955.2</v>
      </c>
      <c r="I128" s="11">
        <v>32943750</v>
      </c>
      <c r="J128" s="14" t="s">
        <v>36</v>
      </c>
      <c r="K128" s="3" t="s">
        <v>293</v>
      </c>
    </row>
    <row r="129" spans="2:11">
      <c r="B129" s="3" t="s">
        <v>302</v>
      </c>
      <c r="C129" s="11" t="s">
        <v>290</v>
      </c>
      <c r="D129" s="3" t="s">
        <v>291</v>
      </c>
      <c r="E129" s="3" t="s">
        <v>303</v>
      </c>
      <c r="F129" s="11" t="s">
        <v>22</v>
      </c>
      <c r="G129" s="11">
        <v>793800</v>
      </c>
      <c r="H129" s="11">
        <v>962.5</v>
      </c>
      <c r="I129" s="11">
        <v>33737550</v>
      </c>
      <c r="J129" s="14" t="s">
        <v>36</v>
      </c>
      <c r="K129" s="3" t="s">
        <v>293</v>
      </c>
    </row>
    <row r="130" spans="2:11">
      <c r="B130" s="3" t="s">
        <v>304</v>
      </c>
      <c r="C130" s="11" t="s">
        <v>290</v>
      </c>
      <c r="D130" s="3" t="s">
        <v>291</v>
      </c>
      <c r="E130" s="3" t="s">
        <v>305</v>
      </c>
      <c r="F130" s="11" t="s">
        <v>22</v>
      </c>
      <c r="G130" s="11">
        <v>806450</v>
      </c>
      <c r="H130" s="11">
        <v>969.8</v>
      </c>
      <c r="I130" s="11">
        <v>34544000</v>
      </c>
      <c r="J130" s="14" t="s">
        <v>36</v>
      </c>
      <c r="K130" s="3" t="s">
        <v>293</v>
      </c>
    </row>
    <row r="131" spans="2:11">
      <c r="B131" s="3" t="s">
        <v>306</v>
      </c>
      <c r="C131" s="11" t="s">
        <v>290</v>
      </c>
      <c r="D131" s="3" t="s">
        <v>291</v>
      </c>
      <c r="E131" s="3" t="s">
        <v>307</v>
      </c>
      <c r="F131" s="11" t="s">
        <v>22</v>
      </c>
      <c r="G131" s="11">
        <v>819200</v>
      </c>
      <c r="H131" s="11">
        <v>977.1</v>
      </c>
      <c r="I131" s="11">
        <v>35363200</v>
      </c>
      <c r="J131" s="14" t="s">
        <v>36</v>
      </c>
      <c r="K131" s="3" t="s">
        <v>293</v>
      </c>
    </row>
    <row r="132" spans="2:11">
      <c r="B132" s="3" t="s">
        <v>308</v>
      </c>
      <c r="C132" s="11" t="s">
        <v>290</v>
      </c>
      <c r="D132" s="3" t="s">
        <v>291</v>
      </c>
      <c r="E132" s="3" t="s">
        <v>309</v>
      </c>
      <c r="F132" s="11" t="s">
        <v>22</v>
      </c>
      <c r="G132" s="11">
        <v>832050</v>
      </c>
      <c r="H132" s="11">
        <v>984.4</v>
      </c>
      <c r="I132" s="11">
        <v>36195250</v>
      </c>
      <c r="J132" s="14" t="s">
        <v>36</v>
      </c>
      <c r="K132" s="3" t="s">
        <v>293</v>
      </c>
    </row>
    <row r="133" spans="2:11">
      <c r="B133" s="3" t="s">
        <v>310</v>
      </c>
      <c r="C133" s="11" t="s">
        <v>290</v>
      </c>
      <c r="D133" s="3" t="s">
        <v>291</v>
      </c>
      <c r="E133" s="3" t="s">
        <v>311</v>
      </c>
      <c r="F133" s="11" t="s">
        <v>22</v>
      </c>
      <c r="G133" s="11">
        <v>845000</v>
      </c>
      <c r="H133" s="11">
        <v>991.7</v>
      </c>
      <c r="I133" s="11">
        <v>37040250</v>
      </c>
      <c r="J133" s="14" t="s">
        <v>36</v>
      </c>
      <c r="K133" s="3" t="s">
        <v>293</v>
      </c>
    </row>
    <row r="134" spans="2:11">
      <c r="B134" s="3" t="s">
        <v>312</v>
      </c>
      <c r="C134" s="11" t="s">
        <v>290</v>
      </c>
      <c r="D134" s="11" t="s">
        <v>313</v>
      </c>
      <c r="E134" s="3" t="s">
        <v>314</v>
      </c>
      <c r="F134" s="11" t="s">
        <v>315</v>
      </c>
      <c r="G134" s="11">
        <v>858050</v>
      </c>
      <c r="H134" s="11">
        <v>999</v>
      </c>
      <c r="I134" s="11">
        <v>37898300</v>
      </c>
      <c r="J134" s="14" t="s">
        <v>36</v>
      </c>
      <c r="K134" s="3" t="s">
        <v>293</v>
      </c>
    </row>
    <row r="135" spans="2:11">
      <c r="B135" s="3" t="s">
        <v>316</v>
      </c>
      <c r="C135" s="11" t="s">
        <v>290</v>
      </c>
      <c r="D135" s="11" t="s">
        <v>313</v>
      </c>
      <c r="E135" s="3" t="s">
        <v>317</v>
      </c>
      <c r="F135" s="11" t="s">
        <v>22</v>
      </c>
      <c r="G135" s="11">
        <v>871200</v>
      </c>
      <c r="H135" s="11">
        <v>1006.3</v>
      </c>
      <c r="I135" s="11">
        <v>38769500</v>
      </c>
      <c r="J135" s="14" t="s">
        <v>36</v>
      </c>
      <c r="K135" s="3" t="s">
        <v>293</v>
      </c>
    </row>
    <row r="136" spans="2:11">
      <c r="B136" s="3" t="s">
        <v>318</v>
      </c>
      <c r="C136" s="11" t="s">
        <v>290</v>
      </c>
      <c r="D136" s="11" t="s">
        <v>313</v>
      </c>
      <c r="E136" s="3" t="s">
        <v>319</v>
      </c>
      <c r="F136" s="11" t="s">
        <v>22</v>
      </c>
      <c r="G136" s="11">
        <v>884450</v>
      </c>
      <c r="H136" s="11">
        <v>1013.6</v>
      </c>
      <c r="I136" s="11">
        <v>39653950</v>
      </c>
      <c r="J136" s="14" t="s">
        <v>36</v>
      </c>
      <c r="K136" s="3" t="s">
        <v>293</v>
      </c>
    </row>
    <row r="137" spans="2:11">
      <c r="B137" s="3" t="s">
        <v>320</v>
      </c>
      <c r="C137" s="11" t="s">
        <v>290</v>
      </c>
      <c r="D137" s="11" t="s">
        <v>313</v>
      </c>
      <c r="E137" s="3" t="s">
        <v>321</v>
      </c>
      <c r="F137" s="11" t="s">
        <v>22</v>
      </c>
      <c r="G137" s="11">
        <v>897800</v>
      </c>
      <c r="H137" s="11">
        <v>1020.9</v>
      </c>
      <c r="I137" s="11">
        <v>40551750</v>
      </c>
      <c r="J137" s="14" t="s">
        <v>36</v>
      </c>
      <c r="K137" s="3" t="s">
        <v>293</v>
      </c>
    </row>
    <row r="138" spans="2:11">
      <c r="B138" s="3" t="s">
        <v>322</v>
      </c>
      <c r="C138" s="11" t="s">
        <v>290</v>
      </c>
      <c r="D138" s="11" t="s">
        <v>313</v>
      </c>
      <c r="E138" s="3" t="s">
        <v>323</v>
      </c>
      <c r="F138" s="11" t="s">
        <v>22</v>
      </c>
      <c r="G138" s="11">
        <v>911250</v>
      </c>
      <c r="H138" s="11">
        <v>1028.2</v>
      </c>
      <c r="I138" s="11">
        <v>41463000</v>
      </c>
      <c r="J138" s="14" t="s">
        <v>36</v>
      </c>
      <c r="K138" s="3" t="s">
        <v>293</v>
      </c>
    </row>
    <row r="139" spans="2:11">
      <c r="B139" s="3" t="s">
        <v>324</v>
      </c>
      <c r="C139" s="11" t="s">
        <v>290</v>
      </c>
      <c r="D139" s="11" t="s">
        <v>313</v>
      </c>
      <c r="E139" s="3" t="s">
        <v>325</v>
      </c>
      <c r="F139" s="11" t="s">
        <v>22</v>
      </c>
      <c r="G139" s="11">
        <v>924800</v>
      </c>
      <c r="H139" s="11">
        <v>1035.5</v>
      </c>
      <c r="I139" s="11">
        <v>42387800</v>
      </c>
      <c r="J139" s="14" t="s">
        <v>36</v>
      </c>
      <c r="K139" s="3" t="s">
        <v>293</v>
      </c>
    </row>
    <row r="140" spans="2:11">
      <c r="B140" s="3" t="s">
        <v>326</v>
      </c>
      <c r="C140" s="11" t="s">
        <v>290</v>
      </c>
      <c r="D140" s="11" t="s">
        <v>313</v>
      </c>
      <c r="E140" s="3" t="s">
        <v>327</v>
      </c>
      <c r="F140" s="11" t="s">
        <v>22</v>
      </c>
      <c r="G140" s="11">
        <v>938450</v>
      </c>
      <c r="H140" s="11">
        <v>1042.8</v>
      </c>
      <c r="I140" s="11">
        <v>43326250</v>
      </c>
      <c r="J140" s="14" t="s">
        <v>36</v>
      </c>
      <c r="K140" s="3" t="s">
        <v>293</v>
      </c>
    </row>
    <row r="141" spans="2:11">
      <c r="B141" s="3" t="s">
        <v>328</v>
      </c>
      <c r="C141" s="11" t="s">
        <v>290</v>
      </c>
      <c r="D141" s="11" t="s">
        <v>313</v>
      </c>
      <c r="E141" s="3" t="s">
        <v>329</v>
      </c>
      <c r="F141" s="11" t="s">
        <v>22</v>
      </c>
      <c r="G141" s="11">
        <v>952200</v>
      </c>
      <c r="H141" s="11">
        <v>1050.1</v>
      </c>
      <c r="I141" s="11">
        <v>44278450</v>
      </c>
      <c r="J141" s="14" t="s">
        <v>36</v>
      </c>
      <c r="K141" s="3" t="s">
        <v>293</v>
      </c>
    </row>
    <row r="142" spans="2:11">
      <c r="B142" s="3" t="s">
        <v>330</v>
      </c>
      <c r="C142" s="11" t="s">
        <v>290</v>
      </c>
      <c r="D142" s="11" t="s">
        <v>313</v>
      </c>
      <c r="E142" s="3" t="s">
        <v>331</v>
      </c>
      <c r="F142" s="11" t="s">
        <v>22</v>
      </c>
      <c r="G142" s="11">
        <v>966050</v>
      </c>
      <c r="H142" s="11">
        <v>1057.4</v>
      </c>
      <c r="I142" s="11">
        <v>45244500</v>
      </c>
      <c r="J142" s="14" t="s">
        <v>36</v>
      </c>
      <c r="K142" s="3" t="s">
        <v>293</v>
      </c>
    </row>
    <row r="143" spans="2:11">
      <c r="B143" s="3" t="s">
        <v>332</v>
      </c>
      <c r="C143" s="11" t="s">
        <v>290</v>
      </c>
      <c r="D143" s="11" t="s">
        <v>313</v>
      </c>
      <c r="E143" s="3" t="s">
        <v>333</v>
      </c>
      <c r="F143" s="11" t="s">
        <v>22</v>
      </c>
      <c r="G143" s="11">
        <v>980000</v>
      </c>
      <c r="H143" s="11">
        <v>1064.7</v>
      </c>
      <c r="I143" s="11">
        <v>46224500</v>
      </c>
      <c r="J143" s="14" t="s">
        <v>36</v>
      </c>
      <c r="K143" s="3" t="s">
        <v>293</v>
      </c>
    </row>
    <row r="144" spans="2:11">
      <c r="B144" s="3" t="s">
        <v>334</v>
      </c>
      <c r="C144" s="11" t="s">
        <v>290</v>
      </c>
      <c r="D144" s="11" t="s">
        <v>335</v>
      </c>
      <c r="E144" s="3" t="s">
        <v>336</v>
      </c>
      <c r="F144" s="11" t="s">
        <v>117</v>
      </c>
      <c r="G144" s="11">
        <v>994050</v>
      </c>
      <c r="H144" s="11">
        <v>1072</v>
      </c>
      <c r="I144" s="11">
        <v>47218550</v>
      </c>
      <c r="J144" s="14" t="s">
        <v>36</v>
      </c>
      <c r="K144" s="3" t="s">
        <v>293</v>
      </c>
    </row>
    <row r="145" spans="2:11">
      <c r="B145" s="3" t="s">
        <v>337</v>
      </c>
      <c r="C145" s="3" t="s">
        <v>290</v>
      </c>
      <c r="D145" s="11" t="s">
        <v>335</v>
      </c>
      <c r="E145" s="3" t="s">
        <v>338</v>
      </c>
      <c r="F145" s="11" t="s">
        <v>22</v>
      </c>
      <c r="G145" s="11">
        <v>1008200</v>
      </c>
      <c r="H145" s="11">
        <v>1079.3</v>
      </c>
      <c r="I145" s="11">
        <v>48226750</v>
      </c>
      <c r="J145" s="14" t="s">
        <v>36</v>
      </c>
      <c r="K145" s="3" t="s">
        <v>293</v>
      </c>
    </row>
    <row r="146" spans="2:11">
      <c r="B146" s="3" t="s">
        <v>339</v>
      </c>
      <c r="C146" s="11" t="s">
        <v>290</v>
      </c>
      <c r="D146" s="11" t="s">
        <v>335</v>
      </c>
      <c r="E146" s="3" t="s">
        <v>340</v>
      </c>
      <c r="F146" s="11" t="s">
        <v>22</v>
      </c>
      <c r="G146" s="11">
        <v>1022450</v>
      </c>
      <c r="H146" s="11">
        <v>1086.6</v>
      </c>
      <c r="I146" s="11">
        <v>49249200</v>
      </c>
      <c r="J146" s="14" t="s">
        <v>36</v>
      </c>
      <c r="K146" s="3" t="s">
        <v>293</v>
      </c>
    </row>
    <row r="147" spans="2:11">
      <c r="B147" s="3" t="s">
        <v>341</v>
      </c>
      <c r="C147" s="11" t="s">
        <v>290</v>
      </c>
      <c r="D147" s="11" t="s">
        <v>335</v>
      </c>
      <c r="E147" s="3" t="s">
        <v>342</v>
      </c>
      <c r="F147" s="11" t="s">
        <v>22</v>
      </c>
      <c r="G147" s="11">
        <v>1036800</v>
      </c>
      <c r="H147" s="11">
        <v>1093.9</v>
      </c>
      <c r="I147" s="11">
        <v>50286000</v>
      </c>
      <c r="J147" s="14" t="s">
        <v>36</v>
      </c>
      <c r="K147" s="3" t="s">
        <v>293</v>
      </c>
    </row>
    <row r="148" spans="2:11">
      <c r="B148" s="3" t="s">
        <v>343</v>
      </c>
      <c r="C148" s="11" t="s">
        <v>290</v>
      </c>
      <c r="D148" s="11" t="s">
        <v>335</v>
      </c>
      <c r="E148" s="3" t="s">
        <v>344</v>
      </c>
      <c r="F148" s="11" t="s">
        <v>22</v>
      </c>
      <c r="G148" s="11">
        <v>1051250</v>
      </c>
      <c r="H148" s="11">
        <v>1101.2</v>
      </c>
      <c r="I148" s="11">
        <v>51337250</v>
      </c>
      <c r="J148" s="14" t="s">
        <v>36</v>
      </c>
      <c r="K148" s="3" t="s">
        <v>293</v>
      </c>
    </row>
    <row r="149" spans="2:11">
      <c r="B149" s="3" t="s">
        <v>345</v>
      </c>
      <c r="C149" s="11" t="s">
        <v>290</v>
      </c>
      <c r="D149" s="11" t="s">
        <v>335</v>
      </c>
      <c r="E149" s="3" t="s">
        <v>346</v>
      </c>
      <c r="F149" s="11" t="s">
        <v>22</v>
      </c>
      <c r="G149" s="11">
        <v>1065800</v>
      </c>
      <c r="H149" s="11">
        <v>1108.5</v>
      </c>
      <c r="I149" s="11">
        <v>52403050</v>
      </c>
      <c r="J149" s="14" t="s">
        <v>36</v>
      </c>
      <c r="K149" s="3" t="s">
        <v>293</v>
      </c>
    </row>
    <row r="150" spans="2:11">
      <c r="B150" s="3" t="s">
        <v>347</v>
      </c>
      <c r="C150" s="11" t="s">
        <v>290</v>
      </c>
      <c r="D150" s="11" t="s">
        <v>335</v>
      </c>
      <c r="E150" s="3" t="s">
        <v>348</v>
      </c>
      <c r="F150" s="11" t="s">
        <v>22</v>
      </c>
      <c r="G150" s="11">
        <v>1080450</v>
      </c>
      <c r="H150" s="11">
        <v>1115.8</v>
      </c>
      <c r="I150" s="11">
        <v>53483500</v>
      </c>
      <c r="J150" s="14" t="s">
        <v>36</v>
      </c>
      <c r="K150" s="3" t="s">
        <v>293</v>
      </c>
    </row>
    <row r="151" spans="2:11">
      <c r="B151" s="3" t="s">
        <v>349</v>
      </c>
      <c r="C151" s="3" t="s">
        <v>290</v>
      </c>
      <c r="D151" s="11" t="s">
        <v>335</v>
      </c>
      <c r="E151" s="3" t="s">
        <v>350</v>
      </c>
      <c r="F151" s="11" t="s">
        <v>22</v>
      </c>
      <c r="G151" s="11">
        <v>1095200</v>
      </c>
      <c r="H151" s="11">
        <v>1123.1</v>
      </c>
      <c r="I151" s="11">
        <v>54578700</v>
      </c>
      <c r="J151" s="14" t="s">
        <v>36</v>
      </c>
      <c r="K151" s="3" t="s">
        <v>293</v>
      </c>
    </row>
    <row r="152" spans="2:11">
      <c r="B152" s="3" t="s">
        <v>351</v>
      </c>
      <c r="C152" s="11" t="s">
        <v>290</v>
      </c>
      <c r="D152" s="11" t="s">
        <v>335</v>
      </c>
      <c r="E152" s="3" t="s">
        <v>352</v>
      </c>
      <c r="F152" s="11" t="s">
        <v>22</v>
      </c>
      <c r="G152" s="11">
        <v>1110050</v>
      </c>
      <c r="H152" s="11">
        <v>1130.4</v>
      </c>
      <c r="I152" s="11">
        <v>55688750</v>
      </c>
      <c r="J152" s="14" t="s">
        <v>36</v>
      </c>
      <c r="K152" s="3" t="s">
        <v>293</v>
      </c>
    </row>
    <row r="153" spans="2:11">
      <c r="B153" s="3" t="s">
        <v>353</v>
      </c>
      <c r="C153" s="11" t="s">
        <v>290</v>
      </c>
      <c r="D153" s="11" t="s">
        <v>335</v>
      </c>
      <c r="E153" s="3" t="s">
        <v>354</v>
      </c>
      <c r="F153" s="11" t="s">
        <v>117</v>
      </c>
      <c r="G153" s="11">
        <v>1125000</v>
      </c>
      <c r="H153" s="11">
        <v>1137.7</v>
      </c>
      <c r="I153" s="11">
        <v>56813750</v>
      </c>
      <c r="J153" s="14" t="s">
        <v>36</v>
      </c>
      <c r="K153" s="3" t="s">
        <v>293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AE152"/>
  <sheetViews>
    <sheetView workbookViewId="0">
      <selection activeCell="I4" sqref="I4:N7"/>
    </sheetView>
  </sheetViews>
  <sheetFormatPr defaultColWidth="9" defaultRowHeight="13.5"/>
  <cols>
    <col min="1" max="3" width="9" customWidth="1"/>
    <col min="4" max="4" width="10.125" customWidth="1"/>
    <col min="5" max="9" width="9" customWidth="1"/>
    <col min="10" max="10" width="10.125" customWidth="1"/>
    <col min="11" max="15" width="9" customWidth="1"/>
    <col min="16" max="16" width="12" customWidth="1"/>
    <col min="17" max="22" width="9" customWidth="1"/>
    <col min="23" max="23" width="52.125" customWidth="1"/>
    <col min="24" max="29" width="9" customWidth="1"/>
    <col min="30" max="30" width="20.375" customWidth="1"/>
    <col min="31" max="31" width="9.5" customWidth="1"/>
    <col min="32" max="16384" width="9" customWidth="1"/>
  </cols>
  <sheetData>
    <row r="1" spans="8:30">
      <c r="H1" s="1" t="s">
        <v>355</v>
      </c>
      <c r="I1" s="1" t="s">
        <v>356</v>
      </c>
      <c r="J1" s="1" t="s">
        <v>357</v>
      </c>
      <c r="K1" s="1" t="s">
        <v>358</v>
      </c>
      <c r="L1" s="1" t="s">
        <v>359</v>
      </c>
      <c r="M1" s="1" t="s">
        <v>360</v>
      </c>
      <c r="N1" s="1" t="s">
        <v>361</v>
      </c>
      <c r="P1" s="1" t="s">
        <v>362</v>
      </c>
      <c r="W1" s="1" t="s">
        <v>363</v>
      </c>
      <c r="Z1" s="1" t="s">
        <v>364</v>
      </c>
      <c r="AD1" s="1" t="s">
        <v>365</v>
      </c>
    </row>
    <row r="2" spans="9:29">
      <c r="I2" s="1">
        <v>10001</v>
      </c>
      <c r="J2" s="1">
        <v>10002</v>
      </c>
      <c r="K2" s="1">
        <v>10003</v>
      </c>
      <c r="L2" s="1">
        <v>10004</v>
      </c>
      <c r="M2" s="1">
        <v>10005</v>
      </c>
      <c r="N2" s="1">
        <v>10006</v>
      </c>
      <c r="Y2" s="5" t="s">
        <v>366</v>
      </c>
      <c r="Z2" s="5" t="s">
        <v>367</v>
      </c>
      <c r="AA2" s="5"/>
      <c r="AB2" s="5" t="s">
        <v>368</v>
      </c>
      <c r="AC2" s="5" t="s">
        <v>369</v>
      </c>
    </row>
    <row r="3" ht="17.25" customHeight="1" spans="6:30">
      <c r="F3" s="2" t="s">
        <v>92</v>
      </c>
      <c r="G3" s="2" t="s">
        <v>16</v>
      </c>
      <c r="H3" s="3" t="s">
        <v>14</v>
      </c>
      <c r="I3" s="3" t="s">
        <v>34</v>
      </c>
      <c r="J3" s="1"/>
      <c r="P3" s="4" t="str">
        <f>$I$2&amp;"|"&amp;I3</f>
        <v>10001|6</v>
      </c>
      <c r="Q3" s="4" t="str">
        <f>$J$2&amp;"|"&amp;J3</f>
        <v>10002|</v>
      </c>
      <c r="R3" s="4" t="str">
        <f>$K$2&amp;"|"&amp;K3</f>
        <v>10003|</v>
      </c>
      <c r="S3" s="4" t="str">
        <f>$L$2&amp;"|"&amp;L3</f>
        <v>10004|</v>
      </c>
      <c r="T3" s="4" t="str">
        <f>$M$2&amp;"|"&amp;M3</f>
        <v>10005|</v>
      </c>
      <c r="U3" s="4" t="str">
        <f>$N$2&amp;"|"&amp;N3</f>
        <v>10006|</v>
      </c>
      <c r="W3" t="str">
        <f t="shared" ref="W3:W66" si="0">P3&amp;"$"&amp;Q3&amp;"$"&amp;R3&amp;"$"&amp;S3&amp;"$"&amp;T3&amp;"$"&amp;U3</f>
        <v>10001|6$10002|$10003|$10004|$10005|$10006|</v>
      </c>
      <c r="Y3" s="6">
        <v>50</v>
      </c>
      <c r="Z3" s="7">
        <v>2</v>
      </c>
      <c r="AA3" s="8"/>
      <c r="AB3" s="8">
        <v>1</v>
      </c>
      <c r="AC3" s="9">
        <f>$Y$3*POWER(AB3,$Z$3)</f>
        <v>50</v>
      </c>
      <c r="AD3">
        <v>50</v>
      </c>
    </row>
    <row r="4" ht="17.25" customHeight="1" spans="8:31">
      <c r="H4" s="1">
        <v>2</v>
      </c>
      <c r="I4">
        <v>100</v>
      </c>
      <c r="K4">
        <v>5</v>
      </c>
      <c r="L4">
        <v>12</v>
      </c>
      <c r="P4" s="4" t="str">
        <f>$I$2&amp;"|"&amp;I4</f>
        <v>10001|100</v>
      </c>
      <c r="Q4" s="4" t="str">
        <f>$J$2&amp;"|"&amp;J4</f>
        <v>10002|</v>
      </c>
      <c r="R4" s="4" t="str">
        <f>$K$2&amp;"|"&amp;K4</f>
        <v>10003|5</v>
      </c>
      <c r="S4" s="4" t="str">
        <f>$L$2&amp;"|"&amp;L4</f>
        <v>10004|12</v>
      </c>
      <c r="T4" s="4" t="str">
        <f>$M$2&amp;"|"&amp;M4</f>
        <v>10005|</v>
      </c>
      <c r="U4" s="4" t="str">
        <f>$N$2&amp;"|"&amp;N4</f>
        <v>10006|</v>
      </c>
      <c r="W4" t="str">
        <f t="shared" si="0"/>
        <v>10001|100$10002|$10003|5$10004|12$10005|$10006|</v>
      </c>
      <c r="AB4" s="8">
        <v>2</v>
      </c>
      <c r="AC4" s="9">
        <f>$Y$3*POWER(AB4,$Z$3)</f>
        <v>200</v>
      </c>
      <c r="AD4" s="10">
        <f t="shared" ref="AD4:AD67" si="1">AD3+AC4</f>
        <v>250</v>
      </c>
      <c r="AE4" s="10">
        <f t="shared" ref="AE4:AE67" si="2">AD4-AD3</f>
        <v>200</v>
      </c>
    </row>
    <row r="5" ht="17.25" customHeight="1" spans="8:31">
      <c r="H5" s="1">
        <v>3</v>
      </c>
      <c r="I5">
        <v>100</v>
      </c>
      <c r="K5">
        <v>5</v>
      </c>
      <c r="L5">
        <v>12</v>
      </c>
      <c r="P5" s="4" t="str">
        <f>$I$2&amp;"|"&amp;I5</f>
        <v>10001|100</v>
      </c>
      <c r="Q5" s="4" t="str">
        <f>$J$2&amp;"|"&amp;J5</f>
        <v>10002|</v>
      </c>
      <c r="R5" s="4" t="str">
        <f>$K$2&amp;"|"&amp;K5</f>
        <v>10003|5</v>
      </c>
      <c r="S5" s="4" t="str">
        <f>$L$2&amp;"|"&amp;L5</f>
        <v>10004|12</v>
      </c>
      <c r="T5" s="4" t="str">
        <f>$M$2&amp;"|"&amp;M5</f>
        <v>10005|</v>
      </c>
      <c r="U5" s="4" t="str">
        <f>$N$2&amp;"|"&amp;N5</f>
        <v>10006|</v>
      </c>
      <c r="W5" t="str">
        <f t="shared" si="0"/>
        <v>10001|100$10002|$10003|5$10004|12$10005|$10006|</v>
      </c>
      <c r="AB5" s="8">
        <v>3</v>
      </c>
      <c r="AC5" s="9">
        <f>$Y$3*POWER(AB5,$Z$3)</f>
        <v>450</v>
      </c>
      <c r="AD5" s="10">
        <f t="shared" si="1"/>
        <v>700</v>
      </c>
      <c r="AE5" s="10">
        <f t="shared" si="2"/>
        <v>450</v>
      </c>
    </row>
    <row r="6" ht="17.25" customHeight="1" spans="8:31">
      <c r="H6" s="1">
        <v>4</v>
      </c>
      <c r="I6" s="1">
        <v>100</v>
      </c>
      <c r="J6" s="1"/>
      <c r="K6">
        <v>5</v>
      </c>
      <c r="L6">
        <v>12</v>
      </c>
      <c r="P6" s="4" t="str">
        <f>$I$2&amp;"|"&amp;I6</f>
        <v>10001|100</v>
      </c>
      <c r="Q6" s="4" t="str">
        <f>$J$2&amp;"|"&amp;J6</f>
        <v>10002|</v>
      </c>
      <c r="R6" s="4" t="str">
        <f>$K$2&amp;"|"&amp;K6</f>
        <v>10003|5</v>
      </c>
      <c r="S6" s="4" t="str">
        <f>$L$2&amp;"|"&amp;L6</f>
        <v>10004|12</v>
      </c>
      <c r="T6" s="4" t="str">
        <f>$M$2&amp;"|"&amp;M6</f>
        <v>10005|</v>
      </c>
      <c r="U6" s="4" t="str">
        <f>$N$2&amp;"|"&amp;N6</f>
        <v>10006|</v>
      </c>
      <c r="W6" t="str">
        <f t="shared" si="0"/>
        <v>10001|100$10002|$10003|5$10004|12$10005|$10006|</v>
      </c>
      <c r="AB6" s="8">
        <v>4</v>
      </c>
      <c r="AC6" s="9">
        <f>$Y$3*POWER(AB6,$Z$3)</f>
        <v>800</v>
      </c>
      <c r="AD6" s="10">
        <f t="shared" si="1"/>
        <v>1500</v>
      </c>
      <c r="AE6" s="10">
        <f t="shared" si="2"/>
        <v>800</v>
      </c>
    </row>
    <row r="7" ht="17.25" customHeight="1" spans="8:31">
      <c r="H7" s="1">
        <v>5</v>
      </c>
      <c r="I7" s="1">
        <v>100</v>
      </c>
      <c r="K7">
        <v>5</v>
      </c>
      <c r="L7">
        <v>12</v>
      </c>
      <c r="P7" s="4" t="str">
        <f>$I$2&amp;"|"&amp;I7</f>
        <v>10001|100</v>
      </c>
      <c r="Q7" s="4" t="str">
        <f>$J$2&amp;"|"&amp;J7</f>
        <v>10002|</v>
      </c>
      <c r="R7" s="4" t="str">
        <f>$K$2&amp;"|"&amp;K7</f>
        <v>10003|5</v>
      </c>
      <c r="S7" s="4" t="str">
        <f>$L$2&amp;"|"&amp;L7</f>
        <v>10004|12</v>
      </c>
      <c r="T7" s="4" t="str">
        <f>$M$2&amp;"|"&amp;M7</f>
        <v>10005|</v>
      </c>
      <c r="U7" s="4" t="str">
        <f>$N$2&amp;"|"&amp;N7</f>
        <v>10006|</v>
      </c>
      <c r="W7" t="str">
        <f t="shared" si="0"/>
        <v>10001|100$10002|$10003|5$10004|12$10005|$10006|</v>
      </c>
      <c r="AB7" s="8">
        <v>5</v>
      </c>
      <c r="AC7" s="9">
        <f>$Y$3*POWER(AB7,$Z$3)</f>
        <v>1250</v>
      </c>
      <c r="AD7" s="10">
        <f t="shared" si="1"/>
        <v>2750</v>
      </c>
      <c r="AE7" s="10">
        <f t="shared" si="2"/>
        <v>1250</v>
      </c>
    </row>
    <row r="8" ht="17.25" customHeight="1" spans="8:31">
      <c r="H8" s="1">
        <v>6</v>
      </c>
      <c r="I8" s="1">
        <v>100</v>
      </c>
      <c r="K8">
        <v>5</v>
      </c>
      <c r="L8">
        <v>12</v>
      </c>
      <c r="P8" s="4" t="str">
        <f>$I$2&amp;"|"&amp;I8</f>
        <v>10001|100</v>
      </c>
      <c r="Q8" s="4" t="str">
        <f>$J$2&amp;"|"&amp;J8</f>
        <v>10002|</v>
      </c>
      <c r="R8" s="4" t="str">
        <f>$K$2&amp;"|"&amp;K8</f>
        <v>10003|5</v>
      </c>
      <c r="S8" s="4" t="str">
        <f>$L$2&amp;"|"&amp;L8</f>
        <v>10004|12</v>
      </c>
      <c r="T8" s="4" t="str">
        <f>$M$2&amp;"|"&amp;M8</f>
        <v>10005|</v>
      </c>
      <c r="U8" s="4" t="str">
        <f>$N$2&amp;"|"&amp;N8</f>
        <v>10006|</v>
      </c>
      <c r="W8" t="str">
        <f t="shared" si="0"/>
        <v>10001|100$10002|$10003|5$10004|12$10005|$10006|</v>
      </c>
      <c r="AB8" s="8">
        <v>6</v>
      </c>
      <c r="AC8" s="9">
        <f>$Y$3*POWER(AB8,$Z$3)</f>
        <v>1800</v>
      </c>
      <c r="AD8" s="10">
        <f t="shared" si="1"/>
        <v>4550</v>
      </c>
      <c r="AE8" s="10">
        <f t="shared" si="2"/>
        <v>1800</v>
      </c>
    </row>
    <row r="9" ht="17.25" customHeight="1" spans="8:31">
      <c r="H9" s="1">
        <v>7</v>
      </c>
      <c r="I9" s="1">
        <v>100</v>
      </c>
      <c r="J9" s="1"/>
      <c r="K9">
        <v>5</v>
      </c>
      <c r="L9">
        <v>12</v>
      </c>
      <c r="P9" s="4" t="str">
        <f>$I$2&amp;"|"&amp;I9</f>
        <v>10001|100</v>
      </c>
      <c r="Q9" s="4" t="str">
        <f>$J$2&amp;"|"&amp;J9</f>
        <v>10002|</v>
      </c>
      <c r="R9" s="4" t="str">
        <f>$K$2&amp;"|"&amp;K9</f>
        <v>10003|5</v>
      </c>
      <c r="S9" s="4" t="str">
        <f>$L$2&amp;"|"&amp;L9</f>
        <v>10004|12</v>
      </c>
      <c r="T9" s="4" t="str">
        <f>$M$2&amp;"|"&amp;M9</f>
        <v>10005|</v>
      </c>
      <c r="U9" s="4" t="str">
        <f>$N$2&amp;"|"&amp;N9</f>
        <v>10006|</v>
      </c>
      <c r="W9" t="str">
        <f t="shared" si="0"/>
        <v>10001|100$10002|$10003|5$10004|12$10005|$10006|</v>
      </c>
      <c r="AB9" s="8">
        <v>7</v>
      </c>
      <c r="AC9" s="9">
        <f>$Y$3*POWER(AB9,$Z$3)</f>
        <v>2450</v>
      </c>
      <c r="AD9" s="10">
        <f t="shared" si="1"/>
        <v>7000</v>
      </c>
      <c r="AE9" s="10">
        <f t="shared" si="2"/>
        <v>2450</v>
      </c>
    </row>
    <row r="10" ht="17.25" customHeight="1" spans="8:31">
      <c r="H10" s="1">
        <v>8</v>
      </c>
      <c r="I10" s="1">
        <v>100</v>
      </c>
      <c r="K10">
        <v>5</v>
      </c>
      <c r="L10">
        <v>12</v>
      </c>
      <c r="P10" s="4" t="str">
        <f>$I$2&amp;"|"&amp;I10</f>
        <v>10001|100</v>
      </c>
      <c r="Q10" s="4" t="str">
        <f>$J$2&amp;"|"&amp;J10</f>
        <v>10002|</v>
      </c>
      <c r="R10" s="4" t="str">
        <f>$K$2&amp;"|"&amp;K10</f>
        <v>10003|5</v>
      </c>
      <c r="S10" s="4" t="str">
        <f>$L$2&amp;"|"&amp;L10</f>
        <v>10004|12</v>
      </c>
      <c r="T10" s="4" t="str">
        <f>$M$2&amp;"|"&amp;M10</f>
        <v>10005|</v>
      </c>
      <c r="U10" s="4" t="str">
        <f>$N$2&amp;"|"&amp;N10</f>
        <v>10006|</v>
      </c>
      <c r="W10" t="str">
        <f t="shared" si="0"/>
        <v>10001|100$10002|$10003|5$10004|12$10005|$10006|</v>
      </c>
      <c r="AB10" s="8">
        <v>8</v>
      </c>
      <c r="AC10" s="9">
        <f>$Y$3*POWER(AB10,$Z$3)</f>
        <v>3200</v>
      </c>
      <c r="AD10" s="10">
        <f t="shared" si="1"/>
        <v>10200</v>
      </c>
      <c r="AE10" s="10">
        <f t="shared" si="2"/>
        <v>3200</v>
      </c>
    </row>
    <row r="11" ht="17.25" customHeight="1" spans="8:31">
      <c r="H11" s="1">
        <v>9</v>
      </c>
      <c r="I11" s="1">
        <v>100</v>
      </c>
      <c r="K11">
        <v>5</v>
      </c>
      <c r="L11">
        <v>12</v>
      </c>
      <c r="P11" s="4" t="str">
        <f>$I$2&amp;"|"&amp;I11</f>
        <v>10001|100</v>
      </c>
      <c r="Q11" s="4" t="str">
        <f>$J$2&amp;"|"&amp;J11</f>
        <v>10002|</v>
      </c>
      <c r="R11" s="4" t="str">
        <f>$K$2&amp;"|"&amp;K11</f>
        <v>10003|5</v>
      </c>
      <c r="S11" s="4" t="str">
        <f>$L$2&amp;"|"&amp;L11</f>
        <v>10004|12</v>
      </c>
      <c r="T11" s="4" t="str">
        <f>$M$2&amp;"|"&amp;M11</f>
        <v>10005|</v>
      </c>
      <c r="U11" s="4" t="str">
        <f>$N$2&amp;"|"&amp;N11</f>
        <v>10006|</v>
      </c>
      <c r="W11" t="str">
        <f t="shared" si="0"/>
        <v>10001|100$10002|$10003|5$10004|12$10005|$10006|</v>
      </c>
      <c r="AB11" s="8">
        <v>9</v>
      </c>
      <c r="AC11" s="9">
        <f>$Y$3*POWER(AB11,$Z$3)</f>
        <v>4050</v>
      </c>
      <c r="AD11" s="10">
        <f t="shared" si="1"/>
        <v>14250</v>
      </c>
      <c r="AE11" s="10">
        <f t="shared" si="2"/>
        <v>4050</v>
      </c>
    </row>
    <row r="12" ht="17.25" customHeight="1" spans="8:31">
      <c r="H12" s="1">
        <v>10</v>
      </c>
      <c r="I12">
        <v>100</v>
      </c>
      <c r="K12">
        <v>5</v>
      </c>
      <c r="L12">
        <v>12</v>
      </c>
      <c r="P12" s="4" t="str">
        <f>$I$2&amp;"|"&amp;I12</f>
        <v>10001|100</v>
      </c>
      <c r="Q12" s="4" t="str">
        <f>$J$2&amp;"|"&amp;J12</f>
        <v>10002|</v>
      </c>
      <c r="R12" s="4" t="str">
        <f>$K$2&amp;"|"&amp;K12</f>
        <v>10003|5</v>
      </c>
      <c r="S12" s="4" t="str">
        <f>$L$2&amp;"|"&amp;L12</f>
        <v>10004|12</v>
      </c>
      <c r="T12" s="4" t="str">
        <f>$M$2&amp;"|"&amp;M12</f>
        <v>10005|</v>
      </c>
      <c r="U12" s="4" t="str">
        <f>$N$2&amp;"|"&amp;N12</f>
        <v>10006|</v>
      </c>
      <c r="W12" t="str">
        <f t="shared" si="0"/>
        <v>10001|100$10002|$10003|5$10004|12$10005|$10006|</v>
      </c>
      <c r="AB12" s="8">
        <v>10</v>
      </c>
      <c r="AC12" s="9">
        <f>$Y$3*POWER(AB12,$Z$3)</f>
        <v>5000</v>
      </c>
      <c r="AD12" s="10">
        <f t="shared" si="1"/>
        <v>19250</v>
      </c>
      <c r="AE12" s="10">
        <f t="shared" si="2"/>
        <v>5000</v>
      </c>
    </row>
    <row r="13" ht="17.25" customHeight="1" spans="7:31">
      <c r="G13" s="2" t="s">
        <v>46</v>
      </c>
      <c r="H13" s="1">
        <v>11</v>
      </c>
      <c r="I13">
        <v>100</v>
      </c>
      <c r="J13">
        <v>2</v>
      </c>
      <c r="K13">
        <v>5</v>
      </c>
      <c r="L13">
        <v>12</v>
      </c>
      <c r="M13">
        <v>1</v>
      </c>
      <c r="N13">
        <v>2</v>
      </c>
      <c r="P13" s="4" t="str">
        <f>$I$2&amp;"|"&amp;I13</f>
        <v>10001|100</v>
      </c>
      <c r="Q13" s="4" t="str">
        <f>$J$2&amp;"|"&amp;J13</f>
        <v>10002|2</v>
      </c>
      <c r="R13" s="4" t="str">
        <f>$K$2&amp;"|"&amp;K13</f>
        <v>10003|5</v>
      </c>
      <c r="S13" s="4" t="str">
        <f>$L$2&amp;"|"&amp;L13</f>
        <v>10004|12</v>
      </c>
      <c r="T13" s="4" t="str">
        <f>$M$2&amp;"|"&amp;M13</f>
        <v>10005|1</v>
      </c>
      <c r="U13" s="4" t="str">
        <f>$N$2&amp;"|"&amp;N13</f>
        <v>10006|2</v>
      </c>
      <c r="W13" t="str">
        <f t="shared" si="0"/>
        <v>10001|100$10002|2$10003|5$10004|12$10005|1$10006|2</v>
      </c>
      <c r="AB13" s="8">
        <v>11</v>
      </c>
      <c r="AC13" s="9">
        <f>$Y$3*POWER(AB13,$Z$3)</f>
        <v>6050</v>
      </c>
      <c r="AD13" s="10">
        <f t="shared" si="1"/>
        <v>25300</v>
      </c>
      <c r="AE13" s="10">
        <f t="shared" si="2"/>
        <v>6050</v>
      </c>
    </row>
    <row r="14" ht="17.25" customHeight="1" spans="8:31">
      <c r="H14" s="1">
        <v>12</v>
      </c>
      <c r="I14">
        <v>100</v>
      </c>
      <c r="K14">
        <v>5</v>
      </c>
      <c r="L14">
        <v>12</v>
      </c>
      <c r="P14" s="4" t="str">
        <f>$I$2&amp;"|"&amp;I14</f>
        <v>10001|100</v>
      </c>
      <c r="Q14" s="4" t="str">
        <f>$J$2&amp;"|"&amp;J14</f>
        <v>10002|</v>
      </c>
      <c r="R14" s="4" t="str">
        <f>$K$2&amp;"|"&amp;K14</f>
        <v>10003|5</v>
      </c>
      <c r="S14" s="4" t="str">
        <f>$L$2&amp;"|"&amp;L14</f>
        <v>10004|12</v>
      </c>
      <c r="T14" s="4" t="str">
        <f>$M$2&amp;"|"&amp;M14</f>
        <v>10005|</v>
      </c>
      <c r="U14" s="4" t="str">
        <f>$N$2&amp;"|"&amp;N14</f>
        <v>10006|</v>
      </c>
      <c r="W14" t="str">
        <f t="shared" si="0"/>
        <v>10001|100$10002|$10003|5$10004|12$10005|$10006|</v>
      </c>
      <c r="AB14" s="8">
        <v>12</v>
      </c>
      <c r="AC14" s="9">
        <f>$Y$3*POWER(AB14,$Z$3)</f>
        <v>7200</v>
      </c>
      <c r="AD14" s="10">
        <f t="shared" si="1"/>
        <v>32500</v>
      </c>
      <c r="AE14" s="10">
        <f t="shared" si="2"/>
        <v>7200</v>
      </c>
    </row>
    <row r="15" ht="17.25" customHeight="1" spans="8:31">
      <c r="H15" s="1">
        <v>13</v>
      </c>
      <c r="I15">
        <v>100</v>
      </c>
      <c r="K15">
        <v>5</v>
      </c>
      <c r="L15">
        <v>12</v>
      </c>
      <c r="P15" s="4" t="str">
        <f>$I$2&amp;"|"&amp;I15</f>
        <v>10001|100</v>
      </c>
      <c r="Q15" s="4" t="str">
        <f>$J$2&amp;"|"&amp;J15</f>
        <v>10002|</v>
      </c>
      <c r="R15" s="4" t="str">
        <f>$K$2&amp;"|"&amp;K15</f>
        <v>10003|5</v>
      </c>
      <c r="S15" s="4" t="str">
        <f>$L$2&amp;"|"&amp;L15</f>
        <v>10004|12</v>
      </c>
      <c r="T15" s="4" t="str">
        <f>$M$2&amp;"|"&amp;M15</f>
        <v>10005|</v>
      </c>
      <c r="U15" s="4" t="str">
        <f>$N$2&amp;"|"&amp;N15</f>
        <v>10006|</v>
      </c>
      <c r="W15" t="str">
        <f t="shared" si="0"/>
        <v>10001|100$10002|$10003|5$10004|12$10005|$10006|</v>
      </c>
      <c r="AB15" s="8">
        <v>13</v>
      </c>
      <c r="AC15" s="9">
        <f>$Y$3*POWER(AB15,$Z$3)</f>
        <v>8450</v>
      </c>
      <c r="AD15" s="10">
        <f t="shared" si="1"/>
        <v>40950</v>
      </c>
      <c r="AE15" s="10">
        <f t="shared" si="2"/>
        <v>8450</v>
      </c>
    </row>
    <row r="16" ht="17.25" customHeight="1" spans="8:31">
      <c r="H16" s="1">
        <v>14</v>
      </c>
      <c r="I16">
        <v>100</v>
      </c>
      <c r="K16">
        <v>5</v>
      </c>
      <c r="L16">
        <v>12</v>
      </c>
      <c r="P16" s="4" t="str">
        <f>$I$2&amp;"|"&amp;I16</f>
        <v>10001|100</v>
      </c>
      <c r="Q16" s="4" t="str">
        <f>$J$2&amp;"|"&amp;J16</f>
        <v>10002|</v>
      </c>
      <c r="R16" s="4" t="str">
        <f>$K$2&amp;"|"&amp;K16</f>
        <v>10003|5</v>
      </c>
      <c r="S16" s="4" t="str">
        <f>$L$2&amp;"|"&amp;L16</f>
        <v>10004|12</v>
      </c>
      <c r="T16" s="4" t="str">
        <f>$M$2&amp;"|"&amp;M16</f>
        <v>10005|</v>
      </c>
      <c r="U16" s="4" t="str">
        <f>$N$2&amp;"|"&amp;N16</f>
        <v>10006|</v>
      </c>
      <c r="W16" t="str">
        <f t="shared" si="0"/>
        <v>10001|100$10002|$10003|5$10004|12$10005|$10006|</v>
      </c>
      <c r="AB16" s="8">
        <v>14</v>
      </c>
      <c r="AC16" s="9">
        <f>$Y$3*POWER(AB16,$Z$3)</f>
        <v>9800</v>
      </c>
      <c r="AD16" s="10">
        <f t="shared" si="1"/>
        <v>50750</v>
      </c>
      <c r="AE16" s="10">
        <f t="shared" si="2"/>
        <v>9800</v>
      </c>
    </row>
    <row r="17" ht="17.25" customHeight="1" spans="8:31">
      <c r="H17" s="1">
        <v>15</v>
      </c>
      <c r="I17">
        <v>100</v>
      </c>
      <c r="K17">
        <v>5</v>
      </c>
      <c r="L17">
        <v>12</v>
      </c>
      <c r="P17" s="4" t="str">
        <f>$I$2&amp;"|"&amp;I17</f>
        <v>10001|100</v>
      </c>
      <c r="Q17" s="4" t="str">
        <f>$J$2&amp;"|"&amp;J17</f>
        <v>10002|</v>
      </c>
      <c r="R17" s="4" t="str">
        <f>$K$2&amp;"|"&amp;K17</f>
        <v>10003|5</v>
      </c>
      <c r="S17" s="4" t="str">
        <f>$L$2&amp;"|"&amp;L17</f>
        <v>10004|12</v>
      </c>
      <c r="T17" s="4" t="str">
        <f>$M$2&amp;"|"&amp;M17</f>
        <v>10005|</v>
      </c>
      <c r="U17" s="4" t="str">
        <f>$N$2&amp;"|"&amp;N17</f>
        <v>10006|</v>
      </c>
      <c r="W17" t="str">
        <f t="shared" si="0"/>
        <v>10001|100$10002|$10003|5$10004|12$10005|$10006|</v>
      </c>
      <c r="AB17" s="8">
        <v>15</v>
      </c>
      <c r="AC17" s="9">
        <f>$Y$3*POWER(AB17,$Z$3)</f>
        <v>11250</v>
      </c>
      <c r="AD17" s="10">
        <f t="shared" si="1"/>
        <v>62000</v>
      </c>
      <c r="AE17" s="10">
        <f t="shared" si="2"/>
        <v>11250</v>
      </c>
    </row>
    <row r="18" ht="17.25" customHeight="1" spans="8:31">
      <c r="H18" s="1">
        <v>16</v>
      </c>
      <c r="I18">
        <v>100</v>
      </c>
      <c r="K18">
        <v>5</v>
      </c>
      <c r="L18">
        <v>12</v>
      </c>
      <c r="P18" s="4" t="str">
        <f>$I$2&amp;"|"&amp;I18</f>
        <v>10001|100</v>
      </c>
      <c r="Q18" s="4" t="str">
        <f>$J$2&amp;"|"&amp;J18</f>
        <v>10002|</v>
      </c>
      <c r="R18" s="4" t="str">
        <f>$K$2&amp;"|"&amp;K18</f>
        <v>10003|5</v>
      </c>
      <c r="S18" s="4" t="str">
        <f>$L$2&amp;"|"&amp;L18</f>
        <v>10004|12</v>
      </c>
      <c r="T18" s="4" t="str">
        <f>$M$2&amp;"|"&amp;M18</f>
        <v>10005|</v>
      </c>
      <c r="U18" s="4" t="str">
        <f>$N$2&amp;"|"&amp;N18</f>
        <v>10006|</v>
      </c>
      <c r="W18" t="str">
        <f t="shared" si="0"/>
        <v>10001|100$10002|$10003|5$10004|12$10005|$10006|</v>
      </c>
      <c r="AB18" s="8">
        <v>16</v>
      </c>
      <c r="AC18" s="9">
        <f>$Y$3*POWER(AB18,$Z$3)</f>
        <v>12800</v>
      </c>
      <c r="AD18" s="10">
        <f t="shared" si="1"/>
        <v>74800</v>
      </c>
      <c r="AE18" s="10">
        <f t="shared" si="2"/>
        <v>12800</v>
      </c>
    </row>
    <row r="19" ht="17.25" customHeight="1" spans="8:31">
      <c r="H19" s="1">
        <v>17</v>
      </c>
      <c r="I19">
        <v>100</v>
      </c>
      <c r="K19">
        <v>5</v>
      </c>
      <c r="L19">
        <v>12</v>
      </c>
      <c r="P19" s="4" t="str">
        <f>$I$2&amp;"|"&amp;I19</f>
        <v>10001|100</v>
      </c>
      <c r="Q19" s="4" t="str">
        <f>$J$2&amp;"|"&amp;J19</f>
        <v>10002|</v>
      </c>
      <c r="R19" s="4" t="str">
        <f>$K$2&amp;"|"&amp;K19</f>
        <v>10003|5</v>
      </c>
      <c r="S19" s="4" t="str">
        <f>$L$2&amp;"|"&amp;L19</f>
        <v>10004|12</v>
      </c>
      <c r="T19" s="4" t="str">
        <f>$M$2&amp;"|"&amp;M19</f>
        <v>10005|</v>
      </c>
      <c r="U19" s="4" t="str">
        <f>$N$2&amp;"|"&amp;N19</f>
        <v>10006|</v>
      </c>
      <c r="W19" t="str">
        <f t="shared" si="0"/>
        <v>10001|100$10002|$10003|5$10004|12$10005|$10006|</v>
      </c>
      <c r="AB19" s="8">
        <v>17</v>
      </c>
      <c r="AC19" s="9">
        <f>$Y$3*POWER(AB19,$Z$3)</f>
        <v>14450</v>
      </c>
      <c r="AD19" s="10">
        <f t="shared" si="1"/>
        <v>89250</v>
      </c>
      <c r="AE19" s="10">
        <f t="shared" si="2"/>
        <v>14450</v>
      </c>
    </row>
    <row r="20" ht="17.25" customHeight="1" spans="8:31">
      <c r="H20" s="1">
        <v>18</v>
      </c>
      <c r="I20">
        <v>100</v>
      </c>
      <c r="K20">
        <v>5</v>
      </c>
      <c r="L20">
        <v>12</v>
      </c>
      <c r="P20" s="4" t="str">
        <f>$I$2&amp;"|"&amp;I20</f>
        <v>10001|100</v>
      </c>
      <c r="Q20" s="4" t="str">
        <f>$J$2&amp;"|"&amp;J20</f>
        <v>10002|</v>
      </c>
      <c r="R20" s="4" t="str">
        <f>$K$2&amp;"|"&amp;K20</f>
        <v>10003|5</v>
      </c>
      <c r="S20" s="4" t="str">
        <f>$L$2&amp;"|"&amp;L20</f>
        <v>10004|12</v>
      </c>
      <c r="T20" s="4" t="str">
        <f>$M$2&amp;"|"&amp;M20</f>
        <v>10005|</v>
      </c>
      <c r="U20" s="4" t="str">
        <f>$N$2&amp;"|"&amp;N20</f>
        <v>10006|</v>
      </c>
      <c r="W20" t="str">
        <f t="shared" si="0"/>
        <v>10001|100$10002|$10003|5$10004|12$10005|$10006|</v>
      </c>
      <c r="AB20" s="8">
        <v>18</v>
      </c>
      <c r="AC20" s="9">
        <f>$Y$3*POWER(AB20,$Z$3)</f>
        <v>16200</v>
      </c>
      <c r="AD20" s="10">
        <f t="shared" si="1"/>
        <v>105450</v>
      </c>
      <c r="AE20" s="10">
        <f t="shared" si="2"/>
        <v>16200</v>
      </c>
    </row>
    <row r="21" ht="17.25" customHeight="1" spans="8:31">
      <c r="H21" s="1">
        <v>19</v>
      </c>
      <c r="I21">
        <v>100</v>
      </c>
      <c r="K21">
        <v>5</v>
      </c>
      <c r="L21">
        <v>12</v>
      </c>
      <c r="P21" s="4" t="str">
        <f>$I$2&amp;"|"&amp;I21</f>
        <v>10001|100</v>
      </c>
      <c r="Q21" s="4" t="str">
        <f>$J$2&amp;"|"&amp;J21</f>
        <v>10002|</v>
      </c>
      <c r="R21" s="4" t="str">
        <f>$K$2&amp;"|"&amp;K21</f>
        <v>10003|5</v>
      </c>
      <c r="S21" s="4" t="str">
        <f>$L$2&amp;"|"&amp;L21</f>
        <v>10004|12</v>
      </c>
      <c r="T21" s="4" t="str">
        <f>$M$2&amp;"|"&amp;M21</f>
        <v>10005|</v>
      </c>
      <c r="U21" s="4" t="str">
        <f>$N$2&amp;"|"&amp;N21</f>
        <v>10006|</v>
      </c>
      <c r="W21" t="str">
        <f t="shared" si="0"/>
        <v>10001|100$10002|$10003|5$10004|12$10005|$10006|</v>
      </c>
      <c r="AB21" s="8">
        <v>19</v>
      </c>
      <c r="AC21" s="9">
        <f>$Y$3*POWER(AB21,$Z$3)</f>
        <v>18050</v>
      </c>
      <c r="AD21" s="10">
        <f t="shared" si="1"/>
        <v>123500</v>
      </c>
      <c r="AE21" s="10">
        <f t="shared" si="2"/>
        <v>18050</v>
      </c>
    </row>
    <row r="22" ht="17.25" customHeight="1" spans="8:31">
      <c r="H22" s="1">
        <v>20</v>
      </c>
      <c r="I22">
        <v>100</v>
      </c>
      <c r="K22">
        <v>5</v>
      </c>
      <c r="L22">
        <v>12</v>
      </c>
      <c r="P22" s="4" t="str">
        <f>$I$2&amp;"|"&amp;I22</f>
        <v>10001|100</v>
      </c>
      <c r="Q22" s="4" t="str">
        <f>$J$2&amp;"|"&amp;J22</f>
        <v>10002|</v>
      </c>
      <c r="R22" s="4" t="str">
        <f>$K$2&amp;"|"&amp;K22</f>
        <v>10003|5</v>
      </c>
      <c r="S22" s="4" t="str">
        <f>$L$2&amp;"|"&amp;L22</f>
        <v>10004|12</v>
      </c>
      <c r="T22" s="4" t="str">
        <f>$M$2&amp;"|"&amp;M22</f>
        <v>10005|</v>
      </c>
      <c r="U22" s="4" t="str">
        <f>$N$2&amp;"|"&amp;N22</f>
        <v>10006|</v>
      </c>
      <c r="W22" t="str">
        <f t="shared" si="0"/>
        <v>10001|100$10002|$10003|5$10004|12$10005|$10006|</v>
      </c>
      <c r="AB22" s="8">
        <v>20</v>
      </c>
      <c r="AC22" s="9">
        <f>$Y$3*POWER(AB22,$Z$3)</f>
        <v>20000</v>
      </c>
      <c r="AD22" s="10">
        <f t="shared" si="1"/>
        <v>143500</v>
      </c>
      <c r="AE22" s="10">
        <f t="shared" si="2"/>
        <v>20000</v>
      </c>
    </row>
    <row r="23" ht="17.25" customHeight="1" spans="7:31">
      <c r="G23" s="2" t="s">
        <v>70</v>
      </c>
      <c r="H23" s="1">
        <v>21</v>
      </c>
      <c r="I23">
        <v>100</v>
      </c>
      <c r="J23">
        <v>1</v>
      </c>
      <c r="K23">
        <v>5</v>
      </c>
      <c r="L23">
        <v>12</v>
      </c>
      <c r="M23">
        <v>2</v>
      </c>
      <c r="N23">
        <v>4</v>
      </c>
      <c r="P23" s="4" t="str">
        <f>$I$2&amp;"|"&amp;I23</f>
        <v>10001|100</v>
      </c>
      <c r="Q23" s="4" t="str">
        <f>$J$2&amp;"|"&amp;J23</f>
        <v>10002|1</v>
      </c>
      <c r="R23" s="4" t="str">
        <f>$K$2&amp;"|"&amp;K23</f>
        <v>10003|5</v>
      </c>
      <c r="S23" s="4" t="str">
        <f>$L$2&amp;"|"&amp;L23</f>
        <v>10004|12</v>
      </c>
      <c r="T23" s="4" t="str">
        <f>$M$2&amp;"|"&amp;M23</f>
        <v>10005|2</v>
      </c>
      <c r="U23" s="4" t="str">
        <f>$N$2&amp;"|"&amp;N23</f>
        <v>10006|4</v>
      </c>
      <c r="W23" t="str">
        <f t="shared" si="0"/>
        <v>10001|100$10002|1$10003|5$10004|12$10005|2$10006|4</v>
      </c>
      <c r="AB23" s="8">
        <v>21</v>
      </c>
      <c r="AC23" s="9">
        <f>$Y$3*POWER(AB23,$Z$3)</f>
        <v>22050</v>
      </c>
      <c r="AD23" s="10">
        <f t="shared" si="1"/>
        <v>165550</v>
      </c>
      <c r="AE23" s="10">
        <f t="shared" si="2"/>
        <v>22050</v>
      </c>
    </row>
    <row r="24" ht="17.25" customHeight="1" spans="8:31">
      <c r="H24" s="1">
        <v>22</v>
      </c>
      <c r="I24">
        <v>100</v>
      </c>
      <c r="K24">
        <v>5</v>
      </c>
      <c r="L24">
        <v>12</v>
      </c>
      <c r="P24" s="4" t="str">
        <f>$I$2&amp;"|"&amp;I24</f>
        <v>10001|100</v>
      </c>
      <c r="Q24" s="4" t="str">
        <f>$J$2&amp;"|"&amp;J24</f>
        <v>10002|</v>
      </c>
      <c r="R24" s="4" t="str">
        <f>$K$2&amp;"|"&amp;K24</f>
        <v>10003|5</v>
      </c>
      <c r="S24" s="4" t="str">
        <f>$L$2&amp;"|"&amp;L24</f>
        <v>10004|12</v>
      </c>
      <c r="T24" s="4" t="str">
        <f>$M$2&amp;"|"&amp;M24</f>
        <v>10005|</v>
      </c>
      <c r="U24" s="4" t="str">
        <f>$N$2&amp;"|"&amp;N24</f>
        <v>10006|</v>
      </c>
      <c r="W24" t="str">
        <f t="shared" si="0"/>
        <v>10001|100$10002|$10003|5$10004|12$10005|$10006|</v>
      </c>
      <c r="AB24" s="8">
        <v>22</v>
      </c>
      <c r="AC24" s="9">
        <f>$Y$3*POWER(AB24,$Z$3)</f>
        <v>24200</v>
      </c>
      <c r="AD24" s="10">
        <f t="shared" si="1"/>
        <v>189750</v>
      </c>
      <c r="AE24" s="10">
        <f t="shared" si="2"/>
        <v>24200</v>
      </c>
    </row>
    <row r="25" ht="17.25" customHeight="1" spans="8:31">
      <c r="H25" s="1">
        <v>23</v>
      </c>
      <c r="I25">
        <v>100</v>
      </c>
      <c r="K25">
        <v>5</v>
      </c>
      <c r="L25">
        <v>12</v>
      </c>
      <c r="P25" s="4" t="str">
        <f>$I$2&amp;"|"&amp;I25</f>
        <v>10001|100</v>
      </c>
      <c r="Q25" s="4" t="str">
        <f>$J$2&amp;"|"&amp;J25</f>
        <v>10002|</v>
      </c>
      <c r="R25" s="4" t="str">
        <f>$K$2&amp;"|"&amp;K25</f>
        <v>10003|5</v>
      </c>
      <c r="S25" s="4" t="str">
        <f>$L$2&amp;"|"&amp;L25</f>
        <v>10004|12</v>
      </c>
      <c r="T25" s="4" t="str">
        <f>$M$2&amp;"|"&amp;M25</f>
        <v>10005|</v>
      </c>
      <c r="U25" s="4" t="str">
        <f>$N$2&amp;"|"&amp;N25</f>
        <v>10006|</v>
      </c>
      <c r="W25" t="str">
        <f t="shared" si="0"/>
        <v>10001|100$10002|$10003|5$10004|12$10005|$10006|</v>
      </c>
      <c r="AB25" s="8">
        <v>23</v>
      </c>
      <c r="AC25" s="9">
        <f>$Y$3*POWER(AB25,$Z$3)</f>
        <v>26450</v>
      </c>
      <c r="AD25" s="10">
        <f t="shared" si="1"/>
        <v>216200</v>
      </c>
      <c r="AE25" s="10">
        <f t="shared" si="2"/>
        <v>26450</v>
      </c>
    </row>
    <row r="26" ht="17.25" customHeight="1" spans="8:31">
      <c r="H26" s="1">
        <v>24</v>
      </c>
      <c r="I26">
        <v>100</v>
      </c>
      <c r="K26">
        <v>5</v>
      </c>
      <c r="L26">
        <v>12</v>
      </c>
      <c r="P26" s="4" t="str">
        <f>$I$2&amp;"|"&amp;I26</f>
        <v>10001|100</v>
      </c>
      <c r="Q26" s="4" t="str">
        <f>$J$2&amp;"|"&amp;J26</f>
        <v>10002|</v>
      </c>
      <c r="R26" s="4" t="str">
        <f>$K$2&amp;"|"&amp;K26</f>
        <v>10003|5</v>
      </c>
      <c r="S26" s="4" t="str">
        <f>$L$2&amp;"|"&amp;L26</f>
        <v>10004|12</v>
      </c>
      <c r="T26" s="4" t="str">
        <f>$M$2&amp;"|"&amp;M26</f>
        <v>10005|</v>
      </c>
      <c r="U26" s="4" t="str">
        <f>$N$2&amp;"|"&amp;N26</f>
        <v>10006|</v>
      </c>
      <c r="W26" t="str">
        <f t="shared" si="0"/>
        <v>10001|100$10002|$10003|5$10004|12$10005|$10006|</v>
      </c>
      <c r="AB26" s="8">
        <v>24</v>
      </c>
      <c r="AC26" s="9">
        <f>$Y$3*POWER(AB26,$Z$3)</f>
        <v>28800</v>
      </c>
      <c r="AD26" s="10">
        <f t="shared" si="1"/>
        <v>245000</v>
      </c>
      <c r="AE26" s="10">
        <f t="shared" si="2"/>
        <v>28800</v>
      </c>
    </row>
    <row r="27" ht="17.25" customHeight="1" spans="8:31">
      <c r="H27" s="1">
        <v>25</v>
      </c>
      <c r="I27">
        <v>100</v>
      </c>
      <c r="K27">
        <v>5</v>
      </c>
      <c r="L27">
        <v>12</v>
      </c>
      <c r="P27" s="4" t="str">
        <f>$I$2&amp;"|"&amp;I27</f>
        <v>10001|100</v>
      </c>
      <c r="Q27" s="4" t="str">
        <f>$J$2&amp;"|"&amp;J27</f>
        <v>10002|</v>
      </c>
      <c r="R27" s="4" t="str">
        <f>$K$2&amp;"|"&amp;K27</f>
        <v>10003|5</v>
      </c>
      <c r="S27" s="4" t="str">
        <f>$L$2&amp;"|"&amp;L27</f>
        <v>10004|12</v>
      </c>
      <c r="T27" s="4" t="str">
        <f>$M$2&amp;"|"&amp;M27</f>
        <v>10005|</v>
      </c>
      <c r="U27" s="4" t="str">
        <f>$N$2&amp;"|"&amp;N27</f>
        <v>10006|</v>
      </c>
      <c r="W27" t="str">
        <f t="shared" si="0"/>
        <v>10001|100$10002|$10003|5$10004|12$10005|$10006|</v>
      </c>
      <c r="AB27" s="8">
        <v>25</v>
      </c>
      <c r="AC27" s="9">
        <f>$Y$3*POWER(AB27,$Z$3)</f>
        <v>31250</v>
      </c>
      <c r="AD27" s="10">
        <f t="shared" si="1"/>
        <v>276250</v>
      </c>
      <c r="AE27" s="10">
        <f t="shared" si="2"/>
        <v>31250</v>
      </c>
    </row>
    <row r="28" ht="17.25" customHeight="1" spans="8:31">
      <c r="H28" s="1">
        <v>26</v>
      </c>
      <c r="I28">
        <v>100</v>
      </c>
      <c r="K28">
        <v>5</v>
      </c>
      <c r="L28">
        <v>12</v>
      </c>
      <c r="P28" s="4" t="str">
        <f>$I$2&amp;"|"&amp;I28</f>
        <v>10001|100</v>
      </c>
      <c r="Q28" s="4" t="str">
        <f>$J$2&amp;"|"&amp;J28</f>
        <v>10002|</v>
      </c>
      <c r="R28" s="4" t="str">
        <f>$K$2&amp;"|"&amp;K28</f>
        <v>10003|5</v>
      </c>
      <c r="S28" s="4" t="str">
        <f>$L$2&amp;"|"&amp;L28</f>
        <v>10004|12</v>
      </c>
      <c r="T28" s="4" t="str">
        <f>$M$2&amp;"|"&amp;M28</f>
        <v>10005|</v>
      </c>
      <c r="U28" s="4" t="str">
        <f>$N$2&amp;"|"&amp;N28</f>
        <v>10006|</v>
      </c>
      <c r="W28" t="str">
        <f t="shared" si="0"/>
        <v>10001|100$10002|$10003|5$10004|12$10005|$10006|</v>
      </c>
      <c r="AB28" s="8">
        <v>26</v>
      </c>
      <c r="AC28" s="9">
        <f>$Y$3*POWER(AB28,$Z$3)</f>
        <v>33800</v>
      </c>
      <c r="AD28" s="10">
        <f t="shared" si="1"/>
        <v>310050</v>
      </c>
      <c r="AE28" s="10">
        <f t="shared" si="2"/>
        <v>33800</v>
      </c>
    </row>
    <row r="29" ht="17.25" customHeight="1" spans="8:31">
      <c r="H29" s="1">
        <v>27</v>
      </c>
      <c r="I29">
        <v>100</v>
      </c>
      <c r="K29">
        <v>5</v>
      </c>
      <c r="L29">
        <v>12</v>
      </c>
      <c r="P29" s="4" t="str">
        <f>$I$2&amp;"|"&amp;I29</f>
        <v>10001|100</v>
      </c>
      <c r="Q29" s="4" t="str">
        <f>$J$2&amp;"|"&amp;J29</f>
        <v>10002|</v>
      </c>
      <c r="R29" s="4" t="str">
        <f>$K$2&amp;"|"&amp;K29</f>
        <v>10003|5</v>
      </c>
      <c r="S29" s="4" t="str">
        <f>$L$2&amp;"|"&amp;L29</f>
        <v>10004|12</v>
      </c>
      <c r="T29" s="4" t="str">
        <f>$M$2&amp;"|"&amp;M29</f>
        <v>10005|</v>
      </c>
      <c r="U29" s="4" t="str">
        <f>$N$2&amp;"|"&amp;N29</f>
        <v>10006|</v>
      </c>
      <c r="W29" t="str">
        <f t="shared" si="0"/>
        <v>10001|100$10002|$10003|5$10004|12$10005|$10006|</v>
      </c>
      <c r="AB29" s="8">
        <v>27</v>
      </c>
      <c r="AC29" s="9">
        <f>$Y$3*POWER(AB29,$Z$3)</f>
        <v>36450</v>
      </c>
      <c r="AD29" s="10">
        <f t="shared" si="1"/>
        <v>346500</v>
      </c>
      <c r="AE29" s="10">
        <f t="shared" si="2"/>
        <v>36450</v>
      </c>
    </row>
    <row r="30" ht="17.25" customHeight="1" spans="8:31">
      <c r="H30" s="1">
        <v>28</v>
      </c>
      <c r="I30">
        <v>100</v>
      </c>
      <c r="K30">
        <v>5</v>
      </c>
      <c r="L30">
        <v>12</v>
      </c>
      <c r="P30" s="4" t="str">
        <f>$I$2&amp;"|"&amp;I30</f>
        <v>10001|100</v>
      </c>
      <c r="Q30" s="4" t="str">
        <f>$J$2&amp;"|"&amp;J30</f>
        <v>10002|</v>
      </c>
      <c r="R30" s="4" t="str">
        <f>$K$2&amp;"|"&amp;K30</f>
        <v>10003|5</v>
      </c>
      <c r="S30" s="4" t="str">
        <f>$L$2&amp;"|"&amp;L30</f>
        <v>10004|12</v>
      </c>
      <c r="T30" s="4" t="str">
        <f>$M$2&amp;"|"&amp;M30</f>
        <v>10005|</v>
      </c>
      <c r="U30" s="4" t="str">
        <f>$N$2&amp;"|"&amp;N30</f>
        <v>10006|</v>
      </c>
      <c r="W30" t="str">
        <f t="shared" si="0"/>
        <v>10001|100$10002|$10003|5$10004|12$10005|$10006|</v>
      </c>
      <c r="AB30" s="8">
        <v>28</v>
      </c>
      <c r="AC30" s="9">
        <f>$Y$3*POWER(AB30,$Z$3)</f>
        <v>39200</v>
      </c>
      <c r="AD30" s="10">
        <f t="shared" si="1"/>
        <v>385700</v>
      </c>
      <c r="AE30" s="10">
        <f t="shared" si="2"/>
        <v>39200</v>
      </c>
    </row>
    <row r="31" ht="17.25" customHeight="1" spans="8:31">
      <c r="H31" s="1">
        <v>29</v>
      </c>
      <c r="I31">
        <v>100</v>
      </c>
      <c r="K31">
        <v>5</v>
      </c>
      <c r="L31">
        <v>12</v>
      </c>
      <c r="P31" s="4" t="str">
        <f>$I$2&amp;"|"&amp;I31</f>
        <v>10001|100</v>
      </c>
      <c r="Q31" s="4" t="str">
        <f>$J$2&amp;"|"&amp;J31</f>
        <v>10002|</v>
      </c>
      <c r="R31" s="4" t="str">
        <f>$K$2&amp;"|"&amp;K31</f>
        <v>10003|5</v>
      </c>
      <c r="S31" s="4" t="str">
        <f>$L$2&amp;"|"&amp;L31</f>
        <v>10004|12</v>
      </c>
      <c r="T31" s="4" t="str">
        <f>$M$2&amp;"|"&amp;M31</f>
        <v>10005|</v>
      </c>
      <c r="U31" s="4" t="str">
        <f>$N$2&amp;"|"&amp;N31</f>
        <v>10006|</v>
      </c>
      <c r="W31" t="str">
        <f t="shared" si="0"/>
        <v>10001|100$10002|$10003|5$10004|12$10005|$10006|</v>
      </c>
      <c r="AB31" s="8">
        <v>29</v>
      </c>
      <c r="AC31" s="9">
        <f>$Y$3*POWER(AB31,$Z$3)</f>
        <v>42050</v>
      </c>
      <c r="AD31" s="10">
        <f t="shared" si="1"/>
        <v>427750</v>
      </c>
      <c r="AE31" s="10">
        <f t="shared" si="2"/>
        <v>42050</v>
      </c>
    </row>
    <row r="32" ht="17.25" customHeight="1" spans="8:31">
      <c r="H32" s="1">
        <v>30</v>
      </c>
      <c r="I32">
        <v>100</v>
      </c>
      <c r="K32">
        <v>5</v>
      </c>
      <c r="L32">
        <v>12</v>
      </c>
      <c r="P32" s="4" t="str">
        <f>$I$2&amp;"|"&amp;I32</f>
        <v>10001|100</v>
      </c>
      <c r="Q32" s="4" t="str">
        <f>$J$2&amp;"|"&amp;J32</f>
        <v>10002|</v>
      </c>
      <c r="R32" s="4" t="str">
        <f>$K$2&amp;"|"&amp;K32</f>
        <v>10003|5</v>
      </c>
      <c r="S32" s="4" t="str">
        <f>$L$2&amp;"|"&amp;L32</f>
        <v>10004|12</v>
      </c>
      <c r="T32" s="4" t="str">
        <f>$M$2&amp;"|"&amp;M32</f>
        <v>10005|</v>
      </c>
      <c r="U32" s="4" t="str">
        <f>$N$2&amp;"|"&amp;N32</f>
        <v>10006|</v>
      </c>
      <c r="W32" t="str">
        <f t="shared" si="0"/>
        <v>10001|100$10002|$10003|5$10004|12$10005|$10006|</v>
      </c>
      <c r="AB32" s="8">
        <v>30</v>
      </c>
      <c r="AC32" s="9">
        <f>$Y$3*POWER(AB32,$Z$3)</f>
        <v>45000</v>
      </c>
      <c r="AD32" s="10">
        <f t="shared" si="1"/>
        <v>472750</v>
      </c>
      <c r="AE32" s="10">
        <f t="shared" si="2"/>
        <v>45000</v>
      </c>
    </row>
    <row r="33" ht="17.25" customHeight="1" spans="6:31">
      <c r="F33" s="2" t="s">
        <v>370</v>
      </c>
      <c r="G33" s="2" t="s">
        <v>93</v>
      </c>
      <c r="H33" s="1">
        <v>31</v>
      </c>
      <c r="I33">
        <v>100</v>
      </c>
      <c r="J33">
        <v>2</v>
      </c>
      <c r="K33">
        <v>5</v>
      </c>
      <c r="L33">
        <v>12</v>
      </c>
      <c r="M33">
        <v>1</v>
      </c>
      <c r="N33">
        <v>2</v>
      </c>
      <c r="P33" s="4" t="str">
        <f>$I$2&amp;"|"&amp;I33</f>
        <v>10001|100</v>
      </c>
      <c r="Q33" s="4" t="str">
        <f>$J$2&amp;"|"&amp;J33</f>
        <v>10002|2</v>
      </c>
      <c r="R33" s="4" t="str">
        <f>$K$2&amp;"|"&amp;K33</f>
        <v>10003|5</v>
      </c>
      <c r="S33" s="4" t="str">
        <f>$L$2&amp;"|"&amp;L33</f>
        <v>10004|12</v>
      </c>
      <c r="T33" s="4" t="str">
        <f>$M$2&amp;"|"&amp;M33</f>
        <v>10005|1</v>
      </c>
      <c r="U33" s="4" t="str">
        <f>$N$2&amp;"|"&amp;N33</f>
        <v>10006|2</v>
      </c>
      <c r="W33" t="str">
        <f t="shared" si="0"/>
        <v>10001|100$10002|2$10003|5$10004|12$10005|1$10006|2</v>
      </c>
      <c r="AB33" s="8">
        <v>31</v>
      </c>
      <c r="AC33" s="9">
        <f>$Y$3*POWER(AB33,$Z$3)</f>
        <v>48050</v>
      </c>
      <c r="AD33" s="10">
        <f t="shared" si="1"/>
        <v>520800</v>
      </c>
      <c r="AE33" s="10">
        <f t="shared" si="2"/>
        <v>48050</v>
      </c>
    </row>
    <row r="34" ht="17.25" customHeight="1" spans="8:31">
      <c r="H34" s="1">
        <v>32</v>
      </c>
      <c r="I34">
        <v>100</v>
      </c>
      <c r="K34">
        <v>5</v>
      </c>
      <c r="L34">
        <v>12</v>
      </c>
      <c r="P34" s="4" t="str">
        <f>$I$2&amp;"|"&amp;I34</f>
        <v>10001|100</v>
      </c>
      <c r="Q34" s="4" t="str">
        <f>$J$2&amp;"|"&amp;J34</f>
        <v>10002|</v>
      </c>
      <c r="R34" s="4" t="str">
        <f>$K$2&amp;"|"&amp;K34</f>
        <v>10003|5</v>
      </c>
      <c r="S34" s="4" t="str">
        <f>$L$2&amp;"|"&amp;L34</f>
        <v>10004|12</v>
      </c>
      <c r="T34" s="4" t="str">
        <f>$M$2&amp;"|"&amp;M34</f>
        <v>10005|</v>
      </c>
      <c r="U34" s="4" t="str">
        <f>$N$2&amp;"|"&amp;N34</f>
        <v>10006|</v>
      </c>
      <c r="W34" t="str">
        <f t="shared" si="0"/>
        <v>10001|100$10002|$10003|5$10004|12$10005|$10006|</v>
      </c>
      <c r="AB34" s="8">
        <v>32</v>
      </c>
      <c r="AC34" s="9">
        <f>$Y$3*POWER(AB34,$Z$3)</f>
        <v>51200</v>
      </c>
      <c r="AD34" s="10">
        <f t="shared" si="1"/>
        <v>572000</v>
      </c>
      <c r="AE34" s="10">
        <f t="shared" si="2"/>
        <v>51200</v>
      </c>
    </row>
    <row r="35" ht="17.25" customHeight="1" spans="8:31">
      <c r="H35" s="1">
        <v>33</v>
      </c>
      <c r="I35">
        <v>100</v>
      </c>
      <c r="K35">
        <v>5</v>
      </c>
      <c r="L35">
        <v>12</v>
      </c>
      <c r="P35" s="4" t="str">
        <f>$I$2&amp;"|"&amp;I35</f>
        <v>10001|100</v>
      </c>
      <c r="Q35" s="4" t="str">
        <f>$J$2&amp;"|"&amp;J35</f>
        <v>10002|</v>
      </c>
      <c r="R35" s="4" t="str">
        <f>$K$2&amp;"|"&amp;K35</f>
        <v>10003|5</v>
      </c>
      <c r="S35" s="4" t="str">
        <f>$L$2&amp;"|"&amp;L35</f>
        <v>10004|12</v>
      </c>
      <c r="T35" s="4" t="str">
        <f>$M$2&amp;"|"&amp;M35</f>
        <v>10005|</v>
      </c>
      <c r="U35" s="4" t="str">
        <f>$N$2&amp;"|"&amp;N35</f>
        <v>10006|</v>
      </c>
      <c r="W35" t="str">
        <f t="shared" si="0"/>
        <v>10001|100$10002|$10003|5$10004|12$10005|$10006|</v>
      </c>
      <c r="AB35" s="8">
        <v>33</v>
      </c>
      <c r="AC35" s="9">
        <f>$Y$3*POWER(AB35,$Z$3)</f>
        <v>54450</v>
      </c>
      <c r="AD35" s="10">
        <f t="shared" si="1"/>
        <v>626450</v>
      </c>
      <c r="AE35" s="10">
        <f t="shared" si="2"/>
        <v>54450</v>
      </c>
    </row>
    <row r="36" ht="17.25" customHeight="1" spans="8:31">
      <c r="H36" s="1">
        <v>34</v>
      </c>
      <c r="I36">
        <v>100</v>
      </c>
      <c r="K36">
        <v>5</v>
      </c>
      <c r="L36">
        <v>12</v>
      </c>
      <c r="P36" s="4" t="str">
        <f>$I$2&amp;"|"&amp;I36</f>
        <v>10001|100</v>
      </c>
      <c r="Q36" s="4" t="str">
        <f>$J$2&amp;"|"&amp;J36</f>
        <v>10002|</v>
      </c>
      <c r="R36" s="4" t="str">
        <f>$K$2&amp;"|"&amp;K36</f>
        <v>10003|5</v>
      </c>
      <c r="S36" s="4" t="str">
        <f>$L$2&amp;"|"&amp;L36</f>
        <v>10004|12</v>
      </c>
      <c r="T36" s="4" t="str">
        <f>$M$2&amp;"|"&amp;M36</f>
        <v>10005|</v>
      </c>
      <c r="U36" s="4" t="str">
        <f>$N$2&amp;"|"&amp;N36</f>
        <v>10006|</v>
      </c>
      <c r="W36" t="str">
        <f t="shared" si="0"/>
        <v>10001|100$10002|$10003|5$10004|12$10005|$10006|</v>
      </c>
      <c r="AB36" s="8">
        <v>34</v>
      </c>
      <c r="AC36" s="9">
        <f>$Y$3*POWER(AB36,$Z$3)</f>
        <v>57800</v>
      </c>
      <c r="AD36" s="10">
        <f t="shared" si="1"/>
        <v>684250</v>
      </c>
      <c r="AE36" s="10">
        <f t="shared" si="2"/>
        <v>57800</v>
      </c>
    </row>
    <row r="37" ht="17.25" customHeight="1" spans="8:31">
      <c r="H37" s="1">
        <v>35</v>
      </c>
      <c r="I37">
        <v>100</v>
      </c>
      <c r="K37">
        <v>5</v>
      </c>
      <c r="L37">
        <v>12</v>
      </c>
      <c r="P37" s="4" t="str">
        <f>$I$2&amp;"|"&amp;I37</f>
        <v>10001|100</v>
      </c>
      <c r="Q37" s="4" t="str">
        <f>$J$2&amp;"|"&amp;J37</f>
        <v>10002|</v>
      </c>
      <c r="R37" s="4" t="str">
        <f>$K$2&amp;"|"&amp;K37</f>
        <v>10003|5</v>
      </c>
      <c r="S37" s="4" t="str">
        <f>$L$2&amp;"|"&amp;L37</f>
        <v>10004|12</v>
      </c>
      <c r="T37" s="4" t="str">
        <f>$M$2&amp;"|"&amp;M37</f>
        <v>10005|</v>
      </c>
      <c r="U37" s="4" t="str">
        <f>$N$2&amp;"|"&amp;N37</f>
        <v>10006|</v>
      </c>
      <c r="W37" t="str">
        <f t="shared" si="0"/>
        <v>10001|100$10002|$10003|5$10004|12$10005|$10006|</v>
      </c>
      <c r="AB37" s="8">
        <v>35</v>
      </c>
      <c r="AC37" s="9">
        <f>$Y$3*POWER(AB37,$Z$3)</f>
        <v>61250</v>
      </c>
      <c r="AD37" s="10">
        <f t="shared" si="1"/>
        <v>745500</v>
      </c>
      <c r="AE37" s="10">
        <f t="shared" si="2"/>
        <v>61250</v>
      </c>
    </row>
    <row r="38" ht="17.25" customHeight="1" spans="8:31">
      <c r="H38" s="1">
        <v>36</v>
      </c>
      <c r="I38">
        <v>100</v>
      </c>
      <c r="K38">
        <v>5</v>
      </c>
      <c r="L38">
        <v>12</v>
      </c>
      <c r="P38" s="4" t="str">
        <f>$I$2&amp;"|"&amp;I38</f>
        <v>10001|100</v>
      </c>
      <c r="Q38" s="4" t="str">
        <f>$J$2&amp;"|"&amp;J38</f>
        <v>10002|</v>
      </c>
      <c r="R38" s="4" t="str">
        <f>$K$2&amp;"|"&amp;K38</f>
        <v>10003|5</v>
      </c>
      <c r="S38" s="4" t="str">
        <f>$L$2&amp;"|"&amp;L38</f>
        <v>10004|12</v>
      </c>
      <c r="T38" s="4" t="str">
        <f>$M$2&amp;"|"&amp;M38</f>
        <v>10005|</v>
      </c>
      <c r="U38" s="4" t="str">
        <f>$N$2&amp;"|"&amp;N38</f>
        <v>10006|</v>
      </c>
      <c r="W38" t="str">
        <f t="shared" si="0"/>
        <v>10001|100$10002|$10003|5$10004|12$10005|$10006|</v>
      </c>
      <c r="AB38" s="8">
        <v>36</v>
      </c>
      <c r="AC38" s="9">
        <f>$Y$3*POWER(AB38,$Z$3)</f>
        <v>64800</v>
      </c>
      <c r="AD38" s="10">
        <f t="shared" si="1"/>
        <v>810300</v>
      </c>
      <c r="AE38" s="10">
        <f t="shared" si="2"/>
        <v>64800</v>
      </c>
    </row>
    <row r="39" ht="17.25" customHeight="1" spans="8:31">
      <c r="H39" s="1">
        <v>37</v>
      </c>
      <c r="I39">
        <v>100</v>
      </c>
      <c r="K39">
        <v>5</v>
      </c>
      <c r="L39">
        <v>12</v>
      </c>
      <c r="P39" s="4" t="str">
        <f>$I$2&amp;"|"&amp;I39</f>
        <v>10001|100</v>
      </c>
      <c r="Q39" s="4" t="str">
        <f>$J$2&amp;"|"&amp;J39</f>
        <v>10002|</v>
      </c>
      <c r="R39" s="4" t="str">
        <f>$K$2&amp;"|"&amp;K39</f>
        <v>10003|5</v>
      </c>
      <c r="S39" s="4" t="str">
        <f>$L$2&amp;"|"&amp;L39</f>
        <v>10004|12</v>
      </c>
      <c r="T39" s="4" t="str">
        <f>$M$2&amp;"|"&amp;M39</f>
        <v>10005|</v>
      </c>
      <c r="U39" s="4" t="str">
        <f>$N$2&amp;"|"&amp;N39</f>
        <v>10006|</v>
      </c>
      <c r="W39" t="str">
        <f t="shared" si="0"/>
        <v>10001|100$10002|$10003|5$10004|12$10005|$10006|</v>
      </c>
      <c r="AB39" s="8">
        <v>37</v>
      </c>
      <c r="AC39" s="9">
        <f>$Y$3*POWER(AB39,$Z$3)</f>
        <v>68450</v>
      </c>
      <c r="AD39" s="10">
        <f t="shared" si="1"/>
        <v>878750</v>
      </c>
      <c r="AE39" s="10">
        <f t="shared" si="2"/>
        <v>68450</v>
      </c>
    </row>
    <row r="40" ht="17.25" customHeight="1" spans="8:31">
      <c r="H40" s="1">
        <v>38</v>
      </c>
      <c r="I40">
        <v>100</v>
      </c>
      <c r="K40">
        <v>5</v>
      </c>
      <c r="L40">
        <v>12</v>
      </c>
      <c r="P40" s="4" t="str">
        <f>$I$2&amp;"|"&amp;I40</f>
        <v>10001|100</v>
      </c>
      <c r="Q40" s="4" t="str">
        <f>$J$2&amp;"|"&amp;J40</f>
        <v>10002|</v>
      </c>
      <c r="R40" s="4" t="str">
        <f>$K$2&amp;"|"&amp;K40</f>
        <v>10003|5</v>
      </c>
      <c r="S40" s="4" t="str">
        <f>$L$2&amp;"|"&amp;L40</f>
        <v>10004|12</v>
      </c>
      <c r="T40" s="4" t="str">
        <f>$M$2&amp;"|"&amp;M40</f>
        <v>10005|</v>
      </c>
      <c r="U40" s="4" t="str">
        <f>$N$2&amp;"|"&amp;N40</f>
        <v>10006|</v>
      </c>
      <c r="W40" t="str">
        <f t="shared" si="0"/>
        <v>10001|100$10002|$10003|5$10004|12$10005|$10006|</v>
      </c>
      <c r="AB40" s="8">
        <v>38</v>
      </c>
      <c r="AC40" s="9">
        <f>$Y$3*POWER(AB40,$Z$3)</f>
        <v>72200</v>
      </c>
      <c r="AD40" s="10">
        <f t="shared" si="1"/>
        <v>950950</v>
      </c>
      <c r="AE40" s="10">
        <f t="shared" si="2"/>
        <v>72200</v>
      </c>
    </row>
    <row r="41" ht="17.25" customHeight="1" spans="8:31">
      <c r="H41" s="1">
        <v>39</v>
      </c>
      <c r="I41">
        <v>100</v>
      </c>
      <c r="K41">
        <v>5</v>
      </c>
      <c r="L41">
        <v>12</v>
      </c>
      <c r="P41" s="4" t="str">
        <f>$I$2&amp;"|"&amp;I41</f>
        <v>10001|100</v>
      </c>
      <c r="Q41" s="4" t="str">
        <f>$J$2&amp;"|"&amp;J41</f>
        <v>10002|</v>
      </c>
      <c r="R41" s="4" t="str">
        <f>$K$2&amp;"|"&amp;K41</f>
        <v>10003|5</v>
      </c>
      <c r="S41" s="4" t="str">
        <f>$L$2&amp;"|"&amp;L41</f>
        <v>10004|12</v>
      </c>
      <c r="T41" s="4" t="str">
        <f>$M$2&amp;"|"&amp;M41</f>
        <v>10005|</v>
      </c>
      <c r="U41" s="4" t="str">
        <f>$N$2&amp;"|"&amp;N41</f>
        <v>10006|</v>
      </c>
      <c r="W41" t="str">
        <f t="shared" si="0"/>
        <v>10001|100$10002|$10003|5$10004|12$10005|$10006|</v>
      </c>
      <c r="AB41" s="8">
        <v>39</v>
      </c>
      <c r="AC41" s="9">
        <f>$Y$3*POWER(AB41,$Z$3)</f>
        <v>76050</v>
      </c>
      <c r="AD41" s="10">
        <f t="shared" si="1"/>
        <v>1027000</v>
      </c>
      <c r="AE41" s="10">
        <f t="shared" si="2"/>
        <v>76050</v>
      </c>
    </row>
    <row r="42" ht="17.25" customHeight="1" spans="8:31">
      <c r="H42" s="1">
        <v>40</v>
      </c>
      <c r="I42">
        <v>100</v>
      </c>
      <c r="K42">
        <v>5</v>
      </c>
      <c r="L42">
        <v>12</v>
      </c>
      <c r="P42" s="4" t="str">
        <f>$I$2&amp;"|"&amp;I42</f>
        <v>10001|100</v>
      </c>
      <c r="Q42" s="4" t="str">
        <f>$J$2&amp;"|"&amp;J42</f>
        <v>10002|</v>
      </c>
      <c r="R42" s="4" t="str">
        <f>$K$2&amp;"|"&amp;K42</f>
        <v>10003|5</v>
      </c>
      <c r="S42" s="4" t="str">
        <f>$L$2&amp;"|"&amp;L42</f>
        <v>10004|12</v>
      </c>
      <c r="T42" s="4" t="str">
        <f>$M$2&amp;"|"&amp;M42</f>
        <v>10005|</v>
      </c>
      <c r="U42" s="4" t="str">
        <f>$N$2&amp;"|"&amp;N42</f>
        <v>10006|</v>
      </c>
      <c r="W42" t="str">
        <f t="shared" si="0"/>
        <v>10001|100$10002|$10003|5$10004|12$10005|$10006|</v>
      </c>
      <c r="AB42" s="8">
        <v>40</v>
      </c>
      <c r="AC42" s="9">
        <f>$Y$3*POWER(AB42,$Z$3)</f>
        <v>80000</v>
      </c>
      <c r="AD42" s="10">
        <f t="shared" si="1"/>
        <v>1107000</v>
      </c>
      <c r="AE42" s="10">
        <f t="shared" si="2"/>
        <v>80000</v>
      </c>
    </row>
    <row r="43" ht="17.25" customHeight="1" spans="7:31">
      <c r="G43" s="2" t="s">
        <v>115</v>
      </c>
      <c r="H43" s="1">
        <v>41</v>
      </c>
      <c r="I43">
        <v>100</v>
      </c>
      <c r="J43">
        <v>1</v>
      </c>
      <c r="K43">
        <v>5</v>
      </c>
      <c r="L43">
        <v>12</v>
      </c>
      <c r="M43">
        <v>1</v>
      </c>
      <c r="N43">
        <v>2</v>
      </c>
      <c r="P43" s="4" t="str">
        <f>$I$2&amp;"|"&amp;I43</f>
        <v>10001|100</v>
      </c>
      <c r="Q43" s="4" t="str">
        <f>$J$2&amp;"|"&amp;J43</f>
        <v>10002|1</v>
      </c>
      <c r="R43" s="4" t="str">
        <f>$K$2&amp;"|"&amp;K43</f>
        <v>10003|5</v>
      </c>
      <c r="S43" s="4" t="str">
        <f>$L$2&amp;"|"&amp;L43</f>
        <v>10004|12</v>
      </c>
      <c r="T43" s="4" t="str">
        <f>$M$2&amp;"|"&amp;M43</f>
        <v>10005|1</v>
      </c>
      <c r="U43" s="4" t="str">
        <f>$N$2&amp;"|"&amp;N43</f>
        <v>10006|2</v>
      </c>
      <c r="W43" t="str">
        <f t="shared" si="0"/>
        <v>10001|100$10002|1$10003|5$10004|12$10005|1$10006|2</v>
      </c>
      <c r="AB43" s="8">
        <v>41</v>
      </c>
      <c r="AC43" s="9">
        <f>$Y$3*POWER(AB43,$Z$3)</f>
        <v>84050</v>
      </c>
      <c r="AD43" s="10">
        <f t="shared" si="1"/>
        <v>1191050</v>
      </c>
      <c r="AE43" s="10">
        <f t="shared" si="2"/>
        <v>84050</v>
      </c>
    </row>
    <row r="44" ht="17.25" customHeight="1" spans="8:31">
      <c r="H44" s="1">
        <v>42</v>
      </c>
      <c r="I44">
        <v>100</v>
      </c>
      <c r="K44">
        <v>5</v>
      </c>
      <c r="L44">
        <v>12</v>
      </c>
      <c r="P44" s="4" t="str">
        <f>$I$2&amp;"|"&amp;I44</f>
        <v>10001|100</v>
      </c>
      <c r="Q44" s="4" t="str">
        <f>$J$2&amp;"|"&amp;J44</f>
        <v>10002|</v>
      </c>
      <c r="R44" s="4" t="str">
        <f>$K$2&amp;"|"&amp;K44</f>
        <v>10003|5</v>
      </c>
      <c r="S44" s="4" t="str">
        <f>$L$2&amp;"|"&amp;L44</f>
        <v>10004|12</v>
      </c>
      <c r="T44" s="4" t="str">
        <f>$M$2&amp;"|"&amp;M44</f>
        <v>10005|</v>
      </c>
      <c r="U44" s="4" t="str">
        <f>$N$2&amp;"|"&amp;N44</f>
        <v>10006|</v>
      </c>
      <c r="W44" t="str">
        <f t="shared" si="0"/>
        <v>10001|100$10002|$10003|5$10004|12$10005|$10006|</v>
      </c>
      <c r="AB44" s="8">
        <v>42</v>
      </c>
      <c r="AC44" s="9">
        <f>$Y$3*POWER(AB44,$Z$3)</f>
        <v>88200</v>
      </c>
      <c r="AD44" s="10">
        <f t="shared" si="1"/>
        <v>1279250</v>
      </c>
      <c r="AE44" s="10">
        <f t="shared" si="2"/>
        <v>88200</v>
      </c>
    </row>
    <row r="45" ht="17.25" customHeight="1" spans="8:31">
      <c r="H45" s="1">
        <v>43</v>
      </c>
      <c r="I45">
        <v>100</v>
      </c>
      <c r="K45">
        <v>5</v>
      </c>
      <c r="L45">
        <v>12</v>
      </c>
      <c r="P45" s="4" t="str">
        <f>$I$2&amp;"|"&amp;I45</f>
        <v>10001|100</v>
      </c>
      <c r="Q45" s="4" t="str">
        <f>$J$2&amp;"|"&amp;J45</f>
        <v>10002|</v>
      </c>
      <c r="R45" s="4" t="str">
        <f>$K$2&amp;"|"&amp;K45</f>
        <v>10003|5</v>
      </c>
      <c r="S45" s="4" t="str">
        <f>$L$2&amp;"|"&amp;L45</f>
        <v>10004|12</v>
      </c>
      <c r="T45" s="4" t="str">
        <f>$M$2&amp;"|"&amp;M45</f>
        <v>10005|</v>
      </c>
      <c r="U45" s="4" t="str">
        <f>$N$2&amp;"|"&amp;N45</f>
        <v>10006|</v>
      </c>
      <c r="W45" t="str">
        <f t="shared" si="0"/>
        <v>10001|100$10002|$10003|5$10004|12$10005|$10006|</v>
      </c>
      <c r="AB45" s="8">
        <v>43</v>
      </c>
      <c r="AC45" s="9">
        <f>$Y$3*POWER(AB45,$Z$3)</f>
        <v>92450</v>
      </c>
      <c r="AD45" s="10">
        <f t="shared" si="1"/>
        <v>1371700</v>
      </c>
      <c r="AE45" s="10">
        <f t="shared" si="2"/>
        <v>92450</v>
      </c>
    </row>
    <row r="46" ht="17.25" customHeight="1" spans="8:31">
      <c r="H46" s="1">
        <v>44</v>
      </c>
      <c r="I46">
        <v>100</v>
      </c>
      <c r="K46">
        <v>5</v>
      </c>
      <c r="L46">
        <v>12</v>
      </c>
      <c r="P46" s="4" t="str">
        <f>$I$2&amp;"|"&amp;I46</f>
        <v>10001|100</v>
      </c>
      <c r="Q46" s="4" t="str">
        <f>$J$2&amp;"|"&amp;J46</f>
        <v>10002|</v>
      </c>
      <c r="R46" s="4" t="str">
        <f>$K$2&amp;"|"&amp;K46</f>
        <v>10003|5</v>
      </c>
      <c r="S46" s="4" t="str">
        <f>$L$2&amp;"|"&amp;L46</f>
        <v>10004|12</v>
      </c>
      <c r="T46" s="4" t="str">
        <f>$M$2&amp;"|"&amp;M46</f>
        <v>10005|</v>
      </c>
      <c r="U46" s="4" t="str">
        <f>$N$2&amp;"|"&amp;N46</f>
        <v>10006|</v>
      </c>
      <c r="W46" t="str">
        <f t="shared" si="0"/>
        <v>10001|100$10002|$10003|5$10004|12$10005|$10006|</v>
      </c>
      <c r="AB46" s="8">
        <v>44</v>
      </c>
      <c r="AC46" s="9">
        <f>$Y$3*POWER(AB46,$Z$3)</f>
        <v>96800</v>
      </c>
      <c r="AD46" s="10">
        <f t="shared" si="1"/>
        <v>1468500</v>
      </c>
      <c r="AE46" s="10">
        <f t="shared" si="2"/>
        <v>96800</v>
      </c>
    </row>
    <row r="47" ht="17.25" customHeight="1" spans="8:31">
      <c r="H47" s="1">
        <v>45</v>
      </c>
      <c r="I47">
        <v>100</v>
      </c>
      <c r="K47">
        <v>5</v>
      </c>
      <c r="L47">
        <v>12</v>
      </c>
      <c r="P47" s="4" t="str">
        <f>$I$2&amp;"|"&amp;I47</f>
        <v>10001|100</v>
      </c>
      <c r="Q47" s="4" t="str">
        <f>$J$2&amp;"|"&amp;J47</f>
        <v>10002|</v>
      </c>
      <c r="R47" s="4" t="str">
        <f>$K$2&amp;"|"&amp;K47</f>
        <v>10003|5</v>
      </c>
      <c r="S47" s="4" t="str">
        <f>$L$2&amp;"|"&amp;L47</f>
        <v>10004|12</v>
      </c>
      <c r="T47" s="4" t="str">
        <f>$M$2&amp;"|"&amp;M47</f>
        <v>10005|</v>
      </c>
      <c r="U47" s="4" t="str">
        <f>$N$2&amp;"|"&amp;N47</f>
        <v>10006|</v>
      </c>
      <c r="W47" t="str">
        <f t="shared" si="0"/>
        <v>10001|100$10002|$10003|5$10004|12$10005|$10006|</v>
      </c>
      <c r="AB47" s="8">
        <v>45</v>
      </c>
      <c r="AC47" s="9">
        <f>$Y$3*POWER(AB47,$Z$3)</f>
        <v>101250</v>
      </c>
      <c r="AD47" s="10">
        <f t="shared" si="1"/>
        <v>1569750</v>
      </c>
      <c r="AE47" s="10">
        <f t="shared" si="2"/>
        <v>101250</v>
      </c>
    </row>
    <row r="48" ht="17.25" customHeight="1" spans="8:31">
      <c r="H48" s="1">
        <v>46</v>
      </c>
      <c r="I48">
        <v>100</v>
      </c>
      <c r="K48">
        <v>5</v>
      </c>
      <c r="L48">
        <v>12</v>
      </c>
      <c r="P48" s="4" t="str">
        <f>$I$2&amp;"|"&amp;I48</f>
        <v>10001|100</v>
      </c>
      <c r="Q48" s="4" t="str">
        <f>$J$2&amp;"|"&amp;J48</f>
        <v>10002|</v>
      </c>
      <c r="R48" s="4" t="str">
        <f>$K$2&amp;"|"&amp;K48</f>
        <v>10003|5</v>
      </c>
      <c r="S48" s="4" t="str">
        <f>$L$2&amp;"|"&amp;L48</f>
        <v>10004|12</v>
      </c>
      <c r="T48" s="4" t="str">
        <f>$M$2&amp;"|"&amp;M48</f>
        <v>10005|</v>
      </c>
      <c r="U48" s="4" t="str">
        <f>$N$2&amp;"|"&amp;N48</f>
        <v>10006|</v>
      </c>
      <c r="W48" t="str">
        <f t="shared" si="0"/>
        <v>10001|100$10002|$10003|5$10004|12$10005|$10006|</v>
      </c>
      <c r="AB48" s="8">
        <v>46</v>
      </c>
      <c r="AC48" s="9">
        <f>$Y$3*POWER(AB48,$Z$3)</f>
        <v>105800</v>
      </c>
      <c r="AD48" s="10">
        <f t="shared" si="1"/>
        <v>1675550</v>
      </c>
      <c r="AE48" s="10">
        <f t="shared" si="2"/>
        <v>105800</v>
      </c>
    </row>
    <row r="49" ht="17.25" customHeight="1" spans="8:31">
      <c r="H49" s="1">
        <v>47</v>
      </c>
      <c r="I49">
        <v>100</v>
      </c>
      <c r="K49">
        <v>5</v>
      </c>
      <c r="L49">
        <v>12</v>
      </c>
      <c r="P49" s="4" t="str">
        <f>$I$2&amp;"|"&amp;I49</f>
        <v>10001|100</v>
      </c>
      <c r="Q49" s="4" t="str">
        <f>$J$2&amp;"|"&amp;J49</f>
        <v>10002|</v>
      </c>
      <c r="R49" s="4" t="str">
        <f>$K$2&amp;"|"&amp;K49</f>
        <v>10003|5</v>
      </c>
      <c r="S49" s="4" t="str">
        <f>$L$2&amp;"|"&amp;L49</f>
        <v>10004|12</v>
      </c>
      <c r="T49" s="4" t="str">
        <f>$M$2&amp;"|"&amp;M49</f>
        <v>10005|</v>
      </c>
      <c r="U49" s="4" t="str">
        <f>$N$2&amp;"|"&amp;N49</f>
        <v>10006|</v>
      </c>
      <c r="W49" t="str">
        <f t="shared" si="0"/>
        <v>10001|100$10002|$10003|5$10004|12$10005|$10006|</v>
      </c>
      <c r="AB49" s="8">
        <v>47</v>
      </c>
      <c r="AC49" s="9">
        <f>$Y$3*POWER(AB49,$Z$3)</f>
        <v>110450</v>
      </c>
      <c r="AD49" s="10">
        <f t="shared" si="1"/>
        <v>1786000</v>
      </c>
      <c r="AE49" s="10">
        <f t="shared" si="2"/>
        <v>110450</v>
      </c>
    </row>
    <row r="50" ht="17.25" customHeight="1" spans="8:31">
      <c r="H50" s="1">
        <v>48</v>
      </c>
      <c r="I50">
        <v>100</v>
      </c>
      <c r="K50">
        <v>5</v>
      </c>
      <c r="L50">
        <v>12</v>
      </c>
      <c r="P50" s="4" t="str">
        <f>$I$2&amp;"|"&amp;I50</f>
        <v>10001|100</v>
      </c>
      <c r="Q50" s="4" t="str">
        <f>$J$2&amp;"|"&amp;J50</f>
        <v>10002|</v>
      </c>
      <c r="R50" s="4" t="str">
        <f>$K$2&amp;"|"&amp;K50</f>
        <v>10003|5</v>
      </c>
      <c r="S50" s="4" t="str">
        <f>$L$2&amp;"|"&amp;L50</f>
        <v>10004|12</v>
      </c>
      <c r="T50" s="4" t="str">
        <f>$M$2&amp;"|"&amp;M50</f>
        <v>10005|</v>
      </c>
      <c r="U50" s="4" t="str">
        <f>$N$2&amp;"|"&amp;N50</f>
        <v>10006|</v>
      </c>
      <c r="W50" t="str">
        <f t="shared" si="0"/>
        <v>10001|100$10002|$10003|5$10004|12$10005|$10006|</v>
      </c>
      <c r="AB50" s="8">
        <v>48</v>
      </c>
      <c r="AC50" s="9">
        <f>$Y$3*POWER(AB50,$Z$3)</f>
        <v>115200</v>
      </c>
      <c r="AD50" s="10">
        <f t="shared" si="1"/>
        <v>1901200</v>
      </c>
      <c r="AE50" s="10">
        <f t="shared" si="2"/>
        <v>115200</v>
      </c>
    </row>
    <row r="51" ht="17.25" customHeight="1" spans="8:31">
      <c r="H51" s="1">
        <v>49</v>
      </c>
      <c r="I51">
        <v>100</v>
      </c>
      <c r="K51">
        <v>5</v>
      </c>
      <c r="L51">
        <v>12</v>
      </c>
      <c r="P51" s="4" t="str">
        <f>$I$2&amp;"|"&amp;I51</f>
        <v>10001|100</v>
      </c>
      <c r="Q51" s="4" t="str">
        <f>$J$2&amp;"|"&amp;J51</f>
        <v>10002|</v>
      </c>
      <c r="R51" s="4" t="str">
        <f>$K$2&amp;"|"&amp;K51</f>
        <v>10003|5</v>
      </c>
      <c r="S51" s="4" t="str">
        <f>$L$2&amp;"|"&amp;L51</f>
        <v>10004|12</v>
      </c>
      <c r="T51" s="4" t="str">
        <f>$M$2&amp;"|"&amp;M51</f>
        <v>10005|</v>
      </c>
      <c r="U51" s="4" t="str">
        <f>$N$2&amp;"|"&amp;N51</f>
        <v>10006|</v>
      </c>
      <c r="W51" t="str">
        <f t="shared" si="0"/>
        <v>10001|100$10002|$10003|5$10004|12$10005|$10006|</v>
      </c>
      <c r="AB51" s="8">
        <v>49</v>
      </c>
      <c r="AC51" s="9">
        <f>$Y$3*POWER(AB51,$Z$3)</f>
        <v>120050</v>
      </c>
      <c r="AD51" s="10">
        <f t="shared" si="1"/>
        <v>2021250</v>
      </c>
      <c r="AE51" s="10">
        <f t="shared" si="2"/>
        <v>120050</v>
      </c>
    </row>
    <row r="52" ht="17.25" customHeight="1" spans="8:31">
      <c r="H52" s="1">
        <v>50</v>
      </c>
      <c r="I52">
        <v>100</v>
      </c>
      <c r="K52">
        <v>5</v>
      </c>
      <c r="L52">
        <v>12</v>
      </c>
      <c r="P52" s="4" t="str">
        <f>$I$2&amp;"|"&amp;I52</f>
        <v>10001|100</v>
      </c>
      <c r="Q52" s="4" t="str">
        <f>$J$2&amp;"|"&amp;J52</f>
        <v>10002|</v>
      </c>
      <c r="R52" s="4" t="str">
        <f>$K$2&amp;"|"&amp;K52</f>
        <v>10003|5</v>
      </c>
      <c r="S52" s="4" t="str">
        <f>$L$2&amp;"|"&amp;L52</f>
        <v>10004|12</v>
      </c>
      <c r="T52" s="4" t="str">
        <f>$M$2&amp;"|"&amp;M52</f>
        <v>10005|</v>
      </c>
      <c r="U52" s="4" t="str">
        <f>$N$2&amp;"|"&amp;N52</f>
        <v>10006|</v>
      </c>
      <c r="W52" t="str">
        <f t="shared" si="0"/>
        <v>10001|100$10002|$10003|5$10004|12$10005|$10006|</v>
      </c>
      <c r="AB52" s="8">
        <v>50</v>
      </c>
      <c r="AC52" s="9">
        <f>$Y$3*POWER(AB52,$Z$3)</f>
        <v>125000</v>
      </c>
      <c r="AD52" s="10">
        <f t="shared" si="1"/>
        <v>2146250</v>
      </c>
      <c r="AE52" s="10">
        <f t="shared" si="2"/>
        <v>125000</v>
      </c>
    </row>
    <row r="53" ht="17.25" customHeight="1" spans="7:31">
      <c r="G53" s="2" t="s">
        <v>137</v>
      </c>
      <c r="H53" s="1">
        <v>51</v>
      </c>
      <c r="I53">
        <v>100</v>
      </c>
      <c r="J53">
        <v>1</v>
      </c>
      <c r="K53">
        <v>5</v>
      </c>
      <c r="L53">
        <v>12</v>
      </c>
      <c r="M53">
        <v>1</v>
      </c>
      <c r="N53">
        <v>3</v>
      </c>
      <c r="P53" s="4" t="str">
        <f>$I$2&amp;"|"&amp;I53</f>
        <v>10001|100</v>
      </c>
      <c r="Q53" s="4" t="str">
        <f>$J$2&amp;"|"&amp;J53</f>
        <v>10002|1</v>
      </c>
      <c r="R53" s="4" t="str">
        <f>$K$2&amp;"|"&amp;K53</f>
        <v>10003|5</v>
      </c>
      <c r="S53" s="4" t="str">
        <f>$L$2&amp;"|"&amp;L53</f>
        <v>10004|12</v>
      </c>
      <c r="T53" s="4" t="str">
        <f>$M$2&amp;"|"&amp;M53</f>
        <v>10005|1</v>
      </c>
      <c r="U53" s="4" t="str">
        <f>$N$2&amp;"|"&amp;N53</f>
        <v>10006|3</v>
      </c>
      <c r="W53" t="str">
        <f t="shared" si="0"/>
        <v>10001|100$10002|1$10003|5$10004|12$10005|1$10006|3</v>
      </c>
      <c r="AB53" s="8">
        <v>51</v>
      </c>
      <c r="AC53" s="9">
        <f>$Y$3*POWER(AB53,$Z$3)</f>
        <v>130050</v>
      </c>
      <c r="AD53" s="10">
        <f t="shared" si="1"/>
        <v>2276300</v>
      </c>
      <c r="AE53" s="10">
        <f t="shared" si="2"/>
        <v>130050</v>
      </c>
    </row>
    <row r="54" ht="17.25" customHeight="1" spans="8:31">
      <c r="H54" s="1">
        <v>52</v>
      </c>
      <c r="I54">
        <v>100</v>
      </c>
      <c r="K54">
        <v>5</v>
      </c>
      <c r="L54">
        <v>12</v>
      </c>
      <c r="P54" s="4" t="str">
        <f>$I$2&amp;"|"&amp;I54</f>
        <v>10001|100</v>
      </c>
      <c r="Q54" s="4" t="str">
        <f>$J$2&amp;"|"&amp;J54</f>
        <v>10002|</v>
      </c>
      <c r="R54" s="4" t="str">
        <f>$K$2&amp;"|"&amp;K54</f>
        <v>10003|5</v>
      </c>
      <c r="S54" s="4" t="str">
        <f>$L$2&amp;"|"&amp;L54</f>
        <v>10004|12</v>
      </c>
      <c r="T54" s="4" t="str">
        <f>$M$2&amp;"|"&amp;M54</f>
        <v>10005|</v>
      </c>
      <c r="U54" s="4" t="str">
        <f>$N$2&amp;"|"&amp;N54</f>
        <v>10006|</v>
      </c>
      <c r="W54" t="str">
        <f t="shared" si="0"/>
        <v>10001|100$10002|$10003|5$10004|12$10005|$10006|</v>
      </c>
      <c r="AB54" s="8">
        <v>52</v>
      </c>
      <c r="AC54" s="9">
        <f>$Y$3*POWER(AB54,$Z$3)</f>
        <v>135200</v>
      </c>
      <c r="AD54" s="10">
        <f t="shared" si="1"/>
        <v>2411500</v>
      </c>
      <c r="AE54" s="10">
        <f t="shared" si="2"/>
        <v>135200</v>
      </c>
    </row>
    <row r="55" ht="17.25" customHeight="1" spans="8:31">
      <c r="H55" s="1">
        <v>53</v>
      </c>
      <c r="I55">
        <v>100</v>
      </c>
      <c r="K55">
        <v>5</v>
      </c>
      <c r="L55">
        <v>12</v>
      </c>
      <c r="P55" s="4" t="str">
        <f>$I$2&amp;"|"&amp;I55</f>
        <v>10001|100</v>
      </c>
      <c r="Q55" s="4" t="str">
        <f>$J$2&amp;"|"&amp;J55</f>
        <v>10002|</v>
      </c>
      <c r="R55" s="4" t="str">
        <f>$K$2&amp;"|"&amp;K55</f>
        <v>10003|5</v>
      </c>
      <c r="S55" s="4" t="str">
        <f>$L$2&amp;"|"&amp;L55</f>
        <v>10004|12</v>
      </c>
      <c r="T55" s="4" t="str">
        <f>$M$2&amp;"|"&amp;M55</f>
        <v>10005|</v>
      </c>
      <c r="U55" s="4" t="str">
        <f>$N$2&amp;"|"&amp;N55</f>
        <v>10006|</v>
      </c>
      <c r="W55" t="str">
        <f t="shared" si="0"/>
        <v>10001|100$10002|$10003|5$10004|12$10005|$10006|</v>
      </c>
      <c r="AB55" s="8">
        <v>53</v>
      </c>
      <c r="AC55" s="9">
        <f>$Y$3*POWER(AB55,$Z$3)</f>
        <v>140450</v>
      </c>
      <c r="AD55" s="10">
        <f t="shared" si="1"/>
        <v>2551950</v>
      </c>
      <c r="AE55" s="10">
        <f t="shared" si="2"/>
        <v>140450</v>
      </c>
    </row>
    <row r="56" ht="17.25" customHeight="1" spans="8:31">
      <c r="H56" s="1">
        <v>54</v>
      </c>
      <c r="I56">
        <v>100</v>
      </c>
      <c r="K56">
        <v>5</v>
      </c>
      <c r="L56">
        <v>12</v>
      </c>
      <c r="P56" s="4" t="str">
        <f>$I$2&amp;"|"&amp;I56</f>
        <v>10001|100</v>
      </c>
      <c r="Q56" s="4" t="str">
        <f>$J$2&amp;"|"&amp;J56</f>
        <v>10002|</v>
      </c>
      <c r="R56" s="4" t="str">
        <f>$K$2&amp;"|"&amp;K56</f>
        <v>10003|5</v>
      </c>
      <c r="S56" s="4" t="str">
        <f>$L$2&amp;"|"&amp;L56</f>
        <v>10004|12</v>
      </c>
      <c r="T56" s="4" t="str">
        <f>$M$2&amp;"|"&amp;M56</f>
        <v>10005|</v>
      </c>
      <c r="U56" s="4" t="str">
        <f>$N$2&amp;"|"&amp;N56</f>
        <v>10006|</v>
      </c>
      <c r="W56" t="str">
        <f t="shared" si="0"/>
        <v>10001|100$10002|$10003|5$10004|12$10005|$10006|</v>
      </c>
      <c r="AB56" s="8">
        <v>54</v>
      </c>
      <c r="AC56" s="9">
        <f>$Y$3*POWER(AB56,$Z$3)</f>
        <v>145800</v>
      </c>
      <c r="AD56" s="10">
        <f t="shared" si="1"/>
        <v>2697750</v>
      </c>
      <c r="AE56" s="10">
        <f t="shared" si="2"/>
        <v>145800</v>
      </c>
    </row>
    <row r="57" ht="17.25" customHeight="1" spans="8:31">
      <c r="H57" s="1">
        <v>55</v>
      </c>
      <c r="I57">
        <v>100</v>
      </c>
      <c r="K57">
        <v>5</v>
      </c>
      <c r="L57">
        <v>12</v>
      </c>
      <c r="P57" s="4" t="str">
        <f>$I$2&amp;"|"&amp;I57</f>
        <v>10001|100</v>
      </c>
      <c r="Q57" s="4" t="str">
        <f>$J$2&amp;"|"&amp;J57</f>
        <v>10002|</v>
      </c>
      <c r="R57" s="4" t="str">
        <f>$K$2&amp;"|"&amp;K57</f>
        <v>10003|5</v>
      </c>
      <c r="S57" s="4" t="str">
        <f>$L$2&amp;"|"&amp;L57</f>
        <v>10004|12</v>
      </c>
      <c r="T57" s="4" t="str">
        <f>$M$2&amp;"|"&amp;M57</f>
        <v>10005|</v>
      </c>
      <c r="U57" s="4" t="str">
        <f>$N$2&amp;"|"&amp;N57</f>
        <v>10006|</v>
      </c>
      <c r="W57" t="str">
        <f t="shared" si="0"/>
        <v>10001|100$10002|$10003|5$10004|12$10005|$10006|</v>
      </c>
      <c r="AB57" s="8">
        <v>55</v>
      </c>
      <c r="AC57" s="9">
        <f>$Y$3*POWER(AB57,$Z$3)</f>
        <v>151250</v>
      </c>
      <c r="AD57" s="10">
        <f t="shared" si="1"/>
        <v>2849000</v>
      </c>
      <c r="AE57" s="10">
        <f t="shared" si="2"/>
        <v>151250</v>
      </c>
    </row>
    <row r="58" ht="17.25" customHeight="1" spans="8:31">
      <c r="H58" s="1">
        <v>56</v>
      </c>
      <c r="I58">
        <v>100</v>
      </c>
      <c r="K58">
        <v>5</v>
      </c>
      <c r="L58">
        <v>12</v>
      </c>
      <c r="P58" s="4" t="str">
        <f>$I$2&amp;"|"&amp;I58</f>
        <v>10001|100</v>
      </c>
      <c r="Q58" s="4" t="str">
        <f>$J$2&amp;"|"&amp;J58</f>
        <v>10002|</v>
      </c>
      <c r="R58" s="4" t="str">
        <f>$K$2&amp;"|"&amp;K58</f>
        <v>10003|5</v>
      </c>
      <c r="S58" s="4" t="str">
        <f>$L$2&amp;"|"&amp;L58</f>
        <v>10004|12</v>
      </c>
      <c r="T58" s="4" t="str">
        <f>$M$2&amp;"|"&amp;M58</f>
        <v>10005|</v>
      </c>
      <c r="U58" s="4" t="str">
        <f>$N$2&amp;"|"&amp;N58</f>
        <v>10006|</v>
      </c>
      <c r="W58" t="str">
        <f t="shared" si="0"/>
        <v>10001|100$10002|$10003|5$10004|12$10005|$10006|</v>
      </c>
      <c r="AB58" s="8">
        <v>56</v>
      </c>
      <c r="AC58" s="9">
        <f>$Y$3*POWER(AB58,$Z$3)</f>
        <v>156800</v>
      </c>
      <c r="AD58" s="10">
        <f t="shared" si="1"/>
        <v>3005800</v>
      </c>
      <c r="AE58" s="10">
        <f t="shared" si="2"/>
        <v>156800</v>
      </c>
    </row>
    <row r="59" ht="17.25" customHeight="1" spans="8:31">
      <c r="H59" s="1">
        <v>57</v>
      </c>
      <c r="I59">
        <v>100</v>
      </c>
      <c r="K59">
        <v>5</v>
      </c>
      <c r="L59">
        <v>12</v>
      </c>
      <c r="P59" s="4" t="str">
        <f>$I$2&amp;"|"&amp;I59</f>
        <v>10001|100</v>
      </c>
      <c r="Q59" s="4" t="str">
        <f>$J$2&amp;"|"&amp;J59</f>
        <v>10002|</v>
      </c>
      <c r="R59" s="4" t="str">
        <f>$K$2&amp;"|"&amp;K59</f>
        <v>10003|5</v>
      </c>
      <c r="S59" s="4" t="str">
        <f>$L$2&amp;"|"&amp;L59</f>
        <v>10004|12</v>
      </c>
      <c r="T59" s="4" t="str">
        <f>$M$2&amp;"|"&amp;M59</f>
        <v>10005|</v>
      </c>
      <c r="U59" s="4" t="str">
        <f>$N$2&amp;"|"&amp;N59</f>
        <v>10006|</v>
      </c>
      <c r="W59" t="str">
        <f t="shared" si="0"/>
        <v>10001|100$10002|$10003|5$10004|12$10005|$10006|</v>
      </c>
      <c r="AB59" s="8">
        <v>57</v>
      </c>
      <c r="AC59" s="9">
        <f>$Y$3*POWER(AB59,$Z$3)</f>
        <v>162450</v>
      </c>
      <c r="AD59" s="10">
        <f t="shared" si="1"/>
        <v>3168250</v>
      </c>
      <c r="AE59" s="10">
        <f t="shared" si="2"/>
        <v>162450</v>
      </c>
    </row>
    <row r="60" ht="17.25" customHeight="1" spans="8:31">
      <c r="H60" s="1">
        <v>58</v>
      </c>
      <c r="I60">
        <v>100</v>
      </c>
      <c r="K60">
        <v>5</v>
      </c>
      <c r="L60">
        <v>12</v>
      </c>
      <c r="P60" s="4" t="str">
        <f>$I$2&amp;"|"&amp;I60</f>
        <v>10001|100</v>
      </c>
      <c r="Q60" s="4" t="str">
        <f>$J$2&amp;"|"&amp;J60</f>
        <v>10002|</v>
      </c>
      <c r="R60" s="4" t="str">
        <f>$K$2&amp;"|"&amp;K60</f>
        <v>10003|5</v>
      </c>
      <c r="S60" s="4" t="str">
        <f>$L$2&amp;"|"&amp;L60</f>
        <v>10004|12</v>
      </c>
      <c r="T60" s="4" t="str">
        <f>$M$2&amp;"|"&amp;M60</f>
        <v>10005|</v>
      </c>
      <c r="U60" s="4" t="str">
        <f>$N$2&amp;"|"&amp;N60</f>
        <v>10006|</v>
      </c>
      <c r="W60" t="str">
        <f t="shared" si="0"/>
        <v>10001|100$10002|$10003|5$10004|12$10005|$10006|</v>
      </c>
      <c r="AB60" s="8">
        <v>58</v>
      </c>
      <c r="AC60" s="9">
        <f>$Y$3*POWER(AB60,$Z$3)</f>
        <v>168200</v>
      </c>
      <c r="AD60" s="10">
        <f t="shared" si="1"/>
        <v>3336450</v>
      </c>
      <c r="AE60" s="10">
        <f t="shared" si="2"/>
        <v>168200</v>
      </c>
    </row>
    <row r="61" ht="17.25" customHeight="1" spans="8:31">
      <c r="H61" s="1">
        <v>59</v>
      </c>
      <c r="I61">
        <v>100</v>
      </c>
      <c r="K61">
        <v>5</v>
      </c>
      <c r="L61">
        <v>12</v>
      </c>
      <c r="P61" s="4" t="str">
        <f>$I$2&amp;"|"&amp;I61</f>
        <v>10001|100</v>
      </c>
      <c r="Q61" s="4" t="str">
        <f>$J$2&amp;"|"&amp;J61</f>
        <v>10002|</v>
      </c>
      <c r="R61" s="4" t="str">
        <f>$K$2&amp;"|"&amp;K61</f>
        <v>10003|5</v>
      </c>
      <c r="S61" s="4" t="str">
        <f>$L$2&amp;"|"&amp;L61</f>
        <v>10004|12</v>
      </c>
      <c r="T61" s="4" t="str">
        <f>$M$2&amp;"|"&amp;M61</f>
        <v>10005|</v>
      </c>
      <c r="U61" s="4" t="str">
        <f>$N$2&amp;"|"&amp;N61</f>
        <v>10006|</v>
      </c>
      <c r="W61" t="str">
        <f t="shared" si="0"/>
        <v>10001|100$10002|$10003|5$10004|12$10005|$10006|</v>
      </c>
      <c r="AB61" s="8">
        <v>59</v>
      </c>
      <c r="AC61" s="9">
        <f>$Y$3*POWER(AB61,$Z$3)</f>
        <v>174050</v>
      </c>
      <c r="AD61" s="10">
        <f t="shared" si="1"/>
        <v>3510500</v>
      </c>
      <c r="AE61" s="10">
        <f t="shared" si="2"/>
        <v>174050</v>
      </c>
    </row>
    <row r="62" ht="17.25" customHeight="1" spans="8:31">
      <c r="H62" s="1">
        <v>60</v>
      </c>
      <c r="I62">
        <v>100</v>
      </c>
      <c r="K62">
        <v>5</v>
      </c>
      <c r="L62">
        <v>12</v>
      </c>
      <c r="P62" s="4" t="str">
        <f>$I$2&amp;"|"&amp;I62</f>
        <v>10001|100</v>
      </c>
      <c r="Q62" s="4" t="str">
        <f>$J$2&amp;"|"&amp;J62</f>
        <v>10002|</v>
      </c>
      <c r="R62" s="4" t="str">
        <f>$K$2&amp;"|"&amp;K62</f>
        <v>10003|5</v>
      </c>
      <c r="S62" s="4" t="str">
        <f>$L$2&amp;"|"&amp;L62</f>
        <v>10004|12</v>
      </c>
      <c r="T62" s="4" t="str">
        <f>$M$2&amp;"|"&amp;M62</f>
        <v>10005|</v>
      </c>
      <c r="U62" s="4" t="str">
        <f>$N$2&amp;"|"&amp;N62</f>
        <v>10006|</v>
      </c>
      <c r="W62" t="str">
        <f t="shared" si="0"/>
        <v>10001|100$10002|$10003|5$10004|12$10005|$10006|</v>
      </c>
      <c r="AB62" s="8">
        <v>60</v>
      </c>
      <c r="AC62" s="9">
        <f>$Y$3*POWER(AB62,$Z$3)</f>
        <v>180000</v>
      </c>
      <c r="AD62" s="10">
        <f t="shared" si="1"/>
        <v>3690500</v>
      </c>
      <c r="AE62" s="10">
        <f t="shared" si="2"/>
        <v>180000</v>
      </c>
    </row>
    <row r="63" ht="17.25" customHeight="1" spans="6:31">
      <c r="F63" s="2" t="s">
        <v>371</v>
      </c>
      <c r="G63" s="2" t="s">
        <v>160</v>
      </c>
      <c r="H63" s="1">
        <v>61</v>
      </c>
      <c r="I63">
        <v>100</v>
      </c>
      <c r="J63">
        <v>2</v>
      </c>
      <c r="K63">
        <v>5</v>
      </c>
      <c r="L63">
        <v>12</v>
      </c>
      <c r="M63">
        <v>1</v>
      </c>
      <c r="N63">
        <v>2</v>
      </c>
      <c r="P63" s="4" t="str">
        <f>$I$2&amp;"|"&amp;I63</f>
        <v>10001|100</v>
      </c>
      <c r="Q63" s="4" t="str">
        <f>$J$2&amp;"|"&amp;J63</f>
        <v>10002|2</v>
      </c>
      <c r="R63" s="4" t="str">
        <f>$K$2&amp;"|"&amp;K63</f>
        <v>10003|5</v>
      </c>
      <c r="S63" s="4" t="str">
        <f>$L$2&amp;"|"&amp;L63</f>
        <v>10004|12</v>
      </c>
      <c r="T63" s="4" t="str">
        <f>$M$2&amp;"|"&amp;M63</f>
        <v>10005|1</v>
      </c>
      <c r="U63" s="4" t="str">
        <f>$N$2&amp;"|"&amp;N63</f>
        <v>10006|2</v>
      </c>
      <c r="W63" t="str">
        <f t="shared" si="0"/>
        <v>10001|100$10002|2$10003|5$10004|12$10005|1$10006|2</v>
      </c>
      <c r="AB63" s="8">
        <v>61</v>
      </c>
      <c r="AC63" s="9">
        <f>$Y$3*POWER(AB63,$Z$3)</f>
        <v>186050</v>
      </c>
      <c r="AD63" s="10">
        <f t="shared" si="1"/>
        <v>3876550</v>
      </c>
      <c r="AE63" s="10">
        <f t="shared" si="2"/>
        <v>186050</v>
      </c>
    </row>
    <row r="64" ht="17.25" customHeight="1" spans="8:31">
      <c r="H64" s="1">
        <v>62</v>
      </c>
      <c r="I64">
        <v>100</v>
      </c>
      <c r="K64">
        <v>5</v>
      </c>
      <c r="L64">
        <v>12</v>
      </c>
      <c r="P64" s="4" t="str">
        <f>$I$2&amp;"|"&amp;I64</f>
        <v>10001|100</v>
      </c>
      <c r="Q64" s="4" t="str">
        <f>$J$2&amp;"|"&amp;J64</f>
        <v>10002|</v>
      </c>
      <c r="R64" s="4" t="str">
        <f>$K$2&amp;"|"&amp;K64</f>
        <v>10003|5</v>
      </c>
      <c r="S64" s="4" t="str">
        <f>$L$2&amp;"|"&amp;L64</f>
        <v>10004|12</v>
      </c>
      <c r="T64" s="4" t="str">
        <f>$M$2&amp;"|"&amp;M64</f>
        <v>10005|</v>
      </c>
      <c r="U64" s="4" t="str">
        <f>$N$2&amp;"|"&amp;N64</f>
        <v>10006|</v>
      </c>
      <c r="W64" t="str">
        <f t="shared" si="0"/>
        <v>10001|100$10002|$10003|5$10004|12$10005|$10006|</v>
      </c>
      <c r="AB64" s="8">
        <v>62</v>
      </c>
      <c r="AC64" s="9">
        <f>$Y$3*POWER(AB64,$Z$3)</f>
        <v>192200</v>
      </c>
      <c r="AD64" s="10">
        <f t="shared" si="1"/>
        <v>4068750</v>
      </c>
      <c r="AE64" s="10">
        <f t="shared" si="2"/>
        <v>192200</v>
      </c>
    </row>
    <row r="65" ht="17.25" customHeight="1" spans="8:31">
      <c r="H65" s="1">
        <v>63</v>
      </c>
      <c r="I65">
        <v>100</v>
      </c>
      <c r="K65">
        <v>5</v>
      </c>
      <c r="L65">
        <v>12</v>
      </c>
      <c r="P65" s="4" t="str">
        <f>$I$2&amp;"|"&amp;I65</f>
        <v>10001|100</v>
      </c>
      <c r="Q65" s="4" t="str">
        <f>$J$2&amp;"|"&amp;J65</f>
        <v>10002|</v>
      </c>
      <c r="R65" s="4" t="str">
        <f>$K$2&amp;"|"&amp;K65</f>
        <v>10003|5</v>
      </c>
      <c r="S65" s="4" t="str">
        <f>$L$2&amp;"|"&amp;L65</f>
        <v>10004|12</v>
      </c>
      <c r="T65" s="4" t="str">
        <f>$M$2&amp;"|"&amp;M65</f>
        <v>10005|</v>
      </c>
      <c r="U65" s="4" t="str">
        <f>$N$2&amp;"|"&amp;N65</f>
        <v>10006|</v>
      </c>
      <c r="W65" t="str">
        <f t="shared" si="0"/>
        <v>10001|100$10002|$10003|5$10004|12$10005|$10006|</v>
      </c>
      <c r="AB65" s="8">
        <v>63</v>
      </c>
      <c r="AC65" s="9">
        <f>$Y$3*POWER(AB65,$Z$3)</f>
        <v>198450</v>
      </c>
      <c r="AD65" s="10">
        <f t="shared" si="1"/>
        <v>4267200</v>
      </c>
      <c r="AE65" s="10">
        <f t="shared" si="2"/>
        <v>198450</v>
      </c>
    </row>
    <row r="66" ht="17.25" customHeight="1" spans="8:31">
      <c r="H66" s="1">
        <v>64</v>
      </c>
      <c r="I66">
        <v>100</v>
      </c>
      <c r="K66">
        <v>5</v>
      </c>
      <c r="L66">
        <v>12</v>
      </c>
      <c r="P66" s="4" t="str">
        <f>$I$2&amp;"|"&amp;I66</f>
        <v>10001|100</v>
      </c>
      <c r="Q66" s="4" t="str">
        <f>$J$2&amp;"|"&amp;J66</f>
        <v>10002|</v>
      </c>
      <c r="R66" s="4" t="str">
        <f>$K$2&amp;"|"&amp;K66</f>
        <v>10003|5</v>
      </c>
      <c r="S66" s="4" t="str">
        <f>$L$2&amp;"|"&amp;L66</f>
        <v>10004|12</v>
      </c>
      <c r="T66" s="4" t="str">
        <f>$M$2&amp;"|"&amp;M66</f>
        <v>10005|</v>
      </c>
      <c r="U66" s="4" t="str">
        <f>$N$2&amp;"|"&amp;N66</f>
        <v>10006|</v>
      </c>
      <c r="W66" t="str">
        <f t="shared" si="0"/>
        <v>10001|100$10002|$10003|5$10004|12$10005|$10006|</v>
      </c>
      <c r="AB66" s="8">
        <v>64</v>
      </c>
      <c r="AC66" s="9">
        <f>$Y$3*POWER(AB66,$Z$3)</f>
        <v>204800</v>
      </c>
      <c r="AD66" s="10">
        <f t="shared" si="1"/>
        <v>4472000</v>
      </c>
      <c r="AE66" s="10">
        <f t="shared" si="2"/>
        <v>204800</v>
      </c>
    </row>
    <row r="67" ht="17.25" customHeight="1" spans="8:31">
      <c r="H67" s="1">
        <v>65</v>
      </c>
      <c r="I67">
        <v>100</v>
      </c>
      <c r="K67">
        <v>5</v>
      </c>
      <c r="L67">
        <v>12</v>
      </c>
      <c r="P67" s="4" t="str">
        <f>$I$2&amp;"|"&amp;I67</f>
        <v>10001|100</v>
      </c>
      <c r="Q67" s="4" t="str">
        <f>$J$2&amp;"|"&amp;J67</f>
        <v>10002|</v>
      </c>
      <c r="R67" s="4" t="str">
        <f>$K$2&amp;"|"&amp;K67</f>
        <v>10003|5</v>
      </c>
      <c r="S67" s="4" t="str">
        <f>$L$2&amp;"|"&amp;L67</f>
        <v>10004|12</v>
      </c>
      <c r="T67" s="4" t="str">
        <f>$M$2&amp;"|"&amp;M67</f>
        <v>10005|</v>
      </c>
      <c r="U67" s="4" t="str">
        <f>$N$2&amp;"|"&amp;N67</f>
        <v>10006|</v>
      </c>
      <c r="W67" t="str">
        <f t="shared" ref="W67:W130" si="3">P67&amp;"$"&amp;Q67&amp;"$"&amp;R67&amp;"$"&amp;S67&amp;"$"&amp;T67&amp;"$"&amp;U67</f>
        <v>10001|100$10002|$10003|5$10004|12$10005|$10006|</v>
      </c>
      <c r="AB67" s="8">
        <v>65</v>
      </c>
      <c r="AC67" s="9">
        <f>$Y$3*POWER(AB67,$Z$3)</f>
        <v>211250</v>
      </c>
      <c r="AD67" s="10">
        <f t="shared" si="1"/>
        <v>4683250</v>
      </c>
      <c r="AE67" s="10">
        <f t="shared" si="2"/>
        <v>211250</v>
      </c>
    </row>
    <row r="68" ht="17.25" customHeight="1" spans="8:31">
      <c r="H68" s="1">
        <v>66</v>
      </c>
      <c r="I68">
        <v>100</v>
      </c>
      <c r="K68">
        <v>5</v>
      </c>
      <c r="L68">
        <v>12</v>
      </c>
      <c r="P68" s="4" t="str">
        <f>$I$2&amp;"|"&amp;I68</f>
        <v>10001|100</v>
      </c>
      <c r="Q68" s="4" t="str">
        <f>$J$2&amp;"|"&amp;J68</f>
        <v>10002|</v>
      </c>
      <c r="R68" s="4" t="str">
        <f>$K$2&amp;"|"&amp;K68</f>
        <v>10003|5</v>
      </c>
      <c r="S68" s="4" t="str">
        <f>$L$2&amp;"|"&amp;L68</f>
        <v>10004|12</v>
      </c>
      <c r="T68" s="4" t="str">
        <f>$M$2&amp;"|"&amp;M68</f>
        <v>10005|</v>
      </c>
      <c r="U68" s="4" t="str">
        <f>$N$2&amp;"|"&amp;N68</f>
        <v>10006|</v>
      </c>
      <c r="W68" t="str">
        <f t="shared" si="3"/>
        <v>10001|100$10002|$10003|5$10004|12$10005|$10006|</v>
      </c>
      <c r="AB68" s="8">
        <v>66</v>
      </c>
      <c r="AC68" s="9">
        <f>$Y$3*POWER(AB68,$Z$3)</f>
        <v>217800</v>
      </c>
      <c r="AD68" s="10">
        <f t="shared" ref="AD68:AD131" si="4">AD67+AC68</f>
        <v>4901050</v>
      </c>
      <c r="AE68" s="10">
        <f t="shared" ref="AE68:AE131" si="5">AD68-AD67</f>
        <v>217800</v>
      </c>
    </row>
    <row r="69" ht="17.25" customHeight="1" spans="8:31">
      <c r="H69" s="1">
        <v>67</v>
      </c>
      <c r="I69">
        <v>100</v>
      </c>
      <c r="K69">
        <v>5</v>
      </c>
      <c r="L69">
        <v>12</v>
      </c>
      <c r="P69" s="4" t="str">
        <f>$I$2&amp;"|"&amp;I69</f>
        <v>10001|100</v>
      </c>
      <c r="Q69" s="4" t="str">
        <f>$J$2&amp;"|"&amp;J69</f>
        <v>10002|</v>
      </c>
      <c r="R69" s="4" t="str">
        <f>$K$2&amp;"|"&amp;K69</f>
        <v>10003|5</v>
      </c>
      <c r="S69" s="4" t="str">
        <f>$L$2&amp;"|"&amp;L69</f>
        <v>10004|12</v>
      </c>
      <c r="T69" s="4" t="str">
        <f>$M$2&amp;"|"&amp;M69</f>
        <v>10005|</v>
      </c>
      <c r="U69" s="4" t="str">
        <f>$N$2&amp;"|"&amp;N69</f>
        <v>10006|</v>
      </c>
      <c r="W69" t="str">
        <f t="shared" si="3"/>
        <v>10001|100$10002|$10003|5$10004|12$10005|$10006|</v>
      </c>
      <c r="AB69" s="8">
        <v>67</v>
      </c>
      <c r="AC69" s="9">
        <f>$Y$3*POWER(AB69,$Z$3)</f>
        <v>224450</v>
      </c>
      <c r="AD69" s="10">
        <f t="shared" si="4"/>
        <v>5125500</v>
      </c>
      <c r="AE69" s="10">
        <f t="shared" si="5"/>
        <v>224450</v>
      </c>
    </row>
    <row r="70" ht="17.25" customHeight="1" spans="8:31">
      <c r="H70" s="1">
        <v>68</v>
      </c>
      <c r="I70">
        <v>100</v>
      </c>
      <c r="K70">
        <v>5</v>
      </c>
      <c r="L70">
        <v>12</v>
      </c>
      <c r="P70" s="4" t="str">
        <f>$I$2&amp;"|"&amp;I70</f>
        <v>10001|100</v>
      </c>
      <c r="Q70" s="4" t="str">
        <f>$J$2&amp;"|"&amp;J70</f>
        <v>10002|</v>
      </c>
      <c r="R70" s="4" t="str">
        <f>$K$2&amp;"|"&amp;K70</f>
        <v>10003|5</v>
      </c>
      <c r="S70" s="4" t="str">
        <f>$L$2&amp;"|"&amp;L70</f>
        <v>10004|12</v>
      </c>
      <c r="T70" s="4" t="str">
        <f>$M$2&amp;"|"&amp;M70</f>
        <v>10005|</v>
      </c>
      <c r="U70" s="4" t="str">
        <f>$N$2&amp;"|"&amp;N70</f>
        <v>10006|</v>
      </c>
      <c r="W70" t="str">
        <f t="shared" si="3"/>
        <v>10001|100$10002|$10003|5$10004|12$10005|$10006|</v>
      </c>
      <c r="AB70" s="8">
        <v>68</v>
      </c>
      <c r="AC70" s="9">
        <f>$Y$3*POWER(AB70,$Z$3)</f>
        <v>231200</v>
      </c>
      <c r="AD70" s="10">
        <f t="shared" si="4"/>
        <v>5356700</v>
      </c>
      <c r="AE70" s="10">
        <f t="shared" si="5"/>
        <v>231200</v>
      </c>
    </row>
    <row r="71" ht="17.25" customHeight="1" spans="8:31">
      <c r="H71" s="1">
        <v>69</v>
      </c>
      <c r="I71">
        <v>100</v>
      </c>
      <c r="K71">
        <v>5</v>
      </c>
      <c r="L71">
        <v>12</v>
      </c>
      <c r="P71" s="4" t="str">
        <f>$I$2&amp;"|"&amp;I71</f>
        <v>10001|100</v>
      </c>
      <c r="Q71" s="4" t="str">
        <f>$J$2&amp;"|"&amp;J71</f>
        <v>10002|</v>
      </c>
      <c r="R71" s="4" t="str">
        <f>$K$2&amp;"|"&amp;K71</f>
        <v>10003|5</v>
      </c>
      <c r="S71" s="4" t="str">
        <f>$L$2&amp;"|"&amp;L71</f>
        <v>10004|12</v>
      </c>
      <c r="T71" s="4" t="str">
        <f>$M$2&amp;"|"&amp;M71</f>
        <v>10005|</v>
      </c>
      <c r="U71" s="4" t="str">
        <f>$N$2&amp;"|"&amp;N71</f>
        <v>10006|</v>
      </c>
      <c r="W71" t="str">
        <f t="shared" si="3"/>
        <v>10001|100$10002|$10003|5$10004|12$10005|$10006|</v>
      </c>
      <c r="AB71" s="8">
        <v>69</v>
      </c>
      <c r="AC71" s="9">
        <f>$Y$3*POWER(AB71,$Z$3)</f>
        <v>238050</v>
      </c>
      <c r="AD71" s="10">
        <f t="shared" si="4"/>
        <v>5594750</v>
      </c>
      <c r="AE71" s="10">
        <f t="shared" si="5"/>
        <v>238050</v>
      </c>
    </row>
    <row r="72" ht="17.25" customHeight="1" spans="8:31">
      <c r="H72" s="1">
        <v>70</v>
      </c>
      <c r="I72">
        <v>100</v>
      </c>
      <c r="K72">
        <v>5</v>
      </c>
      <c r="L72">
        <v>12</v>
      </c>
      <c r="P72" s="4" t="str">
        <f>$I$2&amp;"|"&amp;I72</f>
        <v>10001|100</v>
      </c>
      <c r="Q72" s="4" t="str">
        <f>$J$2&amp;"|"&amp;J72</f>
        <v>10002|</v>
      </c>
      <c r="R72" s="4" t="str">
        <f>$K$2&amp;"|"&amp;K72</f>
        <v>10003|5</v>
      </c>
      <c r="S72" s="4" t="str">
        <f>$L$2&amp;"|"&amp;L72</f>
        <v>10004|12</v>
      </c>
      <c r="T72" s="4" t="str">
        <f>$M$2&amp;"|"&amp;M72</f>
        <v>10005|</v>
      </c>
      <c r="U72" s="4" t="str">
        <f>$N$2&amp;"|"&amp;N72</f>
        <v>10006|</v>
      </c>
      <c r="W72" t="str">
        <f t="shared" si="3"/>
        <v>10001|100$10002|$10003|5$10004|12$10005|$10006|</v>
      </c>
      <c r="AB72" s="8">
        <v>70</v>
      </c>
      <c r="AC72" s="9">
        <f>$Y$3*POWER(AB72,$Z$3)</f>
        <v>245000</v>
      </c>
      <c r="AD72" s="10">
        <f t="shared" si="4"/>
        <v>5839750</v>
      </c>
      <c r="AE72" s="10">
        <f t="shared" si="5"/>
        <v>245000</v>
      </c>
    </row>
    <row r="73" ht="17.25" customHeight="1" spans="7:31">
      <c r="G73" s="2" t="s">
        <v>182</v>
      </c>
      <c r="H73" s="1">
        <v>71</v>
      </c>
      <c r="I73">
        <v>100</v>
      </c>
      <c r="J73">
        <v>1</v>
      </c>
      <c r="K73">
        <v>5</v>
      </c>
      <c r="L73">
        <v>12</v>
      </c>
      <c r="M73">
        <v>2</v>
      </c>
      <c r="N73">
        <v>3</v>
      </c>
      <c r="P73" s="4" t="str">
        <f>$I$2&amp;"|"&amp;I73</f>
        <v>10001|100</v>
      </c>
      <c r="Q73" s="4" t="str">
        <f>$J$2&amp;"|"&amp;J73</f>
        <v>10002|1</v>
      </c>
      <c r="R73" s="4" t="str">
        <f>$K$2&amp;"|"&amp;K73</f>
        <v>10003|5</v>
      </c>
      <c r="S73" s="4" t="str">
        <f>$L$2&amp;"|"&amp;L73</f>
        <v>10004|12</v>
      </c>
      <c r="T73" s="4" t="str">
        <f>$M$2&amp;"|"&amp;M73</f>
        <v>10005|2</v>
      </c>
      <c r="U73" s="4" t="str">
        <f>$N$2&amp;"|"&amp;N73</f>
        <v>10006|3</v>
      </c>
      <c r="W73" t="str">
        <f t="shared" si="3"/>
        <v>10001|100$10002|1$10003|5$10004|12$10005|2$10006|3</v>
      </c>
      <c r="AB73" s="8">
        <v>71</v>
      </c>
      <c r="AC73" s="9">
        <f>$Y$3*POWER(AB73,$Z$3)</f>
        <v>252050</v>
      </c>
      <c r="AD73" s="10">
        <f t="shared" si="4"/>
        <v>6091800</v>
      </c>
      <c r="AE73" s="10">
        <f t="shared" si="5"/>
        <v>252050</v>
      </c>
    </row>
    <row r="74" ht="17.25" customHeight="1" spans="8:31">
      <c r="H74" s="1">
        <v>72</v>
      </c>
      <c r="I74">
        <v>100</v>
      </c>
      <c r="K74">
        <v>5</v>
      </c>
      <c r="L74">
        <v>12</v>
      </c>
      <c r="P74" s="4" t="str">
        <f>$I$2&amp;"|"&amp;I74</f>
        <v>10001|100</v>
      </c>
      <c r="Q74" s="4" t="str">
        <f>$J$2&amp;"|"&amp;J74</f>
        <v>10002|</v>
      </c>
      <c r="R74" s="4" t="str">
        <f>$K$2&amp;"|"&amp;K74</f>
        <v>10003|5</v>
      </c>
      <c r="S74" s="4" t="str">
        <f>$L$2&amp;"|"&amp;L74</f>
        <v>10004|12</v>
      </c>
      <c r="T74" s="4" t="str">
        <f>$M$2&amp;"|"&amp;M74</f>
        <v>10005|</v>
      </c>
      <c r="U74" s="4" t="str">
        <f>$N$2&amp;"|"&amp;N74</f>
        <v>10006|</v>
      </c>
      <c r="W74" t="str">
        <f t="shared" si="3"/>
        <v>10001|100$10002|$10003|5$10004|12$10005|$10006|</v>
      </c>
      <c r="AB74" s="8">
        <v>72</v>
      </c>
      <c r="AC74" s="9">
        <f>$Y$3*POWER(AB74,$Z$3)</f>
        <v>259200</v>
      </c>
      <c r="AD74" s="10">
        <f t="shared" si="4"/>
        <v>6351000</v>
      </c>
      <c r="AE74" s="10">
        <f t="shared" si="5"/>
        <v>259200</v>
      </c>
    </row>
    <row r="75" ht="17.25" customHeight="1" spans="8:31">
      <c r="H75" s="1">
        <v>73</v>
      </c>
      <c r="I75">
        <v>100</v>
      </c>
      <c r="K75">
        <v>5</v>
      </c>
      <c r="L75">
        <v>12</v>
      </c>
      <c r="P75" s="4" t="str">
        <f>$I$2&amp;"|"&amp;I75</f>
        <v>10001|100</v>
      </c>
      <c r="Q75" s="4" t="str">
        <f>$J$2&amp;"|"&amp;J75</f>
        <v>10002|</v>
      </c>
      <c r="R75" s="4" t="str">
        <f>$K$2&amp;"|"&amp;K75</f>
        <v>10003|5</v>
      </c>
      <c r="S75" s="4" t="str">
        <f>$L$2&amp;"|"&amp;L75</f>
        <v>10004|12</v>
      </c>
      <c r="T75" s="4" t="str">
        <f>$M$2&amp;"|"&amp;M75</f>
        <v>10005|</v>
      </c>
      <c r="U75" s="4" t="str">
        <f>$N$2&amp;"|"&amp;N75</f>
        <v>10006|</v>
      </c>
      <c r="W75" t="str">
        <f t="shared" si="3"/>
        <v>10001|100$10002|$10003|5$10004|12$10005|$10006|</v>
      </c>
      <c r="AB75" s="8">
        <v>73</v>
      </c>
      <c r="AC75" s="9">
        <f>$Y$3*POWER(AB75,$Z$3)</f>
        <v>266450</v>
      </c>
      <c r="AD75" s="10">
        <f t="shared" si="4"/>
        <v>6617450</v>
      </c>
      <c r="AE75" s="10">
        <f t="shared" si="5"/>
        <v>266450</v>
      </c>
    </row>
    <row r="76" ht="17.25" customHeight="1" spans="8:31">
      <c r="H76" s="1">
        <v>74</v>
      </c>
      <c r="I76">
        <v>100</v>
      </c>
      <c r="K76">
        <v>5</v>
      </c>
      <c r="L76">
        <v>12</v>
      </c>
      <c r="P76" s="4" t="str">
        <f>$I$2&amp;"|"&amp;I76</f>
        <v>10001|100</v>
      </c>
      <c r="Q76" s="4" t="str">
        <f>$J$2&amp;"|"&amp;J76</f>
        <v>10002|</v>
      </c>
      <c r="R76" s="4" t="str">
        <f>$K$2&amp;"|"&amp;K76</f>
        <v>10003|5</v>
      </c>
      <c r="S76" s="4" t="str">
        <f>$L$2&amp;"|"&amp;L76</f>
        <v>10004|12</v>
      </c>
      <c r="T76" s="4" t="str">
        <f>$M$2&amp;"|"&amp;M76</f>
        <v>10005|</v>
      </c>
      <c r="U76" s="4" t="str">
        <f>$N$2&amp;"|"&amp;N76</f>
        <v>10006|</v>
      </c>
      <c r="W76" t="str">
        <f t="shared" si="3"/>
        <v>10001|100$10002|$10003|5$10004|12$10005|$10006|</v>
      </c>
      <c r="AB76" s="8">
        <v>74</v>
      </c>
      <c r="AC76" s="9">
        <f>$Y$3*POWER(AB76,$Z$3)</f>
        <v>273800</v>
      </c>
      <c r="AD76" s="10">
        <f t="shared" si="4"/>
        <v>6891250</v>
      </c>
      <c r="AE76" s="10">
        <f t="shared" si="5"/>
        <v>273800</v>
      </c>
    </row>
    <row r="77" ht="17.25" customHeight="1" spans="8:31">
      <c r="H77" s="1">
        <v>75</v>
      </c>
      <c r="I77">
        <v>100</v>
      </c>
      <c r="K77">
        <v>5</v>
      </c>
      <c r="L77">
        <v>12</v>
      </c>
      <c r="P77" s="4" t="str">
        <f>$I$2&amp;"|"&amp;I77</f>
        <v>10001|100</v>
      </c>
      <c r="Q77" s="4" t="str">
        <f>$J$2&amp;"|"&amp;J77</f>
        <v>10002|</v>
      </c>
      <c r="R77" s="4" t="str">
        <f>$K$2&amp;"|"&amp;K77</f>
        <v>10003|5</v>
      </c>
      <c r="S77" s="4" t="str">
        <f>$L$2&amp;"|"&amp;L77</f>
        <v>10004|12</v>
      </c>
      <c r="T77" s="4" t="str">
        <f>$M$2&amp;"|"&amp;M77</f>
        <v>10005|</v>
      </c>
      <c r="U77" s="4" t="str">
        <f>$N$2&amp;"|"&amp;N77</f>
        <v>10006|</v>
      </c>
      <c r="W77" t="str">
        <f t="shared" si="3"/>
        <v>10001|100$10002|$10003|5$10004|12$10005|$10006|</v>
      </c>
      <c r="AB77" s="8">
        <v>75</v>
      </c>
      <c r="AC77" s="9">
        <f>$Y$3*POWER(AB77,$Z$3)</f>
        <v>281250</v>
      </c>
      <c r="AD77" s="10">
        <f t="shared" si="4"/>
        <v>7172500</v>
      </c>
      <c r="AE77" s="10">
        <f t="shared" si="5"/>
        <v>281250</v>
      </c>
    </row>
    <row r="78" ht="17.25" customHeight="1" spans="8:31">
      <c r="H78" s="1">
        <v>76</v>
      </c>
      <c r="I78">
        <v>100</v>
      </c>
      <c r="K78">
        <v>5</v>
      </c>
      <c r="L78">
        <v>12</v>
      </c>
      <c r="P78" s="4" t="str">
        <f>$I$2&amp;"|"&amp;I78</f>
        <v>10001|100</v>
      </c>
      <c r="Q78" s="4" t="str">
        <f>$J$2&amp;"|"&amp;J78</f>
        <v>10002|</v>
      </c>
      <c r="R78" s="4" t="str">
        <f>$K$2&amp;"|"&amp;K78</f>
        <v>10003|5</v>
      </c>
      <c r="S78" s="4" t="str">
        <f>$L$2&amp;"|"&amp;L78</f>
        <v>10004|12</v>
      </c>
      <c r="T78" s="4" t="str">
        <f>$M$2&amp;"|"&amp;M78</f>
        <v>10005|</v>
      </c>
      <c r="U78" s="4" t="str">
        <f>$N$2&amp;"|"&amp;N78</f>
        <v>10006|</v>
      </c>
      <c r="W78" t="str">
        <f t="shared" si="3"/>
        <v>10001|100$10002|$10003|5$10004|12$10005|$10006|</v>
      </c>
      <c r="AB78" s="8">
        <v>76</v>
      </c>
      <c r="AC78" s="9">
        <f>$Y$3*POWER(AB78,$Z$3)</f>
        <v>288800</v>
      </c>
      <c r="AD78" s="10">
        <f t="shared" si="4"/>
        <v>7461300</v>
      </c>
      <c r="AE78" s="10">
        <f t="shared" si="5"/>
        <v>288800</v>
      </c>
    </row>
    <row r="79" ht="17.25" customHeight="1" spans="8:31">
      <c r="H79" s="1">
        <v>77</v>
      </c>
      <c r="I79">
        <v>100</v>
      </c>
      <c r="K79">
        <v>5</v>
      </c>
      <c r="L79">
        <v>12</v>
      </c>
      <c r="P79" s="4" t="str">
        <f>$I$2&amp;"|"&amp;I79</f>
        <v>10001|100</v>
      </c>
      <c r="Q79" s="4" t="str">
        <f>$J$2&amp;"|"&amp;J79</f>
        <v>10002|</v>
      </c>
      <c r="R79" s="4" t="str">
        <f>$K$2&amp;"|"&amp;K79</f>
        <v>10003|5</v>
      </c>
      <c r="S79" s="4" t="str">
        <f>$L$2&amp;"|"&amp;L79</f>
        <v>10004|12</v>
      </c>
      <c r="T79" s="4" t="str">
        <f>$M$2&amp;"|"&amp;M79</f>
        <v>10005|</v>
      </c>
      <c r="U79" s="4" t="str">
        <f>$N$2&amp;"|"&amp;N79</f>
        <v>10006|</v>
      </c>
      <c r="W79" t="str">
        <f t="shared" si="3"/>
        <v>10001|100$10002|$10003|5$10004|12$10005|$10006|</v>
      </c>
      <c r="AB79" s="8">
        <v>77</v>
      </c>
      <c r="AC79" s="9">
        <f>$Y$3*POWER(AB79,$Z$3)</f>
        <v>296450</v>
      </c>
      <c r="AD79" s="10">
        <f t="shared" si="4"/>
        <v>7757750</v>
      </c>
      <c r="AE79" s="10">
        <f t="shared" si="5"/>
        <v>296450</v>
      </c>
    </row>
    <row r="80" ht="17.25" customHeight="1" spans="8:31">
      <c r="H80" s="1">
        <v>78</v>
      </c>
      <c r="I80">
        <v>100</v>
      </c>
      <c r="K80">
        <v>5</v>
      </c>
      <c r="L80">
        <v>12</v>
      </c>
      <c r="P80" s="4" t="str">
        <f>$I$2&amp;"|"&amp;I80</f>
        <v>10001|100</v>
      </c>
      <c r="Q80" s="4" t="str">
        <f>$J$2&amp;"|"&amp;J80</f>
        <v>10002|</v>
      </c>
      <c r="R80" s="4" t="str">
        <f>$K$2&amp;"|"&amp;K80</f>
        <v>10003|5</v>
      </c>
      <c r="S80" s="4" t="str">
        <f>$L$2&amp;"|"&amp;L80</f>
        <v>10004|12</v>
      </c>
      <c r="T80" s="4" t="str">
        <f>$M$2&amp;"|"&amp;M80</f>
        <v>10005|</v>
      </c>
      <c r="U80" s="4" t="str">
        <f>$N$2&amp;"|"&amp;N80</f>
        <v>10006|</v>
      </c>
      <c r="W80" t="str">
        <f t="shared" si="3"/>
        <v>10001|100$10002|$10003|5$10004|12$10005|$10006|</v>
      </c>
      <c r="AB80" s="8">
        <v>78</v>
      </c>
      <c r="AC80" s="9">
        <f>$Y$3*POWER(AB80,$Z$3)</f>
        <v>304200</v>
      </c>
      <c r="AD80" s="10">
        <f t="shared" si="4"/>
        <v>8061950</v>
      </c>
      <c r="AE80" s="10">
        <f t="shared" si="5"/>
        <v>304200</v>
      </c>
    </row>
    <row r="81" ht="17.25" customHeight="1" spans="8:31">
      <c r="H81" s="1">
        <v>79</v>
      </c>
      <c r="I81">
        <v>100</v>
      </c>
      <c r="K81">
        <v>5</v>
      </c>
      <c r="L81">
        <v>12</v>
      </c>
      <c r="P81" s="4" t="str">
        <f>$I$2&amp;"|"&amp;I81</f>
        <v>10001|100</v>
      </c>
      <c r="Q81" s="4" t="str">
        <f>$J$2&amp;"|"&amp;J81</f>
        <v>10002|</v>
      </c>
      <c r="R81" s="4" t="str">
        <f>$K$2&amp;"|"&amp;K81</f>
        <v>10003|5</v>
      </c>
      <c r="S81" s="4" t="str">
        <f>$L$2&amp;"|"&amp;L81</f>
        <v>10004|12</v>
      </c>
      <c r="T81" s="4" t="str">
        <f>$M$2&amp;"|"&amp;M81</f>
        <v>10005|</v>
      </c>
      <c r="U81" s="4" t="str">
        <f>$N$2&amp;"|"&amp;N81</f>
        <v>10006|</v>
      </c>
      <c r="W81" t="str">
        <f t="shared" si="3"/>
        <v>10001|100$10002|$10003|5$10004|12$10005|$10006|</v>
      </c>
      <c r="AB81" s="8">
        <v>79</v>
      </c>
      <c r="AC81" s="9">
        <f>$Y$3*POWER(AB81,$Z$3)</f>
        <v>312050</v>
      </c>
      <c r="AD81" s="10">
        <f t="shared" si="4"/>
        <v>8374000</v>
      </c>
      <c r="AE81" s="10">
        <f t="shared" si="5"/>
        <v>312050</v>
      </c>
    </row>
    <row r="82" ht="17.25" customHeight="1" spans="8:31">
      <c r="H82" s="1">
        <v>80</v>
      </c>
      <c r="I82">
        <v>100</v>
      </c>
      <c r="K82">
        <v>5</v>
      </c>
      <c r="L82">
        <v>12</v>
      </c>
      <c r="P82" s="4" t="str">
        <f>$I$2&amp;"|"&amp;I82</f>
        <v>10001|100</v>
      </c>
      <c r="Q82" s="4" t="str">
        <f>$J$2&amp;"|"&amp;J82</f>
        <v>10002|</v>
      </c>
      <c r="R82" s="4" t="str">
        <f>$K$2&amp;"|"&amp;K82</f>
        <v>10003|5</v>
      </c>
      <c r="S82" s="4" t="str">
        <f>$L$2&amp;"|"&amp;L82</f>
        <v>10004|12</v>
      </c>
      <c r="T82" s="4" t="str">
        <f>$M$2&amp;"|"&amp;M82</f>
        <v>10005|</v>
      </c>
      <c r="U82" s="4" t="str">
        <f>$N$2&amp;"|"&amp;N82</f>
        <v>10006|</v>
      </c>
      <c r="W82" t="str">
        <f t="shared" si="3"/>
        <v>10001|100$10002|$10003|5$10004|12$10005|$10006|</v>
      </c>
      <c r="AB82" s="8">
        <v>80</v>
      </c>
      <c r="AC82" s="9">
        <f>$Y$3*POWER(AB82,$Z$3)</f>
        <v>320000</v>
      </c>
      <c r="AD82" s="10">
        <f t="shared" si="4"/>
        <v>8694000</v>
      </c>
      <c r="AE82" s="10">
        <f t="shared" si="5"/>
        <v>320000</v>
      </c>
    </row>
    <row r="83" ht="17.25" customHeight="1" spans="7:31">
      <c r="G83" s="2" t="s">
        <v>204</v>
      </c>
      <c r="H83" s="1">
        <v>81</v>
      </c>
      <c r="I83">
        <v>100</v>
      </c>
      <c r="J83">
        <v>2</v>
      </c>
      <c r="K83">
        <v>5</v>
      </c>
      <c r="L83">
        <v>12</v>
      </c>
      <c r="M83">
        <v>1</v>
      </c>
      <c r="N83">
        <v>2</v>
      </c>
      <c r="P83" s="4" t="str">
        <f>$I$2&amp;"|"&amp;I83</f>
        <v>10001|100</v>
      </c>
      <c r="Q83" s="4" t="str">
        <f>$J$2&amp;"|"&amp;J83</f>
        <v>10002|2</v>
      </c>
      <c r="R83" s="4" t="str">
        <f>$K$2&amp;"|"&amp;K83</f>
        <v>10003|5</v>
      </c>
      <c r="S83" s="4" t="str">
        <f>$L$2&amp;"|"&amp;L83</f>
        <v>10004|12</v>
      </c>
      <c r="T83" s="4" t="str">
        <f>$M$2&amp;"|"&amp;M83</f>
        <v>10005|1</v>
      </c>
      <c r="U83" s="4" t="str">
        <f>$N$2&amp;"|"&amp;N83</f>
        <v>10006|2</v>
      </c>
      <c r="W83" t="str">
        <f t="shared" si="3"/>
        <v>10001|100$10002|2$10003|5$10004|12$10005|1$10006|2</v>
      </c>
      <c r="AB83" s="8">
        <v>81</v>
      </c>
      <c r="AC83" s="9">
        <f>$Y$3*POWER(AB83,$Z$3)</f>
        <v>328050</v>
      </c>
      <c r="AD83" s="10">
        <f t="shared" si="4"/>
        <v>9022050</v>
      </c>
      <c r="AE83" s="10">
        <f t="shared" si="5"/>
        <v>328050</v>
      </c>
    </row>
    <row r="84" ht="17.25" customHeight="1" spans="8:31">
      <c r="H84" s="1">
        <v>82</v>
      </c>
      <c r="I84">
        <v>100</v>
      </c>
      <c r="K84">
        <v>5</v>
      </c>
      <c r="L84">
        <v>12</v>
      </c>
      <c r="P84" s="4" t="str">
        <f>$I$2&amp;"|"&amp;I84</f>
        <v>10001|100</v>
      </c>
      <c r="Q84" s="4" t="str">
        <f>$J$2&amp;"|"&amp;J84</f>
        <v>10002|</v>
      </c>
      <c r="R84" s="4" t="str">
        <f>$K$2&amp;"|"&amp;K84</f>
        <v>10003|5</v>
      </c>
      <c r="S84" s="4" t="str">
        <f>$L$2&amp;"|"&amp;L84</f>
        <v>10004|12</v>
      </c>
      <c r="T84" s="4" t="str">
        <f>$M$2&amp;"|"&amp;M84</f>
        <v>10005|</v>
      </c>
      <c r="U84" s="4" t="str">
        <f>$N$2&amp;"|"&amp;N84</f>
        <v>10006|</v>
      </c>
      <c r="W84" t="str">
        <f t="shared" si="3"/>
        <v>10001|100$10002|$10003|5$10004|12$10005|$10006|</v>
      </c>
      <c r="AB84" s="8">
        <v>82</v>
      </c>
      <c r="AC84" s="9">
        <f>$Y$3*POWER(AB84,$Z$3)</f>
        <v>336200</v>
      </c>
      <c r="AD84" s="10">
        <f t="shared" si="4"/>
        <v>9358250</v>
      </c>
      <c r="AE84" s="10">
        <f t="shared" si="5"/>
        <v>336200</v>
      </c>
    </row>
    <row r="85" ht="17.25" customHeight="1" spans="8:31">
      <c r="H85" s="1">
        <v>83</v>
      </c>
      <c r="I85">
        <v>100</v>
      </c>
      <c r="K85">
        <v>5</v>
      </c>
      <c r="L85">
        <v>12</v>
      </c>
      <c r="P85" s="4" t="str">
        <f>$I$2&amp;"|"&amp;I85</f>
        <v>10001|100</v>
      </c>
      <c r="Q85" s="4" t="str">
        <f>$J$2&amp;"|"&amp;J85</f>
        <v>10002|</v>
      </c>
      <c r="R85" s="4" t="str">
        <f>$K$2&amp;"|"&amp;K85</f>
        <v>10003|5</v>
      </c>
      <c r="S85" s="4" t="str">
        <f>$L$2&amp;"|"&amp;L85</f>
        <v>10004|12</v>
      </c>
      <c r="T85" s="4" t="str">
        <f>$M$2&amp;"|"&amp;M85</f>
        <v>10005|</v>
      </c>
      <c r="U85" s="4" t="str">
        <f>$N$2&amp;"|"&amp;N85</f>
        <v>10006|</v>
      </c>
      <c r="W85" t="str">
        <f t="shared" si="3"/>
        <v>10001|100$10002|$10003|5$10004|12$10005|$10006|</v>
      </c>
      <c r="AB85" s="8">
        <v>83</v>
      </c>
      <c r="AC85" s="9">
        <f>$Y$3*POWER(AB85,$Z$3)</f>
        <v>344450</v>
      </c>
      <c r="AD85" s="10">
        <f t="shared" si="4"/>
        <v>9702700</v>
      </c>
      <c r="AE85" s="10">
        <f t="shared" si="5"/>
        <v>344450</v>
      </c>
    </row>
    <row r="86" ht="17.25" customHeight="1" spans="8:31">
      <c r="H86" s="1">
        <v>84</v>
      </c>
      <c r="I86">
        <v>100</v>
      </c>
      <c r="K86">
        <v>5</v>
      </c>
      <c r="L86">
        <v>12</v>
      </c>
      <c r="P86" s="4" t="str">
        <f>$I$2&amp;"|"&amp;I86</f>
        <v>10001|100</v>
      </c>
      <c r="Q86" s="4" t="str">
        <f>$J$2&amp;"|"&amp;J86</f>
        <v>10002|</v>
      </c>
      <c r="R86" s="4" t="str">
        <f>$K$2&amp;"|"&amp;K86</f>
        <v>10003|5</v>
      </c>
      <c r="S86" s="4" t="str">
        <f>$L$2&amp;"|"&amp;L86</f>
        <v>10004|12</v>
      </c>
      <c r="T86" s="4" t="str">
        <f>$M$2&amp;"|"&amp;M86</f>
        <v>10005|</v>
      </c>
      <c r="U86" s="4" t="str">
        <f>$N$2&amp;"|"&amp;N86</f>
        <v>10006|</v>
      </c>
      <c r="W86" t="str">
        <f t="shared" si="3"/>
        <v>10001|100$10002|$10003|5$10004|12$10005|$10006|</v>
      </c>
      <c r="AB86" s="8">
        <v>84</v>
      </c>
      <c r="AC86" s="9">
        <f>$Y$3*POWER(AB86,$Z$3)</f>
        <v>352800</v>
      </c>
      <c r="AD86" s="10">
        <f t="shared" si="4"/>
        <v>10055500</v>
      </c>
      <c r="AE86" s="10">
        <f t="shared" si="5"/>
        <v>352800</v>
      </c>
    </row>
    <row r="87" ht="17.25" customHeight="1" spans="8:31">
      <c r="H87" s="1">
        <v>85</v>
      </c>
      <c r="I87">
        <v>100</v>
      </c>
      <c r="K87">
        <v>5</v>
      </c>
      <c r="L87">
        <v>12</v>
      </c>
      <c r="P87" s="4" t="str">
        <f>$I$2&amp;"|"&amp;I87</f>
        <v>10001|100</v>
      </c>
      <c r="Q87" s="4" t="str">
        <f>$J$2&amp;"|"&amp;J87</f>
        <v>10002|</v>
      </c>
      <c r="R87" s="4" t="str">
        <f>$K$2&amp;"|"&amp;K87</f>
        <v>10003|5</v>
      </c>
      <c r="S87" s="4" t="str">
        <f>$L$2&amp;"|"&amp;L87</f>
        <v>10004|12</v>
      </c>
      <c r="T87" s="4" t="str">
        <f>$M$2&amp;"|"&amp;M87</f>
        <v>10005|</v>
      </c>
      <c r="U87" s="4" t="str">
        <f>$N$2&amp;"|"&amp;N87</f>
        <v>10006|</v>
      </c>
      <c r="W87" t="str">
        <f t="shared" si="3"/>
        <v>10001|100$10002|$10003|5$10004|12$10005|$10006|</v>
      </c>
      <c r="AB87" s="8">
        <v>85</v>
      </c>
      <c r="AC87" s="9">
        <f>$Y$3*POWER(AB87,$Z$3)</f>
        <v>361250</v>
      </c>
      <c r="AD87" s="10">
        <f t="shared" si="4"/>
        <v>10416750</v>
      </c>
      <c r="AE87" s="10">
        <f t="shared" si="5"/>
        <v>361250</v>
      </c>
    </row>
    <row r="88" ht="17.25" customHeight="1" spans="8:31">
      <c r="H88" s="1">
        <v>86</v>
      </c>
      <c r="I88">
        <v>100</v>
      </c>
      <c r="K88">
        <v>5</v>
      </c>
      <c r="L88">
        <v>12</v>
      </c>
      <c r="P88" s="4" t="str">
        <f>$I$2&amp;"|"&amp;I88</f>
        <v>10001|100</v>
      </c>
      <c r="Q88" s="4" t="str">
        <f>$J$2&amp;"|"&amp;J88</f>
        <v>10002|</v>
      </c>
      <c r="R88" s="4" t="str">
        <f>$K$2&amp;"|"&amp;K88</f>
        <v>10003|5</v>
      </c>
      <c r="S88" s="4" t="str">
        <f>$L$2&amp;"|"&amp;L88</f>
        <v>10004|12</v>
      </c>
      <c r="T88" s="4" t="str">
        <f>$M$2&amp;"|"&amp;M88</f>
        <v>10005|</v>
      </c>
      <c r="U88" s="4" t="str">
        <f>$N$2&amp;"|"&amp;N88</f>
        <v>10006|</v>
      </c>
      <c r="W88" t="str">
        <f t="shared" si="3"/>
        <v>10001|100$10002|$10003|5$10004|12$10005|$10006|</v>
      </c>
      <c r="AB88" s="8">
        <v>86</v>
      </c>
      <c r="AC88" s="9">
        <f>$Y$3*POWER(AB88,$Z$3)</f>
        <v>369800</v>
      </c>
      <c r="AD88" s="10">
        <f t="shared" si="4"/>
        <v>10786550</v>
      </c>
      <c r="AE88" s="10">
        <f t="shared" si="5"/>
        <v>369800</v>
      </c>
    </row>
    <row r="89" ht="17.25" customHeight="1" spans="8:31">
      <c r="H89" s="1">
        <v>87</v>
      </c>
      <c r="I89">
        <v>100</v>
      </c>
      <c r="K89">
        <v>5</v>
      </c>
      <c r="L89">
        <v>12</v>
      </c>
      <c r="P89" s="4" t="str">
        <f>$I$2&amp;"|"&amp;I89</f>
        <v>10001|100</v>
      </c>
      <c r="Q89" s="4" t="str">
        <f>$J$2&amp;"|"&amp;J89</f>
        <v>10002|</v>
      </c>
      <c r="R89" s="4" t="str">
        <f>$K$2&amp;"|"&amp;K89</f>
        <v>10003|5</v>
      </c>
      <c r="S89" s="4" t="str">
        <f>$L$2&amp;"|"&amp;L89</f>
        <v>10004|12</v>
      </c>
      <c r="T89" s="4" t="str">
        <f>$M$2&amp;"|"&amp;M89</f>
        <v>10005|</v>
      </c>
      <c r="U89" s="4" t="str">
        <f>$N$2&amp;"|"&amp;N89</f>
        <v>10006|</v>
      </c>
      <c r="W89" t="str">
        <f t="shared" si="3"/>
        <v>10001|100$10002|$10003|5$10004|12$10005|$10006|</v>
      </c>
      <c r="AB89" s="8">
        <v>87</v>
      </c>
      <c r="AC89" s="9">
        <f>$Y$3*POWER(AB89,$Z$3)</f>
        <v>378450</v>
      </c>
      <c r="AD89" s="10">
        <f t="shared" si="4"/>
        <v>11165000</v>
      </c>
      <c r="AE89" s="10">
        <f t="shared" si="5"/>
        <v>378450</v>
      </c>
    </row>
    <row r="90" ht="17.25" customHeight="1" spans="8:31">
      <c r="H90" s="1">
        <v>88</v>
      </c>
      <c r="I90">
        <v>100</v>
      </c>
      <c r="K90">
        <v>5</v>
      </c>
      <c r="L90">
        <v>12</v>
      </c>
      <c r="P90" s="4" t="str">
        <f>$I$2&amp;"|"&amp;I90</f>
        <v>10001|100</v>
      </c>
      <c r="Q90" s="4" t="str">
        <f>$J$2&amp;"|"&amp;J90</f>
        <v>10002|</v>
      </c>
      <c r="R90" s="4" t="str">
        <f>$K$2&amp;"|"&amp;K90</f>
        <v>10003|5</v>
      </c>
      <c r="S90" s="4" t="str">
        <f>$L$2&amp;"|"&amp;L90</f>
        <v>10004|12</v>
      </c>
      <c r="T90" s="4" t="str">
        <f>$M$2&amp;"|"&amp;M90</f>
        <v>10005|</v>
      </c>
      <c r="U90" s="4" t="str">
        <f>$N$2&amp;"|"&amp;N90</f>
        <v>10006|</v>
      </c>
      <c r="W90" t="str">
        <f t="shared" si="3"/>
        <v>10001|100$10002|$10003|5$10004|12$10005|$10006|</v>
      </c>
      <c r="AB90" s="8">
        <v>88</v>
      </c>
      <c r="AC90" s="9">
        <f>$Y$3*POWER(AB90,$Z$3)</f>
        <v>387200</v>
      </c>
      <c r="AD90" s="10">
        <f t="shared" si="4"/>
        <v>11552200</v>
      </c>
      <c r="AE90" s="10">
        <f t="shared" si="5"/>
        <v>387200</v>
      </c>
    </row>
    <row r="91" ht="17.25" customHeight="1" spans="8:31">
      <c r="H91" s="1">
        <v>89</v>
      </c>
      <c r="I91">
        <v>100</v>
      </c>
      <c r="K91">
        <v>5</v>
      </c>
      <c r="L91">
        <v>12</v>
      </c>
      <c r="P91" s="4" t="str">
        <f>$I$2&amp;"|"&amp;I91</f>
        <v>10001|100</v>
      </c>
      <c r="Q91" s="4" t="str">
        <f>$J$2&amp;"|"&amp;J91</f>
        <v>10002|</v>
      </c>
      <c r="R91" s="4" t="str">
        <f>$K$2&amp;"|"&amp;K91</f>
        <v>10003|5</v>
      </c>
      <c r="S91" s="4" t="str">
        <f>$L$2&amp;"|"&amp;L91</f>
        <v>10004|12</v>
      </c>
      <c r="T91" s="4" t="str">
        <f>$M$2&amp;"|"&amp;M91</f>
        <v>10005|</v>
      </c>
      <c r="U91" s="4" t="str">
        <f>$N$2&amp;"|"&amp;N91</f>
        <v>10006|</v>
      </c>
      <c r="W91" t="str">
        <f t="shared" si="3"/>
        <v>10001|100$10002|$10003|5$10004|12$10005|$10006|</v>
      </c>
      <c r="AB91" s="8">
        <v>89</v>
      </c>
      <c r="AC91" s="9">
        <f>$Y$3*POWER(AB91,$Z$3)</f>
        <v>396050</v>
      </c>
      <c r="AD91" s="10">
        <f t="shared" si="4"/>
        <v>11948250</v>
      </c>
      <c r="AE91" s="10">
        <f t="shared" si="5"/>
        <v>396050</v>
      </c>
    </row>
    <row r="92" ht="17.25" customHeight="1" spans="8:31">
      <c r="H92" s="1">
        <v>90</v>
      </c>
      <c r="I92">
        <v>100</v>
      </c>
      <c r="K92">
        <v>5</v>
      </c>
      <c r="L92">
        <v>12</v>
      </c>
      <c r="P92" s="4" t="str">
        <f>$I$2&amp;"|"&amp;I92</f>
        <v>10001|100</v>
      </c>
      <c r="Q92" s="4" t="str">
        <f>$J$2&amp;"|"&amp;J92</f>
        <v>10002|</v>
      </c>
      <c r="R92" s="4" t="str">
        <f>$K$2&amp;"|"&amp;K92</f>
        <v>10003|5</v>
      </c>
      <c r="S92" s="4" t="str">
        <f>$L$2&amp;"|"&amp;L92</f>
        <v>10004|12</v>
      </c>
      <c r="T92" s="4" t="str">
        <f>$M$2&amp;"|"&amp;M92</f>
        <v>10005|</v>
      </c>
      <c r="U92" s="4" t="str">
        <f>$N$2&amp;"|"&amp;N92</f>
        <v>10006|</v>
      </c>
      <c r="W92" t="str">
        <f t="shared" si="3"/>
        <v>10001|100$10002|$10003|5$10004|12$10005|$10006|</v>
      </c>
      <c r="AB92" s="8">
        <v>90</v>
      </c>
      <c r="AC92" s="9">
        <f>$Y$3*POWER(AB92,$Z$3)</f>
        <v>405000</v>
      </c>
      <c r="AD92" s="10">
        <f t="shared" si="4"/>
        <v>12353250</v>
      </c>
      <c r="AE92" s="10">
        <f t="shared" si="5"/>
        <v>405000</v>
      </c>
    </row>
    <row r="93" ht="17.25" customHeight="1" spans="6:31">
      <c r="F93" s="2" t="s">
        <v>372</v>
      </c>
      <c r="G93" s="2" t="s">
        <v>226</v>
      </c>
      <c r="H93" s="1">
        <v>91</v>
      </c>
      <c r="I93">
        <v>100</v>
      </c>
      <c r="J93">
        <v>1</v>
      </c>
      <c r="K93">
        <v>5</v>
      </c>
      <c r="L93">
        <v>12</v>
      </c>
      <c r="M93">
        <v>1</v>
      </c>
      <c r="N93">
        <v>3</v>
      </c>
      <c r="P93" s="4" t="str">
        <f>$I$2&amp;"|"&amp;I93</f>
        <v>10001|100</v>
      </c>
      <c r="Q93" s="4" t="str">
        <f>$J$2&amp;"|"&amp;J93</f>
        <v>10002|1</v>
      </c>
      <c r="R93" s="4" t="str">
        <f>$K$2&amp;"|"&amp;K93</f>
        <v>10003|5</v>
      </c>
      <c r="S93" s="4" t="str">
        <f>$L$2&amp;"|"&amp;L93</f>
        <v>10004|12</v>
      </c>
      <c r="T93" s="4" t="str">
        <f>$M$2&amp;"|"&amp;M93</f>
        <v>10005|1</v>
      </c>
      <c r="U93" s="4" t="str">
        <f>$N$2&amp;"|"&amp;N93</f>
        <v>10006|3</v>
      </c>
      <c r="W93" t="str">
        <f t="shared" si="3"/>
        <v>10001|100$10002|1$10003|5$10004|12$10005|1$10006|3</v>
      </c>
      <c r="AB93" s="8">
        <v>91</v>
      </c>
      <c r="AC93" s="9">
        <f>$Y$3*POWER(AB93,$Z$3)</f>
        <v>414050</v>
      </c>
      <c r="AD93" s="10">
        <f t="shared" si="4"/>
        <v>12767300</v>
      </c>
      <c r="AE93" s="10">
        <f t="shared" si="5"/>
        <v>414050</v>
      </c>
    </row>
    <row r="94" ht="17.25" customHeight="1" spans="8:31">
      <c r="H94" s="1">
        <v>92</v>
      </c>
      <c r="I94">
        <v>100</v>
      </c>
      <c r="K94">
        <v>5</v>
      </c>
      <c r="L94">
        <v>12</v>
      </c>
      <c r="P94" s="4" t="str">
        <f>$I$2&amp;"|"&amp;I94</f>
        <v>10001|100</v>
      </c>
      <c r="Q94" s="4" t="str">
        <f>$J$2&amp;"|"&amp;J94</f>
        <v>10002|</v>
      </c>
      <c r="R94" s="4" t="str">
        <f>$K$2&amp;"|"&amp;K94</f>
        <v>10003|5</v>
      </c>
      <c r="S94" s="4" t="str">
        <f>$L$2&amp;"|"&amp;L94</f>
        <v>10004|12</v>
      </c>
      <c r="T94" s="4" t="str">
        <f>$M$2&amp;"|"&amp;M94</f>
        <v>10005|</v>
      </c>
      <c r="U94" s="4" t="str">
        <f>$N$2&amp;"|"&amp;N94</f>
        <v>10006|</v>
      </c>
      <c r="W94" t="str">
        <f t="shared" si="3"/>
        <v>10001|100$10002|$10003|5$10004|12$10005|$10006|</v>
      </c>
      <c r="AB94" s="8">
        <v>92</v>
      </c>
      <c r="AC94" s="9">
        <f>$Y$3*POWER(AB94,$Z$3)</f>
        <v>423200</v>
      </c>
      <c r="AD94" s="10">
        <f t="shared" si="4"/>
        <v>13190500</v>
      </c>
      <c r="AE94" s="10">
        <f t="shared" si="5"/>
        <v>423200</v>
      </c>
    </row>
    <row r="95" ht="17.25" customHeight="1" spans="8:31">
      <c r="H95" s="1">
        <v>93</v>
      </c>
      <c r="I95">
        <v>100</v>
      </c>
      <c r="K95">
        <v>5</v>
      </c>
      <c r="L95">
        <v>12</v>
      </c>
      <c r="P95" s="4" t="str">
        <f>$I$2&amp;"|"&amp;I95</f>
        <v>10001|100</v>
      </c>
      <c r="Q95" s="4" t="str">
        <f>$J$2&amp;"|"&amp;J95</f>
        <v>10002|</v>
      </c>
      <c r="R95" s="4" t="str">
        <f>$K$2&amp;"|"&amp;K95</f>
        <v>10003|5</v>
      </c>
      <c r="S95" s="4" t="str">
        <f>$L$2&amp;"|"&amp;L95</f>
        <v>10004|12</v>
      </c>
      <c r="T95" s="4" t="str">
        <f>$M$2&amp;"|"&amp;M95</f>
        <v>10005|</v>
      </c>
      <c r="U95" s="4" t="str">
        <f>$N$2&amp;"|"&amp;N95</f>
        <v>10006|</v>
      </c>
      <c r="W95" t="str">
        <f t="shared" si="3"/>
        <v>10001|100$10002|$10003|5$10004|12$10005|$10006|</v>
      </c>
      <c r="AB95" s="8">
        <v>93</v>
      </c>
      <c r="AC95" s="9">
        <f>$Y$3*POWER(AB95,$Z$3)</f>
        <v>432450</v>
      </c>
      <c r="AD95" s="10">
        <f t="shared" si="4"/>
        <v>13622950</v>
      </c>
      <c r="AE95" s="10">
        <f t="shared" si="5"/>
        <v>432450</v>
      </c>
    </row>
    <row r="96" ht="17.25" customHeight="1" spans="8:31">
      <c r="H96" s="1">
        <v>94</v>
      </c>
      <c r="I96">
        <v>100</v>
      </c>
      <c r="K96">
        <v>5</v>
      </c>
      <c r="L96">
        <v>12</v>
      </c>
      <c r="P96" s="4" t="str">
        <f>$I$2&amp;"|"&amp;I96</f>
        <v>10001|100</v>
      </c>
      <c r="Q96" s="4" t="str">
        <f>$J$2&amp;"|"&amp;J96</f>
        <v>10002|</v>
      </c>
      <c r="R96" s="4" t="str">
        <f>$K$2&amp;"|"&amp;K96</f>
        <v>10003|5</v>
      </c>
      <c r="S96" s="4" t="str">
        <f>$L$2&amp;"|"&amp;L96</f>
        <v>10004|12</v>
      </c>
      <c r="T96" s="4" t="str">
        <f>$M$2&amp;"|"&amp;M96</f>
        <v>10005|</v>
      </c>
      <c r="U96" s="4" t="str">
        <f>$N$2&amp;"|"&amp;N96</f>
        <v>10006|</v>
      </c>
      <c r="W96" t="str">
        <f t="shared" si="3"/>
        <v>10001|100$10002|$10003|5$10004|12$10005|$10006|</v>
      </c>
      <c r="AB96" s="8">
        <v>94</v>
      </c>
      <c r="AC96" s="9">
        <f>$Y$3*POWER(AB96,$Z$3)</f>
        <v>441800</v>
      </c>
      <c r="AD96" s="10">
        <f t="shared" si="4"/>
        <v>14064750</v>
      </c>
      <c r="AE96" s="10">
        <f t="shared" si="5"/>
        <v>441800</v>
      </c>
    </row>
    <row r="97" ht="17.25" customHeight="1" spans="8:31">
      <c r="H97" s="1">
        <v>95</v>
      </c>
      <c r="I97">
        <v>100</v>
      </c>
      <c r="K97">
        <v>5</v>
      </c>
      <c r="L97">
        <v>12</v>
      </c>
      <c r="P97" s="4" t="str">
        <f>$I$2&amp;"|"&amp;I97</f>
        <v>10001|100</v>
      </c>
      <c r="Q97" s="4" t="str">
        <f>$J$2&amp;"|"&amp;J97</f>
        <v>10002|</v>
      </c>
      <c r="R97" s="4" t="str">
        <f>$K$2&amp;"|"&amp;K97</f>
        <v>10003|5</v>
      </c>
      <c r="S97" s="4" t="str">
        <f>$L$2&amp;"|"&amp;L97</f>
        <v>10004|12</v>
      </c>
      <c r="T97" s="4" t="str">
        <f>$M$2&amp;"|"&amp;M97</f>
        <v>10005|</v>
      </c>
      <c r="U97" s="4" t="str">
        <f>$N$2&amp;"|"&amp;N97</f>
        <v>10006|</v>
      </c>
      <c r="W97" t="str">
        <f t="shared" si="3"/>
        <v>10001|100$10002|$10003|5$10004|12$10005|$10006|</v>
      </c>
      <c r="AB97" s="8">
        <v>95</v>
      </c>
      <c r="AC97" s="9">
        <f>$Y$3*POWER(AB97,$Z$3)</f>
        <v>451250</v>
      </c>
      <c r="AD97" s="10">
        <f t="shared" si="4"/>
        <v>14516000</v>
      </c>
      <c r="AE97" s="10">
        <f t="shared" si="5"/>
        <v>451250</v>
      </c>
    </row>
    <row r="98" ht="17.25" customHeight="1" spans="8:31">
      <c r="H98" s="1">
        <v>96</v>
      </c>
      <c r="I98">
        <v>100</v>
      </c>
      <c r="K98">
        <v>5</v>
      </c>
      <c r="L98">
        <v>12</v>
      </c>
      <c r="P98" s="4" t="str">
        <f>$I$2&amp;"|"&amp;I98</f>
        <v>10001|100</v>
      </c>
      <c r="Q98" s="4" t="str">
        <f>$J$2&amp;"|"&amp;J98</f>
        <v>10002|</v>
      </c>
      <c r="R98" s="4" t="str">
        <f>$K$2&amp;"|"&amp;K98</f>
        <v>10003|5</v>
      </c>
      <c r="S98" s="4" t="str">
        <f>$L$2&amp;"|"&amp;L98</f>
        <v>10004|12</v>
      </c>
      <c r="T98" s="4" t="str">
        <f>$M$2&amp;"|"&amp;M98</f>
        <v>10005|</v>
      </c>
      <c r="U98" s="4" t="str">
        <f>$N$2&amp;"|"&amp;N98</f>
        <v>10006|</v>
      </c>
      <c r="W98" t="str">
        <f t="shared" si="3"/>
        <v>10001|100$10002|$10003|5$10004|12$10005|$10006|</v>
      </c>
      <c r="AB98" s="8">
        <v>96</v>
      </c>
      <c r="AC98" s="9">
        <f>$Y$3*POWER(AB98,$Z$3)</f>
        <v>460800</v>
      </c>
      <c r="AD98" s="10">
        <f t="shared" si="4"/>
        <v>14976800</v>
      </c>
      <c r="AE98" s="10">
        <f t="shared" si="5"/>
        <v>460800</v>
      </c>
    </row>
    <row r="99" ht="17.25" customHeight="1" spans="8:31">
      <c r="H99" s="1">
        <v>97</v>
      </c>
      <c r="I99">
        <v>100</v>
      </c>
      <c r="K99">
        <v>5</v>
      </c>
      <c r="L99">
        <v>12</v>
      </c>
      <c r="P99" s="4" t="str">
        <f>$I$2&amp;"|"&amp;I99</f>
        <v>10001|100</v>
      </c>
      <c r="Q99" s="4" t="str">
        <f>$J$2&amp;"|"&amp;J99</f>
        <v>10002|</v>
      </c>
      <c r="R99" s="4" t="str">
        <f>$K$2&amp;"|"&amp;K99</f>
        <v>10003|5</v>
      </c>
      <c r="S99" s="4" t="str">
        <f>$L$2&amp;"|"&amp;L99</f>
        <v>10004|12</v>
      </c>
      <c r="T99" s="4" t="str">
        <f>$M$2&amp;"|"&amp;M99</f>
        <v>10005|</v>
      </c>
      <c r="U99" s="4" t="str">
        <f>$N$2&amp;"|"&amp;N99</f>
        <v>10006|</v>
      </c>
      <c r="W99" t="str">
        <f t="shared" si="3"/>
        <v>10001|100$10002|$10003|5$10004|12$10005|$10006|</v>
      </c>
      <c r="AB99" s="8">
        <v>97</v>
      </c>
      <c r="AC99" s="9">
        <f>$Y$3*POWER(AB99,$Z$3)</f>
        <v>470450</v>
      </c>
      <c r="AD99" s="10">
        <f t="shared" si="4"/>
        <v>15447250</v>
      </c>
      <c r="AE99" s="10">
        <f t="shared" si="5"/>
        <v>470450</v>
      </c>
    </row>
    <row r="100" ht="17.25" customHeight="1" spans="8:31">
      <c r="H100" s="1">
        <v>98</v>
      </c>
      <c r="I100">
        <v>100</v>
      </c>
      <c r="K100">
        <v>5</v>
      </c>
      <c r="L100">
        <v>12</v>
      </c>
      <c r="P100" s="4" t="str">
        <f>$I$2&amp;"|"&amp;I100</f>
        <v>10001|100</v>
      </c>
      <c r="Q100" s="4" t="str">
        <f>$J$2&amp;"|"&amp;J100</f>
        <v>10002|</v>
      </c>
      <c r="R100" s="4" t="str">
        <f>$K$2&amp;"|"&amp;K100</f>
        <v>10003|5</v>
      </c>
      <c r="S100" s="4" t="str">
        <f>$L$2&amp;"|"&amp;L100</f>
        <v>10004|12</v>
      </c>
      <c r="T100" s="4" t="str">
        <f>$M$2&amp;"|"&amp;M100</f>
        <v>10005|</v>
      </c>
      <c r="U100" s="4" t="str">
        <f>$N$2&amp;"|"&amp;N100</f>
        <v>10006|</v>
      </c>
      <c r="W100" t="str">
        <f t="shared" si="3"/>
        <v>10001|100$10002|$10003|5$10004|12$10005|$10006|</v>
      </c>
      <c r="AB100" s="8">
        <v>98</v>
      </c>
      <c r="AC100" s="9">
        <f>$Y$3*POWER(AB100,$Z$3)</f>
        <v>480200</v>
      </c>
      <c r="AD100" s="10">
        <f t="shared" si="4"/>
        <v>15927450</v>
      </c>
      <c r="AE100" s="10">
        <f t="shared" si="5"/>
        <v>480200</v>
      </c>
    </row>
    <row r="101" ht="17.25" customHeight="1" spans="8:31">
      <c r="H101" s="1">
        <v>99</v>
      </c>
      <c r="I101">
        <v>100</v>
      </c>
      <c r="K101">
        <v>5</v>
      </c>
      <c r="L101">
        <v>12</v>
      </c>
      <c r="P101" s="4" t="str">
        <f>$I$2&amp;"|"&amp;I101</f>
        <v>10001|100</v>
      </c>
      <c r="Q101" s="4" t="str">
        <f>$J$2&amp;"|"&amp;J101</f>
        <v>10002|</v>
      </c>
      <c r="R101" s="4" t="str">
        <f>$K$2&amp;"|"&amp;K101</f>
        <v>10003|5</v>
      </c>
      <c r="S101" s="4" t="str">
        <f>$L$2&amp;"|"&amp;L101</f>
        <v>10004|12</v>
      </c>
      <c r="T101" s="4" t="str">
        <f>$M$2&amp;"|"&amp;M101</f>
        <v>10005|</v>
      </c>
      <c r="U101" s="4" t="str">
        <f>$N$2&amp;"|"&amp;N101</f>
        <v>10006|</v>
      </c>
      <c r="W101" t="str">
        <f t="shared" si="3"/>
        <v>10001|100$10002|$10003|5$10004|12$10005|$10006|</v>
      </c>
      <c r="AB101" s="8">
        <v>99</v>
      </c>
      <c r="AC101" s="9">
        <f>$Y$3*POWER(AB101,$Z$3)</f>
        <v>490050</v>
      </c>
      <c r="AD101" s="10">
        <f t="shared" si="4"/>
        <v>16417500</v>
      </c>
      <c r="AE101" s="10">
        <f t="shared" si="5"/>
        <v>490050</v>
      </c>
    </row>
    <row r="102" ht="17.25" customHeight="1" spans="8:31">
      <c r="H102" s="1">
        <v>100</v>
      </c>
      <c r="I102">
        <v>100</v>
      </c>
      <c r="K102">
        <v>5</v>
      </c>
      <c r="L102">
        <v>12</v>
      </c>
      <c r="P102" s="4" t="str">
        <f>$I$2&amp;"|"&amp;I102</f>
        <v>10001|100</v>
      </c>
      <c r="Q102" s="4" t="str">
        <f>$J$2&amp;"|"&amp;J102</f>
        <v>10002|</v>
      </c>
      <c r="R102" s="4" t="str">
        <f>$K$2&amp;"|"&amp;K102</f>
        <v>10003|5</v>
      </c>
      <c r="S102" s="4" t="str">
        <f>$L$2&amp;"|"&amp;L102</f>
        <v>10004|12</v>
      </c>
      <c r="T102" s="4" t="str">
        <f>$M$2&amp;"|"&amp;M102</f>
        <v>10005|</v>
      </c>
      <c r="U102" s="4" t="str">
        <f>$N$2&amp;"|"&amp;N102</f>
        <v>10006|</v>
      </c>
      <c r="W102" t="str">
        <f t="shared" si="3"/>
        <v>10001|100$10002|$10003|5$10004|12$10005|$10006|</v>
      </c>
      <c r="AB102" s="8">
        <v>100</v>
      </c>
      <c r="AC102" s="9">
        <f>$Y$3*POWER(AB102,$Z$3)</f>
        <v>500000</v>
      </c>
      <c r="AD102" s="10">
        <f t="shared" si="4"/>
        <v>16917500</v>
      </c>
      <c r="AE102" s="10">
        <f t="shared" si="5"/>
        <v>500000</v>
      </c>
    </row>
    <row r="103" ht="17.25" customHeight="1" spans="7:31">
      <c r="G103" s="2" t="s">
        <v>247</v>
      </c>
      <c r="H103" s="1">
        <v>101</v>
      </c>
      <c r="I103">
        <v>100</v>
      </c>
      <c r="J103">
        <v>2</v>
      </c>
      <c r="K103">
        <v>5</v>
      </c>
      <c r="L103">
        <v>12</v>
      </c>
      <c r="M103">
        <v>1</v>
      </c>
      <c r="N103">
        <v>2</v>
      </c>
      <c r="P103" s="4" t="str">
        <f>$I$2&amp;"|"&amp;I103</f>
        <v>10001|100</v>
      </c>
      <c r="Q103" s="4" t="str">
        <f>$J$2&amp;"|"&amp;J103</f>
        <v>10002|2</v>
      </c>
      <c r="R103" s="4" t="str">
        <f>$K$2&amp;"|"&amp;K103</f>
        <v>10003|5</v>
      </c>
      <c r="S103" s="4" t="str">
        <f>$L$2&amp;"|"&amp;L103</f>
        <v>10004|12</v>
      </c>
      <c r="T103" s="4" t="str">
        <f>$M$2&amp;"|"&amp;M103</f>
        <v>10005|1</v>
      </c>
      <c r="U103" s="4" t="str">
        <f>$N$2&amp;"|"&amp;N103</f>
        <v>10006|2</v>
      </c>
      <c r="W103" t="str">
        <f t="shared" si="3"/>
        <v>10001|100$10002|2$10003|5$10004|12$10005|1$10006|2</v>
      </c>
      <c r="AB103" s="8">
        <v>101</v>
      </c>
      <c r="AC103" s="9">
        <f>$Y$3*POWER(AB103,$Z$3)</f>
        <v>510050</v>
      </c>
      <c r="AD103" s="10">
        <f t="shared" si="4"/>
        <v>17427550</v>
      </c>
      <c r="AE103" s="10">
        <f t="shared" si="5"/>
        <v>510050</v>
      </c>
    </row>
    <row r="104" ht="17.25" customHeight="1" spans="8:31">
      <c r="H104" s="1">
        <v>102</v>
      </c>
      <c r="I104">
        <v>100</v>
      </c>
      <c r="K104">
        <v>5</v>
      </c>
      <c r="L104">
        <v>12</v>
      </c>
      <c r="P104" s="4" t="str">
        <f>$I$2&amp;"|"&amp;I104</f>
        <v>10001|100</v>
      </c>
      <c r="Q104" s="4" t="str">
        <f>$J$2&amp;"|"&amp;J104</f>
        <v>10002|</v>
      </c>
      <c r="R104" s="4" t="str">
        <f>$K$2&amp;"|"&amp;K104</f>
        <v>10003|5</v>
      </c>
      <c r="S104" s="4" t="str">
        <f>$L$2&amp;"|"&amp;L104</f>
        <v>10004|12</v>
      </c>
      <c r="T104" s="4" t="str">
        <f>$M$2&amp;"|"&amp;M104</f>
        <v>10005|</v>
      </c>
      <c r="U104" s="4" t="str">
        <f>$N$2&amp;"|"&amp;N104</f>
        <v>10006|</v>
      </c>
      <c r="W104" t="str">
        <f t="shared" si="3"/>
        <v>10001|100$10002|$10003|5$10004|12$10005|$10006|</v>
      </c>
      <c r="AB104" s="8">
        <v>102</v>
      </c>
      <c r="AC104" s="9">
        <f>$Y$3*POWER(AB104,$Z$3)</f>
        <v>520200</v>
      </c>
      <c r="AD104" s="10">
        <f t="shared" si="4"/>
        <v>17947750</v>
      </c>
      <c r="AE104" s="10">
        <f t="shared" si="5"/>
        <v>520200</v>
      </c>
    </row>
    <row r="105" ht="17.25" customHeight="1" spans="8:31">
      <c r="H105" s="1">
        <v>103</v>
      </c>
      <c r="I105">
        <v>100</v>
      </c>
      <c r="K105">
        <v>5</v>
      </c>
      <c r="L105">
        <v>12</v>
      </c>
      <c r="P105" s="4" t="str">
        <f>$I$2&amp;"|"&amp;I105</f>
        <v>10001|100</v>
      </c>
      <c r="Q105" s="4" t="str">
        <f>$J$2&amp;"|"&amp;J105</f>
        <v>10002|</v>
      </c>
      <c r="R105" s="4" t="str">
        <f>$K$2&amp;"|"&amp;K105</f>
        <v>10003|5</v>
      </c>
      <c r="S105" s="4" t="str">
        <f>$L$2&amp;"|"&amp;L105</f>
        <v>10004|12</v>
      </c>
      <c r="T105" s="4" t="str">
        <f>$M$2&amp;"|"&amp;M105</f>
        <v>10005|</v>
      </c>
      <c r="U105" s="4" t="str">
        <f>$N$2&amp;"|"&amp;N105</f>
        <v>10006|</v>
      </c>
      <c r="W105" t="str">
        <f t="shared" si="3"/>
        <v>10001|100$10002|$10003|5$10004|12$10005|$10006|</v>
      </c>
      <c r="AB105" s="8">
        <v>103</v>
      </c>
      <c r="AC105" s="9">
        <f>$Y$3*POWER(AB105,$Z$3)</f>
        <v>530450</v>
      </c>
      <c r="AD105" s="10">
        <f t="shared" si="4"/>
        <v>18478200</v>
      </c>
      <c r="AE105" s="10">
        <f t="shared" si="5"/>
        <v>530450</v>
      </c>
    </row>
    <row r="106" ht="17.25" customHeight="1" spans="8:31">
      <c r="H106" s="1">
        <v>104</v>
      </c>
      <c r="I106">
        <v>100</v>
      </c>
      <c r="K106">
        <v>5</v>
      </c>
      <c r="L106">
        <v>12</v>
      </c>
      <c r="P106" s="4" t="str">
        <f>$I$2&amp;"|"&amp;I106</f>
        <v>10001|100</v>
      </c>
      <c r="Q106" s="4" t="str">
        <f>$J$2&amp;"|"&amp;J106</f>
        <v>10002|</v>
      </c>
      <c r="R106" s="4" t="str">
        <f>$K$2&amp;"|"&amp;K106</f>
        <v>10003|5</v>
      </c>
      <c r="S106" s="4" t="str">
        <f>$L$2&amp;"|"&amp;L106</f>
        <v>10004|12</v>
      </c>
      <c r="T106" s="4" t="str">
        <f>$M$2&amp;"|"&amp;M106</f>
        <v>10005|</v>
      </c>
      <c r="U106" s="4" t="str">
        <f>$N$2&amp;"|"&amp;N106</f>
        <v>10006|</v>
      </c>
      <c r="W106" t="str">
        <f t="shared" si="3"/>
        <v>10001|100$10002|$10003|5$10004|12$10005|$10006|</v>
      </c>
      <c r="AB106" s="8">
        <v>104</v>
      </c>
      <c r="AC106" s="9">
        <f>$Y$3*POWER(AB106,$Z$3)</f>
        <v>540800</v>
      </c>
      <c r="AD106" s="10">
        <f t="shared" si="4"/>
        <v>19019000</v>
      </c>
      <c r="AE106" s="10">
        <f t="shared" si="5"/>
        <v>540800</v>
      </c>
    </row>
    <row r="107" ht="17.25" customHeight="1" spans="8:31">
      <c r="H107" s="1">
        <v>105</v>
      </c>
      <c r="I107">
        <v>100</v>
      </c>
      <c r="K107">
        <v>5</v>
      </c>
      <c r="L107">
        <v>12</v>
      </c>
      <c r="P107" s="4" t="str">
        <f>$I$2&amp;"|"&amp;I107</f>
        <v>10001|100</v>
      </c>
      <c r="Q107" s="4" t="str">
        <f>$J$2&amp;"|"&amp;J107</f>
        <v>10002|</v>
      </c>
      <c r="R107" s="4" t="str">
        <f>$K$2&amp;"|"&amp;K107</f>
        <v>10003|5</v>
      </c>
      <c r="S107" s="4" t="str">
        <f>$L$2&amp;"|"&amp;L107</f>
        <v>10004|12</v>
      </c>
      <c r="T107" s="4" t="str">
        <f>$M$2&amp;"|"&amp;M107</f>
        <v>10005|</v>
      </c>
      <c r="U107" s="4" t="str">
        <f>$N$2&amp;"|"&amp;N107</f>
        <v>10006|</v>
      </c>
      <c r="W107" t="str">
        <f t="shared" si="3"/>
        <v>10001|100$10002|$10003|5$10004|12$10005|$10006|</v>
      </c>
      <c r="AB107" s="8">
        <v>105</v>
      </c>
      <c r="AC107" s="9">
        <f>$Y$3*POWER(AB107,$Z$3)</f>
        <v>551250</v>
      </c>
      <c r="AD107" s="10">
        <f t="shared" si="4"/>
        <v>19570250</v>
      </c>
      <c r="AE107" s="10">
        <f t="shared" si="5"/>
        <v>551250</v>
      </c>
    </row>
    <row r="108" ht="17.25" customHeight="1" spans="8:31">
      <c r="H108" s="1">
        <v>106</v>
      </c>
      <c r="I108">
        <v>100</v>
      </c>
      <c r="K108">
        <v>5</v>
      </c>
      <c r="L108">
        <v>12</v>
      </c>
      <c r="P108" s="4" t="str">
        <f>$I$2&amp;"|"&amp;I108</f>
        <v>10001|100</v>
      </c>
      <c r="Q108" s="4" t="str">
        <f>$J$2&amp;"|"&amp;J108</f>
        <v>10002|</v>
      </c>
      <c r="R108" s="4" t="str">
        <f>$K$2&amp;"|"&amp;K108</f>
        <v>10003|5</v>
      </c>
      <c r="S108" s="4" t="str">
        <f>$L$2&amp;"|"&amp;L108</f>
        <v>10004|12</v>
      </c>
      <c r="T108" s="4" t="str">
        <f>$M$2&amp;"|"&amp;M108</f>
        <v>10005|</v>
      </c>
      <c r="U108" s="4" t="str">
        <f>$N$2&amp;"|"&amp;N108</f>
        <v>10006|</v>
      </c>
      <c r="W108" t="str">
        <f t="shared" si="3"/>
        <v>10001|100$10002|$10003|5$10004|12$10005|$10006|</v>
      </c>
      <c r="AB108" s="8">
        <v>106</v>
      </c>
      <c r="AC108" s="9">
        <f>$Y$3*POWER(AB108,$Z$3)</f>
        <v>561800</v>
      </c>
      <c r="AD108" s="10">
        <f t="shared" si="4"/>
        <v>20132050</v>
      </c>
      <c r="AE108" s="10">
        <f t="shared" si="5"/>
        <v>561800</v>
      </c>
    </row>
    <row r="109" ht="17.25" customHeight="1" spans="8:31">
      <c r="H109" s="1">
        <v>107</v>
      </c>
      <c r="I109">
        <v>100</v>
      </c>
      <c r="K109">
        <v>5</v>
      </c>
      <c r="L109">
        <v>12</v>
      </c>
      <c r="P109" s="4" t="str">
        <f>$I$2&amp;"|"&amp;I109</f>
        <v>10001|100</v>
      </c>
      <c r="Q109" s="4" t="str">
        <f>$J$2&amp;"|"&amp;J109</f>
        <v>10002|</v>
      </c>
      <c r="R109" s="4" t="str">
        <f>$K$2&amp;"|"&amp;K109</f>
        <v>10003|5</v>
      </c>
      <c r="S109" s="4" t="str">
        <f>$L$2&amp;"|"&amp;L109</f>
        <v>10004|12</v>
      </c>
      <c r="T109" s="4" t="str">
        <f>$M$2&amp;"|"&amp;M109</f>
        <v>10005|</v>
      </c>
      <c r="U109" s="4" t="str">
        <f>$N$2&amp;"|"&amp;N109</f>
        <v>10006|</v>
      </c>
      <c r="W109" t="str">
        <f t="shared" si="3"/>
        <v>10001|100$10002|$10003|5$10004|12$10005|$10006|</v>
      </c>
      <c r="AB109" s="8">
        <v>107</v>
      </c>
      <c r="AC109" s="9">
        <f>$Y$3*POWER(AB109,$Z$3)</f>
        <v>572450</v>
      </c>
      <c r="AD109" s="10">
        <f t="shared" si="4"/>
        <v>20704500</v>
      </c>
      <c r="AE109" s="10">
        <f t="shared" si="5"/>
        <v>572450</v>
      </c>
    </row>
    <row r="110" ht="17.25" customHeight="1" spans="8:31">
      <c r="H110" s="1">
        <v>108</v>
      </c>
      <c r="I110">
        <v>100</v>
      </c>
      <c r="K110">
        <v>5</v>
      </c>
      <c r="L110">
        <v>12</v>
      </c>
      <c r="P110" s="4" t="str">
        <f>$I$2&amp;"|"&amp;I110</f>
        <v>10001|100</v>
      </c>
      <c r="Q110" s="4" t="str">
        <f>$J$2&amp;"|"&amp;J110</f>
        <v>10002|</v>
      </c>
      <c r="R110" s="4" t="str">
        <f>$K$2&amp;"|"&amp;K110</f>
        <v>10003|5</v>
      </c>
      <c r="S110" s="4" t="str">
        <f>$L$2&amp;"|"&amp;L110</f>
        <v>10004|12</v>
      </c>
      <c r="T110" s="4" t="str">
        <f>$M$2&amp;"|"&amp;M110</f>
        <v>10005|</v>
      </c>
      <c r="U110" s="4" t="str">
        <f>$N$2&amp;"|"&amp;N110</f>
        <v>10006|</v>
      </c>
      <c r="W110" t="str">
        <f t="shared" si="3"/>
        <v>10001|100$10002|$10003|5$10004|12$10005|$10006|</v>
      </c>
      <c r="AB110" s="8">
        <v>108</v>
      </c>
      <c r="AC110" s="9">
        <f>$Y$3*POWER(AB110,$Z$3)</f>
        <v>583200</v>
      </c>
      <c r="AD110" s="10">
        <f t="shared" si="4"/>
        <v>21287700</v>
      </c>
      <c r="AE110" s="10">
        <f t="shared" si="5"/>
        <v>583200</v>
      </c>
    </row>
    <row r="111" ht="17.25" customHeight="1" spans="8:31">
      <c r="H111" s="1">
        <v>109</v>
      </c>
      <c r="I111">
        <v>100</v>
      </c>
      <c r="K111">
        <v>5</v>
      </c>
      <c r="L111">
        <v>12</v>
      </c>
      <c r="P111" s="4" t="str">
        <f>$I$2&amp;"|"&amp;I111</f>
        <v>10001|100</v>
      </c>
      <c r="Q111" s="4" t="str">
        <f>$J$2&amp;"|"&amp;J111</f>
        <v>10002|</v>
      </c>
      <c r="R111" s="4" t="str">
        <f>$K$2&amp;"|"&amp;K111</f>
        <v>10003|5</v>
      </c>
      <c r="S111" s="4" t="str">
        <f>$L$2&amp;"|"&amp;L111</f>
        <v>10004|12</v>
      </c>
      <c r="T111" s="4" t="str">
        <f>$M$2&amp;"|"&amp;M111</f>
        <v>10005|</v>
      </c>
      <c r="U111" s="4" t="str">
        <f>$N$2&amp;"|"&amp;N111</f>
        <v>10006|</v>
      </c>
      <c r="W111" t="str">
        <f t="shared" si="3"/>
        <v>10001|100$10002|$10003|5$10004|12$10005|$10006|</v>
      </c>
      <c r="AB111" s="8">
        <v>109</v>
      </c>
      <c r="AC111" s="9">
        <f>$Y$3*POWER(AB111,$Z$3)</f>
        <v>594050</v>
      </c>
      <c r="AD111" s="10">
        <f t="shared" si="4"/>
        <v>21881750</v>
      </c>
      <c r="AE111" s="10">
        <f t="shared" si="5"/>
        <v>594050</v>
      </c>
    </row>
    <row r="112" ht="17.25" customHeight="1" spans="8:31">
      <c r="H112" s="1">
        <v>110</v>
      </c>
      <c r="I112">
        <v>100</v>
      </c>
      <c r="K112">
        <v>5</v>
      </c>
      <c r="L112">
        <v>12</v>
      </c>
      <c r="P112" s="4" t="str">
        <f>$I$2&amp;"|"&amp;I112</f>
        <v>10001|100</v>
      </c>
      <c r="Q112" s="4" t="str">
        <f>$J$2&amp;"|"&amp;J112</f>
        <v>10002|</v>
      </c>
      <c r="R112" s="4" t="str">
        <f>$K$2&amp;"|"&amp;K112</f>
        <v>10003|5</v>
      </c>
      <c r="S112" s="4" t="str">
        <f>$L$2&amp;"|"&amp;L112</f>
        <v>10004|12</v>
      </c>
      <c r="T112" s="4" t="str">
        <f>$M$2&amp;"|"&amp;M112</f>
        <v>10005|</v>
      </c>
      <c r="U112" s="4" t="str">
        <f>$N$2&amp;"|"&amp;N112</f>
        <v>10006|</v>
      </c>
      <c r="W112" t="str">
        <f t="shared" si="3"/>
        <v>10001|100$10002|$10003|5$10004|12$10005|$10006|</v>
      </c>
      <c r="AB112" s="8">
        <v>110</v>
      </c>
      <c r="AC112" s="9">
        <f>$Y$3*POWER(AB112,$Z$3)</f>
        <v>605000</v>
      </c>
      <c r="AD112" s="10">
        <f t="shared" si="4"/>
        <v>22486750</v>
      </c>
      <c r="AE112" s="10">
        <f t="shared" si="5"/>
        <v>605000</v>
      </c>
    </row>
    <row r="113" ht="17.25" customHeight="1" spans="7:31">
      <c r="G113" s="2" t="s">
        <v>268</v>
      </c>
      <c r="H113" s="1">
        <v>111</v>
      </c>
      <c r="I113">
        <v>100</v>
      </c>
      <c r="J113">
        <v>2</v>
      </c>
      <c r="K113">
        <v>5</v>
      </c>
      <c r="L113">
        <v>12</v>
      </c>
      <c r="M113">
        <v>2</v>
      </c>
      <c r="N113">
        <v>3</v>
      </c>
      <c r="P113" s="4" t="str">
        <f>$I$2&amp;"|"&amp;I113</f>
        <v>10001|100</v>
      </c>
      <c r="Q113" s="4" t="str">
        <f>$J$2&amp;"|"&amp;J113</f>
        <v>10002|2</v>
      </c>
      <c r="R113" s="4" t="str">
        <f>$K$2&amp;"|"&amp;K113</f>
        <v>10003|5</v>
      </c>
      <c r="S113" s="4" t="str">
        <f>$L$2&amp;"|"&amp;L113</f>
        <v>10004|12</v>
      </c>
      <c r="T113" s="4" t="str">
        <f>$M$2&amp;"|"&amp;M113</f>
        <v>10005|2</v>
      </c>
      <c r="U113" s="4" t="str">
        <f>$N$2&amp;"|"&amp;N113</f>
        <v>10006|3</v>
      </c>
      <c r="W113" t="str">
        <f t="shared" si="3"/>
        <v>10001|100$10002|2$10003|5$10004|12$10005|2$10006|3</v>
      </c>
      <c r="AB113" s="8">
        <v>111</v>
      </c>
      <c r="AC113" s="9">
        <f>$Y$3*POWER(AB113,$Z$3)</f>
        <v>616050</v>
      </c>
      <c r="AD113" s="10">
        <f t="shared" si="4"/>
        <v>23102800</v>
      </c>
      <c r="AE113" s="10">
        <f t="shared" si="5"/>
        <v>616050</v>
      </c>
    </row>
    <row r="114" ht="17.25" customHeight="1" spans="8:31">
      <c r="H114" s="1">
        <v>112</v>
      </c>
      <c r="I114">
        <v>100</v>
      </c>
      <c r="K114">
        <v>5</v>
      </c>
      <c r="L114">
        <v>12</v>
      </c>
      <c r="P114" s="4" t="str">
        <f>$I$2&amp;"|"&amp;I114</f>
        <v>10001|100</v>
      </c>
      <c r="Q114" s="4" t="str">
        <f>$J$2&amp;"|"&amp;J114</f>
        <v>10002|</v>
      </c>
      <c r="R114" s="4" t="str">
        <f>$K$2&amp;"|"&amp;K114</f>
        <v>10003|5</v>
      </c>
      <c r="S114" s="4" t="str">
        <f>$L$2&amp;"|"&amp;L114</f>
        <v>10004|12</v>
      </c>
      <c r="T114" s="4" t="str">
        <f>$M$2&amp;"|"&amp;M114</f>
        <v>10005|</v>
      </c>
      <c r="U114" s="4" t="str">
        <f>$N$2&amp;"|"&amp;N114</f>
        <v>10006|</v>
      </c>
      <c r="W114" t="str">
        <f t="shared" si="3"/>
        <v>10001|100$10002|$10003|5$10004|12$10005|$10006|</v>
      </c>
      <c r="AB114" s="8">
        <v>112</v>
      </c>
      <c r="AC114" s="9">
        <f>$Y$3*POWER(AB114,$Z$3)</f>
        <v>627200</v>
      </c>
      <c r="AD114" s="10">
        <f t="shared" si="4"/>
        <v>23730000</v>
      </c>
      <c r="AE114" s="10">
        <f t="shared" si="5"/>
        <v>627200</v>
      </c>
    </row>
    <row r="115" ht="17.25" customHeight="1" spans="8:31">
      <c r="H115" s="1">
        <v>113</v>
      </c>
      <c r="I115">
        <v>100</v>
      </c>
      <c r="K115">
        <v>5</v>
      </c>
      <c r="L115">
        <v>12</v>
      </c>
      <c r="P115" s="4" t="str">
        <f>$I$2&amp;"|"&amp;I115</f>
        <v>10001|100</v>
      </c>
      <c r="Q115" s="4" t="str">
        <f>$J$2&amp;"|"&amp;J115</f>
        <v>10002|</v>
      </c>
      <c r="R115" s="4" t="str">
        <f>$K$2&amp;"|"&amp;K115</f>
        <v>10003|5</v>
      </c>
      <c r="S115" s="4" t="str">
        <f>$L$2&amp;"|"&amp;L115</f>
        <v>10004|12</v>
      </c>
      <c r="T115" s="4" t="str">
        <f>$M$2&amp;"|"&amp;M115</f>
        <v>10005|</v>
      </c>
      <c r="U115" s="4" t="str">
        <f>$N$2&amp;"|"&amp;N115</f>
        <v>10006|</v>
      </c>
      <c r="W115" t="str">
        <f t="shared" si="3"/>
        <v>10001|100$10002|$10003|5$10004|12$10005|$10006|</v>
      </c>
      <c r="AB115" s="8">
        <v>113</v>
      </c>
      <c r="AC115" s="9">
        <f>$Y$3*POWER(AB115,$Z$3)</f>
        <v>638450</v>
      </c>
      <c r="AD115" s="10">
        <f t="shared" si="4"/>
        <v>24368450</v>
      </c>
      <c r="AE115" s="10">
        <f t="shared" si="5"/>
        <v>638450</v>
      </c>
    </row>
    <row r="116" ht="17.25" customHeight="1" spans="8:31">
      <c r="H116" s="1">
        <v>114</v>
      </c>
      <c r="I116">
        <v>100</v>
      </c>
      <c r="K116">
        <v>5</v>
      </c>
      <c r="L116">
        <v>12</v>
      </c>
      <c r="P116" s="4" t="str">
        <f>$I$2&amp;"|"&amp;I116</f>
        <v>10001|100</v>
      </c>
      <c r="Q116" s="4" t="str">
        <f>$J$2&amp;"|"&amp;J116</f>
        <v>10002|</v>
      </c>
      <c r="R116" s="4" t="str">
        <f>$K$2&amp;"|"&amp;K116</f>
        <v>10003|5</v>
      </c>
      <c r="S116" s="4" t="str">
        <f>$L$2&amp;"|"&amp;L116</f>
        <v>10004|12</v>
      </c>
      <c r="T116" s="4" t="str">
        <f>$M$2&amp;"|"&amp;M116</f>
        <v>10005|</v>
      </c>
      <c r="U116" s="4" t="str">
        <f>$N$2&amp;"|"&amp;N116</f>
        <v>10006|</v>
      </c>
      <c r="W116" t="str">
        <f t="shared" si="3"/>
        <v>10001|100$10002|$10003|5$10004|12$10005|$10006|</v>
      </c>
      <c r="AB116" s="8">
        <v>114</v>
      </c>
      <c r="AC116" s="9">
        <f>$Y$3*POWER(AB116,$Z$3)</f>
        <v>649800</v>
      </c>
      <c r="AD116" s="10">
        <f t="shared" si="4"/>
        <v>25018250</v>
      </c>
      <c r="AE116" s="10">
        <f t="shared" si="5"/>
        <v>649800</v>
      </c>
    </row>
    <row r="117" ht="17.25" customHeight="1" spans="8:31">
      <c r="H117" s="1">
        <v>115</v>
      </c>
      <c r="I117">
        <v>100</v>
      </c>
      <c r="K117">
        <v>5</v>
      </c>
      <c r="L117">
        <v>12</v>
      </c>
      <c r="P117" s="4" t="str">
        <f>$I$2&amp;"|"&amp;I117</f>
        <v>10001|100</v>
      </c>
      <c r="Q117" s="4" t="str">
        <f>$J$2&amp;"|"&amp;J117</f>
        <v>10002|</v>
      </c>
      <c r="R117" s="4" t="str">
        <f>$K$2&amp;"|"&amp;K117</f>
        <v>10003|5</v>
      </c>
      <c r="S117" s="4" t="str">
        <f>$L$2&amp;"|"&amp;L117</f>
        <v>10004|12</v>
      </c>
      <c r="T117" s="4" t="str">
        <f>$M$2&amp;"|"&amp;M117</f>
        <v>10005|</v>
      </c>
      <c r="U117" s="4" t="str">
        <f>$N$2&amp;"|"&amp;N117</f>
        <v>10006|</v>
      </c>
      <c r="W117" t="str">
        <f t="shared" si="3"/>
        <v>10001|100$10002|$10003|5$10004|12$10005|$10006|</v>
      </c>
      <c r="AB117" s="8">
        <v>115</v>
      </c>
      <c r="AC117" s="9">
        <f>$Y$3*POWER(AB117,$Z$3)</f>
        <v>661250</v>
      </c>
      <c r="AD117" s="10">
        <f t="shared" si="4"/>
        <v>25679500</v>
      </c>
      <c r="AE117" s="10">
        <f t="shared" si="5"/>
        <v>661250</v>
      </c>
    </row>
    <row r="118" ht="17.25" customHeight="1" spans="8:31">
      <c r="H118" s="1">
        <v>116</v>
      </c>
      <c r="I118">
        <v>100</v>
      </c>
      <c r="K118">
        <v>5</v>
      </c>
      <c r="L118">
        <v>12</v>
      </c>
      <c r="P118" s="4" t="str">
        <f>$I$2&amp;"|"&amp;I118</f>
        <v>10001|100</v>
      </c>
      <c r="Q118" s="4" t="str">
        <f>$J$2&amp;"|"&amp;J118</f>
        <v>10002|</v>
      </c>
      <c r="R118" s="4" t="str">
        <f>$K$2&amp;"|"&amp;K118</f>
        <v>10003|5</v>
      </c>
      <c r="S118" s="4" t="str">
        <f>$L$2&amp;"|"&amp;L118</f>
        <v>10004|12</v>
      </c>
      <c r="T118" s="4" t="str">
        <f>$M$2&amp;"|"&amp;M118</f>
        <v>10005|</v>
      </c>
      <c r="U118" s="4" t="str">
        <f>$N$2&amp;"|"&amp;N118</f>
        <v>10006|</v>
      </c>
      <c r="W118" t="str">
        <f t="shared" si="3"/>
        <v>10001|100$10002|$10003|5$10004|12$10005|$10006|</v>
      </c>
      <c r="AB118" s="8">
        <v>116</v>
      </c>
      <c r="AC118" s="9">
        <f>$Y$3*POWER(AB118,$Z$3)</f>
        <v>672800</v>
      </c>
      <c r="AD118" s="10">
        <f t="shared" si="4"/>
        <v>26352300</v>
      </c>
      <c r="AE118" s="10">
        <f t="shared" si="5"/>
        <v>672800</v>
      </c>
    </row>
    <row r="119" ht="17.25" customHeight="1" spans="8:31">
      <c r="H119" s="1">
        <v>117</v>
      </c>
      <c r="I119">
        <v>100</v>
      </c>
      <c r="K119">
        <v>5</v>
      </c>
      <c r="L119">
        <v>12</v>
      </c>
      <c r="P119" s="4" t="str">
        <f>$I$2&amp;"|"&amp;I119</f>
        <v>10001|100</v>
      </c>
      <c r="Q119" s="4" t="str">
        <f>$J$2&amp;"|"&amp;J119</f>
        <v>10002|</v>
      </c>
      <c r="R119" s="4" t="str">
        <f>$K$2&amp;"|"&amp;K119</f>
        <v>10003|5</v>
      </c>
      <c r="S119" s="4" t="str">
        <f>$L$2&amp;"|"&amp;L119</f>
        <v>10004|12</v>
      </c>
      <c r="T119" s="4" t="str">
        <f>$M$2&amp;"|"&amp;M119</f>
        <v>10005|</v>
      </c>
      <c r="U119" s="4" t="str">
        <f>$N$2&amp;"|"&amp;N119</f>
        <v>10006|</v>
      </c>
      <c r="W119" t="str">
        <f t="shared" si="3"/>
        <v>10001|100$10002|$10003|5$10004|12$10005|$10006|</v>
      </c>
      <c r="AB119" s="8">
        <v>117</v>
      </c>
      <c r="AC119" s="9">
        <f>$Y$3*POWER(AB119,$Z$3)</f>
        <v>684450</v>
      </c>
      <c r="AD119" s="10">
        <f t="shared" si="4"/>
        <v>27036750</v>
      </c>
      <c r="AE119" s="10">
        <f t="shared" si="5"/>
        <v>684450</v>
      </c>
    </row>
    <row r="120" ht="17.25" customHeight="1" spans="8:31">
      <c r="H120" s="1">
        <v>118</v>
      </c>
      <c r="I120">
        <v>100</v>
      </c>
      <c r="K120">
        <v>5</v>
      </c>
      <c r="L120">
        <v>12</v>
      </c>
      <c r="P120" s="4" t="str">
        <f>$I$2&amp;"|"&amp;I120</f>
        <v>10001|100</v>
      </c>
      <c r="Q120" s="4" t="str">
        <f>$J$2&amp;"|"&amp;J120</f>
        <v>10002|</v>
      </c>
      <c r="R120" s="4" t="str">
        <f>$K$2&amp;"|"&amp;K120</f>
        <v>10003|5</v>
      </c>
      <c r="S120" s="4" t="str">
        <f>$L$2&amp;"|"&amp;L120</f>
        <v>10004|12</v>
      </c>
      <c r="T120" s="4" t="str">
        <f>$M$2&amp;"|"&amp;M120</f>
        <v>10005|</v>
      </c>
      <c r="U120" s="4" t="str">
        <f>$N$2&amp;"|"&amp;N120</f>
        <v>10006|</v>
      </c>
      <c r="W120" t="str">
        <f t="shared" si="3"/>
        <v>10001|100$10002|$10003|5$10004|12$10005|$10006|</v>
      </c>
      <c r="AB120" s="8">
        <v>118</v>
      </c>
      <c r="AC120" s="9">
        <f>$Y$3*POWER(AB120,$Z$3)</f>
        <v>696200</v>
      </c>
      <c r="AD120" s="10">
        <f t="shared" si="4"/>
        <v>27732950</v>
      </c>
      <c r="AE120" s="10">
        <f t="shared" si="5"/>
        <v>696200</v>
      </c>
    </row>
    <row r="121" ht="17.25" customHeight="1" spans="8:31">
      <c r="H121" s="1">
        <v>119</v>
      </c>
      <c r="I121">
        <v>100</v>
      </c>
      <c r="K121">
        <v>5</v>
      </c>
      <c r="L121">
        <v>12</v>
      </c>
      <c r="P121" s="4" t="str">
        <f>$I$2&amp;"|"&amp;I121</f>
        <v>10001|100</v>
      </c>
      <c r="Q121" s="4" t="str">
        <f>$J$2&amp;"|"&amp;J121</f>
        <v>10002|</v>
      </c>
      <c r="R121" s="4" t="str">
        <f>$K$2&amp;"|"&amp;K121</f>
        <v>10003|5</v>
      </c>
      <c r="S121" s="4" t="str">
        <f>$L$2&amp;"|"&amp;L121</f>
        <v>10004|12</v>
      </c>
      <c r="T121" s="4" t="str">
        <f>$M$2&amp;"|"&amp;M121</f>
        <v>10005|</v>
      </c>
      <c r="U121" s="4" t="str">
        <f>$N$2&amp;"|"&amp;N121</f>
        <v>10006|</v>
      </c>
      <c r="W121" t="str">
        <f t="shared" si="3"/>
        <v>10001|100$10002|$10003|5$10004|12$10005|$10006|</v>
      </c>
      <c r="AB121" s="8">
        <v>119</v>
      </c>
      <c r="AC121" s="9">
        <f>$Y$3*POWER(AB121,$Z$3)</f>
        <v>708050</v>
      </c>
      <c r="AD121" s="10">
        <f t="shared" si="4"/>
        <v>28441000</v>
      </c>
      <c r="AE121" s="10">
        <f t="shared" si="5"/>
        <v>708050</v>
      </c>
    </row>
    <row r="122" ht="17.25" customHeight="1" spans="8:31">
      <c r="H122" s="1">
        <v>120</v>
      </c>
      <c r="I122">
        <v>100</v>
      </c>
      <c r="K122">
        <v>5</v>
      </c>
      <c r="L122">
        <v>12</v>
      </c>
      <c r="P122" s="4" t="str">
        <f>$I$2&amp;"|"&amp;I122</f>
        <v>10001|100</v>
      </c>
      <c r="Q122" s="4" t="str">
        <f>$J$2&amp;"|"&amp;J122</f>
        <v>10002|</v>
      </c>
      <c r="R122" s="4" t="str">
        <f>$K$2&amp;"|"&amp;K122</f>
        <v>10003|5</v>
      </c>
      <c r="S122" s="4" t="str">
        <f>$L$2&amp;"|"&amp;L122</f>
        <v>10004|12</v>
      </c>
      <c r="T122" s="4" t="str">
        <f>$M$2&amp;"|"&amp;M122</f>
        <v>10005|</v>
      </c>
      <c r="U122" s="4" t="str">
        <f>$N$2&amp;"|"&amp;N122</f>
        <v>10006|</v>
      </c>
      <c r="W122" t="str">
        <f t="shared" si="3"/>
        <v>10001|100$10002|$10003|5$10004|12$10005|$10006|</v>
      </c>
      <c r="AB122" s="8">
        <v>120</v>
      </c>
      <c r="AC122" s="9">
        <f>$Y$3*POWER(AB122,$Z$3)</f>
        <v>720000</v>
      </c>
      <c r="AD122" s="10">
        <f t="shared" si="4"/>
        <v>29161000</v>
      </c>
      <c r="AE122" s="10">
        <f t="shared" si="5"/>
        <v>720000</v>
      </c>
    </row>
    <row r="123" ht="17.25" customHeight="1" spans="6:31">
      <c r="F123" s="2" t="s">
        <v>290</v>
      </c>
      <c r="G123" s="2" t="s">
        <v>291</v>
      </c>
      <c r="H123" s="1">
        <v>121</v>
      </c>
      <c r="I123">
        <v>100</v>
      </c>
      <c r="J123">
        <v>1</v>
      </c>
      <c r="K123">
        <v>5</v>
      </c>
      <c r="L123">
        <v>12</v>
      </c>
      <c r="M123">
        <v>1</v>
      </c>
      <c r="N123">
        <v>2</v>
      </c>
      <c r="P123" s="4" t="str">
        <f>$I$2&amp;"|"&amp;I123</f>
        <v>10001|100</v>
      </c>
      <c r="Q123" s="4" t="str">
        <f>$J$2&amp;"|"&amp;J123</f>
        <v>10002|1</v>
      </c>
      <c r="R123" s="4" t="str">
        <f>$K$2&amp;"|"&amp;K123</f>
        <v>10003|5</v>
      </c>
      <c r="S123" s="4" t="str">
        <f>$L$2&amp;"|"&amp;L123</f>
        <v>10004|12</v>
      </c>
      <c r="T123" s="4" t="str">
        <f>$M$2&amp;"|"&amp;M123</f>
        <v>10005|1</v>
      </c>
      <c r="U123" s="4" t="str">
        <f>$N$2&amp;"|"&amp;N123</f>
        <v>10006|2</v>
      </c>
      <c r="W123" t="str">
        <f t="shared" si="3"/>
        <v>10001|100$10002|1$10003|5$10004|12$10005|1$10006|2</v>
      </c>
      <c r="AB123" s="8">
        <v>121</v>
      </c>
      <c r="AC123" s="9">
        <f>$Y$3*POWER(AB123,$Z$3)</f>
        <v>732050</v>
      </c>
      <c r="AD123" s="10">
        <f t="shared" si="4"/>
        <v>29893050</v>
      </c>
      <c r="AE123" s="10">
        <f t="shared" si="5"/>
        <v>732050</v>
      </c>
    </row>
    <row r="124" ht="17.25" customHeight="1" spans="8:31">
      <c r="H124" s="1">
        <v>122</v>
      </c>
      <c r="I124">
        <v>100</v>
      </c>
      <c r="K124">
        <v>5</v>
      </c>
      <c r="L124">
        <v>12</v>
      </c>
      <c r="P124" s="4" t="str">
        <f>$I$2&amp;"|"&amp;I124</f>
        <v>10001|100</v>
      </c>
      <c r="Q124" s="4" t="str">
        <f>$J$2&amp;"|"&amp;J124</f>
        <v>10002|</v>
      </c>
      <c r="R124" s="4" t="str">
        <f>$K$2&amp;"|"&amp;K124</f>
        <v>10003|5</v>
      </c>
      <c r="S124" s="4" t="str">
        <f>$L$2&amp;"|"&amp;L124</f>
        <v>10004|12</v>
      </c>
      <c r="T124" s="4" t="str">
        <f>$M$2&amp;"|"&amp;M124</f>
        <v>10005|</v>
      </c>
      <c r="U124" s="4" t="str">
        <f>$N$2&amp;"|"&amp;N124</f>
        <v>10006|</v>
      </c>
      <c r="W124" t="str">
        <f t="shared" si="3"/>
        <v>10001|100$10002|$10003|5$10004|12$10005|$10006|</v>
      </c>
      <c r="AB124" s="8">
        <v>122</v>
      </c>
      <c r="AC124" s="9">
        <f>$Y$3*POWER(AB124,$Z$3)</f>
        <v>744200</v>
      </c>
      <c r="AD124" s="10">
        <f t="shared" si="4"/>
        <v>30637250</v>
      </c>
      <c r="AE124" s="10">
        <f t="shared" si="5"/>
        <v>744200</v>
      </c>
    </row>
    <row r="125" ht="17.25" customHeight="1" spans="8:31">
      <c r="H125" s="1">
        <v>123</v>
      </c>
      <c r="I125">
        <v>100</v>
      </c>
      <c r="K125">
        <v>5</v>
      </c>
      <c r="L125">
        <v>12</v>
      </c>
      <c r="P125" s="4" t="str">
        <f>$I$2&amp;"|"&amp;I125</f>
        <v>10001|100</v>
      </c>
      <c r="Q125" s="4" t="str">
        <f>$J$2&amp;"|"&amp;J125</f>
        <v>10002|</v>
      </c>
      <c r="R125" s="4" t="str">
        <f>$K$2&amp;"|"&amp;K125</f>
        <v>10003|5</v>
      </c>
      <c r="S125" s="4" t="str">
        <f>$L$2&amp;"|"&amp;L125</f>
        <v>10004|12</v>
      </c>
      <c r="T125" s="4" t="str">
        <f>$M$2&amp;"|"&amp;M125</f>
        <v>10005|</v>
      </c>
      <c r="U125" s="4" t="str">
        <f>$N$2&amp;"|"&amp;N125</f>
        <v>10006|</v>
      </c>
      <c r="W125" t="str">
        <f t="shared" si="3"/>
        <v>10001|100$10002|$10003|5$10004|12$10005|$10006|</v>
      </c>
      <c r="AB125" s="8">
        <v>123</v>
      </c>
      <c r="AC125" s="9">
        <f>$Y$3*POWER(AB125,$Z$3)</f>
        <v>756450</v>
      </c>
      <c r="AD125" s="10">
        <f t="shared" si="4"/>
        <v>31393700</v>
      </c>
      <c r="AE125" s="10">
        <f t="shared" si="5"/>
        <v>756450</v>
      </c>
    </row>
    <row r="126" ht="17.25" customHeight="1" spans="8:31">
      <c r="H126" s="1">
        <v>124</v>
      </c>
      <c r="I126">
        <v>100</v>
      </c>
      <c r="K126">
        <v>5</v>
      </c>
      <c r="L126">
        <v>12</v>
      </c>
      <c r="P126" s="4" t="str">
        <f>$I$2&amp;"|"&amp;I126</f>
        <v>10001|100</v>
      </c>
      <c r="Q126" s="4" t="str">
        <f>$J$2&amp;"|"&amp;J126</f>
        <v>10002|</v>
      </c>
      <c r="R126" s="4" t="str">
        <f>$K$2&amp;"|"&amp;K126</f>
        <v>10003|5</v>
      </c>
      <c r="S126" s="4" t="str">
        <f>$L$2&amp;"|"&amp;L126</f>
        <v>10004|12</v>
      </c>
      <c r="T126" s="4" t="str">
        <f>$M$2&amp;"|"&amp;M126</f>
        <v>10005|</v>
      </c>
      <c r="U126" s="4" t="str">
        <f>$N$2&amp;"|"&amp;N126</f>
        <v>10006|</v>
      </c>
      <c r="W126" t="str">
        <f t="shared" si="3"/>
        <v>10001|100$10002|$10003|5$10004|12$10005|$10006|</v>
      </c>
      <c r="AB126" s="8">
        <v>124</v>
      </c>
      <c r="AC126" s="9">
        <f>$Y$3*POWER(AB126,$Z$3)</f>
        <v>768800</v>
      </c>
      <c r="AD126" s="10">
        <f t="shared" si="4"/>
        <v>32162500</v>
      </c>
      <c r="AE126" s="10">
        <f t="shared" si="5"/>
        <v>768800</v>
      </c>
    </row>
    <row r="127" ht="17.25" customHeight="1" spans="4:31">
      <c r="D127" s="4" t="e">
        <f>TEXTJOIN</f>
        <v>#NAME?</v>
      </c>
      <c r="H127" s="1">
        <v>125</v>
      </c>
      <c r="I127">
        <v>100</v>
      </c>
      <c r="K127">
        <v>5</v>
      </c>
      <c r="L127">
        <v>12</v>
      </c>
      <c r="P127" s="4" t="str">
        <f>$I$2&amp;"|"&amp;I127</f>
        <v>10001|100</v>
      </c>
      <c r="Q127" s="4" t="str">
        <f>$J$2&amp;"|"&amp;J127</f>
        <v>10002|</v>
      </c>
      <c r="R127" s="4" t="str">
        <f>$K$2&amp;"|"&amp;K127</f>
        <v>10003|5</v>
      </c>
      <c r="S127" s="4" t="str">
        <f>$L$2&amp;"|"&amp;L127</f>
        <v>10004|12</v>
      </c>
      <c r="T127" s="4" t="str">
        <f>$M$2&amp;"|"&amp;M127</f>
        <v>10005|</v>
      </c>
      <c r="U127" s="4" t="str">
        <f>$N$2&amp;"|"&amp;N127</f>
        <v>10006|</v>
      </c>
      <c r="W127" t="str">
        <f t="shared" si="3"/>
        <v>10001|100$10002|$10003|5$10004|12$10005|$10006|</v>
      </c>
      <c r="AB127" s="8">
        <v>125</v>
      </c>
      <c r="AC127" s="9">
        <f>$Y$3*POWER(AB127,$Z$3)</f>
        <v>781250</v>
      </c>
      <c r="AD127" s="10">
        <f t="shared" si="4"/>
        <v>32943750</v>
      </c>
      <c r="AE127" s="10">
        <f t="shared" si="5"/>
        <v>781250</v>
      </c>
    </row>
    <row r="128" ht="17.25" customHeight="1" spans="8:31">
      <c r="H128" s="1">
        <v>126</v>
      </c>
      <c r="I128">
        <v>100</v>
      </c>
      <c r="K128">
        <v>5</v>
      </c>
      <c r="L128">
        <v>12</v>
      </c>
      <c r="P128" s="4" t="str">
        <f>$I$2&amp;"|"&amp;I128</f>
        <v>10001|100</v>
      </c>
      <c r="Q128" s="4" t="str">
        <f>$J$2&amp;"|"&amp;J128</f>
        <v>10002|</v>
      </c>
      <c r="R128" s="4" t="str">
        <f>$K$2&amp;"|"&amp;K128</f>
        <v>10003|5</v>
      </c>
      <c r="S128" s="4" t="str">
        <f>$L$2&amp;"|"&amp;L128</f>
        <v>10004|12</v>
      </c>
      <c r="T128" s="4" t="str">
        <f>$M$2&amp;"|"&amp;M128</f>
        <v>10005|</v>
      </c>
      <c r="U128" s="4" t="str">
        <f>$N$2&amp;"|"&amp;N128</f>
        <v>10006|</v>
      </c>
      <c r="W128" t="str">
        <f t="shared" si="3"/>
        <v>10001|100$10002|$10003|5$10004|12$10005|$10006|</v>
      </c>
      <c r="AB128" s="8">
        <v>126</v>
      </c>
      <c r="AC128" s="9">
        <f>$Y$3*POWER(AB128,$Z$3)</f>
        <v>793800</v>
      </c>
      <c r="AD128" s="10">
        <f t="shared" si="4"/>
        <v>33737550</v>
      </c>
      <c r="AE128" s="10">
        <f t="shared" si="5"/>
        <v>793800</v>
      </c>
    </row>
    <row r="129" ht="17.25" customHeight="1" spans="8:31">
      <c r="H129" s="1">
        <v>127</v>
      </c>
      <c r="I129">
        <v>100</v>
      </c>
      <c r="K129">
        <v>5</v>
      </c>
      <c r="L129">
        <v>12</v>
      </c>
      <c r="P129" s="4" t="str">
        <f>$I$2&amp;"|"&amp;I129</f>
        <v>10001|100</v>
      </c>
      <c r="Q129" s="4" t="str">
        <f>$J$2&amp;"|"&amp;J129</f>
        <v>10002|</v>
      </c>
      <c r="R129" s="4" t="str">
        <f>$K$2&amp;"|"&amp;K129</f>
        <v>10003|5</v>
      </c>
      <c r="S129" s="4" t="str">
        <f>$L$2&amp;"|"&amp;L129</f>
        <v>10004|12</v>
      </c>
      <c r="T129" s="4" t="str">
        <f>$M$2&amp;"|"&amp;M129</f>
        <v>10005|</v>
      </c>
      <c r="U129" s="4" t="str">
        <f>$N$2&amp;"|"&amp;N129</f>
        <v>10006|</v>
      </c>
      <c r="W129" t="str">
        <f t="shared" si="3"/>
        <v>10001|100$10002|$10003|5$10004|12$10005|$10006|</v>
      </c>
      <c r="AB129" s="8">
        <v>127</v>
      </c>
      <c r="AC129" s="9">
        <f>$Y$3*POWER(AB129,$Z$3)</f>
        <v>806450</v>
      </c>
      <c r="AD129" s="10">
        <f t="shared" si="4"/>
        <v>34544000</v>
      </c>
      <c r="AE129" s="10">
        <f t="shared" si="5"/>
        <v>806450</v>
      </c>
    </row>
    <row r="130" ht="17.25" customHeight="1" spans="8:31">
      <c r="H130" s="1">
        <v>128</v>
      </c>
      <c r="I130">
        <v>100</v>
      </c>
      <c r="K130">
        <v>5</v>
      </c>
      <c r="L130">
        <v>12</v>
      </c>
      <c r="P130" s="4" t="str">
        <f>$I$2&amp;"|"&amp;I130</f>
        <v>10001|100</v>
      </c>
      <c r="Q130" s="4" t="str">
        <f>$J$2&amp;"|"&amp;J130</f>
        <v>10002|</v>
      </c>
      <c r="R130" s="4" t="str">
        <f>$K$2&amp;"|"&amp;K130</f>
        <v>10003|5</v>
      </c>
      <c r="S130" s="4" t="str">
        <f>$L$2&amp;"|"&amp;L130</f>
        <v>10004|12</v>
      </c>
      <c r="T130" s="4" t="str">
        <f>$M$2&amp;"|"&amp;M130</f>
        <v>10005|</v>
      </c>
      <c r="U130" s="4" t="str">
        <f>$N$2&amp;"|"&amp;N130</f>
        <v>10006|</v>
      </c>
      <c r="W130" t="str">
        <f t="shared" si="3"/>
        <v>10001|100$10002|$10003|5$10004|12$10005|$10006|</v>
      </c>
      <c r="AB130" s="8">
        <v>128</v>
      </c>
      <c r="AC130" s="9">
        <f>$Y$3*POWER(AB130,$Z$3)</f>
        <v>819200</v>
      </c>
      <c r="AD130" s="10">
        <f t="shared" si="4"/>
        <v>35363200</v>
      </c>
      <c r="AE130" s="10">
        <f t="shared" si="5"/>
        <v>819200</v>
      </c>
    </row>
    <row r="131" ht="17.25" customHeight="1" spans="8:31">
      <c r="H131" s="1">
        <v>129</v>
      </c>
      <c r="I131">
        <v>100</v>
      </c>
      <c r="K131">
        <v>5</v>
      </c>
      <c r="L131">
        <v>12</v>
      </c>
      <c r="P131" s="4" t="str">
        <f>$I$2&amp;"|"&amp;I131</f>
        <v>10001|100</v>
      </c>
      <c r="Q131" s="4" t="str">
        <f>$J$2&amp;"|"&amp;J131</f>
        <v>10002|</v>
      </c>
      <c r="R131" s="4" t="str">
        <f>$K$2&amp;"|"&amp;K131</f>
        <v>10003|5</v>
      </c>
      <c r="S131" s="4" t="str">
        <f>$L$2&amp;"|"&amp;L131</f>
        <v>10004|12</v>
      </c>
      <c r="T131" s="4" t="str">
        <f>$M$2&amp;"|"&amp;M131</f>
        <v>10005|</v>
      </c>
      <c r="U131" s="4" t="str">
        <f>$N$2&amp;"|"&amp;N131</f>
        <v>10006|</v>
      </c>
      <c r="W131" t="str">
        <f t="shared" ref="W131:W152" si="6">P131&amp;"$"&amp;Q131&amp;"$"&amp;R131&amp;"$"&amp;S131&amp;"$"&amp;T131&amp;"$"&amp;U131</f>
        <v>10001|100$10002|$10003|5$10004|12$10005|$10006|</v>
      </c>
      <c r="AB131" s="8">
        <v>129</v>
      </c>
      <c r="AC131" s="9">
        <f>$Y$3*POWER(AB131,$Z$3)</f>
        <v>832050</v>
      </c>
      <c r="AD131" s="10">
        <f t="shared" si="4"/>
        <v>36195250</v>
      </c>
      <c r="AE131" s="10">
        <f t="shared" si="5"/>
        <v>832050</v>
      </c>
    </row>
    <row r="132" ht="17.25" customHeight="1" spans="8:31">
      <c r="H132" s="1">
        <v>130</v>
      </c>
      <c r="I132">
        <v>100</v>
      </c>
      <c r="K132">
        <v>5</v>
      </c>
      <c r="L132">
        <v>12</v>
      </c>
      <c r="P132" s="4" t="str">
        <f>$I$2&amp;"|"&amp;I132</f>
        <v>10001|100</v>
      </c>
      <c r="Q132" s="4" t="str">
        <f>$J$2&amp;"|"&amp;J132</f>
        <v>10002|</v>
      </c>
      <c r="R132" s="4" t="str">
        <f>$K$2&amp;"|"&amp;K132</f>
        <v>10003|5</v>
      </c>
      <c r="S132" s="4" t="str">
        <f>$L$2&amp;"|"&amp;L132</f>
        <v>10004|12</v>
      </c>
      <c r="T132" s="4" t="str">
        <f>$M$2&amp;"|"&amp;M132</f>
        <v>10005|</v>
      </c>
      <c r="U132" s="4" t="str">
        <f>$N$2&amp;"|"&amp;N132</f>
        <v>10006|</v>
      </c>
      <c r="W132" t="str">
        <f t="shared" si="6"/>
        <v>10001|100$10002|$10003|5$10004|12$10005|$10006|</v>
      </c>
      <c r="AB132" s="8">
        <v>130</v>
      </c>
      <c r="AC132" s="9">
        <f>$Y$3*POWER(AB132,$Z$3)</f>
        <v>845000</v>
      </c>
      <c r="AD132" s="10">
        <f t="shared" ref="AD132:AD152" si="7">AD131+AC132</f>
        <v>37040250</v>
      </c>
      <c r="AE132" s="10">
        <f t="shared" ref="AE132:AE152" si="8">AD132-AD131</f>
        <v>845000</v>
      </c>
    </row>
    <row r="133" ht="17.25" customHeight="1" spans="7:31">
      <c r="G133" s="2" t="s">
        <v>313</v>
      </c>
      <c r="H133" s="1">
        <v>131</v>
      </c>
      <c r="I133">
        <v>100</v>
      </c>
      <c r="J133">
        <v>2</v>
      </c>
      <c r="K133">
        <v>5</v>
      </c>
      <c r="L133">
        <v>12</v>
      </c>
      <c r="M133">
        <v>1</v>
      </c>
      <c r="N133">
        <v>3</v>
      </c>
      <c r="P133" s="4" t="str">
        <f>$I$2&amp;"|"&amp;I133</f>
        <v>10001|100</v>
      </c>
      <c r="Q133" s="4" t="str">
        <f>$J$2&amp;"|"&amp;J133</f>
        <v>10002|2</v>
      </c>
      <c r="R133" s="4" t="str">
        <f>$K$2&amp;"|"&amp;K133</f>
        <v>10003|5</v>
      </c>
      <c r="S133" s="4" t="str">
        <f>$L$2&amp;"|"&amp;L133</f>
        <v>10004|12</v>
      </c>
      <c r="T133" s="4" t="str">
        <f>$M$2&amp;"|"&amp;M133</f>
        <v>10005|1</v>
      </c>
      <c r="U133" s="4" t="str">
        <f>$N$2&amp;"|"&amp;N133</f>
        <v>10006|3</v>
      </c>
      <c r="W133" t="str">
        <f t="shared" si="6"/>
        <v>10001|100$10002|2$10003|5$10004|12$10005|1$10006|3</v>
      </c>
      <c r="AB133" s="8">
        <v>131</v>
      </c>
      <c r="AC133" s="9">
        <f>$Y$3*POWER(AB133,$Z$3)</f>
        <v>858050</v>
      </c>
      <c r="AD133" s="10">
        <f t="shared" si="7"/>
        <v>37898300</v>
      </c>
      <c r="AE133" s="10">
        <f t="shared" si="8"/>
        <v>858050</v>
      </c>
    </row>
    <row r="134" ht="17.25" customHeight="1" spans="8:31">
      <c r="H134" s="1">
        <v>132</v>
      </c>
      <c r="I134">
        <v>100</v>
      </c>
      <c r="K134">
        <v>5</v>
      </c>
      <c r="L134">
        <v>12</v>
      </c>
      <c r="P134" s="4" t="str">
        <f>$I$2&amp;"|"&amp;I134</f>
        <v>10001|100</v>
      </c>
      <c r="Q134" s="4" t="str">
        <f>$J$2&amp;"|"&amp;J134</f>
        <v>10002|</v>
      </c>
      <c r="R134" s="4" t="str">
        <f>$K$2&amp;"|"&amp;K134</f>
        <v>10003|5</v>
      </c>
      <c r="S134" s="4" t="str">
        <f>$L$2&amp;"|"&amp;L134</f>
        <v>10004|12</v>
      </c>
      <c r="T134" s="4" t="str">
        <f>$M$2&amp;"|"&amp;M134</f>
        <v>10005|</v>
      </c>
      <c r="U134" s="4" t="str">
        <f>$N$2&amp;"|"&amp;N134</f>
        <v>10006|</v>
      </c>
      <c r="W134" t="str">
        <f t="shared" si="6"/>
        <v>10001|100$10002|$10003|5$10004|12$10005|$10006|</v>
      </c>
      <c r="AB134" s="8">
        <v>132</v>
      </c>
      <c r="AC134" s="9">
        <f>$Y$3*POWER(AB134,$Z$3)</f>
        <v>871200</v>
      </c>
      <c r="AD134" s="10">
        <f t="shared" si="7"/>
        <v>38769500</v>
      </c>
      <c r="AE134" s="10">
        <f t="shared" si="8"/>
        <v>871200</v>
      </c>
    </row>
    <row r="135" ht="17.25" customHeight="1" spans="8:31">
      <c r="H135" s="1">
        <v>133</v>
      </c>
      <c r="I135">
        <v>100</v>
      </c>
      <c r="K135">
        <v>5</v>
      </c>
      <c r="L135">
        <v>12</v>
      </c>
      <c r="P135" s="4" t="str">
        <f>$I$2&amp;"|"&amp;I135</f>
        <v>10001|100</v>
      </c>
      <c r="Q135" s="4" t="str">
        <f>$J$2&amp;"|"&amp;J135</f>
        <v>10002|</v>
      </c>
      <c r="R135" s="4" t="str">
        <f>$K$2&amp;"|"&amp;K135</f>
        <v>10003|5</v>
      </c>
      <c r="S135" s="4" t="str">
        <f>$L$2&amp;"|"&amp;L135</f>
        <v>10004|12</v>
      </c>
      <c r="T135" s="4" t="str">
        <f>$M$2&amp;"|"&amp;M135</f>
        <v>10005|</v>
      </c>
      <c r="U135" s="4" t="str">
        <f>$N$2&amp;"|"&amp;N135</f>
        <v>10006|</v>
      </c>
      <c r="W135" t="str">
        <f t="shared" si="6"/>
        <v>10001|100$10002|$10003|5$10004|12$10005|$10006|</v>
      </c>
      <c r="AB135" s="8">
        <v>133</v>
      </c>
      <c r="AC135" s="9">
        <f>$Y$3*POWER(AB135,$Z$3)</f>
        <v>884450</v>
      </c>
      <c r="AD135" s="10">
        <f t="shared" si="7"/>
        <v>39653950</v>
      </c>
      <c r="AE135" s="10">
        <f t="shared" si="8"/>
        <v>884450</v>
      </c>
    </row>
    <row r="136" ht="17.25" customHeight="1" spans="8:31">
      <c r="H136" s="1">
        <v>134</v>
      </c>
      <c r="I136">
        <v>100</v>
      </c>
      <c r="K136">
        <v>5</v>
      </c>
      <c r="L136">
        <v>12</v>
      </c>
      <c r="P136" s="4" t="str">
        <f>$I$2&amp;"|"&amp;I136</f>
        <v>10001|100</v>
      </c>
      <c r="Q136" s="4" t="str">
        <f>$J$2&amp;"|"&amp;J136</f>
        <v>10002|</v>
      </c>
      <c r="R136" s="4" t="str">
        <f>$K$2&amp;"|"&amp;K136</f>
        <v>10003|5</v>
      </c>
      <c r="S136" s="4" t="str">
        <f>$L$2&amp;"|"&amp;L136</f>
        <v>10004|12</v>
      </c>
      <c r="T136" s="4" t="str">
        <f>$M$2&amp;"|"&amp;M136</f>
        <v>10005|</v>
      </c>
      <c r="U136" s="4" t="str">
        <f>$N$2&amp;"|"&amp;N136</f>
        <v>10006|</v>
      </c>
      <c r="W136" t="str">
        <f t="shared" si="6"/>
        <v>10001|100$10002|$10003|5$10004|12$10005|$10006|</v>
      </c>
      <c r="AB136" s="8">
        <v>134</v>
      </c>
      <c r="AC136" s="9">
        <f>$Y$3*POWER(AB136,$Z$3)</f>
        <v>897800</v>
      </c>
      <c r="AD136" s="10">
        <f t="shared" si="7"/>
        <v>40551750</v>
      </c>
      <c r="AE136" s="10">
        <f t="shared" si="8"/>
        <v>897800</v>
      </c>
    </row>
    <row r="137" ht="17.25" customHeight="1" spans="8:31">
      <c r="H137" s="1">
        <v>135</v>
      </c>
      <c r="I137">
        <v>100</v>
      </c>
      <c r="K137">
        <v>5</v>
      </c>
      <c r="L137">
        <v>12</v>
      </c>
      <c r="P137" s="4" t="str">
        <f>$I$2&amp;"|"&amp;I137</f>
        <v>10001|100</v>
      </c>
      <c r="Q137" s="4" t="str">
        <f>$J$2&amp;"|"&amp;J137</f>
        <v>10002|</v>
      </c>
      <c r="R137" s="4" t="str">
        <f>$K$2&amp;"|"&amp;K137</f>
        <v>10003|5</v>
      </c>
      <c r="S137" s="4" t="str">
        <f>$L$2&amp;"|"&amp;L137</f>
        <v>10004|12</v>
      </c>
      <c r="T137" s="4" t="str">
        <f>$M$2&amp;"|"&amp;M137</f>
        <v>10005|</v>
      </c>
      <c r="U137" s="4" t="str">
        <f>$N$2&amp;"|"&amp;N137</f>
        <v>10006|</v>
      </c>
      <c r="W137" t="str">
        <f t="shared" si="6"/>
        <v>10001|100$10002|$10003|5$10004|12$10005|$10006|</v>
      </c>
      <c r="AB137" s="8">
        <v>135</v>
      </c>
      <c r="AC137" s="9">
        <f>$Y$3*POWER(AB137,$Z$3)</f>
        <v>911250</v>
      </c>
      <c r="AD137" s="10">
        <f t="shared" si="7"/>
        <v>41463000</v>
      </c>
      <c r="AE137" s="10">
        <f t="shared" si="8"/>
        <v>911250</v>
      </c>
    </row>
    <row r="138" ht="17.25" customHeight="1" spans="8:31">
      <c r="H138" s="1">
        <v>136</v>
      </c>
      <c r="I138">
        <v>100</v>
      </c>
      <c r="K138">
        <v>5</v>
      </c>
      <c r="L138">
        <v>12</v>
      </c>
      <c r="P138" s="4" t="str">
        <f>$I$2&amp;"|"&amp;I138</f>
        <v>10001|100</v>
      </c>
      <c r="Q138" s="4" t="str">
        <f>$J$2&amp;"|"&amp;J138</f>
        <v>10002|</v>
      </c>
      <c r="R138" s="4" t="str">
        <f>$K$2&amp;"|"&amp;K138</f>
        <v>10003|5</v>
      </c>
      <c r="S138" s="4" t="str">
        <f>$L$2&amp;"|"&amp;L138</f>
        <v>10004|12</v>
      </c>
      <c r="T138" s="4" t="str">
        <f>$M$2&amp;"|"&amp;M138</f>
        <v>10005|</v>
      </c>
      <c r="U138" s="4" t="str">
        <f>$N$2&amp;"|"&amp;N138</f>
        <v>10006|</v>
      </c>
      <c r="W138" t="str">
        <f t="shared" si="6"/>
        <v>10001|100$10002|$10003|5$10004|12$10005|$10006|</v>
      </c>
      <c r="AB138" s="8">
        <v>136</v>
      </c>
      <c r="AC138" s="9">
        <f>$Y$3*POWER(AB138,$Z$3)</f>
        <v>924800</v>
      </c>
      <c r="AD138" s="10">
        <f t="shared" si="7"/>
        <v>42387800</v>
      </c>
      <c r="AE138" s="10">
        <f t="shared" si="8"/>
        <v>924800</v>
      </c>
    </row>
    <row r="139" ht="17.25" customHeight="1" spans="8:31">
      <c r="H139" s="1">
        <v>137</v>
      </c>
      <c r="I139">
        <v>100</v>
      </c>
      <c r="K139">
        <v>5</v>
      </c>
      <c r="L139">
        <v>12</v>
      </c>
      <c r="P139" s="4" t="str">
        <f>$I$2&amp;"|"&amp;I139</f>
        <v>10001|100</v>
      </c>
      <c r="Q139" s="4" t="str">
        <f>$J$2&amp;"|"&amp;J139</f>
        <v>10002|</v>
      </c>
      <c r="R139" s="4" t="str">
        <f>$K$2&amp;"|"&amp;K139</f>
        <v>10003|5</v>
      </c>
      <c r="S139" s="4" t="str">
        <f>$L$2&amp;"|"&amp;L139</f>
        <v>10004|12</v>
      </c>
      <c r="T139" s="4" t="str">
        <f>$M$2&amp;"|"&amp;M139</f>
        <v>10005|</v>
      </c>
      <c r="U139" s="4" t="str">
        <f>$N$2&amp;"|"&amp;N139</f>
        <v>10006|</v>
      </c>
      <c r="W139" t="str">
        <f t="shared" si="6"/>
        <v>10001|100$10002|$10003|5$10004|12$10005|$10006|</v>
      </c>
      <c r="AB139" s="8">
        <v>137</v>
      </c>
      <c r="AC139" s="9">
        <f>$Y$3*POWER(AB139,$Z$3)</f>
        <v>938450</v>
      </c>
      <c r="AD139" s="10">
        <f t="shared" si="7"/>
        <v>43326250</v>
      </c>
      <c r="AE139" s="10">
        <f t="shared" si="8"/>
        <v>938450</v>
      </c>
    </row>
    <row r="140" ht="17.25" customHeight="1" spans="8:31">
      <c r="H140" s="1">
        <v>138</v>
      </c>
      <c r="I140">
        <v>100</v>
      </c>
      <c r="K140">
        <v>5</v>
      </c>
      <c r="L140">
        <v>12</v>
      </c>
      <c r="P140" s="4" t="str">
        <f>$I$2&amp;"|"&amp;I140</f>
        <v>10001|100</v>
      </c>
      <c r="Q140" s="4" t="str">
        <f>$J$2&amp;"|"&amp;J140</f>
        <v>10002|</v>
      </c>
      <c r="R140" s="4" t="str">
        <f>$K$2&amp;"|"&amp;K140</f>
        <v>10003|5</v>
      </c>
      <c r="S140" s="4" t="str">
        <f>$L$2&amp;"|"&amp;L140</f>
        <v>10004|12</v>
      </c>
      <c r="T140" s="4" t="str">
        <f>$M$2&amp;"|"&amp;M140</f>
        <v>10005|</v>
      </c>
      <c r="U140" s="4" t="str">
        <f>$N$2&amp;"|"&amp;N140</f>
        <v>10006|</v>
      </c>
      <c r="W140" t="str">
        <f t="shared" si="6"/>
        <v>10001|100$10002|$10003|5$10004|12$10005|$10006|</v>
      </c>
      <c r="AB140" s="8">
        <v>138</v>
      </c>
      <c r="AC140" s="9">
        <f>$Y$3*POWER(AB140,$Z$3)</f>
        <v>952200</v>
      </c>
      <c r="AD140" s="10">
        <f t="shared" si="7"/>
        <v>44278450</v>
      </c>
      <c r="AE140" s="10">
        <f t="shared" si="8"/>
        <v>952200</v>
      </c>
    </row>
    <row r="141" ht="17.25" customHeight="1" spans="8:31">
      <c r="H141" s="1">
        <v>139</v>
      </c>
      <c r="I141">
        <v>100</v>
      </c>
      <c r="K141">
        <v>5</v>
      </c>
      <c r="L141">
        <v>12</v>
      </c>
      <c r="P141" s="4" t="str">
        <f>$I$2&amp;"|"&amp;I141</f>
        <v>10001|100</v>
      </c>
      <c r="Q141" s="4" t="str">
        <f>$J$2&amp;"|"&amp;J141</f>
        <v>10002|</v>
      </c>
      <c r="R141" s="4" t="str">
        <f>$K$2&amp;"|"&amp;K141</f>
        <v>10003|5</v>
      </c>
      <c r="S141" s="4" t="str">
        <f>$L$2&amp;"|"&amp;L141</f>
        <v>10004|12</v>
      </c>
      <c r="T141" s="4" t="str">
        <f>$M$2&amp;"|"&amp;M141</f>
        <v>10005|</v>
      </c>
      <c r="U141" s="4" t="str">
        <f>$N$2&amp;"|"&amp;N141</f>
        <v>10006|</v>
      </c>
      <c r="W141" t="str">
        <f t="shared" si="6"/>
        <v>10001|100$10002|$10003|5$10004|12$10005|$10006|</v>
      </c>
      <c r="AB141" s="8">
        <v>139</v>
      </c>
      <c r="AC141" s="9">
        <f>$Y$3*POWER(AB141,$Z$3)</f>
        <v>966050</v>
      </c>
      <c r="AD141" s="10">
        <f t="shared" si="7"/>
        <v>45244500</v>
      </c>
      <c r="AE141" s="10">
        <f t="shared" si="8"/>
        <v>966050</v>
      </c>
    </row>
    <row r="142" ht="17.25" customHeight="1" spans="8:31">
      <c r="H142" s="1">
        <v>140</v>
      </c>
      <c r="I142">
        <v>100</v>
      </c>
      <c r="K142">
        <v>5</v>
      </c>
      <c r="L142">
        <v>12</v>
      </c>
      <c r="P142" s="4" t="str">
        <f>$I$2&amp;"|"&amp;I142</f>
        <v>10001|100</v>
      </c>
      <c r="Q142" s="4" t="str">
        <f>$J$2&amp;"|"&amp;J142</f>
        <v>10002|</v>
      </c>
      <c r="R142" s="4" t="str">
        <f>$K$2&amp;"|"&amp;K142</f>
        <v>10003|5</v>
      </c>
      <c r="S142" s="4" t="str">
        <f>$L$2&amp;"|"&amp;L142</f>
        <v>10004|12</v>
      </c>
      <c r="T142" s="4" t="str">
        <f>$M$2&amp;"|"&amp;M142</f>
        <v>10005|</v>
      </c>
      <c r="U142" s="4" t="str">
        <f>$N$2&amp;"|"&amp;N142</f>
        <v>10006|</v>
      </c>
      <c r="W142" t="str">
        <f t="shared" si="6"/>
        <v>10001|100$10002|$10003|5$10004|12$10005|$10006|</v>
      </c>
      <c r="AB142" s="8">
        <v>140</v>
      </c>
      <c r="AC142" s="9">
        <f>$Y$3*POWER(AB142,$Z$3)</f>
        <v>980000</v>
      </c>
      <c r="AD142" s="10">
        <f t="shared" si="7"/>
        <v>46224500</v>
      </c>
      <c r="AE142" s="10">
        <f t="shared" si="8"/>
        <v>980000</v>
      </c>
    </row>
    <row r="143" ht="17.25" customHeight="1" spans="7:31">
      <c r="G143" s="2" t="s">
        <v>335</v>
      </c>
      <c r="H143" s="1">
        <v>141</v>
      </c>
      <c r="I143">
        <v>100</v>
      </c>
      <c r="J143">
        <v>1</v>
      </c>
      <c r="K143">
        <v>5</v>
      </c>
      <c r="L143">
        <v>12</v>
      </c>
      <c r="M143">
        <v>1</v>
      </c>
      <c r="N143">
        <v>2</v>
      </c>
      <c r="P143" s="4" t="str">
        <f>$I$2&amp;"|"&amp;I143</f>
        <v>10001|100</v>
      </c>
      <c r="Q143" s="4" t="str">
        <f>$J$2&amp;"|"&amp;J143</f>
        <v>10002|1</v>
      </c>
      <c r="R143" s="4" t="str">
        <f>$K$2&amp;"|"&amp;K143</f>
        <v>10003|5</v>
      </c>
      <c r="S143" s="4" t="str">
        <f>$L$2&amp;"|"&amp;L143</f>
        <v>10004|12</v>
      </c>
      <c r="T143" s="4" t="str">
        <f>$M$2&amp;"|"&amp;M143</f>
        <v>10005|1</v>
      </c>
      <c r="U143" s="4" t="str">
        <f>$N$2&amp;"|"&amp;N143</f>
        <v>10006|2</v>
      </c>
      <c r="W143" t="str">
        <f t="shared" si="6"/>
        <v>10001|100$10002|1$10003|5$10004|12$10005|1$10006|2</v>
      </c>
      <c r="AB143" s="8">
        <v>141</v>
      </c>
      <c r="AC143" s="9">
        <f>$Y$3*POWER(AB143,$Z$3)</f>
        <v>994050</v>
      </c>
      <c r="AD143" s="10">
        <f t="shared" si="7"/>
        <v>47218550</v>
      </c>
      <c r="AE143" s="10">
        <f t="shared" si="8"/>
        <v>994050</v>
      </c>
    </row>
    <row r="144" ht="17.25" customHeight="1" spans="8:31">
      <c r="H144" s="1">
        <v>142</v>
      </c>
      <c r="I144">
        <v>100</v>
      </c>
      <c r="K144">
        <v>5</v>
      </c>
      <c r="L144">
        <v>12</v>
      </c>
      <c r="P144" s="4" t="str">
        <f>$I$2&amp;"|"&amp;I144</f>
        <v>10001|100</v>
      </c>
      <c r="Q144" s="4" t="str">
        <f>$J$2&amp;"|"&amp;J144</f>
        <v>10002|</v>
      </c>
      <c r="R144" s="4" t="str">
        <f>$K$2&amp;"|"&amp;K144</f>
        <v>10003|5</v>
      </c>
      <c r="S144" s="4" t="str">
        <f>$L$2&amp;"|"&amp;L144</f>
        <v>10004|12</v>
      </c>
      <c r="T144" s="4" t="str">
        <f>$M$2&amp;"|"&amp;M144</f>
        <v>10005|</v>
      </c>
      <c r="U144" s="4" t="str">
        <f>$N$2&amp;"|"&amp;N144</f>
        <v>10006|</v>
      </c>
      <c r="W144" t="str">
        <f t="shared" si="6"/>
        <v>10001|100$10002|$10003|5$10004|12$10005|$10006|</v>
      </c>
      <c r="AB144" s="8">
        <v>142</v>
      </c>
      <c r="AC144" s="9">
        <f>$Y$3*POWER(AB144,$Z$3)</f>
        <v>1008200</v>
      </c>
      <c r="AD144" s="10">
        <f t="shared" si="7"/>
        <v>48226750</v>
      </c>
      <c r="AE144" s="10">
        <f t="shared" si="8"/>
        <v>1008200</v>
      </c>
    </row>
    <row r="145" ht="17.25" customHeight="1" spans="8:31">
      <c r="H145" s="1">
        <v>143</v>
      </c>
      <c r="I145">
        <v>100</v>
      </c>
      <c r="K145">
        <v>5</v>
      </c>
      <c r="L145">
        <v>12</v>
      </c>
      <c r="P145" s="4" t="str">
        <f>$I$2&amp;"|"&amp;I145</f>
        <v>10001|100</v>
      </c>
      <c r="Q145" s="4" t="str">
        <f>$J$2&amp;"|"&amp;J145</f>
        <v>10002|</v>
      </c>
      <c r="R145" s="4" t="str">
        <f>$K$2&amp;"|"&amp;K145</f>
        <v>10003|5</v>
      </c>
      <c r="S145" s="4" t="str">
        <f>$L$2&amp;"|"&amp;L145</f>
        <v>10004|12</v>
      </c>
      <c r="T145" s="4" t="str">
        <f>$M$2&amp;"|"&amp;M145</f>
        <v>10005|</v>
      </c>
      <c r="U145" s="4" t="str">
        <f>$N$2&amp;"|"&amp;N145</f>
        <v>10006|</v>
      </c>
      <c r="W145" t="str">
        <f t="shared" si="6"/>
        <v>10001|100$10002|$10003|5$10004|12$10005|$10006|</v>
      </c>
      <c r="AB145" s="8">
        <v>143</v>
      </c>
      <c r="AC145" s="9">
        <f>$Y$3*POWER(AB145,$Z$3)</f>
        <v>1022450</v>
      </c>
      <c r="AD145" s="10">
        <f t="shared" si="7"/>
        <v>49249200</v>
      </c>
      <c r="AE145" s="10">
        <f t="shared" si="8"/>
        <v>1022450</v>
      </c>
    </row>
    <row r="146" ht="17.25" customHeight="1" spans="8:31">
      <c r="H146" s="1">
        <v>144</v>
      </c>
      <c r="I146">
        <v>100</v>
      </c>
      <c r="K146">
        <v>5</v>
      </c>
      <c r="L146">
        <v>12</v>
      </c>
      <c r="P146" s="4" t="str">
        <f>$I$2&amp;"|"&amp;I146</f>
        <v>10001|100</v>
      </c>
      <c r="Q146" s="4" t="str">
        <f>$J$2&amp;"|"&amp;J146</f>
        <v>10002|</v>
      </c>
      <c r="R146" s="4" t="str">
        <f>$K$2&amp;"|"&amp;K146</f>
        <v>10003|5</v>
      </c>
      <c r="S146" s="4" t="str">
        <f>$L$2&amp;"|"&amp;L146</f>
        <v>10004|12</v>
      </c>
      <c r="T146" s="4" t="str">
        <f>$M$2&amp;"|"&amp;M146</f>
        <v>10005|</v>
      </c>
      <c r="U146" s="4" t="str">
        <f>$N$2&amp;"|"&amp;N146</f>
        <v>10006|</v>
      </c>
      <c r="W146" t="str">
        <f t="shared" si="6"/>
        <v>10001|100$10002|$10003|5$10004|12$10005|$10006|</v>
      </c>
      <c r="AB146" s="8">
        <v>144</v>
      </c>
      <c r="AC146" s="9">
        <f>$Y$3*POWER(AB146,$Z$3)</f>
        <v>1036800</v>
      </c>
      <c r="AD146" s="10">
        <f t="shared" si="7"/>
        <v>50286000</v>
      </c>
      <c r="AE146" s="10">
        <f t="shared" si="8"/>
        <v>1036800</v>
      </c>
    </row>
    <row r="147" ht="17.25" customHeight="1" spans="8:31">
      <c r="H147" s="1">
        <v>145</v>
      </c>
      <c r="I147">
        <v>100</v>
      </c>
      <c r="K147">
        <v>5</v>
      </c>
      <c r="L147">
        <v>12</v>
      </c>
      <c r="P147" s="4" t="str">
        <f>$I$2&amp;"|"&amp;I147</f>
        <v>10001|100</v>
      </c>
      <c r="Q147" s="4" t="str">
        <f>$J$2&amp;"|"&amp;J147</f>
        <v>10002|</v>
      </c>
      <c r="R147" s="4" t="str">
        <f>$K$2&amp;"|"&amp;K147</f>
        <v>10003|5</v>
      </c>
      <c r="S147" s="4" t="str">
        <f>$L$2&amp;"|"&amp;L147</f>
        <v>10004|12</v>
      </c>
      <c r="T147" s="4" t="str">
        <f>$M$2&amp;"|"&amp;M147</f>
        <v>10005|</v>
      </c>
      <c r="U147" s="4" t="str">
        <f>$N$2&amp;"|"&amp;N147</f>
        <v>10006|</v>
      </c>
      <c r="W147" t="str">
        <f t="shared" si="6"/>
        <v>10001|100$10002|$10003|5$10004|12$10005|$10006|</v>
      </c>
      <c r="AB147" s="8">
        <v>145</v>
      </c>
      <c r="AC147" s="9">
        <f>$Y$3*POWER(AB147,$Z$3)</f>
        <v>1051250</v>
      </c>
      <c r="AD147" s="10">
        <f t="shared" si="7"/>
        <v>51337250</v>
      </c>
      <c r="AE147" s="10">
        <f t="shared" si="8"/>
        <v>1051250</v>
      </c>
    </row>
    <row r="148" ht="17.25" customHeight="1" spans="8:31">
      <c r="H148" s="1">
        <v>146</v>
      </c>
      <c r="I148">
        <v>100</v>
      </c>
      <c r="K148">
        <v>5</v>
      </c>
      <c r="L148">
        <v>12</v>
      </c>
      <c r="P148" s="4" t="str">
        <f>$I$2&amp;"|"&amp;I148</f>
        <v>10001|100</v>
      </c>
      <c r="Q148" s="4" t="str">
        <f>$J$2&amp;"|"&amp;J148</f>
        <v>10002|</v>
      </c>
      <c r="R148" s="4" t="str">
        <f>$K$2&amp;"|"&amp;K148</f>
        <v>10003|5</v>
      </c>
      <c r="S148" s="4" t="str">
        <f>$L$2&amp;"|"&amp;L148</f>
        <v>10004|12</v>
      </c>
      <c r="T148" s="4" t="str">
        <f>$M$2&amp;"|"&amp;M148</f>
        <v>10005|</v>
      </c>
      <c r="U148" s="4" t="str">
        <f>$N$2&amp;"|"&amp;N148</f>
        <v>10006|</v>
      </c>
      <c r="W148" t="str">
        <f t="shared" si="6"/>
        <v>10001|100$10002|$10003|5$10004|12$10005|$10006|</v>
      </c>
      <c r="AB148" s="8">
        <v>146</v>
      </c>
      <c r="AC148" s="9">
        <f>$Y$3*POWER(AB148,$Z$3)</f>
        <v>1065800</v>
      </c>
      <c r="AD148" s="10">
        <f t="shared" si="7"/>
        <v>52403050</v>
      </c>
      <c r="AE148" s="10">
        <f t="shared" si="8"/>
        <v>1065800</v>
      </c>
    </row>
    <row r="149" ht="17.25" customHeight="1" spans="8:31">
      <c r="H149" s="1">
        <v>147</v>
      </c>
      <c r="I149">
        <v>100</v>
      </c>
      <c r="K149">
        <v>5</v>
      </c>
      <c r="L149">
        <v>12</v>
      </c>
      <c r="P149" s="4" t="str">
        <f>$I$2&amp;"|"&amp;I149</f>
        <v>10001|100</v>
      </c>
      <c r="Q149" s="4" t="str">
        <f>$J$2&amp;"|"&amp;J149</f>
        <v>10002|</v>
      </c>
      <c r="R149" s="4" t="str">
        <f>$K$2&amp;"|"&amp;K149</f>
        <v>10003|5</v>
      </c>
      <c r="S149" s="4" t="str">
        <f>$L$2&amp;"|"&amp;L149</f>
        <v>10004|12</v>
      </c>
      <c r="T149" s="4" t="str">
        <f>$M$2&amp;"|"&amp;M149</f>
        <v>10005|</v>
      </c>
      <c r="U149" s="4" t="str">
        <f>$N$2&amp;"|"&amp;N149</f>
        <v>10006|</v>
      </c>
      <c r="W149" t="str">
        <f t="shared" si="6"/>
        <v>10001|100$10002|$10003|5$10004|12$10005|$10006|</v>
      </c>
      <c r="AB149" s="8">
        <v>147</v>
      </c>
      <c r="AC149" s="9">
        <f>$Y$3*POWER(AB149,$Z$3)</f>
        <v>1080450</v>
      </c>
      <c r="AD149" s="10">
        <f t="shared" si="7"/>
        <v>53483500</v>
      </c>
      <c r="AE149" s="10">
        <f t="shared" si="8"/>
        <v>1080450</v>
      </c>
    </row>
    <row r="150" ht="17.25" customHeight="1" spans="8:31">
      <c r="H150" s="1">
        <v>148</v>
      </c>
      <c r="I150">
        <v>100</v>
      </c>
      <c r="K150">
        <v>5</v>
      </c>
      <c r="L150">
        <v>12</v>
      </c>
      <c r="P150" s="4" t="str">
        <f>$I$2&amp;"|"&amp;I150</f>
        <v>10001|100</v>
      </c>
      <c r="Q150" s="4" t="str">
        <f>$J$2&amp;"|"&amp;J150</f>
        <v>10002|</v>
      </c>
      <c r="R150" s="4" t="str">
        <f>$K$2&amp;"|"&amp;K150</f>
        <v>10003|5</v>
      </c>
      <c r="S150" s="4" t="str">
        <f>$L$2&amp;"|"&amp;L150</f>
        <v>10004|12</v>
      </c>
      <c r="T150" s="4" t="str">
        <f>$M$2&amp;"|"&amp;M150</f>
        <v>10005|</v>
      </c>
      <c r="U150" s="4" t="str">
        <f>$N$2&amp;"|"&amp;N150</f>
        <v>10006|</v>
      </c>
      <c r="W150" t="str">
        <f t="shared" si="6"/>
        <v>10001|100$10002|$10003|5$10004|12$10005|$10006|</v>
      </c>
      <c r="AB150" s="8">
        <v>148</v>
      </c>
      <c r="AC150" s="9">
        <f>$Y$3*POWER(AB150,$Z$3)</f>
        <v>1095200</v>
      </c>
      <c r="AD150" s="10">
        <f t="shared" si="7"/>
        <v>54578700</v>
      </c>
      <c r="AE150" s="10">
        <f t="shared" si="8"/>
        <v>1095200</v>
      </c>
    </row>
    <row r="151" ht="17.25" customHeight="1" spans="8:31">
      <c r="H151" s="1">
        <v>149</v>
      </c>
      <c r="I151">
        <v>100</v>
      </c>
      <c r="K151">
        <v>5</v>
      </c>
      <c r="L151">
        <v>12</v>
      </c>
      <c r="P151" s="4" t="str">
        <f>$I$2&amp;"|"&amp;I151</f>
        <v>10001|100</v>
      </c>
      <c r="Q151" s="4" t="str">
        <f>$J$2&amp;"|"&amp;J151</f>
        <v>10002|</v>
      </c>
      <c r="R151" s="4" t="str">
        <f>$K$2&amp;"|"&amp;K151</f>
        <v>10003|5</v>
      </c>
      <c r="S151" s="4" t="str">
        <f>$L$2&amp;"|"&amp;L151</f>
        <v>10004|12</v>
      </c>
      <c r="T151" s="4" t="str">
        <f>$M$2&amp;"|"&amp;M151</f>
        <v>10005|</v>
      </c>
      <c r="U151" s="4" t="str">
        <f>$N$2&amp;"|"&amp;N151</f>
        <v>10006|</v>
      </c>
      <c r="W151" t="str">
        <f t="shared" si="6"/>
        <v>10001|100$10002|$10003|5$10004|12$10005|$10006|</v>
      </c>
      <c r="AB151" s="8">
        <v>149</v>
      </c>
      <c r="AC151" s="9">
        <f>$Y$3*POWER(AB151,$Z$3)</f>
        <v>1110050</v>
      </c>
      <c r="AD151" s="10">
        <f t="shared" si="7"/>
        <v>55688750</v>
      </c>
      <c r="AE151" s="10">
        <f t="shared" si="8"/>
        <v>1110050</v>
      </c>
    </row>
    <row r="152" ht="17.25" customHeight="1" spans="8:31">
      <c r="H152" s="1">
        <v>150</v>
      </c>
      <c r="I152">
        <v>100</v>
      </c>
      <c r="J152">
        <v>1</v>
      </c>
      <c r="K152">
        <v>5</v>
      </c>
      <c r="L152">
        <v>12</v>
      </c>
      <c r="M152" s="1">
        <v>1</v>
      </c>
      <c r="N152" s="1">
        <v>2</v>
      </c>
      <c r="P152" s="4" t="str">
        <f>$I$2&amp;"|"&amp;I152</f>
        <v>10001|100</v>
      </c>
      <c r="Q152" s="4" t="str">
        <f>$J$2&amp;"|"&amp;J152</f>
        <v>10002|1</v>
      </c>
      <c r="R152" s="4" t="str">
        <f>$K$2&amp;"|"&amp;K152</f>
        <v>10003|5</v>
      </c>
      <c r="S152" s="4" t="str">
        <f>$L$2&amp;"|"&amp;L152</f>
        <v>10004|12</v>
      </c>
      <c r="T152" s="4" t="str">
        <f>$M$2&amp;"|"&amp;M152</f>
        <v>10005|1</v>
      </c>
      <c r="U152" s="4" t="str">
        <f>$N$2&amp;"|"&amp;N152</f>
        <v>10006|2</v>
      </c>
      <c r="W152" t="str">
        <f t="shared" si="6"/>
        <v>10001|100$10002|1$10003|5$10004|12$10005|1$10006|2</v>
      </c>
      <c r="AB152" s="8">
        <v>150</v>
      </c>
      <c r="AC152" s="9">
        <f>$Y$3*POWER(AB152,$Z$3)</f>
        <v>1125000</v>
      </c>
      <c r="AD152" s="10">
        <f t="shared" si="7"/>
        <v>56813750</v>
      </c>
      <c r="AE152" s="10">
        <f t="shared" si="8"/>
        <v>1125000</v>
      </c>
    </row>
  </sheetData>
  <mergeCells count="20">
    <mergeCell ref="F3:F32"/>
    <mergeCell ref="F33:F62"/>
    <mergeCell ref="F63:F92"/>
    <mergeCell ref="F93:F122"/>
    <mergeCell ref="F123:F152"/>
    <mergeCell ref="G3:G12"/>
    <mergeCell ref="G13:G22"/>
    <mergeCell ref="G23:G32"/>
    <mergeCell ref="G33:G42"/>
    <mergeCell ref="G43:G52"/>
    <mergeCell ref="G53:G62"/>
    <mergeCell ref="G63:G72"/>
    <mergeCell ref="G73:G82"/>
    <mergeCell ref="G83:G92"/>
    <mergeCell ref="G93:G102"/>
    <mergeCell ref="G103:G112"/>
    <mergeCell ref="G113:G122"/>
    <mergeCell ref="G123:G132"/>
    <mergeCell ref="G133:G142"/>
    <mergeCell ref="G143:G15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038" workbookViewId="0">
      <selection activeCell="H13" sqref="H13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公式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Mayn</cp:lastModifiedBy>
  <dcterms:created xsi:type="dcterms:W3CDTF">2021-06-25T12:52:00Z</dcterms:created>
  <dcterms:modified xsi:type="dcterms:W3CDTF">2026-01-14T08:48:42Z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</Properties>
</file>