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1890" windowWidth="26355" windowHeight="133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消耗" sheetId="3" state="visible" r:id="rId3"/>
    <sheet xmlns:r="http://schemas.openxmlformats.org/officeDocument/2006/relationships" name="效果说明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_ "/>
  </numFmts>
  <fonts count="6">
    <font>
      <name val="等线"/>
      <charset val="134"/>
      <color theme="1"/>
      <sz val="11"/>
      <scheme val="minor"/>
    </font>
    <font>
      <name val="等线"/>
      <charset val="134"/>
      <family val="3"/>
      <color rgb="FF333333"/>
      <sz val="10.5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0.5"/>
      <scheme val="minor"/>
    </font>
    <font>
      <name val="宋体"/>
      <charset val="134"/>
      <family val="3"/>
      <color theme="1"/>
      <sz val="10.5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49" fontId="0" fillId="2" borderId="0" applyAlignment="1" pivotButton="0" quotePrefix="0" xfId="0">
      <alignment vertical="center"/>
    </xf>
    <xf numFmtId="0" fontId="0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165" fontId="0" fillId="2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6" borderId="0" pivotButton="0" quotePrefix="0" xfId="0"/>
    <xf numFmtId="49" fontId="0" fillId="6" borderId="0" pivotButton="0" quotePrefix="0" xfId="0"/>
    <xf numFmtId="49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49" fontId="0" fillId="6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wrapText="1"/>
    </xf>
    <xf numFmtId="49" fontId="2" fillId="0" borderId="0" pivotButton="0" quotePrefix="0" xfId="0"/>
    <xf numFmtId="0" fontId="2" fillId="0" borderId="0" pivotButton="0" quotePrefix="0" xfId="0"/>
    <xf numFmtId="49" fontId="2" fillId="7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justify" vertical="center"/>
    </xf>
    <xf numFmtId="165" fontId="2" fillId="0" borderId="0" pivotButton="0" quotePrefix="0" xfId="0"/>
    <xf numFmtId="49" fontId="2" fillId="6" borderId="0" pivotButton="0" quotePrefix="0" xfId="0"/>
    <xf numFmtId="49" fontId="2" fillId="2" borderId="0" applyAlignment="1" pivotButton="0" quotePrefix="0" xfId="0">
      <alignment vertical="center"/>
    </xf>
    <xf numFmtId="49" fontId="0" fillId="8" borderId="0" pivotButton="0" quotePrefix="0" xfId="0"/>
    <xf numFmtId="49" fontId="0" fillId="8" borderId="0" applyAlignment="1" pivotButton="0" quotePrefix="0" xfId="0">
      <alignment vertical="center"/>
    </xf>
    <xf numFmtId="49" fontId="0" fillId="8" borderId="0" pivotButton="0" quotePrefix="0" xfId="0"/>
    <xf numFmtId="49" fontId="2" fillId="8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49" fontId="2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0" fillId="2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4"/>
  <sheetViews>
    <sheetView tabSelected="1" workbookViewId="0">
      <pane ySplit="1" topLeftCell="A1824" activePane="bottomLeft" state="frozen"/>
      <selection pane="bottomLeft" activeCell="A1801" sqref="A1801:A1852"/>
    </sheetView>
  </sheetViews>
  <sheetFormatPr baseColWidth="8" defaultColWidth="9" defaultRowHeight="14.25"/>
  <cols>
    <col width="9" customWidth="1" style="18" min="1" max="2"/>
    <col width="11.625" customWidth="1" style="18" min="3" max="3"/>
    <col width="9" customWidth="1" style="18" min="4" max="4"/>
    <col width="31.5" customWidth="1" style="18" min="5" max="5"/>
    <col width="39.25" customWidth="1" style="18" min="6" max="6"/>
    <col width="9" customWidth="1" style="18" min="7" max="8"/>
    <col width="32.5" customWidth="1" style="18" min="9" max="9"/>
    <col width="9" customWidth="1" style="18" min="10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skillId</t>
        </is>
      </c>
      <c r="D1" t="inlineStr">
        <is>
          <t>name</t>
        </is>
      </c>
      <c r="E1" t="inlineStr">
        <is>
          <t>level</t>
        </is>
      </c>
      <c r="F1" t="inlineStr">
        <is>
          <t>damage</t>
        </is>
      </c>
      <c r="G1" t="inlineStr">
        <is>
          <t>consume</t>
        </is>
      </c>
      <c r="H1" t="inlineStr">
        <is>
          <t>param2</t>
        </is>
      </c>
      <c r="I1" t="inlineStr">
        <is>
          <t>param3</t>
        </is>
      </c>
      <c r="J1" t="inlineStr">
        <is>
          <t>upgradeDes</t>
        </is>
      </c>
      <c r="K1" t="inlineStr">
        <is>
          <t>desReplace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##</t>
        </is>
      </c>
      <c r="B3" s="18" t="inlineStr">
        <is>
          <t>id</t>
        </is>
      </c>
      <c r="C3" s="18" t="inlineStr">
        <is>
          <t>skillId</t>
        </is>
      </c>
      <c r="D3" s="18" t="inlineStr">
        <is>
          <t>name</t>
        </is>
      </c>
      <c r="E3" s="18" t="inlineStr">
        <is>
          <t>level</t>
        </is>
      </c>
      <c r="F3" s="18" t="inlineStr">
        <is>
          <t>damage</t>
        </is>
      </c>
      <c r="G3" s="18" t="inlineStr">
        <is>
          <t>consume</t>
        </is>
      </c>
      <c r="H3" s="18" t="inlineStr">
        <is>
          <t>param2</t>
        </is>
      </c>
      <c r="I3" s="26" t="inlineStr">
        <is>
          <t>param3</t>
        </is>
      </c>
      <c r="J3" s="26" t="inlineStr">
        <is>
          <t>upgradeDes</t>
        </is>
      </c>
      <c r="K3" s="26" t="inlineStr">
        <is>
          <t>desReplace</t>
        </is>
      </c>
    </row>
    <row r="4">
      <c r="B4" s="20" t="n">
        <v>10001</v>
      </c>
      <c r="C4" s="20" t="n">
        <v>141001</v>
      </c>
      <c r="D4" s="20" t="inlineStr">
        <is>
          <t>九天玄雷决</t>
        </is>
      </c>
      <c r="E4" s="20" t="inlineStr">
        <is>
          <t>1</t>
        </is>
      </c>
      <c r="F4" s="37" t="inlineStr">
        <is>
          <t>-38|-38|-38|-38|-38|-38|-38|-38</t>
        </is>
      </c>
      <c r="G4" s="20" t="inlineStr">
        <is>
          <t>10001|150$121001|92$121004|8</t>
        </is>
      </c>
      <c r="J4" s="26" t="inlineStr">
        <is>
          <t>造成八段伤害，每段伤害为[0]%</t>
        </is>
      </c>
      <c r="K4" s="18" t="n">
        <v>12.5</v>
      </c>
    </row>
    <row r="5">
      <c r="B5" s="20" t="n">
        <v>10002</v>
      </c>
      <c r="C5" s="20" t="n">
        <v>141001</v>
      </c>
      <c r="D5" s="20" t="inlineStr">
        <is>
          <t>九天玄雷决</t>
        </is>
      </c>
      <c r="E5" s="20" t="inlineStr">
        <is>
          <t>2</t>
        </is>
      </c>
      <c r="F5" s="20" t="inlineStr">
        <is>
          <t>-37|-37|-37|-37|-37|-37|-37|-37</t>
        </is>
      </c>
      <c r="G5" s="20" t="inlineStr">
        <is>
          <t>10001|600$121001|368$121004|21</t>
        </is>
      </c>
      <c r="J5" s="26" t="inlineStr">
        <is>
          <t>造成八段伤害，每段伤害为[0]%</t>
        </is>
      </c>
      <c r="K5" s="18" t="n">
        <v>14.875</v>
      </c>
    </row>
    <row r="6">
      <c r="B6" s="20" t="n">
        <v>10003</v>
      </c>
      <c r="C6" s="20" t="n">
        <v>141001</v>
      </c>
      <c r="D6" s="20" t="inlineStr">
        <is>
          <t>九天玄雷决</t>
        </is>
      </c>
      <c r="E6" s="20" t="inlineStr">
        <is>
          <t>3</t>
        </is>
      </c>
      <c r="F6" s="20" t="inlineStr">
        <is>
          <t>-35|-35|-35|-35|-35|-35|-35|-35</t>
        </is>
      </c>
      <c r="G6" s="20" t="inlineStr">
        <is>
          <t>10001|1350$121001|828$121004|39</t>
        </is>
      </c>
      <c r="J6" s="26" t="inlineStr">
        <is>
          <t>造成八段伤害，每段伤害为[0]%</t>
        </is>
      </c>
      <c r="K6" s="18" t="n">
        <v>17.25</v>
      </c>
    </row>
    <row r="7">
      <c r="B7" s="20" t="n">
        <v>10004</v>
      </c>
      <c r="C7" s="20" t="n">
        <v>141001</v>
      </c>
      <c r="D7" s="20" t="inlineStr">
        <is>
          <t>九天玄雷决</t>
        </is>
      </c>
      <c r="E7" s="20" t="inlineStr">
        <is>
          <t>4</t>
        </is>
      </c>
      <c r="F7" s="20" t="inlineStr">
        <is>
          <t>-34|-34|-34|-34|-34|-34|-34|-34</t>
        </is>
      </c>
      <c r="G7" s="20" t="inlineStr">
        <is>
          <t>10001|2400$121001|1472$121004|60</t>
        </is>
      </c>
      <c r="J7" s="26" t="inlineStr">
        <is>
          <t>造成八段伤害，每段伤害为[0]%</t>
        </is>
      </c>
      <c r="K7" s="18" t="n">
        <v>19.625</v>
      </c>
    </row>
    <row r="8">
      <c r="B8" s="20" t="n">
        <v>10005</v>
      </c>
      <c r="C8" s="20" t="n">
        <v>141001</v>
      </c>
      <c r="D8" s="20" t="inlineStr">
        <is>
          <t>九天玄雷决</t>
        </is>
      </c>
      <c r="E8" s="20" t="inlineStr">
        <is>
          <t>5</t>
        </is>
      </c>
      <c r="F8" s="20" t="inlineStr">
        <is>
          <t>-32|-32|-32|-32|-32|-32|-32|-32</t>
        </is>
      </c>
      <c r="G8" s="20" t="inlineStr">
        <is>
          <t>10001|3750$121001|2300$121004|84</t>
        </is>
      </c>
      <c r="J8" s="26" t="inlineStr">
        <is>
          <t>造成八段伤害，每段伤害为[0]%</t>
        </is>
      </c>
      <c r="K8" s="18" t="n">
        <v>22</v>
      </c>
    </row>
    <row r="9">
      <c r="B9" s="20" t="n">
        <v>10006</v>
      </c>
      <c r="C9" s="20" t="n">
        <v>141001</v>
      </c>
      <c r="D9" s="20" t="inlineStr">
        <is>
          <t>九天玄雷决</t>
        </is>
      </c>
      <c r="E9" s="20" t="inlineStr">
        <is>
          <t>6</t>
        </is>
      </c>
      <c r="F9" s="20" t="inlineStr">
        <is>
          <t>-31|-31|-31|-31|-31|-31|-31|-31</t>
        </is>
      </c>
      <c r="G9" s="20" t="inlineStr">
        <is>
          <t>10001|5400$121001|3312$121004|110</t>
        </is>
      </c>
      <c r="J9" s="26" t="inlineStr">
        <is>
          <t>造成八段伤害，每段伤害为[0]%</t>
        </is>
      </c>
      <c r="K9" s="18" t="n">
        <v>24.375</v>
      </c>
    </row>
    <row r="10">
      <c r="B10" s="20" t="n">
        <v>10007</v>
      </c>
      <c r="C10" s="20" t="n">
        <v>141001</v>
      </c>
      <c r="D10" s="20" t="inlineStr">
        <is>
          <t>九天玄雷决</t>
        </is>
      </c>
      <c r="E10" s="20" t="inlineStr">
        <is>
          <t>7</t>
        </is>
      </c>
      <c r="F10" s="20" t="inlineStr">
        <is>
          <t>-30|-30|-30|-30|-30|-30|-30|-30</t>
        </is>
      </c>
      <c r="G10" s="20" t="inlineStr">
        <is>
          <t>10001|7350$121001|4508$121004|139</t>
        </is>
      </c>
      <c r="J10" s="26" t="inlineStr">
        <is>
          <t>造成八段伤害，每段伤害为[0]%</t>
        </is>
      </c>
      <c r="K10" s="18" t="n">
        <v>26.75</v>
      </c>
    </row>
    <row r="11">
      <c r="B11" s="20" t="n">
        <v>10008</v>
      </c>
      <c r="C11" s="20" t="n">
        <v>141001</v>
      </c>
      <c r="D11" s="20" t="inlineStr">
        <is>
          <t>九天玄雷决</t>
        </is>
      </c>
      <c r="E11" s="20" t="inlineStr">
        <is>
          <t>8</t>
        </is>
      </c>
      <c r="F11" s="20" t="inlineStr">
        <is>
          <t>-28|-28|-28|-28|-28|-28|-28|-28</t>
        </is>
      </c>
      <c r="G11" s="20" t="inlineStr">
        <is>
          <t>10001|9600$121001|5888$121004|170</t>
        </is>
      </c>
      <c r="J11" s="26" t="inlineStr">
        <is>
          <t>造成八段伤害，每段伤害为[0]%</t>
        </is>
      </c>
      <c r="K11" s="18" t="n">
        <v>29.125</v>
      </c>
    </row>
    <row r="12">
      <c r="B12" s="20" t="n">
        <v>10009</v>
      </c>
      <c r="C12" s="20" t="n">
        <v>141001</v>
      </c>
      <c r="D12" s="20" t="inlineStr">
        <is>
          <t>九天玄雷决</t>
        </is>
      </c>
      <c r="E12" s="20" t="inlineStr">
        <is>
          <t>9</t>
        </is>
      </c>
      <c r="F12" s="20" t="inlineStr">
        <is>
          <t>-27|-27|-27|-27|-27|-27|-27|-27</t>
        </is>
      </c>
      <c r="G12" s="20" t="inlineStr">
        <is>
          <t>10001|12150$121001|7452$121004|203</t>
        </is>
      </c>
      <c r="J12" s="26" t="inlineStr">
        <is>
          <t>造成八段伤害，每段伤害为[0]%</t>
        </is>
      </c>
      <c r="K12" s="18" t="n">
        <v>31.5</v>
      </c>
    </row>
    <row r="13">
      <c r="B13" s="20" t="n">
        <v>10010</v>
      </c>
      <c r="C13" s="20" t="n">
        <v>141001</v>
      </c>
      <c r="D13" s="20" t="inlineStr">
        <is>
          <t>九天玄雷决</t>
        </is>
      </c>
      <c r="E13" s="20" t="inlineStr">
        <is>
          <t>10</t>
        </is>
      </c>
      <c r="F13" s="20" t="inlineStr">
        <is>
          <t>-26|-26|-26|-26|-26|-26|-26|-26</t>
        </is>
      </c>
      <c r="G13" s="20" t="inlineStr">
        <is>
          <t>10001|15000$122001|9200$122004|237</t>
        </is>
      </c>
      <c r="J13" s="26" t="inlineStr">
        <is>
          <t>造成八段伤害，每段伤害为[0]%</t>
        </is>
      </c>
      <c r="K13" s="18" t="n">
        <v>33.875</v>
      </c>
    </row>
    <row r="14">
      <c r="B14" s="20" t="n">
        <v>10011</v>
      </c>
      <c r="C14" s="20" t="n">
        <v>141001</v>
      </c>
      <c r="D14" s="20" t="inlineStr">
        <is>
          <t>九天玄雷决</t>
        </is>
      </c>
      <c r="E14" s="20" t="inlineStr">
        <is>
          <t>11</t>
        </is>
      </c>
      <c r="F14" s="20" t="inlineStr">
        <is>
          <t>-24|-24|-24|-24|-24|-24|-24|-24</t>
        </is>
      </c>
      <c r="G14" s="20" t="inlineStr">
        <is>
          <t>10001|18150$122001|11132$122004|274</t>
        </is>
      </c>
      <c r="J14" s="26" t="inlineStr">
        <is>
          <t>造成八段伤害，每段伤害为[0]%</t>
        </is>
      </c>
      <c r="K14" s="18" t="n">
        <v>36.25000000000001</v>
      </c>
    </row>
    <row r="15">
      <c r="B15" s="20" t="n">
        <v>10012</v>
      </c>
      <c r="C15" s="20" t="n">
        <v>141001</v>
      </c>
      <c r="D15" s="20" t="inlineStr">
        <is>
          <t>九天玄雷决</t>
        </is>
      </c>
      <c r="E15" s="20" t="inlineStr">
        <is>
          <t>12</t>
        </is>
      </c>
      <c r="F15" s="20" t="inlineStr">
        <is>
          <t>-23|-23|-23|-23|-23|-23|-23|-23</t>
        </is>
      </c>
      <c r="G15" s="20" t="inlineStr">
        <is>
          <t>10001|21600$122001|13248$122004|312</t>
        </is>
      </c>
      <c r="J15" s="26" t="inlineStr">
        <is>
          <t>造成八段伤害，每段伤害为[0]%</t>
        </is>
      </c>
      <c r="K15" s="18" t="n">
        <v>38.625</v>
      </c>
    </row>
    <row r="16">
      <c r="B16" s="20" t="n">
        <v>10013</v>
      </c>
      <c r="C16" s="20" t="n">
        <v>141001</v>
      </c>
      <c r="D16" s="20" t="inlineStr">
        <is>
          <t>九天玄雷决</t>
        </is>
      </c>
      <c r="E16" s="20" t="inlineStr">
        <is>
          <t>13</t>
        </is>
      </c>
      <c r="F16" s="20" t="inlineStr">
        <is>
          <t>-21|-21|-21|-21|-21|-21|-21|-21</t>
        </is>
      </c>
      <c r="G16" s="20" t="inlineStr">
        <is>
          <t>10001|25350$122001|15548$122004|352</t>
        </is>
      </c>
      <c r="J16" s="26" t="inlineStr">
        <is>
          <t>造成八段伤害，每段伤害为[0]%</t>
        </is>
      </c>
      <c r="K16" s="18" t="n">
        <v>40.99999999999999</v>
      </c>
    </row>
    <row r="17">
      <c r="B17" s="20" t="n">
        <v>10014</v>
      </c>
      <c r="C17" s="20" t="n">
        <v>141001</v>
      </c>
      <c r="D17" s="20" t="inlineStr">
        <is>
          <t>九天玄雷决</t>
        </is>
      </c>
      <c r="E17" s="20" t="inlineStr">
        <is>
          <t>14</t>
        </is>
      </c>
      <c r="F17" s="20" t="inlineStr">
        <is>
          <t>-20|-20|-20|-20|-20|-20|-20|-20</t>
        </is>
      </c>
      <c r="G17" s="20" t="inlineStr">
        <is>
          <t>10001|29400$122001|18032$122004|393</t>
        </is>
      </c>
      <c r="J17" s="26" t="inlineStr">
        <is>
          <t>造成八段伤害，每段伤害为[0]%</t>
        </is>
      </c>
      <c r="K17" s="18" t="n">
        <v>43.37500000000001</v>
      </c>
    </row>
    <row r="18">
      <c r="B18" s="20" t="n">
        <v>10015</v>
      </c>
      <c r="C18" s="20" t="n">
        <v>141001</v>
      </c>
      <c r="D18" s="20" t="inlineStr">
        <is>
          <t>九天玄雷决</t>
        </is>
      </c>
      <c r="E18" s="20" t="inlineStr">
        <is>
          <t>15</t>
        </is>
      </c>
      <c r="F18" s="20" t="inlineStr">
        <is>
          <t>-19|-19|-19|-19|-19|-19|-19|-19</t>
        </is>
      </c>
      <c r="G18" s="20" t="inlineStr">
        <is>
          <t>10001|33750$122001|20700$122004|436</t>
        </is>
      </c>
      <c r="J18" s="26" t="inlineStr">
        <is>
          <t>造成八段伤害，每段伤害为[0]%</t>
        </is>
      </c>
      <c r="K18" s="18" t="n">
        <v>45.75</v>
      </c>
    </row>
    <row r="19">
      <c r="B19" s="20" t="n">
        <v>10016</v>
      </c>
      <c r="C19" s="20" t="n">
        <v>141001</v>
      </c>
      <c r="D19" s="20" t="inlineStr">
        <is>
          <t>九天玄雷决</t>
        </is>
      </c>
      <c r="E19" s="20" t="inlineStr">
        <is>
          <t>16</t>
        </is>
      </c>
      <c r="F19" s="20" t="inlineStr">
        <is>
          <t>-17|-17|-17|-17|-17|-17|-17|-17</t>
        </is>
      </c>
      <c r="G19" s="20" t="inlineStr">
        <is>
          <t>10001|38400$122001|23552$122004|480</t>
        </is>
      </c>
      <c r="J19" s="26" t="inlineStr">
        <is>
          <t>造成八段伤害，每段伤害为[0]%</t>
        </is>
      </c>
      <c r="K19" s="18" t="n">
        <v>48.12499999999999</v>
      </c>
    </row>
    <row r="20">
      <c r="B20" s="20" t="n">
        <v>10017</v>
      </c>
      <c r="C20" s="20" t="n">
        <v>141001</v>
      </c>
      <c r="D20" s="20" t="inlineStr">
        <is>
          <t>九天玄雷决</t>
        </is>
      </c>
      <c r="E20" s="20" t="inlineStr">
        <is>
          <t>17</t>
        </is>
      </c>
      <c r="F20" s="20" t="inlineStr">
        <is>
          <t>-16|-16|-16|-16|-16|-16|-16|-16</t>
        </is>
      </c>
      <c r="G20" s="20" t="inlineStr">
        <is>
          <t>10001|43350$122001|26588$122004|526</t>
        </is>
      </c>
      <c r="J20" s="26" t="inlineStr">
        <is>
          <t>造成八段伤害，每段伤害为[0]%</t>
        </is>
      </c>
      <c r="K20" s="18" t="n">
        <v>50.5</v>
      </c>
    </row>
    <row r="21">
      <c r="B21" s="20" t="n">
        <v>10018</v>
      </c>
      <c r="C21" s="20" t="n">
        <v>141001</v>
      </c>
      <c r="D21" s="20" t="inlineStr">
        <is>
          <t>九天玄雷决</t>
        </is>
      </c>
      <c r="E21" s="20" t="inlineStr">
        <is>
          <t>18</t>
        </is>
      </c>
      <c r="F21" s="20" t="inlineStr">
        <is>
          <t>-15|-15|-15|-15|-15|-15|-15|-15</t>
        </is>
      </c>
      <c r="G21" s="20" t="inlineStr">
        <is>
          <t>10001|48600$122001|29808$122004|573</t>
        </is>
      </c>
      <c r="J21" s="26" t="inlineStr">
        <is>
          <t>造成八段伤害，每段伤害为[0]%</t>
        </is>
      </c>
      <c r="K21" s="18" t="n">
        <v>52.87500000000001</v>
      </c>
    </row>
    <row r="22">
      <c r="B22" s="20" t="n">
        <v>10019</v>
      </c>
      <c r="C22" s="20" t="n">
        <v>141001</v>
      </c>
      <c r="D22" s="20" t="inlineStr">
        <is>
          <t>九天玄雷决</t>
        </is>
      </c>
      <c r="E22" s="20" t="inlineStr">
        <is>
          <t>19</t>
        </is>
      </c>
      <c r="F22" s="20" t="inlineStr">
        <is>
          <t>-13|-13|-13|-13|-13|-13|-13|-13</t>
        </is>
      </c>
      <c r="G22" s="20" t="inlineStr">
        <is>
          <t>10001|54150$122001|33212$122004|621</t>
        </is>
      </c>
      <c r="J22" s="26" t="inlineStr">
        <is>
          <t>造成八段伤害，每段伤害为[0]%</t>
        </is>
      </c>
      <c r="K22" s="18" t="n">
        <v>55.25</v>
      </c>
    </row>
    <row r="23">
      <c r="B23" s="20" t="n">
        <v>10020</v>
      </c>
      <c r="C23" s="20" t="n">
        <v>141001</v>
      </c>
      <c r="D23" s="20" t="inlineStr">
        <is>
          <t>九天玄雷决</t>
        </is>
      </c>
      <c r="E23" s="20" t="inlineStr">
        <is>
          <t>20</t>
        </is>
      </c>
      <c r="F23" s="20" t="inlineStr">
        <is>
          <t>-12|-12|-12|-12|-12|-12|-12|-12</t>
        </is>
      </c>
      <c r="G23" s="20" t="inlineStr">
        <is>
          <t>10001|60000$123001|36800$123004|671</t>
        </is>
      </c>
      <c r="J23" s="26" t="inlineStr">
        <is>
          <t>造成八段伤害，每段伤害为[0]%</t>
        </is>
      </c>
      <c r="K23" s="18" t="n">
        <v>57.62500000000001</v>
      </c>
    </row>
    <row r="24">
      <c r="B24" s="20" t="n">
        <v>10021</v>
      </c>
      <c r="C24" s="20" t="n">
        <v>141001</v>
      </c>
      <c r="D24" s="20" t="inlineStr">
        <is>
          <t>九天玄雷决</t>
        </is>
      </c>
      <c r="E24" s="20" t="inlineStr">
        <is>
          <t>21</t>
        </is>
      </c>
      <c r="F24" s="20" t="inlineStr">
        <is>
          <t>-10|-10|-10|-10|-10|-10|-10|-10</t>
        </is>
      </c>
      <c r="G24" s="20" t="inlineStr">
        <is>
          <t>10001|66150$123001|40572$123004|722</t>
        </is>
      </c>
      <c r="J24" s="26" t="inlineStr">
        <is>
          <t>造成八段伤害，每段伤害为[0]%</t>
        </is>
      </c>
      <c r="K24" s="18" t="n">
        <v>60</v>
      </c>
    </row>
    <row r="25">
      <c r="B25" s="20" t="n">
        <v>10022</v>
      </c>
      <c r="C25" s="20" t="n">
        <v>141001</v>
      </c>
      <c r="D25" s="20" t="inlineStr">
        <is>
          <t>九天玄雷决</t>
        </is>
      </c>
      <c r="E25" s="20" t="inlineStr">
        <is>
          <t>22</t>
        </is>
      </c>
      <c r="F25" s="20" t="inlineStr">
        <is>
          <t>-9|-9|-9|-9|-9|-9|-9|-9</t>
        </is>
      </c>
      <c r="G25" s="20" t="inlineStr">
        <is>
          <t>10001|72600$123001|44528$123004|774</t>
        </is>
      </c>
      <c r="J25" s="26" t="inlineStr">
        <is>
          <t>造成八段伤害，每段伤害为[0]%</t>
        </is>
      </c>
      <c r="K25" s="18" t="n">
        <v>62.375</v>
      </c>
    </row>
    <row r="26">
      <c r="B26" s="20" t="n">
        <v>10023</v>
      </c>
      <c r="C26" s="20" t="n">
        <v>141001</v>
      </c>
      <c r="D26" s="20" t="inlineStr">
        <is>
          <t>九天玄雷决</t>
        </is>
      </c>
      <c r="E26" s="20" t="inlineStr">
        <is>
          <t>23</t>
        </is>
      </c>
      <c r="F26" s="20" t="inlineStr">
        <is>
          <t>-8|-8|-8|-8|-8|-8|-8|-8</t>
        </is>
      </c>
      <c r="G26" s="20" t="inlineStr">
        <is>
          <t>10001|79350$123001|48668$123004|827</t>
        </is>
      </c>
      <c r="J26" s="26" t="inlineStr">
        <is>
          <t>造成八段伤害，每段伤害为[0]%</t>
        </is>
      </c>
      <c r="K26" s="18" t="n">
        <v>64.75</v>
      </c>
    </row>
    <row r="27">
      <c r="B27" s="20" t="n">
        <v>10024</v>
      </c>
      <c r="C27" s="20" t="n">
        <v>141001</v>
      </c>
      <c r="D27" s="20" t="inlineStr">
        <is>
          <t>九天玄雷决</t>
        </is>
      </c>
      <c r="E27" s="20" t="inlineStr">
        <is>
          <t>24</t>
        </is>
      </c>
      <c r="F27" s="20" t="inlineStr">
        <is>
          <t>-6|-6|-6|-6|-6|-6|-6|-6</t>
        </is>
      </c>
      <c r="G27" s="20" t="inlineStr">
        <is>
          <t>10001|86400$123001|52992$123004|882</t>
        </is>
      </c>
      <c r="J27" s="26" t="inlineStr">
        <is>
          <t>造成八段伤害，每段伤害为[0]%</t>
        </is>
      </c>
      <c r="K27" s="18" t="n">
        <v>67.125</v>
      </c>
    </row>
    <row r="28">
      <c r="B28" s="20" t="n">
        <v>10025</v>
      </c>
      <c r="C28" s="20" t="n">
        <v>141001</v>
      </c>
      <c r="D28" s="20" t="inlineStr">
        <is>
          <t>九天玄雷决</t>
        </is>
      </c>
      <c r="E28" s="20" t="inlineStr">
        <is>
          <t>25</t>
        </is>
      </c>
      <c r="F28" s="20" t="inlineStr">
        <is>
          <t>-5|-5|-5|-5|-5|-5|-5|-5</t>
        </is>
      </c>
      <c r="G28" s="20" t="inlineStr">
        <is>
          <t>10001|93750$123001|57500$123004|938</t>
        </is>
      </c>
      <c r="J28" s="26" t="inlineStr">
        <is>
          <t>造成八段伤害，每段伤害为[0]%</t>
        </is>
      </c>
      <c r="K28" s="18" t="n">
        <v>69.5</v>
      </c>
    </row>
    <row r="29">
      <c r="B29" s="20" t="n">
        <v>10026</v>
      </c>
      <c r="C29" s="20" t="n">
        <v>141001</v>
      </c>
      <c r="D29" s="20" t="inlineStr">
        <is>
          <t>九天玄雷决</t>
        </is>
      </c>
      <c r="E29" s="20" t="inlineStr">
        <is>
          <t>26</t>
        </is>
      </c>
      <c r="F29" s="20" t="inlineStr">
        <is>
          <t>-4|-4|-4|-4|-4|-4|-4|-4</t>
        </is>
      </c>
      <c r="G29" s="20" t="inlineStr">
        <is>
          <t>10001|101400$123001|62192$123004|994</t>
        </is>
      </c>
      <c r="J29" s="26" t="inlineStr">
        <is>
          <t>造成八段伤害，每段伤害为[0]%</t>
        </is>
      </c>
      <c r="K29" s="18" t="n">
        <v>71.875</v>
      </c>
    </row>
    <row r="30">
      <c r="B30" s="20" t="n">
        <v>10027</v>
      </c>
      <c r="C30" s="20" t="n">
        <v>141001</v>
      </c>
      <c r="D30" s="20" t="inlineStr">
        <is>
          <t>九天玄雷决</t>
        </is>
      </c>
      <c r="E30" s="20" t="inlineStr">
        <is>
          <t>27</t>
        </is>
      </c>
      <c r="F30" s="20" t="inlineStr">
        <is>
          <t>-2|-2|-2|-2|-2|-2|-2|-2</t>
        </is>
      </c>
      <c r="G30" s="20" t="inlineStr">
        <is>
          <t>10001|109350$123001|67068$123004|1052</t>
        </is>
      </c>
      <c r="J30" s="26" t="inlineStr">
        <is>
          <t>造成八段伤害，每段伤害为[0]%</t>
        </is>
      </c>
      <c r="K30" s="18" t="n">
        <v>74.25</v>
      </c>
    </row>
    <row r="31">
      <c r="B31" s="20" t="n">
        <v>10028</v>
      </c>
      <c r="C31" s="20" t="n">
        <v>141001</v>
      </c>
      <c r="D31" s="20" t="inlineStr">
        <is>
          <t>九天玄雷决</t>
        </is>
      </c>
      <c r="E31" s="20" t="inlineStr">
        <is>
          <t>28</t>
        </is>
      </c>
      <c r="F31" s="20" t="inlineStr">
        <is>
          <t>-1|-1|-1|-1|-1|-1|-1|-1</t>
        </is>
      </c>
      <c r="G31" s="20" t="inlineStr">
        <is>
          <t>10001|117600$123001|72128$123004|1111</t>
        </is>
      </c>
      <c r="J31" s="26" t="inlineStr">
        <is>
          <t>造成八段伤害，每段伤害为[0]%</t>
        </is>
      </c>
      <c r="K31" s="18" t="n">
        <v>76.625</v>
      </c>
    </row>
    <row r="32">
      <c r="B32" s="20" t="n">
        <v>10029</v>
      </c>
      <c r="C32" s="20" t="n">
        <v>141001</v>
      </c>
      <c r="D32" s="20" t="inlineStr">
        <is>
          <t>九天玄雷决</t>
        </is>
      </c>
      <c r="E32" s="20" t="inlineStr">
        <is>
          <t>29</t>
        </is>
      </c>
      <c r="F32" s="20" t="inlineStr">
        <is>
          <t>1|1|1|1|1|1|1|1</t>
        </is>
      </c>
      <c r="G32" s="20" t="inlineStr">
        <is>
          <t>10001|126150$123001|77372$123004|1171</t>
        </is>
      </c>
      <c r="J32" s="26" t="inlineStr">
        <is>
          <t>造成八段伤害，每段伤害为[0]%</t>
        </is>
      </c>
      <c r="K32" s="18" t="n">
        <v>79</v>
      </c>
    </row>
    <row r="33">
      <c r="B33" s="20" t="n">
        <v>10030</v>
      </c>
      <c r="C33" s="20" t="n">
        <v>141001</v>
      </c>
      <c r="D33" s="20" t="inlineStr">
        <is>
          <t>九天玄雷决</t>
        </is>
      </c>
      <c r="E33" s="20" t="inlineStr">
        <is>
          <t>30</t>
        </is>
      </c>
      <c r="F33" s="20" t="inlineStr">
        <is>
          <t>2|2|2|2|2|2|2|2</t>
        </is>
      </c>
      <c r="G33" s="20" t="inlineStr">
        <is>
          <t>10001|135000$124001|82800$124004|1232</t>
        </is>
      </c>
      <c r="J33" s="26" t="inlineStr">
        <is>
          <t>造成八段伤害，每段伤害为[0]%</t>
        </is>
      </c>
      <c r="K33" s="18" t="n">
        <v>81.375</v>
      </c>
    </row>
    <row r="34">
      <c r="B34" s="20" t="n">
        <v>10031</v>
      </c>
      <c r="C34" s="20" t="n">
        <v>141001</v>
      </c>
      <c r="D34" s="20" t="inlineStr">
        <is>
          <t>九天玄雷决</t>
        </is>
      </c>
      <c r="E34" s="20" t="inlineStr">
        <is>
          <t>31</t>
        </is>
      </c>
      <c r="F34" s="20" t="inlineStr">
        <is>
          <t>3|3|3|3|3|3|3|3</t>
        </is>
      </c>
      <c r="G34" s="20" t="inlineStr">
        <is>
          <t>10001|144150$124001|88412$124004|1295</t>
        </is>
      </c>
      <c r="J34" s="26" t="inlineStr">
        <is>
          <t>造成八段伤害，每段伤害为[0]%</t>
        </is>
      </c>
      <c r="K34" s="18" t="n">
        <v>83.75</v>
      </c>
    </row>
    <row r="35">
      <c r="B35" s="20" t="n">
        <v>10032</v>
      </c>
      <c r="C35" s="20" t="n">
        <v>141001</v>
      </c>
      <c r="D35" s="20" t="inlineStr">
        <is>
          <t>九天玄雷决</t>
        </is>
      </c>
      <c r="E35" s="20" t="inlineStr">
        <is>
          <t>32</t>
        </is>
      </c>
      <c r="F35" s="20" t="inlineStr">
        <is>
          <t>5|5|5|5|5|5|5|5</t>
        </is>
      </c>
      <c r="G35" s="20" t="inlineStr">
        <is>
          <t>10001|153600$124001|94208$124004|1358</t>
        </is>
      </c>
      <c r="J35" s="26" t="inlineStr">
        <is>
          <t>造成八段伤害，每段伤害为[0]%</t>
        </is>
      </c>
      <c r="K35" s="18" t="n">
        <v>86.125</v>
      </c>
    </row>
    <row r="36">
      <c r="B36" s="20" t="n">
        <v>10033</v>
      </c>
      <c r="C36" s="20" t="n">
        <v>141001</v>
      </c>
      <c r="D36" s="20" t="inlineStr">
        <is>
          <t>九天玄雷决</t>
        </is>
      </c>
      <c r="E36" s="20" t="inlineStr">
        <is>
          <t>33</t>
        </is>
      </c>
      <c r="F36" s="20" t="inlineStr">
        <is>
          <t>6|6|6|6|6|6|6|6</t>
        </is>
      </c>
      <c r="G36" s="20" t="inlineStr">
        <is>
          <t>10001|163350$124001|100188$124004|1422</t>
        </is>
      </c>
      <c r="J36" s="26" t="inlineStr">
        <is>
          <t>造成八段伤害，每段伤害为[0]%</t>
        </is>
      </c>
      <c r="K36" s="18" t="n">
        <v>88.5</v>
      </c>
    </row>
    <row r="37">
      <c r="B37" s="20" t="n">
        <v>10034</v>
      </c>
      <c r="C37" s="20" t="n">
        <v>141001</v>
      </c>
      <c r="D37" s="20" t="inlineStr">
        <is>
          <t>九天玄雷决</t>
        </is>
      </c>
      <c r="E37" s="20" t="inlineStr">
        <is>
          <t>34</t>
        </is>
      </c>
      <c r="F37" s="20" t="inlineStr">
        <is>
          <t>8|8|8|8|8|8|8|8</t>
        </is>
      </c>
      <c r="G37" s="20" t="inlineStr">
        <is>
          <t>10001|173400$124001|106352$124004|1487</t>
        </is>
      </c>
      <c r="J37" s="26" t="inlineStr">
        <is>
          <t>造成八段伤害，每段伤害为[0]%</t>
        </is>
      </c>
      <c r="K37" s="18" t="n">
        <v>90.875</v>
      </c>
    </row>
    <row r="38">
      <c r="B38" s="20" t="n">
        <v>10035</v>
      </c>
      <c r="C38" s="20" t="n">
        <v>141001</v>
      </c>
      <c r="D38" s="20" t="inlineStr">
        <is>
          <t>九天玄雷决</t>
        </is>
      </c>
      <c r="E38" s="20" t="inlineStr">
        <is>
          <t>35</t>
        </is>
      </c>
      <c r="F38" s="20" t="inlineStr">
        <is>
          <t>9|9|9|9|9|9|9|9</t>
        </is>
      </c>
      <c r="G38" s="20" t="inlineStr">
        <is>
          <t>10001|183750$124001|112700$124004|1553</t>
        </is>
      </c>
      <c r="J38" s="26" t="inlineStr">
        <is>
          <t>造成八段伤害，每段伤害为[0]%</t>
        </is>
      </c>
      <c r="K38" s="18" t="n">
        <v>93.25</v>
      </c>
    </row>
    <row r="39">
      <c r="B39" s="20" t="n">
        <v>10036</v>
      </c>
      <c r="C39" s="20" t="n">
        <v>141001</v>
      </c>
      <c r="D39" s="20" t="inlineStr">
        <is>
          <t>九天玄雷决</t>
        </is>
      </c>
      <c r="E39" s="20" t="inlineStr">
        <is>
          <t>36</t>
        </is>
      </c>
      <c r="F39" s="20" t="inlineStr">
        <is>
          <t>10|10|10|10|10|10|10|10</t>
        </is>
      </c>
      <c r="G39" s="20" t="inlineStr">
        <is>
          <t>10001|194400$124001|119232$124004|1620</t>
        </is>
      </c>
      <c r="J39" s="26" t="inlineStr">
        <is>
          <t>造成八段伤害，每段伤害为[0]%</t>
        </is>
      </c>
      <c r="K39" s="18" t="n">
        <v>95.625</v>
      </c>
    </row>
    <row r="40">
      <c r="B40" s="20" t="n">
        <v>10037</v>
      </c>
      <c r="C40" s="20" t="n">
        <v>141001</v>
      </c>
      <c r="D40" s="20" t="inlineStr">
        <is>
          <t>九天玄雷决</t>
        </is>
      </c>
      <c r="E40" s="20" t="inlineStr">
        <is>
          <t>37</t>
        </is>
      </c>
      <c r="F40" s="20" t="inlineStr">
        <is>
          <t>12|12|12|12|12|12|12|12</t>
        </is>
      </c>
      <c r="G40" s="20" t="inlineStr">
        <is>
          <t>10001|205350$124001|125948$124004|1688</t>
        </is>
      </c>
      <c r="J40" s="26" t="inlineStr">
        <is>
          <t>造成八段伤害，每段伤害为[0]%</t>
        </is>
      </c>
      <c r="K40" s="18" t="n">
        <v>98</v>
      </c>
    </row>
    <row r="41">
      <c r="B41" s="20" t="n">
        <v>10038</v>
      </c>
      <c r="C41" s="20" t="n">
        <v>141001</v>
      </c>
      <c r="D41" s="20" t="inlineStr">
        <is>
          <t>九天玄雷决</t>
        </is>
      </c>
      <c r="E41" s="20" t="inlineStr">
        <is>
          <t>38</t>
        </is>
      </c>
      <c r="F41" s="20" t="inlineStr">
        <is>
          <t>13|13|13|13|13|13|13|13</t>
        </is>
      </c>
      <c r="G41" s="20" t="inlineStr">
        <is>
          <t>10001|216600$124001|132848$124004|1757</t>
        </is>
      </c>
      <c r="J41" s="26" t="inlineStr">
        <is>
          <t>造成八段伤害，每段伤害为[0]%</t>
        </is>
      </c>
      <c r="K41" s="18" t="n">
        <v>100.375</v>
      </c>
    </row>
    <row r="42">
      <c r="B42" s="20" t="n">
        <v>10039</v>
      </c>
      <c r="C42" s="20" t="n">
        <v>141001</v>
      </c>
      <c r="D42" s="20" t="inlineStr">
        <is>
          <t>九天玄雷决</t>
        </is>
      </c>
      <c r="E42" s="20" t="inlineStr">
        <is>
          <t>39</t>
        </is>
      </c>
      <c r="F42" s="20" t="inlineStr">
        <is>
          <t>14|14|14|14|14|14|14|14</t>
        </is>
      </c>
      <c r="G42" s="20" t="inlineStr">
        <is>
          <t>10001|228150$124001|139932$124004|1827</t>
        </is>
      </c>
      <c r="J42" s="26" t="inlineStr">
        <is>
          <t>造成八段伤害，每段伤害为[0]%</t>
        </is>
      </c>
      <c r="K42" s="18" t="n">
        <v>102.75</v>
      </c>
    </row>
    <row r="43">
      <c r="B43" s="20" t="n">
        <v>10040</v>
      </c>
      <c r="C43" s="20" t="n">
        <v>141001</v>
      </c>
      <c r="D43" s="20" t="inlineStr">
        <is>
          <t>九天玄雷决</t>
        </is>
      </c>
      <c r="E43" s="20" t="inlineStr">
        <is>
          <t>40</t>
        </is>
      </c>
      <c r="F43" s="20" t="inlineStr">
        <is>
          <t>16|16|16|16|16|16|16|16</t>
        </is>
      </c>
      <c r="G43" s="20" t="inlineStr">
        <is>
          <t>10001|240000$125001|147200$125004|1897</t>
        </is>
      </c>
      <c r="J43" s="26" t="inlineStr">
        <is>
          <t>造成八段伤害，每段伤害为[0]%</t>
        </is>
      </c>
      <c r="K43" s="18" t="n">
        <v>105.125</v>
      </c>
    </row>
    <row r="44">
      <c r="B44" s="20" t="n">
        <v>10041</v>
      </c>
      <c r="C44" s="20" t="n">
        <v>141001</v>
      </c>
      <c r="D44" s="20" t="inlineStr">
        <is>
          <t>九天玄雷决</t>
        </is>
      </c>
      <c r="E44" s="20" t="inlineStr">
        <is>
          <t>41</t>
        </is>
      </c>
      <c r="F44" s="20" t="inlineStr">
        <is>
          <t>17|17|17|17|17|17|17|17</t>
        </is>
      </c>
      <c r="G44" s="20" t="inlineStr">
        <is>
          <t>10001|252150$125001|154652$125004|1969</t>
        </is>
      </c>
      <c r="J44" s="26" t="inlineStr">
        <is>
          <t>造成八段伤害，每段伤害为[0]%</t>
        </is>
      </c>
      <c r="K44" s="18" t="n">
        <v>107.5</v>
      </c>
    </row>
    <row r="45">
      <c r="B45" s="20" t="n">
        <v>10042</v>
      </c>
      <c r="C45" s="20" t="n">
        <v>141001</v>
      </c>
      <c r="D45" s="20" t="inlineStr">
        <is>
          <t>九天玄雷决</t>
        </is>
      </c>
      <c r="E45" s="20" t="inlineStr">
        <is>
          <t>42</t>
        </is>
      </c>
      <c r="F45" s="20" t="inlineStr">
        <is>
          <t>19|19|19|19|19|19|19|19</t>
        </is>
      </c>
      <c r="G45" s="20" t="inlineStr">
        <is>
          <t>10001|264600$125001|162288$125004|2041</t>
        </is>
      </c>
      <c r="J45" s="26" t="inlineStr">
        <is>
          <t>造成八段伤害，每段伤害为[0]%</t>
        </is>
      </c>
      <c r="K45" s="18" t="n">
        <v>109.875</v>
      </c>
    </row>
    <row r="46">
      <c r="B46" s="20" t="n">
        <v>10043</v>
      </c>
      <c r="C46" s="20" t="n">
        <v>141001</v>
      </c>
      <c r="D46" s="20" t="inlineStr">
        <is>
          <t>九天玄雷决</t>
        </is>
      </c>
      <c r="E46" s="20" t="inlineStr">
        <is>
          <t>43</t>
        </is>
      </c>
      <c r="F46" s="20" t="inlineStr">
        <is>
          <t>20|20|20|20|20|20|20|20</t>
        </is>
      </c>
      <c r="G46" s="20" t="inlineStr">
        <is>
          <t>10001|277350$125001|170108$125004|2115</t>
        </is>
      </c>
      <c r="J46" s="26" t="inlineStr">
        <is>
          <t>造成八段伤害，每段伤害为[0]%</t>
        </is>
      </c>
      <c r="K46" s="18" t="n">
        <v>112.25</v>
      </c>
    </row>
    <row r="47">
      <c r="B47" s="20" t="n">
        <v>10044</v>
      </c>
      <c r="C47" s="20" t="n">
        <v>141001</v>
      </c>
      <c r="D47" s="20" t="inlineStr">
        <is>
          <t>九天玄雷决</t>
        </is>
      </c>
      <c r="E47" s="20" t="inlineStr">
        <is>
          <t>44</t>
        </is>
      </c>
      <c r="F47" s="20" t="inlineStr">
        <is>
          <t>21|21|21|21|21|21|21|21</t>
        </is>
      </c>
      <c r="G47" s="20" t="inlineStr">
        <is>
          <t>10001|290400$125001|178112$125004|2189</t>
        </is>
      </c>
      <c r="J47" s="26" t="inlineStr">
        <is>
          <t>造成八段伤害，每段伤害为[0]%</t>
        </is>
      </c>
      <c r="K47" s="18" t="n">
        <v>114.625</v>
      </c>
    </row>
    <row r="48">
      <c r="B48" s="20" t="n">
        <v>10045</v>
      </c>
      <c r="C48" s="20" t="n">
        <v>141001</v>
      </c>
      <c r="D48" s="20" t="inlineStr">
        <is>
          <t>九天玄雷决</t>
        </is>
      </c>
      <c r="E48" s="20" t="inlineStr">
        <is>
          <t>45</t>
        </is>
      </c>
      <c r="F48" s="20" t="inlineStr">
        <is>
          <t>23|23|23|23|23|23|23|23</t>
        </is>
      </c>
      <c r="G48" s="20" t="inlineStr">
        <is>
          <t>10001|303750$125001|186300$125004|2264</t>
        </is>
      </c>
      <c r="J48" s="26" t="inlineStr">
        <is>
          <t>造成八段伤害，每段伤害为[0]%</t>
        </is>
      </c>
      <c r="K48" s="18" t="n">
        <v>117</v>
      </c>
    </row>
    <row r="49">
      <c r="B49" s="20" t="n">
        <v>10046</v>
      </c>
      <c r="C49" s="20" t="n">
        <v>141001</v>
      </c>
      <c r="D49" s="20" t="inlineStr">
        <is>
          <t>九天玄雷决</t>
        </is>
      </c>
      <c r="E49" s="20" t="inlineStr">
        <is>
          <t>46</t>
        </is>
      </c>
      <c r="F49" s="20" t="inlineStr">
        <is>
          <t>24|24|24|24|24|24|24|24</t>
        </is>
      </c>
      <c r="G49" s="20" t="inlineStr">
        <is>
          <t>10001|317400$125001|194672$125004|2340</t>
        </is>
      </c>
      <c r="J49" s="26" t="inlineStr">
        <is>
          <t>造成八段伤害，每段伤害为[0]%</t>
        </is>
      </c>
      <c r="K49" s="18" t="n">
        <v>119.375</v>
      </c>
    </row>
    <row r="50">
      <c r="B50" s="20" t="n">
        <v>10047</v>
      </c>
      <c r="C50" s="20" t="n">
        <v>141001</v>
      </c>
      <c r="D50" s="20" t="inlineStr">
        <is>
          <t>九天玄雷决</t>
        </is>
      </c>
      <c r="E50" s="20" t="inlineStr">
        <is>
          <t>47</t>
        </is>
      </c>
      <c r="F50" s="20" t="inlineStr">
        <is>
          <t>25|25|25|25|25|25|25|25</t>
        </is>
      </c>
      <c r="G50" s="20" t="inlineStr">
        <is>
          <t>10001|331350$125001|203228$125004|2417</t>
        </is>
      </c>
      <c r="J50" s="26" t="inlineStr">
        <is>
          <t>造成八段伤害，每段伤害为[0]%</t>
        </is>
      </c>
      <c r="K50" s="18" t="n">
        <v>121.75</v>
      </c>
    </row>
    <row r="51">
      <c r="B51" s="20" t="n">
        <v>10048</v>
      </c>
      <c r="C51" s="20" t="n">
        <v>141001</v>
      </c>
      <c r="D51" s="20" t="inlineStr">
        <is>
          <t>九天玄雷决</t>
        </is>
      </c>
      <c r="E51" s="20" t="inlineStr">
        <is>
          <t>48</t>
        </is>
      </c>
      <c r="F51" s="20" t="inlineStr">
        <is>
          <t>27|27|27|27|27|27|27|27</t>
        </is>
      </c>
      <c r="G51" s="20" t="inlineStr">
        <is>
          <t>10001|345600$125001|211968$125004|2494</t>
        </is>
      </c>
      <c r="J51" s="26" t="inlineStr">
        <is>
          <t>造成八段伤害，每段伤害为[0]%</t>
        </is>
      </c>
      <c r="K51" s="18" t="n">
        <v>124.125</v>
      </c>
    </row>
    <row r="52">
      <c r="B52" s="20" t="n">
        <v>10049</v>
      </c>
      <c r="C52" s="20" t="n">
        <v>141001</v>
      </c>
      <c r="D52" s="20" t="inlineStr">
        <is>
          <t>九天玄雷决</t>
        </is>
      </c>
      <c r="E52" s="20" t="inlineStr">
        <is>
          <t>49</t>
        </is>
      </c>
      <c r="F52" s="20" t="inlineStr">
        <is>
          <t>28|28|28|28|28|28|28|28</t>
        </is>
      </c>
      <c r="G52" s="20" t="inlineStr">
        <is>
          <t>10001|360150$125001|220892$125004|2573</t>
        </is>
      </c>
      <c r="J52" s="26" t="inlineStr">
        <is>
          <t>造成八段伤害，每段伤害为[0]%</t>
        </is>
      </c>
      <c r="K52" s="18" t="n">
        <v>126.5</v>
      </c>
    </row>
    <row r="53">
      <c r="B53" s="20" t="n">
        <v>10050</v>
      </c>
      <c r="C53" s="20" t="n">
        <v>141001</v>
      </c>
      <c r="D53" s="20" t="inlineStr">
        <is>
          <t>九天玄雷决</t>
        </is>
      </c>
      <c r="E53" s="20" t="inlineStr">
        <is>
          <t>50</t>
        </is>
      </c>
      <c r="F53" s="20" t="inlineStr">
        <is>
          <t>30|30|30|30|30|30|30|30</t>
        </is>
      </c>
      <c r="G53" s="20" t="inlineStr">
        <is>
          <t>10001|375000$125001|230000$125004|2652</t>
        </is>
      </c>
      <c r="J53" s="26" t="inlineStr">
        <is>
          <t>造成八段伤害，每段伤害为[0]%</t>
        </is>
      </c>
      <c r="K53" s="18" t="n">
        <v>128.875</v>
      </c>
    </row>
    <row r="54">
      <c r="B54" s="18" t="n">
        <v>10051</v>
      </c>
      <c r="C54" s="18" t="inlineStr">
        <is>
          <t>211010</t>
        </is>
      </c>
      <c r="D54" s="18" t="inlineStr">
        <is>
          <t>光弹</t>
        </is>
      </c>
      <c r="E54" s="18" t="inlineStr">
        <is>
          <t>1</t>
        </is>
      </c>
      <c r="F54" s="18" t="inlineStr">
        <is>
          <t>0</t>
        </is>
      </c>
      <c r="G54" s="18" t="inlineStr">
        <is>
          <t>10001|19$121001|12</t>
        </is>
      </c>
    </row>
    <row r="55">
      <c r="B55" s="18" t="n">
        <v>10052</v>
      </c>
      <c r="C55" s="18" t="inlineStr">
        <is>
          <t>211010</t>
        </is>
      </c>
      <c r="D55" s="18" t="inlineStr">
        <is>
          <t>光弹</t>
        </is>
      </c>
      <c r="E55" s="18" t="inlineStr">
        <is>
          <t>2</t>
        </is>
      </c>
      <c r="F55" s="18" t="inlineStr">
        <is>
          <t>5</t>
        </is>
      </c>
      <c r="G55" s="18" t="inlineStr">
        <is>
          <t>10001|53$121001|33</t>
        </is>
      </c>
    </row>
    <row r="56">
      <c r="B56" s="18" t="n">
        <v>10053</v>
      </c>
      <c r="C56" s="18" t="inlineStr">
        <is>
          <t>211010</t>
        </is>
      </c>
      <c r="D56" s="18" t="inlineStr">
        <is>
          <t>光弹</t>
        </is>
      </c>
      <c r="E56" s="18" t="inlineStr">
        <is>
          <t>3</t>
        </is>
      </c>
      <c r="F56" s="18" t="inlineStr">
        <is>
          <t>10</t>
        </is>
      </c>
      <c r="G56" s="18" t="inlineStr">
        <is>
          <t>10001|97$121001|60</t>
        </is>
      </c>
    </row>
    <row r="57">
      <c r="B57" s="18" t="n">
        <v>10054</v>
      </c>
      <c r="C57" s="18" t="inlineStr">
        <is>
          <t>211010</t>
        </is>
      </c>
      <c r="D57" s="18" t="inlineStr">
        <is>
          <t>光弹</t>
        </is>
      </c>
      <c r="E57" s="18" t="inlineStr">
        <is>
          <t>4</t>
        </is>
      </c>
      <c r="F57" s="18" t="inlineStr">
        <is>
          <t>15</t>
        </is>
      </c>
      <c r="G57" s="18" t="inlineStr">
        <is>
          <t>10001|150$121001|92</t>
        </is>
      </c>
    </row>
    <row r="58">
      <c r="B58" s="18" t="n">
        <v>10055</v>
      </c>
      <c r="C58" s="18" t="inlineStr">
        <is>
          <t>211010</t>
        </is>
      </c>
      <c r="D58" s="18" t="inlineStr">
        <is>
          <t>光弹</t>
        </is>
      </c>
      <c r="E58" s="18" t="inlineStr">
        <is>
          <t>5</t>
        </is>
      </c>
      <c r="F58" s="18" t="inlineStr">
        <is>
          <t>20</t>
        </is>
      </c>
      <c r="G58" s="18" t="inlineStr">
        <is>
          <t>10001|210$121001|129</t>
        </is>
      </c>
    </row>
    <row r="59">
      <c r="B59" s="18" t="n">
        <v>10056</v>
      </c>
      <c r="C59" s="18" t="inlineStr">
        <is>
          <t>211010</t>
        </is>
      </c>
      <c r="D59" s="18" t="inlineStr">
        <is>
          <t>光弹</t>
        </is>
      </c>
      <c r="E59" s="18" t="inlineStr">
        <is>
          <t>6</t>
        </is>
      </c>
      <c r="F59" s="18" t="inlineStr">
        <is>
          <t>25</t>
        </is>
      </c>
      <c r="G59" s="18" t="inlineStr">
        <is>
          <t>10001|276$121001|169</t>
        </is>
      </c>
    </row>
    <row r="60">
      <c r="B60" s="18" t="n">
        <v>10057</v>
      </c>
      <c r="C60" s="18" t="inlineStr">
        <is>
          <t>211010</t>
        </is>
      </c>
      <c r="D60" s="18" t="inlineStr">
        <is>
          <t>光弹</t>
        </is>
      </c>
      <c r="E60" s="18" t="inlineStr">
        <is>
          <t>7</t>
        </is>
      </c>
      <c r="F60" s="18" t="inlineStr">
        <is>
          <t>30</t>
        </is>
      </c>
      <c r="G60" s="18" t="inlineStr">
        <is>
          <t>10001|347$121001|213</t>
        </is>
      </c>
    </row>
    <row r="61">
      <c r="B61" s="18" t="n">
        <v>10058</v>
      </c>
      <c r="C61" s="18" t="inlineStr">
        <is>
          <t>211010</t>
        </is>
      </c>
      <c r="D61" s="18" t="inlineStr">
        <is>
          <t>光弹</t>
        </is>
      </c>
      <c r="E61" s="18" t="inlineStr">
        <is>
          <t>8</t>
        </is>
      </c>
      <c r="F61" s="18" t="inlineStr">
        <is>
          <t>35</t>
        </is>
      </c>
      <c r="G61" s="18" t="inlineStr">
        <is>
          <t>10001|424$121001|260</t>
        </is>
      </c>
    </row>
    <row r="62">
      <c r="B62" s="18" t="n">
        <v>10059</v>
      </c>
      <c r="C62" s="18" t="inlineStr">
        <is>
          <t>211010</t>
        </is>
      </c>
      <c r="D62" s="18" t="inlineStr">
        <is>
          <t>光弹</t>
        </is>
      </c>
      <c r="E62" s="18" t="inlineStr">
        <is>
          <t>9</t>
        </is>
      </c>
      <c r="F62" s="18" t="inlineStr">
        <is>
          <t>40</t>
        </is>
      </c>
      <c r="G62" s="18" t="inlineStr">
        <is>
          <t>10001|506$121001|311</t>
        </is>
      </c>
    </row>
    <row r="63">
      <c r="B63" s="18" t="n">
        <v>10060</v>
      </c>
      <c r="C63" s="18" t="inlineStr">
        <is>
          <t>211010</t>
        </is>
      </c>
      <c r="D63" s="18" t="inlineStr">
        <is>
          <t>光弹</t>
        </is>
      </c>
      <c r="E63" s="18" t="inlineStr">
        <is>
          <t>10</t>
        </is>
      </c>
      <c r="F63" s="18" t="inlineStr">
        <is>
          <t>45</t>
        </is>
      </c>
      <c r="G63" s="18" t="inlineStr">
        <is>
          <t>10001|593$121001|364</t>
        </is>
      </c>
    </row>
    <row r="64">
      <c r="B64" s="18" t="n">
        <v>10061</v>
      </c>
      <c r="C64" s="18" t="inlineStr">
        <is>
          <t>211010</t>
        </is>
      </c>
      <c r="D64" s="18" t="inlineStr">
        <is>
          <t>光弹</t>
        </is>
      </c>
      <c r="E64" s="18" t="inlineStr">
        <is>
          <t>11</t>
        </is>
      </c>
      <c r="F64" s="18" t="inlineStr">
        <is>
          <t>50</t>
        </is>
      </c>
      <c r="G64" s="18" t="inlineStr">
        <is>
          <t>10001|684$122001|420</t>
        </is>
      </c>
    </row>
    <row r="65">
      <c r="B65" s="18" t="n">
        <v>10062</v>
      </c>
      <c r="C65" s="18" t="inlineStr">
        <is>
          <t>211010</t>
        </is>
      </c>
      <c r="D65" s="18" t="inlineStr">
        <is>
          <t>光弹</t>
        </is>
      </c>
      <c r="E65" s="18" t="inlineStr">
        <is>
          <t>12</t>
        </is>
      </c>
      <c r="F65" s="18" t="inlineStr">
        <is>
          <t>55</t>
        </is>
      </c>
      <c r="G65" s="18" t="inlineStr">
        <is>
          <t>10001|779$122001|478</t>
        </is>
      </c>
    </row>
    <row r="66">
      <c r="B66" s="18" t="n">
        <v>10063</v>
      </c>
      <c r="C66" s="18" t="inlineStr">
        <is>
          <t>211010</t>
        </is>
      </c>
      <c r="D66" s="18" t="inlineStr">
        <is>
          <t>光弹</t>
        </is>
      </c>
      <c r="E66" s="18" t="inlineStr">
        <is>
          <t>13</t>
        </is>
      </c>
      <c r="F66" s="18" t="inlineStr">
        <is>
          <t>60</t>
        </is>
      </c>
      <c r="G66" s="18" t="inlineStr">
        <is>
          <t>10001|879$122001|539</t>
        </is>
      </c>
    </row>
    <row r="67">
      <c r="B67" s="18" t="n">
        <v>10064</v>
      </c>
      <c r="C67" s="18" t="inlineStr">
        <is>
          <t>211010</t>
        </is>
      </c>
      <c r="D67" s="18" t="inlineStr">
        <is>
          <t>光弹</t>
        </is>
      </c>
      <c r="E67" s="18" t="inlineStr">
        <is>
          <t>14</t>
        </is>
      </c>
      <c r="F67" s="18" t="inlineStr">
        <is>
          <t>65</t>
        </is>
      </c>
      <c r="G67" s="18" t="inlineStr">
        <is>
          <t>10001|982$122001|602</t>
        </is>
      </c>
    </row>
    <row r="68">
      <c r="B68" s="18" t="n">
        <v>10065</v>
      </c>
      <c r="C68" s="18" t="inlineStr">
        <is>
          <t>211010</t>
        </is>
      </c>
      <c r="D68" s="18" t="inlineStr">
        <is>
          <t>光弹</t>
        </is>
      </c>
      <c r="E68" s="18" t="inlineStr">
        <is>
          <t>15</t>
        </is>
      </c>
      <c r="F68" s="18" t="inlineStr">
        <is>
          <t>70</t>
        </is>
      </c>
      <c r="G68" s="18" t="inlineStr">
        <is>
          <t>10001|1089$122001|668</t>
        </is>
      </c>
    </row>
    <row r="69">
      <c r="B69" s="18" t="n">
        <v>10066</v>
      </c>
      <c r="C69" s="18" t="inlineStr">
        <is>
          <t>211010</t>
        </is>
      </c>
      <c r="D69" s="18" t="inlineStr">
        <is>
          <t>光弹</t>
        </is>
      </c>
      <c r="E69" s="18" t="inlineStr">
        <is>
          <t>16</t>
        </is>
      </c>
      <c r="F69" s="18" t="inlineStr">
        <is>
          <t>75</t>
        </is>
      </c>
      <c r="G69" s="18" t="inlineStr">
        <is>
          <t>10001|1200$122001|736</t>
        </is>
      </c>
    </row>
    <row r="70">
      <c r="B70" s="18" t="n">
        <v>10067</v>
      </c>
      <c r="C70" s="18" t="inlineStr">
        <is>
          <t>211010</t>
        </is>
      </c>
      <c r="D70" s="18" t="inlineStr">
        <is>
          <t>光弹</t>
        </is>
      </c>
      <c r="E70" s="18" t="inlineStr">
        <is>
          <t>17</t>
        </is>
      </c>
      <c r="F70" s="18" t="inlineStr">
        <is>
          <t>80</t>
        </is>
      </c>
      <c r="G70" s="18" t="inlineStr">
        <is>
          <t>10001|1314$122001|806</t>
        </is>
      </c>
    </row>
    <row r="71">
      <c r="B71" s="18" t="n">
        <v>10068</v>
      </c>
      <c r="C71" s="18" t="inlineStr">
        <is>
          <t>211010</t>
        </is>
      </c>
      <c r="D71" s="18" t="inlineStr">
        <is>
          <t>光弹</t>
        </is>
      </c>
      <c r="E71" s="18" t="inlineStr">
        <is>
          <t>18</t>
        </is>
      </c>
      <c r="F71" s="18" t="inlineStr">
        <is>
          <t>85</t>
        </is>
      </c>
      <c r="G71" s="18" t="inlineStr">
        <is>
          <t>10001|1432$122001|878</t>
        </is>
      </c>
    </row>
    <row r="72">
      <c r="B72" s="18" t="n">
        <v>10069</v>
      </c>
      <c r="C72" s="18" t="inlineStr">
        <is>
          <t>211010</t>
        </is>
      </c>
      <c r="D72" s="18" t="inlineStr">
        <is>
          <t>光弹</t>
        </is>
      </c>
      <c r="E72" s="18" t="inlineStr">
        <is>
          <t>19</t>
        </is>
      </c>
      <c r="F72" s="18" t="inlineStr">
        <is>
          <t>90</t>
        </is>
      </c>
      <c r="G72" s="18" t="inlineStr">
        <is>
          <t>10001|1553$122001|952</t>
        </is>
      </c>
    </row>
    <row r="73">
      <c r="B73" s="18" t="n">
        <v>10070</v>
      </c>
      <c r="C73" s="18" t="inlineStr">
        <is>
          <t>211010</t>
        </is>
      </c>
      <c r="D73" s="18" t="inlineStr">
        <is>
          <t>光弹</t>
        </is>
      </c>
      <c r="E73" s="18" t="inlineStr">
        <is>
          <t>20</t>
        </is>
      </c>
      <c r="F73" s="18" t="inlineStr">
        <is>
          <t>95</t>
        </is>
      </c>
      <c r="G73" s="18" t="inlineStr">
        <is>
          <t>10001|1677$122001|1029</t>
        </is>
      </c>
    </row>
    <row r="74">
      <c r="B74" s="18" t="n">
        <v>10071</v>
      </c>
      <c r="C74" s="18" t="inlineStr">
        <is>
          <t>211010</t>
        </is>
      </c>
      <c r="D74" s="18" t="inlineStr">
        <is>
          <t>光弹</t>
        </is>
      </c>
      <c r="E74" s="18" t="inlineStr">
        <is>
          <t>21</t>
        </is>
      </c>
      <c r="F74" s="18" t="inlineStr">
        <is>
          <t>100</t>
        </is>
      </c>
      <c r="G74" s="18" t="inlineStr">
        <is>
          <t>10001|1804$123001|1107</t>
        </is>
      </c>
    </row>
    <row r="75">
      <c r="B75" s="18" t="n">
        <v>10072</v>
      </c>
      <c r="C75" s="18" t="inlineStr">
        <is>
          <t>211010</t>
        </is>
      </c>
      <c r="D75" s="18" t="inlineStr">
        <is>
          <t>光弹</t>
        </is>
      </c>
      <c r="E75" s="18" t="inlineStr">
        <is>
          <t>22</t>
        </is>
      </c>
      <c r="F75" s="18" t="inlineStr">
        <is>
          <t>105</t>
        </is>
      </c>
      <c r="G75" s="18" t="inlineStr">
        <is>
          <t>10001|1935$123001|1187</t>
        </is>
      </c>
    </row>
    <row r="76">
      <c r="B76" s="18" t="n">
        <v>10073</v>
      </c>
      <c r="C76" s="18" t="inlineStr">
        <is>
          <t>211010</t>
        </is>
      </c>
      <c r="D76" s="18" t="inlineStr">
        <is>
          <t>光弹</t>
        </is>
      </c>
      <c r="E76" s="18" t="inlineStr">
        <is>
          <t>23</t>
        </is>
      </c>
      <c r="F76" s="18" t="inlineStr">
        <is>
          <t>110</t>
        </is>
      </c>
      <c r="G76" s="18" t="inlineStr">
        <is>
          <t>10001|2068$123001|1268</t>
        </is>
      </c>
    </row>
    <row r="77">
      <c r="B77" s="18" t="n">
        <v>10074</v>
      </c>
      <c r="C77" s="18" t="inlineStr">
        <is>
          <t>211010</t>
        </is>
      </c>
      <c r="D77" s="18" t="inlineStr">
        <is>
          <t>光弹</t>
        </is>
      </c>
      <c r="E77" s="18" t="inlineStr">
        <is>
          <t>24</t>
        </is>
      </c>
      <c r="F77" s="18" t="inlineStr">
        <is>
          <t>115</t>
        </is>
      </c>
      <c r="G77" s="18" t="inlineStr">
        <is>
          <t>10001|2205$123001|1352</t>
        </is>
      </c>
    </row>
    <row r="78">
      <c r="B78" s="18" t="n">
        <v>10075</v>
      </c>
      <c r="C78" s="18" t="inlineStr">
        <is>
          <t>211010</t>
        </is>
      </c>
      <c r="D78" s="18" t="inlineStr">
        <is>
          <t>光弹</t>
        </is>
      </c>
      <c r="E78" s="18" t="inlineStr">
        <is>
          <t>25</t>
        </is>
      </c>
      <c r="F78" s="18" t="inlineStr">
        <is>
          <t>120</t>
        </is>
      </c>
      <c r="G78" s="18" t="inlineStr">
        <is>
          <t>10001|2344$123001|1438</t>
        </is>
      </c>
    </row>
    <row r="79">
      <c r="B79" s="18" t="n">
        <v>10076</v>
      </c>
      <c r="C79" s="18" t="inlineStr">
        <is>
          <t>211010</t>
        </is>
      </c>
      <c r="D79" s="18" t="inlineStr">
        <is>
          <t>光弹</t>
        </is>
      </c>
      <c r="E79" s="18" t="inlineStr">
        <is>
          <t>26</t>
        </is>
      </c>
      <c r="F79" s="18" t="inlineStr">
        <is>
          <t>125</t>
        </is>
      </c>
      <c r="G79" s="18" t="inlineStr">
        <is>
          <t>10001|2486$123001|1525</t>
        </is>
      </c>
    </row>
    <row r="80">
      <c r="B80" s="18" t="n">
        <v>10077</v>
      </c>
      <c r="C80" s="18" t="inlineStr">
        <is>
          <t>211010</t>
        </is>
      </c>
      <c r="D80" s="18" t="inlineStr">
        <is>
          <t>光弹</t>
        </is>
      </c>
      <c r="E80" s="18" t="inlineStr">
        <is>
          <t>27</t>
        </is>
      </c>
      <c r="F80" s="18" t="inlineStr">
        <is>
          <t>130</t>
        </is>
      </c>
      <c r="G80" s="18" t="inlineStr">
        <is>
          <t>10001|2631$123001|1613</t>
        </is>
      </c>
    </row>
    <row r="81">
      <c r="B81" s="18" t="n">
        <v>10078</v>
      </c>
      <c r="C81" s="18" t="inlineStr">
        <is>
          <t>211010</t>
        </is>
      </c>
      <c r="D81" s="18" t="inlineStr">
        <is>
          <t>光弹</t>
        </is>
      </c>
      <c r="E81" s="18" t="inlineStr">
        <is>
          <t>28</t>
        </is>
      </c>
      <c r="F81" s="18" t="inlineStr">
        <is>
          <t>135</t>
        </is>
      </c>
      <c r="G81" s="18" t="inlineStr">
        <is>
          <t>10001|2778$123001|1704</t>
        </is>
      </c>
    </row>
    <row r="82">
      <c r="B82" s="18" t="n">
        <v>10079</v>
      </c>
      <c r="C82" s="18" t="inlineStr">
        <is>
          <t>211010</t>
        </is>
      </c>
      <c r="D82" s="18" t="inlineStr">
        <is>
          <t>光弹</t>
        </is>
      </c>
      <c r="E82" s="18" t="inlineStr">
        <is>
          <t>29</t>
        </is>
      </c>
      <c r="F82" s="18" t="inlineStr">
        <is>
          <t>140</t>
        </is>
      </c>
      <c r="G82" s="18" t="inlineStr">
        <is>
          <t>10001|2928$123001|1796</t>
        </is>
      </c>
    </row>
    <row r="83">
      <c r="B83" s="18" t="n">
        <v>10080</v>
      </c>
      <c r="C83" s="18" t="inlineStr">
        <is>
          <t>211010</t>
        </is>
      </c>
      <c r="D83" s="18" t="inlineStr">
        <is>
          <t>光弹</t>
        </is>
      </c>
      <c r="E83" s="18" t="inlineStr">
        <is>
          <t>30</t>
        </is>
      </c>
      <c r="F83" s="18" t="inlineStr">
        <is>
          <t>145</t>
        </is>
      </c>
      <c r="G83" s="18" t="inlineStr">
        <is>
          <t>10001|3081$123001|1890</t>
        </is>
      </c>
    </row>
    <row r="84">
      <c r="B84" s="18" t="n">
        <v>10081</v>
      </c>
      <c r="C84" s="18" t="inlineStr">
        <is>
          <t>211010</t>
        </is>
      </c>
      <c r="D84" s="18" t="inlineStr">
        <is>
          <t>光弹</t>
        </is>
      </c>
      <c r="E84" s="18" t="inlineStr">
        <is>
          <t>31</t>
        </is>
      </c>
      <c r="F84" s="18" t="inlineStr">
        <is>
          <t>150</t>
        </is>
      </c>
      <c r="G84" s="18" t="inlineStr">
        <is>
          <t>10001|3236$123001|1985</t>
        </is>
      </c>
    </row>
    <row r="85">
      <c r="B85" s="18" t="n">
        <v>10082</v>
      </c>
      <c r="C85" s="18" t="inlineStr">
        <is>
          <t>211010</t>
        </is>
      </c>
      <c r="D85" s="18" t="inlineStr">
        <is>
          <t>光弹</t>
        </is>
      </c>
      <c r="E85" s="18" t="inlineStr">
        <is>
          <t>32</t>
        </is>
      </c>
      <c r="F85" s="18" t="inlineStr">
        <is>
          <t>155</t>
        </is>
      </c>
      <c r="G85" s="18" t="inlineStr">
        <is>
          <t>10001|3394$123001|2082</t>
        </is>
      </c>
    </row>
    <row r="86">
      <c r="B86" s="18" t="n">
        <v>10083</v>
      </c>
      <c r="C86" s="18" t="inlineStr">
        <is>
          <t>211010</t>
        </is>
      </c>
      <c r="D86" s="18" t="inlineStr">
        <is>
          <t>光弹</t>
        </is>
      </c>
      <c r="E86" s="18" t="inlineStr">
        <is>
          <t>33</t>
        </is>
      </c>
      <c r="F86" s="18" t="inlineStr">
        <is>
          <t>160</t>
        </is>
      </c>
      <c r="G86" s="18" t="inlineStr">
        <is>
          <t>10001|3554$124001|2180</t>
        </is>
      </c>
    </row>
    <row r="87">
      <c r="B87" s="18" t="n">
        <v>10084</v>
      </c>
      <c r="C87" s="18" t="inlineStr">
        <is>
          <t>211010</t>
        </is>
      </c>
      <c r="D87" s="18" t="inlineStr">
        <is>
          <t>光弹</t>
        </is>
      </c>
      <c r="E87" s="18" t="inlineStr">
        <is>
          <t>34</t>
        </is>
      </c>
      <c r="F87" s="18" t="inlineStr">
        <is>
          <t>165</t>
        </is>
      </c>
      <c r="G87" s="18" t="inlineStr">
        <is>
          <t>10001|3717$124001|2280</t>
        </is>
      </c>
    </row>
    <row r="88">
      <c r="B88" s="18" t="n">
        <v>10085</v>
      </c>
      <c r="C88" s="18" t="inlineStr">
        <is>
          <t>211010</t>
        </is>
      </c>
      <c r="D88" s="18" t="inlineStr">
        <is>
          <t>光弹</t>
        </is>
      </c>
      <c r="E88" s="18" t="inlineStr">
        <is>
          <t>35</t>
        </is>
      </c>
      <c r="F88" s="18" t="inlineStr">
        <is>
          <t>170</t>
        </is>
      </c>
      <c r="G88" s="18" t="inlineStr">
        <is>
          <t>10001|3882$124001|2381</t>
        </is>
      </c>
    </row>
    <row r="89">
      <c r="B89" s="18" t="n">
        <v>10086</v>
      </c>
      <c r="C89" s="18" t="inlineStr">
        <is>
          <t>211010</t>
        </is>
      </c>
      <c r="D89" s="18" t="inlineStr">
        <is>
          <t>光弹</t>
        </is>
      </c>
      <c r="E89" s="18" t="inlineStr">
        <is>
          <t>36</t>
        </is>
      </c>
      <c r="F89" s="18" t="inlineStr">
        <is>
          <t>175</t>
        </is>
      </c>
      <c r="G89" s="18" t="inlineStr">
        <is>
          <t>10001|4050$124001|2484</t>
        </is>
      </c>
    </row>
    <row r="90">
      <c r="B90" s="18" t="n">
        <v>10087</v>
      </c>
      <c r="C90" s="18" t="inlineStr">
        <is>
          <t>211010</t>
        </is>
      </c>
      <c r="D90" s="18" t="inlineStr">
        <is>
          <t>光弹</t>
        </is>
      </c>
      <c r="E90" s="18" t="inlineStr">
        <is>
          <t>37</t>
        </is>
      </c>
      <c r="F90" s="18" t="inlineStr">
        <is>
          <t>180</t>
        </is>
      </c>
      <c r="G90" s="18" t="inlineStr">
        <is>
          <t>10001|4220$124001|2588</t>
        </is>
      </c>
    </row>
    <row r="91">
      <c r="B91" s="18" t="n">
        <v>10088</v>
      </c>
      <c r="C91" s="18" t="inlineStr">
        <is>
          <t>211010</t>
        </is>
      </c>
      <c r="D91" s="18" t="inlineStr">
        <is>
          <t>光弹</t>
        </is>
      </c>
      <c r="E91" s="18" t="inlineStr">
        <is>
          <t>38</t>
        </is>
      </c>
      <c r="F91" s="18" t="inlineStr">
        <is>
          <t>185</t>
        </is>
      </c>
      <c r="G91" s="18" t="inlineStr">
        <is>
          <t>10001|4392$124001|2694</t>
        </is>
      </c>
    </row>
    <row r="92">
      <c r="B92" s="18" t="n">
        <v>10089</v>
      </c>
      <c r="C92" s="18" t="inlineStr">
        <is>
          <t>211010</t>
        </is>
      </c>
      <c r="D92" s="18" t="inlineStr">
        <is>
          <t>光弹</t>
        </is>
      </c>
      <c r="E92" s="18" t="inlineStr">
        <is>
          <t>39</t>
        </is>
      </c>
      <c r="F92" s="18" t="inlineStr">
        <is>
          <t>190</t>
        </is>
      </c>
      <c r="G92" s="18" t="inlineStr">
        <is>
          <t>10001|4567$124001|2801</t>
        </is>
      </c>
    </row>
    <row r="93">
      <c r="B93" s="18" t="n">
        <v>10090</v>
      </c>
      <c r="C93" s="18" t="inlineStr">
        <is>
          <t>211010</t>
        </is>
      </c>
      <c r="D93" s="18" t="inlineStr">
        <is>
          <t>光弹</t>
        </is>
      </c>
      <c r="E93" s="18" t="inlineStr">
        <is>
          <t>40</t>
        </is>
      </c>
      <c r="F93" s="18" t="inlineStr">
        <is>
          <t>195</t>
        </is>
      </c>
      <c r="G93" s="18" t="inlineStr">
        <is>
          <t>10001|4743$124001|2909</t>
        </is>
      </c>
    </row>
    <row r="94">
      <c r="B94" s="18" t="n">
        <v>10091</v>
      </c>
      <c r="C94" s="18" t="inlineStr">
        <is>
          <t>211010</t>
        </is>
      </c>
      <c r="D94" s="18" t="inlineStr">
        <is>
          <t>光弹</t>
        </is>
      </c>
      <c r="E94" s="18" t="inlineStr">
        <is>
          <t>41</t>
        </is>
      </c>
      <c r="F94" s="18" t="inlineStr">
        <is>
          <t>200</t>
        </is>
      </c>
      <c r="G94" s="18" t="inlineStr">
        <is>
          <t>10001|4922$125001|3019</t>
        </is>
      </c>
    </row>
    <row r="95">
      <c r="B95" s="18" t="n">
        <v>10092</v>
      </c>
      <c r="C95" s="18" t="inlineStr">
        <is>
          <t>211010</t>
        </is>
      </c>
      <c r="D95" s="18" t="inlineStr">
        <is>
          <t>光弹</t>
        </is>
      </c>
      <c r="E95" s="18" t="inlineStr">
        <is>
          <t>42</t>
        </is>
      </c>
      <c r="F95" s="18" t="inlineStr">
        <is>
          <t>205</t>
        </is>
      </c>
      <c r="G95" s="18" t="inlineStr">
        <is>
          <t>10001|5104$125001|3130</t>
        </is>
      </c>
    </row>
    <row r="96">
      <c r="B96" s="18" t="n">
        <v>10093</v>
      </c>
      <c r="C96" s="18" t="inlineStr">
        <is>
          <t>211010</t>
        </is>
      </c>
      <c r="D96" s="18" t="inlineStr">
        <is>
          <t>光弹</t>
        </is>
      </c>
      <c r="E96" s="18" t="inlineStr">
        <is>
          <t>43</t>
        </is>
      </c>
      <c r="F96" s="18" t="inlineStr">
        <is>
          <t>210</t>
        </is>
      </c>
      <c r="G96" s="18" t="inlineStr">
        <is>
          <t>10001|5287$125001|3243</t>
        </is>
      </c>
    </row>
    <row r="97">
      <c r="B97" s="18" t="n">
        <v>10094</v>
      </c>
      <c r="C97" s="18" t="inlineStr">
        <is>
          <t>211010</t>
        </is>
      </c>
      <c r="D97" s="18" t="inlineStr">
        <is>
          <t>光弹</t>
        </is>
      </c>
      <c r="E97" s="18" t="inlineStr">
        <is>
          <t>44</t>
        </is>
      </c>
      <c r="F97" s="18" t="inlineStr">
        <is>
          <t>215</t>
        </is>
      </c>
      <c r="G97" s="18" t="inlineStr">
        <is>
          <t>10001|5472$125001|3356</t>
        </is>
      </c>
    </row>
    <row r="98">
      <c r="B98" s="18" t="n">
        <v>10095</v>
      </c>
      <c r="C98" s="18" t="inlineStr">
        <is>
          <t>211010</t>
        </is>
      </c>
      <c r="D98" s="18" t="inlineStr">
        <is>
          <t>光弹</t>
        </is>
      </c>
      <c r="E98" s="18" t="inlineStr">
        <is>
          <t>45</t>
        </is>
      </c>
      <c r="F98" s="18" t="inlineStr">
        <is>
          <t>220</t>
        </is>
      </c>
      <c r="G98" s="18" t="inlineStr">
        <is>
          <t>10001|5660$125001|3471</t>
        </is>
      </c>
    </row>
    <row r="99">
      <c r="B99" s="18" t="n">
        <v>10096</v>
      </c>
      <c r="C99" s="18" t="inlineStr">
        <is>
          <t>211010</t>
        </is>
      </c>
      <c r="D99" s="18" t="inlineStr">
        <is>
          <t>光弹</t>
        </is>
      </c>
      <c r="E99" s="18" t="inlineStr">
        <is>
          <t>46</t>
        </is>
      </c>
      <c r="F99" s="18" t="inlineStr">
        <is>
          <t>225</t>
        </is>
      </c>
      <c r="G99" s="18" t="inlineStr">
        <is>
          <t>10001|5850$125001|3588</t>
        </is>
      </c>
    </row>
    <row r="100">
      <c r="B100" s="18" t="n">
        <v>10097</v>
      </c>
      <c r="C100" s="18" t="inlineStr">
        <is>
          <t>211010</t>
        </is>
      </c>
      <c r="D100" s="18" t="inlineStr">
        <is>
          <t>光弹</t>
        </is>
      </c>
      <c r="E100" s="18" t="inlineStr">
        <is>
          <t>47</t>
        </is>
      </c>
      <c r="F100" s="18" t="inlineStr">
        <is>
          <t>230</t>
        </is>
      </c>
      <c r="G100" s="18" t="inlineStr">
        <is>
          <t>10001|6042$125001|3705</t>
        </is>
      </c>
    </row>
    <row r="101">
      <c r="B101" s="18" t="n">
        <v>10098</v>
      </c>
      <c r="C101" s="18" t="inlineStr">
        <is>
          <t>211010</t>
        </is>
      </c>
      <c r="D101" s="18" t="inlineStr">
        <is>
          <t>光弹</t>
        </is>
      </c>
      <c r="E101" s="18" t="inlineStr">
        <is>
          <t>48</t>
        </is>
      </c>
      <c r="F101" s="18" t="inlineStr">
        <is>
          <t>235</t>
        </is>
      </c>
      <c r="G101" s="18" t="inlineStr">
        <is>
          <t>10001|6235$125001|3824</t>
        </is>
      </c>
    </row>
    <row r="102">
      <c r="B102" s="18" t="n">
        <v>10099</v>
      </c>
      <c r="C102" s="18" t="inlineStr">
        <is>
          <t>211010</t>
        </is>
      </c>
      <c r="D102" s="18" t="inlineStr">
        <is>
          <t>光弹</t>
        </is>
      </c>
      <c r="E102" s="18" t="inlineStr">
        <is>
          <t>49</t>
        </is>
      </c>
      <c r="F102" s="18" t="inlineStr">
        <is>
          <t>240</t>
        </is>
      </c>
      <c r="G102" s="18" t="inlineStr">
        <is>
          <t>10001|6431$125001|3945</t>
        </is>
      </c>
    </row>
    <row r="103">
      <c r="B103" s="18" t="n">
        <v>10100</v>
      </c>
      <c r="C103" s="18" t="inlineStr">
        <is>
          <t>211010</t>
        </is>
      </c>
      <c r="D103" s="18" t="inlineStr">
        <is>
          <t>光弹</t>
        </is>
      </c>
      <c r="E103" s="18" t="inlineStr">
        <is>
          <t>50</t>
        </is>
      </c>
      <c r="F103" s="18" t="inlineStr">
        <is>
          <t>245</t>
        </is>
      </c>
      <c r="G103" s="18" t="inlineStr">
        <is>
          <t>10001|6629$125001|4066</t>
        </is>
      </c>
    </row>
    <row r="104">
      <c r="B104" s="18" t="n">
        <v>10101</v>
      </c>
      <c r="C104" s="21" t="inlineStr">
        <is>
          <t>213001</t>
        </is>
      </c>
      <c r="D104" s="22" t="inlineStr">
        <is>
          <t>天罡镇压</t>
        </is>
      </c>
      <c r="E104" s="18" t="inlineStr">
        <is>
          <t>1</t>
        </is>
      </c>
      <c r="F104" s="26" t="n">
        <v>55.00000000000001</v>
      </c>
      <c r="G104" s="18" t="inlineStr">
        <is>
          <t>10001|150$121001|92$121006|8</t>
        </is>
      </c>
      <c r="H104" s="26" t="n"/>
      <c r="I104" s="26" t="n"/>
      <c r="J104" s="26" t="inlineStr">
        <is>
          <t>造成一段[0]伤害，并对敌方造成【失神】状态</t>
        </is>
      </c>
      <c r="K104" s="18" t="n">
        <v>155</v>
      </c>
    </row>
    <row r="105">
      <c r="B105" s="18" t="n">
        <v>10102</v>
      </c>
      <c r="C105" s="21" t="inlineStr">
        <is>
          <t>213001</t>
        </is>
      </c>
      <c r="D105" s="22" t="inlineStr">
        <is>
          <t>天罡镇压</t>
        </is>
      </c>
      <c r="E105" s="18" t="inlineStr">
        <is>
          <t>2</t>
        </is>
      </c>
      <c r="F105" s="26" t="n">
        <v>69</v>
      </c>
      <c r="G105" s="18" t="inlineStr">
        <is>
          <t>10001|600$121001|368$121006|21</t>
        </is>
      </c>
      <c r="J105" s="26" t="inlineStr">
        <is>
          <t>造成一段[0]伤害，并对敌方造成【失神】状态</t>
        </is>
      </c>
      <c r="K105" s="18" t="n">
        <v>169</v>
      </c>
    </row>
    <row r="106">
      <c r="B106" s="18" t="n">
        <v>10103</v>
      </c>
      <c r="C106" s="21" t="inlineStr">
        <is>
          <t>213001</t>
        </is>
      </c>
      <c r="D106" s="22" t="inlineStr">
        <is>
          <t>天罡镇压</t>
        </is>
      </c>
      <c r="E106" s="18" t="inlineStr">
        <is>
          <t>3</t>
        </is>
      </c>
      <c r="F106" s="26" t="n">
        <v>83</v>
      </c>
      <c r="G106" s="18" t="inlineStr">
        <is>
          <t>10001|1350$121001|828$121006|39</t>
        </is>
      </c>
      <c r="J106" s="26" t="inlineStr">
        <is>
          <t>造成一段[0]伤害，并对敌方造成【失神】状态</t>
        </is>
      </c>
      <c r="K106" s="18" t="n">
        <v>183</v>
      </c>
    </row>
    <row r="107">
      <c r="B107" s="18" t="n">
        <v>10104</v>
      </c>
      <c r="C107" s="21" t="inlineStr">
        <is>
          <t>213001</t>
        </is>
      </c>
      <c r="D107" s="22" t="inlineStr">
        <is>
          <t>天罡镇压</t>
        </is>
      </c>
      <c r="E107" s="18" t="inlineStr">
        <is>
          <t>4</t>
        </is>
      </c>
      <c r="F107" s="26" t="n">
        <v>97</v>
      </c>
      <c r="G107" s="18" t="inlineStr">
        <is>
          <t>10001|2400$121001|1472$121006|60</t>
        </is>
      </c>
      <c r="J107" s="26" t="inlineStr">
        <is>
          <t>造成一段[0]伤害，并对敌方造成【失神】状态</t>
        </is>
      </c>
      <c r="K107" s="18" t="n">
        <v>197</v>
      </c>
    </row>
    <row r="108">
      <c r="B108" s="18" t="n">
        <v>10105</v>
      </c>
      <c r="C108" s="21" t="inlineStr">
        <is>
          <t>213001</t>
        </is>
      </c>
      <c r="D108" s="22" t="inlineStr">
        <is>
          <t>天罡镇压</t>
        </is>
      </c>
      <c r="E108" s="18" t="inlineStr">
        <is>
          <t>5</t>
        </is>
      </c>
      <c r="F108" s="26" t="n">
        <v>111</v>
      </c>
      <c r="G108" s="18" t="inlineStr">
        <is>
          <t>10001|3750$121001|2300$121006|84</t>
        </is>
      </c>
      <c r="J108" s="26" t="inlineStr">
        <is>
          <t>造成一段[0]伤害，并对敌方造成【失神】状态</t>
        </is>
      </c>
      <c r="K108" s="18" t="n">
        <v>211</v>
      </c>
    </row>
    <row r="109">
      <c r="B109" s="18" t="n">
        <v>10106</v>
      </c>
      <c r="C109" s="21" t="inlineStr">
        <is>
          <t>213001</t>
        </is>
      </c>
      <c r="D109" s="22" t="inlineStr">
        <is>
          <t>天罡镇压</t>
        </is>
      </c>
      <c r="E109" s="18" t="inlineStr">
        <is>
          <t>6</t>
        </is>
      </c>
      <c r="F109" s="26" t="n">
        <v>125</v>
      </c>
      <c r="G109" s="18" t="inlineStr">
        <is>
          <t>10001|5400$121001|3312$121006|110</t>
        </is>
      </c>
      <c r="J109" s="26" t="inlineStr">
        <is>
          <t>造成一段[0]伤害，并对敌方造成【失神】状态</t>
        </is>
      </c>
      <c r="K109" s="18" t="n">
        <v>225</v>
      </c>
    </row>
    <row r="110">
      <c r="B110" s="18" t="n">
        <v>10107</v>
      </c>
      <c r="C110" s="21" t="inlineStr">
        <is>
          <t>213001</t>
        </is>
      </c>
      <c r="D110" s="22" t="inlineStr">
        <is>
          <t>天罡镇压</t>
        </is>
      </c>
      <c r="E110" s="18" t="inlineStr">
        <is>
          <t>7</t>
        </is>
      </c>
      <c r="F110" s="26" t="n">
        <v>139</v>
      </c>
      <c r="G110" s="18" t="inlineStr">
        <is>
          <t>10001|7350$121001|4508$121006|139</t>
        </is>
      </c>
      <c r="J110" s="26" t="inlineStr">
        <is>
          <t>造成一段[0]伤害，并对敌方造成【失神】状态</t>
        </is>
      </c>
      <c r="K110" s="18" t="n">
        <v>239</v>
      </c>
    </row>
    <row r="111">
      <c r="B111" s="18" t="n">
        <v>10108</v>
      </c>
      <c r="C111" s="21" t="inlineStr">
        <is>
          <t>213001</t>
        </is>
      </c>
      <c r="D111" s="22" t="inlineStr">
        <is>
          <t>天罡镇压</t>
        </is>
      </c>
      <c r="E111" s="18" t="inlineStr">
        <is>
          <t>8</t>
        </is>
      </c>
      <c r="F111" s="26" t="n">
        <v>153</v>
      </c>
      <c r="G111" s="18" t="inlineStr">
        <is>
          <t>10001|9600$121001|5888$121006|170</t>
        </is>
      </c>
      <c r="J111" s="26" t="inlineStr">
        <is>
          <t>造成一段[0]伤害，并对敌方造成【失神】状态</t>
        </is>
      </c>
      <c r="K111" s="18" t="n">
        <v>253</v>
      </c>
    </row>
    <row r="112">
      <c r="B112" s="18" t="n">
        <v>10109</v>
      </c>
      <c r="C112" s="21" t="inlineStr">
        <is>
          <t>213001</t>
        </is>
      </c>
      <c r="D112" s="22" t="inlineStr">
        <is>
          <t>天罡镇压</t>
        </is>
      </c>
      <c r="E112" s="18" t="inlineStr">
        <is>
          <t>9</t>
        </is>
      </c>
      <c r="F112" s="26" t="n">
        <v>167</v>
      </c>
      <c r="G112" s="18" t="inlineStr">
        <is>
          <t>10001|12150$121001|7452$121006|203</t>
        </is>
      </c>
      <c r="J112" s="26" t="inlineStr">
        <is>
          <t>造成一段[0]伤害，并对敌方造成【失神】状态</t>
        </is>
      </c>
      <c r="K112" s="18" t="n">
        <v>267</v>
      </c>
    </row>
    <row r="113">
      <c r="B113" s="18" t="n">
        <v>10110</v>
      </c>
      <c r="C113" s="21" t="inlineStr">
        <is>
          <t>213001</t>
        </is>
      </c>
      <c r="D113" s="22" t="inlineStr">
        <is>
          <t>天罡镇压</t>
        </is>
      </c>
      <c r="E113" s="18" t="inlineStr">
        <is>
          <t>10</t>
        </is>
      </c>
      <c r="F113" s="26" t="n">
        <v>181</v>
      </c>
      <c r="G113" s="18" t="inlineStr">
        <is>
          <t>10001|15000$122001|9200$122006|237</t>
        </is>
      </c>
      <c r="J113" s="26" t="inlineStr">
        <is>
          <t>造成一段[0]伤害，并对敌方造成【失神】状态</t>
        </is>
      </c>
      <c r="K113" s="18" t="n">
        <v>281</v>
      </c>
    </row>
    <row r="114">
      <c r="B114" s="18" t="n">
        <v>10111</v>
      </c>
      <c r="C114" s="21" t="inlineStr">
        <is>
          <t>213001</t>
        </is>
      </c>
      <c r="D114" s="22" t="inlineStr">
        <is>
          <t>天罡镇压</t>
        </is>
      </c>
      <c r="E114" s="18" t="inlineStr">
        <is>
          <t>11</t>
        </is>
      </c>
      <c r="F114" s="26" t="n">
        <v>195</v>
      </c>
      <c r="G114" s="18" t="inlineStr">
        <is>
          <t>10001|18150$122001|11132$122006|274</t>
        </is>
      </c>
      <c r="J114" s="26" t="inlineStr">
        <is>
          <t>造成一段[0]伤害，并对敌方造成【失神】状态</t>
        </is>
      </c>
      <c r="K114" s="18" t="n">
        <v>295</v>
      </c>
    </row>
    <row r="115">
      <c r="B115" s="18" t="n">
        <v>10112</v>
      </c>
      <c r="C115" s="21" t="inlineStr">
        <is>
          <t>213001</t>
        </is>
      </c>
      <c r="D115" s="22" t="inlineStr">
        <is>
          <t>天罡镇压</t>
        </is>
      </c>
      <c r="E115" s="18" t="inlineStr">
        <is>
          <t>12</t>
        </is>
      </c>
      <c r="F115" s="26" t="n">
        <v>209</v>
      </c>
      <c r="G115" s="18" t="inlineStr">
        <is>
          <t>10001|21600$122001|13248$122006|312</t>
        </is>
      </c>
      <c r="J115" s="26" t="inlineStr">
        <is>
          <t>造成一段[0]伤害，并对敌方造成【失神】状态</t>
        </is>
      </c>
      <c r="K115" s="18" t="n">
        <v>309</v>
      </c>
    </row>
    <row r="116">
      <c r="B116" s="18" t="n">
        <v>10113</v>
      </c>
      <c r="C116" s="21" t="inlineStr">
        <is>
          <t>213001</t>
        </is>
      </c>
      <c r="D116" s="22" t="inlineStr">
        <is>
          <t>天罡镇压</t>
        </is>
      </c>
      <c r="E116" s="18" t="inlineStr">
        <is>
          <t>13</t>
        </is>
      </c>
      <c r="F116" s="26" t="n">
        <v>223</v>
      </c>
      <c r="G116" s="18" t="inlineStr">
        <is>
          <t>10001|25350$122001|15548$122006|352</t>
        </is>
      </c>
      <c r="J116" s="26" t="inlineStr">
        <is>
          <t>造成一段[0]伤害，并对敌方造成【失神】状态</t>
        </is>
      </c>
      <c r="K116" s="18" t="n">
        <v>323</v>
      </c>
    </row>
    <row r="117">
      <c r="B117" s="18" t="n">
        <v>10114</v>
      </c>
      <c r="C117" s="21" t="inlineStr">
        <is>
          <t>213001</t>
        </is>
      </c>
      <c r="D117" s="22" t="inlineStr">
        <is>
          <t>天罡镇压</t>
        </is>
      </c>
      <c r="E117" s="18" t="inlineStr">
        <is>
          <t>14</t>
        </is>
      </c>
      <c r="F117" s="26" t="n">
        <v>237</v>
      </c>
      <c r="G117" s="18" t="inlineStr">
        <is>
          <t>10001|29400$122001|18032$122006|393</t>
        </is>
      </c>
      <c r="J117" s="26" t="inlineStr">
        <is>
          <t>造成一段[0]伤害，并对敌方造成【失神】状态</t>
        </is>
      </c>
      <c r="K117" s="18" t="n">
        <v>337</v>
      </c>
    </row>
    <row r="118">
      <c r="B118" s="18" t="n">
        <v>10115</v>
      </c>
      <c r="C118" s="21" t="inlineStr">
        <is>
          <t>213001</t>
        </is>
      </c>
      <c r="D118" s="22" t="inlineStr">
        <is>
          <t>天罡镇压</t>
        </is>
      </c>
      <c r="E118" s="18" t="inlineStr">
        <is>
          <t>15</t>
        </is>
      </c>
      <c r="F118" s="26" t="n">
        <v>251</v>
      </c>
      <c r="G118" s="18" t="inlineStr">
        <is>
          <t>10001|33750$122001|20700$122006|436</t>
        </is>
      </c>
      <c r="J118" s="26" t="inlineStr">
        <is>
          <t>造成一段[0]伤害，并对敌方造成【失神】状态</t>
        </is>
      </c>
      <c r="K118" s="18" t="n">
        <v>351</v>
      </c>
    </row>
    <row r="119">
      <c r="B119" s="18" t="n">
        <v>10116</v>
      </c>
      <c r="C119" s="21" t="inlineStr">
        <is>
          <t>213001</t>
        </is>
      </c>
      <c r="D119" s="22" t="inlineStr">
        <is>
          <t>天罡镇压</t>
        </is>
      </c>
      <c r="E119" s="18" t="inlineStr">
        <is>
          <t>16</t>
        </is>
      </c>
      <c r="F119" s="26" t="n">
        <v>265</v>
      </c>
      <c r="G119" s="18" t="inlineStr">
        <is>
          <t>10001|38400$122001|23552$122006|480</t>
        </is>
      </c>
      <c r="J119" s="26" t="inlineStr">
        <is>
          <t>造成一段[0]伤害，并对敌方造成【失神】状态</t>
        </is>
      </c>
      <c r="K119" s="18" t="n">
        <v>365</v>
      </c>
    </row>
    <row r="120">
      <c r="B120" s="18" t="n">
        <v>10117</v>
      </c>
      <c r="C120" s="21" t="inlineStr">
        <is>
          <t>213001</t>
        </is>
      </c>
      <c r="D120" s="22" t="inlineStr">
        <is>
          <t>天罡镇压</t>
        </is>
      </c>
      <c r="E120" s="18" t="inlineStr">
        <is>
          <t>17</t>
        </is>
      </c>
      <c r="F120" s="26" t="n">
        <v>279</v>
      </c>
      <c r="G120" s="18" t="inlineStr">
        <is>
          <t>10001|43350$122001|26588$122006|526</t>
        </is>
      </c>
      <c r="J120" s="26" t="inlineStr">
        <is>
          <t>造成一段[0]伤害，并对敌方造成【失神】状态</t>
        </is>
      </c>
      <c r="K120" s="18" t="n">
        <v>379</v>
      </c>
    </row>
    <row r="121">
      <c r="B121" s="18" t="n">
        <v>10118</v>
      </c>
      <c r="C121" s="21" t="inlineStr">
        <is>
          <t>213001</t>
        </is>
      </c>
      <c r="D121" s="22" t="inlineStr">
        <is>
          <t>天罡镇压</t>
        </is>
      </c>
      <c r="E121" s="18" t="inlineStr">
        <is>
          <t>18</t>
        </is>
      </c>
      <c r="F121" s="26" t="n">
        <v>293</v>
      </c>
      <c r="G121" s="18" t="inlineStr">
        <is>
          <t>10001|48600$122001|29808$122006|573</t>
        </is>
      </c>
      <c r="J121" s="26" t="inlineStr">
        <is>
          <t>造成一段[0]伤害，并对敌方造成【失神】状态</t>
        </is>
      </c>
      <c r="K121" s="18" t="n">
        <v>393</v>
      </c>
    </row>
    <row r="122">
      <c r="B122" s="18" t="n">
        <v>10119</v>
      </c>
      <c r="C122" s="21" t="inlineStr">
        <is>
          <t>213001</t>
        </is>
      </c>
      <c r="D122" s="22" t="inlineStr">
        <is>
          <t>天罡镇压</t>
        </is>
      </c>
      <c r="E122" s="18" t="inlineStr">
        <is>
          <t>19</t>
        </is>
      </c>
      <c r="F122" s="26" t="n">
        <v>307</v>
      </c>
      <c r="G122" s="18" t="inlineStr">
        <is>
          <t>10001|54150$122001|33212$122006|621</t>
        </is>
      </c>
      <c r="J122" s="26" t="inlineStr">
        <is>
          <t>造成一段[0]伤害，并对敌方造成【失神】状态</t>
        </is>
      </c>
      <c r="K122" s="18" t="n">
        <v>407</v>
      </c>
    </row>
    <row r="123">
      <c r="B123" s="18" t="n">
        <v>10120</v>
      </c>
      <c r="C123" s="21" t="inlineStr">
        <is>
          <t>213001</t>
        </is>
      </c>
      <c r="D123" s="22" t="inlineStr">
        <is>
          <t>天罡镇压</t>
        </is>
      </c>
      <c r="E123" s="18" t="inlineStr">
        <is>
          <t>20</t>
        </is>
      </c>
      <c r="F123" s="26" t="n">
        <v>321</v>
      </c>
      <c r="G123" s="18" t="inlineStr">
        <is>
          <t>10001|60000$123001|36800$123006|671</t>
        </is>
      </c>
      <c r="J123" s="26" t="inlineStr">
        <is>
          <t>造成一段[0]伤害，并对敌方造成【失神】状态</t>
        </is>
      </c>
      <c r="K123" s="18" t="n">
        <v>421</v>
      </c>
    </row>
    <row r="124">
      <c r="B124" s="18" t="n">
        <v>10121</v>
      </c>
      <c r="C124" s="21" t="inlineStr">
        <is>
          <t>213001</t>
        </is>
      </c>
      <c r="D124" s="22" t="inlineStr">
        <is>
          <t>天罡镇压</t>
        </is>
      </c>
      <c r="E124" s="18" t="inlineStr">
        <is>
          <t>21</t>
        </is>
      </c>
      <c r="F124" s="26" t="n">
        <v>334.9999999999999</v>
      </c>
      <c r="G124" s="18" t="inlineStr">
        <is>
          <t>10001|66150$123001|40572$123006|722</t>
        </is>
      </c>
      <c r="J124" s="26" t="inlineStr">
        <is>
          <t>造成一段[0]伤害，并对敌方造成【失神】状态</t>
        </is>
      </c>
      <c r="K124" s="18" t="n">
        <v>435</v>
      </c>
    </row>
    <row r="125">
      <c r="B125" s="18" t="n">
        <v>10122</v>
      </c>
      <c r="C125" s="21" t="inlineStr">
        <is>
          <t>213001</t>
        </is>
      </c>
      <c r="D125" s="22" t="inlineStr">
        <is>
          <t>天罡镇压</t>
        </is>
      </c>
      <c r="E125" s="18" t="inlineStr">
        <is>
          <t>22</t>
        </is>
      </c>
      <c r="F125" s="26" t="n">
        <v>349</v>
      </c>
      <c r="G125" s="18" t="inlineStr">
        <is>
          <t>10001|72600$123001|44528$123006|774</t>
        </is>
      </c>
      <c r="J125" s="26" t="inlineStr">
        <is>
          <t>造成一段[0]伤害，并对敌方造成【失神】状态</t>
        </is>
      </c>
      <c r="K125" s="18" t="n">
        <v>449</v>
      </c>
    </row>
    <row r="126">
      <c r="B126" s="18" t="n">
        <v>10123</v>
      </c>
      <c r="C126" s="21" t="inlineStr">
        <is>
          <t>213001</t>
        </is>
      </c>
      <c r="D126" s="22" t="inlineStr">
        <is>
          <t>天罡镇压</t>
        </is>
      </c>
      <c r="E126" s="18" t="inlineStr">
        <is>
          <t>23</t>
        </is>
      </c>
      <c r="F126" s="26" t="n">
        <v>363</v>
      </c>
      <c r="G126" s="18" t="inlineStr">
        <is>
          <t>10001|79350$123001|48668$123006|827</t>
        </is>
      </c>
      <c r="J126" s="26" t="inlineStr">
        <is>
          <t>造成一段[0]伤害，并对敌方造成【失神】状态</t>
        </is>
      </c>
      <c r="K126" s="18" t="n">
        <v>463</v>
      </c>
    </row>
    <row r="127">
      <c r="B127" s="18" t="n">
        <v>10124</v>
      </c>
      <c r="C127" s="21" t="inlineStr">
        <is>
          <t>213001</t>
        </is>
      </c>
      <c r="D127" s="22" t="inlineStr">
        <is>
          <t>天罡镇压</t>
        </is>
      </c>
      <c r="E127" s="18" t="inlineStr">
        <is>
          <t>24</t>
        </is>
      </c>
      <c r="F127" s="26" t="n">
        <v>376.9999999999999</v>
      </c>
      <c r="G127" s="18" t="inlineStr">
        <is>
          <t>10001|86400$123001|52992$123006|882</t>
        </is>
      </c>
      <c r="J127" s="26" t="inlineStr">
        <is>
          <t>造成一段[0]伤害，并对敌方造成【失神】状态</t>
        </is>
      </c>
      <c r="K127" s="18" t="n">
        <v>477</v>
      </c>
    </row>
    <row r="128">
      <c r="B128" s="18" t="n">
        <v>10125</v>
      </c>
      <c r="C128" s="21" t="inlineStr">
        <is>
          <t>213001</t>
        </is>
      </c>
      <c r="D128" s="22" t="inlineStr">
        <is>
          <t>天罡镇压</t>
        </is>
      </c>
      <c r="E128" s="18" t="inlineStr">
        <is>
          <t>25</t>
        </is>
      </c>
      <c r="F128" s="26" t="n">
        <v>391</v>
      </c>
      <c r="G128" s="18" t="inlineStr">
        <is>
          <t>10001|93750$123001|57500$123006|938</t>
        </is>
      </c>
      <c r="J128" s="26" t="inlineStr">
        <is>
          <t>造成一段[0]伤害，并对敌方造成【失神】状态</t>
        </is>
      </c>
      <c r="K128" s="18" t="n">
        <v>491</v>
      </c>
    </row>
    <row r="129">
      <c r="B129" s="18" t="n">
        <v>10126</v>
      </c>
      <c r="C129" s="21" t="inlineStr">
        <is>
          <t>213001</t>
        </is>
      </c>
      <c r="D129" s="22" t="inlineStr">
        <is>
          <t>天罡镇压</t>
        </is>
      </c>
      <c r="E129" s="18" t="inlineStr">
        <is>
          <t>26</t>
        </is>
      </c>
      <c r="F129" s="26" t="n">
        <v>405</v>
      </c>
      <c r="G129" s="18" t="inlineStr">
        <is>
          <t>10001|101400$123001|62192$123006|994</t>
        </is>
      </c>
      <c r="J129" s="26" t="inlineStr">
        <is>
          <t>造成一段[0]伤害，并对敌方造成【失神】状态</t>
        </is>
      </c>
      <c r="K129" s="18" t="n">
        <v>505</v>
      </c>
    </row>
    <row r="130">
      <c r="B130" s="18" t="n">
        <v>10127</v>
      </c>
      <c r="C130" s="21" t="inlineStr">
        <is>
          <t>213001</t>
        </is>
      </c>
      <c r="D130" s="22" t="inlineStr">
        <is>
          <t>天罡镇压</t>
        </is>
      </c>
      <c r="E130" s="18" t="inlineStr">
        <is>
          <t>27</t>
        </is>
      </c>
      <c r="F130" s="26" t="n">
        <v>419.0000000000001</v>
      </c>
      <c r="G130" s="18" t="inlineStr">
        <is>
          <t>10001|109350$123001|67068$123006|1052</t>
        </is>
      </c>
      <c r="J130" s="26" t="inlineStr">
        <is>
          <t>造成一段[0]伤害，并对敌方造成【失神】状态</t>
        </is>
      </c>
      <c r="K130" s="18" t="n">
        <v>519</v>
      </c>
    </row>
    <row r="131">
      <c r="B131" s="18" t="n">
        <v>10128</v>
      </c>
      <c r="C131" s="21" t="inlineStr">
        <is>
          <t>213001</t>
        </is>
      </c>
      <c r="D131" s="22" t="inlineStr">
        <is>
          <t>天罡镇压</t>
        </is>
      </c>
      <c r="E131" s="18" t="inlineStr">
        <is>
          <t>28</t>
        </is>
      </c>
      <c r="F131" s="26" t="n">
        <v>433</v>
      </c>
      <c r="G131" s="18" t="inlineStr">
        <is>
          <t>10001|117600$123001|72128$123006|1111</t>
        </is>
      </c>
      <c r="J131" s="26" t="inlineStr">
        <is>
          <t>造成一段[0]伤害，并对敌方造成【失神】状态</t>
        </is>
      </c>
      <c r="K131" s="18" t="n">
        <v>533</v>
      </c>
    </row>
    <row r="132">
      <c r="B132" s="18" t="n">
        <v>10129</v>
      </c>
      <c r="C132" s="21" t="inlineStr">
        <is>
          <t>213001</t>
        </is>
      </c>
      <c r="D132" s="22" t="inlineStr">
        <is>
          <t>天罡镇压</t>
        </is>
      </c>
      <c r="E132" s="18" t="inlineStr">
        <is>
          <t>29</t>
        </is>
      </c>
      <c r="F132" s="26" t="n">
        <v>447</v>
      </c>
      <c r="G132" s="18" t="inlineStr">
        <is>
          <t>10001|126150$123001|77372$123006|1171</t>
        </is>
      </c>
      <c r="J132" s="26" t="inlineStr">
        <is>
          <t>造成一段[0]伤害，并对敌方造成【失神】状态</t>
        </is>
      </c>
      <c r="K132" s="18" t="n">
        <v>547</v>
      </c>
    </row>
    <row r="133">
      <c r="B133" s="18" t="n">
        <v>10130</v>
      </c>
      <c r="C133" s="21" t="inlineStr">
        <is>
          <t>213001</t>
        </is>
      </c>
      <c r="D133" s="22" t="inlineStr">
        <is>
          <t>天罡镇压</t>
        </is>
      </c>
      <c r="E133" s="18" t="inlineStr">
        <is>
          <t>30</t>
        </is>
      </c>
      <c r="F133" s="26" t="n">
        <v>461.0000000000001</v>
      </c>
      <c r="G133" s="18" t="inlineStr">
        <is>
          <t>10001|135000$124001|82800$124006|1232</t>
        </is>
      </c>
      <c r="J133" s="26" t="inlineStr">
        <is>
          <t>造成一段[0]伤害，并对敌方造成【失神】状态</t>
        </is>
      </c>
      <c r="K133" s="18" t="n">
        <v>561</v>
      </c>
    </row>
    <row r="134">
      <c r="B134" s="18" t="n">
        <v>10131</v>
      </c>
      <c r="C134" s="21" t="inlineStr">
        <is>
          <t>213001</t>
        </is>
      </c>
      <c r="D134" s="22" t="inlineStr">
        <is>
          <t>天罡镇压</t>
        </is>
      </c>
      <c r="E134" s="18" t="inlineStr">
        <is>
          <t>31</t>
        </is>
      </c>
      <c r="F134" s="26" t="n">
        <v>475</v>
      </c>
      <c r="G134" s="18" t="inlineStr">
        <is>
          <t>10001|144150$124001|88412$124006|1295</t>
        </is>
      </c>
      <c r="J134" s="26" t="inlineStr">
        <is>
          <t>造成一段[0]伤害，并对敌方造成【失神】状态</t>
        </is>
      </c>
      <c r="K134" s="18" t="n">
        <v>575</v>
      </c>
    </row>
    <row r="135">
      <c r="B135" s="18" t="n">
        <v>10132</v>
      </c>
      <c r="C135" s="21" t="inlineStr">
        <is>
          <t>213001</t>
        </is>
      </c>
      <c r="D135" s="22" t="inlineStr">
        <is>
          <t>天罡镇压</t>
        </is>
      </c>
      <c r="E135" s="18" t="inlineStr">
        <is>
          <t>32</t>
        </is>
      </c>
      <c r="F135" s="26" t="n">
        <v>488.9999999999999</v>
      </c>
      <c r="G135" s="18" t="inlineStr">
        <is>
          <t>10001|153600$124001|94208$124006|1358</t>
        </is>
      </c>
      <c r="J135" s="26" t="inlineStr">
        <is>
          <t>造成一段[0]伤害，并对敌方造成【失神】状态</t>
        </is>
      </c>
      <c r="K135" s="18" t="n">
        <v>589</v>
      </c>
    </row>
    <row r="136">
      <c r="B136" s="18" t="n">
        <v>10133</v>
      </c>
      <c r="C136" s="21" t="inlineStr">
        <is>
          <t>213001</t>
        </is>
      </c>
      <c r="D136" s="22" t="inlineStr">
        <is>
          <t>天罡镇压</t>
        </is>
      </c>
      <c r="E136" s="18" t="inlineStr">
        <is>
          <t>33</t>
        </is>
      </c>
      <c r="F136" s="26" t="n">
        <v>503</v>
      </c>
      <c r="G136" s="18" t="inlineStr">
        <is>
          <t>10001|163350$124001|100188$124006|1422</t>
        </is>
      </c>
      <c r="J136" s="26" t="inlineStr">
        <is>
          <t>造成一段[0]伤害，并对敌方造成【失神】状态</t>
        </is>
      </c>
      <c r="K136" s="18" t="n">
        <v>603</v>
      </c>
    </row>
    <row r="137">
      <c r="B137" s="18" t="n">
        <v>10134</v>
      </c>
      <c r="C137" s="21" t="inlineStr">
        <is>
          <t>213001</t>
        </is>
      </c>
      <c r="D137" s="22" t="inlineStr">
        <is>
          <t>天罡镇压</t>
        </is>
      </c>
      <c r="E137" s="18" t="inlineStr">
        <is>
          <t>34</t>
        </is>
      </c>
      <c r="F137" s="26" t="n">
        <v>517</v>
      </c>
      <c r="G137" s="18" t="inlineStr">
        <is>
          <t>10001|173400$124001|106352$124006|1487</t>
        </is>
      </c>
      <c r="J137" s="26" t="inlineStr">
        <is>
          <t>造成一段[0]伤害，并对敌方造成【失神】状态</t>
        </is>
      </c>
      <c r="K137" s="18" t="n">
        <v>617</v>
      </c>
    </row>
    <row r="138">
      <c r="B138" s="18" t="n">
        <v>10135</v>
      </c>
      <c r="C138" s="21" t="inlineStr">
        <is>
          <t>213001</t>
        </is>
      </c>
      <c r="D138" s="22" t="inlineStr">
        <is>
          <t>天罡镇压</t>
        </is>
      </c>
      <c r="E138" s="18" t="inlineStr">
        <is>
          <t>35</t>
        </is>
      </c>
      <c r="F138" s="26" t="n">
        <v>531</v>
      </c>
      <c r="G138" s="18" t="inlineStr">
        <is>
          <t>10001|183750$124001|112700$124006|1553</t>
        </is>
      </c>
      <c r="J138" s="26" t="inlineStr">
        <is>
          <t>造成一段[0]伤害，并对敌方造成【失神】状态</t>
        </is>
      </c>
      <c r="K138" s="18" t="n">
        <v>631</v>
      </c>
    </row>
    <row r="139">
      <c r="B139" s="18" t="n">
        <v>10136</v>
      </c>
      <c r="C139" s="21" t="inlineStr">
        <is>
          <t>213001</t>
        </is>
      </c>
      <c r="D139" s="22" t="inlineStr">
        <is>
          <t>天罡镇压</t>
        </is>
      </c>
      <c r="E139" s="18" t="inlineStr">
        <is>
          <t>36</t>
        </is>
      </c>
      <c r="F139" s="26" t="n">
        <v>545</v>
      </c>
      <c r="G139" s="18" t="inlineStr">
        <is>
          <t>10001|194400$124001|119232$124006|1620</t>
        </is>
      </c>
      <c r="J139" s="26" t="inlineStr">
        <is>
          <t>造成一段[0]伤害，并对敌方造成【失神】状态</t>
        </is>
      </c>
      <c r="K139" s="18" t="n">
        <v>645</v>
      </c>
    </row>
    <row r="140">
      <c r="B140" s="18" t="n">
        <v>10137</v>
      </c>
      <c r="C140" s="21" t="inlineStr">
        <is>
          <t>213001</t>
        </is>
      </c>
      <c r="D140" s="22" t="inlineStr">
        <is>
          <t>天罡镇压</t>
        </is>
      </c>
      <c r="E140" s="18" t="inlineStr">
        <is>
          <t>37</t>
        </is>
      </c>
      <c r="F140" s="26" t="n">
        <v>559</v>
      </c>
      <c r="G140" s="18" t="inlineStr">
        <is>
          <t>10001|205350$124001|125948$124006|1688</t>
        </is>
      </c>
      <c r="J140" s="26" t="inlineStr">
        <is>
          <t>造成一段[0]伤害，并对敌方造成【失神】状态</t>
        </is>
      </c>
      <c r="K140" s="18" t="n">
        <v>659</v>
      </c>
    </row>
    <row r="141">
      <c r="B141" s="18" t="n">
        <v>10138</v>
      </c>
      <c r="C141" s="21" t="inlineStr">
        <is>
          <t>213001</t>
        </is>
      </c>
      <c r="D141" s="22" t="inlineStr">
        <is>
          <t>天罡镇压</t>
        </is>
      </c>
      <c r="E141" s="18" t="inlineStr">
        <is>
          <t>38</t>
        </is>
      </c>
      <c r="F141" s="26" t="n">
        <v>573</v>
      </c>
      <c r="G141" s="18" t="inlineStr">
        <is>
          <t>10001|216600$124001|132848$124006|1757</t>
        </is>
      </c>
      <c r="J141" s="26" t="inlineStr">
        <is>
          <t>造成一段[0]伤害，并对敌方造成【失神】状态</t>
        </is>
      </c>
      <c r="K141" s="18" t="n">
        <v>673</v>
      </c>
    </row>
    <row r="142">
      <c r="B142" s="18" t="n">
        <v>10139</v>
      </c>
      <c r="C142" s="21" t="inlineStr">
        <is>
          <t>213001</t>
        </is>
      </c>
      <c r="D142" s="22" t="inlineStr">
        <is>
          <t>天罡镇压</t>
        </is>
      </c>
      <c r="E142" s="18" t="inlineStr">
        <is>
          <t>39</t>
        </is>
      </c>
      <c r="F142" s="26" t="n">
        <v>587</v>
      </c>
      <c r="G142" s="18" t="inlineStr">
        <is>
          <t>10001|228150$124001|139932$124006|1827</t>
        </is>
      </c>
      <c r="J142" s="26" t="inlineStr">
        <is>
          <t>造成一段[0]伤害，并对敌方造成【失神】状态</t>
        </is>
      </c>
      <c r="K142" s="18" t="n">
        <v>687</v>
      </c>
    </row>
    <row r="143">
      <c r="B143" s="18" t="n">
        <v>10140</v>
      </c>
      <c r="C143" s="21" t="inlineStr">
        <is>
          <t>213001</t>
        </is>
      </c>
      <c r="D143" s="22" t="inlineStr">
        <is>
          <t>天罡镇压</t>
        </is>
      </c>
      <c r="E143" s="18" t="inlineStr">
        <is>
          <t>40</t>
        </is>
      </c>
      <c r="F143" s="26" t="n">
        <v>601</v>
      </c>
      <c r="G143" s="18" t="inlineStr">
        <is>
          <t>10001|240000$125001|147200$125006|1897</t>
        </is>
      </c>
      <c r="J143" s="26" t="inlineStr">
        <is>
          <t>造成一段[0]伤害，并对敌方造成【失神】状态</t>
        </is>
      </c>
      <c r="K143" s="18" t="n">
        <v>701</v>
      </c>
    </row>
    <row r="144">
      <c r="B144" s="18" t="n">
        <v>10141</v>
      </c>
      <c r="C144" s="21" t="inlineStr">
        <is>
          <t>213001</t>
        </is>
      </c>
      <c r="D144" s="22" t="inlineStr">
        <is>
          <t>天罡镇压</t>
        </is>
      </c>
      <c r="E144" s="18" t="inlineStr">
        <is>
          <t>41</t>
        </is>
      </c>
      <c r="F144" s="26" t="n">
        <v>615</v>
      </c>
      <c r="G144" s="18" t="inlineStr">
        <is>
          <t>10001|252150$125001|154652$125006|1969</t>
        </is>
      </c>
      <c r="J144" s="26" t="inlineStr">
        <is>
          <t>造成一段[0]伤害，并对敌方造成【失神】状态</t>
        </is>
      </c>
      <c r="K144" s="18" t="n">
        <v>715</v>
      </c>
    </row>
    <row r="145">
      <c r="B145" s="18" t="n">
        <v>10142</v>
      </c>
      <c r="C145" s="21" t="inlineStr">
        <is>
          <t>213001</t>
        </is>
      </c>
      <c r="D145" s="22" t="inlineStr">
        <is>
          <t>天罡镇压</t>
        </is>
      </c>
      <c r="E145" s="18" t="inlineStr">
        <is>
          <t>42</t>
        </is>
      </c>
      <c r="F145" s="26" t="n">
        <v>629</v>
      </c>
      <c r="G145" s="18" t="inlineStr">
        <is>
          <t>10001|264600$125001|162288$125006|2041</t>
        </is>
      </c>
      <c r="J145" s="26" t="inlineStr">
        <is>
          <t>造成一段[0]伤害，并对敌方造成【失神】状态</t>
        </is>
      </c>
      <c r="K145" s="18" t="n">
        <v>729</v>
      </c>
    </row>
    <row r="146">
      <c r="B146" s="18" t="n">
        <v>10143</v>
      </c>
      <c r="C146" s="21" t="inlineStr">
        <is>
          <t>213001</t>
        </is>
      </c>
      <c r="D146" s="22" t="inlineStr">
        <is>
          <t>天罡镇压</t>
        </is>
      </c>
      <c r="E146" s="18" t="inlineStr">
        <is>
          <t>43</t>
        </is>
      </c>
      <c r="F146" s="26" t="n">
        <v>643</v>
      </c>
      <c r="G146" s="18" t="inlineStr">
        <is>
          <t>10001|277350$125001|170108$125006|2115</t>
        </is>
      </c>
      <c r="J146" s="26" t="inlineStr">
        <is>
          <t>造成一段[0]伤害，并对敌方造成【失神】状态</t>
        </is>
      </c>
      <c r="K146" s="18" t="n">
        <v>743</v>
      </c>
    </row>
    <row r="147">
      <c r="B147" s="18" t="n">
        <v>10144</v>
      </c>
      <c r="C147" s="21" t="inlineStr">
        <is>
          <t>213001</t>
        </is>
      </c>
      <c r="D147" s="22" t="inlineStr">
        <is>
          <t>天罡镇压</t>
        </is>
      </c>
      <c r="E147" s="18" t="inlineStr">
        <is>
          <t>44</t>
        </is>
      </c>
      <c r="F147" s="26" t="n">
        <v>657</v>
      </c>
      <c r="G147" s="18" t="inlineStr">
        <is>
          <t>10001|290400$125001|178112$125006|2189</t>
        </is>
      </c>
      <c r="J147" s="26" t="inlineStr">
        <is>
          <t>造成一段[0]伤害，并对敌方造成【失神】状态</t>
        </is>
      </c>
      <c r="K147" s="18" t="n">
        <v>757</v>
      </c>
    </row>
    <row r="148">
      <c r="B148" s="18" t="n">
        <v>10145</v>
      </c>
      <c r="C148" s="21" t="inlineStr">
        <is>
          <t>213001</t>
        </is>
      </c>
      <c r="D148" s="22" t="inlineStr">
        <is>
          <t>天罡镇压</t>
        </is>
      </c>
      <c r="E148" s="18" t="inlineStr">
        <is>
          <t>45</t>
        </is>
      </c>
      <c r="F148" s="26" t="n">
        <v>671</v>
      </c>
      <c r="G148" s="18" t="inlineStr">
        <is>
          <t>10001|303750$125001|186300$125006|2264</t>
        </is>
      </c>
      <c r="J148" s="26" t="inlineStr">
        <is>
          <t>造成一段[0]伤害，并对敌方造成【失神】状态</t>
        </is>
      </c>
      <c r="K148" s="18" t="n">
        <v>771</v>
      </c>
    </row>
    <row r="149">
      <c r="B149" s="18" t="n">
        <v>10146</v>
      </c>
      <c r="C149" s="21" t="inlineStr">
        <is>
          <t>213001</t>
        </is>
      </c>
      <c r="D149" s="22" t="inlineStr">
        <is>
          <t>天罡镇压</t>
        </is>
      </c>
      <c r="E149" s="18" t="inlineStr">
        <is>
          <t>46</t>
        </is>
      </c>
      <c r="F149" s="26" t="n">
        <v>685</v>
      </c>
      <c r="G149" s="18" t="inlineStr">
        <is>
          <t>10001|317400$125001|194672$125006|2340</t>
        </is>
      </c>
      <c r="J149" s="26" t="inlineStr">
        <is>
          <t>造成一段[0]伤害，并对敌方造成【失神】状态</t>
        </is>
      </c>
      <c r="K149" s="18" t="n">
        <v>785</v>
      </c>
    </row>
    <row r="150">
      <c r="B150" s="18" t="n">
        <v>10147</v>
      </c>
      <c r="C150" s="21" t="inlineStr">
        <is>
          <t>213001</t>
        </is>
      </c>
      <c r="D150" s="22" t="inlineStr">
        <is>
          <t>天罡镇压</t>
        </is>
      </c>
      <c r="E150" s="18" t="inlineStr">
        <is>
          <t>47</t>
        </is>
      </c>
      <c r="F150" s="26" t="n">
        <v>699</v>
      </c>
      <c r="G150" s="18" t="inlineStr">
        <is>
          <t>10001|331350$125001|203228$125006|2417</t>
        </is>
      </c>
      <c r="J150" s="26" t="inlineStr">
        <is>
          <t>造成一段[0]伤害，并对敌方造成【失神】状态</t>
        </is>
      </c>
      <c r="K150" s="18" t="n">
        <v>799</v>
      </c>
    </row>
    <row r="151">
      <c r="B151" s="18" t="n">
        <v>10148</v>
      </c>
      <c r="C151" s="21" t="inlineStr">
        <is>
          <t>213001</t>
        </is>
      </c>
      <c r="D151" s="22" t="inlineStr">
        <is>
          <t>天罡镇压</t>
        </is>
      </c>
      <c r="E151" s="18" t="inlineStr">
        <is>
          <t>48</t>
        </is>
      </c>
      <c r="F151" s="26" t="n">
        <v>713.0000000000001</v>
      </c>
      <c r="G151" s="18" t="inlineStr">
        <is>
          <t>10001|345600$125001|211968$125006|2494</t>
        </is>
      </c>
      <c r="J151" s="26" t="inlineStr">
        <is>
          <t>造成一段[0]伤害，并对敌方造成【失神】状态</t>
        </is>
      </c>
      <c r="K151" s="18" t="n">
        <v>813</v>
      </c>
    </row>
    <row r="152">
      <c r="B152" s="18" t="n">
        <v>10149</v>
      </c>
      <c r="C152" s="21" t="inlineStr">
        <is>
          <t>213001</t>
        </is>
      </c>
      <c r="D152" s="22" t="inlineStr">
        <is>
          <t>天罡镇压</t>
        </is>
      </c>
      <c r="E152" s="18" t="inlineStr">
        <is>
          <t>49</t>
        </is>
      </c>
      <c r="F152" s="26" t="n">
        <v>727</v>
      </c>
      <c r="G152" s="18" t="inlineStr">
        <is>
          <t>10001|360150$125001|220892$125006|2573</t>
        </is>
      </c>
      <c r="J152" s="26" t="inlineStr">
        <is>
          <t>造成一段[0]伤害，并对敌方造成【失神】状态</t>
        </is>
      </c>
      <c r="K152" s="18" t="n">
        <v>827</v>
      </c>
    </row>
    <row r="153">
      <c r="B153" s="18" t="n">
        <v>10150</v>
      </c>
      <c r="C153" s="21" t="inlineStr">
        <is>
          <t>213001</t>
        </is>
      </c>
      <c r="D153" s="22" t="inlineStr">
        <is>
          <t>天罡镇压</t>
        </is>
      </c>
      <c r="E153" s="18" t="inlineStr">
        <is>
          <t>50</t>
        </is>
      </c>
      <c r="F153" s="26" t="n">
        <v>740.999999999999</v>
      </c>
      <c r="G153" s="18" t="inlineStr">
        <is>
          <t>10001|375000$125001|230000$125006|2652</t>
        </is>
      </c>
      <c r="J153" s="26" t="inlineStr">
        <is>
          <t>造成一段[0]伤害，并对敌方造成【失神】状态</t>
        </is>
      </c>
      <c r="K153" s="18" t="n">
        <v>841</v>
      </c>
    </row>
    <row r="154">
      <c r="B154" s="18" t="n">
        <v>10151</v>
      </c>
      <c r="C154" s="18" t="inlineStr">
        <is>
          <t>660001</t>
        </is>
      </c>
      <c r="D154" s="8" t="inlineStr">
        <is>
          <t>莲台守身诀</t>
        </is>
      </c>
      <c r="E154" s="18" t="inlineStr">
        <is>
          <t>1</t>
        </is>
      </c>
      <c r="G154" s="18" t="inlineStr">
        <is>
          <t>10001|150$121001|92$121006|8</t>
        </is>
      </c>
      <c r="H154" s="26" t="inlineStr">
        <is>
          <t>1000|2</t>
        </is>
      </c>
      <c r="I154" s="18" t="n"/>
      <c r="J154" s="26" t="inlineStr">
        <is>
          <t>护盾量[0]生命+[1]%生命上限</t>
        </is>
      </c>
    </row>
    <row r="155">
      <c r="B155" s="18" t="n">
        <v>10152</v>
      </c>
      <c r="C155" s="18" t="inlineStr">
        <is>
          <t>660001</t>
        </is>
      </c>
      <c r="D155" s="8" t="inlineStr">
        <is>
          <t>莲台守身诀</t>
        </is>
      </c>
      <c r="E155" s="18" t="inlineStr">
        <is>
          <t>2</t>
        </is>
      </c>
      <c r="G155" s="18" t="inlineStr">
        <is>
          <t>10001|600$121001|368$121006|21</t>
        </is>
      </c>
      <c r="H155" s="18" t="inlineStr">
        <is>
          <t>1100|2.5</t>
        </is>
      </c>
      <c r="I155" s="18" t="n"/>
      <c r="J155" s="26" t="inlineStr">
        <is>
          <t>护盾量[0]生命+[1]%生命上限</t>
        </is>
      </c>
    </row>
    <row r="156">
      <c r="B156" s="18" t="n">
        <v>10153</v>
      </c>
      <c r="C156" s="18" t="inlineStr">
        <is>
          <t>660001</t>
        </is>
      </c>
      <c r="D156" s="8" t="inlineStr">
        <is>
          <t>莲台守身诀</t>
        </is>
      </c>
      <c r="E156" s="18" t="inlineStr">
        <is>
          <t>3</t>
        </is>
      </c>
      <c r="G156" s="18" t="inlineStr">
        <is>
          <t>10001|1350$121001|828$121006|39</t>
        </is>
      </c>
      <c r="H156" s="18" t="inlineStr">
        <is>
          <t>1200|3</t>
        </is>
      </c>
      <c r="I156" s="18" t="n"/>
      <c r="J156" s="26" t="inlineStr">
        <is>
          <t>护盾量[0]生命+[1]%生命上限</t>
        </is>
      </c>
    </row>
    <row r="157">
      <c r="B157" s="18" t="n">
        <v>10154</v>
      </c>
      <c r="C157" s="18" t="inlineStr">
        <is>
          <t>660001</t>
        </is>
      </c>
      <c r="D157" s="8" t="inlineStr">
        <is>
          <t>莲台守身诀</t>
        </is>
      </c>
      <c r="E157" s="18" t="inlineStr">
        <is>
          <t>4</t>
        </is>
      </c>
      <c r="G157" s="18" t="inlineStr">
        <is>
          <t>10001|2400$121001|1472$121006|60</t>
        </is>
      </c>
      <c r="H157" s="18" t="inlineStr">
        <is>
          <t>1300|3.5</t>
        </is>
      </c>
      <c r="I157" s="18" t="n"/>
      <c r="J157" s="26" t="inlineStr">
        <is>
          <t>护盾量[0]生命+[1]%生命上限</t>
        </is>
      </c>
    </row>
    <row r="158">
      <c r="B158" s="18" t="n">
        <v>10155</v>
      </c>
      <c r="C158" s="18" t="inlineStr">
        <is>
          <t>660001</t>
        </is>
      </c>
      <c r="D158" s="8" t="inlineStr">
        <is>
          <t>莲台守身诀</t>
        </is>
      </c>
      <c r="E158" s="18" t="inlineStr">
        <is>
          <t>5</t>
        </is>
      </c>
      <c r="G158" s="18" t="inlineStr">
        <is>
          <t>10001|3750$121001|2300$121006|84</t>
        </is>
      </c>
      <c r="H158" s="18" t="inlineStr">
        <is>
          <t>1400|4</t>
        </is>
      </c>
      <c r="I158" s="18" t="n"/>
      <c r="J158" s="26" t="inlineStr">
        <is>
          <t>护盾量[0]生命+[1]%生命上限</t>
        </is>
      </c>
    </row>
    <row r="159">
      <c r="B159" s="18" t="n">
        <v>10156</v>
      </c>
      <c r="C159" s="18" t="inlineStr">
        <is>
          <t>660001</t>
        </is>
      </c>
      <c r="D159" s="8" t="inlineStr">
        <is>
          <t>莲台守身诀</t>
        </is>
      </c>
      <c r="E159" s="18" t="inlineStr">
        <is>
          <t>6</t>
        </is>
      </c>
      <c r="G159" s="18" t="inlineStr">
        <is>
          <t>10001|5400$121001|3312$121006|110</t>
        </is>
      </c>
      <c r="H159" s="18" t="inlineStr">
        <is>
          <t>1500|4.5</t>
        </is>
      </c>
      <c r="I159" s="18" t="n"/>
      <c r="J159" s="26" t="inlineStr">
        <is>
          <t>护盾量[0]生命+[1]%生命上限</t>
        </is>
      </c>
    </row>
    <row r="160">
      <c r="B160" s="18" t="n">
        <v>10157</v>
      </c>
      <c r="C160" s="18" t="inlineStr">
        <is>
          <t>660001</t>
        </is>
      </c>
      <c r="D160" s="8" t="inlineStr">
        <is>
          <t>莲台守身诀</t>
        </is>
      </c>
      <c r="E160" s="18" t="inlineStr">
        <is>
          <t>7</t>
        </is>
      </c>
      <c r="G160" s="18" t="inlineStr">
        <is>
          <t>10001|7350$121001|4508$121006|139</t>
        </is>
      </c>
      <c r="H160" s="18" t="inlineStr">
        <is>
          <t>1600|5</t>
        </is>
      </c>
      <c r="I160" s="18" t="n"/>
      <c r="J160" s="26" t="inlineStr">
        <is>
          <t>护盾量[0]生命+[1]%生命上限</t>
        </is>
      </c>
    </row>
    <row r="161">
      <c r="B161" s="18" t="n">
        <v>10158</v>
      </c>
      <c r="C161" s="18" t="inlineStr">
        <is>
          <t>660001</t>
        </is>
      </c>
      <c r="D161" s="8" t="inlineStr">
        <is>
          <t>莲台守身诀</t>
        </is>
      </c>
      <c r="E161" s="18" t="inlineStr">
        <is>
          <t>8</t>
        </is>
      </c>
      <c r="G161" s="18" t="inlineStr">
        <is>
          <t>10001|9600$121001|5888$121006|170</t>
        </is>
      </c>
      <c r="H161" s="18" t="inlineStr">
        <is>
          <t>1700|5.5</t>
        </is>
      </c>
      <c r="I161" s="18" t="n"/>
      <c r="J161" s="26" t="inlineStr">
        <is>
          <t>护盾量[0]生命+[1]%生命上限</t>
        </is>
      </c>
    </row>
    <row r="162">
      <c r="B162" s="18" t="n">
        <v>10159</v>
      </c>
      <c r="C162" s="18" t="inlineStr">
        <is>
          <t>660001</t>
        </is>
      </c>
      <c r="D162" s="8" t="inlineStr">
        <is>
          <t>莲台守身诀</t>
        </is>
      </c>
      <c r="E162" s="18" t="inlineStr">
        <is>
          <t>9</t>
        </is>
      </c>
      <c r="G162" s="18" t="inlineStr">
        <is>
          <t>10001|12150$121001|7452$121006|203</t>
        </is>
      </c>
      <c r="H162" s="18" t="inlineStr">
        <is>
          <t>1800|6</t>
        </is>
      </c>
      <c r="I162" s="18" t="n"/>
      <c r="J162" s="26" t="inlineStr">
        <is>
          <t>护盾量[0]生命+[1]%生命上限</t>
        </is>
      </c>
    </row>
    <row r="163">
      <c r="B163" s="18" t="n">
        <v>10160</v>
      </c>
      <c r="C163" s="18" t="inlineStr">
        <is>
          <t>660001</t>
        </is>
      </c>
      <c r="D163" s="8" t="inlineStr">
        <is>
          <t>莲台守身诀</t>
        </is>
      </c>
      <c r="E163" s="18" t="inlineStr">
        <is>
          <t>10</t>
        </is>
      </c>
      <c r="G163" s="18" t="inlineStr">
        <is>
          <t>10001|15000$122001|9200$122006|237</t>
        </is>
      </c>
      <c r="H163" s="18" t="inlineStr">
        <is>
          <t>1900|6.5</t>
        </is>
      </c>
      <c r="I163" s="18" t="n"/>
      <c r="J163" s="26" t="inlineStr">
        <is>
          <t>护盾量[0]生命+[1]%生命上限</t>
        </is>
      </c>
    </row>
    <row r="164">
      <c r="B164" s="18" t="n">
        <v>10161</v>
      </c>
      <c r="C164" s="18" t="inlineStr">
        <is>
          <t>660001</t>
        </is>
      </c>
      <c r="D164" s="8" t="inlineStr">
        <is>
          <t>莲台守身诀</t>
        </is>
      </c>
      <c r="E164" s="18" t="inlineStr">
        <is>
          <t>11</t>
        </is>
      </c>
      <c r="G164" s="18" t="inlineStr">
        <is>
          <t>10001|18150$122001|11132$122006|274</t>
        </is>
      </c>
      <c r="H164" s="18" t="inlineStr">
        <is>
          <t>2000|7</t>
        </is>
      </c>
      <c r="I164" s="18" t="n"/>
      <c r="J164" s="26" t="inlineStr">
        <is>
          <t>护盾量[0]生命+[1]%生命上限</t>
        </is>
      </c>
    </row>
    <row r="165">
      <c r="B165" s="18" t="n">
        <v>10162</v>
      </c>
      <c r="C165" s="18" t="inlineStr">
        <is>
          <t>660001</t>
        </is>
      </c>
      <c r="D165" s="8" t="inlineStr">
        <is>
          <t>莲台守身诀</t>
        </is>
      </c>
      <c r="E165" s="18" t="inlineStr">
        <is>
          <t>12</t>
        </is>
      </c>
      <c r="G165" s="18" t="inlineStr">
        <is>
          <t>10001|21600$122001|13248$122006|312</t>
        </is>
      </c>
      <c r="H165" s="18" t="inlineStr">
        <is>
          <t>2100|7.5</t>
        </is>
      </c>
      <c r="I165" s="18" t="n"/>
      <c r="J165" s="26" t="inlineStr">
        <is>
          <t>护盾量[0]生命+[1]%生命上限</t>
        </is>
      </c>
    </row>
    <row r="166">
      <c r="B166" s="18" t="n">
        <v>10163</v>
      </c>
      <c r="C166" s="18" t="inlineStr">
        <is>
          <t>660001</t>
        </is>
      </c>
      <c r="D166" s="8" t="inlineStr">
        <is>
          <t>莲台守身诀</t>
        </is>
      </c>
      <c r="E166" s="18" t="inlineStr">
        <is>
          <t>13</t>
        </is>
      </c>
      <c r="G166" s="18" t="inlineStr">
        <is>
          <t>10001|25350$122001|15548$122006|352</t>
        </is>
      </c>
      <c r="H166" s="18" t="inlineStr">
        <is>
          <t>2200|8</t>
        </is>
      </c>
      <c r="I166" s="18" t="n"/>
      <c r="J166" s="26" t="inlineStr">
        <is>
          <t>护盾量[0]生命+[1]%生命上限</t>
        </is>
      </c>
    </row>
    <row r="167">
      <c r="B167" s="18" t="n">
        <v>10164</v>
      </c>
      <c r="C167" s="18" t="inlineStr">
        <is>
          <t>660001</t>
        </is>
      </c>
      <c r="D167" s="8" t="inlineStr">
        <is>
          <t>莲台守身诀</t>
        </is>
      </c>
      <c r="E167" s="18" t="inlineStr">
        <is>
          <t>14</t>
        </is>
      </c>
      <c r="G167" s="18" t="inlineStr">
        <is>
          <t>10001|29400$122001|18032$122006|393</t>
        </is>
      </c>
      <c r="H167" s="18" t="inlineStr">
        <is>
          <t>2300|8.5</t>
        </is>
      </c>
      <c r="I167" s="18" t="n"/>
      <c r="J167" s="26" t="inlineStr">
        <is>
          <t>护盾量[0]生命+[1]%生命上限</t>
        </is>
      </c>
    </row>
    <row r="168">
      <c r="B168" s="18" t="n">
        <v>10165</v>
      </c>
      <c r="C168" s="18" t="inlineStr">
        <is>
          <t>660001</t>
        </is>
      </c>
      <c r="D168" s="8" t="inlineStr">
        <is>
          <t>莲台守身诀</t>
        </is>
      </c>
      <c r="E168" s="18" t="inlineStr">
        <is>
          <t>15</t>
        </is>
      </c>
      <c r="G168" s="18" t="inlineStr">
        <is>
          <t>10001|33750$122001|20700$122006|436</t>
        </is>
      </c>
      <c r="H168" s="18" t="inlineStr">
        <is>
          <t>2400|9</t>
        </is>
      </c>
      <c r="I168" s="18" t="n"/>
      <c r="J168" s="26" t="inlineStr">
        <is>
          <t>护盾量[0]生命+[1]%生命上限</t>
        </is>
      </c>
    </row>
    <row r="169">
      <c r="B169" s="18" t="n">
        <v>10166</v>
      </c>
      <c r="C169" s="18" t="inlineStr">
        <is>
          <t>660001</t>
        </is>
      </c>
      <c r="D169" s="8" t="inlineStr">
        <is>
          <t>莲台守身诀</t>
        </is>
      </c>
      <c r="E169" s="18" t="inlineStr">
        <is>
          <t>16</t>
        </is>
      </c>
      <c r="G169" s="18" t="inlineStr">
        <is>
          <t>10001|38400$122001|23552$122006|480</t>
        </is>
      </c>
      <c r="H169" s="18" t="inlineStr">
        <is>
          <t>2500|9.5</t>
        </is>
      </c>
      <c r="I169" s="18" t="n"/>
      <c r="J169" s="26" t="inlineStr">
        <is>
          <t>护盾量[0]生命+[1]%生命上限</t>
        </is>
      </c>
    </row>
    <row r="170">
      <c r="B170" s="18" t="n">
        <v>10167</v>
      </c>
      <c r="C170" s="18" t="inlineStr">
        <is>
          <t>660001</t>
        </is>
      </c>
      <c r="D170" s="8" t="inlineStr">
        <is>
          <t>莲台守身诀</t>
        </is>
      </c>
      <c r="E170" s="18" t="inlineStr">
        <is>
          <t>17</t>
        </is>
      </c>
      <c r="G170" s="18" t="inlineStr">
        <is>
          <t>10001|43350$122001|26588$122006|526</t>
        </is>
      </c>
      <c r="H170" s="18" t="inlineStr">
        <is>
          <t>2600|10</t>
        </is>
      </c>
      <c r="I170" s="18" t="n"/>
      <c r="J170" s="26" t="inlineStr">
        <is>
          <t>护盾量[0]生命+[1]%生命上限</t>
        </is>
      </c>
    </row>
    <row r="171">
      <c r="B171" s="18" t="n">
        <v>10168</v>
      </c>
      <c r="C171" s="18" t="inlineStr">
        <is>
          <t>660001</t>
        </is>
      </c>
      <c r="D171" s="8" t="inlineStr">
        <is>
          <t>莲台守身诀</t>
        </is>
      </c>
      <c r="E171" s="18" t="inlineStr">
        <is>
          <t>18</t>
        </is>
      </c>
      <c r="G171" s="18" t="inlineStr">
        <is>
          <t>10001|48600$122001|29808$122006|573</t>
        </is>
      </c>
      <c r="H171" s="18" t="inlineStr">
        <is>
          <t>2700|10.5</t>
        </is>
      </c>
      <c r="I171" s="18" t="n"/>
      <c r="J171" s="26" t="inlineStr">
        <is>
          <t>护盾量[0]生命+[1]%生命上限</t>
        </is>
      </c>
    </row>
    <row r="172">
      <c r="B172" s="18" t="n">
        <v>10169</v>
      </c>
      <c r="C172" s="18" t="inlineStr">
        <is>
          <t>660001</t>
        </is>
      </c>
      <c r="D172" s="8" t="inlineStr">
        <is>
          <t>莲台守身诀</t>
        </is>
      </c>
      <c r="E172" s="18" t="inlineStr">
        <is>
          <t>19</t>
        </is>
      </c>
      <c r="G172" s="18" t="inlineStr">
        <is>
          <t>10001|54150$122001|33212$122006|621</t>
        </is>
      </c>
      <c r="H172" s="18" t="inlineStr">
        <is>
          <t>2800|11</t>
        </is>
      </c>
      <c r="I172" s="18" t="n"/>
      <c r="J172" s="26" t="inlineStr">
        <is>
          <t>护盾量[0]生命+[1]%生命上限</t>
        </is>
      </c>
    </row>
    <row r="173">
      <c r="B173" s="18" t="n">
        <v>10170</v>
      </c>
      <c r="C173" s="18" t="inlineStr">
        <is>
          <t>660001</t>
        </is>
      </c>
      <c r="D173" s="8" t="inlineStr">
        <is>
          <t>莲台守身诀</t>
        </is>
      </c>
      <c r="E173" s="18" t="inlineStr">
        <is>
          <t>20</t>
        </is>
      </c>
      <c r="G173" s="18" t="inlineStr">
        <is>
          <t>10001|60000$123001|36800$123006|671</t>
        </is>
      </c>
      <c r="H173" s="18" t="inlineStr">
        <is>
          <t>2900|11.5</t>
        </is>
      </c>
      <c r="I173" s="18" t="n"/>
      <c r="J173" s="26" t="inlineStr">
        <is>
          <t>护盾量[0]生命+[1]%生命上限</t>
        </is>
      </c>
    </row>
    <row r="174">
      <c r="B174" s="18" t="n">
        <v>10171</v>
      </c>
      <c r="C174" s="18" t="inlineStr">
        <is>
          <t>660001</t>
        </is>
      </c>
      <c r="D174" s="8" t="inlineStr">
        <is>
          <t>莲台守身诀</t>
        </is>
      </c>
      <c r="E174" s="18" t="inlineStr">
        <is>
          <t>21</t>
        </is>
      </c>
      <c r="G174" s="18" t="inlineStr">
        <is>
          <t>10001|66150$123001|40572$123006|722</t>
        </is>
      </c>
      <c r="H174" s="18" t="inlineStr">
        <is>
          <t>3000|12</t>
        </is>
      </c>
      <c r="I174" s="18" t="n"/>
      <c r="J174" s="26" t="inlineStr">
        <is>
          <t>护盾量[0]生命+[1]%生命上限</t>
        </is>
      </c>
    </row>
    <row r="175">
      <c r="B175" s="18" t="n">
        <v>10172</v>
      </c>
      <c r="C175" s="18" t="inlineStr">
        <is>
          <t>660001</t>
        </is>
      </c>
      <c r="D175" s="8" t="inlineStr">
        <is>
          <t>莲台守身诀</t>
        </is>
      </c>
      <c r="E175" s="18" t="inlineStr">
        <is>
          <t>22</t>
        </is>
      </c>
      <c r="G175" s="18" t="inlineStr">
        <is>
          <t>10001|72600$123001|44528$123006|774</t>
        </is>
      </c>
      <c r="H175" s="18" t="inlineStr">
        <is>
          <t>3100|12.5</t>
        </is>
      </c>
      <c r="I175" s="18" t="n"/>
      <c r="J175" s="26" t="inlineStr">
        <is>
          <t>护盾量[0]生命+[1]%生命上限</t>
        </is>
      </c>
    </row>
    <row r="176">
      <c r="B176" s="18" t="n">
        <v>10173</v>
      </c>
      <c r="C176" s="18" t="inlineStr">
        <is>
          <t>660001</t>
        </is>
      </c>
      <c r="D176" s="8" t="inlineStr">
        <is>
          <t>莲台守身诀</t>
        </is>
      </c>
      <c r="E176" s="18" t="inlineStr">
        <is>
          <t>23</t>
        </is>
      </c>
      <c r="G176" s="18" t="inlineStr">
        <is>
          <t>10001|79350$123001|48668$123006|827</t>
        </is>
      </c>
      <c r="H176" s="18" t="inlineStr">
        <is>
          <t>3200|13</t>
        </is>
      </c>
      <c r="I176" s="18" t="n"/>
      <c r="J176" s="26" t="inlineStr">
        <is>
          <t>护盾量[0]生命+[1]%生命上限</t>
        </is>
      </c>
    </row>
    <row r="177">
      <c r="B177" s="18" t="n">
        <v>10174</v>
      </c>
      <c r="C177" s="18" t="inlineStr">
        <is>
          <t>660001</t>
        </is>
      </c>
      <c r="D177" s="8" t="inlineStr">
        <is>
          <t>莲台守身诀</t>
        </is>
      </c>
      <c r="E177" s="18" t="inlineStr">
        <is>
          <t>24</t>
        </is>
      </c>
      <c r="G177" s="18" t="inlineStr">
        <is>
          <t>10001|86400$123001|52992$123006|882</t>
        </is>
      </c>
      <c r="H177" s="18" t="inlineStr">
        <is>
          <t>3300|13.5</t>
        </is>
      </c>
      <c r="I177" s="18" t="n"/>
      <c r="J177" s="26" t="inlineStr">
        <is>
          <t>护盾量[0]生命+[1]%生命上限</t>
        </is>
      </c>
    </row>
    <row r="178">
      <c r="B178" s="18" t="n">
        <v>10175</v>
      </c>
      <c r="C178" s="18" t="inlineStr">
        <is>
          <t>660001</t>
        </is>
      </c>
      <c r="D178" s="8" t="inlineStr">
        <is>
          <t>莲台守身诀</t>
        </is>
      </c>
      <c r="E178" s="18" t="inlineStr">
        <is>
          <t>25</t>
        </is>
      </c>
      <c r="G178" s="18" t="inlineStr">
        <is>
          <t>10001|93750$123001|57500$123006|938</t>
        </is>
      </c>
      <c r="H178" s="18" t="inlineStr">
        <is>
          <t>3400|14</t>
        </is>
      </c>
      <c r="I178" s="18" t="n"/>
      <c r="J178" s="26" t="inlineStr">
        <is>
          <t>护盾量[0]生命+[1]%生命上限</t>
        </is>
      </c>
    </row>
    <row r="179">
      <c r="B179" s="18" t="n">
        <v>10176</v>
      </c>
      <c r="C179" s="18" t="inlineStr">
        <is>
          <t>660001</t>
        </is>
      </c>
      <c r="D179" s="8" t="inlineStr">
        <is>
          <t>莲台守身诀</t>
        </is>
      </c>
      <c r="E179" s="18" t="inlineStr">
        <is>
          <t>26</t>
        </is>
      </c>
      <c r="G179" s="18" t="inlineStr">
        <is>
          <t>10001|101400$123001|62192$123006|994</t>
        </is>
      </c>
      <c r="H179" s="18" t="inlineStr">
        <is>
          <t>3500|14.5</t>
        </is>
      </c>
      <c r="I179" s="18" t="n"/>
      <c r="J179" s="26" t="inlineStr">
        <is>
          <t>护盾量[0]生命+[1]%生命上限</t>
        </is>
      </c>
    </row>
    <row r="180">
      <c r="B180" s="18" t="n">
        <v>10177</v>
      </c>
      <c r="C180" s="18" t="inlineStr">
        <is>
          <t>660001</t>
        </is>
      </c>
      <c r="D180" s="8" t="inlineStr">
        <is>
          <t>莲台守身诀</t>
        </is>
      </c>
      <c r="E180" s="18" t="inlineStr">
        <is>
          <t>27</t>
        </is>
      </c>
      <c r="G180" s="18" t="inlineStr">
        <is>
          <t>10001|109350$123001|67068$123006|1052</t>
        </is>
      </c>
      <c r="H180" s="18" t="inlineStr">
        <is>
          <t>3600|15</t>
        </is>
      </c>
      <c r="I180" s="18" t="n"/>
      <c r="J180" s="26" t="inlineStr">
        <is>
          <t>护盾量[0]生命+[1]%生命上限</t>
        </is>
      </c>
    </row>
    <row r="181">
      <c r="B181" s="18" t="n">
        <v>10178</v>
      </c>
      <c r="C181" s="18" t="inlineStr">
        <is>
          <t>660001</t>
        </is>
      </c>
      <c r="D181" s="8" t="inlineStr">
        <is>
          <t>莲台守身诀</t>
        </is>
      </c>
      <c r="E181" s="18" t="inlineStr">
        <is>
          <t>28</t>
        </is>
      </c>
      <c r="G181" s="18" t="inlineStr">
        <is>
          <t>10001|117600$123001|72128$123006|1111</t>
        </is>
      </c>
      <c r="H181" s="18" t="inlineStr">
        <is>
          <t>3700|15.5</t>
        </is>
      </c>
      <c r="I181" s="18" t="n"/>
      <c r="J181" s="26" t="inlineStr">
        <is>
          <t>护盾量[0]生命+[1]%生命上限</t>
        </is>
      </c>
    </row>
    <row r="182">
      <c r="B182" s="18" t="n">
        <v>10179</v>
      </c>
      <c r="C182" s="18" t="inlineStr">
        <is>
          <t>660001</t>
        </is>
      </c>
      <c r="D182" s="8" t="inlineStr">
        <is>
          <t>莲台守身诀</t>
        </is>
      </c>
      <c r="E182" s="18" t="inlineStr">
        <is>
          <t>29</t>
        </is>
      </c>
      <c r="G182" s="18" t="inlineStr">
        <is>
          <t>10001|126150$123001|77372$123006|1171</t>
        </is>
      </c>
      <c r="H182" s="18" t="inlineStr">
        <is>
          <t>3800|16</t>
        </is>
      </c>
      <c r="I182" s="18" t="n"/>
      <c r="J182" s="26" t="inlineStr">
        <is>
          <t>护盾量[0]生命+[1]%生命上限</t>
        </is>
      </c>
    </row>
    <row r="183">
      <c r="B183" s="18" t="n">
        <v>10180</v>
      </c>
      <c r="C183" s="18" t="inlineStr">
        <is>
          <t>660001</t>
        </is>
      </c>
      <c r="D183" s="8" t="inlineStr">
        <is>
          <t>莲台守身诀</t>
        </is>
      </c>
      <c r="E183" s="18" t="inlineStr">
        <is>
          <t>30</t>
        </is>
      </c>
      <c r="G183" s="18" t="inlineStr">
        <is>
          <t>10001|135000$124001|82800$124006|1232</t>
        </is>
      </c>
      <c r="H183" s="18" t="inlineStr">
        <is>
          <t>3900|16.5</t>
        </is>
      </c>
      <c r="I183" s="18" t="n"/>
      <c r="J183" s="26" t="inlineStr">
        <is>
          <t>护盾量[0]生命+[1]%生命上限</t>
        </is>
      </c>
    </row>
    <row r="184">
      <c r="B184" s="18" t="n">
        <v>10181</v>
      </c>
      <c r="C184" s="18" t="inlineStr">
        <is>
          <t>660001</t>
        </is>
      </c>
      <c r="D184" s="8" t="inlineStr">
        <is>
          <t>莲台守身诀</t>
        </is>
      </c>
      <c r="E184" s="18" t="inlineStr">
        <is>
          <t>31</t>
        </is>
      </c>
      <c r="G184" s="18" t="inlineStr">
        <is>
          <t>10001|144150$124001|88412$124006|1295</t>
        </is>
      </c>
      <c r="H184" s="18" t="inlineStr">
        <is>
          <t>4000|17</t>
        </is>
      </c>
      <c r="I184" s="18" t="n"/>
      <c r="J184" s="26" t="inlineStr">
        <is>
          <t>护盾量[0]生命+[1]%生命上限</t>
        </is>
      </c>
    </row>
    <row r="185">
      <c r="B185" s="18" t="n">
        <v>10182</v>
      </c>
      <c r="C185" s="18" t="inlineStr">
        <is>
          <t>660001</t>
        </is>
      </c>
      <c r="D185" s="8" t="inlineStr">
        <is>
          <t>莲台守身诀</t>
        </is>
      </c>
      <c r="E185" s="18" t="inlineStr">
        <is>
          <t>32</t>
        </is>
      </c>
      <c r="G185" s="18" t="inlineStr">
        <is>
          <t>10001|153600$124001|94208$124006|1358</t>
        </is>
      </c>
      <c r="H185" s="18" t="inlineStr">
        <is>
          <t>4100|17.5</t>
        </is>
      </c>
      <c r="I185" s="18" t="n"/>
      <c r="J185" s="26" t="inlineStr">
        <is>
          <t>护盾量[0]生命+[1]%生命上限</t>
        </is>
      </c>
    </row>
    <row r="186">
      <c r="B186" s="18" t="n">
        <v>10183</v>
      </c>
      <c r="C186" s="18" t="inlineStr">
        <is>
          <t>660001</t>
        </is>
      </c>
      <c r="D186" s="8" t="inlineStr">
        <is>
          <t>莲台守身诀</t>
        </is>
      </c>
      <c r="E186" s="18" t="inlineStr">
        <is>
          <t>33</t>
        </is>
      </c>
      <c r="G186" s="18" t="inlineStr">
        <is>
          <t>10001|163350$124001|100188$124006|1422</t>
        </is>
      </c>
      <c r="H186" s="18" t="inlineStr">
        <is>
          <t>4200|18</t>
        </is>
      </c>
      <c r="I186" s="18" t="n"/>
      <c r="J186" s="26" t="inlineStr">
        <is>
          <t>护盾量[0]生命+[1]%生命上限</t>
        </is>
      </c>
    </row>
    <row r="187">
      <c r="B187" s="18" t="n">
        <v>10184</v>
      </c>
      <c r="C187" s="18" t="inlineStr">
        <is>
          <t>660001</t>
        </is>
      </c>
      <c r="D187" s="8" t="inlineStr">
        <is>
          <t>莲台守身诀</t>
        </is>
      </c>
      <c r="E187" s="18" t="inlineStr">
        <is>
          <t>34</t>
        </is>
      </c>
      <c r="G187" s="18" t="inlineStr">
        <is>
          <t>10001|173400$124001|106352$124006|1487</t>
        </is>
      </c>
      <c r="H187" s="18" t="inlineStr">
        <is>
          <t>4300|18.5</t>
        </is>
      </c>
      <c r="I187" s="18" t="n"/>
      <c r="J187" s="26" t="inlineStr">
        <is>
          <t>护盾量[0]生命+[1]%生命上限</t>
        </is>
      </c>
    </row>
    <row r="188">
      <c r="B188" s="18" t="n">
        <v>10185</v>
      </c>
      <c r="C188" s="18" t="inlineStr">
        <is>
          <t>660001</t>
        </is>
      </c>
      <c r="D188" s="8" t="inlineStr">
        <is>
          <t>莲台守身诀</t>
        </is>
      </c>
      <c r="E188" s="18" t="inlineStr">
        <is>
          <t>35</t>
        </is>
      </c>
      <c r="G188" s="18" t="inlineStr">
        <is>
          <t>10001|183750$124001|112700$124006|1553</t>
        </is>
      </c>
      <c r="H188" s="18" t="inlineStr">
        <is>
          <t>4400|19</t>
        </is>
      </c>
      <c r="I188" s="18" t="n"/>
      <c r="J188" s="26" t="inlineStr">
        <is>
          <t>护盾量[0]生命+[1]%生命上限</t>
        </is>
      </c>
    </row>
    <row r="189">
      <c r="B189" s="18" t="n">
        <v>10186</v>
      </c>
      <c r="C189" s="18" t="inlineStr">
        <is>
          <t>660001</t>
        </is>
      </c>
      <c r="D189" s="8" t="inlineStr">
        <is>
          <t>莲台守身诀</t>
        </is>
      </c>
      <c r="E189" s="18" t="inlineStr">
        <is>
          <t>36</t>
        </is>
      </c>
      <c r="G189" s="18" t="inlineStr">
        <is>
          <t>10001|194400$124001|119232$124006|1620</t>
        </is>
      </c>
      <c r="H189" s="18" t="inlineStr">
        <is>
          <t>4500|19.5</t>
        </is>
      </c>
      <c r="I189" s="18" t="n"/>
      <c r="J189" s="26" t="inlineStr">
        <is>
          <t>护盾量[0]生命+[1]%生命上限</t>
        </is>
      </c>
    </row>
    <row r="190">
      <c r="B190" s="18" t="n">
        <v>10187</v>
      </c>
      <c r="C190" s="18" t="inlineStr">
        <is>
          <t>660001</t>
        </is>
      </c>
      <c r="D190" s="8" t="inlineStr">
        <is>
          <t>莲台守身诀</t>
        </is>
      </c>
      <c r="E190" s="18" t="inlineStr">
        <is>
          <t>37</t>
        </is>
      </c>
      <c r="G190" s="18" t="inlineStr">
        <is>
          <t>10001|205350$124001|125948$124006|1688</t>
        </is>
      </c>
      <c r="H190" s="18" t="inlineStr">
        <is>
          <t>4600|20</t>
        </is>
      </c>
      <c r="I190" s="18" t="n"/>
      <c r="J190" s="26" t="inlineStr">
        <is>
          <t>护盾量[0]生命+[1]%生命上限</t>
        </is>
      </c>
    </row>
    <row r="191">
      <c r="B191" s="18" t="n">
        <v>10188</v>
      </c>
      <c r="C191" s="18" t="inlineStr">
        <is>
          <t>660001</t>
        </is>
      </c>
      <c r="D191" s="8" t="inlineStr">
        <is>
          <t>莲台守身诀</t>
        </is>
      </c>
      <c r="E191" s="18" t="inlineStr">
        <is>
          <t>38</t>
        </is>
      </c>
      <c r="G191" s="18" t="inlineStr">
        <is>
          <t>10001|216600$124001|132848$124006|1757</t>
        </is>
      </c>
      <c r="H191" s="18" t="inlineStr">
        <is>
          <t>4700|20.5</t>
        </is>
      </c>
      <c r="I191" s="18" t="n"/>
      <c r="J191" s="26" t="inlineStr">
        <is>
          <t>护盾量[0]生命+[1]%生命上限</t>
        </is>
      </c>
    </row>
    <row r="192">
      <c r="B192" s="18" t="n">
        <v>10189</v>
      </c>
      <c r="C192" s="18" t="inlineStr">
        <is>
          <t>660001</t>
        </is>
      </c>
      <c r="D192" s="8" t="inlineStr">
        <is>
          <t>莲台守身诀</t>
        </is>
      </c>
      <c r="E192" s="18" t="inlineStr">
        <is>
          <t>39</t>
        </is>
      </c>
      <c r="G192" s="18" t="inlineStr">
        <is>
          <t>10001|228150$124001|139932$124006|1827</t>
        </is>
      </c>
      <c r="H192" s="18" t="inlineStr">
        <is>
          <t>4800|21</t>
        </is>
      </c>
      <c r="I192" s="18" t="n"/>
      <c r="J192" s="26" t="inlineStr">
        <is>
          <t>护盾量[0]生命+[1]%生命上限</t>
        </is>
      </c>
    </row>
    <row r="193">
      <c r="B193" s="18" t="n">
        <v>10190</v>
      </c>
      <c r="C193" s="18" t="inlineStr">
        <is>
          <t>660001</t>
        </is>
      </c>
      <c r="D193" s="8" t="inlineStr">
        <is>
          <t>莲台守身诀</t>
        </is>
      </c>
      <c r="E193" s="18" t="inlineStr">
        <is>
          <t>40</t>
        </is>
      </c>
      <c r="G193" s="18" t="inlineStr">
        <is>
          <t>10001|240000$125001|147200$125006|1897</t>
        </is>
      </c>
      <c r="H193" s="18" t="inlineStr">
        <is>
          <t>4900|21.5</t>
        </is>
      </c>
      <c r="I193" s="18" t="n"/>
      <c r="J193" s="26" t="inlineStr">
        <is>
          <t>护盾量[0]生命+[1]%生命上限</t>
        </is>
      </c>
    </row>
    <row r="194">
      <c r="B194" s="18" t="n">
        <v>10191</v>
      </c>
      <c r="C194" s="18" t="inlineStr">
        <is>
          <t>660001</t>
        </is>
      </c>
      <c r="D194" s="8" t="inlineStr">
        <is>
          <t>莲台守身诀</t>
        </is>
      </c>
      <c r="E194" s="18" t="inlineStr">
        <is>
          <t>41</t>
        </is>
      </c>
      <c r="G194" s="18" t="inlineStr">
        <is>
          <t>10001|252150$125001|154652$125006|1969</t>
        </is>
      </c>
      <c r="H194" s="18" t="inlineStr">
        <is>
          <t>5000|22</t>
        </is>
      </c>
      <c r="I194" s="18" t="n"/>
      <c r="J194" s="26" t="inlineStr">
        <is>
          <t>护盾量[0]生命+[1]%生命上限</t>
        </is>
      </c>
    </row>
    <row r="195">
      <c r="B195" s="18" t="n">
        <v>10192</v>
      </c>
      <c r="C195" s="18" t="inlineStr">
        <is>
          <t>660001</t>
        </is>
      </c>
      <c r="D195" s="8" t="inlineStr">
        <is>
          <t>莲台守身诀</t>
        </is>
      </c>
      <c r="E195" s="18" t="inlineStr">
        <is>
          <t>42</t>
        </is>
      </c>
      <c r="G195" s="18" t="inlineStr">
        <is>
          <t>10001|264600$125001|162288$125006|2041</t>
        </is>
      </c>
      <c r="H195" s="18" t="inlineStr">
        <is>
          <t>5100|22.5</t>
        </is>
      </c>
      <c r="I195" s="18" t="n"/>
      <c r="J195" s="26" t="inlineStr">
        <is>
          <t>护盾量[0]生命+[1]%生命上限</t>
        </is>
      </c>
    </row>
    <row r="196">
      <c r="B196" s="18" t="n">
        <v>10193</v>
      </c>
      <c r="C196" s="18" t="inlineStr">
        <is>
          <t>660001</t>
        </is>
      </c>
      <c r="D196" s="8" t="inlineStr">
        <is>
          <t>莲台守身诀</t>
        </is>
      </c>
      <c r="E196" s="18" t="inlineStr">
        <is>
          <t>43</t>
        </is>
      </c>
      <c r="G196" s="18" t="inlineStr">
        <is>
          <t>10001|277350$125001|170108$125006|2115</t>
        </is>
      </c>
      <c r="H196" s="18" t="inlineStr">
        <is>
          <t>5200|23</t>
        </is>
      </c>
      <c r="I196" s="18" t="n"/>
      <c r="J196" s="26" t="inlineStr">
        <is>
          <t>护盾量[0]生命+[1]%生命上限</t>
        </is>
      </c>
    </row>
    <row r="197">
      <c r="B197" s="18" t="n">
        <v>10194</v>
      </c>
      <c r="C197" s="18" t="inlineStr">
        <is>
          <t>660001</t>
        </is>
      </c>
      <c r="D197" s="8" t="inlineStr">
        <is>
          <t>莲台守身诀</t>
        </is>
      </c>
      <c r="E197" s="18" t="inlineStr">
        <is>
          <t>44</t>
        </is>
      </c>
      <c r="G197" s="18" t="inlineStr">
        <is>
          <t>10001|290400$125001|178112$125006|2189</t>
        </is>
      </c>
      <c r="H197" s="18" t="inlineStr">
        <is>
          <t>5300|23.5</t>
        </is>
      </c>
      <c r="I197" s="18" t="n"/>
      <c r="J197" s="26" t="inlineStr">
        <is>
          <t>护盾量[0]生命+[1]%生命上限</t>
        </is>
      </c>
    </row>
    <row r="198">
      <c r="B198" s="18" t="n">
        <v>10195</v>
      </c>
      <c r="C198" s="18" t="inlineStr">
        <is>
          <t>660001</t>
        </is>
      </c>
      <c r="D198" s="8" t="inlineStr">
        <is>
          <t>莲台守身诀</t>
        </is>
      </c>
      <c r="E198" s="18" t="inlineStr">
        <is>
          <t>45</t>
        </is>
      </c>
      <c r="G198" s="18" t="inlineStr">
        <is>
          <t>10001|303750$125001|186300$125006|2264</t>
        </is>
      </c>
      <c r="H198" s="18" t="inlineStr">
        <is>
          <t>5400|24</t>
        </is>
      </c>
      <c r="I198" s="18" t="n"/>
      <c r="J198" s="26" t="inlineStr">
        <is>
          <t>护盾量[0]生命+[1]%生命上限</t>
        </is>
      </c>
    </row>
    <row r="199">
      <c r="B199" s="18" t="n">
        <v>10196</v>
      </c>
      <c r="C199" s="18" t="inlineStr">
        <is>
          <t>660001</t>
        </is>
      </c>
      <c r="D199" s="8" t="inlineStr">
        <is>
          <t>莲台守身诀</t>
        </is>
      </c>
      <c r="E199" s="18" t="inlineStr">
        <is>
          <t>46</t>
        </is>
      </c>
      <c r="G199" s="18" t="inlineStr">
        <is>
          <t>10001|317400$125001|194672$125006|2340</t>
        </is>
      </c>
      <c r="H199" s="18" t="inlineStr">
        <is>
          <t>5500|24.5</t>
        </is>
      </c>
      <c r="I199" s="18" t="n"/>
      <c r="J199" s="26" t="inlineStr">
        <is>
          <t>护盾量[0]生命+[1]%生命上限</t>
        </is>
      </c>
    </row>
    <row r="200">
      <c r="B200" s="18" t="n">
        <v>10197</v>
      </c>
      <c r="C200" s="18" t="inlineStr">
        <is>
          <t>660001</t>
        </is>
      </c>
      <c r="D200" s="8" t="inlineStr">
        <is>
          <t>莲台守身诀</t>
        </is>
      </c>
      <c r="E200" s="18" t="inlineStr">
        <is>
          <t>47</t>
        </is>
      </c>
      <c r="G200" s="18" t="inlineStr">
        <is>
          <t>10001|331350$125001|203228$125006|2417</t>
        </is>
      </c>
      <c r="H200" s="18" t="inlineStr">
        <is>
          <t>5600|25</t>
        </is>
      </c>
      <c r="I200" s="18" t="n"/>
      <c r="J200" s="26" t="inlineStr">
        <is>
          <t>护盾量[0]生命+[1]%生命上限</t>
        </is>
      </c>
    </row>
    <row r="201">
      <c r="B201" s="18" t="n">
        <v>10198</v>
      </c>
      <c r="C201" s="18" t="inlineStr">
        <is>
          <t>660001</t>
        </is>
      </c>
      <c r="D201" s="8" t="inlineStr">
        <is>
          <t>莲台守身诀</t>
        </is>
      </c>
      <c r="E201" s="18" t="inlineStr">
        <is>
          <t>48</t>
        </is>
      </c>
      <c r="G201" s="18" t="inlineStr">
        <is>
          <t>10001|345600$125001|211968$125006|2494</t>
        </is>
      </c>
      <c r="H201" s="18" t="inlineStr">
        <is>
          <t>5700|25.5</t>
        </is>
      </c>
      <c r="I201" s="18" t="n"/>
      <c r="J201" s="26" t="inlineStr">
        <is>
          <t>护盾量[0]生命+[1]%生命上限</t>
        </is>
      </c>
    </row>
    <row r="202">
      <c r="B202" s="18" t="n">
        <v>10199</v>
      </c>
      <c r="C202" s="18" t="inlineStr">
        <is>
          <t>660001</t>
        </is>
      </c>
      <c r="D202" s="8" t="inlineStr">
        <is>
          <t>莲台守身诀</t>
        </is>
      </c>
      <c r="E202" s="18" t="inlineStr">
        <is>
          <t>49</t>
        </is>
      </c>
      <c r="G202" s="18" t="inlineStr">
        <is>
          <t>10001|360150$125001|220892$125006|2573</t>
        </is>
      </c>
      <c r="H202" s="18" t="inlineStr">
        <is>
          <t>5800|26</t>
        </is>
      </c>
      <c r="I202" s="18" t="n"/>
      <c r="J202" s="26" t="inlineStr">
        <is>
          <t>护盾量[0]生命+[1]%生命上限</t>
        </is>
      </c>
    </row>
    <row r="203">
      <c r="B203" s="18" t="n">
        <v>10200</v>
      </c>
      <c r="C203" s="18" t="inlineStr">
        <is>
          <t>660001</t>
        </is>
      </c>
      <c r="D203" s="8" t="inlineStr">
        <is>
          <t>莲台守身诀</t>
        </is>
      </c>
      <c r="E203" s="18" t="inlineStr">
        <is>
          <t>50</t>
        </is>
      </c>
      <c r="G203" s="18" t="inlineStr">
        <is>
          <t>10001|375000$125001|230000$125006|2652</t>
        </is>
      </c>
      <c r="H203" s="18" t="inlineStr">
        <is>
          <t>5900|26.5</t>
        </is>
      </c>
      <c r="I203" s="18" t="n"/>
      <c r="J203" s="26" t="inlineStr">
        <is>
          <t>护盾量[0]生命+[1]%生命上限</t>
        </is>
      </c>
    </row>
    <row r="204">
      <c r="B204" s="20" t="n">
        <v>10201</v>
      </c>
      <c r="C204" s="23" t="inlineStr">
        <is>
          <t>110001</t>
        </is>
      </c>
      <c r="D204" s="31" t="inlineStr">
        <is>
          <t>火焰爆轰</t>
        </is>
      </c>
      <c r="E204" s="20" t="inlineStr">
        <is>
          <t>1</t>
        </is>
      </c>
      <c r="F204" s="20" t="inlineStr">
        <is>
          <t>-60|-60|-60</t>
        </is>
      </c>
      <c r="G204" s="20" t="inlineStr">
        <is>
          <t>10001|150$121001|92$121003|8</t>
        </is>
      </c>
      <c r="J204" s="29" t="inlineStr">
        <is>
          <t>造成三段伤害，每段伤害为[0]%</t>
        </is>
      </c>
      <c r="K204" s="18" t="n">
        <v>40</v>
      </c>
    </row>
    <row r="205">
      <c r="B205" s="20" t="inlineStr">
        <is>
          <t>10202</t>
        </is>
      </c>
      <c r="C205" s="23" t="inlineStr">
        <is>
          <t>110001</t>
        </is>
      </c>
      <c r="D205" s="31" t="inlineStr">
        <is>
          <t>火焰爆轰</t>
        </is>
      </c>
      <c r="E205" s="20" t="inlineStr">
        <is>
          <t>2</t>
        </is>
      </c>
      <c r="F205" s="20" t="inlineStr">
        <is>
          <t>-56.3333333333333|-56.3333333333333|-56.3333333333333</t>
        </is>
      </c>
      <c r="G205" s="20" t="inlineStr">
        <is>
          <t>10001|600$121001|368$121003|21</t>
        </is>
      </c>
      <c r="J205" s="29" t="inlineStr">
        <is>
          <t>造成三段伤害，每段伤害为[0]%</t>
        </is>
      </c>
      <c r="K205" s="18" t="n">
        <v>44</v>
      </c>
    </row>
    <row r="206">
      <c r="B206" s="20" t="n">
        <v>10203</v>
      </c>
      <c r="C206" s="23" t="inlineStr">
        <is>
          <t>110001</t>
        </is>
      </c>
      <c r="D206" s="31" t="inlineStr">
        <is>
          <t>火焰爆轰</t>
        </is>
      </c>
      <c r="E206" s="20" t="inlineStr">
        <is>
          <t>3</t>
        </is>
      </c>
      <c r="F206" s="20" t="inlineStr">
        <is>
          <t>-52.6666666666667|-52.6666666666667|-52.6666666666667</t>
        </is>
      </c>
      <c r="G206" s="20" t="inlineStr">
        <is>
          <t>10001|1350$121001|828$121003|39</t>
        </is>
      </c>
      <c r="J206" s="29" t="inlineStr">
        <is>
          <t>造成三段伤害，每段伤害为[0]%</t>
        </is>
      </c>
      <c r="K206" s="18" t="n">
        <v>47</v>
      </c>
    </row>
    <row r="207">
      <c r="B207" s="20" t="n">
        <v>10204</v>
      </c>
      <c r="C207" s="23" t="inlineStr">
        <is>
          <t>110001</t>
        </is>
      </c>
      <c r="D207" s="31" t="inlineStr">
        <is>
          <t>火焰爆轰</t>
        </is>
      </c>
      <c r="E207" s="20" t="inlineStr">
        <is>
          <t>4</t>
        </is>
      </c>
      <c r="F207" s="20" t="inlineStr">
        <is>
          <t>-49|-49|-49</t>
        </is>
      </c>
      <c r="G207" s="20" t="inlineStr">
        <is>
          <t>10001|2400$121001|1472$121003|60</t>
        </is>
      </c>
      <c r="J207" s="29" t="inlineStr">
        <is>
          <t>造成三段伤害，每段伤害为[0]%</t>
        </is>
      </c>
      <c r="K207" s="18" t="n">
        <v>51</v>
      </c>
    </row>
    <row r="208">
      <c r="B208" s="20" t="n">
        <v>10205</v>
      </c>
      <c r="C208" s="23" t="inlineStr">
        <is>
          <t>110001</t>
        </is>
      </c>
      <c r="D208" s="31" t="inlineStr">
        <is>
          <t>火焰爆轰</t>
        </is>
      </c>
      <c r="E208" s="20" t="inlineStr">
        <is>
          <t>5</t>
        </is>
      </c>
      <c r="F208" s="20" t="inlineStr">
        <is>
          <t>-45.3333333333333|-45.3333333333333|-45.3333333333333</t>
        </is>
      </c>
      <c r="G208" s="20" t="inlineStr">
        <is>
          <t>10001|3750$121001|2300$121003|84</t>
        </is>
      </c>
      <c r="J208" s="29" t="inlineStr">
        <is>
          <t>造成三段伤害，每段伤害为[0]%</t>
        </is>
      </c>
      <c r="K208" s="18" t="n">
        <v>55</v>
      </c>
    </row>
    <row r="209">
      <c r="B209" s="20" t="n">
        <v>10206</v>
      </c>
      <c r="C209" s="23" t="inlineStr">
        <is>
          <t>110001</t>
        </is>
      </c>
      <c r="D209" s="31" t="inlineStr">
        <is>
          <t>火焰爆轰</t>
        </is>
      </c>
      <c r="E209" s="20" t="inlineStr">
        <is>
          <t>6</t>
        </is>
      </c>
      <c r="F209" s="20" t="inlineStr">
        <is>
          <t>-41.6666666666667|-41.6666666666667|-41.6666666666667</t>
        </is>
      </c>
      <c r="G209" s="20" t="inlineStr">
        <is>
          <t>10001|5400$121001|3312$121003|110</t>
        </is>
      </c>
      <c r="J209" s="29" t="inlineStr">
        <is>
          <t>造成三段伤害，每段伤害为[0]%</t>
        </is>
      </c>
      <c r="K209" s="18" t="n">
        <v>58</v>
      </c>
    </row>
    <row r="210">
      <c r="B210" s="20" t="n">
        <v>10207</v>
      </c>
      <c r="C210" s="23" t="inlineStr">
        <is>
          <t>110001</t>
        </is>
      </c>
      <c r="D210" s="31" t="inlineStr">
        <is>
          <t>火焰爆轰</t>
        </is>
      </c>
      <c r="E210" s="20" t="inlineStr">
        <is>
          <t>7</t>
        </is>
      </c>
      <c r="F210" s="20" t="inlineStr">
        <is>
          <t>-38|-38|-38</t>
        </is>
      </c>
      <c r="G210" s="20" t="inlineStr">
        <is>
          <t>10001|7350$121001|4508$121003|139</t>
        </is>
      </c>
      <c r="J210" s="29" t="inlineStr">
        <is>
          <t>造成三段伤害，每段伤害为[0]%</t>
        </is>
      </c>
      <c r="K210" s="18" t="n">
        <v>62</v>
      </c>
    </row>
    <row r="211">
      <c r="B211" s="20" t="n">
        <v>10208</v>
      </c>
      <c r="C211" s="23" t="inlineStr">
        <is>
          <t>110001</t>
        </is>
      </c>
      <c r="D211" s="31" t="inlineStr">
        <is>
          <t>火焰爆轰</t>
        </is>
      </c>
      <c r="E211" s="20" t="inlineStr">
        <is>
          <t>8</t>
        </is>
      </c>
      <c r="F211" s="20" t="inlineStr">
        <is>
          <t>-34.3333333333333|-34.3333333333333|-34.3333333333333</t>
        </is>
      </c>
      <c r="G211" s="20" t="inlineStr">
        <is>
          <t>10001|9600$121001|5888$121003|170</t>
        </is>
      </c>
      <c r="J211" s="29" t="inlineStr">
        <is>
          <t>造成三段伤害，每段伤害为[0]%</t>
        </is>
      </c>
      <c r="K211" s="18" t="n">
        <v>66</v>
      </c>
    </row>
    <row r="212">
      <c r="B212" s="20" t="n">
        <v>10209</v>
      </c>
      <c r="C212" s="23" t="inlineStr">
        <is>
          <t>110001</t>
        </is>
      </c>
      <c r="D212" s="31" t="inlineStr">
        <is>
          <t>火焰爆轰</t>
        </is>
      </c>
      <c r="E212" s="20" t="inlineStr">
        <is>
          <t>9</t>
        </is>
      </c>
      <c r="F212" s="20" t="inlineStr">
        <is>
          <t>-30.6666666666667|-30.6666666666667|-30.6666666666667</t>
        </is>
      </c>
      <c r="G212" s="20" t="inlineStr">
        <is>
          <t>10001|12150$121001|7452$121003|203</t>
        </is>
      </c>
      <c r="J212" s="29" t="inlineStr">
        <is>
          <t>造成三段伤害，每段伤害为[0]%</t>
        </is>
      </c>
      <c r="K212" s="18" t="n">
        <v>69</v>
      </c>
    </row>
    <row r="213">
      <c r="B213" s="20" t="n">
        <v>10210</v>
      </c>
      <c r="C213" s="23" t="inlineStr">
        <is>
          <t>110001</t>
        </is>
      </c>
      <c r="D213" s="31" t="inlineStr">
        <is>
          <t>火焰爆轰</t>
        </is>
      </c>
      <c r="E213" s="20" t="inlineStr">
        <is>
          <t>10</t>
        </is>
      </c>
      <c r="F213" s="20" t="inlineStr">
        <is>
          <t>-27|-27|-27</t>
        </is>
      </c>
      <c r="G213" s="20" t="inlineStr">
        <is>
          <t>10001|15000$122001|9200$122003|237</t>
        </is>
      </c>
      <c r="J213" s="29" t="inlineStr">
        <is>
          <t>造成三段伤害，每段伤害为[0]%</t>
        </is>
      </c>
      <c r="K213" s="18" t="n">
        <v>73</v>
      </c>
    </row>
    <row r="214">
      <c r="B214" s="20" t="n">
        <v>10211</v>
      </c>
      <c r="C214" s="23" t="inlineStr">
        <is>
          <t>110001</t>
        </is>
      </c>
      <c r="D214" s="31" t="inlineStr">
        <is>
          <t>火焰爆轰</t>
        </is>
      </c>
      <c r="E214" s="20" t="inlineStr">
        <is>
          <t>11</t>
        </is>
      </c>
      <c r="F214" s="20" t="inlineStr">
        <is>
          <t>-23.3333333333333|-23.3333333333333|-23.3333333333333</t>
        </is>
      </c>
      <c r="G214" s="20" t="inlineStr">
        <is>
          <t>10001|18150$122001|11132$122003|274</t>
        </is>
      </c>
      <c r="J214" s="29" t="inlineStr">
        <is>
          <t>造成三段伤害，每段伤害为[0]%</t>
        </is>
      </c>
      <c r="K214" s="18" t="n">
        <v>77</v>
      </c>
    </row>
    <row r="215">
      <c r="B215" s="20" t="n">
        <v>10212</v>
      </c>
      <c r="C215" s="23" t="inlineStr">
        <is>
          <t>110001</t>
        </is>
      </c>
      <c r="D215" s="31" t="inlineStr">
        <is>
          <t>火焰爆轰</t>
        </is>
      </c>
      <c r="E215" s="20" t="inlineStr">
        <is>
          <t>12</t>
        </is>
      </c>
      <c r="F215" s="20" t="inlineStr">
        <is>
          <t>-19.6666666666667|-19.6666666666667|-19.6666666666667</t>
        </is>
      </c>
      <c r="G215" s="20" t="inlineStr">
        <is>
          <t>10001|21600$122001|13248$122003|312</t>
        </is>
      </c>
      <c r="J215" s="29" t="inlineStr">
        <is>
          <t>造成三段伤害，每段伤害为[0]%</t>
        </is>
      </c>
      <c r="K215" s="18" t="n">
        <v>80</v>
      </c>
    </row>
    <row r="216">
      <c r="B216" s="20" t="n">
        <v>10213</v>
      </c>
      <c r="C216" s="23" t="inlineStr">
        <is>
          <t>110001</t>
        </is>
      </c>
      <c r="D216" s="31" t="inlineStr">
        <is>
          <t>火焰爆轰</t>
        </is>
      </c>
      <c r="E216" s="20" t="inlineStr">
        <is>
          <t>13</t>
        </is>
      </c>
      <c r="F216" s="20" t="inlineStr">
        <is>
          <t>-16|-16|-16</t>
        </is>
      </c>
      <c r="G216" s="20" t="inlineStr">
        <is>
          <t>10001|25350$122001|15548$122003|352</t>
        </is>
      </c>
      <c r="J216" s="29" t="inlineStr">
        <is>
          <t>造成三段伤害，每段伤害为[0]%</t>
        </is>
      </c>
      <c r="K216" s="18" t="n">
        <v>84</v>
      </c>
    </row>
    <row r="217">
      <c r="B217" s="20" t="n">
        <v>10214</v>
      </c>
      <c r="C217" s="23" t="inlineStr">
        <is>
          <t>110001</t>
        </is>
      </c>
      <c r="D217" s="31" t="inlineStr">
        <is>
          <t>火焰爆轰</t>
        </is>
      </c>
      <c r="E217" s="20" t="inlineStr">
        <is>
          <t>14</t>
        </is>
      </c>
      <c r="F217" s="20" t="inlineStr">
        <is>
          <t>-12.3333333333333|-12.3333333333333|-12.3333333333333</t>
        </is>
      </c>
      <c r="G217" s="20" t="inlineStr">
        <is>
          <t>10001|29400$122001|18032$122003|393</t>
        </is>
      </c>
      <c r="J217" s="29" t="inlineStr">
        <is>
          <t>造成三段伤害，每段伤害为[0]%</t>
        </is>
      </c>
      <c r="K217" s="18" t="n">
        <v>88</v>
      </c>
    </row>
    <row r="218">
      <c r="B218" s="20" t="n">
        <v>10215</v>
      </c>
      <c r="C218" s="23" t="inlineStr">
        <is>
          <t>110001</t>
        </is>
      </c>
      <c r="D218" s="31" t="inlineStr">
        <is>
          <t>火焰爆轰</t>
        </is>
      </c>
      <c r="E218" s="20" t="inlineStr">
        <is>
          <t>15</t>
        </is>
      </c>
      <c r="F218" s="20" t="inlineStr">
        <is>
          <t>-8.66666666666666|-8.66666666666666|-8.66666666666666</t>
        </is>
      </c>
      <c r="G218" s="20" t="inlineStr">
        <is>
          <t>10001|33750$122001|20700$122003|436</t>
        </is>
      </c>
      <c r="J218" s="29" t="inlineStr">
        <is>
          <t>造成三段伤害，每段伤害为[0]%</t>
        </is>
      </c>
      <c r="K218" s="18" t="n">
        <v>91</v>
      </c>
    </row>
    <row r="219">
      <c r="B219" s="20" t="n">
        <v>10216</v>
      </c>
      <c r="C219" s="23" t="inlineStr">
        <is>
          <t>110001</t>
        </is>
      </c>
      <c r="D219" s="31" t="inlineStr">
        <is>
          <t>火焰爆轰</t>
        </is>
      </c>
      <c r="E219" s="20" t="inlineStr">
        <is>
          <t>16</t>
        </is>
      </c>
      <c r="F219" s="20" t="inlineStr">
        <is>
          <t>-4.99999999999999|-4.99999999999999|-4.99999999999999</t>
        </is>
      </c>
      <c r="G219" s="20" t="inlineStr">
        <is>
          <t>10001|38400$122001|23552$122003|480</t>
        </is>
      </c>
      <c r="J219" s="29" t="inlineStr">
        <is>
          <t>造成三段伤害，每段伤害为[0]%</t>
        </is>
      </c>
      <c r="K219" s="18" t="n">
        <v>95</v>
      </c>
    </row>
    <row r="220">
      <c r="B220" s="20" t="n">
        <v>10217</v>
      </c>
      <c r="C220" s="23" t="inlineStr">
        <is>
          <t>110001</t>
        </is>
      </c>
      <c r="D220" s="31" t="inlineStr">
        <is>
          <t>火焰爆轰</t>
        </is>
      </c>
      <c r="E220" s="20" t="inlineStr">
        <is>
          <t>17</t>
        </is>
      </c>
      <c r="F220" s="20" t="inlineStr">
        <is>
          <t>-1.33333333333333|-1.33333333333333|-1.33333333333333</t>
        </is>
      </c>
      <c r="G220" s="20" t="inlineStr">
        <is>
          <t>10001|43350$122001|26588$122003|526</t>
        </is>
      </c>
      <c r="J220" s="29" t="inlineStr">
        <is>
          <t>造成三段伤害，每段伤害为[0]%</t>
        </is>
      </c>
      <c r="K220" s="18" t="n">
        <v>99</v>
      </c>
    </row>
    <row r="221">
      <c r="B221" s="20" t="n">
        <v>10218</v>
      </c>
      <c r="C221" s="23" t="inlineStr">
        <is>
          <t>110001</t>
        </is>
      </c>
      <c r="D221" s="31" t="inlineStr">
        <is>
          <t>火焰爆轰</t>
        </is>
      </c>
      <c r="E221" s="20" t="inlineStr">
        <is>
          <t>18</t>
        </is>
      </c>
      <c r="F221" s="20" t="inlineStr">
        <is>
          <t>2.33333333333332|2.33333333333332|2.33333333333332</t>
        </is>
      </c>
      <c r="G221" s="20" t="inlineStr">
        <is>
          <t>10001|48600$122001|29808$122003|573</t>
        </is>
      </c>
      <c r="J221" s="29" t="inlineStr">
        <is>
          <t>造成三段伤害，每段伤害为[0]%</t>
        </is>
      </c>
      <c r="K221" s="18" t="n">
        <v>102</v>
      </c>
    </row>
    <row r="222">
      <c r="B222" s="20" t="n">
        <v>10219</v>
      </c>
      <c r="C222" s="23" t="inlineStr">
        <is>
          <t>110001</t>
        </is>
      </c>
      <c r="D222" s="31" t="inlineStr">
        <is>
          <t>火焰爆轰</t>
        </is>
      </c>
      <c r="E222" s="20" t="inlineStr">
        <is>
          <t>19</t>
        </is>
      </c>
      <c r="F222" s="20" t="inlineStr">
        <is>
          <t>6.00000000000001|6.00000000000001|6.00000000000001</t>
        </is>
      </c>
      <c r="G222" s="20" t="inlineStr">
        <is>
          <t>10001|54150$122001|33212$122003|621</t>
        </is>
      </c>
      <c r="J222" s="29" t="inlineStr">
        <is>
          <t>造成三段伤害，每段伤害为[0]%</t>
        </is>
      </c>
      <c r="K222" s="18" t="n">
        <v>106</v>
      </c>
    </row>
    <row r="223">
      <c r="B223" s="20" t="n">
        <v>10220</v>
      </c>
      <c r="C223" s="23" t="inlineStr">
        <is>
          <t>110001</t>
        </is>
      </c>
      <c r="D223" s="31" t="inlineStr">
        <is>
          <t>火焰爆轰</t>
        </is>
      </c>
      <c r="E223" s="20" t="inlineStr">
        <is>
          <t>20</t>
        </is>
      </c>
      <c r="F223" s="20" t="inlineStr">
        <is>
          <t>9.66666666666667|9.66666666666667|9.66666666666667</t>
        </is>
      </c>
      <c r="G223" s="20" t="inlineStr">
        <is>
          <t>10001|60000$123001|36800$123003|671</t>
        </is>
      </c>
      <c r="J223" s="29" t="inlineStr">
        <is>
          <t>造成三段伤害，每段伤害为[0]%</t>
        </is>
      </c>
      <c r="K223" s="18" t="n">
        <v>110</v>
      </c>
    </row>
    <row r="224">
      <c r="B224" s="20" t="n">
        <v>10221</v>
      </c>
      <c r="C224" s="23" t="inlineStr">
        <is>
          <t>110001</t>
        </is>
      </c>
      <c r="D224" s="31" t="inlineStr">
        <is>
          <t>火焰爆轰</t>
        </is>
      </c>
      <c r="E224" s="20" t="inlineStr">
        <is>
          <t>21</t>
        </is>
      </c>
      <c r="F224" s="20" t="inlineStr">
        <is>
          <t>13.3333333333333|13.3333333333333|13.3333333333333</t>
        </is>
      </c>
      <c r="G224" s="20" t="inlineStr">
        <is>
          <t>10001|66150$123001|40572$123003|722</t>
        </is>
      </c>
      <c r="J224" s="29" t="inlineStr">
        <is>
          <t>造成三段伤害，每段伤害为[0]%</t>
        </is>
      </c>
      <c r="K224" s="18" t="n">
        <v>113</v>
      </c>
    </row>
    <row r="225">
      <c r="B225" s="20" t="n">
        <v>10222</v>
      </c>
      <c r="C225" s="23" t="inlineStr">
        <is>
          <t>110001</t>
        </is>
      </c>
      <c r="D225" s="31" t="inlineStr">
        <is>
          <t>火焰爆轰</t>
        </is>
      </c>
      <c r="E225" s="20" t="inlineStr">
        <is>
          <t>22</t>
        </is>
      </c>
      <c r="F225" s="20" t="inlineStr">
        <is>
          <t>17|17|17</t>
        </is>
      </c>
      <c r="G225" s="20" t="inlineStr">
        <is>
          <t>10001|72600$123001|44528$123003|774</t>
        </is>
      </c>
      <c r="J225" s="29" t="inlineStr">
        <is>
          <t>造成三段伤害，每段伤害为[0]%</t>
        </is>
      </c>
      <c r="K225" s="18" t="n">
        <v>117</v>
      </c>
    </row>
    <row r="226">
      <c r="B226" s="20" t="n">
        <v>10223</v>
      </c>
      <c r="C226" s="23" t="inlineStr">
        <is>
          <t>110001</t>
        </is>
      </c>
      <c r="D226" s="31" t="inlineStr">
        <is>
          <t>火焰爆轰</t>
        </is>
      </c>
      <c r="E226" s="20" t="inlineStr">
        <is>
          <t>23</t>
        </is>
      </c>
      <c r="F226" s="20" t="inlineStr">
        <is>
          <t>20.6666666666667|20.6666666666667|20.6666666666667</t>
        </is>
      </c>
      <c r="G226" s="20" t="inlineStr">
        <is>
          <t>10001|79350$123001|48668$123003|827</t>
        </is>
      </c>
      <c r="J226" s="29" t="inlineStr">
        <is>
          <t>造成三段伤害，每段伤害为[0]%</t>
        </is>
      </c>
      <c r="K226" s="18" t="n">
        <v>121</v>
      </c>
    </row>
    <row r="227">
      <c r="B227" s="20" t="n">
        <v>10224</v>
      </c>
      <c r="C227" s="23" t="inlineStr">
        <is>
          <t>110001</t>
        </is>
      </c>
      <c r="D227" s="31" t="inlineStr">
        <is>
          <t>火焰爆轰</t>
        </is>
      </c>
      <c r="E227" s="20" t="inlineStr">
        <is>
          <t>24</t>
        </is>
      </c>
      <c r="F227" s="20" t="inlineStr">
        <is>
          <t>24.3333333333333|24.3333333333333|24.3333333333333</t>
        </is>
      </c>
      <c r="G227" s="20" t="inlineStr">
        <is>
          <t>10001|86400$123001|52992$123003|882</t>
        </is>
      </c>
      <c r="J227" s="29" t="inlineStr">
        <is>
          <t>造成三段伤害，每段伤害为[0]%</t>
        </is>
      </c>
      <c r="K227" s="18" t="n">
        <v>124</v>
      </c>
    </row>
    <row r="228">
      <c r="B228" s="20" t="n">
        <v>10225</v>
      </c>
      <c r="C228" s="23" t="inlineStr">
        <is>
          <t>110001</t>
        </is>
      </c>
      <c r="D228" s="31" t="inlineStr">
        <is>
          <t>火焰爆轰</t>
        </is>
      </c>
      <c r="E228" s="20" t="inlineStr">
        <is>
          <t>25</t>
        </is>
      </c>
      <c r="F228" s="20" t="inlineStr">
        <is>
          <t>28|28|28</t>
        </is>
      </c>
      <c r="G228" s="20" t="inlineStr">
        <is>
          <t>10001|93750$123001|57500$123003|938</t>
        </is>
      </c>
      <c r="J228" s="29" t="inlineStr">
        <is>
          <t>造成三段伤害，每段伤害为[0]%</t>
        </is>
      </c>
      <c r="K228" s="18" t="n">
        <v>128</v>
      </c>
    </row>
    <row r="229">
      <c r="B229" s="20" t="n">
        <v>10226</v>
      </c>
      <c r="C229" s="23" t="inlineStr">
        <is>
          <t>110001</t>
        </is>
      </c>
      <c r="D229" s="31" t="inlineStr">
        <is>
          <t>火焰爆轰</t>
        </is>
      </c>
      <c r="E229" s="20" t="inlineStr">
        <is>
          <t>26</t>
        </is>
      </c>
      <c r="F229" s="20" t="inlineStr">
        <is>
          <t>31.6666666666667|31.6666666666667|31.6666666666667</t>
        </is>
      </c>
      <c r="G229" s="20" t="inlineStr">
        <is>
          <t>10001|101400$123001|62192$123003|994</t>
        </is>
      </c>
      <c r="J229" s="29" t="inlineStr">
        <is>
          <t>造成三段伤害，每段伤害为[0]%</t>
        </is>
      </c>
      <c r="K229" s="18" t="n">
        <v>132</v>
      </c>
    </row>
    <row r="230">
      <c r="B230" s="20" t="n">
        <v>10227</v>
      </c>
      <c r="C230" s="23" t="inlineStr">
        <is>
          <t>110001</t>
        </is>
      </c>
      <c r="D230" s="31" t="inlineStr">
        <is>
          <t>火焰爆轰</t>
        </is>
      </c>
      <c r="E230" s="20" t="inlineStr">
        <is>
          <t>27</t>
        </is>
      </c>
      <c r="F230" s="20" t="inlineStr">
        <is>
          <t>35.3333333333333|35.3333333333333|35.3333333333333</t>
        </is>
      </c>
      <c r="G230" s="20" t="inlineStr">
        <is>
          <t>10001|109350$123001|67068$123003|1052</t>
        </is>
      </c>
      <c r="J230" s="29" t="inlineStr">
        <is>
          <t>造成三段伤害，每段伤害为[0]%</t>
        </is>
      </c>
      <c r="K230" s="18" t="n">
        <v>135</v>
      </c>
    </row>
    <row r="231">
      <c r="B231" s="20" t="n">
        <v>10228</v>
      </c>
      <c r="C231" s="23" t="inlineStr">
        <is>
          <t>110001</t>
        </is>
      </c>
      <c r="D231" s="31" t="inlineStr">
        <is>
          <t>火焰爆轰</t>
        </is>
      </c>
      <c r="E231" s="20" t="inlineStr">
        <is>
          <t>28</t>
        </is>
      </c>
      <c r="F231" s="20" t="inlineStr">
        <is>
          <t>39|39|39</t>
        </is>
      </c>
      <c r="G231" s="20" t="inlineStr">
        <is>
          <t>10001|117600$123001|72128$123003|1111</t>
        </is>
      </c>
      <c r="J231" s="29" t="inlineStr">
        <is>
          <t>造成三段伤害，每段伤害为[0]%</t>
        </is>
      </c>
      <c r="K231" s="18" t="n">
        <v>139</v>
      </c>
    </row>
    <row r="232">
      <c r="B232" s="20" t="n">
        <v>10229</v>
      </c>
      <c r="C232" s="23" t="inlineStr">
        <is>
          <t>110001</t>
        </is>
      </c>
      <c r="D232" s="31" t="inlineStr">
        <is>
          <t>火焰爆轰</t>
        </is>
      </c>
      <c r="E232" s="20" t="inlineStr">
        <is>
          <t>29</t>
        </is>
      </c>
      <c r="F232" s="20" t="inlineStr">
        <is>
          <t>42.6666666666667|42.6666666666667|42.6666666666667</t>
        </is>
      </c>
      <c r="G232" s="20" t="inlineStr">
        <is>
          <t>10001|126150$123001|77372$123003|1171</t>
        </is>
      </c>
      <c r="J232" s="29" t="inlineStr">
        <is>
          <t>造成三段伤害，每段伤害为[0]%</t>
        </is>
      </c>
      <c r="K232" s="18" t="n">
        <v>143</v>
      </c>
    </row>
    <row r="233">
      <c r="B233" s="20" t="n">
        <v>10230</v>
      </c>
      <c r="C233" s="23" t="inlineStr">
        <is>
          <t>110001</t>
        </is>
      </c>
      <c r="D233" s="31" t="inlineStr">
        <is>
          <t>火焰爆轰</t>
        </is>
      </c>
      <c r="E233" s="20" t="inlineStr">
        <is>
          <t>30</t>
        </is>
      </c>
      <c r="F233" s="20" t="inlineStr">
        <is>
          <t>46.3333333333333|46.3333333333333|46.3333333333333</t>
        </is>
      </c>
      <c r="G233" s="20" t="inlineStr">
        <is>
          <t>10001|135000$124001|82800$124003|1232</t>
        </is>
      </c>
      <c r="J233" s="29" t="inlineStr">
        <is>
          <t>造成三段伤害，每段伤害为[0]%</t>
        </is>
      </c>
      <c r="K233" s="18" t="n">
        <v>146</v>
      </c>
    </row>
    <row r="234">
      <c r="B234" s="20" t="n">
        <v>10231</v>
      </c>
      <c r="C234" s="23" t="inlineStr">
        <is>
          <t>110001</t>
        </is>
      </c>
      <c r="D234" s="31" t="inlineStr">
        <is>
          <t>火焰爆轰</t>
        </is>
      </c>
      <c r="E234" s="20" t="inlineStr">
        <is>
          <t>31</t>
        </is>
      </c>
      <c r="F234" s="20" t="inlineStr">
        <is>
          <t>50|50|50</t>
        </is>
      </c>
      <c r="G234" s="20" t="inlineStr">
        <is>
          <t>10001|144150$124001|88412$124003|1295</t>
        </is>
      </c>
      <c r="J234" s="29" t="inlineStr">
        <is>
          <t>造成三段伤害，每段伤害为[0]%</t>
        </is>
      </c>
      <c r="K234" s="18" t="n">
        <v>150</v>
      </c>
    </row>
    <row r="235">
      <c r="B235" s="20" t="n">
        <v>10232</v>
      </c>
      <c r="C235" s="23" t="inlineStr">
        <is>
          <t>110001</t>
        </is>
      </c>
      <c r="D235" s="31" t="inlineStr">
        <is>
          <t>火焰爆轰</t>
        </is>
      </c>
      <c r="E235" s="20" t="inlineStr">
        <is>
          <t>32</t>
        </is>
      </c>
      <c r="F235" s="20" t="inlineStr">
        <is>
          <t>53.6666666666667|53.6666666666667|53.6666666666667</t>
        </is>
      </c>
      <c r="G235" s="20" t="inlineStr">
        <is>
          <t>10001|153600$124001|94208$124003|1358</t>
        </is>
      </c>
      <c r="J235" s="29" t="inlineStr">
        <is>
          <t>造成三段伤害，每段伤害为[0]%</t>
        </is>
      </c>
      <c r="K235" s="18" t="n">
        <v>154</v>
      </c>
    </row>
    <row r="236">
      <c r="B236" s="20" t="n">
        <v>10233</v>
      </c>
      <c r="C236" s="23" t="inlineStr">
        <is>
          <t>110001</t>
        </is>
      </c>
      <c r="D236" s="31" t="inlineStr">
        <is>
          <t>火焰爆轰</t>
        </is>
      </c>
      <c r="E236" s="20" t="inlineStr">
        <is>
          <t>33</t>
        </is>
      </c>
      <c r="F236" s="20" t="inlineStr">
        <is>
          <t>57.3333333333333|57.3333333333333|57.3333333333333</t>
        </is>
      </c>
      <c r="G236" s="20" t="inlineStr">
        <is>
          <t>10001|163350$124001|100188$124003|1422</t>
        </is>
      </c>
      <c r="J236" s="29" t="inlineStr">
        <is>
          <t>造成三段伤害，每段伤害为[0]%</t>
        </is>
      </c>
      <c r="K236" s="18" t="n">
        <v>157</v>
      </c>
    </row>
    <row r="237">
      <c r="B237" s="20" t="n">
        <v>10234</v>
      </c>
      <c r="C237" s="23" t="inlineStr">
        <is>
          <t>110001</t>
        </is>
      </c>
      <c r="D237" s="31" t="inlineStr">
        <is>
          <t>火焰爆轰</t>
        </is>
      </c>
      <c r="E237" s="20" t="inlineStr">
        <is>
          <t>34</t>
        </is>
      </c>
      <c r="F237" s="20" t="inlineStr">
        <is>
          <t>61|61|61</t>
        </is>
      </c>
      <c r="G237" s="20" t="inlineStr">
        <is>
          <t>10001|173400$124001|106352$124003|1487</t>
        </is>
      </c>
      <c r="J237" s="29" t="inlineStr">
        <is>
          <t>造成三段伤害，每段伤害为[0]%</t>
        </is>
      </c>
      <c r="K237" s="18" t="n">
        <v>161</v>
      </c>
    </row>
    <row r="238">
      <c r="B238" s="20" t="n">
        <v>10235</v>
      </c>
      <c r="C238" s="23" t="inlineStr">
        <is>
          <t>110001</t>
        </is>
      </c>
      <c r="D238" s="31" t="inlineStr">
        <is>
          <t>火焰爆轰</t>
        </is>
      </c>
      <c r="E238" s="20" t="inlineStr">
        <is>
          <t>35</t>
        </is>
      </c>
      <c r="F238" s="20" t="inlineStr">
        <is>
          <t>64.6666666666667|64.6666666666667|64.6666666666667</t>
        </is>
      </c>
      <c r="G238" s="20" t="inlineStr">
        <is>
          <t>10001|183750$124001|112700$124003|1553</t>
        </is>
      </c>
      <c r="J238" s="29" t="inlineStr">
        <is>
          <t>造成三段伤害，每段伤害为[0]%</t>
        </is>
      </c>
      <c r="K238" s="18" t="n">
        <v>165</v>
      </c>
    </row>
    <row r="239">
      <c r="B239" s="20" t="n">
        <v>10236</v>
      </c>
      <c r="C239" s="23" t="inlineStr">
        <is>
          <t>110001</t>
        </is>
      </c>
      <c r="D239" s="31" t="inlineStr">
        <is>
          <t>火焰爆轰</t>
        </is>
      </c>
      <c r="E239" s="20" t="inlineStr">
        <is>
          <t>36</t>
        </is>
      </c>
      <c r="F239" s="20" t="inlineStr">
        <is>
          <t>68.3333333333333|68.3333333333333|68.3333333333333</t>
        </is>
      </c>
      <c r="G239" s="20" t="inlineStr">
        <is>
          <t>10001|194400$124001|119232$124003|1620</t>
        </is>
      </c>
      <c r="J239" s="29" t="inlineStr">
        <is>
          <t>造成三段伤害，每段伤害为[0]%</t>
        </is>
      </c>
      <c r="K239" s="18" t="n">
        <v>168</v>
      </c>
    </row>
    <row r="240">
      <c r="B240" s="20" t="n">
        <v>10237</v>
      </c>
      <c r="C240" s="23" t="inlineStr">
        <is>
          <t>110001</t>
        </is>
      </c>
      <c r="D240" s="31" t="inlineStr">
        <is>
          <t>火焰爆轰</t>
        </is>
      </c>
      <c r="E240" s="20" t="inlineStr">
        <is>
          <t>37</t>
        </is>
      </c>
      <c r="F240" s="20" t="inlineStr">
        <is>
          <t>72|72|72</t>
        </is>
      </c>
      <c r="G240" s="20" t="inlineStr">
        <is>
          <t>10001|205350$124001|125948$124003|1688</t>
        </is>
      </c>
      <c r="J240" s="29" t="inlineStr">
        <is>
          <t>造成三段伤害，每段伤害为[0]%</t>
        </is>
      </c>
      <c r="K240" s="18" t="n">
        <v>172</v>
      </c>
    </row>
    <row r="241">
      <c r="B241" s="20" t="n">
        <v>10238</v>
      </c>
      <c r="C241" s="23" t="inlineStr">
        <is>
          <t>110001</t>
        </is>
      </c>
      <c r="D241" s="31" t="inlineStr">
        <is>
          <t>火焰爆轰</t>
        </is>
      </c>
      <c r="E241" s="20" t="inlineStr">
        <is>
          <t>38</t>
        </is>
      </c>
      <c r="F241" s="20" t="inlineStr">
        <is>
          <t>75.6666666666667|75.6666666666667|75.6666666666667</t>
        </is>
      </c>
      <c r="G241" s="20" t="inlineStr">
        <is>
          <t>10001|216600$124001|132848$124003|1757</t>
        </is>
      </c>
      <c r="J241" s="29" t="inlineStr">
        <is>
          <t>造成三段伤害，每段伤害为[0]%</t>
        </is>
      </c>
      <c r="K241" s="18" t="n">
        <v>176</v>
      </c>
    </row>
    <row r="242">
      <c r="B242" s="20" t="n">
        <v>10239</v>
      </c>
      <c r="C242" s="23" t="inlineStr">
        <is>
          <t>110001</t>
        </is>
      </c>
      <c r="D242" s="31" t="inlineStr">
        <is>
          <t>火焰爆轰</t>
        </is>
      </c>
      <c r="E242" s="20" t="inlineStr">
        <is>
          <t>39</t>
        </is>
      </c>
      <c r="F242" s="20" t="inlineStr">
        <is>
          <t>79.3333333333333|79.3333333333333|79.3333333333333</t>
        </is>
      </c>
      <c r="G242" s="20" t="inlineStr">
        <is>
          <t>10001|228150$124001|139932$124003|1827</t>
        </is>
      </c>
      <c r="J242" s="29" t="inlineStr">
        <is>
          <t>造成三段伤害，每段伤害为[0]%</t>
        </is>
      </c>
      <c r="K242" s="18" t="n">
        <v>179</v>
      </c>
    </row>
    <row r="243">
      <c r="B243" s="20" t="n">
        <v>10240</v>
      </c>
      <c r="C243" s="23" t="inlineStr">
        <is>
          <t>110001</t>
        </is>
      </c>
      <c r="D243" s="31" t="inlineStr">
        <is>
          <t>火焰爆轰</t>
        </is>
      </c>
      <c r="E243" s="20" t="inlineStr">
        <is>
          <t>40</t>
        </is>
      </c>
      <c r="F243" s="20" t="inlineStr">
        <is>
          <t>83|83|83</t>
        </is>
      </c>
      <c r="G243" s="20" t="inlineStr">
        <is>
          <t>10001|240000$125001|147200$125003|1897</t>
        </is>
      </c>
      <c r="J243" s="29" t="inlineStr">
        <is>
          <t>造成三段伤害，每段伤害为[0]%</t>
        </is>
      </c>
      <c r="K243" s="18" t="n">
        <v>183</v>
      </c>
    </row>
    <row r="244">
      <c r="B244" s="20" t="n">
        <v>10241</v>
      </c>
      <c r="C244" s="23" t="inlineStr">
        <is>
          <t>110001</t>
        </is>
      </c>
      <c r="D244" s="31" t="inlineStr">
        <is>
          <t>火焰爆轰</t>
        </is>
      </c>
      <c r="E244" s="20" t="inlineStr">
        <is>
          <t>41</t>
        </is>
      </c>
      <c r="F244" s="20" t="inlineStr">
        <is>
          <t>86.6666666666666|86.6666666666666|86.6666666666666</t>
        </is>
      </c>
      <c r="G244" s="20" t="inlineStr">
        <is>
          <t>10001|252150$125001|154652$125003|1969</t>
        </is>
      </c>
      <c r="J244" s="29" t="inlineStr">
        <is>
          <t>造成三段伤害，每段伤害为[0]%</t>
        </is>
      </c>
      <c r="K244" s="18" t="n">
        <v>187</v>
      </c>
    </row>
    <row r="245">
      <c r="B245" s="20" t="n">
        <v>10242</v>
      </c>
      <c r="C245" s="23" t="inlineStr">
        <is>
          <t>110001</t>
        </is>
      </c>
      <c r="D245" s="31" t="inlineStr">
        <is>
          <t>火焰爆轰</t>
        </is>
      </c>
      <c r="E245" s="20" t="inlineStr">
        <is>
          <t>42</t>
        </is>
      </c>
      <c r="F245" s="20" t="inlineStr">
        <is>
          <t>90.3333333333333|90.3333333333333|90.3333333333333</t>
        </is>
      </c>
      <c r="G245" s="20" t="inlineStr">
        <is>
          <t>10001|264600$125001|162288$125003|2041</t>
        </is>
      </c>
      <c r="J245" s="29" t="inlineStr">
        <is>
          <t>造成三段伤害，每段伤害为[0]%</t>
        </is>
      </c>
      <c r="K245" s="18" t="n">
        <v>190</v>
      </c>
    </row>
    <row r="246">
      <c r="B246" s="20" t="n">
        <v>10243</v>
      </c>
      <c r="C246" s="23" t="inlineStr">
        <is>
          <t>110001</t>
        </is>
      </c>
      <c r="D246" s="31" t="inlineStr">
        <is>
          <t>火焰爆轰</t>
        </is>
      </c>
      <c r="E246" s="20" t="inlineStr">
        <is>
          <t>43</t>
        </is>
      </c>
      <c r="F246" s="20" t="inlineStr">
        <is>
          <t>94|94|94</t>
        </is>
      </c>
      <c r="G246" s="20" t="inlineStr">
        <is>
          <t>10001|277350$125001|170108$125003|2115</t>
        </is>
      </c>
      <c r="J246" s="29" t="inlineStr">
        <is>
          <t>造成三段伤害，每段伤害为[0]%</t>
        </is>
      </c>
      <c r="K246" s="18" t="n">
        <v>194</v>
      </c>
    </row>
    <row r="247">
      <c r="B247" s="20" t="n">
        <v>10244</v>
      </c>
      <c r="C247" s="23" t="inlineStr">
        <is>
          <t>110001</t>
        </is>
      </c>
      <c r="D247" s="31" t="inlineStr">
        <is>
          <t>火焰爆轰</t>
        </is>
      </c>
      <c r="E247" s="20" t="inlineStr">
        <is>
          <t>44</t>
        </is>
      </c>
      <c r="F247" s="20" t="inlineStr">
        <is>
          <t>97.6666666666667|97.6666666666667|97.6666666666667</t>
        </is>
      </c>
      <c r="G247" s="20" t="inlineStr">
        <is>
          <t>10001|290400$125001|178112$125003|2189</t>
        </is>
      </c>
      <c r="J247" s="29" t="inlineStr">
        <is>
          <t>造成三段伤害，每段伤害为[0]%</t>
        </is>
      </c>
      <c r="K247" s="18" t="n">
        <v>198</v>
      </c>
    </row>
    <row r="248">
      <c r="B248" s="20" t="n">
        <v>10245</v>
      </c>
      <c r="C248" s="23" t="inlineStr">
        <is>
          <t>110001</t>
        </is>
      </c>
      <c r="D248" s="31" t="inlineStr">
        <is>
          <t>火焰爆轰</t>
        </is>
      </c>
      <c r="E248" s="20" t="inlineStr">
        <is>
          <t>45</t>
        </is>
      </c>
      <c r="F248" s="20" t="inlineStr">
        <is>
          <t>101.333333333333|101.333333333333|101.333333333333</t>
        </is>
      </c>
      <c r="G248" s="20" t="inlineStr">
        <is>
          <t>10001|303750$125001|186300$125003|2264</t>
        </is>
      </c>
      <c r="J248" s="29" t="inlineStr">
        <is>
          <t>造成三段伤害，每段伤害为[0]%</t>
        </is>
      </c>
      <c r="K248" s="18" t="n">
        <v>201</v>
      </c>
    </row>
    <row r="249">
      <c r="B249" s="20" t="n">
        <v>10246</v>
      </c>
      <c r="C249" s="23" t="inlineStr">
        <is>
          <t>110001</t>
        </is>
      </c>
      <c r="D249" s="31" t="inlineStr">
        <is>
          <t>火焰爆轰</t>
        </is>
      </c>
      <c r="E249" s="20" t="inlineStr">
        <is>
          <t>46</t>
        </is>
      </c>
      <c r="F249" s="20" t="inlineStr">
        <is>
          <t>105|105|105</t>
        </is>
      </c>
      <c r="G249" s="20" t="inlineStr">
        <is>
          <t>10001|317400$125001|194672$125003|2340</t>
        </is>
      </c>
      <c r="J249" s="29" t="inlineStr">
        <is>
          <t>造成三段伤害，每段伤害为[0]%</t>
        </is>
      </c>
      <c r="K249" s="18" t="n">
        <v>205</v>
      </c>
    </row>
    <row r="250">
      <c r="B250" s="20" t="n">
        <v>10247</v>
      </c>
      <c r="C250" s="23" t="inlineStr">
        <is>
          <t>110001</t>
        </is>
      </c>
      <c r="D250" s="31" t="inlineStr">
        <is>
          <t>火焰爆轰</t>
        </is>
      </c>
      <c r="E250" s="20" t="inlineStr">
        <is>
          <t>47</t>
        </is>
      </c>
      <c r="F250" s="20" t="inlineStr">
        <is>
          <t>108.666666666667|108.666666666667|108.666666666667</t>
        </is>
      </c>
      <c r="G250" s="20" t="inlineStr">
        <is>
          <t>10001|331350$125001|203228$125003|2417</t>
        </is>
      </c>
      <c r="J250" s="29" t="inlineStr">
        <is>
          <t>造成三段伤害，每段伤害为[0]%</t>
        </is>
      </c>
      <c r="K250" s="18" t="n">
        <v>209</v>
      </c>
    </row>
    <row r="251">
      <c r="B251" s="20" t="n">
        <v>10248</v>
      </c>
      <c r="C251" s="23" t="inlineStr">
        <is>
          <t>110001</t>
        </is>
      </c>
      <c r="D251" s="31" t="inlineStr">
        <is>
          <t>火焰爆轰</t>
        </is>
      </c>
      <c r="E251" s="20" t="inlineStr">
        <is>
          <t>48</t>
        </is>
      </c>
      <c r="F251" s="20" t="inlineStr">
        <is>
          <t>112.333333333333|112.333333333333|112.333333333333</t>
        </is>
      </c>
      <c r="G251" s="20" t="inlineStr">
        <is>
          <t>10001|345600$125001|211968$125003|2494</t>
        </is>
      </c>
      <c r="J251" s="29" t="inlineStr">
        <is>
          <t>造成三段伤害，每段伤害为[0]%</t>
        </is>
      </c>
      <c r="K251" s="18" t="n">
        <v>212</v>
      </c>
    </row>
    <row r="252">
      <c r="B252" s="20" t="n">
        <v>10249</v>
      </c>
      <c r="C252" s="23" t="inlineStr">
        <is>
          <t>110001</t>
        </is>
      </c>
      <c r="D252" s="31" t="inlineStr">
        <is>
          <t>火焰爆轰</t>
        </is>
      </c>
      <c r="E252" s="20" t="inlineStr">
        <is>
          <t>49</t>
        </is>
      </c>
      <c r="F252" s="20" t="inlineStr">
        <is>
          <t>116|116|116</t>
        </is>
      </c>
      <c r="G252" s="20" t="inlineStr">
        <is>
          <t>10001|360150$125001|220892$125003|2573</t>
        </is>
      </c>
      <c r="J252" s="29" t="inlineStr">
        <is>
          <t>造成三段伤害，每段伤害为[0]%</t>
        </is>
      </c>
      <c r="K252" s="18" t="n">
        <v>216</v>
      </c>
    </row>
    <row r="253">
      <c r="B253" s="20" t="n">
        <v>10250</v>
      </c>
      <c r="C253" s="23" t="inlineStr">
        <is>
          <t>110001</t>
        </is>
      </c>
      <c r="D253" s="31" t="inlineStr">
        <is>
          <t>火焰爆轰</t>
        </is>
      </c>
      <c r="E253" s="20" t="inlineStr">
        <is>
          <t>50</t>
        </is>
      </c>
      <c r="F253" s="20" t="inlineStr">
        <is>
          <t>119.666666666667|119.666666666667|119.666666666667</t>
        </is>
      </c>
      <c r="G253" s="20" t="inlineStr">
        <is>
          <t>10001|375000$125001|230000$125003|2652</t>
        </is>
      </c>
      <c r="J253" s="29" t="inlineStr">
        <is>
          <t>造成三段伤害，每段伤害为[0]%</t>
        </is>
      </c>
      <c r="K253" s="18" t="n">
        <v>220</v>
      </c>
    </row>
    <row r="254">
      <c r="B254" s="18" t="n">
        <v>10251</v>
      </c>
      <c r="C254" s="21" t="inlineStr">
        <is>
          <t>211011</t>
        </is>
      </c>
      <c r="D254" s="18" t="inlineStr">
        <is>
          <t>金风玉露</t>
        </is>
      </c>
      <c r="E254" s="18" t="n">
        <v>1</v>
      </c>
      <c r="F254" s="18" t="inlineStr">
        <is>
          <t>-80|-80|-80|-80|-80</t>
        </is>
      </c>
      <c r="G254" s="18" t="inlineStr">
        <is>
          <t>10001|150$121001|92$121006|8</t>
        </is>
      </c>
      <c r="J254" s="26" t="inlineStr">
        <is>
          <t>造成五段伤害，每段伤害为[0]%</t>
        </is>
      </c>
      <c r="K254" s="18" t="n">
        <v>20</v>
      </c>
    </row>
    <row r="255">
      <c r="B255" s="18" t="n">
        <v>10252</v>
      </c>
      <c r="C255" s="21" t="inlineStr">
        <is>
          <t>211011</t>
        </is>
      </c>
      <c r="D255" s="18" t="inlineStr">
        <is>
          <t>金风玉露</t>
        </is>
      </c>
      <c r="E255" s="18" t="n">
        <v>2</v>
      </c>
      <c r="F255" s="18" t="inlineStr">
        <is>
          <t>-77.6|-77.6|-77.6|-77.6|-77.6</t>
        </is>
      </c>
      <c r="G255" s="18" t="inlineStr">
        <is>
          <t>10001|600$121001|368$121006|21</t>
        </is>
      </c>
      <c r="J255" s="26" t="inlineStr">
        <is>
          <t>造成五段伤害，每段伤害为[0]%</t>
        </is>
      </c>
      <c r="K255" s="18" t="n">
        <v>22</v>
      </c>
    </row>
    <row r="256">
      <c r="B256" s="18" t="n">
        <v>10253</v>
      </c>
      <c r="C256" s="21" t="inlineStr">
        <is>
          <t>211011</t>
        </is>
      </c>
      <c r="D256" s="18" t="inlineStr">
        <is>
          <t>金风玉露</t>
        </is>
      </c>
      <c r="E256" s="18" t="n">
        <v>3</v>
      </c>
      <c r="F256" s="18" t="inlineStr">
        <is>
          <t>-75.2|-75.2|-75.2|-75.2|-75.2</t>
        </is>
      </c>
      <c r="G256" s="18" t="inlineStr">
        <is>
          <t>10001|1350$121001|828$121006|39</t>
        </is>
      </c>
      <c r="J256" s="26" t="inlineStr">
        <is>
          <t>造成五段伤害，每段伤害为[0]%</t>
        </is>
      </c>
      <c r="K256" s="18" t="n">
        <v>25</v>
      </c>
    </row>
    <row r="257">
      <c r="B257" s="18" t="n">
        <v>10254</v>
      </c>
      <c r="C257" s="21" t="inlineStr">
        <is>
          <t>211011</t>
        </is>
      </c>
      <c r="D257" s="18" t="inlineStr">
        <is>
          <t>金风玉露</t>
        </is>
      </c>
      <c r="E257" s="18" t="n">
        <v>4</v>
      </c>
      <c r="F257" s="18" t="inlineStr">
        <is>
          <t>-72.8|-72.8|-72.8|-72.8|-72.8</t>
        </is>
      </c>
      <c r="G257" s="18" t="inlineStr">
        <is>
          <t>10001|2400$121001|1472$121006|60</t>
        </is>
      </c>
      <c r="J257" s="26" t="inlineStr">
        <is>
          <t>造成五段伤害，每段伤害为[0]%</t>
        </is>
      </c>
      <c r="K257" s="18" t="n">
        <v>27</v>
      </c>
    </row>
    <row r="258">
      <c r="B258" s="18" t="n">
        <v>10255</v>
      </c>
      <c r="C258" s="21" t="inlineStr">
        <is>
          <t>211011</t>
        </is>
      </c>
      <c r="D258" s="18" t="inlineStr">
        <is>
          <t>金风玉露</t>
        </is>
      </c>
      <c r="E258" s="18" t="n">
        <v>5</v>
      </c>
      <c r="F258" s="18" t="inlineStr">
        <is>
          <t>-70.4|-70.4|-70.4|-70.4|-70.4</t>
        </is>
      </c>
      <c r="G258" s="18" t="inlineStr">
        <is>
          <t>10001|3750$121001|2300$121006|84</t>
        </is>
      </c>
      <c r="J258" s="26" t="inlineStr">
        <is>
          <t>造成五段伤害，每段伤害为[0]%</t>
        </is>
      </c>
      <c r="K258" s="18" t="n">
        <v>30</v>
      </c>
    </row>
    <row r="259">
      <c r="B259" s="18" t="n">
        <v>10256</v>
      </c>
      <c r="C259" s="21" t="inlineStr">
        <is>
          <t>211011</t>
        </is>
      </c>
      <c r="D259" s="18" t="inlineStr">
        <is>
          <t>金风玉露</t>
        </is>
      </c>
      <c r="E259" s="18" t="n">
        <v>6</v>
      </c>
      <c r="F259" s="18" t="inlineStr">
        <is>
          <t>-68|-68|-68|-68|-68</t>
        </is>
      </c>
      <c r="G259" s="18" t="inlineStr">
        <is>
          <t>10001|5400$121001|3312$121006|110</t>
        </is>
      </c>
      <c r="J259" s="26" t="inlineStr">
        <is>
          <t>造成五段伤害，每段伤害为[0]%</t>
        </is>
      </c>
      <c r="K259" s="18" t="n">
        <v>32</v>
      </c>
    </row>
    <row r="260">
      <c r="B260" s="18" t="n">
        <v>10257</v>
      </c>
      <c r="C260" s="21" t="inlineStr">
        <is>
          <t>211011</t>
        </is>
      </c>
      <c r="D260" s="18" t="inlineStr">
        <is>
          <t>金风玉露</t>
        </is>
      </c>
      <c r="E260" s="18" t="n">
        <v>7</v>
      </c>
      <c r="F260" s="18" t="inlineStr">
        <is>
          <t>-65.6|-65.6|-65.6|-65.6|-65.6</t>
        </is>
      </c>
      <c r="G260" s="18" t="inlineStr">
        <is>
          <t>10001|7350$121001|4508$121006|139</t>
        </is>
      </c>
      <c r="J260" s="26" t="inlineStr">
        <is>
          <t>造成五段伤害，每段伤害为[0]%</t>
        </is>
      </c>
      <c r="K260" s="18" t="n">
        <v>34</v>
      </c>
    </row>
    <row r="261">
      <c r="B261" s="18" t="n">
        <v>10258</v>
      </c>
      <c r="C261" s="21" t="inlineStr">
        <is>
          <t>211011</t>
        </is>
      </c>
      <c r="D261" s="18" t="inlineStr">
        <is>
          <t>金风玉露</t>
        </is>
      </c>
      <c r="E261" s="18" t="n">
        <v>8</v>
      </c>
      <c r="F261" s="18" t="inlineStr">
        <is>
          <t>-63.2|-63.2|-63.2|-63.2|-63.2</t>
        </is>
      </c>
      <c r="G261" s="18" t="inlineStr">
        <is>
          <t>10001|9600$121001|5888$121006|170</t>
        </is>
      </c>
      <c r="J261" s="26" t="inlineStr">
        <is>
          <t>造成五段伤害，每段伤害为[0]%</t>
        </is>
      </c>
      <c r="K261" s="18" t="n">
        <v>37</v>
      </c>
    </row>
    <row r="262">
      <c r="B262" s="18" t="n">
        <v>10259</v>
      </c>
      <c r="C262" s="21" t="inlineStr">
        <is>
          <t>211011</t>
        </is>
      </c>
      <c r="D262" s="18" t="inlineStr">
        <is>
          <t>金风玉露</t>
        </is>
      </c>
      <c r="E262" s="18" t="n">
        <v>9</v>
      </c>
      <c r="F262" s="18" t="inlineStr">
        <is>
          <t>-60.8|-60.8|-60.8|-60.8|-60.8</t>
        </is>
      </c>
      <c r="G262" s="18" t="inlineStr">
        <is>
          <t>10001|12150$121001|7452$121006|203</t>
        </is>
      </c>
      <c r="J262" s="26" t="inlineStr">
        <is>
          <t>造成五段伤害，每段伤害为[0]%</t>
        </is>
      </c>
      <c r="K262" s="18" t="n">
        <v>39</v>
      </c>
    </row>
    <row r="263">
      <c r="B263" s="18" t="n">
        <v>10260</v>
      </c>
      <c r="C263" s="21" t="inlineStr">
        <is>
          <t>211011</t>
        </is>
      </c>
      <c r="D263" s="18" t="inlineStr">
        <is>
          <t>金风玉露</t>
        </is>
      </c>
      <c r="E263" s="18" t="n">
        <v>10</v>
      </c>
      <c r="F263" s="18" t="inlineStr">
        <is>
          <t>-58.4|-58.4|-58.4|-58.4|-58.4</t>
        </is>
      </c>
      <c r="G263" s="18" t="inlineStr">
        <is>
          <t>10001|15000$122001|9200$122006|237</t>
        </is>
      </c>
      <c r="J263" s="26" t="inlineStr">
        <is>
          <t>造成五段伤害，每段伤害为[0]%</t>
        </is>
      </c>
      <c r="K263" s="18" t="n">
        <v>42</v>
      </c>
    </row>
    <row r="264">
      <c r="B264" s="18" t="n">
        <v>10261</v>
      </c>
      <c r="C264" s="21" t="inlineStr">
        <is>
          <t>211011</t>
        </is>
      </c>
      <c r="D264" s="18" t="inlineStr">
        <is>
          <t>金风玉露</t>
        </is>
      </c>
      <c r="E264" s="18" t="n">
        <v>11</v>
      </c>
      <c r="F264" s="18" t="inlineStr">
        <is>
          <t>-56|-56|-56|-56|-56</t>
        </is>
      </c>
      <c r="G264" s="18" t="inlineStr">
        <is>
          <t>10001|18150$122001|11132$122006|274</t>
        </is>
      </c>
      <c r="J264" s="26" t="inlineStr">
        <is>
          <t>造成五段伤害，每段伤害为[0]%</t>
        </is>
      </c>
      <c r="K264" s="18" t="n">
        <v>44</v>
      </c>
    </row>
    <row r="265">
      <c r="B265" s="18" t="n">
        <v>10262</v>
      </c>
      <c r="C265" s="21" t="inlineStr">
        <is>
          <t>211011</t>
        </is>
      </c>
      <c r="D265" s="18" t="inlineStr">
        <is>
          <t>金风玉露</t>
        </is>
      </c>
      <c r="E265" s="18" t="n">
        <v>12</v>
      </c>
      <c r="F265" s="18" t="inlineStr">
        <is>
          <t>-53.6|-53.6|-53.6|-53.6|-53.6</t>
        </is>
      </c>
      <c r="G265" s="18" t="inlineStr">
        <is>
          <t>10001|21600$122001|13248$122006|312</t>
        </is>
      </c>
      <c r="J265" s="26" t="inlineStr">
        <is>
          <t>造成五段伤害，每段伤害为[0]%</t>
        </is>
      </c>
      <c r="K265" s="18" t="n">
        <v>46</v>
      </c>
    </row>
    <row r="266">
      <c r="B266" s="18" t="n">
        <v>10263</v>
      </c>
      <c r="C266" s="21" t="inlineStr">
        <is>
          <t>211011</t>
        </is>
      </c>
      <c r="D266" s="18" t="inlineStr">
        <is>
          <t>金风玉露</t>
        </is>
      </c>
      <c r="E266" s="18" t="n">
        <v>13</v>
      </c>
      <c r="F266" s="18" t="inlineStr">
        <is>
          <t>-51.2|-51.2|-51.2|-51.2|-51.2</t>
        </is>
      </c>
      <c r="G266" s="18" t="inlineStr">
        <is>
          <t>10001|25350$122001|15548$122006|352</t>
        </is>
      </c>
      <c r="J266" s="26" t="inlineStr">
        <is>
          <t>造成五段伤害，每段伤害为[0]%</t>
        </is>
      </c>
      <c r="K266" s="18" t="n">
        <v>49</v>
      </c>
    </row>
    <row r="267">
      <c r="B267" s="18" t="n">
        <v>10264</v>
      </c>
      <c r="C267" s="21" t="inlineStr">
        <is>
          <t>211011</t>
        </is>
      </c>
      <c r="D267" s="18" t="inlineStr">
        <is>
          <t>金风玉露</t>
        </is>
      </c>
      <c r="E267" s="18" t="n">
        <v>14</v>
      </c>
      <c r="F267" s="18" t="inlineStr">
        <is>
          <t>-48.8|-48.8|-48.8|-48.8|-48.8</t>
        </is>
      </c>
      <c r="G267" s="18" t="inlineStr">
        <is>
          <t>10001|29400$122001|18032$122006|393</t>
        </is>
      </c>
      <c r="J267" s="26" t="inlineStr">
        <is>
          <t>造成五段伤害，每段伤害为[0]%</t>
        </is>
      </c>
      <c r="K267" s="18" t="n">
        <v>51</v>
      </c>
    </row>
    <row r="268">
      <c r="B268" s="18" t="n">
        <v>10265</v>
      </c>
      <c r="C268" s="21" t="inlineStr">
        <is>
          <t>211011</t>
        </is>
      </c>
      <c r="D268" s="18" t="inlineStr">
        <is>
          <t>金风玉露</t>
        </is>
      </c>
      <c r="E268" s="18" t="n">
        <v>15</v>
      </c>
      <c r="F268" s="18" t="inlineStr">
        <is>
          <t>-46.4|-46.4|-46.4|-46.4|-46.4</t>
        </is>
      </c>
      <c r="G268" s="18" t="inlineStr">
        <is>
          <t>10001|33750$122001|20700$122006|436</t>
        </is>
      </c>
      <c r="J268" s="26" t="inlineStr">
        <is>
          <t>造成五段伤害，每段伤害为[0]%</t>
        </is>
      </c>
      <c r="K268" s="18" t="n">
        <v>54</v>
      </c>
    </row>
    <row r="269">
      <c r="B269" s="18" t="n">
        <v>10266</v>
      </c>
      <c r="C269" s="21" t="inlineStr">
        <is>
          <t>211011</t>
        </is>
      </c>
      <c r="D269" s="18" t="inlineStr">
        <is>
          <t>金风玉露</t>
        </is>
      </c>
      <c r="E269" s="18" t="n">
        <v>16</v>
      </c>
      <c r="F269" s="18" t="inlineStr">
        <is>
          <t>-44|-44|-44|-44|-44</t>
        </is>
      </c>
      <c r="G269" s="18" t="inlineStr">
        <is>
          <t>10001|38400$122001|23552$122006|480</t>
        </is>
      </c>
      <c r="J269" s="26" t="inlineStr">
        <is>
          <t>造成五段伤害，每段伤害为[0]%</t>
        </is>
      </c>
      <c r="K269" s="18" t="n">
        <v>56</v>
      </c>
    </row>
    <row r="270">
      <c r="B270" s="18" t="n">
        <v>10267</v>
      </c>
      <c r="C270" s="21" t="inlineStr">
        <is>
          <t>211011</t>
        </is>
      </c>
      <c r="D270" s="18" t="inlineStr">
        <is>
          <t>金风玉露</t>
        </is>
      </c>
      <c r="E270" s="18" t="n">
        <v>17</v>
      </c>
      <c r="F270" s="18" t="inlineStr">
        <is>
          <t>-41.6|-41.6|-41.6|-41.6|-41.6</t>
        </is>
      </c>
      <c r="G270" s="18" t="inlineStr">
        <is>
          <t>10001|43350$122001|26588$122006|526</t>
        </is>
      </c>
      <c r="J270" s="26" t="inlineStr">
        <is>
          <t>造成五段伤害，每段伤害为[0]%</t>
        </is>
      </c>
      <c r="K270" s="18" t="n">
        <v>58</v>
      </c>
    </row>
    <row r="271">
      <c r="B271" s="18" t="n">
        <v>10268</v>
      </c>
      <c r="C271" s="21" t="inlineStr">
        <is>
          <t>211011</t>
        </is>
      </c>
      <c r="D271" s="18" t="inlineStr">
        <is>
          <t>金风玉露</t>
        </is>
      </c>
      <c r="E271" s="18" t="n">
        <v>18</v>
      </c>
      <c r="F271" s="18" t="inlineStr">
        <is>
          <t>-39.2|-39.2|-39.2|-39.2|-39.2</t>
        </is>
      </c>
      <c r="G271" s="18" t="inlineStr">
        <is>
          <t>10001|48600$122001|29808$122006|573</t>
        </is>
      </c>
      <c r="J271" s="26" t="inlineStr">
        <is>
          <t>造成五段伤害，每段伤害为[0]%</t>
        </is>
      </c>
      <c r="K271" s="18" t="n">
        <v>61</v>
      </c>
    </row>
    <row r="272">
      <c r="B272" s="18" t="n">
        <v>10269</v>
      </c>
      <c r="C272" s="21" t="inlineStr">
        <is>
          <t>211011</t>
        </is>
      </c>
      <c r="D272" s="18" t="inlineStr">
        <is>
          <t>金风玉露</t>
        </is>
      </c>
      <c r="E272" s="18" t="n">
        <v>19</v>
      </c>
      <c r="F272" s="18" t="inlineStr">
        <is>
          <t>-36.8|-36.8|-36.8|-36.8|-36.8</t>
        </is>
      </c>
      <c r="G272" s="18" t="inlineStr">
        <is>
          <t>10001|54150$122001|33212$122006|621</t>
        </is>
      </c>
      <c r="J272" s="26" t="inlineStr">
        <is>
          <t>造成五段伤害，每段伤害为[0]%</t>
        </is>
      </c>
      <c r="K272" s="18" t="n">
        <v>63</v>
      </c>
    </row>
    <row r="273">
      <c r="B273" s="18" t="n">
        <v>10270</v>
      </c>
      <c r="C273" s="21" t="inlineStr">
        <is>
          <t>211011</t>
        </is>
      </c>
      <c r="D273" s="18" t="inlineStr">
        <is>
          <t>金风玉露</t>
        </is>
      </c>
      <c r="E273" s="18" t="n">
        <v>20</v>
      </c>
      <c r="F273" s="18" t="inlineStr">
        <is>
          <t>-34.4|-34.4|-34.4|-34.4|-34.4</t>
        </is>
      </c>
      <c r="G273" s="18" t="inlineStr">
        <is>
          <t>10001|60000$123001|36800$123006|671</t>
        </is>
      </c>
      <c r="J273" s="26" t="inlineStr">
        <is>
          <t>造成五段伤害，每段伤害为[0]%</t>
        </is>
      </c>
      <c r="K273" s="18" t="n">
        <v>66</v>
      </c>
    </row>
    <row r="274">
      <c r="B274" s="18" t="n">
        <v>10271</v>
      </c>
      <c r="C274" s="21" t="inlineStr">
        <is>
          <t>211011</t>
        </is>
      </c>
      <c r="D274" s="18" t="inlineStr">
        <is>
          <t>金风玉露</t>
        </is>
      </c>
      <c r="E274" s="18" t="n">
        <v>21</v>
      </c>
      <c r="F274" s="18" t="inlineStr">
        <is>
          <t>-32|-32|-32|-32|-32</t>
        </is>
      </c>
      <c r="G274" s="18" t="inlineStr">
        <is>
          <t>10001|66150$123001|40572$123006|722</t>
        </is>
      </c>
      <c r="J274" s="26" t="inlineStr">
        <is>
          <t>造成五段伤害，每段伤害为[0]%</t>
        </is>
      </c>
      <c r="K274" s="18" t="n">
        <v>68</v>
      </c>
    </row>
    <row r="275">
      <c r="B275" s="18" t="n">
        <v>10272</v>
      </c>
      <c r="C275" s="21" t="inlineStr">
        <is>
          <t>211011</t>
        </is>
      </c>
      <c r="D275" s="18" t="inlineStr">
        <is>
          <t>金风玉露</t>
        </is>
      </c>
      <c r="E275" s="18" t="n">
        <v>22</v>
      </c>
      <c r="F275" s="18" t="inlineStr">
        <is>
          <t>-29.6|-29.6|-29.6|-29.6|-29.6</t>
        </is>
      </c>
      <c r="G275" s="18" t="inlineStr">
        <is>
          <t>10001|72600$123001|44528$123006|774</t>
        </is>
      </c>
      <c r="J275" s="26" t="inlineStr">
        <is>
          <t>造成五段伤害，每段伤害为[0]%</t>
        </is>
      </c>
      <c r="K275" s="18" t="n">
        <v>70</v>
      </c>
    </row>
    <row r="276">
      <c r="B276" s="18" t="n">
        <v>10273</v>
      </c>
      <c r="C276" s="21" t="inlineStr">
        <is>
          <t>211011</t>
        </is>
      </c>
      <c r="D276" s="18" t="inlineStr">
        <is>
          <t>金风玉露</t>
        </is>
      </c>
      <c r="E276" s="18" t="n">
        <v>23</v>
      </c>
      <c r="F276" s="18" t="inlineStr">
        <is>
          <t>-27.2|-27.2|-27.2|-27.2|-27.2</t>
        </is>
      </c>
      <c r="G276" s="18" t="inlineStr">
        <is>
          <t>10001|79350$123001|48668$123006|827</t>
        </is>
      </c>
      <c r="J276" s="26" t="inlineStr">
        <is>
          <t>造成五段伤害，每段伤害为[0]%</t>
        </is>
      </c>
      <c r="K276" s="18" t="n">
        <v>73</v>
      </c>
    </row>
    <row r="277">
      <c r="B277" s="18" t="n">
        <v>10274</v>
      </c>
      <c r="C277" s="21" t="inlineStr">
        <is>
          <t>211011</t>
        </is>
      </c>
      <c r="D277" s="18" t="inlineStr">
        <is>
          <t>金风玉露</t>
        </is>
      </c>
      <c r="E277" s="18" t="n">
        <v>24</v>
      </c>
      <c r="F277" s="18" t="inlineStr">
        <is>
          <t>-24.8|-24.8|-24.8|-24.8|-24.8</t>
        </is>
      </c>
      <c r="G277" s="18" t="inlineStr">
        <is>
          <t>10001|86400$123001|52992$123006|882</t>
        </is>
      </c>
      <c r="J277" s="26" t="inlineStr">
        <is>
          <t>造成五段伤害，每段伤害为[0]%</t>
        </is>
      </c>
      <c r="K277" s="18" t="n">
        <v>75</v>
      </c>
    </row>
    <row r="278">
      <c r="B278" s="18" t="n">
        <v>10275</v>
      </c>
      <c r="C278" s="21" t="inlineStr">
        <is>
          <t>211011</t>
        </is>
      </c>
      <c r="D278" s="18" t="inlineStr">
        <is>
          <t>金风玉露</t>
        </is>
      </c>
      <c r="E278" s="18" t="n">
        <v>25</v>
      </c>
      <c r="F278" s="18" t="inlineStr">
        <is>
          <t>-22.4|-22.4|-22.4|-22.4|-22.4</t>
        </is>
      </c>
      <c r="G278" s="18" t="inlineStr">
        <is>
          <t>10001|93750$123001|57500$123006|938</t>
        </is>
      </c>
      <c r="J278" s="26" t="inlineStr">
        <is>
          <t>造成五段伤害，每段伤害为[0]%</t>
        </is>
      </c>
      <c r="K278" s="18" t="n">
        <v>78</v>
      </c>
    </row>
    <row r="279">
      <c r="B279" s="18" t="n">
        <v>10276</v>
      </c>
      <c r="C279" s="21" t="inlineStr">
        <is>
          <t>211011</t>
        </is>
      </c>
      <c r="D279" s="18" t="inlineStr">
        <is>
          <t>金风玉露</t>
        </is>
      </c>
      <c r="E279" s="18" t="n">
        <v>26</v>
      </c>
      <c r="F279" s="18" t="inlineStr">
        <is>
          <t>-20|-20|-20|-20|-20</t>
        </is>
      </c>
      <c r="G279" s="18" t="inlineStr">
        <is>
          <t>10001|101400$123001|62192$123006|994</t>
        </is>
      </c>
      <c r="J279" s="26" t="inlineStr">
        <is>
          <t>造成五段伤害，每段伤害为[0]%</t>
        </is>
      </c>
      <c r="K279" s="18" t="n">
        <v>80</v>
      </c>
    </row>
    <row r="280">
      <c r="B280" s="18" t="n">
        <v>10277</v>
      </c>
      <c r="C280" s="21" t="inlineStr">
        <is>
          <t>211011</t>
        </is>
      </c>
      <c r="D280" s="18" t="inlineStr">
        <is>
          <t>金风玉露</t>
        </is>
      </c>
      <c r="E280" s="18" t="n">
        <v>27</v>
      </c>
      <c r="F280" s="18" t="inlineStr">
        <is>
          <t>-17.6|-17.6|-17.6|-17.6|-17.6</t>
        </is>
      </c>
      <c r="G280" s="18" t="inlineStr">
        <is>
          <t>10001|109350$123001|67068$123006|1052</t>
        </is>
      </c>
      <c r="J280" s="26" t="inlineStr">
        <is>
          <t>造成五段伤害，每段伤害为[0]%</t>
        </is>
      </c>
      <c r="K280" s="18" t="n">
        <v>82</v>
      </c>
    </row>
    <row r="281">
      <c r="B281" s="18" t="n">
        <v>10278</v>
      </c>
      <c r="C281" s="21" t="inlineStr">
        <is>
          <t>211011</t>
        </is>
      </c>
      <c r="D281" s="18" t="inlineStr">
        <is>
          <t>金风玉露</t>
        </is>
      </c>
      <c r="E281" s="18" t="n">
        <v>28</v>
      </c>
      <c r="F281" s="18" t="inlineStr">
        <is>
          <t>-15.2|-15.2|-15.2|-15.2|-15.2</t>
        </is>
      </c>
      <c r="G281" s="18" t="inlineStr">
        <is>
          <t>10001|117600$123001|72128$123006|1111</t>
        </is>
      </c>
      <c r="J281" s="26" t="inlineStr">
        <is>
          <t>造成五段伤害，每段伤害为[0]%</t>
        </is>
      </c>
      <c r="K281" s="18" t="n">
        <v>85</v>
      </c>
    </row>
    <row r="282">
      <c r="B282" s="18" t="n">
        <v>10279</v>
      </c>
      <c r="C282" s="21" t="inlineStr">
        <is>
          <t>211011</t>
        </is>
      </c>
      <c r="D282" s="18" t="inlineStr">
        <is>
          <t>金风玉露</t>
        </is>
      </c>
      <c r="E282" s="18" t="n">
        <v>29</v>
      </c>
      <c r="F282" s="18" t="inlineStr">
        <is>
          <t>-12.8|-12.8|-12.8|-12.8|-12.8</t>
        </is>
      </c>
      <c r="G282" s="18" t="inlineStr">
        <is>
          <t>10001|126150$123001|77372$123006|1171</t>
        </is>
      </c>
      <c r="J282" s="26" t="inlineStr">
        <is>
          <t>造成五段伤害，每段伤害为[0]%</t>
        </is>
      </c>
      <c r="K282" s="18" t="n">
        <v>87</v>
      </c>
    </row>
    <row r="283">
      <c r="B283" s="18" t="n">
        <v>10280</v>
      </c>
      <c r="C283" s="21" t="inlineStr">
        <is>
          <t>211011</t>
        </is>
      </c>
      <c r="D283" s="18" t="inlineStr">
        <is>
          <t>金风玉露</t>
        </is>
      </c>
      <c r="E283" s="18" t="n">
        <v>30</v>
      </c>
      <c r="F283" s="18" t="inlineStr">
        <is>
          <t>-10.4|-10.4|-10.4|-10.4|-10.4</t>
        </is>
      </c>
      <c r="G283" s="18" t="inlineStr">
        <is>
          <t>10001|135000$124001|82800$124006|1232</t>
        </is>
      </c>
      <c r="J283" s="26" t="inlineStr">
        <is>
          <t>造成五段伤害，每段伤害为[0]%</t>
        </is>
      </c>
      <c r="K283" s="18" t="n">
        <v>90</v>
      </c>
    </row>
    <row r="284">
      <c r="B284" s="18" t="n">
        <v>10281</v>
      </c>
      <c r="C284" s="21" t="inlineStr">
        <is>
          <t>211011</t>
        </is>
      </c>
      <c r="D284" s="18" t="inlineStr">
        <is>
          <t>金风玉露</t>
        </is>
      </c>
      <c r="E284" s="18" t="n">
        <v>31</v>
      </c>
      <c r="F284" s="18" t="inlineStr">
        <is>
          <t>-8.00000000000001|-8.00000000000001|-8.00000000000001|-8.00000000000001|-8.00000000000001</t>
        </is>
      </c>
      <c r="G284" s="18" t="inlineStr">
        <is>
          <t>10001|144150$124001|88412$124006|1295</t>
        </is>
      </c>
      <c r="J284" s="26" t="inlineStr">
        <is>
          <t>造成五段伤害，每段伤害为[0]%</t>
        </is>
      </c>
      <c r="K284" s="18" t="n">
        <v>92</v>
      </c>
    </row>
    <row r="285">
      <c r="B285" s="18" t="n">
        <v>10282</v>
      </c>
      <c r="C285" s="21" t="inlineStr">
        <is>
          <t>211011</t>
        </is>
      </c>
      <c r="D285" s="18" t="inlineStr">
        <is>
          <t>金风玉露</t>
        </is>
      </c>
      <c r="E285" s="18" t="n">
        <v>32</v>
      </c>
      <c r="F285" s="18" t="inlineStr">
        <is>
          <t>-5.6|-5.6|-5.6|-5.6|-5.6</t>
        </is>
      </c>
      <c r="G285" s="18" t="inlineStr">
        <is>
          <t>10001|153600$124001|94208$124006|1358</t>
        </is>
      </c>
      <c r="J285" s="26" t="inlineStr">
        <is>
          <t>造成五段伤害，每段伤害为[0]%</t>
        </is>
      </c>
      <c r="K285" s="18" t="n">
        <v>94</v>
      </c>
    </row>
    <row r="286">
      <c r="B286" s="18" t="n">
        <v>10283</v>
      </c>
      <c r="C286" s="21" t="inlineStr">
        <is>
          <t>211011</t>
        </is>
      </c>
      <c r="D286" s="18" t="inlineStr">
        <is>
          <t>金风玉露</t>
        </is>
      </c>
      <c r="E286" s="18" t="n">
        <v>33</v>
      </c>
      <c r="F286" s="18" t="inlineStr">
        <is>
          <t>-3.2|-3.2|-3.2|-3.2|-3.2</t>
        </is>
      </c>
      <c r="G286" s="18" t="inlineStr">
        <is>
          <t>10001|163350$124001|100188$124006|1422</t>
        </is>
      </c>
      <c r="J286" s="26" t="inlineStr">
        <is>
          <t>造成五段伤害，每段伤害为[0]%</t>
        </is>
      </c>
      <c r="K286" s="18" t="n">
        <v>97</v>
      </c>
    </row>
    <row r="287">
      <c r="B287" s="18" t="n">
        <v>10284</v>
      </c>
      <c r="C287" s="21" t="inlineStr">
        <is>
          <t>211011</t>
        </is>
      </c>
      <c r="D287" s="18" t="inlineStr">
        <is>
          <t>金风玉露</t>
        </is>
      </c>
      <c r="E287" s="18" t="n">
        <v>34</v>
      </c>
      <c r="F287" s="18" t="inlineStr">
        <is>
          <t>-0.800000000000001|-0.800000000000001|-0.800000000000001|-0.800000000000001|-0.800000000000001</t>
        </is>
      </c>
      <c r="G287" s="18" t="inlineStr">
        <is>
          <t>10001|173400$124001|106352$124006|1487</t>
        </is>
      </c>
      <c r="J287" s="26" t="inlineStr">
        <is>
          <t>造成五段伤害，每段伤害为[0]%</t>
        </is>
      </c>
      <c r="K287" s="18" t="n">
        <v>99</v>
      </c>
    </row>
    <row r="288">
      <c r="B288" s="18" t="n">
        <v>10285</v>
      </c>
      <c r="C288" s="21" t="inlineStr">
        <is>
          <t>211011</t>
        </is>
      </c>
      <c r="D288" s="18" t="inlineStr">
        <is>
          <t>金风玉露</t>
        </is>
      </c>
      <c r="E288" s="18" t="n">
        <v>35</v>
      </c>
      <c r="F288" s="18" t="inlineStr">
        <is>
          <t>1.6|1.6|1.6|1.6|1.6</t>
        </is>
      </c>
      <c r="G288" s="18" t="inlineStr">
        <is>
          <t>10001|183750$124001|112700$124006|1553</t>
        </is>
      </c>
      <c r="J288" s="26" t="inlineStr">
        <is>
          <t>造成五段伤害，每段伤害为[0]%</t>
        </is>
      </c>
      <c r="K288" s="18" t="n">
        <v>102</v>
      </c>
    </row>
    <row r="289">
      <c r="B289" s="18" t="n">
        <v>10286</v>
      </c>
      <c r="C289" s="21" t="inlineStr">
        <is>
          <t>211011</t>
        </is>
      </c>
      <c r="D289" s="18" t="inlineStr">
        <is>
          <t>金风玉露</t>
        </is>
      </c>
      <c r="E289" s="18" t="n">
        <v>36</v>
      </c>
      <c r="F289" s="18" t="inlineStr">
        <is>
          <t>4|4|4|4|4</t>
        </is>
      </c>
      <c r="G289" s="18" t="inlineStr">
        <is>
          <t>10001|194400$124001|119232$124006|1620</t>
        </is>
      </c>
      <c r="J289" s="26" t="inlineStr">
        <is>
          <t>造成五段伤害，每段伤害为[0]%</t>
        </is>
      </c>
      <c r="K289" s="18" t="n">
        <v>104</v>
      </c>
    </row>
    <row r="290">
      <c r="B290" s="18" t="n">
        <v>10287</v>
      </c>
      <c r="C290" s="21" t="inlineStr">
        <is>
          <t>211011</t>
        </is>
      </c>
      <c r="D290" s="18" t="inlineStr">
        <is>
          <t>金风玉露</t>
        </is>
      </c>
      <c r="E290" s="18" t="n">
        <v>37</v>
      </c>
      <c r="F290" s="18" t="inlineStr">
        <is>
          <t>6.40000000000001|6.40000000000001|6.40000000000001|6.40000000000001|6.40000000000001</t>
        </is>
      </c>
      <c r="G290" s="18" t="inlineStr">
        <is>
          <t>10001|205350$124001|125948$124006|1688</t>
        </is>
      </c>
      <c r="J290" s="26" t="inlineStr">
        <is>
          <t>造成五段伤害，每段伤害为[0]%</t>
        </is>
      </c>
      <c r="K290" s="18" t="n">
        <v>106</v>
      </c>
    </row>
    <row r="291">
      <c r="B291" s="18" t="n">
        <v>10288</v>
      </c>
      <c r="C291" s="21" t="inlineStr">
        <is>
          <t>211011</t>
        </is>
      </c>
      <c r="D291" s="18" t="inlineStr">
        <is>
          <t>金风玉露</t>
        </is>
      </c>
      <c r="E291" s="18" t="n">
        <v>38</v>
      </c>
      <c r="F291" s="18" t="inlineStr">
        <is>
          <t>8.80000000000001|8.80000000000001|8.80000000000001|8.80000000000001|8.80000000000001</t>
        </is>
      </c>
      <c r="G291" s="18" t="inlineStr">
        <is>
          <t>10001|216600$124001|132848$124006|1757</t>
        </is>
      </c>
      <c r="J291" s="26" t="inlineStr">
        <is>
          <t>造成五段伤害，每段伤害为[0]%</t>
        </is>
      </c>
      <c r="K291" s="18" t="n">
        <v>109</v>
      </c>
    </row>
    <row r="292">
      <c r="B292" s="18" t="n">
        <v>10289</v>
      </c>
      <c r="C292" s="21" t="inlineStr">
        <is>
          <t>211011</t>
        </is>
      </c>
      <c r="D292" s="18" t="inlineStr">
        <is>
          <t>金风玉露</t>
        </is>
      </c>
      <c r="E292" s="18" t="n">
        <v>39</v>
      </c>
      <c r="F292" s="18" t="inlineStr">
        <is>
          <t>11.2|11.2|11.2|11.2|11.2</t>
        </is>
      </c>
      <c r="G292" s="18" t="inlineStr">
        <is>
          <t>10001|228150$124001|139932$124006|1827</t>
        </is>
      </c>
      <c r="J292" s="26" t="inlineStr">
        <is>
          <t>造成五段伤害，每段伤害为[0]%</t>
        </is>
      </c>
      <c r="K292" s="18" t="n">
        <v>111</v>
      </c>
    </row>
    <row r="293">
      <c r="B293" s="18" t="n">
        <v>10290</v>
      </c>
      <c r="C293" s="21" t="inlineStr">
        <is>
          <t>211011</t>
        </is>
      </c>
      <c r="D293" s="18" t="inlineStr">
        <is>
          <t>金风玉露</t>
        </is>
      </c>
      <c r="E293" s="18" t="n">
        <v>40</v>
      </c>
      <c r="F293" s="18" t="inlineStr">
        <is>
          <t>13.6|13.6|13.6|13.6|13.6</t>
        </is>
      </c>
      <c r="G293" s="18" t="inlineStr">
        <is>
          <t>10001|240000$125001|147200$125006|1897</t>
        </is>
      </c>
      <c r="J293" s="26" t="inlineStr">
        <is>
          <t>造成五段伤害，每段伤害为[0]%</t>
        </is>
      </c>
      <c r="K293" s="18" t="n">
        <v>114</v>
      </c>
    </row>
    <row r="294">
      <c r="B294" s="18" t="n">
        <v>10291</v>
      </c>
      <c r="C294" s="21" t="inlineStr">
        <is>
          <t>211011</t>
        </is>
      </c>
      <c r="D294" s="18" t="inlineStr">
        <is>
          <t>金风玉露</t>
        </is>
      </c>
      <c r="E294" s="18" t="n">
        <v>41</v>
      </c>
      <c r="F294" s="18" t="inlineStr">
        <is>
          <t>16|16|16|16|16</t>
        </is>
      </c>
      <c r="G294" s="18" t="inlineStr">
        <is>
          <t>10001|252150$125001|154652$125006|1969</t>
        </is>
      </c>
      <c r="J294" s="26" t="inlineStr">
        <is>
          <t>造成五段伤害，每段伤害为[0]%</t>
        </is>
      </c>
      <c r="K294" s="18" t="n">
        <v>116</v>
      </c>
    </row>
    <row r="295">
      <c r="B295" s="18" t="n">
        <v>10292</v>
      </c>
      <c r="C295" s="21" t="inlineStr">
        <is>
          <t>211011</t>
        </is>
      </c>
      <c r="D295" s="18" t="inlineStr">
        <is>
          <t>金风玉露</t>
        </is>
      </c>
      <c r="E295" s="18" t="n">
        <v>42</v>
      </c>
      <c r="F295" s="18" t="inlineStr">
        <is>
          <t>18.4|18.4|18.4|18.4|18.4</t>
        </is>
      </c>
      <c r="G295" s="18" t="inlineStr">
        <is>
          <t>10001|264600$125001|162288$125006|2041</t>
        </is>
      </c>
      <c r="J295" s="26" t="inlineStr">
        <is>
          <t>造成五段伤害，每段伤害为[0]%</t>
        </is>
      </c>
      <c r="K295" s="18" t="n">
        <v>118</v>
      </c>
    </row>
    <row r="296">
      <c r="B296" s="18" t="n">
        <v>10293</v>
      </c>
      <c r="C296" s="21" t="inlineStr">
        <is>
          <t>211011</t>
        </is>
      </c>
      <c r="D296" s="18" t="inlineStr">
        <is>
          <t>金风玉露</t>
        </is>
      </c>
      <c r="E296" s="18" t="n">
        <v>43</v>
      </c>
      <c r="F296" s="18" t="inlineStr">
        <is>
          <t>20.8|20.8|20.8|20.8|20.8</t>
        </is>
      </c>
      <c r="G296" s="18" t="inlineStr">
        <is>
          <t>10001|277350$125001|170108$125006|2115</t>
        </is>
      </c>
      <c r="J296" s="26" t="inlineStr">
        <is>
          <t>造成五段伤害，每段伤害为[0]%</t>
        </is>
      </c>
      <c r="K296" s="18" t="n">
        <v>121</v>
      </c>
    </row>
    <row r="297">
      <c r="B297" s="18" t="n">
        <v>10294</v>
      </c>
      <c r="C297" s="21" t="inlineStr">
        <is>
          <t>211011</t>
        </is>
      </c>
      <c r="D297" s="18" t="inlineStr">
        <is>
          <t>金风玉露</t>
        </is>
      </c>
      <c r="E297" s="18" t="n">
        <v>44</v>
      </c>
      <c r="F297" s="18" t="inlineStr">
        <is>
          <t>23.2|23.2|23.2|23.2|23.2</t>
        </is>
      </c>
      <c r="G297" s="18" t="inlineStr">
        <is>
          <t>10001|290400$125001|178112$125006|2189</t>
        </is>
      </c>
      <c r="J297" s="26" t="inlineStr">
        <is>
          <t>造成五段伤害，每段伤害为[0]%</t>
        </is>
      </c>
      <c r="K297" s="18" t="n">
        <v>123</v>
      </c>
    </row>
    <row r="298">
      <c r="B298" s="18" t="n">
        <v>10295</v>
      </c>
      <c r="C298" s="21" t="inlineStr">
        <is>
          <t>211011</t>
        </is>
      </c>
      <c r="D298" s="18" t="inlineStr">
        <is>
          <t>金风玉露</t>
        </is>
      </c>
      <c r="E298" s="18" t="n">
        <v>45</v>
      </c>
      <c r="F298" s="18" t="inlineStr">
        <is>
          <t>25.6|25.6|25.6|25.6|25.6</t>
        </is>
      </c>
      <c r="G298" s="18" t="inlineStr">
        <is>
          <t>10001|303750$125001|186300$125006|2264</t>
        </is>
      </c>
      <c r="J298" s="26" t="inlineStr">
        <is>
          <t>造成五段伤害，每段伤害为[0]%</t>
        </is>
      </c>
      <c r="K298" s="18" t="n">
        <v>126</v>
      </c>
    </row>
    <row r="299">
      <c r="B299" s="18" t="n">
        <v>10296</v>
      </c>
      <c r="C299" s="21" t="inlineStr">
        <is>
          <t>211011</t>
        </is>
      </c>
      <c r="D299" s="18" t="inlineStr">
        <is>
          <t>金风玉露</t>
        </is>
      </c>
      <c r="E299" s="18" t="n">
        <v>46</v>
      </c>
      <c r="F299" s="18" t="inlineStr">
        <is>
          <t>28|28|28|28|28</t>
        </is>
      </c>
      <c r="G299" s="18" t="inlineStr">
        <is>
          <t>10001|317400$125001|194672$125006|2340</t>
        </is>
      </c>
      <c r="J299" s="26" t="inlineStr">
        <is>
          <t>造成五段伤害，每段伤害为[0]%</t>
        </is>
      </c>
      <c r="K299" s="18" t="n">
        <v>128</v>
      </c>
    </row>
    <row r="300">
      <c r="B300" s="18" t="n">
        <v>10297</v>
      </c>
      <c r="C300" s="21" t="inlineStr">
        <is>
          <t>211011</t>
        </is>
      </c>
      <c r="D300" s="18" t="inlineStr">
        <is>
          <t>金风玉露</t>
        </is>
      </c>
      <c r="E300" s="18" t="n">
        <v>47</v>
      </c>
      <c r="F300" s="18" t="inlineStr">
        <is>
          <t>30.4|30.4|30.4|30.4|30.4</t>
        </is>
      </c>
      <c r="G300" s="18" t="inlineStr">
        <is>
          <t>10001|331350$125001|203228$125006|2417</t>
        </is>
      </c>
      <c r="J300" s="26" t="inlineStr">
        <is>
          <t>造成五段伤害，每段伤害为[0]%</t>
        </is>
      </c>
      <c r="K300" s="18" t="n">
        <v>130</v>
      </c>
    </row>
    <row r="301">
      <c r="B301" s="18" t="n">
        <v>10298</v>
      </c>
      <c r="C301" s="21" t="inlineStr">
        <is>
          <t>211011</t>
        </is>
      </c>
      <c r="D301" s="18" t="inlineStr">
        <is>
          <t>金风玉露</t>
        </is>
      </c>
      <c r="E301" s="18" t="n">
        <v>48</v>
      </c>
      <c r="F301" s="18" t="inlineStr">
        <is>
          <t>32.8000000000002|32.8000000000002|32.8000000000002|32.8000000000002|32.8000000000002</t>
        </is>
      </c>
      <c r="G301" s="18" t="inlineStr">
        <is>
          <t>10001|345600$125001|211968$125006|2494</t>
        </is>
      </c>
      <c r="J301" s="26" t="inlineStr">
        <is>
          <t>造成五段伤害，每段伤害为[0]%</t>
        </is>
      </c>
      <c r="K301" s="18" t="n">
        <v>133</v>
      </c>
    </row>
    <row r="302">
      <c r="B302" s="18" t="n">
        <v>10299</v>
      </c>
      <c r="C302" s="21" t="inlineStr">
        <is>
          <t>211011</t>
        </is>
      </c>
      <c r="D302" s="18" t="inlineStr">
        <is>
          <t>金风玉露</t>
        </is>
      </c>
      <c r="E302" s="18" t="n">
        <v>49</v>
      </c>
      <c r="F302" s="18" t="inlineStr">
        <is>
          <t>35.2000000000002|35.2000000000002|35.2000000000002|35.2000000000002|35.2000000000002</t>
        </is>
      </c>
      <c r="G302" s="18" t="inlineStr">
        <is>
          <t>10001|360150$125001|220892$125006|2573</t>
        </is>
      </c>
      <c r="J302" s="26" t="inlineStr">
        <is>
          <t>造成五段伤害，每段伤害为[0]%</t>
        </is>
      </c>
      <c r="K302" s="18" t="n">
        <v>135</v>
      </c>
    </row>
    <row r="303">
      <c r="B303" s="18" t="n">
        <v>10300</v>
      </c>
      <c r="C303" s="21" t="inlineStr">
        <is>
          <t>211011</t>
        </is>
      </c>
      <c r="D303" s="18" t="inlineStr">
        <is>
          <t>金风玉露</t>
        </is>
      </c>
      <c r="E303" s="18" t="n">
        <v>50</v>
      </c>
      <c r="F303" s="18" t="inlineStr">
        <is>
          <t>37.6000000000002|37.6000000000002|37.6000000000002|37.6000000000002|37.6000000000002</t>
        </is>
      </c>
      <c r="G303" s="18" t="inlineStr">
        <is>
          <t>10001|375000$125001|230000$125006|2652</t>
        </is>
      </c>
      <c r="J303" s="26" t="inlineStr">
        <is>
          <t>造成五段伤害，每段伤害为[0]%</t>
        </is>
      </c>
      <c r="K303" s="18" t="n">
        <v>138</v>
      </c>
    </row>
    <row r="304">
      <c r="B304" s="18" t="n">
        <v>10301</v>
      </c>
      <c r="C304" s="24" t="inlineStr">
        <is>
          <t>2</t>
        </is>
      </c>
      <c r="D304" s="18" t="inlineStr">
        <is>
          <t>季狸普攻</t>
        </is>
      </c>
      <c r="E304" s="18" t="inlineStr">
        <is>
          <t>1</t>
        </is>
      </c>
      <c r="F304" s="18" t="inlineStr">
        <is>
          <t>0</t>
        </is>
      </c>
      <c r="G304" s="18" t="inlineStr">
        <is>
          <t>10001|19$121001|12</t>
        </is>
      </c>
    </row>
    <row r="305">
      <c r="B305" s="18" t="n">
        <v>10302</v>
      </c>
      <c r="C305" s="24" t="inlineStr">
        <is>
          <t>2</t>
        </is>
      </c>
      <c r="D305" s="18" t="inlineStr">
        <is>
          <t>季狸普攻</t>
        </is>
      </c>
      <c r="E305" s="18" t="inlineStr">
        <is>
          <t>2</t>
        </is>
      </c>
      <c r="F305" s="18" t="inlineStr">
        <is>
          <t>5</t>
        </is>
      </c>
      <c r="G305" s="18" t="inlineStr">
        <is>
          <t>10001|53$121001|33</t>
        </is>
      </c>
    </row>
    <row r="306">
      <c r="B306" s="18" t="n">
        <v>10303</v>
      </c>
      <c r="C306" s="24" t="inlineStr">
        <is>
          <t>2</t>
        </is>
      </c>
      <c r="D306" s="18" t="inlineStr">
        <is>
          <t>季狸普攻</t>
        </is>
      </c>
      <c r="E306" s="18" t="inlineStr">
        <is>
          <t>3</t>
        </is>
      </c>
      <c r="F306" s="18" t="inlineStr">
        <is>
          <t>10</t>
        </is>
      </c>
      <c r="G306" s="18" t="inlineStr">
        <is>
          <t>10001|97$121001|60</t>
        </is>
      </c>
    </row>
    <row r="307">
      <c r="B307" s="18" t="n">
        <v>10304</v>
      </c>
      <c r="C307" s="24" t="inlineStr">
        <is>
          <t>2</t>
        </is>
      </c>
      <c r="D307" s="18" t="inlineStr">
        <is>
          <t>季狸普攻</t>
        </is>
      </c>
      <c r="E307" s="18" t="inlineStr">
        <is>
          <t>4</t>
        </is>
      </c>
      <c r="F307" s="18" t="inlineStr">
        <is>
          <t>15</t>
        </is>
      </c>
      <c r="G307" s="18" t="inlineStr">
        <is>
          <t>10001|150$121001|92</t>
        </is>
      </c>
    </row>
    <row r="308">
      <c r="B308" s="18" t="n">
        <v>10305</v>
      </c>
      <c r="C308" s="24" t="inlineStr">
        <is>
          <t>2</t>
        </is>
      </c>
      <c r="D308" s="18" t="inlineStr">
        <is>
          <t>季狸普攻</t>
        </is>
      </c>
      <c r="E308" s="18" t="inlineStr">
        <is>
          <t>5</t>
        </is>
      </c>
      <c r="F308" s="18" t="inlineStr">
        <is>
          <t>20</t>
        </is>
      </c>
      <c r="G308" s="18" t="inlineStr">
        <is>
          <t>10001|210$121001|129</t>
        </is>
      </c>
    </row>
    <row r="309">
      <c r="B309" s="18" t="n">
        <v>10306</v>
      </c>
      <c r="C309" s="24" t="inlineStr">
        <is>
          <t>2</t>
        </is>
      </c>
      <c r="D309" s="18" t="inlineStr">
        <is>
          <t>季狸普攻</t>
        </is>
      </c>
      <c r="E309" s="18" t="inlineStr">
        <is>
          <t>6</t>
        </is>
      </c>
      <c r="F309" s="18" t="inlineStr">
        <is>
          <t>25</t>
        </is>
      </c>
      <c r="G309" s="18" t="inlineStr">
        <is>
          <t>10001|276$121001|169</t>
        </is>
      </c>
    </row>
    <row r="310">
      <c r="B310" s="18" t="n">
        <v>10307</v>
      </c>
      <c r="C310" s="24" t="inlineStr">
        <is>
          <t>2</t>
        </is>
      </c>
      <c r="D310" s="18" t="inlineStr">
        <is>
          <t>季狸普攻</t>
        </is>
      </c>
      <c r="E310" s="18" t="inlineStr">
        <is>
          <t>7</t>
        </is>
      </c>
      <c r="F310" s="18" t="inlineStr">
        <is>
          <t>30</t>
        </is>
      </c>
      <c r="G310" s="18" t="inlineStr">
        <is>
          <t>10001|347$121001|213</t>
        </is>
      </c>
    </row>
    <row r="311">
      <c r="B311" s="18" t="n">
        <v>10308</v>
      </c>
      <c r="C311" s="24" t="inlineStr">
        <is>
          <t>2</t>
        </is>
      </c>
      <c r="D311" s="18" t="inlineStr">
        <is>
          <t>季狸普攻</t>
        </is>
      </c>
      <c r="E311" s="18" t="inlineStr">
        <is>
          <t>8</t>
        </is>
      </c>
      <c r="F311" s="18" t="inlineStr">
        <is>
          <t>35</t>
        </is>
      </c>
      <c r="G311" s="18" t="inlineStr">
        <is>
          <t>10001|424$121001|260</t>
        </is>
      </c>
    </row>
    <row r="312">
      <c r="B312" s="18" t="n">
        <v>10309</v>
      </c>
      <c r="C312" s="24" t="inlineStr">
        <is>
          <t>2</t>
        </is>
      </c>
      <c r="D312" s="18" t="inlineStr">
        <is>
          <t>季狸普攻</t>
        </is>
      </c>
      <c r="E312" s="18" t="inlineStr">
        <is>
          <t>9</t>
        </is>
      </c>
      <c r="F312" s="18" t="inlineStr">
        <is>
          <t>40</t>
        </is>
      </c>
      <c r="G312" s="18" t="inlineStr">
        <is>
          <t>10001|506$121001|311</t>
        </is>
      </c>
    </row>
    <row r="313">
      <c r="B313" s="18" t="n">
        <v>10310</v>
      </c>
      <c r="C313" s="24" t="inlineStr">
        <is>
          <t>2</t>
        </is>
      </c>
      <c r="D313" s="18" t="inlineStr">
        <is>
          <t>季狸普攻</t>
        </is>
      </c>
      <c r="E313" s="18" t="inlineStr">
        <is>
          <t>10</t>
        </is>
      </c>
      <c r="F313" s="18" t="inlineStr">
        <is>
          <t>45</t>
        </is>
      </c>
      <c r="G313" s="18" t="inlineStr">
        <is>
          <t>10001|593$121001|364</t>
        </is>
      </c>
    </row>
    <row r="314">
      <c r="B314" s="18" t="n">
        <v>10311</v>
      </c>
      <c r="C314" s="24" t="inlineStr">
        <is>
          <t>2</t>
        </is>
      </c>
      <c r="D314" s="18" t="inlineStr">
        <is>
          <t>季狸普攻</t>
        </is>
      </c>
      <c r="E314" s="18" t="inlineStr">
        <is>
          <t>11</t>
        </is>
      </c>
      <c r="F314" s="18" t="inlineStr">
        <is>
          <t>50</t>
        </is>
      </c>
      <c r="G314" s="18" t="inlineStr">
        <is>
          <t>10001|684$122001|420</t>
        </is>
      </c>
    </row>
    <row r="315">
      <c r="B315" s="18" t="n">
        <v>10312</v>
      </c>
      <c r="C315" s="24" t="inlineStr">
        <is>
          <t>2</t>
        </is>
      </c>
      <c r="D315" s="18" t="inlineStr">
        <is>
          <t>季狸普攻</t>
        </is>
      </c>
      <c r="E315" s="18" t="inlineStr">
        <is>
          <t>12</t>
        </is>
      </c>
      <c r="F315" s="18" t="inlineStr">
        <is>
          <t>55</t>
        </is>
      </c>
      <c r="G315" s="18" t="inlineStr">
        <is>
          <t>10001|779$122001|478</t>
        </is>
      </c>
    </row>
    <row r="316">
      <c r="B316" s="18" t="n">
        <v>10313</v>
      </c>
      <c r="C316" s="24" t="inlineStr">
        <is>
          <t>2</t>
        </is>
      </c>
      <c r="D316" s="18" t="inlineStr">
        <is>
          <t>季狸普攻</t>
        </is>
      </c>
      <c r="E316" s="18" t="inlineStr">
        <is>
          <t>13</t>
        </is>
      </c>
      <c r="F316" s="18" t="inlineStr">
        <is>
          <t>60</t>
        </is>
      </c>
      <c r="G316" s="18" t="inlineStr">
        <is>
          <t>10001|879$122001|539</t>
        </is>
      </c>
    </row>
    <row r="317">
      <c r="B317" s="18" t="n">
        <v>10314</v>
      </c>
      <c r="C317" s="24" t="inlineStr">
        <is>
          <t>2</t>
        </is>
      </c>
      <c r="D317" s="18" t="inlineStr">
        <is>
          <t>季狸普攻</t>
        </is>
      </c>
      <c r="E317" s="18" t="inlineStr">
        <is>
          <t>14</t>
        </is>
      </c>
      <c r="F317" s="18" t="inlineStr">
        <is>
          <t>65</t>
        </is>
      </c>
      <c r="G317" s="18" t="inlineStr">
        <is>
          <t>10001|982$122001|602</t>
        </is>
      </c>
    </row>
    <row r="318">
      <c r="B318" s="18" t="n">
        <v>10315</v>
      </c>
      <c r="C318" s="24" t="inlineStr">
        <is>
          <t>2</t>
        </is>
      </c>
      <c r="D318" s="18" t="inlineStr">
        <is>
          <t>季狸普攻</t>
        </is>
      </c>
      <c r="E318" s="18" t="inlineStr">
        <is>
          <t>15</t>
        </is>
      </c>
      <c r="F318" s="18" t="inlineStr">
        <is>
          <t>70</t>
        </is>
      </c>
      <c r="G318" s="18" t="inlineStr">
        <is>
          <t>10001|1089$122001|668</t>
        </is>
      </c>
    </row>
    <row r="319">
      <c r="B319" s="18" t="n">
        <v>10316</v>
      </c>
      <c r="C319" s="24" t="inlineStr">
        <is>
          <t>2</t>
        </is>
      </c>
      <c r="D319" s="18" t="inlineStr">
        <is>
          <t>季狸普攻</t>
        </is>
      </c>
      <c r="E319" s="18" t="inlineStr">
        <is>
          <t>16</t>
        </is>
      </c>
      <c r="F319" s="18" t="inlineStr">
        <is>
          <t>75</t>
        </is>
      </c>
      <c r="G319" s="18" t="inlineStr">
        <is>
          <t>10001|1200$122001|736</t>
        </is>
      </c>
    </row>
    <row r="320">
      <c r="B320" s="18" t="n">
        <v>10317</v>
      </c>
      <c r="C320" s="24" t="inlineStr">
        <is>
          <t>2</t>
        </is>
      </c>
      <c r="D320" s="18" t="inlineStr">
        <is>
          <t>季狸普攻</t>
        </is>
      </c>
      <c r="E320" s="18" t="inlineStr">
        <is>
          <t>17</t>
        </is>
      </c>
      <c r="F320" s="18" t="inlineStr">
        <is>
          <t>80</t>
        </is>
      </c>
      <c r="G320" s="18" t="inlineStr">
        <is>
          <t>10001|1314$122001|806</t>
        </is>
      </c>
    </row>
    <row r="321">
      <c r="B321" s="18" t="n">
        <v>10318</v>
      </c>
      <c r="C321" s="24" t="inlineStr">
        <is>
          <t>2</t>
        </is>
      </c>
      <c r="D321" s="18" t="inlineStr">
        <is>
          <t>季狸普攻</t>
        </is>
      </c>
      <c r="E321" s="18" t="inlineStr">
        <is>
          <t>18</t>
        </is>
      </c>
      <c r="F321" s="18" t="inlineStr">
        <is>
          <t>85</t>
        </is>
      </c>
      <c r="G321" s="18" t="inlineStr">
        <is>
          <t>10001|1432$122001|878</t>
        </is>
      </c>
    </row>
    <row r="322">
      <c r="B322" s="18" t="n">
        <v>10319</v>
      </c>
      <c r="C322" s="24" t="inlineStr">
        <is>
          <t>2</t>
        </is>
      </c>
      <c r="D322" s="18" t="inlineStr">
        <is>
          <t>季狸普攻</t>
        </is>
      </c>
      <c r="E322" s="18" t="inlineStr">
        <is>
          <t>19</t>
        </is>
      </c>
      <c r="F322" s="18" t="inlineStr">
        <is>
          <t>90</t>
        </is>
      </c>
      <c r="G322" s="18" t="inlineStr">
        <is>
          <t>10001|1553$122001|952</t>
        </is>
      </c>
    </row>
    <row r="323">
      <c r="B323" s="18" t="n">
        <v>10320</v>
      </c>
      <c r="C323" s="24" t="inlineStr">
        <is>
          <t>2</t>
        </is>
      </c>
      <c r="D323" s="18" t="inlineStr">
        <is>
          <t>季狸普攻</t>
        </is>
      </c>
      <c r="E323" s="18" t="inlineStr">
        <is>
          <t>20</t>
        </is>
      </c>
      <c r="F323" s="18" t="inlineStr">
        <is>
          <t>95</t>
        </is>
      </c>
      <c r="G323" s="18" t="inlineStr">
        <is>
          <t>10001|1677$122001|1029</t>
        </is>
      </c>
    </row>
    <row r="324">
      <c r="B324" s="18" t="n">
        <v>10321</v>
      </c>
      <c r="C324" s="24" t="inlineStr">
        <is>
          <t>2</t>
        </is>
      </c>
      <c r="D324" s="18" t="inlineStr">
        <is>
          <t>季狸普攻</t>
        </is>
      </c>
      <c r="E324" s="18" t="inlineStr">
        <is>
          <t>21</t>
        </is>
      </c>
      <c r="F324" s="18" t="inlineStr">
        <is>
          <t>100</t>
        </is>
      </c>
      <c r="G324" s="18" t="inlineStr">
        <is>
          <t>10001|1804$123001|1107</t>
        </is>
      </c>
    </row>
    <row r="325">
      <c r="B325" s="18" t="n">
        <v>10322</v>
      </c>
      <c r="C325" s="24" t="inlineStr">
        <is>
          <t>2</t>
        </is>
      </c>
      <c r="D325" s="18" t="inlineStr">
        <is>
          <t>季狸普攻</t>
        </is>
      </c>
      <c r="E325" s="18" t="inlineStr">
        <is>
          <t>22</t>
        </is>
      </c>
      <c r="F325" s="18" t="inlineStr">
        <is>
          <t>105</t>
        </is>
      </c>
      <c r="G325" s="18" t="inlineStr">
        <is>
          <t>10001|1935$123001|1187</t>
        </is>
      </c>
    </row>
    <row r="326">
      <c r="B326" s="18" t="n">
        <v>10323</v>
      </c>
      <c r="C326" s="24" t="inlineStr">
        <is>
          <t>2</t>
        </is>
      </c>
      <c r="D326" s="18" t="inlineStr">
        <is>
          <t>季狸普攻</t>
        </is>
      </c>
      <c r="E326" s="18" t="inlineStr">
        <is>
          <t>23</t>
        </is>
      </c>
      <c r="F326" s="18" t="inlineStr">
        <is>
          <t>110</t>
        </is>
      </c>
      <c r="G326" s="18" t="inlineStr">
        <is>
          <t>10001|2068$123001|1268</t>
        </is>
      </c>
    </row>
    <row r="327">
      <c r="B327" s="18" t="n">
        <v>10324</v>
      </c>
      <c r="C327" s="24" t="inlineStr">
        <is>
          <t>2</t>
        </is>
      </c>
      <c r="D327" s="18" t="inlineStr">
        <is>
          <t>季狸普攻</t>
        </is>
      </c>
      <c r="E327" s="18" t="inlineStr">
        <is>
          <t>24</t>
        </is>
      </c>
      <c r="F327" s="18" t="inlineStr">
        <is>
          <t>115</t>
        </is>
      </c>
      <c r="G327" s="18" t="inlineStr">
        <is>
          <t>10001|2205$123001|1352</t>
        </is>
      </c>
    </row>
    <row r="328">
      <c r="B328" s="18" t="n">
        <v>10325</v>
      </c>
      <c r="C328" s="24" t="inlineStr">
        <is>
          <t>2</t>
        </is>
      </c>
      <c r="D328" s="18" t="inlineStr">
        <is>
          <t>季狸普攻</t>
        </is>
      </c>
      <c r="E328" s="18" t="inlineStr">
        <is>
          <t>25</t>
        </is>
      </c>
      <c r="F328" s="18" t="inlineStr">
        <is>
          <t>120</t>
        </is>
      </c>
      <c r="G328" s="18" t="inlineStr">
        <is>
          <t>10001|2344$123001|1438</t>
        </is>
      </c>
    </row>
    <row r="329">
      <c r="B329" s="18" t="n">
        <v>10326</v>
      </c>
      <c r="C329" s="24" t="inlineStr">
        <is>
          <t>2</t>
        </is>
      </c>
      <c r="D329" s="18" t="inlineStr">
        <is>
          <t>季狸普攻</t>
        </is>
      </c>
      <c r="E329" s="18" t="inlineStr">
        <is>
          <t>26</t>
        </is>
      </c>
      <c r="F329" s="18" t="inlineStr">
        <is>
          <t>125</t>
        </is>
      </c>
      <c r="G329" s="18" t="inlineStr">
        <is>
          <t>10001|2486$123001|1525</t>
        </is>
      </c>
    </row>
    <row r="330">
      <c r="B330" s="18" t="n">
        <v>10327</v>
      </c>
      <c r="C330" s="24" t="inlineStr">
        <is>
          <t>2</t>
        </is>
      </c>
      <c r="D330" s="18" t="inlineStr">
        <is>
          <t>季狸普攻</t>
        </is>
      </c>
      <c r="E330" s="18" t="inlineStr">
        <is>
          <t>27</t>
        </is>
      </c>
      <c r="F330" s="18" t="inlineStr">
        <is>
          <t>130</t>
        </is>
      </c>
      <c r="G330" s="18" t="inlineStr">
        <is>
          <t>10001|2631$123001|1613</t>
        </is>
      </c>
    </row>
    <row r="331">
      <c r="B331" s="18" t="n">
        <v>10328</v>
      </c>
      <c r="C331" s="24" t="inlineStr">
        <is>
          <t>2</t>
        </is>
      </c>
      <c r="D331" s="18" t="inlineStr">
        <is>
          <t>季狸普攻</t>
        </is>
      </c>
      <c r="E331" s="18" t="inlineStr">
        <is>
          <t>28</t>
        </is>
      </c>
      <c r="F331" s="18" t="inlineStr">
        <is>
          <t>135</t>
        </is>
      </c>
      <c r="G331" s="18" t="inlineStr">
        <is>
          <t>10001|2778$123001|1704</t>
        </is>
      </c>
    </row>
    <row r="332">
      <c r="B332" s="18" t="n">
        <v>10329</v>
      </c>
      <c r="C332" s="24" t="inlineStr">
        <is>
          <t>2</t>
        </is>
      </c>
      <c r="D332" s="18" t="inlineStr">
        <is>
          <t>季狸普攻</t>
        </is>
      </c>
      <c r="E332" s="18" t="inlineStr">
        <is>
          <t>29</t>
        </is>
      </c>
      <c r="F332" s="18" t="inlineStr">
        <is>
          <t>140</t>
        </is>
      </c>
      <c r="G332" s="18" t="inlineStr">
        <is>
          <t>10001|2928$123001|1796</t>
        </is>
      </c>
    </row>
    <row r="333">
      <c r="B333" s="18" t="n">
        <v>10330</v>
      </c>
      <c r="C333" s="24" t="inlineStr">
        <is>
          <t>2</t>
        </is>
      </c>
      <c r="D333" s="18" t="inlineStr">
        <is>
          <t>季狸普攻</t>
        </is>
      </c>
      <c r="E333" s="18" t="inlineStr">
        <is>
          <t>30</t>
        </is>
      </c>
      <c r="F333" s="18" t="inlineStr">
        <is>
          <t>145</t>
        </is>
      </c>
      <c r="G333" s="18" t="inlineStr">
        <is>
          <t>10001|3081$123001|1890</t>
        </is>
      </c>
    </row>
    <row r="334">
      <c r="B334" s="18" t="n">
        <v>10331</v>
      </c>
      <c r="C334" s="24" t="inlineStr">
        <is>
          <t>2</t>
        </is>
      </c>
      <c r="D334" s="18" t="inlineStr">
        <is>
          <t>季狸普攻</t>
        </is>
      </c>
      <c r="E334" s="18" t="inlineStr">
        <is>
          <t>31</t>
        </is>
      </c>
      <c r="F334" s="18" t="inlineStr">
        <is>
          <t>150</t>
        </is>
      </c>
      <c r="G334" s="18" t="inlineStr">
        <is>
          <t>10001|3236$123001|1985</t>
        </is>
      </c>
    </row>
    <row r="335">
      <c r="B335" s="18" t="n">
        <v>10332</v>
      </c>
      <c r="C335" s="24" t="inlineStr">
        <is>
          <t>2</t>
        </is>
      </c>
      <c r="D335" s="18" t="inlineStr">
        <is>
          <t>季狸普攻</t>
        </is>
      </c>
      <c r="E335" s="18" t="inlineStr">
        <is>
          <t>32</t>
        </is>
      </c>
      <c r="F335" s="18" t="inlineStr">
        <is>
          <t>155</t>
        </is>
      </c>
      <c r="G335" s="18" t="inlineStr">
        <is>
          <t>10001|3394$123001|2082</t>
        </is>
      </c>
    </row>
    <row r="336">
      <c r="B336" s="18" t="n">
        <v>10333</v>
      </c>
      <c r="C336" s="24" t="inlineStr">
        <is>
          <t>2</t>
        </is>
      </c>
      <c r="D336" s="18" t="inlineStr">
        <is>
          <t>季狸普攻</t>
        </is>
      </c>
      <c r="E336" s="18" t="inlineStr">
        <is>
          <t>33</t>
        </is>
      </c>
      <c r="F336" s="18" t="inlineStr">
        <is>
          <t>160</t>
        </is>
      </c>
      <c r="G336" s="18" t="inlineStr">
        <is>
          <t>10001|3554$124001|2180</t>
        </is>
      </c>
    </row>
    <row r="337">
      <c r="B337" s="18" t="n">
        <v>10334</v>
      </c>
      <c r="C337" s="24" t="inlineStr">
        <is>
          <t>2</t>
        </is>
      </c>
      <c r="D337" s="18" t="inlineStr">
        <is>
          <t>季狸普攻</t>
        </is>
      </c>
      <c r="E337" s="18" t="inlineStr">
        <is>
          <t>34</t>
        </is>
      </c>
      <c r="F337" s="18" t="inlineStr">
        <is>
          <t>165</t>
        </is>
      </c>
      <c r="G337" s="18" t="inlineStr">
        <is>
          <t>10001|3717$124001|2280</t>
        </is>
      </c>
    </row>
    <row r="338">
      <c r="B338" s="18" t="n">
        <v>10335</v>
      </c>
      <c r="C338" s="24" t="inlineStr">
        <is>
          <t>2</t>
        </is>
      </c>
      <c r="D338" s="18" t="inlineStr">
        <is>
          <t>季狸普攻</t>
        </is>
      </c>
      <c r="E338" s="18" t="inlineStr">
        <is>
          <t>35</t>
        </is>
      </c>
      <c r="F338" s="18" t="inlineStr">
        <is>
          <t>170</t>
        </is>
      </c>
      <c r="G338" s="18" t="inlineStr">
        <is>
          <t>10001|3882$124001|2381</t>
        </is>
      </c>
    </row>
    <row r="339">
      <c r="B339" s="18" t="n">
        <v>10336</v>
      </c>
      <c r="C339" s="24" t="inlineStr">
        <is>
          <t>2</t>
        </is>
      </c>
      <c r="D339" s="18" t="inlineStr">
        <is>
          <t>季狸普攻</t>
        </is>
      </c>
      <c r="E339" s="18" t="inlineStr">
        <is>
          <t>36</t>
        </is>
      </c>
      <c r="F339" s="18" t="inlineStr">
        <is>
          <t>175</t>
        </is>
      </c>
      <c r="G339" s="18" t="inlineStr">
        <is>
          <t>10001|4050$124001|2484</t>
        </is>
      </c>
    </row>
    <row r="340">
      <c r="B340" s="18" t="n">
        <v>10337</v>
      </c>
      <c r="C340" s="24" t="inlineStr">
        <is>
          <t>2</t>
        </is>
      </c>
      <c r="D340" s="18" t="inlineStr">
        <is>
          <t>季狸普攻</t>
        </is>
      </c>
      <c r="E340" s="18" t="inlineStr">
        <is>
          <t>37</t>
        </is>
      </c>
      <c r="F340" s="18" t="inlineStr">
        <is>
          <t>180</t>
        </is>
      </c>
      <c r="G340" s="18" t="inlineStr">
        <is>
          <t>10001|4220$124001|2588</t>
        </is>
      </c>
    </row>
    <row r="341">
      <c r="B341" s="18" t="n">
        <v>10338</v>
      </c>
      <c r="C341" s="24" t="inlineStr">
        <is>
          <t>2</t>
        </is>
      </c>
      <c r="D341" s="18" t="inlineStr">
        <is>
          <t>季狸普攻</t>
        </is>
      </c>
      <c r="E341" s="18" t="inlineStr">
        <is>
          <t>38</t>
        </is>
      </c>
      <c r="F341" s="18" t="inlineStr">
        <is>
          <t>185</t>
        </is>
      </c>
      <c r="G341" s="18" t="inlineStr">
        <is>
          <t>10001|4392$124001|2694</t>
        </is>
      </c>
    </row>
    <row r="342">
      <c r="B342" s="18" t="n">
        <v>10339</v>
      </c>
      <c r="C342" s="24" t="inlineStr">
        <is>
          <t>2</t>
        </is>
      </c>
      <c r="D342" s="18" t="inlineStr">
        <is>
          <t>季狸普攻</t>
        </is>
      </c>
      <c r="E342" s="18" t="inlineStr">
        <is>
          <t>39</t>
        </is>
      </c>
      <c r="F342" s="18" t="inlineStr">
        <is>
          <t>190</t>
        </is>
      </c>
      <c r="G342" s="18" t="inlineStr">
        <is>
          <t>10001|4567$124001|2801</t>
        </is>
      </c>
    </row>
    <row r="343">
      <c r="B343" s="18" t="n">
        <v>10340</v>
      </c>
      <c r="C343" s="24" t="inlineStr">
        <is>
          <t>2</t>
        </is>
      </c>
      <c r="D343" s="18" t="inlineStr">
        <is>
          <t>季狸普攻</t>
        </is>
      </c>
      <c r="E343" s="18" t="inlineStr">
        <is>
          <t>40</t>
        </is>
      </c>
      <c r="F343" s="18" t="inlineStr">
        <is>
          <t>195</t>
        </is>
      </c>
      <c r="G343" s="18" t="inlineStr">
        <is>
          <t>10001|4743$124001|2909</t>
        </is>
      </c>
    </row>
    <row r="344">
      <c r="B344" s="18" t="n">
        <v>10341</v>
      </c>
      <c r="C344" s="24" t="inlineStr">
        <is>
          <t>2</t>
        </is>
      </c>
      <c r="D344" s="18" t="inlineStr">
        <is>
          <t>季狸普攻</t>
        </is>
      </c>
      <c r="E344" s="18" t="inlineStr">
        <is>
          <t>41</t>
        </is>
      </c>
      <c r="F344" s="18" t="inlineStr">
        <is>
          <t>200</t>
        </is>
      </c>
      <c r="G344" s="18" t="inlineStr">
        <is>
          <t>10001|4922$125001|3019</t>
        </is>
      </c>
    </row>
    <row r="345">
      <c r="B345" s="18" t="n">
        <v>10342</v>
      </c>
      <c r="C345" s="24" t="inlineStr">
        <is>
          <t>2</t>
        </is>
      </c>
      <c r="D345" s="18" t="inlineStr">
        <is>
          <t>季狸普攻</t>
        </is>
      </c>
      <c r="E345" s="18" t="inlineStr">
        <is>
          <t>42</t>
        </is>
      </c>
      <c r="F345" s="18" t="inlineStr">
        <is>
          <t>205</t>
        </is>
      </c>
      <c r="G345" s="18" t="inlineStr">
        <is>
          <t>10001|5104$125001|3130</t>
        </is>
      </c>
    </row>
    <row r="346">
      <c r="B346" s="18" t="n">
        <v>10343</v>
      </c>
      <c r="C346" s="24" t="inlineStr">
        <is>
          <t>2</t>
        </is>
      </c>
      <c r="D346" s="18" t="inlineStr">
        <is>
          <t>季狸普攻</t>
        </is>
      </c>
      <c r="E346" s="18" t="inlineStr">
        <is>
          <t>43</t>
        </is>
      </c>
      <c r="F346" s="18" t="inlineStr">
        <is>
          <t>210</t>
        </is>
      </c>
      <c r="G346" s="18" t="inlineStr">
        <is>
          <t>10001|5287$125001|3243</t>
        </is>
      </c>
    </row>
    <row r="347">
      <c r="B347" s="18" t="n">
        <v>10344</v>
      </c>
      <c r="C347" s="24" t="inlineStr">
        <is>
          <t>2</t>
        </is>
      </c>
      <c r="D347" s="18" t="inlineStr">
        <is>
          <t>季狸普攻</t>
        </is>
      </c>
      <c r="E347" s="18" t="inlineStr">
        <is>
          <t>44</t>
        </is>
      </c>
      <c r="F347" s="18" t="inlineStr">
        <is>
          <t>215</t>
        </is>
      </c>
      <c r="G347" s="18" t="inlineStr">
        <is>
          <t>10001|5472$125001|3356</t>
        </is>
      </c>
    </row>
    <row r="348">
      <c r="B348" s="18" t="n">
        <v>10345</v>
      </c>
      <c r="C348" s="24" t="inlineStr">
        <is>
          <t>2</t>
        </is>
      </c>
      <c r="D348" s="18" t="inlineStr">
        <is>
          <t>季狸普攻</t>
        </is>
      </c>
      <c r="E348" s="18" t="inlineStr">
        <is>
          <t>45</t>
        </is>
      </c>
      <c r="F348" s="18" t="inlineStr">
        <is>
          <t>220</t>
        </is>
      </c>
      <c r="G348" s="18" t="inlineStr">
        <is>
          <t>10001|5660$125001|3471</t>
        </is>
      </c>
    </row>
    <row r="349">
      <c r="B349" s="18" t="n">
        <v>10346</v>
      </c>
      <c r="C349" s="24" t="inlineStr">
        <is>
          <t>2</t>
        </is>
      </c>
      <c r="D349" s="18" t="inlineStr">
        <is>
          <t>季狸普攻</t>
        </is>
      </c>
      <c r="E349" s="18" t="inlineStr">
        <is>
          <t>46</t>
        </is>
      </c>
      <c r="F349" s="18" t="inlineStr">
        <is>
          <t>225</t>
        </is>
      </c>
      <c r="G349" s="18" t="inlineStr">
        <is>
          <t>10001|5850$125001|3588</t>
        </is>
      </c>
    </row>
    <row r="350">
      <c r="B350" s="18" t="n">
        <v>10347</v>
      </c>
      <c r="C350" s="24" t="inlineStr">
        <is>
          <t>2</t>
        </is>
      </c>
      <c r="D350" s="18" t="inlineStr">
        <is>
          <t>季狸普攻</t>
        </is>
      </c>
      <c r="E350" s="18" t="inlineStr">
        <is>
          <t>47</t>
        </is>
      </c>
      <c r="F350" s="18" t="inlineStr">
        <is>
          <t>230</t>
        </is>
      </c>
      <c r="G350" s="18" t="inlineStr">
        <is>
          <t>10001|6042$125001|3705</t>
        </is>
      </c>
    </row>
    <row r="351">
      <c r="B351" s="18" t="n">
        <v>10348</v>
      </c>
      <c r="C351" s="24" t="inlineStr">
        <is>
          <t>2</t>
        </is>
      </c>
      <c r="D351" s="18" t="inlineStr">
        <is>
          <t>季狸普攻</t>
        </is>
      </c>
      <c r="E351" s="18" t="inlineStr">
        <is>
          <t>48</t>
        </is>
      </c>
      <c r="F351" s="18" t="inlineStr">
        <is>
          <t>235</t>
        </is>
      </c>
      <c r="G351" s="18" t="inlineStr">
        <is>
          <t>10001|6235$125001|3824</t>
        </is>
      </c>
    </row>
    <row r="352">
      <c r="B352" s="18" t="n">
        <v>10349</v>
      </c>
      <c r="C352" s="24" t="inlineStr">
        <is>
          <t>2</t>
        </is>
      </c>
      <c r="D352" s="18" t="inlineStr">
        <is>
          <t>季狸普攻</t>
        </is>
      </c>
      <c r="E352" s="18" t="inlineStr">
        <is>
          <t>49</t>
        </is>
      </c>
      <c r="F352" s="18" t="inlineStr">
        <is>
          <t>240</t>
        </is>
      </c>
      <c r="G352" s="18" t="inlineStr">
        <is>
          <t>10001|6431$125001|3945</t>
        </is>
      </c>
    </row>
    <row r="353">
      <c r="B353" s="18" t="n">
        <v>10350</v>
      </c>
      <c r="C353" s="24" t="inlineStr">
        <is>
          <t>2</t>
        </is>
      </c>
      <c r="D353" s="18" t="inlineStr">
        <is>
          <t>季狸普攻</t>
        </is>
      </c>
      <c r="E353" s="18" t="inlineStr">
        <is>
          <t>50</t>
        </is>
      </c>
      <c r="F353" s="18" t="inlineStr">
        <is>
          <t>245</t>
        </is>
      </c>
      <c r="G353" s="18" t="inlineStr">
        <is>
          <t>10001|6629$125001|4066</t>
        </is>
      </c>
    </row>
    <row r="354">
      <c r="B354" s="18" t="n">
        <v>10351</v>
      </c>
      <c r="C354" s="21" t="inlineStr">
        <is>
          <t>212010</t>
        </is>
      </c>
      <c r="D354" s="18" t="inlineStr">
        <is>
          <t>剑普攻</t>
        </is>
      </c>
      <c r="E354" s="18" t="inlineStr">
        <is>
          <t>1</t>
        </is>
      </c>
      <c r="F354" s="18" t="inlineStr">
        <is>
          <t>0</t>
        </is>
      </c>
      <c r="G354" s="18" t="inlineStr">
        <is>
          <t>10001|19$121001|12</t>
        </is>
      </c>
    </row>
    <row r="355">
      <c r="B355" s="18" t="n">
        <v>10352</v>
      </c>
      <c r="C355" s="21" t="inlineStr">
        <is>
          <t>212010</t>
        </is>
      </c>
      <c r="D355" s="18" t="inlineStr">
        <is>
          <t>剑普攻</t>
        </is>
      </c>
      <c r="E355" s="18" t="inlineStr">
        <is>
          <t>2</t>
        </is>
      </c>
      <c r="F355" s="18" t="inlineStr">
        <is>
          <t>5</t>
        </is>
      </c>
      <c r="G355" s="18" t="inlineStr">
        <is>
          <t>10001|53$121001|33</t>
        </is>
      </c>
    </row>
    <row r="356">
      <c r="B356" s="18" t="n">
        <v>10353</v>
      </c>
      <c r="C356" s="21" t="inlineStr">
        <is>
          <t>212010</t>
        </is>
      </c>
      <c r="D356" s="18" t="inlineStr">
        <is>
          <t>剑普攻</t>
        </is>
      </c>
      <c r="E356" s="18" t="inlineStr">
        <is>
          <t>3</t>
        </is>
      </c>
      <c r="F356" s="18" t="inlineStr">
        <is>
          <t>10</t>
        </is>
      </c>
      <c r="G356" s="18" t="inlineStr">
        <is>
          <t>10001|97$121001|60</t>
        </is>
      </c>
    </row>
    <row r="357">
      <c r="B357" s="18" t="n">
        <v>10354</v>
      </c>
      <c r="C357" s="21" t="inlineStr">
        <is>
          <t>212010</t>
        </is>
      </c>
      <c r="D357" s="18" t="inlineStr">
        <is>
          <t>剑普攻</t>
        </is>
      </c>
      <c r="E357" s="18" t="inlineStr">
        <is>
          <t>4</t>
        </is>
      </c>
      <c r="F357" s="18" t="inlineStr">
        <is>
          <t>15</t>
        </is>
      </c>
      <c r="G357" s="18" t="inlineStr">
        <is>
          <t>10001|150$121001|92</t>
        </is>
      </c>
    </row>
    <row r="358">
      <c r="B358" s="18" t="n">
        <v>10355</v>
      </c>
      <c r="C358" s="21" t="inlineStr">
        <is>
          <t>212010</t>
        </is>
      </c>
      <c r="D358" s="18" t="inlineStr">
        <is>
          <t>剑普攻</t>
        </is>
      </c>
      <c r="E358" s="18" t="inlineStr">
        <is>
          <t>5</t>
        </is>
      </c>
      <c r="F358" s="18" t="inlineStr">
        <is>
          <t>20</t>
        </is>
      </c>
      <c r="G358" s="18" t="inlineStr">
        <is>
          <t>10001|210$121001|129</t>
        </is>
      </c>
    </row>
    <row r="359">
      <c r="B359" s="18" t="n">
        <v>10356</v>
      </c>
      <c r="C359" s="21" t="inlineStr">
        <is>
          <t>212010</t>
        </is>
      </c>
      <c r="D359" s="18" t="inlineStr">
        <is>
          <t>剑普攻</t>
        </is>
      </c>
      <c r="E359" s="18" t="inlineStr">
        <is>
          <t>6</t>
        </is>
      </c>
      <c r="F359" s="18" t="inlineStr">
        <is>
          <t>25</t>
        </is>
      </c>
      <c r="G359" s="18" t="inlineStr">
        <is>
          <t>10001|276$121001|169</t>
        </is>
      </c>
    </row>
    <row r="360">
      <c r="B360" s="18" t="n">
        <v>10357</v>
      </c>
      <c r="C360" s="21" t="inlineStr">
        <is>
          <t>212010</t>
        </is>
      </c>
      <c r="D360" s="18" t="inlineStr">
        <is>
          <t>剑普攻</t>
        </is>
      </c>
      <c r="E360" s="18" t="inlineStr">
        <is>
          <t>7</t>
        </is>
      </c>
      <c r="F360" s="18" t="inlineStr">
        <is>
          <t>30</t>
        </is>
      </c>
      <c r="G360" s="18" t="inlineStr">
        <is>
          <t>10001|347$121001|213</t>
        </is>
      </c>
    </row>
    <row r="361">
      <c r="B361" s="18" t="n">
        <v>10358</v>
      </c>
      <c r="C361" s="21" t="inlineStr">
        <is>
          <t>212010</t>
        </is>
      </c>
      <c r="D361" s="18" t="inlineStr">
        <is>
          <t>剑普攻</t>
        </is>
      </c>
      <c r="E361" s="18" t="inlineStr">
        <is>
          <t>8</t>
        </is>
      </c>
      <c r="F361" s="18" t="inlineStr">
        <is>
          <t>35</t>
        </is>
      </c>
      <c r="G361" s="18" t="inlineStr">
        <is>
          <t>10001|424$121001|260</t>
        </is>
      </c>
    </row>
    <row r="362">
      <c r="B362" s="18" t="n">
        <v>10359</v>
      </c>
      <c r="C362" s="21" t="inlineStr">
        <is>
          <t>212010</t>
        </is>
      </c>
      <c r="D362" s="18" t="inlineStr">
        <is>
          <t>剑普攻</t>
        </is>
      </c>
      <c r="E362" s="18" t="inlineStr">
        <is>
          <t>9</t>
        </is>
      </c>
      <c r="F362" s="18" t="inlineStr">
        <is>
          <t>40</t>
        </is>
      </c>
      <c r="G362" s="18" t="inlineStr">
        <is>
          <t>10001|506$121001|311</t>
        </is>
      </c>
    </row>
    <row r="363">
      <c r="B363" s="18" t="n">
        <v>10360</v>
      </c>
      <c r="C363" s="21" t="inlineStr">
        <is>
          <t>212010</t>
        </is>
      </c>
      <c r="D363" s="18" t="inlineStr">
        <is>
          <t>剑普攻</t>
        </is>
      </c>
      <c r="E363" s="18" t="inlineStr">
        <is>
          <t>10</t>
        </is>
      </c>
      <c r="F363" s="18" t="inlineStr">
        <is>
          <t>45</t>
        </is>
      </c>
      <c r="G363" s="18" t="inlineStr">
        <is>
          <t>10001|593$121001|364</t>
        </is>
      </c>
    </row>
    <row r="364">
      <c r="B364" s="18" t="n">
        <v>10361</v>
      </c>
      <c r="C364" s="21" t="inlineStr">
        <is>
          <t>212010</t>
        </is>
      </c>
      <c r="D364" s="18" t="inlineStr">
        <is>
          <t>剑普攻</t>
        </is>
      </c>
      <c r="E364" s="18" t="inlineStr">
        <is>
          <t>11</t>
        </is>
      </c>
      <c r="F364" s="18" t="inlineStr">
        <is>
          <t>50</t>
        </is>
      </c>
      <c r="G364" s="18" t="inlineStr">
        <is>
          <t>10001|684$122001|420</t>
        </is>
      </c>
    </row>
    <row r="365">
      <c r="B365" s="18" t="n">
        <v>10362</v>
      </c>
      <c r="C365" s="21" t="inlineStr">
        <is>
          <t>212010</t>
        </is>
      </c>
      <c r="D365" s="18" t="inlineStr">
        <is>
          <t>剑普攻</t>
        </is>
      </c>
      <c r="E365" s="18" t="inlineStr">
        <is>
          <t>12</t>
        </is>
      </c>
      <c r="F365" s="18" t="inlineStr">
        <is>
          <t>55</t>
        </is>
      </c>
      <c r="G365" s="18" t="inlineStr">
        <is>
          <t>10001|779$122001|478</t>
        </is>
      </c>
    </row>
    <row r="366">
      <c r="B366" s="18" t="n">
        <v>10363</v>
      </c>
      <c r="C366" s="21" t="inlineStr">
        <is>
          <t>212010</t>
        </is>
      </c>
      <c r="D366" s="18" t="inlineStr">
        <is>
          <t>剑普攻</t>
        </is>
      </c>
      <c r="E366" s="18" t="inlineStr">
        <is>
          <t>13</t>
        </is>
      </c>
      <c r="F366" s="18" t="inlineStr">
        <is>
          <t>60</t>
        </is>
      </c>
      <c r="G366" s="18" t="inlineStr">
        <is>
          <t>10001|879$122001|539</t>
        </is>
      </c>
    </row>
    <row r="367">
      <c r="B367" s="18" t="n">
        <v>10364</v>
      </c>
      <c r="C367" s="21" t="inlineStr">
        <is>
          <t>212010</t>
        </is>
      </c>
      <c r="D367" s="18" t="inlineStr">
        <is>
          <t>剑普攻</t>
        </is>
      </c>
      <c r="E367" s="18" t="inlineStr">
        <is>
          <t>14</t>
        </is>
      </c>
      <c r="F367" s="18" t="inlineStr">
        <is>
          <t>65</t>
        </is>
      </c>
      <c r="G367" s="18" t="inlineStr">
        <is>
          <t>10001|982$122001|602</t>
        </is>
      </c>
    </row>
    <row r="368">
      <c r="B368" s="18" t="n">
        <v>10365</v>
      </c>
      <c r="C368" s="21" t="inlineStr">
        <is>
          <t>212010</t>
        </is>
      </c>
      <c r="D368" s="18" t="inlineStr">
        <is>
          <t>剑普攻</t>
        </is>
      </c>
      <c r="E368" s="18" t="inlineStr">
        <is>
          <t>15</t>
        </is>
      </c>
      <c r="F368" s="18" t="inlineStr">
        <is>
          <t>70</t>
        </is>
      </c>
      <c r="G368" s="18" t="inlineStr">
        <is>
          <t>10001|1089$122001|668</t>
        </is>
      </c>
    </row>
    <row r="369">
      <c r="B369" s="18" t="n">
        <v>10366</v>
      </c>
      <c r="C369" s="21" t="inlineStr">
        <is>
          <t>212010</t>
        </is>
      </c>
      <c r="D369" s="18" t="inlineStr">
        <is>
          <t>剑普攻</t>
        </is>
      </c>
      <c r="E369" s="18" t="inlineStr">
        <is>
          <t>16</t>
        </is>
      </c>
      <c r="F369" s="18" t="inlineStr">
        <is>
          <t>75</t>
        </is>
      </c>
      <c r="G369" s="18" t="inlineStr">
        <is>
          <t>10001|1200$122001|736</t>
        </is>
      </c>
    </row>
    <row r="370">
      <c r="B370" s="18" t="n">
        <v>10367</v>
      </c>
      <c r="C370" s="21" t="inlineStr">
        <is>
          <t>212010</t>
        </is>
      </c>
      <c r="D370" s="18" t="inlineStr">
        <is>
          <t>剑普攻</t>
        </is>
      </c>
      <c r="E370" s="18" t="inlineStr">
        <is>
          <t>17</t>
        </is>
      </c>
      <c r="F370" s="18" t="inlineStr">
        <is>
          <t>80</t>
        </is>
      </c>
      <c r="G370" s="18" t="inlineStr">
        <is>
          <t>10001|1314$122001|806</t>
        </is>
      </c>
    </row>
    <row r="371">
      <c r="B371" s="18" t="n">
        <v>10368</v>
      </c>
      <c r="C371" s="21" t="inlineStr">
        <is>
          <t>212010</t>
        </is>
      </c>
      <c r="D371" s="18" t="inlineStr">
        <is>
          <t>剑普攻</t>
        </is>
      </c>
      <c r="E371" s="18" t="inlineStr">
        <is>
          <t>18</t>
        </is>
      </c>
      <c r="F371" s="18" t="inlineStr">
        <is>
          <t>85</t>
        </is>
      </c>
      <c r="G371" s="18" t="inlineStr">
        <is>
          <t>10001|1432$122001|878</t>
        </is>
      </c>
    </row>
    <row r="372">
      <c r="B372" s="18" t="n">
        <v>10369</v>
      </c>
      <c r="C372" s="21" t="inlineStr">
        <is>
          <t>212010</t>
        </is>
      </c>
      <c r="D372" s="18" t="inlineStr">
        <is>
          <t>剑普攻</t>
        </is>
      </c>
      <c r="E372" s="18" t="inlineStr">
        <is>
          <t>19</t>
        </is>
      </c>
      <c r="F372" s="18" t="inlineStr">
        <is>
          <t>90</t>
        </is>
      </c>
      <c r="G372" s="18" t="inlineStr">
        <is>
          <t>10001|1553$122001|952</t>
        </is>
      </c>
    </row>
    <row r="373">
      <c r="B373" s="18" t="n">
        <v>10370</v>
      </c>
      <c r="C373" s="21" t="inlineStr">
        <is>
          <t>212010</t>
        </is>
      </c>
      <c r="D373" s="18" t="inlineStr">
        <is>
          <t>剑普攻</t>
        </is>
      </c>
      <c r="E373" s="18" t="inlineStr">
        <is>
          <t>20</t>
        </is>
      </c>
      <c r="F373" s="18" t="inlineStr">
        <is>
          <t>95</t>
        </is>
      </c>
      <c r="G373" s="18" t="inlineStr">
        <is>
          <t>10001|1677$122001|1029</t>
        </is>
      </c>
    </row>
    <row r="374">
      <c r="B374" s="18" t="n">
        <v>10371</v>
      </c>
      <c r="C374" s="21" t="inlineStr">
        <is>
          <t>212010</t>
        </is>
      </c>
      <c r="D374" s="18" t="inlineStr">
        <is>
          <t>剑普攻</t>
        </is>
      </c>
      <c r="E374" s="18" t="inlineStr">
        <is>
          <t>21</t>
        </is>
      </c>
      <c r="F374" s="18" t="inlineStr">
        <is>
          <t>100</t>
        </is>
      </c>
      <c r="G374" s="18" t="inlineStr">
        <is>
          <t>10001|1804$123001|1107</t>
        </is>
      </c>
    </row>
    <row r="375">
      <c r="B375" s="18" t="n">
        <v>10372</v>
      </c>
      <c r="C375" s="21" t="inlineStr">
        <is>
          <t>212010</t>
        </is>
      </c>
      <c r="D375" s="18" t="inlineStr">
        <is>
          <t>剑普攻</t>
        </is>
      </c>
      <c r="E375" s="18" t="inlineStr">
        <is>
          <t>22</t>
        </is>
      </c>
      <c r="F375" s="18" t="inlineStr">
        <is>
          <t>105</t>
        </is>
      </c>
      <c r="G375" s="18" t="inlineStr">
        <is>
          <t>10001|1935$123001|1187</t>
        </is>
      </c>
    </row>
    <row r="376">
      <c r="B376" s="18" t="n">
        <v>10373</v>
      </c>
      <c r="C376" s="21" t="inlineStr">
        <is>
          <t>212010</t>
        </is>
      </c>
      <c r="D376" s="18" t="inlineStr">
        <is>
          <t>剑普攻</t>
        </is>
      </c>
      <c r="E376" s="18" t="inlineStr">
        <is>
          <t>23</t>
        </is>
      </c>
      <c r="F376" s="18" t="inlineStr">
        <is>
          <t>110</t>
        </is>
      </c>
      <c r="G376" s="18" t="inlineStr">
        <is>
          <t>10001|2068$123001|1268</t>
        </is>
      </c>
    </row>
    <row r="377">
      <c r="B377" s="18" t="n">
        <v>10374</v>
      </c>
      <c r="C377" s="21" t="inlineStr">
        <is>
          <t>212010</t>
        </is>
      </c>
      <c r="D377" s="18" t="inlineStr">
        <is>
          <t>剑普攻</t>
        </is>
      </c>
      <c r="E377" s="18" t="inlineStr">
        <is>
          <t>24</t>
        </is>
      </c>
      <c r="F377" s="18" t="inlineStr">
        <is>
          <t>115</t>
        </is>
      </c>
      <c r="G377" s="18" t="inlineStr">
        <is>
          <t>10001|2205$123001|1352</t>
        </is>
      </c>
    </row>
    <row r="378">
      <c r="B378" s="18" t="n">
        <v>10375</v>
      </c>
      <c r="C378" s="21" t="inlineStr">
        <is>
          <t>212010</t>
        </is>
      </c>
      <c r="D378" s="18" t="inlineStr">
        <is>
          <t>剑普攻</t>
        </is>
      </c>
      <c r="E378" s="18" t="inlineStr">
        <is>
          <t>25</t>
        </is>
      </c>
      <c r="F378" s="18" t="inlineStr">
        <is>
          <t>120</t>
        </is>
      </c>
      <c r="G378" s="18" t="inlineStr">
        <is>
          <t>10001|2344$123001|1438</t>
        </is>
      </c>
    </row>
    <row r="379">
      <c r="B379" s="18" t="n">
        <v>10376</v>
      </c>
      <c r="C379" s="21" t="inlineStr">
        <is>
          <t>212010</t>
        </is>
      </c>
      <c r="D379" s="18" t="inlineStr">
        <is>
          <t>剑普攻</t>
        </is>
      </c>
      <c r="E379" s="18" t="inlineStr">
        <is>
          <t>26</t>
        </is>
      </c>
      <c r="F379" s="18" t="inlineStr">
        <is>
          <t>125</t>
        </is>
      </c>
      <c r="G379" s="18" t="inlineStr">
        <is>
          <t>10001|2486$123001|1525</t>
        </is>
      </c>
    </row>
    <row r="380">
      <c r="B380" s="18" t="n">
        <v>10377</v>
      </c>
      <c r="C380" s="21" t="inlineStr">
        <is>
          <t>212010</t>
        </is>
      </c>
      <c r="D380" s="18" t="inlineStr">
        <is>
          <t>剑普攻</t>
        </is>
      </c>
      <c r="E380" s="18" t="inlineStr">
        <is>
          <t>27</t>
        </is>
      </c>
      <c r="F380" s="18" t="inlineStr">
        <is>
          <t>130</t>
        </is>
      </c>
      <c r="G380" s="18" t="inlineStr">
        <is>
          <t>10001|2631$123001|1613</t>
        </is>
      </c>
    </row>
    <row r="381">
      <c r="B381" s="18" t="n">
        <v>10378</v>
      </c>
      <c r="C381" s="21" t="inlineStr">
        <is>
          <t>212010</t>
        </is>
      </c>
      <c r="D381" s="18" t="inlineStr">
        <is>
          <t>剑普攻</t>
        </is>
      </c>
      <c r="E381" s="18" t="inlineStr">
        <is>
          <t>28</t>
        </is>
      </c>
      <c r="F381" s="18" t="inlineStr">
        <is>
          <t>135</t>
        </is>
      </c>
      <c r="G381" s="18" t="inlineStr">
        <is>
          <t>10001|2778$123001|1704</t>
        </is>
      </c>
    </row>
    <row r="382">
      <c r="B382" s="18" t="n">
        <v>10379</v>
      </c>
      <c r="C382" s="21" t="inlineStr">
        <is>
          <t>212010</t>
        </is>
      </c>
      <c r="D382" s="18" t="inlineStr">
        <is>
          <t>剑普攻</t>
        </is>
      </c>
      <c r="E382" s="18" t="inlineStr">
        <is>
          <t>29</t>
        </is>
      </c>
      <c r="F382" s="18" t="inlineStr">
        <is>
          <t>140</t>
        </is>
      </c>
      <c r="G382" s="18" t="inlineStr">
        <is>
          <t>10001|2928$123001|1796</t>
        </is>
      </c>
    </row>
    <row r="383">
      <c r="B383" s="18" t="n">
        <v>10380</v>
      </c>
      <c r="C383" s="21" t="inlineStr">
        <is>
          <t>212010</t>
        </is>
      </c>
      <c r="D383" s="18" t="inlineStr">
        <is>
          <t>剑普攻</t>
        </is>
      </c>
      <c r="E383" s="18" t="inlineStr">
        <is>
          <t>30</t>
        </is>
      </c>
      <c r="F383" s="18" t="inlineStr">
        <is>
          <t>145</t>
        </is>
      </c>
      <c r="G383" s="18" t="inlineStr">
        <is>
          <t>10001|3081$123001|1890</t>
        </is>
      </c>
    </row>
    <row r="384">
      <c r="B384" s="18" t="n">
        <v>10381</v>
      </c>
      <c r="C384" s="21" t="inlineStr">
        <is>
          <t>212010</t>
        </is>
      </c>
      <c r="D384" s="18" t="inlineStr">
        <is>
          <t>剑普攻</t>
        </is>
      </c>
      <c r="E384" s="18" t="inlineStr">
        <is>
          <t>31</t>
        </is>
      </c>
      <c r="F384" s="18" t="inlineStr">
        <is>
          <t>150</t>
        </is>
      </c>
      <c r="G384" s="18" t="inlineStr">
        <is>
          <t>10001|3236$123001|1985</t>
        </is>
      </c>
    </row>
    <row r="385">
      <c r="B385" s="18" t="n">
        <v>10382</v>
      </c>
      <c r="C385" s="21" t="inlineStr">
        <is>
          <t>212010</t>
        </is>
      </c>
      <c r="D385" s="18" t="inlineStr">
        <is>
          <t>剑普攻</t>
        </is>
      </c>
      <c r="E385" s="18" t="inlineStr">
        <is>
          <t>32</t>
        </is>
      </c>
      <c r="F385" s="18" t="inlineStr">
        <is>
          <t>155</t>
        </is>
      </c>
      <c r="G385" s="18" t="inlineStr">
        <is>
          <t>10001|3394$123001|2082</t>
        </is>
      </c>
    </row>
    <row r="386">
      <c r="B386" s="18" t="n">
        <v>10383</v>
      </c>
      <c r="C386" s="21" t="inlineStr">
        <is>
          <t>212010</t>
        </is>
      </c>
      <c r="D386" s="18" t="inlineStr">
        <is>
          <t>剑普攻</t>
        </is>
      </c>
      <c r="E386" s="18" t="inlineStr">
        <is>
          <t>33</t>
        </is>
      </c>
      <c r="F386" s="18" t="inlineStr">
        <is>
          <t>160</t>
        </is>
      </c>
      <c r="G386" s="18" t="inlineStr">
        <is>
          <t>10001|3554$124001|2180</t>
        </is>
      </c>
    </row>
    <row r="387">
      <c r="B387" s="18" t="n">
        <v>10384</v>
      </c>
      <c r="C387" s="21" t="inlineStr">
        <is>
          <t>212010</t>
        </is>
      </c>
      <c r="D387" s="18" t="inlineStr">
        <is>
          <t>剑普攻</t>
        </is>
      </c>
      <c r="E387" s="18" t="inlineStr">
        <is>
          <t>34</t>
        </is>
      </c>
      <c r="F387" s="18" t="inlineStr">
        <is>
          <t>165</t>
        </is>
      </c>
      <c r="G387" s="18" t="inlineStr">
        <is>
          <t>10001|3717$124001|2280</t>
        </is>
      </c>
    </row>
    <row r="388">
      <c r="B388" s="18" t="n">
        <v>10385</v>
      </c>
      <c r="C388" s="21" t="inlineStr">
        <is>
          <t>212010</t>
        </is>
      </c>
      <c r="D388" s="18" t="inlineStr">
        <is>
          <t>剑普攻</t>
        </is>
      </c>
      <c r="E388" s="18" t="inlineStr">
        <is>
          <t>35</t>
        </is>
      </c>
      <c r="F388" s="18" t="inlineStr">
        <is>
          <t>170</t>
        </is>
      </c>
      <c r="G388" s="18" t="inlineStr">
        <is>
          <t>10001|3882$124001|2381</t>
        </is>
      </c>
    </row>
    <row r="389">
      <c r="B389" s="18" t="n">
        <v>10386</v>
      </c>
      <c r="C389" s="21" t="inlineStr">
        <is>
          <t>212010</t>
        </is>
      </c>
      <c r="D389" s="18" t="inlineStr">
        <is>
          <t>剑普攻</t>
        </is>
      </c>
      <c r="E389" s="18" t="inlineStr">
        <is>
          <t>36</t>
        </is>
      </c>
      <c r="F389" s="18" t="inlineStr">
        <is>
          <t>175</t>
        </is>
      </c>
      <c r="G389" s="18" t="inlineStr">
        <is>
          <t>10001|4050$124001|2484</t>
        </is>
      </c>
    </row>
    <row r="390">
      <c r="B390" s="18" t="n">
        <v>10387</v>
      </c>
      <c r="C390" s="21" t="inlineStr">
        <is>
          <t>212010</t>
        </is>
      </c>
      <c r="D390" s="18" t="inlineStr">
        <is>
          <t>剑普攻</t>
        </is>
      </c>
      <c r="E390" s="18" t="inlineStr">
        <is>
          <t>37</t>
        </is>
      </c>
      <c r="F390" s="18" t="inlineStr">
        <is>
          <t>180</t>
        </is>
      </c>
      <c r="G390" s="18" t="inlineStr">
        <is>
          <t>10001|4220$124001|2588</t>
        </is>
      </c>
    </row>
    <row r="391">
      <c r="B391" s="18" t="n">
        <v>10388</v>
      </c>
      <c r="C391" s="21" t="inlineStr">
        <is>
          <t>212010</t>
        </is>
      </c>
      <c r="D391" s="18" t="inlineStr">
        <is>
          <t>剑普攻</t>
        </is>
      </c>
      <c r="E391" s="18" t="inlineStr">
        <is>
          <t>38</t>
        </is>
      </c>
      <c r="F391" s="18" t="inlineStr">
        <is>
          <t>185</t>
        </is>
      </c>
      <c r="G391" s="18" t="inlineStr">
        <is>
          <t>10001|4392$124001|2694</t>
        </is>
      </c>
    </row>
    <row r="392">
      <c r="B392" s="18" t="n">
        <v>10389</v>
      </c>
      <c r="C392" s="21" t="inlineStr">
        <is>
          <t>212010</t>
        </is>
      </c>
      <c r="D392" s="18" t="inlineStr">
        <is>
          <t>剑普攻</t>
        </is>
      </c>
      <c r="E392" s="18" t="inlineStr">
        <is>
          <t>39</t>
        </is>
      </c>
      <c r="F392" s="18" t="inlineStr">
        <is>
          <t>190</t>
        </is>
      </c>
      <c r="G392" s="18" t="inlineStr">
        <is>
          <t>10001|4567$124001|2801</t>
        </is>
      </c>
    </row>
    <row r="393">
      <c r="B393" s="18" t="n">
        <v>10390</v>
      </c>
      <c r="C393" s="21" t="inlineStr">
        <is>
          <t>212010</t>
        </is>
      </c>
      <c r="D393" s="18" t="inlineStr">
        <is>
          <t>剑普攻</t>
        </is>
      </c>
      <c r="E393" s="18" t="inlineStr">
        <is>
          <t>40</t>
        </is>
      </c>
      <c r="F393" s="18" t="inlineStr">
        <is>
          <t>195</t>
        </is>
      </c>
      <c r="G393" s="18" t="inlineStr">
        <is>
          <t>10001|4743$124001|2909</t>
        </is>
      </c>
    </row>
    <row r="394">
      <c r="B394" s="18" t="n">
        <v>10391</v>
      </c>
      <c r="C394" s="21" t="inlineStr">
        <is>
          <t>212010</t>
        </is>
      </c>
      <c r="D394" s="18" t="inlineStr">
        <is>
          <t>剑普攻</t>
        </is>
      </c>
      <c r="E394" s="18" t="inlineStr">
        <is>
          <t>41</t>
        </is>
      </c>
      <c r="F394" s="18" t="inlineStr">
        <is>
          <t>200</t>
        </is>
      </c>
      <c r="G394" s="18" t="inlineStr">
        <is>
          <t>10001|4922$125001|3019</t>
        </is>
      </c>
    </row>
    <row r="395">
      <c r="B395" s="18" t="n">
        <v>10392</v>
      </c>
      <c r="C395" s="21" t="inlineStr">
        <is>
          <t>212010</t>
        </is>
      </c>
      <c r="D395" s="18" t="inlineStr">
        <is>
          <t>剑普攻</t>
        </is>
      </c>
      <c r="E395" s="18" t="inlineStr">
        <is>
          <t>42</t>
        </is>
      </c>
      <c r="F395" s="18" t="inlineStr">
        <is>
          <t>205</t>
        </is>
      </c>
      <c r="G395" s="18" t="inlineStr">
        <is>
          <t>10001|5104$125001|3130</t>
        </is>
      </c>
    </row>
    <row r="396">
      <c r="B396" s="18" t="n">
        <v>10393</v>
      </c>
      <c r="C396" s="21" t="inlineStr">
        <is>
          <t>212010</t>
        </is>
      </c>
      <c r="D396" s="18" t="inlineStr">
        <is>
          <t>剑普攻</t>
        </is>
      </c>
      <c r="E396" s="18" t="inlineStr">
        <is>
          <t>43</t>
        </is>
      </c>
      <c r="F396" s="18" t="inlineStr">
        <is>
          <t>210</t>
        </is>
      </c>
      <c r="G396" s="18" t="inlineStr">
        <is>
          <t>10001|5287$125001|3243</t>
        </is>
      </c>
    </row>
    <row r="397">
      <c r="B397" s="18" t="n">
        <v>10394</v>
      </c>
      <c r="C397" s="21" t="inlineStr">
        <is>
          <t>212010</t>
        </is>
      </c>
      <c r="D397" s="18" t="inlineStr">
        <is>
          <t>剑普攻</t>
        </is>
      </c>
      <c r="E397" s="18" t="inlineStr">
        <is>
          <t>44</t>
        </is>
      </c>
      <c r="F397" s="18" t="inlineStr">
        <is>
          <t>215</t>
        </is>
      </c>
      <c r="G397" s="18" t="inlineStr">
        <is>
          <t>10001|5472$125001|3356</t>
        </is>
      </c>
    </row>
    <row r="398">
      <c r="B398" s="18" t="n">
        <v>10395</v>
      </c>
      <c r="C398" s="21" t="inlineStr">
        <is>
          <t>212010</t>
        </is>
      </c>
      <c r="D398" s="18" t="inlineStr">
        <is>
          <t>剑普攻</t>
        </is>
      </c>
      <c r="E398" s="18" t="inlineStr">
        <is>
          <t>45</t>
        </is>
      </c>
      <c r="F398" s="18" t="inlineStr">
        <is>
          <t>220</t>
        </is>
      </c>
      <c r="G398" s="18" t="inlineStr">
        <is>
          <t>10001|5660$125001|3471</t>
        </is>
      </c>
    </row>
    <row r="399">
      <c r="B399" s="18" t="n">
        <v>10396</v>
      </c>
      <c r="C399" s="21" t="inlineStr">
        <is>
          <t>212010</t>
        </is>
      </c>
      <c r="D399" s="18" t="inlineStr">
        <is>
          <t>剑普攻</t>
        </is>
      </c>
      <c r="E399" s="18" t="inlineStr">
        <is>
          <t>46</t>
        </is>
      </c>
      <c r="F399" s="18" t="inlineStr">
        <is>
          <t>225</t>
        </is>
      </c>
      <c r="G399" s="18" t="inlineStr">
        <is>
          <t>10001|5850$125001|3588</t>
        </is>
      </c>
    </row>
    <row r="400">
      <c r="B400" s="18" t="n">
        <v>10397</v>
      </c>
      <c r="C400" s="21" t="inlineStr">
        <is>
          <t>212010</t>
        </is>
      </c>
      <c r="D400" s="18" t="inlineStr">
        <is>
          <t>剑普攻</t>
        </is>
      </c>
      <c r="E400" s="18" t="inlineStr">
        <is>
          <t>47</t>
        </is>
      </c>
      <c r="F400" s="18" t="inlineStr">
        <is>
          <t>230</t>
        </is>
      </c>
      <c r="G400" s="18" t="inlineStr">
        <is>
          <t>10001|6042$125001|3705</t>
        </is>
      </c>
    </row>
    <row r="401">
      <c r="B401" s="18" t="n">
        <v>10398</v>
      </c>
      <c r="C401" s="21" t="inlineStr">
        <is>
          <t>212010</t>
        </is>
      </c>
      <c r="D401" s="18" t="inlineStr">
        <is>
          <t>剑普攻</t>
        </is>
      </c>
      <c r="E401" s="18" t="inlineStr">
        <is>
          <t>48</t>
        </is>
      </c>
      <c r="F401" s="18" t="inlineStr">
        <is>
          <t>235</t>
        </is>
      </c>
      <c r="G401" s="18" t="inlineStr">
        <is>
          <t>10001|6235$125001|3824</t>
        </is>
      </c>
    </row>
    <row r="402">
      <c r="B402" s="18" t="n">
        <v>10399</v>
      </c>
      <c r="C402" s="21" t="inlineStr">
        <is>
          <t>212010</t>
        </is>
      </c>
      <c r="D402" s="18" t="inlineStr">
        <is>
          <t>剑普攻</t>
        </is>
      </c>
      <c r="E402" s="18" t="inlineStr">
        <is>
          <t>49</t>
        </is>
      </c>
      <c r="F402" s="18" t="inlineStr">
        <is>
          <t>240</t>
        </is>
      </c>
      <c r="G402" s="18" t="inlineStr">
        <is>
          <t>10001|6431$125001|3945</t>
        </is>
      </c>
    </row>
    <row r="403">
      <c r="B403" s="18" t="n">
        <v>10400</v>
      </c>
      <c r="C403" s="21" t="inlineStr">
        <is>
          <t>212010</t>
        </is>
      </c>
      <c r="D403" s="18" t="inlineStr">
        <is>
          <t>剑普攻</t>
        </is>
      </c>
      <c r="E403" s="18" t="inlineStr">
        <is>
          <t>50</t>
        </is>
      </c>
      <c r="F403" s="18" t="inlineStr">
        <is>
          <t>245</t>
        </is>
      </c>
      <c r="G403" s="18" t="inlineStr">
        <is>
          <t>10001|6629$125001|4066</t>
        </is>
      </c>
    </row>
    <row r="404">
      <c r="B404" s="18" t="n">
        <v>10401</v>
      </c>
      <c r="C404" s="21" t="inlineStr">
        <is>
          <t>212011</t>
        </is>
      </c>
      <c r="D404" s="18" t="inlineStr">
        <is>
          <t>月曜八荒</t>
        </is>
      </c>
      <c r="E404" s="18" t="inlineStr">
        <is>
          <t>1</t>
        </is>
      </c>
      <c r="F404" s="18" t="inlineStr">
        <is>
          <t>-83.3333333333333|-83.3333333333333|-83.3333333333333|-83.3333333333333|-83.3333333333333|-83.3333333333333</t>
        </is>
      </c>
      <c r="G404" s="18" t="inlineStr">
        <is>
          <t>10001|150$121001|92$121007|8</t>
        </is>
      </c>
      <c r="J404" s="26" t="inlineStr">
        <is>
          <t>造成六段伤害，每段伤害为[0]%</t>
        </is>
      </c>
      <c r="K404" s="18" t="n">
        <v>17</v>
      </c>
    </row>
    <row r="405">
      <c r="B405" s="18" t="n">
        <v>10402</v>
      </c>
      <c r="C405" s="21" t="inlineStr">
        <is>
          <t>212011</t>
        </is>
      </c>
      <c r="D405" s="18" t="inlineStr">
        <is>
          <t>月曜八荒</t>
        </is>
      </c>
      <c r="E405" s="18" t="inlineStr">
        <is>
          <t>2</t>
        </is>
      </c>
      <c r="F405" s="18" t="inlineStr">
        <is>
          <t>-81.1666666666667|-81.1666666666667|-81.1666666666667|-81.1666666666667|-81.1666666666667|-81.1666666666667</t>
        </is>
      </c>
      <c r="G405" s="18" t="inlineStr">
        <is>
          <t>10001|600$121001|368$121007|21</t>
        </is>
      </c>
      <c r="J405" s="26" t="inlineStr">
        <is>
          <t>造成六段伤害，每段伤害为[0]%</t>
        </is>
      </c>
      <c r="K405" s="18" t="n">
        <v>19</v>
      </c>
    </row>
    <row r="406">
      <c r="B406" s="18" t="n">
        <v>10403</v>
      </c>
      <c r="C406" s="21" t="inlineStr">
        <is>
          <t>212011</t>
        </is>
      </c>
      <c r="D406" s="18" t="inlineStr">
        <is>
          <t>月曜八荒</t>
        </is>
      </c>
      <c r="E406" s="18" t="inlineStr">
        <is>
          <t>3</t>
        </is>
      </c>
      <c r="F406" s="18" t="inlineStr">
        <is>
          <t>-79|-79|-79|-79|-79|-79</t>
        </is>
      </c>
      <c r="G406" s="18" t="inlineStr">
        <is>
          <t>10001|1350$121001|828$121007|39</t>
        </is>
      </c>
      <c r="J406" s="26" t="inlineStr">
        <is>
          <t>造成六段伤害，每段伤害为[0]%</t>
        </is>
      </c>
      <c r="K406" s="18" t="n">
        <v>21</v>
      </c>
    </row>
    <row r="407">
      <c r="B407" s="18" t="n">
        <v>10404</v>
      </c>
      <c r="C407" s="21" t="inlineStr">
        <is>
          <t>212011</t>
        </is>
      </c>
      <c r="D407" s="18" t="inlineStr">
        <is>
          <t>月曜八荒</t>
        </is>
      </c>
      <c r="E407" s="18" t="inlineStr">
        <is>
          <t>4</t>
        </is>
      </c>
      <c r="F407" s="18" t="inlineStr">
        <is>
          <t>-76.8333333333333|-76.8333333333333|-76.8333333333333|-76.8333333333333|-76.8333333333333|-76.8333333333333</t>
        </is>
      </c>
      <c r="G407" s="18" t="inlineStr">
        <is>
          <t>10001|2400$121001|1472$121007|60</t>
        </is>
      </c>
      <c r="J407" s="26" t="inlineStr">
        <is>
          <t>造成六段伤害，每段伤害为[0]%</t>
        </is>
      </c>
      <c r="K407" s="18" t="n">
        <v>23</v>
      </c>
    </row>
    <row r="408">
      <c r="B408" s="18" t="n">
        <v>10405</v>
      </c>
      <c r="C408" s="21" t="inlineStr">
        <is>
          <t>212011</t>
        </is>
      </c>
      <c r="D408" s="18" t="inlineStr">
        <is>
          <t>月曜八荒</t>
        </is>
      </c>
      <c r="E408" s="18" t="inlineStr">
        <is>
          <t>5</t>
        </is>
      </c>
      <c r="F408" s="18" t="inlineStr">
        <is>
          <t>-74.6666666666667|-74.6666666666667|-74.6666666666667|-74.6666666666667|-74.6666666666667|-74.6666666666667</t>
        </is>
      </c>
      <c r="G408" s="18" t="inlineStr">
        <is>
          <t>10001|3750$121001|2300$121007|84</t>
        </is>
      </c>
      <c r="J408" s="26" t="inlineStr">
        <is>
          <t>造成六段伤害，每段伤害为[0]%</t>
        </is>
      </c>
      <c r="K408" s="18" t="n">
        <v>25</v>
      </c>
    </row>
    <row r="409">
      <c r="B409" s="18" t="n">
        <v>10406</v>
      </c>
      <c r="C409" s="21" t="inlineStr">
        <is>
          <t>212011</t>
        </is>
      </c>
      <c r="D409" s="18" t="inlineStr">
        <is>
          <t>月曜八荒</t>
        </is>
      </c>
      <c r="E409" s="18" t="inlineStr">
        <is>
          <t>6</t>
        </is>
      </c>
      <c r="F409" s="18" t="inlineStr">
        <is>
          <t>-72.5|-72.5|-72.5|-72.5|-72.5|-72.5</t>
        </is>
      </c>
      <c r="G409" s="18" t="inlineStr">
        <is>
          <t>10001|5400$121001|3312$121007|110</t>
        </is>
      </c>
      <c r="J409" s="26" t="inlineStr">
        <is>
          <t>造成六段伤害，每段伤害为[0]%</t>
        </is>
      </c>
      <c r="K409" s="18" t="n">
        <v>28</v>
      </c>
    </row>
    <row r="410">
      <c r="B410" s="18" t="n">
        <v>10407</v>
      </c>
      <c r="C410" s="21" t="inlineStr">
        <is>
          <t>212011</t>
        </is>
      </c>
      <c r="D410" s="18" t="inlineStr">
        <is>
          <t>月曜八荒</t>
        </is>
      </c>
      <c r="E410" s="18" t="inlineStr">
        <is>
          <t>7</t>
        </is>
      </c>
      <c r="F410" s="18" t="inlineStr">
        <is>
          <t>-70.3333333333333|-70.3333333333333|-70.3333333333333|-70.3333333333333|-70.3333333333333|-70.3333333333333</t>
        </is>
      </c>
      <c r="G410" s="18" t="inlineStr">
        <is>
          <t>10001|7350$121001|4508$121007|139</t>
        </is>
      </c>
      <c r="J410" s="26" t="inlineStr">
        <is>
          <t>造成六段伤害，每段伤害为[0]%</t>
        </is>
      </c>
      <c r="K410" s="18" t="n">
        <v>30</v>
      </c>
    </row>
    <row r="411">
      <c r="B411" s="18" t="n">
        <v>10408</v>
      </c>
      <c r="C411" s="21" t="inlineStr">
        <is>
          <t>212011</t>
        </is>
      </c>
      <c r="D411" s="18" t="inlineStr">
        <is>
          <t>月曜八荒</t>
        </is>
      </c>
      <c r="E411" s="18" t="inlineStr">
        <is>
          <t>8</t>
        </is>
      </c>
      <c r="F411" s="18" t="inlineStr">
        <is>
          <t>-68.1666666666667|-68.1666666666667|-68.1666666666667|-68.1666666666667|-68.1666666666667|-68.1666666666667</t>
        </is>
      </c>
      <c r="G411" s="18" t="inlineStr">
        <is>
          <t>10001|9600$121001|5888$121007|170</t>
        </is>
      </c>
      <c r="J411" s="26" t="inlineStr">
        <is>
          <t>造成六段伤害，每段伤害为[0]%</t>
        </is>
      </c>
      <c r="K411" s="18" t="n">
        <v>32</v>
      </c>
    </row>
    <row r="412">
      <c r="B412" s="18" t="n">
        <v>10409</v>
      </c>
      <c r="C412" s="21" t="inlineStr">
        <is>
          <t>212011</t>
        </is>
      </c>
      <c r="D412" s="18" t="inlineStr">
        <is>
          <t>月曜八荒</t>
        </is>
      </c>
      <c r="E412" s="18" t="inlineStr">
        <is>
          <t>9</t>
        </is>
      </c>
      <c r="F412" s="18" t="inlineStr">
        <is>
          <t>-66|-66|-66|-66|-66|-66</t>
        </is>
      </c>
      <c r="G412" s="18" t="inlineStr">
        <is>
          <t>10001|12150$121001|7452$121007|203</t>
        </is>
      </c>
      <c r="J412" s="26" t="inlineStr">
        <is>
          <t>造成六段伤害，每段伤害为[0]%</t>
        </is>
      </c>
      <c r="K412" s="18" t="n">
        <v>34</v>
      </c>
    </row>
    <row r="413">
      <c r="B413" s="18" t="n">
        <v>10410</v>
      </c>
      <c r="C413" s="21" t="inlineStr">
        <is>
          <t>212011</t>
        </is>
      </c>
      <c r="D413" s="18" t="inlineStr">
        <is>
          <t>月曜八荒</t>
        </is>
      </c>
      <c r="E413" s="18" t="inlineStr">
        <is>
          <t>10</t>
        </is>
      </c>
      <c r="F413" s="18" t="inlineStr">
        <is>
          <t>-63.8333333333333|-63.8333333333333|-63.8333333333333|-63.8333333333333|-63.8333333333333|-63.8333333333333</t>
        </is>
      </c>
      <c r="G413" s="18" t="inlineStr">
        <is>
          <t>10001|15000$122001|9200$122007|237</t>
        </is>
      </c>
      <c r="J413" s="26" t="inlineStr">
        <is>
          <t>造成六段伤害，每段伤害为[0]%</t>
        </is>
      </c>
      <c r="K413" s="18" t="n">
        <v>36</v>
      </c>
    </row>
    <row r="414">
      <c r="B414" s="18" t="n">
        <v>10411</v>
      </c>
      <c r="C414" s="21" t="inlineStr">
        <is>
          <t>212011</t>
        </is>
      </c>
      <c r="D414" s="18" t="inlineStr">
        <is>
          <t>月曜八荒</t>
        </is>
      </c>
      <c r="E414" s="18" t="inlineStr">
        <is>
          <t>11</t>
        </is>
      </c>
      <c r="F414" s="18" t="inlineStr">
        <is>
          <t>-61.6666666666667|-61.6666666666667|-61.6666666666667|-61.6666666666667|-61.6666666666667|-61.6666666666667</t>
        </is>
      </c>
      <c r="G414" s="18" t="inlineStr">
        <is>
          <t>10001|18150$122001|11132$122007|274</t>
        </is>
      </c>
      <c r="J414" s="26" t="inlineStr">
        <is>
          <t>造成六段伤害，每段伤害为[0]%</t>
        </is>
      </c>
      <c r="K414" s="18" t="n">
        <v>38</v>
      </c>
    </row>
    <row r="415">
      <c r="B415" s="18" t="n">
        <v>10412</v>
      </c>
      <c r="C415" s="21" t="inlineStr">
        <is>
          <t>212011</t>
        </is>
      </c>
      <c r="D415" s="18" t="inlineStr">
        <is>
          <t>月曜八荒</t>
        </is>
      </c>
      <c r="E415" s="18" t="inlineStr">
        <is>
          <t>12</t>
        </is>
      </c>
      <c r="F415" s="18" t="inlineStr">
        <is>
          <t>-59.5|-59.5|-59.5|-59.5|-59.5|-59.5</t>
        </is>
      </c>
      <c r="G415" s="18" t="inlineStr">
        <is>
          <t>10001|21600$122001|13248$122007|312</t>
        </is>
      </c>
      <c r="J415" s="26" t="inlineStr">
        <is>
          <t>造成六段伤害，每段伤害为[0]%</t>
        </is>
      </c>
      <c r="K415" s="18" t="n">
        <v>41</v>
      </c>
    </row>
    <row r="416">
      <c r="B416" s="18" t="n">
        <v>10413</v>
      </c>
      <c r="C416" s="21" t="inlineStr">
        <is>
          <t>212011</t>
        </is>
      </c>
      <c r="D416" s="18" t="inlineStr">
        <is>
          <t>月曜八荒</t>
        </is>
      </c>
      <c r="E416" s="18" t="inlineStr">
        <is>
          <t>13</t>
        </is>
      </c>
      <c r="F416" s="18" t="inlineStr">
        <is>
          <t>-57.3333333333333|-57.3333333333333|-57.3333333333333|-57.3333333333333|-57.3333333333333|-57.3333333333333</t>
        </is>
      </c>
      <c r="G416" s="18" t="inlineStr">
        <is>
          <t>10001|25350$122001|15548$122007|352</t>
        </is>
      </c>
      <c r="J416" s="26" t="inlineStr">
        <is>
          <t>造成六段伤害，每段伤害为[0]%</t>
        </is>
      </c>
      <c r="K416" s="18" t="n">
        <v>43</v>
      </c>
    </row>
    <row r="417">
      <c r="B417" s="18" t="n">
        <v>10414</v>
      </c>
      <c r="C417" s="21" t="inlineStr">
        <is>
          <t>212011</t>
        </is>
      </c>
      <c r="D417" s="18" t="inlineStr">
        <is>
          <t>月曜八荒</t>
        </is>
      </c>
      <c r="E417" s="18" t="inlineStr">
        <is>
          <t>14</t>
        </is>
      </c>
      <c r="F417" s="18" t="inlineStr">
        <is>
          <t>-55.1666666666667|-55.1666666666667|-55.1666666666667|-55.1666666666667|-55.1666666666667|-55.1666666666667</t>
        </is>
      </c>
      <c r="G417" s="18" t="inlineStr">
        <is>
          <t>10001|29400$122001|18032$122007|393</t>
        </is>
      </c>
      <c r="J417" s="26" t="inlineStr">
        <is>
          <t>造成六段伤害，每段伤害为[0]%</t>
        </is>
      </c>
      <c r="K417" s="18" t="n">
        <v>45</v>
      </c>
    </row>
    <row r="418">
      <c r="B418" s="18" t="n">
        <v>10415</v>
      </c>
      <c r="C418" s="21" t="inlineStr">
        <is>
          <t>212011</t>
        </is>
      </c>
      <c r="D418" s="18" t="inlineStr">
        <is>
          <t>月曜八荒</t>
        </is>
      </c>
      <c r="E418" s="18" t="inlineStr">
        <is>
          <t>15</t>
        </is>
      </c>
      <c r="F418" s="18" t="inlineStr">
        <is>
          <t>-53|-53|-53|-53|-53|-53</t>
        </is>
      </c>
      <c r="G418" s="18" t="inlineStr">
        <is>
          <t>10001|33750$122001|20700$122007|436</t>
        </is>
      </c>
      <c r="J418" s="26" t="inlineStr">
        <is>
          <t>造成六段伤害，每段伤害为[0]%</t>
        </is>
      </c>
      <c r="K418" s="18" t="n">
        <v>47</v>
      </c>
    </row>
    <row r="419">
      <c r="B419" s="18" t="n">
        <v>10416</v>
      </c>
      <c r="C419" s="21" t="inlineStr">
        <is>
          <t>212011</t>
        </is>
      </c>
      <c r="D419" s="18" t="inlineStr">
        <is>
          <t>月曜八荒</t>
        </is>
      </c>
      <c r="E419" s="18" t="inlineStr">
        <is>
          <t>16</t>
        </is>
      </c>
      <c r="F419" s="18" t="inlineStr">
        <is>
          <t>-50.8333333333333|-50.8333333333333|-50.8333333333333|-50.8333333333333|-50.8333333333333|-50.8333333333333</t>
        </is>
      </c>
      <c r="G419" s="18" t="inlineStr">
        <is>
          <t>10001|38400$122001|23552$122007|480</t>
        </is>
      </c>
      <c r="J419" s="26" t="inlineStr">
        <is>
          <t>造成六段伤害，每段伤害为[0]%</t>
        </is>
      </c>
      <c r="K419" s="18" t="n">
        <v>49</v>
      </c>
    </row>
    <row r="420">
      <c r="B420" s="18" t="n">
        <v>10417</v>
      </c>
      <c r="C420" s="21" t="inlineStr">
        <is>
          <t>212011</t>
        </is>
      </c>
      <c r="D420" s="18" t="inlineStr">
        <is>
          <t>月曜八荒</t>
        </is>
      </c>
      <c r="E420" s="18" t="inlineStr">
        <is>
          <t>17</t>
        </is>
      </c>
      <c r="F420" s="18" t="inlineStr">
        <is>
          <t>-48.6666666666667|-48.6666666666667|-48.6666666666667|-48.6666666666667|-48.6666666666667|-48.6666666666667</t>
        </is>
      </c>
      <c r="G420" s="18" t="inlineStr">
        <is>
          <t>10001|43350$122001|26588$122007|526</t>
        </is>
      </c>
      <c r="J420" s="26" t="inlineStr">
        <is>
          <t>造成六段伤害，每段伤害为[0]%</t>
        </is>
      </c>
      <c r="K420" s="18" t="n">
        <v>51</v>
      </c>
    </row>
    <row r="421">
      <c r="B421" s="18" t="n">
        <v>10418</v>
      </c>
      <c r="C421" s="21" t="inlineStr">
        <is>
          <t>212011</t>
        </is>
      </c>
      <c r="D421" s="18" t="inlineStr">
        <is>
          <t>月曜八荒</t>
        </is>
      </c>
      <c r="E421" s="18" t="inlineStr">
        <is>
          <t>18</t>
        </is>
      </c>
      <c r="F421" s="18" t="inlineStr">
        <is>
          <t>-46.5|-46.5|-46.5|-46.5|-46.5|-46.5</t>
        </is>
      </c>
      <c r="G421" s="18" t="inlineStr">
        <is>
          <t>10001|48600$122001|29808$122007|573</t>
        </is>
      </c>
      <c r="J421" s="26" t="inlineStr">
        <is>
          <t>造成六段伤害，每段伤害为[0]%</t>
        </is>
      </c>
      <c r="K421" s="18" t="n">
        <v>54</v>
      </c>
    </row>
    <row r="422">
      <c r="B422" s="18" t="n">
        <v>10419</v>
      </c>
      <c r="C422" s="21" t="inlineStr">
        <is>
          <t>212011</t>
        </is>
      </c>
      <c r="D422" s="18" t="inlineStr">
        <is>
          <t>月曜八荒</t>
        </is>
      </c>
      <c r="E422" s="18" t="inlineStr">
        <is>
          <t>19</t>
        </is>
      </c>
      <c r="F422" s="18" t="inlineStr">
        <is>
          <t>-44.3333333333333|-44.3333333333333|-44.3333333333333|-44.3333333333333|-44.3333333333333|-44.3333333333333</t>
        </is>
      </c>
      <c r="G422" s="18" t="inlineStr">
        <is>
          <t>10001|54150$122001|33212$122007|621</t>
        </is>
      </c>
      <c r="J422" s="26" t="inlineStr">
        <is>
          <t>造成六段伤害，每段伤害为[0]%</t>
        </is>
      </c>
      <c r="K422" s="18" t="n">
        <v>56</v>
      </c>
    </row>
    <row r="423">
      <c r="B423" s="18" t="n">
        <v>10420</v>
      </c>
      <c r="C423" s="21" t="inlineStr">
        <is>
          <t>212011</t>
        </is>
      </c>
      <c r="D423" s="18" t="inlineStr">
        <is>
          <t>月曜八荒</t>
        </is>
      </c>
      <c r="E423" s="18" t="inlineStr">
        <is>
          <t>20</t>
        </is>
      </c>
      <c r="F423" s="18" t="inlineStr">
        <is>
          <t>-42.1666666666667|-42.1666666666667|-42.1666666666667|-42.1666666666667|-42.1666666666667|-42.1666666666667</t>
        </is>
      </c>
      <c r="G423" s="18" t="inlineStr">
        <is>
          <t>10001|60000$123001|36800$123007|671</t>
        </is>
      </c>
      <c r="J423" s="26" t="inlineStr">
        <is>
          <t>造成六段伤害，每段伤害为[0]%</t>
        </is>
      </c>
      <c r="K423" s="18" t="n">
        <v>58</v>
      </c>
    </row>
    <row r="424">
      <c r="B424" s="18" t="n">
        <v>10421</v>
      </c>
      <c r="C424" s="21" t="inlineStr">
        <is>
          <t>212011</t>
        </is>
      </c>
      <c r="D424" s="18" t="inlineStr">
        <is>
          <t>月曜八荒</t>
        </is>
      </c>
      <c r="E424" s="18" t="inlineStr">
        <is>
          <t>21</t>
        </is>
      </c>
      <c r="F424" s="18" t="inlineStr">
        <is>
          <t>-40|-40|-40|-40|-40|-40</t>
        </is>
      </c>
      <c r="G424" s="18" t="inlineStr">
        <is>
          <t>10001|66150$123001|40572$123007|722</t>
        </is>
      </c>
      <c r="J424" s="26" t="inlineStr">
        <is>
          <t>造成六段伤害，每段伤害为[0]%</t>
        </is>
      </c>
      <c r="K424" s="18" t="n">
        <v>60</v>
      </c>
    </row>
    <row r="425">
      <c r="B425" s="18" t="n">
        <v>10422</v>
      </c>
      <c r="C425" s="21" t="inlineStr">
        <is>
          <t>212011</t>
        </is>
      </c>
      <c r="D425" s="18" t="inlineStr">
        <is>
          <t>月曜八荒</t>
        </is>
      </c>
      <c r="E425" s="18" t="inlineStr">
        <is>
          <t>22</t>
        </is>
      </c>
      <c r="F425" s="18" t="inlineStr">
        <is>
          <t>-37.8333333333333|-37.8333333333333|-37.8333333333333|-37.8333333333333|-37.8333333333333|-37.8333333333333</t>
        </is>
      </c>
      <c r="G425" s="18" t="inlineStr">
        <is>
          <t>10001|72600$123001|44528$123007|774</t>
        </is>
      </c>
      <c r="J425" s="26" t="inlineStr">
        <is>
          <t>造成六段伤害，每段伤害为[0]%</t>
        </is>
      </c>
      <c r="K425" s="18" t="n">
        <v>62</v>
      </c>
    </row>
    <row r="426">
      <c r="B426" s="18" t="n">
        <v>10423</v>
      </c>
      <c r="C426" s="21" t="inlineStr">
        <is>
          <t>212011</t>
        </is>
      </c>
      <c r="D426" s="18" t="inlineStr">
        <is>
          <t>月曜八荒</t>
        </is>
      </c>
      <c r="E426" s="18" t="inlineStr">
        <is>
          <t>23</t>
        </is>
      </c>
      <c r="F426" s="18" t="inlineStr">
        <is>
          <t>-35.6666666666667|-35.6666666666667|-35.6666666666667|-35.6666666666667|-35.6666666666667|-35.6666666666667</t>
        </is>
      </c>
      <c r="G426" s="18" t="inlineStr">
        <is>
          <t>10001|79350$123001|48668$123007|827</t>
        </is>
      </c>
      <c r="J426" s="26" t="inlineStr">
        <is>
          <t>造成六段伤害，每段伤害为[0]%</t>
        </is>
      </c>
      <c r="K426" s="18" t="n">
        <v>64</v>
      </c>
    </row>
    <row r="427">
      <c r="B427" s="18" t="n">
        <v>10424</v>
      </c>
      <c r="C427" s="21" t="inlineStr">
        <is>
          <t>212011</t>
        </is>
      </c>
      <c r="D427" s="18" t="inlineStr">
        <is>
          <t>月曜八荒</t>
        </is>
      </c>
      <c r="E427" s="18" t="inlineStr">
        <is>
          <t>24</t>
        </is>
      </c>
      <c r="F427" s="18" t="inlineStr">
        <is>
          <t>-33.5|-33.5|-33.5|-33.5|-33.5|-33.5</t>
        </is>
      </c>
      <c r="G427" s="18" t="inlineStr">
        <is>
          <t>10001|86400$123001|52992$123007|882</t>
        </is>
      </c>
      <c r="J427" s="26" t="inlineStr">
        <is>
          <t>造成六段伤害，每段伤害为[0]%</t>
        </is>
      </c>
      <c r="K427" s="18" t="n">
        <v>67</v>
      </c>
    </row>
    <row r="428">
      <c r="B428" s="18" t="n">
        <v>10425</v>
      </c>
      <c r="C428" s="21" t="inlineStr">
        <is>
          <t>212011</t>
        </is>
      </c>
      <c r="D428" s="18" t="inlineStr">
        <is>
          <t>月曜八荒</t>
        </is>
      </c>
      <c r="E428" s="18" t="inlineStr">
        <is>
          <t>25</t>
        </is>
      </c>
      <c r="F428" s="18" t="inlineStr">
        <is>
          <t>-31.3333333333333|-31.3333333333333|-31.3333333333333|-31.3333333333333|-31.3333333333333|-31.3333333333333</t>
        </is>
      </c>
      <c r="G428" s="18" t="inlineStr">
        <is>
          <t>10001|93750$123001|57500$123007|938</t>
        </is>
      </c>
      <c r="J428" s="26" t="inlineStr">
        <is>
          <t>造成六段伤害，每段伤害为[0]%</t>
        </is>
      </c>
      <c r="K428" s="18" t="n">
        <v>69</v>
      </c>
    </row>
    <row r="429">
      <c r="B429" s="18" t="n">
        <v>10426</v>
      </c>
      <c r="C429" s="21" t="inlineStr">
        <is>
          <t>212011</t>
        </is>
      </c>
      <c r="D429" s="18" t="inlineStr">
        <is>
          <t>月曜八荒</t>
        </is>
      </c>
      <c r="E429" s="18" t="inlineStr">
        <is>
          <t>26</t>
        </is>
      </c>
      <c r="F429" s="18" t="inlineStr">
        <is>
          <t>-29.1666666666667|-29.1666666666667|-29.1666666666667|-29.1666666666667|-29.1666666666667|-29.1666666666667</t>
        </is>
      </c>
      <c r="G429" s="18" t="inlineStr">
        <is>
          <t>10001|101400$123001|62192$123007|994</t>
        </is>
      </c>
      <c r="J429" s="26" t="inlineStr">
        <is>
          <t>造成六段伤害，每段伤害为[0]%</t>
        </is>
      </c>
      <c r="K429" s="18" t="n">
        <v>71</v>
      </c>
    </row>
    <row r="430">
      <c r="B430" s="18" t="n">
        <v>10427</v>
      </c>
      <c r="C430" s="21" t="inlineStr">
        <is>
          <t>212011</t>
        </is>
      </c>
      <c r="D430" s="18" t="inlineStr">
        <is>
          <t>月曜八荒</t>
        </is>
      </c>
      <c r="E430" s="18" t="inlineStr">
        <is>
          <t>27</t>
        </is>
      </c>
      <c r="F430" s="18" t="inlineStr">
        <is>
          <t>-27|-27|-27|-27|-27|-27</t>
        </is>
      </c>
      <c r="G430" s="18" t="inlineStr">
        <is>
          <t>10001|109350$123001|67068$123007|1052</t>
        </is>
      </c>
      <c r="J430" s="26" t="inlineStr">
        <is>
          <t>造成六段伤害，每段伤害为[0]%</t>
        </is>
      </c>
      <c r="K430" s="18" t="n">
        <v>73</v>
      </c>
    </row>
    <row r="431">
      <c r="B431" s="18" t="n">
        <v>10428</v>
      </c>
      <c r="C431" s="21" t="inlineStr">
        <is>
          <t>212011</t>
        </is>
      </c>
      <c r="D431" s="18" t="inlineStr">
        <is>
          <t>月曜八荒</t>
        </is>
      </c>
      <c r="E431" s="18" t="inlineStr">
        <is>
          <t>28</t>
        </is>
      </c>
      <c r="F431" s="18" t="inlineStr">
        <is>
          <t>-24.8333333333333|-24.8333333333333|-24.8333333333333|-24.8333333333333|-24.8333333333333|-24.8333333333333</t>
        </is>
      </c>
      <c r="G431" s="18" t="inlineStr">
        <is>
          <t>10001|117600$123001|72128$123007|1111</t>
        </is>
      </c>
      <c r="J431" s="26" t="inlineStr">
        <is>
          <t>造成六段伤害，每段伤害为[0]%</t>
        </is>
      </c>
      <c r="K431" s="18" t="n">
        <v>75</v>
      </c>
    </row>
    <row r="432">
      <c r="B432" s="18" t="n">
        <v>10429</v>
      </c>
      <c r="C432" s="21" t="inlineStr">
        <is>
          <t>212011</t>
        </is>
      </c>
      <c r="D432" s="18" t="inlineStr">
        <is>
          <t>月曜八荒</t>
        </is>
      </c>
      <c r="E432" s="18" t="inlineStr">
        <is>
          <t>29</t>
        </is>
      </c>
      <c r="F432" s="18" t="inlineStr">
        <is>
          <t>-22.6666666666667|-22.6666666666667|-22.6666666666667|-22.6666666666667|-22.6666666666667|-22.6666666666667</t>
        </is>
      </c>
      <c r="G432" s="18" t="inlineStr">
        <is>
          <t>10001|126150$123001|77372$123007|1171</t>
        </is>
      </c>
      <c r="J432" s="26" t="inlineStr">
        <is>
          <t>造成六段伤害，每段伤害为[0]%</t>
        </is>
      </c>
      <c r="K432" s="18" t="n">
        <v>77</v>
      </c>
    </row>
    <row r="433">
      <c r="B433" s="18" t="n">
        <v>10430</v>
      </c>
      <c r="C433" s="21" t="inlineStr">
        <is>
          <t>212011</t>
        </is>
      </c>
      <c r="D433" s="18" t="inlineStr">
        <is>
          <t>月曜八荒</t>
        </is>
      </c>
      <c r="E433" s="18" t="inlineStr">
        <is>
          <t>30</t>
        </is>
      </c>
      <c r="F433" s="18" t="inlineStr">
        <is>
          <t>-20.5|-20.5|-20.5|-20.5|-20.5|-20.5</t>
        </is>
      </c>
      <c r="G433" s="18" t="inlineStr">
        <is>
          <t>10001|135000$124001|82800$124007|1232</t>
        </is>
      </c>
      <c r="J433" s="26" t="inlineStr">
        <is>
          <t>造成六段伤害，每段伤害为[0]%</t>
        </is>
      </c>
      <c r="K433" s="18" t="n">
        <v>80</v>
      </c>
    </row>
    <row r="434">
      <c r="B434" s="18" t="n">
        <v>10431</v>
      </c>
      <c r="C434" s="21" t="inlineStr">
        <is>
          <t>212011</t>
        </is>
      </c>
      <c r="D434" s="18" t="inlineStr">
        <is>
          <t>月曜八荒</t>
        </is>
      </c>
      <c r="E434" s="18" t="inlineStr">
        <is>
          <t>31</t>
        </is>
      </c>
      <c r="F434" s="18" t="inlineStr">
        <is>
          <t>-18.3333333333333|-18.3333333333333|-18.3333333333333|-18.3333333333333|-18.3333333333333|-18.3333333333333</t>
        </is>
      </c>
      <c r="G434" s="18" t="inlineStr">
        <is>
          <t>10001|144150$124001|88412$124007|1295</t>
        </is>
      </c>
      <c r="J434" s="26" t="inlineStr">
        <is>
          <t>造成六段伤害，每段伤害为[0]%</t>
        </is>
      </c>
      <c r="K434" s="18" t="n">
        <v>82</v>
      </c>
    </row>
    <row r="435">
      <c r="B435" s="18" t="n">
        <v>10432</v>
      </c>
      <c r="C435" s="21" t="inlineStr">
        <is>
          <t>212011</t>
        </is>
      </c>
      <c r="D435" s="18" t="inlineStr">
        <is>
          <t>月曜八荒</t>
        </is>
      </c>
      <c r="E435" s="18" t="inlineStr">
        <is>
          <t>32</t>
        </is>
      </c>
      <c r="F435" s="18" t="inlineStr">
        <is>
          <t>-16.1666666666667|-16.1666666666667|-16.1666666666667|-16.1666666666667|-16.1666666666667|-16.1666666666667</t>
        </is>
      </c>
      <c r="G435" s="18" t="inlineStr">
        <is>
          <t>10001|153600$124001|94208$124007|1358</t>
        </is>
      </c>
      <c r="J435" s="26" t="inlineStr">
        <is>
          <t>造成六段伤害，每段伤害为[0]%</t>
        </is>
      </c>
      <c r="K435" s="18" t="n">
        <v>84</v>
      </c>
    </row>
    <row r="436">
      <c r="B436" s="18" t="n">
        <v>10433</v>
      </c>
      <c r="C436" s="21" t="inlineStr">
        <is>
          <t>212011</t>
        </is>
      </c>
      <c r="D436" s="18" t="inlineStr">
        <is>
          <t>月曜八荒</t>
        </is>
      </c>
      <c r="E436" s="18" t="inlineStr">
        <is>
          <t>33</t>
        </is>
      </c>
      <c r="F436" s="18" t="inlineStr">
        <is>
          <t>-14|-14|-14|-14|-14|-14</t>
        </is>
      </c>
      <c r="G436" s="18" t="inlineStr">
        <is>
          <t>10001|163350$124001|100188$124007|1422</t>
        </is>
      </c>
      <c r="J436" s="26" t="inlineStr">
        <is>
          <t>造成六段伤害，每段伤害为[0]%</t>
        </is>
      </c>
      <c r="K436" s="18" t="n">
        <v>86</v>
      </c>
    </row>
    <row r="437">
      <c r="B437" s="18" t="n">
        <v>10434</v>
      </c>
      <c r="C437" s="21" t="inlineStr">
        <is>
          <t>212011</t>
        </is>
      </c>
      <c r="D437" s="18" t="inlineStr">
        <is>
          <t>月曜八荒</t>
        </is>
      </c>
      <c r="E437" s="18" t="inlineStr">
        <is>
          <t>34</t>
        </is>
      </c>
      <c r="F437" s="18" t="inlineStr">
        <is>
          <t>-11.8333333333333|-11.8333333333333|-11.8333333333333|-11.8333333333333|-11.8333333333333|-11.8333333333333</t>
        </is>
      </c>
      <c r="G437" s="18" t="inlineStr">
        <is>
          <t>10001|173400$124001|106352$124007|1487</t>
        </is>
      </c>
      <c r="J437" s="26" t="inlineStr">
        <is>
          <t>造成六段伤害，每段伤害为[0]%</t>
        </is>
      </c>
      <c r="K437" s="18" t="n">
        <v>88</v>
      </c>
    </row>
    <row r="438">
      <c r="B438" s="18" t="n">
        <v>10435</v>
      </c>
      <c r="C438" s="21" t="inlineStr">
        <is>
          <t>212011</t>
        </is>
      </c>
      <c r="D438" s="18" t="inlineStr">
        <is>
          <t>月曜八荒</t>
        </is>
      </c>
      <c r="E438" s="18" t="inlineStr">
        <is>
          <t>35</t>
        </is>
      </c>
      <c r="F438" s="18" t="inlineStr">
        <is>
          <t>-9.66666666666667|-9.66666666666667|-9.66666666666667|-9.66666666666667|-9.66666666666667|-9.66666666666667</t>
        </is>
      </c>
      <c r="G438" s="18" t="inlineStr">
        <is>
          <t>10001|183750$124001|112700$124007|1553</t>
        </is>
      </c>
      <c r="J438" s="26" t="inlineStr">
        <is>
          <t>造成六段伤害，每段伤害为[0]%</t>
        </is>
      </c>
      <c r="K438" s="18" t="n">
        <v>90</v>
      </c>
    </row>
    <row r="439">
      <c r="B439" s="18" t="n">
        <v>10436</v>
      </c>
      <c r="C439" s="21" t="inlineStr">
        <is>
          <t>212011</t>
        </is>
      </c>
      <c r="D439" s="18" t="inlineStr">
        <is>
          <t>月曜八荒</t>
        </is>
      </c>
      <c r="E439" s="18" t="inlineStr">
        <is>
          <t>36</t>
        </is>
      </c>
      <c r="F439" s="18" t="inlineStr">
        <is>
          <t>-7.50000000000001|-7.50000000000001|-7.50000000000001|-7.50000000000001|-7.50000000000001|-7.50000000000001</t>
        </is>
      </c>
      <c r="G439" s="18" t="inlineStr">
        <is>
          <t>10001|194400$124001|119232$124007|1620</t>
        </is>
      </c>
      <c r="J439" s="26" t="inlineStr">
        <is>
          <t>造成六段伤害，每段伤害为[0]%</t>
        </is>
      </c>
      <c r="K439" s="18" t="n">
        <v>93</v>
      </c>
    </row>
    <row r="440">
      <c r="B440" s="18" t="n">
        <v>10437</v>
      </c>
      <c r="C440" s="21" t="inlineStr">
        <is>
          <t>212011</t>
        </is>
      </c>
      <c r="D440" s="18" t="inlineStr">
        <is>
          <t>月曜八荒</t>
        </is>
      </c>
      <c r="E440" s="18" t="inlineStr">
        <is>
          <t>37</t>
        </is>
      </c>
      <c r="F440" s="18" t="inlineStr">
        <is>
          <t>-5.33333333333333|-5.33333333333333|-5.33333333333333|-5.33333333333333|-5.33333333333333|-5.33333333333333</t>
        </is>
      </c>
      <c r="G440" s="18" t="inlineStr">
        <is>
          <t>10001|205350$124001|125948$124007|1688</t>
        </is>
      </c>
      <c r="J440" s="26" t="inlineStr">
        <is>
          <t>造成六段伤害，每段伤害为[0]%</t>
        </is>
      </c>
      <c r="K440" s="18" t="n">
        <v>95</v>
      </c>
    </row>
    <row r="441">
      <c r="B441" s="18" t="n">
        <v>10438</v>
      </c>
      <c r="C441" s="21" t="inlineStr">
        <is>
          <t>212011</t>
        </is>
      </c>
      <c r="D441" s="18" t="inlineStr">
        <is>
          <t>月曜八荒</t>
        </is>
      </c>
      <c r="E441" s="18" t="inlineStr">
        <is>
          <t>38</t>
        </is>
      </c>
      <c r="F441" s="18" t="inlineStr">
        <is>
          <t>-3.16666666666667|-3.16666666666667|-3.16666666666667|-3.16666666666667|-3.16666666666667|-3.16666666666667</t>
        </is>
      </c>
      <c r="G441" s="18" t="inlineStr">
        <is>
          <t>10001|216600$124001|132848$124007|1757</t>
        </is>
      </c>
      <c r="J441" s="26" t="inlineStr">
        <is>
          <t>造成六段伤害，每段伤害为[0]%</t>
        </is>
      </c>
      <c r="K441" s="18" t="n">
        <v>97</v>
      </c>
    </row>
    <row r="442">
      <c r="B442" s="18" t="n">
        <v>10439</v>
      </c>
      <c r="C442" s="21" t="inlineStr">
        <is>
          <t>212011</t>
        </is>
      </c>
      <c r="D442" s="18" t="inlineStr">
        <is>
          <t>月曜八荒</t>
        </is>
      </c>
      <c r="E442" s="18" t="inlineStr">
        <is>
          <t>39</t>
        </is>
      </c>
      <c r="F442" s="18" t="inlineStr">
        <is>
          <t>-0.99999999999999|-0.99999999999999|-0.99999999999999|-0.99999999999999|-0.99999999999999|-0.99999999999999</t>
        </is>
      </c>
      <c r="G442" s="18" t="inlineStr">
        <is>
          <t>10001|228150$124001|139932$124007|1827</t>
        </is>
      </c>
      <c r="J442" s="26" t="inlineStr">
        <is>
          <t>造成六段伤害，每段伤害为[0]%</t>
        </is>
      </c>
      <c r="K442" s="18" t="n">
        <v>99</v>
      </c>
    </row>
    <row r="443">
      <c r="B443" s="18" t="n">
        <v>10440</v>
      </c>
      <c r="C443" s="21" t="inlineStr">
        <is>
          <t>212011</t>
        </is>
      </c>
      <c r="D443" s="18" t="inlineStr">
        <is>
          <t>月曜八荒</t>
        </is>
      </c>
      <c r="E443" s="18" t="inlineStr">
        <is>
          <t>40</t>
        </is>
      </c>
      <c r="F443" s="18" t="inlineStr">
        <is>
          <t>1.16666666666667|1.16666666666667|1.16666666666667|1.16666666666667|1.16666666666667|1.16666666666667</t>
        </is>
      </c>
      <c r="G443" s="18" t="inlineStr">
        <is>
          <t>10001|240000$125001|147200$125007|1897</t>
        </is>
      </c>
      <c r="J443" s="26" t="inlineStr">
        <is>
          <t>造成六段伤害，每段伤害为[0]%</t>
        </is>
      </c>
      <c r="K443" s="18" t="n">
        <v>101</v>
      </c>
    </row>
    <row r="444">
      <c r="B444" s="18" t="n">
        <v>10441</v>
      </c>
      <c r="C444" s="21" t="inlineStr">
        <is>
          <t>212011</t>
        </is>
      </c>
      <c r="D444" s="18" t="inlineStr">
        <is>
          <t>月曜八荒</t>
        </is>
      </c>
      <c r="E444" s="18" t="inlineStr">
        <is>
          <t>41</t>
        </is>
      </c>
      <c r="F444" s="18" t="inlineStr">
        <is>
          <t>3.33333333333334|3.33333333333334|3.33333333333334|3.33333333333334|3.33333333333334|3.33333333333334</t>
        </is>
      </c>
      <c r="G444" s="18" t="inlineStr">
        <is>
          <t>10001|252150$125001|154652$125007|1969</t>
        </is>
      </c>
      <c r="J444" s="26" t="inlineStr">
        <is>
          <t>造成六段伤害，每段伤害为[0]%</t>
        </is>
      </c>
      <c r="K444" s="18" t="n">
        <v>103</v>
      </c>
    </row>
    <row r="445">
      <c r="B445" s="18" t="n">
        <v>10442</v>
      </c>
      <c r="C445" s="21" t="inlineStr">
        <is>
          <t>212011</t>
        </is>
      </c>
      <c r="D445" s="18" t="inlineStr">
        <is>
          <t>月曜八荒</t>
        </is>
      </c>
      <c r="E445" s="18" t="inlineStr">
        <is>
          <t>42</t>
        </is>
      </c>
      <c r="F445" s="18" t="inlineStr">
        <is>
          <t>5.49999999999999|5.49999999999999|5.49999999999999|5.49999999999999|5.49999999999999|5.49999999999999</t>
        </is>
      </c>
      <c r="G445" s="18" t="inlineStr">
        <is>
          <t>10001|264600$125001|162288$125007|2041</t>
        </is>
      </c>
      <c r="J445" s="26" t="inlineStr">
        <is>
          <t>造成六段伤害，每段伤害为[0]%</t>
        </is>
      </c>
      <c r="K445" s="18" t="n">
        <v>106</v>
      </c>
    </row>
    <row r="446">
      <c r="B446" s="18" t="n">
        <v>10443</v>
      </c>
      <c r="C446" s="21" t="inlineStr">
        <is>
          <t>212011</t>
        </is>
      </c>
      <c r="D446" s="18" t="inlineStr">
        <is>
          <t>月曜八荒</t>
        </is>
      </c>
      <c r="E446" s="18" t="inlineStr">
        <is>
          <t>43</t>
        </is>
      </c>
      <c r="F446" s="18" t="inlineStr">
        <is>
          <t>7.66666666666667|7.66666666666667|7.66666666666667|7.66666666666667|7.66666666666667|7.66666666666667</t>
        </is>
      </c>
      <c r="G446" s="18" t="inlineStr">
        <is>
          <t>10001|277350$125001|170108$125007|2115</t>
        </is>
      </c>
      <c r="J446" s="26" t="inlineStr">
        <is>
          <t>造成六段伤害，每段伤害为[0]%</t>
        </is>
      </c>
      <c r="K446" s="18" t="n">
        <v>108</v>
      </c>
    </row>
    <row r="447">
      <c r="B447" s="18" t="n">
        <v>10444</v>
      </c>
      <c r="C447" s="21" t="inlineStr">
        <is>
          <t>212011</t>
        </is>
      </c>
      <c r="D447" s="18" t="inlineStr">
        <is>
          <t>月曜八荒</t>
        </is>
      </c>
      <c r="E447" s="18" t="inlineStr">
        <is>
          <t>44</t>
        </is>
      </c>
      <c r="F447" s="18" t="inlineStr">
        <is>
          <t>9.83333333333334|9.83333333333334|9.83333333333334|9.83333333333334|9.83333333333334|9.83333333333334</t>
        </is>
      </c>
      <c r="G447" s="18" t="inlineStr">
        <is>
          <t>10001|290400$125001|178112$125007|2189</t>
        </is>
      </c>
      <c r="J447" s="26" t="inlineStr">
        <is>
          <t>造成六段伤害，每段伤害为[0]%</t>
        </is>
      </c>
      <c r="K447" s="18" t="n">
        <v>110</v>
      </c>
    </row>
    <row r="448">
      <c r="B448" s="18" t="n">
        <v>10445</v>
      </c>
      <c r="C448" s="21" t="inlineStr">
        <is>
          <t>212011</t>
        </is>
      </c>
      <c r="D448" s="18" t="inlineStr">
        <is>
          <t>月曜八荒</t>
        </is>
      </c>
      <c r="E448" s="18" t="inlineStr">
        <is>
          <t>45</t>
        </is>
      </c>
      <c r="F448" s="18" t="inlineStr">
        <is>
          <t>12|12|12|12|12|12</t>
        </is>
      </c>
      <c r="G448" s="18" t="inlineStr">
        <is>
          <t>10001|303750$125001|186300$125007|2264</t>
        </is>
      </c>
      <c r="J448" s="26" t="inlineStr">
        <is>
          <t>造成六段伤害，每段伤害为[0]%</t>
        </is>
      </c>
      <c r="K448" s="18" t="n">
        <v>112</v>
      </c>
    </row>
    <row r="449">
      <c r="B449" s="18" t="n">
        <v>10446</v>
      </c>
      <c r="C449" s="21" t="inlineStr">
        <is>
          <t>212011</t>
        </is>
      </c>
      <c r="D449" s="18" t="inlineStr">
        <is>
          <t>月曜八荒</t>
        </is>
      </c>
      <c r="E449" s="18" t="inlineStr">
        <is>
          <t>46</t>
        </is>
      </c>
      <c r="F449" s="18" t="inlineStr">
        <is>
          <t>14.1666666666667|14.1666666666667|14.1666666666667|14.1666666666667|14.1666666666667|14.1666666666667</t>
        </is>
      </c>
      <c r="G449" s="18" t="inlineStr">
        <is>
          <t>10001|317400$125001|194672$125007|2340</t>
        </is>
      </c>
      <c r="J449" s="26" t="inlineStr">
        <is>
          <t>造成六段伤害，每段伤害为[0]%</t>
        </is>
      </c>
      <c r="K449" s="18" t="n">
        <v>114</v>
      </c>
    </row>
    <row r="450">
      <c r="B450" s="18" t="n">
        <v>10447</v>
      </c>
      <c r="C450" s="21" t="inlineStr">
        <is>
          <t>212011</t>
        </is>
      </c>
      <c r="D450" s="18" t="inlineStr">
        <is>
          <t>月曜八荒</t>
        </is>
      </c>
      <c r="E450" s="18" t="inlineStr">
        <is>
          <t>47</t>
        </is>
      </c>
      <c r="F450" s="18" t="inlineStr">
        <is>
          <t>16.3333333333333|16.3333333333333|16.3333333333333|16.3333333333333|16.3333333333333|16.3333333333333</t>
        </is>
      </c>
      <c r="G450" s="18" t="inlineStr">
        <is>
          <t>10001|331350$125001|203228$125007|2417</t>
        </is>
      </c>
      <c r="J450" s="26" t="inlineStr">
        <is>
          <t>造成六段伤害，每段伤害为[0]%</t>
        </is>
      </c>
      <c r="K450" s="18" t="n">
        <v>116</v>
      </c>
    </row>
    <row r="451">
      <c r="B451" s="18" t="n">
        <v>10448</v>
      </c>
      <c r="C451" s="21" t="inlineStr">
        <is>
          <t>212011</t>
        </is>
      </c>
      <c r="D451" s="18" t="inlineStr">
        <is>
          <t>月曜八荒</t>
        </is>
      </c>
      <c r="E451" s="18" t="inlineStr">
        <is>
          <t>48</t>
        </is>
      </c>
      <c r="F451" s="18" t="inlineStr">
        <is>
          <t>18.4999999999998|18.4999999999998|18.4999999999998|18.4999999999998|18.4999999999998|18.4999999999998</t>
        </is>
      </c>
      <c r="G451" s="18" t="inlineStr">
        <is>
          <t>10001|345600$125001|211968$125007|2494</t>
        </is>
      </c>
      <c r="J451" s="26" t="inlineStr">
        <is>
          <t>造成六段伤害，每段伤害为[0]%</t>
        </is>
      </c>
      <c r="K451" s="18" t="n">
        <v>119</v>
      </c>
    </row>
    <row r="452">
      <c r="B452" s="18" t="n">
        <v>10449</v>
      </c>
      <c r="C452" s="21" t="inlineStr">
        <is>
          <t>212011</t>
        </is>
      </c>
      <c r="D452" s="18" t="inlineStr">
        <is>
          <t>月曜八荒</t>
        </is>
      </c>
      <c r="E452" s="18" t="inlineStr">
        <is>
          <t>49</t>
        </is>
      </c>
      <c r="F452" s="18" t="inlineStr">
        <is>
          <t>20.6666666666665|20.6666666666665|20.6666666666665|20.6666666666665|20.6666666666665|20.6666666666665</t>
        </is>
      </c>
      <c r="G452" s="18" t="inlineStr">
        <is>
          <t>10001|360150$125001|220892$125007|2573</t>
        </is>
      </c>
      <c r="J452" s="26" t="inlineStr">
        <is>
          <t>造成六段伤害，每段伤害为[0]%</t>
        </is>
      </c>
      <c r="K452" s="18" t="n">
        <v>121</v>
      </c>
    </row>
    <row r="453">
      <c r="B453" s="18" t="n">
        <v>10450</v>
      </c>
      <c r="C453" s="21" t="inlineStr">
        <is>
          <t>212011</t>
        </is>
      </c>
      <c r="D453" s="18" t="inlineStr">
        <is>
          <t>月曜八荒</t>
        </is>
      </c>
      <c r="E453" s="18" t="inlineStr">
        <is>
          <t>50</t>
        </is>
      </c>
      <c r="F453" s="18" t="inlineStr">
        <is>
          <t>22.8333333333332|22.8333333333332|22.8333333333332|22.8333333333332|22.8333333333332|22.8333333333332</t>
        </is>
      </c>
      <c r="G453" s="18" t="inlineStr">
        <is>
          <t>10001|375000$125001|230000$125007|2652</t>
        </is>
      </c>
      <c r="J453" s="26" t="inlineStr">
        <is>
          <t>造成六段伤害，每段伤害为[0]%</t>
        </is>
      </c>
      <c r="K453" s="18" t="n">
        <v>123</v>
      </c>
    </row>
    <row r="454">
      <c r="B454" s="20" t="n">
        <v>10451</v>
      </c>
      <c r="C454" s="20" t="inlineStr">
        <is>
          <t>770001</t>
        </is>
      </c>
      <c r="D454" s="20" t="inlineStr">
        <is>
          <t>神念攻击</t>
        </is>
      </c>
      <c r="E454" s="20" t="inlineStr">
        <is>
          <t>1</t>
        </is>
      </c>
      <c r="F454" s="20" t="n">
        <v>0</v>
      </c>
      <c r="G454" s="20" t="inlineStr">
        <is>
          <t>10001|150$121001|92$121007|8</t>
        </is>
      </c>
      <c r="J454" s="29" t="inlineStr">
        <is>
          <t>造成一段伤害，每段伤害为[0]%</t>
        </is>
      </c>
      <c r="K454" s="18" t="n">
        <v>0</v>
      </c>
    </row>
    <row r="455">
      <c r="B455" s="20" t="n">
        <v>10452</v>
      </c>
      <c r="C455" s="20" t="inlineStr">
        <is>
          <t>770001</t>
        </is>
      </c>
      <c r="D455" s="20" t="inlineStr">
        <is>
          <t>神念攻击</t>
        </is>
      </c>
      <c r="E455" s="20" t="inlineStr">
        <is>
          <t>2</t>
        </is>
      </c>
      <c r="F455" s="20" t="n">
        <v>10.00000000000001</v>
      </c>
      <c r="G455" s="20" t="inlineStr">
        <is>
          <t>10001|600$121001|368$121007|21</t>
        </is>
      </c>
      <c r="J455" s="29" t="inlineStr">
        <is>
          <t>造成一段伤害，每段伤害为[0]%</t>
        </is>
      </c>
      <c r="K455" s="18" t="n">
        <v>10.00000000000001</v>
      </c>
    </row>
    <row r="456">
      <c r="B456" s="20" t="n">
        <v>10453</v>
      </c>
      <c r="C456" s="20" t="inlineStr">
        <is>
          <t>770001</t>
        </is>
      </c>
      <c r="D456" s="20" t="inlineStr">
        <is>
          <t>神念攻击</t>
        </is>
      </c>
      <c r="E456" s="20" t="inlineStr">
        <is>
          <t>3</t>
        </is>
      </c>
      <c r="F456" s="20" t="n">
        <v>20</v>
      </c>
      <c r="G456" s="20" t="inlineStr">
        <is>
          <t>10001|1350$121001|828$121007|39</t>
        </is>
      </c>
      <c r="J456" s="29" t="inlineStr">
        <is>
          <t>造成一段伤害，每段伤害为[0]%</t>
        </is>
      </c>
      <c r="K456" s="18" t="n">
        <v>20</v>
      </c>
    </row>
    <row r="457">
      <c r="B457" s="20" t="n">
        <v>10454</v>
      </c>
      <c r="C457" s="20" t="inlineStr">
        <is>
          <t>770001</t>
        </is>
      </c>
      <c r="D457" s="20" t="inlineStr">
        <is>
          <t>神念攻击</t>
        </is>
      </c>
      <c r="E457" s="20" t="inlineStr">
        <is>
          <t>4</t>
        </is>
      </c>
      <c r="F457" s="20" t="n">
        <v>30</v>
      </c>
      <c r="G457" s="20" t="inlineStr">
        <is>
          <t>10001|2400$121001|1472$121007|60</t>
        </is>
      </c>
      <c r="J457" s="29" t="inlineStr">
        <is>
          <t>造成一段伤害，每段伤害为[0]%</t>
        </is>
      </c>
      <c r="K457" s="18" t="n">
        <v>30</v>
      </c>
    </row>
    <row r="458">
      <c r="B458" s="20" t="n">
        <v>10455</v>
      </c>
      <c r="C458" s="20" t="inlineStr">
        <is>
          <t>770001</t>
        </is>
      </c>
      <c r="D458" s="20" t="inlineStr">
        <is>
          <t>神念攻击</t>
        </is>
      </c>
      <c r="E458" s="20" t="inlineStr">
        <is>
          <t>5</t>
        </is>
      </c>
      <c r="F458" s="20" t="n">
        <v>39.99999999999999</v>
      </c>
      <c r="G458" s="20" t="inlineStr">
        <is>
          <t>10001|3750$121001|2300$121007|84</t>
        </is>
      </c>
      <c r="J458" s="29" t="inlineStr">
        <is>
          <t>造成一段伤害，每段伤害为[0]%</t>
        </is>
      </c>
      <c r="K458" s="18" t="n">
        <v>39.99999999999999</v>
      </c>
    </row>
    <row r="459">
      <c r="B459" s="20" t="n">
        <v>10456</v>
      </c>
      <c r="C459" s="20" t="inlineStr">
        <is>
          <t>770001</t>
        </is>
      </c>
      <c r="D459" s="20" t="inlineStr">
        <is>
          <t>神念攻击</t>
        </is>
      </c>
      <c r="E459" s="20" t="inlineStr">
        <is>
          <t>6</t>
        </is>
      </c>
      <c r="F459" s="20" t="n">
        <v>50</v>
      </c>
      <c r="G459" s="20" t="inlineStr">
        <is>
          <t>10001|5400$121001|3312$121007|110</t>
        </is>
      </c>
      <c r="J459" s="29" t="inlineStr">
        <is>
          <t>造成一段伤害，每段伤害为[0]%</t>
        </is>
      </c>
      <c r="K459" s="18" t="n">
        <v>50</v>
      </c>
    </row>
    <row r="460">
      <c r="B460" s="20" t="n">
        <v>10457</v>
      </c>
      <c r="C460" s="20" t="inlineStr">
        <is>
          <t>770001</t>
        </is>
      </c>
      <c r="D460" s="20" t="inlineStr">
        <is>
          <t>神念攻击</t>
        </is>
      </c>
      <c r="E460" s="20" t="inlineStr">
        <is>
          <t>7</t>
        </is>
      </c>
      <c r="F460" s="20" t="n">
        <v>60.00000000000001</v>
      </c>
      <c r="G460" s="20" t="inlineStr">
        <is>
          <t>10001|7350$121001|4508$121007|139</t>
        </is>
      </c>
      <c r="J460" s="29" t="inlineStr">
        <is>
          <t>造成一段伤害，每段伤害为[0]%</t>
        </is>
      </c>
      <c r="K460" s="18" t="n">
        <v>60.00000000000001</v>
      </c>
    </row>
    <row r="461">
      <c r="B461" s="20" t="n">
        <v>10458</v>
      </c>
      <c r="C461" s="20" t="inlineStr">
        <is>
          <t>770001</t>
        </is>
      </c>
      <c r="D461" s="20" t="inlineStr">
        <is>
          <t>神念攻击</t>
        </is>
      </c>
      <c r="E461" s="20" t="inlineStr">
        <is>
          <t>8</t>
        </is>
      </c>
      <c r="F461" s="20" t="n">
        <v>70</v>
      </c>
      <c r="G461" s="20" t="inlineStr">
        <is>
          <t>10001|9600$121001|5888$121007|170</t>
        </is>
      </c>
      <c r="J461" s="29" t="inlineStr">
        <is>
          <t>造成一段伤害，每段伤害为[0]%</t>
        </is>
      </c>
      <c r="K461" s="18" t="n">
        <v>70</v>
      </c>
    </row>
    <row r="462">
      <c r="B462" s="20" t="n">
        <v>10459</v>
      </c>
      <c r="C462" s="20" t="inlineStr">
        <is>
          <t>770001</t>
        </is>
      </c>
      <c r="D462" s="20" t="inlineStr">
        <is>
          <t>神念攻击</t>
        </is>
      </c>
      <c r="E462" s="20" t="inlineStr">
        <is>
          <t>9</t>
        </is>
      </c>
      <c r="F462" s="20" t="n">
        <v>80</v>
      </c>
      <c r="G462" s="20" t="inlineStr">
        <is>
          <t>10001|12150$121001|7452$121007|203</t>
        </is>
      </c>
      <c r="J462" s="29" t="inlineStr">
        <is>
          <t>造成一段伤害，每段伤害为[0]%</t>
        </is>
      </c>
      <c r="K462" s="18" t="n">
        <v>80</v>
      </c>
    </row>
    <row r="463">
      <c r="B463" s="20" t="n">
        <v>10460</v>
      </c>
      <c r="C463" s="20" t="inlineStr">
        <is>
          <t>770001</t>
        </is>
      </c>
      <c r="D463" s="20" t="inlineStr">
        <is>
          <t>神念攻击</t>
        </is>
      </c>
      <c r="E463" s="20" t="inlineStr">
        <is>
          <t>10</t>
        </is>
      </c>
      <c r="F463" s="20" t="n">
        <v>89.99999999999999</v>
      </c>
      <c r="G463" s="20" t="inlineStr">
        <is>
          <t>10001|15000$122001|9200$122007|237</t>
        </is>
      </c>
      <c r="J463" s="29" t="inlineStr">
        <is>
          <t>造成一段伤害，每段伤害为[0]%</t>
        </is>
      </c>
      <c r="K463" s="18" t="n">
        <v>89.99999999999999</v>
      </c>
    </row>
    <row r="464">
      <c r="B464" s="20" t="n">
        <v>10461</v>
      </c>
      <c r="C464" s="20" t="inlineStr">
        <is>
          <t>770001</t>
        </is>
      </c>
      <c r="D464" s="20" t="inlineStr">
        <is>
          <t>神念攻击</t>
        </is>
      </c>
      <c r="E464" s="20" t="inlineStr">
        <is>
          <t>11</t>
        </is>
      </c>
      <c r="F464" s="20" t="n">
        <v>100</v>
      </c>
      <c r="G464" s="20" t="inlineStr">
        <is>
          <t>10001|18150$122001|11132$122007|274</t>
        </is>
      </c>
      <c r="J464" s="29" t="inlineStr">
        <is>
          <t>造成一段伤害，每段伤害为[0]%</t>
        </is>
      </c>
      <c r="K464" s="18" t="n">
        <v>100</v>
      </c>
    </row>
    <row r="465">
      <c r="B465" s="20" t="n">
        <v>10462</v>
      </c>
      <c r="C465" s="20" t="inlineStr">
        <is>
          <t>770001</t>
        </is>
      </c>
      <c r="D465" s="20" t="inlineStr">
        <is>
          <t>神念攻击</t>
        </is>
      </c>
      <c r="E465" s="20" t="inlineStr">
        <is>
          <t>12</t>
        </is>
      </c>
      <c r="F465" s="20" t="n">
        <v>110</v>
      </c>
      <c r="G465" s="20" t="inlineStr">
        <is>
          <t>10001|21600$122001|13248$122007|312</t>
        </is>
      </c>
      <c r="J465" s="29" t="inlineStr">
        <is>
          <t>造成一段伤害，每段伤害为[0]%</t>
        </is>
      </c>
      <c r="K465" s="18" t="n">
        <v>110</v>
      </c>
    </row>
    <row r="466">
      <c r="B466" s="20" t="n">
        <v>10463</v>
      </c>
      <c r="C466" s="20" t="inlineStr">
        <is>
          <t>770001</t>
        </is>
      </c>
      <c r="D466" s="20" t="inlineStr">
        <is>
          <t>神念攻击</t>
        </is>
      </c>
      <c r="E466" s="20" t="inlineStr">
        <is>
          <t>13</t>
        </is>
      </c>
      <c r="F466" s="20" t="n">
        <v>120</v>
      </c>
      <c r="G466" s="20" t="inlineStr">
        <is>
          <t>10001|25350$122001|15548$122007|352</t>
        </is>
      </c>
      <c r="J466" s="29" t="inlineStr">
        <is>
          <t>造成一段伤害，每段伤害为[0]%</t>
        </is>
      </c>
      <c r="K466" s="18" t="n">
        <v>120</v>
      </c>
    </row>
    <row r="467">
      <c r="B467" s="20" t="n">
        <v>10464</v>
      </c>
      <c r="C467" s="20" t="inlineStr">
        <is>
          <t>770001</t>
        </is>
      </c>
      <c r="D467" s="20" t="inlineStr">
        <is>
          <t>神念攻击</t>
        </is>
      </c>
      <c r="E467" s="20" t="inlineStr">
        <is>
          <t>14</t>
        </is>
      </c>
      <c r="F467" s="20" t="n">
        <v>130</v>
      </c>
      <c r="G467" s="20" t="inlineStr">
        <is>
          <t>10001|29400$122001|18032$122007|393</t>
        </is>
      </c>
      <c r="J467" s="29" t="inlineStr">
        <is>
          <t>造成一段伤害，每段伤害为[0]%</t>
        </is>
      </c>
      <c r="K467" s="18" t="n">
        <v>130</v>
      </c>
    </row>
    <row r="468">
      <c r="B468" s="20" t="n">
        <v>10465</v>
      </c>
      <c r="C468" s="20" t="inlineStr">
        <is>
          <t>770001</t>
        </is>
      </c>
      <c r="D468" s="20" t="inlineStr">
        <is>
          <t>神念攻击</t>
        </is>
      </c>
      <c r="E468" s="20" t="inlineStr">
        <is>
          <t>15</t>
        </is>
      </c>
      <c r="F468" s="20" t="n">
        <v>140</v>
      </c>
      <c r="G468" s="20" t="inlineStr">
        <is>
          <t>10001|33750$122001|20700$122007|436</t>
        </is>
      </c>
      <c r="J468" s="29" t="inlineStr">
        <is>
          <t>造成一段伤害，每段伤害为[0]%</t>
        </is>
      </c>
      <c r="K468" s="18" t="n">
        <v>140</v>
      </c>
    </row>
    <row r="469">
      <c r="B469" s="20" t="n">
        <v>10466</v>
      </c>
      <c r="C469" s="20" t="inlineStr">
        <is>
          <t>770001</t>
        </is>
      </c>
      <c r="D469" s="20" t="inlineStr">
        <is>
          <t>神念攻击</t>
        </is>
      </c>
      <c r="E469" s="20" t="inlineStr">
        <is>
          <t>16</t>
        </is>
      </c>
      <c r="F469" s="20" t="n">
        <v>150</v>
      </c>
      <c r="G469" s="20" t="inlineStr">
        <is>
          <t>10001|38400$122001|23552$122007|480</t>
        </is>
      </c>
      <c r="J469" s="29" t="inlineStr">
        <is>
          <t>造成一段伤害，每段伤害为[0]%</t>
        </is>
      </c>
      <c r="K469" s="18" t="n">
        <v>150</v>
      </c>
    </row>
    <row r="470">
      <c r="B470" s="20" t="n">
        <v>10467</v>
      </c>
      <c r="C470" s="20" t="inlineStr">
        <is>
          <t>770001</t>
        </is>
      </c>
      <c r="D470" s="20" t="inlineStr">
        <is>
          <t>神念攻击</t>
        </is>
      </c>
      <c r="E470" s="20" t="inlineStr">
        <is>
          <t>17</t>
        </is>
      </c>
      <c r="F470" s="20" t="n">
        <v>160</v>
      </c>
      <c r="G470" s="20" t="inlineStr">
        <is>
          <t>10001|43350$122001|26588$122007|526</t>
        </is>
      </c>
      <c r="J470" s="29" t="inlineStr">
        <is>
          <t>造成一段伤害，每段伤害为[0]%</t>
        </is>
      </c>
      <c r="K470" s="18" t="n">
        <v>160</v>
      </c>
    </row>
    <row r="471">
      <c r="B471" s="20" t="n">
        <v>10468</v>
      </c>
      <c r="C471" s="20" t="inlineStr">
        <is>
          <t>770001</t>
        </is>
      </c>
      <c r="D471" s="20" t="inlineStr">
        <is>
          <t>神念攻击</t>
        </is>
      </c>
      <c r="E471" s="20" t="inlineStr">
        <is>
          <t>18</t>
        </is>
      </c>
      <c r="F471" s="20" t="n">
        <v>170</v>
      </c>
      <c r="G471" s="20" t="inlineStr">
        <is>
          <t>10001|48600$122001|29808$122007|573</t>
        </is>
      </c>
      <c r="J471" s="29" t="inlineStr">
        <is>
          <t>造成一段伤害，每段伤害为[0]%</t>
        </is>
      </c>
      <c r="K471" s="18" t="n">
        <v>170</v>
      </c>
    </row>
    <row r="472">
      <c r="B472" s="20" t="n">
        <v>10469</v>
      </c>
      <c r="C472" s="20" t="inlineStr">
        <is>
          <t>770001</t>
        </is>
      </c>
      <c r="D472" s="20" t="inlineStr">
        <is>
          <t>神念攻击</t>
        </is>
      </c>
      <c r="E472" s="20" t="inlineStr">
        <is>
          <t>19</t>
        </is>
      </c>
      <c r="F472" s="20" t="n">
        <v>180</v>
      </c>
      <c r="G472" s="20" t="inlineStr">
        <is>
          <t>10001|54150$122001|33212$122007|621</t>
        </is>
      </c>
      <c r="J472" s="29" t="inlineStr">
        <is>
          <t>造成一段伤害，每段伤害为[0]%</t>
        </is>
      </c>
      <c r="K472" s="18" t="n">
        <v>180</v>
      </c>
    </row>
    <row r="473">
      <c r="B473" s="20" t="n">
        <v>10470</v>
      </c>
      <c r="C473" s="20" t="inlineStr">
        <is>
          <t>770001</t>
        </is>
      </c>
      <c r="D473" s="20" t="inlineStr">
        <is>
          <t>神念攻击</t>
        </is>
      </c>
      <c r="E473" s="20" t="inlineStr">
        <is>
          <t>20</t>
        </is>
      </c>
      <c r="F473" s="20" t="n">
        <v>190</v>
      </c>
      <c r="G473" s="20" t="inlineStr">
        <is>
          <t>10001|60000$123001|36800$123007|671</t>
        </is>
      </c>
      <c r="J473" s="29" t="inlineStr">
        <is>
          <t>造成一段伤害，每段伤害为[0]%</t>
        </is>
      </c>
      <c r="K473" s="18" t="n">
        <v>190</v>
      </c>
    </row>
    <row r="474">
      <c r="B474" s="20" t="n">
        <v>10471</v>
      </c>
      <c r="C474" s="20" t="inlineStr">
        <is>
          <t>770001</t>
        </is>
      </c>
      <c r="D474" s="20" t="inlineStr">
        <is>
          <t>神念攻击</t>
        </is>
      </c>
      <c r="E474" s="20" t="inlineStr">
        <is>
          <t>21</t>
        </is>
      </c>
      <c r="F474" s="20" t="n">
        <v>200</v>
      </c>
      <c r="G474" s="20" t="inlineStr">
        <is>
          <t>10001|66150$123001|40572$123007|722</t>
        </is>
      </c>
      <c r="J474" s="29" t="inlineStr">
        <is>
          <t>造成一段伤害，每段伤害为[0]%</t>
        </is>
      </c>
      <c r="K474" s="18" t="n">
        <v>200</v>
      </c>
    </row>
    <row r="475">
      <c r="B475" s="20" t="n">
        <v>10472</v>
      </c>
      <c r="C475" s="20" t="inlineStr">
        <is>
          <t>770001</t>
        </is>
      </c>
      <c r="D475" s="20" t="inlineStr">
        <is>
          <t>神念攻击</t>
        </is>
      </c>
      <c r="E475" s="20" t="inlineStr">
        <is>
          <t>22</t>
        </is>
      </c>
      <c r="F475" s="20" t="n">
        <v>210</v>
      </c>
      <c r="G475" s="20" t="inlineStr">
        <is>
          <t>10001|72600$123001|44528$123007|774</t>
        </is>
      </c>
      <c r="J475" s="29" t="inlineStr">
        <is>
          <t>造成一段伤害，每段伤害为[0]%</t>
        </is>
      </c>
      <c r="K475" s="18" t="n">
        <v>210</v>
      </c>
    </row>
    <row r="476">
      <c r="B476" s="20" t="n">
        <v>10473</v>
      </c>
      <c r="C476" s="20" t="inlineStr">
        <is>
          <t>770001</t>
        </is>
      </c>
      <c r="D476" s="20" t="inlineStr">
        <is>
          <t>神念攻击</t>
        </is>
      </c>
      <c r="E476" s="20" t="inlineStr">
        <is>
          <t>23</t>
        </is>
      </c>
      <c r="F476" s="20" t="n">
        <v>220</v>
      </c>
      <c r="G476" s="20" t="inlineStr">
        <is>
          <t>10001|79350$123001|48668$123007|827</t>
        </is>
      </c>
      <c r="J476" s="29" t="inlineStr">
        <is>
          <t>造成一段伤害，每段伤害为[0]%</t>
        </is>
      </c>
      <c r="K476" s="18" t="n">
        <v>220</v>
      </c>
    </row>
    <row r="477">
      <c r="B477" s="20" t="n">
        <v>10474</v>
      </c>
      <c r="C477" s="20" t="inlineStr">
        <is>
          <t>770001</t>
        </is>
      </c>
      <c r="D477" s="20" t="inlineStr">
        <is>
          <t>神念攻击</t>
        </is>
      </c>
      <c r="E477" s="20" t="inlineStr">
        <is>
          <t>24</t>
        </is>
      </c>
      <c r="F477" s="20" t="n">
        <v>230</v>
      </c>
      <c r="G477" s="20" t="inlineStr">
        <is>
          <t>10001|86400$123001|52992$123007|882</t>
        </is>
      </c>
      <c r="J477" s="29" t="inlineStr">
        <is>
          <t>造成一段伤害，每段伤害为[0]%</t>
        </is>
      </c>
      <c r="K477" s="18" t="n">
        <v>230</v>
      </c>
    </row>
    <row r="478">
      <c r="B478" s="20" t="n">
        <v>10475</v>
      </c>
      <c r="C478" s="20" t="inlineStr">
        <is>
          <t>770001</t>
        </is>
      </c>
      <c r="D478" s="20" t="inlineStr">
        <is>
          <t>神念攻击</t>
        </is>
      </c>
      <c r="E478" s="20" t="inlineStr">
        <is>
          <t>25</t>
        </is>
      </c>
      <c r="F478" s="20" t="n">
        <v>240</v>
      </c>
      <c r="G478" s="20" t="inlineStr">
        <is>
          <t>10001|93750$123001|57500$123007|938</t>
        </is>
      </c>
      <c r="J478" s="29" t="inlineStr">
        <is>
          <t>造成一段伤害，每段伤害为[0]%</t>
        </is>
      </c>
      <c r="K478" s="18" t="n">
        <v>240</v>
      </c>
    </row>
    <row r="479">
      <c r="B479" s="20" t="n">
        <v>10476</v>
      </c>
      <c r="C479" s="20" t="inlineStr">
        <is>
          <t>770001</t>
        </is>
      </c>
      <c r="D479" s="20" t="inlineStr">
        <is>
          <t>神念攻击</t>
        </is>
      </c>
      <c r="E479" s="20" t="inlineStr">
        <is>
          <t>26</t>
        </is>
      </c>
      <c r="F479" s="20" t="n">
        <v>250</v>
      </c>
      <c r="G479" s="20" t="inlineStr">
        <is>
          <t>10001|101400$123001|62192$123007|994</t>
        </is>
      </c>
      <c r="J479" s="29" t="inlineStr">
        <is>
          <t>造成一段伤害，每段伤害为[0]%</t>
        </is>
      </c>
      <c r="K479" s="18" t="n">
        <v>250</v>
      </c>
    </row>
    <row r="480">
      <c r="B480" s="20" t="n">
        <v>10477</v>
      </c>
      <c r="C480" s="20" t="inlineStr">
        <is>
          <t>770001</t>
        </is>
      </c>
      <c r="D480" s="20" t="inlineStr">
        <is>
          <t>神念攻击</t>
        </is>
      </c>
      <c r="E480" s="20" t="inlineStr">
        <is>
          <t>27</t>
        </is>
      </c>
      <c r="F480" s="20" t="n">
        <v>260</v>
      </c>
      <c r="G480" s="20" t="inlineStr">
        <is>
          <t>10001|109350$123001|67068$123007|1052</t>
        </is>
      </c>
      <c r="J480" s="29" t="inlineStr">
        <is>
          <t>造成一段伤害，每段伤害为[0]%</t>
        </is>
      </c>
      <c r="K480" s="18" t="n">
        <v>260</v>
      </c>
    </row>
    <row r="481">
      <c r="B481" s="20" t="n">
        <v>10478</v>
      </c>
      <c r="C481" s="20" t="inlineStr">
        <is>
          <t>770001</t>
        </is>
      </c>
      <c r="D481" s="20" t="inlineStr">
        <is>
          <t>神念攻击</t>
        </is>
      </c>
      <c r="E481" s="20" t="inlineStr">
        <is>
          <t>28</t>
        </is>
      </c>
      <c r="F481" s="20" t="n">
        <v>270</v>
      </c>
      <c r="G481" s="20" t="inlineStr">
        <is>
          <t>10001|117600$123001|72128$123007|1111</t>
        </is>
      </c>
      <c r="J481" s="29" t="inlineStr">
        <is>
          <t>造成一段伤害，每段伤害为[0]%</t>
        </is>
      </c>
      <c r="K481" s="18" t="n">
        <v>270</v>
      </c>
    </row>
    <row r="482">
      <c r="B482" s="20" t="n">
        <v>10479</v>
      </c>
      <c r="C482" s="20" t="inlineStr">
        <is>
          <t>770001</t>
        </is>
      </c>
      <c r="D482" s="20" t="inlineStr">
        <is>
          <t>神念攻击</t>
        </is>
      </c>
      <c r="E482" s="20" t="inlineStr">
        <is>
          <t>29</t>
        </is>
      </c>
      <c r="F482" s="20" t="n">
        <v>280</v>
      </c>
      <c r="G482" s="20" t="inlineStr">
        <is>
          <t>10001|126150$123001|77372$123007|1171</t>
        </is>
      </c>
      <c r="J482" s="29" t="inlineStr">
        <is>
          <t>造成一段伤害，每段伤害为[0]%</t>
        </is>
      </c>
      <c r="K482" s="18" t="n">
        <v>280</v>
      </c>
    </row>
    <row r="483">
      <c r="B483" s="20" t="n">
        <v>10480</v>
      </c>
      <c r="C483" s="20" t="inlineStr">
        <is>
          <t>770001</t>
        </is>
      </c>
      <c r="D483" s="20" t="inlineStr">
        <is>
          <t>神念攻击</t>
        </is>
      </c>
      <c r="E483" s="20" t="inlineStr">
        <is>
          <t>30</t>
        </is>
      </c>
      <c r="F483" s="20" t="n">
        <v>290</v>
      </c>
      <c r="G483" s="20" t="inlineStr">
        <is>
          <t>10001|135000$124001|82800$124007|1232</t>
        </is>
      </c>
      <c r="J483" s="29" t="inlineStr">
        <is>
          <t>造成一段伤害，每段伤害为[0]%</t>
        </is>
      </c>
      <c r="K483" s="18" t="n">
        <v>290</v>
      </c>
    </row>
    <row r="484">
      <c r="B484" s="20" t="n">
        <v>10481</v>
      </c>
      <c r="C484" s="20" t="inlineStr">
        <is>
          <t>770001</t>
        </is>
      </c>
      <c r="D484" s="20" t="inlineStr">
        <is>
          <t>神念攻击</t>
        </is>
      </c>
      <c r="E484" s="20" t="inlineStr">
        <is>
          <t>31</t>
        </is>
      </c>
      <c r="F484" s="20" t="n">
        <v>300</v>
      </c>
      <c r="G484" s="20" t="inlineStr">
        <is>
          <t>10001|144150$124001|88412$124007|1295</t>
        </is>
      </c>
      <c r="J484" s="29" t="inlineStr">
        <is>
          <t>造成一段伤害，每段伤害为[0]%</t>
        </is>
      </c>
      <c r="K484" s="18" t="n">
        <v>300</v>
      </c>
    </row>
    <row r="485">
      <c r="B485" s="20" t="n">
        <v>10482</v>
      </c>
      <c r="C485" s="20" t="inlineStr">
        <is>
          <t>770001</t>
        </is>
      </c>
      <c r="D485" s="20" t="inlineStr">
        <is>
          <t>神念攻击</t>
        </is>
      </c>
      <c r="E485" s="20" t="inlineStr">
        <is>
          <t>32</t>
        </is>
      </c>
      <c r="F485" s="20" t="n">
        <v>309.9999999999999</v>
      </c>
      <c r="G485" s="20" t="inlineStr">
        <is>
          <t>10001|153600$124001|94208$124007|1358</t>
        </is>
      </c>
      <c r="J485" s="29" t="inlineStr">
        <is>
          <t>造成一段伤害，每段伤害为[0]%</t>
        </is>
      </c>
      <c r="K485" s="18" t="n">
        <v>309.9999999999999</v>
      </c>
    </row>
    <row r="486">
      <c r="B486" s="20" t="n">
        <v>10483</v>
      </c>
      <c r="C486" s="20" t="inlineStr">
        <is>
          <t>770001</t>
        </is>
      </c>
      <c r="D486" s="20" t="inlineStr">
        <is>
          <t>神念攻击</t>
        </is>
      </c>
      <c r="E486" s="20" t="inlineStr">
        <is>
          <t>33</t>
        </is>
      </c>
      <c r="F486" s="20" t="n">
        <v>320</v>
      </c>
      <c r="G486" s="20" t="inlineStr">
        <is>
          <t>10001|163350$124001|100188$124007|1422</t>
        </is>
      </c>
      <c r="J486" s="29" t="inlineStr">
        <is>
          <t>造成一段伤害，每段伤害为[0]%</t>
        </is>
      </c>
      <c r="K486" s="18" t="n">
        <v>320</v>
      </c>
    </row>
    <row r="487">
      <c r="B487" s="20" t="n">
        <v>10484</v>
      </c>
      <c r="C487" s="20" t="inlineStr">
        <is>
          <t>770001</t>
        </is>
      </c>
      <c r="D487" s="20" t="inlineStr">
        <is>
          <t>神念攻击</t>
        </is>
      </c>
      <c r="E487" s="20" t="inlineStr">
        <is>
          <t>34</t>
        </is>
      </c>
      <c r="F487" s="20" t="n">
        <v>330</v>
      </c>
      <c r="G487" s="20" t="inlineStr">
        <is>
          <t>10001|173400$124001|106352$124007|1487</t>
        </is>
      </c>
      <c r="J487" s="29" t="inlineStr">
        <is>
          <t>造成一段伤害，每段伤害为[0]%</t>
        </is>
      </c>
      <c r="K487" s="18" t="n">
        <v>330</v>
      </c>
    </row>
    <row r="488">
      <c r="B488" s="20" t="n">
        <v>10485</v>
      </c>
      <c r="C488" s="20" t="inlineStr">
        <is>
          <t>770001</t>
        </is>
      </c>
      <c r="D488" s="20" t="inlineStr">
        <is>
          <t>神念攻击</t>
        </is>
      </c>
      <c r="E488" s="20" t="inlineStr">
        <is>
          <t>35</t>
        </is>
      </c>
      <c r="F488" s="20" t="n">
        <v>340.0000000000001</v>
      </c>
      <c r="G488" s="20" t="inlineStr">
        <is>
          <t>10001|183750$124001|112700$124007|1553</t>
        </is>
      </c>
      <c r="J488" s="29" t="inlineStr">
        <is>
          <t>造成一段伤害，每段伤害为[0]%</t>
        </is>
      </c>
      <c r="K488" s="18" t="n">
        <v>340.0000000000001</v>
      </c>
    </row>
    <row r="489">
      <c r="B489" s="20" t="n">
        <v>10486</v>
      </c>
      <c r="C489" s="20" t="inlineStr">
        <is>
          <t>770001</t>
        </is>
      </c>
      <c r="D489" s="20" t="inlineStr">
        <is>
          <t>神念攻击</t>
        </is>
      </c>
      <c r="E489" s="20" t="inlineStr">
        <is>
          <t>36</t>
        </is>
      </c>
      <c r="F489" s="20" t="n">
        <v>350</v>
      </c>
      <c r="G489" s="20" t="inlineStr">
        <is>
          <t>10001|194400$124001|119232$124007|1620</t>
        </is>
      </c>
      <c r="J489" s="29" t="inlineStr">
        <is>
          <t>造成一段伤害，每段伤害为[0]%</t>
        </is>
      </c>
      <c r="K489" s="18" t="n">
        <v>350</v>
      </c>
    </row>
    <row r="490">
      <c r="B490" s="20" t="n">
        <v>10487</v>
      </c>
      <c r="C490" s="20" t="inlineStr">
        <is>
          <t>770001</t>
        </is>
      </c>
      <c r="D490" s="20" t="inlineStr">
        <is>
          <t>神念攻击</t>
        </is>
      </c>
      <c r="E490" s="20" t="inlineStr">
        <is>
          <t>37</t>
        </is>
      </c>
      <c r="F490" s="20" t="n">
        <v>359.9999999999999</v>
      </c>
      <c r="G490" s="20" t="inlineStr">
        <is>
          <t>10001|205350$124001|125948$124007|1688</t>
        </is>
      </c>
      <c r="J490" s="29" t="inlineStr">
        <is>
          <t>造成一段伤害，每段伤害为[0]%</t>
        </is>
      </c>
      <c r="K490" s="18" t="n">
        <v>359.9999999999999</v>
      </c>
    </row>
    <row r="491">
      <c r="B491" s="20" t="n">
        <v>10488</v>
      </c>
      <c r="C491" s="20" t="inlineStr">
        <is>
          <t>770001</t>
        </is>
      </c>
      <c r="D491" s="20" t="inlineStr">
        <is>
          <t>神念攻击</t>
        </is>
      </c>
      <c r="E491" s="20" t="inlineStr">
        <is>
          <t>38</t>
        </is>
      </c>
      <c r="F491" s="20" t="n">
        <v>370</v>
      </c>
      <c r="G491" s="20" t="inlineStr">
        <is>
          <t>10001|216600$124001|132848$124007|1757</t>
        </is>
      </c>
      <c r="J491" s="29" t="inlineStr">
        <is>
          <t>造成一段伤害，每段伤害为[0]%</t>
        </is>
      </c>
      <c r="K491" s="18" t="n">
        <v>370</v>
      </c>
    </row>
    <row r="492">
      <c r="B492" s="20" t="n">
        <v>10489</v>
      </c>
      <c r="C492" s="20" t="inlineStr">
        <is>
          <t>770001</t>
        </is>
      </c>
      <c r="D492" s="20" t="inlineStr">
        <is>
          <t>神念攻击</t>
        </is>
      </c>
      <c r="E492" s="20" t="inlineStr">
        <is>
          <t>39</t>
        </is>
      </c>
      <c r="F492" s="20" t="n">
        <v>380</v>
      </c>
      <c r="G492" s="20" t="inlineStr">
        <is>
          <t>10001|228150$124001|139932$124007|1827</t>
        </is>
      </c>
      <c r="J492" s="29" t="inlineStr">
        <is>
          <t>造成一段伤害，每段伤害为[0]%</t>
        </is>
      </c>
      <c r="K492" s="18" t="n">
        <v>380</v>
      </c>
    </row>
    <row r="493">
      <c r="B493" s="20" t="n">
        <v>10490</v>
      </c>
      <c r="C493" s="20" t="inlineStr">
        <is>
          <t>770001</t>
        </is>
      </c>
      <c r="D493" s="20" t="inlineStr">
        <is>
          <t>神念攻击</t>
        </is>
      </c>
      <c r="E493" s="20" t="inlineStr">
        <is>
          <t>40</t>
        </is>
      </c>
      <c r="F493" s="20" t="n">
        <v>390.0000000000001</v>
      </c>
      <c r="G493" s="20" t="inlineStr">
        <is>
          <t>10001|240000$125001|147200$125007|1897</t>
        </is>
      </c>
      <c r="J493" s="29" t="inlineStr">
        <is>
          <t>造成一段伤害，每段伤害为[0]%</t>
        </is>
      </c>
      <c r="K493" s="18" t="n">
        <v>390.0000000000001</v>
      </c>
    </row>
    <row r="494">
      <c r="B494" s="20" t="n">
        <v>10491</v>
      </c>
      <c r="C494" s="20" t="inlineStr">
        <is>
          <t>770001</t>
        </is>
      </c>
      <c r="D494" s="20" t="inlineStr">
        <is>
          <t>神念攻击</t>
        </is>
      </c>
      <c r="E494" s="20" t="inlineStr">
        <is>
          <t>41</t>
        </is>
      </c>
      <c r="F494" s="20" t="n">
        <v>400</v>
      </c>
      <c r="G494" s="20" t="inlineStr">
        <is>
          <t>10001|252150$125001|154652$125007|1969</t>
        </is>
      </c>
      <c r="J494" s="29" t="inlineStr">
        <is>
          <t>造成一段伤害，每段伤害为[0]%</t>
        </is>
      </c>
      <c r="K494" s="18" t="n">
        <v>400</v>
      </c>
    </row>
    <row r="495">
      <c r="B495" s="20" t="n">
        <v>10492</v>
      </c>
      <c r="C495" s="20" t="inlineStr">
        <is>
          <t>770001</t>
        </is>
      </c>
      <c r="D495" s="20" t="inlineStr">
        <is>
          <t>神念攻击</t>
        </is>
      </c>
      <c r="E495" s="20" t="inlineStr">
        <is>
          <t>42</t>
        </is>
      </c>
      <c r="F495" s="20" t="n">
        <v>409.9999999999999</v>
      </c>
      <c r="G495" s="20" t="inlineStr">
        <is>
          <t>10001|264600$125001|162288$125007|2041</t>
        </is>
      </c>
      <c r="J495" s="29" t="inlineStr">
        <is>
          <t>造成一段伤害，每段伤害为[0]%</t>
        </is>
      </c>
      <c r="K495" s="18" t="n">
        <v>409.9999999999999</v>
      </c>
    </row>
    <row r="496">
      <c r="B496" s="20" t="n">
        <v>10493</v>
      </c>
      <c r="C496" s="20" t="inlineStr">
        <is>
          <t>770001</t>
        </is>
      </c>
      <c r="D496" s="20" t="inlineStr">
        <is>
          <t>神念攻击</t>
        </is>
      </c>
      <c r="E496" s="20" t="inlineStr">
        <is>
          <t>43</t>
        </is>
      </c>
      <c r="F496" s="20" t="n">
        <v>420</v>
      </c>
      <c r="G496" s="20" t="inlineStr">
        <is>
          <t>10001|277350$125001|170108$125007|2115</t>
        </is>
      </c>
      <c r="J496" s="29" t="inlineStr">
        <is>
          <t>造成一段伤害，每段伤害为[0]%</t>
        </is>
      </c>
      <c r="K496" s="18" t="n">
        <v>420</v>
      </c>
    </row>
    <row r="497">
      <c r="B497" s="20" t="n">
        <v>10494</v>
      </c>
      <c r="C497" s="20" t="inlineStr">
        <is>
          <t>770001</t>
        </is>
      </c>
      <c r="D497" s="20" t="inlineStr">
        <is>
          <t>神念攻击</t>
        </is>
      </c>
      <c r="E497" s="20" t="inlineStr">
        <is>
          <t>44</t>
        </is>
      </c>
      <c r="F497" s="20" t="n">
        <v>430</v>
      </c>
      <c r="G497" s="20" t="inlineStr">
        <is>
          <t>10001|290400$125001|178112$125007|2189</t>
        </is>
      </c>
      <c r="J497" s="29" t="inlineStr">
        <is>
          <t>造成一段伤害，每段伤害为[0]%</t>
        </is>
      </c>
      <c r="K497" s="18" t="n">
        <v>430</v>
      </c>
    </row>
    <row r="498">
      <c r="B498" s="20" t="n">
        <v>10495</v>
      </c>
      <c r="C498" s="20" t="inlineStr">
        <is>
          <t>770001</t>
        </is>
      </c>
      <c r="D498" s="20" t="inlineStr">
        <is>
          <t>神念攻击</t>
        </is>
      </c>
      <c r="E498" s="20" t="inlineStr">
        <is>
          <t>45</t>
        </is>
      </c>
      <c r="F498" s="20" t="n">
        <v>440.0000000000001</v>
      </c>
      <c r="G498" s="20" t="inlineStr">
        <is>
          <t>10001|303750$125001|186300$125007|2264</t>
        </is>
      </c>
      <c r="J498" s="29" t="inlineStr">
        <is>
          <t>造成一段伤害，每段伤害为[0]%</t>
        </is>
      </c>
      <c r="K498" s="18" t="n">
        <v>440.0000000000001</v>
      </c>
    </row>
    <row r="499">
      <c r="B499" s="20" t="n">
        <v>10496</v>
      </c>
      <c r="C499" s="20" t="inlineStr">
        <is>
          <t>770001</t>
        </is>
      </c>
      <c r="D499" s="20" t="inlineStr">
        <is>
          <t>神念攻击</t>
        </is>
      </c>
      <c r="E499" s="20" t="inlineStr">
        <is>
          <t>46</t>
        </is>
      </c>
      <c r="F499" s="20" t="n">
        <v>450</v>
      </c>
      <c r="G499" s="20" t="inlineStr">
        <is>
          <t>10001|317400$125001|194672$125007|2340</t>
        </is>
      </c>
      <c r="J499" s="29" t="inlineStr">
        <is>
          <t>造成一段伤害，每段伤害为[0]%</t>
        </is>
      </c>
      <c r="K499" s="18" t="n">
        <v>450</v>
      </c>
    </row>
    <row r="500">
      <c r="B500" s="20" t="n">
        <v>10497</v>
      </c>
      <c r="C500" s="20" t="inlineStr">
        <is>
          <t>770001</t>
        </is>
      </c>
      <c r="D500" s="20" t="inlineStr">
        <is>
          <t>神念攻击</t>
        </is>
      </c>
      <c r="E500" s="20" t="inlineStr">
        <is>
          <t>47</t>
        </is>
      </c>
      <c r="F500" s="20" t="n">
        <v>459.9999999999999</v>
      </c>
      <c r="G500" s="20" t="inlineStr">
        <is>
          <t>10001|331350$125001|203228$125007|2417</t>
        </is>
      </c>
      <c r="J500" s="29" t="inlineStr">
        <is>
          <t>造成一段伤害，每段伤害为[0]%</t>
        </is>
      </c>
      <c r="K500" s="18" t="n">
        <v>459.9999999999999</v>
      </c>
    </row>
    <row r="501">
      <c r="B501" s="20" t="n">
        <v>10498</v>
      </c>
      <c r="C501" s="20" t="inlineStr">
        <is>
          <t>770001</t>
        </is>
      </c>
      <c r="D501" s="20" t="inlineStr">
        <is>
          <t>神念攻击</t>
        </is>
      </c>
      <c r="E501" s="20" t="inlineStr">
        <is>
          <t>48</t>
        </is>
      </c>
      <c r="F501" s="20" t="n">
        <v>470</v>
      </c>
      <c r="G501" s="20" t="inlineStr">
        <is>
          <t>10001|345600$125001|211968$125007|2494</t>
        </is>
      </c>
      <c r="J501" s="29" t="inlineStr">
        <is>
          <t>造成一段伤害，每段伤害为[0]%</t>
        </is>
      </c>
      <c r="K501" s="18" t="n">
        <v>470</v>
      </c>
    </row>
    <row r="502">
      <c r="B502" s="20" t="n">
        <v>10499</v>
      </c>
      <c r="C502" s="20" t="inlineStr">
        <is>
          <t>770001</t>
        </is>
      </c>
      <c r="D502" s="20" t="inlineStr">
        <is>
          <t>神念攻击</t>
        </is>
      </c>
      <c r="E502" s="20" t="inlineStr">
        <is>
          <t>49</t>
        </is>
      </c>
      <c r="F502" s="20" t="n">
        <v>480</v>
      </c>
      <c r="G502" s="20" t="inlineStr">
        <is>
          <t>10001|360150$125001|220892$125007|2573</t>
        </is>
      </c>
      <c r="J502" s="29" t="inlineStr">
        <is>
          <t>造成一段伤害，每段伤害为[0]%</t>
        </is>
      </c>
      <c r="K502" s="18" t="n">
        <v>480</v>
      </c>
    </row>
    <row r="503">
      <c r="B503" s="20" t="n">
        <v>10500</v>
      </c>
      <c r="C503" s="20" t="inlineStr">
        <is>
          <t>770001</t>
        </is>
      </c>
      <c r="D503" s="20" t="inlineStr">
        <is>
          <t>神念攻击</t>
        </is>
      </c>
      <c r="E503" s="20" t="inlineStr">
        <is>
          <t>50</t>
        </is>
      </c>
      <c r="F503" s="20" t="n">
        <v>490.0000000000001</v>
      </c>
      <c r="G503" s="20" t="inlineStr">
        <is>
          <t>10001|375000$125001|230000$125007|2652</t>
        </is>
      </c>
      <c r="J503" s="29" t="inlineStr">
        <is>
          <t>造成一段伤害，每段伤害为[0]%</t>
        </is>
      </c>
      <c r="K503" s="18" t="n">
        <v>490.0000000000001</v>
      </c>
    </row>
    <row r="504">
      <c r="B504" s="20" t="n">
        <v>10501</v>
      </c>
      <c r="C504" s="23" t="inlineStr">
        <is>
          <t>110002</t>
        </is>
      </c>
      <c r="D504" s="28" t="inlineStr">
        <is>
          <t>雾瘴爆裂</t>
        </is>
      </c>
      <c r="E504" s="20" t="inlineStr">
        <is>
          <t>1</t>
        </is>
      </c>
      <c r="F504" s="20" t="n">
        <v>100</v>
      </c>
      <c r="G504" s="20" t="inlineStr">
        <is>
          <t>10001|150$121001|92$121007|8</t>
        </is>
      </c>
      <c r="J504" s="29" t="inlineStr">
        <is>
          <t>造成一段伤害，每段伤害为[0]%</t>
        </is>
      </c>
      <c r="K504" s="18" t="n">
        <v>200</v>
      </c>
    </row>
    <row r="505">
      <c r="B505" s="20" t="n">
        <v>10502</v>
      </c>
      <c r="C505" s="23" t="inlineStr">
        <is>
          <t>110002</t>
        </is>
      </c>
      <c r="D505" s="28" t="inlineStr">
        <is>
          <t>雾瘴爆裂</t>
        </is>
      </c>
      <c r="E505" s="20" t="inlineStr">
        <is>
          <t>2</t>
        </is>
      </c>
      <c r="F505" s="20" t="n">
        <v>120</v>
      </c>
      <c r="G505" s="20" t="inlineStr">
        <is>
          <t>10001|600$121001|368$121007|21</t>
        </is>
      </c>
      <c r="J505" s="29" t="inlineStr">
        <is>
          <t>造成一段伤害，每段伤害为[0]%</t>
        </is>
      </c>
      <c r="K505" s="18" t="n">
        <v>220</v>
      </c>
    </row>
    <row r="506">
      <c r="B506" s="20" t="n">
        <v>10503</v>
      </c>
      <c r="C506" s="23" t="inlineStr">
        <is>
          <t>110002</t>
        </is>
      </c>
      <c r="D506" s="28" t="inlineStr">
        <is>
          <t>雾瘴爆裂</t>
        </is>
      </c>
      <c r="E506" s="20" t="inlineStr">
        <is>
          <t>3</t>
        </is>
      </c>
      <c r="F506" s="20" t="n">
        <v>140</v>
      </c>
      <c r="G506" s="20" t="inlineStr">
        <is>
          <t>10001|1350$121001|828$121007|39</t>
        </is>
      </c>
      <c r="J506" s="29" t="inlineStr">
        <is>
          <t>造成一段伤害，每段伤害为[0]%</t>
        </is>
      </c>
      <c r="K506" s="18" t="n">
        <v>240</v>
      </c>
    </row>
    <row r="507">
      <c r="B507" s="20" t="n">
        <v>10504</v>
      </c>
      <c r="C507" s="23" t="inlineStr">
        <is>
          <t>110002</t>
        </is>
      </c>
      <c r="D507" s="28" t="inlineStr">
        <is>
          <t>雾瘴爆裂</t>
        </is>
      </c>
      <c r="E507" s="20" t="inlineStr">
        <is>
          <t>4</t>
        </is>
      </c>
      <c r="F507" s="20" t="n">
        <v>160</v>
      </c>
      <c r="G507" s="20" t="inlineStr">
        <is>
          <t>10001|2400$121001|1472$121007|60</t>
        </is>
      </c>
      <c r="J507" s="29" t="inlineStr">
        <is>
          <t>造成一段伤害，每段伤害为[0]%</t>
        </is>
      </c>
      <c r="K507" s="18" t="n">
        <v>260</v>
      </c>
    </row>
    <row r="508">
      <c r="B508" s="20" t="n">
        <v>10505</v>
      </c>
      <c r="C508" s="23" t="inlineStr">
        <is>
          <t>110002</t>
        </is>
      </c>
      <c r="D508" s="28" t="inlineStr">
        <is>
          <t>雾瘴爆裂</t>
        </is>
      </c>
      <c r="E508" s="20" t="inlineStr">
        <is>
          <t>5</t>
        </is>
      </c>
      <c r="F508" s="20" t="n">
        <v>180</v>
      </c>
      <c r="G508" s="20" t="inlineStr">
        <is>
          <t>10001|3750$121001|2300$121007|84</t>
        </is>
      </c>
      <c r="J508" s="29" t="inlineStr">
        <is>
          <t>造成一段伤害，每段伤害为[0]%</t>
        </is>
      </c>
      <c r="K508" s="18" t="n">
        <v>280</v>
      </c>
    </row>
    <row r="509">
      <c r="B509" s="20" t="n">
        <v>10506</v>
      </c>
      <c r="C509" s="23" t="inlineStr">
        <is>
          <t>110002</t>
        </is>
      </c>
      <c r="D509" s="28" t="inlineStr">
        <is>
          <t>雾瘴爆裂</t>
        </is>
      </c>
      <c r="E509" s="20" t="inlineStr">
        <is>
          <t>6</t>
        </is>
      </c>
      <c r="F509" s="20" t="n">
        <v>200</v>
      </c>
      <c r="G509" s="20" t="inlineStr">
        <is>
          <t>10001|5400$121001|3312$121007|110</t>
        </is>
      </c>
      <c r="J509" s="29" t="inlineStr">
        <is>
          <t>造成一段伤害，每段伤害为[0]%</t>
        </is>
      </c>
      <c r="K509" s="18" t="n">
        <v>300</v>
      </c>
    </row>
    <row r="510">
      <c r="B510" s="20" t="n">
        <v>10507</v>
      </c>
      <c r="C510" s="23" t="inlineStr">
        <is>
          <t>110002</t>
        </is>
      </c>
      <c r="D510" s="28" t="inlineStr">
        <is>
          <t>雾瘴爆裂</t>
        </is>
      </c>
      <c r="E510" s="20" t="inlineStr">
        <is>
          <t>7</t>
        </is>
      </c>
      <c r="F510" s="20" t="n">
        <v>220</v>
      </c>
      <c r="G510" s="20" t="inlineStr">
        <is>
          <t>10001|7350$121001|4508$121007|139</t>
        </is>
      </c>
      <c r="J510" s="29" t="inlineStr">
        <is>
          <t>造成一段伤害，每段伤害为[0]%</t>
        </is>
      </c>
      <c r="K510" s="18" t="n">
        <v>320</v>
      </c>
    </row>
    <row r="511">
      <c r="B511" s="20" t="n">
        <v>10508</v>
      </c>
      <c r="C511" s="23" t="inlineStr">
        <is>
          <t>110002</t>
        </is>
      </c>
      <c r="D511" s="28" t="inlineStr">
        <is>
          <t>雾瘴爆裂</t>
        </is>
      </c>
      <c r="E511" s="20" t="inlineStr">
        <is>
          <t>8</t>
        </is>
      </c>
      <c r="F511" s="20" t="n">
        <v>240</v>
      </c>
      <c r="G511" s="20" t="inlineStr">
        <is>
          <t>10001|9600$121001|5888$121007|170</t>
        </is>
      </c>
      <c r="J511" s="29" t="inlineStr">
        <is>
          <t>造成一段伤害，每段伤害为[0]%</t>
        </is>
      </c>
      <c r="K511" s="18" t="n">
        <v>340</v>
      </c>
    </row>
    <row r="512">
      <c r="B512" s="20" t="n">
        <v>10509</v>
      </c>
      <c r="C512" s="23" t="inlineStr">
        <is>
          <t>110002</t>
        </is>
      </c>
      <c r="D512" s="28" t="inlineStr">
        <is>
          <t>雾瘴爆裂</t>
        </is>
      </c>
      <c r="E512" s="20" t="inlineStr">
        <is>
          <t>9</t>
        </is>
      </c>
      <c r="F512" s="20" t="n">
        <v>260</v>
      </c>
      <c r="G512" s="20" t="inlineStr">
        <is>
          <t>10001|12150$121001|7452$121007|203</t>
        </is>
      </c>
      <c r="J512" s="29" t="inlineStr">
        <is>
          <t>造成一段伤害，每段伤害为[0]%</t>
        </is>
      </c>
      <c r="K512" s="18" t="n">
        <v>360</v>
      </c>
    </row>
    <row r="513">
      <c r="B513" s="20" t="n">
        <v>10510</v>
      </c>
      <c r="C513" s="23" t="inlineStr">
        <is>
          <t>110002</t>
        </is>
      </c>
      <c r="D513" s="28" t="inlineStr">
        <is>
          <t>雾瘴爆裂</t>
        </is>
      </c>
      <c r="E513" s="20" t="inlineStr">
        <is>
          <t>10</t>
        </is>
      </c>
      <c r="F513" s="20" t="n">
        <v>280</v>
      </c>
      <c r="G513" s="20" t="inlineStr">
        <is>
          <t>10001|15000$122001|9200$122007|237</t>
        </is>
      </c>
      <c r="J513" s="29" t="inlineStr">
        <is>
          <t>造成一段伤害，每段伤害为[0]%</t>
        </is>
      </c>
      <c r="K513" s="18" t="n">
        <v>380</v>
      </c>
    </row>
    <row r="514">
      <c r="B514" s="20" t="n">
        <v>10511</v>
      </c>
      <c r="C514" s="23" t="inlineStr">
        <is>
          <t>110002</t>
        </is>
      </c>
      <c r="D514" s="28" t="inlineStr">
        <is>
          <t>雾瘴爆裂</t>
        </is>
      </c>
      <c r="E514" s="20" t="inlineStr">
        <is>
          <t>11</t>
        </is>
      </c>
      <c r="F514" s="20" t="n">
        <v>300</v>
      </c>
      <c r="G514" s="20" t="inlineStr">
        <is>
          <t>10001|18150$122001|11132$122007|274</t>
        </is>
      </c>
      <c r="J514" s="29" t="inlineStr">
        <is>
          <t>造成一段伤害，每段伤害为[0]%</t>
        </is>
      </c>
      <c r="K514" s="18" t="n">
        <v>400</v>
      </c>
    </row>
    <row r="515">
      <c r="B515" s="20" t="n">
        <v>10512</v>
      </c>
      <c r="C515" s="23" t="inlineStr">
        <is>
          <t>110002</t>
        </is>
      </c>
      <c r="D515" s="28" t="inlineStr">
        <is>
          <t>雾瘴爆裂</t>
        </is>
      </c>
      <c r="E515" s="20" t="inlineStr">
        <is>
          <t>12</t>
        </is>
      </c>
      <c r="F515" s="20" t="n">
        <v>320</v>
      </c>
      <c r="G515" s="20" t="inlineStr">
        <is>
          <t>10001|21600$122001|13248$122007|312</t>
        </is>
      </c>
      <c r="J515" s="29" t="inlineStr">
        <is>
          <t>造成一段伤害，每段伤害为[0]%</t>
        </is>
      </c>
      <c r="K515" s="18" t="n">
        <v>420</v>
      </c>
    </row>
    <row r="516">
      <c r="B516" s="20" t="n">
        <v>10513</v>
      </c>
      <c r="C516" s="23" t="inlineStr">
        <is>
          <t>110002</t>
        </is>
      </c>
      <c r="D516" s="28" t="inlineStr">
        <is>
          <t>雾瘴爆裂</t>
        </is>
      </c>
      <c r="E516" s="20" t="inlineStr">
        <is>
          <t>13</t>
        </is>
      </c>
      <c r="F516" s="20" t="n">
        <v>340.0000000000001</v>
      </c>
      <c r="G516" s="20" t="inlineStr">
        <is>
          <t>10001|25350$122001|15548$122007|352</t>
        </is>
      </c>
      <c r="J516" s="29" t="inlineStr">
        <is>
          <t>造成一段伤害，每段伤害为[0]%</t>
        </is>
      </c>
      <c r="K516" s="18" t="n">
        <v>440</v>
      </c>
    </row>
    <row r="517">
      <c r="B517" s="20" t="n">
        <v>10514</v>
      </c>
      <c r="C517" s="23" t="inlineStr">
        <is>
          <t>110002</t>
        </is>
      </c>
      <c r="D517" s="28" t="inlineStr">
        <is>
          <t>雾瘴爆裂</t>
        </is>
      </c>
      <c r="E517" s="20" t="inlineStr">
        <is>
          <t>14</t>
        </is>
      </c>
      <c r="F517" s="20" t="n">
        <v>359.9999999999999</v>
      </c>
      <c r="G517" s="20" t="inlineStr">
        <is>
          <t>10001|29400$122001|18032$122007|393</t>
        </is>
      </c>
      <c r="J517" s="29" t="inlineStr">
        <is>
          <t>造成一段伤害，每段伤害为[0]%</t>
        </is>
      </c>
      <c r="K517" s="18" t="n">
        <v>460</v>
      </c>
    </row>
    <row r="518">
      <c r="B518" s="20" t="n">
        <v>10515</v>
      </c>
      <c r="C518" s="23" t="inlineStr">
        <is>
          <t>110002</t>
        </is>
      </c>
      <c r="D518" s="28" t="inlineStr">
        <is>
          <t>雾瘴爆裂</t>
        </is>
      </c>
      <c r="E518" s="20" t="inlineStr">
        <is>
          <t>15</t>
        </is>
      </c>
      <c r="F518" s="20" t="n">
        <v>380</v>
      </c>
      <c r="G518" s="20" t="inlineStr">
        <is>
          <t>10001|33750$122001|20700$122007|436</t>
        </is>
      </c>
      <c r="J518" s="29" t="inlineStr">
        <is>
          <t>造成一段伤害，每段伤害为[0]%</t>
        </is>
      </c>
      <c r="K518" s="18" t="n">
        <v>480</v>
      </c>
    </row>
    <row r="519">
      <c r="B519" s="20" t="n">
        <v>10516</v>
      </c>
      <c r="C519" s="23" t="inlineStr">
        <is>
          <t>110002</t>
        </is>
      </c>
      <c r="D519" s="28" t="inlineStr">
        <is>
          <t>雾瘴爆裂</t>
        </is>
      </c>
      <c r="E519" s="20" t="inlineStr">
        <is>
          <t>16</t>
        </is>
      </c>
      <c r="F519" s="20" t="n">
        <v>400</v>
      </c>
      <c r="G519" s="20" t="inlineStr">
        <is>
          <t>10001|38400$122001|23552$122007|480</t>
        </is>
      </c>
      <c r="J519" s="29" t="inlineStr">
        <is>
          <t>造成一段伤害，每段伤害为[0]%</t>
        </is>
      </c>
      <c r="K519" s="18" t="n">
        <v>500</v>
      </c>
    </row>
    <row r="520">
      <c r="B520" s="20" t="n">
        <v>10517</v>
      </c>
      <c r="C520" s="23" t="inlineStr">
        <is>
          <t>110002</t>
        </is>
      </c>
      <c r="D520" s="28" t="inlineStr">
        <is>
          <t>雾瘴爆裂</t>
        </is>
      </c>
      <c r="E520" s="20" t="inlineStr">
        <is>
          <t>17</t>
        </is>
      </c>
      <c r="F520" s="20" t="n">
        <v>420</v>
      </c>
      <c r="G520" s="20" t="inlineStr">
        <is>
          <t>10001|43350$122001|26588$122007|526</t>
        </is>
      </c>
      <c r="J520" s="29" t="inlineStr">
        <is>
          <t>造成一段伤害，每段伤害为[0]%</t>
        </is>
      </c>
      <c r="K520" s="18" t="n">
        <v>520</v>
      </c>
    </row>
    <row r="521">
      <c r="B521" s="20" t="n">
        <v>10518</v>
      </c>
      <c r="C521" s="23" t="inlineStr">
        <is>
          <t>110002</t>
        </is>
      </c>
      <c r="D521" s="28" t="inlineStr">
        <is>
          <t>雾瘴爆裂</t>
        </is>
      </c>
      <c r="E521" s="20" t="inlineStr">
        <is>
          <t>18</t>
        </is>
      </c>
      <c r="F521" s="20" t="n">
        <v>440.0000000000001</v>
      </c>
      <c r="G521" s="20" t="inlineStr">
        <is>
          <t>10001|48600$122001|29808$122007|573</t>
        </is>
      </c>
      <c r="J521" s="29" t="inlineStr">
        <is>
          <t>造成一段伤害，每段伤害为[0]%</t>
        </is>
      </c>
      <c r="K521" s="18" t="n">
        <v>540</v>
      </c>
    </row>
    <row r="522">
      <c r="B522" s="20" t="n">
        <v>10519</v>
      </c>
      <c r="C522" s="23" t="inlineStr">
        <is>
          <t>110002</t>
        </is>
      </c>
      <c r="D522" s="28" t="inlineStr">
        <is>
          <t>雾瘴爆裂</t>
        </is>
      </c>
      <c r="E522" s="20" t="inlineStr">
        <is>
          <t>19</t>
        </is>
      </c>
      <c r="F522" s="20" t="n">
        <v>459.9999999999999</v>
      </c>
      <c r="G522" s="20" t="inlineStr">
        <is>
          <t>10001|54150$122001|33212$122007|621</t>
        </is>
      </c>
      <c r="J522" s="29" t="inlineStr">
        <is>
          <t>造成一段伤害，每段伤害为[0]%</t>
        </is>
      </c>
      <c r="K522" s="18" t="n">
        <v>560</v>
      </c>
    </row>
    <row r="523">
      <c r="B523" s="20" t="n">
        <v>10520</v>
      </c>
      <c r="C523" s="23" t="inlineStr">
        <is>
          <t>110002</t>
        </is>
      </c>
      <c r="D523" s="28" t="inlineStr">
        <is>
          <t>雾瘴爆裂</t>
        </is>
      </c>
      <c r="E523" s="20" t="inlineStr">
        <is>
          <t>20</t>
        </is>
      </c>
      <c r="F523" s="20" t="n">
        <v>480</v>
      </c>
      <c r="G523" s="20" t="inlineStr">
        <is>
          <t>10001|60000$123001|36800$123007|671</t>
        </is>
      </c>
      <c r="J523" s="29" t="inlineStr">
        <is>
          <t>造成一段伤害，每段伤害为[0]%</t>
        </is>
      </c>
      <c r="K523" s="18" t="n">
        <v>580</v>
      </c>
    </row>
    <row r="524">
      <c r="B524" s="20" t="n">
        <v>10521</v>
      </c>
      <c r="C524" s="23" t="inlineStr">
        <is>
          <t>110002</t>
        </is>
      </c>
      <c r="D524" s="28" t="inlineStr">
        <is>
          <t>雾瘴爆裂</t>
        </is>
      </c>
      <c r="E524" s="20" t="inlineStr">
        <is>
          <t>21</t>
        </is>
      </c>
      <c r="F524" s="20" t="n">
        <v>500</v>
      </c>
      <c r="G524" s="20" t="inlineStr">
        <is>
          <t>10001|66150$123001|40572$123007|722</t>
        </is>
      </c>
      <c r="J524" s="29" t="inlineStr">
        <is>
          <t>造成一段伤害，每段伤害为[0]%</t>
        </is>
      </c>
      <c r="K524" s="18" t="n">
        <v>600</v>
      </c>
    </row>
    <row r="525">
      <c r="B525" s="20" t="n">
        <v>10522</v>
      </c>
      <c r="C525" s="23" t="inlineStr">
        <is>
          <t>110002</t>
        </is>
      </c>
      <c r="D525" s="28" t="inlineStr">
        <is>
          <t>雾瘴爆裂</t>
        </is>
      </c>
      <c r="E525" s="20" t="inlineStr">
        <is>
          <t>22</t>
        </is>
      </c>
      <c r="F525" s="20" t="n">
        <v>520</v>
      </c>
      <c r="G525" s="20" t="inlineStr">
        <is>
          <t>10001|72600$123001|44528$123007|774</t>
        </is>
      </c>
      <c r="J525" s="29" t="inlineStr">
        <is>
          <t>造成一段伤害，每段伤害为[0]%</t>
        </is>
      </c>
      <c r="K525" s="18" t="n">
        <v>620</v>
      </c>
    </row>
    <row r="526">
      <c r="B526" s="20" t="n">
        <v>10523</v>
      </c>
      <c r="C526" s="23" t="inlineStr">
        <is>
          <t>110002</t>
        </is>
      </c>
      <c r="D526" s="28" t="inlineStr">
        <is>
          <t>雾瘴爆裂</t>
        </is>
      </c>
      <c r="E526" s="20" t="inlineStr">
        <is>
          <t>23</t>
        </is>
      </c>
      <c r="F526" s="20" t="n">
        <v>540</v>
      </c>
      <c r="G526" s="20" t="inlineStr">
        <is>
          <t>10001|79350$123001|48668$123007|827</t>
        </is>
      </c>
      <c r="J526" s="29" t="inlineStr">
        <is>
          <t>造成一段伤害，每段伤害为[0]%</t>
        </is>
      </c>
      <c r="K526" s="18" t="n">
        <v>640</v>
      </c>
    </row>
    <row r="527">
      <c r="B527" s="20" t="n">
        <v>10524</v>
      </c>
      <c r="C527" s="23" t="inlineStr">
        <is>
          <t>110002</t>
        </is>
      </c>
      <c r="D527" s="28" t="inlineStr">
        <is>
          <t>雾瘴爆裂</t>
        </is>
      </c>
      <c r="E527" s="20" t="inlineStr">
        <is>
          <t>24</t>
        </is>
      </c>
      <c r="F527" s="20" t="n">
        <v>560</v>
      </c>
      <c r="G527" s="20" t="inlineStr">
        <is>
          <t>10001|86400$123001|52992$123007|882</t>
        </is>
      </c>
      <c r="J527" s="29" t="inlineStr">
        <is>
          <t>造成一段伤害，每段伤害为[0]%</t>
        </is>
      </c>
      <c r="K527" s="18" t="n">
        <v>660</v>
      </c>
    </row>
    <row r="528">
      <c r="B528" s="20" t="n">
        <v>10525</v>
      </c>
      <c r="C528" s="23" t="inlineStr">
        <is>
          <t>110002</t>
        </is>
      </c>
      <c r="D528" s="28" t="inlineStr">
        <is>
          <t>雾瘴爆裂</t>
        </is>
      </c>
      <c r="E528" s="20" t="inlineStr">
        <is>
          <t>25</t>
        </is>
      </c>
      <c r="F528" s="20" t="n">
        <v>580</v>
      </c>
      <c r="G528" s="20" t="inlineStr">
        <is>
          <t>10001|93750$123001|57500$123007|938</t>
        </is>
      </c>
      <c r="J528" s="29" t="inlineStr">
        <is>
          <t>造成一段伤害，每段伤害为[0]%</t>
        </is>
      </c>
      <c r="K528" s="18" t="n">
        <v>680</v>
      </c>
    </row>
    <row r="529">
      <c r="B529" s="20" t="n">
        <v>10526</v>
      </c>
      <c r="C529" s="23" t="inlineStr">
        <is>
          <t>110002</t>
        </is>
      </c>
      <c r="D529" s="28" t="inlineStr">
        <is>
          <t>雾瘴爆裂</t>
        </is>
      </c>
      <c r="E529" s="20" t="inlineStr">
        <is>
          <t>26</t>
        </is>
      </c>
      <c r="F529" s="20" t="n">
        <v>600</v>
      </c>
      <c r="G529" s="20" t="inlineStr">
        <is>
          <t>10001|101400$123001|62192$123007|994</t>
        </is>
      </c>
      <c r="J529" s="29" t="inlineStr">
        <is>
          <t>造成一段伤害，每段伤害为[0]%</t>
        </is>
      </c>
      <c r="K529" s="18" t="n">
        <v>700</v>
      </c>
    </row>
    <row r="530">
      <c r="B530" s="20" t="n">
        <v>10527</v>
      </c>
      <c r="C530" s="23" t="inlineStr">
        <is>
          <t>110002</t>
        </is>
      </c>
      <c r="D530" s="28" t="inlineStr">
        <is>
          <t>雾瘴爆裂</t>
        </is>
      </c>
      <c r="E530" s="20" t="inlineStr">
        <is>
          <t>27</t>
        </is>
      </c>
      <c r="F530" s="20" t="n">
        <v>620</v>
      </c>
      <c r="G530" s="20" t="inlineStr">
        <is>
          <t>10001|109350$123001|67068$123007|1052</t>
        </is>
      </c>
      <c r="J530" s="29" t="inlineStr">
        <is>
          <t>造成一段伤害，每段伤害为[0]%</t>
        </is>
      </c>
      <c r="K530" s="18" t="n">
        <v>720</v>
      </c>
    </row>
    <row r="531">
      <c r="B531" s="20" t="n">
        <v>10528</v>
      </c>
      <c r="C531" s="23" t="inlineStr">
        <is>
          <t>110002</t>
        </is>
      </c>
      <c r="D531" s="28" t="inlineStr">
        <is>
          <t>雾瘴爆裂</t>
        </is>
      </c>
      <c r="E531" s="20" t="inlineStr">
        <is>
          <t>28</t>
        </is>
      </c>
      <c r="F531" s="20" t="n">
        <v>640</v>
      </c>
      <c r="G531" s="20" t="inlineStr">
        <is>
          <t>10001|117600$123001|72128$123007|1111</t>
        </is>
      </c>
      <c r="J531" s="29" t="inlineStr">
        <is>
          <t>造成一段伤害，每段伤害为[0]%</t>
        </is>
      </c>
      <c r="K531" s="18" t="n">
        <v>740</v>
      </c>
    </row>
    <row r="532">
      <c r="B532" s="20" t="n">
        <v>10529</v>
      </c>
      <c r="C532" s="23" t="inlineStr">
        <is>
          <t>110002</t>
        </is>
      </c>
      <c r="D532" s="28" t="inlineStr">
        <is>
          <t>雾瘴爆裂</t>
        </is>
      </c>
      <c r="E532" s="20" t="inlineStr">
        <is>
          <t>29</t>
        </is>
      </c>
      <c r="F532" s="20" t="n">
        <v>660</v>
      </c>
      <c r="G532" s="20" t="inlineStr">
        <is>
          <t>10001|126150$123001|77372$123007|1171</t>
        </is>
      </c>
      <c r="J532" s="29" t="inlineStr">
        <is>
          <t>造成一段伤害，每段伤害为[0]%</t>
        </is>
      </c>
      <c r="K532" s="18" t="n">
        <v>760</v>
      </c>
    </row>
    <row r="533">
      <c r="B533" s="20" t="n">
        <v>10530</v>
      </c>
      <c r="C533" s="23" t="inlineStr">
        <is>
          <t>110002</t>
        </is>
      </c>
      <c r="D533" s="28" t="inlineStr">
        <is>
          <t>雾瘴爆裂</t>
        </is>
      </c>
      <c r="E533" s="20" t="inlineStr">
        <is>
          <t>30</t>
        </is>
      </c>
      <c r="F533" s="20" t="n">
        <v>680.0000000000009</v>
      </c>
      <c r="G533" s="20" t="inlineStr">
        <is>
          <t>10001|135000$124001|82800$124007|1232</t>
        </is>
      </c>
      <c r="J533" s="29" t="inlineStr">
        <is>
          <t>造成一段伤害，每段伤害为[0]%</t>
        </is>
      </c>
      <c r="K533" s="18" t="n">
        <v>780</v>
      </c>
    </row>
    <row r="534">
      <c r="B534" s="20" t="n">
        <v>10531</v>
      </c>
      <c r="C534" s="23" t="inlineStr">
        <is>
          <t>110002</t>
        </is>
      </c>
      <c r="D534" s="28" t="inlineStr">
        <is>
          <t>雾瘴爆裂</t>
        </is>
      </c>
      <c r="E534" s="20" t="inlineStr">
        <is>
          <t>31</t>
        </is>
      </c>
      <c r="F534" s="20" t="n">
        <v>700.000000000001</v>
      </c>
      <c r="G534" s="20" t="inlineStr">
        <is>
          <t>10001|144150$124001|88412$124007|1295</t>
        </is>
      </c>
      <c r="J534" s="29" t="inlineStr">
        <is>
          <t>造成一段伤害，每段伤害为[0]%</t>
        </is>
      </c>
      <c r="K534" s="18" t="n">
        <v>800</v>
      </c>
    </row>
    <row r="535">
      <c r="B535" s="20" t="n">
        <v>10532</v>
      </c>
      <c r="C535" s="23" t="inlineStr">
        <is>
          <t>110002</t>
        </is>
      </c>
      <c r="D535" s="28" t="inlineStr">
        <is>
          <t>雾瘴爆裂</t>
        </is>
      </c>
      <c r="E535" s="20" t="inlineStr">
        <is>
          <t>32</t>
        </is>
      </c>
      <c r="F535" s="20" t="n">
        <v>720.000000000001</v>
      </c>
      <c r="G535" s="20" t="inlineStr">
        <is>
          <t>10001|153600$124001|94208$124007|1358</t>
        </is>
      </c>
      <c r="J535" s="29" t="inlineStr">
        <is>
          <t>造成一段伤害，每段伤害为[0]%</t>
        </is>
      </c>
      <c r="K535" s="18" t="n">
        <v>820</v>
      </c>
    </row>
    <row r="536">
      <c r="B536" s="20" t="n">
        <v>10533</v>
      </c>
      <c r="C536" s="23" t="inlineStr">
        <is>
          <t>110002</t>
        </is>
      </c>
      <c r="D536" s="28" t="inlineStr">
        <is>
          <t>雾瘴爆裂</t>
        </is>
      </c>
      <c r="E536" s="20" t="inlineStr">
        <is>
          <t>33</t>
        </is>
      </c>
      <c r="F536" s="20" t="n">
        <v>740.0000000000009</v>
      </c>
      <c r="G536" s="20" t="inlineStr">
        <is>
          <t>10001|163350$124001|100188$124007|1422</t>
        </is>
      </c>
      <c r="J536" s="29" t="inlineStr">
        <is>
          <t>造成一段伤害，每段伤害为[0]%</t>
        </is>
      </c>
      <c r="K536" s="18" t="n">
        <v>840</v>
      </c>
    </row>
    <row r="537">
      <c r="B537" s="20" t="n">
        <v>10534</v>
      </c>
      <c r="C537" s="23" t="inlineStr">
        <is>
          <t>110002</t>
        </is>
      </c>
      <c r="D537" s="28" t="inlineStr">
        <is>
          <t>雾瘴爆裂</t>
        </is>
      </c>
      <c r="E537" s="20" t="inlineStr">
        <is>
          <t>34</t>
        </is>
      </c>
      <c r="F537" s="20" t="n">
        <v>760.000000000001</v>
      </c>
      <c r="G537" s="20" t="inlineStr">
        <is>
          <t>10001|173400$124001|106352$124007|1487</t>
        </is>
      </c>
      <c r="J537" s="29" t="inlineStr">
        <is>
          <t>造成一段伤害，每段伤害为[0]%</t>
        </is>
      </c>
      <c r="K537" s="18" t="n">
        <v>860</v>
      </c>
    </row>
    <row r="538">
      <c r="B538" s="20" t="n">
        <v>10535</v>
      </c>
      <c r="C538" s="23" t="inlineStr">
        <is>
          <t>110002</t>
        </is>
      </c>
      <c r="D538" s="28" t="inlineStr">
        <is>
          <t>雾瘴爆裂</t>
        </is>
      </c>
      <c r="E538" s="20" t="inlineStr">
        <is>
          <t>35</t>
        </is>
      </c>
      <c r="F538" s="20" t="n">
        <v>780.0000000000009</v>
      </c>
      <c r="G538" s="20" t="inlineStr">
        <is>
          <t>10001|183750$124001|112700$124007|1553</t>
        </is>
      </c>
      <c r="J538" s="29" t="inlineStr">
        <is>
          <t>造成一段伤害，每段伤害为[0]%</t>
        </is>
      </c>
      <c r="K538" s="18" t="n">
        <v>880</v>
      </c>
    </row>
    <row r="539">
      <c r="B539" s="20" t="n">
        <v>10536</v>
      </c>
      <c r="C539" s="23" t="inlineStr">
        <is>
          <t>110002</t>
        </is>
      </c>
      <c r="D539" s="28" t="inlineStr">
        <is>
          <t>雾瘴爆裂</t>
        </is>
      </c>
      <c r="E539" s="20" t="inlineStr">
        <is>
          <t>36</t>
        </is>
      </c>
      <c r="F539" s="20" t="n">
        <v>800.000000000001</v>
      </c>
      <c r="G539" s="20" t="inlineStr">
        <is>
          <t>10001|194400$124001|119232$124007|1620</t>
        </is>
      </c>
      <c r="J539" s="29" t="inlineStr">
        <is>
          <t>造成一段伤害，每段伤害为[0]%</t>
        </is>
      </c>
      <c r="K539" s="18" t="n">
        <v>900</v>
      </c>
    </row>
    <row r="540">
      <c r="B540" s="20" t="n">
        <v>10537</v>
      </c>
      <c r="C540" s="23" t="inlineStr">
        <is>
          <t>110002</t>
        </is>
      </c>
      <c r="D540" s="28" t="inlineStr">
        <is>
          <t>雾瘴爆裂</t>
        </is>
      </c>
      <c r="E540" s="20" t="inlineStr">
        <is>
          <t>37</t>
        </is>
      </c>
      <c r="F540" s="20" t="n">
        <v>820.000000000001</v>
      </c>
      <c r="G540" s="20" t="inlineStr">
        <is>
          <t>10001|205350$124001|125948$124007|1688</t>
        </is>
      </c>
      <c r="J540" s="29" t="inlineStr">
        <is>
          <t>造成一段伤害，每段伤害为[0]%</t>
        </is>
      </c>
      <c r="K540" s="18" t="n">
        <v>920</v>
      </c>
    </row>
    <row r="541">
      <c r="B541" s="20" t="n">
        <v>10538</v>
      </c>
      <c r="C541" s="23" t="inlineStr">
        <is>
          <t>110002</t>
        </is>
      </c>
      <c r="D541" s="28" t="inlineStr">
        <is>
          <t>雾瘴爆裂</t>
        </is>
      </c>
      <c r="E541" s="20" t="inlineStr">
        <is>
          <t>38</t>
        </is>
      </c>
      <c r="F541" s="20" t="n">
        <v>840.0000000000009</v>
      </c>
      <c r="G541" s="20" t="inlineStr">
        <is>
          <t>10001|216600$124001|132848$124007|1757</t>
        </is>
      </c>
      <c r="J541" s="29" t="inlineStr">
        <is>
          <t>造成一段伤害，每段伤害为[0]%</t>
        </is>
      </c>
      <c r="K541" s="18" t="n">
        <v>940</v>
      </c>
    </row>
    <row r="542">
      <c r="B542" s="20" t="n">
        <v>10539</v>
      </c>
      <c r="C542" s="23" t="inlineStr">
        <is>
          <t>110002</t>
        </is>
      </c>
      <c r="D542" s="28" t="inlineStr">
        <is>
          <t>雾瘴爆裂</t>
        </is>
      </c>
      <c r="E542" s="20" t="inlineStr">
        <is>
          <t>39</t>
        </is>
      </c>
      <c r="F542" s="20" t="n">
        <v>860.000000000001</v>
      </c>
      <c r="G542" s="20" t="inlineStr">
        <is>
          <t>10001|228150$124001|139932$124007|1827</t>
        </is>
      </c>
      <c r="J542" s="29" t="inlineStr">
        <is>
          <t>造成一段伤害，每段伤害为[0]%</t>
        </is>
      </c>
      <c r="K542" s="18" t="n">
        <v>960</v>
      </c>
    </row>
    <row r="543">
      <c r="B543" s="20" t="n">
        <v>10540</v>
      </c>
      <c r="C543" s="23" t="inlineStr">
        <is>
          <t>110002</t>
        </is>
      </c>
      <c r="D543" s="28" t="inlineStr">
        <is>
          <t>雾瘴爆裂</t>
        </is>
      </c>
      <c r="E543" s="20" t="inlineStr">
        <is>
          <t>40</t>
        </is>
      </c>
      <c r="F543" s="20" t="n">
        <v>880.0000000000009</v>
      </c>
      <c r="G543" s="20" t="inlineStr">
        <is>
          <t>10001|240000$125001|147200$125007|1897</t>
        </is>
      </c>
      <c r="J543" s="29" t="inlineStr">
        <is>
          <t>造成一段伤害，每段伤害为[0]%</t>
        </is>
      </c>
      <c r="K543" s="18" t="n">
        <v>980</v>
      </c>
    </row>
    <row r="544">
      <c r="B544" s="20" t="n">
        <v>10541</v>
      </c>
      <c r="C544" s="23" t="inlineStr">
        <is>
          <t>110002</t>
        </is>
      </c>
      <c r="D544" s="28" t="inlineStr">
        <is>
          <t>雾瘴爆裂</t>
        </is>
      </c>
      <c r="E544" s="20" t="inlineStr">
        <is>
          <t>41</t>
        </is>
      </c>
      <c r="F544" s="20" t="n">
        <v>900</v>
      </c>
      <c r="G544" s="20" t="inlineStr">
        <is>
          <t>10001|252150$125001|154652$125007|1969</t>
        </is>
      </c>
      <c r="J544" s="29" t="inlineStr">
        <is>
          <t>造成一段伤害，每段伤害为[0]%</t>
        </is>
      </c>
      <c r="K544" s="18" t="n">
        <v>1000</v>
      </c>
    </row>
    <row r="545">
      <c r="B545" s="20" t="n">
        <v>10542</v>
      </c>
      <c r="C545" s="23" t="inlineStr">
        <is>
          <t>110002</t>
        </is>
      </c>
      <c r="D545" s="28" t="inlineStr">
        <is>
          <t>雾瘴爆裂</t>
        </is>
      </c>
      <c r="E545" s="20" t="inlineStr">
        <is>
          <t>42</t>
        </is>
      </c>
      <c r="F545" s="20" t="n">
        <v>919.9999999999999</v>
      </c>
      <c r="G545" s="20" t="inlineStr">
        <is>
          <t>10001|264600$125001|162288$125007|2041</t>
        </is>
      </c>
      <c r="J545" s="29" t="inlineStr">
        <is>
          <t>造成一段伤害，每段伤害为[0]%</t>
        </is>
      </c>
      <c r="K545" s="18" t="n">
        <v>1020</v>
      </c>
    </row>
    <row r="546">
      <c r="B546" s="20" t="n">
        <v>10543</v>
      </c>
      <c r="C546" s="23" t="inlineStr">
        <is>
          <t>110002</t>
        </is>
      </c>
      <c r="D546" s="28" t="inlineStr">
        <is>
          <t>雾瘴爆裂</t>
        </is>
      </c>
      <c r="E546" s="20" t="inlineStr">
        <is>
          <t>43</t>
        </is>
      </c>
      <c r="F546" s="20" t="n">
        <v>940</v>
      </c>
      <c r="G546" s="20" t="inlineStr">
        <is>
          <t>10001|277350$125001|170108$125007|2115</t>
        </is>
      </c>
      <c r="J546" s="29" t="inlineStr">
        <is>
          <t>造成一段伤害，每段伤害为[0]%</t>
        </is>
      </c>
      <c r="K546" s="18" t="n">
        <v>1040</v>
      </c>
    </row>
    <row r="547">
      <c r="B547" s="20" t="n">
        <v>10544</v>
      </c>
      <c r="C547" s="23" t="inlineStr">
        <is>
          <t>110002</t>
        </is>
      </c>
      <c r="D547" s="28" t="inlineStr">
        <is>
          <t>雾瘴爆裂</t>
        </is>
      </c>
      <c r="E547" s="20" t="inlineStr">
        <is>
          <t>44</t>
        </is>
      </c>
      <c r="F547" s="20" t="n">
        <v>960</v>
      </c>
      <c r="G547" s="20" t="inlineStr">
        <is>
          <t>10001|290400$125001|178112$125007|2189</t>
        </is>
      </c>
      <c r="J547" s="29" t="inlineStr">
        <is>
          <t>造成一段伤害，每段伤害为[0]%</t>
        </is>
      </c>
      <c r="K547" s="18" t="n">
        <v>1060</v>
      </c>
    </row>
    <row r="548">
      <c r="B548" s="20" t="n">
        <v>10545</v>
      </c>
      <c r="C548" s="23" t="inlineStr">
        <is>
          <t>110002</t>
        </is>
      </c>
      <c r="D548" s="28" t="inlineStr">
        <is>
          <t>雾瘴爆裂</t>
        </is>
      </c>
      <c r="E548" s="20" t="inlineStr">
        <is>
          <t>45</t>
        </is>
      </c>
      <c r="F548" s="20" t="n">
        <v>980.0000000000001</v>
      </c>
      <c r="G548" s="20" t="inlineStr">
        <is>
          <t>10001|303750$125001|186300$125007|2264</t>
        </is>
      </c>
      <c r="J548" s="29" t="inlineStr">
        <is>
          <t>造成一段伤害，每段伤害为[0]%</t>
        </is>
      </c>
      <c r="K548" s="18" t="n">
        <v>1080</v>
      </c>
    </row>
    <row r="549">
      <c r="B549" s="20" t="n">
        <v>10546</v>
      </c>
      <c r="C549" s="23" t="inlineStr">
        <is>
          <t>110002</t>
        </is>
      </c>
      <c r="D549" s="28" t="inlineStr">
        <is>
          <t>雾瘴爆裂</t>
        </is>
      </c>
      <c r="E549" s="20" t="inlineStr">
        <is>
          <t>46</t>
        </is>
      </c>
      <c r="F549" s="20" t="n">
        <v>1000</v>
      </c>
      <c r="G549" s="20" t="inlineStr">
        <is>
          <t>10001|317400$125001|194672$125007|2340</t>
        </is>
      </c>
      <c r="J549" s="29" t="inlineStr">
        <is>
          <t>造成一段伤害，每段伤害为[0]%</t>
        </is>
      </c>
      <c r="K549" s="18" t="n">
        <v>1100</v>
      </c>
    </row>
    <row r="550">
      <c r="B550" s="20" t="n">
        <v>10547</v>
      </c>
      <c r="C550" s="23" t="inlineStr">
        <is>
          <t>110002</t>
        </is>
      </c>
      <c r="D550" s="28" t="inlineStr">
        <is>
          <t>雾瘴爆裂</t>
        </is>
      </c>
      <c r="E550" s="20" t="inlineStr">
        <is>
          <t>47</t>
        </is>
      </c>
      <c r="F550" s="20" t="n">
        <v>1020</v>
      </c>
      <c r="G550" s="20" t="inlineStr">
        <is>
          <t>10001|331350$125001|203228$125007|2417</t>
        </is>
      </c>
      <c r="J550" s="29" t="inlineStr">
        <is>
          <t>造成一段伤害，每段伤害为[0]%</t>
        </is>
      </c>
      <c r="K550" s="18" t="n">
        <v>1120</v>
      </c>
    </row>
    <row r="551">
      <c r="B551" s="20" t="n">
        <v>10548</v>
      </c>
      <c r="C551" s="23" t="inlineStr">
        <is>
          <t>110002</t>
        </is>
      </c>
      <c r="D551" s="28" t="inlineStr">
        <is>
          <t>雾瘴爆裂</t>
        </is>
      </c>
      <c r="E551" s="20" t="inlineStr">
        <is>
          <t>48</t>
        </is>
      </c>
      <c r="F551" s="20" t="n">
        <v>1040</v>
      </c>
      <c r="G551" s="20" t="inlineStr">
        <is>
          <t>10001|345600$125001|211968$125007|2494</t>
        </is>
      </c>
      <c r="J551" s="29" t="inlineStr">
        <is>
          <t>造成一段伤害，每段伤害为[0]%</t>
        </is>
      </c>
      <c r="K551" s="18" t="n">
        <v>1140</v>
      </c>
    </row>
    <row r="552">
      <c r="B552" s="20" t="n">
        <v>10549</v>
      </c>
      <c r="C552" s="23" t="inlineStr">
        <is>
          <t>110002</t>
        </is>
      </c>
      <c r="D552" s="28" t="inlineStr">
        <is>
          <t>雾瘴爆裂</t>
        </is>
      </c>
      <c r="E552" s="20" t="inlineStr">
        <is>
          <t>49</t>
        </is>
      </c>
      <c r="F552" s="20" t="n">
        <v>1060</v>
      </c>
      <c r="G552" s="20" t="inlineStr">
        <is>
          <t>10001|360150$125001|220892$125007|2573</t>
        </is>
      </c>
      <c r="J552" s="29" t="inlineStr">
        <is>
          <t>造成一段伤害，每段伤害为[0]%</t>
        </is>
      </c>
      <c r="K552" s="18" t="n">
        <v>1160</v>
      </c>
    </row>
    <row r="553">
      <c r="B553" s="20" t="n">
        <v>10550</v>
      </c>
      <c r="C553" s="23" t="inlineStr">
        <is>
          <t>110002</t>
        </is>
      </c>
      <c r="D553" s="28" t="inlineStr">
        <is>
          <t>雾瘴爆裂</t>
        </is>
      </c>
      <c r="E553" s="20" t="inlineStr">
        <is>
          <t>50</t>
        </is>
      </c>
      <c r="F553" s="20" t="n">
        <v>1080</v>
      </c>
      <c r="G553" s="20" t="inlineStr">
        <is>
          <t>10001|375000$125001|230000$125007|2652</t>
        </is>
      </c>
      <c r="J553" s="29" t="inlineStr">
        <is>
          <t>造成一段伤害，每段伤害为[0]%</t>
        </is>
      </c>
      <c r="K553" s="18" t="n">
        <v>1180</v>
      </c>
    </row>
    <row r="554">
      <c r="B554" s="18" t="n">
        <v>10551</v>
      </c>
      <c r="C554" s="24" t="inlineStr">
        <is>
          <t>330001</t>
        </is>
      </c>
      <c r="D554" s="29" t="inlineStr">
        <is>
          <t>回愈净神诀</t>
        </is>
      </c>
      <c r="E554" s="18" t="inlineStr">
        <is>
          <t>1</t>
        </is>
      </c>
      <c r="G554" s="18" t="inlineStr">
        <is>
          <t>10001|150$121001|92$121006|8</t>
        </is>
      </c>
      <c r="H554" s="18" t="inlineStr">
        <is>
          <t>400|10</t>
        </is>
      </c>
      <c r="I554" s="18" t="n"/>
      <c r="J554" s="26" t="inlineStr">
        <is>
          <t>治疗量为[0]生命+[1]%生命上限</t>
        </is>
      </c>
      <c r="K554" s="18" t="inlineStr">
        <is>
          <t>400|10</t>
        </is>
      </c>
    </row>
    <row r="555">
      <c r="B555" s="18" t="n">
        <v>10552</v>
      </c>
      <c r="C555" s="24" t="inlineStr">
        <is>
          <t>330001</t>
        </is>
      </c>
      <c r="D555" s="29" t="inlineStr">
        <is>
          <t>回愈净神诀</t>
        </is>
      </c>
      <c r="E555" s="18" t="inlineStr">
        <is>
          <t>2</t>
        </is>
      </c>
      <c r="G555" s="18" t="inlineStr">
        <is>
          <t>10001|600$121001|368$121006|21</t>
        </is>
      </c>
      <c r="H555" s="18" t="inlineStr">
        <is>
          <t>500|10</t>
        </is>
      </c>
      <c r="J555" s="26" t="inlineStr">
        <is>
          <t>治疗量为[0]生命+[1]%生命上限</t>
        </is>
      </c>
      <c r="K555" s="18" t="inlineStr">
        <is>
          <t>500|10</t>
        </is>
      </c>
    </row>
    <row r="556">
      <c r="B556" s="18" t="n">
        <v>10553</v>
      </c>
      <c r="C556" s="24" t="inlineStr">
        <is>
          <t>330001</t>
        </is>
      </c>
      <c r="D556" s="29" t="inlineStr">
        <is>
          <t>回愈净神诀</t>
        </is>
      </c>
      <c r="E556" s="18" t="inlineStr">
        <is>
          <t>3</t>
        </is>
      </c>
      <c r="G556" s="18" t="inlineStr">
        <is>
          <t>10001|1350$121001|828$121006|39</t>
        </is>
      </c>
      <c r="H556" s="18" t="inlineStr">
        <is>
          <t>600|10</t>
        </is>
      </c>
      <c r="J556" s="26" t="inlineStr">
        <is>
          <t>治疗量为[0]生命+[1]%生命上限</t>
        </is>
      </c>
      <c r="K556" s="18" t="inlineStr">
        <is>
          <t>600|10</t>
        </is>
      </c>
    </row>
    <row r="557">
      <c r="B557" s="18" t="n">
        <v>10554</v>
      </c>
      <c r="C557" s="24" t="inlineStr">
        <is>
          <t>330001</t>
        </is>
      </c>
      <c r="D557" s="29" t="inlineStr">
        <is>
          <t>回愈净神诀</t>
        </is>
      </c>
      <c r="E557" s="18" t="inlineStr">
        <is>
          <t>4</t>
        </is>
      </c>
      <c r="G557" s="18" t="inlineStr">
        <is>
          <t>10001|2400$121001|1472$121006|60</t>
        </is>
      </c>
      <c r="H557" s="18" t="inlineStr">
        <is>
          <t>700|10</t>
        </is>
      </c>
      <c r="J557" s="26" t="inlineStr">
        <is>
          <t>治疗量为[0]生命+[1]%生命上限</t>
        </is>
      </c>
      <c r="K557" s="18" t="inlineStr">
        <is>
          <t>700|10</t>
        </is>
      </c>
    </row>
    <row r="558">
      <c r="B558" s="18" t="n">
        <v>10555</v>
      </c>
      <c r="C558" s="24" t="inlineStr">
        <is>
          <t>330001</t>
        </is>
      </c>
      <c r="D558" s="29" t="inlineStr">
        <is>
          <t>回愈净神诀</t>
        </is>
      </c>
      <c r="E558" s="18" t="inlineStr">
        <is>
          <t>5</t>
        </is>
      </c>
      <c r="G558" s="18" t="inlineStr">
        <is>
          <t>10001|3750$121001|2300$121006|84</t>
        </is>
      </c>
      <c r="H558" s="18" t="inlineStr">
        <is>
          <t>800|10</t>
        </is>
      </c>
      <c r="J558" s="26" t="inlineStr">
        <is>
          <t>治疗量为[0]生命+[1]%生命上限</t>
        </is>
      </c>
      <c r="K558" s="18" t="inlineStr">
        <is>
          <t>800|10</t>
        </is>
      </c>
    </row>
    <row r="559">
      <c r="B559" s="18" t="n">
        <v>10556</v>
      </c>
      <c r="C559" s="24" t="inlineStr">
        <is>
          <t>330001</t>
        </is>
      </c>
      <c r="D559" s="29" t="inlineStr">
        <is>
          <t>回愈净神诀</t>
        </is>
      </c>
      <c r="E559" s="18" t="inlineStr">
        <is>
          <t>6</t>
        </is>
      </c>
      <c r="G559" s="18" t="inlineStr">
        <is>
          <t>10001|5400$121001|3312$121006|110</t>
        </is>
      </c>
      <c r="H559" s="18" t="inlineStr">
        <is>
          <t>900|11</t>
        </is>
      </c>
      <c r="J559" s="26" t="inlineStr">
        <is>
          <t>治疗量为[0]生命+[1]%生命上限</t>
        </is>
      </c>
      <c r="K559" s="18" t="inlineStr">
        <is>
          <t>900|11</t>
        </is>
      </c>
    </row>
    <row r="560">
      <c r="B560" s="18" t="n">
        <v>10557</v>
      </c>
      <c r="C560" s="24" t="inlineStr">
        <is>
          <t>330001</t>
        </is>
      </c>
      <c r="D560" s="29" t="inlineStr">
        <is>
          <t>回愈净神诀</t>
        </is>
      </c>
      <c r="E560" s="18" t="inlineStr">
        <is>
          <t>7</t>
        </is>
      </c>
      <c r="G560" s="18" t="inlineStr">
        <is>
          <t>10001|7350$121001|4508$121006|139</t>
        </is>
      </c>
      <c r="H560" s="18" t="inlineStr">
        <is>
          <t>1000|11</t>
        </is>
      </c>
      <c r="J560" s="26" t="inlineStr">
        <is>
          <t>治疗量为[0]生命+[1]%生命上限</t>
        </is>
      </c>
      <c r="K560" s="18" t="inlineStr">
        <is>
          <t>1000|11</t>
        </is>
      </c>
    </row>
    <row r="561">
      <c r="B561" s="18" t="n">
        <v>10558</v>
      </c>
      <c r="C561" s="24" t="inlineStr">
        <is>
          <t>330001</t>
        </is>
      </c>
      <c r="D561" s="29" t="inlineStr">
        <is>
          <t>回愈净神诀</t>
        </is>
      </c>
      <c r="E561" s="18" t="inlineStr">
        <is>
          <t>8</t>
        </is>
      </c>
      <c r="G561" s="18" t="inlineStr">
        <is>
          <t>10001|9600$121001|5888$121006|170</t>
        </is>
      </c>
      <c r="H561" s="18" t="inlineStr">
        <is>
          <t>1100|11</t>
        </is>
      </c>
      <c r="J561" s="26" t="inlineStr">
        <is>
          <t>治疗量为[0]生命+[1]%生命上限</t>
        </is>
      </c>
      <c r="K561" s="18" t="inlineStr">
        <is>
          <t>1100|11</t>
        </is>
      </c>
    </row>
    <row r="562">
      <c r="B562" s="18" t="n">
        <v>10559</v>
      </c>
      <c r="C562" s="24" t="inlineStr">
        <is>
          <t>330001</t>
        </is>
      </c>
      <c r="D562" s="29" t="inlineStr">
        <is>
          <t>回愈净神诀</t>
        </is>
      </c>
      <c r="E562" s="18" t="inlineStr">
        <is>
          <t>9</t>
        </is>
      </c>
      <c r="G562" s="18" t="inlineStr">
        <is>
          <t>10001|12150$121001|7452$121006|203</t>
        </is>
      </c>
      <c r="H562" s="18" t="inlineStr">
        <is>
          <t>1200|11</t>
        </is>
      </c>
      <c r="J562" s="26" t="inlineStr">
        <is>
          <t>治疗量为[0]生命+[1]%生命上限</t>
        </is>
      </c>
      <c r="K562" s="18" t="inlineStr">
        <is>
          <t>1200|11</t>
        </is>
      </c>
    </row>
    <row r="563">
      <c r="B563" s="18" t="n">
        <v>10560</v>
      </c>
      <c r="C563" s="24" t="inlineStr">
        <is>
          <t>330001</t>
        </is>
      </c>
      <c r="D563" s="29" t="inlineStr">
        <is>
          <t>回愈净神诀</t>
        </is>
      </c>
      <c r="E563" s="18" t="inlineStr">
        <is>
          <t>10</t>
        </is>
      </c>
      <c r="G563" s="18" t="inlineStr">
        <is>
          <t>10001|15000$122001|9200$122006|237</t>
        </is>
      </c>
      <c r="H563" s="18" t="inlineStr">
        <is>
          <t>1300|11</t>
        </is>
      </c>
      <c r="J563" s="26" t="inlineStr">
        <is>
          <t>治疗量为[0]生命+[1]%生命上限</t>
        </is>
      </c>
      <c r="K563" s="18" t="inlineStr">
        <is>
          <t>1300|11</t>
        </is>
      </c>
    </row>
    <row r="564">
      <c r="B564" s="18" t="n">
        <v>10561</v>
      </c>
      <c r="C564" s="24" t="inlineStr">
        <is>
          <t>330001</t>
        </is>
      </c>
      <c r="D564" s="29" t="inlineStr">
        <is>
          <t>回愈净神诀</t>
        </is>
      </c>
      <c r="E564" s="18" t="inlineStr">
        <is>
          <t>11</t>
        </is>
      </c>
      <c r="G564" s="18" t="inlineStr">
        <is>
          <t>10001|18150$122001|11132$122006|274</t>
        </is>
      </c>
      <c r="H564" s="18" t="inlineStr">
        <is>
          <t>1400|12</t>
        </is>
      </c>
      <c r="J564" s="26" t="inlineStr">
        <is>
          <t>治疗量为[0]生命+[1]%生命上限</t>
        </is>
      </c>
      <c r="K564" s="18" t="inlineStr">
        <is>
          <t>1400|12</t>
        </is>
      </c>
    </row>
    <row r="565">
      <c r="B565" s="18" t="n">
        <v>10562</v>
      </c>
      <c r="C565" s="24" t="inlineStr">
        <is>
          <t>330001</t>
        </is>
      </c>
      <c r="D565" s="29" t="inlineStr">
        <is>
          <t>回愈净神诀</t>
        </is>
      </c>
      <c r="E565" s="18" t="inlineStr">
        <is>
          <t>12</t>
        </is>
      </c>
      <c r="G565" s="18" t="inlineStr">
        <is>
          <t>10001|21600$122001|13248$122006|312</t>
        </is>
      </c>
      <c r="H565" s="18" t="inlineStr">
        <is>
          <t>1500|12</t>
        </is>
      </c>
      <c r="J565" s="26" t="inlineStr">
        <is>
          <t>治疗量为[0]生命+[1]%生命上限</t>
        </is>
      </c>
      <c r="K565" s="18" t="inlineStr">
        <is>
          <t>1500|12</t>
        </is>
      </c>
    </row>
    <row r="566">
      <c r="B566" s="18" t="n">
        <v>10563</v>
      </c>
      <c r="C566" s="24" t="inlineStr">
        <is>
          <t>330001</t>
        </is>
      </c>
      <c r="D566" s="29" t="inlineStr">
        <is>
          <t>回愈净神诀</t>
        </is>
      </c>
      <c r="E566" s="18" t="inlineStr">
        <is>
          <t>13</t>
        </is>
      </c>
      <c r="G566" s="18" t="inlineStr">
        <is>
          <t>10001|25350$122001|15548$122006|352</t>
        </is>
      </c>
      <c r="H566" s="18" t="inlineStr">
        <is>
          <t>1600|12</t>
        </is>
      </c>
      <c r="J566" s="26" t="inlineStr">
        <is>
          <t>治疗量为[0]生命+[1]%生命上限</t>
        </is>
      </c>
      <c r="K566" s="18" t="inlineStr">
        <is>
          <t>1600|12</t>
        </is>
      </c>
    </row>
    <row r="567">
      <c r="B567" s="18" t="n">
        <v>10564</v>
      </c>
      <c r="C567" s="24" t="inlineStr">
        <is>
          <t>330001</t>
        </is>
      </c>
      <c r="D567" s="29" t="inlineStr">
        <is>
          <t>回愈净神诀</t>
        </is>
      </c>
      <c r="E567" s="18" t="inlineStr">
        <is>
          <t>14</t>
        </is>
      </c>
      <c r="G567" s="18" t="inlineStr">
        <is>
          <t>10001|29400$122001|18032$122006|393</t>
        </is>
      </c>
      <c r="H567" s="18" t="inlineStr">
        <is>
          <t>1700|12</t>
        </is>
      </c>
      <c r="J567" s="26" t="inlineStr">
        <is>
          <t>治疗量为[0]生命+[1]%生命上限</t>
        </is>
      </c>
      <c r="K567" s="18" t="inlineStr">
        <is>
          <t>1700|12</t>
        </is>
      </c>
    </row>
    <row r="568">
      <c r="B568" s="18" t="n">
        <v>10565</v>
      </c>
      <c r="C568" s="24" t="inlineStr">
        <is>
          <t>330001</t>
        </is>
      </c>
      <c r="D568" s="29" t="inlineStr">
        <is>
          <t>回愈净神诀</t>
        </is>
      </c>
      <c r="E568" s="18" t="inlineStr">
        <is>
          <t>15</t>
        </is>
      </c>
      <c r="G568" s="18" t="inlineStr">
        <is>
          <t>10001|33750$122001|20700$122006|436</t>
        </is>
      </c>
      <c r="H568" s="18" t="inlineStr">
        <is>
          <t>1800|12</t>
        </is>
      </c>
      <c r="J568" s="26" t="inlineStr">
        <is>
          <t>治疗量为[0]生命+[1]%生命上限</t>
        </is>
      </c>
      <c r="K568" s="18" t="inlineStr">
        <is>
          <t>1800|12</t>
        </is>
      </c>
    </row>
    <row r="569">
      <c r="B569" s="18" t="n">
        <v>10566</v>
      </c>
      <c r="C569" s="24" t="inlineStr">
        <is>
          <t>330001</t>
        </is>
      </c>
      <c r="D569" s="29" t="inlineStr">
        <is>
          <t>回愈净神诀</t>
        </is>
      </c>
      <c r="E569" s="18" t="inlineStr">
        <is>
          <t>16</t>
        </is>
      </c>
      <c r="G569" s="18" t="inlineStr">
        <is>
          <t>10001|38400$122001|23552$122006|480</t>
        </is>
      </c>
      <c r="H569" s="18" t="inlineStr">
        <is>
          <t>1900|13</t>
        </is>
      </c>
      <c r="J569" s="26" t="inlineStr">
        <is>
          <t>治疗量为[0]生命+[1]%生命上限</t>
        </is>
      </c>
      <c r="K569" s="18" t="inlineStr">
        <is>
          <t>1900|13</t>
        </is>
      </c>
    </row>
    <row r="570">
      <c r="B570" s="18" t="n">
        <v>10567</v>
      </c>
      <c r="C570" s="24" t="inlineStr">
        <is>
          <t>330001</t>
        </is>
      </c>
      <c r="D570" s="29" t="inlineStr">
        <is>
          <t>回愈净神诀</t>
        </is>
      </c>
      <c r="E570" s="18" t="inlineStr">
        <is>
          <t>17</t>
        </is>
      </c>
      <c r="G570" s="18" t="inlineStr">
        <is>
          <t>10001|43350$122001|26588$122006|526</t>
        </is>
      </c>
      <c r="H570" s="18" t="inlineStr">
        <is>
          <t>2000|13</t>
        </is>
      </c>
      <c r="J570" s="26" t="inlineStr">
        <is>
          <t>治疗量为[0]生命+[1]%生命上限</t>
        </is>
      </c>
      <c r="K570" s="18" t="inlineStr">
        <is>
          <t>2000|13</t>
        </is>
      </c>
    </row>
    <row r="571">
      <c r="B571" s="18" t="n">
        <v>10568</v>
      </c>
      <c r="C571" s="24" t="inlineStr">
        <is>
          <t>330001</t>
        </is>
      </c>
      <c r="D571" s="29" t="inlineStr">
        <is>
          <t>回愈净神诀</t>
        </is>
      </c>
      <c r="E571" s="18" t="inlineStr">
        <is>
          <t>18</t>
        </is>
      </c>
      <c r="G571" s="18" t="inlineStr">
        <is>
          <t>10001|48600$122001|29808$122006|573</t>
        </is>
      </c>
      <c r="H571" s="18" t="inlineStr">
        <is>
          <t>2100|13</t>
        </is>
      </c>
      <c r="J571" s="26" t="inlineStr">
        <is>
          <t>治疗量为[0]生命+[1]%生命上限</t>
        </is>
      </c>
      <c r="K571" s="18" t="inlineStr">
        <is>
          <t>2100|13</t>
        </is>
      </c>
    </row>
    <row r="572">
      <c r="B572" s="18" t="n">
        <v>10569</v>
      </c>
      <c r="C572" s="24" t="inlineStr">
        <is>
          <t>330001</t>
        </is>
      </c>
      <c r="D572" s="29" t="inlineStr">
        <is>
          <t>回愈净神诀</t>
        </is>
      </c>
      <c r="E572" s="18" t="inlineStr">
        <is>
          <t>19</t>
        </is>
      </c>
      <c r="G572" s="18" t="inlineStr">
        <is>
          <t>10001|54150$122001|33212$122006|621</t>
        </is>
      </c>
      <c r="H572" s="18" t="inlineStr">
        <is>
          <t>2200|13</t>
        </is>
      </c>
      <c r="J572" s="26" t="inlineStr">
        <is>
          <t>治疗量为[0]生命+[1]%生命上限</t>
        </is>
      </c>
      <c r="K572" s="18" t="inlineStr">
        <is>
          <t>2200|13</t>
        </is>
      </c>
    </row>
    <row r="573">
      <c r="B573" s="18" t="n">
        <v>10570</v>
      </c>
      <c r="C573" s="24" t="inlineStr">
        <is>
          <t>330001</t>
        </is>
      </c>
      <c r="D573" s="29" t="inlineStr">
        <is>
          <t>回愈净神诀</t>
        </is>
      </c>
      <c r="E573" s="18" t="inlineStr">
        <is>
          <t>20</t>
        </is>
      </c>
      <c r="G573" s="18" t="inlineStr">
        <is>
          <t>10001|60000$123001|36800$123006|671</t>
        </is>
      </c>
      <c r="H573" s="18" t="inlineStr">
        <is>
          <t>2300|13</t>
        </is>
      </c>
      <c r="J573" s="26" t="inlineStr">
        <is>
          <t>治疗量为[0]生命+[1]%生命上限</t>
        </is>
      </c>
      <c r="K573" s="18" t="inlineStr">
        <is>
          <t>2300|13</t>
        </is>
      </c>
    </row>
    <row r="574">
      <c r="B574" s="18" t="n">
        <v>10571</v>
      </c>
      <c r="C574" s="24" t="inlineStr">
        <is>
          <t>330001</t>
        </is>
      </c>
      <c r="D574" s="29" t="inlineStr">
        <is>
          <t>回愈净神诀</t>
        </is>
      </c>
      <c r="E574" s="18" t="inlineStr">
        <is>
          <t>21</t>
        </is>
      </c>
      <c r="G574" s="18" t="inlineStr">
        <is>
          <t>10001|66150$123001|40572$123006|722</t>
        </is>
      </c>
      <c r="H574" s="18" t="inlineStr">
        <is>
          <t>2400|14</t>
        </is>
      </c>
      <c r="J574" s="26" t="inlineStr">
        <is>
          <t>治疗量为[0]生命+[1]%生命上限</t>
        </is>
      </c>
      <c r="K574" s="18" t="inlineStr">
        <is>
          <t>2400|14</t>
        </is>
      </c>
    </row>
    <row r="575">
      <c r="B575" s="18" t="n">
        <v>10572</v>
      </c>
      <c r="C575" s="24" t="inlineStr">
        <is>
          <t>330001</t>
        </is>
      </c>
      <c r="D575" s="29" t="inlineStr">
        <is>
          <t>回愈净神诀</t>
        </is>
      </c>
      <c r="E575" s="18" t="inlineStr">
        <is>
          <t>22</t>
        </is>
      </c>
      <c r="G575" s="18" t="inlineStr">
        <is>
          <t>10001|72600$123001|44528$123006|774</t>
        </is>
      </c>
      <c r="H575" s="18" t="inlineStr">
        <is>
          <t>2500|14</t>
        </is>
      </c>
      <c r="J575" s="26" t="inlineStr">
        <is>
          <t>治疗量为[0]生命+[1]%生命上限</t>
        </is>
      </c>
      <c r="K575" s="18" t="inlineStr">
        <is>
          <t>2500|14</t>
        </is>
      </c>
    </row>
    <row r="576">
      <c r="B576" s="18" t="n">
        <v>10573</v>
      </c>
      <c r="C576" s="24" t="inlineStr">
        <is>
          <t>330001</t>
        </is>
      </c>
      <c r="D576" s="29" t="inlineStr">
        <is>
          <t>回愈净神诀</t>
        </is>
      </c>
      <c r="E576" s="18" t="inlineStr">
        <is>
          <t>23</t>
        </is>
      </c>
      <c r="G576" s="18" t="inlineStr">
        <is>
          <t>10001|79350$123001|48668$123006|827</t>
        </is>
      </c>
      <c r="H576" s="18" t="inlineStr">
        <is>
          <t>2600|14</t>
        </is>
      </c>
      <c r="J576" s="26" t="inlineStr">
        <is>
          <t>治疗量为[0]生命+[1]%生命上限</t>
        </is>
      </c>
      <c r="K576" s="18" t="inlineStr">
        <is>
          <t>2600|14</t>
        </is>
      </c>
    </row>
    <row r="577">
      <c r="B577" s="18" t="n">
        <v>10574</v>
      </c>
      <c r="C577" s="24" t="inlineStr">
        <is>
          <t>330001</t>
        </is>
      </c>
      <c r="D577" s="29" t="inlineStr">
        <is>
          <t>回愈净神诀</t>
        </is>
      </c>
      <c r="E577" s="18" t="inlineStr">
        <is>
          <t>24</t>
        </is>
      </c>
      <c r="G577" s="18" t="inlineStr">
        <is>
          <t>10001|86400$123001|52992$123006|882</t>
        </is>
      </c>
      <c r="H577" s="18" t="inlineStr">
        <is>
          <t>2700|14</t>
        </is>
      </c>
      <c r="J577" s="26" t="inlineStr">
        <is>
          <t>治疗量为[0]生命+[1]%生命上限</t>
        </is>
      </c>
      <c r="K577" s="18" t="inlineStr">
        <is>
          <t>2700|14</t>
        </is>
      </c>
    </row>
    <row r="578">
      <c r="B578" s="18" t="n">
        <v>10575</v>
      </c>
      <c r="C578" s="24" t="inlineStr">
        <is>
          <t>330001</t>
        </is>
      </c>
      <c r="D578" s="29" t="inlineStr">
        <is>
          <t>回愈净神诀</t>
        </is>
      </c>
      <c r="E578" s="18" t="inlineStr">
        <is>
          <t>25</t>
        </is>
      </c>
      <c r="G578" s="18" t="inlineStr">
        <is>
          <t>10001|93750$123001|57500$123006|938</t>
        </is>
      </c>
      <c r="H578" s="18" t="inlineStr">
        <is>
          <t>2800|14</t>
        </is>
      </c>
      <c r="J578" s="26" t="inlineStr">
        <is>
          <t>治疗量为[0]生命+[1]%生命上限</t>
        </is>
      </c>
      <c r="K578" s="18" t="inlineStr">
        <is>
          <t>2800|14</t>
        </is>
      </c>
    </row>
    <row r="579">
      <c r="B579" s="18" t="n">
        <v>10576</v>
      </c>
      <c r="C579" s="24" t="inlineStr">
        <is>
          <t>330001</t>
        </is>
      </c>
      <c r="D579" s="29" t="inlineStr">
        <is>
          <t>回愈净神诀</t>
        </is>
      </c>
      <c r="E579" s="18" t="inlineStr">
        <is>
          <t>26</t>
        </is>
      </c>
      <c r="G579" s="18" t="inlineStr">
        <is>
          <t>10001|101400$123001|62192$123006|994</t>
        </is>
      </c>
      <c r="H579" s="18" t="inlineStr">
        <is>
          <t>2900|15</t>
        </is>
      </c>
      <c r="J579" s="26" t="inlineStr">
        <is>
          <t>治疗量为[0]生命+[1]%生命上限</t>
        </is>
      </c>
      <c r="K579" s="18" t="inlineStr">
        <is>
          <t>2900|15</t>
        </is>
      </c>
    </row>
    <row r="580">
      <c r="B580" s="18" t="n">
        <v>10577</v>
      </c>
      <c r="C580" s="24" t="inlineStr">
        <is>
          <t>330001</t>
        </is>
      </c>
      <c r="D580" s="29" t="inlineStr">
        <is>
          <t>回愈净神诀</t>
        </is>
      </c>
      <c r="E580" s="18" t="inlineStr">
        <is>
          <t>27</t>
        </is>
      </c>
      <c r="G580" s="18" t="inlineStr">
        <is>
          <t>10001|109350$123001|67068$123006|1052</t>
        </is>
      </c>
      <c r="H580" s="18" t="inlineStr">
        <is>
          <t>3000|15</t>
        </is>
      </c>
      <c r="J580" s="26" t="inlineStr">
        <is>
          <t>治疗量为[0]生命+[1]%生命上限</t>
        </is>
      </c>
      <c r="K580" s="18" t="inlineStr">
        <is>
          <t>3000|15</t>
        </is>
      </c>
    </row>
    <row r="581">
      <c r="B581" s="18" t="n">
        <v>10578</v>
      </c>
      <c r="C581" s="24" t="inlineStr">
        <is>
          <t>330001</t>
        </is>
      </c>
      <c r="D581" s="29" t="inlineStr">
        <is>
          <t>回愈净神诀</t>
        </is>
      </c>
      <c r="E581" s="18" t="inlineStr">
        <is>
          <t>28</t>
        </is>
      </c>
      <c r="G581" s="18" t="inlineStr">
        <is>
          <t>10001|117600$123001|72128$123006|1111</t>
        </is>
      </c>
      <c r="H581" s="18" t="inlineStr">
        <is>
          <t>3100|15</t>
        </is>
      </c>
      <c r="J581" s="26" t="inlineStr">
        <is>
          <t>治疗量为[0]生命+[1]%生命上限</t>
        </is>
      </c>
      <c r="K581" s="18" t="inlineStr">
        <is>
          <t>3100|15</t>
        </is>
      </c>
    </row>
    <row r="582">
      <c r="B582" s="18" t="n">
        <v>10579</v>
      </c>
      <c r="C582" s="24" t="inlineStr">
        <is>
          <t>330001</t>
        </is>
      </c>
      <c r="D582" s="29" t="inlineStr">
        <is>
          <t>回愈净神诀</t>
        </is>
      </c>
      <c r="E582" s="18" t="inlineStr">
        <is>
          <t>29</t>
        </is>
      </c>
      <c r="G582" s="18" t="inlineStr">
        <is>
          <t>10001|126150$123001|77372$123006|1171</t>
        </is>
      </c>
      <c r="H582" s="18" t="inlineStr">
        <is>
          <t>3200|15</t>
        </is>
      </c>
      <c r="J582" s="26" t="inlineStr">
        <is>
          <t>治疗量为[0]生命+[1]%生命上限</t>
        </is>
      </c>
      <c r="K582" s="18" t="inlineStr">
        <is>
          <t>3200|15</t>
        </is>
      </c>
    </row>
    <row r="583">
      <c r="B583" s="18" t="n">
        <v>10580</v>
      </c>
      <c r="C583" s="24" t="inlineStr">
        <is>
          <t>330001</t>
        </is>
      </c>
      <c r="D583" s="29" t="inlineStr">
        <is>
          <t>回愈净神诀</t>
        </is>
      </c>
      <c r="E583" s="18" t="inlineStr">
        <is>
          <t>30</t>
        </is>
      </c>
      <c r="G583" s="18" t="inlineStr">
        <is>
          <t>10001|135000$124001|82800$124006|1232</t>
        </is>
      </c>
      <c r="H583" s="18" t="inlineStr">
        <is>
          <t>3300|15</t>
        </is>
      </c>
      <c r="J583" s="26" t="inlineStr">
        <is>
          <t>治疗量为[0]生命+[1]%生命上限</t>
        </is>
      </c>
      <c r="K583" s="18" t="inlineStr">
        <is>
          <t>3300|15</t>
        </is>
      </c>
    </row>
    <row r="584">
      <c r="B584" s="18" t="n">
        <v>10581</v>
      </c>
      <c r="C584" s="24" t="inlineStr">
        <is>
          <t>330001</t>
        </is>
      </c>
      <c r="D584" s="29" t="inlineStr">
        <is>
          <t>回愈净神诀</t>
        </is>
      </c>
      <c r="E584" s="18" t="inlineStr">
        <is>
          <t>31</t>
        </is>
      </c>
      <c r="G584" s="18" t="inlineStr">
        <is>
          <t>10001|144150$124001|88412$124006|1295</t>
        </is>
      </c>
      <c r="H584" s="18" t="inlineStr">
        <is>
          <t>3400|16</t>
        </is>
      </c>
      <c r="J584" s="26" t="inlineStr">
        <is>
          <t>治疗量为[0]生命+[1]%生命上限</t>
        </is>
      </c>
      <c r="K584" s="18" t="inlineStr">
        <is>
          <t>3400|16</t>
        </is>
      </c>
    </row>
    <row r="585">
      <c r="B585" s="18" t="n">
        <v>10582</v>
      </c>
      <c r="C585" s="24" t="inlineStr">
        <is>
          <t>330001</t>
        </is>
      </c>
      <c r="D585" s="29" t="inlineStr">
        <is>
          <t>回愈净神诀</t>
        </is>
      </c>
      <c r="E585" s="18" t="inlineStr">
        <is>
          <t>32</t>
        </is>
      </c>
      <c r="G585" s="18" t="inlineStr">
        <is>
          <t>10001|153600$124001|94208$124006|1358</t>
        </is>
      </c>
      <c r="H585" s="18" t="inlineStr">
        <is>
          <t>3500|16</t>
        </is>
      </c>
      <c r="J585" s="26" t="inlineStr">
        <is>
          <t>治疗量为[0]生命+[1]%生命上限</t>
        </is>
      </c>
      <c r="K585" s="18" t="inlineStr">
        <is>
          <t>3500|16</t>
        </is>
      </c>
    </row>
    <row r="586">
      <c r="B586" s="18" t="n">
        <v>10583</v>
      </c>
      <c r="C586" s="24" t="inlineStr">
        <is>
          <t>330001</t>
        </is>
      </c>
      <c r="D586" s="29" t="inlineStr">
        <is>
          <t>回愈净神诀</t>
        </is>
      </c>
      <c r="E586" s="18" t="inlineStr">
        <is>
          <t>33</t>
        </is>
      </c>
      <c r="G586" s="18" t="inlineStr">
        <is>
          <t>10001|163350$124001|100188$124006|1422</t>
        </is>
      </c>
      <c r="H586" s="18" t="inlineStr">
        <is>
          <t>3600|16</t>
        </is>
      </c>
      <c r="J586" s="26" t="inlineStr">
        <is>
          <t>治疗量为[0]生命+[1]%生命上限</t>
        </is>
      </c>
      <c r="K586" s="18" t="inlineStr">
        <is>
          <t>3600|16</t>
        </is>
      </c>
    </row>
    <row r="587">
      <c r="B587" s="18" t="n">
        <v>10584</v>
      </c>
      <c r="C587" s="24" t="inlineStr">
        <is>
          <t>330001</t>
        </is>
      </c>
      <c r="D587" s="29" t="inlineStr">
        <is>
          <t>回愈净神诀</t>
        </is>
      </c>
      <c r="E587" s="18" t="inlineStr">
        <is>
          <t>34</t>
        </is>
      </c>
      <c r="G587" s="18" t="inlineStr">
        <is>
          <t>10001|173400$124001|106352$124006|1487</t>
        </is>
      </c>
      <c r="H587" s="18" t="inlineStr">
        <is>
          <t>3700|16</t>
        </is>
      </c>
      <c r="J587" s="26" t="inlineStr">
        <is>
          <t>治疗量为[0]生命+[1]%生命上限</t>
        </is>
      </c>
      <c r="K587" s="18" t="inlineStr">
        <is>
          <t>3700|16</t>
        </is>
      </c>
    </row>
    <row r="588">
      <c r="B588" s="18" t="n">
        <v>10585</v>
      </c>
      <c r="C588" s="24" t="inlineStr">
        <is>
          <t>330001</t>
        </is>
      </c>
      <c r="D588" s="29" t="inlineStr">
        <is>
          <t>回愈净神诀</t>
        </is>
      </c>
      <c r="E588" s="18" t="inlineStr">
        <is>
          <t>35</t>
        </is>
      </c>
      <c r="G588" s="18" t="inlineStr">
        <is>
          <t>10001|183750$124001|112700$124006|1553</t>
        </is>
      </c>
      <c r="H588" s="18" t="inlineStr">
        <is>
          <t>3800|16</t>
        </is>
      </c>
      <c r="J588" s="26" t="inlineStr">
        <is>
          <t>治疗量为[0]生命+[1]%生命上限</t>
        </is>
      </c>
      <c r="K588" s="18" t="inlineStr">
        <is>
          <t>3800|16</t>
        </is>
      </c>
    </row>
    <row r="589">
      <c r="B589" s="18" t="n">
        <v>10586</v>
      </c>
      <c r="C589" s="24" t="inlineStr">
        <is>
          <t>330001</t>
        </is>
      </c>
      <c r="D589" s="29" t="inlineStr">
        <is>
          <t>回愈净神诀</t>
        </is>
      </c>
      <c r="E589" s="18" t="inlineStr">
        <is>
          <t>36</t>
        </is>
      </c>
      <c r="G589" s="18" t="inlineStr">
        <is>
          <t>10001|194400$124001|119232$124006|1620</t>
        </is>
      </c>
      <c r="H589" s="18" t="inlineStr">
        <is>
          <t>3900|17</t>
        </is>
      </c>
      <c r="J589" s="26" t="inlineStr">
        <is>
          <t>治疗量为[0]生命+[1]%生命上限</t>
        </is>
      </c>
      <c r="K589" s="18" t="inlineStr">
        <is>
          <t>3900|17</t>
        </is>
      </c>
    </row>
    <row r="590">
      <c r="B590" s="18" t="n">
        <v>10587</v>
      </c>
      <c r="C590" s="24" t="inlineStr">
        <is>
          <t>330001</t>
        </is>
      </c>
      <c r="D590" s="29" t="inlineStr">
        <is>
          <t>回愈净神诀</t>
        </is>
      </c>
      <c r="E590" s="18" t="inlineStr">
        <is>
          <t>37</t>
        </is>
      </c>
      <c r="G590" s="18" t="inlineStr">
        <is>
          <t>10001|205350$124001|125948$124006|1688</t>
        </is>
      </c>
      <c r="H590" s="18" t="inlineStr">
        <is>
          <t>4000|17</t>
        </is>
      </c>
      <c r="J590" s="26" t="inlineStr">
        <is>
          <t>治疗量为[0]生命+[1]%生命上限</t>
        </is>
      </c>
      <c r="K590" s="18" t="inlineStr">
        <is>
          <t>4000|17</t>
        </is>
      </c>
    </row>
    <row r="591">
      <c r="B591" s="18" t="n">
        <v>10588</v>
      </c>
      <c r="C591" s="24" t="inlineStr">
        <is>
          <t>330001</t>
        </is>
      </c>
      <c r="D591" s="29" t="inlineStr">
        <is>
          <t>回愈净神诀</t>
        </is>
      </c>
      <c r="E591" s="18" t="inlineStr">
        <is>
          <t>38</t>
        </is>
      </c>
      <c r="G591" s="18" t="inlineStr">
        <is>
          <t>10001|216600$124001|132848$124006|1757</t>
        </is>
      </c>
      <c r="H591" s="18" t="inlineStr">
        <is>
          <t>4100|17</t>
        </is>
      </c>
      <c r="J591" s="26" t="inlineStr">
        <is>
          <t>治疗量为[0]生命+[1]%生命上限</t>
        </is>
      </c>
      <c r="K591" s="18" t="inlineStr">
        <is>
          <t>4100|17</t>
        </is>
      </c>
    </row>
    <row r="592">
      <c r="B592" s="18" t="n">
        <v>10589</v>
      </c>
      <c r="C592" s="24" t="inlineStr">
        <is>
          <t>330001</t>
        </is>
      </c>
      <c r="D592" s="29" t="inlineStr">
        <is>
          <t>回愈净神诀</t>
        </is>
      </c>
      <c r="E592" s="18" t="inlineStr">
        <is>
          <t>39</t>
        </is>
      </c>
      <c r="G592" s="18" t="inlineStr">
        <is>
          <t>10001|228150$124001|139932$124006|1827</t>
        </is>
      </c>
      <c r="H592" s="18" t="inlineStr">
        <is>
          <t>4200|17</t>
        </is>
      </c>
      <c r="J592" s="26" t="inlineStr">
        <is>
          <t>治疗量为[0]生命+[1]%生命上限</t>
        </is>
      </c>
      <c r="K592" s="18" t="inlineStr">
        <is>
          <t>4200|17</t>
        </is>
      </c>
    </row>
    <row r="593">
      <c r="B593" s="18" t="n">
        <v>10590</v>
      </c>
      <c r="C593" s="24" t="inlineStr">
        <is>
          <t>330001</t>
        </is>
      </c>
      <c r="D593" s="29" t="inlineStr">
        <is>
          <t>回愈净神诀</t>
        </is>
      </c>
      <c r="E593" s="18" t="inlineStr">
        <is>
          <t>40</t>
        </is>
      </c>
      <c r="G593" s="18" t="inlineStr">
        <is>
          <t>10001|240000$125001|147200$125006|1897</t>
        </is>
      </c>
      <c r="H593" s="18" t="inlineStr">
        <is>
          <t>4300|17</t>
        </is>
      </c>
      <c r="J593" s="26" t="inlineStr">
        <is>
          <t>治疗量为[0]生命+[1]%生命上限</t>
        </is>
      </c>
      <c r="K593" s="18" t="inlineStr">
        <is>
          <t>4300|17</t>
        </is>
      </c>
    </row>
    <row r="594">
      <c r="B594" s="18" t="n">
        <v>10591</v>
      </c>
      <c r="C594" s="24" t="inlineStr">
        <is>
          <t>330001</t>
        </is>
      </c>
      <c r="D594" s="29" t="inlineStr">
        <is>
          <t>回愈净神诀</t>
        </is>
      </c>
      <c r="E594" s="18" t="inlineStr">
        <is>
          <t>41</t>
        </is>
      </c>
      <c r="G594" s="18" t="inlineStr">
        <is>
          <t>10001|252150$125001|154652$125006|1969</t>
        </is>
      </c>
      <c r="H594" s="18" t="inlineStr">
        <is>
          <t>4400|18</t>
        </is>
      </c>
      <c r="J594" s="26" t="inlineStr">
        <is>
          <t>治疗量为[0]生命+[1]%生命上限</t>
        </is>
      </c>
      <c r="K594" s="18" t="inlineStr">
        <is>
          <t>4400|18</t>
        </is>
      </c>
    </row>
    <row r="595">
      <c r="B595" s="18" t="n">
        <v>10592</v>
      </c>
      <c r="C595" s="24" t="inlineStr">
        <is>
          <t>330001</t>
        </is>
      </c>
      <c r="D595" s="29" t="inlineStr">
        <is>
          <t>回愈净神诀</t>
        </is>
      </c>
      <c r="E595" s="18" t="inlineStr">
        <is>
          <t>42</t>
        </is>
      </c>
      <c r="G595" s="18" t="inlineStr">
        <is>
          <t>10001|264600$125001|162288$125006|2041</t>
        </is>
      </c>
      <c r="H595" s="18" t="inlineStr">
        <is>
          <t>4500|18</t>
        </is>
      </c>
      <c r="J595" s="26" t="inlineStr">
        <is>
          <t>治疗量为[0]生命+[1]%生命上限</t>
        </is>
      </c>
      <c r="K595" s="18" t="inlineStr">
        <is>
          <t>4500|18</t>
        </is>
      </c>
    </row>
    <row r="596">
      <c r="B596" s="18" t="n">
        <v>10593</v>
      </c>
      <c r="C596" s="24" t="inlineStr">
        <is>
          <t>330001</t>
        </is>
      </c>
      <c r="D596" s="29" t="inlineStr">
        <is>
          <t>回愈净神诀</t>
        </is>
      </c>
      <c r="E596" s="18" t="inlineStr">
        <is>
          <t>43</t>
        </is>
      </c>
      <c r="G596" s="18" t="inlineStr">
        <is>
          <t>10001|277350$125001|170108$125006|2115</t>
        </is>
      </c>
      <c r="H596" s="18" t="inlineStr">
        <is>
          <t>4600|18</t>
        </is>
      </c>
      <c r="J596" s="26" t="inlineStr">
        <is>
          <t>治疗量为[0]生命+[1]%生命上限</t>
        </is>
      </c>
      <c r="K596" s="18" t="inlineStr">
        <is>
          <t>4600|18</t>
        </is>
      </c>
    </row>
    <row r="597">
      <c r="B597" s="18" t="n">
        <v>10594</v>
      </c>
      <c r="C597" s="24" t="inlineStr">
        <is>
          <t>330001</t>
        </is>
      </c>
      <c r="D597" s="29" t="inlineStr">
        <is>
          <t>回愈净神诀</t>
        </is>
      </c>
      <c r="E597" s="18" t="inlineStr">
        <is>
          <t>44</t>
        </is>
      </c>
      <c r="G597" s="18" t="inlineStr">
        <is>
          <t>10001|290400$125001|178112$125006|2189</t>
        </is>
      </c>
      <c r="H597" s="18" t="inlineStr">
        <is>
          <t>4700|18</t>
        </is>
      </c>
      <c r="J597" s="26" t="inlineStr">
        <is>
          <t>治疗量为[0]生命+[1]%生命上限</t>
        </is>
      </c>
      <c r="K597" s="18" t="inlineStr">
        <is>
          <t>4700|18</t>
        </is>
      </c>
    </row>
    <row r="598">
      <c r="B598" s="18" t="n">
        <v>10595</v>
      </c>
      <c r="C598" s="24" t="inlineStr">
        <is>
          <t>330001</t>
        </is>
      </c>
      <c r="D598" s="29" t="inlineStr">
        <is>
          <t>回愈净神诀</t>
        </is>
      </c>
      <c r="E598" s="18" t="inlineStr">
        <is>
          <t>45</t>
        </is>
      </c>
      <c r="G598" s="18" t="inlineStr">
        <is>
          <t>10001|303750$125001|186300$125006|2264</t>
        </is>
      </c>
      <c r="H598" s="18" t="inlineStr">
        <is>
          <t>4800|18</t>
        </is>
      </c>
      <c r="J598" s="26" t="inlineStr">
        <is>
          <t>治疗量为[0]生命+[1]%生命上限</t>
        </is>
      </c>
      <c r="K598" s="18" t="inlineStr">
        <is>
          <t>4800|18</t>
        </is>
      </c>
    </row>
    <row r="599">
      <c r="B599" s="18" t="n">
        <v>10596</v>
      </c>
      <c r="C599" s="24" t="inlineStr">
        <is>
          <t>330001</t>
        </is>
      </c>
      <c r="D599" s="29" t="inlineStr">
        <is>
          <t>回愈净神诀</t>
        </is>
      </c>
      <c r="E599" s="18" t="inlineStr">
        <is>
          <t>46</t>
        </is>
      </c>
      <c r="G599" s="18" t="inlineStr">
        <is>
          <t>10001|317400$125001|194672$125006|2340</t>
        </is>
      </c>
      <c r="H599" s="18" t="inlineStr">
        <is>
          <t>4900|19</t>
        </is>
      </c>
      <c r="J599" s="26" t="inlineStr">
        <is>
          <t>治疗量为[0]生命+[1]%生命上限</t>
        </is>
      </c>
      <c r="K599" s="18" t="inlineStr">
        <is>
          <t>4900|19</t>
        </is>
      </c>
    </row>
    <row r="600">
      <c r="B600" s="18" t="n">
        <v>10597</v>
      </c>
      <c r="C600" s="24" t="inlineStr">
        <is>
          <t>330001</t>
        </is>
      </c>
      <c r="D600" s="29" t="inlineStr">
        <is>
          <t>回愈净神诀</t>
        </is>
      </c>
      <c r="E600" s="18" t="inlineStr">
        <is>
          <t>47</t>
        </is>
      </c>
      <c r="G600" s="18" t="inlineStr">
        <is>
          <t>10001|331350$125001|203228$125006|2417</t>
        </is>
      </c>
      <c r="H600" s="18" t="inlineStr">
        <is>
          <t>5000|19</t>
        </is>
      </c>
      <c r="J600" s="26" t="inlineStr">
        <is>
          <t>治疗量为[0]生命+[1]%生命上限</t>
        </is>
      </c>
      <c r="K600" s="18" t="inlineStr">
        <is>
          <t>5000|19</t>
        </is>
      </c>
    </row>
    <row r="601">
      <c r="B601" s="18" t="n">
        <v>10598</v>
      </c>
      <c r="C601" s="24" t="inlineStr">
        <is>
          <t>330001</t>
        </is>
      </c>
      <c r="D601" s="29" t="inlineStr">
        <is>
          <t>回愈净神诀</t>
        </is>
      </c>
      <c r="E601" s="18" t="inlineStr">
        <is>
          <t>48</t>
        </is>
      </c>
      <c r="G601" s="18" t="inlineStr">
        <is>
          <t>10001|345600$125001|211968$125006|2494</t>
        </is>
      </c>
      <c r="H601" s="18" t="inlineStr">
        <is>
          <t>5100|19</t>
        </is>
      </c>
      <c r="J601" s="26" t="inlineStr">
        <is>
          <t>治疗量为[0]生命+[1]%生命上限</t>
        </is>
      </c>
      <c r="K601" s="18" t="inlineStr">
        <is>
          <t>5100|19</t>
        </is>
      </c>
    </row>
    <row r="602">
      <c r="B602" s="18" t="n">
        <v>10599</v>
      </c>
      <c r="C602" s="24" t="inlineStr">
        <is>
          <t>330001</t>
        </is>
      </c>
      <c r="D602" s="29" t="inlineStr">
        <is>
          <t>回愈净神诀</t>
        </is>
      </c>
      <c r="E602" s="18" t="inlineStr">
        <is>
          <t>49</t>
        </is>
      </c>
      <c r="G602" s="18" t="inlineStr">
        <is>
          <t>10001|360150$125001|220892$125006|2573</t>
        </is>
      </c>
      <c r="H602" s="18" t="inlineStr">
        <is>
          <t>5200|20</t>
        </is>
      </c>
      <c r="J602" s="26" t="inlineStr">
        <is>
          <t>治疗量为[0]生命+[1]%生命上限</t>
        </is>
      </c>
      <c r="K602" s="18" t="inlineStr">
        <is>
          <t>5200|20</t>
        </is>
      </c>
    </row>
    <row r="603">
      <c r="B603" s="18" t="n">
        <v>10600</v>
      </c>
      <c r="C603" s="24" t="inlineStr">
        <is>
          <t>330001</t>
        </is>
      </c>
      <c r="D603" s="29" t="inlineStr">
        <is>
          <t>回愈净神诀</t>
        </is>
      </c>
      <c r="E603" s="18" t="inlineStr">
        <is>
          <t>50</t>
        </is>
      </c>
      <c r="G603" s="18" t="inlineStr">
        <is>
          <t>10001|375000$125001|230000$125006|2652</t>
        </is>
      </c>
      <c r="H603" s="18" t="inlineStr">
        <is>
          <t>5300|20</t>
        </is>
      </c>
      <c r="J603" s="26" t="inlineStr">
        <is>
          <t>治疗量为[0]生命+[1]%生命上限</t>
        </is>
      </c>
      <c r="K603" s="18" t="inlineStr">
        <is>
          <t>5300|20</t>
        </is>
      </c>
    </row>
    <row r="604">
      <c r="B604" s="20" t="n">
        <v>10601</v>
      </c>
      <c r="C604" s="23" t="inlineStr">
        <is>
          <t>110003</t>
        </is>
      </c>
      <c r="D604" s="8" t="inlineStr">
        <is>
          <t>剑影分光</t>
        </is>
      </c>
      <c r="E604" s="20" t="inlineStr">
        <is>
          <t>1</t>
        </is>
      </c>
      <c r="F604" s="20" t="inlineStr">
        <is>
          <t>-66|-66|-66|-66|-66</t>
        </is>
      </c>
      <c r="G604" s="20" t="inlineStr">
        <is>
          <t>10001|150$121001|92$121002|8</t>
        </is>
      </c>
      <c r="J604" s="26" t="inlineStr">
        <is>
          <t>造成五段伤害，每段伤害为[0]%</t>
        </is>
      </c>
      <c r="K604" s="18" t="n">
        <v>34</v>
      </c>
    </row>
    <row r="605">
      <c r="B605" s="20" t="n">
        <v>10602</v>
      </c>
      <c r="C605" s="23" t="inlineStr">
        <is>
          <t>110003</t>
        </is>
      </c>
      <c r="D605" s="8" t="inlineStr">
        <is>
          <t>剑影分光</t>
        </is>
      </c>
      <c r="E605" s="20" t="inlineStr">
        <is>
          <t>2</t>
        </is>
      </c>
      <c r="F605" s="20" t="inlineStr">
        <is>
          <t>-62.8|-62.8|-62.8|-62.8|-62.8</t>
        </is>
      </c>
      <c r="G605" s="20" t="inlineStr">
        <is>
          <t>10001|600$121001|368$121002|21</t>
        </is>
      </c>
      <c r="J605" s="26" t="inlineStr">
        <is>
          <t>造成五段伤害，每段伤害为[0]%</t>
        </is>
      </c>
      <c r="K605" s="18" t="n">
        <v>37</v>
      </c>
    </row>
    <row r="606">
      <c r="B606" s="20" t="n">
        <v>10603</v>
      </c>
      <c r="C606" s="23" t="inlineStr">
        <is>
          <t>110003</t>
        </is>
      </c>
      <c r="D606" s="8" t="inlineStr">
        <is>
          <t>剑影分光</t>
        </is>
      </c>
      <c r="E606" s="20" t="inlineStr">
        <is>
          <t>3</t>
        </is>
      </c>
      <c r="F606" s="20" t="inlineStr">
        <is>
          <t>-59.6|-59.6|-59.6|-59.6|-59.6</t>
        </is>
      </c>
      <c r="G606" s="20" t="inlineStr">
        <is>
          <t>10001|1350$121001|828$121002|39</t>
        </is>
      </c>
      <c r="J606" s="26" t="inlineStr">
        <is>
          <t>造成五段伤害，每段伤害为[0]%</t>
        </is>
      </c>
      <c r="K606" s="18" t="n">
        <v>40</v>
      </c>
    </row>
    <row r="607">
      <c r="B607" s="20" t="n">
        <v>10604</v>
      </c>
      <c r="C607" s="23" t="inlineStr">
        <is>
          <t>110003</t>
        </is>
      </c>
      <c r="D607" s="8" t="inlineStr">
        <is>
          <t>剑影分光</t>
        </is>
      </c>
      <c r="E607" s="20" t="inlineStr">
        <is>
          <t>4</t>
        </is>
      </c>
      <c r="F607" s="20" t="inlineStr">
        <is>
          <t>-56.4|-56.4|-56.4|-56.4|-56.4</t>
        </is>
      </c>
      <c r="G607" s="20" t="inlineStr">
        <is>
          <t>10001|2400$121001|1472$121002|60</t>
        </is>
      </c>
      <c r="J607" s="26" t="inlineStr">
        <is>
          <t>造成五段伤害，每段伤害为[0]%</t>
        </is>
      </c>
      <c r="K607" s="18" t="n">
        <v>44</v>
      </c>
    </row>
    <row r="608">
      <c r="B608" s="20" t="n">
        <v>10605</v>
      </c>
      <c r="C608" s="23" t="inlineStr">
        <is>
          <t>110003</t>
        </is>
      </c>
      <c r="D608" s="8" t="inlineStr">
        <is>
          <t>剑影分光</t>
        </is>
      </c>
      <c r="E608" s="20" t="inlineStr">
        <is>
          <t>5</t>
        </is>
      </c>
      <c r="F608" s="20" t="inlineStr">
        <is>
          <t>-53.2|-53.2|-53.2|-53.2|-53.2</t>
        </is>
      </c>
      <c r="G608" s="20" t="inlineStr">
        <is>
          <t>10001|3750$121001|2300$121002|84</t>
        </is>
      </c>
      <c r="J608" s="26" t="inlineStr">
        <is>
          <t>造成五段伤害，每段伤害为[0]%</t>
        </is>
      </c>
      <c r="K608" s="18" t="n">
        <v>47</v>
      </c>
    </row>
    <row r="609">
      <c r="B609" s="20" t="n">
        <v>10606</v>
      </c>
      <c r="C609" s="23" t="inlineStr">
        <is>
          <t>110003</t>
        </is>
      </c>
      <c r="D609" s="8" t="inlineStr">
        <is>
          <t>剑影分光</t>
        </is>
      </c>
      <c r="E609" s="20" t="inlineStr">
        <is>
          <t>6</t>
        </is>
      </c>
      <c r="F609" s="20" t="inlineStr">
        <is>
          <t>-50|-50|-50|-50|-50</t>
        </is>
      </c>
      <c r="G609" s="20" t="inlineStr">
        <is>
          <t>10001|5400$121001|3312$121002|110</t>
        </is>
      </c>
      <c r="J609" s="26" t="inlineStr">
        <is>
          <t>造成五段伤害，每段伤害为[0]%</t>
        </is>
      </c>
      <c r="K609" s="18" t="n">
        <v>50</v>
      </c>
    </row>
    <row r="610">
      <c r="B610" s="20" t="n">
        <v>10607</v>
      </c>
      <c r="C610" s="23" t="inlineStr">
        <is>
          <t>110003</t>
        </is>
      </c>
      <c r="D610" s="8" t="inlineStr">
        <is>
          <t>剑影分光</t>
        </is>
      </c>
      <c r="E610" s="20" t="inlineStr">
        <is>
          <t>7</t>
        </is>
      </c>
      <c r="F610" s="20" t="inlineStr">
        <is>
          <t>-46.8|-46.8|-46.8|-46.8|-46.8</t>
        </is>
      </c>
      <c r="G610" s="20" t="inlineStr">
        <is>
          <t>10001|7350$121001|4508$121002|139</t>
        </is>
      </c>
      <c r="J610" s="26" t="inlineStr">
        <is>
          <t>造成五段伤害，每段伤害为[0]%</t>
        </is>
      </c>
      <c r="K610" s="18" t="n">
        <v>53</v>
      </c>
    </row>
    <row r="611">
      <c r="B611" s="20" t="n">
        <v>10608</v>
      </c>
      <c r="C611" s="23" t="inlineStr">
        <is>
          <t>110003</t>
        </is>
      </c>
      <c r="D611" s="8" t="inlineStr">
        <is>
          <t>剑影分光</t>
        </is>
      </c>
      <c r="E611" s="20" t="inlineStr">
        <is>
          <t>8</t>
        </is>
      </c>
      <c r="F611" s="20" t="inlineStr">
        <is>
          <t>-43.6|-43.6|-43.6|-43.6|-43.6</t>
        </is>
      </c>
      <c r="G611" s="20" t="inlineStr">
        <is>
          <t>10001|9600$121001|5888$121002|170</t>
        </is>
      </c>
      <c r="J611" s="26" t="inlineStr">
        <is>
          <t>造成五段伤害，每段伤害为[0]%</t>
        </is>
      </c>
      <c r="K611" s="18" t="n">
        <v>56</v>
      </c>
    </row>
    <row r="612">
      <c r="B612" s="20" t="n">
        <v>10609</v>
      </c>
      <c r="C612" s="23" t="inlineStr">
        <is>
          <t>110003</t>
        </is>
      </c>
      <c r="D612" s="8" t="inlineStr">
        <is>
          <t>剑影分光</t>
        </is>
      </c>
      <c r="E612" s="20" t="inlineStr">
        <is>
          <t>9</t>
        </is>
      </c>
      <c r="F612" s="20" t="inlineStr">
        <is>
          <t>-40.4|-40.4|-40.4|-40.4|-40.4</t>
        </is>
      </c>
      <c r="G612" s="20" t="inlineStr">
        <is>
          <t>10001|12150$121001|7452$121002|203</t>
        </is>
      </c>
      <c r="J612" s="26" t="inlineStr">
        <is>
          <t>造成五段伤害，每段伤害为[0]%</t>
        </is>
      </c>
      <c r="K612" s="18" t="n">
        <v>60</v>
      </c>
    </row>
    <row r="613">
      <c r="B613" s="20" t="n">
        <v>10610</v>
      </c>
      <c r="C613" s="23" t="inlineStr">
        <is>
          <t>110003</t>
        </is>
      </c>
      <c r="D613" s="8" t="inlineStr">
        <is>
          <t>剑影分光</t>
        </is>
      </c>
      <c r="E613" s="20" t="inlineStr">
        <is>
          <t>10</t>
        </is>
      </c>
      <c r="F613" s="20" t="inlineStr">
        <is>
          <t>-37.2|-37.2|-37.2|-37.2|-37.2</t>
        </is>
      </c>
      <c r="G613" s="20" t="inlineStr">
        <is>
          <t>10001|15000$122001|9200$122002|237</t>
        </is>
      </c>
      <c r="J613" s="26" t="inlineStr">
        <is>
          <t>造成五段伤害，每段伤害为[0]%</t>
        </is>
      </c>
      <c r="K613" s="18" t="n">
        <v>63</v>
      </c>
    </row>
    <row r="614">
      <c r="B614" s="20" t="n">
        <v>10611</v>
      </c>
      <c r="C614" s="23" t="inlineStr">
        <is>
          <t>110003</t>
        </is>
      </c>
      <c r="D614" s="8" t="inlineStr">
        <is>
          <t>剑影分光</t>
        </is>
      </c>
      <c r="E614" s="20" t="inlineStr">
        <is>
          <t>11</t>
        </is>
      </c>
      <c r="F614" s="20" t="inlineStr">
        <is>
          <t>-34|-34|-34|-34|-34</t>
        </is>
      </c>
      <c r="G614" s="20" t="inlineStr">
        <is>
          <t>10001|18150$122001|11132$122002|274</t>
        </is>
      </c>
      <c r="J614" s="26" t="inlineStr">
        <is>
          <t>造成五段伤害，每段伤害为[0]%</t>
        </is>
      </c>
      <c r="K614" s="18" t="n">
        <v>66</v>
      </c>
    </row>
    <row r="615">
      <c r="B615" s="20" t="n">
        <v>10612</v>
      </c>
      <c r="C615" s="23" t="inlineStr">
        <is>
          <t>110003</t>
        </is>
      </c>
      <c r="D615" s="8" t="inlineStr">
        <is>
          <t>剑影分光</t>
        </is>
      </c>
      <c r="E615" s="20" t="inlineStr">
        <is>
          <t>12</t>
        </is>
      </c>
      <c r="F615" s="20" t="inlineStr">
        <is>
          <t>-30.8|-30.8|-30.8|-30.8|-30.8</t>
        </is>
      </c>
      <c r="G615" s="20" t="inlineStr">
        <is>
          <t>10001|21600$122001|13248$122002|312</t>
        </is>
      </c>
      <c r="J615" s="26" t="inlineStr">
        <is>
          <t>造成五段伤害，每段伤害为[0]%</t>
        </is>
      </c>
      <c r="K615" s="18" t="n">
        <v>69</v>
      </c>
    </row>
    <row r="616">
      <c r="B616" s="20" t="n">
        <v>10613</v>
      </c>
      <c r="C616" s="23" t="inlineStr">
        <is>
          <t>110003</t>
        </is>
      </c>
      <c r="D616" s="8" t="inlineStr">
        <is>
          <t>剑影分光</t>
        </is>
      </c>
      <c r="E616" s="20" t="inlineStr">
        <is>
          <t>13</t>
        </is>
      </c>
      <c r="F616" s="20" t="inlineStr">
        <is>
          <t>-27.6|-27.6|-27.6|-27.6|-27.6</t>
        </is>
      </c>
      <c r="G616" s="20" t="inlineStr">
        <is>
          <t>10001|25350$122001|15548$122002|352</t>
        </is>
      </c>
      <c r="J616" s="26" t="inlineStr">
        <is>
          <t>造成五段伤害，每段伤害为[0]%</t>
        </is>
      </c>
      <c r="K616" s="18" t="n">
        <v>72</v>
      </c>
    </row>
    <row r="617">
      <c r="B617" s="20" t="n">
        <v>10614</v>
      </c>
      <c r="C617" s="23" t="inlineStr">
        <is>
          <t>110003</t>
        </is>
      </c>
      <c r="D617" s="8" t="inlineStr">
        <is>
          <t>剑影分光</t>
        </is>
      </c>
      <c r="E617" s="20" t="inlineStr">
        <is>
          <t>14</t>
        </is>
      </c>
      <c r="F617" s="20" t="inlineStr">
        <is>
          <t>-24.4|-24.4|-24.4|-24.4|-24.4</t>
        </is>
      </c>
      <c r="G617" s="20" t="inlineStr">
        <is>
          <t>10001|29400$122001|18032$122002|393</t>
        </is>
      </c>
      <c r="J617" s="26" t="inlineStr">
        <is>
          <t>造成五段伤害，每段伤害为[0]%</t>
        </is>
      </c>
      <c r="K617" s="18" t="n">
        <v>76</v>
      </c>
    </row>
    <row r="618">
      <c r="B618" s="20" t="n">
        <v>10615</v>
      </c>
      <c r="C618" s="23" t="inlineStr">
        <is>
          <t>110003</t>
        </is>
      </c>
      <c r="D618" s="8" t="inlineStr">
        <is>
          <t>剑影分光</t>
        </is>
      </c>
      <c r="E618" s="20" t="inlineStr">
        <is>
          <t>15</t>
        </is>
      </c>
      <c r="F618" s="20" t="inlineStr">
        <is>
          <t>-21.2|-21.2|-21.2|-21.2|-21.2</t>
        </is>
      </c>
      <c r="G618" s="20" t="inlineStr">
        <is>
          <t>10001|33750$122001|20700$122002|436</t>
        </is>
      </c>
      <c r="J618" s="26" t="inlineStr">
        <is>
          <t>造成五段伤害，每段伤害为[0]%</t>
        </is>
      </c>
      <c r="K618" s="18" t="n">
        <v>79</v>
      </c>
    </row>
    <row r="619">
      <c r="B619" s="20" t="n">
        <v>10616</v>
      </c>
      <c r="C619" s="23" t="inlineStr">
        <is>
          <t>110003</t>
        </is>
      </c>
      <c r="D619" s="8" t="inlineStr">
        <is>
          <t>剑影分光</t>
        </is>
      </c>
      <c r="E619" s="20" t="inlineStr">
        <is>
          <t>16</t>
        </is>
      </c>
      <c r="F619" s="20" t="inlineStr">
        <is>
          <t>-18|-18|-18|-18|-18</t>
        </is>
      </c>
      <c r="G619" s="20" t="inlineStr">
        <is>
          <t>10001|38400$122001|23552$122002|480</t>
        </is>
      </c>
      <c r="J619" s="26" t="inlineStr">
        <is>
          <t>造成五段伤害，每段伤害为[0]%</t>
        </is>
      </c>
      <c r="K619" s="18" t="n">
        <v>82</v>
      </c>
    </row>
    <row r="620">
      <c r="B620" s="20" t="n">
        <v>10617</v>
      </c>
      <c r="C620" s="23" t="inlineStr">
        <is>
          <t>110003</t>
        </is>
      </c>
      <c r="D620" s="8" t="inlineStr">
        <is>
          <t>剑影分光</t>
        </is>
      </c>
      <c r="E620" s="20" t="inlineStr">
        <is>
          <t>17</t>
        </is>
      </c>
      <c r="F620" s="20" t="inlineStr">
        <is>
          <t>-14.8|-14.8|-14.8|-14.8|-14.8</t>
        </is>
      </c>
      <c r="G620" s="20" t="inlineStr">
        <is>
          <t>10001|43350$122001|26588$122002|526</t>
        </is>
      </c>
      <c r="J620" s="26" t="inlineStr">
        <is>
          <t>造成五段伤害，每段伤害为[0]%</t>
        </is>
      </c>
      <c r="K620" s="18" t="n">
        <v>85</v>
      </c>
    </row>
    <row r="621">
      <c r="B621" s="20" t="n">
        <v>10618</v>
      </c>
      <c r="C621" s="23" t="inlineStr">
        <is>
          <t>110003</t>
        </is>
      </c>
      <c r="D621" s="8" t="inlineStr">
        <is>
          <t>剑影分光</t>
        </is>
      </c>
      <c r="E621" s="20" t="inlineStr">
        <is>
          <t>18</t>
        </is>
      </c>
      <c r="F621" s="20" t="inlineStr">
        <is>
          <t>-11.6|-11.6|-11.6|-11.6|-11.6</t>
        </is>
      </c>
      <c r="G621" s="20" t="inlineStr">
        <is>
          <t>10001|48600$122001|29808$122002|573</t>
        </is>
      </c>
      <c r="J621" s="26" t="inlineStr">
        <is>
          <t>造成五段伤害，每段伤害为[0]%</t>
        </is>
      </c>
      <c r="K621" s="18" t="n">
        <v>88</v>
      </c>
    </row>
    <row r="622">
      <c r="B622" s="20" t="n">
        <v>10619</v>
      </c>
      <c r="C622" s="23" t="inlineStr">
        <is>
          <t>110003</t>
        </is>
      </c>
      <c r="D622" s="8" t="inlineStr">
        <is>
          <t>剑影分光</t>
        </is>
      </c>
      <c r="E622" s="20" t="inlineStr">
        <is>
          <t>19</t>
        </is>
      </c>
      <c r="F622" s="20" t="inlineStr">
        <is>
          <t>-8.4|-8.4|-8.4|-8.4|-8.4</t>
        </is>
      </c>
      <c r="G622" s="20" t="inlineStr">
        <is>
          <t>10001|54150$122001|33212$122002|621</t>
        </is>
      </c>
      <c r="J622" s="26" t="inlineStr">
        <is>
          <t>造成五段伤害，每段伤害为[0]%</t>
        </is>
      </c>
      <c r="K622" s="18" t="n">
        <v>92</v>
      </c>
    </row>
    <row r="623">
      <c r="B623" s="20" t="n">
        <v>10620</v>
      </c>
      <c r="C623" s="23" t="inlineStr">
        <is>
          <t>110003</t>
        </is>
      </c>
      <c r="D623" s="8" t="inlineStr">
        <is>
          <t>剑影分光</t>
        </is>
      </c>
      <c r="E623" s="20" t="inlineStr">
        <is>
          <t>20</t>
        </is>
      </c>
      <c r="F623" s="20" t="inlineStr">
        <is>
          <t>-5.19999999999999|-5.19999999999999|-5.19999999999999|-5.19999999999999|-5.19999999999999</t>
        </is>
      </c>
      <c r="G623" s="20" t="inlineStr">
        <is>
          <t>10001|60000$123001|36800$123002|671</t>
        </is>
      </c>
      <c r="J623" s="26" t="inlineStr">
        <is>
          <t>造成五段伤害，每段伤害为[0]%</t>
        </is>
      </c>
      <c r="K623" s="18" t="n">
        <v>95</v>
      </c>
    </row>
    <row r="624">
      <c r="B624" s="20" t="n">
        <v>10621</v>
      </c>
      <c r="C624" s="23" t="inlineStr">
        <is>
          <t>110003</t>
        </is>
      </c>
      <c r="D624" s="8" t="inlineStr">
        <is>
          <t>剑影分光</t>
        </is>
      </c>
      <c r="E624" s="20" t="inlineStr">
        <is>
          <t>21</t>
        </is>
      </c>
      <c r="F624" s="20" t="inlineStr">
        <is>
          <t>-1.99999999999999|-1.99999999999999|-1.99999999999999|-1.99999999999999|-1.99999999999999</t>
        </is>
      </c>
      <c r="G624" s="20" t="inlineStr">
        <is>
          <t>10001|66150$123001|40572$123002|722</t>
        </is>
      </c>
      <c r="J624" s="26" t="inlineStr">
        <is>
          <t>造成五段伤害，每段伤害为[0]%</t>
        </is>
      </c>
      <c r="K624" s="18" t="n">
        <v>98</v>
      </c>
    </row>
    <row r="625">
      <c r="B625" s="20" t="n">
        <v>10622</v>
      </c>
      <c r="C625" s="23" t="inlineStr">
        <is>
          <t>110003</t>
        </is>
      </c>
      <c r="D625" s="8" t="inlineStr">
        <is>
          <t>剑影分光</t>
        </is>
      </c>
      <c r="E625" s="20" t="inlineStr">
        <is>
          <t>22</t>
        </is>
      </c>
      <c r="F625" s="20" t="inlineStr">
        <is>
          <t>1.2|1.2|1.2|1.2|1.2</t>
        </is>
      </c>
      <c r="G625" s="20" t="inlineStr">
        <is>
          <t>10001|72600$123001|44528$123002|774</t>
        </is>
      </c>
      <c r="J625" s="26" t="inlineStr">
        <is>
          <t>造成五段伤害，每段伤害为[0]%</t>
        </is>
      </c>
      <c r="K625" s="18" t="n">
        <v>101</v>
      </c>
    </row>
    <row r="626">
      <c r="B626" s="20" t="n">
        <v>10623</v>
      </c>
      <c r="C626" s="23" t="inlineStr">
        <is>
          <t>110003</t>
        </is>
      </c>
      <c r="D626" s="8" t="inlineStr">
        <is>
          <t>剑影分光</t>
        </is>
      </c>
      <c r="E626" s="20" t="inlineStr">
        <is>
          <t>23</t>
        </is>
      </c>
      <c r="F626" s="20" t="inlineStr">
        <is>
          <t>4.4|4.4|4.4|4.4|4.4</t>
        </is>
      </c>
      <c r="G626" s="20" t="inlineStr">
        <is>
          <t>10001|79350$123001|48668$123002|827</t>
        </is>
      </c>
      <c r="J626" s="26" t="inlineStr">
        <is>
          <t>造成五段伤害，每段伤害为[0]%</t>
        </is>
      </c>
      <c r="K626" s="18" t="n">
        <v>104</v>
      </c>
    </row>
    <row r="627">
      <c r="B627" s="20" t="n">
        <v>10624</v>
      </c>
      <c r="C627" s="23" t="inlineStr">
        <is>
          <t>110003</t>
        </is>
      </c>
      <c r="D627" s="8" t="inlineStr">
        <is>
          <t>剑影分光</t>
        </is>
      </c>
      <c r="E627" s="20" t="inlineStr">
        <is>
          <t>24</t>
        </is>
      </c>
      <c r="F627" s="20" t="inlineStr">
        <is>
          <t>7.60000000000001|7.60000000000001|7.60000000000001|7.60000000000001|7.60000000000001</t>
        </is>
      </c>
      <c r="G627" s="20" t="inlineStr">
        <is>
          <t>10001|86400$123001|52992$123002|882</t>
        </is>
      </c>
      <c r="J627" s="26" t="inlineStr">
        <is>
          <t>造成五段伤害，每段伤害为[0]%</t>
        </is>
      </c>
      <c r="K627" s="18" t="n">
        <v>108</v>
      </c>
    </row>
    <row r="628">
      <c r="B628" s="20" t="n">
        <v>10625</v>
      </c>
      <c r="C628" s="23" t="inlineStr">
        <is>
          <t>110003</t>
        </is>
      </c>
      <c r="D628" s="8" t="inlineStr">
        <is>
          <t>剑影分光</t>
        </is>
      </c>
      <c r="E628" s="20" t="inlineStr">
        <is>
          <t>25</t>
        </is>
      </c>
      <c r="F628" s="20" t="inlineStr">
        <is>
          <t>10.8|10.8|10.8|10.8|10.8</t>
        </is>
      </c>
      <c r="G628" s="20" t="inlineStr">
        <is>
          <t>10001|93750$123001|57500$123002|938</t>
        </is>
      </c>
      <c r="J628" s="26" t="inlineStr">
        <is>
          <t>造成五段伤害，每段伤害为[0]%</t>
        </is>
      </c>
      <c r="K628" s="18" t="n">
        <v>111</v>
      </c>
    </row>
    <row r="629">
      <c r="B629" s="20" t="n">
        <v>10626</v>
      </c>
      <c r="C629" s="23" t="inlineStr">
        <is>
          <t>110003</t>
        </is>
      </c>
      <c r="D629" s="8" t="inlineStr">
        <is>
          <t>剑影分光</t>
        </is>
      </c>
      <c r="E629" s="20" t="inlineStr">
        <is>
          <t>26</t>
        </is>
      </c>
      <c r="F629" s="20" t="inlineStr">
        <is>
          <t>14|14|14|14|14</t>
        </is>
      </c>
      <c r="G629" s="20" t="inlineStr">
        <is>
          <t>10001|101400$123001|62192$123002|994</t>
        </is>
      </c>
      <c r="J629" s="26" t="inlineStr">
        <is>
          <t>造成五段伤害，每段伤害为[0]%</t>
        </is>
      </c>
      <c r="K629" s="18" t="n">
        <v>114</v>
      </c>
    </row>
    <row r="630">
      <c r="B630" s="20" t="n">
        <v>10627</v>
      </c>
      <c r="C630" s="23" t="inlineStr">
        <is>
          <t>110003</t>
        </is>
      </c>
      <c r="D630" s="8" t="inlineStr">
        <is>
          <t>剑影分光</t>
        </is>
      </c>
      <c r="E630" s="20" t="inlineStr">
        <is>
          <t>27</t>
        </is>
      </c>
      <c r="F630" s="20" t="inlineStr">
        <is>
          <t>17.2|17.2|17.2|17.2|17.2</t>
        </is>
      </c>
      <c r="G630" s="20" t="inlineStr">
        <is>
          <t>10001|109350$123001|67068$123002|1052</t>
        </is>
      </c>
      <c r="J630" s="26" t="inlineStr">
        <is>
          <t>造成五段伤害，每段伤害为[0]%</t>
        </is>
      </c>
      <c r="K630" s="18" t="n">
        <v>117</v>
      </c>
    </row>
    <row r="631">
      <c r="B631" s="20" t="n">
        <v>10628</v>
      </c>
      <c r="C631" s="23" t="inlineStr">
        <is>
          <t>110003</t>
        </is>
      </c>
      <c r="D631" s="8" t="inlineStr">
        <is>
          <t>剑影分光</t>
        </is>
      </c>
      <c r="E631" s="20" t="inlineStr">
        <is>
          <t>28</t>
        </is>
      </c>
      <c r="F631" s="20" t="inlineStr">
        <is>
          <t>20.4|20.4|20.4|20.4|20.4</t>
        </is>
      </c>
      <c r="G631" s="20" t="inlineStr">
        <is>
          <t>10001|117600$123001|72128$123002|1111</t>
        </is>
      </c>
      <c r="J631" s="26" t="inlineStr">
        <is>
          <t>造成五段伤害，每段伤害为[0]%</t>
        </is>
      </c>
      <c r="K631" s="18" t="n">
        <v>120</v>
      </c>
    </row>
    <row r="632">
      <c r="B632" s="20" t="n">
        <v>10629</v>
      </c>
      <c r="C632" s="23" t="inlineStr">
        <is>
          <t>110003</t>
        </is>
      </c>
      <c r="D632" s="8" t="inlineStr">
        <is>
          <t>剑影分光</t>
        </is>
      </c>
      <c r="E632" s="20" t="inlineStr">
        <is>
          <t>29</t>
        </is>
      </c>
      <c r="F632" s="20" t="inlineStr">
        <is>
          <t>23.6|23.6|23.6|23.6|23.6</t>
        </is>
      </c>
      <c r="G632" s="20" t="inlineStr">
        <is>
          <t>10001|126150$123001|77372$123002|1171</t>
        </is>
      </c>
      <c r="J632" s="26" t="inlineStr">
        <is>
          <t>造成五段伤害，每段伤害为[0]%</t>
        </is>
      </c>
      <c r="K632" s="18" t="n">
        <v>124</v>
      </c>
    </row>
    <row r="633">
      <c r="B633" s="20" t="n">
        <v>10630</v>
      </c>
      <c r="C633" s="23" t="inlineStr">
        <is>
          <t>110003</t>
        </is>
      </c>
      <c r="D633" s="8" t="inlineStr">
        <is>
          <t>剑影分光</t>
        </is>
      </c>
      <c r="E633" s="20" t="inlineStr">
        <is>
          <t>30</t>
        </is>
      </c>
      <c r="F633" s="20" t="inlineStr">
        <is>
          <t>26.8|26.8|26.8|26.8|26.8</t>
        </is>
      </c>
      <c r="G633" s="20" t="inlineStr">
        <is>
          <t>10001|135000$124001|82800$124002|1232</t>
        </is>
      </c>
      <c r="J633" s="26" t="inlineStr">
        <is>
          <t>造成五段伤害，每段伤害为[0]%</t>
        </is>
      </c>
      <c r="K633" s="18" t="n">
        <v>127</v>
      </c>
    </row>
    <row r="634">
      <c r="B634" s="20" t="n">
        <v>10631</v>
      </c>
      <c r="C634" s="23" t="inlineStr">
        <is>
          <t>110003</t>
        </is>
      </c>
      <c r="D634" s="8" t="inlineStr">
        <is>
          <t>剑影分光</t>
        </is>
      </c>
      <c r="E634" s="20" t="inlineStr">
        <is>
          <t>31</t>
        </is>
      </c>
      <c r="F634" s="20" t="inlineStr">
        <is>
          <t>30|30|30|30|30</t>
        </is>
      </c>
      <c r="G634" s="20" t="inlineStr">
        <is>
          <t>10001|144150$124001|88412$124002|1295</t>
        </is>
      </c>
      <c r="J634" s="26" t="inlineStr">
        <is>
          <t>造成五段伤害，每段伤害为[0]%</t>
        </is>
      </c>
      <c r="K634" s="18" t="n">
        <v>130</v>
      </c>
    </row>
    <row r="635">
      <c r="B635" s="20" t="n">
        <v>10632</v>
      </c>
      <c r="C635" s="23" t="inlineStr">
        <is>
          <t>110003</t>
        </is>
      </c>
      <c r="D635" s="8" t="inlineStr">
        <is>
          <t>剑影分光</t>
        </is>
      </c>
      <c r="E635" s="20" t="inlineStr">
        <is>
          <t>32</t>
        </is>
      </c>
      <c r="F635" s="20" t="inlineStr">
        <is>
          <t>33.2|33.2|33.2|33.2|33.2</t>
        </is>
      </c>
      <c r="G635" s="20" t="inlineStr">
        <is>
          <t>10001|153600$124001|94208$124002|1358</t>
        </is>
      </c>
      <c r="J635" s="26" t="inlineStr">
        <is>
          <t>造成五段伤害，每段伤害为[0]%</t>
        </is>
      </c>
      <c r="K635" s="18" t="n">
        <v>133</v>
      </c>
    </row>
    <row r="636">
      <c r="B636" s="20" t="n">
        <v>10633</v>
      </c>
      <c r="C636" s="23" t="inlineStr">
        <is>
          <t>110003</t>
        </is>
      </c>
      <c r="D636" s="8" t="inlineStr">
        <is>
          <t>剑影分光</t>
        </is>
      </c>
      <c r="E636" s="20" t="inlineStr">
        <is>
          <t>33</t>
        </is>
      </c>
      <c r="F636" s="20" t="inlineStr">
        <is>
          <t>36.4|36.4|36.4|36.4|36.4</t>
        </is>
      </c>
      <c r="G636" s="20" t="inlineStr">
        <is>
          <t>10001|163350$124001|100188$124002|1422</t>
        </is>
      </c>
      <c r="J636" s="26" t="inlineStr">
        <is>
          <t>造成五段伤害，每段伤害为[0]%</t>
        </is>
      </c>
      <c r="K636" s="18" t="n">
        <v>136</v>
      </c>
    </row>
    <row r="637">
      <c r="B637" s="20" t="n">
        <v>10634</v>
      </c>
      <c r="C637" s="23" t="inlineStr">
        <is>
          <t>110003</t>
        </is>
      </c>
      <c r="D637" s="8" t="inlineStr">
        <is>
          <t>剑影分光</t>
        </is>
      </c>
      <c r="E637" s="20" t="inlineStr">
        <is>
          <t>34</t>
        </is>
      </c>
      <c r="F637" s="20" t="inlineStr">
        <is>
          <t>39.6|39.6|39.6|39.6|39.6</t>
        </is>
      </c>
      <c r="G637" s="20" t="inlineStr">
        <is>
          <t>10001|173400$124001|106352$124002|1487</t>
        </is>
      </c>
      <c r="J637" s="26" t="inlineStr">
        <is>
          <t>造成五段伤害，每段伤害为[0]%</t>
        </is>
      </c>
      <c r="K637" s="18" t="n">
        <v>140</v>
      </c>
    </row>
    <row r="638">
      <c r="B638" s="20" t="n">
        <v>10635</v>
      </c>
      <c r="C638" s="23" t="inlineStr">
        <is>
          <t>110003</t>
        </is>
      </c>
      <c r="D638" s="8" t="inlineStr">
        <is>
          <t>剑影分光</t>
        </is>
      </c>
      <c r="E638" s="20" t="inlineStr">
        <is>
          <t>35</t>
        </is>
      </c>
      <c r="F638" s="20" t="inlineStr">
        <is>
          <t>42.8|42.8|42.8|42.8|42.8</t>
        </is>
      </c>
      <c r="G638" s="20" t="inlineStr">
        <is>
          <t>10001|183750$124001|112700$124002|1553</t>
        </is>
      </c>
      <c r="J638" s="26" t="inlineStr">
        <is>
          <t>造成五段伤害，每段伤害为[0]%</t>
        </is>
      </c>
      <c r="K638" s="18" t="n">
        <v>143</v>
      </c>
    </row>
    <row r="639">
      <c r="B639" s="20" t="n">
        <v>10636</v>
      </c>
      <c r="C639" s="23" t="inlineStr">
        <is>
          <t>110003</t>
        </is>
      </c>
      <c r="D639" s="8" t="inlineStr">
        <is>
          <t>剑影分光</t>
        </is>
      </c>
      <c r="E639" s="20" t="inlineStr">
        <is>
          <t>36</t>
        </is>
      </c>
      <c r="F639" s="20" t="inlineStr">
        <is>
          <t>46|46|46|46|46</t>
        </is>
      </c>
      <c r="G639" s="20" t="inlineStr">
        <is>
          <t>10001|194400$124001|119232$124002|1620</t>
        </is>
      </c>
      <c r="J639" s="26" t="inlineStr">
        <is>
          <t>造成五段伤害，每段伤害为[0]%</t>
        </is>
      </c>
      <c r="K639" s="18" t="n">
        <v>146</v>
      </c>
    </row>
    <row r="640">
      <c r="B640" s="20" t="n">
        <v>10637</v>
      </c>
      <c r="C640" s="23" t="inlineStr">
        <is>
          <t>110003</t>
        </is>
      </c>
      <c r="D640" s="8" t="inlineStr">
        <is>
          <t>剑影分光</t>
        </is>
      </c>
      <c r="E640" s="20" t="inlineStr">
        <is>
          <t>37</t>
        </is>
      </c>
      <c r="F640" s="20" t="inlineStr">
        <is>
          <t>49.2000000000002|49.2000000000002|49.2000000000002|49.2000000000002|49.2000000000002</t>
        </is>
      </c>
      <c r="G640" s="20" t="inlineStr">
        <is>
          <t>10001|205350$124001|125948$124002|1688</t>
        </is>
      </c>
      <c r="J640" s="26" t="inlineStr">
        <is>
          <t>造成五段伤害，每段伤害为[0]%</t>
        </is>
      </c>
      <c r="K640" s="18" t="n">
        <v>149</v>
      </c>
    </row>
    <row r="641">
      <c r="B641" s="20" t="n">
        <v>10638</v>
      </c>
      <c r="C641" s="23" t="inlineStr">
        <is>
          <t>110003</t>
        </is>
      </c>
      <c r="D641" s="8" t="inlineStr">
        <is>
          <t>剑影分光</t>
        </is>
      </c>
      <c r="E641" s="20" t="inlineStr">
        <is>
          <t>38</t>
        </is>
      </c>
      <c r="F641" s="20" t="inlineStr">
        <is>
          <t>52.4000000000002|52.4000000000002|52.4000000000002|52.4000000000002|52.4000000000002</t>
        </is>
      </c>
      <c r="G641" s="20" t="inlineStr">
        <is>
          <t>10001|216600$124001|132848$124002|1757</t>
        </is>
      </c>
      <c r="J641" s="26" t="inlineStr">
        <is>
          <t>造成五段伤害，每段伤害为[0]%</t>
        </is>
      </c>
      <c r="K641" s="18" t="n">
        <v>152</v>
      </c>
    </row>
    <row r="642">
      <c r="B642" s="20" t="n">
        <v>10639</v>
      </c>
      <c r="C642" s="23" t="inlineStr">
        <is>
          <t>110003</t>
        </is>
      </c>
      <c r="D642" s="8" t="inlineStr">
        <is>
          <t>剑影分光</t>
        </is>
      </c>
      <c r="E642" s="20" t="inlineStr">
        <is>
          <t>39</t>
        </is>
      </c>
      <c r="F642" s="20" t="inlineStr">
        <is>
          <t>55.6000000000002|55.6000000000002|55.6000000000002|55.6000000000002|55.6000000000002</t>
        </is>
      </c>
      <c r="G642" s="20" t="inlineStr">
        <is>
          <t>10001|228150$125001|139932$125002|1827</t>
        </is>
      </c>
      <c r="J642" s="26" t="inlineStr">
        <is>
          <t>造成五段伤害，每段伤害为[0]%</t>
        </is>
      </c>
      <c r="K642" s="18" t="n">
        <v>156</v>
      </c>
    </row>
    <row r="643">
      <c r="B643" s="20" t="n">
        <v>10640</v>
      </c>
      <c r="C643" s="23" t="inlineStr">
        <is>
          <t>110003</t>
        </is>
      </c>
      <c r="D643" s="8" t="inlineStr">
        <is>
          <t>剑影分光</t>
        </is>
      </c>
      <c r="E643" s="20" t="inlineStr">
        <is>
          <t>40</t>
        </is>
      </c>
      <c r="F643" s="20" t="inlineStr">
        <is>
          <t>58.8000000000002|58.8000000000002|58.8000000000002|58.8000000000002|58.8000000000002</t>
        </is>
      </c>
      <c r="G643" s="20" t="inlineStr">
        <is>
          <t>10001|240000$125001|147200$125002|1897</t>
        </is>
      </c>
      <c r="J643" s="26" t="inlineStr">
        <is>
          <t>造成五段伤害，每段伤害为[0]%</t>
        </is>
      </c>
      <c r="K643" s="18" t="n">
        <v>159</v>
      </c>
    </row>
    <row r="644">
      <c r="B644" s="20" t="n">
        <v>10641</v>
      </c>
      <c r="C644" s="23" t="inlineStr">
        <is>
          <t>110003</t>
        </is>
      </c>
      <c r="D644" s="8" t="inlineStr">
        <is>
          <t>剑影分光</t>
        </is>
      </c>
      <c r="E644" s="20" t="inlineStr">
        <is>
          <t>41</t>
        </is>
      </c>
      <c r="F644" s="20" t="inlineStr">
        <is>
          <t>62.0000000000002|62.0000000000002|62.0000000000002|62.0000000000002|62.0000000000002</t>
        </is>
      </c>
      <c r="G644" s="20" t="inlineStr">
        <is>
          <t>10001|252150$125001|154652$125002|1969</t>
        </is>
      </c>
      <c r="J644" s="26" t="inlineStr">
        <is>
          <t>造成五段伤害，每段伤害为[0]%</t>
        </is>
      </c>
      <c r="K644" s="18" t="n">
        <v>162</v>
      </c>
    </row>
    <row r="645">
      <c r="B645" s="20" t="n">
        <v>10642</v>
      </c>
      <c r="C645" s="23" t="inlineStr">
        <is>
          <t>110003</t>
        </is>
      </c>
      <c r="D645" s="8" t="inlineStr">
        <is>
          <t>剑影分光</t>
        </is>
      </c>
      <c r="E645" s="20" t="inlineStr">
        <is>
          <t>42</t>
        </is>
      </c>
      <c r="F645" s="20" t="inlineStr">
        <is>
          <t>65.2000000000002|65.2000000000002|65.2000000000002|65.2000000000002|65.2000000000002</t>
        </is>
      </c>
      <c r="G645" s="20" t="inlineStr">
        <is>
          <t>10001|264600$125001|162288$125002|2041</t>
        </is>
      </c>
      <c r="J645" s="26" t="inlineStr">
        <is>
          <t>造成五段伤害，每段伤害为[0]%</t>
        </is>
      </c>
      <c r="K645" s="18" t="n">
        <v>165</v>
      </c>
    </row>
    <row r="646">
      <c r="B646" s="20" t="n">
        <v>10643</v>
      </c>
      <c r="C646" s="23" t="inlineStr">
        <is>
          <t>110003</t>
        </is>
      </c>
      <c r="D646" s="8" t="inlineStr">
        <is>
          <t>剑影分光</t>
        </is>
      </c>
      <c r="E646" s="20" t="inlineStr">
        <is>
          <t>43</t>
        </is>
      </c>
      <c r="F646" s="20" t="inlineStr">
        <is>
          <t>68.4000000000002|68.4000000000002|68.4000000000002|68.4000000000002|68.4000000000002</t>
        </is>
      </c>
      <c r="G646" s="20" t="inlineStr">
        <is>
          <t>10001|277350$125001|170108$125002|2115</t>
        </is>
      </c>
      <c r="J646" s="26" t="inlineStr">
        <is>
          <t>造成五段伤害，每段伤害为[0]%</t>
        </is>
      </c>
      <c r="K646" s="18" t="n">
        <v>168</v>
      </c>
    </row>
    <row r="647">
      <c r="B647" s="20" t="n">
        <v>10644</v>
      </c>
      <c r="C647" s="23" t="inlineStr">
        <is>
          <t>110003</t>
        </is>
      </c>
      <c r="D647" s="8" t="inlineStr">
        <is>
          <t>剑影分光</t>
        </is>
      </c>
      <c r="E647" s="20" t="inlineStr">
        <is>
          <t>44</t>
        </is>
      </c>
      <c r="F647" s="20" t="inlineStr">
        <is>
          <t>71.6000000000002|71.6000000000002|71.6000000000002|71.6000000000002|71.6000000000002</t>
        </is>
      </c>
      <c r="G647" s="20" t="inlineStr">
        <is>
          <t>10001|290400$125001|178112$125002|2189</t>
        </is>
      </c>
      <c r="J647" s="26" t="inlineStr">
        <is>
          <t>造成五段伤害，每段伤害为[0]%</t>
        </is>
      </c>
      <c r="K647" s="18" t="n">
        <v>172</v>
      </c>
    </row>
    <row r="648">
      <c r="B648" s="20" t="n">
        <v>10645</v>
      </c>
      <c r="C648" s="23" t="inlineStr">
        <is>
          <t>110003</t>
        </is>
      </c>
      <c r="D648" s="8" t="inlineStr">
        <is>
          <t>剑影分光</t>
        </is>
      </c>
      <c r="E648" s="20" t="inlineStr">
        <is>
          <t>45</t>
        </is>
      </c>
      <c r="F648" s="20" t="inlineStr">
        <is>
          <t>74.8000000000002|74.8000000000002|74.8000000000002|74.8000000000002|74.8000000000002</t>
        </is>
      </c>
      <c r="G648" s="20" t="inlineStr">
        <is>
          <t>10001|303750$125001|186300$125002|2264</t>
        </is>
      </c>
      <c r="J648" s="26" t="inlineStr">
        <is>
          <t>造成五段伤害，每段伤害为[0]%</t>
        </is>
      </c>
      <c r="K648" s="18" t="n">
        <v>175</v>
      </c>
    </row>
    <row r="649">
      <c r="B649" s="20" t="n">
        <v>10646</v>
      </c>
      <c r="C649" s="23" t="inlineStr">
        <is>
          <t>110003</t>
        </is>
      </c>
      <c r="D649" s="8" t="inlineStr">
        <is>
          <t>剑影分光</t>
        </is>
      </c>
      <c r="E649" s="20" t="inlineStr">
        <is>
          <t>46</t>
        </is>
      </c>
      <c r="F649" s="20" t="inlineStr">
        <is>
          <t>78.0000000000002|78.0000000000002|78.0000000000002|78.0000000000002|78.0000000000002</t>
        </is>
      </c>
      <c r="G649" s="20" t="inlineStr">
        <is>
          <t>10001|317400$125001|194672$125002|2340</t>
        </is>
      </c>
      <c r="J649" s="26" t="inlineStr">
        <is>
          <t>造成五段伤害，每段伤害为[0]%</t>
        </is>
      </c>
      <c r="K649" s="18" t="n">
        <v>178</v>
      </c>
    </row>
    <row r="650">
      <c r="B650" s="20" t="n">
        <v>10647</v>
      </c>
      <c r="C650" s="23" t="inlineStr">
        <is>
          <t>110003</t>
        </is>
      </c>
      <c r="D650" s="8" t="inlineStr">
        <is>
          <t>剑影分光</t>
        </is>
      </c>
      <c r="E650" s="20" t="inlineStr">
        <is>
          <t>47</t>
        </is>
      </c>
      <c r="F650" s="20" t="inlineStr">
        <is>
          <t>81.2000000000002|81.2000000000002|81.2000000000002|81.2000000000002|81.2000000000002</t>
        </is>
      </c>
      <c r="G650" s="20" t="inlineStr">
        <is>
          <t>10001|331350$125001|203228$125002|2417</t>
        </is>
      </c>
      <c r="J650" s="26" t="inlineStr">
        <is>
          <t>造成五段伤害，每段伤害为[0]%</t>
        </is>
      </c>
      <c r="K650" s="18" t="n">
        <v>181</v>
      </c>
    </row>
    <row r="651">
      <c r="B651" s="20" t="n">
        <v>10648</v>
      </c>
      <c r="C651" s="23" t="inlineStr">
        <is>
          <t>110003</t>
        </is>
      </c>
      <c r="D651" s="8" t="inlineStr">
        <is>
          <t>剑影分光</t>
        </is>
      </c>
      <c r="E651" s="20" t="inlineStr">
        <is>
          <t>48</t>
        </is>
      </c>
      <c r="F651" s="20" t="inlineStr">
        <is>
          <t>84.4000000000002|84.4000000000002|84.4000000000002|84.4000000000002|84.4000000000002</t>
        </is>
      </c>
      <c r="G651" s="20" t="inlineStr">
        <is>
          <t>10001|345600$125001|211968$125002|2494</t>
        </is>
      </c>
      <c r="J651" s="26" t="inlineStr">
        <is>
          <t>造成五段伤害，每段伤害为[0]%</t>
        </is>
      </c>
      <c r="K651" s="18" t="n">
        <v>184</v>
      </c>
    </row>
    <row r="652">
      <c r="B652" s="20" t="n">
        <v>10649</v>
      </c>
      <c r="C652" s="23" t="inlineStr">
        <is>
          <t>110003</t>
        </is>
      </c>
      <c r="D652" s="8" t="inlineStr">
        <is>
          <t>剑影分光</t>
        </is>
      </c>
      <c r="E652" s="20" t="inlineStr">
        <is>
          <t>49</t>
        </is>
      </c>
      <c r="F652" s="20" t="inlineStr">
        <is>
          <t>87.6000000000002|87.6000000000002|87.6000000000002|87.6000000000002|87.6000000000002</t>
        </is>
      </c>
      <c r="G652" s="20" t="inlineStr">
        <is>
          <t>10001|360150$125001|220892$125002|2573</t>
        </is>
      </c>
      <c r="J652" s="26" t="inlineStr">
        <is>
          <t>造成五段伤害，每段伤害为[0]%</t>
        </is>
      </c>
      <c r="K652" s="18" t="n">
        <v>188</v>
      </c>
    </row>
    <row r="653">
      <c r="B653" s="20" t="n">
        <v>10650</v>
      </c>
      <c r="C653" s="23" t="inlineStr">
        <is>
          <t>110003</t>
        </is>
      </c>
      <c r="D653" s="8" t="inlineStr">
        <is>
          <t>剑影分光</t>
        </is>
      </c>
      <c r="E653" s="20" t="inlineStr">
        <is>
          <t>50</t>
        </is>
      </c>
      <c r="F653" s="20" t="inlineStr">
        <is>
          <t>90.8000000000002|90.8000000000002|90.8000000000002|90.8000000000002|90.8000000000002</t>
        </is>
      </c>
      <c r="G653" s="20" t="inlineStr">
        <is>
          <t>10001|375000$125001|230000$125002|2652</t>
        </is>
      </c>
      <c r="J653" s="26" t="inlineStr">
        <is>
          <t>造成五段伤害，每段伤害为[0]%</t>
        </is>
      </c>
      <c r="K653" s="18" t="n">
        <v>191</v>
      </c>
    </row>
    <row r="654">
      <c r="B654" s="20" t="n">
        <v>10651</v>
      </c>
      <c r="C654" s="23" t="inlineStr">
        <is>
          <t>110004</t>
        </is>
      </c>
      <c r="D654" s="20" t="inlineStr">
        <is>
          <t>鬼天陨掌</t>
        </is>
      </c>
      <c r="E654" s="20" t="inlineStr">
        <is>
          <t>1</t>
        </is>
      </c>
      <c r="F654" s="37" t="inlineStr">
        <is>
          <t>-33.3333333333333|-66.6666666666667</t>
        </is>
      </c>
      <c r="G654" s="20" t="inlineStr">
        <is>
          <t>10001|150$121001|92$121007|8</t>
        </is>
      </c>
      <c r="J654" s="26" t="inlineStr">
        <is>
          <t>造成两段伤害，每段伤害为[0]%</t>
        </is>
      </c>
      <c r="K654" s="18" t="n">
        <v>50</v>
      </c>
    </row>
    <row r="655">
      <c r="B655" s="20" t="n">
        <v>10652</v>
      </c>
      <c r="C655" s="23" t="inlineStr">
        <is>
          <t>110004</t>
        </is>
      </c>
      <c r="D655" s="20" t="inlineStr">
        <is>
          <t>鬼天陨掌</t>
        </is>
      </c>
      <c r="E655" s="20" t="inlineStr">
        <is>
          <t>2</t>
        </is>
      </c>
      <c r="F655" s="20" t="inlineStr">
        <is>
          <t>-26.6666666666667|-53.3333333333333</t>
        </is>
      </c>
      <c r="G655" s="20" t="inlineStr">
        <is>
          <t>10001|600$121001|368$121007|21</t>
        </is>
      </c>
      <c r="J655" s="26" t="inlineStr">
        <is>
          <t>造成两段伤害，每段伤害为[0]%</t>
        </is>
      </c>
      <c r="K655" s="18" t="n">
        <v>60</v>
      </c>
    </row>
    <row r="656">
      <c r="B656" s="20" t="n">
        <v>10653</v>
      </c>
      <c r="C656" s="23" t="inlineStr">
        <is>
          <t>110004</t>
        </is>
      </c>
      <c r="D656" s="20" t="inlineStr">
        <is>
          <t>鬼天陨掌</t>
        </is>
      </c>
      <c r="E656" s="20" t="inlineStr">
        <is>
          <t>3</t>
        </is>
      </c>
      <c r="F656" s="20" t="inlineStr">
        <is>
          <t>-20|-40</t>
        </is>
      </c>
      <c r="G656" s="20" t="inlineStr">
        <is>
          <t>10001|1350$121001|828$121007|39</t>
        </is>
      </c>
      <c r="J656" s="26" t="inlineStr">
        <is>
          <t>造成两段伤害，每段伤害为[0]%</t>
        </is>
      </c>
      <c r="K656" s="18" t="n">
        <v>70</v>
      </c>
    </row>
    <row r="657">
      <c r="B657" s="20" t="n">
        <v>10654</v>
      </c>
      <c r="C657" s="23" t="inlineStr">
        <is>
          <t>110004</t>
        </is>
      </c>
      <c r="D657" s="20" t="inlineStr">
        <is>
          <t>鬼天陨掌</t>
        </is>
      </c>
      <c r="E657" s="20" t="inlineStr">
        <is>
          <t>4</t>
        </is>
      </c>
      <c r="F657" s="20" t="inlineStr">
        <is>
          <t>-13.3333333333333|-26.6666666666667</t>
        </is>
      </c>
      <c r="G657" s="20" t="inlineStr">
        <is>
          <t>10001|2400$121001|1472$121007|60</t>
        </is>
      </c>
      <c r="J657" s="26" t="inlineStr">
        <is>
          <t>造成两段伤害，每段伤害为[0]%</t>
        </is>
      </c>
      <c r="K657" s="18" t="n">
        <v>80</v>
      </c>
    </row>
    <row r="658">
      <c r="B658" s="20" t="n">
        <v>10655</v>
      </c>
      <c r="C658" s="23" t="inlineStr">
        <is>
          <t>110004</t>
        </is>
      </c>
      <c r="D658" s="20" t="inlineStr">
        <is>
          <t>鬼天陨掌</t>
        </is>
      </c>
      <c r="E658" s="20" t="inlineStr">
        <is>
          <t>5</t>
        </is>
      </c>
      <c r="F658" s="20" t="inlineStr">
        <is>
          <t>-6.66666666666667|-13.3333333333333</t>
        </is>
      </c>
      <c r="G658" s="20" t="inlineStr">
        <is>
          <t>10001|3750$121001|2300$121007|84</t>
        </is>
      </c>
      <c r="J658" s="26" t="inlineStr">
        <is>
          <t>造成两段伤害，每段伤害为[0]%</t>
        </is>
      </c>
      <c r="K658" s="18" t="n">
        <v>90</v>
      </c>
    </row>
    <row r="659">
      <c r="B659" s="20" t="n">
        <v>10656</v>
      </c>
      <c r="C659" s="23" t="inlineStr">
        <is>
          <t>110004</t>
        </is>
      </c>
      <c r="D659" s="20" t="inlineStr">
        <is>
          <t>鬼天陨掌</t>
        </is>
      </c>
      <c r="E659" s="20" t="inlineStr">
        <is>
          <t>6</t>
        </is>
      </c>
      <c r="F659" s="20" t="inlineStr">
        <is>
          <t>0|0</t>
        </is>
      </c>
      <c r="G659" s="20" t="inlineStr">
        <is>
          <t>10001|5400$121001|3312$121007|110</t>
        </is>
      </c>
      <c r="J659" s="26" t="inlineStr">
        <is>
          <t>造成两段伤害，每段伤害为[0]%</t>
        </is>
      </c>
      <c r="K659" s="18" t="n">
        <v>100</v>
      </c>
    </row>
    <row r="660">
      <c r="B660" s="20" t="n">
        <v>10657</v>
      </c>
      <c r="C660" s="23" t="inlineStr">
        <is>
          <t>110004</t>
        </is>
      </c>
      <c r="D660" s="20" t="inlineStr">
        <is>
          <t>鬼天陨掌</t>
        </is>
      </c>
      <c r="E660" s="20" t="inlineStr">
        <is>
          <t>7</t>
        </is>
      </c>
      <c r="F660" s="20" t="inlineStr">
        <is>
          <t>6.66666666666667|13.3333333333333</t>
        </is>
      </c>
      <c r="G660" s="20" t="inlineStr">
        <is>
          <t>10001|7350$121001|4508$121007|139</t>
        </is>
      </c>
      <c r="J660" s="26" t="inlineStr">
        <is>
          <t>造成两段伤害，每段伤害为[0]%</t>
        </is>
      </c>
      <c r="K660" s="18" t="n">
        <v>110</v>
      </c>
    </row>
    <row r="661">
      <c r="B661" s="20" t="n">
        <v>10658</v>
      </c>
      <c r="C661" s="23" t="inlineStr">
        <is>
          <t>110004</t>
        </is>
      </c>
      <c r="D661" s="20" t="inlineStr">
        <is>
          <t>鬼天陨掌</t>
        </is>
      </c>
      <c r="E661" s="20" t="inlineStr">
        <is>
          <t>8</t>
        </is>
      </c>
      <c r="F661" s="20" t="inlineStr">
        <is>
          <t>13.3333333333333|26.6666666666667</t>
        </is>
      </c>
      <c r="G661" s="20" t="inlineStr">
        <is>
          <t>10001|9600$121001|5888$121007|170</t>
        </is>
      </c>
      <c r="J661" s="26" t="inlineStr">
        <is>
          <t>造成两段伤害，每段伤害为[0]%</t>
        </is>
      </c>
      <c r="K661" s="18" t="n">
        <v>120</v>
      </c>
    </row>
    <row r="662">
      <c r="B662" s="20" t="n">
        <v>10659</v>
      </c>
      <c r="C662" s="23" t="inlineStr">
        <is>
          <t>110004</t>
        </is>
      </c>
      <c r="D662" s="20" t="inlineStr">
        <is>
          <t>鬼天陨掌</t>
        </is>
      </c>
      <c r="E662" s="20" t="inlineStr">
        <is>
          <t>9</t>
        </is>
      </c>
      <c r="F662" s="20" t="inlineStr">
        <is>
          <t>20|40</t>
        </is>
      </c>
      <c r="G662" s="20" t="inlineStr">
        <is>
          <t>10001|12150$121001|7452$121007|203</t>
        </is>
      </c>
      <c r="J662" s="26" t="inlineStr">
        <is>
          <t>造成两段伤害，每段伤害为[0]%</t>
        </is>
      </c>
      <c r="K662" s="18" t="n">
        <v>130</v>
      </c>
    </row>
    <row r="663">
      <c r="B663" s="20" t="n">
        <v>10660</v>
      </c>
      <c r="C663" s="23" t="inlineStr">
        <is>
          <t>110004</t>
        </is>
      </c>
      <c r="D663" s="20" t="inlineStr">
        <is>
          <t>鬼天陨掌</t>
        </is>
      </c>
      <c r="E663" s="20" t="inlineStr">
        <is>
          <t>10</t>
        </is>
      </c>
      <c r="F663" s="20" t="inlineStr">
        <is>
          <t>26.6666666666667|53.3333333333333</t>
        </is>
      </c>
      <c r="G663" s="20" t="inlineStr">
        <is>
          <t>10001|15000$122001|9200$122007|237</t>
        </is>
      </c>
      <c r="J663" s="26" t="inlineStr">
        <is>
          <t>造成两段伤害，每段伤害为[0]%</t>
        </is>
      </c>
      <c r="K663" s="18" t="n">
        <v>140</v>
      </c>
    </row>
    <row r="664">
      <c r="B664" s="20" t="n">
        <v>10661</v>
      </c>
      <c r="C664" s="23" t="inlineStr">
        <is>
          <t>110004</t>
        </is>
      </c>
      <c r="D664" s="20" t="inlineStr">
        <is>
          <t>鬼天陨掌</t>
        </is>
      </c>
      <c r="E664" s="20" t="inlineStr">
        <is>
          <t>11</t>
        </is>
      </c>
      <c r="F664" s="20" t="inlineStr">
        <is>
          <t>33.3333333333333|66.6666666666667</t>
        </is>
      </c>
      <c r="G664" s="20" t="inlineStr">
        <is>
          <t>10001|18150$122001|11132$122007|274</t>
        </is>
      </c>
      <c r="J664" s="26" t="inlineStr">
        <is>
          <t>造成两段伤害，每段伤害为[0]%</t>
        </is>
      </c>
      <c r="K664" s="18" t="n">
        <v>150</v>
      </c>
    </row>
    <row r="665">
      <c r="B665" s="20" t="n">
        <v>10662</v>
      </c>
      <c r="C665" s="23" t="inlineStr">
        <is>
          <t>110004</t>
        </is>
      </c>
      <c r="D665" s="20" t="inlineStr">
        <is>
          <t>鬼天陨掌</t>
        </is>
      </c>
      <c r="E665" s="20" t="inlineStr">
        <is>
          <t>12</t>
        </is>
      </c>
      <c r="F665" s="20" t="inlineStr">
        <is>
          <t>40|80</t>
        </is>
      </c>
      <c r="G665" s="20" t="inlineStr">
        <is>
          <t>10001|21600$122001|13248$122007|312</t>
        </is>
      </c>
      <c r="J665" s="26" t="inlineStr">
        <is>
          <t>造成两段伤害，每段伤害为[0]%</t>
        </is>
      </c>
      <c r="K665" s="18" t="n">
        <v>160</v>
      </c>
    </row>
    <row r="666">
      <c r="B666" s="20" t="n">
        <v>10663</v>
      </c>
      <c r="C666" s="23" t="inlineStr">
        <is>
          <t>110004</t>
        </is>
      </c>
      <c r="D666" s="20" t="inlineStr">
        <is>
          <t>鬼天陨掌</t>
        </is>
      </c>
      <c r="E666" s="20" t="inlineStr">
        <is>
          <t>13</t>
        </is>
      </c>
      <c r="F666" s="20" t="inlineStr">
        <is>
          <t>46.6666666666667|93.3333333333333</t>
        </is>
      </c>
      <c r="G666" s="20" t="inlineStr">
        <is>
          <t>10001|25350$122001|15548$122007|352</t>
        </is>
      </c>
      <c r="J666" s="26" t="inlineStr">
        <is>
          <t>造成两段伤害，每段伤害为[0]%</t>
        </is>
      </c>
      <c r="K666" s="18" t="n">
        <v>170</v>
      </c>
    </row>
    <row r="667">
      <c r="B667" s="20" t="n">
        <v>10664</v>
      </c>
      <c r="C667" s="23" t="inlineStr">
        <is>
          <t>110004</t>
        </is>
      </c>
      <c r="D667" s="20" t="inlineStr">
        <is>
          <t>鬼天陨掌</t>
        </is>
      </c>
      <c r="E667" s="20" t="inlineStr">
        <is>
          <t>14</t>
        </is>
      </c>
      <c r="F667" s="20" t="inlineStr">
        <is>
          <t>53.3333333333333|106.666666666667</t>
        </is>
      </c>
      <c r="G667" s="20" t="inlineStr">
        <is>
          <t>10001|29400$122001|18032$122007|393</t>
        </is>
      </c>
      <c r="J667" s="26" t="inlineStr">
        <is>
          <t>造成两段伤害，每段伤害为[0]%</t>
        </is>
      </c>
      <c r="K667" s="18" t="n">
        <v>180</v>
      </c>
    </row>
    <row r="668">
      <c r="B668" s="20" t="n">
        <v>10665</v>
      </c>
      <c r="C668" s="23" t="inlineStr">
        <is>
          <t>110004</t>
        </is>
      </c>
      <c r="D668" s="20" t="inlineStr">
        <is>
          <t>鬼天陨掌</t>
        </is>
      </c>
      <c r="E668" s="20" t="inlineStr">
        <is>
          <t>15</t>
        </is>
      </c>
      <c r="F668" s="20" t="inlineStr">
        <is>
          <t>60|120</t>
        </is>
      </c>
      <c r="G668" s="20" t="inlineStr">
        <is>
          <t>10001|33750$122001|20700$122007|436</t>
        </is>
      </c>
      <c r="J668" s="26" t="inlineStr">
        <is>
          <t>造成两段伤害，每段伤害为[0]%</t>
        </is>
      </c>
      <c r="K668" s="18" t="n">
        <v>190</v>
      </c>
    </row>
    <row r="669">
      <c r="B669" s="20" t="n">
        <v>10666</v>
      </c>
      <c r="C669" s="23" t="inlineStr">
        <is>
          <t>110004</t>
        </is>
      </c>
      <c r="D669" s="20" t="inlineStr">
        <is>
          <t>鬼天陨掌</t>
        </is>
      </c>
      <c r="E669" s="20" t="inlineStr">
        <is>
          <t>16</t>
        </is>
      </c>
      <c r="F669" s="20" t="inlineStr">
        <is>
          <t>66.6666666666667|133.333333333333</t>
        </is>
      </c>
      <c r="G669" s="20" t="inlineStr">
        <is>
          <t>10001|38400$122001|23552$122007|480</t>
        </is>
      </c>
      <c r="J669" s="26" t="inlineStr">
        <is>
          <t>造成两段伤害，每段伤害为[0]%</t>
        </is>
      </c>
      <c r="K669" s="18" t="n">
        <v>200</v>
      </c>
    </row>
    <row r="670">
      <c r="B670" s="20" t="n">
        <v>10667</v>
      </c>
      <c r="C670" s="23" t="inlineStr">
        <is>
          <t>110004</t>
        </is>
      </c>
      <c r="D670" s="20" t="inlineStr">
        <is>
          <t>鬼天陨掌</t>
        </is>
      </c>
      <c r="E670" s="20" t="inlineStr">
        <is>
          <t>17</t>
        </is>
      </c>
      <c r="F670" s="20" t="inlineStr">
        <is>
          <t>73.3333333333333|146.666666666667</t>
        </is>
      </c>
      <c r="G670" s="20" t="inlineStr">
        <is>
          <t>10001|43350$122001|26588$122007|526</t>
        </is>
      </c>
      <c r="J670" s="26" t="inlineStr">
        <is>
          <t>造成两段伤害，每段伤害为[0]%</t>
        </is>
      </c>
      <c r="K670" s="18" t="n">
        <v>210</v>
      </c>
    </row>
    <row r="671">
      <c r="B671" s="20" t="n">
        <v>10668</v>
      </c>
      <c r="C671" s="23" t="inlineStr">
        <is>
          <t>110004</t>
        </is>
      </c>
      <c r="D671" s="20" t="inlineStr">
        <is>
          <t>鬼天陨掌</t>
        </is>
      </c>
      <c r="E671" s="20" t="inlineStr">
        <is>
          <t>18</t>
        </is>
      </c>
      <c r="F671" s="20" t="inlineStr">
        <is>
          <t>80|160</t>
        </is>
      </c>
      <c r="G671" s="20" t="inlineStr">
        <is>
          <t>10001|48600$122001|29808$122007|573</t>
        </is>
      </c>
      <c r="J671" s="26" t="inlineStr">
        <is>
          <t>造成两段伤害，每段伤害为[0]%</t>
        </is>
      </c>
      <c r="K671" s="18" t="n">
        <v>220</v>
      </c>
    </row>
    <row r="672">
      <c r="B672" s="20" t="n">
        <v>10669</v>
      </c>
      <c r="C672" s="23" t="inlineStr">
        <is>
          <t>110004</t>
        </is>
      </c>
      <c r="D672" s="20" t="inlineStr">
        <is>
          <t>鬼天陨掌</t>
        </is>
      </c>
      <c r="E672" s="20" t="inlineStr">
        <is>
          <t>19</t>
        </is>
      </c>
      <c r="F672" s="20" t="inlineStr">
        <is>
          <t>86.6666666666666|173.333333333333</t>
        </is>
      </c>
      <c r="G672" s="20" t="inlineStr">
        <is>
          <t>10001|54150$122001|33212$122007|621</t>
        </is>
      </c>
      <c r="J672" s="26" t="inlineStr">
        <is>
          <t>造成两段伤害，每段伤害为[0]%</t>
        </is>
      </c>
      <c r="K672" s="18" t="n">
        <v>230</v>
      </c>
    </row>
    <row r="673">
      <c r="B673" s="20" t="n">
        <v>10670</v>
      </c>
      <c r="C673" s="23" t="inlineStr">
        <is>
          <t>110004</t>
        </is>
      </c>
      <c r="D673" s="20" t="inlineStr">
        <is>
          <t>鬼天陨掌</t>
        </is>
      </c>
      <c r="E673" s="20" t="inlineStr">
        <is>
          <t>20</t>
        </is>
      </c>
      <c r="F673" s="20" t="inlineStr">
        <is>
          <t>93.3333333333333|186.666666666667</t>
        </is>
      </c>
      <c r="G673" s="20" t="inlineStr">
        <is>
          <t>10001|60000$123001|36800$123007|671</t>
        </is>
      </c>
      <c r="J673" s="26" t="inlineStr">
        <is>
          <t>造成两段伤害，每段伤害为[0]%</t>
        </is>
      </c>
      <c r="K673" s="18" t="n">
        <v>240</v>
      </c>
    </row>
    <row r="674">
      <c r="B674" s="20" t="n">
        <v>10671</v>
      </c>
      <c r="C674" s="23" t="inlineStr">
        <is>
          <t>110004</t>
        </is>
      </c>
      <c r="D674" s="20" t="inlineStr">
        <is>
          <t>鬼天陨掌</t>
        </is>
      </c>
      <c r="E674" s="20" t="inlineStr">
        <is>
          <t>21</t>
        </is>
      </c>
      <c r="F674" s="20" t="inlineStr">
        <is>
          <t>100|200</t>
        </is>
      </c>
      <c r="G674" s="20" t="inlineStr">
        <is>
          <t>10001|66150$123001|40572$123007|722</t>
        </is>
      </c>
      <c r="J674" s="26" t="inlineStr">
        <is>
          <t>造成两段伤害，每段伤害为[0]%</t>
        </is>
      </c>
      <c r="K674" s="18" t="n">
        <v>250</v>
      </c>
    </row>
    <row r="675">
      <c r="B675" s="20" t="n">
        <v>10672</v>
      </c>
      <c r="C675" s="23" t="inlineStr">
        <is>
          <t>110004</t>
        </is>
      </c>
      <c r="D675" s="20" t="inlineStr">
        <is>
          <t>鬼天陨掌</t>
        </is>
      </c>
      <c r="E675" s="20" t="inlineStr">
        <is>
          <t>22</t>
        </is>
      </c>
      <c r="F675" s="20" t="inlineStr">
        <is>
          <t>106.666666666667|213.333333333333</t>
        </is>
      </c>
      <c r="G675" s="20" t="inlineStr">
        <is>
          <t>10001|72600$123001|44528$123007|774</t>
        </is>
      </c>
      <c r="J675" s="26" t="inlineStr">
        <is>
          <t>造成两段伤害，每段伤害为[0]%</t>
        </is>
      </c>
      <c r="K675" s="18" t="n">
        <v>260</v>
      </c>
    </row>
    <row r="676">
      <c r="B676" s="20" t="n">
        <v>10673</v>
      </c>
      <c r="C676" s="23" t="inlineStr">
        <is>
          <t>110004</t>
        </is>
      </c>
      <c r="D676" s="20" t="inlineStr">
        <is>
          <t>鬼天陨掌</t>
        </is>
      </c>
      <c r="E676" s="20" t="inlineStr">
        <is>
          <t>23</t>
        </is>
      </c>
      <c r="F676" s="20" t="inlineStr">
        <is>
          <t>113.333333333333|226.666666666667</t>
        </is>
      </c>
      <c r="G676" s="20" t="inlineStr">
        <is>
          <t>10001|79350$123001|48668$123007|827</t>
        </is>
      </c>
      <c r="J676" s="26" t="inlineStr">
        <is>
          <t>造成两段伤害，每段伤害为[0]%</t>
        </is>
      </c>
      <c r="K676" s="18" t="n">
        <v>270</v>
      </c>
    </row>
    <row r="677">
      <c r="B677" s="20" t="n">
        <v>10674</v>
      </c>
      <c r="C677" s="23" t="inlineStr">
        <is>
          <t>110004</t>
        </is>
      </c>
      <c r="D677" s="20" t="inlineStr">
        <is>
          <t>鬼天陨掌</t>
        </is>
      </c>
      <c r="E677" s="20" t="inlineStr">
        <is>
          <t>24</t>
        </is>
      </c>
      <c r="F677" s="20" t="inlineStr">
        <is>
          <t>120|240</t>
        </is>
      </c>
      <c r="G677" s="20" t="inlineStr">
        <is>
          <t>10001|86400$123001|52992$123007|882</t>
        </is>
      </c>
      <c r="J677" s="26" t="inlineStr">
        <is>
          <t>造成两段伤害，每段伤害为[0]%</t>
        </is>
      </c>
      <c r="K677" s="18" t="n">
        <v>280</v>
      </c>
    </row>
    <row r="678">
      <c r="B678" s="20" t="n">
        <v>10675</v>
      </c>
      <c r="C678" s="23" t="inlineStr">
        <is>
          <t>110004</t>
        </is>
      </c>
      <c r="D678" s="20" t="inlineStr">
        <is>
          <t>鬼天陨掌</t>
        </is>
      </c>
      <c r="E678" s="20" t="inlineStr">
        <is>
          <t>25</t>
        </is>
      </c>
      <c r="F678" s="20" t="inlineStr">
        <is>
          <t>126.666666666667|253.333333333333</t>
        </is>
      </c>
      <c r="G678" s="20" t="inlineStr">
        <is>
          <t>10001|93750$123001|57500$123007|938</t>
        </is>
      </c>
      <c r="J678" s="26" t="inlineStr">
        <is>
          <t>造成两段伤害，每段伤害为[0]%</t>
        </is>
      </c>
      <c r="K678" s="18" t="n">
        <v>290</v>
      </c>
    </row>
    <row r="679">
      <c r="B679" s="20" t="n">
        <v>10676</v>
      </c>
      <c r="C679" s="23" t="inlineStr">
        <is>
          <t>110004</t>
        </is>
      </c>
      <c r="D679" s="20" t="inlineStr">
        <is>
          <t>鬼天陨掌</t>
        </is>
      </c>
      <c r="E679" s="20" t="inlineStr">
        <is>
          <t>26</t>
        </is>
      </c>
      <c r="F679" s="20" t="inlineStr">
        <is>
          <t>133.333333333333|266.666666666667</t>
        </is>
      </c>
      <c r="G679" s="20" t="inlineStr">
        <is>
          <t>10001|101400$123001|62192$123007|994</t>
        </is>
      </c>
      <c r="J679" s="26" t="inlineStr">
        <is>
          <t>造成两段伤害，每段伤害为[0]%</t>
        </is>
      </c>
      <c r="K679" s="18" t="n">
        <v>300</v>
      </c>
    </row>
    <row r="680">
      <c r="B680" s="20" t="n">
        <v>10677</v>
      </c>
      <c r="C680" s="23" t="inlineStr">
        <is>
          <t>110004</t>
        </is>
      </c>
      <c r="D680" s="20" t="inlineStr">
        <is>
          <t>鬼天陨掌</t>
        </is>
      </c>
      <c r="E680" s="20" t="inlineStr">
        <is>
          <t>27</t>
        </is>
      </c>
      <c r="F680" s="20" t="inlineStr">
        <is>
          <t>140|280</t>
        </is>
      </c>
      <c r="G680" s="20" t="inlineStr">
        <is>
          <t>10001|109350$123001|67068$123007|1052</t>
        </is>
      </c>
      <c r="J680" s="26" t="inlineStr">
        <is>
          <t>造成两段伤害，每段伤害为[0]%</t>
        </is>
      </c>
      <c r="K680" s="18" t="n">
        <v>310</v>
      </c>
    </row>
    <row r="681">
      <c r="B681" s="20" t="n">
        <v>10678</v>
      </c>
      <c r="C681" s="23" t="inlineStr">
        <is>
          <t>110004</t>
        </is>
      </c>
      <c r="D681" s="20" t="inlineStr">
        <is>
          <t>鬼天陨掌</t>
        </is>
      </c>
      <c r="E681" s="20" t="inlineStr">
        <is>
          <t>28</t>
        </is>
      </c>
      <c r="F681" s="20" t="inlineStr">
        <is>
          <t>146.666666666667|293.333333333333</t>
        </is>
      </c>
      <c r="G681" s="20" t="inlineStr">
        <is>
          <t>10001|117600$123001|72128$123007|1111</t>
        </is>
      </c>
      <c r="J681" s="26" t="inlineStr">
        <is>
          <t>造成两段伤害，每段伤害为[0]%</t>
        </is>
      </c>
      <c r="K681" s="18" t="n">
        <v>320</v>
      </c>
    </row>
    <row r="682">
      <c r="B682" s="20" t="n">
        <v>10679</v>
      </c>
      <c r="C682" s="23" t="inlineStr">
        <is>
          <t>110004</t>
        </is>
      </c>
      <c r="D682" s="20" t="inlineStr">
        <is>
          <t>鬼天陨掌</t>
        </is>
      </c>
      <c r="E682" s="20" t="inlineStr">
        <is>
          <t>29</t>
        </is>
      </c>
      <c r="F682" s="20" t="inlineStr">
        <is>
          <t>153.333333333333|306.666666666667</t>
        </is>
      </c>
      <c r="G682" s="20" t="inlineStr">
        <is>
          <t>10001|126150$123001|77372$123007|1171</t>
        </is>
      </c>
      <c r="J682" s="26" t="inlineStr">
        <is>
          <t>造成两段伤害，每段伤害为[0]%</t>
        </is>
      </c>
      <c r="K682" s="18" t="n">
        <v>330</v>
      </c>
    </row>
    <row r="683">
      <c r="B683" s="20" t="n">
        <v>10680</v>
      </c>
      <c r="C683" s="23" t="inlineStr">
        <is>
          <t>110004</t>
        </is>
      </c>
      <c r="D683" s="20" t="inlineStr">
        <is>
          <t>鬼天陨掌</t>
        </is>
      </c>
      <c r="E683" s="20" t="inlineStr">
        <is>
          <t>30</t>
        </is>
      </c>
      <c r="F683" s="20" t="inlineStr">
        <is>
          <t>160|320</t>
        </is>
      </c>
      <c r="G683" s="20" t="inlineStr">
        <is>
          <t>10001|135000$124001|82800$124007|1232</t>
        </is>
      </c>
      <c r="J683" s="26" t="inlineStr">
        <is>
          <t>造成两段伤害，每段伤害为[0]%</t>
        </is>
      </c>
      <c r="K683" s="18" t="n">
        <v>340</v>
      </c>
    </row>
    <row r="684">
      <c r="B684" s="20" t="n">
        <v>10681</v>
      </c>
      <c r="C684" s="23" t="inlineStr">
        <is>
          <t>110004</t>
        </is>
      </c>
      <c r="D684" s="20" t="inlineStr">
        <is>
          <t>鬼天陨掌</t>
        </is>
      </c>
      <c r="E684" s="20" t="inlineStr">
        <is>
          <t>31</t>
        </is>
      </c>
      <c r="F684" s="20" t="inlineStr">
        <is>
          <t>166.666666666667|333.333333333333</t>
        </is>
      </c>
      <c r="G684" s="20" t="inlineStr">
        <is>
          <t>10001|144150$124001|88412$124007|1295</t>
        </is>
      </c>
      <c r="J684" s="26" t="inlineStr">
        <is>
          <t>造成两段伤害，每段伤害为[0]%</t>
        </is>
      </c>
      <c r="K684" s="18" t="n">
        <v>350</v>
      </c>
    </row>
    <row r="685">
      <c r="B685" s="20" t="n">
        <v>10682</v>
      </c>
      <c r="C685" s="23" t="inlineStr">
        <is>
          <t>110004</t>
        </is>
      </c>
      <c r="D685" s="20" t="inlineStr">
        <is>
          <t>鬼天陨掌</t>
        </is>
      </c>
      <c r="E685" s="20" t="inlineStr">
        <is>
          <t>32</t>
        </is>
      </c>
      <c r="F685" s="20" t="inlineStr">
        <is>
          <t>173.333333333333|346.666666666667</t>
        </is>
      </c>
      <c r="G685" s="20" t="inlineStr">
        <is>
          <t>10001|153600$124001|94208$124007|1358</t>
        </is>
      </c>
      <c r="J685" s="26" t="inlineStr">
        <is>
          <t>造成两段伤害，每段伤害为[0]%</t>
        </is>
      </c>
      <c r="K685" s="18" t="n">
        <v>360</v>
      </c>
    </row>
    <row r="686">
      <c r="B686" s="20" t="n">
        <v>10683</v>
      </c>
      <c r="C686" s="23" t="inlineStr">
        <is>
          <t>110004</t>
        </is>
      </c>
      <c r="D686" s="20" t="inlineStr">
        <is>
          <t>鬼天陨掌</t>
        </is>
      </c>
      <c r="E686" s="20" t="inlineStr">
        <is>
          <t>33</t>
        </is>
      </c>
      <c r="F686" s="20" t="inlineStr">
        <is>
          <t>180|360</t>
        </is>
      </c>
      <c r="G686" s="20" t="inlineStr">
        <is>
          <t>10001|163350$124001|100188$124007|1422</t>
        </is>
      </c>
      <c r="J686" s="26" t="inlineStr">
        <is>
          <t>造成两段伤害，每段伤害为[0]%</t>
        </is>
      </c>
      <c r="K686" s="18" t="n">
        <v>370</v>
      </c>
    </row>
    <row r="687">
      <c r="B687" s="20" t="n">
        <v>10684</v>
      </c>
      <c r="C687" s="23" t="inlineStr">
        <is>
          <t>110004</t>
        </is>
      </c>
      <c r="D687" s="20" t="inlineStr">
        <is>
          <t>鬼天陨掌</t>
        </is>
      </c>
      <c r="E687" s="20" t="inlineStr">
        <is>
          <t>34</t>
        </is>
      </c>
      <c r="F687" s="20" t="inlineStr">
        <is>
          <t>186.666666666667|373.333333333333</t>
        </is>
      </c>
      <c r="G687" s="20" t="inlineStr">
        <is>
          <t>10001|173400$124001|106352$124007|1487</t>
        </is>
      </c>
      <c r="J687" s="26" t="inlineStr">
        <is>
          <t>造成两段伤害，每段伤害为[0]%</t>
        </is>
      </c>
      <c r="K687" s="18" t="n">
        <v>380</v>
      </c>
    </row>
    <row r="688">
      <c r="B688" s="20" t="n">
        <v>10685</v>
      </c>
      <c r="C688" s="23" t="inlineStr">
        <is>
          <t>110004</t>
        </is>
      </c>
      <c r="D688" s="20" t="inlineStr">
        <is>
          <t>鬼天陨掌</t>
        </is>
      </c>
      <c r="E688" s="20" t="inlineStr">
        <is>
          <t>35</t>
        </is>
      </c>
      <c r="F688" s="20" t="inlineStr">
        <is>
          <t>193.333333333333|386.666666666667</t>
        </is>
      </c>
      <c r="G688" s="20" t="inlineStr">
        <is>
          <t>10001|183750$124001|112700$124007|1553</t>
        </is>
      </c>
      <c r="J688" s="26" t="inlineStr">
        <is>
          <t>造成两段伤害，每段伤害为[0]%</t>
        </is>
      </c>
      <c r="K688" s="18" t="n">
        <v>390</v>
      </c>
    </row>
    <row r="689">
      <c r="B689" s="20" t="n">
        <v>10686</v>
      </c>
      <c r="C689" s="23" t="inlineStr">
        <is>
          <t>110004</t>
        </is>
      </c>
      <c r="D689" s="20" t="inlineStr">
        <is>
          <t>鬼天陨掌</t>
        </is>
      </c>
      <c r="E689" s="20" t="inlineStr">
        <is>
          <t>36</t>
        </is>
      </c>
      <c r="F689" s="20" t="inlineStr">
        <is>
          <t>200|400</t>
        </is>
      </c>
      <c r="G689" s="20" t="inlineStr">
        <is>
          <t>10001|194400$124001|119232$124007|1620</t>
        </is>
      </c>
      <c r="J689" s="26" t="inlineStr">
        <is>
          <t>造成两段伤害，每段伤害为[0]%</t>
        </is>
      </c>
      <c r="K689" s="18" t="n">
        <v>400</v>
      </c>
    </row>
    <row r="690">
      <c r="B690" s="20" t="n">
        <v>10687</v>
      </c>
      <c r="C690" s="23" t="inlineStr">
        <is>
          <t>110004</t>
        </is>
      </c>
      <c r="D690" s="20" t="inlineStr">
        <is>
          <t>鬼天陨掌</t>
        </is>
      </c>
      <c r="E690" s="20" t="inlineStr">
        <is>
          <t>37</t>
        </is>
      </c>
      <c r="F690" s="20" t="inlineStr">
        <is>
          <t>206.666666666667|413.333333333333</t>
        </is>
      </c>
      <c r="G690" s="20" t="inlineStr">
        <is>
          <t>10001|205350$124001|125948$124007|1688</t>
        </is>
      </c>
      <c r="J690" s="26" t="inlineStr">
        <is>
          <t>造成两段伤害，每段伤害为[0]%</t>
        </is>
      </c>
      <c r="K690" s="18" t="n">
        <v>410</v>
      </c>
    </row>
    <row r="691">
      <c r="B691" s="20" t="n">
        <v>10688</v>
      </c>
      <c r="C691" s="23" t="inlineStr">
        <is>
          <t>110004</t>
        </is>
      </c>
      <c r="D691" s="20" t="inlineStr">
        <is>
          <t>鬼天陨掌</t>
        </is>
      </c>
      <c r="E691" s="20" t="inlineStr">
        <is>
          <t>38</t>
        </is>
      </c>
      <c r="F691" s="20" t="inlineStr">
        <is>
          <t>213.333333333333|426.666666666667</t>
        </is>
      </c>
      <c r="G691" s="20" t="inlineStr">
        <is>
          <t>10001|216600$124001|132848$124007|1757</t>
        </is>
      </c>
      <c r="J691" s="26" t="inlineStr">
        <is>
          <t>造成两段伤害，每段伤害为[0]%</t>
        </is>
      </c>
      <c r="K691" s="18" t="n">
        <v>420</v>
      </c>
    </row>
    <row r="692">
      <c r="B692" s="20" t="n">
        <v>10689</v>
      </c>
      <c r="C692" s="23" t="inlineStr">
        <is>
          <t>110004</t>
        </is>
      </c>
      <c r="D692" s="20" t="inlineStr">
        <is>
          <t>鬼天陨掌</t>
        </is>
      </c>
      <c r="E692" s="20" t="inlineStr">
        <is>
          <t>39</t>
        </is>
      </c>
      <c r="F692" s="20" t="inlineStr">
        <is>
          <t>220|440</t>
        </is>
      </c>
      <c r="G692" s="20" t="inlineStr">
        <is>
          <t>10001|228150$124001|139932$124007|1827</t>
        </is>
      </c>
      <c r="J692" s="26" t="inlineStr">
        <is>
          <t>造成两段伤害，每段伤害为[0]%</t>
        </is>
      </c>
      <c r="K692" s="18" t="n">
        <v>430</v>
      </c>
    </row>
    <row r="693">
      <c r="B693" s="20" t="n">
        <v>10690</v>
      </c>
      <c r="C693" s="23" t="inlineStr">
        <is>
          <t>110004</t>
        </is>
      </c>
      <c r="D693" s="20" t="inlineStr">
        <is>
          <t>鬼天陨掌</t>
        </is>
      </c>
      <c r="E693" s="20" t="inlineStr">
        <is>
          <t>40</t>
        </is>
      </c>
      <c r="F693" s="20" t="inlineStr">
        <is>
          <t>226.666666666667|453.333333333333</t>
        </is>
      </c>
      <c r="G693" s="20" t="inlineStr">
        <is>
          <t>10001|240000$125001|147200$125007|1897</t>
        </is>
      </c>
      <c r="J693" s="26" t="inlineStr">
        <is>
          <t>造成两段伤害，每段伤害为[0]%</t>
        </is>
      </c>
      <c r="K693" s="18" t="n">
        <v>440</v>
      </c>
    </row>
    <row r="694">
      <c r="B694" s="20" t="n">
        <v>10691</v>
      </c>
      <c r="C694" s="23" t="inlineStr">
        <is>
          <t>110004</t>
        </is>
      </c>
      <c r="D694" s="20" t="inlineStr">
        <is>
          <t>鬼天陨掌</t>
        </is>
      </c>
      <c r="E694" s="20" t="inlineStr">
        <is>
          <t>41</t>
        </is>
      </c>
      <c r="F694" s="20" t="inlineStr">
        <is>
          <t>233.333333333333|466.666666666667</t>
        </is>
      </c>
      <c r="G694" s="20" t="inlineStr">
        <is>
          <t>10001|252150$125001|154652$125007|1969</t>
        </is>
      </c>
      <c r="J694" s="26" t="inlineStr">
        <is>
          <t>造成两段伤害，每段伤害为[0]%</t>
        </is>
      </c>
      <c r="K694" s="18" t="n">
        <v>450</v>
      </c>
    </row>
    <row r="695">
      <c r="B695" s="20" t="n">
        <v>10692</v>
      </c>
      <c r="C695" s="23" t="inlineStr">
        <is>
          <t>110004</t>
        </is>
      </c>
      <c r="D695" s="20" t="inlineStr">
        <is>
          <t>鬼天陨掌</t>
        </is>
      </c>
      <c r="E695" s="20" t="inlineStr">
        <is>
          <t>42</t>
        </is>
      </c>
      <c r="F695" s="20" t="inlineStr">
        <is>
          <t>240|480</t>
        </is>
      </c>
      <c r="G695" s="20" t="inlineStr">
        <is>
          <t>10001|264600$125001|162288$125007|2041</t>
        </is>
      </c>
      <c r="J695" s="26" t="inlineStr">
        <is>
          <t>造成两段伤害，每段伤害为[0]%</t>
        </is>
      </c>
      <c r="K695" s="18" t="n">
        <v>460</v>
      </c>
    </row>
    <row r="696">
      <c r="B696" s="20" t="n">
        <v>10693</v>
      </c>
      <c r="C696" s="23" t="inlineStr">
        <is>
          <t>110004</t>
        </is>
      </c>
      <c r="D696" s="20" t="inlineStr">
        <is>
          <t>鬼天陨掌</t>
        </is>
      </c>
      <c r="E696" s="20" t="inlineStr">
        <is>
          <t>43</t>
        </is>
      </c>
      <c r="F696" s="20" t="inlineStr">
        <is>
          <t>246.666666666667|493.333333333333</t>
        </is>
      </c>
      <c r="G696" s="20" t="inlineStr">
        <is>
          <t>10001|277350$125001|170108$125007|2115</t>
        </is>
      </c>
      <c r="J696" s="26" t="inlineStr">
        <is>
          <t>造成两段伤害，每段伤害为[0]%</t>
        </is>
      </c>
      <c r="K696" s="18" t="n">
        <v>470</v>
      </c>
    </row>
    <row r="697">
      <c r="B697" s="20" t="n">
        <v>10694</v>
      </c>
      <c r="C697" s="23" t="inlineStr">
        <is>
          <t>110004</t>
        </is>
      </c>
      <c r="D697" s="20" t="inlineStr">
        <is>
          <t>鬼天陨掌</t>
        </is>
      </c>
      <c r="E697" s="20" t="inlineStr">
        <is>
          <t>44</t>
        </is>
      </c>
      <c r="F697" s="20" t="inlineStr">
        <is>
          <t>253.333333333333|506.666666666667</t>
        </is>
      </c>
      <c r="G697" s="20" t="inlineStr">
        <is>
          <t>10001|290400$125001|178112$125007|2189</t>
        </is>
      </c>
      <c r="J697" s="26" t="inlineStr">
        <is>
          <t>造成两段伤害，每段伤害为[0]%</t>
        </is>
      </c>
      <c r="K697" s="18" t="n">
        <v>480</v>
      </c>
    </row>
    <row r="698">
      <c r="B698" s="20" t="n">
        <v>10695</v>
      </c>
      <c r="C698" s="23" t="inlineStr">
        <is>
          <t>110004</t>
        </is>
      </c>
      <c r="D698" s="20" t="inlineStr">
        <is>
          <t>鬼天陨掌</t>
        </is>
      </c>
      <c r="E698" s="20" t="inlineStr">
        <is>
          <t>45</t>
        </is>
      </c>
      <c r="F698" s="20" t="inlineStr">
        <is>
          <t>260|520</t>
        </is>
      </c>
      <c r="G698" s="20" t="inlineStr">
        <is>
          <t>10001|303750$125001|186300$125007|2264</t>
        </is>
      </c>
      <c r="J698" s="26" t="inlineStr">
        <is>
          <t>造成两段伤害，每段伤害为[0]%</t>
        </is>
      </c>
      <c r="K698" s="18" t="n">
        <v>490</v>
      </c>
    </row>
    <row r="699">
      <c r="B699" s="20" t="n">
        <v>10696</v>
      </c>
      <c r="C699" s="23" t="inlineStr">
        <is>
          <t>110004</t>
        </is>
      </c>
      <c r="D699" s="20" t="inlineStr">
        <is>
          <t>鬼天陨掌</t>
        </is>
      </c>
      <c r="E699" s="20" t="inlineStr">
        <is>
          <t>46</t>
        </is>
      </c>
      <c r="F699" s="20" t="inlineStr">
        <is>
          <t>266.666666666667|533.333333333333</t>
        </is>
      </c>
      <c r="G699" s="20" t="inlineStr">
        <is>
          <t>10001|317400$125001|194672$125007|2340</t>
        </is>
      </c>
      <c r="J699" s="26" t="inlineStr">
        <is>
          <t>造成两段伤害，每段伤害为[0]%</t>
        </is>
      </c>
      <c r="K699" s="18" t="n">
        <v>500</v>
      </c>
    </row>
    <row r="700">
      <c r="B700" s="20" t="n">
        <v>10697</v>
      </c>
      <c r="C700" s="23" t="inlineStr">
        <is>
          <t>110004</t>
        </is>
      </c>
      <c r="D700" s="20" t="inlineStr">
        <is>
          <t>鬼天陨掌</t>
        </is>
      </c>
      <c r="E700" s="20" t="inlineStr">
        <is>
          <t>47</t>
        </is>
      </c>
      <c r="F700" s="20" t="inlineStr">
        <is>
          <t>273.333333333333|546.666666666667</t>
        </is>
      </c>
      <c r="G700" s="20" t="inlineStr">
        <is>
          <t>10001|331350$125001|203228$125007|2417</t>
        </is>
      </c>
      <c r="J700" s="26" t="inlineStr">
        <is>
          <t>造成两段伤害，每段伤害为[0]%</t>
        </is>
      </c>
      <c r="K700" s="18" t="n">
        <v>510</v>
      </c>
    </row>
    <row r="701">
      <c r="B701" s="20" t="n">
        <v>10698</v>
      </c>
      <c r="C701" s="23" t="inlineStr">
        <is>
          <t>110004</t>
        </is>
      </c>
      <c r="D701" s="20" t="inlineStr">
        <is>
          <t>鬼天陨掌</t>
        </is>
      </c>
      <c r="E701" s="20" t="inlineStr">
        <is>
          <t>48</t>
        </is>
      </c>
      <c r="F701" s="20" t="inlineStr">
        <is>
          <t>280|560</t>
        </is>
      </c>
      <c r="G701" s="20" t="inlineStr">
        <is>
          <t>10001|345600$125001|211968$125007|2494</t>
        </is>
      </c>
      <c r="J701" s="26" t="inlineStr">
        <is>
          <t>造成两段伤害，每段伤害为[0]%</t>
        </is>
      </c>
      <c r="K701" s="18" t="n">
        <v>520</v>
      </c>
    </row>
    <row r="702">
      <c r="B702" s="20" t="n">
        <v>10699</v>
      </c>
      <c r="C702" s="23" t="inlineStr">
        <is>
          <t>110004</t>
        </is>
      </c>
      <c r="D702" s="20" t="inlineStr">
        <is>
          <t>鬼天陨掌</t>
        </is>
      </c>
      <c r="E702" s="20" t="inlineStr">
        <is>
          <t>49</t>
        </is>
      </c>
      <c r="F702" s="20" t="inlineStr">
        <is>
          <t>286.666666666667|573.333333333333</t>
        </is>
      </c>
      <c r="G702" s="20" t="inlineStr">
        <is>
          <t>10001|360150$125001|220892$125007|2573</t>
        </is>
      </c>
      <c r="J702" s="26" t="inlineStr">
        <is>
          <t>造成两段伤害，每段伤害为[0]%</t>
        </is>
      </c>
      <c r="K702" s="18" t="n">
        <v>530</v>
      </c>
    </row>
    <row r="703">
      <c r="B703" s="20" t="n">
        <v>10700</v>
      </c>
      <c r="C703" s="23" t="inlineStr">
        <is>
          <t>110004</t>
        </is>
      </c>
      <c r="D703" s="20" t="inlineStr">
        <is>
          <t>鬼天陨掌</t>
        </is>
      </c>
      <c r="E703" s="20" t="inlineStr">
        <is>
          <t>50</t>
        </is>
      </c>
      <c r="F703" s="20" t="inlineStr">
        <is>
          <t>293.333333333333|586.666666666667</t>
        </is>
      </c>
      <c r="G703" s="20" t="inlineStr">
        <is>
          <t>10001|375000$125001|230000$125007|2652</t>
        </is>
      </c>
      <c r="J703" s="26" t="inlineStr">
        <is>
          <t>造成两段伤害，每段伤害为[0]%</t>
        </is>
      </c>
      <c r="K703" s="18" t="n">
        <v>540</v>
      </c>
    </row>
    <row r="704">
      <c r="B704" s="18" t="n">
        <v>10701</v>
      </c>
      <c r="C704" s="24" t="inlineStr">
        <is>
          <t>440001</t>
        </is>
      </c>
      <c r="D704" s="18" t="inlineStr">
        <is>
          <t>天宝华镜</t>
        </is>
      </c>
      <c r="E704" s="18" t="inlineStr">
        <is>
          <t>1</t>
        </is>
      </c>
      <c r="F704" s="18" t="inlineStr">
        <is>
          <t>1</t>
        </is>
      </c>
      <c r="G704" s="18" t="inlineStr">
        <is>
          <t>10001|19$121001|12</t>
        </is>
      </c>
    </row>
    <row r="705">
      <c r="B705" s="18" t="n">
        <v>10702</v>
      </c>
      <c r="C705" s="24" t="inlineStr">
        <is>
          <t>110005</t>
        </is>
      </c>
      <c r="D705" s="24" t="inlineStr">
        <is>
          <t>噬神守卫</t>
        </is>
      </c>
      <c r="E705" s="18" t="inlineStr">
        <is>
          <t>1</t>
        </is>
      </c>
      <c r="F705" s="18" t="inlineStr">
        <is>
          <t>0|0|0|0|0</t>
        </is>
      </c>
      <c r="G705" s="18" t="inlineStr">
        <is>
          <t>10001|150$121001|92$121002|8</t>
        </is>
      </c>
    </row>
    <row r="706">
      <c r="B706" s="18" t="n">
        <v>10703</v>
      </c>
      <c r="C706" s="24" t="inlineStr">
        <is>
          <t>110005</t>
        </is>
      </c>
      <c r="D706" s="24" t="inlineStr">
        <is>
          <t>噬神守卫</t>
        </is>
      </c>
      <c r="E706" s="18" t="inlineStr">
        <is>
          <t>2</t>
        </is>
      </c>
      <c r="F706" s="18" t="inlineStr">
        <is>
          <t>2|2|2|2|2</t>
        </is>
      </c>
      <c r="G706" s="18" t="inlineStr">
        <is>
          <t>10001|600$121001|368$121002|21</t>
        </is>
      </c>
    </row>
    <row r="707">
      <c r="B707" s="18" t="n">
        <v>10704</v>
      </c>
      <c r="C707" s="24" t="inlineStr">
        <is>
          <t>110005</t>
        </is>
      </c>
      <c r="D707" s="24" t="inlineStr">
        <is>
          <t>噬神守卫</t>
        </is>
      </c>
      <c r="E707" s="18" t="inlineStr">
        <is>
          <t>3</t>
        </is>
      </c>
      <c r="F707" s="18" t="inlineStr">
        <is>
          <t>4|4|4|4|4</t>
        </is>
      </c>
      <c r="G707" s="18" t="inlineStr">
        <is>
          <t>10001|1350$121001|828$121002|39</t>
        </is>
      </c>
    </row>
    <row r="708">
      <c r="B708" s="18" t="n">
        <v>10705</v>
      </c>
      <c r="C708" s="24" t="inlineStr">
        <is>
          <t>110005</t>
        </is>
      </c>
      <c r="D708" s="24" t="inlineStr">
        <is>
          <t>噬神守卫</t>
        </is>
      </c>
      <c r="E708" s="18" t="inlineStr">
        <is>
          <t>4</t>
        </is>
      </c>
      <c r="F708" s="18" t="inlineStr">
        <is>
          <t>6|6|6|6|6</t>
        </is>
      </c>
      <c r="G708" s="18" t="inlineStr">
        <is>
          <t>10001|2400$121001|1472$121002|60</t>
        </is>
      </c>
    </row>
    <row r="709">
      <c r="B709" s="18" t="n">
        <v>10706</v>
      </c>
      <c r="C709" s="24" t="inlineStr">
        <is>
          <t>110005</t>
        </is>
      </c>
      <c r="D709" s="24" t="inlineStr">
        <is>
          <t>噬神守卫</t>
        </is>
      </c>
      <c r="E709" s="18" t="inlineStr">
        <is>
          <t>5</t>
        </is>
      </c>
      <c r="F709" s="18" t="inlineStr">
        <is>
          <t>8|8|8|8|8</t>
        </is>
      </c>
      <c r="G709" s="18" t="inlineStr">
        <is>
          <t>10001|3750$121001|2300$121002|84</t>
        </is>
      </c>
    </row>
    <row r="710">
      <c r="B710" s="18" t="n">
        <v>10707</v>
      </c>
      <c r="C710" s="24" t="inlineStr">
        <is>
          <t>110005</t>
        </is>
      </c>
      <c r="D710" s="24" t="inlineStr">
        <is>
          <t>噬神守卫</t>
        </is>
      </c>
      <c r="E710" s="18" t="inlineStr">
        <is>
          <t>6</t>
        </is>
      </c>
      <c r="F710" s="18" t="inlineStr">
        <is>
          <t>10|10|10|10|10</t>
        </is>
      </c>
      <c r="G710" s="18" t="inlineStr">
        <is>
          <t>10001|5400$121001|3312$121002|110</t>
        </is>
      </c>
    </row>
    <row r="711">
      <c r="B711" s="18" t="n">
        <v>10708</v>
      </c>
      <c r="C711" s="24" t="inlineStr">
        <is>
          <t>110005</t>
        </is>
      </c>
      <c r="D711" s="24" t="inlineStr">
        <is>
          <t>噬神守卫</t>
        </is>
      </c>
      <c r="E711" s="18" t="inlineStr">
        <is>
          <t>7</t>
        </is>
      </c>
      <c r="F711" s="18" t="inlineStr">
        <is>
          <t>12|12|12|12|12</t>
        </is>
      </c>
      <c r="G711" s="18" t="inlineStr">
        <is>
          <t>10001|7350$121001|4508$121002|139</t>
        </is>
      </c>
    </row>
    <row r="712">
      <c r="B712" s="18" t="n">
        <v>10709</v>
      </c>
      <c r="C712" s="24" t="inlineStr">
        <is>
          <t>110005</t>
        </is>
      </c>
      <c r="D712" s="24" t="inlineStr">
        <is>
          <t>噬神守卫</t>
        </is>
      </c>
      <c r="E712" s="18" t="inlineStr">
        <is>
          <t>8</t>
        </is>
      </c>
      <c r="F712" s="18" t="inlineStr">
        <is>
          <t>14|14|14|14|14</t>
        </is>
      </c>
      <c r="G712" s="18" t="inlineStr">
        <is>
          <t>10001|9600$121001|5888$121002|170</t>
        </is>
      </c>
    </row>
    <row r="713">
      <c r="B713" s="18" t="n">
        <v>10710</v>
      </c>
      <c r="C713" s="24" t="inlineStr">
        <is>
          <t>110005</t>
        </is>
      </c>
      <c r="D713" s="24" t="inlineStr">
        <is>
          <t>噬神守卫</t>
        </is>
      </c>
      <c r="E713" s="18" t="inlineStr">
        <is>
          <t>9</t>
        </is>
      </c>
      <c r="F713" s="18" t="inlineStr">
        <is>
          <t>16|16|16|16|16</t>
        </is>
      </c>
      <c r="G713" s="18" t="inlineStr">
        <is>
          <t>10001|12150$121001|7452$121002|203</t>
        </is>
      </c>
    </row>
    <row r="714">
      <c r="B714" s="18" t="n">
        <v>10711</v>
      </c>
      <c r="C714" s="24" t="inlineStr">
        <is>
          <t>110005</t>
        </is>
      </c>
      <c r="D714" s="24" t="inlineStr">
        <is>
          <t>噬神守卫</t>
        </is>
      </c>
      <c r="E714" s="18" t="inlineStr">
        <is>
          <t>10</t>
        </is>
      </c>
      <c r="F714" s="18" t="inlineStr">
        <is>
          <t>18|18|18|18|18</t>
        </is>
      </c>
      <c r="G714" s="18" t="inlineStr">
        <is>
          <t>10001|15000$122001|9200$122002|237</t>
        </is>
      </c>
    </row>
    <row r="715">
      <c r="B715" s="18" t="n">
        <v>10712</v>
      </c>
      <c r="C715" s="24" t="inlineStr">
        <is>
          <t>110005</t>
        </is>
      </c>
      <c r="D715" s="24" t="inlineStr">
        <is>
          <t>噬神守卫</t>
        </is>
      </c>
      <c r="E715" s="18" t="inlineStr">
        <is>
          <t>11</t>
        </is>
      </c>
      <c r="F715" s="18" t="inlineStr">
        <is>
          <t>20|20|20|20|20</t>
        </is>
      </c>
      <c r="G715" s="18" t="inlineStr">
        <is>
          <t>10001|18150$122001|11132$122002|274</t>
        </is>
      </c>
    </row>
    <row r="716">
      <c r="B716" s="18" t="n">
        <v>10713</v>
      </c>
      <c r="C716" s="24" t="inlineStr">
        <is>
          <t>110005</t>
        </is>
      </c>
      <c r="D716" s="24" t="inlineStr">
        <is>
          <t>噬神守卫</t>
        </is>
      </c>
      <c r="E716" s="18" t="inlineStr">
        <is>
          <t>12</t>
        </is>
      </c>
      <c r="F716" s="18" t="inlineStr">
        <is>
          <t>22|22|22|22|22</t>
        </is>
      </c>
      <c r="G716" s="18" t="inlineStr">
        <is>
          <t>10001|21600$122001|13248$122002|312</t>
        </is>
      </c>
    </row>
    <row r="717">
      <c r="B717" s="18" t="n">
        <v>10714</v>
      </c>
      <c r="C717" s="24" t="inlineStr">
        <is>
          <t>110005</t>
        </is>
      </c>
      <c r="D717" s="24" t="inlineStr">
        <is>
          <t>噬神守卫</t>
        </is>
      </c>
      <c r="E717" s="18" t="inlineStr">
        <is>
          <t>13</t>
        </is>
      </c>
      <c r="F717" s="18" t="inlineStr">
        <is>
          <t>24|24|24|24|24</t>
        </is>
      </c>
      <c r="G717" s="18" t="inlineStr">
        <is>
          <t>10001|25350$122001|15548$122002|352</t>
        </is>
      </c>
    </row>
    <row r="718">
      <c r="B718" s="18" t="n">
        <v>10715</v>
      </c>
      <c r="C718" s="24" t="inlineStr">
        <is>
          <t>110005</t>
        </is>
      </c>
      <c r="D718" s="24" t="inlineStr">
        <is>
          <t>噬神守卫</t>
        </is>
      </c>
      <c r="E718" s="18" t="inlineStr">
        <is>
          <t>14</t>
        </is>
      </c>
      <c r="F718" s="18" t="inlineStr">
        <is>
          <t>26|26|26|26|26</t>
        </is>
      </c>
      <c r="G718" s="18" t="inlineStr">
        <is>
          <t>10001|29400$122001|18032$122002|393</t>
        </is>
      </c>
    </row>
    <row r="719">
      <c r="B719" s="18" t="n">
        <v>10716</v>
      </c>
      <c r="C719" s="24" t="inlineStr">
        <is>
          <t>110005</t>
        </is>
      </c>
      <c r="D719" s="24" t="inlineStr">
        <is>
          <t>噬神守卫</t>
        </is>
      </c>
      <c r="E719" s="18" t="inlineStr">
        <is>
          <t>15</t>
        </is>
      </c>
      <c r="F719" s="18" t="inlineStr">
        <is>
          <t>28|28|28|28|28</t>
        </is>
      </c>
      <c r="G719" s="18" t="inlineStr">
        <is>
          <t>10001|33750$122001|20700$122002|436</t>
        </is>
      </c>
    </row>
    <row r="720">
      <c r="B720" s="18" t="n">
        <v>10717</v>
      </c>
      <c r="C720" s="24" t="inlineStr">
        <is>
          <t>110005</t>
        </is>
      </c>
      <c r="D720" s="24" t="inlineStr">
        <is>
          <t>噬神守卫</t>
        </is>
      </c>
      <c r="E720" s="18" t="inlineStr">
        <is>
          <t>16</t>
        </is>
      </c>
      <c r="F720" s="18" t="inlineStr">
        <is>
          <t>30|30|30|30|30</t>
        </is>
      </c>
      <c r="G720" s="18" t="inlineStr">
        <is>
          <t>10001|38400$122001|23552$122002|480</t>
        </is>
      </c>
    </row>
    <row r="721">
      <c r="B721" s="18" t="n">
        <v>10718</v>
      </c>
      <c r="C721" s="24" t="inlineStr">
        <is>
          <t>110005</t>
        </is>
      </c>
      <c r="D721" s="24" t="inlineStr">
        <is>
          <t>噬神守卫</t>
        </is>
      </c>
      <c r="E721" s="18" t="inlineStr">
        <is>
          <t>17</t>
        </is>
      </c>
      <c r="F721" s="18" t="inlineStr">
        <is>
          <t>32|32|32|32|32</t>
        </is>
      </c>
      <c r="G721" s="18" t="inlineStr">
        <is>
          <t>10001|43350$122001|26588$122002|526</t>
        </is>
      </c>
    </row>
    <row r="722">
      <c r="B722" s="18" t="n">
        <v>10719</v>
      </c>
      <c r="C722" s="24" t="inlineStr">
        <is>
          <t>110005</t>
        </is>
      </c>
      <c r="D722" s="24" t="inlineStr">
        <is>
          <t>噬神守卫</t>
        </is>
      </c>
      <c r="E722" s="18" t="inlineStr">
        <is>
          <t>18</t>
        </is>
      </c>
      <c r="F722" s="18" t="inlineStr">
        <is>
          <t>34|34|34|34|34</t>
        </is>
      </c>
      <c r="G722" s="18" t="inlineStr">
        <is>
          <t>10001|48600$122001|29808$122002|573</t>
        </is>
      </c>
    </row>
    <row r="723">
      <c r="B723" s="18" t="n">
        <v>10720</v>
      </c>
      <c r="C723" s="24" t="inlineStr">
        <is>
          <t>110005</t>
        </is>
      </c>
      <c r="D723" s="24" t="inlineStr">
        <is>
          <t>噬神守卫</t>
        </is>
      </c>
      <c r="E723" s="18" t="inlineStr">
        <is>
          <t>19</t>
        </is>
      </c>
      <c r="F723" s="18" t="inlineStr">
        <is>
          <t>36|36|36|36|36</t>
        </is>
      </c>
      <c r="G723" s="18" t="inlineStr">
        <is>
          <t>10001|54150$122001|33212$122002|621</t>
        </is>
      </c>
    </row>
    <row r="724">
      <c r="B724" s="18" t="n">
        <v>10721</v>
      </c>
      <c r="C724" s="24" t="inlineStr">
        <is>
          <t>110005</t>
        </is>
      </c>
      <c r="D724" s="24" t="inlineStr">
        <is>
          <t>噬神守卫</t>
        </is>
      </c>
      <c r="E724" s="18" t="inlineStr">
        <is>
          <t>20</t>
        </is>
      </c>
      <c r="F724" s="18" t="inlineStr">
        <is>
          <t>38|38|38|38|38</t>
        </is>
      </c>
      <c r="G724" s="18" t="inlineStr">
        <is>
          <t>10001|60000$123001|36800$123002|671</t>
        </is>
      </c>
    </row>
    <row r="725">
      <c r="B725" s="18" t="n">
        <v>10722</v>
      </c>
      <c r="C725" s="24" t="inlineStr">
        <is>
          <t>110005</t>
        </is>
      </c>
      <c r="D725" s="24" t="inlineStr">
        <is>
          <t>噬神守卫</t>
        </is>
      </c>
      <c r="E725" s="18" t="inlineStr">
        <is>
          <t>21</t>
        </is>
      </c>
      <c r="F725" s="18" t="inlineStr">
        <is>
          <t>40|40|40|40|40</t>
        </is>
      </c>
      <c r="G725" s="18" t="inlineStr">
        <is>
          <t>10001|66150$123001|40572$123002|722</t>
        </is>
      </c>
    </row>
    <row r="726">
      <c r="B726" s="18" t="n">
        <v>10723</v>
      </c>
      <c r="C726" s="24" t="inlineStr">
        <is>
          <t>110005</t>
        </is>
      </c>
      <c r="D726" s="24" t="inlineStr">
        <is>
          <t>噬神守卫</t>
        </is>
      </c>
      <c r="E726" s="18" t="inlineStr">
        <is>
          <t>22</t>
        </is>
      </c>
      <c r="F726" s="18" t="inlineStr">
        <is>
          <t>42|42|42|42|42</t>
        </is>
      </c>
      <c r="G726" s="18" t="inlineStr">
        <is>
          <t>10001|72600$123001|44528$123002|774</t>
        </is>
      </c>
    </row>
    <row r="727">
      <c r="B727" s="18" t="n">
        <v>10724</v>
      </c>
      <c r="C727" s="24" t="inlineStr">
        <is>
          <t>110005</t>
        </is>
      </c>
      <c r="D727" s="24" t="inlineStr">
        <is>
          <t>噬神守卫</t>
        </is>
      </c>
      <c r="E727" s="18" t="inlineStr">
        <is>
          <t>23</t>
        </is>
      </c>
      <c r="F727" s="18" t="inlineStr">
        <is>
          <t>44|44|44|44|44</t>
        </is>
      </c>
      <c r="G727" s="18" t="inlineStr">
        <is>
          <t>10001|79350$123001|48668$123002|827</t>
        </is>
      </c>
    </row>
    <row r="728">
      <c r="B728" s="18" t="n">
        <v>10725</v>
      </c>
      <c r="C728" s="24" t="inlineStr">
        <is>
          <t>110005</t>
        </is>
      </c>
      <c r="D728" s="24" t="inlineStr">
        <is>
          <t>噬神守卫</t>
        </is>
      </c>
      <c r="E728" s="18" t="inlineStr">
        <is>
          <t>24</t>
        </is>
      </c>
      <c r="F728" s="18" t="inlineStr">
        <is>
          <t>46|46|46|46|46</t>
        </is>
      </c>
      <c r="G728" s="18" t="inlineStr">
        <is>
          <t>10001|86400$123001|52992$123002|882</t>
        </is>
      </c>
    </row>
    <row r="729">
      <c r="B729" s="18" t="n">
        <v>10726</v>
      </c>
      <c r="C729" s="24" t="inlineStr">
        <is>
          <t>110005</t>
        </is>
      </c>
      <c r="D729" s="24" t="inlineStr">
        <is>
          <t>噬神守卫</t>
        </is>
      </c>
      <c r="E729" s="18" t="inlineStr">
        <is>
          <t>25</t>
        </is>
      </c>
      <c r="F729" s="18" t="inlineStr">
        <is>
          <t>48|48|48|48|48</t>
        </is>
      </c>
      <c r="G729" s="18" t="inlineStr">
        <is>
          <t>10001|93750$123001|57500$123002|938</t>
        </is>
      </c>
    </row>
    <row r="730">
      <c r="B730" s="18" t="n">
        <v>10727</v>
      </c>
      <c r="C730" s="24" t="inlineStr">
        <is>
          <t>110005</t>
        </is>
      </c>
      <c r="D730" s="24" t="inlineStr">
        <is>
          <t>噬神守卫</t>
        </is>
      </c>
      <c r="E730" s="18" t="inlineStr">
        <is>
          <t>26</t>
        </is>
      </c>
      <c r="F730" s="18" t="inlineStr">
        <is>
          <t>50|50|50|50|50</t>
        </is>
      </c>
      <c r="G730" s="18" t="inlineStr">
        <is>
          <t>10001|101400$123001|62192$123002|994</t>
        </is>
      </c>
    </row>
    <row r="731">
      <c r="B731" s="18" t="n">
        <v>10728</v>
      </c>
      <c r="C731" s="24" t="inlineStr">
        <is>
          <t>110005</t>
        </is>
      </c>
      <c r="D731" s="24" t="inlineStr">
        <is>
          <t>噬神守卫</t>
        </is>
      </c>
      <c r="E731" s="18" t="inlineStr">
        <is>
          <t>27</t>
        </is>
      </c>
      <c r="F731" s="18" t="inlineStr">
        <is>
          <t>52|52|52|52|52</t>
        </is>
      </c>
      <c r="G731" s="18" t="inlineStr">
        <is>
          <t>10001|109350$123001|67068$123002|1052</t>
        </is>
      </c>
    </row>
    <row r="732">
      <c r="B732" s="18" t="n">
        <v>10729</v>
      </c>
      <c r="C732" s="24" t="inlineStr">
        <is>
          <t>110005</t>
        </is>
      </c>
      <c r="D732" s="24" t="inlineStr">
        <is>
          <t>噬神守卫</t>
        </is>
      </c>
      <c r="E732" s="18" t="inlineStr">
        <is>
          <t>28</t>
        </is>
      </c>
      <c r="F732" s="18" t="inlineStr">
        <is>
          <t>54|54|54|54|54</t>
        </is>
      </c>
      <c r="G732" s="18" t="inlineStr">
        <is>
          <t>10001|117600$123001|72128$123002|1111</t>
        </is>
      </c>
    </row>
    <row r="733">
      <c r="B733" s="18" t="n">
        <v>10730</v>
      </c>
      <c r="C733" s="24" t="inlineStr">
        <is>
          <t>110005</t>
        </is>
      </c>
      <c r="D733" s="24" t="inlineStr">
        <is>
          <t>噬神守卫</t>
        </is>
      </c>
      <c r="E733" s="18" t="inlineStr">
        <is>
          <t>29</t>
        </is>
      </c>
      <c r="F733" s="18" t="inlineStr">
        <is>
          <t>56|56|56|56|56</t>
        </is>
      </c>
      <c r="G733" s="18" t="inlineStr">
        <is>
          <t>10001|126150$123001|77372$123002|1171</t>
        </is>
      </c>
    </row>
    <row r="734">
      <c r="B734" s="18" t="n">
        <v>10731</v>
      </c>
      <c r="C734" s="24" t="inlineStr">
        <is>
          <t>110005</t>
        </is>
      </c>
      <c r="D734" s="24" t="inlineStr">
        <is>
          <t>噬神守卫</t>
        </is>
      </c>
      <c r="E734" s="18" t="inlineStr">
        <is>
          <t>30</t>
        </is>
      </c>
      <c r="F734" s="18" t="inlineStr">
        <is>
          <t>58|58|58|58|58</t>
        </is>
      </c>
      <c r="G734" s="18" t="inlineStr">
        <is>
          <t>10001|135000$124001|82800$124002|1232</t>
        </is>
      </c>
    </row>
    <row r="735">
      <c r="B735" s="18" t="n">
        <v>10732</v>
      </c>
      <c r="C735" s="24" t="inlineStr">
        <is>
          <t>110005</t>
        </is>
      </c>
      <c r="D735" s="24" t="inlineStr">
        <is>
          <t>噬神守卫</t>
        </is>
      </c>
      <c r="E735" s="18" t="inlineStr">
        <is>
          <t>31</t>
        </is>
      </c>
      <c r="F735" s="18" t="inlineStr">
        <is>
          <t>60|60|60|60|60</t>
        </is>
      </c>
      <c r="G735" s="18" t="inlineStr">
        <is>
          <t>10001|144150$124001|88412$124002|1295</t>
        </is>
      </c>
    </row>
    <row r="736">
      <c r="B736" s="18" t="n">
        <v>10733</v>
      </c>
      <c r="C736" s="24" t="inlineStr">
        <is>
          <t>110005</t>
        </is>
      </c>
      <c r="D736" s="24" t="inlineStr">
        <is>
          <t>噬神守卫</t>
        </is>
      </c>
      <c r="E736" s="18" t="inlineStr">
        <is>
          <t>32</t>
        </is>
      </c>
      <c r="F736" s="18" t="inlineStr">
        <is>
          <t>62|62|62|62|62</t>
        </is>
      </c>
      <c r="G736" s="18" t="inlineStr">
        <is>
          <t>10001|153600$124001|94208$124002|1358</t>
        </is>
      </c>
    </row>
    <row r="737">
      <c r="B737" s="18" t="n">
        <v>10734</v>
      </c>
      <c r="C737" s="24" t="inlineStr">
        <is>
          <t>110005</t>
        </is>
      </c>
      <c r="D737" s="24" t="inlineStr">
        <is>
          <t>噬神守卫</t>
        </is>
      </c>
      <c r="E737" s="18" t="inlineStr">
        <is>
          <t>33</t>
        </is>
      </c>
      <c r="F737" s="18" t="inlineStr">
        <is>
          <t>64|64|64|64|64</t>
        </is>
      </c>
      <c r="G737" s="18" t="inlineStr">
        <is>
          <t>10001|163350$124001|100188$124002|1422</t>
        </is>
      </c>
    </row>
    <row r="738">
      <c r="B738" s="18" t="n">
        <v>10735</v>
      </c>
      <c r="C738" s="24" t="inlineStr">
        <is>
          <t>110005</t>
        </is>
      </c>
      <c r="D738" s="24" t="inlineStr">
        <is>
          <t>噬神守卫</t>
        </is>
      </c>
      <c r="E738" s="18" t="inlineStr">
        <is>
          <t>34</t>
        </is>
      </c>
      <c r="F738" s="18" t="inlineStr">
        <is>
          <t>66|66|66|66|66</t>
        </is>
      </c>
      <c r="G738" s="18" t="inlineStr">
        <is>
          <t>10001|173400$124001|106352$124002|1487</t>
        </is>
      </c>
    </row>
    <row r="739">
      <c r="B739" s="18" t="n">
        <v>10736</v>
      </c>
      <c r="C739" s="24" t="inlineStr">
        <is>
          <t>110005</t>
        </is>
      </c>
      <c r="D739" s="24" t="inlineStr">
        <is>
          <t>噬神守卫</t>
        </is>
      </c>
      <c r="E739" s="18" t="inlineStr">
        <is>
          <t>35</t>
        </is>
      </c>
      <c r="F739" s="18" t="inlineStr">
        <is>
          <t>68|68|68|68|68</t>
        </is>
      </c>
      <c r="G739" s="18" t="inlineStr">
        <is>
          <t>10001|183750$124001|112700$124002|1553</t>
        </is>
      </c>
    </row>
    <row r="740">
      <c r="B740" s="18" t="n">
        <v>10737</v>
      </c>
      <c r="C740" s="24" t="inlineStr">
        <is>
          <t>110005</t>
        </is>
      </c>
      <c r="D740" s="24" t="inlineStr">
        <is>
          <t>噬神守卫</t>
        </is>
      </c>
      <c r="E740" s="18" t="inlineStr">
        <is>
          <t>36</t>
        </is>
      </c>
      <c r="F740" s="18" t="inlineStr">
        <is>
          <t>70|70|70|70|70</t>
        </is>
      </c>
      <c r="G740" s="18" t="inlineStr">
        <is>
          <t>10001|194400$124001|119232$124002|1620</t>
        </is>
      </c>
    </row>
    <row r="741">
      <c r="B741" s="18" t="n">
        <v>10738</v>
      </c>
      <c r="C741" s="24" t="inlineStr">
        <is>
          <t>110005</t>
        </is>
      </c>
      <c r="D741" s="24" t="inlineStr">
        <is>
          <t>噬神守卫</t>
        </is>
      </c>
      <c r="E741" s="18" t="inlineStr">
        <is>
          <t>37</t>
        </is>
      </c>
      <c r="F741" s="18" t="inlineStr">
        <is>
          <t>72|72|72|72|72</t>
        </is>
      </c>
      <c r="G741" s="18" t="inlineStr">
        <is>
          <t>10001|205350$124001|125948$124002|1688</t>
        </is>
      </c>
    </row>
    <row r="742">
      <c r="B742" s="18" t="n">
        <v>10739</v>
      </c>
      <c r="C742" s="24" t="inlineStr">
        <is>
          <t>110005</t>
        </is>
      </c>
      <c r="D742" s="24" t="inlineStr">
        <is>
          <t>噬神守卫</t>
        </is>
      </c>
      <c r="E742" s="18" t="inlineStr">
        <is>
          <t>38</t>
        </is>
      </c>
      <c r="F742" s="18" t="inlineStr">
        <is>
          <t>74|74|74|74|74</t>
        </is>
      </c>
      <c r="G742" s="18" t="inlineStr">
        <is>
          <t>10001|216600$124001|132848$124002|1757</t>
        </is>
      </c>
    </row>
    <row r="743">
      <c r="B743" s="18" t="n">
        <v>10740</v>
      </c>
      <c r="C743" s="24" t="inlineStr">
        <is>
          <t>110005</t>
        </is>
      </c>
      <c r="D743" s="24" t="inlineStr">
        <is>
          <t>噬神守卫</t>
        </is>
      </c>
      <c r="E743" s="18" t="inlineStr">
        <is>
          <t>39</t>
        </is>
      </c>
      <c r="F743" s="18" t="inlineStr">
        <is>
          <t>76|76|76|76|76</t>
        </is>
      </c>
      <c r="G743" s="18" t="inlineStr">
        <is>
          <t>10001|228150$125001|139932$125002|1827</t>
        </is>
      </c>
    </row>
    <row r="744">
      <c r="B744" s="18" t="n">
        <v>10741</v>
      </c>
      <c r="C744" s="24" t="inlineStr">
        <is>
          <t>110005</t>
        </is>
      </c>
      <c r="D744" s="24" t="inlineStr">
        <is>
          <t>噬神守卫</t>
        </is>
      </c>
      <c r="E744" s="18" t="inlineStr">
        <is>
          <t>40</t>
        </is>
      </c>
      <c r="F744" s="18" t="inlineStr">
        <is>
          <t>78|78|78|78|78</t>
        </is>
      </c>
      <c r="G744" s="18" t="inlineStr">
        <is>
          <t>10001|240000$125001|147200$125002|1897</t>
        </is>
      </c>
    </row>
    <row r="745">
      <c r="B745" s="18" t="n">
        <v>10742</v>
      </c>
      <c r="C745" s="24" t="inlineStr">
        <is>
          <t>110005</t>
        </is>
      </c>
      <c r="D745" s="24" t="inlineStr">
        <is>
          <t>噬神守卫</t>
        </is>
      </c>
      <c r="E745" s="18" t="inlineStr">
        <is>
          <t>41</t>
        </is>
      </c>
      <c r="F745" s="18" t="inlineStr">
        <is>
          <t>80|80|80|80|80</t>
        </is>
      </c>
      <c r="G745" s="18" t="inlineStr">
        <is>
          <t>10001|252150$125001|154652$125002|1969</t>
        </is>
      </c>
    </row>
    <row r="746">
      <c r="B746" s="18" t="n">
        <v>10743</v>
      </c>
      <c r="C746" s="24" t="inlineStr">
        <is>
          <t>110005</t>
        </is>
      </c>
      <c r="D746" s="24" t="inlineStr">
        <is>
          <t>噬神守卫</t>
        </is>
      </c>
      <c r="E746" s="18" t="inlineStr">
        <is>
          <t>42</t>
        </is>
      </c>
      <c r="F746" s="18" t="inlineStr">
        <is>
          <t>82|82|82|82|82</t>
        </is>
      </c>
      <c r="G746" s="18" t="inlineStr">
        <is>
          <t>10001|264600$125001|162288$125002|2041</t>
        </is>
      </c>
    </row>
    <row r="747">
      <c r="B747" s="18" t="n">
        <v>10744</v>
      </c>
      <c r="C747" s="24" t="inlineStr">
        <is>
          <t>110005</t>
        </is>
      </c>
      <c r="D747" s="24" t="inlineStr">
        <is>
          <t>噬神守卫</t>
        </is>
      </c>
      <c r="E747" s="18" t="inlineStr">
        <is>
          <t>43</t>
        </is>
      </c>
      <c r="F747" s="18" t="inlineStr">
        <is>
          <t>84|84|84|84|84</t>
        </is>
      </c>
      <c r="G747" s="18" t="inlineStr">
        <is>
          <t>10001|277350$125001|170108$125002|2115</t>
        </is>
      </c>
    </row>
    <row r="748">
      <c r="B748" s="18" t="n">
        <v>10745</v>
      </c>
      <c r="C748" s="24" t="inlineStr">
        <is>
          <t>110005</t>
        </is>
      </c>
      <c r="D748" s="24" t="inlineStr">
        <is>
          <t>噬神守卫</t>
        </is>
      </c>
      <c r="E748" s="18" t="inlineStr">
        <is>
          <t>44</t>
        </is>
      </c>
      <c r="F748" s="18" t="inlineStr">
        <is>
          <t>86|86|86|86|86</t>
        </is>
      </c>
      <c r="G748" s="18" t="inlineStr">
        <is>
          <t>10001|290400$125001|178112$125002|2189</t>
        </is>
      </c>
    </row>
    <row r="749">
      <c r="B749" s="18" t="n">
        <v>10746</v>
      </c>
      <c r="C749" s="24" t="inlineStr">
        <is>
          <t>110005</t>
        </is>
      </c>
      <c r="D749" s="24" t="inlineStr">
        <is>
          <t>噬神守卫</t>
        </is>
      </c>
      <c r="E749" s="18" t="inlineStr">
        <is>
          <t>45</t>
        </is>
      </c>
      <c r="F749" s="18" t="inlineStr">
        <is>
          <t>88|88|88|88|88</t>
        </is>
      </c>
      <c r="G749" s="18" t="inlineStr">
        <is>
          <t>10001|303750$125001|186300$125002|2264</t>
        </is>
      </c>
    </row>
    <row r="750">
      <c r="B750" s="18" t="n">
        <v>10747</v>
      </c>
      <c r="C750" s="24" t="inlineStr">
        <is>
          <t>110005</t>
        </is>
      </c>
      <c r="D750" s="24" t="inlineStr">
        <is>
          <t>噬神守卫</t>
        </is>
      </c>
      <c r="E750" s="18" t="inlineStr">
        <is>
          <t>46</t>
        </is>
      </c>
      <c r="F750" s="18" t="inlineStr">
        <is>
          <t>90|90|90|90|90</t>
        </is>
      </c>
      <c r="G750" s="18" t="inlineStr">
        <is>
          <t>10001|317400$125001|194672$125002|2340</t>
        </is>
      </c>
    </row>
    <row r="751">
      <c r="B751" s="18" t="n">
        <v>10748</v>
      </c>
      <c r="C751" s="24" t="inlineStr">
        <is>
          <t>110005</t>
        </is>
      </c>
      <c r="D751" s="24" t="inlineStr">
        <is>
          <t>噬神守卫</t>
        </is>
      </c>
      <c r="E751" s="18" t="inlineStr">
        <is>
          <t>47</t>
        </is>
      </c>
      <c r="F751" s="18" t="inlineStr">
        <is>
          <t>92|92|92|92|92</t>
        </is>
      </c>
      <c r="G751" s="18" t="inlineStr">
        <is>
          <t>10001|331350$125001|203228$125002|2417</t>
        </is>
      </c>
    </row>
    <row r="752">
      <c r="B752" s="18" t="n">
        <v>10749</v>
      </c>
      <c r="C752" s="24" t="inlineStr">
        <is>
          <t>110005</t>
        </is>
      </c>
      <c r="D752" s="24" t="inlineStr">
        <is>
          <t>噬神守卫</t>
        </is>
      </c>
      <c r="E752" s="18" t="inlineStr">
        <is>
          <t>48</t>
        </is>
      </c>
      <c r="F752" s="18" t="inlineStr">
        <is>
          <t>94|94|94|94|94</t>
        </is>
      </c>
      <c r="G752" s="18" t="inlineStr">
        <is>
          <t>10001|345600$125001|211968$125002|2494</t>
        </is>
      </c>
    </row>
    <row r="753">
      <c r="B753" s="18" t="n">
        <v>10750</v>
      </c>
      <c r="C753" s="24" t="inlineStr">
        <is>
          <t>110005</t>
        </is>
      </c>
      <c r="D753" s="24" t="inlineStr">
        <is>
          <t>噬神守卫</t>
        </is>
      </c>
      <c r="E753" s="18" t="inlineStr">
        <is>
          <t>49</t>
        </is>
      </c>
      <c r="F753" s="18" t="inlineStr">
        <is>
          <t>96|96|96|96|96</t>
        </is>
      </c>
      <c r="G753" s="18" t="inlineStr">
        <is>
          <t>10001|360150$125001|220892$125002|2573</t>
        </is>
      </c>
    </row>
    <row r="754">
      <c r="B754" s="18" t="n">
        <v>10751</v>
      </c>
      <c r="C754" s="24" t="inlineStr">
        <is>
          <t>110005</t>
        </is>
      </c>
      <c r="D754" s="24" t="inlineStr">
        <is>
          <t>噬神守卫</t>
        </is>
      </c>
      <c r="E754" s="18" t="inlineStr">
        <is>
          <t>50</t>
        </is>
      </c>
      <c r="F754" s="18" t="inlineStr">
        <is>
          <t>98|98|98|98|98</t>
        </is>
      </c>
      <c r="G754" s="18" t="inlineStr">
        <is>
          <t>10001|375000$125001|230000$125002|2652</t>
        </is>
      </c>
    </row>
    <row r="755">
      <c r="B755" s="20" t="n">
        <v>10752</v>
      </c>
      <c r="C755" s="23" t="inlineStr">
        <is>
          <t>880001</t>
        </is>
      </c>
      <c r="D755" s="8" t="inlineStr">
        <is>
          <t>神识定身</t>
        </is>
      </c>
      <c r="E755" s="20" t="inlineStr">
        <is>
          <t>1</t>
        </is>
      </c>
      <c r="F755" s="20" t="n">
        <v>0</v>
      </c>
      <c r="G755" s="20" t="inlineStr">
        <is>
          <t>10001|150$121001|92$121005|8</t>
        </is>
      </c>
      <c r="J755" s="29" t="inlineStr">
        <is>
          <t>造成一段伤害[0]%伤害</t>
        </is>
      </c>
      <c r="K755" s="18" t="n">
        <v>100</v>
      </c>
    </row>
    <row r="756">
      <c r="B756" s="20" t="n">
        <v>10753</v>
      </c>
      <c r="C756" s="23" t="inlineStr">
        <is>
          <t>880001</t>
        </is>
      </c>
      <c r="D756" s="8" t="inlineStr">
        <is>
          <t>神识定身</t>
        </is>
      </c>
      <c r="E756" s="20" t="inlineStr">
        <is>
          <t>2</t>
        </is>
      </c>
      <c r="F756" s="20" t="n">
        <v>10.00000000000001</v>
      </c>
      <c r="G756" s="20" t="inlineStr">
        <is>
          <t>10001|600$121001|368$121005|21</t>
        </is>
      </c>
      <c r="J756" s="29" t="inlineStr">
        <is>
          <t>造成一段伤害[0]%伤害</t>
        </is>
      </c>
      <c r="K756" s="18" t="n">
        <v>110</v>
      </c>
    </row>
    <row r="757">
      <c r="B757" s="20" t="n">
        <v>10754</v>
      </c>
      <c r="C757" s="23" t="inlineStr">
        <is>
          <t>880001</t>
        </is>
      </c>
      <c r="D757" s="8" t="inlineStr">
        <is>
          <t>神识定身</t>
        </is>
      </c>
      <c r="E757" s="20" t="inlineStr">
        <is>
          <t>3</t>
        </is>
      </c>
      <c r="F757" s="20" t="n">
        <v>20</v>
      </c>
      <c r="G757" s="20" t="inlineStr">
        <is>
          <t>10001|1350$121001|828$121005|39</t>
        </is>
      </c>
      <c r="J757" s="29" t="inlineStr">
        <is>
          <t>造成一段伤害[0]%伤害</t>
        </is>
      </c>
      <c r="K757" s="18" t="n">
        <v>120</v>
      </c>
    </row>
    <row r="758">
      <c r="B758" s="20" t="n">
        <v>10755</v>
      </c>
      <c r="C758" s="23" t="inlineStr">
        <is>
          <t>880001</t>
        </is>
      </c>
      <c r="D758" s="8" t="inlineStr">
        <is>
          <t>神识定身</t>
        </is>
      </c>
      <c r="E758" s="20" t="inlineStr">
        <is>
          <t>4</t>
        </is>
      </c>
      <c r="F758" s="20" t="n">
        <v>30</v>
      </c>
      <c r="G758" s="20" t="inlineStr">
        <is>
          <t>10001|2400$121001|1472$121005|60</t>
        </is>
      </c>
      <c r="J758" s="29" t="inlineStr">
        <is>
          <t>造成一段伤害[0]%伤害</t>
        </is>
      </c>
      <c r="K758" s="18" t="n">
        <v>130</v>
      </c>
    </row>
    <row r="759">
      <c r="B759" s="20" t="n">
        <v>10756</v>
      </c>
      <c r="C759" s="23" t="inlineStr">
        <is>
          <t>880001</t>
        </is>
      </c>
      <c r="D759" s="8" t="inlineStr">
        <is>
          <t>神识定身</t>
        </is>
      </c>
      <c r="E759" s="20" t="inlineStr">
        <is>
          <t>5</t>
        </is>
      </c>
      <c r="F759" s="20" t="n">
        <v>39.99999999999999</v>
      </c>
      <c r="G759" s="20" t="inlineStr">
        <is>
          <t>10001|3750$121001|2300$121005|84</t>
        </is>
      </c>
      <c r="J759" s="29" t="inlineStr">
        <is>
          <t>造成一段伤害[0]%伤害</t>
        </is>
      </c>
      <c r="K759" s="18" t="n">
        <v>140</v>
      </c>
    </row>
    <row r="760">
      <c r="B760" s="20" t="n">
        <v>10757</v>
      </c>
      <c r="C760" s="23" t="inlineStr">
        <is>
          <t>880001</t>
        </is>
      </c>
      <c r="D760" s="8" t="inlineStr">
        <is>
          <t>神识定身</t>
        </is>
      </c>
      <c r="E760" s="20" t="inlineStr">
        <is>
          <t>6</t>
        </is>
      </c>
      <c r="F760" s="20" t="n">
        <v>50</v>
      </c>
      <c r="G760" s="20" t="inlineStr">
        <is>
          <t>10001|5400$121001|3312$121005|110</t>
        </is>
      </c>
      <c r="J760" s="29" t="inlineStr">
        <is>
          <t>造成一段伤害[0]%伤害</t>
        </is>
      </c>
      <c r="K760" s="18" t="n">
        <v>150</v>
      </c>
    </row>
    <row r="761">
      <c r="B761" s="20" t="n">
        <v>10758</v>
      </c>
      <c r="C761" s="23" t="inlineStr">
        <is>
          <t>880001</t>
        </is>
      </c>
      <c r="D761" s="8" t="inlineStr">
        <is>
          <t>神识定身</t>
        </is>
      </c>
      <c r="E761" s="20" t="inlineStr">
        <is>
          <t>7</t>
        </is>
      </c>
      <c r="F761" s="20" t="n">
        <v>60.00000000000001</v>
      </c>
      <c r="G761" s="20" t="inlineStr">
        <is>
          <t>10001|7350$121001|4508$121005|139</t>
        </is>
      </c>
      <c r="J761" s="29" t="inlineStr">
        <is>
          <t>造成一段伤害[0]%伤害</t>
        </is>
      </c>
      <c r="K761" s="18" t="n">
        <v>160</v>
      </c>
    </row>
    <row r="762">
      <c r="B762" s="20" t="n">
        <v>10759</v>
      </c>
      <c r="C762" s="23" t="inlineStr">
        <is>
          <t>880001</t>
        </is>
      </c>
      <c r="D762" s="8" t="inlineStr">
        <is>
          <t>神识定身</t>
        </is>
      </c>
      <c r="E762" s="20" t="inlineStr">
        <is>
          <t>8</t>
        </is>
      </c>
      <c r="F762" s="20" t="n">
        <v>70</v>
      </c>
      <c r="G762" s="20" t="inlineStr">
        <is>
          <t>10001|9600$121001|5888$121005|170</t>
        </is>
      </c>
      <c r="J762" s="29" t="inlineStr">
        <is>
          <t>造成一段伤害[0]%伤害</t>
        </is>
      </c>
      <c r="K762" s="18" t="n">
        <v>170</v>
      </c>
    </row>
    <row r="763">
      <c r="B763" s="20" t="n">
        <v>10760</v>
      </c>
      <c r="C763" s="23" t="inlineStr">
        <is>
          <t>880001</t>
        </is>
      </c>
      <c r="D763" s="8" t="inlineStr">
        <is>
          <t>神识定身</t>
        </is>
      </c>
      <c r="E763" s="20" t="inlineStr">
        <is>
          <t>9</t>
        </is>
      </c>
      <c r="F763" s="20" t="n">
        <v>80</v>
      </c>
      <c r="G763" s="20" t="inlineStr">
        <is>
          <t>10001|12150$121001|7452$121005|203</t>
        </is>
      </c>
      <c r="J763" s="29" t="inlineStr">
        <is>
          <t>造成一段伤害[0]%伤害</t>
        </is>
      </c>
      <c r="K763" s="18" t="n">
        <v>180</v>
      </c>
    </row>
    <row r="764">
      <c r="B764" s="20" t="n">
        <v>10761</v>
      </c>
      <c r="C764" s="23" t="inlineStr">
        <is>
          <t>880001</t>
        </is>
      </c>
      <c r="D764" s="8" t="inlineStr">
        <is>
          <t>神识定身</t>
        </is>
      </c>
      <c r="E764" s="20" t="inlineStr">
        <is>
          <t>10</t>
        </is>
      </c>
      <c r="F764" s="20" t="n">
        <v>89.99999999999999</v>
      </c>
      <c r="G764" s="20" t="inlineStr">
        <is>
          <t>10001|15000$122001|9200$122005|237</t>
        </is>
      </c>
      <c r="J764" s="29" t="inlineStr">
        <is>
          <t>造成一段伤害[0]%伤害</t>
        </is>
      </c>
      <c r="K764" s="18" t="n">
        <v>190</v>
      </c>
    </row>
    <row r="765">
      <c r="B765" s="20" t="n">
        <v>10762</v>
      </c>
      <c r="C765" s="23" t="inlineStr">
        <is>
          <t>880001</t>
        </is>
      </c>
      <c r="D765" s="8" t="inlineStr">
        <is>
          <t>神识定身</t>
        </is>
      </c>
      <c r="E765" s="20" t="inlineStr">
        <is>
          <t>11</t>
        </is>
      </c>
      <c r="F765" s="20" t="n">
        <v>100</v>
      </c>
      <c r="G765" s="20" t="inlineStr">
        <is>
          <t>10001|18150$122001|11132$122005|274</t>
        </is>
      </c>
      <c r="J765" s="29" t="inlineStr">
        <is>
          <t>造成一段伤害[0]%伤害</t>
        </is>
      </c>
      <c r="K765" s="18" t="n">
        <v>200</v>
      </c>
    </row>
    <row r="766">
      <c r="B766" s="20" t="n">
        <v>10763</v>
      </c>
      <c r="C766" s="23" t="inlineStr">
        <is>
          <t>880001</t>
        </is>
      </c>
      <c r="D766" s="8" t="inlineStr">
        <is>
          <t>神识定身</t>
        </is>
      </c>
      <c r="E766" s="20" t="inlineStr">
        <is>
          <t>12</t>
        </is>
      </c>
      <c r="F766" s="20" t="n">
        <v>110</v>
      </c>
      <c r="G766" s="20" t="inlineStr">
        <is>
          <t>10001|21600$122001|13248$122005|312</t>
        </is>
      </c>
      <c r="J766" s="29" t="inlineStr">
        <is>
          <t>造成一段伤害[0]%伤害</t>
        </is>
      </c>
      <c r="K766" s="18" t="n">
        <v>210</v>
      </c>
    </row>
    <row r="767">
      <c r="B767" s="20" t="n">
        <v>10764</v>
      </c>
      <c r="C767" s="23" t="inlineStr">
        <is>
          <t>880001</t>
        </is>
      </c>
      <c r="D767" s="8" t="inlineStr">
        <is>
          <t>神识定身</t>
        </is>
      </c>
      <c r="E767" s="20" t="inlineStr">
        <is>
          <t>13</t>
        </is>
      </c>
      <c r="F767" s="20" t="n">
        <v>120</v>
      </c>
      <c r="G767" s="20" t="inlineStr">
        <is>
          <t>10001|25350$122001|15548$122005|352</t>
        </is>
      </c>
      <c r="J767" s="29" t="inlineStr">
        <is>
          <t>造成一段伤害[0]%伤害</t>
        </is>
      </c>
      <c r="K767" s="18" t="n">
        <v>220</v>
      </c>
    </row>
    <row r="768">
      <c r="B768" s="20" t="n">
        <v>10765</v>
      </c>
      <c r="C768" s="23" t="inlineStr">
        <is>
          <t>880001</t>
        </is>
      </c>
      <c r="D768" s="8" t="inlineStr">
        <is>
          <t>神识定身</t>
        </is>
      </c>
      <c r="E768" s="20" t="inlineStr">
        <is>
          <t>14</t>
        </is>
      </c>
      <c r="F768" s="20" t="n">
        <v>130</v>
      </c>
      <c r="G768" s="20" t="inlineStr">
        <is>
          <t>10001|29400$122001|18032$122005|393</t>
        </is>
      </c>
      <c r="J768" s="29" t="inlineStr">
        <is>
          <t>造成一段伤害[0]%伤害</t>
        </is>
      </c>
      <c r="K768" s="18" t="n">
        <v>230</v>
      </c>
    </row>
    <row r="769">
      <c r="B769" s="20" t="n">
        <v>10766</v>
      </c>
      <c r="C769" s="23" t="inlineStr">
        <is>
          <t>880001</t>
        </is>
      </c>
      <c r="D769" s="8" t="inlineStr">
        <is>
          <t>神识定身</t>
        </is>
      </c>
      <c r="E769" s="20" t="inlineStr">
        <is>
          <t>15</t>
        </is>
      </c>
      <c r="F769" s="20" t="n">
        <v>140</v>
      </c>
      <c r="G769" s="20" t="inlineStr">
        <is>
          <t>10001|33750$122001|20700$122005|436</t>
        </is>
      </c>
      <c r="J769" s="29" t="inlineStr">
        <is>
          <t>造成一段伤害[0]%伤害</t>
        </is>
      </c>
      <c r="K769" s="18" t="n">
        <v>240</v>
      </c>
    </row>
    <row r="770">
      <c r="B770" s="20" t="n">
        <v>10767</v>
      </c>
      <c r="C770" s="23" t="inlineStr">
        <is>
          <t>880001</t>
        </is>
      </c>
      <c r="D770" s="8" t="inlineStr">
        <is>
          <t>神识定身</t>
        </is>
      </c>
      <c r="E770" s="20" t="inlineStr">
        <is>
          <t>16</t>
        </is>
      </c>
      <c r="F770" s="20" t="n">
        <v>150</v>
      </c>
      <c r="G770" s="20" t="inlineStr">
        <is>
          <t>10001|38400$122001|23552$122005|480</t>
        </is>
      </c>
      <c r="J770" s="29" t="inlineStr">
        <is>
          <t>造成一段伤害[0]%伤害</t>
        </is>
      </c>
      <c r="K770" s="18" t="n">
        <v>250</v>
      </c>
    </row>
    <row r="771">
      <c r="B771" s="20" t="n">
        <v>10768</v>
      </c>
      <c r="C771" s="23" t="inlineStr">
        <is>
          <t>880001</t>
        </is>
      </c>
      <c r="D771" s="8" t="inlineStr">
        <is>
          <t>神识定身</t>
        </is>
      </c>
      <c r="E771" s="20" t="inlineStr">
        <is>
          <t>17</t>
        </is>
      </c>
      <c r="F771" s="20" t="n">
        <v>160</v>
      </c>
      <c r="G771" s="20" t="inlineStr">
        <is>
          <t>10001|43350$122001|26588$122005|526</t>
        </is>
      </c>
      <c r="J771" s="29" t="inlineStr">
        <is>
          <t>造成一段伤害[0]%伤害</t>
        </is>
      </c>
      <c r="K771" s="18" t="n">
        <v>260</v>
      </c>
    </row>
    <row r="772">
      <c r="B772" s="20" t="n">
        <v>10769</v>
      </c>
      <c r="C772" s="23" t="inlineStr">
        <is>
          <t>880001</t>
        </is>
      </c>
      <c r="D772" s="8" t="inlineStr">
        <is>
          <t>神识定身</t>
        </is>
      </c>
      <c r="E772" s="20" t="inlineStr">
        <is>
          <t>18</t>
        </is>
      </c>
      <c r="F772" s="20" t="n">
        <v>170</v>
      </c>
      <c r="G772" s="20" t="inlineStr">
        <is>
          <t>10001|48600$122001|29808$122005|573</t>
        </is>
      </c>
      <c r="J772" s="29" t="inlineStr">
        <is>
          <t>造成一段伤害[0]%伤害</t>
        </is>
      </c>
      <c r="K772" s="18" t="n">
        <v>270</v>
      </c>
    </row>
    <row r="773">
      <c r="B773" s="20" t="n">
        <v>10770</v>
      </c>
      <c r="C773" s="23" t="inlineStr">
        <is>
          <t>880001</t>
        </is>
      </c>
      <c r="D773" s="8" t="inlineStr">
        <is>
          <t>神识定身</t>
        </is>
      </c>
      <c r="E773" s="20" t="inlineStr">
        <is>
          <t>19</t>
        </is>
      </c>
      <c r="F773" s="20" t="n">
        <v>180</v>
      </c>
      <c r="G773" s="20" t="inlineStr">
        <is>
          <t>10001|54150$122001|33212$122005|621</t>
        </is>
      </c>
      <c r="J773" s="29" t="inlineStr">
        <is>
          <t>造成一段伤害[0]%伤害</t>
        </is>
      </c>
      <c r="K773" s="18" t="n">
        <v>280</v>
      </c>
    </row>
    <row r="774">
      <c r="B774" s="20" t="n">
        <v>10771</v>
      </c>
      <c r="C774" s="23" t="inlineStr">
        <is>
          <t>880001</t>
        </is>
      </c>
      <c r="D774" s="8" t="inlineStr">
        <is>
          <t>神识定身</t>
        </is>
      </c>
      <c r="E774" s="20" t="inlineStr">
        <is>
          <t>20</t>
        </is>
      </c>
      <c r="F774" s="20" t="n">
        <v>190</v>
      </c>
      <c r="G774" s="20" t="inlineStr">
        <is>
          <t>10001|60000$123001|36800$123005|671</t>
        </is>
      </c>
      <c r="J774" s="29" t="inlineStr">
        <is>
          <t>造成一段伤害[0]%伤害</t>
        </is>
      </c>
      <c r="K774" s="18" t="n">
        <v>290</v>
      </c>
    </row>
    <row r="775">
      <c r="B775" s="20" t="n">
        <v>10772</v>
      </c>
      <c r="C775" s="23" t="inlineStr">
        <is>
          <t>880001</t>
        </is>
      </c>
      <c r="D775" s="8" t="inlineStr">
        <is>
          <t>神识定身</t>
        </is>
      </c>
      <c r="E775" s="20" t="inlineStr">
        <is>
          <t>21</t>
        </is>
      </c>
      <c r="F775" s="20" t="n">
        <v>200</v>
      </c>
      <c r="G775" s="20" t="inlineStr">
        <is>
          <t>10001|66150$123001|40572$123005|722</t>
        </is>
      </c>
      <c r="J775" s="29" t="inlineStr">
        <is>
          <t>造成一段伤害[0]%伤害</t>
        </is>
      </c>
      <c r="K775" s="18" t="n">
        <v>300</v>
      </c>
    </row>
    <row r="776">
      <c r="B776" s="20" t="n">
        <v>10773</v>
      </c>
      <c r="C776" s="23" t="inlineStr">
        <is>
          <t>880001</t>
        </is>
      </c>
      <c r="D776" s="8" t="inlineStr">
        <is>
          <t>神识定身</t>
        </is>
      </c>
      <c r="E776" s="20" t="inlineStr">
        <is>
          <t>22</t>
        </is>
      </c>
      <c r="F776" s="20" t="n">
        <v>210</v>
      </c>
      <c r="G776" s="20" t="inlineStr">
        <is>
          <t>10001|72600$123001|44528$123005|774</t>
        </is>
      </c>
      <c r="J776" s="29" t="inlineStr">
        <is>
          <t>造成一段伤害[0]%伤害</t>
        </is>
      </c>
      <c r="K776" s="18" t="n">
        <v>310</v>
      </c>
    </row>
    <row r="777">
      <c r="B777" s="20" t="n">
        <v>10774</v>
      </c>
      <c r="C777" s="23" t="inlineStr">
        <is>
          <t>880001</t>
        </is>
      </c>
      <c r="D777" s="8" t="inlineStr">
        <is>
          <t>神识定身</t>
        </is>
      </c>
      <c r="E777" s="20" t="inlineStr">
        <is>
          <t>23</t>
        </is>
      </c>
      <c r="F777" s="20" t="n">
        <v>220</v>
      </c>
      <c r="G777" s="20" t="inlineStr">
        <is>
          <t>10001|79350$123001|48668$123005|827</t>
        </is>
      </c>
      <c r="J777" s="29" t="inlineStr">
        <is>
          <t>造成一段伤害[0]%伤害</t>
        </is>
      </c>
      <c r="K777" s="18" t="n">
        <v>320</v>
      </c>
    </row>
    <row r="778">
      <c r="B778" s="20" t="n">
        <v>10775</v>
      </c>
      <c r="C778" s="23" t="inlineStr">
        <is>
          <t>880001</t>
        </is>
      </c>
      <c r="D778" s="8" t="inlineStr">
        <is>
          <t>神识定身</t>
        </is>
      </c>
      <c r="E778" s="20" t="inlineStr">
        <is>
          <t>24</t>
        </is>
      </c>
      <c r="F778" s="20" t="n">
        <v>230</v>
      </c>
      <c r="G778" s="20" t="inlineStr">
        <is>
          <t>10001|86400$123001|52992$123005|882</t>
        </is>
      </c>
      <c r="J778" s="29" t="inlineStr">
        <is>
          <t>造成一段伤害[0]%伤害</t>
        </is>
      </c>
      <c r="K778" s="18" t="n">
        <v>330</v>
      </c>
    </row>
    <row r="779">
      <c r="B779" s="20" t="n">
        <v>10776</v>
      </c>
      <c r="C779" s="23" t="inlineStr">
        <is>
          <t>880001</t>
        </is>
      </c>
      <c r="D779" s="8" t="inlineStr">
        <is>
          <t>神识定身</t>
        </is>
      </c>
      <c r="E779" s="20" t="inlineStr">
        <is>
          <t>25</t>
        </is>
      </c>
      <c r="F779" s="20" t="n">
        <v>240</v>
      </c>
      <c r="G779" s="20" t="inlineStr">
        <is>
          <t>10001|93750$123001|57500$123005|938</t>
        </is>
      </c>
      <c r="J779" s="29" t="inlineStr">
        <is>
          <t>造成一段伤害[0]%伤害</t>
        </is>
      </c>
      <c r="K779" s="18" t="n">
        <v>340</v>
      </c>
    </row>
    <row r="780">
      <c r="B780" s="20" t="n">
        <v>10777</v>
      </c>
      <c r="C780" s="23" t="inlineStr">
        <is>
          <t>880001</t>
        </is>
      </c>
      <c r="D780" s="8" t="inlineStr">
        <is>
          <t>神识定身</t>
        </is>
      </c>
      <c r="E780" s="20" t="inlineStr">
        <is>
          <t>26</t>
        </is>
      </c>
      <c r="F780" s="20" t="n">
        <v>250</v>
      </c>
      <c r="G780" s="20" t="inlineStr">
        <is>
          <t>10001|101400$123001|62192$123005|994</t>
        </is>
      </c>
      <c r="J780" s="29" t="inlineStr">
        <is>
          <t>造成一段伤害[0]%伤害</t>
        </is>
      </c>
      <c r="K780" s="18" t="n">
        <v>350</v>
      </c>
    </row>
    <row r="781">
      <c r="B781" s="20" t="n">
        <v>10778</v>
      </c>
      <c r="C781" s="23" t="inlineStr">
        <is>
          <t>880001</t>
        </is>
      </c>
      <c r="D781" s="8" t="inlineStr">
        <is>
          <t>神识定身</t>
        </is>
      </c>
      <c r="E781" s="20" t="inlineStr">
        <is>
          <t>27</t>
        </is>
      </c>
      <c r="F781" s="20" t="n">
        <v>260</v>
      </c>
      <c r="G781" s="20" t="inlineStr">
        <is>
          <t>10001|109350$123001|67068$123005|1052</t>
        </is>
      </c>
      <c r="J781" s="29" t="inlineStr">
        <is>
          <t>造成一段伤害[0]%伤害</t>
        </is>
      </c>
      <c r="K781" s="18" t="n">
        <v>360</v>
      </c>
    </row>
    <row r="782">
      <c r="B782" s="20" t="n">
        <v>10779</v>
      </c>
      <c r="C782" s="23" t="inlineStr">
        <is>
          <t>880001</t>
        </is>
      </c>
      <c r="D782" s="8" t="inlineStr">
        <is>
          <t>神识定身</t>
        </is>
      </c>
      <c r="E782" s="20" t="inlineStr">
        <is>
          <t>28</t>
        </is>
      </c>
      <c r="F782" s="20" t="n">
        <v>270</v>
      </c>
      <c r="G782" s="20" t="inlineStr">
        <is>
          <t>10001|117600$123001|72128$123005|1111</t>
        </is>
      </c>
      <c r="J782" s="29" t="inlineStr">
        <is>
          <t>造成一段伤害[0]%伤害</t>
        </is>
      </c>
      <c r="K782" s="18" t="n">
        <v>370</v>
      </c>
    </row>
    <row r="783">
      <c r="B783" s="20" t="n">
        <v>10780</v>
      </c>
      <c r="C783" s="23" t="inlineStr">
        <is>
          <t>880001</t>
        </is>
      </c>
      <c r="D783" s="8" t="inlineStr">
        <is>
          <t>神识定身</t>
        </is>
      </c>
      <c r="E783" s="20" t="inlineStr">
        <is>
          <t>29</t>
        </is>
      </c>
      <c r="F783" s="20" t="n">
        <v>280</v>
      </c>
      <c r="G783" s="20" t="inlineStr">
        <is>
          <t>10001|126150$123001|77372$123005|1171</t>
        </is>
      </c>
      <c r="J783" s="29" t="inlineStr">
        <is>
          <t>造成一段伤害[0]%伤害</t>
        </is>
      </c>
      <c r="K783" s="18" t="n">
        <v>380</v>
      </c>
    </row>
    <row r="784">
      <c r="B784" s="20" t="n">
        <v>10781</v>
      </c>
      <c r="C784" s="23" t="inlineStr">
        <is>
          <t>880001</t>
        </is>
      </c>
      <c r="D784" s="8" t="inlineStr">
        <is>
          <t>神识定身</t>
        </is>
      </c>
      <c r="E784" s="20" t="inlineStr">
        <is>
          <t>30</t>
        </is>
      </c>
      <c r="F784" s="20" t="n">
        <v>290</v>
      </c>
      <c r="G784" s="20" t="inlineStr">
        <is>
          <t>10001|135000$124001|82800$124005|1232</t>
        </is>
      </c>
      <c r="J784" s="29" t="inlineStr">
        <is>
          <t>造成一段伤害[0]%伤害</t>
        </is>
      </c>
      <c r="K784" s="18" t="n">
        <v>390</v>
      </c>
    </row>
    <row r="785">
      <c r="B785" s="20" t="n">
        <v>10782</v>
      </c>
      <c r="C785" s="23" t="inlineStr">
        <is>
          <t>880001</t>
        </is>
      </c>
      <c r="D785" s="8" t="inlineStr">
        <is>
          <t>神识定身</t>
        </is>
      </c>
      <c r="E785" s="20" t="inlineStr">
        <is>
          <t>31</t>
        </is>
      </c>
      <c r="F785" s="20" t="n">
        <v>300</v>
      </c>
      <c r="G785" s="20" t="inlineStr">
        <is>
          <t>10001|144150$124001|88412$124005|1295</t>
        </is>
      </c>
      <c r="J785" s="29" t="inlineStr">
        <is>
          <t>造成一段伤害[0]%伤害</t>
        </is>
      </c>
      <c r="K785" s="18" t="n">
        <v>400</v>
      </c>
    </row>
    <row r="786">
      <c r="B786" s="20" t="n">
        <v>10783</v>
      </c>
      <c r="C786" s="23" t="inlineStr">
        <is>
          <t>880001</t>
        </is>
      </c>
      <c r="D786" s="8" t="inlineStr">
        <is>
          <t>神识定身</t>
        </is>
      </c>
      <c r="E786" s="20" t="inlineStr">
        <is>
          <t>32</t>
        </is>
      </c>
      <c r="F786" s="20" t="n">
        <v>309.9999999999999</v>
      </c>
      <c r="G786" s="20" t="inlineStr">
        <is>
          <t>10001|153600$124001|94208$124005|1358</t>
        </is>
      </c>
      <c r="J786" s="29" t="inlineStr">
        <is>
          <t>造成一段伤害[0]%伤害</t>
        </is>
      </c>
      <c r="K786" s="18" t="n">
        <v>410</v>
      </c>
    </row>
    <row r="787">
      <c r="B787" s="20" t="n">
        <v>10784</v>
      </c>
      <c r="C787" s="23" t="inlineStr">
        <is>
          <t>880001</t>
        </is>
      </c>
      <c r="D787" s="8" t="inlineStr">
        <is>
          <t>神识定身</t>
        </is>
      </c>
      <c r="E787" s="20" t="inlineStr">
        <is>
          <t>33</t>
        </is>
      </c>
      <c r="F787" s="20" t="n">
        <v>320</v>
      </c>
      <c r="G787" s="20" t="inlineStr">
        <is>
          <t>10001|163350$124001|100188$124005|1422</t>
        </is>
      </c>
      <c r="J787" s="29" t="inlineStr">
        <is>
          <t>造成一段伤害[0]%伤害</t>
        </is>
      </c>
      <c r="K787" s="18" t="n">
        <v>420</v>
      </c>
    </row>
    <row r="788">
      <c r="B788" s="20" t="n">
        <v>10785</v>
      </c>
      <c r="C788" s="23" t="inlineStr">
        <is>
          <t>880001</t>
        </is>
      </c>
      <c r="D788" s="8" t="inlineStr">
        <is>
          <t>神识定身</t>
        </is>
      </c>
      <c r="E788" s="20" t="inlineStr">
        <is>
          <t>34</t>
        </is>
      </c>
      <c r="F788" s="20" t="n">
        <v>330</v>
      </c>
      <c r="G788" s="20" t="inlineStr">
        <is>
          <t>10001|173400$124001|106352$124005|1487</t>
        </is>
      </c>
      <c r="J788" s="29" t="inlineStr">
        <is>
          <t>造成一段伤害[0]%伤害</t>
        </is>
      </c>
      <c r="K788" s="18" t="n">
        <v>430</v>
      </c>
    </row>
    <row r="789">
      <c r="B789" s="20" t="n">
        <v>10786</v>
      </c>
      <c r="C789" s="23" t="inlineStr">
        <is>
          <t>880001</t>
        </is>
      </c>
      <c r="D789" s="8" t="inlineStr">
        <is>
          <t>神识定身</t>
        </is>
      </c>
      <c r="E789" s="20" t="inlineStr">
        <is>
          <t>35</t>
        </is>
      </c>
      <c r="F789" s="20" t="n">
        <v>340.0000000000001</v>
      </c>
      <c r="G789" s="20" t="inlineStr">
        <is>
          <t>10001|183750$124001|112700$124005|1553</t>
        </is>
      </c>
      <c r="J789" s="29" t="inlineStr">
        <is>
          <t>造成一段伤害[0]%伤害</t>
        </is>
      </c>
      <c r="K789" s="18" t="n">
        <v>440</v>
      </c>
    </row>
    <row r="790">
      <c r="B790" s="20" t="n">
        <v>10787</v>
      </c>
      <c r="C790" s="23" t="inlineStr">
        <is>
          <t>880001</t>
        </is>
      </c>
      <c r="D790" s="8" t="inlineStr">
        <is>
          <t>神识定身</t>
        </is>
      </c>
      <c r="E790" s="20" t="inlineStr">
        <is>
          <t>36</t>
        </is>
      </c>
      <c r="F790" s="20" t="n">
        <v>350</v>
      </c>
      <c r="G790" s="20" t="inlineStr">
        <is>
          <t>10001|194400$124001|119232$124005|1620</t>
        </is>
      </c>
      <c r="J790" s="29" t="inlineStr">
        <is>
          <t>造成一段伤害[0]%伤害</t>
        </is>
      </c>
      <c r="K790" s="18" t="n">
        <v>450</v>
      </c>
    </row>
    <row r="791">
      <c r="B791" s="20" t="n">
        <v>10788</v>
      </c>
      <c r="C791" s="23" t="inlineStr">
        <is>
          <t>880001</t>
        </is>
      </c>
      <c r="D791" s="8" t="inlineStr">
        <is>
          <t>神识定身</t>
        </is>
      </c>
      <c r="E791" s="20" t="inlineStr">
        <is>
          <t>37</t>
        </is>
      </c>
      <c r="F791" s="20" t="n">
        <v>359.9999999999999</v>
      </c>
      <c r="G791" s="20" t="inlineStr">
        <is>
          <t>10001|205350$124001|125948$124005|1688</t>
        </is>
      </c>
      <c r="J791" s="29" t="inlineStr">
        <is>
          <t>造成一段伤害[0]%伤害</t>
        </is>
      </c>
      <c r="K791" s="18" t="n">
        <v>460</v>
      </c>
    </row>
    <row r="792">
      <c r="B792" s="20" t="n">
        <v>10789</v>
      </c>
      <c r="C792" s="23" t="inlineStr">
        <is>
          <t>880001</t>
        </is>
      </c>
      <c r="D792" s="8" t="inlineStr">
        <is>
          <t>神识定身</t>
        </is>
      </c>
      <c r="E792" s="20" t="inlineStr">
        <is>
          <t>38</t>
        </is>
      </c>
      <c r="F792" s="20" t="n">
        <v>370</v>
      </c>
      <c r="G792" s="20" t="inlineStr">
        <is>
          <t>10001|216600$124001|132848$124005|1757</t>
        </is>
      </c>
      <c r="J792" s="29" t="inlineStr">
        <is>
          <t>造成一段伤害[0]%伤害</t>
        </is>
      </c>
      <c r="K792" s="18" t="n">
        <v>470</v>
      </c>
    </row>
    <row r="793">
      <c r="B793" s="20" t="n">
        <v>10790</v>
      </c>
      <c r="C793" s="23" t="inlineStr">
        <is>
          <t>880001</t>
        </is>
      </c>
      <c r="D793" s="8" t="inlineStr">
        <is>
          <t>神识定身</t>
        </is>
      </c>
      <c r="E793" s="20" t="inlineStr">
        <is>
          <t>39</t>
        </is>
      </c>
      <c r="F793" s="20" t="n">
        <v>380</v>
      </c>
      <c r="G793" s="20" t="inlineStr">
        <is>
          <t>10001|228150$124001|139932$124005|1827</t>
        </is>
      </c>
      <c r="J793" s="29" t="inlineStr">
        <is>
          <t>造成一段伤害[0]%伤害</t>
        </is>
      </c>
      <c r="K793" s="18" t="n">
        <v>480</v>
      </c>
    </row>
    <row r="794">
      <c r="B794" s="20" t="n">
        <v>10791</v>
      </c>
      <c r="C794" s="23" t="inlineStr">
        <is>
          <t>880001</t>
        </is>
      </c>
      <c r="D794" s="8" t="inlineStr">
        <is>
          <t>神识定身</t>
        </is>
      </c>
      <c r="E794" s="20" t="inlineStr">
        <is>
          <t>40</t>
        </is>
      </c>
      <c r="F794" s="20" t="n">
        <v>390.0000000000001</v>
      </c>
      <c r="G794" s="20" t="inlineStr">
        <is>
          <t>10001|240000$125001|147200$125005|1897</t>
        </is>
      </c>
      <c r="J794" s="29" t="inlineStr">
        <is>
          <t>造成一段伤害[0]%伤害</t>
        </is>
      </c>
      <c r="K794" s="18" t="n">
        <v>490</v>
      </c>
    </row>
    <row r="795">
      <c r="B795" s="20" t="n">
        <v>10792</v>
      </c>
      <c r="C795" s="23" t="inlineStr">
        <is>
          <t>880001</t>
        </is>
      </c>
      <c r="D795" s="8" t="inlineStr">
        <is>
          <t>神识定身</t>
        </is>
      </c>
      <c r="E795" s="20" t="inlineStr">
        <is>
          <t>41</t>
        </is>
      </c>
      <c r="F795" s="20" t="n">
        <v>400</v>
      </c>
      <c r="G795" s="20" t="inlineStr">
        <is>
          <t>10001|252150$125001|154652$125005|1969</t>
        </is>
      </c>
      <c r="J795" s="29" t="inlineStr">
        <is>
          <t>造成一段伤害[0]%伤害</t>
        </is>
      </c>
      <c r="K795" s="18" t="n">
        <v>500</v>
      </c>
    </row>
    <row r="796">
      <c r="B796" s="20" t="n">
        <v>10793</v>
      </c>
      <c r="C796" s="23" t="inlineStr">
        <is>
          <t>880001</t>
        </is>
      </c>
      <c r="D796" s="8" t="inlineStr">
        <is>
          <t>神识定身</t>
        </is>
      </c>
      <c r="E796" s="20" t="inlineStr">
        <is>
          <t>42</t>
        </is>
      </c>
      <c r="F796" s="20" t="n">
        <v>409.9999999999999</v>
      </c>
      <c r="G796" s="20" t="inlineStr">
        <is>
          <t>10001|264600$125001|162288$125005|2041</t>
        </is>
      </c>
      <c r="J796" s="29" t="inlineStr">
        <is>
          <t>造成一段伤害[0]%伤害</t>
        </is>
      </c>
      <c r="K796" s="18" t="n">
        <v>510</v>
      </c>
    </row>
    <row r="797">
      <c r="B797" s="20" t="n">
        <v>10794</v>
      </c>
      <c r="C797" s="23" t="inlineStr">
        <is>
          <t>880001</t>
        </is>
      </c>
      <c r="D797" s="8" t="inlineStr">
        <is>
          <t>神识定身</t>
        </is>
      </c>
      <c r="E797" s="20" t="inlineStr">
        <is>
          <t>43</t>
        </is>
      </c>
      <c r="F797" s="20" t="n">
        <v>420</v>
      </c>
      <c r="G797" s="20" t="inlineStr">
        <is>
          <t>10001|277350$125001|170108$125005|2115</t>
        </is>
      </c>
      <c r="J797" s="29" t="inlineStr">
        <is>
          <t>造成一段伤害[0]%伤害</t>
        </is>
      </c>
      <c r="K797" s="18" t="n">
        <v>520</v>
      </c>
    </row>
    <row r="798">
      <c r="B798" s="20" t="n">
        <v>10795</v>
      </c>
      <c r="C798" s="23" t="inlineStr">
        <is>
          <t>880001</t>
        </is>
      </c>
      <c r="D798" s="8" t="inlineStr">
        <is>
          <t>神识定身</t>
        </is>
      </c>
      <c r="E798" s="20" t="inlineStr">
        <is>
          <t>44</t>
        </is>
      </c>
      <c r="F798" s="20" t="n">
        <v>430</v>
      </c>
      <c r="G798" s="20" t="inlineStr">
        <is>
          <t>10001|290400$125001|178112$125005|2189</t>
        </is>
      </c>
      <c r="J798" s="29" t="inlineStr">
        <is>
          <t>造成一段伤害[0]%伤害</t>
        </is>
      </c>
      <c r="K798" s="18" t="n">
        <v>530</v>
      </c>
    </row>
    <row r="799">
      <c r="B799" s="20" t="n">
        <v>10796</v>
      </c>
      <c r="C799" s="23" t="inlineStr">
        <is>
          <t>880001</t>
        </is>
      </c>
      <c r="D799" s="8" t="inlineStr">
        <is>
          <t>神识定身</t>
        </is>
      </c>
      <c r="E799" s="20" t="inlineStr">
        <is>
          <t>45</t>
        </is>
      </c>
      <c r="F799" s="20" t="n">
        <v>440.0000000000001</v>
      </c>
      <c r="G799" s="20" t="inlineStr">
        <is>
          <t>10001|303750$125001|186300$125005|2264</t>
        </is>
      </c>
      <c r="J799" s="29" t="inlineStr">
        <is>
          <t>造成一段伤害[0]%伤害</t>
        </is>
      </c>
      <c r="K799" s="18" t="n">
        <v>540</v>
      </c>
    </row>
    <row r="800">
      <c r="B800" s="20" t="n">
        <v>10797</v>
      </c>
      <c r="C800" s="23" t="inlineStr">
        <is>
          <t>880001</t>
        </is>
      </c>
      <c r="D800" s="8" t="inlineStr">
        <is>
          <t>神识定身</t>
        </is>
      </c>
      <c r="E800" s="20" t="inlineStr">
        <is>
          <t>46</t>
        </is>
      </c>
      <c r="F800" s="20" t="n">
        <v>450</v>
      </c>
      <c r="G800" s="20" t="inlineStr">
        <is>
          <t>10001|317400$125001|194672$125005|2340</t>
        </is>
      </c>
      <c r="J800" s="29" t="inlineStr">
        <is>
          <t>造成一段伤害[0]%伤害</t>
        </is>
      </c>
      <c r="K800" s="18" t="n">
        <v>550</v>
      </c>
    </row>
    <row r="801">
      <c r="B801" s="20" t="n">
        <v>10798</v>
      </c>
      <c r="C801" s="23" t="inlineStr">
        <is>
          <t>880001</t>
        </is>
      </c>
      <c r="D801" s="8" t="inlineStr">
        <is>
          <t>神识定身</t>
        </is>
      </c>
      <c r="E801" s="20" t="inlineStr">
        <is>
          <t>47</t>
        </is>
      </c>
      <c r="F801" s="20" t="n">
        <v>459.9999999999999</v>
      </c>
      <c r="G801" s="20" t="inlineStr">
        <is>
          <t>10001|331350$125001|203228$125005|2417</t>
        </is>
      </c>
      <c r="J801" s="29" t="inlineStr">
        <is>
          <t>造成一段伤害[0]%伤害</t>
        </is>
      </c>
      <c r="K801" s="18" t="n">
        <v>560</v>
      </c>
    </row>
    <row r="802">
      <c r="B802" s="20" t="n">
        <v>10799</v>
      </c>
      <c r="C802" s="23" t="inlineStr">
        <is>
          <t>880001</t>
        </is>
      </c>
      <c r="D802" s="8" t="inlineStr">
        <is>
          <t>神识定身</t>
        </is>
      </c>
      <c r="E802" s="20" t="inlineStr">
        <is>
          <t>48</t>
        </is>
      </c>
      <c r="F802" s="20" t="n">
        <v>470</v>
      </c>
      <c r="G802" s="20" t="inlineStr">
        <is>
          <t>10001|345600$125001|211968$125005|2494</t>
        </is>
      </c>
      <c r="J802" s="29" t="inlineStr">
        <is>
          <t>造成一段伤害[0]%伤害</t>
        </is>
      </c>
      <c r="K802" s="18" t="n">
        <v>570</v>
      </c>
    </row>
    <row r="803">
      <c r="B803" s="20" t="n">
        <v>10800</v>
      </c>
      <c r="C803" s="23" t="inlineStr">
        <is>
          <t>880001</t>
        </is>
      </c>
      <c r="D803" s="8" t="inlineStr">
        <is>
          <t>神识定身</t>
        </is>
      </c>
      <c r="E803" s="20" t="inlineStr">
        <is>
          <t>49</t>
        </is>
      </c>
      <c r="F803" s="20" t="n">
        <v>480</v>
      </c>
      <c r="G803" s="20" t="inlineStr">
        <is>
          <t>10001|360150$125001|220892$125005|2573</t>
        </is>
      </c>
      <c r="J803" s="29" t="inlineStr">
        <is>
          <t>造成一段伤害[0]%伤害</t>
        </is>
      </c>
      <c r="K803" s="18" t="n">
        <v>580</v>
      </c>
    </row>
    <row r="804">
      <c r="B804" s="20" t="n">
        <v>10801</v>
      </c>
      <c r="C804" s="23" t="inlineStr">
        <is>
          <t>880001</t>
        </is>
      </c>
      <c r="D804" s="8" t="inlineStr">
        <is>
          <t>神识定身</t>
        </is>
      </c>
      <c r="E804" s="20" t="inlineStr">
        <is>
          <t>50</t>
        </is>
      </c>
      <c r="F804" s="20" t="n">
        <v>490.0000000000001</v>
      </c>
      <c r="G804" s="20" t="inlineStr">
        <is>
          <t>10001|375000$125001|230000$125005|2652</t>
        </is>
      </c>
      <c r="J804" s="29" t="inlineStr">
        <is>
          <t>造成一段伤害[0]%伤害</t>
        </is>
      </c>
      <c r="K804" s="18" t="n">
        <v>590</v>
      </c>
    </row>
    <row r="805">
      <c r="B805" s="18" t="n">
        <v>10802</v>
      </c>
      <c r="C805" s="24" t="inlineStr">
        <is>
          <t>110006</t>
        </is>
      </c>
      <c r="D805" s="25" t="inlineStr">
        <is>
          <t>祭神怒吼</t>
        </is>
      </c>
      <c r="E805" s="18" t="inlineStr">
        <is>
          <t>1</t>
        </is>
      </c>
      <c r="F805" s="18" t="n">
        <v>300</v>
      </c>
      <c r="G805" s="18" t="inlineStr">
        <is>
          <t>10001|150$121001|92$121002|8</t>
        </is>
      </c>
    </row>
    <row r="806">
      <c r="B806" s="18" t="n">
        <v>10803</v>
      </c>
      <c r="C806" s="24" t="inlineStr">
        <is>
          <t>110006</t>
        </is>
      </c>
      <c r="D806" s="25" t="inlineStr">
        <is>
          <t>祭神怒吼</t>
        </is>
      </c>
      <c r="E806" s="18" t="inlineStr">
        <is>
          <t>2</t>
        </is>
      </c>
      <c r="F806" s="18" t="n">
        <v>308</v>
      </c>
      <c r="G806" s="18" t="inlineStr">
        <is>
          <t>10001|600$121001|368$121002|21</t>
        </is>
      </c>
    </row>
    <row r="807">
      <c r="B807" s="18" t="n">
        <v>10804</v>
      </c>
      <c r="C807" s="24" t="inlineStr">
        <is>
          <t>110006</t>
        </is>
      </c>
      <c r="D807" s="25" t="inlineStr">
        <is>
          <t>祭神怒吼</t>
        </is>
      </c>
      <c r="E807" s="18" t="inlineStr">
        <is>
          <t>3</t>
        </is>
      </c>
      <c r="F807" s="18" t="n">
        <v>316</v>
      </c>
      <c r="G807" s="18" t="inlineStr">
        <is>
          <t>10001|1350$121001|828$121002|39</t>
        </is>
      </c>
    </row>
    <row r="808">
      <c r="B808" s="18" t="n">
        <v>10805</v>
      </c>
      <c r="C808" s="24" t="inlineStr">
        <is>
          <t>110006</t>
        </is>
      </c>
      <c r="D808" s="25" t="inlineStr">
        <is>
          <t>祭神怒吼</t>
        </is>
      </c>
      <c r="E808" s="18" t="inlineStr">
        <is>
          <t>4</t>
        </is>
      </c>
      <c r="F808" s="18" t="n">
        <v>324</v>
      </c>
      <c r="G808" s="18" t="inlineStr">
        <is>
          <t>10001|2400$121001|1472$121002|60</t>
        </is>
      </c>
    </row>
    <row r="809">
      <c r="B809" s="18" t="n">
        <v>10806</v>
      </c>
      <c r="C809" s="24" t="inlineStr">
        <is>
          <t>110006</t>
        </is>
      </c>
      <c r="D809" s="25" t="inlineStr">
        <is>
          <t>祭神怒吼</t>
        </is>
      </c>
      <c r="E809" s="18" t="inlineStr">
        <is>
          <t>5</t>
        </is>
      </c>
      <c r="F809" s="18" t="n">
        <v>332</v>
      </c>
      <c r="G809" s="18" t="inlineStr">
        <is>
          <t>10001|3750$121001|2300$121002|84</t>
        </is>
      </c>
    </row>
    <row r="810">
      <c r="B810" s="18" t="n">
        <v>10807</v>
      </c>
      <c r="C810" s="24" t="inlineStr">
        <is>
          <t>110006</t>
        </is>
      </c>
      <c r="D810" s="25" t="inlineStr">
        <is>
          <t>祭神怒吼</t>
        </is>
      </c>
      <c r="E810" s="18" t="inlineStr">
        <is>
          <t>6</t>
        </is>
      </c>
      <c r="F810" s="18" t="n">
        <v>340</v>
      </c>
      <c r="G810" s="18" t="inlineStr">
        <is>
          <t>10001|5400$121001|3312$121002|110</t>
        </is>
      </c>
    </row>
    <row r="811">
      <c r="B811" s="18" t="n">
        <v>10808</v>
      </c>
      <c r="C811" s="24" t="inlineStr">
        <is>
          <t>110006</t>
        </is>
      </c>
      <c r="D811" s="25" t="inlineStr">
        <is>
          <t>祭神怒吼</t>
        </is>
      </c>
      <c r="E811" s="18" t="inlineStr">
        <is>
          <t>7</t>
        </is>
      </c>
      <c r="F811" s="18" t="n">
        <v>348</v>
      </c>
      <c r="G811" s="18" t="inlineStr">
        <is>
          <t>10001|7350$121001|4508$121002|139</t>
        </is>
      </c>
    </row>
    <row r="812">
      <c r="B812" s="18" t="n">
        <v>10809</v>
      </c>
      <c r="C812" s="24" t="inlineStr">
        <is>
          <t>110006</t>
        </is>
      </c>
      <c r="D812" s="25" t="inlineStr">
        <is>
          <t>祭神怒吼</t>
        </is>
      </c>
      <c r="E812" s="18" t="inlineStr">
        <is>
          <t>8</t>
        </is>
      </c>
      <c r="F812" s="18" t="n">
        <v>356</v>
      </c>
      <c r="G812" s="18" t="inlineStr">
        <is>
          <t>10001|9600$121001|5888$121002|170</t>
        </is>
      </c>
    </row>
    <row r="813">
      <c r="B813" s="18" t="n">
        <v>10810</v>
      </c>
      <c r="C813" s="24" t="inlineStr">
        <is>
          <t>110006</t>
        </is>
      </c>
      <c r="D813" s="25" t="inlineStr">
        <is>
          <t>祭神怒吼</t>
        </is>
      </c>
      <c r="E813" s="18" t="inlineStr">
        <is>
          <t>9</t>
        </is>
      </c>
      <c r="F813" s="18" t="n">
        <v>364</v>
      </c>
      <c r="G813" s="18" t="inlineStr">
        <is>
          <t>10001|12150$121001|7452$121002|203</t>
        </is>
      </c>
    </row>
    <row r="814">
      <c r="B814" s="18" t="n">
        <v>10811</v>
      </c>
      <c r="C814" s="24" t="inlineStr">
        <is>
          <t>110006</t>
        </is>
      </c>
      <c r="D814" s="25" t="inlineStr">
        <is>
          <t>祭神怒吼</t>
        </is>
      </c>
      <c r="E814" s="18" t="inlineStr">
        <is>
          <t>10</t>
        </is>
      </c>
      <c r="F814" s="18" t="n">
        <v>372</v>
      </c>
      <c r="G814" s="18" t="inlineStr">
        <is>
          <t>10001|15000$122001|9200$122002|237</t>
        </is>
      </c>
    </row>
    <row r="815">
      <c r="B815" s="18" t="n">
        <v>10812</v>
      </c>
      <c r="C815" s="24" t="inlineStr">
        <is>
          <t>110006</t>
        </is>
      </c>
      <c r="D815" s="25" t="inlineStr">
        <is>
          <t>祭神怒吼</t>
        </is>
      </c>
      <c r="E815" s="18" t="inlineStr">
        <is>
          <t>11</t>
        </is>
      </c>
      <c r="F815" s="18" t="n">
        <v>380</v>
      </c>
      <c r="G815" s="18" t="inlineStr">
        <is>
          <t>10001|18150$122001|11132$122002|274</t>
        </is>
      </c>
    </row>
    <row r="816">
      <c r="B816" s="18" t="n">
        <v>10813</v>
      </c>
      <c r="C816" s="24" t="inlineStr">
        <is>
          <t>110006</t>
        </is>
      </c>
      <c r="D816" s="25" t="inlineStr">
        <is>
          <t>祭神怒吼</t>
        </is>
      </c>
      <c r="E816" s="18" t="inlineStr">
        <is>
          <t>12</t>
        </is>
      </c>
      <c r="F816" s="18" t="n">
        <v>388</v>
      </c>
      <c r="G816" s="18" t="inlineStr">
        <is>
          <t>10001|21600$122001|13248$122002|312</t>
        </is>
      </c>
    </row>
    <row r="817">
      <c r="B817" s="18" t="n">
        <v>10814</v>
      </c>
      <c r="C817" s="24" t="inlineStr">
        <is>
          <t>110006</t>
        </is>
      </c>
      <c r="D817" s="25" t="inlineStr">
        <is>
          <t>祭神怒吼</t>
        </is>
      </c>
      <c r="E817" s="18" t="inlineStr">
        <is>
          <t>13</t>
        </is>
      </c>
      <c r="F817" s="18" t="n">
        <v>396</v>
      </c>
      <c r="G817" s="18" t="inlineStr">
        <is>
          <t>10001|25350$122001|15548$122002|352</t>
        </is>
      </c>
    </row>
    <row r="818">
      <c r="B818" s="18" t="n">
        <v>10815</v>
      </c>
      <c r="C818" s="24" t="inlineStr">
        <is>
          <t>110006</t>
        </is>
      </c>
      <c r="D818" s="25" t="inlineStr">
        <is>
          <t>祭神怒吼</t>
        </is>
      </c>
      <c r="E818" s="18" t="inlineStr">
        <is>
          <t>14</t>
        </is>
      </c>
      <c r="F818" s="18" t="n">
        <v>404</v>
      </c>
      <c r="G818" s="18" t="inlineStr">
        <is>
          <t>10001|29400$122001|18032$122002|393</t>
        </is>
      </c>
    </row>
    <row r="819">
      <c r="B819" s="18" t="n">
        <v>10816</v>
      </c>
      <c r="C819" s="24" t="inlineStr">
        <is>
          <t>110006</t>
        </is>
      </c>
      <c r="D819" s="25" t="inlineStr">
        <is>
          <t>祭神怒吼</t>
        </is>
      </c>
      <c r="E819" s="18" t="inlineStr">
        <is>
          <t>15</t>
        </is>
      </c>
      <c r="F819" s="18" t="n">
        <v>412</v>
      </c>
      <c r="G819" s="18" t="inlineStr">
        <is>
          <t>10001|33750$122001|20700$122002|436</t>
        </is>
      </c>
    </row>
    <row r="820">
      <c r="B820" s="18" t="n">
        <v>10817</v>
      </c>
      <c r="C820" s="24" t="inlineStr">
        <is>
          <t>110006</t>
        </is>
      </c>
      <c r="D820" s="25" t="inlineStr">
        <is>
          <t>祭神怒吼</t>
        </is>
      </c>
      <c r="E820" s="18" t="inlineStr">
        <is>
          <t>16</t>
        </is>
      </c>
      <c r="F820" s="18" t="n">
        <v>420</v>
      </c>
      <c r="G820" s="18" t="inlineStr">
        <is>
          <t>10001|38400$122001|23552$122002|480</t>
        </is>
      </c>
    </row>
    <row r="821">
      <c r="B821" s="18" t="n">
        <v>10818</v>
      </c>
      <c r="C821" s="24" t="inlineStr">
        <is>
          <t>110006</t>
        </is>
      </c>
      <c r="D821" s="25" t="inlineStr">
        <is>
          <t>祭神怒吼</t>
        </is>
      </c>
      <c r="E821" s="18" t="inlineStr">
        <is>
          <t>17</t>
        </is>
      </c>
      <c r="F821" s="18" t="n">
        <v>428</v>
      </c>
      <c r="G821" s="18" t="inlineStr">
        <is>
          <t>10001|43350$122001|26588$122002|526</t>
        </is>
      </c>
    </row>
    <row r="822">
      <c r="B822" s="18" t="n">
        <v>10819</v>
      </c>
      <c r="C822" s="24" t="inlineStr">
        <is>
          <t>110006</t>
        </is>
      </c>
      <c r="D822" s="25" t="inlineStr">
        <is>
          <t>祭神怒吼</t>
        </is>
      </c>
      <c r="E822" s="18" t="inlineStr">
        <is>
          <t>18</t>
        </is>
      </c>
      <c r="F822" s="18" t="n">
        <v>436</v>
      </c>
      <c r="G822" s="18" t="inlineStr">
        <is>
          <t>10001|48600$122001|29808$122002|573</t>
        </is>
      </c>
    </row>
    <row r="823">
      <c r="B823" s="18" t="n">
        <v>10820</v>
      </c>
      <c r="C823" s="24" t="inlineStr">
        <is>
          <t>110006</t>
        </is>
      </c>
      <c r="D823" s="25" t="inlineStr">
        <is>
          <t>祭神怒吼</t>
        </is>
      </c>
      <c r="E823" s="18" t="inlineStr">
        <is>
          <t>19</t>
        </is>
      </c>
      <c r="F823" s="18" t="n">
        <v>444</v>
      </c>
      <c r="G823" s="18" t="inlineStr">
        <is>
          <t>10001|54150$122001|33212$122002|621</t>
        </is>
      </c>
    </row>
    <row r="824">
      <c r="B824" s="18" t="n">
        <v>10821</v>
      </c>
      <c r="C824" s="24" t="inlineStr">
        <is>
          <t>110006</t>
        </is>
      </c>
      <c r="D824" s="25" t="inlineStr">
        <is>
          <t>祭神怒吼</t>
        </is>
      </c>
      <c r="E824" s="18" t="inlineStr">
        <is>
          <t>20</t>
        </is>
      </c>
      <c r="F824" s="18" t="n">
        <v>452</v>
      </c>
      <c r="G824" s="18" t="inlineStr">
        <is>
          <t>10001|60000$123001|36800$123002|671</t>
        </is>
      </c>
    </row>
    <row r="825">
      <c r="B825" s="18" t="n">
        <v>10822</v>
      </c>
      <c r="C825" s="24" t="inlineStr">
        <is>
          <t>110006</t>
        </is>
      </c>
      <c r="D825" s="25" t="inlineStr">
        <is>
          <t>祭神怒吼</t>
        </is>
      </c>
      <c r="E825" s="18" t="inlineStr">
        <is>
          <t>21</t>
        </is>
      </c>
      <c r="F825" s="18" t="n">
        <v>460</v>
      </c>
      <c r="G825" s="18" t="inlineStr">
        <is>
          <t>10001|66150$123001|40572$123002|722</t>
        </is>
      </c>
    </row>
    <row r="826">
      <c r="B826" s="18" t="n">
        <v>10823</v>
      </c>
      <c r="C826" s="24" t="inlineStr">
        <is>
          <t>110006</t>
        </is>
      </c>
      <c r="D826" s="25" t="inlineStr">
        <is>
          <t>祭神怒吼</t>
        </is>
      </c>
      <c r="E826" s="18" t="inlineStr">
        <is>
          <t>22</t>
        </is>
      </c>
      <c r="F826" s="18" t="n">
        <v>468</v>
      </c>
      <c r="G826" s="18" t="inlineStr">
        <is>
          <t>10001|72600$123001|44528$123002|774</t>
        </is>
      </c>
    </row>
    <row r="827">
      <c r="B827" s="18" t="n">
        <v>10824</v>
      </c>
      <c r="C827" s="24" t="inlineStr">
        <is>
          <t>110006</t>
        </is>
      </c>
      <c r="D827" s="25" t="inlineStr">
        <is>
          <t>祭神怒吼</t>
        </is>
      </c>
      <c r="E827" s="18" t="inlineStr">
        <is>
          <t>23</t>
        </is>
      </c>
      <c r="F827" s="18" t="n">
        <v>476</v>
      </c>
      <c r="G827" s="18" t="inlineStr">
        <is>
          <t>10001|79350$123001|48668$123002|827</t>
        </is>
      </c>
    </row>
    <row r="828">
      <c r="B828" s="18" t="n">
        <v>10825</v>
      </c>
      <c r="C828" s="24" t="inlineStr">
        <is>
          <t>110006</t>
        </is>
      </c>
      <c r="D828" s="25" t="inlineStr">
        <is>
          <t>祭神怒吼</t>
        </is>
      </c>
      <c r="E828" s="18" t="inlineStr">
        <is>
          <t>24</t>
        </is>
      </c>
      <c r="F828" s="18" t="n">
        <v>484</v>
      </c>
      <c r="G828" s="18" t="inlineStr">
        <is>
          <t>10001|86400$123001|52992$123002|882</t>
        </is>
      </c>
    </row>
    <row r="829">
      <c r="B829" s="18" t="n">
        <v>10826</v>
      </c>
      <c r="C829" s="24" t="inlineStr">
        <is>
          <t>110006</t>
        </is>
      </c>
      <c r="D829" s="25" t="inlineStr">
        <is>
          <t>祭神怒吼</t>
        </is>
      </c>
      <c r="E829" s="18" t="inlineStr">
        <is>
          <t>25</t>
        </is>
      </c>
      <c r="F829" s="18" t="n">
        <v>492</v>
      </c>
      <c r="G829" s="18" t="inlineStr">
        <is>
          <t>10001|93750$123001|57500$123002|938</t>
        </is>
      </c>
    </row>
    <row r="830">
      <c r="B830" s="18" t="n">
        <v>10827</v>
      </c>
      <c r="C830" s="24" t="inlineStr">
        <is>
          <t>110006</t>
        </is>
      </c>
      <c r="D830" s="25" t="inlineStr">
        <is>
          <t>祭神怒吼</t>
        </is>
      </c>
      <c r="E830" s="18" t="inlineStr">
        <is>
          <t>26</t>
        </is>
      </c>
      <c r="F830" s="18" t="n">
        <v>500</v>
      </c>
      <c r="G830" s="18" t="inlineStr">
        <is>
          <t>10001|101400$123001|62192$123002|994</t>
        </is>
      </c>
    </row>
    <row r="831">
      <c r="B831" s="18" t="n">
        <v>10828</v>
      </c>
      <c r="C831" s="24" t="inlineStr">
        <is>
          <t>110006</t>
        </is>
      </c>
      <c r="D831" s="25" t="inlineStr">
        <is>
          <t>祭神怒吼</t>
        </is>
      </c>
      <c r="E831" s="18" t="inlineStr">
        <is>
          <t>27</t>
        </is>
      </c>
      <c r="F831" s="18" t="n">
        <v>508</v>
      </c>
      <c r="G831" s="18" t="inlineStr">
        <is>
          <t>10001|109350$123001|67068$123002|1052</t>
        </is>
      </c>
    </row>
    <row r="832">
      <c r="B832" s="18" t="n">
        <v>10829</v>
      </c>
      <c r="C832" s="24" t="inlineStr">
        <is>
          <t>110006</t>
        </is>
      </c>
      <c r="D832" s="25" t="inlineStr">
        <is>
          <t>祭神怒吼</t>
        </is>
      </c>
      <c r="E832" s="18" t="inlineStr">
        <is>
          <t>28</t>
        </is>
      </c>
      <c r="F832" s="18" t="n">
        <v>516</v>
      </c>
      <c r="G832" s="18" t="inlineStr">
        <is>
          <t>10001|117600$123001|72128$123002|1111</t>
        </is>
      </c>
    </row>
    <row r="833">
      <c r="B833" s="18" t="n">
        <v>10830</v>
      </c>
      <c r="C833" s="24" t="inlineStr">
        <is>
          <t>110006</t>
        </is>
      </c>
      <c r="D833" s="25" t="inlineStr">
        <is>
          <t>祭神怒吼</t>
        </is>
      </c>
      <c r="E833" s="18" t="inlineStr">
        <is>
          <t>29</t>
        </is>
      </c>
      <c r="F833" s="18" t="n">
        <v>524</v>
      </c>
      <c r="G833" s="18" t="inlineStr">
        <is>
          <t>10001|126150$123001|77372$123002|1171</t>
        </is>
      </c>
    </row>
    <row r="834">
      <c r="B834" s="18" t="n">
        <v>10831</v>
      </c>
      <c r="C834" s="24" t="inlineStr">
        <is>
          <t>110006</t>
        </is>
      </c>
      <c r="D834" s="25" t="inlineStr">
        <is>
          <t>祭神怒吼</t>
        </is>
      </c>
      <c r="E834" s="18" t="inlineStr">
        <is>
          <t>30</t>
        </is>
      </c>
      <c r="F834" s="18" t="n">
        <v>532</v>
      </c>
      <c r="G834" s="18" t="inlineStr">
        <is>
          <t>10001|135000$124001|82800$124002|1232</t>
        </is>
      </c>
    </row>
    <row r="835">
      <c r="B835" s="18" t="n">
        <v>10832</v>
      </c>
      <c r="C835" s="24" t="inlineStr">
        <is>
          <t>110006</t>
        </is>
      </c>
      <c r="D835" s="25" t="inlineStr">
        <is>
          <t>祭神怒吼</t>
        </is>
      </c>
      <c r="E835" s="18" t="inlineStr">
        <is>
          <t>31</t>
        </is>
      </c>
      <c r="F835" s="18" t="n">
        <v>540</v>
      </c>
      <c r="G835" s="18" t="inlineStr">
        <is>
          <t>10001|144150$124001|88412$124002|1295</t>
        </is>
      </c>
    </row>
    <row r="836">
      <c r="B836" s="18" t="n">
        <v>10833</v>
      </c>
      <c r="C836" s="24" t="inlineStr">
        <is>
          <t>110006</t>
        </is>
      </c>
      <c r="D836" s="25" t="inlineStr">
        <is>
          <t>祭神怒吼</t>
        </is>
      </c>
      <c r="E836" s="18" t="inlineStr">
        <is>
          <t>32</t>
        </is>
      </c>
      <c r="F836" s="18" t="n">
        <v>548</v>
      </c>
      <c r="G836" s="18" t="inlineStr">
        <is>
          <t>10001|153600$124001|94208$124002|1358</t>
        </is>
      </c>
    </row>
    <row r="837">
      <c r="B837" s="18" t="n">
        <v>10834</v>
      </c>
      <c r="C837" s="24" t="inlineStr">
        <is>
          <t>110006</t>
        </is>
      </c>
      <c r="D837" s="25" t="inlineStr">
        <is>
          <t>祭神怒吼</t>
        </is>
      </c>
      <c r="E837" s="18" t="inlineStr">
        <is>
          <t>33</t>
        </is>
      </c>
      <c r="F837" s="18" t="n">
        <v>556</v>
      </c>
      <c r="G837" s="18" t="inlineStr">
        <is>
          <t>10001|163350$124001|100188$124002|1422</t>
        </is>
      </c>
    </row>
    <row r="838">
      <c r="B838" s="18" t="n">
        <v>10835</v>
      </c>
      <c r="C838" s="24" t="inlineStr">
        <is>
          <t>110006</t>
        </is>
      </c>
      <c r="D838" s="25" t="inlineStr">
        <is>
          <t>祭神怒吼</t>
        </is>
      </c>
      <c r="E838" s="18" t="inlineStr">
        <is>
          <t>34</t>
        </is>
      </c>
      <c r="F838" s="18" t="n">
        <v>564</v>
      </c>
      <c r="G838" s="18" t="inlineStr">
        <is>
          <t>10001|173400$124001|106352$124002|1487</t>
        </is>
      </c>
    </row>
    <row r="839">
      <c r="B839" s="18" t="n">
        <v>10836</v>
      </c>
      <c r="C839" s="24" t="inlineStr">
        <is>
          <t>110006</t>
        </is>
      </c>
      <c r="D839" s="25" t="inlineStr">
        <is>
          <t>祭神怒吼</t>
        </is>
      </c>
      <c r="E839" s="18" t="inlineStr">
        <is>
          <t>35</t>
        </is>
      </c>
      <c r="F839" s="18" t="n">
        <v>572</v>
      </c>
      <c r="G839" s="18" t="inlineStr">
        <is>
          <t>10001|183750$124001|112700$124002|1553</t>
        </is>
      </c>
    </row>
    <row r="840">
      <c r="B840" s="18" t="n">
        <v>10837</v>
      </c>
      <c r="C840" s="24" t="inlineStr">
        <is>
          <t>110006</t>
        </is>
      </c>
      <c r="D840" s="25" t="inlineStr">
        <is>
          <t>祭神怒吼</t>
        </is>
      </c>
      <c r="E840" s="18" t="inlineStr">
        <is>
          <t>36</t>
        </is>
      </c>
      <c r="F840" s="18" t="n">
        <v>580</v>
      </c>
      <c r="G840" s="18" t="inlineStr">
        <is>
          <t>10001|194400$124001|119232$124002|1620</t>
        </is>
      </c>
    </row>
    <row r="841">
      <c r="B841" s="18" t="n">
        <v>10838</v>
      </c>
      <c r="C841" s="24" t="inlineStr">
        <is>
          <t>110006</t>
        </is>
      </c>
      <c r="D841" s="25" t="inlineStr">
        <is>
          <t>祭神怒吼</t>
        </is>
      </c>
      <c r="E841" s="18" t="inlineStr">
        <is>
          <t>37</t>
        </is>
      </c>
      <c r="F841" s="18" t="n">
        <v>588</v>
      </c>
      <c r="G841" s="18" t="inlineStr">
        <is>
          <t>10001|205350$124001|125948$124002|1688</t>
        </is>
      </c>
    </row>
    <row r="842">
      <c r="B842" s="18" t="n">
        <v>10839</v>
      </c>
      <c r="C842" s="24" t="inlineStr">
        <is>
          <t>110006</t>
        </is>
      </c>
      <c r="D842" s="25" t="inlineStr">
        <is>
          <t>祭神怒吼</t>
        </is>
      </c>
      <c r="E842" s="18" t="inlineStr">
        <is>
          <t>38</t>
        </is>
      </c>
      <c r="F842" s="18" t="n">
        <v>596</v>
      </c>
      <c r="G842" s="18" t="inlineStr">
        <is>
          <t>10001|216600$124001|132848$124002|1757</t>
        </is>
      </c>
    </row>
    <row r="843">
      <c r="B843" s="18" t="n">
        <v>10840</v>
      </c>
      <c r="C843" s="24" t="inlineStr">
        <is>
          <t>110006</t>
        </is>
      </c>
      <c r="D843" s="25" t="inlineStr">
        <is>
          <t>祭神怒吼</t>
        </is>
      </c>
      <c r="E843" s="18" t="inlineStr">
        <is>
          <t>39</t>
        </is>
      </c>
      <c r="F843" s="18" t="n">
        <v>604</v>
      </c>
      <c r="G843" s="18" t="inlineStr">
        <is>
          <t>10001|228150$125001|139932$125002|1827</t>
        </is>
      </c>
    </row>
    <row r="844">
      <c r="B844" s="18" t="n">
        <v>10841</v>
      </c>
      <c r="C844" s="24" t="inlineStr">
        <is>
          <t>110006</t>
        </is>
      </c>
      <c r="D844" s="25" t="inlineStr">
        <is>
          <t>祭神怒吼</t>
        </is>
      </c>
      <c r="E844" s="18" t="inlineStr">
        <is>
          <t>40</t>
        </is>
      </c>
      <c r="F844" s="18" t="n">
        <v>612</v>
      </c>
      <c r="G844" s="18" t="inlineStr">
        <is>
          <t>10001|240000$125001|147200$125002|1897</t>
        </is>
      </c>
    </row>
    <row r="845">
      <c r="B845" s="18" t="n">
        <v>10842</v>
      </c>
      <c r="C845" s="24" t="inlineStr">
        <is>
          <t>110006</t>
        </is>
      </c>
      <c r="D845" s="25" t="inlineStr">
        <is>
          <t>祭神怒吼</t>
        </is>
      </c>
      <c r="E845" s="18" t="inlineStr">
        <is>
          <t>41</t>
        </is>
      </c>
      <c r="F845" s="18" t="n">
        <v>620</v>
      </c>
      <c r="G845" s="18" t="inlineStr">
        <is>
          <t>10001|252150$125001|154652$125002|1969</t>
        </is>
      </c>
    </row>
    <row r="846">
      <c r="B846" s="18" t="n">
        <v>10843</v>
      </c>
      <c r="C846" s="24" t="inlineStr">
        <is>
          <t>110006</t>
        </is>
      </c>
      <c r="D846" s="25" t="inlineStr">
        <is>
          <t>祭神怒吼</t>
        </is>
      </c>
      <c r="E846" s="18" t="inlineStr">
        <is>
          <t>42</t>
        </is>
      </c>
      <c r="F846" s="18" t="n">
        <v>628</v>
      </c>
      <c r="G846" s="18" t="inlineStr">
        <is>
          <t>10001|264600$125001|162288$125002|2041</t>
        </is>
      </c>
    </row>
    <row r="847">
      <c r="B847" s="18" t="n">
        <v>10844</v>
      </c>
      <c r="C847" s="24" t="inlineStr">
        <is>
          <t>110006</t>
        </is>
      </c>
      <c r="D847" s="25" t="inlineStr">
        <is>
          <t>祭神怒吼</t>
        </is>
      </c>
      <c r="E847" s="18" t="inlineStr">
        <is>
          <t>43</t>
        </is>
      </c>
      <c r="F847" s="18" t="n">
        <v>636</v>
      </c>
      <c r="G847" s="18" t="inlineStr">
        <is>
          <t>10001|277350$125001|170108$125002|2115</t>
        </is>
      </c>
    </row>
    <row r="848">
      <c r="B848" s="18" t="n">
        <v>10845</v>
      </c>
      <c r="C848" s="24" t="inlineStr">
        <is>
          <t>110006</t>
        </is>
      </c>
      <c r="D848" s="25" t="inlineStr">
        <is>
          <t>祭神怒吼</t>
        </is>
      </c>
      <c r="E848" s="18" t="inlineStr">
        <is>
          <t>44</t>
        </is>
      </c>
      <c r="F848" s="18" t="n">
        <v>644</v>
      </c>
      <c r="G848" s="18" t="inlineStr">
        <is>
          <t>10001|290400$125001|178112$125002|2189</t>
        </is>
      </c>
    </row>
    <row r="849">
      <c r="B849" s="18" t="n">
        <v>10846</v>
      </c>
      <c r="C849" s="24" t="inlineStr">
        <is>
          <t>110006</t>
        </is>
      </c>
      <c r="D849" s="25" t="inlineStr">
        <is>
          <t>祭神怒吼</t>
        </is>
      </c>
      <c r="E849" s="18" t="inlineStr">
        <is>
          <t>45</t>
        </is>
      </c>
      <c r="F849" s="18" t="n">
        <v>652</v>
      </c>
      <c r="G849" s="18" t="inlineStr">
        <is>
          <t>10001|303750$125001|186300$125002|2264</t>
        </is>
      </c>
    </row>
    <row r="850">
      <c r="B850" s="18" t="n">
        <v>10847</v>
      </c>
      <c r="C850" s="24" t="inlineStr">
        <is>
          <t>110006</t>
        </is>
      </c>
      <c r="D850" s="25" t="inlineStr">
        <is>
          <t>祭神怒吼</t>
        </is>
      </c>
      <c r="E850" s="18" t="inlineStr">
        <is>
          <t>46</t>
        </is>
      </c>
      <c r="F850" s="18" t="n">
        <v>660</v>
      </c>
      <c r="G850" s="18" t="inlineStr">
        <is>
          <t>10001|317400$125001|194672$125002|2340</t>
        </is>
      </c>
    </row>
    <row r="851">
      <c r="B851" s="18" t="n">
        <v>10848</v>
      </c>
      <c r="C851" s="24" t="inlineStr">
        <is>
          <t>110006</t>
        </is>
      </c>
      <c r="D851" s="25" t="inlineStr">
        <is>
          <t>祭神怒吼</t>
        </is>
      </c>
      <c r="E851" s="18" t="inlineStr">
        <is>
          <t>47</t>
        </is>
      </c>
      <c r="F851" s="18" t="n">
        <v>668</v>
      </c>
      <c r="G851" s="18" t="inlineStr">
        <is>
          <t>10001|331350$125001|203228$125002|2417</t>
        </is>
      </c>
    </row>
    <row r="852">
      <c r="B852" s="18" t="n">
        <v>10849</v>
      </c>
      <c r="C852" s="24" t="inlineStr">
        <is>
          <t>110006</t>
        </is>
      </c>
      <c r="D852" s="25" t="inlineStr">
        <is>
          <t>祭神怒吼</t>
        </is>
      </c>
      <c r="E852" s="18" t="inlineStr">
        <is>
          <t>48</t>
        </is>
      </c>
      <c r="F852" s="18" t="n">
        <v>676</v>
      </c>
      <c r="G852" s="18" t="inlineStr">
        <is>
          <t>10001|345600$125001|211968$125002|2494</t>
        </is>
      </c>
    </row>
    <row r="853" customFormat="1" s="41">
      <c r="B853" s="18" t="n">
        <v>10850</v>
      </c>
      <c r="C853" s="24" t="inlineStr">
        <is>
          <t>110006</t>
        </is>
      </c>
      <c r="D853" s="25" t="inlineStr">
        <is>
          <t>祭神怒吼</t>
        </is>
      </c>
      <c r="E853" s="18" t="inlineStr">
        <is>
          <t>49</t>
        </is>
      </c>
      <c r="F853" s="18" t="n">
        <v>684</v>
      </c>
      <c r="G853" s="18" t="inlineStr">
        <is>
          <t>10001|360150$125001|220892$125002|2573</t>
        </is>
      </c>
    </row>
    <row r="854" customFormat="1" s="41">
      <c r="B854" s="18" t="n">
        <v>10851</v>
      </c>
      <c r="C854" s="24" t="inlineStr">
        <is>
          <t>110006</t>
        </is>
      </c>
      <c r="D854" s="25" t="inlineStr">
        <is>
          <t>祭神怒吼</t>
        </is>
      </c>
      <c r="E854" s="18" t="inlineStr">
        <is>
          <t>50</t>
        </is>
      </c>
      <c r="F854" s="18" t="n">
        <v>692</v>
      </c>
      <c r="G854" s="18" t="inlineStr">
        <is>
          <t>10001|375000$125001|230000$125002|2652</t>
        </is>
      </c>
    </row>
    <row r="855" customFormat="1" s="41">
      <c r="B855" s="41" t="n">
        <v>10852</v>
      </c>
      <c r="C855" s="40" t="inlineStr">
        <is>
          <t>550001</t>
        </is>
      </c>
      <c r="D855" s="41" t="inlineStr">
        <is>
          <t>翩鸿灵动决</t>
        </is>
      </c>
      <c r="E855" s="41" t="inlineStr">
        <is>
          <t>1</t>
        </is>
      </c>
      <c r="F855" s="42" t="inlineStr">
        <is>
          <t>50|99</t>
        </is>
      </c>
      <c r="G855" s="41" t="inlineStr">
        <is>
          <t>10001|150$121001|92$121006|8</t>
        </is>
      </c>
      <c r="J855" s="42" t="inlineStr">
        <is>
          <t>提高[0]攻速，但降低自身[1]攻击</t>
        </is>
      </c>
      <c r="K855" s="42" t="inlineStr">
        <is>
          <t>50|99</t>
        </is>
      </c>
    </row>
    <row r="856" customFormat="1" s="41">
      <c r="B856" s="41" t="n">
        <v>10853</v>
      </c>
      <c r="C856" s="40" t="inlineStr">
        <is>
          <t>550001</t>
        </is>
      </c>
      <c r="D856" s="41" t="inlineStr">
        <is>
          <t>翩鸿灵动决</t>
        </is>
      </c>
      <c r="E856" s="41" t="inlineStr">
        <is>
          <t>2</t>
        </is>
      </c>
      <c r="F856" s="41" t="inlineStr">
        <is>
          <t>55|98</t>
        </is>
      </c>
      <c r="G856" s="41" t="inlineStr">
        <is>
          <t>10001|600$121001|368$121006|21</t>
        </is>
      </c>
      <c r="J856" s="42" t="inlineStr">
        <is>
          <t>提高[0]攻速，但降低自身[1]攻击</t>
        </is>
      </c>
      <c r="K856" s="41" t="inlineStr">
        <is>
          <t>55|98</t>
        </is>
      </c>
    </row>
    <row r="857" customFormat="1" s="41">
      <c r="B857" s="41" t="n">
        <v>10854</v>
      </c>
      <c r="C857" s="40" t="inlineStr">
        <is>
          <t>550001</t>
        </is>
      </c>
      <c r="D857" s="41" t="inlineStr">
        <is>
          <t>翩鸿灵动决</t>
        </is>
      </c>
      <c r="E857" s="41" t="inlineStr">
        <is>
          <t>3</t>
        </is>
      </c>
      <c r="F857" s="41" t="inlineStr">
        <is>
          <t>60|97</t>
        </is>
      </c>
      <c r="G857" s="41" t="inlineStr">
        <is>
          <t>10001|1350$121001|828$121006|39</t>
        </is>
      </c>
      <c r="J857" s="42" t="inlineStr">
        <is>
          <t>提高[0]攻速，但降低自身[1]攻击</t>
        </is>
      </c>
      <c r="K857" s="41" t="inlineStr">
        <is>
          <t>60|97</t>
        </is>
      </c>
    </row>
    <row r="858" customFormat="1" s="41">
      <c r="B858" s="41" t="n">
        <v>10855</v>
      </c>
      <c r="C858" s="40" t="inlineStr">
        <is>
          <t>550001</t>
        </is>
      </c>
      <c r="D858" s="41" t="inlineStr">
        <is>
          <t>翩鸿灵动决</t>
        </is>
      </c>
      <c r="E858" s="41" t="inlineStr">
        <is>
          <t>4</t>
        </is>
      </c>
      <c r="F858" s="41" t="inlineStr">
        <is>
          <t>65|96</t>
        </is>
      </c>
      <c r="G858" s="41" t="inlineStr">
        <is>
          <t>10001|2400$121001|1472$121006|60</t>
        </is>
      </c>
      <c r="J858" s="42" t="inlineStr">
        <is>
          <t>提高[0]攻速，但降低自身[1]攻击</t>
        </is>
      </c>
      <c r="K858" s="41" t="inlineStr">
        <is>
          <t>65|96</t>
        </is>
      </c>
    </row>
    <row r="859" customFormat="1" s="41">
      <c r="B859" s="41" t="n">
        <v>10856</v>
      </c>
      <c r="C859" s="40" t="inlineStr">
        <is>
          <t>550001</t>
        </is>
      </c>
      <c r="D859" s="41" t="inlineStr">
        <is>
          <t>翩鸿灵动决</t>
        </is>
      </c>
      <c r="E859" s="41" t="inlineStr">
        <is>
          <t>5</t>
        </is>
      </c>
      <c r="F859" s="41" t="inlineStr">
        <is>
          <t>70|95</t>
        </is>
      </c>
      <c r="G859" s="41" t="inlineStr">
        <is>
          <t>10001|3750$121001|2300$121006|84</t>
        </is>
      </c>
      <c r="J859" s="42" t="inlineStr">
        <is>
          <t>提高[0]攻速，但降低自身[1]攻击</t>
        </is>
      </c>
      <c r="K859" s="41" t="inlineStr">
        <is>
          <t>70|95</t>
        </is>
      </c>
    </row>
    <row r="860" customFormat="1" s="41">
      <c r="B860" s="41" t="n">
        <v>10857</v>
      </c>
      <c r="C860" s="40" t="inlineStr">
        <is>
          <t>550001</t>
        </is>
      </c>
      <c r="D860" s="41" t="inlineStr">
        <is>
          <t>翩鸿灵动决</t>
        </is>
      </c>
      <c r="E860" s="41" t="inlineStr">
        <is>
          <t>6</t>
        </is>
      </c>
      <c r="F860" s="41" t="inlineStr">
        <is>
          <t>75|94</t>
        </is>
      </c>
      <c r="G860" s="41" t="inlineStr">
        <is>
          <t>10001|5400$121001|3312$121006|110</t>
        </is>
      </c>
      <c r="J860" s="42" t="inlineStr">
        <is>
          <t>提高[0]攻速，但降低自身[1]攻击</t>
        </is>
      </c>
      <c r="K860" s="41" t="inlineStr">
        <is>
          <t>75|94</t>
        </is>
      </c>
    </row>
    <row r="861" customFormat="1" s="41">
      <c r="B861" s="41" t="n">
        <v>10858</v>
      </c>
      <c r="C861" s="40" t="inlineStr">
        <is>
          <t>550001</t>
        </is>
      </c>
      <c r="D861" s="41" t="inlineStr">
        <is>
          <t>翩鸿灵动决</t>
        </is>
      </c>
      <c r="E861" s="41" t="inlineStr">
        <is>
          <t>7</t>
        </is>
      </c>
      <c r="F861" s="41" t="inlineStr">
        <is>
          <t>80|93</t>
        </is>
      </c>
      <c r="G861" s="41" t="inlineStr">
        <is>
          <t>10001|7350$121001|4508$121006|139</t>
        </is>
      </c>
      <c r="J861" s="42" t="inlineStr">
        <is>
          <t>提高[0]攻速，但降低自身[1]攻击</t>
        </is>
      </c>
      <c r="K861" s="41" t="inlineStr">
        <is>
          <t>80|93</t>
        </is>
      </c>
    </row>
    <row r="862" customFormat="1" s="41">
      <c r="B862" s="41" t="n">
        <v>10859</v>
      </c>
      <c r="C862" s="40" t="inlineStr">
        <is>
          <t>550001</t>
        </is>
      </c>
      <c r="D862" s="41" t="inlineStr">
        <is>
          <t>翩鸿灵动决</t>
        </is>
      </c>
      <c r="E862" s="41" t="inlineStr">
        <is>
          <t>8</t>
        </is>
      </c>
      <c r="F862" s="41" t="inlineStr">
        <is>
          <t>85|92</t>
        </is>
      </c>
      <c r="G862" s="41" t="inlineStr">
        <is>
          <t>10001|9600$121001|5888$121006|170</t>
        </is>
      </c>
      <c r="J862" s="42" t="inlineStr">
        <is>
          <t>提高[0]攻速，但降低自身[1]攻击</t>
        </is>
      </c>
      <c r="K862" s="41" t="inlineStr">
        <is>
          <t>85|92</t>
        </is>
      </c>
    </row>
    <row r="863" customFormat="1" s="41">
      <c r="B863" s="41" t="n">
        <v>10860</v>
      </c>
      <c r="C863" s="40" t="inlineStr">
        <is>
          <t>550001</t>
        </is>
      </c>
      <c r="D863" s="41" t="inlineStr">
        <is>
          <t>翩鸿灵动决</t>
        </is>
      </c>
      <c r="E863" s="41" t="inlineStr">
        <is>
          <t>9</t>
        </is>
      </c>
      <c r="F863" s="41" t="inlineStr">
        <is>
          <t>90|91</t>
        </is>
      </c>
      <c r="G863" s="41" t="inlineStr">
        <is>
          <t>10001|12150$121001|7452$121006|203</t>
        </is>
      </c>
      <c r="J863" s="42" t="inlineStr">
        <is>
          <t>提高[0]攻速，但降低自身[1]攻击</t>
        </is>
      </c>
      <c r="K863" s="41" t="inlineStr">
        <is>
          <t>90|91</t>
        </is>
      </c>
    </row>
    <row r="864" customFormat="1" s="41">
      <c r="B864" s="41" t="n">
        <v>10861</v>
      </c>
      <c r="C864" s="40" t="inlineStr">
        <is>
          <t>550001</t>
        </is>
      </c>
      <c r="D864" s="41" t="inlineStr">
        <is>
          <t>翩鸿灵动决</t>
        </is>
      </c>
      <c r="E864" s="41" t="inlineStr">
        <is>
          <t>10</t>
        </is>
      </c>
      <c r="F864" s="41" t="inlineStr">
        <is>
          <t>95|90</t>
        </is>
      </c>
      <c r="G864" s="41" t="inlineStr">
        <is>
          <t>10001|15000$122001|9200$122006|237</t>
        </is>
      </c>
      <c r="J864" s="42" t="inlineStr">
        <is>
          <t>提高[0]攻速，但降低自身[1]攻击</t>
        </is>
      </c>
      <c r="K864" s="41" t="inlineStr">
        <is>
          <t>95|90</t>
        </is>
      </c>
    </row>
    <row r="865" customFormat="1" s="41">
      <c r="B865" s="41" t="n">
        <v>10862</v>
      </c>
      <c r="C865" s="40" t="inlineStr">
        <is>
          <t>550001</t>
        </is>
      </c>
      <c r="D865" s="41" t="inlineStr">
        <is>
          <t>翩鸿灵动决</t>
        </is>
      </c>
      <c r="E865" s="41" t="inlineStr">
        <is>
          <t>11</t>
        </is>
      </c>
      <c r="F865" s="41" t="inlineStr">
        <is>
          <t>100|89</t>
        </is>
      </c>
      <c r="G865" s="41" t="inlineStr">
        <is>
          <t>10001|18150$122001|11132$122006|274</t>
        </is>
      </c>
      <c r="J865" s="42" t="inlineStr">
        <is>
          <t>提高[0]攻速，但降低自身[1]攻击</t>
        </is>
      </c>
      <c r="K865" s="41" t="inlineStr">
        <is>
          <t>100|89</t>
        </is>
      </c>
    </row>
    <row r="866" customFormat="1" s="41">
      <c r="B866" s="41" t="n">
        <v>10863</v>
      </c>
      <c r="C866" s="40" t="inlineStr">
        <is>
          <t>550001</t>
        </is>
      </c>
      <c r="D866" s="41" t="inlineStr">
        <is>
          <t>翩鸿灵动决</t>
        </is>
      </c>
      <c r="E866" s="41" t="inlineStr">
        <is>
          <t>12</t>
        </is>
      </c>
      <c r="F866" s="41" t="inlineStr">
        <is>
          <t>105|88</t>
        </is>
      </c>
      <c r="G866" s="41" t="inlineStr">
        <is>
          <t>10001|21600$122001|13248$122006|312</t>
        </is>
      </c>
      <c r="J866" s="42" t="inlineStr">
        <is>
          <t>提高[0]攻速，但降低自身[1]攻击</t>
        </is>
      </c>
      <c r="K866" s="41" t="inlineStr">
        <is>
          <t>105|88</t>
        </is>
      </c>
    </row>
    <row r="867" customFormat="1" s="41">
      <c r="B867" s="41" t="n">
        <v>10864</v>
      </c>
      <c r="C867" s="40" t="inlineStr">
        <is>
          <t>550001</t>
        </is>
      </c>
      <c r="D867" s="41" t="inlineStr">
        <is>
          <t>翩鸿灵动决</t>
        </is>
      </c>
      <c r="E867" s="41" t="inlineStr">
        <is>
          <t>13</t>
        </is>
      </c>
      <c r="F867" s="41" t="inlineStr">
        <is>
          <t>110|87</t>
        </is>
      </c>
      <c r="G867" s="41" t="inlineStr">
        <is>
          <t>10001|25350$122001|15548$122006|352</t>
        </is>
      </c>
      <c r="J867" s="42" t="inlineStr">
        <is>
          <t>提高[0]攻速，但降低自身[1]攻击</t>
        </is>
      </c>
      <c r="K867" s="41" t="inlineStr">
        <is>
          <t>110|87</t>
        </is>
      </c>
    </row>
    <row r="868" customFormat="1" s="41">
      <c r="B868" s="41" t="n">
        <v>10865</v>
      </c>
      <c r="C868" s="40" t="inlineStr">
        <is>
          <t>550001</t>
        </is>
      </c>
      <c r="D868" s="41" t="inlineStr">
        <is>
          <t>翩鸿灵动决</t>
        </is>
      </c>
      <c r="E868" s="41" t="inlineStr">
        <is>
          <t>14</t>
        </is>
      </c>
      <c r="F868" s="41" t="inlineStr">
        <is>
          <t>115|86</t>
        </is>
      </c>
      <c r="G868" s="41" t="inlineStr">
        <is>
          <t>10001|29400$122001|18032$122006|393</t>
        </is>
      </c>
      <c r="J868" s="42" t="inlineStr">
        <is>
          <t>提高[0]攻速，但降低自身[1]攻击</t>
        </is>
      </c>
      <c r="K868" s="41" t="inlineStr">
        <is>
          <t>115|86</t>
        </is>
      </c>
    </row>
    <row r="869" customFormat="1" s="41">
      <c r="B869" s="41" t="n">
        <v>10866</v>
      </c>
      <c r="C869" s="40" t="inlineStr">
        <is>
          <t>550001</t>
        </is>
      </c>
      <c r="D869" s="41" t="inlineStr">
        <is>
          <t>翩鸿灵动决</t>
        </is>
      </c>
      <c r="E869" s="41" t="inlineStr">
        <is>
          <t>15</t>
        </is>
      </c>
      <c r="F869" s="41" t="inlineStr">
        <is>
          <t>120|85</t>
        </is>
      </c>
      <c r="G869" s="41" t="inlineStr">
        <is>
          <t>10001|33750$122001|20700$122006|436</t>
        </is>
      </c>
      <c r="J869" s="42" t="inlineStr">
        <is>
          <t>提高[0]攻速，但降低自身[1]攻击</t>
        </is>
      </c>
      <c r="K869" s="41" t="inlineStr">
        <is>
          <t>120|85</t>
        </is>
      </c>
    </row>
    <row r="870" customFormat="1" s="41">
      <c r="B870" s="41" t="n">
        <v>10867</v>
      </c>
      <c r="C870" s="40" t="inlineStr">
        <is>
          <t>550001</t>
        </is>
      </c>
      <c r="D870" s="41" t="inlineStr">
        <is>
          <t>翩鸿灵动决</t>
        </is>
      </c>
      <c r="E870" s="41" t="inlineStr">
        <is>
          <t>16</t>
        </is>
      </c>
      <c r="F870" s="41" t="inlineStr">
        <is>
          <t>125|84</t>
        </is>
      </c>
      <c r="G870" s="41" t="inlineStr">
        <is>
          <t>10001|38400$122001|23552$122006|480</t>
        </is>
      </c>
      <c r="J870" s="42" t="inlineStr">
        <is>
          <t>提高[0]攻速，但降低自身[1]攻击</t>
        </is>
      </c>
      <c r="K870" s="41" t="inlineStr">
        <is>
          <t>125|84</t>
        </is>
      </c>
    </row>
    <row r="871" customFormat="1" s="41">
      <c r="B871" s="41" t="n">
        <v>10868</v>
      </c>
      <c r="C871" s="40" t="inlineStr">
        <is>
          <t>550001</t>
        </is>
      </c>
      <c r="D871" s="41" t="inlineStr">
        <is>
          <t>翩鸿灵动决</t>
        </is>
      </c>
      <c r="E871" s="41" t="inlineStr">
        <is>
          <t>17</t>
        </is>
      </c>
      <c r="F871" s="41" t="inlineStr">
        <is>
          <t>130|83</t>
        </is>
      </c>
      <c r="G871" s="41" t="inlineStr">
        <is>
          <t>10001|43350$122001|26588$122006|526</t>
        </is>
      </c>
      <c r="J871" s="42" t="inlineStr">
        <is>
          <t>提高[0]攻速，但降低自身[1]攻击</t>
        </is>
      </c>
      <c r="K871" s="41" t="inlineStr">
        <is>
          <t>130|83</t>
        </is>
      </c>
    </row>
    <row r="872" customFormat="1" s="41">
      <c r="B872" s="41" t="n">
        <v>10869</v>
      </c>
      <c r="C872" s="40" t="inlineStr">
        <is>
          <t>550001</t>
        </is>
      </c>
      <c r="D872" s="41" t="inlineStr">
        <is>
          <t>翩鸿灵动决</t>
        </is>
      </c>
      <c r="E872" s="41" t="inlineStr">
        <is>
          <t>18</t>
        </is>
      </c>
      <c r="F872" s="41" t="inlineStr">
        <is>
          <t>135|82</t>
        </is>
      </c>
      <c r="G872" s="41" t="inlineStr">
        <is>
          <t>10001|48600$122001|29808$122006|573</t>
        </is>
      </c>
      <c r="J872" s="42" t="inlineStr">
        <is>
          <t>提高[0]攻速，但降低自身[1]攻击</t>
        </is>
      </c>
      <c r="K872" s="41" t="inlineStr">
        <is>
          <t>135|82</t>
        </is>
      </c>
    </row>
    <row r="873" customFormat="1" s="41">
      <c r="B873" s="41" t="n">
        <v>10870</v>
      </c>
      <c r="C873" s="40" t="inlineStr">
        <is>
          <t>550001</t>
        </is>
      </c>
      <c r="D873" s="41" t="inlineStr">
        <is>
          <t>翩鸿灵动决</t>
        </is>
      </c>
      <c r="E873" s="41" t="inlineStr">
        <is>
          <t>19</t>
        </is>
      </c>
      <c r="F873" s="41" t="inlineStr">
        <is>
          <t>140|81</t>
        </is>
      </c>
      <c r="G873" s="41" t="inlineStr">
        <is>
          <t>10001|54150$122001|33212$122006|621</t>
        </is>
      </c>
      <c r="J873" s="42" t="inlineStr">
        <is>
          <t>提高[0]攻速，但降低自身[1]攻击</t>
        </is>
      </c>
      <c r="K873" s="41" t="inlineStr">
        <is>
          <t>140|81</t>
        </is>
      </c>
    </row>
    <row r="874" customFormat="1" s="41">
      <c r="B874" s="41" t="n">
        <v>10871</v>
      </c>
      <c r="C874" s="40" t="inlineStr">
        <is>
          <t>550001</t>
        </is>
      </c>
      <c r="D874" s="41" t="inlineStr">
        <is>
          <t>翩鸿灵动决</t>
        </is>
      </c>
      <c r="E874" s="41" t="inlineStr">
        <is>
          <t>20</t>
        </is>
      </c>
      <c r="F874" s="41" t="inlineStr">
        <is>
          <t>145|80</t>
        </is>
      </c>
      <c r="G874" s="41" t="inlineStr">
        <is>
          <t>10001|60000$123001|36800$123006|671</t>
        </is>
      </c>
      <c r="J874" s="42" t="inlineStr">
        <is>
          <t>提高[0]攻速，但降低自身[1]攻击</t>
        </is>
      </c>
      <c r="K874" s="41" t="inlineStr">
        <is>
          <t>145|80</t>
        </is>
      </c>
    </row>
    <row r="875" customFormat="1" s="41">
      <c r="B875" s="41" t="n">
        <v>10872</v>
      </c>
      <c r="C875" s="40" t="inlineStr">
        <is>
          <t>550001</t>
        </is>
      </c>
      <c r="D875" s="41" t="inlineStr">
        <is>
          <t>翩鸿灵动决</t>
        </is>
      </c>
      <c r="E875" s="41" t="inlineStr">
        <is>
          <t>21</t>
        </is>
      </c>
      <c r="F875" s="41" t="inlineStr">
        <is>
          <t>150|79</t>
        </is>
      </c>
      <c r="G875" s="41" t="inlineStr">
        <is>
          <t>10001|66150$123001|40572$123006|722</t>
        </is>
      </c>
      <c r="J875" s="42" t="inlineStr">
        <is>
          <t>提高[0]攻速，但降低自身[1]攻击</t>
        </is>
      </c>
      <c r="K875" s="41" t="inlineStr">
        <is>
          <t>150|79</t>
        </is>
      </c>
    </row>
    <row r="876" customFormat="1" s="41">
      <c r="B876" s="41" t="n">
        <v>10873</v>
      </c>
      <c r="C876" s="40" t="inlineStr">
        <is>
          <t>550001</t>
        </is>
      </c>
      <c r="D876" s="41" t="inlineStr">
        <is>
          <t>翩鸿灵动决</t>
        </is>
      </c>
      <c r="E876" s="41" t="inlineStr">
        <is>
          <t>22</t>
        </is>
      </c>
      <c r="F876" s="41" t="inlineStr">
        <is>
          <t>155|78</t>
        </is>
      </c>
      <c r="G876" s="41" t="inlineStr">
        <is>
          <t>10001|72600$123001|44528$123006|774</t>
        </is>
      </c>
      <c r="J876" s="42" t="inlineStr">
        <is>
          <t>提高[0]攻速，但降低自身[1]攻击</t>
        </is>
      </c>
      <c r="K876" s="41" t="inlineStr">
        <is>
          <t>155|78</t>
        </is>
      </c>
    </row>
    <row r="877" customFormat="1" s="41">
      <c r="B877" s="41" t="n">
        <v>10874</v>
      </c>
      <c r="C877" s="40" t="inlineStr">
        <is>
          <t>550001</t>
        </is>
      </c>
      <c r="D877" s="41" t="inlineStr">
        <is>
          <t>翩鸿灵动决</t>
        </is>
      </c>
      <c r="E877" s="41" t="inlineStr">
        <is>
          <t>23</t>
        </is>
      </c>
      <c r="F877" s="41" t="inlineStr">
        <is>
          <t>160|77</t>
        </is>
      </c>
      <c r="G877" s="41" t="inlineStr">
        <is>
          <t>10001|79350$123001|48668$123006|827</t>
        </is>
      </c>
      <c r="J877" s="42" t="inlineStr">
        <is>
          <t>提高[0]攻速，但降低自身[1]攻击</t>
        </is>
      </c>
      <c r="K877" s="41" t="inlineStr">
        <is>
          <t>160|77</t>
        </is>
      </c>
    </row>
    <row r="878" customFormat="1" s="41">
      <c r="B878" s="41" t="n">
        <v>10875</v>
      </c>
      <c r="C878" s="40" t="inlineStr">
        <is>
          <t>550001</t>
        </is>
      </c>
      <c r="D878" s="41" t="inlineStr">
        <is>
          <t>翩鸿灵动决</t>
        </is>
      </c>
      <c r="E878" s="41" t="inlineStr">
        <is>
          <t>24</t>
        </is>
      </c>
      <c r="F878" s="41" t="inlineStr">
        <is>
          <t>165|76</t>
        </is>
      </c>
      <c r="G878" s="41" t="inlineStr">
        <is>
          <t>10001|86400$123001|52992$123006|882</t>
        </is>
      </c>
      <c r="J878" s="42" t="inlineStr">
        <is>
          <t>提高[0]攻速，但降低自身[1]攻击</t>
        </is>
      </c>
      <c r="K878" s="41" t="inlineStr">
        <is>
          <t>165|76</t>
        </is>
      </c>
    </row>
    <row r="879" customFormat="1" s="41">
      <c r="B879" s="41" t="n">
        <v>10876</v>
      </c>
      <c r="C879" s="40" t="inlineStr">
        <is>
          <t>550001</t>
        </is>
      </c>
      <c r="D879" s="41" t="inlineStr">
        <is>
          <t>翩鸿灵动决</t>
        </is>
      </c>
      <c r="E879" s="41" t="inlineStr">
        <is>
          <t>25</t>
        </is>
      </c>
      <c r="F879" s="41" t="inlineStr">
        <is>
          <t>170|75</t>
        </is>
      </c>
      <c r="G879" s="41" t="inlineStr">
        <is>
          <t>10001|93750$123001|57500$123006|938</t>
        </is>
      </c>
      <c r="J879" s="42" t="inlineStr">
        <is>
          <t>提高[0]攻速，但降低自身[1]攻击</t>
        </is>
      </c>
      <c r="K879" s="41" t="inlineStr">
        <is>
          <t>170|75</t>
        </is>
      </c>
    </row>
    <row r="880" customFormat="1" s="41">
      <c r="B880" s="41" t="n">
        <v>10877</v>
      </c>
      <c r="C880" s="40" t="inlineStr">
        <is>
          <t>550001</t>
        </is>
      </c>
      <c r="D880" s="41" t="inlineStr">
        <is>
          <t>翩鸿灵动决</t>
        </is>
      </c>
      <c r="E880" s="41" t="inlineStr">
        <is>
          <t>26</t>
        </is>
      </c>
      <c r="F880" s="41" t="inlineStr">
        <is>
          <t>175|74</t>
        </is>
      </c>
      <c r="G880" s="41" t="inlineStr">
        <is>
          <t>10001|101400$123001|62192$123006|994</t>
        </is>
      </c>
      <c r="J880" s="42" t="inlineStr">
        <is>
          <t>提高[0]攻速，但降低自身[1]攻击</t>
        </is>
      </c>
      <c r="K880" s="41" t="inlineStr">
        <is>
          <t>175|74</t>
        </is>
      </c>
    </row>
    <row r="881" customFormat="1" s="41">
      <c r="B881" s="41" t="n">
        <v>10878</v>
      </c>
      <c r="C881" s="40" t="inlineStr">
        <is>
          <t>550001</t>
        </is>
      </c>
      <c r="D881" s="41" t="inlineStr">
        <is>
          <t>翩鸿灵动决</t>
        </is>
      </c>
      <c r="E881" s="41" t="inlineStr">
        <is>
          <t>27</t>
        </is>
      </c>
      <c r="F881" s="41" t="inlineStr">
        <is>
          <t>180|73</t>
        </is>
      </c>
      <c r="G881" s="41" t="inlineStr">
        <is>
          <t>10001|109350$123001|67068$123006|1052</t>
        </is>
      </c>
      <c r="J881" s="42" t="inlineStr">
        <is>
          <t>提高[0]攻速，但降低自身[1]攻击</t>
        </is>
      </c>
      <c r="K881" s="41" t="inlineStr">
        <is>
          <t>180|73</t>
        </is>
      </c>
    </row>
    <row r="882" customFormat="1" s="41">
      <c r="B882" s="41" t="n">
        <v>10879</v>
      </c>
      <c r="C882" s="40" t="inlineStr">
        <is>
          <t>550001</t>
        </is>
      </c>
      <c r="D882" s="41" t="inlineStr">
        <is>
          <t>翩鸿灵动决</t>
        </is>
      </c>
      <c r="E882" s="41" t="inlineStr">
        <is>
          <t>28</t>
        </is>
      </c>
      <c r="F882" s="41" t="inlineStr">
        <is>
          <t>185|72</t>
        </is>
      </c>
      <c r="G882" s="41" t="inlineStr">
        <is>
          <t>10001|117600$123001|72128$123006|1111</t>
        </is>
      </c>
      <c r="J882" s="42" t="inlineStr">
        <is>
          <t>提高[0]攻速，但降低自身[1]攻击</t>
        </is>
      </c>
      <c r="K882" s="41" t="inlineStr">
        <is>
          <t>185|72</t>
        </is>
      </c>
    </row>
    <row r="883" customFormat="1" s="41">
      <c r="B883" s="41" t="n">
        <v>10880</v>
      </c>
      <c r="C883" s="40" t="inlineStr">
        <is>
          <t>550001</t>
        </is>
      </c>
      <c r="D883" s="41" t="inlineStr">
        <is>
          <t>翩鸿灵动决</t>
        </is>
      </c>
      <c r="E883" s="41" t="inlineStr">
        <is>
          <t>29</t>
        </is>
      </c>
      <c r="F883" s="41" t="inlineStr">
        <is>
          <t>190|71</t>
        </is>
      </c>
      <c r="G883" s="41" t="inlineStr">
        <is>
          <t>10001|126150$123001|77372$123006|1171</t>
        </is>
      </c>
      <c r="J883" s="42" t="inlineStr">
        <is>
          <t>提高[0]攻速，但降低自身[1]攻击</t>
        </is>
      </c>
      <c r="K883" s="41" t="inlineStr">
        <is>
          <t>190|71</t>
        </is>
      </c>
    </row>
    <row r="884" customFormat="1" s="41">
      <c r="B884" s="41" t="n">
        <v>10881</v>
      </c>
      <c r="C884" s="40" t="inlineStr">
        <is>
          <t>550001</t>
        </is>
      </c>
      <c r="D884" s="41" t="inlineStr">
        <is>
          <t>翩鸿灵动决</t>
        </is>
      </c>
      <c r="E884" s="41" t="inlineStr">
        <is>
          <t>30</t>
        </is>
      </c>
      <c r="F884" s="41" t="inlineStr">
        <is>
          <t>195|70</t>
        </is>
      </c>
      <c r="G884" s="41" t="inlineStr">
        <is>
          <t>10001|135000$124001|82800$124006|1232</t>
        </is>
      </c>
      <c r="J884" s="42" t="inlineStr">
        <is>
          <t>提高[0]攻速，但降低自身[1]攻击</t>
        </is>
      </c>
      <c r="K884" s="41" t="inlineStr">
        <is>
          <t>195|70</t>
        </is>
      </c>
    </row>
    <row r="885" customFormat="1" s="41">
      <c r="B885" s="41" t="n">
        <v>10882</v>
      </c>
      <c r="C885" s="40" t="inlineStr">
        <is>
          <t>550001</t>
        </is>
      </c>
      <c r="D885" s="41" t="inlineStr">
        <is>
          <t>翩鸿灵动决</t>
        </is>
      </c>
      <c r="E885" s="41" t="inlineStr">
        <is>
          <t>31</t>
        </is>
      </c>
      <c r="F885" s="41" t="inlineStr">
        <is>
          <t>200|69</t>
        </is>
      </c>
      <c r="G885" s="41" t="inlineStr">
        <is>
          <t>10001|144150$124001|88412$124006|1295</t>
        </is>
      </c>
      <c r="J885" s="42" t="inlineStr">
        <is>
          <t>提高[0]攻速，但降低自身[1]攻击</t>
        </is>
      </c>
      <c r="K885" s="41" t="inlineStr">
        <is>
          <t>200|69</t>
        </is>
      </c>
    </row>
    <row r="886" customFormat="1" s="41">
      <c r="B886" s="41" t="n">
        <v>10883</v>
      </c>
      <c r="C886" s="40" t="inlineStr">
        <is>
          <t>550001</t>
        </is>
      </c>
      <c r="D886" s="41" t="inlineStr">
        <is>
          <t>翩鸿灵动决</t>
        </is>
      </c>
      <c r="E886" s="41" t="inlineStr">
        <is>
          <t>32</t>
        </is>
      </c>
      <c r="F886" s="41" t="inlineStr">
        <is>
          <t>205|68</t>
        </is>
      </c>
      <c r="G886" s="41" t="inlineStr">
        <is>
          <t>10001|153600$124001|94208$124006|1358</t>
        </is>
      </c>
      <c r="J886" s="42" t="inlineStr">
        <is>
          <t>提高[0]攻速，但降低自身[1]攻击</t>
        </is>
      </c>
      <c r="K886" s="41" t="inlineStr">
        <is>
          <t>205|68</t>
        </is>
      </c>
    </row>
    <row r="887" customFormat="1" s="41">
      <c r="B887" s="41" t="n">
        <v>10884</v>
      </c>
      <c r="C887" s="40" t="inlineStr">
        <is>
          <t>550001</t>
        </is>
      </c>
      <c r="D887" s="41" t="inlineStr">
        <is>
          <t>翩鸿灵动决</t>
        </is>
      </c>
      <c r="E887" s="41" t="inlineStr">
        <is>
          <t>33</t>
        </is>
      </c>
      <c r="F887" s="41" t="inlineStr">
        <is>
          <t>210|67</t>
        </is>
      </c>
      <c r="G887" s="41" t="inlineStr">
        <is>
          <t>10001|163350$124001|100188$124006|1422</t>
        </is>
      </c>
      <c r="J887" s="42" t="inlineStr">
        <is>
          <t>提高[0]攻速，但降低自身[1]攻击</t>
        </is>
      </c>
      <c r="K887" s="41" t="inlineStr">
        <is>
          <t>210|67</t>
        </is>
      </c>
    </row>
    <row r="888" customFormat="1" s="41">
      <c r="B888" s="41" t="n">
        <v>10885</v>
      </c>
      <c r="C888" s="40" t="inlineStr">
        <is>
          <t>550001</t>
        </is>
      </c>
      <c r="D888" s="41" t="inlineStr">
        <is>
          <t>翩鸿灵动决</t>
        </is>
      </c>
      <c r="E888" s="41" t="inlineStr">
        <is>
          <t>34</t>
        </is>
      </c>
      <c r="F888" s="41" t="inlineStr">
        <is>
          <t>215|66</t>
        </is>
      </c>
      <c r="G888" s="41" t="inlineStr">
        <is>
          <t>10001|173400$124001|106352$124006|1487</t>
        </is>
      </c>
      <c r="J888" s="42" t="inlineStr">
        <is>
          <t>提高[0]攻速，但降低自身[1]攻击</t>
        </is>
      </c>
      <c r="K888" s="41" t="inlineStr">
        <is>
          <t>215|66</t>
        </is>
      </c>
    </row>
    <row r="889" customFormat="1" s="41">
      <c r="B889" s="41" t="n">
        <v>10886</v>
      </c>
      <c r="C889" s="40" t="inlineStr">
        <is>
          <t>550001</t>
        </is>
      </c>
      <c r="D889" s="41" t="inlineStr">
        <is>
          <t>翩鸿灵动决</t>
        </is>
      </c>
      <c r="E889" s="41" t="inlineStr">
        <is>
          <t>35</t>
        </is>
      </c>
      <c r="F889" s="41" t="inlineStr">
        <is>
          <t>220|65</t>
        </is>
      </c>
      <c r="G889" s="41" t="inlineStr">
        <is>
          <t>10001|183750$124001|112700$124006|1553</t>
        </is>
      </c>
      <c r="J889" s="42" t="inlineStr">
        <is>
          <t>提高[0]攻速，但降低自身[1]攻击</t>
        </is>
      </c>
      <c r="K889" s="41" t="inlineStr">
        <is>
          <t>220|65</t>
        </is>
      </c>
    </row>
    <row r="890" customFormat="1" s="41">
      <c r="B890" s="41" t="n">
        <v>10887</v>
      </c>
      <c r="C890" s="40" t="inlineStr">
        <is>
          <t>550001</t>
        </is>
      </c>
      <c r="D890" s="41" t="inlineStr">
        <is>
          <t>翩鸿灵动决</t>
        </is>
      </c>
      <c r="E890" s="41" t="inlineStr">
        <is>
          <t>36</t>
        </is>
      </c>
      <c r="F890" s="41" t="inlineStr">
        <is>
          <t>225|64</t>
        </is>
      </c>
      <c r="G890" s="41" t="inlineStr">
        <is>
          <t>10001|194400$124001|119232$124006|1620</t>
        </is>
      </c>
      <c r="J890" s="42" t="inlineStr">
        <is>
          <t>提高[0]攻速，但降低自身[1]攻击</t>
        </is>
      </c>
      <c r="K890" s="41" t="inlineStr">
        <is>
          <t>225|64</t>
        </is>
      </c>
    </row>
    <row r="891" customFormat="1" s="41">
      <c r="B891" s="41" t="n">
        <v>10888</v>
      </c>
      <c r="C891" s="40" t="inlineStr">
        <is>
          <t>550001</t>
        </is>
      </c>
      <c r="D891" s="41" t="inlineStr">
        <is>
          <t>翩鸿灵动决</t>
        </is>
      </c>
      <c r="E891" s="41" t="inlineStr">
        <is>
          <t>37</t>
        </is>
      </c>
      <c r="F891" s="41" t="inlineStr">
        <is>
          <t>230|63</t>
        </is>
      </c>
      <c r="G891" s="41" t="inlineStr">
        <is>
          <t>10001|205350$124001|125948$124006|1688</t>
        </is>
      </c>
      <c r="J891" s="42" t="inlineStr">
        <is>
          <t>提高[0]攻速，但降低自身[1]攻击</t>
        </is>
      </c>
      <c r="K891" s="41" t="inlineStr">
        <is>
          <t>230|63</t>
        </is>
      </c>
    </row>
    <row r="892" customFormat="1" s="41">
      <c r="B892" s="41" t="n">
        <v>10889</v>
      </c>
      <c r="C892" s="40" t="inlineStr">
        <is>
          <t>550001</t>
        </is>
      </c>
      <c r="D892" s="41" t="inlineStr">
        <is>
          <t>翩鸿灵动决</t>
        </is>
      </c>
      <c r="E892" s="41" t="inlineStr">
        <is>
          <t>38</t>
        </is>
      </c>
      <c r="F892" s="41" t="inlineStr">
        <is>
          <t>235|62</t>
        </is>
      </c>
      <c r="G892" s="41" t="inlineStr">
        <is>
          <t>10001|216600$124001|132848$124006|1757</t>
        </is>
      </c>
      <c r="J892" s="42" t="inlineStr">
        <is>
          <t>提高[0]攻速，但降低自身[1]攻击</t>
        </is>
      </c>
      <c r="K892" s="41" t="inlineStr">
        <is>
          <t>235|62</t>
        </is>
      </c>
    </row>
    <row r="893" customFormat="1" s="41">
      <c r="B893" s="41" t="n">
        <v>10890</v>
      </c>
      <c r="C893" s="40" t="inlineStr">
        <is>
          <t>550001</t>
        </is>
      </c>
      <c r="D893" s="41" t="inlineStr">
        <is>
          <t>翩鸿灵动决</t>
        </is>
      </c>
      <c r="E893" s="41" t="inlineStr">
        <is>
          <t>39</t>
        </is>
      </c>
      <c r="F893" s="41" t="inlineStr">
        <is>
          <t>240|61</t>
        </is>
      </c>
      <c r="G893" s="41" t="inlineStr">
        <is>
          <t>10001|228150$124001|139932$124006|1827</t>
        </is>
      </c>
      <c r="J893" s="42" t="inlineStr">
        <is>
          <t>提高[0]攻速，但降低自身[1]攻击</t>
        </is>
      </c>
      <c r="K893" s="41" t="inlineStr">
        <is>
          <t>240|61</t>
        </is>
      </c>
    </row>
    <row r="894" customFormat="1" s="41">
      <c r="B894" s="41" t="n">
        <v>10891</v>
      </c>
      <c r="C894" s="40" t="inlineStr">
        <is>
          <t>550001</t>
        </is>
      </c>
      <c r="D894" s="41" t="inlineStr">
        <is>
          <t>翩鸿灵动决</t>
        </is>
      </c>
      <c r="E894" s="41" t="inlineStr">
        <is>
          <t>40</t>
        </is>
      </c>
      <c r="F894" s="41" t="inlineStr">
        <is>
          <t>245|60</t>
        </is>
      </c>
      <c r="G894" s="41" t="inlineStr">
        <is>
          <t>10001|240000$125001|147200$125006|1897</t>
        </is>
      </c>
      <c r="J894" s="42" t="inlineStr">
        <is>
          <t>提高[0]攻速，但降低自身[1]攻击</t>
        </is>
      </c>
      <c r="K894" s="41" t="inlineStr">
        <is>
          <t>245|60</t>
        </is>
      </c>
    </row>
    <row r="895" customFormat="1" s="41">
      <c r="B895" s="41" t="n">
        <v>10892</v>
      </c>
      <c r="C895" s="40" t="inlineStr">
        <is>
          <t>550001</t>
        </is>
      </c>
      <c r="D895" s="41" t="inlineStr">
        <is>
          <t>翩鸿灵动决</t>
        </is>
      </c>
      <c r="E895" s="41" t="inlineStr">
        <is>
          <t>41</t>
        </is>
      </c>
      <c r="F895" s="41" t="inlineStr">
        <is>
          <t>250|59</t>
        </is>
      </c>
      <c r="G895" s="41" t="inlineStr">
        <is>
          <t>10001|252150$125001|154652$125006|1969</t>
        </is>
      </c>
      <c r="J895" s="42" t="inlineStr">
        <is>
          <t>提高[0]攻速，但降低自身[1]攻击</t>
        </is>
      </c>
      <c r="K895" s="41" t="inlineStr">
        <is>
          <t>250|59</t>
        </is>
      </c>
    </row>
    <row r="896" customFormat="1" s="41">
      <c r="B896" s="41" t="n">
        <v>10893</v>
      </c>
      <c r="C896" s="40" t="inlineStr">
        <is>
          <t>550001</t>
        </is>
      </c>
      <c r="D896" s="41" t="inlineStr">
        <is>
          <t>翩鸿灵动决</t>
        </is>
      </c>
      <c r="E896" s="41" t="inlineStr">
        <is>
          <t>42</t>
        </is>
      </c>
      <c r="F896" s="41" t="inlineStr">
        <is>
          <t>255|58</t>
        </is>
      </c>
      <c r="G896" s="41" t="inlineStr">
        <is>
          <t>10001|264600$125001|162288$125006|2041</t>
        </is>
      </c>
      <c r="J896" s="42" t="inlineStr">
        <is>
          <t>提高[0]攻速，但降低自身[1]攻击</t>
        </is>
      </c>
      <c r="K896" s="41" t="inlineStr">
        <is>
          <t>255|58</t>
        </is>
      </c>
    </row>
    <row r="897" customFormat="1" s="41">
      <c r="B897" s="41" t="n">
        <v>10894</v>
      </c>
      <c r="C897" s="40" t="inlineStr">
        <is>
          <t>550001</t>
        </is>
      </c>
      <c r="D897" s="41" t="inlineStr">
        <is>
          <t>翩鸿灵动决</t>
        </is>
      </c>
      <c r="E897" s="41" t="inlineStr">
        <is>
          <t>43</t>
        </is>
      </c>
      <c r="F897" s="41" t="inlineStr">
        <is>
          <t>260|57</t>
        </is>
      </c>
      <c r="G897" s="41" t="inlineStr">
        <is>
          <t>10001|277350$125001|170108$125006|2115</t>
        </is>
      </c>
      <c r="J897" s="42" t="inlineStr">
        <is>
          <t>提高[0]攻速，但降低自身[1]攻击</t>
        </is>
      </c>
      <c r="K897" s="41" t="inlineStr">
        <is>
          <t>260|57</t>
        </is>
      </c>
    </row>
    <row r="898" customFormat="1" s="41">
      <c r="B898" s="41" t="n">
        <v>10895</v>
      </c>
      <c r="C898" s="40" t="inlineStr">
        <is>
          <t>550001</t>
        </is>
      </c>
      <c r="D898" s="41" t="inlineStr">
        <is>
          <t>翩鸿灵动决</t>
        </is>
      </c>
      <c r="E898" s="41" t="inlineStr">
        <is>
          <t>44</t>
        </is>
      </c>
      <c r="F898" s="41" t="inlineStr">
        <is>
          <t>265|56</t>
        </is>
      </c>
      <c r="G898" s="41" t="inlineStr">
        <is>
          <t>10001|290400$125001|178112$125006|2189</t>
        </is>
      </c>
      <c r="J898" s="42" t="inlineStr">
        <is>
          <t>提高[0]攻速，但降低自身[1]攻击</t>
        </is>
      </c>
      <c r="K898" s="41" t="inlineStr">
        <is>
          <t>265|56</t>
        </is>
      </c>
    </row>
    <row r="899" customFormat="1" s="41">
      <c r="B899" s="41" t="n">
        <v>10896</v>
      </c>
      <c r="C899" s="40" t="inlineStr">
        <is>
          <t>550001</t>
        </is>
      </c>
      <c r="D899" s="41" t="inlineStr">
        <is>
          <t>翩鸿灵动决</t>
        </is>
      </c>
      <c r="E899" s="41" t="inlineStr">
        <is>
          <t>45</t>
        </is>
      </c>
      <c r="F899" s="41" t="inlineStr">
        <is>
          <t>270|55</t>
        </is>
      </c>
      <c r="G899" s="41" t="inlineStr">
        <is>
          <t>10001|303750$125001|186300$125006|2264</t>
        </is>
      </c>
      <c r="J899" s="42" t="inlineStr">
        <is>
          <t>提高[0]攻速，但降低自身[1]攻击</t>
        </is>
      </c>
      <c r="K899" s="41" t="inlineStr">
        <is>
          <t>270|55</t>
        </is>
      </c>
    </row>
    <row r="900" customFormat="1" s="41">
      <c r="B900" s="41" t="n">
        <v>10897</v>
      </c>
      <c r="C900" s="40" t="inlineStr">
        <is>
          <t>550001</t>
        </is>
      </c>
      <c r="D900" s="41" t="inlineStr">
        <is>
          <t>翩鸿灵动决</t>
        </is>
      </c>
      <c r="E900" s="41" t="inlineStr">
        <is>
          <t>46</t>
        </is>
      </c>
      <c r="F900" s="41" t="inlineStr">
        <is>
          <t>275|54</t>
        </is>
      </c>
      <c r="G900" s="41" t="inlineStr">
        <is>
          <t>10001|317400$125001|194672$125006|2340</t>
        </is>
      </c>
      <c r="J900" s="42" t="inlineStr">
        <is>
          <t>提高[0]攻速，但降低自身[1]攻击</t>
        </is>
      </c>
      <c r="K900" s="41" t="inlineStr">
        <is>
          <t>275|54</t>
        </is>
      </c>
    </row>
    <row r="901" customFormat="1" s="41">
      <c r="B901" s="41" t="n">
        <v>10898</v>
      </c>
      <c r="C901" s="40" t="inlineStr">
        <is>
          <t>550001</t>
        </is>
      </c>
      <c r="D901" s="41" t="inlineStr">
        <is>
          <t>翩鸿灵动决</t>
        </is>
      </c>
      <c r="E901" s="41" t="inlineStr">
        <is>
          <t>47</t>
        </is>
      </c>
      <c r="F901" s="41" t="inlineStr">
        <is>
          <t>280|53</t>
        </is>
      </c>
      <c r="G901" s="41" t="inlineStr">
        <is>
          <t>10001|331350$125001|203228$125006|2417</t>
        </is>
      </c>
      <c r="J901" s="42" t="inlineStr">
        <is>
          <t>提高[0]攻速，但降低自身[1]攻击</t>
        </is>
      </c>
      <c r="K901" s="41" t="inlineStr">
        <is>
          <t>280|53</t>
        </is>
      </c>
    </row>
    <row r="902" customFormat="1" s="41">
      <c r="B902" s="41" t="n">
        <v>10899</v>
      </c>
      <c r="C902" s="40" t="inlineStr">
        <is>
          <t>550001</t>
        </is>
      </c>
      <c r="D902" s="41" t="inlineStr">
        <is>
          <t>翩鸿灵动决</t>
        </is>
      </c>
      <c r="E902" s="41" t="inlineStr">
        <is>
          <t>48</t>
        </is>
      </c>
      <c r="F902" s="41" t="inlineStr">
        <is>
          <t>285|52</t>
        </is>
      </c>
      <c r="G902" s="41" t="inlineStr">
        <is>
          <t>10001|345600$125001|211968$125006|2494</t>
        </is>
      </c>
      <c r="J902" s="42" t="inlineStr">
        <is>
          <t>提高[0]攻速，但降低自身[1]攻击</t>
        </is>
      </c>
      <c r="K902" s="41" t="inlineStr">
        <is>
          <t>285|52</t>
        </is>
      </c>
    </row>
    <row r="903">
      <c r="B903" s="41" t="n">
        <v>10900</v>
      </c>
      <c r="C903" s="40" t="inlineStr">
        <is>
          <t>550001</t>
        </is>
      </c>
      <c r="D903" s="41" t="inlineStr">
        <is>
          <t>翩鸿灵动决</t>
        </is>
      </c>
      <c r="E903" s="41" t="inlineStr">
        <is>
          <t>49</t>
        </is>
      </c>
      <c r="F903" s="41" t="inlineStr">
        <is>
          <t>290|51</t>
        </is>
      </c>
      <c r="G903" s="41" t="inlineStr">
        <is>
          <t>10001|360150$125001|220892$125006|2573</t>
        </is>
      </c>
      <c r="J903" s="42" t="inlineStr">
        <is>
          <t>提高[0]攻速，但降低自身[1]攻击</t>
        </is>
      </c>
      <c r="K903" s="41" t="inlineStr">
        <is>
          <t>290|51</t>
        </is>
      </c>
    </row>
    <row r="904">
      <c r="B904" s="41" t="n">
        <v>10901</v>
      </c>
      <c r="C904" s="40" t="inlineStr">
        <is>
          <t>550001</t>
        </is>
      </c>
      <c r="D904" s="41" t="inlineStr">
        <is>
          <t>翩鸿灵动决</t>
        </is>
      </c>
      <c r="E904" s="41" t="inlineStr">
        <is>
          <t>50</t>
        </is>
      </c>
      <c r="F904" s="42" t="inlineStr">
        <is>
          <t>295|50</t>
        </is>
      </c>
      <c r="G904" s="41" t="inlineStr">
        <is>
          <t>10001|375000$125001|230000$125006|2652</t>
        </is>
      </c>
      <c r="J904" s="42" t="inlineStr">
        <is>
          <t>提高[0]攻速，但降低自身[1]攻击</t>
        </is>
      </c>
      <c r="K904" s="42" t="inlineStr">
        <is>
          <t>295|50</t>
        </is>
      </c>
    </row>
    <row r="905">
      <c r="B905" s="18" t="n">
        <v>10902</v>
      </c>
      <c r="C905" s="18" t="inlineStr">
        <is>
          <t>440003</t>
        </is>
      </c>
      <c r="D905" s="32" t="inlineStr">
        <is>
          <t>蓝元增攻诀</t>
        </is>
      </c>
      <c r="E905" s="18" t="inlineStr">
        <is>
          <t>1</t>
        </is>
      </c>
      <c r="F905" s="18" t="n">
        <v>10</v>
      </c>
      <c r="G905" s="18" t="inlineStr">
        <is>
          <t>10001|150$121001|92$121006|8</t>
        </is>
      </c>
      <c r="J905" s="26" t="inlineStr">
        <is>
          <t>攻击力增加[0]</t>
        </is>
      </c>
      <c r="K905" s="18" t="n">
        <v>10</v>
      </c>
    </row>
    <row r="906">
      <c r="B906" s="18" t="n">
        <v>10903</v>
      </c>
      <c r="C906" s="18" t="inlineStr">
        <is>
          <t>440003</t>
        </is>
      </c>
      <c r="D906" s="32" t="inlineStr">
        <is>
          <t>蓝元增攻诀</t>
        </is>
      </c>
      <c r="E906" s="18" t="inlineStr">
        <is>
          <t>2</t>
        </is>
      </c>
      <c r="F906" s="18" t="n">
        <v>12</v>
      </c>
      <c r="G906" s="18" t="inlineStr">
        <is>
          <t>10001|600$121001|368$121006|21</t>
        </is>
      </c>
      <c r="J906" s="26" t="inlineStr">
        <is>
          <t>攻击力增加[0]</t>
        </is>
      </c>
      <c r="K906" s="18" t="n">
        <v>12</v>
      </c>
    </row>
    <row r="907">
      <c r="B907" s="18" t="n">
        <v>10904</v>
      </c>
      <c r="C907" s="18" t="inlineStr">
        <is>
          <t>440003</t>
        </is>
      </c>
      <c r="D907" s="32" t="inlineStr">
        <is>
          <t>蓝元增攻诀</t>
        </is>
      </c>
      <c r="E907" s="18" t="inlineStr">
        <is>
          <t>3</t>
        </is>
      </c>
      <c r="F907" s="18" t="n">
        <v>13</v>
      </c>
      <c r="G907" s="18" t="inlineStr">
        <is>
          <t>10001|1350$121001|828$121006|39</t>
        </is>
      </c>
      <c r="J907" s="26" t="inlineStr">
        <is>
          <t>攻击力增加[0]</t>
        </is>
      </c>
      <c r="K907" s="18" t="n">
        <v>13</v>
      </c>
    </row>
    <row r="908">
      <c r="B908" s="18" t="n">
        <v>10905</v>
      </c>
      <c r="C908" s="18" t="inlineStr">
        <is>
          <t>440003</t>
        </is>
      </c>
      <c r="D908" s="32" t="inlineStr">
        <is>
          <t>蓝元增攻诀</t>
        </is>
      </c>
      <c r="E908" s="18" t="inlineStr">
        <is>
          <t>4</t>
        </is>
      </c>
      <c r="F908" s="18" t="n">
        <v>15</v>
      </c>
      <c r="G908" s="18" t="inlineStr">
        <is>
          <t>10001|2400$121001|1472$121006|60</t>
        </is>
      </c>
      <c r="J908" s="26" t="inlineStr">
        <is>
          <t>攻击力增加[0]</t>
        </is>
      </c>
      <c r="K908" s="18" t="n">
        <v>15</v>
      </c>
    </row>
    <row r="909">
      <c r="B909" s="18" t="n">
        <v>10906</v>
      </c>
      <c r="C909" s="18" t="inlineStr">
        <is>
          <t>440003</t>
        </is>
      </c>
      <c r="D909" s="32" t="inlineStr">
        <is>
          <t>蓝元增攻诀</t>
        </is>
      </c>
      <c r="E909" s="18" t="inlineStr">
        <is>
          <t>5</t>
        </is>
      </c>
      <c r="F909" s="18" t="n">
        <v>16</v>
      </c>
      <c r="G909" s="18" t="inlineStr">
        <is>
          <t>10001|3750$121001|2300$121006|84</t>
        </is>
      </c>
      <c r="J909" s="26" t="inlineStr">
        <is>
          <t>攻击力增加[0]</t>
        </is>
      </c>
      <c r="K909" s="18" t="n">
        <v>16</v>
      </c>
    </row>
    <row r="910">
      <c r="B910" s="18" t="n">
        <v>10907</v>
      </c>
      <c r="C910" s="18" t="inlineStr">
        <is>
          <t>440003</t>
        </is>
      </c>
      <c r="D910" s="32" t="inlineStr">
        <is>
          <t>蓝元增攻诀</t>
        </is>
      </c>
      <c r="E910" s="18" t="inlineStr">
        <is>
          <t>6</t>
        </is>
      </c>
      <c r="F910" s="18" t="n">
        <v>18</v>
      </c>
      <c r="G910" s="18" t="inlineStr">
        <is>
          <t>10001|5400$121001|3312$121006|110</t>
        </is>
      </c>
      <c r="J910" s="26" t="inlineStr">
        <is>
          <t>攻击力增加[0]</t>
        </is>
      </c>
      <c r="K910" s="18" t="n">
        <v>18</v>
      </c>
    </row>
    <row r="911">
      <c r="B911" s="18" t="n">
        <v>10908</v>
      </c>
      <c r="C911" s="18" t="inlineStr">
        <is>
          <t>440003</t>
        </is>
      </c>
      <c r="D911" s="32" t="inlineStr">
        <is>
          <t>蓝元增攻诀</t>
        </is>
      </c>
      <c r="E911" s="18" t="inlineStr">
        <is>
          <t>7</t>
        </is>
      </c>
      <c r="F911" s="18" t="n">
        <v>19</v>
      </c>
      <c r="G911" s="18" t="inlineStr">
        <is>
          <t>10001|7350$121001|4508$121006|139</t>
        </is>
      </c>
      <c r="J911" s="26" t="inlineStr">
        <is>
          <t>攻击力增加[0]</t>
        </is>
      </c>
      <c r="K911" s="18" t="n">
        <v>19</v>
      </c>
    </row>
    <row r="912">
      <c r="B912" s="18" t="n">
        <v>10909</v>
      </c>
      <c r="C912" s="18" t="inlineStr">
        <is>
          <t>440003</t>
        </is>
      </c>
      <c r="D912" s="32" t="inlineStr">
        <is>
          <t>蓝元增攻诀</t>
        </is>
      </c>
      <c r="E912" s="18" t="inlineStr">
        <is>
          <t>8</t>
        </is>
      </c>
      <c r="F912" s="18" t="n">
        <v>21</v>
      </c>
      <c r="G912" s="18" t="inlineStr">
        <is>
          <t>10001|9600$121001|5888$121006|170</t>
        </is>
      </c>
      <c r="J912" s="26" t="inlineStr">
        <is>
          <t>攻击力增加[0]</t>
        </is>
      </c>
      <c r="K912" s="18" t="n">
        <v>21</v>
      </c>
    </row>
    <row r="913">
      <c r="B913" s="18" t="n">
        <v>10910</v>
      </c>
      <c r="C913" s="18" t="inlineStr">
        <is>
          <t>440003</t>
        </is>
      </c>
      <c r="D913" s="32" t="inlineStr">
        <is>
          <t>蓝元增攻诀</t>
        </is>
      </c>
      <c r="E913" s="18" t="inlineStr">
        <is>
          <t>9</t>
        </is>
      </c>
      <c r="F913" s="18" t="n">
        <v>22</v>
      </c>
      <c r="G913" s="18" t="inlineStr">
        <is>
          <t>10001|12150$121001|7452$121006|203</t>
        </is>
      </c>
      <c r="J913" s="26" t="inlineStr">
        <is>
          <t>攻击力增加[0]</t>
        </is>
      </c>
      <c r="K913" s="18" t="n">
        <v>22</v>
      </c>
    </row>
    <row r="914">
      <c r="B914" s="18" t="n">
        <v>10911</v>
      </c>
      <c r="C914" s="18" t="inlineStr">
        <is>
          <t>440003</t>
        </is>
      </c>
      <c r="D914" s="32" t="inlineStr">
        <is>
          <t>蓝元增攻诀</t>
        </is>
      </c>
      <c r="E914" s="18" t="inlineStr">
        <is>
          <t>10</t>
        </is>
      </c>
      <c r="F914" s="18" t="n">
        <v>24</v>
      </c>
      <c r="G914" s="18" t="inlineStr">
        <is>
          <t>10001|15000$122001|9200$122006|237</t>
        </is>
      </c>
      <c r="J914" s="26" t="inlineStr">
        <is>
          <t>攻击力增加[0]</t>
        </is>
      </c>
      <c r="K914" s="18" t="n">
        <v>24</v>
      </c>
    </row>
    <row r="915">
      <c r="B915" s="18" t="n">
        <v>10912</v>
      </c>
      <c r="C915" s="18" t="inlineStr">
        <is>
          <t>440003</t>
        </is>
      </c>
      <c r="D915" s="32" t="inlineStr">
        <is>
          <t>蓝元增攻诀</t>
        </is>
      </c>
      <c r="E915" s="18" t="inlineStr">
        <is>
          <t>11</t>
        </is>
      </c>
      <c r="F915" s="18" t="n">
        <v>25</v>
      </c>
      <c r="G915" s="18" t="inlineStr">
        <is>
          <t>10001|18150$122001|11132$122006|274</t>
        </is>
      </c>
      <c r="J915" s="26" t="inlineStr">
        <is>
          <t>攻击力增加[0]</t>
        </is>
      </c>
      <c r="K915" s="18" t="n">
        <v>25</v>
      </c>
    </row>
    <row r="916">
      <c r="B916" s="18" t="n">
        <v>10913</v>
      </c>
      <c r="C916" s="18" t="inlineStr">
        <is>
          <t>440003</t>
        </is>
      </c>
      <c r="D916" s="32" t="inlineStr">
        <is>
          <t>蓝元增攻诀</t>
        </is>
      </c>
      <c r="E916" s="18" t="inlineStr">
        <is>
          <t>12</t>
        </is>
      </c>
      <c r="F916" s="18" t="n">
        <v>27</v>
      </c>
      <c r="G916" s="18" t="inlineStr">
        <is>
          <t>10001|21600$122001|13248$122006|312</t>
        </is>
      </c>
      <c r="J916" s="26" t="inlineStr">
        <is>
          <t>攻击力增加[0]</t>
        </is>
      </c>
      <c r="K916" s="18" t="n">
        <v>27</v>
      </c>
    </row>
    <row r="917">
      <c r="B917" s="18" t="n">
        <v>10914</v>
      </c>
      <c r="C917" s="18" t="inlineStr">
        <is>
          <t>440003</t>
        </is>
      </c>
      <c r="D917" s="32" t="inlineStr">
        <is>
          <t>蓝元增攻诀</t>
        </is>
      </c>
      <c r="E917" s="18" t="inlineStr">
        <is>
          <t>13</t>
        </is>
      </c>
      <c r="F917" s="18" t="n">
        <v>28</v>
      </c>
      <c r="G917" s="18" t="inlineStr">
        <is>
          <t>10001|25350$122001|15548$122006|352</t>
        </is>
      </c>
      <c r="J917" s="26" t="inlineStr">
        <is>
          <t>攻击力增加[0]</t>
        </is>
      </c>
      <c r="K917" s="18" t="n">
        <v>28</v>
      </c>
    </row>
    <row r="918">
      <c r="B918" s="18" t="n">
        <v>10915</v>
      </c>
      <c r="C918" s="18" t="inlineStr">
        <is>
          <t>440003</t>
        </is>
      </c>
      <c r="D918" s="32" t="inlineStr">
        <is>
          <t>蓝元增攻诀</t>
        </is>
      </c>
      <c r="E918" s="18" t="inlineStr">
        <is>
          <t>14</t>
        </is>
      </c>
      <c r="F918" s="18" t="n">
        <v>30</v>
      </c>
      <c r="G918" s="18" t="inlineStr">
        <is>
          <t>10001|29400$122001|18032$122006|393</t>
        </is>
      </c>
      <c r="J918" s="26" t="inlineStr">
        <is>
          <t>攻击力增加[0]</t>
        </is>
      </c>
      <c r="K918" s="18" t="n">
        <v>30</v>
      </c>
    </row>
    <row r="919">
      <c r="B919" s="18" t="n">
        <v>10916</v>
      </c>
      <c r="C919" s="18" t="inlineStr">
        <is>
          <t>440003</t>
        </is>
      </c>
      <c r="D919" s="32" t="inlineStr">
        <is>
          <t>蓝元增攻诀</t>
        </is>
      </c>
      <c r="E919" s="18" t="inlineStr">
        <is>
          <t>15</t>
        </is>
      </c>
      <c r="F919" s="18" t="n">
        <v>31</v>
      </c>
      <c r="G919" s="18" t="inlineStr">
        <is>
          <t>10001|33750$122001|20700$122006|436</t>
        </is>
      </c>
      <c r="J919" s="26" t="inlineStr">
        <is>
          <t>攻击力增加[0]</t>
        </is>
      </c>
      <c r="K919" s="18" t="n">
        <v>31</v>
      </c>
    </row>
    <row r="920">
      <c r="B920" s="18" t="n">
        <v>10917</v>
      </c>
      <c r="C920" s="18" t="inlineStr">
        <is>
          <t>440003</t>
        </is>
      </c>
      <c r="D920" s="32" t="inlineStr">
        <is>
          <t>蓝元增攻诀</t>
        </is>
      </c>
      <c r="E920" s="18" t="inlineStr">
        <is>
          <t>16</t>
        </is>
      </c>
      <c r="F920" s="18" t="n">
        <v>33</v>
      </c>
      <c r="G920" s="18" t="inlineStr">
        <is>
          <t>10001|38400$122001|23552$122006|480</t>
        </is>
      </c>
      <c r="J920" s="26" t="inlineStr">
        <is>
          <t>攻击力增加[0]</t>
        </is>
      </c>
      <c r="K920" s="18" t="n">
        <v>33</v>
      </c>
    </row>
    <row r="921">
      <c r="B921" s="18" t="n">
        <v>10918</v>
      </c>
      <c r="C921" s="18" t="inlineStr">
        <is>
          <t>440003</t>
        </is>
      </c>
      <c r="D921" s="32" t="inlineStr">
        <is>
          <t>蓝元增攻诀</t>
        </is>
      </c>
      <c r="E921" s="18" t="inlineStr">
        <is>
          <t>17</t>
        </is>
      </c>
      <c r="F921" s="18" t="n">
        <v>34</v>
      </c>
      <c r="G921" s="18" t="inlineStr">
        <is>
          <t>10001|43350$122001|26588$122006|526</t>
        </is>
      </c>
      <c r="J921" s="26" t="inlineStr">
        <is>
          <t>攻击力增加[0]</t>
        </is>
      </c>
      <c r="K921" s="18" t="n">
        <v>34</v>
      </c>
    </row>
    <row r="922">
      <c r="B922" s="18" t="n">
        <v>10919</v>
      </c>
      <c r="C922" s="18" t="inlineStr">
        <is>
          <t>440003</t>
        </is>
      </c>
      <c r="D922" s="32" t="inlineStr">
        <is>
          <t>蓝元增攻诀</t>
        </is>
      </c>
      <c r="E922" s="18" t="inlineStr">
        <is>
          <t>18</t>
        </is>
      </c>
      <c r="F922" s="18" t="n">
        <v>36</v>
      </c>
      <c r="G922" s="18" t="inlineStr">
        <is>
          <t>10001|48600$122001|29808$122006|573</t>
        </is>
      </c>
      <c r="J922" s="26" t="inlineStr">
        <is>
          <t>攻击力增加[0]</t>
        </is>
      </c>
      <c r="K922" s="18" t="n">
        <v>36</v>
      </c>
    </row>
    <row r="923">
      <c r="B923" s="18" t="n">
        <v>10920</v>
      </c>
      <c r="C923" s="18" t="inlineStr">
        <is>
          <t>440003</t>
        </is>
      </c>
      <c r="D923" s="32" t="inlineStr">
        <is>
          <t>蓝元增攻诀</t>
        </is>
      </c>
      <c r="E923" s="18" t="inlineStr">
        <is>
          <t>19</t>
        </is>
      </c>
      <c r="F923" s="18" t="n">
        <v>37</v>
      </c>
      <c r="G923" s="18" t="inlineStr">
        <is>
          <t>10001|54150$122001|33212$122006|621</t>
        </is>
      </c>
      <c r="J923" s="26" t="inlineStr">
        <is>
          <t>攻击力增加[0]</t>
        </is>
      </c>
      <c r="K923" s="18" t="n">
        <v>37</v>
      </c>
    </row>
    <row r="924">
      <c r="B924" s="18" t="n">
        <v>10921</v>
      </c>
      <c r="C924" s="18" t="inlineStr">
        <is>
          <t>440003</t>
        </is>
      </c>
      <c r="D924" s="32" t="inlineStr">
        <is>
          <t>蓝元增攻诀</t>
        </is>
      </c>
      <c r="E924" s="18" t="inlineStr">
        <is>
          <t>20</t>
        </is>
      </c>
      <c r="F924" s="18" t="n">
        <v>39</v>
      </c>
      <c r="G924" s="18" t="inlineStr">
        <is>
          <t>10001|60000$123001|36800$123006|671</t>
        </is>
      </c>
      <c r="J924" s="26" t="inlineStr">
        <is>
          <t>攻击力增加[0]</t>
        </is>
      </c>
      <c r="K924" s="18" t="n">
        <v>39</v>
      </c>
    </row>
    <row r="925">
      <c r="B925" s="18" t="n">
        <v>10922</v>
      </c>
      <c r="C925" s="18" t="inlineStr">
        <is>
          <t>440003</t>
        </is>
      </c>
      <c r="D925" s="32" t="inlineStr">
        <is>
          <t>蓝元增攻诀</t>
        </is>
      </c>
      <c r="E925" s="18" t="inlineStr">
        <is>
          <t>21</t>
        </is>
      </c>
      <c r="F925" s="18" t="n">
        <v>40</v>
      </c>
      <c r="G925" s="18" t="inlineStr">
        <is>
          <t>10001|66150$123001|40572$123006|722</t>
        </is>
      </c>
      <c r="J925" s="26" t="inlineStr">
        <is>
          <t>攻击力增加[0]</t>
        </is>
      </c>
      <c r="K925" s="18" t="n">
        <v>40</v>
      </c>
    </row>
    <row r="926">
      <c r="B926" s="18" t="n">
        <v>10923</v>
      </c>
      <c r="C926" s="18" t="inlineStr">
        <is>
          <t>440003</t>
        </is>
      </c>
      <c r="D926" s="32" t="inlineStr">
        <is>
          <t>蓝元增攻诀</t>
        </is>
      </c>
      <c r="E926" s="18" t="inlineStr">
        <is>
          <t>22</t>
        </is>
      </c>
      <c r="F926" s="18" t="n">
        <v>42</v>
      </c>
      <c r="G926" s="18" t="inlineStr">
        <is>
          <t>10001|72600$123001|44528$123006|774</t>
        </is>
      </c>
      <c r="J926" s="26" t="inlineStr">
        <is>
          <t>攻击力增加[0]</t>
        </is>
      </c>
      <c r="K926" s="18" t="n">
        <v>42</v>
      </c>
    </row>
    <row r="927">
      <c r="B927" s="18" t="n">
        <v>10924</v>
      </c>
      <c r="C927" s="18" t="inlineStr">
        <is>
          <t>440003</t>
        </is>
      </c>
      <c r="D927" s="32" t="inlineStr">
        <is>
          <t>蓝元增攻诀</t>
        </is>
      </c>
      <c r="E927" s="18" t="inlineStr">
        <is>
          <t>23</t>
        </is>
      </c>
      <c r="F927" s="18" t="n">
        <v>43</v>
      </c>
      <c r="G927" s="18" t="inlineStr">
        <is>
          <t>10001|79350$123001|48668$123006|827</t>
        </is>
      </c>
      <c r="J927" s="26" t="inlineStr">
        <is>
          <t>攻击力增加[0]</t>
        </is>
      </c>
      <c r="K927" s="18" t="n">
        <v>43</v>
      </c>
    </row>
    <row r="928">
      <c r="B928" s="18" t="n">
        <v>10925</v>
      </c>
      <c r="C928" s="18" t="inlineStr">
        <is>
          <t>440003</t>
        </is>
      </c>
      <c r="D928" s="32" t="inlineStr">
        <is>
          <t>蓝元增攻诀</t>
        </is>
      </c>
      <c r="E928" s="18" t="inlineStr">
        <is>
          <t>24</t>
        </is>
      </c>
      <c r="F928" s="18" t="n">
        <v>45</v>
      </c>
      <c r="G928" s="18" t="inlineStr">
        <is>
          <t>10001|86400$123001|52992$123006|882</t>
        </is>
      </c>
      <c r="J928" s="26" t="inlineStr">
        <is>
          <t>攻击力增加[0]</t>
        </is>
      </c>
      <c r="K928" s="18" t="n">
        <v>45</v>
      </c>
    </row>
    <row r="929">
      <c r="B929" s="18" t="n">
        <v>10926</v>
      </c>
      <c r="C929" s="18" t="inlineStr">
        <is>
          <t>440003</t>
        </is>
      </c>
      <c r="D929" s="32" t="inlineStr">
        <is>
          <t>蓝元增攻诀</t>
        </is>
      </c>
      <c r="E929" s="18" t="inlineStr">
        <is>
          <t>25</t>
        </is>
      </c>
      <c r="F929" s="18" t="n">
        <v>46</v>
      </c>
      <c r="G929" s="18" t="inlineStr">
        <is>
          <t>10001|93750$123001|57500$123006|938</t>
        </is>
      </c>
      <c r="J929" s="26" t="inlineStr">
        <is>
          <t>攻击力增加[0]</t>
        </is>
      </c>
      <c r="K929" s="18" t="n">
        <v>46</v>
      </c>
    </row>
    <row r="930">
      <c r="B930" s="18" t="n">
        <v>10927</v>
      </c>
      <c r="C930" s="18" t="inlineStr">
        <is>
          <t>440003</t>
        </is>
      </c>
      <c r="D930" s="32" t="inlineStr">
        <is>
          <t>蓝元增攻诀</t>
        </is>
      </c>
      <c r="E930" s="18" t="inlineStr">
        <is>
          <t>26</t>
        </is>
      </c>
      <c r="F930" s="18" t="n">
        <v>48</v>
      </c>
      <c r="G930" s="18" t="inlineStr">
        <is>
          <t>10001|101400$123001|62192$123006|994</t>
        </is>
      </c>
      <c r="J930" s="26" t="inlineStr">
        <is>
          <t>攻击力增加[0]</t>
        </is>
      </c>
      <c r="K930" s="18" t="n">
        <v>48</v>
      </c>
    </row>
    <row r="931">
      <c r="B931" s="18" t="n">
        <v>10928</v>
      </c>
      <c r="C931" s="18" t="inlineStr">
        <is>
          <t>440003</t>
        </is>
      </c>
      <c r="D931" s="32" t="inlineStr">
        <is>
          <t>蓝元增攻诀</t>
        </is>
      </c>
      <c r="E931" s="18" t="inlineStr">
        <is>
          <t>27</t>
        </is>
      </c>
      <c r="F931" s="18" t="n">
        <v>49</v>
      </c>
      <c r="G931" s="18" t="inlineStr">
        <is>
          <t>10001|109350$123001|67068$123006|1052</t>
        </is>
      </c>
      <c r="J931" s="26" t="inlineStr">
        <is>
          <t>攻击力增加[0]</t>
        </is>
      </c>
      <c r="K931" s="18" t="n">
        <v>49</v>
      </c>
    </row>
    <row r="932">
      <c r="B932" s="18" t="n">
        <v>10929</v>
      </c>
      <c r="C932" s="18" t="inlineStr">
        <is>
          <t>440003</t>
        </is>
      </c>
      <c r="D932" s="32" t="inlineStr">
        <is>
          <t>蓝元增攻诀</t>
        </is>
      </c>
      <c r="E932" s="18" t="inlineStr">
        <is>
          <t>28</t>
        </is>
      </c>
      <c r="F932" s="18" t="n">
        <v>51</v>
      </c>
      <c r="G932" s="18" t="inlineStr">
        <is>
          <t>10001|117600$123001|72128$123006|1111</t>
        </is>
      </c>
      <c r="J932" s="26" t="inlineStr">
        <is>
          <t>攻击力增加[0]</t>
        </is>
      </c>
      <c r="K932" s="18" t="n">
        <v>51</v>
      </c>
    </row>
    <row r="933">
      <c r="B933" s="18" t="n">
        <v>10930</v>
      </c>
      <c r="C933" s="18" t="inlineStr">
        <is>
          <t>440003</t>
        </is>
      </c>
      <c r="D933" s="32" t="inlineStr">
        <is>
          <t>蓝元增攻诀</t>
        </is>
      </c>
      <c r="E933" s="18" t="inlineStr">
        <is>
          <t>29</t>
        </is>
      </c>
      <c r="F933" s="18" t="n">
        <v>52</v>
      </c>
      <c r="G933" s="18" t="inlineStr">
        <is>
          <t>10001|126150$123001|77372$123006|1171</t>
        </is>
      </c>
      <c r="J933" s="26" t="inlineStr">
        <is>
          <t>攻击力增加[0]</t>
        </is>
      </c>
      <c r="K933" s="18" t="n">
        <v>52</v>
      </c>
    </row>
    <row r="934">
      <c r="B934" s="18" t="n">
        <v>10931</v>
      </c>
      <c r="C934" s="18" t="inlineStr">
        <is>
          <t>440003</t>
        </is>
      </c>
      <c r="D934" s="32" t="inlineStr">
        <is>
          <t>蓝元增攻诀</t>
        </is>
      </c>
      <c r="E934" s="18" t="inlineStr">
        <is>
          <t>30</t>
        </is>
      </c>
      <c r="F934" s="18" t="n">
        <v>54</v>
      </c>
      <c r="G934" s="18" t="inlineStr">
        <is>
          <t>10001|135000$124001|82800$124006|1232</t>
        </is>
      </c>
      <c r="J934" s="26" t="inlineStr">
        <is>
          <t>攻击力增加[0]</t>
        </is>
      </c>
      <c r="K934" s="18" t="n">
        <v>54</v>
      </c>
    </row>
    <row r="935">
      <c r="B935" s="18" t="n">
        <v>10932</v>
      </c>
      <c r="C935" s="18" t="inlineStr">
        <is>
          <t>440003</t>
        </is>
      </c>
      <c r="D935" s="32" t="inlineStr">
        <is>
          <t>蓝元增攻诀</t>
        </is>
      </c>
      <c r="E935" s="18" t="inlineStr">
        <is>
          <t>31</t>
        </is>
      </c>
      <c r="F935" s="18" t="n">
        <v>55</v>
      </c>
      <c r="G935" s="18" t="inlineStr">
        <is>
          <t>10001|144150$124001|88412$124006|1295</t>
        </is>
      </c>
      <c r="J935" s="26" t="inlineStr">
        <is>
          <t>攻击力增加[0]</t>
        </is>
      </c>
      <c r="K935" s="18" t="n">
        <v>55</v>
      </c>
    </row>
    <row r="936">
      <c r="B936" s="18" t="n">
        <v>10933</v>
      </c>
      <c r="C936" s="18" t="inlineStr">
        <is>
          <t>440003</t>
        </is>
      </c>
      <c r="D936" s="32" t="inlineStr">
        <is>
          <t>蓝元增攻诀</t>
        </is>
      </c>
      <c r="E936" s="18" t="inlineStr">
        <is>
          <t>32</t>
        </is>
      </c>
      <c r="F936" s="18" t="n">
        <v>57</v>
      </c>
      <c r="G936" s="18" t="inlineStr">
        <is>
          <t>10001|153600$124001|94208$124006|1358</t>
        </is>
      </c>
      <c r="J936" s="26" t="inlineStr">
        <is>
          <t>攻击力增加[0]</t>
        </is>
      </c>
      <c r="K936" s="18" t="n">
        <v>57</v>
      </c>
    </row>
    <row r="937">
      <c r="B937" s="18" t="n">
        <v>10934</v>
      </c>
      <c r="C937" s="18" t="inlineStr">
        <is>
          <t>440003</t>
        </is>
      </c>
      <c r="D937" s="32" t="inlineStr">
        <is>
          <t>蓝元增攻诀</t>
        </is>
      </c>
      <c r="E937" s="18" t="inlineStr">
        <is>
          <t>33</t>
        </is>
      </c>
      <c r="F937" s="18" t="n">
        <v>58</v>
      </c>
      <c r="G937" s="18" t="inlineStr">
        <is>
          <t>10001|163350$124001|100188$124006|1422</t>
        </is>
      </c>
      <c r="J937" s="26" t="inlineStr">
        <is>
          <t>攻击力增加[0]</t>
        </is>
      </c>
      <c r="K937" s="18" t="n">
        <v>58</v>
      </c>
    </row>
    <row r="938">
      <c r="B938" s="18" t="n">
        <v>10935</v>
      </c>
      <c r="C938" s="18" t="inlineStr">
        <is>
          <t>440003</t>
        </is>
      </c>
      <c r="D938" s="32" t="inlineStr">
        <is>
          <t>蓝元增攻诀</t>
        </is>
      </c>
      <c r="E938" s="18" t="inlineStr">
        <is>
          <t>34</t>
        </is>
      </c>
      <c r="F938" s="18" t="n">
        <v>60</v>
      </c>
      <c r="G938" s="18" t="inlineStr">
        <is>
          <t>10001|173400$124001|106352$124006|1487</t>
        </is>
      </c>
      <c r="J938" s="26" t="inlineStr">
        <is>
          <t>攻击力增加[0]</t>
        </is>
      </c>
      <c r="K938" s="18" t="n">
        <v>60</v>
      </c>
    </row>
    <row r="939">
      <c r="B939" s="18" t="n">
        <v>10936</v>
      </c>
      <c r="C939" s="18" t="inlineStr">
        <is>
          <t>440003</t>
        </is>
      </c>
      <c r="D939" s="32" t="inlineStr">
        <is>
          <t>蓝元增攻诀</t>
        </is>
      </c>
      <c r="E939" s="18" t="inlineStr">
        <is>
          <t>35</t>
        </is>
      </c>
      <c r="F939" s="18" t="n">
        <v>61</v>
      </c>
      <c r="G939" s="18" t="inlineStr">
        <is>
          <t>10001|183750$124001|112700$124006|1553</t>
        </is>
      </c>
      <c r="J939" s="26" t="inlineStr">
        <is>
          <t>攻击力增加[0]</t>
        </is>
      </c>
      <c r="K939" s="18" t="n">
        <v>61</v>
      </c>
    </row>
    <row r="940">
      <c r="B940" s="18" t="n">
        <v>10937</v>
      </c>
      <c r="C940" s="18" t="inlineStr">
        <is>
          <t>440003</t>
        </is>
      </c>
      <c r="D940" s="32" t="inlineStr">
        <is>
          <t>蓝元增攻诀</t>
        </is>
      </c>
      <c r="E940" s="18" t="inlineStr">
        <is>
          <t>36</t>
        </is>
      </c>
      <c r="F940" s="18" t="n">
        <v>63</v>
      </c>
      <c r="G940" s="18" t="inlineStr">
        <is>
          <t>10001|194400$124001|119232$124006|1620</t>
        </is>
      </c>
      <c r="J940" s="26" t="inlineStr">
        <is>
          <t>攻击力增加[0]</t>
        </is>
      </c>
      <c r="K940" s="18" t="n">
        <v>63</v>
      </c>
    </row>
    <row r="941">
      <c r="B941" s="18" t="n">
        <v>10938</v>
      </c>
      <c r="C941" s="18" t="inlineStr">
        <is>
          <t>440003</t>
        </is>
      </c>
      <c r="D941" s="32" t="inlineStr">
        <is>
          <t>蓝元增攻诀</t>
        </is>
      </c>
      <c r="E941" s="18" t="inlineStr">
        <is>
          <t>37</t>
        </is>
      </c>
      <c r="F941" s="18" t="n">
        <v>64</v>
      </c>
      <c r="G941" s="18" t="inlineStr">
        <is>
          <t>10001|205350$124001|125948$124006|1688</t>
        </is>
      </c>
      <c r="J941" s="26" t="inlineStr">
        <is>
          <t>攻击力增加[0]</t>
        </is>
      </c>
      <c r="K941" s="18" t="n">
        <v>64</v>
      </c>
    </row>
    <row r="942">
      <c r="B942" s="18" t="n">
        <v>10939</v>
      </c>
      <c r="C942" s="18" t="inlineStr">
        <is>
          <t>440003</t>
        </is>
      </c>
      <c r="D942" s="32" t="inlineStr">
        <is>
          <t>蓝元增攻诀</t>
        </is>
      </c>
      <c r="E942" s="18" t="inlineStr">
        <is>
          <t>38</t>
        </is>
      </c>
      <c r="F942" s="18" t="n">
        <v>66</v>
      </c>
      <c r="G942" s="18" t="inlineStr">
        <is>
          <t>10001|216600$124001|132848$124006|1757</t>
        </is>
      </c>
      <c r="J942" s="26" t="inlineStr">
        <is>
          <t>攻击力增加[0]</t>
        </is>
      </c>
      <c r="K942" s="18" t="n">
        <v>66</v>
      </c>
    </row>
    <row r="943">
      <c r="B943" s="18" t="n">
        <v>10940</v>
      </c>
      <c r="C943" s="18" t="inlineStr">
        <is>
          <t>440003</t>
        </is>
      </c>
      <c r="D943" s="32" t="inlineStr">
        <is>
          <t>蓝元增攻诀</t>
        </is>
      </c>
      <c r="E943" s="18" t="inlineStr">
        <is>
          <t>39</t>
        </is>
      </c>
      <c r="F943" s="18" t="n">
        <v>67</v>
      </c>
      <c r="G943" s="18" t="inlineStr">
        <is>
          <t>10001|228150$124001|139932$124006|1827</t>
        </is>
      </c>
      <c r="J943" s="26" t="inlineStr">
        <is>
          <t>攻击力增加[0]</t>
        </is>
      </c>
      <c r="K943" s="18" t="n">
        <v>67</v>
      </c>
    </row>
    <row r="944">
      <c r="B944" s="18" t="n">
        <v>10941</v>
      </c>
      <c r="C944" s="18" t="inlineStr">
        <is>
          <t>440003</t>
        </is>
      </c>
      <c r="D944" s="32" t="inlineStr">
        <is>
          <t>蓝元增攻诀</t>
        </is>
      </c>
      <c r="E944" s="18" t="inlineStr">
        <is>
          <t>40</t>
        </is>
      </c>
      <c r="F944" s="18" t="n">
        <v>69</v>
      </c>
      <c r="G944" s="18" t="inlineStr">
        <is>
          <t>10001|240000$125001|147200$125006|1897</t>
        </is>
      </c>
      <c r="J944" s="26" t="inlineStr">
        <is>
          <t>攻击力增加[0]</t>
        </is>
      </c>
      <c r="K944" s="18" t="n">
        <v>69</v>
      </c>
    </row>
    <row r="945">
      <c r="B945" s="18" t="n">
        <v>10942</v>
      </c>
      <c r="C945" s="18" t="inlineStr">
        <is>
          <t>440003</t>
        </is>
      </c>
      <c r="D945" s="32" t="inlineStr">
        <is>
          <t>蓝元增攻诀</t>
        </is>
      </c>
      <c r="E945" s="18" t="inlineStr">
        <is>
          <t>41</t>
        </is>
      </c>
      <c r="F945" s="18" t="n">
        <v>70</v>
      </c>
      <c r="G945" s="18" t="inlineStr">
        <is>
          <t>10001|252150$125001|154652$125006|1969</t>
        </is>
      </c>
      <c r="J945" s="26" t="inlineStr">
        <is>
          <t>攻击力增加[0]</t>
        </is>
      </c>
      <c r="K945" s="18" t="n">
        <v>70</v>
      </c>
    </row>
    <row r="946">
      <c r="B946" s="18" t="n">
        <v>10943</v>
      </c>
      <c r="C946" s="18" t="inlineStr">
        <is>
          <t>440003</t>
        </is>
      </c>
      <c r="D946" s="32" t="inlineStr">
        <is>
          <t>蓝元增攻诀</t>
        </is>
      </c>
      <c r="E946" s="18" t="inlineStr">
        <is>
          <t>42</t>
        </is>
      </c>
      <c r="F946" s="18" t="n">
        <v>72</v>
      </c>
      <c r="G946" s="18" t="inlineStr">
        <is>
          <t>10001|264600$125001|162288$125006|2041</t>
        </is>
      </c>
      <c r="J946" s="26" t="inlineStr">
        <is>
          <t>攻击力增加[0]</t>
        </is>
      </c>
      <c r="K946" s="18" t="n">
        <v>72</v>
      </c>
    </row>
    <row r="947">
      <c r="B947" s="18" t="n">
        <v>10944</v>
      </c>
      <c r="C947" s="18" t="inlineStr">
        <is>
          <t>440003</t>
        </is>
      </c>
      <c r="D947" s="32" t="inlineStr">
        <is>
          <t>蓝元增攻诀</t>
        </is>
      </c>
      <c r="E947" s="18" t="inlineStr">
        <is>
          <t>43</t>
        </is>
      </c>
      <c r="F947" s="18" t="n">
        <v>73</v>
      </c>
      <c r="G947" s="18" t="inlineStr">
        <is>
          <t>10001|277350$125001|170108$125006|2115</t>
        </is>
      </c>
      <c r="J947" s="26" t="inlineStr">
        <is>
          <t>攻击力增加[0]</t>
        </is>
      </c>
      <c r="K947" s="18" t="n">
        <v>73</v>
      </c>
    </row>
    <row r="948">
      <c r="B948" s="18" t="n">
        <v>10945</v>
      </c>
      <c r="C948" s="18" t="inlineStr">
        <is>
          <t>440003</t>
        </is>
      </c>
      <c r="D948" s="32" t="inlineStr">
        <is>
          <t>蓝元增攻诀</t>
        </is>
      </c>
      <c r="E948" s="18" t="inlineStr">
        <is>
          <t>44</t>
        </is>
      </c>
      <c r="F948" s="18" t="n">
        <v>75</v>
      </c>
      <c r="G948" s="18" t="inlineStr">
        <is>
          <t>10001|290400$125001|178112$125006|2189</t>
        </is>
      </c>
      <c r="J948" s="26" t="inlineStr">
        <is>
          <t>攻击力增加[0]</t>
        </is>
      </c>
      <c r="K948" s="18" t="n">
        <v>75</v>
      </c>
    </row>
    <row r="949">
      <c r="B949" s="18" t="n">
        <v>10946</v>
      </c>
      <c r="C949" s="18" t="inlineStr">
        <is>
          <t>440003</t>
        </is>
      </c>
      <c r="D949" s="32" t="inlineStr">
        <is>
          <t>蓝元增攻诀</t>
        </is>
      </c>
      <c r="E949" s="18" t="inlineStr">
        <is>
          <t>45</t>
        </is>
      </c>
      <c r="F949" s="18" t="n">
        <v>76</v>
      </c>
      <c r="G949" s="18" t="inlineStr">
        <is>
          <t>10001|303750$125001|186300$125006|2264</t>
        </is>
      </c>
      <c r="J949" s="26" t="inlineStr">
        <is>
          <t>攻击力增加[0]</t>
        </is>
      </c>
      <c r="K949" s="18" t="n">
        <v>76</v>
      </c>
    </row>
    <row r="950">
      <c r="B950" s="18" t="n">
        <v>10947</v>
      </c>
      <c r="C950" s="18" t="inlineStr">
        <is>
          <t>440003</t>
        </is>
      </c>
      <c r="D950" s="32" t="inlineStr">
        <is>
          <t>蓝元增攻诀</t>
        </is>
      </c>
      <c r="E950" s="18" t="inlineStr">
        <is>
          <t>46</t>
        </is>
      </c>
      <c r="F950" s="18" t="n">
        <v>78</v>
      </c>
      <c r="G950" s="18" t="inlineStr">
        <is>
          <t>10001|317400$125001|194672$125006|2340</t>
        </is>
      </c>
      <c r="J950" s="26" t="inlineStr">
        <is>
          <t>攻击力增加[0]</t>
        </is>
      </c>
      <c r="K950" s="18" t="n">
        <v>78</v>
      </c>
    </row>
    <row r="951">
      <c r="B951" s="18" t="n">
        <v>10948</v>
      </c>
      <c r="C951" s="18" t="inlineStr">
        <is>
          <t>440003</t>
        </is>
      </c>
      <c r="D951" s="32" t="inlineStr">
        <is>
          <t>蓝元增攻诀</t>
        </is>
      </c>
      <c r="E951" s="18" t="inlineStr">
        <is>
          <t>47</t>
        </is>
      </c>
      <c r="F951" s="18" t="n">
        <v>79</v>
      </c>
      <c r="G951" s="18" t="inlineStr">
        <is>
          <t>10001|331350$125001|203228$125006|2417</t>
        </is>
      </c>
      <c r="J951" s="26" t="inlineStr">
        <is>
          <t>攻击力增加[0]</t>
        </is>
      </c>
      <c r="K951" s="18" t="n">
        <v>79</v>
      </c>
    </row>
    <row r="952">
      <c r="B952" s="18" t="n">
        <v>10949</v>
      </c>
      <c r="C952" s="18" t="inlineStr">
        <is>
          <t>440003</t>
        </is>
      </c>
      <c r="D952" s="32" t="inlineStr">
        <is>
          <t>蓝元增攻诀</t>
        </is>
      </c>
      <c r="E952" s="18" t="inlineStr">
        <is>
          <t>48</t>
        </is>
      </c>
      <c r="F952" s="18" t="n">
        <v>81</v>
      </c>
      <c r="G952" s="18" t="inlineStr">
        <is>
          <t>10001|345600$125001|211968$125006|2494</t>
        </is>
      </c>
      <c r="J952" s="26" t="inlineStr">
        <is>
          <t>攻击力增加[0]</t>
        </is>
      </c>
      <c r="K952" s="18" t="n">
        <v>81</v>
      </c>
    </row>
    <row r="953">
      <c r="B953" s="18" t="n">
        <v>10950</v>
      </c>
      <c r="C953" s="18" t="inlineStr">
        <is>
          <t>440003</t>
        </is>
      </c>
      <c r="D953" s="32" t="inlineStr">
        <is>
          <t>蓝元增攻诀</t>
        </is>
      </c>
      <c r="E953" s="18" t="inlineStr">
        <is>
          <t>49</t>
        </is>
      </c>
      <c r="F953" s="18" t="n">
        <v>82</v>
      </c>
      <c r="G953" s="18" t="inlineStr">
        <is>
          <t>10001|360150$125001|220892$125006|2573</t>
        </is>
      </c>
      <c r="J953" s="26" t="inlineStr">
        <is>
          <t>攻击力增加[0]</t>
        </is>
      </c>
      <c r="K953" s="18" t="n">
        <v>82</v>
      </c>
    </row>
    <row r="954">
      <c r="B954" s="18" t="n">
        <v>10951</v>
      </c>
      <c r="C954" s="18" t="inlineStr">
        <is>
          <t>440003</t>
        </is>
      </c>
      <c r="D954" s="32" t="inlineStr">
        <is>
          <t>蓝元增攻诀</t>
        </is>
      </c>
      <c r="E954" s="18" t="inlineStr">
        <is>
          <t>50</t>
        </is>
      </c>
      <c r="F954" s="18" t="n">
        <v>84</v>
      </c>
      <c r="G954" s="18" t="inlineStr">
        <is>
          <t>10001|375000$125001|230000$125006|2652</t>
        </is>
      </c>
      <c r="J954" s="26" t="inlineStr">
        <is>
          <t>攻击力增加[0]</t>
        </is>
      </c>
      <c r="K954" s="18" t="n">
        <v>84</v>
      </c>
    </row>
    <row r="955">
      <c r="B955" s="18" t="n">
        <v>10952</v>
      </c>
      <c r="C955" s="24" t="inlineStr">
        <is>
          <t>220001</t>
        </is>
      </c>
      <c r="D955" s="8" t="inlineStr">
        <is>
          <t>剑芒聚气诀</t>
        </is>
      </c>
      <c r="E955" s="18" t="inlineStr">
        <is>
          <t>1</t>
        </is>
      </c>
      <c r="F955" s="18" t="inlineStr">
        <is>
          <t>-90|-90|-90|-90|-90</t>
        </is>
      </c>
      <c r="G955" s="18" t="inlineStr">
        <is>
          <t>10001|150$121001|92$121006|8</t>
        </is>
      </c>
      <c r="H955" s="26" t="n">
        <v>10</v>
      </c>
      <c r="I955" s="18" t="n"/>
      <c r="J955" s="26" t="inlineStr">
        <is>
          <t>造成五段[0]%伤害，并回复[1]%真气</t>
        </is>
      </c>
      <c r="K955" s="18" t="inlineStr">
        <is>
          <t>10|10</t>
        </is>
      </c>
    </row>
    <row r="956">
      <c r="B956" s="18" t="n">
        <v>10953</v>
      </c>
      <c r="C956" s="24" t="inlineStr">
        <is>
          <t>220001</t>
        </is>
      </c>
      <c r="D956" s="8" t="inlineStr">
        <is>
          <t>剑芒聚气诀</t>
        </is>
      </c>
      <c r="E956" s="18" t="inlineStr">
        <is>
          <t>2</t>
        </is>
      </c>
      <c r="F956" s="18" t="inlineStr">
        <is>
          <t>-88|-88|-88|-88|-88</t>
        </is>
      </c>
      <c r="G956" s="18" t="inlineStr">
        <is>
          <t>10001|600$121001|368$121006|21</t>
        </is>
      </c>
      <c r="H956" s="26" t="n">
        <v>10.6</v>
      </c>
      <c r="I956" s="18" t="n"/>
      <c r="J956" s="26" t="inlineStr">
        <is>
          <t>造成五段[0]%伤害，并回复[1]%真气</t>
        </is>
      </c>
      <c r="K956" s="18" t="inlineStr">
        <is>
          <t>12|10.6</t>
        </is>
      </c>
    </row>
    <row r="957">
      <c r="B957" s="18" t="n">
        <v>10954</v>
      </c>
      <c r="C957" s="24" t="inlineStr">
        <is>
          <t>220001</t>
        </is>
      </c>
      <c r="D957" s="8" t="inlineStr">
        <is>
          <t>剑芒聚气诀</t>
        </is>
      </c>
      <c r="E957" s="18" t="inlineStr">
        <is>
          <t>3</t>
        </is>
      </c>
      <c r="F957" s="18" t="inlineStr">
        <is>
          <t>-86|-86|-86|-86|-86</t>
        </is>
      </c>
      <c r="G957" s="18" t="inlineStr">
        <is>
          <t>10001|1350$121001|828$121006|39</t>
        </is>
      </c>
      <c r="H957" s="26" t="n">
        <v>11.2</v>
      </c>
      <c r="I957" s="18" t="n"/>
      <c r="J957" s="26" t="inlineStr">
        <is>
          <t>造成五段[0]%伤害，并回复[1]%真气</t>
        </is>
      </c>
      <c r="K957" s="18" t="inlineStr">
        <is>
          <t>14|11.2</t>
        </is>
      </c>
    </row>
    <row r="958">
      <c r="B958" s="18" t="n">
        <v>10955</v>
      </c>
      <c r="C958" s="24" t="inlineStr">
        <is>
          <t>220001</t>
        </is>
      </c>
      <c r="D958" s="8" t="inlineStr">
        <is>
          <t>剑芒聚气诀</t>
        </is>
      </c>
      <c r="E958" s="18" t="inlineStr">
        <is>
          <t>4</t>
        </is>
      </c>
      <c r="F958" s="18" t="inlineStr">
        <is>
          <t>-84|-84|-84|-84|-84</t>
        </is>
      </c>
      <c r="G958" s="18" t="inlineStr">
        <is>
          <t>10001|2400$121001|1472$121006|60</t>
        </is>
      </c>
      <c r="H958" s="26" t="n">
        <v>11.8</v>
      </c>
      <c r="I958" s="18" t="n"/>
      <c r="J958" s="26" t="inlineStr">
        <is>
          <t>造成五段[0]%伤害，并回复[1]%真气</t>
        </is>
      </c>
      <c r="K958" s="18" t="inlineStr">
        <is>
          <t>16|11.8</t>
        </is>
      </c>
    </row>
    <row r="959">
      <c r="B959" s="18" t="n">
        <v>10956</v>
      </c>
      <c r="C959" s="24" t="inlineStr">
        <is>
          <t>220001</t>
        </is>
      </c>
      <c r="D959" s="8" t="inlineStr">
        <is>
          <t>剑芒聚气诀</t>
        </is>
      </c>
      <c r="E959" s="18" t="inlineStr">
        <is>
          <t>5</t>
        </is>
      </c>
      <c r="F959" s="18" t="inlineStr">
        <is>
          <t>-82|-82|-82|-82|-82</t>
        </is>
      </c>
      <c r="G959" s="18" t="inlineStr">
        <is>
          <t>10001|3750$121001|2300$121006|84</t>
        </is>
      </c>
      <c r="H959" s="26" t="n">
        <v>12.4</v>
      </c>
      <c r="I959" s="18" t="n"/>
      <c r="J959" s="26" t="inlineStr">
        <is>
          <t>造成五段[0]%伤害，并回复[1]%真气</t>
        </is>
      </c>
      <c r="K959" s="18" t="inlineStr">
        <is>
          <t>18|12.4</t>
        </is>
      </c>
    </row>
    <row r="960">
      <c r="B960" s="18" t="n">
        <v>10957</v>
      </c>
      <c r="C960" s="24" t="inlineStr">
        <is>
          <t>220001</t>
        </is>
      </c>
      <c r="D960" s="8" t="inlineStr">
        <is>
          <t>剑芒聚气诀</t>
        </is>
      </c>
      <c r="E960" s="18" t="inlineStr">
        <is>
          <t>6</t>
        </is>
      </c>
      <c r="F960" s="18" t="inlineStr">
        <is>
          <t>-80|-80|-80|-80|-80</t>
        </is>
      </c>
      <c r="G960" s="18" t="inlineStr">
        <is>
          <t>10001|5400$121001|3312$121006|110</t>
        </is>
      </c>
      <c r="H960" s="26" t="n">
        <v>13</v>
      </c>
      <c r="I960" s="18" t="n"/>
      <c r="J960" s="26" t="inlineStr">
        <is>
          <t>造成五段[0]%伤害，并回复[1]%真气</t>
        </is>
      </c>
      <c r="K960" s="18" t="inlineStr">
        <is>
          <t>20|13</t>
        </is>
      </c>
    </row>
    <row r="961">
      <c r="B961" s="18" t="n">
        <v>10958</v>
      </c>
      <c r="C961" s="24" t="inlineStr">
        <is>
          <t>220001</t>
        </is>
      </c>
      <c r="D961" s="8" t="inlineStr">
        <is>
          <t>剑芒聚气诀</t>
        </is>
      </c>
      <c r="E961" s="18" t="inlineStr">
        <is>
          <t>7</t>
        </is>
      </c>
      <c r="F961" s="18" t="inlineStr">
        <is>
          <t>-78|-78|-78|-78|-78</t>
        </is>
      </c>
      <c r="G961" s="18" t="inlineStr">
        <is>
          <t>10001|7350$121001|4508$121006|139</t>
        </is>
      </c>
      <c r="H961" s="26" t="n">
        <v>13.6</v>
      </c>
      <c r="I961" s="18" t="n"/>
      <c r="J961" s="26" t="inlineStr">
        <is>
          <t>造成五段[0]%伤害，并回复[1]%真气</t>
        </is>
      </c>
      <c r="K961" s="18" t="inlineStr">
        <is>
          <t>22|13.6</t>
        </is>
      </c>
    </row>
    <row r="962">
      <c r="B962" s="18" t="n">
        <v>10959</v>
      </c>
      <c r="C962" s="24" t="inlineStr">
        <is>
          <t>220001</t>
        </is>
      </c>
      <c r="D962" s="8" t="inlineStr">
        <is>
          <t>剑芒聚气诀</t>
        </is>
      </c>
      <c r="E962" s="18" t="inlineStr">
        <is>
          <t>8</t>
        </is>
      </c>
      <c r="F962" s="18" t="inlineStr">
        <is>
          <t>-76|-76|-76|-76|-76</t>
        </is>
      </c>
      <c r="G962" s="18" t="inlineStr">
        <is>
          <t>10001|9600$121001|5888$121006|170</t>
        </is>
      </c>
      <c r="H962" s="26" t="n">
        <v>14.2</v>
      </c>
      <c r="I962" s="18" t="n"/>
      <c r="J962" s="26" t="inlineStr">
        <is>
          <t>造成五段[0]%伤害，并回复[1]%真气</t>
        </is>
      </c>
      <c r="K962" s="18" t="inlineStr">
        <is>
          <t>24|14.2</t>
        </is>
      </c>
    </row>
    <row r="963">
      <c r="B963" s="18" t="n">
        <v>10960</v>
      </c>
      <c r="C963" s="24" t="inlineStr">
        <is>
          <t>220001</t>
        </is>
      </c>
      <c r="D963" s="8" t="inlineStr">
        <is>
          <t>剑芒聚气诀</t>
        </is>
      </c>
      <c r="E963" s="18" t="inlineStr">
        <is>
          <t>9</t>
        </is>
      </c>
      <c r="F963" s="18" t="inlineStr">
        <is>
          <t>-74|-74|-74|-74|-74</t>
        </is>
      </c>
      <c r="G963" s="18" t="inlineStr">
        <is>
          <t>10001|12150$121001|7452$121006|203</t>
        </is>
      </c>
      <c r="H963" s="26" t="n">
        <v>14.8</v>
      </c>
      <c r="I963" s="18" t="n"/>
      <c r="J963" s="26" t="inlineStr">
        <is>
          <t>造成五段[0]%伤害，并回复[1]%真气</t>
        </is>
      </c>
      <c r="K963" s="18" t="inlineStr">
        <is>
          <t>26|14.8</t>
        </is>
      </c>
    </row>
    <row r="964">
      <c r="B964" s="18" t="n">
        <v>10961</v>
      </c>
      <c r="C964" s="24" t="inlineStr">
        <is>
          <t>220001</t>
        </is>
      </c>
      <c r="D964" s="8" t="inlineStr">
        <is>
          <t>剑芒聚气诀</t>
        </is>
      </c>
      <c r="E964" s="18" t="inlineStr">
        <is>
          <t>10</t>
        </is>
      </c>
      <c r="F964" s="18" t="inlineStr">
        <is>
          <t>-72|-72|-72|-72|-72</t>
        </is>
      </c>
      <c r="G964" s="18" t="inlineStr">
        <is>
          <t>10001|15000$122001|9200$122006|237</t>
        </is>
      </c>
      <c r="H964" s="26" t="n">
        <v>15.4</v>
      </c>
      <c r="I964" s="18" t="n"/>
      <c r="J964" s="26" t="inlineStr">
        <is>
          <t>造成五段[0]%伤害，并回复[1]%真气</t>
        </is>
      </c>
      <c r="K964" s="18" t="inlineStr">
        <is>
          <t>28|15.4</t>
        </is>
      </c>
    </row>
    <row r="965">
      <c r="B965" s="18" t="n">
        <v>10962</v>
      </c>
      <c r="C965" s="24" t="inlineStr">
        <is>
          <t>220001</t>
        </is>
      </c>
      <c r="D965" s="8" t="inlineStr">
        <is>
          <t>剑芒聚气诀</t>
        </is>
      </c>
      <c r="E965" s="18" t="inlineStr">
        <is>
          <t>11</t>
        </is>
      </c>
      <c r="F965" s="18" t="inlineStr">
        <is>
          <t>-70|-70|-70|-70|-70</t>
        </is>
      </c>
      <c r="G965" s="18" t="inlineStr">
        <is>
          <t>10001|18150$122001|11132$122006|274</t>
        </is>
      </c>
      <c r="H965" s="26" t="n">
        <v>16</v>
      </c>
      <c r="I965" s="18" t="n"/>
      <c r="J965" s="26" t="inlineStr">
        <is>
          <t>造成五段[0]%伤害，并回复[1]%真气</t>
        </is>
      </c>
      <c r="K965" s="18" t="inlineStr">
        <is>
          <t>30|16</t>
        </is>
      </c>
    </row>
    <row r="966">
      <c r="B966" s="18" t="n">
        <v>10963</v>
      </c>
      <c r="C966" s="24" t="inlineStr">
        <is>
          <t>220001</t>
        </is>
      </c>
      <c r="D966" s="8" t="inlineStr">
        <is>
          <t>剑芒聚气诀</t>
        </is>
      </c>
      <c r="E966" s="18" t="inlineStr">
        <is>
          <t>12</t>
        </is>
      </c>
      <c r="F966" s="18" t="inlineStr">
        <is>
          <t>-68|-68|-68|-68|-68</t>
        </is>
      </c>
      <c r="G966" s="18" t="inlineStr">
        <is>
          <t>10001|21600$122001|13248$122006|312</t>
        </is>
      </c>
      <c r="H966" s="26" t="n">
        <v>16.6</v>
      </c>
      <c r="I966" s="18" t="n"/>
      <c r="J966" s="26" t="inlineStr">
        <is>
          <t>造成五段[0]%伤害，并回复[1]%真气</t>
        </is>
      </c>
      <c r="K966" s="18" t="inlineStr">
        <is>
          <t>32|16.6</t>
        </is>
      </c>
    </row>
    <row r="967">
      <c r="B967" s="18" t="n">
        <v>10964</v>
      </c>
      <c r="C967" s="24" t="inlineStr">
        <is>
          <t>220001</t>
        </is>
      </c>
      <c r="D967" s="8" t="inlineStr">
        <is>
          <t>剑芒聚气诀</t>
        </is>
      </c>
      <c r="E967" s="18" t="inlineStr">
        <is>
          <t>13</t>
        </is>
      </c>
      <c r="F967" s="18" t="inlineStr">
        <is>
          <t>-66|-66|-66|-66|-66</t>
        </is>
      </c>
      <c r="G967" s="18" t="inlineStr">
        <is>
          <t>10001|25350$122001|15548$122006|352</t>
        </is>
      </c>
      <c r="H967" s="26" t="n">
        <v>17.2</v>
      </c>
      <c r="I967" s="18" t="n"/>
      <c r="J967" s="26" t="inlineStr">
        <is>
          <t>造成五段[0]%伤害，并回复[1]%真气</t>
        </is>
      </c>
      <c r="K967" s="18" t="inlineStr">
        <is>
          <t>34|17.2</t>
        </is>
      </c>
    </row>
    <row r="968">
      <c r="B968" s="18" t="n">
        <v>10965</v>
      </c>
      <c r="C968" s="24" t="inlineStr">
        <is>
          <t>220001</t>
        </is>
      </c>
      <c r="D968" s="8" t="inlineStr">
        <is>
          <t>剑芒聚气诀</t>
        </is>
      </c>
      <c r="E968" s="18" t="inlineStr">
        <is>
          <t>14</t>
        </is>
      </c>
      <c r="F968" s="18" t="inlineStr">
        <is>
          <t>-64|-64|-64|-64|-64</t>
        </is>
      </c>
      <c r="G968" s="18" t="inlineStr">
        <is>
          <t>10001|29400$122001|18032$122006|393</t>
        </is>
      </c>
      <c r="H968" s="26" t="n">
        <v>17.8</v>
      </c>
      <c r="I968" s="18" t="n"/>
      <c r="J968" s="26" t="inlineStr">
        <is>
          <t>造成五段[0]%伤害，并回复[1]%真气</t>
        </is>
      </c>
      <c r="K968" s="18" t="inlineStr">
        <is>
          <t>36|17.8</t>
        </is>
      </c>
    </row>
    <row r="969">
      <c r="B969" s="18" t="n">
        <v>10966</v>
      </c>
      <c r="C969" s="24" t="inlineStr">
        <is>
          <t>220001</t>
        </is>
      </c>
      <c r="D969" s="8" t="inlineStr">
        <is>
          <t>剑芒聚气诀</t>
        </is>
      </c>
      <c r="E969" s="18" t="inlineStr">
        <is>
          <t>15</t>
        </is>
      </c>
      <c r="F969" s="18" t="inlineStr">
        <is>
          <t>-62|-62|-62|-62|-62</t>
        </is>
      </c>
      <c r="G969" s="18" t="inlineStr">
        <is>
          <t>10001|33750$122001|20700$122006|436</t>
        </is>
      </c>
      <c r="H969" s="26" t="n">
        <v>18.4</v>
      </c>
      <c r="I969" s="18" t="n"/>
      <c r="J969" s="26" t="inlineStr">
        <is>
          <t>造成五段[0]%伤害，并回复[1]%真气</t>
        </is>
      </c>
      <c r="K969" s="18" t="inlineStr">
        <is>
          <t>38|18.4</t>
        </is>
      </c>
    </row>
    <row r="970">
      <c r="B970" s="18" t="n">
        <v>10967</v>
      </c>
      <c r="C970" s="24" t="inlineStr">
        <is>
          <t>220001</t>
        </is>
      </c>
      <c r="D970" s="8" t="inlineStr">
        <is>
          <t>剑芒聚气诀</t>
        </is>
      </c>
      <c r="E970" s="18" t="inlineStr">
        <is>
          <t>16</t>
        </is>
      </c>
      <c r="F970" s="18" t="inlineStr">
        <is>
          <t>-60|-60|-60|-60|-60</t>
        </is>
      </c>
      <c r="G970" s="18" t="inlineStr">
        <is>
          <t>10001|38400$122001|23552$122006|480</t>
        </is>
      </c>
      <c r="H970" s="26" t="n">
        <v>19</v>
      </c>
      <c r="I970" s="18" t="n"/>
      <c r="J970" s="26" t="inlineStr">
        <is>
          <t>造成五段[0]%伤害，并回复[1]%真气</t>
        </is>
      </c>
      <c r="K970" s="18" t="inlineStr">
        <is>
          <t>40|19</t>
        </is>
      </c>
    </row>
    <row r="971">
      <c r="B971" s="18" t="n">
        <v>10968</v>
      </c>
      <c r="C971" s="24" t="inlineStr">
        <is>
          <t>220001</t>
        </is>
      </c>
      <c r="D971" s="8" t="inlineStr">
        <is>
          <t>剑芒聚气诀</t>
        </is>
      </c>
      <c r="E971" s="18" t="inlineStr">
        <is>
          <t>17</t>
        </is>
      </c>
      <c r="F971" s="18" t="inlineStr">
        <is>
          <t>-58|-58|-58|-58|-58</t>
        </is>
      </c>
      <c r="G971" s="18" t="inlineStr">
        <is>
          <t>10001|43350$122001|26588$122006|526</t>
        </is>
      </c>
      <c r="H971" s="26" t="n">
        <v>19.6</v>
      </c>
      <c r="I971" s="18" t="n"/>
      <c r="J971" s="26" t="inlineStr">
        <is>
          <t>造成五段[0]%伤害，并回复[1]%真气</t>
        </is>
      </c>
      <c r="K971" s="18" t="inlineStr">
        <is>
          <t>42|19.6</t>
        </is>
      </c>
    </row>
    <row r="972">
      <c r="B972" s="18" t="n">
        <v>10969</v>
      </c>
      <c r="C972" s="24" t="inlineStr">
        <is>
          <t>220001</t>
        </is>
      </c>
      <c r="D972" s="8" t="inlineStr">
        <is>
          <t>剑芒聚气诀</t>
        </is>
      </c>
      <c r="E972" s="18" t="inlineStr">
        <is>
          <t>18</t>
        </is>
      </c>
      <c r="F972" s="18" t="inlineStr">
        <is>
          <t>-56|-56|-56|-56|-56</t>
        </is>
      </c>
      <c r="G972" s="18" t="inlineStr">
        <is>
          <t>10001|48600$122001|29808$122006|573</t>
        </is>
      </c>
      <c r="H972" s="26" t="n">
        <v>20.2</v>
      </c>
      <c r="I972" s="18" t="n"/>
      <c r="J972" s="26" t="inlineStr">
        <is>
          <t>造成五段[0]%伤害，并回复[1]%真气</t>
        </is>
      </c>
      <c r="K972" s="18" t="inlineStr">
        <is>
          <t>44|20.2</t>
        </is>
      </c>
    </row>
    <row r="973">
      <c r="B973" s="18" t="n">
        <v>10970</v>
      </c>
      <c r="C973" s="24" t="inlineStr">
        <is>
          <t>220001</t>
        </is>
      </c>
      <c r="D973" s="8" t="inlineStr">
        <is>
          <t>剑芒聚气诀</t>
        </is>
      </c>
      <c r="E973" s="18" t="inlineStr">
        <is>
          <t>19</t>
        </is>
      </c>
      <c r="F973" s="18" t="inlineStr">
        <is>
          <t>-54|-54|-54|-54|-54</t>
        </is>
      </c>
      <c r="G973" s="18" t="inlineStr">
        <is>
          <t>10001|54150$122001|33212$122006|621</t>
        </is>
      </c>
      <c r="H973" s="26" t="n">
        <v>20.8</v>
      </c>
      <c r="I973" s="18" t="n"/>
      <c r="J973" s="26" t="inlineStr">
        <is>
          <t>造成五段[0]%伤害，并回复[1]%真气</t>
        </is>
      </c>
      <c r="K973" s="18" t="inlineStr">
        <is>
          <t>46|20.8</t>
        </is>
      </c>
    </row>
    <row r="974">
      <c r="B974" s="18" t="n">
        <v>10971</v>
      </c>
      <c r="C974" s="24" t="inlineStr">
        <is>
          <t>220001</t>
        </is>
      </c>
      <c r="D974" s="8" t="inlineStr">
        <is>
          <t>剑芒聚气诀</t>
        </is>
      </c>
      <c r="E974" s="18" t="inlineStr">
        <is>
          <t>20</t>
        </is>
      </c>
      <c r="F974" s="18" t="inlineStr">
        <is>
          <t>-52|-52|-52|-52|-52</t>
        </is>
      </c>
      <c r="G974" s="18" t="inlineStr">
        <is>
          <t>10001|60000$123001|36800$123006|671</t>
        </is>
      </c>
      <c r="H974" s="26" t="n">
        <v>21.4</v>
      </c>
      <c r="I974" s="18" t="n"/>
      <c r="J974" s="26" t="inlineStr">
        <is>
          <t>造成五段[0]%伤害，并回复[1]%真气</t>
        </is>
      </c>
      <c r="K974" s="18" t="inlineStr">
        <is>
          <t>48|21.4</t>
        </is>
      </c>
    </row>
    <row r="975">
      <c r="B975" s="18" t="n">
        <v>10972</v>
      </c>
      <c r="C975" s="24" t="inlineStr">
        <is>
          <t>220001</t>
        </is>
      </c>
      <c r="D975" s="8" t="inlineStr">
        <is>
          <t>剑芒聚气诀</t>
        </is>
      </c>
      <c r="E975" s="18" t="inlineStr">
        <is>
          <t>21</t>
        </is>
      </c>
      <c r="F975" s="18" t="inlineStr">
        <is>
          <t>-50|-50|-50|-50|-50</t>
        </is>
      </c>
      <c r="G975" s="18" t="inlineStr">
        <is>
          <t>10001|66150$123001|40572$123006|722</t>
        </is>
      </c>
      <c r="H975" s="26" t="n">
        <v>22</v>
      </c>
      <c r="I975" s="18" t="n"/>
      <c r="J975" s="26" t="inlineStr">
        <is>
          <t>造成五段[0]%伤害，并回复[1]%真气</t>
        </is>
      </c>
      <c r="K975" s="18" t="inlineStr">
        <is>
          <t>50|22</t>
        </is>
      </c>
    </row>
    <row r="976">
      <c r="B976" s="18" t="n">
        <v>10973</v>
      </c>
      <c r="C976" s="24" t="inlineStr">
        <is>
          <t>220001</t>
        </is>
      </c>
      <c r="D976" s="8" t="inlineStr">
        <is>
          <t>剑芒聚气诀</t>
        </is>
      </c>
      <c r="E976" s="18" t="inlineStr">
        <is>
          <t>22</t>
        </is>
      </c>
      <c r="F976" s="18" t="inlineStr">
        <is>
          <t>-48|-48|-48|-48|-48</t>
        </is>
      </c>
      <c r="G976" s="18" t="inlineStr">
        <is>
          <t>10001|72600$123001|44528$123006|774</t>
        </is>
      </c>
      <c r="H976" s="26" t="n">
        <v>22.6</v>
      </c>
      <c r="I976" s="18" t="n"/>
      <c r="J976" s="26" t="inlineStr">
        <is>
          <t>造成五段[0]%伤害，并回复[1]%真气</t>
        </is>
      </c>
      <c r="K976" s="18" t="inlineStr">
        <is>
          <t>52|22.6</t>
        </is>
      </c>
    </row>
    <row r="977">
      <c r="B977" s="18" t="n">
        <v>10974</v>
      </c>
      <c r="C977" s="24" t="inlineStr">
        <is>
          <t>220001</t>
        </is>
      </c>
      <c r="D977" s="8" t="inlineStr">
        <is>
          <t>剑芒聚气诀</t>
        </is>
      </c>
      <c r="E977" s="18" t="inlineStr">
        <is>
          <t>23</t>
        </is>
      </c>
      <c r="F977" s="18" t="inlineStr">
        <is>
          <t>-46|-46|-46|-46|-46</t>
        </is>
      </c>
      <c r="G977" s="18" t="inlineStr">
        <is>
          <t>10001|79350$123001|48668$123006|827</t>
        </is>
      </c>
      <c r="H977" s="26" t="n">
        <v>23.2</v>
      </c>
      <c r="I977" s="18" t="n"/>
      <c r="J977" s="26" t="inlineStr">
        <is>
          <t>造成五段[0]%伤害，并回复[1]%真气</t>
        </is>
      </c>
      <c r="K977" s="18" t="inlineStr">
        <is>
          <t>54|23.2</t>
        </is>
      </c>
    </row>
    <row r="978">
      <c r="B978" s="18" t="n">
        <v>10975</v>
      </c>
      <c r="C978" s="24" t="inlineStr">
        <is>
          <t>220001</t>
        </is>
      </c>
      <c r="D978" s="8" t="inlineStr">
        <is>
          <t>剑芒聚气诀</t>
        </is>
      </c>
      <c r="E978" s="18" t="inlineStr">
        <is>
          <t>24</t>
        </is>
      </c>
      <c r="F978" s="18" t="inlineStr">
        <is>
          <t>-44|-44|-44|-44|-44</t>
        </is>
      </c>
      <c r="G978" s="18" t="inlineStr">
        <is>
          <t>10001|86400$123001|52992$123006|882</t>
        </is>
      </c>
      <c r="H978" s="26" t="n">
        <v>23.8</v>
      </c>
      <c r="I978" s="18" t="n"/>
      <c r="J978" s="26" t="inlineStr">
        <is>
          <t>造成五段[0]%伤害，并回复[1]%真气</t>
        </is>
      </c>
      <c r="K978" s="18" t="inlineStr">
        <is>
          <t>56|23.8</t>
        </is>
      </c>
    </row>
    <row r="979">
      <c r="B979" s="18" t="n">
        <v>10976</v>
      </c>
      <c r="C979" s="24" t="inlineStr">
        <is>
          <t>220001</t>
        </is>
      </c>
      <c r="D979" s="8" t="inlineStr">
        <is>
          <t>剑芒聚气诀</t>
        </is>
      </c>
      <c r="E979" s="18" t="inlineStr">
        <is>
          <t>25</t>
        </is>
      </c>
      <c r="F979" s="18" t="inlineStr">
        <is>
          <t>-42|-42|-42|-42|-42</t>
        </is>
      </c>
      <c r="G979" s="18" t="inlineStr">
        <is>
          <t>10001|93750$123001|57500$123006|938</t>
        </is>
      </c>
      <c r="H979" s="26" t="n">
        <v>24.4</v>
      </c>
      <c r="I979" s="18" t="n"/>
      <c r="J979" s="26" t="inlineStr">
        <is>
          <t>造成五段[0]%伤害，并回复[1]%真气</t>
        </is>
      </c>
      <c r="K979" s="18" t="inlineStr">
        <is>
          <t>58|24.4</t>
        </is>
      </c>
    </row>
    <row r="980">
      <c r="B980" s="18" t="n">
        <v>10977</v>
      </c>
      <c r="C980" s="24" t="inlineStr">
        <is>
          <t>220001</t>
        </is>
      </c>
      <c r="D980" s="8" t="inlineStr">
        <is>
          <t>剑芒聚气诀</t>
        </is>
      </c>
      <c r="E980" s="18" t="inlineStr">
        <is>
          <t>26</t>
        </is>
      </c>
      <c r="F980" s="18" t="inlineStr">
        <is>
          <t>-40|-40|-40|-40|-40</t>
        </is>
      </c>
      <c r="G980" s="18" t="inlineStr">
        <is>
          <t>10001|101400$123001|62192$123006|994</t>
        </is>
      </c>
      <c r="H980" s="26" t="n">
        <v>25</v>
      </c>
      <c r="I980" s="18" t="n"/>
      <c r="J980" s="26" t="inlineStr">
        <is>
          <t>造成五段[0]%伤害，并回复[1]%真气</t>
        </is>
      </c>
      <c r="K980" s="18" t="inlineStr">
        <is>
          <t>60|25</t>
        </is>
      </c>
    </row>
    <row r="981">
      <c r="B981" s="18" t="n">
        <v>10978</v>
      </c>
      <c r="C981" s="24" t="inlineStr">
        <is>
          <t>220001</t>
        </is>
      </c>
      <c r="D981" s="8" t="inlineStr">
        <is>
          <t>剑芒聚气诀</t>
        </is>
      </c>
      <c r="E981" s="18" t="inlineStr">
        <is>
          <t>27</t>
        </is>
      </c>
      <c r="F981" s="18" t="inlineStr">
        <is>
          <t>-38|-38|-38|-38|-38</t>
        </is>
      </c>
      <c r="G981" s="18" t="inlineStr">
        <is>
          <t>10001|109350$123001|67068$123006|1052</t>
        </is>
      </c>
      <c r="H981" s="26" t="n">
        <v>25.6</v>
      </c>
      <c r="I981" s="18" t="n"/>
      <c r="J981" s="26" t="inlineStr">
        <is>
          <t>造成五段[0]%伤害，并回复[1]%真气</t>
        </is>
      </c>
      <c r="K981" s="18" t="inlineStr">
        <is>
          <t>62|25.6</t>
        </is>
      </c>
    </row>
    <row r="982">
      <c r="B982" s="18" t="n">
        <v>10979</v>
      </c>
      <c r="C982" s="24" t="inlineStr">
        <is>
          <t>220001</t>
        </is>
      </c>
      <c r="D982" s="8" t="inlineStr">
        <is>
          <t>剑芒聚气诀</t>
        </is>
      </c>
      <c r="E982" s="18" t="inlineStr">
        <is>
          <t>28</t>
        </is>
      </c>
      <c r="F982" s="18" t="inlineStr">
        <is>
          <t>-36|-36|-36|-36|-36</t>
        </is>
      </c>
      <c r="G982" s="18" t="inlineStr">
        <is>
          <t>10001|117600$123001|72128$123006|1111</t>
        </is>
      </c>
      <c r="H982" s="26" t="n">
        <v>26.2</v>
      </c>
      <c r="I982" s="18" t="n"/>
      <c r="J982" s="26" t="inlineStr">
        <is>
          <t>造成五段[0]%伤害，并回复[1]%真气</t>
        </is>
      </c>
      <c r="K982" s="18" t="inlineStr">
        <is>
          <t>64|26.2</t>
        </is>
      </c>
    </row>
    <row r="983">
      <c r="B983" s="18" t="n">
        <v>10980</v>
      </c>
      <c r="C983" s="24" t="inlineStr">
        <is>
          <t>220001</t>
        </is>
      </c>
      <c r="D983" s="8" t="inlineStr">
        <is>
          <t>剑芒聚气诀</t>
        </is>
      </c>
      <c r="E983" s="18" t="inlineStr">
        <is>
          <t>29</t>
        </is>
      </c>
      <c r="F983" s="18" t="inlineStr">
        <is>
          <t>-34|-34|-34|-34|-34</t>
        </is>
      </c>
      <c r="G983" s="18" t="inlineStr">
        <is>
          <t>10001|126150$123001|77372$123006|1171</t>
        </is>
      </c>
      <c r="H983" s="26" t="n">
        <v>26.8</v>
      </c>
      <c r="I983" s="18" t="n"/>
      <c r="J983" s="26" t="inlineStr">
        <is>
          <t>造成五段[0]%伤害，并回复[1]%真气</t>
        </is>
      </c>
      <c r="K983" s="18" t="inlineStr">
        <is>
          <t>66|26.8</t>
        </is>
      </c>
    </row>
    <row r="984">
      <c r="B984" s="18" t="n">
        <v>10981</v>
      </c>
      <c r="C984" s="24" t="inlineStr">
        <is>
          <t>220001</t>
        </is>
      </c>
      <c r="D984" s="8" t="inlineStr">
        <is>
          <t>剑芒聚气诀</t>
        </is>
      </c>
      <c r="E984" s="18" t="inlineStr">
        <is>
          <t>30</t>
        </is>
      </c>
      <c r="F984" s="18" t="inlineStr">
        <is>
          <t>-32|-32|-32|-32|-32</t>
        </is>
      </c>
      <c r="G984" s="18" t="inlineStr">
        <is>
          <t>10001|135000$124001|82800$124006|1232</t>
        </is>
      </c>
      <c r="H984" s="26" t="n">
        <v>27.4</v>
      </c>
      <c r="I984" s="18" t="n"/>
      <c r="J984" s="26" t="inlineStr">
        <is>
          <t>造成五段[0]%伤害，并回复[1]%真气</t>
        </is>
      </c>
      <c r="K984" s="18" t="inlineStr">
        <is>
          <t>68|27.4</t>
        </is>
      </c>
    </row>
    <row r="985">
      <c r="B985" s="18" t="n">
        <v>10982</v>
      </c>
      <c r="C985" s="24" t="inlineStr">
        <is>
          <t>220001</t>
        </is>
      </c>
      <c r="D985" s="8" t="inlineStr">
        <is>
          <t>剑芒聚气诀</t>
        </is>
      </c>
      <c r="E985" s="18" t="inlineStr">
        <is>
          <t>31</t>
        </is>
      </c>
      <c r="F985" s="18" t="inlineStr">
        <is>
          <t>-30|-30|-30|-30|-30</t>
        </is>
      </c>
      <c r="G985" s="18" t="inlineStr">
        <is>
          <t>10001|144150$124001|88412$124006|1295</t>
        </is>
      </c>
      <c r="H985" s="26" t="n">
        <v>28</v>
      </c>
      <c r="I985" s="18" t="n"/>
      <c r="J985" s="26" t="inlineStr">
        <is>
          <t>造成五段[0]%伤害，并回复[1]%真气</t>
        </is>
      </c>
      <c r="K985" s="18" t="inlineStr">
        <is>
          <t>70|28</t>
        </is>
      </c>
    </row>
    <row r="986">
      <c r="B986" s="18" t="n">
        <v>10983</v>
      </c>
      <c r="C986" s="24" t="inlineStr">
        <is>
          <t>220001</t>
        </is>
      </c>
      <c r="D986" s="8" t="inlineStr">
        <is>
          <t>剑芒聚气诀</t>
        </is>
      </c>
      <c r="E986" s="18" t="inlineStr">
        <is>
          <t>32</t>
        </is>
      </c>
      <c r="F986" s="18" t="inlineStr">
        <is>
          <t>-28|-28|-28|-28|-28</t>
        </is>
      </c>
      <c r="G986" s="18" t="inlineStr">
        <is>
          <t>10001|153600$124001|94208$124006|1358</t>
        </is>
      </c>
      <c r="H986" s="26" t="n">
        <v>28.6</v>
      </c>
      <c r="I986" s="18" t="n"/>
      <c r="J986" s="26" t="inlineStr">
        <is>
          <t>造成五段[0]%伤害，并回复[1]%真气</t>
        </is>
      </c>
      <c r="K986" s="18" t="inlineStr">
        <is>
          <t>72|28.6</t>
        </is>
      </c>
    </row>
    <row r="987">
      <c r="B987" s="18" t="n">
        <v>10984</v>
      </c>
      <c r="C987" s="24" t="inlineStr">
        <is>
          <t>220001</t>
        </is>
      </c>
      <c r="D987" s="8" t="inlineStr">
        <is>
          <t>剑芒聚气诀</t>
        </is>
      </c>
      <c r="E987" s="18" t="inlineStr">
        <is>
          <t>33</t>
        </is>
      </c>
      <c r="F987" s="18" t="inlineStr">
        <is>
          <t>-26|-26|-26|-26|-26</t>
        </is>
      </c>
      <c r="G987" s="18" t="inlineStr">
        <is>
          <t>10001|163350$124001|100188$124006|1422</t>
        </is>
      </c>
      <c r="H987" s="26" t="n">
        <v>29.2</v>
      </c>
      <c r="I987" s="18" t="n"/>
      <c r="J987" s="26" t="inlineStr">
        <is>
          <t>造成五段[0]%伤害，并回复[1]%真气</t>
        </is>
      </c>
      <c r="K987" s="18" t="inlineStr">
        <is>
          <t>74|29.2</t>
        </is>
      </c>
    </row>
    <row r="988">
      <c r="B988" s="18" t="n">
        <v>10985</v>
      </c>
      <c r="C988" s="24" t="inlineStr">
        <is>
          <t>220001</t>
        </is>
      </c>
      <c r="D988" s="8" t="inlineStr">
        <is>
          <t>剑芒聚气诀</t>
        </is>
      </c>
      <c r="E988" s="18" t="inlineStr">
        <is>
          <t>34</t>
        </is>
      </c>
      <c r="F988" s="18" t="inlineStr">
        <is>
          <t>-24|-24|-24|-24|-24</t>
        </is>
      </c>
      <c r="G988" s="18" t="inlineStr">
        <is>
          <t>10001|173400$124001|106352$124006|1487</t>
        </is>
      </c>
      <c r="H988" s="26" t="n">
        <v>29.8</v>
      </c>
      <c r="I988" s="18" t="n"/>
      <c r="J988" s="26" t="inlineStr">
        <is>
          <t>造成五段[0]%伤害，并回复[1]%真气</t>
        </is>
      </c>
      <c r="K988" s="18" t="inlineStr">
        <is>
          <t>76|29.8</t>
        </is>
      </c>
    </row>
    <row r="989">
      <c r="B989" s="18" t="n">
        <v>10986</v>
      </c>
      <c r="C989" s="24" t="inlineStr">
        <is>
          <t>220001</t>
        </is>
      </c>
      <c r="D989" s="8" t="inlineStr">
        <is>
          <t>剑芒聚气诀</t>
        </is>
      </c>
      <c r="E989" s="18" t="inlineStr">
        <is>
          <t>35</t>
        </is>
      </c>
      <c r="F989" s="18" t="inlineStr">
        <is>
          <t>-22|-22|-22|-22|-22</t>
        </is>
      </c>
      <c r="G989" s="18" t="inlineStr">
        <is>
          <t>10001|183750$124001|112700$124006|1553</t>
        </is>
      </c>
      <c r="H989" s="26" t="n">
        <v>30.4</v>
      </c>
      <c r="I989" s="18" t="n"/>
      <c r="J989" s="26" t="inlineStr">
        <is>
          <t>造成五段[0]%伤害，并回复[1]%真气</t>
        </is>
      </c>
      <c r="K989" s="18" t="inlineStr">
        <is>
          <t>78|30.4</t>
        </is>
      </c>
    </row>
    <row r="990">
      <c r="B990" s="18" t="n">
        <v>10987</v>
      </c>
      <c r="C990" s="24" t="inlineStr">
        <is>
          <t>220001</t>
        </is>
      </c>
      <c r="D990" s="8" t="inlineStr">
        <is>
          <t>剑芒聚气诀</t>
        </is>
      </c>
      <c r="E990" s="18" t="inlineStr">
        <is>
          <t>36</t>
        </is>
      </c>
      <c r="F990" s="18" t="inlineStr">
        <is>
          <t>-20|-20|-20|-20|-20</t>
        </is>
      </c>
      <c r="G990" s="18" t="inlineStr">
        <is>
          <t>10001|194400$124001|119232$124006|1620</t>
        </is>
      </c>
      <c r="H990" s="26" t="n">
        <v>31</v>
      </c>
      <c r="I990" s="18" t="n"/>
      <c r="J990" s="26" t="inlineStr">
        <is>
          <t>造成五段[0]%伤害，并回复[1]%真气</t>
        </is>
      </c>
      <c r="K990" s="18" t="inlineStr">
        <is>
          <t>80|31</t>
        </is>
      </c>
    </row>
    <row r="991">
      <c r="B991" s="18" t="n">
        <v>10988</v>
      </c>
      <c r="C991" s="24" t="inlineStr">
        <is>
          <t>220001</t>
        </is>
      </c>
      <c r="D991" s="8" t="inlineStr">
        <is>
          <t>剑芒聚气诀</t>
        </is>
      </c>
      <c r="E991" s="18" t="inlineStr">
        <is>
          <t>37</t>
        </is>
      </c>
      <c r="F991" s="18" t="inlineStr">
        <is>
          <t>-18|-18|-18|-18|-18</t>
        </is>
      </c>
      <c r="G991" s="18" t="inlineStr">
        <is>
          <t>10001|205350$124001|125948$124006|1688</t>
        </is>
      </c>
      <c r="H991" s="26" t="n">
        <v>31.6</v>
      </c>
      <c r="I991" s="18" t="n"/>
      <c r="J991" s="26" t="inlineStr">
        <is>
          <t>造成五段[0]%伤害，并回复[1]%真气</t>
        </is>
      </c>
      <c r="K991" s="18" t="inlineStr">
        <is>
          <t>82|31.6</t>
        </is>
      </c>
    </row>
    <row r="992">
      <c r="B992" s="18" t="n">
        <v>10989</v>
      </c>
      <c r="C992" s="24" t="inlineStr">
        <is>
          <t>220001</t>
        </is>
      </c>
      <c r="D992" s="8" t="inlineStr">
        <is>
          <t>剑芒聚气诀</t>
        </is>
      </c>
      <c r="E992" s="18" t="inlineStr">
        <is>
          <t>38</t>
        </is>
      </c>
      <c r="F992" s="18" t="inlineStr">
        <is>
          <t>-16|-16|-16|-16|-16</t>
        </is>
      </c>
      <c r="G992" s="18" t="inlineStr">
        <is>
          <t>10001|216600$124001|132848$124006|1757</t>
        </is>
      </c>
      <c r="H992" s="26" t="n">
        <v>32.2</v>
      </c>
      <c r="I992" s="18" t="n"/>
      <c r="J992" s="26" t="inlineStr">
        <is>
          <t>造成五段[0]%伤害，并回复[1]%真气</t>
        </is>
      </c>
      <c r="K992" s="18" t="inlineStr">
        <is>
          <t>84|32.2</t>
        </is>
      </c>
    </row>
    <row r="993">
      <c r="B993" s="18" t="n">
        <v>10990</v>
      </c>
      <c r="C993" s="24" t="inlineStr">
        <is>
          <t>220001</t>
        </is>
      </c>
      <c r="D993" s="8" t="inlineStr">
        <is>
          <t>剑芒聚气诀</t>
        </is>
      </c>
      <c r="E993" s="18" t="inlineStr">
        <is>
          <t>39</t>
        </is>
      </c>
      <c r="F993" s="18" t="inlineStr">
        <is>
          <t>-14|-14|-14|-14|-14</t>
        </is>
      </c>
      <c r="G993" s="18" t="inlineStr">
        <is>
          <t>10001|228150$124001|139932$124006|1827</t>
        </is>
      </c>
      <c r="H993" s="26" t="n">
        <v>32.8</v>
      </c>
      <c r="I993" s="18" t="n"/>
      <c r="J993" s="26" t="inlineStr">
        <is>
          <t>造成五段[0]%伤害，并回复[1]%真气</t>
        </is>
      </c>
      <c r="K993" s="18" t="inlineStr">
        <is>
          <t>86|32.8</t>
        </is>
      </c>
    </row>
    <row r="994">
      <c r="B994" s="18" t="n">
        <v>10991</v>
      </c>
      <c r="C994" s="24" t="inlineStr">
        <is>
          <t>220001</t>
        </is>
      </c>
      <c r="D994" s="8" t="inlineStr">
        <is>
          <t>剑芒聚气诀</t>
        </is>
      </c>
      <c r="E994" s="18" t="inlineStr">
        <is>
          <t>40</t>
        </is>
      </c>
      <c r="F994" s="18" t="inlineStr">
        <is>
          <t>-12|-12|-12|-12|-12</t>
        </is>
      </c>
      <c r="G994" s="18" t="inlineStr">
        <is>
          <t>10001|240000$125001|147200$125006|1897</t>
        </is>
      </c>
      <c r="H994" s="26" t="n">
        <v>33.4</v>
      </c>
      <c r="I994" s="18" t="n"/>
      <c r="J994" s="26" t="inlineStr">
        <is>
          <t>造成五段[0]%伤害，并回复[1]%真气</t>
        </is>
      </c>
      <c r="K994" s="18" t="inlineStr">
        <is>
          <t>88|33.4</t>
        </is>
      </c>
    </row>
    <row r="995">
      <c r="B995" s="18" t="n">
        <v>10992</v>
      </c>
      <c r="C995" s="24" t="inlineStr">
        <is>
          <t>220001</t>
        </is>
      </c>
      <c r="D995" s="8" t="inlineStr">
        <is>
          <t>剑芒聚气诀</t>
        </is>
      </c>
      <c r="E995" s="18" t="inlineStr">
        <is>
          <t>41</t>
        </is>
      </c>
      <c r="F995" s="18" t="inlineStr">
        <is>
          <t>-10|-10|-10|-10|-10</t>
        </is>
      </c>
      <c r="G995" s="18" t="inlineStr">
        <is>
          <t>10001|252150$125001|154652$125006|1969</t>
        </is>
      </c>
      <c r="H995" s="26" t="n">
        <v>34</v>
      </c>
      <c r="I995" s="18" t="n"/>
      <c r="J995" s="26" t="inlineStr">
        <is>
          <t>造成五段[0]%伤害，并回复[1]%真气</t>
        </is>
      </c>
      <c r="K995" s="18" t="inlineStr">
        <is>
          <t>90|34</t>
        </is>
      </c>
    </row>
    <row r="996">
      <c r="B996" s="18" t="n">
        <v>10993</v>
      </c>
      <c r="C996" s="24" t="inlineStr">
        <is>
          <t>220001</t>
        </is>
      </c>
      <c r="D996" s="8" t="inlineStr">
        <is>
          <t>剑芒聚气诀</t>
        </is>
      </c>
      <c r="E996" s="18" t="inlineStr">
        <is>
          <t>42</t>
        </is>
      </c>
      <c r="F996" s="18" t="inlineStr">
        <is>
          <t>-8.00000000000001|-8.00000000000001|-8.00000000000001|-8.00000000000001|-8.00000000000001</t>
        </is>
      </c>
      <c r="G996" s="18" t="inlineStr">
        <is>
          <t>10001|264600$125001|162288$125006|2041</t>
        </is>
      </c>
      <c r="H996" s="26" t="n">
        <v>34.6</v>
      </c>
      <c r="I996" s="18" t="n"/>
      <c r="J996" s="26" t="inlineStr">
        <is>
          <t>造成五段[0]%伤害，并回复[1]%真气</t>
        </is>
      </c>
      <c r="K996" s="18" t="inlineStr">
        <is>
          <t>92|34.6</t>
        </is>
      </c>
    </row>
    <row r="997">
      <c r="B997" s="18" t="n">
        <v>10994</v>
      </c>
      <c r="C997" s="24" t="inlineStr">
        <is>
          <t>220001</t>
        </is>
      </c>
      <c r="D997" s="8" t="inlineStr">
        <is>
          <t>剑芒聚气诀</t>
        </is>
      </c>
      <c r="E997" s="18" t="inlineStr">
        <is>
          <t>43</t>
        </is>
      </c>
      <c r="F997" s="18" t="inlineStr">
        <is>
          <t>-5.99999999999999|-5.99999999999999|-5.99999999999999|-5.99999999999999|-5.99999999999999</t>
        </is>
      </c>
      <c r="G997" s="18" t="inlineStr">
        <is>
          <t>10001|277350$125001|170108$125006|2115</t>
        </is>
      </c>
      <c r="H997" s="26" t="n">
        <v>35.2</v>
      </c>
      <c r="I997" s="18" t="n"/>
      <c r="J997" s="26" t="inlineStr">
        <is>
          <t>造成五段[0]%伤害，并回复[1]%真气</t>
        </is>
      </c>
      <c r="K997" s="18" t="inlineStr">
        <is>
          <t>94|35.2</t>
        </is>
      </c>
    </row>
    <row r="998">
      <c r="B998" s="18" t="n">
        <v>10995</v>
      </c>
      <c r="C998" s="24" t="inlineStr">
        <is>
          <t>220001</t>
        </is>
      </c>
      <c r="D998" s="8" t="inlineStr">
        <is>
          <t>剑芒聚气诀</t>
        </is>
      </c>
      <c r="E998" s="18" t="inlineStr">
        <is>
          <t>44</t>
        </is>
      </c>
      <c r="F998" s="18" t="inlineStr">
        <is>
          <t>-4|-4|-4|-4|-4</t>
        </is>
      </c>
      <c r="G998" s="18" t="inlineStr">
        <is>
          <t>10001|290400$125001|178112$125006|2189</t>
        </is>
      </c>
      <c r="H998" s="26" t="n">
        <v>35.8</v>
      </c>
      <c r="I998" s="18" t="n"/>
      <c r="J998" s="26" t="inlineStr">
        <is>
          <t>造成五段[0]%伤害，并回复[1]%真气</t>
        </is>
      </c>
      <c r="K998" s="18" t="inlineStr">
        <is>
          <t>96|35.8</t>
        </is>
      </c>
    </row>
    <row r="999">
      <c r="B999" s="18" t="n">
        <v>10996</v>
      </c>
      <c r="C999" s="24" t="inlineStr">
        <is>
          <t>220001</t>
        </is>
      </c>
      <c r="D999" s="8" t="inlineStr">
        <is>
          <t>剑芒聚气诀</t>
        </is>
      </c>
      <c r="E999" s="18" t="inlineStr">
        <is>
          <t>45</t>
        </is>
      </c>
      <c r="F999" s="18" t="inlineStr">
        <is>
          <t>-1.99999999999999|-1.99999999999999|-1.99999999999999|-1.99999999999999|-1.99999999999999</t>
        </is>
      </c>
      <c r="G999" s="18" t="inlineStr">
        <is>
          <t>10001|303750$125001|186300$125006|2264</t>
        </is>
      </c>
      <c r="H999" s="26" t="n">
        <v>36.4</v>
      </c>
      <c r="I999" s="18" t="n"/>
      <c r="J999" s="26" t="inlineStr">
        <is>
          <t>造成五段[0]%伤害，并回复[1]%真气</t>
        </is>
      </c>
      <c r="K999" s="18" t="inlineStr">
        <is>
          <t>98|36.4</t>
        </is>
      </c>
    </row>
    <row r="1000">
      <c r="B1000" s="18" t="n">
        <v>10997</v>
      </c>
      <c r="C1000" s="24" t="inlineStr">
        <is>
          <t>220001</t>
        </is>
      </c>
      <c r="D1000" s="8" t="inlineStr">
        <is>
          <t>剑芒聚气诀</t>
        </is>
      </c>
      <c r="E1000" s="18" t="inlineStr">
        <is>
          <t>46</t>
        </is>
      </c>
      <c r="F1000" s="18" t="inlineStr">
        <is>
          <t>0|0|0|0|0</t>
        </is>
      </c>
      <c r="G1000" s="18" t="inlineStr">
        <is>
          <t>10001|317400$125001|194672$125006|2340</t>
        </is>
      </c>
      <c r="H1000" s="26" t="n">
        <v>37</v>
      </c>
      <c r="I1000" s="18" t="n"/>
      <c r="J1000" s="26" t="inlineStr">
        <is>
          <t>造成五段[0]%伤害，并回复[1]%真气</t>
        </is>
      </c>
      <c r="K1000" s="18" t="inlineStr">
        <is>
          <t>100|37</t>
        </is>
      </c>
    </row>
    <row r="1001">
      <c r="B1001" s="18" t="n">
        <v>10998</v>
      </c>
      <c r="C1001" s="24" t="inlineStr">
        <is>
          <t>220001</t>
        </is>
      </c>
      <c r="D1001" s="8" t="inlineStr">
        <is>
          <t>剑芒聚气诀</t>
        </is>
      </c>
      <c r="E1001" s="18" t="inlineStr">
        <is>
          <t>47</t>
        </is>
      </c>
      <c r="F1001" s="18" t="inlineStr">
        <is>
          <t>2|2|2|2|2</t>
        </is>
      </c>
      <c r="G1001" s="18" t="inlineStr">
        <is>
          <t>10001|331350$125001|203228$125006|2417</t>
        </is>
      </c>
      <c r="H1001" s="26" t="n">
        <v>37.6</v>
      </c>
      <c r="I1001" s="18" t="n"/>
      <c r="J1001" s="26" t="inlineStr">
        <is>
          <t>造成五段[0]%伤害，并回复[1]%真气</t>
        </is>
      </c>
      <c r="K1001" s="18" t="inlineStr">
        <is>
          <t>102|37.6</t>
        </is>
      </c>
    </row>
    <row r="1002">
      <c r="B1002" s="18" t="n">
        <v>10999</v>
      </c>
      <c r="C1002" s="24" t="inlineStr">
        <is>
          <t>220001</t>
        </is>
      </c>
      <c r="D1002" s="8" t="inlineStr">
        <is>
          <t>剑芒聚气诀</t>
        </is>
      </c>
      <c r="E1002" s="18" t="inlineStr">
        <is>
          <t>48</t>
        </is>
      </c>
      <c r="F1002" s="18" t="inlineStr">
        <is>
          <t>4|4|4|4|4</t>
        </is>
      </c>
      <c r="G1002" s="18" t="inlineStr">
        <is>
          <t>10001|345600$125001|211968$125006|2494</t>
        </is>
      </c>
      <c r="H1002" s="26" t="n">
        <v>38.2</v>
      </c>
      <c r="I1002" s="18" t="n"/>
      <c r="J1002" s="26" t="inlineStr">
        <is>
          <t>造成五段[0]%伤害，并回复[1]%真气</t>
        </is>
      </c>
      <c r="K1002" s="18" t="inlineStr">
        <is>
          <t>104|38.2</t>
        </is>
      </c>
    </row>
    <row r="1003">
      <c r="B1003" s="18" t="n">
        <v>11000</v>
      </c>
      <c r="C1003" s="24" t="inlineStr">
        <is>
          <t>220001</t>
        </is>
      </c>
      <c r="D1003" s="8" t="inlineStr">
        <is>
          <t>剑芒聚气诀</t>
        </is>
      </c>
      <c r="E1003" s="18" t="inlineStr">
        <is>
          <t>49</t>
        </is>
      </c>
      <c r="F1003" s="18" t="inlineStr">
        <is>
          <t>6.00000000000001|6.00000000000001|6.00000000000001|6.00000000000001|6.00000000000001</t>
        </is>
      </c>
      <c r="G1003" s="18" t="inlineStr">
        <is>
          <t>10001|360150$125001|220892$125006|2573</t>
        </is>
      </c>
      <c r="H1003" s="26" t="n">
        <v>38.8</v>
      </c>
      <c r="I1003" s="18" t="n"/>
      <c r="J1003" s="26" t="inlineStr">
        <is>
          <t>造成五段[0]%伤害，并回复[1]%真气</t>
        </is>
      </c>
      <c r="K1003" s="18" t="inlineStr">
        <is>
          <t>106|38.8</t>
        </is>
      </c>
    </row>
    <row r="1004">
      <c r="B1004" s="18" t="n">
        <v>11001</v>
      </c>
      <c r="C1004" s="24" t="inlineStr">
        <is>
          <t>220001</t>
        </is>
      </c>
      <c r="D1004" s="8" t="inlineStr">
        <is>
          <t>剑芒聚气诀</t>
        </is>
      </c>
      <c r="E1004" s="18" t="inlineStr">
        <is>
          <t>50</t>
        </is>
      </c>
      <c r="F1004" s="18" t="inlineStr">
        <is>
          <t>8.00000000000001|8.00000000000001|8.00000000000001|8.00000000000001|8.00000000000001</t>
        </is>
      </c>
      <c r="G1004" s="18" t="inlineStr">
        <is>
          <t>10001|375000$125001|230000$125006|2652</t>
        </is>
      </c>
      <c r="H1004" s="26" t="n">
        <v>39.4</v>
      </c>
      <c r="I1004" s="18" t="n"/>
      <c r="J1004" s="26" t="inlineStr">
        <is>
          <t>造成五段[0]%伤害，并回复[1]%真气</t>
        </is>
      </c>
      <c r="K1004" s="18" t="inlineStr">
        <is>
          <t>108|39.4</t>
        </is>
      </c>
    </row>
    <row r="1005">
      <c r="B1005" s="18" t="n">
        <v>11002</v>
      </c>
      <c r="C1005" s="21" t="inlineStr">
        <is>
          <t>3</t>
        </is>
      </c>
      <c r="D1005" s="24" t="inlineStr">
        <is>
          <t>沸血之矛</t>
        </is>
      </c>
      <c r="E1005" s="18" t="inlineStr">
        <is>
          <t>1</t>
        </is>
      </c>
      <c r="F1005" s="18" t="n">
        <v>2</v>
      </c>
      <c r="G1005" s="18" t="inlineStr">
        <is>
          <t>10001|19$121001|12</t>
        </is>
      </c>
      <c r="H1005" s="26" t="inlineStr">
        <is>
          <t>-60</t>
        </is>
      </c>
      <c r="I1005" s="26" t="n"/>
    </row>
    <row r="1006">
      <c r="B1006" s="18" t="n">
        <v>11003</v>
      </c>
      <c r="C1006" s="21" t="inlineStr">
        <is>
          <t>3</t>
        </is>
      </c>
      <c r="D1006" s="24" t="inlineStr">
        <is>
          <t>沸血之矛</t>
        </is>
      </c>
      <c r="E1006" s="18" t="inlineStr">
        <is>
          <t>2</t>
        </is>
      </c>
      <c r="F1006" s="18" t="n">
        <v>2</v>
      </c>
      <c r="G1006" s="18" t="inlineStr">
        <is>
          <t>10001|53$121001|33</t>
        </is>
      </c>
      <c r="H1006" s="26" t="inlineStr">
        <is>
          <t>-60</t>
        </is>
      </c>
      <c r="I1006" s="26" t="n"/>
    </row>
    <row r="1007">
      <c r="B1007" s="18" t="n">
        <v>11004</v>
      </c>
      <c r="C1007" s="21" t="inlineStr">
        <is>
          <t>3</t>
        </is>
      </c>
      <c r="D1007" s="24" t="inlineStr">
        <is>
          <t>沸血之矛</t>
        </is>
      </c>
      <c r="E1007" s="18" t="inlineStr">
        <is>
          <t>3</t>
        </is>
      </c>
      <c r="F1007" s="18" t="n">
        <v>3</v>
      </c>
      <c r="G1007" s="18" t="inlineStr">
        <is>
          <t>10001|97$121001|60</t>
        </is>
      </c>
      <c r="H1007" s="26" t="inlineStr">
        <is>
          <t>-60</t>
        </is>
      </c>
      <c r="I1007" s="26" t="n"/>
    </row>
    <row r="1008">
      <c r="B1008" s="18" t="n">
        <v>11005</v>
      </c>
      <c r="C1008" s="21" t="inlineStr">
        <is>
          <t>3</t>
        </is>
      </c>
      <c r="D1008" s="24" t="inlineStr">
        <is>
          <t>沸血之矛</t>
        </is>
      </c>
      <c r="E1008" s="18" t="inlineStr">
        <is>
          <t>4</t>
        </is>
      </c>
      <c r="F1008" s="18" t="n">
        <v>5</v>
      </c>
      <c r="G1008" s="18" t="inlineStr">
        <is>
          <t>10001|150$121001|92</t>
        </is>
      </c>
      <c r="H1008" s="26" t="inlineStr">
        <is>
          <t>-60</t>
        </is>
      </c>
      <c r="I1008" s="26" t="n"/>
    </row>
    <row r="1009">
      <c r="B1009" s="18" t="n">
        <v>11006</v>
      </c>
      <c r="C1009" s="21" t="inlineStr">
        <is>
          <t>3</t>
        </is>
      </c>
      <c r="D1009" s="24" t="inlineStr">
        <is>
          <t>沸血之矛</t>
        </is>
      </c>
      <c r="E1009" s="18" t="inlineStr">
        <is>
          <t>5</t>
        </is>
      </c>
      <c r="F1009" s="18" t="n">
        <v>7</v>
      </c>
      <c r="G1009" s="18" t="inlineStr">
        <is>
          <t>10001|210$121001|129</t>
        </is>
      </c>
      <c r="H1009" s="26" t="inlineStr">
        <is>
          <t>-60</t>
        </is>
      </c>
      <c r="I1009" s="26" t="n"/>
    </row>
    <row r="1010">
      <c r="B1010" s="18" t="n">
        <v>11007</v>
      </c>
      <c r="C1010" s="21" t="inlineStr">
        <is>
          <t>3</t>
        </is>
      </c>
      <c r="D1010" s="24" t="inlineStr">
        <is>
          <t>沸血之矛</t>
        </is>
      </c>
      <c r="E1010" s="18" t="inlineStr">
        <is>
          <t>6</t>
        </is>
      </c>
      <c r="F1010" s="18" t="n">
        <v>8</v>
      </c>
      <c r="G1010" s="18" t="inlineStr">
        <is>
          <t>10001|276$121001|169</t>
        </is>
      </c>
      <c r="H1010" s="26" t="inlineStr">
        <is>
          <t>-60</t>
        </is>
      </c>
      <c r="I1010" s="26" t="n"/>
    </row>
    <row r="1011">
      <c r="B1011" s="18" t="n">
        <v>11008</v>
      </c>
      <c r="C1011" s="21" t="inlineStr">
        <is>
          <t>3</t>
        </is>
      </c>
      <c r="D1011" s="24" t="inlineStr">
        <is>
          <t>沸血之矛</t>
        </is>
      </c>
      <c r="E1011" s="18" t="inlineStr">
        <is>
          <t>7</t>
        </is>
      </c>
      <c r="F1011" s="18" t="n">
        <v>10</v>
      </c>
      <c r="G1011" s="18" t="inlineStr">
        <is>
          <t>10001|347$121001|213</t>
        </is>
      </c>
      <c r="H1011" s="26" t="inlineStr">
        <is>
          <t>-60</t>
        </is>
      </c>
      <c r="I1011" s="26" t="n"/>
    </row>
    <row r="1012">
      <c r="B1012" s="18" t="n">
        <v>11009</v>
      </c>
      <c r="C1012" s="21" t="inlineStr">
        <is>
          <t>3</t>
        </is>
      </c>
      <c r="D1012" s="24" t="inlineStr">
        <is>
          <t>沸血之矛</t>
        </is>
      </c>
      <c r="E1012" s="18" t="inlineStr">
        <is>
          <t>8</t>
        </is>
      </c>
      <c r="F1012" s="18" t="n">
        <v>12</v>
      </c>
      <c r="G1012" s="18" t="inlineStr">
        <is>
          <t>10001|424$121001|260</t>
        </is>
      </c>
      <c r="H1012" s="26" t="inlineStr">
        <is>
          <t>-60</t>
        </is>
      </c>
      <c r="I1012" s="26" t="n"/>
    </row>
    <row r="1013">
      <c r="B1013" s="18" t="n">
        <v>11010</v>
      </c>
      <c r="C1013" s="21" t="inlineStr">
        <is>
          <t>3</t>
        </is>
      </c>
      <c r="D1013" s="24" t="inlineStr">
        <is>
          <t>沸血之矛</t>
        </is>
      </c>
      <c r="E1013" s="18" t="inlineStr">
        <is>
          <t>9</t>
        </is>
      </c>
      <c r="F1013" s="18" t="n">
        <v>13</v>
      </c>
      <c r="G1013" s="18" t="inlineStr">
        <is>
          <t>10001|506$121001|311</t>
        </is>
      </c>
      <c r="H1013" s="26" t="inlineStr">
        <is>
          <t>-60</t>
        </is>
      </c>
      <c r="I1013" s="26" t="n"/>
    </row>
    <row r="1014">
      <c r="B1014" s="18" t="n">
        <v>11011</v>
      </c>
      <c r="C1014" s="21" t="inlineStr">
        <is>
          <t>3</t>
        </is>
      </c>
      <c r="D1014" s="24" t="inlineStr">
        <is>
          <t>沸血之矛</t>
        </is>
      </c>
      <c r="E1014" s="18" t="inlineStr">
        <is>
          <t>10</t>
        </is>
      </c>
      <c r="F1014" s="18" t="n">
        <v>15</v>
      </c>
      <c r="G1014" s="18" t="inlineStr">
        <is>
          <t>10001|593$121001|364</t>
        </is>
      </c>
      <c r="H1014" s="26" t="inlineStr">
        <is>
          <t>-60</t>
        </is>
      </c>
      <c r="I1014" s="26" t="n"/>
    </row>
    <row r="1015">
      <c r="B1015" s="18" t="n">
        <v>11012</v>
      </c>
      <c r="C1015" s="21" t="inlineStr">
        <is>
          <t>3</t>
        </is>
      </c>
      <c r="D1015" s="24" t="inlineStr">
        <is>
          <t>沸血之矛</t>
        </is>
      </c>
      <c r="E1015" s="18" t="inlineStr">
        <is>
          <t>11</t>
        </is>
      </c>
      <c r="F1015" s="18" t="n">
        <v>17</v>
      </c>
      <c r="G1015" s="18" t="inlineStr">
        <is>
          <t>10001|684$122001|420</t>
        </is>
      </c>
      <c r="H1015" s="26" t="inlineStr">
        <is>
          <t>-60</t>
        </is>
      </c>
      <c r="I1015" s="26" t="n"/>
    </row>
    <row r="1016">
      <c r="B1016" s="18" t="n">
        <v>11013</v>
      </c>
      <c r="C1016" s="21" t="inlineStr">
        <is>
          <t>3</t>
        </is>
      </c>
      <c r="D1016" s="24" t="inlineStr">
        <is>
          <t>沸血之矛</t>
        </is>
      </c>
      <c r="E1016" s="18" t="inlineStr">
        <is>
          <t>12</t>
        </is>
      </c>
      <c r="F1016" s="18" t="n">
        <v>18</v>
      </c>
      <c r="G1016" s="18" t="inlineStr">
        <is>
          <t>10001|779$122001|478</t>
        </is>
      </c>
      <c r="H1016" s="26" t="inlineStr">
        <is>
          <t>-60</t>
        </is>
      </c>
      <c r="I1016" s="26" t="n"/>
    </row>
    <row r="1017">
      <c r="B1017" s="18" t="n">
        <v>11014</v>
      </c>
      <c r="C1017" s="21" t="inlineStr">
        <is>
          <t>3</t>
        </is>
      </c>
      <c r="D1017" s="24" t="inlineStr">
        <is>
          <t>沸血之矛</t>
        </is>
      </c>
      <c r="E1017" s="18" t="inlineStr">
        <is>
          <t>13</t>
        </is>
      </c>
      <c r="F1017" s="18" t="n">
        <v>20</v>
      </c>
      <c r="G1017" s="18" t="inlineStr">
        <is>
          <t>10001|879$122001|539</t>
        </is>
      </c>
      <c r="H1017" s="26" t="inlineStr">
        <is>
          <t>-60</t>
        </is>
      </c>
      <c r="I1017" s="26" t="n"/>
    </row>
    <row r="1018">
      <c r="B1018" s="18" t="n">
        <v>11015</v>
      </c>
      <c r="C1018" s="21" t="inlineStr">
        <is>
          <t>3</t>
        </is>
      </c>
      <c r="D1018" s="24" t="inlineStr">
        <is>
          <t>沸血之矛</t>
        </is>
      </c>
      <c r="E1018" s="18" t="inlineStr">
        <is>
          <t>14</t>
        </is>
      </c>
      <c r="F1018" s="18" t="n">
        <v>22</v>
      </c>
      <c r="G1018" s="18" t="inlineStr">
        <is>
          <t>10001|982$122001|602</t>
        </is>
      </c>
      <c r="H1018" s="26" t="inlineStr">
        <is>
          <t>-60</t>
        </is>
      </c>
      <c r="I1018" s="26" t="n"/>
    </row>
    <row r="1019">
      <c r="B1019" s="18" t="n">
        <v>11016</v>
      </c>
      <c r="C1019" s="21" t="inlineStr">
        <is>
          <t>3</t>
        </is>
      </c>
      <c r="D1019" s="24" t="inlineStr">
        <is>
          <t>沸血之矛</t>
        </is>
      </c>
      <c r="E1019" s="18" t="inlineStr">
        <is>
          <t>15</t>
        </is>
      </c>
      <c r="F1019" s="18" t="n">
        <v>23</v>
      </c>
      <c r="G1019" s="18" t="inlineStr">
        <is>
          <t>10001|1089$122001|668</t>
        </is>
      </c>
      <c r="H1019" s="26" t="inlineStr">
        <is>
          <t>-60</t>
        </is>
      </c>
      <c r="I1019" s="26" t="n"/>
    </row>
    <row r="1020">
      <c r="B1020" s="18" t="n">
        <v>11017</v>
      </c>
      <c r="C1020" s="21" t="inlineStr">
        <is>
          <t>3</t>
        </is>
      </c>
      <c r="D1020" s="24" t="inlineStr">
        <is>
          <t>沸血之矛</t>
        </is>
      </c>
      <c r="E1020" s="18" t="inlineStr">
        <is>
          <t>16</t>
        </is>
      </c>
      <c r="F1020" s="18" t="n">
        <v>25</v>
      </c>
      <c r="G1020" s="18" t="inlineStr">
        <is>
          <t>10001|1200$122001|736</t>
        </is>
      </c>
      <c r="H1020" s="26" t="inlineStr">
        <is>
          <t>-60</t>
        </is>
      </c>
      <c r="I1020" s="26" t="n"/>
    </row>
    <row r="1021">
      <c r="B1021" s="18" t="n">
        <v>11018</v>
      </c>
      <c r="C1021" s="21" t="inlineStr">
        <is>
          <t>3</t>
        </is>
      </c>
      <c r="D1021" s="24" t="inlineStr">
        <is>
          <t>沸血之矛</t>
        </is>
      </c>
      <c r="E1021" s="18" t="inlineStr">
        <is>
          <t>17</t>
        </is>
      </c>
      <c r="F1021" s="18" t="n">
        <v>27</v>
      </c>
      <c r="G1021" s="18" t="inlineStr">
        <is>
          <t>10001|1314$122001|806</t>
        </is>
      </c>
      <c r="H1021" s="26" t="inlineStr">
        <is>
          <t>-60</t>
        </is>
      </c>
      <c r="I1021" s="26" t="n"/>
    </row>
    <row r="1022">
      <c r="B1022" s="18" t="n">
        <v>11019</v>
      </c>
      <c r="C1022" s="21" t="inlineStr">
        <is>
          <t>3</t>
        </is>
      </c>
      <c r="D1022" s="24" t="inlineStr">
        <is>
          <t>沸血之矛</t>
        </is>
      </c>
      <c r="E1022" s="18" t="inlineStr">
        <is>
          <t>18</t>
        </is>
      </c>
      <c r="F1022" s="18" t="n">
        <v>28</v>
      </c>
      <c r="G1022" s="18" t="inlineStr">
        <is>
          <t>10001|1432$122001|878</t>
        </is>
      </c>
      <c r="H1022" s="26" t="inlineStr">
        <is>
          <t>-60</t>
        </is>
      </c>
      <c r="I1022" s="26" t="n"/>
    </row>
    <row r="1023">
      <c r="B1023" s="18" t="n">
        <v>11020</v>
      </c>
      <c r="C1023" s="21" t="inlineStr">
        <is>
          <t>3</t>
        </is>
      </c>
      <c r="D1023" s="24" t="inlineStr">
        <is>
          <t>沸血之矛</t>
        </is>
      </c>
      <c r="E1023" s="18" t="inlineStr">
        <is>
          <t>19</t>
        </is>
      </c>
      <c r="F1023" s="18" t="n">
        <v>30</v>
      </c>
      <c r="G1023" s="18" t="inlineStr">
        <is>
          <t>10001|1553$122001|952</t>
        </is>
      </c>
      <c r="H1023" s="26" t="inlineStr">
        <is>
          <t>-60</t>
        </is>
      </c>
      <c r="I1023" s="26" t="n"/>
    </row>
    <row r="1024">
      <c r="B1024" s="18" t="n">
        <v>11021</v>
      </c>
      <c r="C1024" s="21" t="inlineStr">
        <is>
          <t>3</t>
        </is>
      </c>
      <c r="D1024" s="24" t="inlineStr">
        <is>
          <t>沸血之矛</t>
        </is>
      </c>
      <c r="E1024" s="18" t="inlineStr">
        <is>
          <t>20</t>
        </is>
      </c>
      <c r="F1024" s="18" t="n">
        <v>32</v>
      </c>
      <c r="G1024" s="18" t="inlineStr">
        <is>
          <t>10001|1677$122001|1029</t>
        </is>
      </c>
      <c r="H1024" s="26" t="inlineStr">
        <is>
          <t>-60</t>
        </is>
      </c>
      <c r="I1024" s="26" t="n"/>
    </row>
    <row r="1025">
      <c r="B1025" s="18" t="n">
        <v>11022</v>
      </c>
      <c r="C1025" s="21" t="inlineStr">
        <is>
          <t>3</t>
        </is>
      </c>
      <c r="D1025" s="24" t="inlineStr">
        <is>
          <t>沸血之矛</t>
        </is>
      </c>
      <c r="E1025" s="18" t="inlineStr">
        <is>
          <t>21</t>
        </is>
      </c>
      <c r="F1025" s="18" t="n">
        <v>33</v>
      </c>
      <c r="G1025" s="18" t="inlineStr">
        <is>
          <t>10001|1804$123001|1107</t>
        </is>
      </c>
      <c r="H1025" s="26" t="inlineStr">
        <is>
          <t>-60</t>
        </is>
      </c>
      <c r="I1025" s="26" t="n"/>
    </row>
    <row r="1026">
      <c r="B1026" s="18" t="n">
        <v>11023</v>
      </c>
      <c r="C1026" s="21" t="inlineStr">
        <is>
          <t>3</t>
        </is>
      </c>
      <c r="D1026" s="24" t="inlineStr">
        <is>
          <t>沸血之矛</t>
        </is>
      </c>
      <c r="E1026" s="18" t="inlineStr">
        <is>
          <t>22</t>
        </is>
      </c>
      <c r="F1026" s="18" t="n">
        <v>35</v>
      </c>
      <c r="G1026" s="18" t="inlineStr">
        <is>
          <t>10001|1935$123001|1187</t>
        </is>
      </c>
      <c r="H1026" s="26" t="inlineStr">
        <is>
          <t>-60</t>
        </is>
      </c>
      <c r="I1026" s="26" t="n"/>
    </row>
    <row r="1027">
      <c r="B1027" s="18" t="n">
        <v>11024</v>
      </c>
      <c r="C1027" s="21" t="inlineStr">
        <is>
          <t>3</t>
        </is>
      </c>
      <c r="D1027" s="24" t="inlineStr">
        <is>
          <t>沸血之矛</t>
        </is>
      </c>
      <c r="E1027" s="18" t="inlineStr">
        <is>
          <t>23</t>
        </is>
      </c>
      <c r="F1027" s="18" t="n">
        <v>37</v>
      </c>
      <c r="G1027" s="18" t="inlineStr">
        <is>
          <t>10001|2068$123001|1268</t>
        </is>
      </c>
      <c r="H1027" s="26" t="inlineStr">
        <is>
          <t>-60</t>
        </is>
      </c>
      <c r="I1027" s="26" t="n"/>
    </row>
    <row r="1028">
      <c r="B1028" s="18" t="n">
        <v>11025</v>
      </c>
      <c r="C1028" s="21" t="inlineStr">
        <is>
          <t>3</t>
        </is>
      </c>
      <c r="D1028" s="24" t="inlineStr">
        <is>
          <t>沸血之矛</t>
        </is>
      </c>
      <c r="E1028" s="18" t="inlineStr">
        <is>
          <t>24</t>
        </is>
      </c>
      <c r="F1028" s="18" t="n">
        <v>38</v>
      </c>
      <c r="G1028" s="18" t="inlineStr">
        <is>
          <t>10001|2205$123001|1352</t>
        </is>
      </c>
      <c r="H1028" s="26" t="inlineStr">
        <is>
          <t>-60</t>
        </is>
      </c>
      <c r="I1028" s="26" t="n"/>
    </row>
    <row r="1029">
      <c r="B1029" s="18" t="n">
        <v>11026</v>
      </c>
      <c r="C1029" s="21" t="inlineStr">
        <is>
          <t>3</t>
        </is>
      </c>
      <c r="D1029" s="24" t="inlineStr">
        <is>
          <t>沸血之矛</t>
        </is>
      </c>
      <c r="E1029" s="18" t="inlineStr">
        <is>
          <t>25</t>
        </is>
      </c>
      <c r="F1029" s="18" t="n">
        <v>40</v>
      </c>
      <c r="G1029" s="18" t="inlineStr">
        <is>
          <t>10001|2344$123001|1438</t>
        </is>
      </c>
      <c r="H1029" s="26" t="inlineStr">
        <is>
          <t>-60</t>
        </is>
      </c>
      <c r="I1029" s="26" t="n"/>
    </row>
    <row r="1030">
      <c r="B1030" s="18" t="n">
        <v>11027</v>
      </c>
      <c r="C1030" s="21" t="inlineStr">
        <is>
          <t>3</t>
        </is>
      </c>
      <c r="D1030" s="24" t="inlineStr">
        <is>
          <t>沸血之矛</t>
        </is>
      </c>
      <c r="E1030" s="18" t="inlineStr">
        <is>
          <t>26</t>
        </is>
      </c>
      <c r="F1030" s="18" t="n">
        <v>42</v>
      </c>
      <c r="G1030" s="18" t="inlineStr">
        <is>
          <t>10001|2486$123001|1525</t>
        </is>
      </c>
      <c r="H1030" s="26" t="inlineStr">
        <is>
          <t>-60</t>
        </is>
      </c>
      <c r="I1030" s="26" t="n"/>
    </row>
    <row r="1031">
      <c r="B1031" s="18" t="n">
        <v>11028</v>
      </c>
      <c r="C1031" s="21" t="inlineStr">
        <is>
          <t>3</t>
        </is>
      </c>
      <c r="D1031" s="24" t="inlineStr">
        <is>
          <t>沸血之矛</t>
        </is>
      </c>
      <c r="E1031" s="18" t="inlineStr">
        <is>
          <t>27</t>
        </is>
      </c>
      <c r="F1031" s="18" t="n">
        <v>43</v>
      </c>
      <c r="G1031" s="18" t="inlineStr">
        <is>
          <t>10001|2631$123001|1613</t>
        </is>
      </c>
      <c r="H1031" s="26" t="inlineStr">
        <is>
          <t>-60</t>
        </is>
      </c>
      <c r="I1031" s="26" t="n"/>
    </row>
    <row r="1032">
      <c r="B1032" s="18" t="n">
        <v>11029</v>
      </c>
      <c r="C1032" s="21" t="inlineStr">
        <is>
          <t>3</t>
        </is>
      </c>
      <c r="D1032" s="24" t="inlineStr">
        <is>
          <t>沸血之矛</t>
        </is>
      </c>
      <c r="E1032" s="18" t="inlineStr">
        <is>
          <t>28</t>
        </is>
      </c>
      <c r="F1032" s="18" t="n">
        <v>45</v>
      </c>
      <c r="G1032" s="18" t="inlineStr">
        <is>
          <t>10001|2778$123001|1704</t>
        </is>
      </c>
      <c r="H1032" s="26" t="inlineStr">
        <is>
          <t>-60</t>
        </is>
      </c>
      <c r="I1032" s="26" t="n"/>
    </row>
    <row r="1033">
      <c r="B1033" s="18" t="n">
        <v>11030</v>
      </c>
      <c r="C1033" s="21" t="inlineStr">
        <is>
          <t>3</t>
        </is>
      </c>
      <c r="D1033" s="24" t="inlineStr">
        <is>
          <t>沸血之矛</t>
        </is>
      </c>
      <c r="E1033" s="18" t="inlineStr">
        <is>
          <t>29</t>
        </is>
      </c>
      <c r="F1033" s="18" t="n">
        <v>47</v>
      </c>
      <c r="G1033" s="18" t="inlineStr">
        <is>
          <t>10001|2928$123001|1796</t>
        </is>
      </c>
      <c r="H1033" s="26" t="inlineStr">
        <is>
          <t>-60</t>
        </is>
      </c>
      <c r="I1033" s="26" t="n"/>
    </row>
    <row r="1034">
      <c r="B1034" s="18" t="n">
        <v>11031</v>
      </c>
      <c r="C1034" s="21" t="inlineStr">
        <is>
          <t>3</t>
        </is>
      </c>
      <c r="D1034" s="24" t="inlineStr">
        <is>
          <t>沸血之矛</t>
        </is>
      </c>
      <c r="E1034" s="18" t="inlineStr">
        <is>
          <t>30</t>
        </is>
      </c>
      <c r="F1034" s="18" t="n">
        <v>48</v>
      </c>
      <c r="G1034" s="18" t="inlineStr">
        <is>
          <t>10001|3081$123001|1890</t>
        </is>
      </c>
      <c r="H1034" s="26" t="inlineStr">
        <is>
          <t>-60</t>
        </is>
      </c>
      <c r="I1034" s="26" t="n"/>
    </row>
    <row r="1035">
      <c r="B1035" s="18" t="n">
        <v>11032</v>
      </c>
      <c r="C1035" s="21" t="inlineStr">
        <is>
          <t>3</t>
        </is>
      </c>
      <c r="D1035" s="24" t="inlineStr">
        <is>
          <t>沸血之矛</t>
        </is>
      </c>
      <c r="E1035" s="18" t="inlineStr">
        <is>
          <t>31</t>
        </is>
      </c>
      <c r="F1035" s="18" t="n">
        <v>50</v>
      </c>
      <c r="G1035" s="18" t="inlineStr">
        <is>
          <t>10001|3236$123001|1985</t>
        </is>
      </c>
      <c r="H1035" s="26" t="inlineStr">
        <is>
          <t>-60</t>
        </is>
      </c>
      <c r="I1035" s="26" t="n"/>
    </row>
    <row r="1036">
      <c r="B1036" s="18" t="n">
        <v>11033</v>
      </c>
      <c r="C1036" s="21" t="inlineStr">
        <is>
          <t>3</t>
        </is>
      </c>
      <c r="D1036" s="24" t="inlineStr">
        <is>
          <t>沸血之矛</t>
        </is>
      </c>
      <c r="E1036" s="18" t="inlineStr">
        <is>
          <t>32</t>
        </is>
      </c>
      <c r="F1036" s="18" t="n">
        <v>52</v>
      </c>
      <c r="G1036" s="18" t="inlineStr">
        <is>
          <t>10001|3394$123001|2082</t>
        </is>
      </c>
      <c r="H1036" s="26" t="inlineStr">
        <is>
          <t>-60</t>
        </is>
      </c>
      <c r="I1036" s="26" t="n"/>
    </row>
    <row r="1037">
      <c r="B1037" s="18" t="n">
        <v>11034</v>
      </c>
      <c r="C1037" s="21" t="inlineStr">
        <is>
          <t>3</t>
        </is>
      </c>
      <c r="D1037" s="24" t="inlineStr">
        <is>
          <t>沸血之矛</t>
        </is>
      </c>
      <c r="E1037" s="18" t="inlineStr">
        <is>
          <t>33</t>
        </is>
      </c>
      <c r="F1037" s="18" t="n">
        <v>53</v>
      </c>
      <c r="G1037" s="18" t="inlineStr">
        <is>
          <t>10001|3554$124001|2180</t>
        </is>
      </c>
      <c r="H1037" s="26" t="inlineStr">
        <is>
          <t>-60</t>
        </is>
      </c>
      <c r="I1037" s="26" t="n"/>
    </row>
    <row r="1038">
      <c r="B1038" s="18" t="n">
        <v>11035</v>
      </c>
      <c r="C1038" s="21" t="inlineStr">
        <is>
          <t>3</t>
        </is>
      </c>
      <c r="D1038" s="24" t="inlineStr">
        <is>
          <t>沸血之矛</t>
        </is>
      </c>
      <c r="E1038" s="18" t="inlineStr">
        <is>
          <t>34</t>
        </is>
      </c>
      <c r="F1038" s="18" t="n">
        <v>55</v>
      </c>
      <c r="G1038" s="18" t="inlineStr">
        <is>
          <t>10001|3717$124001|2280</t>
        </is>
      </c>
      <c r="H1038" s="26" t="inlineStr">
        <is>
          <t>-60</t>
        </is>
      </c>
      <c r="I1038" s="26" t="n"/>
    </row>
    <row r="1039">
      <c r="B1039" s="18" t="n">
        <v>11036</v>
      </c>
      <c r="C1039" s="21" t="inlineStr">
        <is>
          <t>3</t>
        </is>
      </c>
      <c r="D1039" s="24" t="inlineStr">
        <is>
          <t>沸血之矛</t>
        </is>
      </c>
      <c r="E1039" s="18" t="inlineStr">
        <is>
          <t>35</t>
        </is>
      </c>
      <c r="F1039" s="18" t="n">
        <v>57</v>
      </c>
      <c r="G1039" s="18" t="inlineStr">
        <is>
          <t>10001|3882$124001|2381</t>
        </is>
      </c>
      <c r="H1039" s="26" t="inlineStr">
        <is>
          <t>-60</t>
        </is>
      </c>
      <c r="I1039" s="26" t="n"/>
    </row>
    <row r="1040">
      <c r="B1040" s="18" t="n">
        <v>11037</v>
      </c>
      <c r="C1040" s="21" t="inlineStr">
        <is>
          <t>3</t>
        </is>
      </c>
      <c r="D1040" s="24" t="inlineStr">
        <is>
          <t>沸血之矛</t>
        </is>
      </c>
      <c r="E1040" s="18" t="inlineStr">
        <is>
          <t>36</t>
        </is>
      </c>
      <c r="F1040" s="18" t="n">
        <v>58</v>
      </c>
      <c r="G1040" s="18" t="inlineStr">
        <is>
          <t>10001|4050$124001|2484</t>
        </is>
      </c>
      <c r="H1040" s="26" t="inlineStr">
        <is>
          <t>-60</t>
        </is>
      </c>
      <c r="I1040" s="26" t="n"/>
    </row>
    <row r="1041">
      <c r="B1041" s="18" t="n">
        <v>11038</v>
      </c>
      <c r="C1041" s="21" t="inlineStr">
        <is>
          <t>3</t>
        </is>
      </c>
      <c r="D1041" s="24" t="inlineStr">
        <is>
          <t>沸血之矛</t>
        </is>
      </c>
      <c r="E1041" s="18" t="inlineStr">
        <is>
          <t>37</t>
        </is>
      </c>
      <c r="F1041" s="18" t="n">
        <v>60</v>
      </c>
      <c r="G1041" s="18" t="inlineStr">
        <is>
          <t>10001|4220$124001|2588</t>
        </is>
      </c>
      <c r="H1041" s="26" t="inlineStr">
        <is>
          <t>-60</t>
        </is>
      </c>
      <c r="I1041" s="26" t="n"/>
    </row>
    <row r="1042">
      <c r="B1042" s="18" t="n">
        <v>11039</v>
      </c>
      <c r="C1042" s="21" t="inlineStr">
        <is>
          <t>3</t>
        </is>
      </c>
      <c r="D1042" s="24" t="inlineStr">
        <is>
          <t>沸血之矛</t>
        </is>
      </c>
      <c r="E1042" s="18" t="inlineStr">
        <is>
          <t>38</t>
        </is>
      </c>
      <c r="F1042" s="18" t="n">
        <v>62</v>
      </c>
      <c r="G1042" s="18" t="inlineStr">
        <is>
          <t>10001|4392$124001|2694</t>
        </is>
      </c>
      <c r="H1042" s="26" t="inlineStr">
        <is>
          <t>-60</t>
        </is>
      </c>
      <c r="I1042" s="26" t="n"/>
    </row>
    <row r="1043">
      <c r="B1043" s="18" t="n">
        <v>11040</v>
      </c>
      <c r="C1043" s="21" t="inlineStr">
        <is>
          <t>3</t>
        </is>
      </c>
      <c r="D1043" s="24" t="inlineStr">
        <is>
          <t>沸血之矛</t>
        </is>
      </c>
      <c r="E1043" s="18" t="inlineStr">
        <is>
          <t>39</t>
        </is>
      </c>
      <c r="F1043" s="18" t="n">
        <v>63</v>
      </c>
      <c r="G1043" s="18" t="inlineStr">
        <is>
          <t>10001|4567$124001|2801</t>
        </is>
      </c>
      <c r="H1043" s="26" t="inlineStr">
        <is>
          <t>-60</t>
        </is>
      </c>
      <c r="I1043" s="26" t="n"/>
    </row>
    <row r="1044">
      <c r="B1044" s="18" t="n">
        <v>11041</v>
      </c>
      <c r="C1044" s="21" t="inlineStr">
        <is>
          <t>3</t>
        </is>
      </c>
      <c r="D1044" s="24" t="inlineStr">
        <is>
          <t>沸血之矛</t>
        </is>
      </c>
      <c r="E1044" s="18" t="inlineStr">
        <is>
          <t>40</t>
        </is>
      </c>
      <c r="F1044" s="18" t="n">
        <v>65</v>
      </c>
      <c r="G1044" s="18" t="inlineStr">
        <is>
          <t>10001|4743$124001|2909</t>
        </is>
      </c>
      <c r="H1044" s="26" t="inlineStr">
        <is>
          <t>-60</t>
        </is>
      </c>
      <c r="I1044" s="26" t="n"/>
    </row>
    <row r="1045">
      <c r="B1045" s="18" t="n">
        <v>11042</v>
      </c>
      <c r="C1045" s="21" t="inlineStr">
        <is>
          <t>3</t>
        </is>
      </c>
      <c r="D1045" s="24" t="inlineStr">
        <is>
          <t>沸血之矛</t>
        </is>
      </c>
      <c r="E1045" s="18" t="inlineStr">
        <is>
          <t>41</t>
        </is>
      </c>
      <c r="F1045" s="18" t="n">
        <v>67</v>
      </c>
      <c r="G1045" s="18" t="inlineStr">
        <is>
          <t>10001|4922$125001|3019</t>
        </is>
      </c>
      <c r="H1045" s="26" t="inlineStr">
        <is>
          <t>-60</t>
        </is>
      </c>
      <c r="I1045" s="26" t="n"/>
    </row>
    <row r="1046">
      <c r="B1046" s="18" t="n">
        <v>11043</v>
      </c>
      <c r="C1046" s="21" t="inlineStr">
        <is>
          <t>3</t>
        </is>
      </c>
      <c r="D1046" s="24" t="inlineStr">
        <is>
          <t>沸血之矛</t>
        </is>
      </c>
      <c r="E1046" s="18" t="inlineStr">
        <is>
          <t>42</t>
        </is>
      </c>
      <c r="F1046" s="18" t="n">
        <v>68</v>
      </c>
      <c r="G1046" s="18" t="inlineStr">
        <is>
          <t>10001|5104$125001|3130</t>
        </is>
      </c>
      <c r="H1046" s="26" t="inlineStr">
        <is>
          <t>-60</t>
        </is>
      </c>
      <c r="I1046" s="26" t="n"/>
    </row>
    <row r="1047">
      <c r="B1047" s="18" t="n">
        <v>11044</v>
      </c>
      <c r="C1047" s="21" t="inlineStr">
        <is>
          <t>3</t>
        </is>
      </c>
      <c r="D1047" s="24" t="inlineStr">
        <is>
          <t>沸血之矛</t>
        </is>
      </c>
      <c r="E1047" s="18" t="inlineStr">
        <is>
          <t>43</t>
        </is>
      </c>
      <c r="F1047" s="18" t="n">
        <v>70</v>
      </c>
      <c r="G1047" s="18" t="inlineStr">
        <is>
          <t>10001|5287$125001|3243</t>
        </is>
      </c>
      <c r="H1047" s="26" t="inlineStr">
        <is>
          <t>-60</t>
        </is>
      </c>
      <c r="I1047" s="26" t="n"/>
    </row>
    <row r="1048">
      <c r="B1048" s="18" t="n">
        <v>11045</v>
      </c>
      <c r="C1048" s="21" t="inlineStr">
        <is>
          <t>3</t>
        </is>
      </c>
      <c r="D1048" s="24" t="inlineStr">
        <is>
          <t>沸血之矛</t>
        </is>
      </c>
      <c r="E1048" s="18" t="inlineStr">
        <is>
          <t>44</t>
        </is>
      </c>
      <c r="F1048" s="18" t="n">
        <v>72</v>
      </c>
      <c r="G1048" s="18" t="inlineStr">
        <is>
          <t>10001|5472$125001|3356</t>
        </is>
      </c>
      <c r="H1048" s="26" t="inlineStr">
        <is>
          <t>-60</t>
        </is>
      </c>
      <c r="I1048" s="26" t="n"/>
    </row>
    <row r="1049">
      <c r="B1049" s="18" t="n">
        <v>11046</v>
      </c>
      <c r="C1049" s="21" t="inlineStr">
        <is>
          <t>3</t>
        </is>
      </c>
      <c r="D1049" s="24" t="inlineStr">
        <is>
          <t>沸血之矛</t>
        </is>
      </c>
      <c r="E1049" s="18" t="inlineStr">
        <is>
          <t>45</t>
        </is>
      </c>
      <c r="F1049" s="18" t="n">
        <v>73</v>
      </c>
      <c r="G1049" s="18" t="inlineStr">
        <is>
          <t>10001|5660$125001|3471</t>
        </is>
      </c>
      <c r="H1049" s="26" t="inlineStr">
        <is>
          <t>-60</t>
        </is>
      </c>
      <c r="I1049" s="26" t="n"/>
    </row>
    <row r="1050">
      <c r="B1050" s="18" t="n">
        <v>11047</v>
      </c>
      <c r="C1050" s="21" t="inlineStr">
        <is>
          <t>3</t>
        </is>
      </c>
      <c r="D1050" s="24" t="inlineStr">
        <is>
          <t>沸血之矛</t>
        </is>
      </c>
      <c r="E1050" s="18" t="inlineStr">
        <is>
          <t>46</t>
        </is>
      </c>
      <c r="F1050" s="18" t="n">
        <v>75</v>
      </c>
      <c r="G1050" s="18" t="inlineStr">
        <is>
          <t>10001|5850$125001|3588</t>
        </is>
      </c>
      <c r="H1050" s="26" t="inlineStr">
        <is>
          <t>-60</t>
        </is>
      </c>
      <c r="I1050" s="26" t="n"/>
    </row>
    <row r="1051">
      <c r="B1051" s="18" t="n">
        <v>11048</v>
      </c>
      <c r="C1051" s="21" t="inlineStr">
        <is>
          <t>3</t>
        </is>
      </c>
      <c r="D1051" s="24" t="inlineStr">
        <is>
          <t>沸血之矛</t>
        </is>
      </c>
      <c r="E1051" s="18" t="inlineStr">
        <is>
          <t>47</t>
        </is>
      </c>
      <c r="F1051" s="18" t="n">
        <v>77</v>
      </c>
      <c r="G1051" s="18" t="inlineStr">
        <is>
          <t>10001|6042$125001|3705</t>
        </is>
      </c>
      <c r="H1051" s="26" t="inlineStr">
        <is>
          <t>-60</t>
        </is>
      </c>
      <c r="I1051" s="26" t="n"/>
    </row>
    <row r="1052">
      <c r="B1052" s="18" t="n">
        <v>11049</v>
      </c>
      <c r="C1052" s="21" t="inlineStr">
        <is>
          <t>3</t>
        </is>
      </c>
      <c r="D1052" s="24" t="inlineStr">
        <is>
          <t>沸血之矛</t>
        </is>
      </c>
      <c r="E1052" s="18" t="inlineStr">
        <is>
          <t>48</t>
        </is>
      </c>
      <c r="F1052" s="18" t="n">
        <v>78</v>
      </c>
      <c r="G1052" s="18" t="inlineStr">
        <is>
          <t>10001|6235$125001|3824</t>
        </is>
      </c>
      <c r="H1052" s="26" t="inlineStr">
        <is>
          <t>-60</t>
        </is>
      </c>
      <c r="I1052" s="26" t="n"/>
    </row>
    <row r="1053" customFormat="1" s="41">
      <c r="B1053" s="18" t="n">
        <v>11050</v>
      </c>
      <c r="C1053" s="21" t="inlineStr">
        <is>
          <t>3</t>
        </is>
      </c>
      <c r="D1053" s="24" t="inlineStr">
        <is>
          <t>沸血之矛</t>
        </is>
      </c>
      <c r="E1053" s="18" t="inlineStr">
        <is>
          <t>49</t>
        </is>
      </c>
      <c r="F1053" s="18" t="n">
        <v>80</v>
      </c>
      <c r="G1053" s="18" t="inlineStr">
        <is>
          <t>10001|6431$125001|3945</t>
        </is>
      </c>
      <c r="H1053" s="26" t="inlineStr">
        <is>
          <t>-60</t>
        </is>
      </c>
      <c r="I1053" s="26" t="n"/>
    </row>
    <row r="1054" customFormat="1" s="41">
      <c r="B1054" s="18" t="n">
        <v>11051</v>
      </c>
      <c r="C1054" s="21" t="inlineStr">
        <is>
          <t>3</t>
        </is>
      </c>
      <c r="D1054" s="24" t="inlineStr">
        <is>
          <t>沸血之矛</t>
        </is>
      </c>
      <c r="E1054" s="18" t="inlineStr">
        <is>
          <t>50</t>
        </is>
      </c>
      <c r="F1054" s="18" t="n">
        <v>82</v>
      </c>
      <c r="G1054" s="18" t="inlineStr">
        <is>
          <t>10001|6629$125001|4066</t>
        </is>
      </c>
      <c r="H1054" s="26" t="inlineStr">
        <is>
          <t>-60</t>
        </is>
      </c>
      <c r="I1054" s="26" t="n"/>
    </row>
    <row r="1055" customFormat="1" s="41">
      <c r="B1055" s="41" t="n">
        <v>11052</v>
      </c>
      <c r="C1055" s="40" t="inlineStr">
        <is>
          <t>110007</t>
        </is>
      </c>
      <c r="D1055" s="41" t="inlineStr">
        <is>
          <t>焚尽</t>
        </is>
      </c>
      <c r="E1055" s="41" t="inlineStr">
        <is>
          <t>1</t>
        </is>
      </c>
      <c r="F1055" s="42" t="n">
        <v>20</v>
      </c>
      <c r="G1055" s="41" t="inlineStr">
        <is>
          <t>10001|150$121001|92$121003|8</t>
        </is>
      </c>
      <c r="H1055" s="42" t="n">
        <v>-99</v>
      </c>
      <c r="I1055" s="42" t="n"/>
      <c r="J1055" s="42" t="inlineStr">
        <is>
          <t>造成一次[0]%伤害，每层灼烧buff造成[1]%伤害</t>
        </is>
      </c>
      <c r="K1055" s="41" t="inlineStr">
        <is>
          <t>120|1</t>
        </is>
      </c>
    </row>
    <row r="1056" customFormat="1" s="41">
      <c r="B1056" s="41" t="n">
        <v>11053</v>
      </c>
      <c r="C1056" s="40" t="inlineStr">
        <is>
          <t>110007</t>
        </is>
      </c>
      <c r="D1056" s="41" t="inlineStr">
        <is>
          <t>焚尽</t>
        </is>
      </c>
      <c r="E1056" s="41" t="inlineStr">
        <is>
          <t>2</t>
        </is>
      </c>
      <c r="F1056" s="42" t="n">
        <v>35.00000000000001</v>
      </c>
      <c r="G1056" s="41" t="inlineStr">
        <is>
          <t>10001|600$121001|368$121003|21</t>
        </is>
      </c>
      <c r="H1056" s="42" t="n">
        <v>-98</v>
      </c>
      <c r="I1056" s="42" t="n"/>
      <c r="J1056" s="42" t="inlineStr">
        <is>
          <t>造成一次[0]%伤害，每层灼烧buff造成[1]%伤害</t>
        </is>
      </c>
      <c r="K1056" s="41" t="inlineStr">
        <is>
          <t>135|2</t>
        </is>
      </c>
    </row>
    <row r="1057" customFormat="1" s="41">
      <c r="B1057" s="41" t="n">
        <v>11054</v>
      </c>
      <c r="C1057" s="40" t="inlineStr">
        <is>
          <t>110007</t>
        </is>
      </c>
      <c r="D1057" s="41" t="inlineStr">
        <is>
          <t>焚尽</t>
        </is>
      </c>
      <c r="E1057" s="41" t="inlineStr">
        <is>
          <t>3</t>
        </is>
      </c>
      <c r="F1057" s="42" t="n">
        <v>50</v>
      </c>
      <c r="G1057" s="41" t="inlineStr">
        <is>
          <t>10001|1350$121001|828$121003|39</t>
        </is>
      </c>
      <c r="H1057" s="42" t="n">
        <v>-97</v>
      </c>
      <c r="I1057" s="42" t="n"/>
      <c r="J1057" s="42" t="inlineStr">
        <is>
          <t>造成一次[0]%伤害，每层灼烧buff造成[1]%伤害</t>
        </is>
      </c>
      <c r="K1057" s="41" t="inlineStr">
        <is>
          <t>150|3</t>
        </is>
      </c>
    </row>
    <row r="1058" customFormat="1" s="41">
      <c r="B1058" s="41" t="n">
        <v>11055</v>
      </c>
      <c r="C1058" s="40" t="inlineStr">
        <is>
          <t>110007</t>
        </is>
      </c>
      <c r="D1058" s="41" t="inlineStr">
        <is>
          <t>焚尽</t>
        </is>
      </c>
      <c r="E1058" s="41" t="inlineStr">
        <is>
          <t>4</t>
        </is>
      </c>
      <c r="F1058" s="42" t="n">
        <v>64.99999999999999</v>
      </c>
      <c r="G1058" s="41" t="inlineStr">
        <is>
          <t>10001|2400$121001|1472$121003|60</t>
        </is>
      </c>
      <c r="H1058" s="42" t="n">
        <v>-96</v>
      </c>
      <c r="I1058" s="42" t="n"/>
      <c r="J1058" s="42" t="inlineStr">
        <is>
          <t>造成一次[0]%伤害，每层灼烧buff造成[1]%伤害</t>
        </is>
      </c>
      <c r="K1058" s="41" t="inlineStr">
        <is>
          <t>165|4</t>
        </is>
      </c>
    </row>
    <row r="1059" customFormat="1" s="41">
      <c r="B1059" s="41" t="n">
        <v>11056</v>
      </c>
      <c r="C1059" s="40" t="inlineStr">
        <is>
          <t>110007</t>
        </is>
      </c>
      <c r="D1059" s="41" t="inlineStr">
        <is>
          <t>焚尽</t>
        </is>
      </c>
      <c r="E1059" s="41" t="inlineStr">
        <is>
          <t>5</t>
        </is>
      </c>
      <c r="F1059" s="42" t="n">
        <v>80</v>
      </c>
      <c r="G1059" s="41" t="inlineStr">
        <is>
          <t>10001|3750$121001|2300$121003|84</t>
        </is>
      </c>
      <c r="H1059" s="42" t="n">
        <v>-95</v>
      </c>
      <c r="I1059" s="42" t="n"/>
      <c r="J1059" s="42" t="inlineStr">
        <is>
          <t>造成一次[0]%伤害，每层灼烧buff造成[1]%伤害</t>
        </is>
      </c>
      <c r="K1059" s="41" t="inlineStr">
        <is>
          <t>180|5</t>
        </is>
      </c>
    </row>
    <row r="1060" customFormat="1" s="41">
      <c r="B1060" s="41" t="n">
        <v>11057</v>
      </c>
      <c r="C1060" s="40" t="inlineStr">
        <is>
          <t>110007</t>
        </is>
      </c>
      <c r="D1060" s="41" t="inlineStr">
        <is>
          <t>焚尽</t>
        </is>
      </c>
      <c r="E1060" s="41" t="inlineStr">
        <is>
          <t>6</t>
        </is>
      </c>
      <c r="F1060" s="42" t="n">
        <v>95</v>
      </c>
      <c r="G1060" s="41" t="inlineStr">
        <is>
          <t>10001|5400$121001|3312$121003|110</t>
        </is>
      </c>
      <c r="H1060" s="42" t="n">
        <v>-94</v>
      </c>
      <c r="I1060" s="42" t="n"/>
      <c r="J1060" s="42" t="inlineStr">
        <is>
          <t>造成一次[0]%伤害，每层灼烧buff造成[1]%伤害</t>
        </is>
      </c>
      <c r="K1060" s="41" t="inlineStr">
        <is>
          <t>195|6</t>
        </is>
      </c>
    </row>
    <row r="1061" customFormat="1" s="41">
      <c r="B1061" s="41" t="n">
        <v>11058</v>
      </c>
      <c r="C1061" s="40" t="inlineStr">
        <is>
          <t>110007</t>
        </is>
      </c>
      <c r="D1061" s="41" t="inlineStr">
        <is>
          <t>焚尽</t>
        </is>
      </c>
      <c r="E1061" s="41" t="inlineStr">
        <is>
          <t>7</t>
        </is>
      </c>
      <c r="F1061" s="42" t="n">
        <v>110</v>
      </c>
      <c r="G1061" s="41" t="inlineStr">
        <is>
          <t>10001|7350$121001|4508$121003|139</t>
        </is>
      </c>
      <c r="H1061" s="42" t="n">
        <v>-93</v>
      </c>
      <c r="I1061" s="42" t="n"/>
      <c r="J1061" s="42" t="inlineStr">
        <is>
          <t>造成一次[0]%伤害，每层灼烧buff造成[1]%伤害</t>
        </is>
      </c>
      <c r="K1061" s="41" t="inlineStr">
        <is>
          <t>210|7</t>
        </is>
      </c>
    </row>
    <row r="1062" customFormat="1" s="41">
      <c r="B1062" s="41" t="n">
        <v>11059</v>
      </c>
      <c r="C1062" s="40" t="inlineStr">
        <is>
          <t>110007</t>
        </is>
      </c>
      <c r="D1062" s="41" t="inlineStr">
        <is>
          <t>焚尽</t>
        </is>
      </c>
      <c r="E1062" s="41" t="inlineStr">
        <is>
          <t>8</t>
        </is>
      </c>
      <c r="F1062" s="42" t="n">
        <v>125</v>
      </c>
      <c r="G1062" s="41" t="inlineStr">
        <is>
          <t>10001|9600$121001|5888$121003|170</t>
        </is>
      </c>
      <c r="H1062" s="42" t="n">
        <v>-92</v>
      </c>
      <c r="I1062" s="42" t="n"/>
      <c r="J1062" s="42" t="inlineStr">
        <is>
          <t>造成一次[0]%伤害，每层灼烧buff造成[1]%伤害</t>
        </is>
      </c>
      <c r="K1062" s="41" t="inlineStr">
        <is>
          <t>225|8</t>
        </is>
      </c>
    </row>
    <row r="1063" customFormat="1" s="41">
      <c r="B1063" s="41" t="n">
        <v>11060</v>
      </c>
      <c r="C1063" s="40" t="inlineStr">
        <is>
          <t>110007</t>
        </is>
      </c>
      <c r="D1063" s="41" t="inlineStr">
        <is>
          <t>焚尽</t>
        </is>
      </c>
      <c r="E1063" s="41" t="inlineStr">
        <is>
          <t>9</t>
        </is>
      </c>
      <c r="F1063" s="42" t="n">
        <v>140</v>
      </c>
      <c r="G1063" s="41" t="inlineStr">
        <is>
          <t>10001|12150$121001|7452$121003|203</t>
        </is>
      </c>
      <c r="H1063" s="42" t="n">
        <v>-91</v>
      </c>
      <c r="I1063" s="42" t="n"/>
      <c r="J1063" s="42" t="inlineStr">
        <is>
          <t>造成一次[0]%伤害，每层灼烧buff造成[1]%伤害</t>
        </is>
      </c>
      <c r="K1063" s="41" t="inlineStr">
        <is>
          <t>240|9</t>
        </is>
      </c>
    </row>
    <row r="1064" customFormat="1" s="41">
      <c r="B1064" s="41" t="n">
        <v>11061</v>
      </c>
      <c r="C1064" s="40" t="inlineStr">
        <is>
          <t>110007</t>
        </is>
      </c>
      <c r="D1064" s="41" t="inlineStr">
        <is>
          <t>焚尽</t>
        </is>
      </c>
      <c r="E1064" s="41" t="inlineStr">
        <is>
          <t>10</t>
        </is>
      </c>
      <c r="F1064" s="42" t="n">
        <v>155</v>
      </c>
      <c r="G1064" s="41" t="inlineStr">
        <is>
          <t>10001|15000$122001|9200$122003|237</t>
        </is>
      </c>
      <c r="H1064" s="42" t="n">
        <v>-90</v>
      </c>
      <c r="I1064" s="42" t="n"/>
      <c r="J1064" s="42" t="inlineStr">
        <is>
          <t>造成一次[0]%伤害，每层灼烧buff造成[1]%伤害</t>
        </is>
      </c>
      <c r="K1064" s="41" t="inlineStr">
        <is>
          <t>255|10</t>
        </is>
      </c>
    </row>
    <row r="1065" customFormat="1" s="41">
      <c r="B1065" s="41" t="n">
        <v>11062</v>
      </c>
      <c r="C1065" s="40" t="inlineStr">
        <is>
          <t>110007</t>
        </is>
      </c>
      <c r="D1065" s="41" t="inlineStr">
        <is>
          <t>焚尽</t>
        </is>
      </c>
      <c r="E1065" s="41" t="inlineStr">
        <is>
          <t>11</t>
        </is>
      </c>
      <c r="F1065" s="42" t="n">
        <v>170</v>
      </c>
      <c r="G1065" s="41" t="inlineStr">
        <is>
          <t>10001|18150$122001|11132$122003|274</t>
        </is>
      </c>
      <c r="H1065" s="42" t="n">
        <v>-89</v>
      </c>
      <c r="I1065" s="42" t="n"/>
      <c r="J1065" s="42" t="inlineStr">
        <is>
          <t>造成一次[0]%伤害，每层灼烧buff造成[1]%伤害</t>
        </is>
      </c>
      <c r="K1065" s="41" t="inlineStr">
        <is>
          <t>270|11</t>
        </is>
      </c>
    </row>
    <row r="1066" customFormat="1" s="41">
      <c r="B1066" s="41" t="n">
        <v>11063</v>
      </c>
      <c r="C1066" s="40" t="inlineStr">
        <is>
          <t>110007</t>
        </is>
      </c>
      <c r="D1066" s="41" t="inlineStr">
        <is>
          <t>焚尽</t>
        </is>
      </c>
      <c r="E1066" s="41" t="inlineStr">
        <is>
          <t>12</t>
        </is>
      </c>
      <c r="F1066" s="42" t="n">
        <v>185</v>
      </c>
      <c r="G1066" s="41" t="inlineStr">
        <is>
          <t>10001|21600$122001|13248$122003|312</t>
        </is>
      </c>
      <c r="H1066" s="42" t="n">
        <v>-88</v>
      </c>
      <c r="I1066" s="42" t="n"/>
      <c r="J1066" s="42" t="inlineStr">
        <is>
          <t>造成一次[0]%伤害，每层灼烧buff造成[1]%伤害</t>
        </is>
      </c>
      <c r="K1066" s="41" t="inlineStr">
        <is>
          <t>285|12</t>
        </is>
      </c>
    </row>
    <row r="1067" customFormat="1" s="41">
      <c r="B1067" s="41" t="n">
        <v>11064</v>
      </c>
      <c r="C1067" s="40" t="inlineStr">
        <is>
          <t>110007</t>
        </is>
      </c>
      <c r="D1067" s="41" t="inlineStr">
        <is>
          <t>焚尽</t>
        </is>
      </c>
      <c r="E1067" s="41" t="inlineStr">
        <is>
          <t>13</t>
        </is>
      </c>
      <c r="F1067" s="42" t="n">
        <v>200</v>
      </c>
      <c r="G1067" s="41" t="inlineStr">
        <is>
          <t>10001|25350$122001|15548$122003|352</t>
        </is>
      </c>
      <c r="H1067" s="42" t="n">
        <v>-87</v>
      </c>
      <c r="I1067" s="42" t="n"/>
      <c r="J1067" s="42" t="inlineStr">
        <is>
          <t>造成一次[0]%伤害，每层灼烧buff造成[1]%伤害</t>
        </is>
      </c>
      <c r="K1067" s="41" t="inlineStr">
        <is>
          <t>300|13</t>
        </is>
      </c>
    </row>
    <row r="1068" customFormat="1" s="41">
      <c r="B1068" s="41" t="n">
        <v>11065</v>
      </c>
      <c r="C1068" s="40" t="inlineStr">
        <is>
          <t>110007</t>
        </is>
      </c>
      <c r="D1068" s="41" t="inlineStr">
        <is>
          <t>焚尽</t>
        </is>
      </c>
      <c r="E1068" s="41" t="inlineStr">
        <is>
          <t>14</t>
        </is>
      </c>
      <c r="F1068" s="42" t="n">
        <v>215</v>
      </c>
      <c r="G1068" s="41" t="inlineStr">
        <is>
          <t>10001|29400$122001|18032$122003|393</t>
        </is>
      </c>
      <c r="H1068" s="42" t="n">
        <v>-86</v>
      </c>
      <c r="I1068" s="42" t="n"/>
      <c r="J1068" s="42" t="inlineStr">
        <is>
          <t>造成一次[0]%伤害，每层灼烧buff造成[1]%伤害</t>
        </is>
      </c>
      <c r="K1068" s="41" t="inlineStr">
        <is>
          <t>315|14</t>
        </is>
      </c>
    </row>
    <row r="1069" customFormat="1" s="41">
      <c r="B1069" s="41" t="n">
        <v>11066</v>
      </c>
      <c r="C1069" s="40" t="inlineStr">
        <is>
          <t>110007</t>
        </is>
      </c>
      <c r="D1069" s="41" t="inlineStr">
        <is>
          <t>焚尽</t>
        </is>
      </c>
      <c r="E1069" s="41" t="inlineStr">
        <is>
          <t>15</t>
        </is>
      </c>
      <c r="F1069" s="42" t="n">
        <v>230</v>
      </c>
      <c r="G1069" s="41" t="inlineStr">
        <is>
          <t>10001|33750$122001|20700$122003|436</t>
        </is>
      </c>
      <c r="H1069" s="42" t="n">
        <v>-85</v>
      </c>
      <c r="I1069" s="42" t="n"/>
      <c r="J1069" s="42" t="inlineStr">
        <is>
          <t>造成一次[0]%伤害，每层灼烧buff造成[1]%伤害</t>
        </is>
      </c>
      <c r="K1069" s="41" t="inlineStr">
        <is>
          <t>330|15</t>
        </is>
      </c>
    </row>
    <row r="1070" customFormat="1" s="41">
      <c r="B1070" s="41" t="n">
        <v>11067</v>
      </c>
      <c r="C1070" s="40" t="inlineStr">
        <is>
          <t>110007</t>
        </is>
      </c>
      <c r="D1070" s="41" t="inlineStr">
        <is>
          <t>焚尽</t>
        </is>
      </c>
      <c r="E1070" s="41" t="inlineStr">
        <is>
          <t>16</t>
        </is>
      </c>
      <c r="F1070" s="42" t="n">
        <v>245</v>
      </c>
      <c r="G1070" s="41" t="inlineStr">
        <is>
          <t>10001|38400$122001|23552$122003|480</t>
        </is>
      </c>
      <c r="H1070" s="42" t="n">
        <v>-84</v>
      </c>
      <c r="I1070" s="42" t="n"/>
      <c r="J1070" s="42" t="inlineStr">
        <is>
          <t>造成一次[0]%伤害，每层灼烧buff造成[1]%伤害</t>
        </is>
      </c>
      <c r="K1070" s="41" t="inlineStr">
        <is>
          <t>345|16</t>
        </is>
      </c>
    </row>
    <row r="1071" customFormat="1" s="41">
      <c r="B1071" s="41" t="n">
        <v>11068</v>
      </c>
      <c r="C1071" s="40" t="inlineStr">
        <is>
          <t>110007</t>
        </is>
      </c>
      <c r="D1071" s="41" t="inlineStr">
        <is>
          <t>焚尽</t>
        </is>
      </c>
      <c r="E1071" s="41" t="inlineStr">
        <is>
          <t>17</t>
        </is>
      </c>
      <c r="F1071" s="42" t="n">
        <v>260</v>
      </c>
      <c r="G1071" s="41" t="inlineStr">
        <is>
          <t>10001|43350$122001|26588$122003|526</t>
        </is>
      </c>
      <c r="H1071" s="42" t="n">
        <v>-83</v>
      </c>
      <c r="I1071" s="42" t="n"/>
      <c r="J1071" s="42" t="inlineStr">
        <is>
          <t>造成一次[0]%伤害，每层灼烧buff造成[1]%伤害</t>
        </is>
      </c>
      <c r="K1071" s="41" t="inlineStr">
        <is>
          <t>360|17</t>
        </is>
      </c>
    </row>
    <row r="1072" customFormat="1" s="41">
      <c r="B1072" s="41" t="n">
        <v>11069</v>
      </c>
      <c r="C1072" s="40" t="inlineStr">
        <is>
          <t>110007</t>
        </is>
      </c>
      <c r="D1072" s="41" t="inlineStr">
        <is>
          <t>焚尽</t>
        </is>
      </c>
      <c r="E1072" s="41" t="inlineStr">
        <is>
          <t>18</t>
        </is>
      </c>
      <c r="F1072" s="42" t="n">
        <v>275</v>
      </c>
      <c r="G1072" s="41" t="inlineStr">
        <is>
          <t>10001|48600$122001|29808$122003|573</t>
        </is>
      </c>
      <c r="H1072" s="42" t="n">
        <v>-82</v>
      </c>
      <c r="I1072" s="42" t="n"/>
      <c r="J1072" s="42" t="inlineStr">
        <is>
          <t>造成一次[0]%伤害，每层灼烧buff造成[1]%伤害</t>
        </is>
      </c>
      <c r="K1072" s="41" t="inlineStr">
        <is>
          <t>375|18</t>
        </is>
      </c>
    </row>
    <row r="1073" customFormat="1" s="41">
      <c r="B1073" s="41" t="n">
        <v>11070</v>
      </c>
      <c r="C1073" s="40" t="inlineStr">
        <is>
          <t>110007</t>
        </is>
      </c>
      <c r="D1073" s="41" t="inlineStr">
        <is>
          <t>焚尽</t>
        </is>
      </c>
      <c r="E1073" s="41" t="inlineStr">
        <is>
          <t>19</t>
        </is>
      </c>
      <c r="F1073" s="42" t="n">
        <v>290</v>
      </c>
      <c r="G1073" s="41" t="inlineStr">
        <is>
          <t>10001|54150$122001|33212$122003|621</t>
        </is>
      </c>
      <c r="H1073" s="42" t="n">
        <v>-81</v>
      </c>
      <c r="I1073" s="42" t="n"/>
      <c r="J1073" s="42" t="inlineStr">
        <is>
          <t>造成一次[0]%伤害，每层灼烧buff造成[1]%伤害</t>
        </is>
      </c>
      <c r="K1073" s="41" t="inlineStr">
        <is>
          <t>390|19</t>
        </is>
      </c>
    </row>
    <row r="1074" customFormat="1" s="41">
      <c r="B1074" s="41" t="n">
        <v>11071</v>
      </c>
      <c r="C1074" s="40" t="inlineStr">
        <is>
          <t>110007</t>
        </is>
      </c>
      <c r="D1074" s="41" t="inlineStr">
        <is>
          <t>焚尽</t>
        </is>
      </c>
      <c r="E1074" s="41" t="inlineStr">
        <is>
          <t>20</t>
        </is>
      </c>
      <c r="F1074" s="42" t="n">
        <v>305</v>
      </c>
      <c r="G1074" s="41" t="inlineStr">
        <is>
          <t>10001|60000$123001|36800$123003|671</t>
        </is>
      </c>
      <c r="H1074" s="42" t="n">
        <v>-80</v>
      </c>
      <c r="I1074" s="42" t="n"/>
      <c r="J1074" s="42" t="inlineStr">
        <is>
          <t>造成一次[0]%伤害，每层灼烧buff造成[1]%伤害</t>
        </is>
      </c>
      <c r="K1074" s="41" t="inlineStr">
        <is>
          <t>405|20</t>
        </is>
      </c>
    </row>
    <row r="1075" customFormat="1" s="41">
      <c r="B1075" s="41" t="n">
        <v>11072</v>
      </c>
      <c r="C1075" s="40" t="inlineStr">
        <is>
          <t>110007</t>
        </is>
      </c>
      <c r="D1075" s="41" t="inlineStr">
        <is>
          <t>焚尽</t>
        </is>
      </c>
      <c r="E1075" s="41" t="inlineStr">
        <is>
          <t>21</t>
        </is>
      </c>
      <c r="F1075" s="42" t="n">
        <v>320</v>
      </c>
      <c r="G1075" s="41" t="inlineStr">
        <is>
          <t>10001|66150$123001|40572$123003|722</t>
        </is>
      </c>
      <c r="H1075" s="42" t="n">
        <v>-79</v>
      </c>
      <c r="I1075" s="42" t="n"/>
      <c r="J1075" s="42" t="inlineStr">
        <is>
          <t>造成一次[0]%伤害，每层灼烧buff造成[1]%伤害</t>
        </is>
      </c>
      <c r="K1075" s="41" t="inlineStr">
        <is>
          <t>420|21</t>
        </is>
      </c>
    </row>
    <row r="1076" customFormat="1" s="41">
      <c r="B1076" s="41" t="n">
        <v>11073</v>
      </c>
      <c r="C1076" s="40" t="inlineStr">
        <is>
          <t>110007</t>
        </is>
      </c>
      <c r="D1076" s="41" t="inlineStr">
        <is>
          <t>焚尽</t>
        </is>
      </c>
      <c r="E1076" s="41" t="inlineStr">
        <is>
          <t>22</t>
        </is>
      </c>
      <c r="F1076" s="42" t="n">
        <v>334.9999999999999</v>
      </c>
      <c r="G1076" s="41" t="inlineStr">
        <is>
          <t>10001|72600$123001|44528$123003|774</t>
        </is>
      </c>
      <c r="H1076" s="42" t="n">
        <v>-78</v>
      </c>
      <c r="I1076" s="42" t="n"/>
      <c r="J1076" s="42" t="inlineStr">
        <is>
          <t>造成一次[0]%伤害，每层灼烧buff造成[1]%伤害</t>
        </is>
      </c>
      <c r="K1076" s="41" t="inlineStr">
        <is>
          <t>435|22</t>
        </is>
      </c>
    </row>
    <row r="1077" customFormat="1" s="41">
      <c r="B1077" s="41" t="n">
        <v>11074</v>
      </c>
      <c r="C1077" s="40" t="inlineStr">
        <is>
          <t>110007</t>
        </is>
      </c>
      <c r="D1077" s="41" t="inlineStr">
        <is>
          <t>焚尽</t>
        </is>
      </c>
      <c r="E1077" s="41" t="inlineStr">
        <is>
          <t>23</t>
        </is>
      </c>
      <c r="F1077" s="42" t="n">
        <v>350</v>
      </c>
      <c r="G1077" s="41" t="inlineStr">
        <is>
          <t>10001|79350$123001|48668$123003|827</t>
        </is>
      </c>
      <c r="H1077" s="42" t="n">
        <v>-77</v>
      </c>
      <c r="I1077" s="42" t="n"/>
      <c r="J1077" s="42" t="inlineStr">
        <is>
          <t>造成一次[0]%伤害，每层灼烧buff造成[1]%伤害</t>
        </is>
      </c>
      <c r="K1077" s="41" t="inlineStr">
        <is>
          <t>450|23</t>
        </is>
      </c>
    </row>
    <row r="1078" customFormat="1" s="41">
      <c r="B1078" s="41" t="n">
        <v>11075</v>
      </c>
      <c r="C1078" s="40" t="inlineStr">
        <is>
          <t>110007</t>
        </is>
      </c>
      <c r="D1078" s="41" t="inlineStr">
        <is>
          <t>焚尽</t>
        </is>
      </c>
      <c r="E1078" s="41" t="inlineStr">
        <is>
          <t>24</t>
        </is>
      </c>
      <c r="F1078" s="42" t="n">
        <v>365.0000000000001</v>
      </c>
      <c r="G1078" s="41" t="inlineStr">
        <is>
          <t>10001|86400$123001|52992$123003|882</t>
        </is>
      </c>
      <c r="H1078" s="42" t="n">
        <v>-76</v>
      </c>
      <c r="I1078" s="42" t="n"/>
      <c r="J1078" s="42" t="inlineStr">
        <is>
          <t>造成一次[0]%伤害，每层灼烧buff造成[1]%伤害</t>
        </is>
      </c>
      <c r="K1078" s="41" t="inlineStr">
        <is>
          <t>465|24</t>
        </is>
      </c>
    </row>
    <row r="1079" customFormat="1" s="41">
      <c r="B1079" s="41" t="n">
        <v>11076</v>
      </c>
      <c r="C1079" s="40" t="inlineStr">
        <is>
          <t>110007</t>
        </is>
      </c>
      <c r="D1079" s="41" t="inlineStr">
        <is>
          <t>焚尽</t>
        </is>
      </c>
      <c r="E1079" s="41" t="inlineStr">
        <is>
          <t>25</t>
        </is>
      </c>
      <c r="F1079" s="42" t="n">
        <v>380</v>
      </c>
      <c r="G1079" s="41" t="inlineStr">
        <is>
          <t>10001|93750$123001|57500$123003|938</t>
        </is>
      </c>
      <c r="H1079" s="42" t="n">
        <v>-75</v>
      </c>
      <c r="I1079" s="42" t="n"/>
      <c r="J1079" s="42" t="inlineStr">
        <is>
          <t>造成一次[0]%伤害，每层灼烧buff造成[1]%伤害</t>
        </is>
      </c>
      <c r="K1079" s="41" t="inlineStr">
        <is>
          <t>480|25</t>
        </is>
      </c>
    </row>
    <row r="1080" customFormat="1" s="41">
      <c r="B1080" s="41" t="n">
        <v>11077</v>
      </c>
      <c r="C1080" s="40" t="inlineStr">
        <is>
          <t>110007</t>
        </is>
      </c>
      <c r="D1080" s="41" t="inlineStr">
        <is>
          <t>焚尽</t>
        </is>
      </c>
      <c r="E1080" s="41" t="inlineStr">
        <is>
          <t>26</t>
        </is>
      </c>
      <c r="F1080" s="42" t="n">
        <v>395</v>
      </c>
      <c r="G1080" s="41" t="inlineStr">
        <is>
          <t>10001|101400$123001|62192$123003|994</t>
        </is>
      </c>
      <c r="H1080" s="42" t="n">
        <v>-74</v>
      </c>
      <c r="I1080" s="42" t="n"/>
      <c r="J1080" s="42" t="inlineStr">
        <is>
          <t>造成一次[0]%伤害，每层灼烧buff造成[1]%伤害</t>
        </is>
      </c>
      <c r="K1080" s="41" t="inlineStr">
        <is>
          <t>495|26</t>
        </is>
      </c>
    </row>
    <row r="1081" customFormat="1" s="41">
      <c r="B1081" s="41" t="n">
        <v>11078</v>
      </c>
      <c r="C1081" s="40" t="inlineStr">
        <is>
          <t>110007</t>
        </is>
      </c>
      <c r="D1081" s="41" t="inlineStr">
        <is>
          <t>焚尽</t>
        </is>
      </c>
      <c r="E1081" s="41" t="inlineStr">
        <is>
          <t>27</t>
        </is>
      </c>
      <c r="F1081" s="42" t="n">
        <v>409.9999999999999</v>
      </c>
      <c r="G1081" s="41" t="inlineStr">
        <is>
          <t>10001|109350$123001|67068$123003|1052</t>
        </is>
      </c>
      <c r="H1081" s="42" t="n">
        <v>-73</v>
      </c>
      <c r="I1081" s="42" t="n"/>
      <c r="J1081" s="42" t="inlineStr">
        <is>
          <t>造成一次[0]%伤害，每层灼烧buff造成[1]%伤害</t>
        </is>
      </c>
      <c r="K1081" s="41" t="inlineStr">
        <is>
          <t>510|27</t>
        </is>
      </c>
    </row>
    <row r="1082" customFormat="1" s="41">
      <c r="B1082" s="41" t="n">
        <v>11079</v>
      </c>
      <c r="C1082" s="40" t="inlineStr">
        <is>
          <t>110007</t>
        </is>
      </c>
      <c r="D1082" s="41" t="inlineStr">
        <is>
          <t>焚尽</t>
        </is>
      </c>
      <c r="E1082" s="41" t="inlineStr">
        <is>
          <t>28</t>
        </is>
      </c>
      <c r="F1082" s="42" t="n">
        <v>425</v>
      </c>
      <c r="G1082" s="41" t="inlineStr">
        <is>
          <t>10001|117600$123001|72128$123003|1111</t>
        </is>
      </c>
      <c r="H1082" s="42" t="n">
        <v>-72</v>
      </c>
      <c r="I1082" s="42" t="n"/>
      <c r="J1082" s="42" t="inlineStr">
        <is>
          <t>造成一次[0]%伤害，每层灼烧buff造成[1]%伤害</t>
        </is>
      </c>
      <c r="K1082" s="41" t="inlineStr">
        <is>
          <t>525|28</t>
        </is>
      </c>
    </row>
    <row r="1083" customFormat="1" s="41">
      <c r="B1083" s="41" t="n">
        <v>11080</v>
      </c>
      <c r="C1083" s="40" t="inlineStr">
        <is>
          <t>110007</t>
        </is>
      </c>
      <c r="D1083" s="41" t="inlineStr">
        <is>
          <t>焚尽</t>
        </is>
      </c>
      <c r="E1083" s="41" t="inlineStr">
        <is>
          <t>29</t>
        </is>
      </c>
      <c r="F1083" s="42" t="n">
        <v>440.0000000000001</v>
      </c>
      <c r="G1083" s="41" t="inlineStr">
        <is>
          <t>10001|126150$123001|77372$123003|1171</t>
        </is>
      </c>
      <c r="H1083" s="42" t="n">
        <v>-71</v>
      </c>
      <c r="I1083" s="42" t="n"/>
      <c r="J1083" s="42" t="inlineStr">
        <is>
          <t>造成一次[0]%伤害，每层灼烧buff造成[1]%伤害</t>
        </is>
      </c>
      <c r="K1083" s="41" t="inlineStr">
        <is>
          <t>540|29</t>
        </is>
      </c>
    </row>
    <row r="1084" customFormat="1" s="41">
      <c r="B1084" s="41" t="n">
        <v>11081</v>
      </c>
      <c r="C1084" s="40" t="inlineStr">
        <is>
          <t>110007</t>
        </is>
      </c>
      <c r="D1084" s="41" t="inlineStr">
        <is>
          <t>焚尽</t>
        </is>
      </c>
      <c r="E1084" s="41" t="inlineStr">
        <is>
          <t>30</t>
        </is>
      </c>
      <c r="F1084" s="42" t="n">
        <v>455</v>
      </c>
      <c r="G1084" s="41" t="inlineStr">
        <is>
          <t>10001|135000$124001|82800$124003|1232</t>
        </is>
      </c>
      <c r="H1084" s="42" t="n">
        <v>-70</v>
      </c>
      <c r="I1084" s="42" t="n"/>
      <c r="J1084" s="42" t="inlineStr">
        <is>
          <t>造成一次[0]%伤害，每层灼烧buff造成[1]%伤害</t>
        </is>
      </c>
      <c r="K1084" s="41" t="inlineStr">
        <is>
          <t>555|30</t>
        </is>
      </c>
    </row>
    <row r="1085" customFormat="1" s="41">
      <c r="B1085" s="41" t="n">
        <v>11082</v>
      </c>
      <c r="C1085" s="40" t="inlineStr">
        <is>
          <t>110007</t>
        </is>
      </c>
      <c r="D1085" s="41" t="inlineStr">
        <is>
          <t>焚尽</t>
        </is>
      </c>
      <c r="E1085" s="41" t="inlineStr">
        <is>
          <t>31</t>
        </is>
      </c>
      <c r="F1085" s="42" t="n">
        <v>470</v>
      </c>
      <c r="G1085" s="41" t="inlineStr">
        <is>
          <t>10001|144150$124001|88412$124003|1295</t>
        </is>
      </c>
      <c r="H1085" s="42" t="n">
        <v>-69</v>
      </c>
      <c r="I1085" s="42" t="n"/>
      <c r="J1085" s="42" t="inlineStr">
        <is>
          <t>造成一次[0]%伤害，每层灼烧buff造成[1]%伤害</t>
        </is>
      </c>
      <c r="K1085" s="41" t="inlineStr">
        <is>
          <t>570|31</t>
        </is>
      </c>
    </row>
    <row r="1086" customFormat="1" s="41">
      <c r="B1086" s="41" t="n">
        <v>11083</v>
      </c>
      <c r="C1086" s="40" t="inlineStr">
        <is>
          <t>110007</t>
        </is>
      </c>
      <c r="D1086" s="41" t="inlineStr">
        <is>
          <t>焚尽</t>
        </is>
      </c>
      <c r="E1086" s="41" t="inlineStr">
        <is>
          <t>32</t>
        </is>
      </c>
      <c r="F1086" s="42" t="n">
        <v>484.9999999999999</v>
      </c>
      <c r="G1086" s="41" t="inlineStr">
        <is>
          <t>10001|153600$124001|94208$124003|1358</t>
        </is>
      </c>
      <c r="H1086" s="42" t="n">
        <v>-68</v>
      </c>
      <c r="I1086" s="42" t="n"/>
      <c r="J1086" s="42" t="inlineStr">
        <is>
          <t>造成一次[0]%伤害，每层灼烧buff造成[1]%伤害</t>
        </is>
      </c>
      <c r="K1086" s="41" t="inlineStr">
        <is>
          <t>585|32</t>
        </is>
      </c>
    </row>
    <row r="1087" customFormat="1" s="41">
      <c r="B1087" s="41" t="n">
        <v>11084</v>
      </c>
      <c r="C1087" s="40" t="inlineStr">
        <is>
          <t>110007</t>
        </is>
      </c>
      <c r="D1087" s="41" t="inlineStr">
        <is>
          <t>焚尽</t>
        </is>
      </c>
      <c r="E1087" s="41" t="inlineStr">
        <is>
          <t>33</t>
        </is>
      </c>
      <c r="F1087" s="42" t="n">
        <v>500</v>
      </c>
      <c r="G1087" s="41" t="inlineStr">
        <is>
          <t>10001|163350$124001|100188$124003|1422</t>
        </is>
      </c>
      <c r="H1087" s="42" t="n">
        <v>-67</v>
      </c>
      <c r="I1087" s="42" t="n"/>
      <c r="J1087" s="42" t="inlineStr">
        <is>
          <t>造成一次[0]%伤害，每层灼烧buff造成[1]%伤害</t>
        </is>
      </c>
      <c r="K1087" s="41" t="inlineStr">
        <is>
          <t>600|33</t>
        </is>
      </c>
    </row>
    <row r="1088" customFormat="1" s="41">
      <c r="B1088" s="41" t="n">
        <v>11085</v>
      </c>
      <c r="C1088" s="40" t="inlineStr">
        <is>
          <t>110007</t>
        </is>
      </c>
      <c r="D1088" s="41" t="inlineStr">
        <is>
          <t>焚尽</t>
        </is>
      </c>
      <c r="E1088" s="41" t="inlineStr">
        <is>
          <t>34</t>
        </is>
      </c>
      <c r="F1088" s="42" t="n">
        <v>515</v>
      </c>
      <c r="G1088" s="41" t="inlineStr">
        <is>
          <t>10001|173400$124001|106352$124003|1487</t>
        </is>
      </c>
      <c r="H1088" s="42" t="n">
        <v>-66</v>
      </c>
      <c r="I1088" s="42" t="n"/>
      <c r="J1088" s="42" t="inlineStr">
        <is>
          <t>造成一次[0]%伤害，每层灼烧buff造成[1]%伤害</t>
        </is>
      </c>
      <c r="K1088" s="41" t="inlineStr">
        <is>
          <t>615|34</t>
        </is>
      </c>
    </row>
    <row r="1089" customFormat="1" s="41">
      <c r="B1089" s="41" t="n">
        <v>11086</v>
      </c>
      <c r="C1089" s="40" t="inlineStr">
        <is>
          <t>110007</t>
        </is>
      </c>
      <c r="D1089" s="41" t="inlineStr">
        <is>
          <t>焚尽</t>
        </is>
      </c>
      <c r="E1089" s="41" t="inlineStr">
        <is>
          <t>35</t>
        </is>
      </c>
      <c r="F1089" s="42" t="n">
        <v>530</v>
      </c>
      <c r="G1089" s="41" t="inlineStr">
        <is>
          <t>10001|183750$124001|112700$124003|1553</t>
        </is>
      </c>
      <c r="H1089" s="42" t="n">
        <v>-65</v>
      </c>
      <c r="I1089" s="42" t="n"/>
      <c r="J1089" s="42" t="inlineStr">
        <is>
          <t>造成一次[0]%伤害，每层灼烧buff造成[1]%伤害</t>
        </is>
      </c>
      <c r="K1089" s="41" t="inlineStr">
        <is>
          <t>630|35</t>
        </is>
      </c>
    </row>
    <row r="1090" customFormat="1" s="41">
      <c r="B1090" s="41" t="n">
        <v>11087</v>
      </c>
      <c r="C1090" s="40" t="inlineStr">
        <is>
          <t>110007</t>
        </is>
      </c>
      <c r="D1090" s="41" t="inlineStr">
        <is>
          <t>焚尽</t>
        </is>
      </c>
      <c r="E1090" s="41" t="inlineStr">
        <is>
          <t>36</t>
        </is>
      </c>
      <c r="F1090" s="42" t="n">
        <v>545</v>
      </c>
      <c r="G1090" s="41" t="inlineStr">
        <is>
          <t>10001|194400$124001|119232$124003|1620</t>
        </is>
      </c>
      <c r="H1090" s="42" t="n">
        <v>-64</v>
      </c>
      <c r="I1090" s="42" t="n"/>
      <c r="J1090" s="42" t="inlineStr">
        <is>
          <t>造成一次[0]%伤害，每层灼烧buff造成[1]%伤害</t>
        </is>
      </c>
      <c r="K1090" s="41" t="inlineStr">
        <is>
          <t>645|36</t>
        </is>
      </c>
    </row>
    <row r="1091" customFormat="1" s="41">
      <c r="B1091" s="41" t="n">
        <v>11088</v>
      </c>
      <c r="C1091" s="40" t="inlineStr">
        <is>
          <t>110007</t>
        </is>
      </c>
      <c r="D1091" s="41" t="inlineStr">
        <is>
          <t>焚尽</t>
        </is>
      </c>
      <c r="E1091" s="41" t="inlineStr">
        <is>
          <t>37</t>
        </is>
      </c>
      <c r="F1091" s="42" t="n">
        <v>560</v>
      </c>
      <c r="G1091" s="41" t="inlineStr">
        <is>
          <t>10001|205350$124001|125948$124003|1688</t>
        </is>
      </c>
      <c r="H1091" s="42" t="n">
        <v>-63</v>
      </c>
      <c r="I1091" s="42" t="n"/>
      <c r="J1091" s="42" t="inlineStr">
        <is>
          <t>造成一次[0]%伤害，每层灼烧buff造成[1]%伤害</t>
        </is>
      </c>
      <c r="K1091" s="41" t="inlineStr">
        <is>
          <t>660|37</t>
        </is>
      </c>
    </row>
    <row r="1092" customFormat="1" s="41">
      <c r="B1092" s="41" t="n">
        <v>11089</v>
      </c>
      <c r="C1092" s="40" t="inlineStr">
        <is>
          <t>110007</t>
        </is>
      </c>
      <c r="D1092" s="41" t="inlineStr">
        <is>
          <t>焚尽</t>
        </is>
      </c>
      <c r="E1092" s="41" t="inlineStr">
        <is>
          <t>38</t>
        </is>
      </c>
      <c r="F1092" s="42" t="n">
        <v>575.000000000001</v>
      </c>
      <c r="G1092" s="41" t="inlineStr">
        <is>
          <t>10001|216600$124001|132848$124003|1757</t>
        </is>
      </c>
      <c r="H1092" s="42" t="n">
        <v>-62</v>
      </c>
      <c r="I1092" s="42" t="n"/>
      <c r="J1092" s="42" t="inlineStr">
        <is>
          <t>造成一次[0]%伤害，每层灼烧buff造成[1]%伤害</t>
        </is>
      </c>
      <c r="K1092" s="41" t="inlineStr">
        <is>
          <t>675|38</t>
        </is>
      </c>
    </row>
    <row r="1093" customFormat="1" s="41">
      <c r="B1093" s="41" t="n">
        <v>11090</v>
      </c>
      <c r="C1093" s="40" t="inlineStr">
        <is>
          <t>110007</t>
        </is>
      </c>
      <c r="D1093" s="41" t="inlineStr">
        <is>
          <t>焚尽</t>
        </is>
      </c>
      <c r="E1093" s="41" t="inlineStr">
        <is>
          <t>39</t>
        </is>
      </c>
      <c r="F1093" s="42" t="n">
        <v>590</v>
      </c>
      <c r="G1093" s="41" t="inlineStr">
        <is>
          <t>10001|228150$124001|139932$124003|1827</t>
        </is>
      </c>
      <c r="H1093" s="42" t="n">
        <v>-61</v>
      </c>
      <c r="I1093" s="42" t="n"/>
      <c r="J1093" s="42" t="inlineStr">
        <is>
          <t>造成一次[0]%伤害，每层灼烧buff造成[1]%伤害</t>
        </is>
      </c>
      <c r="K1093" s="41" t="inlineStr">
        <is>
          <t>690|39</t>
        </is>
      </c>
    </row>
    <row r="1094" customFormat="1" s="41">
      <c r="B1094" s="41" t="n">
        <v>11091</v>
      </c>
      <c r="C1094" s="40" t="inlineStr">
        <is>
          <t>110007</t>
        </is>
      </c>
      <c r="D1094" s="41" t="inlineStr">
        <is>
          <t>焚尽</t>
        </is>
      </c>
      <c r="E1094" s="41" t="inlineStr">
        <is>
          <t>40</t>
        </is>
      </c>
      <c r="F1094" s="42" t="n">
        <v>605</v>
      </c>
      <c r="G1094" s="41" t="inlineStr">
        <is>
          <t>10001|240000$125001|147200$125003|1897</t>
        </is>
      </c>
      <c r="H1094" s="42" t="n">
        <v>-60</v>
      </c>
      <c r="I1094" s="42" t="n"/>
      <c r="J1094" s="42" t="inlineStr">
        <is>
          <t>造成一次[0]%伤害，每层灼烧buff造成[1]%伤害</t>
        </is>
      </c>
      <c r="K1094" s="41" t="inlineStr">
        <is>
          <t>705|40</t>
        </is>
      </c>
    </row>
    <row r="1095" customFormat="1" s="41">
      <c r="B1095" s="41" t="n">
        <v>11092</v>
      </c>
      <c r="C1095" s="40" t="inlineStr">
        <is>
          <t>110007</t>
        </is>
      </c>
      <c r="D1095" s="41" t="inlineStr">
        <is>
          <t>焚尽</t>
        </is>
      </c>
      <c r="E1095" s="41" t="inlineStr">
        <is>
          <t>41</t>
        </is>
      </c>
      <c r="F1095" s="42" t="n">
        <v>620.000000000001</v>
      </c>
      <c r="G1095" s="41" t="inlineStr">
        <is>
          <t>10001|252150$125001|154652$125003|1969</t>
        </is>
      </c>
      <c r="H1095" s="42" t="n">
        <v>-59</v>
      </c>
      <c r="I1095" s="42" t="n"/>
      <c r="J1095" s="42" t="inlineStr">
        <is>
          <t>造成一次[0]%伤害，每层灼烧buff造成[1]%伤害</t>
        </is>
      </c>
      <c r="K1095" s="41" t="inlineStr">
        <is>
          <t>720|41</t>
        </is>
      </c>
    </row>
    <row r="1096" customFormat="1" s="41">
      <c r="B1096" s="41" t="n">
        <v>11093</v>
      </c>
      <c r="C1096" s="40" t="inlineStr">
        <is>
          <t>110007</t>
        </is>
      </c>
      <c r="D1096" s="41" t="inlineStr">
        <is>
          <t>焚尽</t>
        </is>
      </c>
      <c r="E1096" s="41" t="inlineStr">
        <is>
          <t>42</t>
        </is>
      </c>
      <c r="F1096" s="42" t="n">
        <v>635.000000000001</v>
      </c>
      <c r="G1096" s="41" t="inlineStr">
        <is>
          <t>10001|264600$125001|162288$125003|2041</t>
        </is>
      </c>
      <c r="H1096" s="42" t="n">
        <v>-58</v>
      </c>
      <c r="I1096" s="42" t="n"/>
      <c r="J1096" s="42" t="inlineStr">
        <is>
          <t>造成一次[0]%伤害，每层灼烧buff造成[1]%伤害</t>
        </is>
      </c>
      <c r="K1096" s="41" t="inlineStr">
        <is>
          <t>735|42</t>
        </is>
      </c>
    </row>
    <row r="1097" customFormat="1" s="41">
      <c r="B1097" s="41" t="n">
        <v>11094</v>
      </c>
      <c r="C1097" s="40" t="inlineStr">
        <is>
          <t>110007</t>
        </is>
      </c>
      <c r="D1097" s="41" t="inlineStr">
        <is>
          <t>焚尽</t>
        </is>
      </c>
      <c r="E1097" s="41" t="inlineStr">
        <is>
          <t>43</t>
        </is>
      </c>
      <c r="F1097" s="42" t="n">
        <v>650.000000000001</v>
      </c>
      <c r="G1097" s="41" t="inlineStr">
        <is>
          <t>10001|277350$125001|170108$125003|2115</t>
        </is>
      </c>
      <c r="H1097" s="42" t="n">
        <v>-57</v>
      </c>
      <c r="I1097" s="42" t="n"/>
      <c r="J1097" s="42" t="inlineStr">
        <is>
          <t>造成一次[0]%伤害，每层灼烧buff造成[1]%伤害</t>
        </is>
      </c>
      <c r="K1097" s="41" t="inlineStr">
        <is>
          <t>750|43</t>
        </is>
      </c>
    </row>
    <row r="1098" customFormat="1" s="41">
      <c r="B1098" s="41" t="n">
        <v>11095</v>
      </c>
      <c r="C1098" s="40" t="inlineStr">
        <is>
          <t>110007</t>
        </is>
      </c>
      <c r="D1098" s="41" t="inlineStr">
        <is>
          <t>焚尽</t>
        </is>
      </c>
      <c r="E1098" s="41" t="inlineStr">
        <is>
          <t>44</t>
        </is>
      </c>
      <c r="F1098" s="42" t="n">
        <v>665.000000000001</v>
      </c>
      <c r="G1098" s="41" t="inlineStr">
        <is>
          <t>10001|290400$125001|178112$125003|2189</t>
        </is>
      </c>
      <c r="H1098" s="42" t="n">
        <v>-56</v>
      </c>
      <c r="I1098" s="42" t="n"/>
      <c r="J1098" s="42" t="inlineStr">
        <is>
          <t>造成一次[0]%伤害，每层灼烧buff造成[1]%伤害</t>
        </is>
      </c>
      <c r="K1098" s="41" t="inlineStr">
        <is>
          <t>765|44</t>
        </is>
      </c>
    </row>
    <row r="1099" customFormat="1" s="41">
      <c r="B1099" s="41" t="n">
        <v>11096</v>
      </c>
      <c r="C1099" s="40" t="inlineStr">
        <is>
          <t>110007</t>
        </is>
      </c>
      <c r="D1099" s="41" t="inlineStr">
        <is>
          <t>焚尽</t>
        </is>
      </c>
      <c r="E1099" s="41" t="inlineStr">
        <is>
          <t>45</t>
        </is>
      </c>
      <c r="F1099" s="42" t="n">
        <v>680.0000000000009</v>
      </c>
      <c r="G1099" s="41" t="inlineStr">
        <is>
          <t>10001|303750$125001|186300$125003|2264</t>
        </is>
      </c>
      <c r="H1099" s="42" t="n">
        <v>-55</v>
      </c>
      <c r="I1099" s="42" t="n"/>
      <c r="J1099" s="42" t="inlineStr">
        <is>
          <t>造成一次[0]%伤害，每层灼烧buff造成[1]%伤害</t>
        </is>
      </c>
      <c r="K1099" s="41" t="inlineStr">
        <is>
          <t>780|45</t>
        </is>
      </c>
    </row>
    <row r="1100" customFormat="1" s="41">
      <c r="B1100" s="41" t="n">
        <v>11097</v>
      </c>
      <c r="C1100" s="40" t="inlineStr">
        <is>
          <t>110007</t>
        </is>
      </c>
      <c r="D1100" s="41" t="inlineStr">
        <is>
          <t>焚尽</t>
        </is>
      </c>
      <c r="E1100" s="41" t="inlineStr">
        <is>
          <t>46</t>
        </is>
      </c>
      <c r="F1100" s="42" t="n">
        <v>695.000000000001</v>
      </c>
      <c r="G1100" s="41" t="inlineStr">
        <is>
          <t>10001|317400$125001|194672$125003|2340</t>
        </is>
      </c>
      <c r="H1100" s="42" t="n">
        <v>-54</v>
      </c>
      <c r="I1100" s="42" t="n"/>
      <c r="J1100" s="42" t="inlineStr">
        <is>
          <t>造成一次[0]%伤害，每层灼烧buff造成[1]%伤害</t>
        </is>
      </c>
      <c r="K1100" s="41" t="inlineStr">
        <is>
          <t>795|46</t>
        </is>
      </c>
    </row>
    <row r="1101" customFormat="1" s="41">
      <c r="B1101" s="41" t="n">
        <v>11098</v>
      </c>
      <c r="C1101" s="40" t="inlineStr">
        <is>
          <t>110007</t>
        </is>
      </c>
      <c r="D1101" s="41" t="inlineStr">
        <is>
          <t>焚尽</t>
        </is>
      </c>
      <c r="E1101" s="41" t="inlineStr">
        <is>
          <t>47</t>
        </is>
      </c>
      <c r="F1101" s="42" t="n">
        <v>710.000000000001</v>
      </c>
      <c r="G1101" s="41" t="inlineStr">
        <is>
          <t>10001|331350$125001|203228$125003|2417</t>
        </is>
      </c>
      <c r="H1101" s="42" t="n">
        <v>-53</v>
      </c>
      <c r="I1101" s="42" t="n"/>
      <c r="J1101" s="42" t="inlineStr">
        <is>
          <t>造成一次[0]%伤害，每层灼烧buff造成[1]%伤害</t>
        </is>
      </c>
      <c r="K1101" s="41" t="inlineStr">
        <is>
          <t>810|47</t>
        </is>
      </c>
    </row>
    <row r="1102" customFormat="1" s="41">
      <c r="B1102" s="41" t="n">
        <v>11099</v>
      </c>
      <c r="C1102" s="40" t="inlineStr">
        <is>
          <t>110007</t>
        </is>
      </c>
      <c r="D1102" s="41" t="inlineStr">
        <is>
          <t>焚尽</t>
        </is>
      </c>
      <c r="E1102" s="41" t="inlineStr">
        <is>
          <t>48</t>
        </is>
      </c>
      <c r="F1102" s="42" t="n">
        <v>725.000000000001</v>
      </c>
      <c r="G1102" s="41" t="inlineStr">
        <is>
          <t>10001|345600$125001|211968$125003|2494</t>
        </is>
      </c>
      <c r="H1102" s="42" t="n">
        <v>-52</v>
      </c>
      <c r="I1102" s="42" t="n"/>
      <c r="J1102" s="42" t="inlineStr">
        <is>
          <t>造成一次[0]%伤害，每层灼烧buff造成[1]%伤害</t>
        </is>
      </c>
      <c r="K1102" s="41" t="inlineStr">
        <is>
          <t>825|48</t>
        </is>
      </c>
    </row>
    <row r="1103">
      <c r="B1103" s="41" t="n">
        <v>11100</v>
      </c>
      <c r="C1103" s="40" t="inlineStr">
        <is>
          <t>110007</t>
        </is>
      </c>
      <c r="D1103" s="41" t="inlineStr">
        <is>
          <t>焚尽</t>
        </is>
      </c>
      <c r="E1103" s="41" t="inlineStr">
        <is>
          <t>49</t>
        </is>
      </c>
      <c r="F1103" s="42" t="n">
        <v>740.0000000000009</v>
      </c>
      <c r="G1103" s="41" t="inlineStr">
        <is>
          <t>10001|360150$125001|220892$125003|2573</t>
        </is>
      </c>
      <c r="H1103" s="42" t="n">
        <v>-51</v>
      </c>
      <c r="I1103" s="42" t="n"/>
      <c r="J1103" s="42" t="inlineStr">
        <is>
          <t>造成一次[0]%伤害，每层灼烧buff造成[1]%伤害</t>
        </is>
      </c>
      <c r="K1103" s="41" t="inlineStr">
        <is>
          <t>840|49</t>
        </is>
      </c>
    </row>
    <row r="1104">
      <c r="B1104" s="41" t="n">
        <v>11101</v>
      </c>
      <c r="C1104" s="40" t="inlineStr">
        <is>
          <t>110007</t>
        </is>
      </c>
      <c r="D1104" s="41" t="inlineStr">
        <is>
          <t>焚尽</t>
        </is>
      </c>
      <c r="E1104" s="41" t="inlineStr">
        <is>
          <t>50</t>
        </is>
      </c>
      <c r="F1104" s="42" t="n">
        <v>755.0000000000009</v>
      </c>
      <c r="G1104" s="41" t="inlineStr">
        <is>
          <t>10001|375000$125001|230000$125003|2652</t>
        </is>
      </c>
      <c r="H1104" s="42" t="n">
        <v>-50</v>
      </c>
      <c r="I1104" s="42" t="n"/>
      <c r="J1104" s="42" t="inlineStr">
        <is>
          <t>造成一次[0]%伤害，每层灼烧buff造成[1]%伤害</t>
        </is>
      </c>
      <c r="K1104" s="41" t="inlineStr">
        <is>
          <t>855|50</t>
        </is>
      </c>
    </row>
    <row r="1105">
      <c r="B1105" s="18" t="n">
        <v>11102</v>
      </c>
      <c r="C1105" s="24" t="inlineStr">
        <is>
          <t>110008</t>
        </is>
      </c>
      <c r="D1105" s="32" t="inlineStr">
        <is>
          <t>霜爆</t>
        </is>
      </c>
      <c r="E1105" s="26" t="inlineStr">
        <is>
          <t>1</t>
        </is>
      </c>
      <c r="F1105" s="26" t="n">
        <v>20</v>
      </c>
      <c r="G1105" s="20" t="inlineStr">
        <is>
          <t>10001|150$121001|92$121005|8</t>
        </is>
      </c>
      <c r="J1105" s="26" t="inlineStr">
        <is>
          <t>造成一次[0]%伤害</t>
        </is>
      </c>
      <c r="K1105" s="18" t="n">
        <v>120</v>
      </c>
    </row>
    <row r="1106">
      <c r="B1106" s="18" t="n">
        <v>11103</v>
      </c>
      <c r="C1106" s="24" t="inlineStr">
        <is>
          <t>110008</t>
        </is>
      </c>
      <c r="D1106" s="32" t="inlineStr">
        <is>
          <t>霜爆</t>
        </is>
      </c>
      <c r="E1106" s="26" t="inlineStr">
        <is>
          <t>2</t>
        </is>
      </c>
      <c r="F1106" s="26" t="n">
        <v>32.00000000000001</v>
      </c>
      <c r="G1106" s="20" t="inlineStr">
        <is>
          <t>10001|600$121001|368$121005|21</t>
        </is>
      </c>
      <c r="J1106" s="26" t="inlineStr">
        <is>
          <t>造成一次[0]%伤害</t>
        </is>
      </c>
      <c r="K1106" s="18" t="n">
        <v>132</v>
      </c>
    </row>
    <row r="1107">
      <c r="B1107" s="18" t="n">
        <v>11104</v>
      </c>
      <c r="C1107" s="24" t="inlineStr">
        <is>
          <t>110008</t>
        </is>
      </c>
      <c r="D1107" s="32" t="inlineStr">
        <is>
          <t>霜爆</t>
        </is>
      </c>
      <c r="E1107" s="26" t="inlineStr">
        <is>
          <t>3</t>
        </is>
      </c>
      <c r="F1107" s="26" t="n">
        <v>43.99999999999999</v>
      </c>
      <c r="G1107" s="20" t="inlineStr">
        <is>
          <t>10001|1350$121001|828$121005|39</t>
        </is>
      </c>
      <c r="J1107" s="26" t="inlineStr">
        <is>
          <t>造成一次[0]%伤害</t>
        </is>
      </c>
      <c r="K1107" s="18" t="n">
        <v>144</v>
      </c>
    </row>
    <row r="1108">
      <c r="B1108" s="18" t="n">
        <v>11105</v>
      </c>
      <c r="C1108" s="24" t="inlineStr">
        <is>
          <t>110008</t>
        </is>
      </c>
      <c r="D1108" s="32" t="inlineStr">
        <is>
          <t>霜爆</t>
        </is>
      </c>
      <c r="E1108" s="26" t="inlineStr">
        <is>
          <t>4</t>
        </is>
      </c>
      <c r="F1108" s="26" t="n">
        <v>56.00000000000001</v>
      </c>
      <c r="G1108" s="20" t="inlineStr">
        <is>
          <t>10001|2400$121001|1472$121005|60</t>
        </is>
      </c>
      <c r="J1108" s="26" t="inlineStr">
        <is>
          <t>造成一次[0]%伤害</t>
        </is>
      </c>
      <c r="K1108" s="18" t="n">
        <v>156</v>
      </c>
    </row>
    <row r="1109">
      <c r="B1109" s="18" t="n">
        <v>11106</v>
      </c>
      <c r="C1109" s="24" t="inlineStr">
        <is>
          <t>110008</t>
        </is>
      </c>
      <c r="D1109" s="32" t="inlineStr">
        <is>
          <t>霜爆</t>
        </is>
      </c>
      <c r="E1109" s="26" t="inlineStr">
        <is>
          <t>5</t>
        </is>
      </c>
      <c r="F1109" s="26" t="n">
        <v>68</v>
      </c>
      <c r="G1109" s="20" t="inlineStr">
        <is>
          <t>10001|3750$121001|2300$121005|84</t>
        </is>
      </c>
      <c r="J1109" s="26" t="inlineStr">
        <is>
          <t>造成一次[0]%伤害</t>
        </is>
      </c>
      <c r="K1109" s="18" t="n">
        <v>168</v>
      </c>
    </row>
    <row r="1110">
      <c r="B1110" s="18" t="n">
        <v>11107</v>
      </c>
      <c r="C1110" s="24" t="inlineStr">
        <is>
          <t>110008</t>
        </is>
      </c>
      <c r="D1110" s="32" t="inlineStr">
        <is>
          <t>霜爆</t>
        </is>
      </c>
      <c r="E1110" s="26" t="inlineStr">
        <is>
          <t>6</t>
        </is>
      </c>
      <c r="F1110" s="26" t="n">
        <v>80</v>
      </c>
      <c r="G1110" s="20" t="inlineStr">
        <is>
          <t>10001|5400$121001|3312$121005|110</t>
        </is>
      </c>
      <c r="J1110" s="26" t="inlineStr">
        <is>
          <t>造成一次[0]%伤害</t>
        </is>
      </c>
      <c r="K1110" s="18" t="n">
        <v>180</v>
      </c>
    </row>
    <row r="1111">
      <c r="B1111" s="18" t="n">
        <v>11108</v>
      </c>
      <c r="C1111" s="24" t="inlineStr">
        <is>
          <t>110008</t>
        </is>
      </c>
      <c r="D1111" s="32" t="inlineStr">
        <is>
          <t>霜爆</t>
        </is>
      </c>
      <c r="E1111" s="26" t="inlineStr">
        <is>
          <t>7</t>
        </is>
      </c>
      <c r="F1111" s="26" t="n">
        <v>92</v>
      </c>
      <c r="G1111" s="20" t="inlineStr">
        <is>
          <t>10001|7350$121001|4508$121005|139</t>
        </is>
      </c>
      <c r="J1111" s="26" t="inlineStr">
        <is>
          <t>造成一次[0]%伤害</t>
        </is>
      </c>
      <c r="K1111" s="18" t="n">
        <v>192</v>
      </c>
    </row>
    <row r="1112">
      <c r="B1112" s="18" t="n">
        <v>11109</v>
      </c>
      <c r="C1112" s="24" t="inlineStr">
        <is>
          <t>110008</t>
        </is>
      </c>
      <c r="D1112" s="32" t="inlineStr">
        <is>
          <t>霜爆</t>
        </is>
      </c>
      <c r="E1112" s="26" t="inlineStr">
        <is>
          <t>8</t>
        </is>
      </c>
      <c r="F1112" s="26" t="n">
        <v>104</v>
      </c>
      <c r="G1112" s="20" t="inlineStr">
        <is>
          <t>10001|9600$121001|5888$121005|170</t>
        </is>
      </c>
      <c r="J1112" s="26" t="inlineStr">
        <is>
          <t>造成一次[0]%伤害</t>
        </is>
      </c>
      <c r="K1112" s="18" t="n">
        <v>204</v>
      </c>
    </row>
    <row r="1113">
      <c r="B1113" s="18" t="n">
        <v>11110</v>
      </c>
      <c r="C1113" s="24" t="inlineStr">
        <is>
          <t>110008</t>
        </is>
      </c>
      <c r="D1113" s="32" t="inlineStr">
        <is>
          <t>霜爆</t>
        </is>
      </c>
      <c r="E1113" s="26" t="inlineStr">
        <is>
          <t>9</t>
        </is>
      </c>
      <c r="F1113" s="26" t="n">
        <v>116</v>
      </c>
      <c r="G1113" s="20" t="inlineStr">
        <is>
          <t>10001|12150$121001|7452$121005|203</t>
        </is>
      </c>
      <c r="J1113" s="26" t="inlineStr">
        <is>
          <t>造成一次[0]%伤害</t>
        </is>
      </c>
      <c r="K1113" s="18" t="n">
        <v>216</v>
      </c>
    </row>
    <row r="1114">
      <c r="B1114" s="18" t="n">
        <v>11111</v>
      </c>
      <c r="C1114" s="24" t="inlineStr">
        <is>
          <t>110008</t>
        </is>
      </c>
      <c r="D1114" s="32" t="inlineStr">
        <is>
          <t>霜爆</t>
        </is>
      </c>
      <c r="E1114" s="26" t="inlineStr">
        <is>
          <t>10</t>
        </is>
      </c>
      <c r="F1114" s="26" t="n">
        <v>128</v>
      </c>
      <c r="G1114" s="20" t="inlineStr">
        <is>
          <t>10001|15000$122001|9200$122005|237</t>
        </is>
      </c>
      <c r="J1114" s="26" t="inlineStr">
        <is>
          <t>造成一次[0]%伤害</t>
        </is>
      </c>
      <c r="K1114" s="18" t="n">
        <v>228</v>
      </c>
    </row>
    <row r="1115">
      <c r="B1115" s="18" t="n">
        <v>11112</v>
      </c>
      <c r="C1115" s="24" t="inlineStr">
        <is>
          <t>110008</t>
        </is>
      </c>
      <c r="D1115" s="32" t="inlineStr">
        <is>
          <t>霜爆</t>
        </is>
      </c>
      <c r="E1115" s="26" t="inlineStr">
        <is>
          <t>11</t>
        </is>
      </c>
      <c r="F1115" s="26" t="n">
        <v>140</v>
      </c>
      <c r="G1115" s="20" t="inlineStr">
        <is>
          <t>10001|18150$122001|11132$122005|274</t>
        </is>
      </c>
      <c r="J1115" s="26" t="inlineStr">
        <is>
          <t>造成一次[0]%伤害</t>
        </is>
      </c>
      <c r="K1115" s="18" t="n">
        <v>240</v>
      </c>
    </row>
    <row r="1116">
      <c r="B1116" s="18" t="n">
        <v>11113</v>
      </c>
      <c r="C1116" s="24" t="inlineStr">
        <is>
          <t>110008</t>
        </is>
      </c>
      <c r="D1116" s="32" t="inlineStr">
        <is>
          <t>霜爆</t>
        </is>
      </c>
      <c r="E1116" s="26" t="inlineStr">
        <is>
          <t>12</t>
        </is>
      </c>
      <c r="F1116" s="26" t="n">
        <v>152</v>
      </c>
      <c r="G1116" s="20" t="inlineStr">
        <is>
          <t>10001|21600$122001|13248$122005|312</t>
        </is>
      </c>
      <c r="J1116" s="26" t="inlineStr">
        <is>
          <t>造成一次[0]%伤害</t>
        </is>
      </c>
      <c r="K1116" s="18" t="n">
        <v>252</v>
      </c>
    </row>
    <row r="1117">
      <c r="B1117" s="18" t="n">
        <v>11114</v>
      </c>
      <c r="C1117" s="24" t="inlineStr">
        <is>
          <t>110008</t>
        </is>
      </c>
      <c r="D1117" s="32" t="inlineStr">
        <is>
          <t>霜爆</t>
        </is>
      </c>
      <c r="E1117" s="26" t="inlineStr">
        <is>
          <t>13</t>
        </is>
      </c>
      <c r="F1117" s="26" t="n">
        <v>164</v>
      </c>
      <c r="G1117" s="20" t="inlineStr">
        <is>
          <t>10001|25350$122001|15548$122005|352</t>
        </is>
      </c>
      <c r="J1117" s="26" t="inlineStr">
        <is>
          <t>造成一次[0]%伤害</t>
        </is>
      </c>
      <c r="K1117" s="18" t="n">
        <v>264</v>
      </c>
    </row>
    <row r="1118">
      <c r="B1118" s="18" t="n">
        <v>11115</v>
      </c>
      <c r="C1118" s="24" t="inlineStr">
        <is>
          <t>110008</t>
        </is>
      </c>
      <c r="D1118" s="32" t="inlineStr">
        <is>
          <t>霜爆</t>
        </is>
      </c>
      <c r="E1118" s="26" t="inlineStr">
        <is>
          <t>14</t>
        </is>
      </c>
      <c r="F1118" s="26" t="n">
        <v>176</v>
      </c>
      <c r="G1118" s="20" t="inlineStr">
        <is>
          <t>10001|29400$122001|18032$122005|393</t>
        </is>
      </c>
      <c r="J1118" s="26" t="inlineStr">
        <is>
          <t>造成一次[0]%伤害</t>
        </is>
      </c>
      <c r="K1118" s="18" t="n">
        <v>276</v>
      </c>
    </row>
    <row r="1119">
      <c r="B1119" s="18" t="n">
        <v>11116</v>
      </c>
      <c r="C1119" s="24" t="inlineStr">
        <is>
          <t>110008</t>
        </is>
      </c>
      <c r="D1119" s="32" t="inlineStr">
        <is>
          <t>霜爆</t>
        </is>
      </c>
      <c r="E1119" s="26" t="inlineStr">
        <is>
          <t>15</t>
        </is>
      </c>
      <c r="F1119" s="26" t="n">
        <v>188</v>
      </c>
      <c r="G1119" s="20" t="inlineStr">
        <is>
          <t>10001|33750$122001|20700$122005|436</t>
        </is>
      </c>
      <c r="J1119" s="26" t="inlineStr">
        <is>
          <t>造成一次[0]%伤害</t>
        </is>
      </c>
      <c r="K1119" s="18" t="n">
        <v>288</v>
      </c>
    </row>
    <row r="1120">
      <c r="B1120" s="18" t="n">
        <v>11117</v>
      </c>
      <c r="C1120" s="24" t="inlineStr">
        <is>
          <t>110008</t>
        </is>
      </c>
      <c r="D1120" s="32" t="inlineStr">
        <is>
          <t>霜爆</t>
        </is>
      </c>
      <c r="E1120" s="26" t="inlineStr">
        <is>
          <t>16</t>
        </is>
      </c>
      <c r="F1120" s="26" t="n">
        <v>200</v>
      </c>
      <c r="G1120" s="20" t="inlineStr">
        <is>
          <t>10001|38400$122001|23552$122005|480</t>
        </is>
      </c>
      <c r="J1120" s="26" t="inlineStr">
        <is>
          <t>造成一次[0]%伤害</t>
        </is>
      </c>
      <c r="K1120" s="18" t="n">
        <v>300</v>
      </c>
    </row>
    <row r="1121">
      <c r="B1121" s="18" t="n">
        <v>11118</v>
      </c>
      <c r="C1121" s="24" t="inlineStr">
        <is>
          <t>110008</t>
        </is>
      </c>
      <c r="D1121" s="32" t="inlineStr">
        <is>
          <t>霜爆</t>
        </is>
      </c>
      <c r="E1121" s="26" t="inlineStr">
        <is>
          <t>17</t>
        </is>
      </c>
      <c r="F1121" s="26" t="n">
        <v>212</v>
      </c>
      <c r="G1121" s="20" t="inlineStr">
        <is>
          <t>10001|43350$122001|26588$122005|526</t>
        </is>
      </c>
      <c r="J1121" s="26" t="inlineStr">
        <is>
          <t>造成一次[0]%伤害</t>
        </is>
      </c>
      <c r="K1121" s="18" t="n">
        <v>312</v>
      </c>
    </row>
    <row r="1122">
      <c r="B1122" s="18" t="n">
        <v>11119</v>
      </c>
      <c r="C1122" s="24" t="inlineStr">
        <is>
          <t>110008</t>
        </is>
      </c>
      <c r="D1122" s="32" t="inlineStr">
        <is>
          <t>霜爆</t>
        </is>
      </c>
      <c r="E1122" s="26" t="inlineStr">
        <is>
          <t>18</t>
        </is>
      </c>
      <c r="F1122" s="26" t="n">
        <v>224</v>
      </c>
      <c r="G1122" s="20" t="inlineStr">
        <is>
          <t>10001|48600$122001|29808$122005|573</t>
        </is>
      </c>
      <c r="J1122" s="26" t="inlineStr">
        <is>
          <t>造成一次[0]%伤害</t>
        </is>
      </c>
      <c r="K1122" s="18" t="n">
        <v>324</v>
      </c>
    </row>
    <row r="1123">
      <c r="B1123" s="18" t="n">
        <v>11120</v>
      </c>
      <c r="C1123" s="24" t="inlineStr">
        <is>
          <t>110008</t>
        </is>
      </c>
      <c r="D1123" s="32" t="inlineStr">
        <is>
          <t>霜爆</t>
        </is>
      </c>
      <c r="E1123" s="26" t="inlineStr">
        <is>
          <t>19</t>
        </is>
      </c>
      <c r="F1123" s="26" t="n">
        <v>236</v>
      </c>
      <c r="G1123" s="20" t="inlineStr">
        <is>
          <t>10001|54150$122001|33212$122005|621</t>
        </is>
      </c>
      <c r="J1123" s="26" t="inlineStr">
        <is>
          <t>造成一次[0]%伤害</t>
        </is>
      </c>
      <c r="K1123" s="18" t="n">
        <v>336</v>
      </c>
    </row>
    <row r="1124">
      <c r="B1124" s="18" t="n">
        <v>11121</v>
      </c>
      <c r="C1124" s="24" t="inlineStr">
        <is>
          <t>110008</t>
        </is>
      </c>
      <c r="D1124" s="32" t="inlineStr">
        <is>
          <t>霜爆</t>
        </is>
      </c>
      <c r="E1124" s="26" t="inlineStr">
        <is>
          <t>20</t>
        </is>
      </c>
      <c r="F1124" s="26" t="n">
        <v>248</v>
      </c>
      <c r="G1124" s="20" t="inlineStr">
        <is>
          <t>10001|60000$123001|36800$123005|671</t>
        </is>
      </c>
      <c r="J1124" s="26" t="inlineStr">
        <is>
          <t>造成一次[0]%伤害</t>
        </is>
      </c>
      <c r="K1124" s="18" t="n">
        <v>348</v>
      </c>
    </row>
    <row r="1125">
      <c r="B1125" s="18" t="n">
        <v>11122</v>
      </c>
      <c r="C1125" s="24" t="inlineStr">
        <is>
          <t>110008</t>
        </is>
      </c>
      <c r="D1125" s="32" t="inlineStr">
        <is>
          <t>霜爆</t>
        </is>
      </c>
      <c r="E1125" s="26" t="inlineStr">
        <is>
          <t>21</t>
        </is>
      </c>
      <c r="F1125" s="26" t="n">
        <v>260</v>
      </c>
      <c r="G1125" s="20" t="inlineStr">
        <is>
          <t>10001|66150$123001|40572$123005|722</t>
        </is>
      </c>
      <c r="J1125" s="26" t="inlineStr">
        <is>
          <t>造成一次[0]%伤害</t>
        </is>
      </c>
      <c r="K1125" s="18" t="n">
        <v>360</v>
      </c>
    </row>
    <row r="1126">
      <c r="B1126" s="18" t="n">
        <v>11123</v>
      </c>
      <c r="C1126" s="24" t="inlineStr">
        <is>
          <t>110008</t>
        </is>
      </c>
      <c r="D1126" s="32" t="inlineStr">
        <is>
          <t>霜爆</t>
        </is>
      </c>
      <c r="E1126" s="26" t="inlineStr">
        <is>
          <t>22</t>
        </is>
      </c>
      <c r="F1126" s="26" t="n">
        <v>272</v>
      </c>
      <c r="G1126" s="20" t="inlineStr">
        <is>
          <t>10001|72600$123001|44528$123005|774</t>
        </is>
      </c>
      <c r="J1126" s="26" t="inlineStr">
        <is>
          <t>造成一次[0]%伤害</t>
        </is>
      </c>
      <c r="K1126" s="18" t="n">
        <v>372</v>
      </c>
    </row>
    <row r="1127">
      <c r="B1127" s="18" t="n">
        <v>11124</v>
      </c>
      <c r="C1127" s="24" t="inlineStr">
        <is>
          <t>110008</t>
        </is>
      </c>
      <c r="D1127" s="32" t="inlineStr">
        <is>
          <t>霜爆</t>
        </is>
      </c>
      <c r="E1127" s="26" t="inlineStr">
        <is>
          <t>23</t>
        </is>
      </c>
      <c r="F1127" s="26" t="n">
        <v>284</v>
      </c>
      <c r="G1127" s="20" t="inlineStr">
        <is>
          <t>10001|79350$123001|48668$123005|827</t>
        </is>
      </c>
      <c r="J1127" s="26" t="inlineStr">
        <is>
          <t>造成一次[0]%伤害</t>
        </is>
      </c>
      <c r="K1127" s="18" t="n">
        <v>384</v>
      </c>
    </row>
    <row r="1128">
      <c r="B1128" s="18" t="n">
        <v>11125</v>
      </c>
      <c r="C1128" s="24" t="inlineStr">
        <is>
          <t>110008</t>
        </is>
      </c>
      <c r="D1128" s="32" t="inlineStr">
        <is>
          <t>霜爆</t>
        </is>
      </c>
      <c r="E1128" s="26" t="inlineStr">
        <is>
          <t>24</t>
        </is>
      </c>
      <c r="F1128" s="26" t="n">
        <v>296</v>
      </c>
      <c r="G1128" s="20" t="inlineStr">
        <is>
          <t>10001|86400$123001|52992$123005|882</t>
        </is>
      </c>
      <c r="J1128" s="26" t="inlineStr">
        <is>
          <t>造成一次[0]%伤害</t>
        </is>
      </c>
      <c r="K1128" s="18" t="n">
        <v>396</v>
      </c>
    </row>
    <row r="1129">
      <c r="B1129" s="18" t="n">
        <v>11126</v>
      </c>
      <c r="C1129" s="24" t="inlineStr">
        <is>
          <t>110008</t>
        </is>
      </c>
      <c r="D1129" s="32" t="inlineStr">
        <is>
          <t>霜爆</t>
        </is>
      </c>
      <c r="E1129" s="26" t="inlineStr">
        <is>
          <t>25</t>
        </is>
      </c>
      <c r="F1129" s="26" t="n">
        <v>308</v>
      </c>
      <c r="G1129" s="20" t="inlineStr">
        <is>
          <t>10001|93750$123001|57500$123005|938</t>
        </is>
      </c>
      <c r="J1129" s="26" t="inlineStr">
        <is>
          <t>造成一次[0]%伤害</t>
        </is>
      </c>
      <c r="K1129" s="18" t="n">
        <v>408</v>
      </c>
    </row>
    <row r="1130">
      <c r="B1130" s="18" t="n">
        <v>11127</v>
      </c>
      <c r="C1130" s="24" t="inlineStr">
        <is>
          <t>110008</t>
        </is>
      </c>
      <c r="D1130" s="32" t="inlineStr">
        <is>
          <t>霜爆</t>
        </is>
      </c>
      <c r="E1130" s="26" t="inlineStr">
        <is>
          <t>26</t>
        </is>
      </c>
      <c r="F1130" s="26" t="n">
        <v>320</v>
      </c>
      <c r="G1130" s="20" t="inlineStr">
        <is>
          <t>10001|101400$123001|62192$123005|994</t>
        </is>
      </c>
      <c r="J1130" s="26" t="inlineStr">
        <is>
          <t>造成一次[0]%伤害</t>
        </is>
      </c>
      <c r="K1130" s="18" t="n">
        <v>420</v>
      </c>
    </row>
    <row r="1131">
      <c r="B1131" s="18" t="n">
        <v>11128</v>
      </c>
      <c r="C1131" s="24" t="inlineStr">
        <is>
          <t>110008</t>
        </is>
      </c>
      <c r="D1131" s="32" t="inlineStr">
        <is>
          <t>霜爆</t>
        </is>
      </c>
      <c r="E1131" s="26" t="inlineStr">
        <is>
          <t>27</t>
        </is>
      </c>
      <c r="F1131" s="26" t="n">
        <v>332</v>
      </c>
      <c r="G1131" s="20" t="inlineStr">
        <is>
          <t>10001|109350$123001|67068$123005|1052</t>
        </is>
      </c>
      <c r="J1131" s="26" t="inlineStr">
        <is>
          <t>造成一次[0]%伤害</t>
        </is>
      </c>
      <c r="K1131" s="18" t="n">
        <v>432</v>
      </c>
    </row>
    <row r="1132">
      <c r="B1132" s="18" t="n">
        <v>11129</v>
      </c>
      <c r="C1132" s="24" t="inlineStr">
        <is>
          <t>110008</t>
        </is>
      </c>
      <c r="D1132" s="32" t="inlineStr">
        <is>
          <t>霜爆</t>
        </is>
      </c>
      <c r="E1132" s="26" t="inlineStr">
        <is>
          <t>28</t>
        </is>
      </c>
      <c r="F1132" s="26" t="n">
        <v>344.0000000000001</v>
      </c>
      <c r="G1132" s="20" t="inlineStr">
        <is>
          <t>10001|117600$123001|72128$123005|1111</t>
        </is>
      </c>
      <c r="J1132" s="26" t="inlineStr">
        <is>
          <t>造成一次[0]%伤害</t>
        </is>
      </c>
      <c r="K1132" s="18" t="n">
        <v>444</v>
      </c>
    </row>
    <row r="1133">
      <c r="B1133" s="18" t="n">
        <v>11130</v>
      </c>
      <c r="C1133" s="24" t="inlineStr">
        <is>
          <t>110008</t>
        </is>
      </c>
      <c r="D1133" s="32" t="inlineStr">
        <is>
          <t>霜爆</t>
        </is>
      </c>
      <c r="E1133" s="26" t="inlineStr">
        <is>
          <t>29</t>
        </is>
      </c>
      <c r="F1133" s="26" t="n">
        <v>355.9999999999999</v>
      </c>
      <c r="G1133" s="20" t="inlineStr">
        <is>
          <t>10001|126150$123001|77372$123005|1171</t>
        </is>
      </c>
      <c r="J1133" s="26" t="inlineStr">
        <is>
          <t>造成一次[0]%伤害</t>
        </is>
      </c>
      <c r="K1133" s="18" t="n">
        <v>456</v>
      </c>
    </row>
    <row r="1134">
      <c r="B1134" s="18" t="n">
        <v>11131</v>
      </c>
      <c r="C1134" s="24" t="inlineStr">
        <is>
          <t>110008</t>
        </is>
      </c>
      <c r="D1134" s="32" t="inlineStr">
        <is>
          <t>霜爆</t>
        </is>
      </c>
      <c r="E1134" s="26" t="inlineStr">
        <is>
          <t>30</t>
        </is>
      </c>
      <c r="F1134" s="26" t="n">
        <v>368</v>
      </c>
      <c r="G1134" s="20" t="inlineStr">
        <is>
          <t>10001|135000$124001|82800$124005|1232</t>
        </is>
      </c>
      <c r="J1134" s="26" t="inlineStr">
        <is>
          <t>造成一次[0]%伤害</t>
        </is>
      </c>
      <c r="K1134" s="18" t="n">
        <v>468</v>
      </c>
    </row>
    <row r="1135">
      <c r="B1135" s="18" t="n">
        <v>11132</v>
      </c>
      <c r="C1135" s="24" t="inlineStr">
        <is>
          <t>110008</t>
        </is>
      </c>
      <c r="D1135" s="32" t="inlineStr">
        <is>
          <t>霜爆</t>
        </is>
      </c>
      <c r="E1135" s="26" t="inlineStr">
        <is>
          <t>31</t>
        </is>
      </c>
      <c r="F1135" s="26" t="n">
        <v>380</v>
      </c>
      <c r="G1135" s="20" t="inlineStr">
        <is>
          <t>10001|144150$124001|88412$124005|1295</t>
        </is>
      </c>
      <c r="J1135" s="26" t="inlineStr">
        <is>
          <t>造成一次[0]%伤害</t>
        </is>
      </c>
      <c r="K1135" s="18" t="n">
        <v>480</v>
      </c>
    </row>
    <row r="1136">
      <c r="B1136" s="18" t="n">
        <v>11133</v>
      </c>
      <c r="C1136" s="24" t="inlineStr">
        <is>
          <t>110008</t>
        </is>
      </c>
      <c r="D1136" s="32" t="inlineStr">
        <is>
          <t>霜爆</t>
        </is>
      </c>
      <c r="E1136" s="26" t="inlineStr">
        <is>
          <t>32</t>
        </is>
      </c>
      <c r="F1136" s="26" t="n">
        <v>392</v>
      </c>
      <c r="G1136" s="20" t="inlineStr">
        <is>
          <t>10001|153600$124001|94208$124005|1358</t>
        </is>
      </c>
      <c r="J1136" s="26" t="inlineStr">
        <is>
          <t>造成一次[0]%伤害</t>
        </is>
      </c>
      <c r="K1136" s="18" t="n">
        <v>492</v>
      </c>
    </row>
    <row r="1137">
      <c r="B1137" s="18" t="n">
        <v>11134</v>
      </c>
      <c r="C1137" s="24" t="inlineStr">
        <is>
          <t>110008</t>
        </is>
      </c>
      <c r="D1137" s="32" t="inlineStr">
        <is>
          <t>霜爆</t>
        </is>
      </c>
      <c r="E1137" s="26" t="inlineStr">
        <is>
          <t>33</t>
        </is>
      </c>
      <c r="F1137" s="26" t="n">
        <v>404</v>
      </c>
      <c r="G1137" s="20" t="inlineStr">
        <is>
          <t>10001|163350$124001|100188$124005|1422</t>
        </is>
      </c>
      <c r="J1137" s="26" t="inlineStr">
        <is>
          <t>造成一次[0]%伤害</t>
        </is>
      </c>
      <c r="K1137" s="18" t="n">
        <v>504</v>
      </c>
    </row>
    <row r="1138">
      <c r="B1138" s="18" t="n">
        <v>11135</v>
      </c>
      <c r="C1138" s="24" t="inlineStr">
        <is>
          <t>110008</t>
        </is>
      </c>
      <c r="D1138" s="32" t="inlineStr">
        <is>
          <t>霜爆</t>
        </is>
      </c>
      <c r="E1138" s="26" t="inlineStr">
        <is>
          <t>34</t>
        </is>
      </c>
      <c r="F1138" s="26" t="n">
        <v>416</v>
      </c>
      <c r="G1138" s="20" t="inlineStr">
        <is>
          <t>10001|173400$124001|106352$124005|1487</t>
        </is>
      </c>
      <c r="J1138" s="26" t="inlineStr">
        <is>
          <t>造成一次[0]%伤害</t>
        </is>
      </c>
      <c r="K1138" s="18" t="n">
        <v>516</v>
      </c>
    </row>
    <row r="1139">
      <c r="B1139" s="18" t="n">
        <v>11136</v>
      </c>
      <c r="C1139" s="24" t="inlineStr">
        <is>
          <t>110008</t>
        </is>
      </c>
      <c r="D1139" s="32" t="inlineStr">
        <is>
          <t>霜爆</t>
        </is>
      </c>
      <c r="E1139" s="26" t="inlineStr">
        <is>
          <t>35</t>
        </is>
      </c>
      <c r="F1139" s="26" t="n">
        <v>428</v>
      </c>
      <c r="G1139" s="20" t="inlineStr">
        <is>
          <t>10001|183750$124001|112700$124005|1553</t>
        </is>
      </c>
      <c r="J1139" s="26" t="inlineStr">
        <is>
          <t>造成一次[0]%伤害</t>
        </is>
      </c>
      <c r="K1139" s="18" t="n">
        <v>528</v>
      </c>
    </row>
    <row r="1140">
      <c r="B1140" s="18" t="n">
        <v>11137</v>
      </c>
      <c r="C1140" s="24" t="inlineStr">
        <is>
          <t>110008</t>
        </is>
      </c>
      <c r="D1140" s="32" t="inlineStr">
        <is>
          <t>霜爆</t>
        </is>
      </c>
      <c r="E1140" s="26" t="inlineStr">
        <is>
          <t>36</t>
        </is>
      </c>
      <c r="F1140" s="26" t="n">
        <v>440.0000000000001</v>
      </c>
      <c r="G1140" s="20" t="inlineStr">
        <is>
          <t>10001|194400$124001|119232$124005|1620</t>
        </is>
      </c>
      <c r="J1140" s="26" t="inlineStr">
        <is>
          <t>造成一次[0]%伤害</t>
        </is>
      </c>
      <c r="K1140" s="18" t="n">
        <v>540</v>
      </c>
    </row>
    <row r="1141">
      <c r="B1141" s="18" t="n">
        <v>11138</v>
      </c>
      <c r="C1141" s="24" t="inlineStr">
        <is>
          <t>110008</t>
        </is>
      </c>
      <c r="D1141" s="32" t="inlineStr">
        <is>
          <t>霜爆</t>
        </is>
      </c>
      <c r="E1141" s="26" t="inlineStr">
        <is>
          <t>37</t>
        </is>
      </c>
      <c r="F1141" s="26" t="n">
        <v>451.9999999999999</v>
      </c>
      <c r="G1141" s="20" t="inlineStr">
        <is>
          <t>10001|205350$124001|125948$124005|1688</t>
        </is>
      </c>
      <c r="J1141" s="26" t="inlineStr">
        <is>
          <t>造成一次[0]%伤害</t>
        </is>
      </c>
      <c r="K1141" s="18" t="n">
        <v>552</v>
      </c>
    </row>
    <row r="1142">
      <c r="B1142" s="18" t="n">
        <v>11139</v>
      </c>
      <c r="C1142" s="24" t="inlineStr">
        <is>
          <t>110008</t>
        </is>
      </c>
      <c r="D1142" s="32" t="inlineStr">
        <is>
          <t>霜爆</t>
        </is>
      </c>
      <c r="E1142" s="26" t="inlineStr">
        <is>
          <t>38</t>
        </is>
      </c>
      <c r="F1142" s="26" t="n">
        <v>463.9999999999999</v>
      </c>
      <c r="G1142" s="20" t="inlineStr">
        <is>
          <t>10001|216600$124001|132848$124005|1757</t>
        </is>
      </c>
      <c r="J1142" s="26" t="inlineStr">
        <is>
          <t>造成一次[0]%伤害</t>
        </is>
      </c>
      <c r="K1142" s="18" t="n">
        <v>564</v>
      </c>
    </row>
    <row r="1143">
      <c r="B1143" s="18" t="n">
        <v>11140</v>
      </c>
      <c r="C1143" s="24" t="inlineStr">
        <is>
          <t>110008</t>
        </is>
      </c>
      <c r="D1143" s="32" t="inlineStr">
        <is>
          <t>霜爆</t>
        </is>
      </c>
      <c r="E1143" s="26" t="inlineStr">
        <is>
          <t>39</t>
        </is>
      </c>
      <c r="F1143" s="26" t="n">
        <v>476</v>
      </c>
      <c r="G1143" s="20" t="inlineStr">
        <is>
          <t>10001|228150$124001|139932$124005|1827</t>
        </is>
      </c>
      <c r="J1143" s="26" t="inlineStr">
        <is>
          <t>造成一次[0]%伤害</t>
        </is>
      </c>
      <c r="K1143" s="18" t="n">
        <v>576</v>
      </c>
    </row>
    <row r="1144">
      <c r="B1144" s="18" t="n">
        <v>11141</v>
      </c>
      <c r="C1144" s="24" t="inlineStr">
        <is>
          <t>110008</t>
        </is>
      </c>
      <c r="D1144" s="32" t="inlineStr">
        <is>
          <t>霜爆</t>
        </is>
      </c>
      <c r="E1144" s="26" t="inlineStr">
        <is>
          <t>40</t>
        </is>
      </c>
      <c r="F1144" s="26" t="n">
        <v>488</v>
      </c>
      <c r="G1144" s="20" t="inlineStr">
        <is>
          <t>10001|240000$125001|147200$125005|1897</t>
        </is>
      </c>
      <c r="J1144" s="26" t="inlineStr">
        <is>
          <t>造成一次[0]%伤害</t>
        </is>
      </c>
      <c r="K1144" s="18" t="n">
        <v>588</v>
      </c>
    </row>
    <row r="1145">
      <c r="B1145" s="18" t="n">
        <v>11142</v>
      </c>
      <c r="C1145" s="24" t="inlineStr">
        <is>
          <t>110008</t>
        </is>
      </c>
      <c r="D1145" s="32" t="inlineStr">
        <is>
          <t>霜爆</t>
        </is>
      </c>
      <c r="E1145" s="26" t="inlineStr">
        <is>
          <t>41</t>
        </is>
      </c>
      <c r="F1145" s="26" t="n">
        <v>500</v>
      </c>
      <c r="G1145" s="20" t="inlineStr">
        <is>
          <t>10001|252150$125001|154652$125005|1969</t>
        </is>
      </c>
      <c r="J1145" s="26" t="inlineStr">
        <is>
          <t>造成一次[0]%伤害</t>
        </is>
      </c>
      <c r="K1145" s="18" t="n">
        <v>600</v>
      </c>
    </row>
    <row r="1146">
      <c r="B1146" s="18" t="n">
        <v>11143</v>
      </c>
      <c r="C1146" s="24" t="inlineStr">
        <is>
          <t>110008</t>
        </is>
      </c>
      <c r="D1146" s="32" t="inlineStr">
        <is>
          <t>霜爆</t>
        </is>
      </c>
      <c r="E1146" s="26" t="inlineStr">
        <is>
          <t>42</t>
        </is>
      </c>
      <c r="F1146" s="26" t="n">
        <v>512</v>
      </c>
      <c r="G1146" s="20" t="inlineStr">
        <is>
          <t>10001|264600$125001|162288$125005|2041</t>
        </is>
      </c>
      <c r="J1146" s="26" t="inlineStr">
        <is>
          <t>造成一次[0]%伤害</t>
        </is>
      </c>
      <c r="K1146" s="18" t="n">
        <v>612</v>
      </c>
    </row>
    <row r="1147">
      <c r="B1147" s="18" t="n">
        <v>11144</v>
      </c>
      <c r="C1147" s="24" t="inlineStr">
        <is>
          <t>110008</t>
        </is>
      </c>
      <c r="D1147" s="32" t="inlineStr">
        <is>
          <t>霜爆</t>
        </is>
      </c>
      <c r="E1147" s="26" t="inlineStr">
        <is>
          <t>43</t>
        </is>
      </c>
      <c r="F1147" s="26" t="n">
        <v>524</v>
      </c>
      <c r="G1147" s="20" t="inlineStr">
        <is>
          <t>10001|277350$125001|170108$125005|2115</t>
        </is>
      </c>
      <c r="J1147" s="26" t="inlineStr">
        <is>
          <t>造成一次[0]%伤害</t>
        </is>
      </c>
      <c r="K1147" s="18" t="n">
        <v>624</v>
      </c>
    </row>
    <row r="1148">
      <c r="B1148" s="18" t="n">
        <v>11145</v>
      </c>
      <c r="C1148" s="24" t="inlineStr">
        <is>
          <t>110008</t>
        </is>
      </c>
      <c r="D1148" s="32" t="inlineStr">
        <is>
          <t>霜爆</t>
        </is>
      </c>
      <c r="E1148" s="26" t="inlineStr">
        <is>
          <t>44</t>
        </is>
      </c>
      <c r="F1148" s="26" t="n">
        <v>536</v>
      </c>
      <c r="G1148" s="20" t="inlineStr">
        <is>
          <t>10001|290400$125001|178112$125005|2189</t>
        </is>
      </c>
      <c r="J1148" s="26" t="inlineStr">
        <is>
          <t>造成一次[0]%伤害</t>
        </is>
      </c>
      <c r="K1148" s="18" t="n">
        <v>636</v>
      </c>
    </row>
    <row r="1149">
      <c r="B1149" s="18" t="n">
        <v>11146</v>
      </c>
      <c r="C1149" s="24" t="inlineStr">
        <is>
          <t>110008</t>
        </is>
      </c>
      <c r="D1149" s="32" t="inlineStr">
        <is>
          <t>霜爆</t>
        </is>
      </c>
      <c r="E1149" s="26" t="inlineStr">
        <is>
          <t>45</t>
        </is>
      </c>
      <c r="F1149" s="26" t="n">
        <v>548</v>
      </c>
      <c r="G1149" s="20" t="inlineStr">
        <is>
          <t>10001|303750$125001|186300$125005|2264</t>
        </is>
      </c>
      <c r="J1149" s="26" t="inlineStr">
        <is>
          <t>造成一次[0]%伤害</t>
        </is>
      </c>
      <c r="K1149" s="18" t="n">
        <v>648</v>
      </c>
    </row>
    <row r="1150">
      <c r="B1150" s="18" t="n">
        <v>11147</v>
      </c>
      <c r="C1150" s="24" t="inlineStr">
        <is>
          <t>110008</t>
        </is>
      </c>
      <c r="D1150" s="32" t="inlineStr">
        <is>
          <t>霜爆</t>
        </is>
      </c>
      <c r="E1150" s="26" t="inlineStr">
        <is>
          <t>46</t>
        </is>
      </c>
      <c r="F1150" s="26" t="n">
        <v>560</v>
      </c>
      <c r="G1150" s="20" t="inlineStr">
        <is>
          <t>10001|317400$125001|194672$125005|2340</t>
        </is>
      </c>
      <c r="J1150" s="26" t="inlineStr">
        <is>
          <t>造成一次[0]%伤害</t>
        </is>
      </c>
      <c r="K1150" s="18" t="n">
        <v>660</v>
      </c>
    </row>
    <row r="1151">
      <c r="B1151" s="18" t="n">
        <v>11148</v>
      </c>
      <c r="C1151" s="24" t="inlineStr">
        <is>
          <t>110008</t>
        </is>
      </c>
      <c r="D1151" s="32" t="inlineStr">
        <is>
          <t>霜爆</t>
        </is>
      </c>
      <c r="E1151" s="26" t="inlineStr">
        <is>
          <t>47</t>
        </is>
      </c>
      <c r="F1151" s="26" t="n">
        <v>572</v>
      </c>
      <c r="G1151" s="20" t="inlineStr">
        <is>
          <t>10001|331350$125001|203228$125005|2417</t>
        </is>
      </c>
      <c r="J1151" s="26" t="inlineStr">
        <is>
          <t>造成一次[0]%伤害</t>
        </is>
      </c>
      <c r="K1151" s="18" t="n">
        <v>672</v>
      </c>
    </row>
    <row r="1152">
      <c r="B1152" s="18" t="n">
        <v>11149</v>
      </c>
      <c r="C1152" s="24" t="inlineStr">
        <is>
          <t>110008</t>
        </is>
      </c>
      <c r="D1152" s="32" t="inlineStr">
        <is>
          <t>霜爆</t>
        </is>
      </c>
      <c r="E1152" s="26" t="inlineStr">
        <is>
          <t>48</t>
        </is>
      </c>
      <c r="F1152" s="26" t="n">
        <v>584.0000000000009</v>
      </c>
      <c r="G1152" s="20" t="inlineStr">
        <is>
          <t>10001|345600$125001|211968$125005|2494</t>
        </is>
      </c>
      <c r="J1152" s="26" t="inlineStr">
        <is>
          <t>造成一次[0]%伤害</t>
        </is>
      </c>
      <c r="K1152" s="18" t="n">
        <v>684</v>
      </c>
    </row>
    <row r="1153">
      <c r="B1153" s="18" t="n">
        <v>11150</v>
      </c>
      <c r="C1153" s="24" t="inlineStr">
        <is>
          <t>110008</t>
        </is>
      </c>
      <c r="D1153" s="32" t="inlineStr">
        <is>
          <t>霜爆</t>
        </is>
      </c>
      <c r="E1153" s="26" t="inlineStr">
        <is>
          <t>49</t>
        </is>
      </c>
      <c r="F1153" s="26" t="n">
        <v>596.000000000001</v>
      </c>
      <c r="G1153" s="20" t="inlineStr">
        <is>
          <t>10001|360150$125001|220892$125005|2573</t>
        </is>
      </c>
      <c r="J1153" s="26" t="inlineStr">
        <is>
          <t>造成一次[0]%伤害</t>
        </is>
      </c>
      <c r="K1153" s="18" t="n">
        <v>696</v>
      </c>
    </row>
    <row r="1154">
      <c r="B1154" s="18" t="n">
        <v>11151</v>
      </c>
      <c r="C1154" s="24" t="inlineStr">
        <is>
          <t>110008</t>
        </is>
      </c>
      <c r="D1154" s="32" t="inlineStr">
        <is>
          <t>霜爆</t>
        </is>
      </c>
      <c r="E1154" s="26" t="inlineStr">
        <is>
          <t>50</t>
        </is>
      </c>
      <c r="F1154" s="26" t="n">
        <v>608.000000000001</v>
      </c>
      <c r="G1154" s="20" t="inlineStr">
        <is>
          <t>10001|375000$125001|230000$125005|2652</t>
        </is>
      </c>
      <c r="J1154" s="26" t="inlineStr">
        <is>
          <t>造成一次[0]%伤害</t>
        </is>
      </c>
      <c r="K1154" s="18" t="n">
        <v>708</v>
      </c>
    </row>
    <row r="1155">
      <c r="B1155" s="18" t="n">
        <v>11152</v>
      </c>
      <c r="C1155" s="32" t="inlineStr">
        <is>
          <t>4</t>
        </is>
      </c>
      <c r="D1155" s="32" t="inlineStr">
        <is>
          <t>水普攻</t>
        </is>
      </c>
      <c r="E1155" s="18" t="inlineStr">
        <is>
          <t>1</t>
        </is>
      </c>
      <c r="F1155" s="18" t="inlineStr">
        <is>
          <t>0</t>
        </is>
      </c>
      <c r="G1155" s="18" t="inlineStr">
        <is>
          <t>10001|19$121001|12</t>
        </is>
      </c>
    </row>
    <row r="1156">
      <c r="B1156" s="18" t="n">
        <v>11153</v>
      </c>
      <c r="C1156" s="32" t="inlineStr">
        <is>
          <t>4</t>
        </is>
      </c>
      <c r="D1156" s="32" t="inlineStr">
        <is>
          <t>水普攻</t>
        </is>
      </c>
      <c r="E1156" s="18" t="inlineStr">
        <is>
          <t>2</t>
        </is>
      </c>
      <c r="F1156" s="18" t="inlineStr">
        <is>
          <t>5</t>
        </is>
      </c>
      <c r="G1156" s="18" t="inlineStr">
        <is>
          <t>10001|53$121001|33</t>
        </is>
      </c>
    </row>
    <row r="1157">
      <c r="B1157" s="18" t="n">
        <v>11154</v>
      </c>
      <c r="C1157" s="32" t="inlineStr">
        <is>
          <t>4</t>
        </is>
      </c>
      <c r="D1157" s="32" t="inlineStr">
        <is>
          <t>水普攻</t>
        </is>
      </c>
      <c r="E1157" s="18" t="inlineStr">
        <is>
          <t>3</t>
        </is>
      </c>
      <c r="F1157" s="18" t="inlineStr">
        <is>
          <t>10</t>
        </is>
      </c>
      <c r="G1157" s="18" t="inlineStr">
        <is>
          <t>10001|97$121001|60</t>
        </is>
      </c>
    </row>
    <row r="1158">
      <c r="B1158" s="18" t="n">
        <v>11155</v>
      </c>
      <c r="C1158" s="32" t="inlineStr">
        <is>
          <t>4</t>
        </is>
      </c>
      <c r="D1158" s="32" t="inlineStr">
        <is>
          <t>水普攻</t>
        </is>
      </c>
      <c r="E1158" s="18" t="inlineStr">
        <is>
          <t>4</t>
        </is>
      </c>
      <c r="F1158" s="18" t="inlineStr">
        <is>
          <t>15</t>
        </is>
      </c>
      <c r="G1158" s="18" t="inlineStr">
        <is>
          <t>10001|150$121001|92</t>
        </is>
      </c>
    </row>
    <row r="1159">
      <c r="B1159" s="18" t="n">
        <v>11156</v>
      </c>
      <c r="C1159" s="32" t="inlineStr">
        <is>
          <t>4</t>
        </is>
      </c>
      <c r="D1159" s="32" t="inlineStr">
        <is>
          <t>水普攻</t>
        </is>
      </c>
      <c r="E1159" s="18" t="inlineStr">
        <is>
          <t>5</t>
        </is>
      </c>
      <c r="F1159" s="18" t="inlineStr">
        <is>
          <t>20</t>
        </is>
      </c>
      <c r="G1159" s="18" t="inlineStr">
        <is>
          <t>10001|210$121001|129</t>
        </is>
      </c>
    </row>
    <row r="1160">
      <c r="B1160" s="18" t="n">
        <v>11157</v>
      </c>
      <c r="C1160" s="32" t="inlineStr">
        <is>
          <t>4</t>
        </is>
      </c>
      <c r="D1160" s="32" t="inlineStr">
        <is>
          <t>水普攻</t>
        </is>
      </c>
      <c r="E1160" s="18" t="inlineStr">
        <is>
          <t>6</t>
        </is>
      </c>
      <c r="F1160" s="18" t="inlineStr">
        <is>
          <t>25</t>
        </is>
      </c>
      <c r="G1160" s="18" t="inlineStr">
        <is>
          <t>10001|276$121001|169</t>
        </is>
      </c>
    </row>
    <row r="1161">
      <c r="B1161" s="18" t="n">
        <v>11158</v>
      </c>
      <c r="C1161" s="32" t="inlineStr">
        <is>
          <t>4</t>
        </is>
      </c>
      <c r="D1161" s="32" t="inlineStr">
        <is>
          <t>水普攻</t>
        </is>
      </c>
      <c r="E1161" s="18" t="inlineStr">
        <is>
          <t>7</t>
        </is>
      </c>
      <c r="F1161" s="18" t="inlineStr">
        <is>
          <t>30</t>
        </is>
      </c>
      <c r="G1161" s="18" t="inlineStr">
        <is>
          <t>10001|347$121001|213</t>
        </is>
      </c>
    </row>
    <row r="1162">
      <c r="B1162" s="18" t="n">
        <v>11159</v>
      </c>
      <c r="C1162" s="32" t="inlineStr">
        <is>
          <t>4</t>
        </is>
      </c>
      <c r="D1162" s="32" t="inlineStr">
        <is>
          <t>水普攻</t>
        </is>
      </c>
      <c r="E1162" s="18" t="inlineStr">
        <is>
          <t>8</t>
        </is>
      </c>
      <c r="F1162" s="18" t="inlineStr">
        <is>
          <t>35</t>
        </is>
      </c>
      <c r="G1162" s="18" t="inlineStr">
        <is>
          <t>10001|424$121001|260</t>
        </is>
      </c>
    </row>
    <row r="1163">
      <c r="B1163" s="18" t="n">
        <v>11160</v>
      </c>
      <c r="C1163" s="32" t="inlineStr">
        <is>
          <t>4</t>
        </is>
      </c>
      <c r="D1163" s="32" t="inlineStr">
        <is>
          <t>水普攻</t>
        </is>
      </c>
      <c r="E1163" s="18" t="inlineStr">
        <is>
          <t>9</t>
        </is>
      </c>
      <c r="F1163" s="18" t="inlineStr">
        <is>
          <t>40</t>
        </is>
      </c>
      <c r="G1163" s="18" t="inlineStr">
        <is>
          <t>10001|506$121001|311</t>
        </is>
      </c>
    </row>
    <row r="1164">
      <c r="B1164" s="18" t="n">
        <v>11161</v>
      </c>
      <c r="C1164" s="32" t="inlineStr">
        <is>
          <t>4</t>
        </is>
      </c>
      <c r="D1164" s="32" t="inlineStr">
        <is>
          <t>水普攻</t>
        </is>
      </c>
      <c r="E1164" s="18" t="inlineStr">
        <is>
          <t>10</t>
        </is>
      </c>
      <c r="F1164" s="18" t="inlineStr">
        <is>
          <t>45</t>
        </is>
      </c>
      <c r="G1164" s="18" t="inlineStr">
        <is>
          <t>10001|593$121001|364</t>
        </is>
      </c>
    </row>
    <row r="1165">
      <c r="B1165" s="18" t="n">
        <v>11162</v>
      </c>
      <c r="C1165" s="32" t="inlineStr">
        <is>
          <t>4</t>
        </is>
      </c>
      <c r="D1165" s="32" t="inlineStr">
        <is>
          <t>水普攻</t>
        </is>
      </c>
      <c r="E1165" s="18" t="inlineStr">
        <is>
          <t>11</t>
        </is>
      </c>
      <c r="F1165" s="18" t="inlineStr">
        <is>
          <t>50</t>
        </is>
      </c>
      <c r="G1165" s="18" t="inlineStr">
        <is>
          <t>10001|684$122001|420</t>
        </is>
      </c>
    </row>
    <row r="1166">
      <c r="B1166" s="18" t="n">
        <v>11163</v>
      </c>
      <c r="C1166" s="32" t="inlineStr">
        <is>
          <t>4</t>
        </is>
      </c>
      <c r="D1166" s="32" t="inlineStr">
        <is>
          <t>水普攻</t>
        </is>
      </c>
      <c r="E1166" s="18" t="inlineStr">
        <is>
          <t>12</t>
        </is>
      </c>
      <c r="F1166" s="18" t="inlineStr">
        <is>
          <t>55</t>
        </is>
      </c>
      <c r="G1166" s="18" t="inlineStr">
        <is>
          <t>10001|779$122001|478</t>
        </is>
      </c>
    </row>
    <row r="1167">
      <c r="B1167" s="18" t="n">
        <v>11164</v>
      </c>
      <c r="C1167" s="32" t="inlineStr">
        <is>
          <t>4</t>
        </is>
      </c>
      <c r="D1167" s="32" t="inlineStr">
        <is>
          <t>水普攻</t>
        </is>
      </c>
      <c r="E1167" s="18" t="inlineStr">
        <is>
          <t>13</t>
        </is>
      </c>
      <c r="F1167" s="18" t="inlineStr">
        <is>
          <t>60</t>
        </is>
      </c>
      <c r="G1167" s="18" t="inlineStr">
        <is>
          <t>10001|879$122001|539</t>
        </is>
      </c>
    </row>
    <row r="1168">
      <c r="B1168" s="18" t="n">
        <v>11165</v>
      </c>
      <c r="C1168" s="32" t="inlineStr">
        <is>
          <t>4</t>
        </is>
      </c>
      <c r="D1168" s="32" t="inlineStr">
        <is>
          <t>水普攻</t>
        </is>
      </c>
      <c r="E1168" s="18" t="inlineStr">
        <is>
          <t>14</t>
        </is>
      </c>
      <c r="F1168" s="18" t="inlineStr">
        <is>
          <t>65</t>
        </is>
      </c>
      <c r="G1168" s="18" t="inlineStr">
        <is>
          <t>10001|982$122001|602</t>
        </is>
      </c>
    </row>
    <row r="1169">
      <c r="B1169" s="18" t="n">
        <v>11166</v>
      </c>
      <c r="C1169" s="32" t="inlineStr">
        <is>
          <t>4</t>
        </is>
      </c>
      <c r="D1169" s="32" t="inlineStr">
        <is>
          <t>水普攻</t>
        </is>
      </c>
      <c r="E1169" s="18" t="inlineStr">
        <is>
          <t>15</t>
        </is>
      </c>
      <c r="F1169" s="18" t="inlineStr">
        <is>
          <t>70</t>
        </is>
      </c>
      <c r="G1169" s="18" t="inlineStr">
        <is>
          <t>10001|1089$122001|668</t>
        </is>
      </c>
    </row>
    <row r="1170">
      <c r="B1170" s="18" t="n">
        <v>11167</v>
      </c>
      <c r="C1170" s="32" t="inlineStr">
        <is>
          <t>4</t>
        </is>
      </c>
      <c r="D1170" s="32" t="inlineStr">
        <is>
          <t>水普攻</t>
        </is>
      </c>
      <c r="E1170" s="18" t="inlineStr">
        <is>
          <t>16</t>
        </is>
      </c>
      <c r="F1170" s="18" t="inlineStr">
        <is>
          <t>75</t>
        </is>
      </c>
      <c r="G1170" s="18" t="inlineStr">
        <is>
          <t>10001|1200$122001|736</t>
        </is>
      </c>
    </row>
    <row r="1171">
      <c r="B1171" s="18" t="n">
        <v>11168</v>
      </c>
      <c r="C1171" s="32" t="inlineStr">
        <is>
          <t>4</t>
        </is>
      </c>
      <c r="D1171" s="32" t="inlineStr">
        <is>
          <t>水普攻</t>
        </is>
      </c>
      <c r="E1171" s="18" t="inlineStr">
        <is>
          <t>17</t>
        </is>
      </c>
      <c r="F1171" s="18" t="inlineStr">
        <is>
          <t>80</t>
        </is>
      </c>
      <c r="G1171" s="18" t="inlineStr">
        <is>
          <t>10001|1314$122001|806</t>
        </is>
      </c>
    </row>
    <row r="1172">
      <c r="B1172" s="18" t="n">
        <v>11169</v>
      </c>
      <c r="C1172" s="32" t="inlineStr">
        <is>
          <t>4</t>
        </is>
      </c>
      <c r="D1172" s="32" t="inlineStr">
        <is>
          <t>水普攻</t>
        </is>
      </c>
      <c r="E1172" s="18" t="inlineStr">
        <is>
          <t>18</t>
        </is>
      </c>
      <c r="F1172" s="18" t="inlineStr">
        <is>
          <t>85</t>
        </is>
      </c>
      <c r="G1172" s="18" t="inlineStr">
        <is>
          <t>10001|1432$122001|878</t>
        </is>
      </c>
    </row>
    <row r="1173">
      <c r="B1173" s="18" t="n">
        <v>11170</v>
      </c>
      <c r="C1173" s="32" t="inlineStr">
        <is>
          <t>4</t>
        </is>
      </c>
      <c r="D1173" s="32" t="inlineStr">
        <is>
          <t>水普攻</t>
        </is>
      </c>
      <c r="E1173" s="18" t="inlineStr">
        <is>
          <t>19</t>
        </is>
      </c>
      <c r="F1173" s="18" t="inlineStr">
        <is>
          <t>90</t>
        </is>
      </c>
      <c r="G1173" s="18" t="inlineStr">
        <is>
          <t>10001|1553$122001|952</t>
        </is>
      </c>
    </row>
    <row r="1174">
      <c r="B1174" s="18" t="n">
        <v>11171</v>
      </c>
      <c r="C1174" s="32" t="inlineStr">
        <is>
          <t>4</t>
        </is>
      </c>
      <c r="D1174" s="32" t="inlineStr">
        <is>
          <t>水普攻</t>
        </is>
      </c>
      <c r="E1174" s="18" t="inlineStr">
        <is>
          <t>20</t>
        </is>
      </c>
      <c r="F1174" s="18" t="inlineStr">
        <is>
          <t>95</t>
        </is>
      </c>
      <c r="G1174" s="18" t="inlineStr">
        <is>
          <t>10001|1677$122001|1029</t>
        </is>
      </c>
    </row>
    <row r="1175">
      <c r="B1175" s="18" t="n">
        <v>11172</v>
      </c>
      <c r="C1175" s="32" t="inlineStr">
        <is>
          <t>4</t>
        </is>
      </c>
      <c r="D1175" s="32" t="inlineStr">
        <is>
          <t>水普攻</t>
        </is>
      </c>
      <c r="E1175" s="18" t="inlineStr">
        <is>
          <t>21</t>
        </is>
      </c>
      <c r="F1175" s="18" t="inlineStr">
        <is>
          <t>100</t>
        </is>
      </c>
      <c r="G1175" s="18" t="inlineStr">
        <is>
          <t>10001|1804$123001|1107</t>
        </is>
      </c>
    </row>
    <row r="1176">
      <c r="B1176" s="18" t="n">
        <v>11173</v>
      </c>
      <c r="C1176" s="32" t="inlineStr">
        <is>
          <t>4</t>
        </is>
      </c>
      <c r="D1176" s="32" t="inlineStr">
        <is>
          <t>水普攻</t>
        </is>
      </c>
      <c r="E1176" s="18" t="inlineStr">
        <is>
          <t>22</t>
        </is>
      </c>
      <c r="F1176" s="18" t="inlineStr">
        <is>
          <t>105</t>
        </is>
      </c>
      <c r="G1176" s="18" t="inlineStr">
        <is>
          <t>10001|1935$123001|1187</t>
        </is>
      </c>
    </row>
    <row r="1177">
      <c r="B1177" s="18" t="n">
        <v>11174</v>
      </c>
      <c r="C1177" s="32" t="inlineStr">
        <is>
          <t>4</t>
        </is>
      </c>
      <c r="D1177" s="32" t="inlineStr">
        <is>
          <t>水普攻</t>
        </is>
      </c>
      <c r="E1177" s="18" t="inlineStr">
        <is>
          <t>23</t>
        </is>
      </c>
      <c r="F1177" s="18" t="inlineStr">
        <is>
          <t>110</t>
        </is>
      </c>
      <c r="G1177" s="18" t="inlineStr">
        <is>
          <t>10001|2068$123001|1268</t>
        </is>
      </c>
    </row>
    <row r="1178">
      <c r="B1178" s="18" t="n">
        <v>11175</v>
      </c>
      <c r="C1178" s="32" t="inlineStr">
        <is>
          <t>4</t>
        </is>
      </c>
      <c r="D1178" s="32" t="inlineStr">
        <is>
          <t>水普攻</t>
        </is>
      </c>
      <c r="E1178" s="18" t="inlineStr">
        <is>
          <t>24</t>
        </is>
      </c>
      <c r="F1178" s="18" t="inlineStr">
        <is>
          <t>115</t>
        </is>
      </c>
      <c r="G1178" s="18" t="inlineStr">
        <is>
          <t>10001|2205$123001|1352</t>
        </is>
      </c>
    </row>
    <row r="1179">
      <c r="B1179" s="18" t="n">
        <v>11176</v>
      </c>
      <c r="C1179" s="32" t="inlineStr">
        <is>
          <t>4</t>
        </is>
      </c>
      <c r="D1179" s="32" t="inlineStr">
        <is>
          <t>水普攻</t>
        </is>
      </c>
      <c r="E1179" s="18" t="inlineStr">
        <is>
          <t>25</t>
        </is>
      </c>
      <c r="F1179" s="18" t="inlineStr">
        <is>
          <t>120</t>
        </is>
      </c>
      <c r="G1179" s="18" t="inlineStr">
        <is>
          <t>10001|2344$123001|1438</t>
        </is>
      </c>
    </row>
    <row r="1180">
      <c r="B1180" s="18" t="n">
        <v>11177</v>
      </c>
      <c r="C1180" s="32" t="inlineStr">
        <is>
          <t>4</t>
        </is>
      </c>
      <c r="D1180" s="32" t="inlineStr">
        <is>
          <t>水普攻</t>
        </is>
      </c>
      <c r="E1180" s="18" t="inlineStr">
        <is>
          <t>26</t>
        </is>
      </c>
      <c r="F1180" s="18" t="inlineStr">
        <is>
          <t>125</t>
        </is>
      </c>
      <c r="G1180" s="18" t="inlineStr">
        <is>
          <t>10001|2486$123001|1525</t>
        </is>
      </c>
    </row>
    <row r="1181">
      <c r="B1181" s="18" t="n">
        <v>11178</v>
      </c>
      <c r="C1181" s="32" t="inlineStr">
        <is>
          <t>4</t>
        </is>
      </c>
      <c r="D1181" s="32" t="inlineStr">
        <is>
          <t>水普攻</t>
        </is>
      </c>
      <c r="E1181" s="18" t="inlineStr">
        <is>
          <t>27</t>
        </is>
      </c>
      <c r="F1181" s="18" t="inlineStr">
        <is>
          <t>130</t>
        </is>
      </c>
      <c r="G1181" s="18" t="inlineStr">
        <is>
          <t>10001|2631$123001|1613</t>
        </is>
      </c>
    </row>
    <row r="1182">
      <c r="B1182" s="18" t="n">
        <v>11179</v>
      </c>
      <c r="C1182" s="32" t="inlineStr">
        <is>
          <t>4</t>
        </is>
      </c>
      <c r="D1182" s="32" t="inlineStr">
        <is>
          <t>水普攻</t>
        </is>
      </c>
      <c r="E1182" s="18" t="inlineStr">
        <is>
          <t>28</t>
        </is>
      </c>
      <c r="F1182" s="18" t="inlineStr">
        <is>
          <t>135</t>
        </is>
      </c>
      <c r="G1182" s="18" t="inlineStr">
        <is>
          <t>10001|2778$123001|1704</t>
        </is>
      </c>
    </row>
    <row r="1183">
      <c r="B1183" s="18" t="n">
        <v>11180</v>
      </c>
      <c r="C1183" s="32" t="inlineStr">
        <is>
          <t>4</t>
        </is>
      </c>
      <c r="D1183" s="32" t="inlineStr">
        <is>
          <t>水普攻</t>
        </is>
      </c>
      <c r="E1183" s="18" t="inlineStr">
        <is>
          <t>29</t>
        </is>
      </c>
      <c r="F1183" s="18" t="inlineStr">
        <is>
          <t>140</t>
        </is>
      </c>
      <c r="G1183" s="18" t="inlineStr">
        <is>
          <t>10001|2928$123001|1796</t>
        </is>
      </c>
    </row>
    <row r="1184">
      <c r="B1184" s="18" t="n">
        <v>11181</v>
      </c>
      <c r="C1184" s="32" t="inlineStr">
        <is>
          <t>4</t>
        </is>
      </c>
      <c r="D1184" s="32" t="inlineStr">
        <is>
          <t>水普攻</t>
        </is>
      </c>
      <c r="E1184" s="18" t="inlineStr">
        <is>
          <t>30</t>
        </is>
      </c>
      <c r="F1184" s="18" t="inlineStr">
        <is>
          <t>145</t>
        </is>
      </c>
      <c r="G1184" s="18" t="inlineStr">
        <is>
          <t>10001|3081$123001|1890</t>
        </is>
      </c>
    </row>
    <row r="1185">
      <c r="B1185" s="18" t="n">
        <v>11182</v>
      </c>
      <c r="C1185" s="32" t="inlineStr">
        <is>
          <t>4</t>
        </is>
      </c>
      <c r="D1185" s="32" t="inlineStr">
        <is>
          <t>水普攻</t>
        </is>
      </c>
      <c r="E1185" s="18" t="inlineStr">
        <is>
          <t>31</t>
        </is>
      </c>
      <c r="F1185" s="18" t="inlineStr">
        <is>
          <t>150</t>
        </is>
      </c>
      <c r="G1185" s="18" t="inlineStr">
        <is>
          <t>10001|3236$123001|1985</t>
        </is>
      </c>
    </row>
    <row r="1186">
      <c r="B1186" s="18" t="n">
        <v>11183</v>
      </c>
      <c r="C1186" s="32" t="inlineStr">
        <is>
          <t>4</t>
        </is>
      </c>
      <c r="D1186" s="32" t="inlineStr">
        <is>
          <t>水普攻</t>
        </is>
      </c>
      <c r="E1186" s="18" t="inlineStr">
        <is>
          <t>32</t>
        </is>
      </c>
      <c r="F1186" s="18" t="inlineStr">
        <is>
          <t>155</t>
        </is>
      </c>
      <c r="G1186" s="18" t="inlineStr">
        <is>
          <t>10001|3394$123001|2082</t>
        </is>
      </c>
    </row>
    <row r="1187">
      <c r="B1187" s="18" t="n">
        <v>11184</v>
      </c>
      <c r="C1187" s="32" t="inlineStr">
        <is>
          <t>4</t>
        </is>
      </c>
      <c r="D1187" s="32" t="inlineStr">
        <is>
          <t>水普攻</t>
        </is>
      </c>
      <c r="E1187" s="18" t="inlineStr">
        <is>
          <t>33</t>
        </is>
      </c>
      <c r="F1187" s="18" t="inlineStr">
        <is>
          <t>160</t>
        </is>
      </c>
      <c r="G1187" s="18" t="inlineStr">
        <is>
          <t>10001|3554$124001|2180</t>
        </is>
      </c>
    </row>
    <row r="1188">
      <c r="B1188" s="18" t="n">
        <v>11185</v>
      </c>
      <c r="C1188" s="32" t="inlineStr">
        <is>
          <t>4</t>
        </is>
      </c>
      <c r="D1188" s="32" t="inlineStr">
        <is>
          <t>水普攻</t>
        </is>
      </c>
      <c r="E1188" s="18" t="inlineStr">
        <is>
          <t>34</t>
        </is>
      </c>
      <c r="F1188" s="18" t="inlineStr">
        <is>
          <t>165</t>
        </is>
      </c>
      <c r="G1188" s="18" t="inlineStr">
        <is>
          <t>10001|3717$124001|2280</t>
        </is>
      </c>
    </row>
    <row r="1189">
      <c r="B1189" s="18" t="n">
        <v>11186</v>
      </c>
      <c r="C1189" s="32" t="inlineStr">
        <is>
          <t>4</t>
        </is>
      </c>
      <c r="D1189" s="32" t="inlineStr">
        <is>
          <t>水普攻</t>
        </is>
      </c>
      <c r="E1189" s="18" t="inlineStr">
        <is>
          <t>35</t>
        </is>
      </c>
      <c r="F1189" s="18" t="inlineStr">
        <is>
          <t>170</t>
        </is>
      </c>
      <c r="G1189" s="18" t="inlineStr">
        <is>
          <t>10001|3882$124001|2381</t>
        </is>
      </c>
    </row>
    <row r="1190">
      <c r="B1190" s="18" t="n">
        <v>11187</v>
      </c>
      <c r="C1190" s="32" t="inlineStr">
        <is>
          <t>4</t>
        </is>
      </c>
      <c r="D1190" s="32" t="inlineStr">
        <is>
          <t>水普攻</t>
        </is>
      </c>
      <c r="E1190" s="18" t="inlineStr">
        <is>
          <t>36</t>
        </is>
      </c>
      <c r="F1190" s="18" t="inlineStr">
        <is>
          <t>175</t>
        </is>
      </c>
      <c r="G1190" s="18" t="inlineStr">
        <is>
          <t>10001|4050$124001|2484</t>
        </is>
      </c>
    </row>
    <row r="1191">
      <c r="B1191" s="18" t="n">
        <v>11188</v>
      </c>
      <c r="C1191" s="32" t="inlineStr">
        <is>
          <t>4</t>
        </is>
      </c>
      <c r="D1191" s="32" t="inlineStr">
        <is>
          <t>水普攻</t>
        </is>
      </c>
      <c r="E1191" s="18" t="inlineStr">
        <is>
          <t>37</t>
        </is>
      </c>
      <c r="F1191" s="18" t="inlineStr">
        <is>
          <t>180</t>
        </is>
      </c>
      <c r="G1191" s="18" t="inlineStr">
        <is>
          <t>10001|4220$124001|2588</t>
        </is>
      </c>
    </row>
    <row r="1192">
      <c r="B1192" s="18" t="n">
        <v>11189</v>
      </c>
      <c r="C1192" s="32" t="inlineStr">
        <is>
          <t>4</t>
        </is>
      </c>
      <c r="D1192" s="32" t="inlineStr">
        <is>
          <t>水普攻</t>
        </is>
      </c>
      <c r="E1192" s="18" t="inlineStr">
        <is>
          <t>38</t>
        </is>
      </c>
      <c r="F1192" s="18" t="inlineStr">
        <is>
          <t>185</t>
        </is>
      </c>
      <c r="G1192" s="18" t="inlineStr">
        <is>
          <t>10001|4392$124001|2694</t>
        </is>
      </c>
    </row>
    <row r="1193">
      <c r="B1193" s="18" t="n">
        <v>11190</v>
      </c>
      <c r="C1193" s="32" t="inlineStr">
        <is>
          <t>4</t>
        </is>
      </c>
      <c r="D1193" s="32" t="inlineStr">
        <is>
          <t>水普攻</t>
        </is>
      </c>
      <c r="E1193" s="18" t="inlineStr">
        <is>
          <t>39</t>
        </is>
      </c>
      <c r="F1193" s="18" t="inlineStr">
        <is>
          <t>190</t>
        </is>
      </c>
      <c r="G1193" s="18" t="inlineStr">
        <is>
          <t>10001|4567$124001|2801</t>
        </is>
      </c>
    </row>
    <row r="1194">
      <c r="B1194" s="18" t="n">
        <v>11191</v>
      </c>
      <c r="C1194" s="32" t="inlineStr">
        <is>
          <t>4</t>
        </is>
      </c>
      <c r="D1194" s="32" t="inlineStr">
        <is>
          <t>水普攻</t>
        </is>
      </c>
      <c r="E1194" s="18" t="inlineStr">
        <is>
          <t>40</t>
        </is>
      </c>
      <c r="F1194" s="18" t="inlineStr">
        <is>
          <t>195</t>
        </is>
      </c>
      <c r="G1194" s="18" t="inlineStr">
        <is>
          <t>10001|4743$124001|2909</t>
        </is>
      </c>
    </row>
    <row r="1195">
      <c r="B1195" s="18" t="n">
        <v>11192</v>
      </c>
      <c r="C1195" s="32" t="inlineStr">
        <is>
          <t>4</t>
        </is>
      </c>
      <c r="D1195" s="32" t="inlineStr">
        <is>
          <t>水普攻</t>
        </is>
      </c>
      <c r="E1195" s="18" t="inlineStr">
        <is>
          <t>41</t>
        </is>
      </c>
      <c r="F1195" s="18" t="inlineStr">
        <is>
          <t>200</t>
        </is>
      </c>
      <c r="G1195" s="18" t="inlineStr">
        <is>
          <t>10001|4922$125001|3019</t>
        </is>
      </c>
    </row>
    <row r="1196">
      <c r="B1196" s="18" t="n">
        <v>11193</v>
      </c>
      <c r="C1196" s="32" t="inlineStr">
        <is>
          <t>4</t>
        </is>
      </c>
      <c r="D1196" s="32" t="inlineStr">
        <is>
          <t>水普攻</t>
        </is>
      </c>
      <c r="E1196" s="18" t="inlineStr">
        <is>
          <t>42</t>
        </is>
      </c>
      <c r="F1196" s="18" t="inlineStr">
        <is>
          <t>205</t>
        </is>
      </c>
      <c r="G1196" s="18" t="inlineStr">
        <is>
          <t>10001|5104$125001|3130</t>
        </is>
      </c>
    </row>
    <row r="1197">
      <c r="B1197" s="18" t="n">
        <v>11194</v>
      </c>
      <c r="C1197" s="32" t="inlineStr">
        <is>
          <t>4</t>
        </is>
      </c>
      <c r="D1197" s="32" t="inlineStr">
        <is>
          <t>水普攻</t>
        </is>
      </c>
      <c r="E1197" s="18" t="inlineStr">
        <is>
          <t>43</t>
        </is>
      </c>
      <c r="F1197" s="18" t="inlineStr">
        <is>
          <t>210</t>
        </is>
      </c>
      <c r="G1197" s="18" t="inlineStr">
        <is>
          <t>10001|5287$125001|3243</t>
        </is>
      </c>
    </row>
    <row r="1198">
      <c r="B1198" s="18" t="n">
        <v>11195</v>
      </c>
      <c r="C1198" s="32" t="inlineStr">
        <is>
          <t>4</t>
        </is>
      </c>
      <c r="D1198" s="32" t="inlineStr">
        <is>
          <t>水普攻</t>
        </is>
      </c>
      <c r="E1198" s="18" t="inlineStr">
        <is>
          <t>44</t>
        </is>
      </c>
      <c r="F1198" s="18" t="inlineStr">
        <is>
          <t>215</t>
        </is>
      </c>
      <c r="G1198" s="18" t="inlineStr">
        <is>
          <t>10001|5472$125001|3356</t>
        </is>
      </c>
    </row>
    <row r="1199">
      <c r="B1199" s="18" t="n">
        <v>11196</v>
      </c>
      <c r="C1199" s="32" t="inlineStr">
        <is>
          <t>4</t>
        </is>
      </c>
      <c r="D1199" s="32" t="inlineStr">
        <is>
          <t>水普攻</t>
        </is>
      </c>
      <c r="E1199" s="18" t="inlineStr">
        <is>
          <t>45</t>
        </is>
      </c>
      <c r="F1199" s="18" t="inlineStr">
        <is>
          <t>220</t>
        </is>
      </c>
      <c r="G1199" s="18" t="inlineStr">
        <is>
          <t>10001|5660$125001|3471</t>
        </is>
      </c>
    </row>
    <row r="1200">
      <c r="B1200" s="18" t="n">
        <v>11197</v>
      </c>
      <c r="C1200" s="32" t="inlineStr">
        <is>
          <t>4</t>
        </is>
      </c>
      <c r="D1200" s="32" t="inlineStr">
        <is>
          <t>水普攻</t>
        </is>
      </c>
      <c r="E1200" s="18" t="inlineStr">
        <is>
          <t>46</t>
        </is>
      </c>
      <c r="F1200" s="18" t="inlineStr">
        <is>
          <t>225</t>
        </is>
      </c>
      <c r="G1200" s="18" t="inlineStr">
        <is>
          <t>10001|5850$125001|3588</t>
        </is>
      </c>
    </row>
    <row r="1201">
      <c r="B1201" s="18" t="n">
        <v>11198</v>
      </c>
      <c r="C1201" s="32" t="inlineStr">
        <is>
          <t>4</t>
        </is>
      </c>
      <c r="D1201" s="32" t="inlineStr">
        <is>
          <t>水普攻</t>
        </is>
      </c>
      <c r="E1201" s="18" t="inlineStr">
        <is>
          <t>47</t>
        </is>
      </c>
      <c r="F1201" s="18" t="inlineStr">
        <is>
          <t>230</t>
        </is>
      </c>
      <c r="G1201" s="18" t="inlineStr">
        <is>
          <t>10001|6042$125001|3705</t>
        </is>
      </c>
    </row>
    <row r="1202">
      <c r="B1202" s="18" t="n">
        <v>11199</v>
      </c>
      <c r="C1202" s="32" t="inlineStr">
        <is>
          <t>4</t>
        </is>
      </c>
      <c r="D1202" s="32" t="inlineStr">
        <is>
          <t>水普攻</t>
        </is>
      </c>
      <c r="E1202" s="18" t="inlineStr">
        <is>
          <t>48</t>
        </is>
      </c>
      <c r="F1202" s="18" t="inlineStr">
        <is>
          <t>235</t>
        </is>
      </c>
      <c r="G1202" s="18" t="inlineStr">
        <is>
          <t>10001|6235$125001|3824</t>
        </is>
      </c>
    </row>
    <row r="1203">
      <c r="B1203" s="18" t="n">
        <v>11200</v>
      </c>
      <c r="C1203" s="32" t="inlineStr">
        <is>
          <t>4</t>
        </is>
      </c>
      <c r="D1203" s="32" t="inlineStr">
        <is>
          <t>水普攻</t>
        </is>
      </c>
      <c r="E1203" s="18" t="inlineStr">
        <is>
          <t>49</t>
        </is>
      </c>
      <c r="F1203" s="18" t="inlineStr">
        <is>
          <t>240</t>
        </is>
      </c>
      <c r="G1203" s="18" t="inlineStr">
        <is>
          <t>10001|6431$125001|3945</t>
        </is>
      </c>
    </row>
    <row r="1204">
      <c r="B1204" s="18" t="n">
        <v>11201</v>
      </c>
      <c r="C1204" s="32" t="inlineStr">
        <is>
          <t>4</t>
        </is>
      </c>
      <c r="D1204" s="32" t="inlineStr">
        <is>
          <t>水普攻</t>
        </is>
      </c>
      <c r="E1204" s="18" t="inlineStr">
        <is>
          <t>50</t>
        </is>
      </c>
      <c r="F1204" s="18" t="inlineStr">
        <is>
          <t>245</t>
        </is>
      </c>
      <c r="G1204" s="18" t="inlineStr">
        <is>
          <t>10001|6629$125001|4066</t>
        </is>
      </c>
    </row>
    <row r="1205">
      <c r="B1205" s="18" t="n">
        <v>11202</v>
      </c>
      <c r="C1205" s="32" t="inlineStr">
        <is>
          <t>5</t>
        </is>
      </c>
      <c r="D1205" s="32" t="inlineStr">
        <is>
          <t>火普攻</t>
        </is>
      </c>
      <c r="E1205" s="18" t="inlineStr">
        <is>
          <t>1</t>
        </is>
      </c>
      <c r="F1205" s="18" t="inlineStr">
        <is>
          <t>0</t>
        </is>
      </c>
      <c r="G1205" s="18" t="inlineStr">
        <is>
          <t>10001|19$121001|12</t>
        </is>
      </c>
    </row>
    <row r="1206">
      <c r="B1206" s="18" t="n">
        <v>11203</v>
      </c>
      <c r="C1206" s="32" t="inlineStr">
        <is>
          <t>5</t>
        </is>
      </c>
      <c r="D1206" s="32" t="inlineStr">
        <is>
          <t>火普攻</t>
        </is>
      </c>
      <c r="E1206" s="18" t="inlineStr">
        <is>
          <t>2</t>
        </is>
      </c>
      <c r="F1206" s="18" t="inlineStr">
        <is>
          <t>5</t>
        </is>
      </c>
      <c r="G1206" s="18" t="inlineStr">
        <is>
          <t>10001|53$121001|33</t>
        </is>
      </c>
    </row>
    <row r="1207">
      <c r="B1207" s="18" t="n">
        <v>11204</v>
      </c>
      <c r="C1207" s="32" t="inlineStr">
        <is>
          <t>5</t>
        </is>
      </c>
      <c r="D1207" s="32" t="inlineStr">
        <is>
          <t>火普攻</t>
        </is>
      </c>
      <c r="E1207" s="18" t="inlineStr">
        <is>
          <t>3</t>
        </is>
      </c>
      <c r="F1207" s="18" t="inlineStr">
        <is>
          <t>10</t>
        </is>
      </c>
      <c r="G1207" s="18" t="inlineStr">
        <is>
          <t>10001|97$121001|60</t>
        </is>
      </c>
    </row>
    <row r="1208">
      <c r="B1208" s="18" t="n">
        <v>11205</v>
      </c>
      <c r="C1208" s="32" t="inlineStr">
        <is>
          <t>5</t>
        </is>
      </c>
      <c r="D1208" s="32" t="inlineStr">
        <is>
          <t>火普攻</t>
        </is>
      </c>
      <c r="E1208" s="18" t="inlineStr">
        <is>
          <t>4</t>
        </is>
      </c>
      <c r="F1208" s="18" t="inlineStr">
        <is>
          <t>15</t>
        </is>
      </c>
      <c r="G1208" s="18" t="inlineStr">
        <is>
          <t>10001|150$121001|92</t>
        </is>
      </c>
    </row>
    <row r="1209">
      <c r="B1209" s="18" t="n">
        <v>11206</v>
      </c>
      <c r="C1209" s="32" t="inlineStr">
        <is>
          <t>5</t>
        </is>
      </c>
      <c r="D1209" s="32" t="inlineStr">
        <is>
          <t>火普攻</t>
        </is>
      </c>
      <c r="E1209" s="18" t="inlineStr">
        <is>
          <t>5</t>
        </is>
      </c>
      <c r="F1209" s="18" t="inlineStr">
        <is>
          <t>20</t>
        </is>
      </c>
      <c r="G1209" s="18" t="inlineStr">
        <is>
          <t>10001|210$121001|129</t>
        </is>
      </c>
    </row>
    <row r="1210">
      <c r="B1210" s="18" t="n">
        <v>11207</v>
      </c>
      <c r="C1210" s="32" t="inlineStr">
        <is>
          <t>5</t>
        </is>
      </c>
      <c r="D1210" s="32" t="inlineStr">
        <is>
          <t>火普攻</t>
        </is>
      </c>
      <c r="E1210" s="18" t="inlineStr">
        <is>
          <t>6</t>
        </is>
      </c>
      <c r="F1210" s="18" t="inlineStr">
        <is>
          <t>25</t>
        </is>
      </c>
      <c r="G1210" s="18" t="inlineStr">
        <is>
          <t>10001|276$121001|169</t>
        </is>
      </c>
    </row>
    <row r="1211">
      <c r="B1211" s="18" t="n">
        <v>11208</v>
      </c>
      <c r="C1211" s="32" t="inlineStr">
        <is>
          <t>5</t>
        </is>
      </c>
      <c r="D1211" s="32" t="inlineStr">
        <is>
          <t>火普攻</t>
        </is>
      </c>
      <c r="E1211" s="18" t="inlineStr">
        <is>
          <t>7</t>
        </is>
      </c>
      <c r="F1211" s="18" t="inlineStr">
        <is>
          <t>30</t>
        </is>
      </c>
      <c r="G1211" s="18" t="inlineStr">
        <is>
          <t>10001|347$121001|213</t>
        </is>
      </c>
    </row>
    <row r="1212">
      <c r="B1212" s="18" t="n">
        <v>11209</v>
      </c>
      <c r="C1212" s="32" t="inlineStr">
        <is>
          <t>5</t>
        </is>
      </c>
      <c r="D1212" s="32" t="inlineStr">
        <is>
          <t>火普攻</t>
        </is>
      </c>
      <c r="E1212" s="18" t="inlineStr">
        <is>
          <t>8</t>
        </is>
      </c>
      <c r="F1212" s="18" t="inlineStr">
        <is>
          <t>35</t>
        </is>
      </c>
      <c r="G1212" s="18" t="inlineStr">
        <is>
          <t>10001|424$121001|260</t>
        </is>
      </c>
    </row>
    <row r="1213">
      <c r="B1213" s="18" t="n">
        <v>11210</v>
      </c>
      <c r="C1213" s="32" t="inlineStr">
        <is>
          <t>5</t>
        </is>
      </c>
      <c r="D1213" s="32" t="inlineStr">
        <is>
          <t>火普攻</t>
        </is>
      </c>
      <c r="E1213" s="18" t="inlineStr">
        <is>
          <t>9</t>
        </is>
      </c>
      <c r="F1213" s="18" t="inlineStr">
        <is>
          <t>40</t>
        </is>
      </c>
      <c r="G1213" s="18" t="inlineStr">
        <is>
          <t>10001|506$121001|311</t>
        </is>
      </c>
    </row>
    <row r="1214">
      <c r="B1214" s="18" t="n">
        <v>11211</v>
      </c>
      <c r="C1214" s="32" t="inlineStr">
        <is>
          <t>5</t>
        </is>
      </c>
      <c r="D1214" s="32" t="inlineStr">
        <is>
          <t>火普攻</t>
        </is>
      </c>
      <c r="E1214" s="18" t="inlineStr">
        <is>
          <t>10</t>
        </is>
      </c>
      <c r="F1214" s="18" t="inlineStr">
        <is>
          <t>45</t>
        </is>
      </c>
      <c r="G1214" s="18" t="inlineStr">
        <is>
          <t>10001|593$121001|364</t>
        </is>
      </c>
    </row>
    <row r="1215">
      <c r="B1215" s="18" t="n">
        <v>11212</v>
      </c>
      <c r="C1215" s="32" t="inlineStr">
        <is>
          <t>5</t>
        </is>
      </c>
      <c r="D1215" s="32" t="inlineStr">
        <is>
          <t>火普攻</t>
        </is>
      </c>
      <c r="E1215" s="18" t="inlineStr">
        <is>
          <t>11</t>
        </is>
      </c>
      <c r="F1215" s="18" t="inlineStr">
        <is>
          <t>50</t>
        </is>
      </c>
      <c r="G1215" s="18" t="inlineStr">
        <is>
          <t>10001|684$122001|420</t>
        </is>
      </c>
    </row>
    <row r="1216">
      <c r="B1216" s="18" t="n">
        <v>11213</v>
      </c>
      <c r="C1216" s="32" t="inlineStr">
        <is>
          <t>5</t>
        </is>
      </c>
      <c r="D1216" s="32" t="inlineStr">
        <is>
          <t>火普攻</t>
        </is>
      </c>
      <c r="E1216" s="18" t="inlineStr">
        <is>
          <t>12</t>
        </is>
      </c>
      <c r="F1216" s="18" t="inlineStr">
        <is>
          <t>55</t>
        </is>
      </c>
      <c r="G1216" s="18" t="inlineStr">
        <is>
          <t>10001|779$122001|478</t>
        </is>
      </c>
    </row>
    <row r="1217">
      <c r="B1217" s="18" t="n">
        <v>11214</v>
      </c>
      <c r="C1217" s="32" t="inlineStr">
        <is>
          <t>5</t>
        </is>
      </c>
      <c r="D1217" s="32" t="inlineStr">
        <is>
          <t>火普攻</t>
        </is>
      </c>
      <c r="E1217" s="18" t="inlineStr">
        <is>
          <t>13</t>
        </is>
      </c>
      <c r="F1217" s="18" t="inlineStr">
        <is>
          <t>60</t>
        </is>
      </c>
      <c r="G1217" s="18" t="inlineStr">
        <is>
          <t>10001|879$122001|539</t>
        </is>
      </c>
    </row>
    <row r="1218">
      <c r="B1218" s="18" t="n">
        <v>11215</v>
      </c>
      <c r="C1218" s="32" t="inlineStr">
        <is>
          <t>5</t>
        </is>
      </c>
      <c r="D1218" s="32" t="inlineStr">
        <is>
          <t>火普攻</t>
        </is>
      </c>
      <c r="E1218" s="18" t="inlineStr">
        <is>
          <t>14</t>
        </is>
      </c>
      <c r="F1218" s="18" t="inlineStr">
        <is>
          <t>65</t>
        </is>
      </c>
      <c r="G1218" s="18" t="inlineStr">
        <is>
          <t>10001|982$122001|602</t>
        </is>
      </c>
    </row>
    <row r="1219">
      <c r="B1219" s="18" t="n">
        <v>11216</v>
      </c>
      <c r="C1219" s="32" t="inlineStr">
        <is>
          <t>5</t>
        </is>
      </c>
      <c r="D1219" s="32" t="inlineStr">
        <is>
          <t>火普攻</t>
        </is>
      </c>
      <c r="E1219" s="18" t="inlineStr">
        <is>
          <t>15</t>
        </is>
      </c>
      <c r="F1219" s="18" t="inlineStr">
        <is>
          <t>70</t>
        </is>
      </c>
      <c r="G1219" s="18" t="inlineStr">
        <is>
          <t>10001|1089$122001|668</t>
        </is>
      </c>
    </row>
    <row r="1220">
      <c r="B1220" s="18" t="n">
        <v>11217</v>
      </c>
      <c r="C1220" s="32" t="inlineStr">
        <is>
          <t>5</t>
        </is>
      </c>
      <c r="D1220" s="32" t="inlineStr">
        <is>
          <t>火普攻</t>
        </is>
      </c>
      <c r="E1220" s="18" t="inlineStr">
        <is>
          <t>16</t>
        </is>
      </c>
      <c r="F1220" s="18" t="inlineStr">
        <is>
          <t>75</t>
        </is>
      </c>
      <c r="G1220" s="18" t="inlineStr">
        <is>
          <t>10001|1200$122001|736</t>
        </is>
      </c>
    </row>
    <row r="1221">
      <c r="B1221" s="18" t="n">
        <v>11218</v>
      </c>
      <c r="C1221" s="32" t="inlineStr">
        <is>
          <t>5</t>
        </is>
      </c>
      <c r="D1221" s="32" t="inlineStr">
        <is>
          <t>火普攻</t>
        </is>
      </c>
      <c r="E1221" s="18" t="inlineStr">
        <is>
          <t>17</t>
        </is>
      </c>
      <c r="F1221" s="18" t="inlineStr">
        <is>
          <t>80</t>
        </is>
      </c>
      <c r="G1221" s="18" t="inlineStr">
        <is>
          <t>10001|1314$122001|806</t>
        </is>
      </c>
    </row>
    <row r="1222">
      <c r="B1222" s="18" t="n">
        <v>11219</v>
      </c>
      <c r="C1222" s="32" t="inlineStr">
        <is>
          <t>5</t>
        </is>
      </c>
      <c r="D1222" s="32" t="inlineStr">
        <is>
          <t>火普攻</t>
        </is>
      </c>
      <c r="E1222" s="18" t="inlineStr">
        <is>
          <t>18</t>
        </is>
      </c>
      <c r="F1222" s="18" t="inlineStr">
        <is>
          <t>85</t>
        </is>
      </c>
      <c r="G1222" s="18" t="inlineStr">
        <is>
          <t>10001|1432$122001|878</t>
        </is>
      </c>
    </row>
    <row r="1223">
      <c r="B1223" s="18" t="n">
        <v>11220</v>
      </c>
      <c r="C1223" s="32" t="inlineStr">
        <is>
          <t>5</t>
        </is>
      </c>
      <c r="D1223" s="32" t="inlineStr">
        <is>
          <t>火普攻</t>
        </is>
      </c>
      <c r="E1223" s="18" t="inlineStr">
        <is>
          <t>19</t>
        </is>
      </c>
      <c r="F1223" s="18" t="inlineStr">
        <is>
          <t>90</t>
        </is>
      </c>
      <c r="G1223" s="18" t="inlineStr">
        <is>
          <t>10001|1553$122001|952</t>
        </is>
      </c>
    </row>
    <row r="1224">
      <c r="B1224" s="18" t="n">
        <v>11221</v>
      </c>
      <c r="C1224" s="32" t="inlineStr">
        <is>
          <t>5</t>
        </is>
      </c>
      <c r="D1224" s="32" t="inlineStr">
        <is>
          <t>火普攻</t>
        </is>
      </c>
      <c r="E1224" s="18" t="inlineStr">
        <is>
          <t>20</t>
        </is>
      </c>
      <c r="F1224" s="18" t="inlineStr">
        <is>
          <t>95</t>
        </is>
      </c>
      <c r="G1224" s="18" t="inlineStr">
        <is>
          <t>10001|1677$122001|1029</t>
        </is>
      </c>
    </row>
    <row r="1225">
      <c r="B1225" s="18" t="n">
        <v>11222</v>
      </c>
      <c r="C1225" s="32" t="inlineStr">
        <is>
          <t>5</t>
        </is>
      </c>
      <c r="D1225" s="32" t="inlineStr">
        <is>
          <t>火普攻</t>
        </is>
      </c>
      <c r="E1225" s="18" t="inlineStr">
        <is>
          <t>21</t>
        </is>
      </c>
      <c r="F1225" s="18" t="inlineStr">
        <is>
          <t>100</t>
        </is>
      </c>
      <c r="G1225" s="18" t="inlineStr">
        <is>
          <t>10001|1804$123001|1107</t>
        </is>
      </c>
    </row>
    <row r="1226">
      <c r="B1226" s="18" t="n">
        <v>11223</v>
      </c>
      <c r="C1226" s="32" t="inlineStr">
        <is>
          <t>5</t>
        </is>
      </c>
      <c r="D1226" s="32" t="inlineStr">
        <is>
          <t>火普攻</t>
        </is>
      </c>
      <c r="E1226" s="18" t="inlineStr">
        <is>
          <t>22</t>
        </is>
      </c>
      <c r="F1226" s="18" t="inlineStr">
        <is>
          <t>105</t>
        </is>
      </c>
      <c r="G1226" s="18" t="inlineStr">
        <is>
          <t>10001|1935$123001|1187</t>
        </is>
      </c>
    </row>
    <row r="1227">
      <c r="B1227" s="18" t="n">
        <v>11224</v>
      </c>
      <c r="C1227" s="32" t="inlineStr">
        <is>
          <t>5</t>
        </is>
      </c>
      <c r="D1227" s="32" t="inlineStr">
        <is>
          <t>火普攻</t>
        </is>
      </c>
      <c r="E1227" s="18" t="inlineStr">
        <is>
          <t>23</t>
        </is>
      </c>
      <c r="F1227" s="18" t="inlineStr">
        <is>
          <t>110</t>
        </is>
      </c>
      <c r="G1227" s="18" t="inlineStr">
        <is>
          <t>10001|2068$123001|1268</t>
        </is>
      </c>
    </row>
    <row r="1228">
      <c r="B1228" s="18" t="n">
        <v>11225</v>
      </c>
      <c r="C1228" s="32" t="inlineStr">
        <is>
          <t>5</t>
        </is>
      </c>
      <c r="D1228" s="32" t="inlineStr">
        <is>
          <t>火普攻</t>
        </is>
      </c>
      <c r="E1228" s="18" t="inlineStr">
        <is>
          <t>24</t>
        </is>
      </c>
      <c r="F1228" s="18" t="inlineStr">
        <is>
          <t>115</t>
        </is>
      </c>
      <c r="G1228" s="18" t="inlineStr">
        <is>
          <t>10001|2205$123001|1352</t>
        </is>
      </c>
    </row>
    <row r="1229">
      <c r="B1229" s="18" t="n">
        <v>11226</v>
      </c>
      <c r="C1229" s="32" t="inlineStr">
        <is>
          <t>5</t>
        </is>
      </c>
      <c r="D1229" s="32" t="inlineStr">
        <is>
          <t>火普攻</t>
        </is>
      </c>
      <c r="E1229" s="18" t="inlineStr">
        <is>
          <t>25</t>
        </is>
      </c>
      <c r="F1229" s="18" t="inlineStr">
        <is>
          <t>120</t>
        </is>
      </c>
      <c r="G1229" s="18" t="inlineStr">
        <is>
          <t>10001|2344$123001|1438</t>
        </is>
      </c>
    </row>
    <row r="1230">
      <c r="B1230" s="18" t="n">
        <v>11227</v>
      </c>
      <c r="C1230" s="32" t="inlineStr">
        <is>
          <t>5</t>
        </is>
      </c>
      <c r="D1230" s="32" t="inlineStr">
        <is>
          <t>火普攻</t>
        </is>
      </c>
      <c r="E1230" s="18" t="inlineStr">
        <is>
          <t>26</t>
        </is>
      </c>
      <c r="F1230" s="18" t="inlineStr">
        <is>
          <t>125</t>
        </is>
      </c>
      <c r="G1230" s="18" t="inlineStr">
        <is>
          <t>10001|2486$123001|1525</t>
        </is>
      </c>
    </row>
    <row r="1231">
      <c r="B1231" s="18" t="n">
        <v>11228</v>
      </c>
      <c r="C1231" s="32" t="inlineStr">
        <is>
          <t>5</t>
        </is>
      </c>
      <c r="D1231" s="32" t="inlineStr">
        <is>
          <t>火普攻</t>
        </is>
      </c>
      <c r="E1231" s="18" t="inlineStr">
        <is>
          <t>27</t>
        </is>
      </c>
      <c r="F1231" s="18" t="inlineStr">
        <is>
          <t>130</t>
        </is>
      </c>
      <c r="G1231" s="18" t="inlineStr">
        <is>
          <t>10001|2631$123001|1613</t>
        </is>
      </c>
    </row>
    <row r="1232">
      <c r="B1232" s="18" t="n">
        <v>11229</v>
      </c>
      <c r="C1232" s="32" t="inlineStr">
        <is>
          <t>5</t>
        </is>
      </c>
      <c r="D1232" s="32" t="inlineStr">
        <is>
          <t>火普攻</t>
        </is>
      </c>
      <c r="E1232" s="18" t="inlineStr">
        <is>
          <t>28</t>
        </is>
      </c>
      <c r="F1232" s="18" t="inlineStr">
        <is>
          <t>135</t>
        </is>
      </c>
      <c r="G1232" s="18" t="inlineStr">
        <is>
          <t>10001|2778$123001|1704</t>
        </is>
      </c>
    </row>
    <row r="1233">
      <c r="B1233" s="18" t="n">
        <v>11230</v>
      </c>
      <c r="C1233" s="32" t="inlineStr">
        <is>
          <t>5</t>
        </is>
      </c>
      <c r="D1233" s="32" t="inlineStr">
        <is>
          <t>火普攻</t>
        </is>
      </c>
      <c r="E1233" s="18" t="inlineStr">
        <is>
          <t>29</t>
        </is>
      </c>
      <c r="F1233" s="18" t="inlineStr">
        <is>
          <t>140</t>
        </is>
      </c>
      <c r="G1233" s="18" t="inlineStr">
        <is>
          <t>10001|2928$123001|1796</t>
        </is>
      </c>
    </row>
    <row r="1234">
      <c r="B1234" s="18" t="n">
        <v>11231</v>
      </c>
      <c r="C1234" s="32" t="inlineStr">
        <is>
          <t>5</t>
        </is>
      </c>
      <c r="D1234" s="32" t="inlineStr">
        <is>
          <t>火普攻</t>
        </is>
      </c>
      <c r="E1234" s="18" t="inlineStr">
        <is>
          <t>30</t>
        </is>
      </c>
      <c r="F1234" s="18" t="inlineStr">
        <is>
          <t>145</t>
        </is>
      </c>
      <c r="G1234" s="18" t="inlineStr">
        <is>
          <t>10001|3081$123001|1890</t>
        </is>
      </c>
    </row>
    <row r="1235">
      <c r="B1235" s="18" t="n">
        <v>11232</v>
      </c>
      <c r="C1235" s="32" t="inlineStr">
        <is>
          <t>5</t>
        </is>
      </c>
      <c r="D1235" s="32" t="inlineStr">
        <is>
          <t>火普攻</t>
        </is>
      </c>
      <c r="E1235" s="18" t="inlineStr">
        <is>
          <t>31</t>
        </is>
      </c>
      <c r="F1235" s="18" t="inlineStr">
        <is>
          <t>150</t>
        </is>
      </c>
      <c r="G1235" s="18" t="inlineStr">
        <is>
          <t>10001|3236$123001|1985</t>
        </is>
      </c>
    </row>
    <row r="1236">
      <c r="B1236" s="18" t="n">
        <v>11233</v>
      </c>
      <c r="C1236" s="32" t="inlineStr">
        <is>
          <t>5</t>
        </is>
      </c>
      <c r="D1236" s="32" t="inlineStr">
        <is>
          <t>火普攻</t>
        </is>
      </c>
      <c r="E1236" s="18" t="inlineStr">
        <is>
          <t>32</t>
        </is>
      </c>
      <c r="F1236" s="18" t="inlineStr">
        <is>
          <t>155</t>
        </is>
      </c>
      <c r="G1236" s="18" t="inlineStr">
        <is>
          <t>10001|3394$123001|2082</t>
        </is>
      </c>
    </row>
    <row r="1237">
      <c r="B1237" s="18" t="n">
        <v>11234</v>
      </c>
      <c r="C1237" s="32" t="inlineStr">
        <is>
          <t>5</t>
        </is>
      </c>
      <c r="D1237" s="32" t="inlineStr">
        <is>
          <t>火普攻</t>
        </is>
      </c>
      <c r="E1237" s="18" t="inlineStr">
        <is>
          <t>33</t>
        </is>
      </c>
      <c r="F1237" s="18" t="inlineStr">
        <is>
          <t>160</t>
        </is>
      </c>
      <c r="G1237" s="18" t="inlineStr">
        <is>
          <t>10001|3554$124001|2180</t>
        </is>
      </c>
    </row>
    <row r="1238">
      <c r="B1238" s="18" t="n">
        <v>11235</v>
      </c>
      <c r="C1238" s="32" t="inlineStr">
        <is>
          <t>5</t>
        </is>
      </c>
      <c r="D1238" s="32" t="inlineStr">
        <is>
          <t>火普攻</t>
        </is>
      </c>
      <c r="E1238" s="18" t="inlineStr">
        <is>
          <t>34</t>
        </is>
      </c>
      <c r="F1238" s="18" t="inlineStr">
        <is>
          <t>165</t>
        </is>
      </c>
      <c r="G1238" s="18" t="inlineStr">
        <is>
          <t>10001|3717$124001|2280</t>
        </is>
      </c>
    </row>
    <row r="1239">
      <c r="B1239" s="18" t="n">
        <v>11236</v>
      </c>
      <c r="C1239" s="32" t="inlineStr">
        <is>
          <t>5</t>
        </is>
      </c>
      <c r="D1239" s="32" t="inlineStr">
        <is>
          <t>火普攻</t>
        </is>
      </c>
      <c r="E1239" s="18" t="inlineStr">
        <is>
          <t>35</t>
        </is>
      </c>
      <c r="F1239" s="18" t="inlineStr">
        <is>
          <t>170</t>
        </is>
      </c>
      <c r="G1239" s="18" t="inlineStr">
        <is>
          <t>10001|3882$124001|2381</t>
        </is>
      </c>
    </row>
    <row r="1240">
      <c r="B1240" s="18" t="n">
        <v>11237</v>
      </c>
      <c r="C1240" s="32" t="inlineStr">
        <is>
          <t>5</t>
        </is>
      </c>
      <c r="D1240" s="32" t="inlineStr">
        <is>
          <t>火普攻</t>
        </is>
      </c>
      <c r="E1240" s="18" t="inlineStr">
        <is>
          <t>36</t>
        </is>
      </c>
      <c r="F1240" s="18" t="inlineStr">
        <is>
          <t>175</t>
        </is>
      </c>
      <c r="G1240" s="18" t="inlineStr">
        <is>
          <t>10001|4050$124001|2484</t>
        </is>
      </c>
    </row>
    <row r="1241">
      <c r="B1241" s="18" t="n">
        <v>11238</v>
      </c>
      <c r="C1241" s="32" t="inlineStr">
        <is>
          <t>5</t>
        </is>
      </c>
      <c r="D1241" s="32" t="inlineStr">
        <is>
          <t>火普攻</t>
        </is>
      </c>
      <c r="E1241" s="18" t="inlineStr">
        <is>
          <t>37</t>
        </is>
      </c>
      <c r="F1241" s="18" t="inlineStr">
        <is>
          <t>180</t>
        </is>
      </c>
      <c r="G1241" s="18" t="inlineStr">
        <is>
          <t>10001|4220$124001|2588</t>
        </is>
      </c>
    </row>
    <row r="1242">
      <c r="B1242" s="18" t="n">
        <v>11239</v>
      </c>
      <c r="C1242" s="32" t="inlineStr">
        <is>
          <t>5</t>
        </is>
      </c>
      <c r="D1242" s="32" t="inlineStr">
        <is>
          <t>火普攻</t>
        </is>
      </c>
      <c r="E1242" s="18" t="inlineStr">
        <is>
          <t>38</t>
        </is>
      </c>
      <c r="F1242" s="18" t="inlineStr">
        <is>
          <t>185</t>
        </is>
      </c>
      <c r="G1242" s="18" t="inlineStr">
        <is>
          <t>10001|4392$124001|2694</t>
        </is>
      </c>
    </row>
    <row r="1243">
      <c r="B1243" s="18" t="n">
        <v>11240</v>
      </c>
      <c r="C1243" s="32" t="inlineStr">
        <is>
          <t>5</t>
        </is>
      </c>
      <c r="D1243" s="32" t="inlineStr">
        <is>
          <t>火普攻</t>
        </is>
      </c>
      <c r="E1243" s="18" t="inlineStr">
        <is>
          <t>39</t>
        </is>
      </c>
      <c r="F1243" s="18" t="inlineStr">
        <is>
          <t>190</t>
        </is>
      </c>
      <c r="G1243" s="18" t="inlineStr">
        <is>
          <t>10001|4567$124001|2801</t>
        </is>
      </c>
    </row>
    <row r="1244">
      <c r="B1244" s="18" t="n">
        <v>11241</v>
      </c>
      <c r="C1244" s="32" t="inlineStr">
        <is>
          <t>5</t>
        </is>
      </c>
      <c r="D1244" s="32" t="inlineStr">
        <is>
          <t>火普攻</t>
        </is>
      </c>
      <c r="E1244" s="18" t="inlineStr">
        <is>
          <t>40</t>
        </is>
      </c>
      <c r="F1244" s="18" t="inlineStr">
        <is>
          <t>195</t>
        </is>
      </c>
      <c r="G1244" s="18" t="inlineStr">
        <is>
          <t>10001|4743$124001|2909</t>
        </is>
      </c>
    </row>
    <row r="1245">
      <c r="B1245" s="18" t="n">
        <v>11242</v>
      </c>
      <c r="C1245" s="32" t="inlineStr">
        <is>
          <t>5</t>
        </is>
      </c>
      <c r="D1245" s="32" t="inlineStr">
        <is>
          <t>火普攻</t>
        </is>
      </c>
      <c r="E1245" s="18" t="inlineStr">
        <is>
          <t>41</t>
        </is>
      </c>
      <c r="F1245" s="18" t="inlineStr">
        <is>
          <t>200</t>
        </is>
      </c>
      <c r="G1245" s="18" t="inlineStr">
        <is>
          <t>10001|4922$125001|3019</t>
        </is>
      </c>
    </row>
    <row r="1246">
      <c r="B1246" s="18" t="n">
        <v>11243</v>
      </c>
      <c r="C1246" s="32" t="inlineStr">
        <is>
          <t>5</t>
        </is>
      </c>
      <c r="D1246" s="32" t="inlineStr">
        <is>
          <t>火普攻</t>
        </is>
      </c>
      <c r="E1246" s="18" t="inlineStr">
        <is>
          <t>42</t>
        </is>
      </c>
      <c r="F1246" s="18" t="inlineStr">
        <is>
          <t>205</t>
        </is>
      </c>
      <c r="G1246" s="18" t="inlineStr">
        <is>
          <t>10001|5104$125001|3130</t>
        </is>
      </c>
    </row>
    <row r="1247">
      <c r="B1247" s="18" t="n">
        <v>11244</v>
      </c>
      <c r="C1247" s="32" t="inlineStr">
        <is>
          <t>5</t>
        </is>
      </c>
      <c r="D1247" s="32" t="inlineStr">
        <is>
          <t>火普攻</t>
        </is>
      </c>
      <c r="E1247" s="18" t="inlineStr">
        <is>
          <t>43</t>
        </is>
      </c>
      <c r="F1247" s="18" t="inlineStr">
        <is>
          <t>210</t>
        </is>
      </c>
      <c r="G1247" s="18" t="inlineStr">
        <is>
          <t>10001|5287$125001|3243</t>
        </is>
      </c>
    </row>
    <row r="1248">
      <c r="B1248" s="18" t="n">
        <v>11245</v>
      </c>
      <c r="C1248" s="32" t="inlineStr">
        <is>
          <t>5</t>
        </is>
      </c>
      <c r="D1248" s="32" t="inlineStr">
        <is>
          <t>火普攻</t>
        </is>
      </c>
      <c r="E1248" s="18" t="inlineStr">
        <is>
          <t>44</t>
        </is>
      </c>
      <c r="F1248" s="18" t="inlineStr">
        <is>
          <t>215</t>
        </is>
      </c>
      <c r="G1248" s="18" t="inlineStr">
        <is>
          <t>10001|5472$125001|3356</t>
        </is>
      </c>
    </row>
    <row r="1249">
      <c r="B1249" s="18" t="n">
        <v>11246</v>
      </c>
      <c r="C1249" s="32" t="inlineStr">
        <is>
          <t>5</t>
        </is>
      </c>
      <c r="D1249" s="32" t="inlineStr">
        <is>
          <t>火普攻</t>
        </is>
      </c>
      <c r="E1249" s="18" t="inlineStr">
        <is>
          <t>45</t>
        </is>
      </c>
      <c r="F1249" s="18" t="inlineStr">
        <is>
          <t>220</t>
        </is>
      </c>
      <c r="G1249" s="18" t="inlineStr">
        <is>
          <t>10001|5660$125001|3471</t>
        </is>
      </c>
    </row>
    <row r="1250">
      <c r="B1250" s="18" t="n">
        <v>11247</v>
      </c>
      <c r="C1250" s="32" t="inlineStr">
        <is>
          <t>5</t>
        </is>
      </c>
      <c r="D1250" s="32" t="inlineStr">
        <is>
          <t>火普攻</t>
        </is>
      </c>
      <c r="E1250" s="18" t="inlineStr">
        <is>
          <t>46</t>
        </is>
      </c>
      <c r="F1250" s="18" t="inlineStr">
        <is>
          <t>225</t>
        </is>
      </c>
      <c r="G1250" s="18" t="inlineStr">
        <is>
          <t>10001|5850$125001|3588</t>
        </is>
      </c>
    </row>
    <row r="1251">
      <c r="B1251" s="18" t="n">
        <v>11248</v>
      </c>
      <c r="C1251" s="32" t="inlineStr">
        <is>
          <t>5</t>
        </is>
      </c>
      <c r="D1251" s="32" t="inlineStr">
        <is>
          <t>火普攻</t>
        </is>
      </c>
      <c r="E1251" s="18" t="inlineStr">
        <is>
          <t>47</t>
        </is>
      </c>
      <c r="F1251" s="18" t="inlineStr">
        <is>
          <t>230</t>
        </is>
      </c>
      <c r="G1251" s="18" t="inlineStr">
        <is>
          <t>10001|6042$125001|3705</t>
        </is>
      </c>
    </row>
    <row r="1252">
      <c r="B1252" s="18" t="n">
        <v>11249</v>
      </c>
      <c r="C1252" s="32" t="inlineStr">
        <is>
          <t>5</t>
        </is>
      </c>
      <c r="D1252" s="32" t="inlineStr">
        <is>
          <t>火普攻</t>
        </is>
      </c>
      <c r="E1252" s="18" t="inlineStr">
        <is>
          <t>48</t>
        </is>
      </c>
      <c r="F1252" s="18" t="inlineStr">
        <is>
          <t>235</t>
        </is>
      </c>
      <c r="G1252" s="18" t="inlineStr">
        <is>
          <t>10001|6235$125001|3824</t>
        </is>
      </c>
    </row>
    <row r="1253">
      <c r="B1253" s="18" t="n">
        <v>11250</v>
      </c>
      <c r="C1253" s="32" t="inlineStr">
        <is>
          <t>5</t>
        </is>
      </c>
      <c r="D1253" s="32" t="inlineStr">
        <is>
          <t>火普攻</t>
        </is>
      </c>
      <c r="E1253" s="18" t="inlineStr">
        <is>
          <t>49</t>
        </is>
      </c>
      <c r="F1253" s="18" t="inlineStr">
        <is>
          <t>240</t>
        </is>
      </c>
      <c r="G1253" s="18" t="inlineStr">
        <is>
          <t>10001|6431$125001|3945</t>
        </is>
      </c>
    </row>
    <row r="1254">
      <c r="B1254" s="18" t="n">
        <v>11251</v>
      </c>
      <c r="C1254" s="32" t="inlineStr">
        <is>
          <t>5</t>
        </is>
      </c>
      <c r="D1254" s="32" t="inlineStr">
        <is>
          <t>火普攻</t>
        </is>
      </c>
      <c r="E1254" s="18" t="inlineStr">
        <is>
          <t>50</t>
        </is>
      </c>
      <c r="F1254" s="18" t="inlineStr">
        <is>
          <t>245</t>
        </is>
      </c>
      <c r="G1254" s="18" t="inlineStr">
        <is>
          <t>10001|6629$125001|4066</t>
        </is>
      </c>
    </row>
    <row r="1255">
      <c r="B1255" s="18" t="n">
        <v>11252</v>
      </c>
      <c r="C1255" s="32" t="inlineStr">
        <is>
          <t>6</t>
        </is>
      </c>
      <c r="D1255" s="32" t="inlineStr">
        <is>
          <t>雷普攻</t>
        </is>
      </c>
      <c r="E1255" s="18" t="inlineStr">
        <is>
          <t>1</t>
        </is>
      </c>
      <c r="F1255" s="18" t="inlineStr">
        <is>
          <t>0</t>
        </is>
      </c>
      <c r="G1255" s="18" t="inlineStr">
        <is>
          <t>10001|19$121001|12</t>
        </is>
      </c>
    </row>
    <row r="1256">
      <c r="B1256" s="18" t="n">
        <v>11253</v>
      </c>
      <c r="C1256" s="32" t="inlineStr">
        <is>
          <t>6</t>
        </is>
      </c>
      <c r="D1256" s="32" t="inlineStr">
        <is>
          <t>雷普攻</t>
        </is>
      </c>
      <c r="E1256" s="18" t="inlineStr">
        <is>
          <t>2</t>
        </is>
      </c>
      <c r="F1256" s="18" t="inlineStr">
        <is>
          <t>5</t>
        </is>
      </c>
      <c r="G1256" s="18" t="inlineStr">
        <is>
          <t>10001|53$121001|33</t>
        </is>
      </c>
    </row>
    <row r="1257">
      <c r="B1257" s="18" t="n">
        <v>11254</v>
      </c>
      <c r="C1257" s="32" t="inlineStr">
        <is>
          <t>6</t>
        </is>
      </c>
      <c r="D1257" s="32" t="inlineStr">
        <is>
          <t>雷普攻</t>
        </is>
      </c>
      <c r="E1257" s="18" t="inlineStr">
        <is>
          <t>3</t>
        </is>
      </c>
      <c r="F1257" s="18" t="inlineStr">
        <is>
          <t>10</t>
        </is>
      </c>
      <c r="G1257" s="18" t="inlineStr">
        <is>
          <t>10001|97$121001|60</t>
        </is>
      </c>
    </row>
    <row r="1258">
      <c r="B1258" s="18" t="n">
        <v>11255</v>
      </c>
      <c r="C1258" s="32" t="inlineStr">
        <is>
          <t>6</t>
        </is>
      </c>
      <c r="D1258" s="32" t="inlineStr">
        <is>
          <t>雷普攻</t>
        </is>
      </c>
      <c r="E1258" s="18" t="inlineStr">
        <is>
          <t>4</t>
        </is>
      </c>
      <c r="F1258" s="18" t="inlineStr">
        <is>
          <t>15</t>
        </is>
      </c>
      <c r="G1258" s="18" t="inlineStr">
        <is>
          <t>10001|150$121001|92</t>
        </is>
      </c>
    </row>
    <row r="1259">
      <c r="B1259" s="18" t="n">
        <v>11256</v>
      </c>
      <c r="C1259" s="32" t="inlineStr">
        <is>
          <t>6</t>
        </is>
      </c>
      <c r="D1259" s="32" t="inlineStr">
        <is>
          <t>雷普攻</t>
        </is>
      </c>
      <c r="E1259" s="18" t="inlineStr">
        <is>
          <t>5</t>
        </is>
      </c>
      <c r="F1259" s="18" t="inlineStr">
        <is>
          <t>20</t>
        </is>
      </c>
      <c r="G1259" s="18" t="inlineStr">
        <is>
          <t>10001|210$121001|129</t>
        </is>
      </c>
    </row>
    <row r="1260">
      <c r="B1260" s="18" t="n">
        <v>11257</v>
      </c>
      <c r="C1260" s="32" t="inlineStr">
        <is>
          <t>6</t>
        </is>
      </c>
      <c r="D1260" s="32" t="inlineStr">
        <is>
          <t>雷普攻</t>
        </is>
      </c>
      <c r="E1260" s="18" t="inlineStr">
        <is>
          <t>6</t>
        </is>
      </c>
      <c r="F1260" s="18" t="inlineStr">
        <is>
          <t>25</t>
        </is>
      </c>
      <c r="G1260" s="18" t="inlineStr">
        <is>
          <t>10001|276$121001|169</t>
        </is>
      </c>
    </row>
    <row r="1261">
      <c r="B1261" s="18" t="n">
        <v>11258</v>
      </c>
      <c r="C1261" s="32" t="inlineStr">
        <is>
          <t>6</t>
        </is>
      </c>
      <c r="D1261" s="32" t="inlineStr">
        <is>
          <t>雷普攻</t>
        </is>
      </c>
      <c r="E1261" s="18" t="inlineStr">
        <is>
          <t>7</t>
        </is>
      </c>
      <c r="F1261" s="18" t="inlineStr">
        <is>
          <t>30</t>
        </is>
      </c>
      <c r="G1261" s="18" t="inlineStr">
        <is>
          <t>10001|347$121001|213</t>
        </is>
      </c>
    </row>
    <row r="1262">
      <c r="B1262" s="18" t="n">
        <v>11259</v>
      </c>
      <c r="C1262" s="32" t="inlineStr">
        <is>
          <t>6</t>
        </is>
      </c>
      <c r="D1262" s="32" t="inlineStr">
        <is>
          <t>雷普攻</t>
        </is>
      </c>
      <c r="E1262" s="18" t="inlineStr">
        <is>
          <t>8</t>
        </is>
      </c>
      <c r="F1262" s="18" t="inlineStr">
        <is>
          <t>35</t>
        </is>
      </c>
      <c r="G1262" s="18" t="inlineStr">
        <is>
          <t>10001|424$121001|260</t>
        </is>
      </c>
    </row>
    <row r="1263">
      <c r="B1263" s="18" t="n">
        <v>11260</v>
      </c>
      <c r="C1263" s="32" t="inlineStr">
        <is>
          <t>6</t>
        </is>
      </c>
      <c r="D1263" s="32" t="inlineStr">
        <is>
          <t>雷普攻</t>
        </is>
      </c>
      <c r="E1263" s="18" t="inlineStr">
        <is>
          <t>9</t>
        </is>
      </c>
      <c r="F1263" s="18" t="inlineStr">
        <is>
          <t>40</t>
        </is>
      </c>
      <c r="G1263" s="18" t="inlineStr">
        <is>
          <t>10001|506$121001|311</t>
        </is>
      </c>
    </row>
    <row r="1264">
      <c r="B1264" s="18" t="n">
        <v>11261</v>
      </c>
      <c r="C1264" s="32" t="inlineStr">
        <is>
          <t>6</t>
        </is>
      </c>
      <c r="D1264" s="32" t="inlineStr">
        <is>
          <t>雷普攻</t>
        </is>
      </c>
      <c r="E1264" s="18" t="inlineStr">
        <is>
          <t>10</t>
        </is>
      </c>
      <c r="F1264" s="18" t="inlineStr">
        <is>
          <t>45</t>
        </is>
      </c>
      <c r="G1264" s="18" t="inlineStr">
        <is>
          <t>10001|593$121001|364</t>
        </is>
      </c>
    </row>
    <row r="1265">
      <c r="B1265" s="18" t="n">
        <v>11262</v>
      </c>
      <c r="C1265" s="32" t="inlineStr">
        <is>
          <t>6</t>
        </is>
      </c>
      <c r="D1265" s="32" t="inlineStr">
        <is>
          <t>雷普攻</t>
        </is>
      </c>
      <c r="E1265" s="18" t="inlineStr">
        <is>
          <t>11</t>
        </is>
      </c>
      <c r="F1265" s="18" t="inlineStr">
        <is>
          <t>50</t>
        </is>
      </c>
      <c r="G1265" s="18" t="inlineStr">
        <is>
          <t>10001|684$122001|420</t>
        </is>
      </c>
    </row>
    <row r="1266">
      <c r="B1266" s="18" t="n">
        <v>11263</v>
      </c>
      <c r="C1266" s="32" t="inlineStr">
        <is>
          <t>6</t>
        </is>
      </c>
      <c r="D1266" s="32" t="inlineStr">
        <is>
          <t>雷普攻</t>
        </is>
      </c>
      <c r="E1266" s="18" t="inlineStr">
        <is>
          <t>12</t>
        </is>
      </c>
      <c r="F1266" s="18" t="inlineStr">
        <is>
          <t>55</t>
        </is>
      </c>
      <c r="G1266" s="18" t="inlineStr">
        <is>
          <t>10001|779$122001|478</t>
        </is>
      </c>
    </row>
    <row r="1267">
      <c r="B1267" s="18" t="n">
        <v>11264</v>
      </c>
      <c r="C1267" s="32" t="inlineStr">
        <is>
          <t>6</t>
        </is>
      </c>
      <c r="D1267" s="32" t="inlineStr">
        <is>
          <t>雷普攻</t>
        </is>
      </c>
      <c r="E1267" s="18" t="inlineStr">
        <is>
          <t>13</t>
        </is>
      </c>
      <c r="F1267" s="18" t="inlineStr">
        <is>
          <t>60</t>
        </is>
      </c>
      <c r="G1267" s="18" t="inlineStr">
        <is>
          <t>10001|879$122001|539</t>
        </is>
      </c>
    </row>
    <row r="1268">
      <c r="B1268" s="18" t="n">
        <v>11265</v>
      </c>
      <c r="C1268" s="32" t="inlineStr">
        <is>
          <t>6</t>
        </is>
      </c>
      <c r="D1268" s="32" t="inlineStr">
        <is>
          <t>雷普攻</t>
        </is>
      </c>
      <c r="E1268" s="18" t="inlineStr">
        <is>
          <t>14</t>
        </is>
      </c>
      <c r="F1268" s="18" t="inlineStr">
        <is>
          <t>65</t>
        </is>
      </c>
      <c r="G1268" s="18" t="inlineStr">
        <is>
          <t>10001|982$122001|602</t>
        </is>
      </c>
    </row>
    <row r="1269">
      <c r="B1269" s="18" t="n">
        <v>11266</v>
      </c>
      <c r="C1269" s="32" t="inlineStr">
        <is>
          <t>6</t>
        </is>
      </c>
      <c r="D1269" s="32" t="inlineStr">
        <is>
          <t>雷普攻</t>
        </is>
      </c>
      <c r="E1269" s="18" t="inlineStr">
        <is>
          <t>15</t>
        </is>
      </c>
      <c r="F1269" s="18" t="inlineStr">
        <is>
          <t>70</t>
        </is>
      </c>
      <c r="G1269" s="18" t="inlineStr">
        <is>
          <t>10001|1089$122001|668</t>
        </is>
      </c>
    </row>
    <row r="1270">
      <c r="B1270" s="18" t="n">
        <v>11267</v>
      </c>
      <c r="C1270" s="32" t="inlineStr">
        <is>
          <t>6</t>
        </is>
      </c>
      <c r="D1270" s="32" t="inlineStr">
        <is>
          <t>雷普攻</t>
        </is>
      </c>
      <c r="E1270" s="18" t="inlineStr">
        <is>
          <t>16</t>
        </is>
      </c>
      <c r="F1270" s="18" t="inlineStr">
        <is>
          <t>75</t>
        </is>
      </c>
      <c r="G1270" s="18" t="inlineStr">
        <is>
          <t>10001|1200$122001|736</t>
        </is>
      </c>
    </row>
    <row r="1271">
      <c r="B1271" s="18" t="n">
        <v>11268</v>
      </c>
      <c r="C1271" s="32" t="inlineStr">
        <is>
          <t>6</t>
        </is>
      </c>
      <c r="D1271" s="32" t="inlineStr">
        <is>
          <t>雷普攻</t>
        </is>
      </c>
      <c r="E1271" s="18" t="inlineStr">
        <is>
          <t>17</t>
        </is>
      </c>
      <c r="F1271" s="18" t="inlineStr">
        <is>
          <t>80</t>
        </is>
      </c>
      <c r="G1271" s="18" t="inlineStr">
        <is>
          <t>10001|1314$122001|806</t>
        </is>
      </c>
    </row>
    <row r="1272">
      <c r="B1272" s="18" t="n">
        <v>11269</v>
      </c>
      <c r="C1272" s="32" t="inlineStr">
        <is>
          <t>6</t>
        </is>
      </c>
      <c r="D1272" s="32" t="inlineStr">
        <is>
          <t>雷普攻</t>
        </is>
      </c>
      <c r="E1272" s="18" t="inlineStr">
        <is>
          <t>18</t>
        </is>
      </c>
      <c r="F1272" s="18" t="inlineStr">
        <is>
          <t>85</t>
        </is>
      </c>
      <c r="G1272" s="18" t="inlineStr">
        <is>
          <t>10001|1432$122001|878</t>
        </is>
      </c>
    </row>
    <row r="1273">
      <c r="B1273" s="18" t="n">
        <v>11270</v>
      </c>
      <c r="C1273" s="32" t="inlineStr">
        <is>
          <t>6</t>
        </is>
      </c>
      <c r="D1273" s="32" t="inlineStr">
        <is>
          <t>雷普攻</t>
        </is>
      </c>
      <c r="E1273" s="18" t="inlineStr">
        <is>
          <t>19</t>
        </is>
      </c>
      <c r="F1273" s="18" t="inlineStr">
        <is>
          <t>90</t>
        </is>
      </c>
      <c r="G1273" s="18" t="inlineStr">
        <is>
          <t>10001|1553$122001|952</t>
        </is>
      </c>
    </row>
    <row r="1274">
      <c r="B1274" s="18" t="n">
        <v>11271</v>
      </c>
      <c r="C1274" s="32" t="inlineStr">
        <is>
          <t>6</t>
        </is>
      </c>
      <c r="D1274" s="32" t="inlineStr">
        <is>
          <t>雷普攻</t>
        </is>
      </c>
      <c r="E1274" s="18" t="inlineStr">
        <is>
          <t>20</t>
        </is>
      </c>
      <c r="F1274" s="18" t="inlineStr">
        <is>
          <t>95</t>
        </is>
      </c>
      <c r="G1274" s="18" t="inlineStr">
        <is>
          <t>10001|1677$122001|1029</t>
        </is>
      </c>
    </row>
    <row r="1275">
      <c r="B1275" s="18" t="n">
        <v>11272</v>
      </c>
      <c r="C1275" s="32" t="inlineStr">
        <is>
          <t>6</t>
        </is>
      </c>
      <c r="D1275" s="32" t="inlineStr">
        <is>
          <t>雷普攻</t>
        </is>
      </c>
      <c r="E1275" s="18" t="inlineStr">
        <is>
          <t>21</t>
        </is>
      </c>
      <c r="F1275" s="18" t="inlineStr">
        <is>
          <t>100</t>
        </is>
      </c>
      <c r="G1275" s="18" t="inlineStr">
        <is>
          <t>10001|1804$123001|1107</t>
        </is>
      </c>
    </row>
    <row r="1276">
      <c r="B1276" s="18" t="n">
        <v>11273</v>
      </c>
      <c r="C1276" s="32" t="inlineStr">
        <is>
          <t>6</t>
        </is>
      </c>
      <c r="D1276" s="32" t="inlineStr">
        <is>
          <t>雷普攻</t>
        </is>
      </c>
      <c r="E1276" s="18" t="inlineStr">
        <is>
          <t>22</t>
        </is>
      </c>
      <c r="F1276" s="18" t="inlineStr">
        <is>
          <t>105</t>
        </is>
      </c>
      <c r="G1276" s="18" t="inlineStr">
        <is>
          <t>10001|1935$123001|1187</t>
        </is>
      </c>
    </row>
    <row r="1277">
      <c r="B1277" s="18" t="n">
        <v>11274</v>
      </c>
      <c r="C1277" s="32" t="inlineStr">
        <is>
          <t>6</t>
        </is>
      </c>
      <c r="D1277" s="32" t="inlineStr">
        <is>
          <t>雷普攻</t>
        </is>
      </c>
      <c r="E1277" s="18" t="inlineStr">
        <is>
          <t>23</t>
        </is>
      </c>
      <c r="F1277" s="18" t="inlineStr">
        <is>
          <t>110</t>
        </is>
      </c>
      <c r="G1277" s="18" t="inlineStr">
        <is>
          <t>10001|2068$123001|1268</t>
        </is>
      </c>
    </row>
    <row r="1278">
      <c r="B1278" s="18" t="n">
        <v>11275</v>
      </c>
      <c r="C1278" s="32" t="inlineStr">
        <is>
          <t>6</t>
        </is>
      </c>
      <c r="D1278" s="32" t="inlineStr">
        <is>
          <t>雷普攻</t>
        </is>
      </c>
      <c r="E1278" s="18" t="inlineStr">
        <is>
          <t>24</t>
        </is>
      </c>
      <c r="F1278" s="18" t="inlineStr">
        <is>
          <t>115</t>
        </is>
      </c>
      <c r="G1278" s="18" t="inlineStr">
        <is>
          <t>10001|2205$123001|1352</t>
        </is>
      </c>
    </row>
    <row r="1279">
      <c r="B1279" s="18" t="n">
        <v>11276</v>
      </c>
      <c r="C1279" s="32" t="inlineStr">
        <is>
          <t>6</t>
        </is>
      </c>
      <c r="D1279" s="32" t="inlineStr">
        <is>
          <t>雷普攻</t>
        </is>
      </c>
      <c r="E1279" s="18" t="inlineStr">
        <is>
          <t>25</t>
        </is>
      </c>
      <c r="F1279" s="18" t="inlineStr">
        <is>
          <t>120</t>
        </is>
      </c>
      <c r="G1279" s="18" t="inlineStr">
        <is>
          <t>10001|2344$123001|1438</t>
        </is>
      </c>
    </row>
    <row r="1280">
      <c r="B1280" s="18" t="n">
        <v>11277</v>
      </c>
      <c r="C1280" s="32" t="inlineStr">
        <is>
          <t>6</t>
        </is>
      </c>
      <c r="D1280" s="32" t="inlineStr">
        <is>
          <t>雷普攻</t>
        </is>
      </c>
      <c r="E1280" s="18" t="inlineStr">
        <is>
          <t>26</t>
        </is>
      </c>
      <c r="F1280" s="18" t="inlineStr">
        <is>
          <t>125</t>
        </is>
      </c>
      <c r="G1280" s="18" t="inlineStr">
        <is>
          <t>10001|2486$123001|1525</t>
        </is>
      </c>
    </row>
    <row r="1281">
      <c r="B1281" s="18" t="n">
        <v>11278</v>
      </c>
      <c r="C1281" s="32" t="inlineStr">
        <is>
          <t>6</t>
        </is>
      </c>
      <c r="D1281" s="32" t="inlineStr">
        <is>
          <t>雷普攻</t>
        </is>
      </c>
      <c r="E1281" s="18" t="inlineStr">
        <is>
          <t>27</t>
        </is>
      </c>
      <c r="F1281" s="18" t="inlineStr">
        <is>
          <t>130</t>
        </is>
      </c>
      <c r="G1281" s="18" t="inlineStr">
        <is>
          <t>10001|2631$123001|1613</t>
        </is>
      </c>
    </row>
    <row r="1282">
      <c r="B1282" s="18" t="n">
        <v>11279</v>
      </c>
      <c r="C1282" s="32" t="inlineStr">
        <is>
          <t>6</t>
        </is>
      </c>
      <c r="D1282" s="32" t="inlineStr">
        <is>
          <t>雷普攻</t>
        </is>
      </c>
      <c r="E1282" s="18" t="inlineStr">
        <is>
          <t>28</t>
        </is>
      </c>
      <c r="F1282" s="18" t="inlineStr">
        <is>
          <t>135</t>
        </is>
      </c>
      <c r="G1282" s="18" t="inlineStr">
        <is>
          <t>10001|2778$123001|1704</t>
        </is>
      </c>
    </row>
    <row r="1283">
      <c r="B1283" s="18" t="n">
        <v>11280</v>
      </c>
      <c r="C1283" s="32" t="inlineStr">
        <is>
          <t>6</t>
        </is>
      </c>
      <c r="D1283" s="32" t="inlineStr">
        <is>
          <t>雷普攻</t>
        </is>
      </c>
      <c r="E1283" s="18" t="inlineStr">
        <is>
          <t>29</t>
        </is>
      </c>
      <c r="F1283" s="18" t="inlineStr">
        <is>
          <t>140</t>
        </is>
      </c>
      <c r="G1283" s="18" t="inlineStr">
        <is>
          <t>10001|2928$123001|1796</t>
        </is>
      </c>
    </row>
    <row r="1284">
      <c r="B1284" s="18" t="n">
        <v>11281</v>
      </c>
      <c r="C1284" s="32" t="inlineStr">
        <is>
          <t>6</t>
        </is>
      </c>
      <c r="D1284" s="32" t="inlineStr">
        <is>
          <t>雷普攻</t>
        </is>
      </c>
      <c r="E1284" s="18" t="inlineStr">
        <is>
          <t>30</t>
        </is>
      </c>
      <c r="F1284" s="18" t="inlineStr">
        <is>
          <t>145</t>
        </is>
      </c>
      <c r="G1284" s="18" t="inlineStr">
        <is>
          <t>10001|3081$123001|1890</t>
        </is>
      </c>
    </row>
    <row r="1285">
      <c r="B1285" s="18" t="n">
        <v>11282</v>
      </c>
      <c r="C1285" s="32" t="inlineStr">
        <is>
          <t>6</t>
        </is>
      </c>
      <c r="D1285" s="32" t="inlineStr">
        <is>
          <t>雷普攻</t>
        </is>
      </c>
      <c r="E1285" s="18" t="inlineStr">
        <is>
          <t>31</t>
        </is>
      </c>
      <c r="F1285" s="18" t="inlineStr">
        <is>
          <t>150</t>
        </is>
      </c>
      <c r="G1285" s="18" t="inlineStr">
        <is>
          <t>10001|3236$123001|1985</t>
        </is>
      </c>
    </row>
    <row r="1286">
      <c r="B1286" s="18" t="n">
        <v>11283</v>
      </c>
      <c r="C1286" s="32" t="inlineStr">
        <is>
          <t>6</t>
        </is>
      </c>
      <c r="D1286" s="32" t="inlineStr">
        <is>
          <t>雷普攻</t>
        </is>
      </c>
      <c r="E1286" s="18" t="inlineStr">
        <is>
          <t>32</t>
        </is>
      </c>
      <c r="F1286" s="18" t="inlineStr">
        <is>
          <t>155</t>
        </is>
      </c>
      <c r="G1286" s="18" t="inlineStr">
        <is>
          <t>10001|3394$123001|2082</t>
        </is>
      </c>
    </row>
    <row r="1287">
      <c r="B1287" s="18" t="n">
        <v>11284</v>
      </c>
      <c r="C1287" s="32" t="inlineStr">
        <is>
          <t>6</t>
        </is>
      </c>
      <c r="D1287" s="32" t="inlineStr">
        <is>
          <t>雷普攻</t>
        </is>
      </c>
      <c r="E1287" s="18" t="inlineStr">
        <is>
          <t>33</t>
        </is>
      </c>
      <c r="F1287" s="18" t="inlineStr">
        <is>
          <t>160</t>
        </is>
      </c>
      <c r="G1287" s="18" t="inlineStr">
        <is>
          <t>10001|3554$124001|2180</t>
        </is>
      </c>
    </row>
    <row r="1288">
      <c r="B1288" s="18" t="n">
        <v>11285</v>
      </c>
      <c r="C1288" s="32" t="inlineStr">
        <is>
          <t>6</t>
        </is>
      </c>
      <c r="D1288" s="32" t="inlineStr">
        <is>
          <t>雷普攻</t>
        </is>
      </c>
      <c r="E1288" s="18" t="inlineStr">
        <is>
          <t>34</t>
        </is>
      </c>
      <c r="F1288" s="18" t="inlineStr">
        <is>
          <t>165</t>
        </is>
      </c>
      <c r="G1288" s="18" t="inlineStr">
        <is>
          <t>10001|3717$124001|2280</t>
        </is>
      </c>
    </row>
    <row r="1289">
      <c r="B1289" s="18" t="n">
        <v>11286</v>
      </c>
      <c r="C1289" s="32" t="inlineStr">
        <is>
          <t>6</t>
        </is>
      </c>
      <c r="D1289" s="32" t="inlineStr">
        <is>
          <t>雷普攻</t>
        </is>
      </c>
      <c r="E1289" s="18" t="inlineStr">
        <is>
          <t>35</t>
        </is>
      </c>
      <c r="F1289" s="18" t="inlineStr">
        <is>
          <t>170</t>
        </is>
      </c>
      <c r="G1289" s="18" t="inlineStr">
        <is>
          <t>10001|3882$124001|2381</t>
        </is>
      </c>
    </row>
    <row r="1290">
      <c r="B1290" s="18" t="n">
        <v>11287</v>
      </c>
      <c r="C1290" s="32" t="inlineStr">
        <is>
          <t>6</t>
        </is>
      </c>
      <c r="D1290" s="32" t="inlineStr">
        <is>
          <t>雷普攻</t>
        </is>
      </c>
      <c r="E1290" s="18" t="inlineStr">
        <is>
          <t>36</t>
        </is>
      </c>
      <c r="F1290" s="18" t="inlineStr">
        <is>
          <t>175</t>
        </is>
      </c>
      <c r="G1290" s="18" t="inlineStr">
        <is>
          <t>10001|4050$124001|2484</t>
        </is>
      </c>
    </row>
    <row r="1291">
      <c r="B1291" s="18" t="n">
        <v>11288</v>
      </c>
      <c r="C1291" s="32" t="inlineStr">
        <is>
          <t>6</t>
        </is>
      </c>
      <c r="D1291" s="32" t="inlineStr">
        <is>
          <t>雷普攻</t>
        </is>
      </c>
      <c r="E1291" s="18" t="inlineStr">
        <is>
          <t>37</t>
        </is>
      </c>
      <c r="F1291" s="18" t="inlineStr">
        <is>
          <t>180</t>
        </is>
      </c>
      <c r="G1291" s="18" t="inlineStr">
        <is>
          <t>10001|4220$124001|2588</t>
        </is>
      </c>
    </row>
    <row r="1292">
      <c r="B1292" s="18" t="n">
        <v>11289</v>
      </c>
      <c r="C1292" s="32" t="inlineStr">
        <is>
          <t>6</t>
        </is>
      </c>
      <c r="D1292" s="32" t="inlineStr">
        <is>
          <t>雷普攻</t>
        </is>
      </c>
      <c r="E1292" s="18" t="inlineStr">
        <is>
          <t>38</t>
        </is>
      </c>
      <c r="F1292" s="18" t="inlineStr">
        <is>
          <t>185</t>
        </is>
      </c>
      <c r="G1292" s="18" t="inlineStr">
        <is>
          <t>10001|4392$124001|2694</t>
        </is>
      </c>
    </row>
    <row r="1293">
      <c r="B1293" s="18" t="n">
        <v>11290</v>
      </c>
      <c r="C1293" s="32" t="inlineStr">
        <is>
          <t>6</t>
        </is>
      </c>
      <c r="D1293" s="32" t="inlineStr">
        <is>
          <t>雷普攻</t>
        </is>
      </c>
      <c r="E1293" s="18" t="inlineStr">
        <is>
          <t>39</t>
        </is>
      </c>
      <c r="F1293" s="18" t="inlineStr">
        <is>
          <t>190</t>
        </is>
      </c>
      <c r="G1293" s="18" t="inlineStr">
        <is>
          <t>10001|4567$124001|2801</t>
        </is>
      </c>
    </row>
    <row r="1294">
      <c r="B1294" s="18" t="n">
        <v>11291</v>
      </c>
      <c r="C1294" s="32" t="inlineStr">
        <is>
          <t>6</t>
        </is>
      </c>
      <c r="D1294" s="32" t="inlineStr">
        <is>
          <t>雷普攻</t>
        </is>
      </c>
      <c r="E1294" s="18" t="inlineStr">
        <is>
          <t>40</t>
        </is>
      </c>
      <c r="F1294" s="18" t="inlineStr">
        <is>
          <t>195</t>
        </is>
      </c>
      <c r="G1294" s="18" t="inlineStr">
        <is>
          <t>10001|4743$124001|2909</t>
        </is>
      </c>
    </row>
    <row r="1295">
      <c r="B1295" s="18" t="n">
        <v>11292</v>
      </c>
      <c r="C1295" s="32" t="inlineStr">
        <is>
          <t>6</t>
        </is>
      </c>
      <c r="D1295" s="32" t="inlineStr">
        <is>
          <t>雷普攻</t>
        </is>
      </c>
      <c r="E1295" s="18" t="inlineStr">
        <is>
          <t>41</t>
        </is>
      </c>
      <c r="F1295" s="18" t="inlineStr">
        <is>
          <t>200</t>
        </is>
      </c>
      <c r="G1295" s="18" t="inlineStr">
        <is>
          <t>10001|4922$125001|3019</t>
        </is>
      </c>
    </row>
    <row r="1296">
      <c r="B1296" s="18" t="n">
        <v>11293</v>
      </c>
      <c r="C1296" s="32" t="inlineStr">
        <is>
          <t>6</t>
        </is>
      </c>
      <c r="D1296" s="32" t="inlineStr">
        <is>
          <t>雷普攻</t>
        </is>
      </c>
      <c r="E1296" s="18" t="inlineStr">
        <is>
          <t>42</t>
        </is>
      </c>
      <c r="F1296" s="18" t="inlineStr">
        <is>
          <t>205</t>
        </is>
      </c>
      <c r="G1296" s="18" t="inlineStr">
        <is>
          <t>10001|5104$125001|3130</t>
        </is>
      </c>
    </row>
    <row r="1297">
      <c r="B1297" s="18" t="n">
        <v>11294</v>
      </c>
      <c r="C1297" s="32" t="inlineStr">
        <is>
          <t>6</t>
        </is>
      </c>
      <c r="D1297" s="32" t="inlineStr">
        <is>
          <t>雷普攻</t>
        </is>
      </c>
      <c r="E1297" s="18" t="inlineStr">
        <is>
          <t>43</t>
        </is>
      </c>
      <c r="F1297" s="18" t="inlineStr">
        <is>
          <t>210</t>
        </is>
      </c>
      <c r="G1297" s="18" t="inlineStr">
        <is>
          <t>10001|5287$125001|3243</t>
        </is>
      </c>
    </row>
    <row r="1298">
      <c r="B1298" s="18" t="n">
        <v>11295</v>
      </c>
      <c r="C1298" s="32" t="inlineStr">
        <is>
          <t>6</t>
        </is>
      </c>
      <c r="D1298" s="32" t="inlineStr">
        <is>
          <t>雷普攻</t>
        </is>
      </c>
      <c r="E1298" s="18" t="inlineStr">
        <is>
          <t>44</t>
        </is>
      </c>
      <c r="F1298" s="18" t="inlineStr">
        <is>
          <t>215</t>
        </is>
      </c>
      <c r="G1298" s="18" t="inlineStr">
        <is>
          <t>10001|5472$125001|3356</t>
        </is>
      </c>
    </row>
    <row r="1299">
      <c r="B1299" s="18" t="n">
        <v>11296</v>
      </c>
      <c r="C1299" s="32" t="inlineStr">
        <is>
          <t>6</t>
        </is>
      </c>
      <c r="D1299" s="32" t="inlineStr">
        <is>
          <t>雷普攻</t>
        </is>
      </c>
      <c r="E1299" s="18" t="inlineStr">
        <is>
          <t>45</t>
        </is>
      </c>
      <c r="F1299" s="18" t="inlineStr">
        <is>
          <t>220</t>
        </is>
      </c>
      <c r="G1299" s="18" t="inlineStr">
        <is>
          <t>10001|5660$125001|3471</t>
        </is>
      </c>
    </row>
    <row r="1300">
      <c r="B1300" s="18" t="n">
        <v>11297</v>
      </c>
      <c r="C1300" s="32" t="inlineStr">
        <is>
          <t>6</t>
        </is>
      </c>
      <c r="D1300" s="32" t="inlineStr">
        <is>
          <t>雷普攻</t>
        </is>
      </c>
      <c r="E1300" s="18" t="inlineStr">
        <is>
          <t>46</t>
        </is>
      </c>
      <c r="F1300" s="18" t="inlineStr">
        <is>
          <t>225</t>
        </is>
      </c>
      <c r="G1300" s="18" t="inlineStr">
        <is>
          <t>10001|5850$125001|3588</t>
        </is>
      </c>
    </row>
    <row r="1301">
      <c r="B1301" s="18" t="n">
        <v>11298</v>
      </c>
      <c r="C1301" s="32" t="inlineStr">
        <is>
          <t>6</t>
        </is>
      </c>
      <c r="D1301" s="32" t="inlineStr">
        <is>
          <t>雷普攻</t>
        </is>
      </c>
      <c r="E1301" s="18" t="inlineStr">
        <is>
          <t>47</t>
        </is>
      </c>
      <c r="F1301" s="18" t="inlineStr">
        <is>
          <t>230</t>
        </is>
      </c>
      <c r="G1301" s="18" t="inlineStr">
        <is>
          <t>10001|6042$125001|3705</t>
        </is>
      </c>
    </row>
    <row r="1302">
      <c r="B1302" s="18" t="n">
        <v>11299</v>
      </c>
      <c r="C1302" s="32" t="inlineStr">
        <is>
          <t>6</t>
        </is>
      </c>
      <c r="D1302" s="32" t="inlineStr">
        <is>
          <t>雷普攻</t>
        </is>
      </c>
      <c r="E1302" s="18" t="inlineStr">
        <is>
          <t>48</t>
        </is>
      </c>
      <c r="F1302" s="18" t="inlineStr">
        <is>
          <t>235</t>
        </is>
      </c>
      <c r="G1302" s="18" t="inlineStr">
        <is>
          <t>10001|6235$125001|3824</t>
        </is>
      </c>
    </row>
    <row r="1303">
      <c r="B1303" s="18" t="n">
        <v>11300</v>
      </c>
      <c r="C1303" s="32" t="inlineStr">
        <is>
          <t>6</t>
        </is>
      </c>
      <c r="D1303" s="32" t="inlineStr">
        <is>
          <t>雷普攻</t>
        </is>
      </c>
      <c r="E1303" s="18" t="inlineStr">
        <is>
          <t>49</t>
        </is>
      </c>
      <c r="F1303" s="18" t="inlineStr">
        <is>
          <t>240</t>
        </is>
      </c>
      <c r="G1303" s="18" t="inlineStr">
        <is>
          <t>10001|6431$125001|3945</t>
        </is>
      </c>
    </row>
    <row r="1304">
      <c r="B1304" s="18" t="n">
        <v>11301</v>
      </c>
      <c r="C1304" s="32" t="inlineStr">
        <is>
          <t>6</t>
        </is>
      </c>
      <c r="D1304" s="32" t="inlineStr">
        <is>
          <t>雷普攻</t>
        </is>
      </c>
      <c r="E1304" s="18" t="inlineStr">
        <is>
          <t>50</t>
        </is>
      </c>
      <c r="F1304" s="18" t="inlineStr">
        <is>
          <t>245</t>
        </is>
      </c>
      <c r="G1304" s="18" t="inlineStr">
        <is>
          <t>10001|6629$125001|4066</t>
        </is>
      </c>
    </row>
    <row r="1305">
      <c r="B1305" s="18" t="n">
        <v>11302</v>
      </c>
      <c r="C1305" s="32" t="inlineStr">
        <is>
          <t>7</t>
        </is>
      </c>
      <c r="D1305" s="32" t="inlineStr">
        <is>
          <t>冰普攻</t>
        </is>
      </c>
      <c r="E1305" s="18" t="inlineStr">
        <is>
          <t>1</t>
        </is>
      </c>
      <c r="F1305" s="18" t="inlineStr">
        <is>
          <t>0</t>
        </is>
      </c>
      <c r="G1305" s="18" t="inlineStr">
        <is>
          <t>10001|19$121001|12</t>
        </is>
      </c>
    </row>
    <row r="1306">
      <c r="B1306" s="18" t="n">
        <v>11303</v>
      </c>
      <c r="C1306" s="32" t="inlineStr">
        <is>
          <t>7</t>
        </is>
      </c>
      <c r="D1306" s="32" t="inlineStr">
        <is>
          <t>冰普攻</t>
        </is>
      </c>
      <c r="E1306" s="18" t="inlineStr">
        <is>
          <t>2</t>
        </is>
      </c>
      <c r="F1306" s="18" t="inlineStr">
        <is>
          <t>5</t>
        </is>
      </c>
      <c r="G1306" s="18" t="inlineStr">
        <is>
          <t>10001|53$121001|33</t>
        </is>
      </c>
    </row>
    <row r="1307">
      <c r="B1307" s="18" t="n">
        <v>11304</v>
      </c>
      <c r="C1307" s="32" t="inlineStr">
        <is>
          <t>7</t>
        </is>
      </c>
      <c r="D1307" s="32" t="inlineStr">
        <is>
          <t>冰普攻</t>
        </is>
      </c>
      <c r="E1307" s="18" t="inlineStr">
        <is>
          <t>3</t>
        </is>
      </c>
      <c r="F1307" s="18" t="inlineStr">
        <is>
          <t>10</t>
        </is>
      </c>
      <c r="G1307" s="18" t="inlineStr">
        <is>
          <t>10001|97$121001|60</t>
        </is>
      </c>
    </row>
    <row r="1308">
      <c r="B1308" s="18" t="n">
        <v>11305</v>
      </c>
      <c r="C1308" s="32" t="inlineStr">
        <is>
          <t>7</t>
        </is>
      </c>
      <c r="D1308" s="32" t="inlineStr">
        <is>
          <t>冰普攻</t>
        </is>
      </c>
      <c r="E1308" s="18" t="inlineStr">
        <is>
          <t>4</t>
        </is>
      </c>
      <c r="F1308" s="18" t="inlineStr">
        <is>
          <t>15</t>
        </is>
      </c>
      <c r="G1308" s="18" t="inlineStr">
        <is>
          <t>10001|150$121001|92</t>
        </is>
      </c>
    </row>
    <row r="1309">
      <c r="B1309" s="18" t="n">
        <v>11306</v>
      </c>
      <c r="C1309" s="32" t="inlineStr">
        <is>
          <t>7</t>
        </is>
      </c>
      <c r="D1309" s="32" t="inlineStr">
        <is>
          <t>冰普攻</t>
        </is>
      </c>
      <c r="E1309" s="18" t="inlineStr">
        <is>
          <t>5</t>
        </is>
      </c>
      <c r="F1309" s="18" t="inlineStr">
        <is>
          <t>20</t>
        </is>
      </c>
      <c r="G1309" s="18" t="inlineStr">
        <is>
          <t>10001|210$121001|129</t>
        </is>
      </c>
    </row>
    <row r="1310">
      <c r="B1310" s="18" t="n">
        <v>11307</v>
      </c>
      <c r="C1310" s="32" t="inlineStr">
        <is>
          <t>7</t>
        </is>
      </c>
      <c r="D1310" s="32" t="inlineStr">
        <is>
          <t>冰普攻</t>
        </is>
      </c>
      <c r="E1310" s="18" t="inlineStr">
        <is>
          <t>6</t>
        </is>
      </c>
      <c r="F1310" s="18" t="inlineStr">
        <is>
          <t>25</t>
        </is>
      </c>
      <c r="G1310" s="18" t="inlineStr">
        <is>
          <t>10001|276$121001|169</t>
        </is>
      </c>
    </row>
    <row r="1311">
      <c r="B1311" s="18" t="n">
        <v>11308</v>
      </c>
      <c r="C1311" s="32" t="inlineStr">
        <is>
          <t>7</t>
        </is>
      </c>
      <c r="D1311" s="32" t="inlineStr">
        <is>
          <t>冰普攻</t>
        </is>
      </c>
      <c r="E1311" s="18" t="inlineStr">
        <is>
          <t>7</t>
        </is>
      </c>
      <c r="F1311" s="18" t="inlineStr">
        <is>
          <t>30</t>
        </is>
      </c>
      <c r="G1311" s="18" t="inlineStr">
        <is>
          <t>10001|347$121001|213</t>
        </is>
      </c>
    </row>
    <row r="1312">
      <c r="B1312" s="18" t="n">
        <v>11309</v>
      </c>
      <c r="C1312" s="32" t="inlineStr">
        <is>
          <t>7</t>
        </is>
      </c>
      <c r="D1312" s="32" t="inlineStr">
        <is>
          <t>冰普攻</t>
        </is>
      </c>
      <c r="E1312" s="18" t="inlineStr">
        <is>
          <t>8</t>
        </is>
      </c>
      <c r="F1312" s="18" t="inlineStr">
        <is>
          <t>35</t>
        </is>
      </c>
      <c r="G1312" s="18" t="inlineStr">
        <is>
          <t>10001|424$121001|260</t>
        </is>
      </c>
    </row>
    <row r="1313">
      <c r="B1313" s="18" t="n">
        <v>11310</v>
      </c>
      <c r="C1313" s="32" t="inlineStr">
        <is>
          <t>7</t>
        </is>
      </c>
      <c r="D1313" s="32" t="inlineStr">
        <is>
          <t>冰普攻</t>
        </is>
      </c>
      <c r="E1313" s="18" t="inlineStr">
        <is>
          <t>9</t>
        </is>
      </c>
      <c r="F1313" s="18" t="inlineStr">
        <is>
          <t>40</t>
        </is>
      </c>
      <c r="G1313" s="18" t="inlineStr">
        <is>
          <t>10001|506$121001|311</t>
        </is>
      </c>
    </row>
    <row r="1314">
      <c r="B1314" s="18" t="n">
        <v>11311</v>
      </c>
      <c r="C1314" s="32" t="inlineStr">
        <is>
          <t>7</t>
        </is>
      </c>
      <c r="D1314" s="32" t="inlineStr">
        <is>
          <t>冰普攻</t>
        </is>
      </c>
      <c r="E1314" s="18" t="inlineStr">
        <is>
          <t>10</t>
        </is>
      </c>
      <c r="F1314" s="18" t="inlineStr">
        <is>
          <t>45</t>
        </is>
      </c>
      <c r="G1314" s="18" t="inlineStr">
        <is>
          <t>10001|593$121001|364</t>
        </is>
      </c>
    </row>
    <row r="1315">
      <c r="B1315" s="18" t="n">
        <v>11312</v>
      </c>
      <c r="C1315" s="32" t="inlineStr">
        <is>
          <t>7</t>
        </is>
      </c>
      <c r="D1315" s="32" t="inlineStr">
        <is>
          <t>冰普攻</t>
        </is>
      </c>
      <c r="E1315" s="18" t="inlineStr">
        <is>
          <t>11</t>
        </is>
      </c>
      <c r="F1315" s="18" t="inlineStr">
        <is>
          <t>50</t>
        </is>
      </c>
      <c r="G1315" s="18" t="inlineStr">
        <is>
          <t>10001|684$122001|420</t>
        </is>
      </c>
    </row>
    <row r="1316">
      <c r="B1316" s="18" t="n">
        <v>11313</v>
      </c>
      <c r="C1316" s="32" t="inlineStr">
        <is>
          <t>7</t>
        </is>
      </c>
      <c r="D1316" s="32" t="inlineStr">
        <is>
          <t>冰普攻</t>
        </is>
      </c>
      <c r="E1316" s="18" t="inlineStr">
        <is>
          <t>12</t>
        </is>
      </c>
      <c r="F1316" s="18" t="inlineStr">
        <is>
          <t>55</t>
        </is>
      </c>
      <c r="G1316" s="18" t="inlineStr">
        <is>
          <t>10001|779$122001|478</t>
        </is>
      </c>
    </row>
    <row r="1317">
      <c r="B1317" s="18" t="n">
        <v>11314</v>
      </c>
      <c r="C1317" s="32" t="inlineStr">
        <is>
          <t>7</t>
        </is>
      </c>
      <c r="D1317" s="32" t="inlineStr">
        <is>
          <t>冰普攻</t>
        </is>
      </c>
      <c r="E1317" s="18" t="inlineStr">
        <is>
          <t>13</t>
        </is>
      </c>
      <c r="F1317" s="18" t="inlineStr">
        <is>
          <t>60</t>
        </is>
      </c>
      <c r="G1317" s="18" t="inlineStr">
        <is>
          <t>10001|879$122001|539</t>
        </is>
      </c>
    </row>
    <row r="1318">
      <c r="B1318" s="18" t="n">
        <v>11315</v>
      </c>
      <c r="C1318" s="32" t="inlineStr">
        <is>
          <t>7</t>
        </is>
      </c>
      <c r="D1318" s="32" t="inlineStr">
        <is>
          <t>冰普攻</t>
        </is>
      </c>
      <c r="E1318" s="18" t="inlineStr">
        <is>
          <t>14</t>
        </is>
      </c>
      <c r="F1318" s="18" t="inlineStr">
        <is>
          <t>65</t>
        </is>
      </c>
      <c r="G1318" s="18" t="inlineStr">
        <is>
          <t>10001|982$122001|602</t>
        </is>
      </c>
    </row>
    <row r="1319">
      <c r="B1319" s="18" t="n">
        <v>11316</v>
      </c>
      <c r="C1319" s="32" t="inlineStr">
        <is>
          <t>7</t>
        </is>
      </c>
      <c r="D1319" s="32" t="inlineStr">
        <is>
          <t>冰普攻</t>
        </is>
      </c>
      <c r="E1319" s="18" t="inlineStr">
        <is>
          <t>15</t>
        </is>
      </c>
      <c r="F1319" s="18" t="inlineStr">
        <is>
          <t>70</t>
        </is>
      </c>
      <c r="G1319" s="18" t="inlineStr">
        <is>
          <t>10001|1089$122001|668</t>
        </is>
      </c>
    </row>
    <row r="1320">
      <c r="B1320" s="18" t="n">
        <v>11317</v>
      </c>
      <c r="C1320" s="32" t="inlineStr">
        <is>
          <t>7</t>
        </is>
      </c>
      <c r="D1320" s="32" t="inlineStr">
        <is>
          <t>冰普攻</t>
        </is>
      </c>
      <c r="E1320" s="18" t="inlineStr">
        <is>
          <t>16</t>
        </is>
      </c>
      <c r="F1320" s="18" t="inlineStr">
        <is>
          <t>75</t>
        </is>
      </c>
      <c r="G1320" s="18" t="inlineStr">
        <is>
          <t>10001|1200$122001|736</t>
        </is>
      </c>
    </row>
    <row r="1321">
      <c r="B1321" s="18" t="n">
        <v>11318</v>
      </c>
      <c r="C1321" s="32" t="inlineStr">
        <is>
          <t>7</t>
        </is>
      </c>
      <c r="D1321" s="32" t="inlineStr">
        <is>
          <t>冰普攻</t>
        </is>
      </c>
      <c r="E1321" s="18" t="inlineStr">
        <is>
          <t>17</t>
        </is>
      </c>
      <c r="F1321" s="18" t="inlineStr">
        <is>
          <t>80</t>
        </is>
      </c>
      <c r="G1321" s="18" t="inlineStr">
        <is>
          <t>10001|1314$122001|806</t>
        </is>
      </c>
    </row>
    <row r="1322">
      <c r="B1322" s="18" t="n">
        <v>11319</v>
      </c>
      <c r="C1322" s="32" t="inlineStr">
        <is>
          <t>7</t>
        </is>
      </c>
      <c r="D1322" s="32" t="inlineStr">
        <is>
          <t>冰普攻</t>
        </is>
      </c>
      <c r="E1322" s="18" t="inlineStr">
        <is>
          <t>18</t>
        </is>
      </c>
      <c r="F1322" s="18" t="inlineStr">
        <is>
          <t>85</t>
        </is>
      </c>
      <c r="G1322" s="18" t="inlineStr">
        <is>
          <t>10001|1432$122001|878</t>
        </is>
      </c>
    </row>
    <row r="1323">
      <c r="B1323" s="18" t="n">
        <v>11320</v>
      </c>
      <c r="C1323" s="32" t="inlineStr">
        <is>
          <t>7</t>
        </is>
      </c>
      <c r="D1323" s="32" t="inlineStr">
        <is>
          <t>冰普攻</t>
        </is>
      </c>
      <c r="E1323" s="18" t="inlineStr">
        <is>
          <t>19</t>
        </is>
      </c>
      <c r="F1323" s="18" t="inlineStr">
        <is>
          <t>90</t>
        </is>
      </c>
      <c r="G1323" s="18" t="inlineStr">
        <is>
          <t>10001|1553$122001|952</t>
        </is>
      </c>
    </row>
    <row r="1324">
      <c r="B1324" s="18" t="n">
        <v>11321</v>
      </c>
      <c r="C1324" s="32" t="inlineStr">
        <is>
          <t>7</t>
        </is>
      </c>
      <c r="D1324" s="32" t="inlineStr">
        <is>
          <t>冰普攻</t>
        </is>
      </c>
      <c r="E1324" s="18" t="inlineStr">
        <is>
          <t>20</t>
        </is>
      </c>
      <c r="F1324" s="18" t="inlineStr">
        <is>
          <t>95</t>
        </is>
      </c>
      <c r="G1324" s="18" t="inlineStr">
        <is>
          <t>10001|1677$122001|1029</t>
        </is>
      </c>
    </row>
    <row r="1325">
      <c r="B1325" s="18" t="n">
        <v>11322</v>
      </c>
      <c r="C1325" s="32" t="inlineStr">
        <is>
          <t>7</t>
        </is>
      </c>
      <c r="D1325" s="32" t="inlineStr">
        <is>
          <t>冰普攻</t>
        </is>
      </c>
      <c r="E1325" s="18" t="inlineStr">
        <is>
          <t>21</t>
        </is>
      </c>
      <c r="F1325" s="18" t="inlineStr">
        <is>
          <t>100</t>
        </is>
      </c>
      <c r="G1325" s="18" t="inlineStr">
        <is>
          <t>10001|1804$123001|1107</t>
        </is>
      </c>
    </row>
    <row r="1326">
      <c r="B1326" s="18" t="n">
        <v>11323</v>
      </c>
      <c r="C1326" s="32" t="inlineStr">
        <is>
          <t>7</t>
        </is>
      </c>
      <c r="D1326" s="32" t="inlineStr">
        <is>
          <t>冰普攻</t>
        </is>
      </c>
      <c r="E1326" s="18" t="inlineStr">
        <is>
          <t>22</t>
        </is>
      </c>
      <c r="F1326" s="18" t="inlineStr">
        <is>
          <t>105</t>
        </is>
      </c>
      <c r="G1326" s="18" t="inlineStr">
        <is>
          <t>10001|1935$123001|1187</t>
        </is>
      </c>
    </row>
    <row r="1327">
      <c r="B1327" s="18" t="n">
        <v>11324</v>
      </c>
      <c r="C1327" s="32" t="inlineStr">
        <is>
          <t>7</t>
        </is>
      </c>
      <c r="D1327" s="32" t="inlineStr">
        <is>
          <t>冰普攻</t>
        </is>
      </c>
      <c r="E1327" s="18" t="inlineStr">
        <is>
          <t>23</t>
        </is>
      </c>
      <c r="F1327" s="18" t="inlineStr">
        <is>
          <t>110</t>
        </is>
      </c>
      <c r="G1327" s="18" t="inlineStr">
        <is>
          <t>10001|2068$123001|1268</t>
        </is>
      </c>
    </row>
    <row r="1328">
      <c r="B1328" s="18" t="n">
        <v>11325</v>
      </c>
      <c r="C1328" s="32" t="inlineStr">
        <is>
          <t>7</t>
        </is>
      </c>
      <c r="D1328" s="32" t="inlineStr">
        <is>
          <t>冰普攻</t>
        </is>
      </c>
      <c r="E1328" s="18" t="inlineStr">
        <is>
          <t>24</t>
        </is>
      </c>
      <c r="F1328" s="18" t="inlineStr">
        <is>
          <t>115</t>
        </is>
      </c>
      <c r="G1328" s="18" t="inlineStr">
        <is>
          <t>10001|2205$123001|1352</t>
        </is>
      </c>
    </row>
    <row r="1329">
      <c r="B1329" s="18" t="n">
        <v>11326</v>
      </c>
      <c r="C1329" s="32" t="inlineStr">
        <is>
          <t>7</t>
        </is>
      </c>
      <c r="D1329" s="32" t="inlineStr">
        <is>
          <t>冰普攻</t>
        </is>
      </c>
      <c r="E1329" s="18" t="inlineStr">
        <is>
          <t>25</t>
        </is>
      </c>
      <c r="F1329" s="18" t="inlineStr">
        <is>
          <t>120</t>
        </is>
      </c>
      <c r="G1329" s="18" t="inlineStr">
        <is>
          <t>10001|2344$123001|1438</t>
        </is>
      </c>
    </row>
    <row r="1330">
      <c r="B1330" s="18" t="n">
        <v>11327</v>
      </c>
      <c r="C1330" s="32" t="inlineStr">
        <is>
          <t>7</t>
        </is>
      </c>
      <c r="D1330" s="32" t="inlineStr">
        <is>
          <t>冰普攻</t>
        </is>
      </c>
      <c r="E1330" s="18" t="inlineStr">
        <is>
          <t>26</t>
        </is>
      </c>
      <c r="F1330" s="18" t="inlineStr">
        <is>
          <t>125</t>
        </is>
      </c>
      <c r="G1330" s="18" t="inlineStr">
        <is>
          <t>10001|2486$123001|1525</t>
        </is>
      </c>
    </row>
    <row r="1331">
      <c r="B1331" s="18" t="n">
        <v>11328</v>
      </c>
      <c r="C1331" s="32" t="inlineStr">
        <is>
          <t>7</t>
        </is>
      </c>
      <c r="D1331" s="32" t="inlineStr">
        <is>
          <t>冰普攻</t>
        </is>
      </c>
      <c r="E1331" s="18" t="inlineStr">
        <is>
          <t>27</t>
        </is>
      </c>
      <c r="F1331" s="18" t="inlineStr">
        <is>
          <t>130</t>
        </is>
      </c>
      <c r="G1331" s="18" t="inlineStr">
        <is>
          <t>10001|2631$123001|1613</t>
        </is>
      </c>
    </row>
    <row r="1332">
      <c r="B1332" s="18" t="n">
        <v>11329</v>
      </c>
      <c r="C1332" s="32" t="inlineStr">
        <is>
          <t>7</t>
        </is>
      </c>
      <c r="D1332" s="32" t="inlineStr">
        <is>
          <t>冰普攻</t>
        </is>
      </c>
      <c r="E1332" s="18" t="inlineStr">
        <is>
          <t>28</t>
        </is>
      </c>
      <c r="F1332" s="18" t="inlineStr">
        <is>
          <t>135</t>
        </is>
      </c>
      <c r="G1332" s="18" t="inlineStr">
        <is>
          <t>10001|2778$123001|1704</t>
        </is>
      </c>
    </row>
    <row r="1333">
      <c r="B1333" s="18" t="n">
        <v>11330</v>
      </c>
      <c r="C1333" s="32" t="inlineStr">
        <is>
          <t>7</t>
        </is>
      </c>
      <c r="D1333" s="32" t="inlineStr">
        <is>
          <t>冰普攻</t>
        </is>
      </c>
      <c r="E1333" s="18" t="inlineStr">
        <is>
          <t>29</t>
        </is>
      </c>
      <c r="F1333" s="18" t="inlineStr">
        <is>
          <t>140</t>
        </is>
      </c>
      <c r="G1333" s="18" t="inlineStr">
        <is>
          <t>10001|2928$123001|1796</t>
        </is>
      </c>
    </row>
    <row r="1334">
      <c r="B1334" s="18" t="n">
        <v>11331</v>
      </c>
      <c r="C1334" s="32" t="inlineStr">
        <is>
          <t>7</t>
        </is>
      </c>
      <c r="D1334" s="32" t="inlineStr">
        <is>
          <t>冰普攻</t>
        </is>
      </c>
      <c r="E1334" s="18" t="inlineStr">
        <is>
          <t>30</t>
        </is>
      </c>
      <c r="F1334" s="18" t="inlineStr">
        <is>
          <t>145</t>
        </is>
      </c>
      <c r="G1334" s="18" t="inlineStr">
        <is>
          <t>10001|3081$123001|1890</t>
        </is>
      </c>
    </row>
    <row r="1335">
      <c r="B1335" s="18" t="n">
        <v>11332</v>
      </c>
      <c r="C1335" s="32" t="inlineStr">
        <is>
          <t>7</t>
        </is>
      </c>
      <c r="D1335" s="32" t="inlineStr">
        <is>
          <t>冰普攻</t>
        </is>
      </c>
      <c r="E1335" s="18" t="inlineStr">
        <is>
          <t>31</t>
        </is>
      </c>
      <c r="F1335" s="18" t="inlineStr">
        <is>
          <t>150</t>
        </is>
      </c>
      <c r="G1335" s="18" t="inlineStr">
        <is>
          <t>10001|3236$123001|1985</t>
        </is>
      </c>
    </row>
    <row r="1336">
      <c r="B1336" s="18" t="n">
        <v>11333</v>
      </c>
      <c r="C1336" s="32" t="inlineStr">
        <is>
          <t>7</t>
        </is>
      </c>
      <c r="D1336" s="32" t="inlineStr">
        <is>
          <t>冰普攻</t>
        </is>
      </c>
      <c r="E1336" s="18" t="inlineStr">
        <is>
          <t>32</t>
        </is>
      </c>
      <c r="F1336" s="18" t="inlineStr">
        <is>
          <t>155</t>
        </is>
      </c>
      <c r="G1336" s="18" t="inlineStr">
        <is>
          <t>10001|3394$123001|2082</t>
        </is>
      </c>
    </row>
    <row r="1337">
      <c r="B1337" s="18" t="n">
        <v>11334</v>
      </c>
      <c r="C1337" s="32" t="inlineStr">
        <is>
          <t>7</t>
        </is>
      </c>
      <c r="D1337" s="32" t="inlineStr">
        <is>
          <t>冰普攻</t>
        </is>
      </c>
      <c r="E1337" s="18" t="inlineStr">
        <is>
          <t>33</t>
        </is>
      </c>
      <c r="F1337" s="18" t="inlineStr">
        <is>
          <t>160</t>
        </is>
      </c>
      <c r="G1337" s="18" t="inlineStr">
        <is>
          <t>10001|3554$124001|2180</t>
        </is>
      </c>
    </row>
    <row r="1338">
      <c r="B1338" s="18" t="n">
        <v>11335</v>
      </c>
      <c r="C1338" s="32" t="inlineStr">
        <is>
          <t>7</t>
        </is>
      </c>
      <c r="D1338" s="32" t="inlineStr">
        <is>
          <t>冰普攻</t>
        </is>
      </c>
      <c r="E1338" s="18" t="inlineStr">
        <is>
          <t>34</t>
        </is>
      </c>
      <c r="F1338" s="18" t="inlineStr">
        <is>
          <t>165</t>
        </is>
      </c>
      <c r="G1338" s="18" t="inlineStr">
        <is>
          <t>10001|3717$124001|2280</t>
        </is>
      </c>
    </row>
    <row r="1339">
      <c r="B1339" s="18" t="n">
        <v>11336</v>
      </c>
      <c r="C1339" s="32" t="inlineStr">
        <is>
          <t>7</t>
        </is>
      </c>
      <c r="D1339" s="32" t="inlineStr">
        <is>
          <t>冰普攻</t>
        </is>
      </c>
      <c r="E1339" s="18" t="inlineStr">
        <is>
          <t>35</t>
        </is>
      </c>
      <c r="F1339" s="18" t="inlineStr">
        <is>
          <t>170</t>
        </is>
      </c>
      <c r="G1339" s="18" t="inlineStr">
        <is>
          <t>10001|3882$124001|2381</t>
        </is>
      </c>
    </row>
    <row r="1340">
      <c r="B1340" s="18" t="n">
        <v>11337</v>
      </c>
      <c r="C1340" s="32" t="inlineStr">
        <is>
          <t>7</t>
        </is>
      </c>
      <c r="D1340" s="32" t="inlineStr">
        <is>
          <t>冰普攻</t>
        </is>
      </c>
      <c r="E1340" s="18" t="inlineStr">
        <is>
          <t>36</t>
        </is>
      </c>
      <c r="F1340" s="18" t="inlineStr">
        <is>
          <t>175</t>
        </is>
      </c>
      <c r="G1340" s="18" t="inlineStr">
        <is>
          <t>10001|4050$124001|2484</t>
        </is>
      </c>
    </row>
    <row r="1341">
      <c r="B1341" s="18" t="n">
        <v>11338</v>
      </c>
      <c r="C1341" s="32" t="inlineStr">
        <is>
          <t>7</t>
        </is>
      </c>
      <c r="D1341" s="32" t="inlineStr">
        <is>
          <t>冰普攻</t>
        </is>
      </c>
      <c r="E1341" s="18" t="inlineStr">
        <is>
          <t>37</t>
        </is>
      </c>
      <c r="F1341" s="18" t="inlineStr">
        <is>
          <t>180</t>
        </is>
      </c>
      <c r="G1341" s="18" t="inlineStr">
        <is>
          <t>10001|4220$124001|2588</t>
        </is>
      </c>
    </row>
    <row r="1342">
      <c r="B1342" s="18" t="n">
        <v>11339</v>
      </c>
      <c r="C1342" s="32" t="inlineStr">
        <is>
          <t>7</t>
        </is>
      </c>
      <c r="D1342" s="32" t="inlineStr">
        <is>
          <t>冰普攻</t>
        </is>
      </c>
      <c r="E1342" s="18" t="inlineStr">
        <is>
          <t>38</t>
        </is>
      </c>
      <c r="F1342" s="18" t="inlineStr">
        <is>
          <t>185</t>
        </is>
      </c>
      <c r="G1342" s="18" t="inlineStr">
        <is>
          <t>10001|4392$124001|2694</t>
        </is>
      </c>
    </row>
    <row r="1343">
      <c r="B1343" s="18" t="n">
        <v>11340</v>
      </c>
      <c r="C1343" s="32" t="inlineStr">
        <is>
          <t>7</t>
        </is>
      </c>
      <c r="D1343" s="32" t="inlineStr">
        <is>
          <t>冰普攻</t>
        </is>
      </c>
      <c r="E1343" s="18" t="inlineStr">
        <is>
          <t>39</t>
        </is>
      </c>
      <c r="F1343" s="18" t="inlineStr">
        <is>
          <t>190</t>
        </is>
      </c>
      <c r="G1343" s="18" t="inlineStr">
        <is>
          <t>10001|4567$124001|2801</t>
        </is>
      </c>
    </row>
    <row r="1344">
      <c r="B1344" s="18" t="n">
        <v>11341</v>
      </c>
      <c r="C1344" s="32" t="inlineStr">
        <is>
          <t>7</t>
        </is>
      </c>
      <c r="D1344" s="32" t="inlineStr">
        <is>
          <t>冰普攻</t>
        </is>
      </c>
      <c r="E1344" s="18" t="inlineStr">
        <is>
          <t>40</t>
        </is>
      </c>
      <c r="F1344" s="18" t="inlineStr">
        <is>
          <t>195</t>
        </is>
      </c>
      <c r="G1344" s="18" t="inlineStr">
        <is>
          <t>10001|4743$124001|2909</t>
        </is>
      </c>
    </row>
    <row r="1345">
      <c r="B1345" s="18" t="n">
        <v>11342</v>
      </c>
      <c r="C1345" s="32" t="inlineStr">
        <is>
          <t>7</t>
        </is>
      </c>
      <c r="D1345" s="32" t="inlineStr">
        <is>
          <t>冰普攻</t>
        </is>
      </c>
      <c r="E1345" s="18" t="inlineStr">
        <is>
          <t>41</t>
        </is>
      </c>
      <c r="F1345" s="18" t="inlineStr">
        <is>
          <t>200</t>
        </is>
      </c>
      <c r="G1345" s="18" t="inlineStr">
        <is>
          <t>10001|4922$125001|3019</t>
        </is>
      </c>
    </row>
    <row r="1346">
      <c r="B1346" s="18" t="n">
        <v>11343</v>
      </c>
      <c r="C1346" s="32" t="inlineStr">
        <is>
          <t>7</t>
        </is>
      </c>
      <c r="D1346" s="32" t="inlineStr">
        <is>
          <t>冰普攻</t>
        </is>
      </c>
      <c r="E1346" s="18" t="inlineStr">
        <is>
          <t>42</t>
        </is>
      </c>
      <c r="F1346" s="18" t="inlineStr">
        <is>
          <t>205</t>
        </is>
      </c>
      <c r="G1346" s="18" t="inlineStr">
        <is>
          <t>10001|5104$125001|3130</t>
        </is>
      </c>
    </row>
    <row r="1347">
      <c r="B1347" s="18" t="n">
        <v>11344</v>
      </c>
      <c r="C1347" s="32" t="inlineStr">
        <is>
          <t>7</t>
        </is>
      </c>
      <c r="D1347" s="32" t="inlineStr">
        <is>
          <t>冰普攻</t>
        </is>
      </c>
      <c r="E1347" s="18" t="inlineStr">
        <is>
          <t>43</t>
        </is>
      </c>
      <c r="F1347" s="18" t="inlineStr">
        <is>
          <t>210</t>
        </is>
      </c>
      <c r="G1347" s="18" t="inlineStr">
        <is>
          <t>10001|5287$125001|3243</t>
        </is>
      </c>
    </row>
    <row r="1348">
      <c r="B1348" s="18" t="n">
        <v>11345</v>
      </c>
      <c r="C1348" s="32" t="inlineStr">
        <is>
          <t>7</t>
        </is>
      </c>
      <c r="D1348" s="32" t="inlineStr">
        <is>
          <t>冰普攻</t>
        </is>
      </c>
      <c r="E1348" s="18" t="inlineStr">
        <is>
          <t>44</t>
        </is>
      </c>
      <c r="F1348" s="18" t="inlineStr">
        <is>
          <t>215</t>
        </is>
      </c>
      <c r="G1348" s="18" t="inlineStr">
        <is>
          <t>10001|5472$125001|3356</t>
        </is>
      </c>
    </row>
    <row r="1349">
      <c r="B1349" s="18" t="n">
        <v>11346</v>
      </c>
      <c r="C1349" s="32" t="inlineStr">
        <is>
          <t>7</t>
        </is>
      </c>
      <c r="D1349" s="32" t="inlineStr">
        <is>
          <t>冰普攻</t>
        </is>
      </c>
      <c r="E1349" s="18" t="inlineStr">
        <is>
          <t>45</t>
        </is>
      </c>
      <c r="F1349" s="18" t="inlineStr">
        <is>
          <t>220</t>
        </is>
      </c>
      <c r="G1349" s="18" t="inlineStr">
        <is>
          <t>10001|5660$125001|3471</t>
        </is>
      </c>
    </row>
    <row r="1350">
      <c r="B1350" s="18" t="n">
        <v>11347</v>
      </c>
      <c r="C1350" s="32" t="inlineStr">
        <is>
          <t>7</t>
        </is>
      </c>
      <c r="D1350" s="32" t="inlineStr">
        <is>
          <t>冰普攻</t>
        </is>
      </c>
      <c r="E1350" s="18" t="inlineStr">
        <is>
          <t>46</t>
        </is>
      </c>
      <c r="F1350" s="18" t="inlineStr">
        <is>
          <t>225</t>
        </is>
      </c>
      <c r="G1350" s="18" t="inlineStr">
        <is>
          <t>10001|5850$125001|3588</t>
        </is>
      </c>
    </row>
    <row r="1351">
      <c r="B1351" s="18" t="n">
        <v>11348</v>
      </c>
      <c r="C1351" s="32" t="inlineStr">
        <is>
          <t>7</t>
        </is>
      </c>
      <c r="D1351" s="32" t="inlineStr">
        <is>
          <t>冰普攻</t>
        </is>
      </c>
      <c r="E1351" s="18" t="inlineStr">
        <is>
          <t>47</t>
        </is>
      </c>
      <c r="F1351" s="18" t="inlineStr">
        <is>
          <t>230</t>
        </is>
      </c>
      <c r="G1351" s="18" t="inlineStr">
        <is>
          <t>10001|6042$125001|3705</t>
        </is>
      </c>
    </row>
    <row r="1352">
      <c r="B1352" s="18" t="n">
        <v>11349</v>
      </c>
      <c r="C1352" s="32" t="inlineStr">
        <is>
          <t>7</t>
        </is>
      </c>
      <c r="D1352" s="32" t="inlineStr">
        <is>
          <t>冰普攻</t>
        </is>
      </c>
      <c r="E1352" s="18" t="inlineStr">
        <is>
          <t>48</t>
        </is>
      </c>
      <c r="F1352" s="18" t="inlineStr">
        <is>
          <t>235</t>
        </is>
      </c>
      <c r="G1352" s="18" t="inlineStr">
        <is>
          <t>10001|6235$125001|3824</t>
        </is>
      </c>
    </row>
    <row r="1353">
      <c r="B1353" s="18" t="n">
        <v>11350</v>
      </c>
      <c r="C1353" s="32" t="inlineStr">
        <is>
          <t>7</t>
        </is>
      </c>
      <c r="D1353" s="32" t="inlineStr">
        <is>
          <t>冰普攻</t>
        </is>
      </c>
      <c r="E1353" s="18" t="inlineStr">
        <is>
          <t>49</t>
        </is>
      </c>
      <c r="F1353" s="18" t="inlineStr">
        <is>
          <t>240</t>
        </is>
      </c>
      <c r="G1353" s="18" t="inlineStr">
        <is>
          <t>10001|6431$125001|3945</t>
        </is>
      </c>
    </row>
    <row r="1354">
      <c r="B1354" s="18" t="n">
        <v>11351</v>
      </c>
      <c r="C1354" s="32" t="inlineStr">
        <is>
          <t>7</t>
        </is>
      </c>
      <c r="D1354" s="32" t="inlineStr">
        <is>
          <t>冰普攻</t>
        </is>
      </c>
      <c r="E1354" s="18" t="inlineStr">
        <is>
          <t>50</t>
        </is>
      </c>
      <c r="F1354" s="18" t="inlineStr">
        <is>
          <t>245</t>
        </is>
      </c>
      <c r="G1354" s="18" t="inlineStr">
        <is>
          <t>10001|6629$125001|4066</t>
        </is>
      </c>
    </row>
    <row r="1355">
      <c r="B1355" s="18" t="n">
        <v>11352</v>
      </c>
      <c r="C1355" s="32" t="inlineStr">
        <is>
          <t>110009</t>
        </is>
      </c>
      <c r="D1355" s="26" t="inlineStr">
        <is>
          <t>罡气冲击</t>
        </is>
      </c>
      <c r="E1355" s="18" t="inlineStr">
        <is>
          <t>1</t>
        </is>
      </c>
      <c r="F1355" s="18" t="inlineStr">
        <is>
          <t>-83.3333333333333|-83.3333333333333|-83.3333333333333|-83.3333333333333|-83.3333333333333|-83.3333333333333</t>
        </is>
      </c>
      <c r="G1355" s="20" t="inlineStr">
        <is>
          <t>10001|150$121001|92$121006|8</t>
        </is>
      </c>
      <c r="J1355" s="26" t="inlineStr">
        <is>
          <t>造成六段伤害，每段伤害为[0]%</t>
        </is>
      </c>
      <c r="K1355" s="18" t="n">
        <v>17</v>
      </c>
    </row>
    <row r="1356">
      <c r="B1356" s="18" t="n">
        <v>11353</v>
      </c>
      <c r="C1356" s="32" t="inlineStr">
        <is>
          <t>110009</t>
        </is>
      </c>
      <c r="D1356" s="26" t="inlineStr">
        <is>
          <t>罡气冲击</t>
        </is>
      </c>
      <c r="E1356" s="18" t="inlineStr">
        <is>
          <t>2</t>
        </is>
      </c>
      <c r="F1356" s="18" t="inlineStr">
        <is>
          <t>-81.6666666666667|-81.6666666666667|-81.6666666666667|-81.6666666666667|-81.6666666666667|-81.6666666666667</t>
        </is>
      </c>
      <c r="G1356" s="20" t="inlineStr">
        <is>
          <t>10001|600$121001|368$121006|21</t>
        </is>
      </c>
      <c r="J1356" s="26" t="inlineStr">
        <is>
          <t>造成六段伤害，每段伤害为[0]%</t>
        </is>
      </c>
      <c r="K1356" s="18" t="n">
        <v>18</v>
      </c>
    </row>
    <row r="1357">
      <c r="B1357" s="18" t="n">
        <v>11354</v>
      </c>
      <c r="C1357" s="32" t="inlineStr">
        <is>
          <t>110009</t>
        </is>
      </c>
      <c r="D1357" s="26" t="inlineStr">
        <is>
          <t>罡气冲击</t>
        </is>
      </c>
      <c r="E1357" s="18" t="inlineStr">
        <is>
          <t>3</t>
        </is>
      </c>
      <c r="F1357" s="18" t="inlineStr">
        <is>
          <t>-80|-80|-80|-80|-80|-80</t>
        </is>
      </c>
      <c r="G1357" s="20" t="inlineStr">
        <is>
          <t>10001|1350$121001|828$121006|39</t>
        </is>
      </c>
      <c r="J1357" s="26" t="inlineStr">
        <is>
          <t>造成六段伤害，每段伤害为[0]%</t>
        </is>
      </c>
      <c r="K1357" s="18" t="n">
        <v>20</v>
      </c>
    </row>
    <row r="1358">
      <c r="B1358" s="18" t="n">
        <v>11355</v>
      </c>
      <c r="C1358" s="32" t="inlineStr">
        <is>
          <t>110009</t>
        </is>
      </c>
      <c r="D1358" s="26" t="inlineStr">
        <is>
          <t>罡气冲击</t>
        </is>
      </c>
      <c r="E1358" s="18" t="inlineStr">
        <is>
          <t>4</t>
        </is>
      </c>
      <c r="F1358" s="18" t="inlineStr">
        <is>
          <t>-78.3333333333333|-78.3333333333333|-78.3333333333333|-78.3333333333333|-78.3333333333333|-78.3333333333333</t>
        </is>
      </c>
      <c r="G1358" s="20" t="inlineStr">
        <is>
          <t>10001|2400$121001|1472$121006|60</t>
        </is>
      </c>
      <c r="J1358" s="26" t="inlineStr">
        <is>
          <t>造成六段伤害，每段伤害为[0]%</t>
        </is>
      </c>
      <c r="K1358" s="18" t="n">
        <v>22</v>
      </c>
    </row>
    <row r="1359">
      <c r="B1359" s="18" t="n">
        <v>11356</v>
      </c>
      <c r="C1359" s="32" t="inlineStr">
        <is>
          <t>110009</t>
        </is>
      </c>
      <c r="D1359" s="26" t="inlineStr">
        <is>
          <t>罡气冲击</t>
        </is>
      </c>
      <c r="E1359" s="18" t="inlineStr">
        <is>
          <t>5</t>
        </is>
      </c>
      <c r="F1359" s="18" t="inlineStr">
        <is>
          <t>-76.6666666666667|-76.6666666666667|-76.6666666666667|-76.6666666666667|-76.6666666666667|-76.6666666666667</t>
        </is>
      </c>
      <c r="G1359" s="20" t="inlineStr">
        <is>
          <t>10001|3750$121001|2300$121006|84</t>
        </is>
      </c>
      <c r="J1359" s="26" t="inlineStr">
        <is>
          <t>造成六段伤害，每段伤害为[0]%</t>
        </is>
      </c>
      <c r="K1359" s="18" t="n">
        <v>23</v>
      </c>
    </row>
    <row r="1360">
      <c r="B1360" s="18" t="n">
        <v>11357</v>
      </c>
      <c r="C1360" s="32" t="inlineStr">
        <is>
          <t>110009</t>
        </is>
      </c>
      <c r="D1360" s="26" t="inlineStr">
        <is>
          <t>罡气冲击</t>
        </is>
      </c>
      <c r="E1360" s="18" t="inlineStr">
        <is>
          <t>6</t>
        </is>
      </c>
      <c r="F1360" s="18" t="inlineStr">
        <is>
          <t>-75|-75|-75|-75|-75|-75</t>
        </is>
      </c>
      <c r="G1360" s="20" t="inlineStr">
        <is>
          <t>10001|5400$121001|3312$121006|110</t>
        </is>
      </c>
      <c r="J1360" s="26" t="inlineStr">
        <is>
          <t>造成六段伤害，每段伤害为[0]%</t>
        </is>
      </c>
      <c r="K1360" s="18" t="n">
        <v>25</v>
      </c>
    </row>
    <row r="1361">
      <c r="B1361" s="18" t="n">
        <v>11358</v>
      </c>
      <c r="C1361" s="32" t="inlineStr">
        <is>
          <t>110009</t>
        </is>
      </c>
      <c r="D1361" s="26" t="inlineStr">
        <is>
          <t>罡气冲击</t>
        </is>
      </c>
      <c r="E1361" s="18" t="inlineStr">
        <is>
          <t>7</t>
        </is>
      </c>
      <c r="F1361" s="18" t="inlineStr">
        <is>
          <t>-73.3333333333333|-73.3333333333333|-73.3333333333333|-73.3333333333333|-73.3333333333333|-73.3333333333333</t>
        </is>
      </c>
      <c r="G1361" s="20" t="inlineStr">
        <is>
          <t>10001|7350$121001|4508$121006|139</t>
        </is>
      </c>
      <c r="J1361" s="26" t="inlineStr">
        <is>
          <t>造成六段伤害，每段伤害为[0]%</t>
        </is>
      </c>
      <c r="K1361" s="18" t="n">
        <v>27</v>
      </c>
    </row>
    <row r="1362">
      <c r="B1362" s="18" t="n">
        <v>11359</v>
      </c>
      <c r="C1362" s="32" t="inlineStr">
        <is>
          <t>110009</t>
        </is>
      </c>
      <c r="D1362" s="26" t="inlineStr">
        <is>
          <t>罡气冲击</t>
        </is>
      </c>
      <c r="E1362" s="18" t="inlineStr">
        <is>
          <t>8</t>
        </is>
      </c>
      <c r="F1362" s="18" t="inlineStr">
        <is>
          <t>-71.6666666666667|-71.6666666666667|-71.6666666666667|-71.6666666666667|-71.6666666666667|-71.6666666666667</t>
        </is>
      </c>
      <c r="G1362" s="20" t="inlineStr">
        <is>
          <t>10001|9600$121001|5888$121006|170</t>
        </is>
      </c>
      <c r="J1362" s="26" t="inlineStr">
        <is>
          <t>造成六段伤害，每段伤害为[0]%</t>
        </is>
      </c>
      <c r="K1362" s="18" t="n">
        <v>28</v>
      </c>
    </row>
    <row r="1363">
      <c r="B1363" s="18" t="n">
        <v>11360</v>
      </c>
      <c r="C1363" s="32" t="inlineStr">
        <is>
          <t>110009</t>
        </is>
      </c>
      <c r="D1363" s="26" t="inlineStr">
        <is>
          <t>罡气冲击</t>
        </is>
      </c>
      <c r="E1363" s="18" t="inlineStr">
        <is>
          <t>9</t>
        </is>
      </c>
      <c r="F1363" s="18" t="inlineStr">
        <is>
          <t>-70|-70|-70|-70|-70|-70</t>
        </is>
      </c>
      <c r="G1363" s="20" t="inlineStr">
        <is>
          <t>10001|12150$121001|7452$121006|203</t>
        </is>
      </c>
      <c r="J1363" s="26" t="inlineStr">
        <is>
          <t>造成六段伤害，每段伤害为[0]%</t>
        </is>
      </c>
      <c r="K1363" s="18" t="n">
        <v>30</v>
      </c>
    </row>
    <row r="1364">
      <c r="B1364" s="18" t="n">
        <v>11361</v>
      </c>
      <c r="C1364" s="32" t="inlineStr">
        <is>
          <t>110009</t>
        </is>
      </c>
      <c r="D1364" s="26" t="inlineStr">
        <is>
          <t>罡气冲击</t>
        </is>
      </c>
      <c r="E1364" s="18" t="inlineStr">
        <is>
          <t>10</t>
        </is>
      </c>
      <c r="F1364" s="18" t="inlineStr">
        <is>
          <t>-68.3333333333333|-68.3333333333333|-68.3333333333333|-68.3333333333333|-68.3333333333333|-68.3333333333333</t>
        </is>
      </c>
      <c r="G1364" s="20" t="inlineStr">
        <is>
          <t>10001|15000$122001|9200$122006|237</t>
        </is>
      </c>
      <c r="J1364" s="26" t="inlineStr">
        <is>
          <t>造成六段伤害，每段伤害为[0]%</t>
        </is>
      </c>
      <c r="K1364" s="18" t="n">
        <v>32</v>
      </c>
    </row>
    <row r="1365">
      <c r="B1365" s="18" t="n">
        <v>11362</v>
      </c>
      <c r="C1365" s="32" t="inlineStr">
        <is>
          <t>110009</t>
        </is>
      </c>
      <c r="D1365" s="26" t="inlineStr">
        <is>
          <t>罡气冲击</t>
        </is>
      </c>
      <c r="E1365" s="18" t="inlineStr">
        <is>
          <t>11</t>
        </is>
      </c>
      <c r="F1365" s="18" t="inlineStr">
        <is>
          <t>-66.6666666666667|-66.6666666666667|-66.6666666666667|-66.6666666666667|-66.6666666666667|-66.6666666666667</t>
        </is>
      </c>
      <c r="G1365" s="20" t="inlineStr">
        <is>
          <t>10001|18150$122001|11132$122006|274</t>
        </is>
      </c>
      <c r="J1365" s="26" t="inlineStr">
        <is>
          <t>造成六段伤害，每段伤害为[0]%</t>
        </is>
      </c>
      <c r="K1365" s="18" t="n">
        <v>33</v>
      </c>
    </row>
    <row r="1366">
      <c r="B1366" s="18" t="n">
        <v>11363</v>
      </c>
      <c r="C1366" s="32" t="inlineStr">
        <is>
          <t>110009</t>
        </is>
      </c>
      <c r="D1366" s="26" t="inlineStr">
        <is>
          <t>罡气冲击</t>
        </is>
      </c>
      <c r="E1366" s="18" t="inlineStr">
        <is>
          <t>12</t>
        </is>
      </c>
      <c r="F1366" s="18" t="inlineStr">
        <is>
          <t>-65|-65|-65|-65|-65|-65</t>
        </is>
      </c>
      <c r="G1366" s="20" t="inlineStr">
        <is>
          <t>10001|21600$122001|13248$122006|312</t>
        </is>
      </c>
      <c r="J1366" s="26" t="inlineStr">
        <is>
          <t>造成六段伤害，每段伤害为[0]%</t>
        </is>
      </c>
      <c r="K1366" s="18" t="n">
        <v>35</v>
      </c>
    </row>
    <row r="1367">
      <c r="B1367" s="18" t="n">
        <v>11364</v>
      </c>
      <c r="C1367" s="32" t="inlineStr">
        <is>
          <t>110009</t>
        </is>
      </c>
      <c r="D1367" s="26" t="inlineStr">
        <is>
          <t>罡气冲击</t>
        </is>
      </c>
      <c r="E1367" s="18" t="inlineStr">
        <is>
          <t>13</t>
        </is>
      </c>
      <c r="F1367" s="18" t="inlineStr">
        <is>
          <t>-63.3333333333333|-63.3333333333333|-63.3333333333333|-63.3333333333333|-63.3333333333333|-63.3333333333333</t>
        </is>
      </c>
      <c r="G1367" s="20" t="inlineStr">
        <is>
          <t>10001|25350$122001|15548$122006|352</t>
        </is>
      </c>
      <c r="J1367" s="26" t="inlineStr">
        <is>
          <t>造成六段伤害，每段伤害为[0]%</t>
        </is>
      </c>
      <c r="K1367" s="18" t="n">
        <v>37</v>
      </c>
    </row>
    <row r="1368">
      <c r="B1368" s="18" t="n">
        <v>11365</v>
      </c>
      <c r="C1368" s="32" t="inlineStr">
        <is>
          <t>110009</t>
        </is>
      </c>
      <c r="D1368" s="26" t="inlineStr">
        <is>
          <t>罡气冲击</t>
        </is>
      </c>
      <c r="E1368" s="18" t="inlineStr">
        <is>
          <t>14</t>
        </is>
      </c>
      <c r="F1368" s="18" t="inlineStr">
        <is>
          <t>-61.6666666666667|-61.6666666666667|-61.6666666666667|-61.6666666666667|-61.6666666666667|-61.6666666666667</t>
        </is>
      </c>
      <c r="G1368" s="20" t="inlineStr">
        <is>
          <t>10001|29400$122001|18032$122006|393</t>
        </is>
      </c>
      <c r="J1368" s="26" t="inlineStr">
        <is>
          <t>造成六段伤害，每段伤害为[0]%</t>
        </is>
      </c>
      <c r="K1368" s="18" t="n">
        <v>38</v>
      </c>
    </row>
    <row r="1369">
      <c r="B1369" s="18" t="n">
        <v>11366</v>
      </c>
      <c r="C1369" s="32" t="inlineStr">
        <is>
          <t>110009</t>
        </is>
      </c>
      <c r="D1369" s="26" t="inlineStr">
        <is>
          <t>罡气冲击</t>
        </is>
      </c>
      <c r="E1369" s="18" t="inlineStr">
        <is>
          <t>15</t>
        </is>
      </c>
      <c r="F1369" s="18" t="inlineStr">
        <is>
          <t>-60|-60|-60|-60|-60|-60</t>
        </is>
      </c>
      <c r="G1369" s="20" t="inlineStr">
        <is>
          <t>10001|33750$122001|20700$122006|436</t>
        </is>
      </c>
      <c r="J1369" s="26" t="inlineStr">
        <is>
          <t>造成六段伤害，每段伤害为[0]%</t>
        </is>
      </c>
      <c r="K1369" s="18" t="n">
        <v>40</v>
      </c>
    </row>
    <row r="1370">
      <c r="B1370" s="18" t="n">
        <v>11367</v>
      </c>
      <c r="C1370" s="32" t="inlineStr">
        <is>
          <t>110009</t>
        </is>
      </c>
      <c r="D1370" s="26" t="inlineStr">
        <is>
          <t>罡气冲击</t>
        </is>
      </c>
      <c r="E1370" s="18" t="inlineStr">
        <is>
          <t>16</t>
        </is>
      </c>
      <c r="F1370" s="18" t="inlineStr">
        <is>
          <t>-58.3333333333333|-58.3333333333333|-58.3333333333333|-58.3333333333333|-58.3333333333333|-58.3333333333333</t>
        </is>
      </c>
      <c r="G1370" s="20" t="inlineStr">
        <is>
          <t>10001|38400$122001|23552$122006|480</t>
        </is>
      </c>
      <c r="J1370" s="26" t="inlineStr">
        <is>
          <t>造成六段伤害，每段伤害为[0]%</t>
        </is>
      </c>
      <c r="K1370" s="18" t="n">
        <v>42</v>
      </c>
    </row>
    <row r="1371">
      <c r="B1371" s="18" t="n">
        <v>11368</v>
      </c>
      <c r="C1371" s="32" t="inlineStr">
        <is>
          <t>110009</t>
        </is>
      </c>
      <c r="D1371" s="26" t="inlineStr">
        <is>
          <t>罡气冲击</t>
        </is>
      </c>
      <c r="E1371" s="18" t="inlineStr">
        <is>
          <t>17</t>
        </is>
      </c>
      <c r="F1371" s="18" t="inlineStr">
        <is>
          <t>-56.6666666666667|-56.6666666666667|-56.6666666666667|-56.6666666666667|-56.6666666666667|-56.6666666666667</t>
        </is>
      </c>
      <c r="G1371" s="20" t="inlineStr">
        <is>
          <t>10001|43350$122001|26588$122006|526</t>
        </is>
      </c>
      <c r="J1371" s="26" t="inlineStr">
        <is>
          <t>造成六段伤害，每段伤害为[0]%</t>
        </is>
      </c>
      <c r="K1371" s="18" t="n">
        <v>43</v>
      </c>
    </row>
    <row r="1372">
      <c r="B1372" s="18" t="n">
        <v>11369</v>
      </c>
      <c r="C1372" s="32" t="inlineStr">
        <is>
          <t>110009</t>
        </is>
      </c>
      <c r="D1372" s="26" t="inlineStr">
        <is>
          <t>罡气冲击</t>
        </is>
      </c>
      <c r="E1372" s="18" t="inlineStr">
        <is>
          <t>18</t>
        </is>
      </c>
      <c r="F1372" s="18" t="inlineStr">
        <is>
          <t>-55|-55|-55|-55|-55|-55</t>
        </is>
      </c>
      <c r="G1372" s="20" t="inlineStr">
        <is>
          <t>10001|48600$122001|29808$122006|573</t>
        </is>
      </c>
      <c r="J1372" s="26" t="inlineStr">
        <is>
          <t>造成六段伤害，每段伤害为[0]%</t>
        </is>
      </c>
      <c r="K1372" s="18" t="n">
        <v>45</v>
      </c>
    </row>
    <row r="1373">
      <c r="B1373" s="18" t="n">
        <v>11370</v>
      </c>
      <c r="C1373" s="32" t="inlineStr">
        <is>
          <t>110009</t>
        </is>
      </c>
      <c r="D1373" s="26" t="inlineStr">
        <is>
          <t>罡气冲击</t>
        </is>
      </c>
      <c r="E1373" s="18" t="inlineStr">
        <is>
          <t>19</t>
        </is>
      </c>
      <c r="F1373" s="18" t="inlineStr">
        <is>
          <t>-53.3333333333333|-53.3333333333333|-53.3333333333333|-53.3333333333333|-53.3333333333333|-53.3333333333333</t>
        </is>
      </c>
      <c r="G1373" s="20" t="inlineStr">
        <is>
          <t>10001|54150$122001|33212$122006|621</t>
        </is>
      </c>
      <c r="J1373" s="26" t="inlineStr">
        <is>
          <t>造成六段伤害，每段伤害为[0]%</t>
        </is>
      </c>
      <c r="K1373" s="18" t="n">
        <v>47</v>
      </c>
    </row>
    <row r="1374">
      <c r="B1374" s="18" t="n">
        <v>11371</v>
      </c>
      <c r="C1374" s="32" t="inlineStr">
        <is>
          <t>110009</t>
        </is>
      </c>
      <c r="D1374" s="26" t="inlineStr">
        <is>
          <t>罡气冲击</t>
        </is>
      </c>
      <c r="E1374" s="18" t="inlineStr">
        <is>
          <t>20</t>
        </is>
      </c>
      <c r="F1374" s="18" t="inlineStr">
        <is>
          <t>-51.6666666666667|-51.6666666666667|-51.6666666666667|-51.6666666666667|-51.6666666666667|-51.6666666666667</t>
        </is>
      </c>
      <c r="G1374" s="20" t="inlineStr">
        <is>
          <t>10001|60000$123001|36800$123006|671</t>
        </is>
      </c>
      <c r="J1374" s="26" t="inlineStr">
        <is>
          <t>造成六段伤害，每段伤害为[0]%</t>
        </is>
      </c>
      <c r="K1374" s="18" t="n">
        <v>48</v>
      </c>
    </row>
    <row r="1375">
      <c r="B1375" s="18" t="n">
        <v>11372</v>
      </c>
      <c r="C1375" s="32" t="inlineStr">
        <is>
          <t>110009</t>
        </is>
      </c>
      <c r="D1375" s="26" t="inlineStr">
        <is>
          <t>罡气冲击</t>
        </is>
      </c>
      <c r="E1375" s="18" t="inlineStr">
        <is>
          <t>21</t>
        </is>
      </c>
      <c r="F1375" s="18" t="inlineStr">
        <is>
          <t>-50|-50|-50|-50|-50|-50</t>
        </is>
      </c>
      <c r="G1375" s="20" t="inlineStr">
        <is>
          <t>10001|66150$123001|40572$123006|722</t>
        </is>
      </c>
      <c r="J1375" s="26" t="inlineStr">
        <is>
          <t>造成六段伤害，每段伤害为[0]%</t>
        </is>
      </c>
      <c r="K1375" s="18" t="n">
        <v>50</v>
      </c>
    </row>
    <row r="1376">
      <c r="B1376" s="18" t="n">
        <v>11373</v>
      </c>
      <c r="C1376" s="32" t="inlineStr">
        <is>
          <t>110009</t>
        </is>
      </c>
      <c r="D1376" s="26" t="inlineStr">
        <is>
          <t>罡气冲击</t>
        </is>
      </c>
      <c r="E1376" s="18" t="inlineStr">
        <is>
          <t>22</t>
        </is>
      </c>
      <c r="F1376" s="18" t="inlineStr">
        <is>
          <t>-48.3333333333333|-48.3333333333333|-48.3333333333333|-48.3333333333333|-48.3333333333333|-48.3333333333333</t>
        </is>
      </c>
      <c r="G1376" s="20" t="inlineStr">
        <is>
          <t>10001|72600$123001|44528$123006|774</t>
        </is>
      </c>
      <c r="J1376" s="26" t="inlineStr">
        <is>
          <t>造成六段伤害，每段伤害为[0]%</t>
        </is>
      </c>
      <c r="K1376" s="18" t="n">
        <v>52</v>
      </c>
    </row>
    <row r="1377">
      <c r="B1377" s="18" t="n">
        <v>11374</v>
      </c>
      <c r="C1377" s="32" t="inlineStr">
        <is>
          <t>110009</t>
        </is>
      </c>
      <c r="D1377" s="26" t="inlineStr">
        <is>
          <t>罡气冲击</t>
        </is>
      </c>
      <c r="E1377" s="18" t="inlineStr">
        <is>
          <t>23</t>
        </is>
      </c>
      <c r="F1377" s="18" t="inlineStr">
        <is>
          <t>-46.6666666666667|-46.6666666666667|-46.6666666666667|-46.6666666666667|-46.6666666666667|-46.6666666666667</t>
        </is>
      </c>
      <c r="G1377" s="20" t="inlineStr">
        <is>
          <t>10001|79350$123001|48668$123006|827</t>
        </is>
      </c>
      <c r="J1377" s="26" t="inlineStr">
        <is>
          <t>造成六段伤害，每段伤害为[0]%</t>
        </is>
      </c>
      <c r="K1377" s="18" t="n">
        <v>53</v>
      </c>
    </row>
    <row r="1378">
      <c r="B1378" s="18" t="n">
        <v>11375</v>
      </c>
      <c r="C1378" s="32" t="inlineStr">
        <is>
          <t>110009</t>
        </is>
      </c>
      <c r="D1378" s="26" t="inlineStr">
        <is>
          <t>罡气冲击</t>
        </is>
      </c>
      <c r="E1378" s="18" t="inlineStr">
        <is>
          <t>24</t>
        </is>
      </c>
      <c r="F1378" s="18" t="inlineStr">
        <is>
          <t>-45|-45|-45|-45|-45|-45</t>
        </is>
      </c>
      <c r="G1378" s="20" t="inlineStr">
        <is>
          <t>10001|86400$123001|52992$123006|882</t>
        </is>
      </c>
      <c r="J1378" s="26" t="inlineStr">
        <is>
          <t>造成六段伤害，每段伤害为[0]%</t>
        </is>
      </c>
      <c r="K1378" s="18" t="n">
        <v>55</v>
      </c>
    </row>
    <row r="1379">
      <c r="B1379" s="18" t="n">
        <v>11376</v>
      </c>
      <c r="C1379" s="32" t="inlineStr">
        <is>
          <t>110009</t>
        </is>
      </c>
      <c r="D1379" s="26" t="inlineStr">
        <is>
          <t>罡气冲击</t>
        </is>
      </c>
      <c r="E1379" s="18" t="inlineStr">
        <is>
          <t>25</t>
        </is>
      </c>
      <c r="F1379" s="18" t="inlineStr">
        <is>
          <t>-43.3333333333333|-43.3333333333333|-43.3333333333333|-43.3333333333333|-43.3333333333333|-43.3333333333333</t>
        </is>
      </c>
      <c r="G1379" s="20" t="inlineStr">
        <is>
          <t>10001|93750$123001|57500$123006|938</t>
        </is>
      </c>
      <c r="J1379" s="26" t="inlineStr">
        <is>
          <t>造成六段伤害，每段伤害为[0]%</t>
        </is>
      </c>
      <c r="K1379" s="18" t="n">
        <v>57</v>
      </c>
    </row>
    <row r="1380">
      <c r="B1380" s="18" t="n">
        <v>11377</v>
      </c>
      <c r="C1380" s="32" t="inlineStr">
        <is>
          <t>110009</t>
        </is>
      </c>
      <c r="D1380" s="26" t="inlineStr">
        <is>
          <t>罡气冲击</t>
        </is>
      </c>
      <c r="E1380" s="18" t="inlineStr">
        <is>
          <t>26</t>
        </is>
      </c>
      <c r="F1380" s="18" t="inlineStr">
        <is>
          <t>-41.6666666666667|-41.6666666666667|-41.6666666666667|-41.6666666666667|-41.6666666666667|-41.6666666666667</t>
        </is>
      </c>
      <c r="G1380" s="20" t="inlineStr">
        <is>
          <t>10001|101400$123001|62192$123006|994</t>
        </is>
      </c>
      <c r="J1380" s="26" t="inlineStr">
        <is>
          <t>造成六段伤害，每段伤害为[0]%</t>
        </is>
      </c>
      <c r="K1380" s="18" t="n">
        <v>58</v>
      </c>
    </row>
    <row r="1381">
      <c r="B1381" s="18" t="n">
        <v>11378</v>
      </c>
      <c r="C1381" s="32" t="inlineStr">
        <is>
          <t>110009</t>
        </is>
      </c>
      <c r="D1381" s="26" t="inlineStr">
        <is>
          <t>罡气冲击</t>
        </is>
      </c>
      <c r="E1381" s="18" t="inlineStr">
        <is>
          <t>27</t>
        </is>
      </c>
      <c r="F1381" s="18" t="inlineStr">
        <is>
          <t>-40|-40|-40|-40|-40|-40</t>
        </is>
      </c>
      <c r="G1381" s="20" t="inlineStr">
        <is>
          <t>10001|109350$123001|67068$123006|1052</t>
        </is>
      </c>
      <c r="J1381" s="26" t="inlineStr">
        <is>
          <t>造成六段伤害，每段伤害为[0]%</t>
        </is>
      </c>
      <c r="K1381" s="18" t="n">
        <v>60</v>
      </c>
    </row>
    <row r="1382">
      <c r="B1382" s="18" t="n">
        <v>11379</v>
      </c>
      <c r="C1382" s="32" t="inlineStr">
        <is>
          <t>110009</t>
        </is>
      </c>
      <c r="D1382" s="26" t="inlineStr">
        <is>
          <t>罡气冲击</t>
        </is>
      </c>
      <c r="E1382" s="18" t="inlineStr">
        <is>
          <t>28</t>
        </is>
      </c>
      <c r="F1382" s="18" t="inlineStr">
        <is>
          <t>-38.3333333333333|-38.3333333333333|-38.3333333333333|-38.3333333333333|-38.3333333333333|-38.3333333333333</t>
        </is>
      </c>
      <c r="G1382" s="20" t="inlineStr">
        <is>
          <t>10001|117600$123001|72128$123006|1111</t>
        </is>
      </c>
      <c r="J1382" s="26" t="inlineStr">
        <is>
          <t>造成六段伤害，每段伤害为[0]%</t>
        </is>
      </c>
      <c r="K1382" s="18" t="n">
        <v>62</v>
      </c>
    </row>
    <row r="1383">
      <c r="B1383" s="18" t="n">
        <v>11380</v>
      </c>
      <c r="C1383" s="32" t="inlineStr">
        <is>
          <t>110009</t>
        </is>
      </c>
      <c r="D1383" s="26" t="inlineStr">
        <is>
          <t>罡气冲击</t>
        </is>
      </c>
      <c r="E1383" s="18" t="inlineStr">
        <is>
          <t>29</t>
        </is>
      </c>
      <c r="F1383" s="18" t="inlineStr">
        <is>
          <t>-36.6666666666667|-36.6666666666667|-36.6666666666667|-36.6666666666667|-36.6666666666667|-36.6666666666667</t>
        </is>
      </c>
      <c r="G1383" s="20" t="inlineStr">
        <is>
          <t>10001|126150$123001|77372$123006|1171</t>
        </is>
      </c>
      <c r="J1383" s="26" t="inlineStr">
        <is>
          <t>造成六段伤害，每段伤害为[0]%</t>
        </is>
      </c>
      <c r="K1383" s="18" t="n">
        <v>63</v>
      </c>
    </row>
    <row r="1384">
      <c r="B1384" s="18" t="n">
        <v>11381</v>
      </c>
      <c r="C1384" s="32" t="inlineStr">
        <is>
          <t>110009</t>
        </is>
      </c>
      <c r="D1384" s="26" t="inlineStr">
        <is>
          <t>罡气冲击</t>
        </is>
      </c>
      <c r="E1384" s="18" t="inlineStr">
        <is>
          <t>30</t>
        </is>
      </c>
      <c r="F1384" s="18" t="inlineStr">
        <is>
          <t>-35|-35|-35|-35|-35|-35</t>
        </is>
      </c>
      <c r="G1384" s="20" t="inlineStr">
        <is>
          <t>10001|135000$124001|82800$124006|1232</t>
        </is>
      </c>
      <c r="J1384" s="26" t="inlineStr">
        <is>
          <t>造成六段伤害，每段伤害为[0]%</t>
        </is>
      </c>
      <c r="K1384" s="18" t="n">
        <v>65</v>
      </c>
    </row>
    <row r="1385">
      <c r="B1385" s="18" t="n">
        <v>11382</v>
      </c>
      <c r="C1385" s="32" t="inlineStr">
        <is>
          <t>110009</t>
        </is>
      </c>
      <c r="D1385" s="26" t="inlineStr">
        <is>
          <t>罡气冲击</t>
        </is>
      </c>
      <c r="E1385" s="18" t="inlineStr">
        <is>
          <t>31</t>
        </is>
      </c>
      <c r="F1385" s="18" t="inlineStr">
        <is>
          <t>-33.3333333333333|-33.3333333333333|-33.3333333333333|-33.3333333333333|-33.3333333333333|-33.3333333333333</t>
        </is>
      </c>
      <c r="G1385" s="20" t="inlineStr">
        <is>
          <t>10001|144150$124001|88412$124006|1295</t>
        </is>
      </c>
      <c r="J1385" s="26" t="inlineStr">
        <is>
          <t>造成六段伤害，每段伤害为[0]%</t>
        </is>
      </c>
      <c r="K1385" s="18" t="n">
        <v>67</v>
      </c>
    </row>
    <row r="1386">
      <c r="B1386" s="18" t="n">
        <v>11383</v>
      </c>
      <c r="C1386" s="32" t="inlineStr">
        <is>
          <t>110009</t>
        </is>
      </c>
      <c r="D1386" s="26" t="inlineStr">
        <is>
          <t>罡气冲击</t>
        </is>
      </c>
      <c r="E1386" s="18" t="inlineStr">
        <is>
          <t>32</t>
        </is>
      </c>
      <c r="F1386" s="18" t="inlineStr">
        <is>
          <t>-31.6666666666667|-31.6666666666667|-31.6666666666667|-31.6666666666667|-31.6666666666667|-31.6666666666667</t>
        </is>
      </c>
      <c r="G1386" s="20" t="inlineStr">
        <is>
          <t>10001|153600$124001|94208$124006|1358</t>
        </is>
      </c>
      <c r="J1386" s="26" t="inlineStr">
        <is>
          <t>造成六段伤害，每段伤害为[0]%</t>
        </is>
      </c>
      <c r="K1386" s="18" t="n">
        <v>68</v>
      </c>
    </row>
    <row r="1387">
      <c r="B1387" s="18" t="n">
        <v>11384</v>
      </c>
      <c r="C1387" s="32" t="inlineStr">
        <is>
          <t>110009</t>
        </is>
      </c>
      <c r="D1387" s="26" t="inlineStr">
        <is>
          <t>罡气冲击</t>
        </is>
      </c>
      <c r="E1387" s="18" t="inlineStr">
        <is>
          <t>33</t>
        </is>
      </c>
      <c r="F1387" s="18" t="inlineStr">
        <is>
          <t>-30|-30|-30|-30|-30|-30</t>
        </is>
      </c>
      <c r="G1387" s="20" t="inlineStr">
        <is>
          <t>10001|163350$124001|100188$124006|1422</t>
        </is>
      </c>
      <c r="J1387" s="26" t="inlineStr">
        <is>
          <t>造成六段伤害，每段伤害为[0]%</t>
        </is>
      </c>
      <c r="K1387" s="18" t="n">
        <v>70</v>
      </c>
    </row>
    <row r="1388">
      <c r="B1388" s="18" t="n">
        <v>11385</v>
      </c>
      <c r="C1388" s="32" t="inlineStr">
        <is>
          <t>110009</t>
        </is>
      </c>
      <c r="D1388" s="26" t="inlineStr">
        <is>
          <t>罡气冲击</t>
        </is>
      </c>
      <c r="E1388" s="18" t="inlineStr">
        <is>
          <t>34</t>
        </is>
      </c>
      <c r="F1388" s="18" t="inlineStr">
        <is>
          <t>-28.3333333333333|-28.3333333333333|-28.3333333333333|-28.3333333333333|-28.3333333333333|-28.3333333333333</t>
        </is>
      </c>
      <c r="G1388" s="20" t="inlineStr">
        <is>
          <t>10001|173400$124001|106352$124006|1487</t>
        </is>
      </c>
      <c r="J1388" s="26" t="inlineStr">
        <is>
          <t>造成六段伤害，每段伤害为[0]%</t>
        </is>
      </c>
      <c r="K1388" s="18" t="n">
        <v>72</v>
      </c>
    </row>
    <row r="1389">
      <c r="B1389" s="18" t="n">
        <v>11386</v>
      </c>
      <c r="C1389" s="32" t="inlineStr">
        <is>
          <t>110009</t>
        </is>
      </c>
      <c r="D1389" s="26" t="inlineStr">
        <is>
          <t>罡气冲击</t>
        </is>
      </c>
      <c r="E1389" s="18" t="inlineStr">
        <is>
          <t>35</t>
        </is>
      </c>
      <c r="F1389" s="18" t="inlineStr">
        <is>
          <t>-26.6666666666667|-26.6666666666667|-26.6666666666667|-26.6666666666667|-26.6666666666667|-26.6666666666667</t>
        </is>
      </c>
      <c r="G1389" s="20" t="inlineStr">
        <is>
          <t>10001|183750$124001|112700$124006|1553</t>
        </is>
      </c>
      <c r="J1389" s="26" t="inlineStr">
        <is>
          <t>造成六段伤害，每段伤害为[0]%</t>
        </is>
      </c>
      <c r="K1389" s="18" t="n">
        <v>73</v>
      </c>
    </row>
    <row r="1390">
      <c r="B1390" s="18" t="n">
        <v>11387</v>
      </c>
      <c r="C1390" s="32" t="inlineStr">
        <is>
          <t>110009</t>
        </is>
      </c>
      <c r="D1390" s="26" t="inlineStr">
        <is>
          <t>罡气冲击</t>
        </is>
      </c>
      <c r="E1390" s="18" t="inlineStr">
        <is>
          <t>36</t>
        </is>
      </c>
      <c r="F1390" s="18" t="inlineStr">
        <is>
          <t>-25|-25|-25|-25|-25|-25</t>
        </is>
      </c>
      <c r="G1390" s="20" t="inlineStr">
        <is>
          <t>10001|194400$124001|119232$124006|1620</t>
        </is>
      </c>
      <c r="J1390" s="26" t="inlineStr">
        <is>
          <t>造成六段伤害，每段伤害为[0]%</t>
        </is>
      </c>
      <c r="K1390" s="18" t="n">
        <v>75</v>
      </c>
    </row>
    <row r="1391">
      <c r="B1391" s="18" t="n">
        <v>11388</v>
      </c>
      <c r="C1391" s="32" t="inlineStr">
        <is>
          <t>110009</t>
        </is>
      </c>
      <c r="D1391" s="26" t="inlineStr">
        <is>
          <t>罡气冲击</t>
        </is>
      </c>
      <c r="E1391" s="18" t="inlineStr">
        <is>
          <t>37</t>
        </is>
      </c>
      <c r="F1391" s="18" t="inlineStr">
        <is>
          <t>-23.3333333333333|-23.3333333333333|-23.3333333333333|-23.3333333333333|-23.3333333333333|-23.3333333333333</t>
        </is>
      </c>
      <c r="G1391" s="20" t="inlineStr">
        <is>
          <t>10001|205350$124001|125948$124006|1688</t>
        </is>
      </c>
      <c r="J1391" s="26" t="inlineStr">
        <is>
          <t>造成六段伤害，每段伤害为[0]%</t>
        </is>
      </c>
      <c r="K1391" s="18" t="n">
        <v>77</v>
      </c>
    </row>
    <row r="1392">
      <c r="B1392" s="18" t="n">
        <v>11389</v>
      </c>
      <c r="C1392" s="32" t="inlineStr">
        <is>
          <t>110009</t>
        </is>
      </c>
      <c r="D1392" s="26" t="inlineStr">
        <is>
          <t>罡气冲击</t>
        </is>
      </c>
      <c r="E1392" s="18" t="inlineStr">
        <is>
          <t>38</t>
        </is>
      </c>
      <c r="F1392" s="18" t="inlineStr">
        <is>
          <t>-21.6666666666667|-21.6666666666667|-21.6666666666667|-21.6666666666667|-21.6666666666667|-21.6666666666667</t>
        </is>
      </c>
      <c r="G1392" s="20" t="inlineStr">
        <is>
          <t>10001|216600$124001|132848$124006|1757</t>
        </is>
      </c>
      <c r="J1392" s="26" t="inlineStr">
        <is>
          <t>造成六段伤害，每段伤害为[0]%</t>
        </is>
      </c>
      <c r="K1392" s="18" t="n">
        <v>78</v>
      </c>
    </row>
    <row r="1393">
      <c r="B1393" s="18" t="n">
        <v>11390</v>
      </c>
      <c r="C1393" s="32" t="inlineStr">
        <is>
          <t>110009</t>
        </is>
      </c>
      <c r="D1393" s="26" t="inlineStr">
        <is>
          <t>罡气冲击</t>
        </is>
      </c>
      <c r="E1393" s="18" t="inlineStr">
        <is>
          <t>39</t>
        </is>
      </c>
      <c r="F1393" s="18" t="inlineStr">
        <is>
          <t>-20|-20|-20|-20|-20|-20</t>
        </is>
      </c>
      <c r="G1393" s="20" t="inlineStr">
        <is>
          <t>10001|228150$124001|139932$124006|1827</t>
        </is>
      </c>
      <c r="J1393" s="26" t="inlineStr">
        <is>
          <t>造成六段伤害，每段伤害为[0]%</t>
        </is>
      </c>
      <c r="K1393" s="18" t="n">
        <v>80</v>
      </c>
    </row>
    <row r="1394">
      <c r="B1394" s="18" t="n">
        <v>11391</v>
      </c>
      <c r="C1394" s="32" t="inlineStr">
        <is>
          <t>110009</t>
        </is>
      </c>
      <c r="D1394" s="26" t="inlineStr">
        <is>
          <t>罡气冲击</t>
        </is>
      </c>
      <c r="E1394" s="18" t="inlineStr">
        <is>
          <t>40</t>
        </is>
      </c>
      <c r="F1394" s="18" t="inlineStr">
        <is>
          <t>-18.3333333333333|-18.3333333333333|-18.3333333333333|-18.3333333333333|-18.3333333333333|-18.3333333333333</t>
        </is>
      </c>
      <c r="G1394" s="20" t="inlineStr">
        <is>
          <t>10001|240000$125001|147200$125006|1897</t>
        </is>
      </c>
      <c r="J1394" s="26" t="inlineStr">
        <is>
          <t>造成六段伤害，每段伤害为[0]%</t>
        </is>
      </c>
      <c r="K1394" s="18" t="n">
        <v>82</v>
      </c>
    </row>
    <row r="1395">
      <c r="B1395" s="18" t="n">
        <v>11392</v>
      </c>
      <c r="C1395" s="32" t="inlineStr">
        <is>
          <t>110009</t>
        </is>
      </c>
      <c r="D1395" s="26" t="inlineStr">
        <is>
          <t>罡气冲击</t>
        </is>
      </c>
      <c r="E1395" s="18" t="inlineStr">
        <is>
          <t>41</t>
        </is>
      </c>
      <c r="F1395" s="18" t="inlineStr">
        <is>
          <t>-16.6666666666667|-16.6666666666667|-16.6666666666667|-16.6666666666667|-16.6666666666667|-16.6666666666667</t>
        </is>
      </c>
      <c r="G1395" s="20" t="inlineStr">
        <is>
          <t>10001|252150$125001|154652$125006|1969</t>
        </is>
      </c>
      <c r="J1395" s="26" t="inlineStr">
        <is>
          <t>造成六段伤害，每段伤害为[0]%</t>
        </is>
      </c>
      <c r="K1395" s="18" t="n">
        <v>83</v>
      </c>
    </row>
    <row r="1396">
      <c r="B1396" s="18" t="n">
        <v>11393</v>
      </c>
      <c r="C1396" s="32" t="inlineStr">
        <is>
          <t>110009</t>
        </is>
      </c>
      <c r="D1396" s="26" t="inlineStr">
        <is>
          <t>罡气冲击</t>
        </is>
      </c>
      <c r="E1396" s="18" t="inlineStr">
        <is>
          <t>42</t>
        </is>
      </c>
      <c r="F1396" s="18" t="inlineStr">
        <is>
          <t>-15|-15|-15|-15|-15|-15</t>
        </is>
      </c>
      <c r="G1396" s="20" t="inlineStr">
        <is>
          <t>10001|264600$125001|162288$125006|2041</t>
        </is>
      </c>
      <c r="J1396" s="26" t="inlineStr">
        <is>
          <t>造成六段伤害，每段伤害为[0]%</t>
        </is>
      </c>
      <c r="K1396" s="18" t="n">
        <v>85</v>
      </c>
    </row>
    <row r="1397">
      <c r="B1397" s="18" t="n">
        <v>11394</v>
      </c>
      <c r="C1397" s="32" t="inlineStr">
        <is>
          <t>110009</t>
        </is>
      </c>
      <c r="D1397" s="26" t="inlineStr">
        <is>
          <t>罡气冲击</t>
        </is>
      </c>
      <c r="E1397" s="18" t="inlineStr">
        <is>
          <t>43</t>
        </is>
      </c>
      <c r="F1397" s="18" t="inlineStr">
        <is>
          <t>-13.3333333333333|-13.3333333333333|-13.3333333333333|-13.3333333333333|-13.3333333333333|-13.3333333333333</t>
        </is>
      </c>
      <c r="G1397" s="20" t="inlineStr">
        <is>
          <t>10001|277350$125001|170108$125006|2115</t>
        </is>
      </c>
      <c r="J1397" s="26" t="inlineStr">
        <is>
          <t>造成六段伤害，每段伤害为[0]%</t>
        </is>
      </c>
      <c r="K1397" s="18" t="n">
        <v>87</v>
      </c>
    </row>
    <row r="1398">
      <c r="B1398" s="18" t="n">
        <v>11395</v>
      </c>
      <c r="C1398" s="32" t="inlineStr">
        <is>
          <t>110009</t>
        </is>
      </c>
      <c r="D1398" s="26" t="inlineStr">
        <is>
          <t>罡气冲击</t>
        </is>
      </c>
      <c r="E1398" s="18" t="inlineStr">
        <is>
          <t>44</t>
        </is>
      </c>
      <c r="F1398" s="18" t="inlineStr">
        <is>
          <t>-11.6666666666667|-11.6666666666667|-11.6666666666667|-11.6666666666667|-11.6666666666667|-11.6666666666667</t>
        </is>
      </c>
      <c r="G1398" s="20" t="inlineStr">
        <is>
          <t>10001|290400$125001|178112$125006|2189</t>
        </is>
      </c>
      <c r="J1398" s="26" t="inlineStr">
        <is>
          <t>造成六段伤害，每段伤害为[0]%</t>
        </is>
      </c>
      <c r="K1398" s="18" t="n">
        <v>88</v>
      </c>
    </row>
    <row r="1399">
      <c r="B1399" s="18" t="n">
        <v>11396</v>
      </c>
      <c r="C1399" s="32" t="inlineStr">
        <is>
          <t>110009</t>
        </is>
      </c>
      <c r="D1399" s="26" t="inlineStr">
        <is>
          <t>罡气冲击</t>
        </is>
      </c>
      <c r="E1399" s="18" t="inlineStr">
        <is>
          <t>45</t>
        </is>
      </c>
      <c r="F1399" s="18" t="inlineStr">
        <is>
          <t>-10|-10|-10|-10|-10|-10</t>
        </is>
      </c>
      <c r="G1399" s="20" t="inlineStr">
        <is>
          <t>10001|303750$125001|186300$125006|2264</t>
        </is>
      </c>
      <c r="J1399" s="26" t="inlineStr">
        <is>
          <t>造成六段伤害，每段伤害为[0]%</t>
        </is>
      </c>
      <c r="K1399" s="18" t="n">
        <v>90</v>
      </c>
    </row>
    <row r="1400">
      <c r="B1400" s="18" t="n">
        <v>11397</v>
      </c>
      <c r="C1400" s="32" t="inlineStr">
        <is>
          <t>110009</t>
        </is>
      </c>
      <c r="D1400" s="26" t="inlineStr">
        <is>
          <t>罡气冲击</t>
        </is>
      </c>
      <c r="E1400" s="18" t="inlineStr">
        <is>
          <t>46</t>
        </is>
      </c>
      <c r="F1400" s="18" t="inlineStr">
        <is>
          <t>-8.33333333333334|-8.33333333333334|-8.33333333333334|-8.33333333333334|-8.33333333333334|-8.33333333333334</t>
        </is>
      </c>
      <c r="G1400" s="20" t="inlineStr">
        <is>
          <t>10001|317400$125001|194672$125006|2340</t>
        </is>
      </c>
      <c r="J1400" s="26" t="inlineStr">
        <is>
          <t>造成六段伤害，每段伤害为[0]%</t>
        </is>
      </c>
      <c r="K1400" s="18" t="n">
        <v>92</v>
      </c>
    </row>
    <row r="1401">
      <c r="B1401" s="18" t="n">
        <v>11398</v>
      </c>
      <c r="C1401" s="32" t="inlineStr">
        <is>
          <t>110009</t>
        </is>
      </c>
      <c r="D1401" s="26" t="inlineStr">
        <is>
          <t>罡气冲击</t>
        </is>
      </c>
      <c r="E1401" s="18" t="inlineStr">
        <is>
          <t>47</t>
        </is>
      </c>
      <c r="F1401" s="18" t="inlineStr">
        <is>
          <t>-6.66666666666668|-6.66666666666668|-6.66666666666668|-6.66666666666668|-6.66666666666668|-6.66666666666668</t>
        </is>
      </c>
      <c r="G1401" s="20" t="inlineStr">
        <is>
          <t>10001|331350$125001|203228$125006|2417</t>
        </is>
      </c>
      <c r="J1401" s="26" t="inlineStr">
        <is>
          <t>造成六段伤害，每段伤害为[0]%</t>
        </is>
      </c>
      <c r="K1401" s="18" t="n">
        <v>93</v>
      </c>
    </row>
    <row r="1402">
      <c r="B1402" s="18" t="n">
        <v>11399</v>
      </c>
      <c r="C1402" s="32" t="inlineStr">
        <is>
          <t>110009</t>
        </is>
      </c>
      <c r="D1402" s="26" t="inlineStr">
        <is>
          <t>罡气冲击</t>
        </is>
      </c>
      <c r="E1402" s="18" t="inlineStr">
        <is>
          <t>48</t>
        </is>
      </c>
      <c r="F1402" s="18" t="inlineStr">
        <is>
          <t>-4.99999999999999|-4.99999999999999|-4.99999999999999|-4.99999999999999|-4.99999999999999|-4.99999999999999</t>
        </is>
      </c>
      <c r="G1402" s="20" t="inlineStr">
        <is>
          <t>10001|345600$125001|211968$125006|2494</t>
        </is>
      </c>
      <c r="J1402" s="26" t="inlineStr">
        <is>
          <t>造成六段伤害，每段伤害为[0]%</t>
        </is>
      </c>
      <c r="K1402" s="18" t="n">
        <v>95</v>
      </c>
    </row>
    <row r="1403" customFormat="1" s="41">
      <c r="B1403" s="18" t="n">
        <v>11400</v>
      </c>
      <c r="C1403" s="32" t="inlineStr">
        <is>
          <t>110009</t>
        </is>
      </c>
      <c r="D1403" s="26" t="inlineStr">
        <is>
          <t>罡气冲击</t>
        </is>
      </c>
      <c r="E1403" s="18" t="inlineStr">
        <is>
          <t>49</t>
        </is>
      </c>
      <c r="F1403" s="18" t="inlineStr">
        <is>
          <t>-3.33333333333333|-3.33333333333333|-3.33333333333333|-3.33333333333333|-3.33333333333333|-3.33333333333333</t>
        </is>
      </c>
      <c r="G1403" s="20" t="inlineStr">
        <is>
          <t>10001|360150$125001|220892$125006|2573</t>
        </is>
      </c>
      <c r="J1403" s="26" t="inlineStr">
        <is>
          <t>造成六段伤害，每段伤害为[0]%</t>
        </is>
      </c>
      <c r="K1403" s="18" t="n">
        <v>97</v>
      </c>
    </row>
    <row r="1404" customFormat="1" s="41">
      <c r="B1404" s="18" t="n">
        <v>11401</v>
      </c>
      <c r="C1404" s="32" t="inlineStr">
        <is>
          <t>110009</t>
        </is>
      </c>
      <c r="D1404" s="26" t="inlineStr">
        <is>
          <t>罡气冲击</t>
        </is>
      </c>
      <c r="E1404" s="18" t="inlineStr">
        <is>
          <t>50</t>
        </is>
      </c>
      <c r="F1404" s="18" t="inlineStr">
        <is>
          <t>-1.66666666666666|-1.66666666666666|-1.66666666666666|-1.66666666666666|-1.66666666666666|-1.66666666666666</t>
        </is>
      </c>
      <c r="G1404" s="20" t="inlineStr">
        <is>
          <t>10001|375000$125001|230000$125006|2652</t>
        </is>
      </c>
      <c r="J1404" s="26" t="inlineStr">
        <is>
          <t>造成六段伤害，每段伤害为[0]%</t>
        </is>
      </c>
      <c r="K1404" s="18" t="n">
        <v>98</v>
      </c>
    </row>
    <row r="1405" customFormat="1" s="41">
      <c r="B1405" s="41" t="n">
        <v>11402</v>
      </c>
      <c r="C1405" s="47" t="inlineStr">
        <is>
          <t>110010</t>
        </is>
      </c>
      <c r="D1405" s="48" t="inlineStr">
        <is>
          <t>天罡气劲</t>
        </is>
      </c>
      <c r="F1405" s="42" t="n">
        <v>50</v>
      </c>
      <c r="G1405" s="41" t="inlineStr">
        <is>
          <t>10001|150$121001|92$121006|8</t>
        </is>
      </c>
      <c r="J1405" s="42" t="inlineStr">
        <is>
          <t>造成一段[0]%伤害</t>
        </is>
      </c>
      <c r="K1405" s="41" t="n">
        <v>150</v>
      </c>
    </row>
    <row r="1406" customFormat="1" s="41">
      <c r="B1406" s="41" t="n">
        <v>11403</v>
      </c>
      <c r="C1406" s="47" t="inlineStr">
        <is>
          <t>110010</t>
        </is>
      </c>
      <c r="D1406" s="48" t="inlineStr">
        <is>
          <t>天罡气劲</t>
        </is>
      </c>
      <c r="F1406" s="42" t="n">
        <v>64.99999999999999</v>
      </c>
      <c r="G1406" s="41" t="inlineStr">
        <is>
          <t>10001|600$121001|368$121006|21</t>
        </is>
      </c>
      <c r="J1406" s="42" t="inlineStr">
        <is>
          <t>造成一段[0]%伤害</t>
        </is>
      </c>
      <c r="K1406" s="41" t="n">
        <v>165</v>
      </c>
    </row>
    <row r="1407" customFormat="1" s="41">
      <c r="B1407" s="41" t="n">
        <v>11404</v>
      </c>
      <c r="C1407" s="47" t="inlineStr">
        <is>
          <t>110010</t>
        </is>
      </c>
      <c r="D1407" s="48" t="inlineStr">
        <is>
          <t>天罡气劲</t>
        </is>
      </c>
      <c r="F1407" s="42" t="n">
        <v>80</v>
      </c>
      <c r="G1407" s="41" t="inlineStr">
        <is>
          <t>10001|1350$121001|828$121006|39</t>
        </is>
      </c>
      <c r="J1407" s="42" t="inlineStr">
        <is>
          <t>造成一段[0]%伤害</t>
        </is>
      </c>
      <c r="K1407" s="41" t="n">
        <v>180</v>
      </c>
    </row>
    <row r="1408" customFormat="1" s="41">
      <c r="B1408" s="41" t="n">
        <v>11405</v>
      </c>
      <c r="C1408" s="47" t="inlineStr">
        <is>
          <t>110010</t>
        </is>
      </c>
      <c r="D1408" s="48" t="inlineStr">
        <is>
          <t>天罡气劲</t>
        </is>
      </c>
      <c r="F1408" s="42" t="n">
        <v>95</v>
      </c>
      <c r="G1408" s="41" t="inlineStr">
        <is>
          <t>10001|2400$121001|1472$121006|60</t>
        </is>
      </c>
      <c r="J1408" s="42" t="inlineStr">
        <is>
          <t>造成一段[0]%伤害</t>
        </is>
      </c>
      <c r="K1408" s="41" t="n">
        <v>195</v>
      </c>
    </row>
    <row r="1409" customFormat="1" s="41">
      <c r="B1409" s="41" t="n">
        <v>11406</v>
      </c>
      <c r="C1409" s="47" t="inlineStr">
        <is>
          <t>110010</t>
        </is>
      </c>
      <c r="D1409" s="48" t="inlineStr">
        <is>
          <t>天罡气劲</t>
        </is>
      </c>
      <c r="F1409" s="42" t="n">
        <v>110</v>
      </c>
      <c r="G1409" s="41" t="inlineStr">
        <is>
          <t>10001|3750$121001|2300$121006|84</t>
        </is>
      </c>
      <c r="J1409" s="42" t="inlineStr">
        <is>
          <t>造成一段[0]%伤害</t>
        </is>
      </c>
      <c r="K1409" s="41" t="n">
        <v>210</v>
      </c>
    </row>
    <row r="1410" customFormat="1" s="41">
      <c r="B1410" s="41" t="n">
        <v>11407</v>
      </c>
      <c r="C1410" s="47" t="inlineStr">
        <is>
          <t>110010</t>
        </is>
      </c>
      <c r="D1410" s="48" t="inlineStr">
        <is>
          <t>天罡气劲</t>
        </is>
      </c>
      <c r="F1410" s="42" t="n">
        <v>125</v>
      </c>
      <c r="G1410" s="41" t="inlineStr">
        <is>
          <t>10001|5400$121001|3312$121006|110</t>
        </is>
      </c>
      <c r="J1410" s="42" t="inlineStr">
        <is>
          <t>造成一段[0]%伤害</t>
        </is>
      </c>
      <c r="K1410" s="41" t="n">
        <v>225</v>
      </c>
    </row>
    <row r="1411" customFormat="1" s="41">
      <c r="B1411" s="41" t="n">
        <v>11408</v>
      </c>
      <c r="C1411" s="47" t="inlineStr">
        <is>
          <t>110010</t>
        </is>
      </c>
      <c r="D1411" s="48" t="inlineStr">
        <is>
          <t>天罡气劲</t>
        </is>
      </c>
      <c r="F1411" s="42" t="n">
        <v>140</v>
      </c>
      <c r="G1411" s="41" t="inlineStr">
        <is>
          <t>10001|7350$121001|4508$121006|139</t>
        </is>
      </c>
      <c r="J1411" s="42" t="inlineStr">
        <is>
          <t>造成一段[0]%伤害</t>
        </is>
      </c>
      <c r="K1411" s="41" t="n">
        <v>240</v>
      </c>
    </row>
    <row r="1412" customFormat="1" s="41">
      <c r="B1412" s="41" t="n">
        <v>11409</v>
      </c>
      <c r="C1412" s="47" t="inlineStr">
        <is>
          <t>110010</t>
        </is>
      </c>
      <c r="D1412" s="48" t="inlineStr">
        <is>
          <t>天罡气劲</t>
        </is>
      </c>
      <c r="F1412" s="42" t="n">
        <v>155</v>
      </c>
      <c r="G1412" s="41" t="inlineStr">
        <is>
          <t>10001|9600$121001|5888$121006|170</t>
        </is>
      </c>
      <c r="J1412" s="42" t="inlineStr">
        <is>
          <t>造成一段[0]%伤害</t>
        </is>
      </c>
      <c r="K1412" s="41" t="n">
        <v>255</v>
      </c>
    </row>
    <row r="1413" customFormat="1" s="41">
      <c r="B1413" s="41" t="n">
        <v>11410</v>
      </c>
      <c r="C1413" s="47" t="inlineStr">
        <is>
          <t>110010</t>
        </is>
      </c>
      <c r="D1413" s="48" t="inlineStr">
        <is>
          <t>天罡气劲</t>
        </is>
      </c>
      <c r="F1413" s="42" t="n">
        <v>170</v>
      </c>
      <c r="G1413" s="41" t="inlineStr">
        <is>
          <t>10001|12150$121001|7452$121006|203</t>
        </is>
      </c>
      <c r="J1413" s="42" t="inlineStr">
        <is>
          <t>造成一段[0]%伤害</t>
        </is>
      </c>
      <c r="K1413" s="41" t="n">
        <v>270</v>
      </c>
    </row>
    <row r="1414" customFormat="1" s="41">
      <c r="B1414" s="41" t="n">
        <v>11411</v>
      </c>
      <c r="C1414" s="47" t="inlineStr">
        <is>
          <t>110010</t>
        </is>
      </c>
      <c r="D1414" s="48" t="inlineStr">
        <is>
          <t>天罡气劲</t>
        </is>
      </c>
      <c r="F1414" s="42" t="n">
        <v>185</v>
      </c>
      <c r="G1414" s="41" t="inlineStr">
        <is>
          <t>10001|15000$122001|9200$122006|237</t>
        </is>
      </c>
      <c r="J1414" s="42" t="inlineStr">
        <is>
          <t>造成一段[0]%伤害</t>
        </is>
      </c>
      <c r="K1414" s="41" t="n">
        <v>285</v>
      </c>
    </row>
    <row r="1415" customFormat="1" s="41">
      <c r="B1415" s="41" t="n">
        <v>11412</v>
      </c>
      <c r="C1415" s="47" t="inlineStr">
        <is>
          <t>110010</t>
        </is>
      </c>
      <c r="D1415" s="48" t="inlineStr">
        <is>
          <t>天罡气劲</t>
        </is>
      </c>
      <c r="F1415" s="42" t="n">
        <v>200</v>
      </c>
      <c r="G1415" s="41" t="inlineStr">
        <is>
          <t>10001|18150$122001|11132$122006|274</t>
        </is>
      </c>
      <c r="J1415" s="42" t="inlineStr">
        <is>
          <t>造成一段[0]%伤害</t>
        </is>
      </c>
      <c r="K1415" s="41" t="n">
        <v>300</v>
      </c>
    </row>
    <row r="1416" customFormat="1" s="41">
      <c r="B1416" s="41" t="n">
        <v>11413</v>
      </c>
      <c r="C1416" s="47" t="inlineStr">
        <is>
          <t>110010</t>
        </is>
      </c>
      <c r="D1416" s="48" t="inlineStr">
        <is>
          <t>天罡气劲</t>
        </is>
      </c>
      <c r="F1416" s="42" t="n">
        <v>215</v>
      </c>
      <c r="G1416" s="41" t="inlineStr">
        <is>
          <t>10001|21600$122001|13248$122006|312</t>
        </is>
      </c>
      <c r="J1416" s="42" t="inlineStr">
        <is>
          <t>造成一段[0]%伤害</t>
        </is>
      </c>
      <c r="K1416" s="41" t="n">
        <v>315</v>
      </c>
    </row>
    <row r="1417" customFormat="1" s="41">
      <c r="B1417" s="41" t="n">
        <v>11414</v>
      </c>
      <c r="C1417" s="47" t="inlineStr">
        <is>
          <t>110010</t>
        </is>
      </c>
      <c r="D1417" s="48" t="inlineStr">
        <is>
          <t>天罡气劲</t>
        </is>
      </c>
      <c r="F1417" s="42" t="n">
        <v>230</v>
      </c>
      <c r="G1417" s="41" t="inlineStr">
        <is>
          <t>10001|25350$122001|15548$122006|352</t>
        </is>
      </c>
      <c r="J1417" s="42" t="inlineStr">
        <is>
          <t>造成一段[0]%伤害</t>
        </is>
      </c>
      <c r="K1417" s="41" t="n">
        <v>330</v>
      </c>
    </row>
    <row r="1418" customFormat="1" s="41">
      <c r="B1418" s="41" t="n">
        <v>11415</v>
      </c>
      <c r="C1418" s="47" t="inlineStr">
        <is>
          <t>110010</t>
        </is>
      </c>
      <c r="D1418" s="48" t="inlineStr">
        <is>
          <t>天罡气劲</t>
        </is>
      </c>
      <c r="F1418" s="42" t="n">
        <v>245</v>
      </c>
      <c r="G1418" s="41" t="inlineStr">
        <is>
          <t>10001|29400$122001|18032$122006|393</t>
        </is>
      </c>
      <c r="J1418" s="42" t="inlineStr">
        <is>
          <t>造成一段[0]%伤害</t>
        </is>
      </c>
      <c r="K1418" s="41" t="n">
        <v>345</v>
      </c>
    </row>
    <row r="1419" customFormat="1" s="41">
      <c r="B1419" s="41" t="n">
        <v>11416</v>
      </c>
      <c r="C1419" s="47" t="inlineStr">
        <is>
          <t>110010</t>
        </is>
      </c>
      <c r="D1419" s="48" t="inlineStr">
        <is>
          <t>天罡气劲</t>
        </is>
      </c>
      <c r="F1419" s="42" t="n">
        <v>260</v>
      </c>
      <c r="G1419" s="41" t="inlineStr">
        <is>
          <t>10001|33750$122001|20700$122006|436</t>
        </is>
      </c>
      <c r="J1419" s="42" t="inlineStr">
        <is>
          <t>造成一段[0]%伤害</t>
        </is>
      </c>
      <c r="K1419" s="41" t="n">
        <v>360</v>
      </c>
    </row>
    <row r="1420" customFormat="1" s="41">
      <c r="B1420" s="41" t="n">
        <v>11417</v>
      </c>
      <c r="C1420" s="47" t="inlineStr">
        <is>
          <t>110010</t>
        </is>
      </c>
      <c r="D1420" s="48" t="inlineStr">
        <is>
          <t>天罡气劲</t>
        </is>
      </c>
      <c r="F1420" s="42" t="n">
        <v>275</v>
      </c>
      <c r="G1420" s="41" t="inlineStr">
        <is>
          <t>10001|38400$122001|23552$122006|480</t>
        </is>
      </c>
      <c r="J1420" s="42" t="inlineStr">
        <is>
          <t>造成一段[0]%伤害</t>
        </is>
      </c>
      <c r="K1420" s="41" t="n">
        <v>375</v>
      </c>
    </row>
    <row r="1421" customFormat="1" s="41">
      <c r="B1421" s="41" t="n">
        <v>11418</v>
      </c>
      <c r="C1421" s="47" t="inlineStr">
        <is>
          <t>110010</t>
        </is>
      </c>
      <c r="D1421" s="48" t="inlineStr">
        <is>
          <t>天罡气劲</t>
        </is>
      </c>
      <c r="F1421" s="42" t="n">
        <v>290</v>
      </c>
      <c r="G1421" s="41" t="inlineStr">
        <is>
          <t>10001|43350$122001|26588$122006|526</t>
        </is>
      </c>
      <c r="J1421" s="42" t="inlineStr">
        <is>
          <t>造成一段[0]%伤害</t>
        </is>
      </c>
      <c r="K1421" s="41" t="n">
        <v>390</v>
      </c>
    </row>
    <row r="1422" customFormat="1" s="41">
      <c r="B1422" s="41" t="n">
        <v>11419</v>
      </c>
      <c r="C1422" s="47" t="inlineStr">
        <is>
          <t>110010</t>
        </is>
      </c>
      <c r="D1422" s="48" t="inlineStr">
        <is>
          <t>天罡气劲</t>
        </is>
      </c>
      <c r="F1422" s="42" t="n">
        <v>305</v>
      </c>
      <c r="G1422" s="41" t="inlineStr">
        <is>
          <t>10001|48600$122001|29808$122006|573</t>
        </is>
      </c>
      <c r="J1422" s="42" t="inlineStr">
        <is>
          <t>造成一段[0]%伤害</t>
        </is>
      </c>
      <c r="K1422" s="41" t="n">
        <v>405</v>
      </c>
    </row>
    <row r="1423" customFormat="1" s="41">
      <c r="B1423" s="41" t="n">
        <v>11420</v>
      </c>
      <c r="C1423" s="47" t="inlineStr">
        <is>
          <t>110010</t>
        </is>
      </c>
      <c r="D1423" s="48" t="inlineStr">
        <is>
          <t>天罡气劲</t>
        </is>
      </c>
      <c r="F1423" s="42" t="n">
        <v>320</v>
      </c>
      <c r="G1423" s="41" t="inlineStr">
        <is>
          <t>10001|54150$122001|33212$122006|621</t>
        </is>
      </c>
      <c r="J1423" s="42" t="inlineStr">
        <is>
          <t>造成一段[0]%伤害</t>
        </is>
      </c>
      <c r="K1423" s="41" t="n">
        <v>420</v>
      </c>
    </row>
    <row r="1424" customFormat="1" s="41">
      <c r="B1424" s="41" t="n">
        <v>11421</v>
      </c>
      <c r="C1424" s="47" t="inlineStr">
        <is>
          <t>110010</t>
        </is>
      </c>
      <c r="D1424" s="48" t="inlineStr">
        <is>
          <t>天罡气劲</t>
        </is>
      </c>
      <c r="F1424" s="42" t="n">
        <v>334.9999999999999</v>
      </c>
      <c r="G1424" s="41" t="inlineStr">
        <is>
          <t>10001|60000$123001|36800$123006|671</t>
        </is>
      </c>
      <c r="J1424" s="42" t="inlineStr">
        <is>
          <t>造成一段[0]%伤害</t>
        </is>
      </c>
      <c r="K1424" s="41" t="n">
        <v>435</v>
      </c>
    </row>
    <row r="1425" customFormat="1" s="41">
      <c r="B1425" s="41" t="n">
        <v>11422</v>
      </c>
      <c r="C1425" s="47" t="inlineStr">
        <is>
          <t>110010</t>
        </is>
      </c>
      <c r="D1425" s="48" t="inlineStr">
        <is>
          <t>天罡气劲</t>
        </is>
      </c>
      <c r="F1425" s="42" t="n">
        <v>350</v>
      </c>
      <c r="G1425" s="41" t="inlineStr">
        <is>
          <t>10001|66150$123001|40572$123006|722</t>
        </is>
      </c>
      <c r="J1425" s="42" t="inlineStr">
        <is>
          <t>造成一段[0]%伤害</t>
        </is>
      </c>
      <c r="K1425" s="41" t="n">
        <v>450</v>
      </c>
    </row>
    <row r="1426" customFormat="1" s="41">
      <c r="B1426" s="41" t="n">
        <v>11423</v>
      </c>
      <c r="C1426" s="47" t="inlineStr">
        <is>
          <t>110010</t>
        </is>
      </c>
      <c r="D1426" s="48" t="inlineStr">
        <is>
          <t>天罡气劲</t>
        </is>
      </c>
      <c r="F1426" s="42" t="n">
        <v>365.0000000000001</v>
      </c>
      <c r="G1426" s="41" t="inlineStr">
        <is>
          <t>10001|72600$123001|44528$123006|774</t>
        </is>
      </c>
      <c r="J1426" s="42" t="inlineStr">
        <is>
          <t>造成一段[0]%伤害</t>
        </is>
      </c>
      <c r="K1426" s="41" t="n">
        <v>465</v>
      </c>
    </row>
    <row r="1427" customFormat="1" s="41">
      <c r="B1427" s="41" t="n">
        <v>11424</v>
      </c>
      <c r="C1427" s="47" t="inlineStr">
        <is>
          <t>110010</t>
        </is>
      </c>
      <c r="D1427" s="48" t="inlineStr">
        <is>
          <t>天罡气劲</t>
        </is>
      </c>
      <c r="F1427" s="42" t="n">
        <v>380</v>
      </c>
      <c r="G1427" s="41" t="inlineStr">
        <is>
          <t>10001|79350$123001|48668$123006|827</t>
        </is>
      </c>
      <c r="J1427" s="42" t="inlineStr">
        <is>
          <t>造成一段[0]%伤害</t>
        </is>
      </c>
      <c r="K1427" s="41" t="n">
        <v>480</v>
      </c>
    </row>
    <row r="1428" customFormat="1" s="41">
      <c r="B1428" s="41" t="n">
        <v>11425</v>
      </c>
      <c r="C1428" s="47" t="inlineStr">
        <is>
          <t>110010</t>
        </is>
      </c>
      <c r="D1428" s="48" t="inlineStr">
        <is>
          <t>天罡气劲</t>
        </is>
      </c>
      <c r="F1428" s="42" t="n">
        <v>395</v>
      </c>
      <c r="G1428" s="41" t="inlineStr">
        <is>
          <t>10001|86400$123001|52992$123006|882</t>
        </is>
      </c>
      <c r="J1428" s="42" t="inlineStr">
        <is>
          <t>造成一段[0]%伤害</t>
        </is>
      </c>
      <c r="K1428" s="41" t="n">
        <v>495</v>
      </c>
    </row>
    <row r="1429" customFormat="1" s="41">
      <c r="B1429" s="41" t="n">
        <v>11426</v>
      </c>
      <c r="C1429" s="47" t="inlineStr">
        <is>
          <t>110010</t>
        </is>
      </c>
      <c r="D1429" s="48" t="inlineStr">
        <is>
          <t>天罡气劲</t>
        </is>
      </c>
      <c r="F1429" s="42" t="n">
        <v>409.9999999999999</v>
      </c>
      <c r="G1429" s="41" t="inlineStr">
        <is>
          <t>10001|93750$123001|57500$123006|938</t>
        </is>
      </c>
      <c r="J1429" s="42" t="inlineStr">
        <is>
          <t>造成一段[0]%伤害</t>
        </is>
      </c>
      <c r="K1429" s="41" t="n">
        <v>510</v>
      </c>
    </row>
    <row r="1430" customFormat="1" s="41">
      <c r="B1430" s="41" t="n">
        <v>11427</v>
      </c>
      <c r="C1430" s="47" t="inlineStr">
        <is>
          <t>110010</t>
        </is>
      </c>
      <c r="D1430" s="48" t="inlineStr">
        <is>
          <t>天罡气劲</t>
        </is>
      </c>
      <c r="F1430" s="42" t="n">
        <v>425</v>
      </c>
      <c r="G1430" s="41" t="inlineStr">
        <is>
          <t>10001|101400$123001|62192$123006|994</t>
        </is>
      </c>
      <c r="J1430" s="42" t="inlineStr">
        <is>
          <t>造成一段[0]%伤害</t>
        </is>
      </c>
      <c r="K1430" s="41" t="n">
        <v>525</v>
      </c>
    </row>
    <row r="1431" customFormat="1" s="41">
      <c r="B1431" s="41" t="n">
        <v>11428</v>
      </c>
      <c r="C1431" s="47" t="inlineStr">
        <is>
          <t>110010</t>
        </is>
      </c>
      <c r="D1431" s="48" t="inlineStr">
        <is>
          <t>天罡气劲</t>
        </is>
      </c>
      <c r="F1431" s="42" t="n">
        <v>440.0000000000001</v>
      </c>
      <c r="G1431" s="41" t="inlineStr">
        <is>
          <t>10001|109350$123001|67068$123006|1052</t>
        </is>
      </c>
      <c r="J1431" s="42" t="inlineStr">
        <is>
          <t>造成一段[0]%伤害</t>
        </is>
      </c>
      <c r="K1431" s="41" t="n">
        <v>540</v>
      </c>
    </row>
    <row r="1432" customFormat="1" s="41">
      <c r="B1432" s="41" t="n">
        <v>11429</v>
      </c>
      <c r="C1432" s="47" t="inlineStr">
        <is>
          <t>110010</t>
        </is>
      </c>
      <c r="D1432" s="48" t="inlineStr">
        <is>
          <t>天罡气劲</t>
        </is>
      </c>
      <c r="F1432" s="42" t="n">
        <v>455</v>
      </c>
      <c r="G1432" s="41" t="inlineStr">
        <is>
          <t>10001|117600$123001|72128$123006|1111</t>
        </is>
      </c>
      <c r="J1432" s="42" t="inlineStr">
        <is>
          <t>造成一段[0]%伤害</t>
        </is>
      </c>
      <c r="K1432" s="41" t="n">
        <v>555</v>
      </c>
    </row>
    <row r="1433" customFormat="1" s="41">
      <c r="B1433" s="41" t="n">
        <v>11430</v>
      </c>
      <c r="C1433" s="47" t="inlineStr">
        <is>
          <t>110010</t>
        </is>
      </c>
      <c r="D1433" s="48" t="inlineStr">
        <is>
          <t>天罡气劲</t>
        </is>
      </c>
      <c r="F1433" s="42" t="n">
        <v>470</v>
      </c>
      <c r="G1433" s="41" t="inlineStr">
        <is>
          <t>10001|126150$123001|77372$123006|1171</t>
        </is>
      </c>
      <c r="J1433" s="42" t="inlineStr">
        <is>
          <t>造成一段[0]%伤害</t>
        </is>
      </c>
      <c r="K1433" s="41" t="n">
        <v>570</v>
      </c>
    </row>
    <row r="1434" customFormat="1" s="41">
      <c r="B1434" s="41" t="n">
        <v>11431</v>
      </c>
      <c r="C1434" s="47" t="inlineStr">
        <is>
          <t>110010</t>
        </is>
      </c>
      <c r="D1434" s="48" t="inlineStr">
        <is>
          <t>天罡气劲</t>
        </is>
      </c>
      <c r="F1434" s="42" t="n">
        <v>484.9999999999999</v>
      </c>
      <c r="G1434" s="41" t="inlineStr">
        <is>
          <t>10001|135000$124001|82800$124006|1232</t>
        </is>
      </c>
      <c r="J1434" s="42" t="inlineStr">
        <is>
          <t>造成一段[0]%伤害</t>
        </is>
      </c>
      <c r="K1434" s="41" t="n">
        <v>585</v>
      </c>
    </row>
    <row r="1435" customFormat="1" s="41">
      <c r="B1435" s="41" t="n">
        <v>11432</v>
      </c>
      <c r="C1435" s="47" t="inlineStr">
        <is>
          <t>110010</t>
        </is>
      </c>
      <c r="D1435" s="48" t="inlineStr">
        <is>
          <t>天罡气劲</t>
        </is>
      </c>
      <c r="F1435" s="42" t="n">
        <v>500</v>
      </c>
      <c r="G1435" s="41" t="inlineStr">
        <is>
          <t>10001|144150$124001|88412$124006|1295</t>
        </is>
      </c>
      <c r="J1435" s="42" t="inlineStr">
        <is>
          <t>造成一段[0]%伤害</t>
        </is>
      </c>
      <c r="K1435" s="41" t="n">
        <v>600</v>
      </c>
    </row>
    <row r="1436" customFormat="1" s="41">
      <c r="B1436" s="41" t="n">
        <v>11433</v>
      </c>
      <c r="C1436" s="47" t="inlineStr">
        <is>
          <t>110010</t>
        </is>
      </c>
      <c r="D1436" s="48" t="inlineStr">
        <is>
          <t>天罡气劲</t>
        </is>
      </c>
      <c r="F1436" s="42" t="n">
        <v>515</v>
      </c>
      <c r="G1436" s="41" t="inlineStr">
        <is>
          <t>10001|153600$124001|94208$124006|1358</t>
        </is>
      </c>
      <c r="J1436" s="42" t="inlineStr">
        <is>
          <t>造成一段[0]%伤害</t>
        </is>
      </c>
      <c r="K1436" s="41" t="n">
        <v>615</v>
      </c>
    </row>
    <row r="1437" customFormat="1" s="41">
      <c r="B1437" s="41" t="n">
        <v>11434</v>
      </c>
      <c r="C1437" s="47" t="inlineStr">
        <is>
          <t>110010</t>
        </is>
      </c>
      <c r="D1437" s="48" t="inlineStr">
        <is>
          <t>天罡气劲</t>
        </is>
      </c>
      <c r="F1437" s="42" t="n">
        <v>530</v>
      </c>
      <c r="G1437" s="41" t="inlineStr">
        <is>
          <t>10001|163350$124001|100188$124006|1422</t>
        </is>
      </c>
      <c r="J1437" s="42" t="inlineStr">
        <is>
          <t>造成一段[0]%伤害</t>
        </is>
      </c>
      <c r="K1437" s="41" t="n">
        <v>630</v>
      </c>
    </row>
    <row r="1438" customFormat="1" s="41">
      <c r="B1438" s="41" t="n">
        <v>11435</v>
      </c>
      <c r="C1438" s="47" t="inlineStr">
        <is>
          <t>110010</t>
        </is>
      </c>
      <c r="D1438" s="48" t="inlineStr">
        <is>
          <t>天罡气劲</t>
        </is>
      </c>
      <c r="F1438" s="42" t="n">
        <v>545</v>
      </c>
      <c r="G1438" s="41" t="inlineStr">
        <is>
          <t>10001|173400$124001|106352$124006|1487</t>
        </is>
      </c>
      <c r="J1438" s="42" t="inlineStr">
        <is>
          <t>造成一段[0]%伤害</t>
        </is>
      </c>
      <c r="K1438" s="41" t="n">
        <v>645</v>
      </c>
    </row>
    <row r="1439" customFormat="1" s="41">
      <c r="B1439" s="41" t="n">
        <v>11436</v>
      </c>
      <c r="C1439" s="47" t="inlineStr">
        <is>
          <t>110010</t>
        </is>
      </c>
      <c r="D1439" s="48" t="inlineStr">
        <is>
          <t>天罡气劲</t>
        </is>
      </c>
      <c r="F1439" s="42" t="n">
        <v>560</v>
      </c>
      <c r="G1439" s="41" t="inlineStr">
        <is>
          <t>10001|183750$124001|112700$124006|1553</t>
        </is>
      </c>
      <c r="J1439" s="42" t="inlineStr">
        <is>
          <t>造成一段[0]%伤害</t>
        </is>
      </c>
      <c r="K1439" s="41" t="n">
        <v>660</v>
      </c>
    </row>
    <row r="1440" customFormat="1" s="41">
      <c r="B1440" s="41" t="n">
        <v>11437</v>
      </c>
      <c r="C1440" s="47" t="inlineStr">
        <is>
          <t>110010</t>
        </is>
      </c>
      <c r="D1440" s="48" t="inlineStr">
        <is>
          <t>天罡气劲</t>
        </is>
      </c>
      <c r="F1440" s="42" t="n">
        <v>575</v>
      </c>
      <c r="G1440" s="41" t="inlineStr">
        <is>
          <t>10001|194400$124001|119232$124006|1620</t>
        </is>
      </c>
      <c r="J1440" s="42" t="inlineStr">
        <is>
          <t>造成一段[0]%伤害</t>
        </is>
      </c>
      <c r="K1440" s="41" t="n">
        <v>675</v>
      </c>
    </row>
    <row r="1441" customFormat="1" s="41">
      <c r="B1441" s="41" t="n">
        <v>11438</v>
      </c>
      <c r="C1441" s="47" t="inlineStr">
        <is>
          <t>110010</t>
        </is>
      </c>
      <c r="D1441" s="48" t="inlineStr">
        <is>
          <t>天罡气劲</t>
        </is>
      </c>
      <c r="F1441" s="42" t="n">
        <v>590</v>
      </c>
      <c r="G1441" s="41" t="inlineStr">
        <is>
          <t>10001|205350$124001|125948$124006|1688</t>
        </is>
      </c>
      <c r="J1441" s="42" t="inlineStr">
        <is>
          <t>造成一段[0]%伤害</t>
        </is>
      </c>
      <c r="K1441" s="41" t="n">
        <v>690</v>
      </c>
    </row>
    <row r="1442" customFormat="1" s="41">
      <c r="B1442" s="41" t="n">
        <v>11439</v>
      </c>
      <c r="C1442" s="47" t="inlineStr">
        <is>
          <t>110010</t>
        </is>
      </c>
      <c r="D1442" s="48" t="inlineStr">
        <is>
          <t>天罡气劲</t>
        </is>
      </c>
      <c r="F1442" s="42" t="n">
        <v>605</v>
      </c>
      <c r="G1442" s="41" t="inlineStr">
        <is>
          <t>10001|216600$124001|132848$124006|1757</t>
        </is>
      </c>
      <c r="J1442" s="42" t="inlineStr">
        <is>
          <t>造成一段[0]%伤害</t>
        </is>
      </c>
      <c r="K1442" s="41" t="n">
        <v>705</v>
      </c>
    </row>
    <row r="1443" customFormat="1" s="41">
      <c r="B1443" s="41" t="n">
        <v>11440</v>
      </c>
      <c r="C1443" s="47" t="inlineStr">
        <is>
          <t>110010</t>
        </is>
      </c>
      <c r="D1443" s="48" t="inlineStr">
        <is>
          <t>天罡气劲</t>
        </is>
      </c>
      <c r="F1443" s="42" t="n">
        <v>620</v>
      </c>
      <c r="G1443" s="41" t="inlineStr">
        <is>
          <t>10001|228150$124001|139932$124006|1827</t>
        </is>
      </c>
      <c r="J1443" s="42" t="inlineStr">
        <is>
          <t>造成一段[0]%伤害</t>
        </is>
      </c>
      <c r="K1443" s="41" t="n">
        <v>720</v>
      </c>
    </row>
    <row r="1444" customFormat="1" s="41">
      <c r="B1444" s="41" t="n">
        <v>11441</v>
      </c>
      <c r="C1444" s="47" t="inlineStr">
        <is>
          <t>110010</t>
        </is>
      </c>
      <c r="D1444" s="48" t="inlineStr">
        <is>
          <t>天罡气劲</t>
        </is>
      </c>
      <c r="F1444" s="42" t="n">
        <v>635</v>
      </c>
      <c r="G1444" s="41" t="inlineStr">
        <is>
          <t>10001|240000$125001|147200$125006|1897</t>
        </is>
      </c>
      <c r="J1444" s="42" t="inlineStr">
        <is>
          <t>造成一段[0]%伤害</t>
        </is>
      </c>
      <c r="K1444" s="41" t="n">
        <v>735</v>
      </c>
    </row>
    <row r="1445" customFormat="1" s="41">
      <c r="B1445" s="41" t="n">
        <v>11442</v>
      </c>
      <c r="C1445" s="47" t="inlineStr">
        <is>
          <t>110010</t>
        </is>
      </c>
      <c r="D1445" s="48" t="inlineStr">
        <is>
          <t>天罡气劲</t>
        </is>
      </c>
      <c r="F1445" s="42" t="n">
        <v>650</v>
      </c>
      <c r="G1445" s="41" t="inlineStr">
        <is>
          <t>10001|252150$125001|154652$125006|1969</t>
        </is>
      </c>
      <c r="J1445" s="42" t="inlineStr">
        <is>
          <t>造成一段[0]%伤害</t>
        </is>
      </c>
      <c r="K1445" s="41" t="n">
        <v>750</v>
      </c>
    </row>
    <row r="1446" customFormat="1" s="41">
      <c r="B1446" s="41" t="n">
        <v>11443</v>
      </c>
      <c r="C1446" s="47" t="inlineStr">
        <is>
          <t>110010</t>
        </is>
      </c>
      <c r="D1446" s="48" t="inlineStr">
        <is>
          <t>天罡气劲</t>
        </is>
      </c>
      <c r="F1446" s="42" t="n">
        <v>665</v>
      </c>
      <c r="G1446" s="41" t="inlineStr">
        <is>
          <t>10001|264600$125001|162288$125006|2041</t>
        </is>
      </c>
      <c r="J1446" s="42" t="inlineStr">
        <is>
          <t>造成一段[0]%伤害</t>
        </is>
      </c>
      <c r="K1446" s="41" t="n">
        <v>765</v>
      </c>
    </row>
    <row r="1447" customFormat="1" s="41">
      <c r="B1447" s="41" t="n">
        <v>11444</v>
      </c>
      <c r="C1447" s="47" t="inlineStr">
        <is>
          <t>110010</t>
        </is>
      </c>
      <c r="D1447" s="48" t="inlineStr">
        <is>
          <t>天罡气劲</t>
        </is>
      </c>
      <c r="F1447" s="42" t="n">
        <v>680</v>
      </c>
      <c r="G1447" s="41" t="inlineStr">
        <is>
          <t>10001|277350$125001|170108$125006|2115</t>
        </is>
      </c>
      <c r="J1447" s="42" t="inlineStr">
        <is>
          <t>造成一段[0]%伤害</t>
        </is>
      </c>
      <c r="K1447" s="41" t="n">
        <v>780</v>
      </c>
    </row>
    <row r="1448" customFormat="1" s="41">
      <c r="B1448" s="41" t="n">
        <v>11445</v>
      </c>
      <c r="C1448" s="47" t="inlineStr">
        <is>
          <t>110010</t>
        </is>
      </c>
      <c r="D1448" s="48" t="inlineStr">
        <is>
          <t>天罡气劲</t>
        </is>
      </c>
      <c r="F1448" s="42" t="n">
        <v>695</v>
      </c>
      <c r="G1448" s="41" t="inlineStr">
        <is>
          <t>10001|290400$125001|178112$125006|2189</t>
        </is>
      </c>
      <c r="J1448" s="42" t="inlineStr">
        <is>
          <t>造成一段[0]%伤害</t>
        </is>
      </c>
      <c r="K1448" s="41" t="n">
        <v>795</v>
      </c>
    </row>
    <row r="1449" customFormat="1" s="41">
      <c r="B1449" s="41" t="n">
        <v>11446</v>
      </c>
      <c r="C1449" s="47" t="inlineStr">
        <is>
          <t>110010</t>
        </is>
      </c>
      <c r="D1449" s="48" t="inlineStr">
        <is>
          <t>天罡气劲</t>
        </is>
      </c>
      <c r="F1449" s="42" t="n">
        <v>710</v>
      </c>
      <c r="G1449" s="41" t="inlineStr">
        <is>
          <t>10001|303750$125001|186300$125006|2264</t>
        </is>
      </c>
      <c r="J1449" s="42" t="inlineStr">
        <is>
          <t>造成一段[0]%伤害</t>
        </is>
      </c>
      <c r="K1449" s="41" t="n">
        <v>810</v>
      </c>
    </row>
    <row r="1450" customFormat="1" s="41">
      <c r="B1450" s="41" t="n">
        <v>11447</v>
      </c>
      <c r="C1450" s="47" t="inlineStr">
        <is>
          <t>110010</t>
        </is>
      </c>
      <c r="D1450" s="48" t="inlineStr">
        <is>
          <t>天罡气劲</t>
        </is>
      </c>
      <c r="F1450" s="42" t="n">
        <v>725</v>
      </c>
      <c r="G1450" s="41" t="inlineStr">
        <is>
          <t>10001|317400$125001|194672$125006|2340</t>
        </is>
      </c>
      <c r="J1450" s="42" t="inlineStr">
        <is>
          <t>造成一段[0]%伤害</t>
        </is>
      </c>
      <c r="K1450" s="41" t="n">
        <v>825</v>
      </c>
    </row>
    <row r="1451" customFormat="1" s="41">
      <c r="B1451" s="41" t="n">
        <v>11448</v>
      </c>
      <c r="C1451" s="47" t="inlineStr">
        <is>
          <t>110010</t>
        </is>
      </c>
      <c r="D1451" s="48" t="inlineStr">
        <is>
          <t>天罡气劲</t>
        </is>
      </c>
      <c r="F1451" s="42" t="n">
        <v>740</v>
      </c>
      <c r="G1451" s="41" t="inlineStr">
        <is>
          <t>10001|331350$125001|203228$125006|2417</t>
        </is>
      </c>
      <c r="J1451" s="42" t="inlineStr">
        <is>
          <t>造成一段[0]%伤害</t>
        </is>
      </c>
      <c r="K1451" s="41" t="n">
        <v>840</v>
      </c>
    </row>
    <row r="1452" customFormat="1" s="41">
      <c r="B1452" s="41" t="n">
        <v>11449</v>
      </c>
      <c r="C1452" s="47" t="inlineStr">
        <is>
          <t>110010</t>
        </is>
      </c>
      <c r="D1452" s="48" t="inlineStr">
        <is>
          <t>天罡气劲</t>
        </is>
      </c>
      <c r="F1452" s="42" t="n">
        <v>755.0000000000001</v>
      </c>
      <c r="G1452" s="41" t="inlineStr">
        <is>
          <t>10001|345600$125001|211968$125006|2494</t>
        </is>
      </c>
      <c r="J1452" s="42" t="inlineStr">
        <is>
          <t>造成一段[0]%伤害</t>
        </is>
      </c>
      <c r="K1452" s="41" t="n">
        <v>855</v>
      </c>
    </row>
    <row r="1453">
      <c r="B1453" s="41" t="n">
        <v>11450</v>
      </c>
      <c r="C1453" s="47" t="inlineStr">
        <is>
          <t>110010</t>
        </is>
      </c>
      <c r="D1453" s="48" t="inlineStr">
        <is>
          <t>天罡气劲</t>
        </is>
      </c>
      <c r="F1453" s="42" t="n">
        <v>769.9999999999999</v>
      </c>
      <c r="G1453" s="41" t="inlineStr">
        <is>
          <t>10001|360150$125001|220892$125006|2573</t>
        </is>
      </c>
      <c r="J1453" s="42" t="inlineStr">
        <is>
          <t>造成一段[0]%伤害</t>
        </is>
      </c>
      <c r="K1453" s="41" t="n">
        <v>870</v>
      </c>
    </row>
    <row r="1454">
      <c r="B1454" s="41" t="n">
        <v>11451</v>
      </c>
      <c r="C1454" s="47" t="inlineStr">
        <is>
          <t>110010</t>
        </is>
      </c>
      <c r="D1454" s="48" t="inlineStr">
        <is>
          <t>天罡气劲</t>
        </is>
      </c>
      <c r="F1454" s="42" t="n">
        <v>785</v>
      </c>
      <c r="G1454" s="41" t="inlineStr">
        <is>
          <t>10001|375000$125001|230000$125006|2652</t>
        </is>
      </c>
      <c r="J1454" s="42" t="inlineStr">
        <is>
          <t>造成一段[0]%伤害</t>
        </is>
      </c>
      <c r="K1454" s="41" t="n">
        <v>885</v>
      </c>
    </row>
    <row r="1455">
      <c r="B1455" s="18" t="n">
        <v>11452</v>
      </c>
      <c r="C1455" s="32" t="inlineStr">
        <is>
          <t>110011</t>
        </is>
      </c>
      <c r="D1455" s="32" t="inlineStr">
        <is>
          <t>彼岸炽魂</t>
        </is>
      </c>
      <c r="E1455" s="18" t="inlineStr">
        <is>
          <t>1</t>
        </is>
      </c>
      <c r="F1455" s="26" t="n">
        <v>30</v>
      </c>
      <c r="G1455" s="18" t="inlineStr">
        <is>
          <t>10001|150$121001|92$121003|8</t>
        </is>
      </c>
      <c r="H1455" s="18" t="inlineStr">
        <is>
          <t>34|2</t>
        </is>
      </c>
      <c r="J1455" s="26" t="inlineStr">
        <is>
          <t>造成一段[0]%伤害,每层火魂造成[1]%伤害，并回复[2]%生命</t>
        </is>
      </c>
      <c r="K1455" s="18" t="inlineStr">
        <is>
          <t>30|34|2</t>
        </is>
      </c>
    </row>
    <row r="1456">
      <c r="B1456" s="18" t="n">
        <v>11453</v>
      </c>
      <c r="C1456" s="32" t="inlineStr">
        <is>
          <t>110011</t>
        </is>
      </c>
      <c r="D1456" s="32" t="inlineStr">
        <is>
          <t>彼岸炽魂</t>
        </is>
      </c>
      <c r="E1456" s="18" t="inlineStr">
        <is>
          <t>2</t>
        </is>
      </c>
      <c r="F1456" s="26" t="n">
        <v>42.99999999999999</v>
      </c>
      <c r="G1456" s="18" t="inlineStr">
        <is>
          <t>10001|600$121001|368$121003|21</t>
        </is>
      </c>
      <c r="H1456" s="18" t="inlineStr">
        <is>
          <t>37.4|2.062</t>
        </is>
      </c>
      <c r="J1456" s="26" t="inlineStr">
        <is>
          <t>造成一段[0]%伤害,每层火魂造成[1]%伤害，并回复[2]%生命</t>
        </is>
      </c>
      <c r="K1456" s="18" t="inlineStr">
        <is>
          <t>43|37.4|2.062</t>
        </is>
      </c>
    </row>
    <row r="1457">
      <c r="B1457" s="18" t="n">
        <v>11454</v>
      </c>
      <c r="C1457" s="32" t="inlineStr">
        <is>
          <t>110011</t>
        </is>
      </c>
      <c r="D1457" s="32" t="inlineStr">
        <is>
          <t>彼岸炽魂</t>
        </is>
      </c>
      <c r="E1457" s="18" t="inlineStr">
        <is>
          <t>3</t>
        </is>
      </c>
      <c r="F1457" s="26" t="n">
        <v>56.00000000000001</v>
      </c>
      <c r="G1457" s="18" t="inlineStr">
        <is>
          <t>10001|1350$121001|828$121003|39</t>
        </is>
      </c>
      <c r="H1457" s="18" t="inlineStr">
        <is>
          <t>40.8|2.124</t>
        </is>
      </c>
      <c r="J1457" s="26" t="inlineStr">
        <is>
          <t>造成一段[0]%伤害,每层火魂造成[1]%伤害，并回复[2]%生命</t>
        </is>
      </c>
      <c r="K1457" s="18" t="inlineStr">
        <is>
          <t>56|40.8|2.124</t>
        </is>
      </c>
    </row>
    <row r="1458">
      <c r="B1458" s="18" t="n">
        <v>11455</v>
      </c>
      <c r="C1458" s="32" t="inlineStr">
        <is>
          <t>110011</t>
        </is>
      </c>
      <c r="D1458" s="32" t="inlineStr">
        <is>
          <t>彼岸炽魂</t>
        </is>
      </c>
      <c r="E1458" s="18" t="inlineStr">
        <is>
          <t>4</t>
        </is>
      </c>
      <c r="F1458" s="26" t="n">
        <v>69</v>
      </c>
      <c r="G1458" s="18" t="inlineStr">
        <is>
          <t>10001|2400$121001|1472$121003|60</t>
        </is>
      </c>
      <c r="H1458" s="18" t="inlineStr">
        <is>
          <t>44.2|2.186</t>
        </is>
      </c>
      <c r="J1458" s="26" t="inlineStr">
        <is>
          <t>造成一段[0]%伤害,每层火魂造成[1]%伤害，并回复[2]%生命</t>
        </is>
      </c>
      <c r="K1458" s="18" t="inlineStr">
        <is>
          <t>69|44.2|2.186</t>
        </is>
      </c>
    </row>
    <row r="1459">
      <c r="B1459" s="18" t="n">
        <v>11456</v>
      </c>
      <c r="C1459" s="32" t="inlineStr">
        <is>
          <t>110011</t>
        </is>
      </c>
      <c r="D1459" s="32" t="inlineStr">
        <is>
          <t>彼岸炽魂</t>
        </is>
      </c>
      <c r="E1459" s="18" t="inlineStr">
        <is>
          <t>5</t>
        </is>
      </c>
      <c r="F1459" s="26" t="n">
        <v>82</v>
      </c>
      <c r="G1459" s="18" t="inlineStr">
        <is>
          <t>10001|3750$121001|2300$121003|84</t>
        </is>
      </c>
      <c r="H1459" s="18" t="inlineStr">
        <is>
          <t>47.6|2.248</t>
        </is>
      </c>
      <c r="J1459" s="26" t="inlineStr">
        <is>
          <t>造成一段[0]%伤害,每层火魂造成[1]%伤害，并回复[2]%生命</t>
        </is>
      </c>
      <c r="K1459" s="18" t="inlineStr">
        <is>
          <t>82|47.6|2.248</t>
        </is>
      </c>
    </row>
    <row r="1460">
      <c r="B1460" s="18" t="n">
        <v>11457</v>
      </c>
      <c r="C1460" s="32" t="inlineStr">
        <is>
          <t>110011</t>
        </is>
      </c>
      <c r="D1460" s="32" t="inlineStr">
        <is>
          <t>彼岸炽魂</t>
        </is>
      </c>
      <c r="E1460" s="18" t="inlineStr">
        <is>
          <t>6</t>
        </is>
      </c>
      <c r="F1460" s="26" t="n">
        <v>95</v>
      </c>
      <c r="G1460" s="18" t="inlineStr">
        <is>
          <t>10001|5400$121001|3312$121003|110</t>
        </is>
      </c>
      <c r="H1460" s="18" t="inlineStr">
        <is>
          <t>51|2.31</t>
        </is>
      </c>
      <c r="J1460" s="26" t="inlineStr">
        <is>
          <t>造成一段[0]%伤害,每层火魂造成[1]%伤害，并回复[2]%生命</t>
        </is>
      </c>
      <c r="K1460" s="18" t="inlineStr">
        <is>
          <t>95|51|2.31</t>
        </is>
      </c>
    </row>
    <row r="1461">
      <c r="B1461" s="18" t="n">
        <v>11458</v>
      </c>
      <c r="C1461" s="32" t="inlineStr">
        <is>
          <t>110011</t>
        </is>
      </c>
      <c r="D1461" s="32" t="inlineStr">
        <is>
          <t>彼岸炽魂</t>
        </is>
      </c>
      <c r="E1461" s="18" t="inlineStr">
        <is>
          <t>7</t>
        </is>
      </c>
      <c r="F1461" s="26" t="n">
        <v>108</v>
      </c>
      <c r="G1461" s="18" t="inlineStr">
        <is>
          <t>10001|7350$121001|4508$121003|139</t>
        </is>
      </c>
      <c r="H1461" s="18" t="inlineStr">
        <is>
          <t>54.4|2.372</t>
        </is>
      </c>
      <c r="J1461" s="26" t="inlineStr">
        <is>
          <t>造成一段[0]%伤害,每层火魂造成[1]%伤害，并回复[2]%生命</t>
        </is>
      </c>
      <c r="K1461" s="18" t="inlineStr">
        <is>
          <t>108|54.4|2.372</t>
        </is>
      </c>
    </row>
    <row r="1462">
      <c r="B1462" s="18" t="n">
        <v>11459</v>
      </c>
      <c r="C1462" s="32" t="inlineStr">
        <is>
          <t>110011</t>
        </is>
      </c>
      <c r="D1462" s="32" t="inlineStr">
        <is>
          <t>彼岸炽魂</t>
        </is>
      </c>
      <c r="E1462" s="18" t="inlineStr">
        <is>
          <t>8</t>
        </is>
      </c>
      <c r="F1462" s="26" t="n">
        <v>121</v>
      </c>
      <c r="G1462" s="18" t="inlineStr">
        <is>
          <t>10001|9600$121001|5888$121003|170</t>
        </is>
      </c>
      <c r="H1462" s="18" t="inlineStr">
        <is>
          <t>57.8|2.434</t>
        </is>
      </c>
      <c r="J1462" s="26" t="inlineStr">
        <is>
          <t>造成一段[0]%伤害,每层火魂造成[1]%伤害，并回复[2]%生命</t>
        </is>
      </c>
      <c r="K1462" s="18" t="inlineStr">
        <is>
          <t>121|57.8|2.434</t>
        </is>
      </c>
    </row>
    <row r="1463">
      <c r="B1463" s="18" t="n">
        <v>11460</v>
      </c>
      <c r="C1463" s="32" t="inlineStr">
        <is>
          <t>110011</t>
        </is>
      </c>
      <c r="D1463" s="32" t="inlineStr">
        <is>
          <t>彼岸炽魂</t>
        </is>
      </c>
      <c r="E1463" s="18" t="inlineStr">
        <is>
          <t>9</t>
        </is>
      </c>
      <c r="F1463" s="26" t="n">
        <v>134</v>
      </c>
      <c r="G1463" s="18" t="inlineStr">
        <is>
          <t>10001|12150$121001|7452$121003|203</t>
        </is>
      </c>
      <c r="H1463" s="18" t="inlineStr">
        <is>
          <t>61.2|2.496</t>
        </is>
      </c>
      <c r="J1463" s="26" t="inlineStr">
        <is>
          <t>造成一段[0]%伤害,每层火魂造成[1]%伤害，并回复[2]%生命</t>
        </is>
      </c>
      <c r="K1463" s="18" t="inlineStr">
        <is>
          <t>134|61.2|2.496</t>
        </is>
      </c>
    </row>
    <row r="1464">
      <c r="B1464" s="18" t="n">
        <v>11461</v>
      </c>
      <c r="C1464" s="32" t="inlineStr">
        <is>
          <t>110011</t>
        </is>
      </c>
      <c r="D1464" s="32" t="inlineStr">
        <is>
          <t>彼岸炽魂</t>
        </is>
      </c>
      <c r="E1464" s="18" t="inlineStr">
        <is>
          <t>10</t>
        </is>
      </c>
      <c r="F1464" s="26" t="n">
        <v>147</v>
      </c>
      <c r="G1464" s="18" t="inlineStr">
        <is>
          <t>10001|15000$122001|9200$122003|237</t>
        </is>
      </c>
      <c r="H1464" s="18" t="inlineStr">
        <is>
          <t>64.6|2.558</t>
        </is>
      </c>
      <c r="J1464" s="26" t="inlineStr">
        <is>
          <t>造成一段[0]%伤害,每层火魂造成[1]%伤害，并回复[2]%生命</t>
        </is>
      </c>
      <c r="K1464" s="18" t="inlineStr">
        <is>
          <t>147|64.6|2.558</t>
        </is>
      </c>
    </row>
    <row r="1465">
      <c r="B1465" s="18" t="n">
        <v>11462</v>
      </c>
      <c r="C1465" s="32" t="inlineStr">
        <is>
          <t>110011</t>
        </is>
      </c>
      <c r="D1465" s="32" t="inlineStr">
        <is>
          <t>彼岸炽魂</t>
        </is>
      </c>
      <c r="E1465" s="18" t="inlineStr">
        <is>
          <t>11</t>
        </is>
      </c>
      <c r="F1465" s="26" t="n">
        <v>160</v>
      </c>
      <c r="G1465" s="18" t="inlineStr">
        <is>
          <t>10001|18150$122001|11132$122003|274</t>
        </is>
      </c>
      <c r="H1465" s="18" t="inlineStr">
        <is>
          <t>68|2.62</t>
        </is>
      </c>
      <c r="J1465" s="26" t="inlineStr">
        <is>
          <t>造成一段[0]%伤害,每层火魂造成[1]%伤害，并回复[2]%生命</t>
        </is>
      </c>
      <c r="K1465" s="18" t="inlineStr">
        <is>
          <t>160|68|2.62</t>
        </is>
      </c>
    </row>
    <row r="1466">
      <c r="B1466" s="18" t="n">
        <v>11463</v>
      </c>
      <c r="C1466" s="32" t="inlineStr">
        <is>
          <t>110011</t>
        </is>
      </c>
      <c r="D1466" s="32" t="inlineStr">
        <is>
          <t>彼岸炽魂</t>
        </is>
      </c>
      <c r="E1466" s="18" t="inlineStr">
        <is>
          <t>12</t>
        </is>
      </c>
      <c r="F1466" s="26" t="n">
        <v>173</v>
      </c>
      <c r="G1466" s="18" t="inlineStr">
        <is>
          <t>10001|21600$122001|13248$122003|312</t>
        </is>
      </c>
      <c r="H1466" s="18" t="inlineStr">
        <is>
          <t>71.4|2.682</t>
        </is>
      </c>
      <c r="J1466" s="26" t="inlineStr">
        <is>
          <t>造成一段[0]%伤害,每层火魂造成[1]%伤害，并回复[2]%生命</t>
        </is>
      </c>
      <c r="K1466" s="18" t="inlineStr">
        <is>
          <t>173|71.4|2.682</t>
        </is>
      </c>
    </row>
    <row r="1467">
      <c r="B1467" s="18" t="n">
        <v>11464</v>
      </c>
      <c r="C1467" s="32" t="inlineStr">
        <is>
          <t>110011</t>
        </is>
      </c>
      <c r="D1467" s="32" t="inlineStr">
        <is>
          <t>彼岸炽魂</t>
        </is>
      </c>
      <c r="E1467" s="18" t="inlineStr">
        <is>
          <t>13</t>
        </is>
      </c>
      <c r="F1467" s="26" t="n">
        <v>186</v>
      </c>
      <c r="G1467" s="18" t="inlineStr">
        <is>
          <t>10001|25350$122001|15548$122003|352</t>
        </is>
      </c>
      <c r="H1467" s="18" t="inlineStr">
        <is>
          <t>74.8|2.744</t>
        </is>
      </c>
      <c r="J1467" s="26" t="inlineStr">
        <is>
          <t>造成一段[0]%伤害,每层火魂造成[1]%伤害，并回复[2]%生命</t>
        </is>
      </c>
      <c r="K1467" s="18" t="inlineStr">
        <is>
          <t>186|74.8|2.744</t>
        </is>
      </c>
    </row>
    <row r="1468">
      <c r="B1468" s="18" t="n">
        <v>11465</v>
      </c>
      <c r="C1468" s="32" t="inlineStr">
        <is>
          <t>110011</t>
        </is>
      </c>
      <c r="D1468" s="32" t="inlineStr">
        <is>
          <t>彼岸炽魂</t>
        </is>
      </c>
      <c r="E1468" s="18" t="inlineStr">
        <is>
          <t>14</t>
        </is>
      </c>
      <c r="F1468" s="26" t="n">
        <v>199</v>
      </c>
      <c r="G1468" s="18" t="inlineStr">
        <is>
          <t>10001|29400$122001|18032$122003|393</t>
        </is>
      </c>
      <c r="H1468" s="18" t="inlineStr">
        <is>
          <t>78.2|2.806</t>
        </is>
      </c>
      <c r="J1468" s="26" t="inlineStr">
        <is>
          <t>造成一段[0]%伤害,每层火魂造成[1]%伤害，并回复[2]%生命</t>
        </is>
      </c>
      <c r="K1468" s="18" t="inlineStr">
        <is>
          <t>199|78.2|2.806</t>
        </is>
      </c>
    </row>
    <row r="1469">
      <c r="B1469" s="18" t="n">
        <v>11466</v>
      </c>
      <c r="C1469" s="32" t="inlineStr">
        <is>
          <t>110011</t>
        </is>
      </c>
      <c r="D1469" s="32" t="inlineStr">
        <is>
          <t>彼岸炽魂</t>
        </is>
      </c>
      <c r="E1469" s="18" t="inlineStr">
        <is>
          <t>15</t>
        </is>
      </c>
      <c r="F1469" s="26" t="n">
        <v>212</v>
      </c>
      <c r="G1469" s="18" t="inlineStr">
        <is>
          <t>10001|33750$122001|20700$122003|436</t>
        </is>
      </c>
      <c r="H1469" s="18" t="inlineStr">
        <is>
          <t>81.6|2.868</t>
        </is>
      </c>
      <c r="J1469" s="26" t="inlineStr">
        <is>
          <t>造成一段[0]%伤害,每层火魂造成[1]%伤害，并回复[2]%生命</t>
        </is>
      </c>
      <c r="K1469" s="18" t="inlineStr">
        <is>
          <t>212|81.6|2.868</t>
        </is>
      </c>
    </row>
    <row r="1470">
      <c r="B1470" s="18" t="n">
        <v>11467</v>
      </c>
      <c r="C1470" s="32" t="inlineStr">
        <is>
          <t>110011</t>
        </is>
      </c>
      <c r="D1470" s="32" t="inlineStr">
        <is>
          <t>彼岸炽魂</t>
        </is>
      </c>
      <c r="E1470" s="18" t="inlineStr">
        <is>
          <t>16</t>
        </is>
      </c>
      <c r="F1470" s="26" t="n">
        <v>225</v>
      </c>
      <c r="G1470" s="18" t="inlineStr">
        <is>
          <t>10001|38400$122001|23552$122003|480</t>
        </is>
      </c>
      <c r="H1470" s="18" t="inlineStr">
        <is>
          <t>85|2.93</t>
        </is>
      </c>
      <c r="J1470" s="26" t="inlineStr">
        <is>
          <t>造成一段[0]%伤害,每层火魂造成[1]%伤害，并回复[2]%生命</t>
        </is>
      </c>
      <c r="K1470" s="18" t="inlineStr">
        <is>
          <t>225|85|2.93</t>
        </is>
      </c>
    </row>
    <row r="1471">
      <c r="B1471" s="18" t="n">
        <v>11468</v>
      </c>
      <c r="C1471" s="32" t="inlineStr">
        <is>
          <t>110011</t>
        </is>
      </c>
      <c r="D1471" s="32" t="inlineStr">
        <is>
          <t>彼岸炽魂</t>
        </is>
      </c>
      <c r="E1471" s="18" t="inlineStr">
        <is>
          <t>17</t>
        </is>
      </c>
      <c r="F1471" s="26" t="n">
        <v>238</v>
      </c>
      <c r="G1471" s="18" t="inlineStr">
        <is>
          <t>10001|43350$122001|26588$122003|526</t>
        </is>
      </c>
      <c r="H1471" s="18" t="inlineStr">
        <is>
          <t>88.4|2.992</t>
        </is>
      </c>
      <c r="J1471" s="26" t="inlineStr">
        <is>
          <t>造成一段[0]%伤害,每层火魂造成[1]%伤害，并回复[2]%生命</t>
        </is>
      </c>
      <c r="K1471" s="18" t="inlineStr">
        <is>
          <t>238|88.4|2.992</t>
        </is>
      </c>
    </row>
    <row r="1472">
      <c r="B1472" s="18" t="n">
        <v>11469</v>
      </c>
      <c r="C1472" s="32" t="inlineStr">
        <is>
          <t>110011</t>
        </is>
      </c>
      <c r="D1472" s="32" t="inlineStr">
        <is>
          <t>彼岸炽魂</t>
        </is>
      </c>
      <c r="E1472" s="18" t="inlineStr">
        <is>
          <t>18</t>
        </is>
      </c>
      <c r="F1472" s="26" t="n">
        <v>251</v>
      </c>
      <c r="G1472" s="18" t="inlineStr">
        <is>
          <t>10001|48600$122001|29808$122003|573</t>
        </is>
      </c>
      <c r="H1472" s="18" t="inlineStr">
        <is>
          <t>91.8|3.054</t>
        </is>
      </c>
      <c r="J1472" s="26" t="inlineStr">
        <is>
          <t>造成一段[0]%伤害,每层火魂造成[1]%伤害，并回复[2]%生命</t>
        </is>
      </c>
      <c r="K1472" s="18" t="inlineStr">
        <is>
          <t>251|91.8|3.054</t>
        </is>
      </c>
    </row>
    <row r="1473">
      <c r="B1473" s="18" t="n">
        <v>11470</v>
      </c>
      <c r="C1473" s="32" t="inlineStr">
        <is>
          <t>110011</t>
        </is>
      </c>
      <c r="D1473" s="32" t="inlineStr">
        <is>
          <t>彼岸炽魂</t>
        </is>
      </c>
      <c r="E1473" s="18" t="inlineStr">
        <is>
          <t>19</t>
        </is>
      </c>
      <c r="F1473" s="26" t="n">
        <v>264</v>
      </c>
      <c r="G1473" s="18" t="inlineStr">
        <is>
          <t>10001|54150$122001|33212$122003|621</t>
        </is>
      </c>
      <c r="H1473" s="18" t="inlineStr">
        <is>
          <t>95.2|3.116</t>
        </is>
      </c>
      <c r="J1473" s="26" t="inlineStr">
        <is>
          <t>造成一段[0]%伤害,每层火魂造成[1]%伤害，并回复[2]%生命</t>
        </is>
      </c>
      <c r="K1473" s="18" t="inlineStr">
        <is>
          <t>264|95.2|3.116</t>
        </is>
      </c>
    </row>
    <row r="1474">
      <c r="B1474" s="18" t="n">
        <v>11471</v>
      </c>
      <c r="C1474" s="32" t="inlineStr">
        <is>
          <t>110011</t>
        </is>
      </c>
      <c r="D1474" s="32" t="inlineStr">
        <is>
          <t>彼岸炽魂</t>
        </is>
      </c>
      <c r="E1474" s="18" t="inlineStr">
        <is>
          <t>20</t>
        </is>
      </c>
      <c r="F1474" s="26" t="n">
        <v>277</v>
      </c>
      <c r="G1474" s="18" t="inlineStr">
        <is>
          <t>10001|60000$123001|36800$123003|671</t>
        </is>
      </c>
      <c r="H1474" s="18" t="inlineStr">
        <is>
          <t>98.6|3.178</t>
        </is>
      </c>
      <c r="J1474" s="26" t="inlineStr">
        <is>
          <t>造成一段[0]%伤害,每层火魂造成[1]%伤害，并回复[2]%生命</t>
        </is>
      </c>
      <c r="K1474" s="18" t="inlineStr">
        <is>
          <t>277|98.6|3.178</t>
        </is>
      </c>
    </row>
    <row r="1475">
      <c r="B1475" s="18" t="n">
        <v>11472</v>
      </c>
      <c r="C1475" s="32" t="inlineStr">
        <is>
          <t>110011</t>
        </is>
      </c>
      <c r="D1475" s="32" t="inlineStr">
        <is>
          <t>彼岸炽魂</t>
        </is>
      </c>
      <c r="E1475" s="18" t="inlineStr">
        <is>
          <t>21</t>
        </is>
      </c>
      <c r="F1475" s="26" t="n">
        <v>290</v>
      </c>
      <c r="G1475" s="18" t="inlineStr">
        <is>
          <t>10001|66150$123001|40572$123003|722</t>
        </is>
      </c>
      <c r="H1475" s="18" t="inlineStr">
        <is>
          <t>102|3.24</t>
        </is>
      </c>
      <c r="J1475" s="26" t="inlineStr">
        <is>
          <t>造成一段[0]%伤害,每层火魂造成[1]%伤害，并回复[2]%生命</t>
        </is>
      </c>
      <c r="K1475" s="18" t="inlineStr">
        <is>
          <t>290|102|3.24</t>
        </is>
      </c>
    </row>
    <row r="1476">
      <c r="B1476" s="18" t="n">
        <v>11473</v>
      </c>
      <c r="C1476" s="32" t="inlineStr">
        <is>
          <t>110011</t>
        </is>
      </c>
      <c r="D1476" s="32" t="inlineStr">
        <is>
          <t>彼岸炽魂</t>
        </is>
      </c>
      <c r="E1476" s="18" t="inlineStr">
        <is>
          <t>22</t>
        </is>
      </c>
      <c r="F1476" s="26" t="n">
        <v>303</v>
      </c>
      <c r="G1476" s="18" t="inlineStr">
        <is>
          <t>10001|72600$123001|44528$123003|774</t>
        </is>
      </c>
      <c r="H1476" s="18" t="inlineStr">
        <is>
          <t>105.4|3.302</t>
        </is>
      </c>
      <c r="J1476" s="26" t="inlineStr">
        <is>
          <t>造成一段[0]%伤害,每层火魂造成[1]%伤害，并回复[2]%生命</t>
        </is>
      </c>
      <c r="K1476" s="18" t="inlineStr">
        <is>
          <t>303|105.4|3.302</t>
        </is>
      </c>
    </row>
    <row r="1477">
      <c r="B1477" s="18" t="n">
        <v>11474</v>
      </c>
      <c r="C1477" s="32" t="inlineStr">
        <is>
          <t>110011</t>
        </is>
      </c>
      <c r="D1477" s="32" t="inlineStr">
        <is>
          <t>彼岸炽魂</t>
        </is>
      </c>
      <c r="E1477" s="18" t="inlineStr">
        <is>
          <t>23</t>
        </is>
      </c>
      <c r="F1477" s="26" t="n">
        <v>316</v>
      </c>
      <c r="G1477" s="18" t="inlineStr">
        <is>
          <t>10001|79350$123001|48668$123003|827</t>
        </is>
      </c>
      <c r="H1477" s="18" t="inlineStr">
        <is>
          <t>108.8|3.364</t>
        </is>
      </c>
      <c r="J1477" s="26" t="inlineStr">
        <is>
          <t>造成一段[0]%伤害,每层火魂造成[1]%伤害，并回复[2]%生命</t>
        </is>
      </c>
      <c r="K1477" s="18" t="inlineStr">
        <is>
          <t>316|108.8|3.364</t>
        </is>
      </c>
    </row>
    <row r="1478">
      <c r="B1478" s="18" t="n">
        <v>11475</v>
      </c>
      <c r="C1478" s="32" t="inlineStr">
        <is>
          <t>110011</t>
        </is>
      </c>
      <c r="D1478" s="32" t="inlineStr">
        <is>
          <t>彼岸炽魂</t>
        </is>
      </c>
      <c r="E1478" s="18" t="inlineStr">
        <is>
          <t>24</t>
        </is>
      </c>
      <c r="F1478" s="26" t="n">
        <v>329</v>
      </c>
      <c r="G1478" s="18" t="inlineStr">
        <is>
          <t>10001|86400$123001|52992$123003|882</t>
        </is>
      </c>
      <c r="H1478" s="18" t="inlineStr">
        <is>
          <t>112.2|3.426</t>
        </is>
      </c>
      <c r="J1478" s="26" t="inlineStr">
        <is>
          <t>造成一段[0]%伤害,每层火魂造成[1]%伤害，并回复[2]%生命</t>
        </is>
      </c>
      <c r="K1478" s="18" t="inlineStr">
        <is>
          <t>329|112.2|3.426</t>
        </is>
      </c>
    </row>
    <row r="1479">
      <c r="B1479" s="18" t="n">
        <v>11476</v>
      </c>
      <c r="C1479" s="32" t="inlineStr">
        <is>
          <t>110011</t>
        </is>
      </c>
      <c r="D1479" s="32" t="inlineStr">
        <is>
          <t>彼岸炽魂</t>
        </is>
      </c>
      <c r="E1479" s="18" t="inlineStr">
        <is>
          <t>25</t>
        </is>
      </c>
      <c r="F1479" s="26" t="n">
        <v>342</v>
      </c>
      <c r="G1479" s="18" t="inlineStr">
        <is>
          <t>10001|93750$123001|57500$123003|938</t>
        </is>
      </c>
      <c r="H1479" s="18" t="inlineStr">
        <is>
          <t>115.6|3.488</t>
        </is>
      </c>
      <c r="J1479" s="26" t="inlineStr">
        <is>
          <t>造成一段[0]%伤害,每层火魂造成[1]%伤害，并回复[2]%生命</t>
        </is>
      </c>
      <c r="K1479" s="18" t="inlineStr">
        <is>
          <t>342|115.6|3.488</t>
        </is>
      </c>
    </row>
    <row r="1480">
      <c r="B1480" s="18" t="n">
        <v>11477</v>
      </c>
      <c r="C1480" s="32" t="inlineStr">
        <is>
          <t>110011</t>
        </is>
      </c>
      <c r="D1480" s="32" t="inlineStr">
        <is>
          <t>彼岸炽魂</t>
        </is>
      </c>
      <c r="E1480" s="18" t="inlineStr">
        <is>
          <t>26</t>
        </is>
      </c>
      <c r="F1480" s="26" t="n">
        <v>355</v>
      </c>
      <c r="G1480" s="18" t="inlineStr">
        <is>
          <t>10001|101400$123001|62192$123003|994</t>
        </is>
      </c>
      <c r="H1480" s="18" t="inlineStr">
        <is>
          <t>119|3.55</t>
        </is>
      </c>
      <c r="J1480" s="26" t="inlineStr">
        <is>
          <t>造成一段[0]%伤害,每层火魂造成[1]%伤害，并回复[2]%生命</t>
        </is>
      </c>
      <c r="K1480" s="18" t="inlineStr">
        <is>
          <t>355|119|3.55</t>
        </is>
      </c>
    </row>
    <row r="1481">
      <c r="B1481" s="18" t="n">
        <v>11478</v>
      </c>
      <c r="C1481" s="32" t="inlineStr">
        <is>
          <t>110011</t>
        </is>
      </c>
      <c r="D1481" s="32" t="inlineStr">
        <is>
          <t>彼岸炽魂</t>
        </is>
      </c>
      <c r="E1481" s="18" t="inlineStr">
        <is>
          <t>27</t>
        </is>
      </c>
      <c r="F1481" s="26" t="n">
        <v>368</v>
      </c>
      <c r="G1481" s="18" t="inlineStr">
        <is>
          <t>10001|109350$123001|67068$123003|1052</t>
        </is>
      </c>
      <c r="H1481" s="18" t="inlineStr">
        <is>
          <t>122.4|3.612</t>
        </is>
      </c>
      <c r="J1481" s="26" t="inlineStr">
        <is>
          <t>造成一段[0]%伤害,每层火魂造成[1]%伤害，并回复[2]%生命</t>
        </is>
      </c>
      <c r="K1481" s="18" t="inlineStr">
        <is>
          <t>368|122.4|3.612</t>
        </is>
      </c>
    </row>
    <row r="1482">
      <c r="B1482" s="18" t="n">
        <v>11479</v>
      </c>
      <c r="C1482" s="32" t="inlineStr">
        <is>
          <t>110011</t>
        </is>
      </c>
      <c r="D1482" s="32" t="inlineStr">
        <is>
          <t>彼岸炽魂</t>
        </is>
      </c>
      <c r="E1482" s="18" t="inlineStr">
        <is>
          <t>28</t>
        </is>
      </c>
      <c r="F1482" s="26" t="n">
        <v>380.9999999999999</v>
      </c>
      <c r="G1482" s="18" t="inlineStr">
        <is>
          <t>10001|117600$123001|72128$123003|1111</t>
        </is>
      </c>
      <c r="H1482" s="18" t="inlineStr">
        <is>
          <t>125.8|3.674</t>
        </is>
      </c>
      <c r="J1482" s="26" t="inlineStr">
        <is>
          <t>造成一段[0]%伤害,每层火魂造成[1]%伤害，并回复[2]%生命</t>
        </is>
      </c>
      <c r="K1482" s="18" t="inlineStr">
        <is>
          <t>381|125.8|3.674</t>
        </is>
      </c>
    </row>
    <row r="1483">
      <c r="B1483" s="18" t="n">
        <v>11480</v>
      </c>
      <c r="C1483" s="32" t="inlineStr">
        <is>
          <t>110011</t>
        </is>
      </c>
      <c r="D1483" s="32" t="inlineStr">
        <is>
          <t>彼岸炽魂</t>
        </is>
      </c>
      <c r="E1483" s="18" t="inlineStr">
        <is>
          <t>29</t>
        </is>
      </c>
      <c r="F1483" s="26" t="n">
        <v>394.0000000000001</v>
      </c>
      <c r="G1483" s="18" t="inlineStr">
        <is>
          <t>10001|126150$123001|77372$123003|1171</t>
        </is>
      </c>
      <c r="H1483" s="18" t="inlineStr">
        <is>
          <t>129.2|3.736</t>
        </is>
      </c>
      <c r="J1483" s="26" t="inlineStr">
        <is>
          <t>造成一段[0]%伤害,每层火魂造成[1]%伤害，并回复[2]%生命</t>
        </is>
      </c>
      <c r="K1483" s="18" t="inlineStr">
        <is>
          <t>394|129.2|3.736</t>
        </is>
      </c>
    </row>
    <row r="1484">
      <c r="B1484" s="18" t="n">
        <v>11481</v>
      </c>
      <c r="C1484" s="32" t="inlineStr">
        <is>
          <t>110011</t>
        </is>
      </c>
      <c r="D1484" s="32" t="inlineStr">
        <is>
          <t>彼岸炽魂</t>
        </is>
      </c>
      <c r="E1484" s="18" t="inlineStr">
        <is>
          <t>30</t>
        </is>
      </c>
      <c r="F1484" s="26" t="n">
        <v>407</v>
      </c>
      <c r="G1484" s="18" t="inlineStr">
        <is>
          <t>10001|135000$124001|82800$124003|1232</t>
        </is>
      </c>
      <c r="H1484" s="18" t="inlineStr">
        <is>
          <t>132.6|3.798</t>
        </is>
      </c>
      <c r="J1484" s="26" t="inlineStr">
        <is>
          <t>造成一段[0]%伤害,每层火魂造成[1]%伤害，并回复[2]%生命</t>
        </is>
      </c>
      <c r="K1484" s="18" t="inlineStr">
        <is>
          <t>407|132.6|3.798</t>
        </is>
      </c>
    </row>
    <row r="1485">
      <c r="B1485" s="18" t="n">
        <v>11482</v>
      </c>
      <c r="C1485" s="32" t="inlineStr">
        <is>
          <t>110011</t>
        </is>
      </c>
      <c r="D1485" s="32" t="inlineStr">
        <is>
          <t>彼岸炽魂</t>
        </is>
      </c>
      <c r="E1485" s="18" t="inlineStr">
        <is>
          <t>31</t>
        </is>
      </c>
      <c r="F1485" s="26" t="n">
        <v>420</v>
      </c>
      <c r="G1485" s="18" t="inlineStr">
        <is>
          <t>10001|144150$124001|88412$124003|1295</t>
        </is>
      </c>
      <c r="H1485" s="18" t="inlineStr">
        <is>
          <t>136|3.85999999999999</t>
        </is>
      </c>
      <c r="J1485" s="26" t="inlineStr">
        <is>
          <t>造成一段[0]%伤害,每层火魂造成[1]%伤害，并回复[2]%生命</t>
        </is>
      </c>
      <c r="K1485" s="18" t="inlineStr">
        <is>
          <t>420|136|3.85999999999999</t>
        </is>
      </c>
    </row>
    <row r="1486">
      <c r="B1486" s="18" t="n">
        <v>11483</v>
      </c>
      <c r="C1486" s="32" t="inlineStr">
        <is>
          <t>110011</t>
        </is>
      </c>
      <c r="D1486" s="32" t="inlineStr">
        <is>
          <t>彼岸炽魂</t>
        </is>
      </c>
      <c r="E1486" s="18" t="inlineStr">
        <is>
          <t>32</t>
        </is>
      </c>
      <c r="F1486" s="26" t="n">
        <v>433</v>
      </c>
      <c r="G1486" s="18" t="inlineStr">
        <is>
          <t>10001|153600$124001|94208$124003|1358</t>
        </is>
      </c>
      <c r="H1486" s="18" t="inlineStr">
        <is>
          <t>139.4|3.92199999999999</t>
        </is>
      </c>
      <c r="J1486" s="26" t="inlineStr">
        <is>
          <t>造成一段[0]%伤害,每层火魂造成[1]%伤害，并回复[2]%生命</t>
        </is>
      </c>
      <c r="K1486" s="18" t="inlineStr">
        <is>
          <t>433|139.4|3.92199999999999</t>
        </is>
      </c>
    </row>
    <row r="1487">
      <c r="B1487" s="18" t="n">
        <v>11484</v>
      </c>
      <c r="C1487" s="32" t="inlineStr">
        <is>
          <t>110011</t>
        </is>
      </c>
      <c r="D1487" s="32" t="inlineStr">
        <is>
          <t>彼岸炽魂</t>
        </is>
      </c>
      <c r="E1487" s="18" t="inlineStr">
        <is>
          <t>33</t>
        </is>
      </c>
      <c r="F1487" s="26" t="n">
        <v>446</v>
      </c>
      <c r="G1487" s="18" t="inlineStr">
        <is>
          <t>10001|163350$124001|100188$124003|1422</t>
        </is>
      </c>
      <c r="H1487" s="18" t="inlineStr">
        <is>
          <t>142.8|3.98399999999999</t>
        </is>
      </c>
      <c r="J1487" s="26" t="inlineStr">
        <is>
          <t>造成一段[0]%伤害,每层火魂造成[1]%伤害，并回复[2]%生命</t>
        </is>
      </c>
      <c r="K1487" s="18" t="inlineStr">
        <is>
          <t>446|142.8|3.98399999999999</t>
        </is>
      </c>
    </row>
    <row r="1488">
      <c r="B1488" s="18" t="n">
        <v>11485</v>
      </c>
      <c r="C1488" s="32" t="inlineStr">
        <is>
          <t>110011</t>
        </is>
      </c>
      <c r="D1488" s="32" t="inlineStr">
        <is>
          <t>彼岸炽魂</t>
        </is>
      </c>
      <c r="E1488" s="18" t="inlineStr">
        <is>
          <t>34</t>
        </is>
      </c>
      <c r="F1488" s="26" t="n">
        <v>459</v>
      </c>
      <c r="G1488" s="18" t="inlineStr">
        <is>
          <t>10001|173400$124001|106352$124003|1487</t>
        </is>
      </c>
      <c r="H1488" s="18" t="inlineStr">
        <is>
          <t>146.2|4.04599999999999</t>
        </is>
      </c>
      <c r="J1488" s="26" t="inlineStr">
        <is>
          <t>造成一段[0]%伤害,每层火魂造成[1]%伤害，并回复[2]%生命</t>
        </is>
      </c>
      <c r="K1488" s="18" t="inlineStr">
        <is>
          <t>459|146.2|4.04599999999999</t>
        </is>
      </c>
    </row>
    <row r="1489">
      <c r="B1489" s="18" t="n">
        <v>11486</v>
      </c>
      <c r="C1489" s="32" t="inlineStr">
        <is>
          <t>110011</t>
        </is>
      </c>
      <c r="D1489" s="32" t="inlineStr">
        <is>
          <t>彼岸炽魂</t>
        </is>
      </c>
      <c r="E1489" s="18" t="inlineStr">
        <is>
          <t>35</t>
        </is>
      </c>
      <c r="F1489" s="26" t="n">
        <v>472</v>
      </c>
      <c r="G1489" s="18" t="inlineStr">
        <is>
          <t>10001|183750$124001|112700$124003|1553</t>
        </is>
      </c>
      <c r="H1489" s="18" t="inlineStr">
        <is>
          <t>149.6|4.10799999999999</t>
        </is>
      </c>
      <c r="J1489" s="26" t="inlineStr">
        <is>
          <t>造成一段[0]%伤害,每层火魂造成[1]%伤害，并回复[2]%生命</t>
        </is>
      </c>
      <c r="K1489" s="18" t="inlineStr">
        <is>
          <t>472|149.6|4.10799999999999</t>
        </is>
      </c>
    </row>
    <row r="1490">
      <c r="B1490" s="18" t="n">
        <v>11487</v>
      </c>
      <c r="C1490" s="32" t="inlineStr">
        <is>
          <t>110011</t>
        </is>
      </c>
      <c r="D1490" s="32" t="inlineStr">
        <is>
          <t>彼岸炽魂</t>
        </is>
      </c>
      <c r="E1490" s="18" t="inlineStr">
        <is>
          <t>36</t>
        </is>
      </c>
      <c r="F1490" s="26" t="n">
        <v>484.9999999999999</v>
      </c>
      <c r="G1490" s="18" t="inlineStr">
        <is>
          <t>10001|194400$124001|119232$124003|1620</t>
        </is>
      </c>
      <c r="H1490" s="18" t="inlineStr">
        <is>
          <t>153|4.16999999999999</t>
        </is>
      </c>
      <c r="J1490" s="26" t="inlineStr">
        <is>
          <t>造成一段[0]%伤害,每层火魂造成[1]%伤害，并回复[2]%生命</t>
        </is>
      </c>
      <c r="K1490" s="18" t="inlineStr">
        <is>
          <t>485|153|4.16999999999999</t>
        </is>
      </c>
    </row>
    <row r="1491">
      <c r="B1491" s="18" t="n">
        <v>11488</v>
      </c>
      <c r="C1491" s="32" t="inlineStr">
        <is>
          <t>110011</t>
        </is>
      </c>
      <c r="D1491" s="32" t="inlineStr">
        <is>
          <t>彼岸炽魂</t>
        </is>
      </c>
      <c r="E1491" s="18" t="inlineStr">
        <is>
          <t>37</t>
        </is>
      </c>
      <c r="F1491" s="26" t="n">
        <v>498.0000000000001</v>
      </c>
      <c r="G1491" s="18" t="inlineStr">
        <is>
          <t>10001|205350$124001|125948$124003|1688</t>
        </is>
      </c>
      <c r="H1491" s="18" t="inlineStr">
        <is>
          <t>156.4|4.23199999999999</t>
        </is>
      </c>
      <c r="J1491" s="26" t="inlineStr">
        <is>
          <t>造成一段[0]%伤害,每层火魂造成[1]%伤害，并回复[2]%生命</t>
        </is>
      </c>
      <c r="K1491" s="18" t="inlineStr">
        <is>
          <t>498|156.4|4.23199999999999</t>
        </is>
      </c>
    </row>
    <row r="1492">
      <c r="B1492" s="18" t="n">
        <v>11489</v>
      </c>
      <c r="C1492" s="32" t="inlineStr">
        <is>
          <t>110011</t>
        </is>
      </c>
      <c r="D1492" s="32" t="inlineStr">
        <is>
          <t>彼岸炽魂</t>
        </is>
      </c>
      <c r="E1492" s="18" t="inlineStr">
        <is>
          <t>38</t>
        </is>
      </c>
      <c r="F1492" s="26" t="n">
        <v>511.0000000000001</v>
      </c>
      <c r="G1492" s="18" t="inlineStr">
        <is>
          <t>10001|216600$124001|132848$124003|1757</t>
        </is>
      </c>
      <c r="H1492" s="18" t="inlineStr">
        <is>
          <t>159.8|4.29399999999999</t>
        </is>
      </c>
      <c r="J1492" s="26" t="inlineStr">
        <is>
          <t>造成一段[0]%伤害,每层火魂造成[1]%伤害，并回复[2]%生命</t>
        </is>
      </c>
      <c r="K1492" s="18" t="inlineStr">
        <is>
          <t>511|159.8|4.29399999999999</t>
        </is>
      </c>
    </row>
    <row r="1493">
      <c r="B1493" s="18" t="n">
        <v>11490</v>
      </c>
      <c r="C1493" s="32" t="inlineStr">
        <is>
          <t>110011</t>
        </is>
      </c>
      <c r="D1493" s="32" t="inlineStr">
        <is>
          <t>彼岸炽魂</t>
        </is>
      </c>
      <c r="E1493" s="18" t="inlineStr">
        <is>
          <t>39</t>
        </is>
      </c>
      <c r="F1493" s="26" t="n">
        <v>524</v>
      </c>
      <c r="G1493" s="18" t="inlineStr">
        <is>
          <t>10001|228150$124001|139932$124003|1827</t>
        </is>
      </c>
      <c r="H1493" s="18" t="inlineStr">
        <is>
          <t>163.2|4.35599999999999</t>
        </is>
      </c>
      <c r="J1493" s="26" t="inlineStr">
        <is>
          <t>造成一段[0]%伤害,每层火魂造成[1]%伤害，并回复[2]%生命</t>
        </is>
      </c>
      <c r="K1493" s="18" t="inlineStr">
        <is>
          <t>524|163.2|4.35599999999999</t>
        </is>
      </c>
    </row>
    <row r="1494">
      <c r="B1494" s="18" t="n">
        <v>11491</v>
      </c>
      <c r="C1494" s="32" t="inlineStr">
        <is>
          <t>110011</t>
        </is>
      </c>
      <c r="D1494" s="32" t="inlineStr">
        <is>
          <t>彼岸炽魂</t>
        </is>
      </c>
      <c r="E1494" s="18" t="inlineStr">
        <is>
          <t>40</t>
        </is>
      </c>
      <c r="F1494" s="26" t="n">
        <v>537</v>
      </c>
      <c r="G1494" s="18" t="inlineStr">
        <is>
          <t>10001|240000$125001|147200$125003|1897</t>
        </is>
      </c>
      <c r="H1494" s="18" t="inlineStr">
        <is>
          <t>166.6|4.41799999999999</t>
        </is>
      </c>
      <c r="J1494" s="26" t="inlineStr">
        <is>
          <t>造成一段[0]%伤害,每层火魂造成[1]%伤害，并回复[2]%生命</t>
        </is>
      </c>
      <c r="K1494" s="18" t="inlineStr">
        <is>
          <t>537|166.6|4.41799999999999</t>
        </is>
      </c>
    </row>
    <row r="1495">
      <c r="B1495" s="18" t="n">
        <v>11492</v>
      </c>
      <c r="C1495" s="32" t="inlineStr">
        <is>
          <t>110011</t>
        </is>
      </c>
      <c r="D1495" s="32" t="inlineStr">
        <is>
          <t>彼岸炽魂</t>
        </is>
      </c>
      <c r="E1495" s="18" t="inlineStr">
        <is>
          <t>41</t>
        </is>
      </c>
      <c r="F1495" s="26" t="n">
        <v>550</v>
      </c>
      <c r="G1495" s="18" t="inlineStr">
        <is>
          <t>10001|252150$125001|154652$125003|1969</t>
        </is>
      </c>
      <c r="H1495" s="18" t="inlineStr">
        <is>
          <t>170|4.47999999999999</t>
        </is>
      </c>
      <c r="J1495" s="26" t="inlineStr">
        <is>
          <t>造成一段[0]%伤害,每层火魂造成[1]%伤害，并回复[2]%生命</t>
        </is>
      </c>
      <c r="K1495" s="18" t="inlineStr">
        <is>
          <t>550|170|4.47999999999999</t>
        </is>
      </c>
    </row>
    <row r="1496">
      <c r="B1496" s="18" t="n">
        <v>11493</v>
      </c>
      <c r="C1496" s="32" t="inlineStr">
        <is>
          <t>110011</t>
        </is>
      </c>
      <c r="D1496" s="32" t="inlineStr">
        <is>
          <t>彼岸炽魂</t>
        </is>
      </c>
      <c r="E1496" s="18" t="inlineStr">
        <is>
          <t>42</t>
        </is>
      </c>
      <c r="F1496" s="26" t="n">
        <v>563</v>
      </c>
      <c r="G1496" s="18" t="inlineStr">
        <is>
          <t>10001|264600$125001|162288$125003|2041</t>
        </is>
      </c>
      <c r="H1496" s="18" t="inlineStr">
        <is>
          <t>173.4|4.54199999999999</t>
        </is>
      </c>
      <c r="J1496" s="26" t="inlineStr">
        <is>
          <t>造成一段[0]%伤害,每层火魂造成[1]%伤害，并回复[2]%生命</t>
        </is>
      </c>
      <c r="K1496" s="18" t="inlineStr">
        <is>
          <t>563|173.4|4.54199999999999</t>
        </is>
      </c>
    </row>
    <row r="1497">
      <c r="B1497" s="18" t="n">
        <v>11494</v>
      </c>
      <c r="C1497" s="32" t="inlineStr">
        <is>
          <t>110011</t>
        </is>
      </c>
      <c r="D1497" s="32" t="inlineStr">
        <is>
          <t>彼岸炽魂</t>
        </is>
      </c>
      <c r="E1497" s="18" t="inlineStr">
        <is>
          <t>43</t>
        </is>
      </c>
      <c r="F1497" s="26" t="n">
        <v>576</v>
      </c>
      <c r="G1497" s="18" t="inlineStr">
        <is>
          <t>10001|277350$125001|170108$125003|2115</t>
        </is>
      </c>
      <c r="H1497" s="18" t="inlineStr">
        <is>
          <t>176.8|4.60399999999999</t>
        </is>
      </c>
      <c r="J1497" s="26" t="inlineStr">
        <is>
          <t>造成一段[0]%伤害,每层火魂造成[1]%伤害，并回复[2]%生命</t>
        </is>
      </c>
      <c r="K1497" s="18" t="inlineStr">
        <is>
          <t>576|176.8|4.60399999999999</t>
        </is>
      </c>
    </row>
    <row r="1498">
      <c r="B1498" s="18" t="n">
        <v>11495</v>
      </c>
      <c r="C1498" s="32" t="inlineStr">
        <is>
          <t>110011</t>
        </is>
      </c>
      <c r="D1498" s="32" t="inlineStr">
        <is>
          <t>彼岸炽魂</t>
        </is>
      </c>
      <c r="E1498" s="18" t="inlineStr">
        <is>
          <t>44</t>
        </is>
      </c>
      <c r="F1498" s="26" t="n">
        <v>589</v>
      </c>
      <c r="G1498" s="18" t="inlineStr">
        <is>
          <t>10001|290400$125001|178112$125003|2189</t>
        </is>
      </c>
      <c r="H1498" s="18" t="inlineStr">
        <is>
          <t>180.2|4.66599999999999</t>
        </is>
      </c>
      <c r="J1498" s="26" t="inlineStr">
        <is>
          <t>造成一段[0]%伤害,每层火魂造成[1]%伤害，并回复[2]%生命</t>
        </is>
      </c>
      <c r="K1498" s="18" t="inlineStr">
        <is>
          <t>589|180.2|4.66599999999999</t>
        </is>
      </c>
    </row>
    <row r="1499">
      <c r="B1499" s="18" t="n">
        <v>11496</v>
      </c>
      <c r="C1499" s="32" t="inlineStr">
        <is>
          <t>110011</t>
        </is>
      </c>
      <c r="D1499" s="32" t="inlineStr">
        <is>
          <t>彼岸炽魂</t>
        </is>
      </c>
      <c r="E1499" s="18" t="inlineStr">
        <is>
          <t>45</t>
        </is>
      </c>
      <c r="F1499" s="26" t="n">
        <v>602</v>
      </c>
      <c r="G1499" s="18" t="inlineStr">
        <is>
          <t>10001|303750$125001|186300$125003|2264</t>
        </is>
      </c>
      <c r="H1499" s="18" t="inlineStr">
        <is>
          <t>183.6|4.72799999999999</t>
        </is>
      </c>
      <c r="J1499" s="26" t="inlineStr">
        <is>
          <t>造成一段[0]%伤害,每层火魂造成[1]%伤害，并回复[2]%生命</t>
        </is>
      </c>
      <c r="K1499" s="18" t="inlineStr">
        <is>
          <t>602|183.6|4.72799999999999</t>
        </is>
      </c>
    </row>
    <row r="1500">
      <c r="B1500" s="18" t="n">
        <v>11497</v>
      </c>
      <c r="C1500" s="32" t="inlineStr">
        <is>
          <t>110011</t>
        </is>
      </c>
      <c r="D1500" s="32" t="inlineStr">
        <is>
          <t>彼岸炽魂</t>
        </is>
      </c>
      <c r="E1500" s="18" t="inlineStr">
        <is>
          <t>46</t>
        </is>
      </c>
      <c r="F1500" s="26" t="n">
        <v>615</v>
      </c>
      <c r="G1500" s="18" t="inlineStr">
        <is>
          <t>10001|317400$125001|194672$125003|2340</t>
        </is>
      </c>
      <c r="H1500" s="18" t="inlineStr">
        <is>
          <t>187|4.78999999999999</t>
        </is>
      </c>
      <c r="J1500" s="26" t="inlineStr">
        <is>
          <t>造成一段[0]%伤害,每层火魂造成[1]%伤害，并回复[2]%生命</t>
        </is>
      </c>
      <c r="K1500" s="18" t="inlineStr">
        <is>
          <t>615|187|4.78999999999999</t>
        </is>
      </c>
    </row>
    <row r="1501">
      <c r="B1501" s="18" t="n">
        <v>11498</v>
      </c>
      <c r="C1501" s="32" t="inlineStr">
        <is>
          <t>110011</t>
        </is>
      </c>
      <c r="D1501" s="32" t="inlineStr">
        <is>
          <t>彼岸炽魂</t>
        </is>
      </c>
      <c r="E1501" s="18" t="inlineStr">
        <is>
          <t>47</t>
        </is>
      </c>
      <c r="F1501" s="26" t="n">
        <v>628</v>
      </c>
      <c r="G1501" s="18" t="inlineStr">
        <is>
          <t>10001|331350$125001|203228$125003|2417</t>
        </is>
      </c>
      <c r="H1501" s="18" t="inlineStr">
        <is>
          <t>190.4|4.85199999999999</t>
        </is>
      </c>
      <c r="J1501" s="26" t="inlineStr">
        <is>
          <t>造成一段[0]%伤害,每层火魂造成[1]%伤害，并回复[2]%生命</t>
        </is>
      </c>
      <c r="K1501" s="18" t="inlineStr">
        <is>
          <t>628|190.4|4.85199999999999</t>
        </is>
      </c>
    </row>
    <row r="1502">
      <c r="B1502" s="18" t="n">
        <v>11499</v>
      </c>
      <c r="C1502" s="32" t="inlineStr">
        <is>
          <t>110011</t>
        </is>
      </c>
      <c r="D1502" s="32" t="inlineStr">
        <is>
          <t>彼岸炽魂</t>
        </is>
      </c>
      <c r="E1502" s="18" t="inlineStr">
        <is>
          <t>48</t>
        </is>
      </c>
      <c r="F1502" s="26" t="n">
        <v>640.9999999999991</v>
      </c>
      <c r="G1502" s="18" t="inlineStr">
        <is>
          <t>10001|345600$125001|211968$125003|2494</t>
        </is>
      </c>
      <c r="H1502" s="18" t="inlineStr">
        <is>
          <t>193.8|4.91399999999999</t>
        </is>
      </c>
      <c r="J1502" s="26" t="inlineStr">
        <is>
          <t>造成一段[0]%伤害,每层火魂造成[1]%伤害，并回复[2]%生命</t>
        </is>
      </c>
      <c r="K1502" s="18" t="inlineStr">
        <is>
          <t>640.999999999999|193.8|4.91399999999999</t>
        </is>
      </c>
    </row>
    <row r="1503">
      <c r="B1503" s="18" t="n">
        <v>11500</v>
      </c>
      <c r="C1503" s="32" t="inlineStr">
        <is>
          <t>110011</t>
        </is>
      </c>
      <c r="D1503" s="32" t="inlineStr">
        <is>
          <t>彼岸炽魂</t>
        </is>
      </c>
      <c r="E1503" s="18" t="inlineStr">
        <is>
          <t>49</t>
        </is>
      </c>
      <c r="F1503" s="26" t="n">
        <v>653.999999999999</v>
      </c>
      <c r="G1503" s="18" t="inlineStr">
        <is>
          <t>10001|360150$125001|220892$125003|2573</t>
        </is>
      </c>
      <c r="H1503" s="18" t="inlineStr">
        <is>
          <t>197.2|4.97599999999999</t>
        </is>
      </c>
      <c r="J1503" s="26" t="inlineStr">
        <is>
          <t>造成一段[0]%伤害,每层火魂造成[1]%伤害，并回复[2]%生命</t>
        </is>
      </c>
      <c r="K1503" s="18" t="inlineStr">
        <is>
          <t>653.999999999999|197.2|4.97599999999999</t>
        </is>
      </c>
    </row>
    <row r="1504">
      <c r="B1504" s="18" t="n">
        <v>11501</v>
      </c>
      <c r="C1504" s="32" t="inlineStr">
        <is>
          <t>110011</t>
        </is>
      </c>
      <c r="D1504" s="32" t="inlineStr">
        <is>
          <t>彼岸炽魂</t>
        </is>
      </c>
      <c r="E1504" s="18" t="inlineStr">
        <is>
          <t>50</t>
        </is>
      </c>
      <c r="F1504" s="26" t="n">
        <v>666.999999999999</v>
      </c>
      <c r="G1504" s="18" t="inlineStr">
        <is>
          <t>10001|375000$125001|230000$125003|2652</t>
        </is>
      </c>
      <c r="H1504" s="18" t="inlineStr">
        <is>
          <t>200.6|5.03799999999999</t>
        </is>
      </c>
      <c r="J1504" s="26" t="inlineStr">
        <is>
          <t>造成一段[0]%伤害,每层火魂造成[1]%伤害，并回复[2]%生命</t>
        </is>
      </c>
      <c r="K1504" s="18" t="inlineStr">
        <is>
          <t>666.999999999999|200.6|5.03799999999999</t>
        </is>
      </c>
    </row>
    <row r="1505">
      <c r="B1505" s="18" t="n">
        <v>11502</v>
      </c>
      <c r="C1505" s="32" t="inlineStr">
        <is>
          <t>990012</t>
        </is>
      </c>
      <c r="D1505" s="32" t="inlineStr">
        <is>
          <t>大地近卫功法</t>
        </is>
      </c>
      <c r="E1505" s="18" t="inlineStr">
        <is>
          <t>1</t>
        </is>
      </c>
      <c r="F1505" s="18" t="n">
        <v>100</v>
      </c>
    </row>
    <row r="1506">
      <c r="B1506" s="18" t="n">
        <v>11503</v>
      </c>
      <c r="C1506" s="32" t="inlineStr">
        <is>
          <t>990012</t>
        </is>
      </c>
      <c r="D1506" s="32" t="inlineStr">
        <is>
          <t>大地近卫功法</t>
        </is>
      </c>
      <c r="E1506" s="18" t="inlineStr">
        <is>
          <t>2</t>
        </is>
      </c>
      <c r="F1506" s="18" t="n">
        <v>120</v>
      </c>
    </row>
    <row r="1507">
      <c r="B1507" s="18" t="n">
        <v>11504</v>
      </c>
      <c r="C1507" s="32" t="inlineStr">
        <is>
          <t>990012</t>
        </is>
      </c>
      <c r="D1507" s="32" t="inlineStr">
        <is>
          <t>大地近卫功法</t>
        </is>
      </c>
      <c r="E1507" s="18" t="inlineStr">
        <is>
          <t>3</t>
        </is>
      </c>
      <c r="F1507" s="18" t="n">
        <v>140</v>
      </c>
    </row>
    <row r="1508">
      <c r="B1508" s="18" t="n">
        <v>11505</v>
      </c>
      <c r="C1508" s="32" t="inlineStr">
        <is>
          <t>990012</t>
        </is>
      </c>
      <c r="D1508" s="32" t="inlineStr">
        <is>
          <t>大地近卫功法</t>
        </is>
      </c>
      <c r="E1508" s="18" t="inlineStr">
        <is>
          <t>4</t>
        </is>
      </c>
      <c r="F1508" s="18" t="n">
        <v>160</v>
      </c>
    </row>
    <row r="1509">
      <c r="B1509" s="18" t="n">
        <v>11506</v>
      </c>
      <c r="C1509" s="32" t="inlineStr">
        <is>
          <t>990012</t>
        </is>
      </c>
      <c r="D1509" s="32" t="inlineStr">
        <is>
          <t>大地近卫功法</t>
        </is>
      </c>
      <c r="E1509" s="18" t="inlineStr">
        <is>
          <t>5</t>
        </is>
      </c>
      <c r="F1509" s="18" t="n">
        <v>180</v>
      </c>
    </row>
    <row r="1510">
      <c r="B1510" s="18" t="n">
        <v>11507</v>
      </c>
      <c r="C1510" s="32" t="inlineStr">
        <is>
          <t>990012</t>
        </is>
      </c>
      <c r="D1510" s="32" t="inlineStr">
        <is>
          <t>大地近卫功法</t>
        </is>
      </c>
      <c r="E1510" s="18" t="inlineStr">
        <is>
          <t>6</t>
        </is>
      </c>
      <c r="F1510" s="18" t="n">
        <v>200</v>
      </c>
    </row>
    <row r="1511">
      <c r="B1511" s="18" t="n">
        <v>11508</v>
      </c>
      <c r="C1511" s="32" t="inlineStr">
        <is>
          <t>990012</t>
        </is>
      </c>
      <c r="D1511" s="32" t="inlineStr">
        <is>
          <t>大地近卫功法</t>
        </is>
      </c>
      <c r="E1511" s="18" t="inlineStr">
        <is>
          <t>7</t>
        </is>
      </c>
      <c r="F1511" s="18" t="n">
        <v>220</v>
      </c>
    </row>
    <row r="1512">
      <c r="B1512" s="18" t="n">
        <v>11509</v>
      </c>
      <c r="C1512" s="32" t="inlineStr">
        <is>
          <t>990012</t>
        </is>
      </c>
      <c r="D1512" s="32" t="inlineStr">
        <is>
          <t>大地近卫功法</t>
        </is>
      </c>
      <c r="E1512" s="18" t="inlineStr">
        <is>
          <t>8</t>
        </is>
      </c>
      <c r="F1512" s="18" t="n">
        <v>240</v>
      </c>
    </row>
    <row r="1513">
      <c r="B1513" s="18" t="n">
        <v>11510</v>
      </c>
      <c r="C1513" s="32" t="inlineStr">
        <is>
          <t>990012</t>
        </is>
      </c>
      <c r="D1513" s="32" t="inlineStr">
        <is>
          <t>大地近卫功法</t>
        </is>
      </c>
      <c r="E1513" s="18" t="inlineStr">
        <is>
          <t>9</t>
        </is>
      </c>
      <c r="F1513" s="18" t="n">
        <v>260</v>
      </c>
    </row>
    <row r="1514">
      <c r="B1514" s="18" t="n">
        <v>11511</v>
      </c>
      <c r="C1514" s="32" t="inlineStr">
        <is>
          <t>990012</t>
        </is>
      </c>
      <c r="D1514" s="32" t="inlineStr">
        <is>
          <t>大地近卫功法</t>
        </is>
      </c>
      <c r="E1514" s="18" t="inlineStr">
        <is>
          <t>10</t>
        </is>
      </c>
      <c r="F1514" s="18" t="n">
        <v>280</v>
      </c>
    </row>
    <row r="1515">
      <c r="B1515" s="18" t="n">
        <v>11512</v>
      </c>
      <c r="C1515" s="32" t="inlineStr">
        <is>
          <t>990012</t>
        </is>
      </c>
      <c r="D1515" s="32" t="inlineStr">
        <is>
          <t>大地近卫功法</t>
        </is>
      </c>
      <c r="E1515" s="18" t="inlineStr">
        <is>
          <t>11</t>
        </is>
      </c>
      <c r="F1515" s="18" t="n">
        <v>300</v>
      </c>
    </row>
    <row r="1516">
      <c r="B1516" s="18" t="n">
        <v>11513</v>
      </c>
      <c r="C1516" s="32" t="inlineStr">
        <is>
          <t>990012</t>
        </is>
      </c>
      <c r="D1516" s="32" t="inlineStr">
        <is>
          <t>大地近卫功法</t>
        </is>
      </c>
      <c r="E1516" s="18" t="inlineStr">
        <is>
          <t>12</t>
        </is>
      </c>
      <c r="F1516" s="18" t="n">
        <v>320</v>
      </c>
    </row>
    <row r="1517">
      <c r="B1517" s="18" t="n">
        <v>11514</v>
      </c>
      <c r="C1517" s="32" t="inlineStr">
        <is>
          <t>990012</t>
        </is>
      </c>
      <c r="D1517" s="32" t="inlineStr">
        <is>
          <t>大地近卫功法</t>
        </is>
      </c>
      <c r="E1517" s="18" t="inlineStr">
        <is>
          <t>13</t>
        </is>
      </c>
      <c r="F1517" s="18" t="n">
        <v>340</v>
      </c>
    </row>
    <row r="1518">
      <c r="B1518" s="18" t="n">
        <v>11515</v>
      </c>
      <c r="C1518" s="32" t="inlineStr">
        <is>
          <t>990012</t>
        </is>
      </c>
      <c r="D1518" s="32" t="inlineStr">
        <is>
          <t>大地近卫功法</t>
        </is>
      </c>
      <c r="E1518" s="18" t="inlineStr">
        <is>
          <t>14</t>
        </is>
      </c>
      <c r="F1518" s="18" t="n">
        <v>360</v>
      </c>
    </row>
    <row r="1519">
      <c r="B1519" s="18" t="n">
        <v>11516</v>
      </c>
      <c r="C1519" s="32" t="inlineStr">
        <is>
          <t>990012</t>
        </is>
      </c>
      <c r="D1519" s="32" t="inlineStr">
        <is>
          <t>大地近卫功法</t>
        </is>
      </c>
      <c r="E1519" s="18" t="inlineStr">
        <is>
          <t>15</t>
        </is>
      </c>
      <c r="F1519" s="18" t="n">
        <v>380</v>
      </c>
    </row>
    <row r="1520">
      <c r="B1520" s="18" t="n">
        <v>11517</v>
      </c>
      <c r="C1520" s="32" t="inlineStr">
        <is>
          <t>990012</t>
        </is>
      </c>
      <c r="D1520" s="32" t="inlineStr">
        <is>
          <t>大地近卫功法</t>
        </is>
      </c>
      <c r="E1520" s="18" t="inlineStr">
        <is>
          <t>16</t>
        </is>
      </c>
      <c r="F1520" s="18" t="n">
        <v>400</v>
      </c>
    </row>
    <row r="1521">
      <c r="B1521" s="18" t="n">
        <v>11518</v>
      </c>
      <c r="C1521" s="32" t="inlineStr">
        <is>
          <t>990012</t>
        </is>
      </c>
      <c r="D1521" s="32" t="inlineStr">
        <is>
          <t>大地近卫功法</t>
        </is>
      </c>
      <c r="E1521" s="18" t="inlineStr">
        <is>
          <t>17</t>
        </is>
      </c>
      <c r="F1521" s="18" t="n">
        <v>420</v>
      </c>
    </row>
    <row r="1522">
      <c r="B1522" s="18" t="n">
        <v>11519</v>
      </c>
      <c r="C1522" s="32" t="inlineStr">
        <is>
          <t>990012</t>
        </is>
      </c>
      <c r="D1522" s="32" t="inlineStr">
        <is>
          <t>大地近卫功法</t>
        </is>
      </c>
      <c r="E1522" s="18" t="inlineStr">
        <is>
          <t>18</t>
        </is>
      </c>
      <c r="F1522" s="18" t="n">
        <v>440</v>
      </c>
    </row>
    <row r="1523">
      <c r="B1523" s="18" t="n">
        <v>11520</v>
      </c>
      <c r="C1523" s="32" t="inlineStr">
        <is>
          <t>990012</t>
        </is>
      </c>
      <c r="D1523" s="32" t="inlineStr">
        <is>
          <t>大地近卫功法</t>
        </is>
      </c>
      <c r="E1523" s="18" t="inlineStr">
        <is>
          <t>19</t>
        </is>
      </c>
      <c r="F1523" s="18" t="n">
        <v>460</v>
      </c>
    </row>
    <row r="1524">
      <c r="B1524" s="18" t="n">
        <v>11521</v>
      </c>
      <c r="C1524" s="32" t="inlineStr">
        <is>
          <t>990012</t>
        </is>
      </c>
      <c r="D1524" s="32" t="inlineStr">
        <is>
          <t>大地近卫功法</t>
        </is>
      </c>
      <c r="E1524" s="18" t="inlineStr">
        <is>
          <t>20</t>
        </is>
      </c>
      <c r="F1524" s="18" t="n">
        <v>480</v>
      </c>
    </row>
    <row r="1525">
      <c r="B1525" s="18" t="n">
        <v>11522</v>
      </c>
      <c r="C1525" s="32" t="inlineStr">
        <is>
          <t>990012</t>
        </is>
      </c>
      <c r="D1525" s="32" t="inlineStr">
        <is>
          <t>大地近卫功法</t>
        </is>
      </c>
      <c r="E1525" s="18" t="inlineStr">
        <is>
          <t>21</t>
        </is>
      </c>
      <c r="F1525" s="18" t="n">
        <v>500</v>
      </c>
    </row>
    <row r="1526">
      <c r="B1526" s="18" t="n">
        <v>11523</v>
      </c>
      <c r="C1526" s="32" t="inlineStr">
        <is>
          <t>990012</t>
        </is>
      </c>
      <c r="D1526" s="32" t="inlineStr">
        <is>
          <t>大地近卫功法</t>
        </is>
      </c>
      <c r="E1526" s="18" t="inlineStr">
        <is>
          <t>22</t>
        </is>
      </c>
      <c r="F1526" s="18" t="n">
        <v>520</v>
      </c>
    </row>
    <row r="1527">
      <c r="B1527" s="18" t="n">
        <v>11524</v>
      </c>
      <c r="C1527" s="32" t="inlineStr">
        <is>
          <t>990012</t>
        </is>
      </c>
      <c r="D1527" s="32" t="inlineStr">
        <is>
          <t>大地近卫功法</t>
        </is>
      </c>
      <c r="E1527" s="18" t="inlineStr">
        <is>
          <t>23</t>
        </is>
      </c>
      <c r="F1527" s="18" t="n">
        <v>540</v>
      </c>
    </row>
    <row r="1528">
      <c r="B1528" s="18" t="n">
        <v>11525</v>
      </c>
      <c r="C1528" s="32" t="inlineStr">
        <is>
          <t>990012</t>
        </is>
      </c>
      <c r="D1528" s="32" t="inlineStr">
        <is>
          <t>大地近卫功法</t>
        </is>
      </c>
      <c r="E1528" s="18" t="inlineStr">
        <is>
          <t>24</t>
        </is>
      </c>
      <c r="F1528" s="18" t="n">
        <v>560</v>
      </c>
    </row>
    <row r="1529">
      <c r="B1529" s="18" t="n">
        <v>11526</v>
      </c>
      <c r="C1529" s="32" t="inlineStr">
        <is>
          <t>990012</t>
        </is>
      </c>
      <c r="D1529" s="32" t="inlineStr">
        <is>
          <t>大地近卫功法</t>
        </is>
      </c>
      <c r="E1529" s="18" t="inlineStr">
        <is>
          <t>25</t>
        </is>
      </c>
      <c r="F1529" s="18" t="n">
        <v>580</v>
      </c>
    </row>
    <row r="1530">
      <c r="B1530" s="18" t="n">
        <v>11527</v>
      </c>
      <c r="C1530" s="32" t="inlineStr">
        <is>
          <t>990012</t>
        </is>
      </c>
      <c r="D1530" s="32" t="inlineStr">
        <is>
          <t>大地近卫功法</t>
        </is>
      </c>
      <c r="E1530" s="18" t="inlineStr">
        <is>
          <t>26</t>
        </is>
      </c>
      <c r="F1530" s="18" t="n">
        <v>600</v>
      </c>
    </row>
    <row r="1531">
      <c r="B1531" s="18" t="n">
        <v>11528</v>
      </c>
      <c r="C1531" s="32" t="inlineStr">
        <is>
          <t>990012</t>
        </is>
      </c>
      <c r="D1531" s="32" t="inlineStr">
        <is>
          <t>大地近卫功法</t>
        </is>
      </c>
      <c r="E1531" s="18" t="inlineStr">
        <is>
          <t>27</t>
        </is>
      </c>
      <c r="F1531" s="18" t="n">
        <v>620</v>
      </c>
    </row>
    <row r="1532">
      <c r="B1532" s="18" t="n">
        <v>11529</v>
      </c>
      <c r="C1532" s="32" t="inlineStr">
        <is>
          <t>990012</t>
        </is>
      </c>
      <c r="D1532" s="32" t="inlineStr">
        <is>
          <t>大地近卫功法</t>
        </is>
      </c>
      <c r="E1532" s="18" t="inlineStr">
        <is>
          <t>28</t>
        </is>
      </c>
      <c r="F1532" s="18" t="n">
        <v>640</v>
      </c>
    </row>
    <row r="1533">
      <c r="B1533" s="18" t="n">
        <v>11530</v>
      </c>
      <c r="C1533" s="32" t="inlineStr">
        <is>
          <t>990012</t>
        </is>
      </c>
      <c r="D1533" s="32" t="inlineStr">
        <is>
          <t>大地近卫功法</t>
        </is>
      </c>
      <c r="E1533" s="18" t="inlineStr">
        <is>
          <t>29</t>
        </is>
      </c>
      <c r="F1533" s="18" t="n">
        <v>660</v>
      </c>
    </row>
    <row r="1534">
      <c r="B1534" s="18" t="n">
        <v>11531</v>
      </c>
      <c r="C1534" s="32" t="inlineStr">
        <is>
          <t>990012</t>
        </is>
      </c>
      <c r="D1534" s="32" t="inlineStr">
        <is>
          <t>大地近卫功法</t>
        </is>
      </c>
      <c r="E1534" s="18" t="inlineStr">
        <is>
          <t>30</t>
        </is>
      </c>
      <c r="F1534" s="18" t="n">
        <v>680</v>
      </c>
    </row>
    <row r="1535">
      <c r="B1535" s="18" t="n">
        <v>11532</v>
      </c>
      <c r="C1535" s="32" t="inlineStr">
        <is>
          <t>990012</t>
        </is>
      </c>
      <c r="D1535" s="32" t="inlineStr">
        <is>
          <t>大地近卫功法</t>
        </is>
      </c>
      <c r="E1535" s="18" t="inlineStr">
        <is>
          <t>31</t>
        </is>
      </c>
      <c r="F1535" s="18" t="n">
        <v>700</v>
      </c>
    </row>
    <row r="1536">
      <c r="B1536" s="18" t="n">
        <v>11533</v>
      </c>
      <c r="C1536" s="32" t="inlineStr">
        <is>
          <t>990012</t>
        </is>
      </c>
      <c r="D1536" s="32" t="inlineStr">
        <is>
          <t>大地近卫功法</t>
        </is>
      </c>
      <c r="E1536" s="18" t="inlineStr">
        <is>
          <t>32</t>
        </is>
      </c>
      <c r="F1536" s="18" t="n">
        <v>720</v>
      </c>
    </row>
    <row r="1537">
      <c r="B1537" s="18" t="n">
        <v>11534</v>
      </c>
      <c r="C1537" s="32" t="inlineStr">
        <is>
          <t>990012</t>
        </is>
      </c>
      <c r="D1537" s="32" t="inlineStr">
        <is>
          <t>大地近卫功法</t>
        </is>
      </c>
      <c r="E1537" s="18" t="inlineStr">
        <is>
          <t>33</t>
        </is>
      </c>
      <c r="F1537" s="18" t="n">
        <v>740</v>
      </c>
    </row>
    <row r="1538">
      <c r="B1538" s="18" t="n">
        <v>11535</v>
      </c>
      <c r="C1538" s="32" t="inlineStr">
        <is>
          <t>990012</t>
        </is>
      </c>
      <c r="D1538" s="32" t="inlineStr">
        <is>
          <t>大地近卫功法</t>
        </is>
      </c>
      <c r="E1538" s="18" t="inlineStr">
        <is>
          <t>34</t>
        </is>
      </c>
      <c r="F1538" s="18" t="n">
        <v>760</v>
      </c>
    </row>
    <row r="1539">
      <c r="B1539" s="18" t="n">
        <v>11536</v>
      </c>
      <c r="C1539" s="32" t="inlineStr">
        <is>
          <t>990012</t>
        </is>
      </c>
      <c r="D1539" s="32" t="inlineStr">
        <is>
          <t>大地近卫功法</t>
        </is>
      </c>
      <c r="E1539" s="18" t="inlineStr">
        <is>
          <t>35</t>
        </is>
      </c>
      <c r="F1539" s="18" t="n">
        <v>780</v>
      </c>
    </row>
    <row r="1540">
      <c r="B1540" s="18" t="n">
        <v>11537</v>
      </c>
      <c r="C1540" s="32" t="inlineStr">
        <is>
          <t>990012</t>
        </is>
      </c>
      <c r="D1540" s="32" t="inlineStr">
        <is>
          <t>大地近卫功法</t>
        </is>
      </c>
      <c r="E1540" s="18" t="inlineStr">
        <is>
          <t>36</t>
        </is>
      </c>
      <c r="F1540" s="18" t="n">
        <v>800</v>
      </c>
    </row>
    <row r="1541">
      <c r="B1541" s="18" t="n">
        <v>11538</v>
      </c>
      <c r="C1541" s="32" t="inlineStr">
        <is>
          <t>990012</t>
        </is>
      </c>
      <c r="D1541" s="32" t="inlineStr">
        <is>
          <t>大地近卫功法</t>
        </is>
      </c>
      <c r="E1541" s="18" t="inlineStr">
        <is>
          <t>37</t>
        </is>
      </c>
      <c r="F1541" s="18" t="n">
        <v>820</v>
      </c>
    </row>
    <row r="1542">
      <c r="B1542" s="18" t="n">
        <v>11539</v>
      </c>
      <c r="C1542" s="32" t="inlineStr">
        <is>
          <t>990012</t>
        </is>
      </c>
      <c r="D1542" s="32" t="inlineStr">
        <is>
          <t>大地近卫功法</t>
        </is>
      </c>
      <c r="E1542" s="18" t="inlineStr">
        <is>
          <t>38</t>
        </is>
      </c>
      <c r="F1542" s="18" t="n">
        <v>840</v>
      </c>
    </row>
    <row r="1543">
      <c r="B1543" s="18" t="n">
        <v>11540</v>
      </c>
      <c r="C1543" s="32" t="inlineStr">
        <is>
          <t>990012</t>
        </is>
      </c>
      <c r="D1543" s="32" t="inlineStr">
        <is>
          <t>大地近卫功法</t>
        </is>
      </c>
      <c r="E1543" s="18" t="inlineStr">
        <is>
          <t>39</t>
        </is>
      </c>
      <c r="F1543" s="18" t="n">
        <v>860</v>
      </c>
    </row>
    <row r="1544">
      <c r="B1544" s="18" t="n">
        <v>11541</v>
      </c>
      <c r="C1544" s="32" t="inlineStr">
        <is>
          <t>990012</t>
        </is>
      </c>
      <c r="D1544" s="32" t="inlineStr">
        <is>
          <t>大地近卫功法</t>
        </is>
      </c>
      <c r="E1544" s="18" t="inlineStr">
        <is>
          <t>40</t>
        </is>
      </c>
      <c r="F1544" s="18" t="n">
        <v>880</v>
      </c>
    </row>
    <row r="1545">
      <c r="B1545" s="18" t="n">
        <v>11542</v>
      </c>
      <c r="C1545" s="32" t="inlineStr">
        <is>
          <t>990012</t>
        </is>
      </c>
      <c r="D1545" s="32" t="inlineStr">
        <is>
          <t>大地近卫功法</t>
        </is>
      </c>
      <c r="E1545" s="18" t="inlineStr">
        <is>
          <t>41</t>
        </is>
      </c>
      <c r="F1545" s="18" t="n">
        <v>900</v>
      </c>
    </row>
    <row r="1546">
      <c r="B1546" s="18" t="n">
        <v>11543</v>
      </c>
      <c r="C1546" s="32" t="inlineStr">
        <is>
          <t>990012</t>
        </is>
      </c>
      <c r="D1546" s="32" t="inlineStr">
        <is>
          <t>大地近卫功法</t>
        </is>
      </c>
      <c r="E1546" s="18" t="inlineStr">
        <is>
          <t>42</t>
        </is>
      </c>
      <c r="F1546" s="18" t="n">
        <v>920</v>
      </c>
    </row>
    <row r="1547">
      <c r="B1547" s="18" t="n">
        <v>11544</v>
      </c>
      <c r="C1547" s="32" t="inlineStr">
        <is>
          <t>990012</t>
        </is>
      </c>
      <c r="D1547" s="32" t="inlineStr">
        <is>
          <t>大地近卫功法</t>
        </is>
      </c>
      <c r="E1547" s="18" t="inlineStr">
        <is>
          <t>43</t>
        </is>
      </c>
      <c r="F1547" s="18" t="n">
        <v>940</v>
      </c>
    </row>
    <row r="1548">
      <c r="B1548" s="18" t="n">
        <v>11545</v>
      </c>
      <c r="C1548" s="32" t="inlineStr">
        <is>
          <t>990012</t>
        </is>
      </c>
      <c r="D1548" s="32" t="inlineStr">
        <is>
          <t>大地近卫功法</t>
        </is>
      </c>
      <c r="E1548" s="18" t="inlineStr">
        <is>
          <t>44</t>
        </is>
      </c>
      <c r="F1548" s="18" t="n">
        <v>960</v>
      </c>
    </row>
    <row r="1549">
      <c r="B1549" s="18" t="n">
        <v>11546</v>
      </c>
      <c r="C1549" s="32" t="inlineStr">
        <is>
          <t>990012</t>
        </is>
      </c>
      <c r="D1549" s="32" t="inlineStr">
        <is>
          <t>大地近卫功法</t>
        </is>
      </c>
      <c r="E1549" s="18" t="inlineStr">
        <is>
          <t>45</t>
        </is>
      </c>
      <c r="F1549" s="18" t="n">
        <v>980</v>
      </c>
    </row>
    <row r="1550">
      <c r="B1550" s="18" t="n">
        <v>11547</v>
      </c>
      <c r="C1550" s="32" t="inlineStr">
        <is>
          <t>990012</t>
        </is>
      </c>
      <c r="D1550" s="32" t="inlineStr">
        <is>
          <t>大地近卫功法</t>
        </is>
      </c>
      <c r="E1550" s="18" t="inlineStr">
        <is>
          <t>46</t>
        </is>
      </c>
      <c r="F1550" s="18" t="n">
        <v>1000</v>
      </c>
    </row>
    <row r="1551">
      <c r="B1551" s="18" t="n">
        <v>11548</v>
      </c>
      <c r="C1551" s="32" t="inlineStr">
        <is>
          <t>990012</t>
        </is>
      </c>
      <c r="D1551" s="32" t="inlineStr">
        <is>
          <t>大地近卫功法</t>
        </is>
      </c>
      <c r="E1551" s="18" t="inlineStr">
        <is>
          <t>47</t>
        </is>
      </c>
      <c r="F1551" s="18" t="n">
        <v>1020</v>
      </c>
    </row>
    <row r="1552">
      <c r="B1552" s="18" t="n">
        <v>11549</v>
      </c>
      <c r="C1552" s="32" t="inlineStr">
        <is>
          <t>990012</t>
        </is>
      </c>
      <c r="D1552" s="32" t="inlineStr">
        <is>
          <t>大地近卫功法</t>
        </is>
      </c>
      <c r="E1552" s="18" t="inlineStr">
        <is>
          <t>48</t>
        </is>
      </c>
      <c r="F1552" s="18" t="n">
        <v>1040</v>
      </c>
    </row>
    <row r="1553">
      <c r="B1553" s="18" t="n">
        <v>11550</v>
      </c>
      <c r="C1553" s="32" t="inlineStr">
        <is>
          <t>990012</t>
        </is>
      </c>
      <c r="D1553" s="32" t="inlineStr">
        <is>
          <t>大地近卫功法</t>
        </is>
      </c>
      <c r="E1553" s="18" t="inlineStr">
        <is>
          <t>49</t>
        </is>
      </c>
      <c r="F1553" s="18" t="n">
        <v>1060</v>
      </c>
    </row>
    <row r="1554">
      <c r="B1554" s="18" t="n">
        <v>11551</v>
      </c>
      <c r="C1554" s="32" t="inlineStr">
        <is>
          <t>990012</t>
        </is>
      </c>
      <c r="D1554" s="32" t="inlineStr">
        <is>
          <t>大地近卫功法</t>
        </is>
      </c>
      <c r="E1554" s="18" t="inlineStr">
        <is>
          <t>50</t>
        </is>
      </c>
      <c r="F1554" s="18" t="n">
        <v>1080</v>
      </c>
    </row>
    <row r="1555">
      <c r="B1555" s="18" t="n">
        <v>11552</v>
      </c>
      <c r="C1555" s="32" t="inlineStr">
        <is>
          <t>990013</t>
        </is>
      </c>
      <c r="D1555" s="32" t="inlineStr">
        <is>
          <t>大地遗蜕功法</t>
        </is>
      </c>
      <c r="E1555" s="18" t="inlineStr">
        <is>
          <t>1</t>
        </is>
      </c>
      <c r="F1555" s="18" t="n">
        <v>100</v>
      </c>
    </row>
    <row r="1556">
      <c r="B1556" s="18" t="n">
        <v>11553</v>
      </c>
      <c r="C1556" s="32" t="inlineStr">
        <is>
          <t>990013</t>
        </is>
      </c>
      <c r="D1556" s="32" t="inlineStr">
        <is>
          <t>大地遗蜕功法</t>
        </is>
      </c>
      <c r="E1556" s="18" t="inlineStr">
        <is>
          <t>2</t>
        </is>
      </c>
      <c r="F1556" s="18" t="n">
        <v>120</v>
      </c>
    </row>
    <row r="1557">
      <c r="B1557" s="18" t="n">
        <v>11554</v>
      </c>
      <c r="C1557" s="32" t="inlineStr">
        <is>
          <t>990013</t>
        </is>
      </c>
      <c r="D1557" s="32" t="inlineStr">
        <is>
          <t>大地遗蜕功法</t>
        </is>
      </c>
      <c r="E1557" s="18" t="inlineStr">
        <is>
          <t>3</t>
        </is>
      </c>
      <c r="F1557" s="18" t="n">
        <v>140</v>
      </c>
    </row>
    <row r="1558">
      <c r="B1558" s="18" t="n">
        <v>11555</v>
      </c>
      <c r="C1558" s="32" t="inlineStr">
        <is>
          <t>990013</t>
        </is>
      </c>
      <c r="D1558" s="32" t="inlineStr">
        <is>
          <t>大地遗蜕功法</t>
        </is>
      </c>
      <c r="E1558" s="18" t="inlineStr">
        <is>
          <t>4</t>
        </is>
      </c>
      <c r="F1558" s="18" t="n">
        <v>160</v>
      </c>
    </row>
    <row r="1559">
      <c r="B1559" s="18" t="n">
        <v>11556</v>
      </c>
      <c r="C1559" s="32" t="inlineStr">
        <is>
          <t>990013</t>
        </is>
      </c>
      <c r="D1559" s="32" t="inlineStr">
        <is>
          <t>大地遗蜕功法</t>
        </is>
      </c>
      <c r="E1559" s="18" t="inlineStr">
        <is>
          <t>5</t>
        </is>
      </c>
      <c r="F1559" s="18" t="n">
        <v>180</v>
      </c>
    </row>
    <row r="1560">
      <c r="B1560" s="18" t="n">
        <v>11557</v>
      </c>
      <c r="C1560" s="32" t="inlineStr">
        <is>
          <t>990013</t>
        </is>
      </c>
      <c r="D1560" s="32" t="inlineStr">
        <is>
          <t>大地遗蜕功法</t>
        </is>
      </c>
      <c r="E1560" s="18" t="inlineStr">
        <is>
          <t>6</t>
        </is>
      </c>
      <c r="F1560" s="18" t="n">
        <v>200</v>
      </c>
    </row>
    <row r="1561">
      <c r="B1561" s="18" t="n">
        <v>11558</v>
      </c>
      <c r="C1561" s="32" t="inlineStr">
        <is>
          <t>990013</t>
        </is>
      </c>
      <c r="D1561" s="32" t="inlineStr">
        <is>
          <t>大地遗蜕功法</t>
        </is>
      </c>
      <c r="E1561" s="18" t="inlineStr">
        <is>
          <t>7</t>
        </is>
      </c>
      <c r="F1561" s="18" t="n">
        <v>220</v>
      </c>
    </row>
    <row r="1562">
      <c r="B1562" s="18" t="n">
        <v>11559</v>
      </c>
      <c r="C1562" s="32" t="inlineStr">
        <is>
          <t>990013</t>
        </is>
      </c>
      <c r="D1562" s="32" t="inlineStr">
        <is>
          <t>大地遗蜕功法</t>
        </is>
      </c>
      <c r="E1562" s="18" t="inlineStr">
        <is>
          <t>8</t>
        </is>
      </c>
      <c r="F1562" s="18" t="n">
        <v>240</v>
      </c>
    </row>
    <row r="1563">
      <c r="B1563" s="18" t="n">
        <v>11560</v>
      </c>
      <c r="C1563" s="32" t="inlineStr">
        <is>
          <t>990013</t>
        </is>
      </c>
      <c r="D1563" s="32" t="inlineStr">
        <is>
          <t>大地遗蜕功法</t>
        </is>
      </c>
      <c r="E1563" s="18" t="inlineStr">
        <is>
          <t>9</t>
        </is>
      </c>
      <c r="F1563" s="18" t="n">
        <v>260</v>
      </c>
    </row>
    <row r="1564">
      <c r="B1564" s="18" t="n">
        <v>11561</v>
      </c>
      <c r="C1564" s="32" t="inlineStr">
        <is>
          <t>990013</t>
        </is>
      </c>
      <c r="D1564" s="32" t="inlineStr">
        <is>
          <t>大地遗蜕功法</t>
        </is>
      </c>
      <c r="E1564" s="18" t="inlineStr">
        <is>
          <t>10</t>
        </is>
      </c>
      <c r="F1564" s="18" t="n">
        <v>280</v>
      </c>
    </row>
    <row r="1565">
      <c r="B1565" s="18" t="n">
        <v>11562</v>
      </c>
      <c r="C1565" s="32" t="inlineStr">
        <is>
          <t>990013</t>
        </is>
      </c>
      <c r="D1565" s="32" t="inlineStr">
        <is>
          <t>大地遗蜕功法</t>
        </is>
      </c>
      <c r="E1565" s="18" t="inlineStr">
        <is>
          <t>11</t>
        </is>
      </c>
      <c r="F1565" s="18" t="n">
        <v>300</v>
      </c>
    </row>
    <row r="1566">
      <c r="B1566" s="18" t="n">
        <v>11563</v>
      </c>
      <c r="C1566" s="32" t="inlineStr">
        <is>
          <t>990013</t>
        </is>
      </c>
      <c r="D1566" s="32" t="inlineStr">
        <is>
          <t>大地遗蜕功法</t>
        </is>
      </c>
      <c r="E1566" s="18" t="inlineStr">
        <is>
          <t>12</t>
        </is>
      </c>
      <c r="F1566" s="18" t="n">
        <v>320</v>
      </c>
    </row>
    <row r="1567">
      <c r="B1567" s="18" t="n">
        <v>11564</v>
      </c>
      <c r="C1567" s="32" t="inlineStr">
        <is>
          <t>990013</t>
        </is>
      </c>
      <c r="D1567" s="32" t="inlineStr">
        <is>
          <t>大地遗蜕功法</t>
        </is>
      </c>
      <c r="E1567" s="18" t="inlineStr">
        <is>
          <t>13</t>
        </is>
      </c>
      <c r="F1567" s="18" t="n">
        <v>340</v>
      </c>
    </row>
    <row r="1568">
      <c r="B1568" s="18" t="n">
        <v>11565</v>
      </c>
      <c r="C1568" s="32" t="inlineStr">
        <is>
          <t>990013</t>
        </is>
      </c>
      <c r="D1568" s="32" t="inlineStr">
        <is>
          <t>大地遗蜕功法</t>
        </is>
      </c>
      <c r="E1568" s="18" t="inlineStr">
        <is>
          <t>14</t>
        </is>
      </c>
      <c r="F1568" s="18" t="n">
        <v>360</v>
      </c>
    </row>
    <row r="1569">
      <c r="B1569" s="18" t="n">
        <v>11566</v>
      </c>
      <c r="C1569" s="32" t="inlineStr">
        <is>
          <t>990013</t>
        </is>
      </c>
      <c r="D1569" s="32" t="inlineStr">
        <is>
          <t>大地遗蜕功法</t>
        </is>
      </c>
      <c r="E1569" s="18" t="inlineStr">
        <is>
          <t>15</t>
        </is>
      </c>
      <c r="F1569" s="18" t="n">
        <v>380</v>
      </c>
    </row>
    <row r="1570">
      <c r="B1570" s="18" t="n">
        <v>11567</v>
      </c>
      <c r="C1570" s="32" t="inlineStr">
        <is>
          <t>990013</t>
        </is>
      </c>
      <c r="D1570" s="32" t="inlineStr">
        <is>
          <t>大地遗蜕功法</t>
        </is>
      </c>
      <c r="E1570" s="18" t="inlineStr">
        <is>
          <t>16</t>
        </is>
      </c>
      <c r="F1570" s="18" t="n">
        <v>400</v>
      </c>
    </row>
    <row r="1571">
      <c r="B1571" s="18" t="n">
        <v>11568</v>
      </c>
      <c r="C1571" s="32" t="inlineStr">
        <is>
          <t>990013</t>
        </is>
      </c>
      <c r="D1571" s="32" t="inlineStr">
        <is>
          <t>大地遗蜕功法</t>
        </is>
      </c>
      <c r="E1571" s="18" t="inlineStr">
        <is>
          <t>17</t>
        </is>
      </c>
      <c r="F1571" s="18" t="n">
        <v>420</v>
      </c>
    </row>
    <row r="1572">
      <c r="B1572" s="18" t="n">
        <v>11569</v>
      </c>
      <c r="C1572" s="32" t="inlineStr">
        <is>
          <t>990013</t>
        </is>
      </c>
      <c r="D1572" s="32" t="inlineStr">
        <is>
          <t>大地遗蜕功法</t>
        </is>
      </c>
      <c r="E1572" s="18" t="inlineStr">
        <is>
          <t>18</t>
        </is>
      </c>
      <c r="F1572" s="18" t="n">
        <v>440</v>
      </c>
    </row>
    <row r="1573">
      <c r="B1573" s="18" t="n">
        <v>11570</v>
      </c>
      <c r="C1573" s="32" t="inlineStr">
        <is>
          <t>990013</t>
        </is>
      </c>
      <c r="D1573" s="32" t="inlineStr">
        <is>
          <t>大地遗蜕功法</t>
        </is>
      </c>
      <c r="E1573" s="18" t="inlineStr">
        <is>
          <t>19</t>
        </is>
      </c>
      <c r="F1573" s="18" t="n">
        <v>460</v>
      </c>
    </row>
    <row r="1574">
      <c r="B1574" s="18" t="n">
        <v>11571</v>
      </c>
      <c r="C1574" s="32" t="inlineStr">
        <is>
          <t>990013</t>
        </is>
      </c>
      <c r="D1574" s="32" t="inlineStr">
        <is>
          <t>大地遗蜕功法</t>
        </is>
      </c>
      <c r="E1574" s="18" t="inlineStr">
        <is>
          <t>20</t>
        </is>
      </c>
      <c r="F1574" s="18" t="n">
        <v>480</v>
      </c>
    </row>
    <row r="1575">
      <c r="B1575" s="18" t="n">
        <v>11572</v>
      </c>
      <c r="C1575" s="32" t="inlineStr">
        <is>
          <t>990013</t>
        </is>
      </c>
      <c r="D1575" s="32" t="inlineStr">
        <is>
          <t>大地遗蜕功法</t>
        </is>
      </c>
      <c r="E1575" s="18" t="inlineStr">
        <is>
          <t>21</t>
        </is>
      </c>
      <c r="F1575" s="18" t="n">
        <v>500</v>
      </c>
    </row>
    <row r="1576">
      <c r="B1576" s="18" t="n">
        <v>11573</v>
      </c>
      <c r="C1576" s="32" t="inlineStr">
        <is>
          <t>990013</t>
        </is>
      </c>
      <c r="D1576" s="32" t="inlineStr">
        <is>
          <t>大地遗蜕功法</t>
        </is>
      </c>
      <c r="E1576" s="18" t="inlineStr">
        <is>
          <t>22</t>
        </is>
      </c>
      <c r="F1576" s="18" t="n">
        <v>520</v>
      </c>
    </row>
    <row r="1577">
      <c r="B1577" s="18" t="n">
        <v>11574</v>
      </c>
      <c r="C1577" s="32" t="inlineStr">
        <is>
          <t>990013</t>
        </is>
      </c>
      <c r="D1577" s="32" t="inlineStr">
        <is>
          <t>大地遗蜕功法</t>
        </is>
      </c>
      <c r="E1577" s="18" t="inlineStr">
        <is>
          <t>23</t>
        </is>
      </c>
      <c r="F1577" s="18" t="n">
        <v>540</v>
      </c>
    </row>
    <row r="1578">
      <c r="B1578" s="18" t="n">
        <v>11575</v>
      </c>
      <c r="C1578" s="32" t="inlineStr">
        <is>
          <t>990013</t>
        </is>
      </c>
      <c r="D1578" s="32" t="inlineStr">
        <is>
          <t>大地遗蜕功法</t>
        </is>
      </c>
      <c r="E1578" s="18" t="inlineStr">
        <is>
          <t>24</t>
        </is>
      </c>
      <c r="F1578" s="18" t="n">
        <v>560</v>
      </c>
    </row>
    <row r="1579">
      <c r="B1579" s="18" t="n">
        <v>11576</v>
      </c>
      <c r="C1579" s="32" t="inlineStr">
        <is>
          <t>990013</t>
        </is>
      </c>
      <c r="D1579" s="32" t="inlineStr">
        <is>
          <t>大地遗蜕功法</t>
        </is>
      </c>
      <c r="E1579" s="18" t="inlineStr">
        <is>
          <t>25</t>
        </is>
      </c>
      <c r="F1579" s="18" t="n">
        <v>580</v>
      </c>
    </row>
    <row r="1580">
      <c r="B1580" s="18" t="n">
        <v>11577</v>
      </c>
      <c r="C1580" s="32" t="inlineStr">
        <is>
          <t>990013</t>
        </is>
      </c>
      <c r="D1580" s="32" t="inlineStr">
        <is>
          <t>大地遗蜕功法</t>
        </is>
      </c>
      <c r="E1580" s="18" t="inlineStr">
        <is>
          <t>26</t>
        </is>
      </c>
      <c r="F1580" s="18" t="n">
        <v>600</v>
      </c>
    </row>
    <row r="1581">
      <c r="B1581" s="18" t="n">
        <v>11578</v>
      </c>
      <c r="C1581" s="32" t="inlineStr">
        <is>
          <t>990013</t>
        </is>
      </c>
      <c r="D1581" s="32" t="inlineStr">
        <is>
          <t>大地遗蜕功法</t>
        </is>
      </c>
      <c r="E1581" s="18" t="inlineStr">
        <is>
          <t>27</t>
        </is>
      </c>
      <c r="F1581" s="18" t="n">
        <v>620</v>
      </c>
    </row>
    <row r="1582">
      <c r="B1582" s="18" t="n">
        <v>11579</v>
      </c>
      <c r="C1582" s="32" t="inlineStr">
        <is>
          <t>990013</t>
        </is>
      </c>
      <c r="D1582" s="32" t="inlineStr">
        <is>
          <t>大地遗蜕功法</t>
        </is>
      </c>
      <c r="E1582" s="18" t="inlineStr">
        <is>
          <t>28</t>
        </is>
      </c>
      <c r="F1582" s="18" t="n">
        <v>640</v>
      </c>
    </row>
    <row r="1583">
      <c r="B1583" s="18" t="n">
        <v>11580</v>
      </c>
      <c r="C1583" s="32" t="inlineStr">
        <is>
          <t>990013</t>
        </is>
      </c>
      <c r="D1583" s="32" t="inlineStr">
        <is>
          <t>大地遗蜕功法</t>
        </is>
      </c>
      <c r="E1583" s="18" t="inlineStr">
        <is>
          <t>29</t>
        </is>
      </c>
      <c r="F1583" s="18" t="n">
        <v>660</v>
      </c>
    </row>
    <row r="1584">
      <c r="B1584" s="18" t="n">
        <v>11581</v>
      </c>
      <c r="C1584" s="32" t="inlineStr">
        <is>
          <t>990013</t>
        </is>
      </c>
      <c r="D1584" s="32" t="inlineStr">
        <is>
          <t>大地遗蜕功法</t>
        </is>
      </c>
      <c r="E1584" s="18" t="inlineStr">
        <is>
          <t>30</t>
        </is>
      </c>
      <c r="F1584" s="18" t="n">
        <v>680</v>
      </c>
    </row>
    <row r="1585">
      <c r="B1585" s="18" t="n">
        <v>11582</v>
      </c>
      <c r="C1585" s="32" t="inlineStr">
        <is>
          <t>990013</t>
        </is>
      </c>
      <c r="D1585" s="32" t="inlineStr">
        <is>
          <t>大地遗蜕功法</t>
        </is>
      </c>
      <c r="E1585" s="18" t="inlineStr">
        <is>
          <t>31</t>
        </is>
      </c>
      <c r="F1585" s="18" t="n">
        <v>700</v>
      </c>
    </row>
    <row r="1586">
      <c r="B1586" s="18" t="n">
        <v>11583</v>
      </c>
      <c r="C1586" s="32" t="inlineStr">
        <is>
          <t>990013</t>
        </is>
      </c>
      <c r="D1586" s="32" t="inlineStr">
        <is>
          <t>大地遗蜕功法</t>
        </is>
      </c>
      <c r="E1586" s="18" t="inlineStr">
        <is>
          <t>32</t>
        </is>
      </c>
      <c r="F1586" s="18" t="n">
        <v>720</v>
      </c>
    </row>
    <row r="1587">
      <c r="B1587" s="18" t="n">
        <v>11584</v>
      </c>
      <c r="C1587" s="32" t="inlineStr">
        <is>
          <t>990013</t>
        </is>
      </c>
      <c r="D1587" s="32" t="inlineStr">
        <is>
          <t>大地遗蜕功法</t>
        </is>
      </c>
      <c r="E1587" s="18" t="inlineStr">
        <is>
          <t>33</t>
        </is>
      </c>
      <c r="F1587" s="18" t="n">
        <v>740</v>
      </c>
    </row>
    <row r="1588">
      <c r="B1588" s="18" t="n">
        <v>11585</v>
      </c>
      <c r="C1588" s="32" t="inlineStr">
        <is>
          <t>990013</t>
        </is>
      </c>
      <c r="D1588" s="32" t="inlineStr">
        <is>
          <t>大地遗蜕功法</t>
        </is>
      </c>
      <c r="E1588" s="18" t="inlineStr">
        <is>
          <t>34</t>
        </is>
      </c>
      <c r="F1588" s="18" t="n">
        <v>760</v>
      </c>
    </row>
    <row r="1589">
      <c r="B1589" s="18" t="n">
        <v>11586</v>
      </c>
      <c r="C1589" s="32" t="inlineStr">
        <is>
          <t>990013</t>
        </is>
      </c>
      <c r="D1589" s="32" t="inlineStr">
        <is>
          <t>大地遗蜕功法</t>
        </is>
      </c>
      <c r="E1589" s="18" t="inlineStr">
        <is>
          <t>35</t>
        </is>
      </c>
      <c r="F1589" s="18" t="n">
        <v>780</v>
      </c>
    </row>
    <row r="1590">
      <c r="B1590" s="18" t="n">
        <v>11587</v>
      </c>
      <c r="C1590" s="32" t="inlineStr">
        <is>
          <t>990013</t>
        </is>
      </c>
      <c r="D1590" s="32" t="inlineStr">
        <is>
          <t>大地遗蜕功法</t>
        </is>
      </c>
      <c r="E1590" s="18" t="inlineStr">
        <is>
          <t>36</t>
        </is>
      </c>
      <c r="F1590" s="18" t="n">
        <v>800</v>
      </c>
    </row>
    <row r="1591">
      <c r="B1591" s="18" t="n">
        <v>11588</v>
      </c>
      <c r="C1591" s="32" t="inlineStr">
        <is>
          <t>990013</t>
        </is>
      </c>
      <c r="D1591" s="32" t="inlineStr">
        <is>
          <t>大地遗蜕功法</t>
        </is>
      </c>
      <c r="E1591" s="18" t="inlineStr">
        <is>
          <t>37</t>
        </is>
      </c>
      <c r="F1591" s="18" t="n">
        <v>820</v>
      </c>
    </row>
    <row r="1592">
      <c r="B1592" s="18" t="n">
        <v>11589</v>
      </c>
      <c r="C1592" s="32" t="inlineStr">
        <is>
          <t>990013</t>
        </is>
      </c>
      <c r="D1592" s="32" t="inlineStr">
        <is>
          <t>大地遗蜕功法</t>
        </is>
      </c>
      <c r="E1592" s="18" t="inlineStr">
        <is>
          <t>38</t>
        </is>
      </c>
      <c r="F1592" s="18" t="n">
        <v>840</v>
      </c>
    </row>
    <row r="1593">
      <c r="B1593" s="18" t="n">
        <v>11590</v>
      </c>
      <c r="C1593" s="32" t="inlineStr">
        <is>
          <t>990013</t>
        </is>
      </c>
      <c r="D1593" s="32" t="inlineStr">
        <is>
          <t>大地遗蜕功法</t>
        </is>
      </c>
      <c r="E1593" s="18" t="inlineStr">
        <is>
          <t>39</t>
        </is>
      </c>
      <c r="F1593" s="18" t="n">
        <v>860</v>
      </c>
    </row>
    <row r="1594">
      <c r="B1594" s="18" t="n">
        <v>11591</v>
      </c>
      <c r="C1594" s="32" t="inlineStr">
        <is>
          <t>990013</t>
        </is>
      </c>
      <c r="D1594" s="32" t="inlineStr">
        <is>
          <t>大地遗蜕功法</t>
        </is>
      </c>
      <c r="E1594" s="18" t="inlineStr">
        <is>
          <t>40</t>
        </is>
      </c>
      <c r="F1594" s="18" t="n">
        <v>880</v>
      </c>
    </row>
    <row r="1595">
      <c r="B1595" s="18" t="n">
        <v>11592</v>
      </c>
      <c r="C1595" s="32" t="inlineStr">
        <is>
          <t>990013</t>
        </is>
      </c>
      <c r="D1595" s="32" t="inlineStr">
        <is>
          <t>大地遗蜕功法</t>
        </is>
      </c>
      <c r="E1595" s="18" t="inlineStr">
        <is>
          <t>41</t>
        </is>
      </c>
      <c r="F1595" s="18" t="n">
        <v>900</v>
      </c>
    </row>
    <row r="1596">
      <c r="B1596" s="18" t="n">
        <v>11593</v>
      </c>
      <c r="C1596" s="32" t="inlineStr">
        <is>
          <t>990013</t>
        </is>
      </c>
      <c r="D1596" s="32" t="inlineStr">
        <is>
          <t>大地遗蜕功法</t>
        </is>
      </c>
      <c r="E1596" s="18" t="inlineStr">
        <is>
          <t>42</t>
        </is>
      </c>
      <c r="F1596" s="18" t="n">
        <v>920</v>
      </c>
    </row>
    <row r="1597">
      <c r="B1597" s="18" t="n">
        <v>11594</v>
      </c>
      <c r="C1597" s="32" t="inlineStr">
        <is>
          <t>990013</t>
        </is>
      </c>
      <c r="D1597" s="32" t="inlineStr">
        <is>
          <t>大地遗蜕功法</t>
        </is>
      </c>
      <c r="E1597" s="18" t="inlineStr">
        <is>
          <t>43</t>
        </is>
      </c>
      <c r="F1597" s="18" t="n">
        <v>940</v>
      </c>
    </row>
    <row r="1598">
      <c r="B1598" s="18" t="n">
        <v>11595</v>
      </c>
      <c r="C1598" s="32" t="inlineStr">
        <is>
          <t>990013</t>
        </is>
      </c>
      <c r="D1598" s="32" t="inlineStr">
        <is>
          <t>大地遗蜕功法</t>
        </is>
      </c>
      <c r="E1598" s="18" t="inlineStr">
        <is>
          <t>44</t>
        </is>
      </c>
      <c r="F1598" s="18" t="n">
        <v>960</v>
      </c>
    </row>
    <row r="1599">
      <c r="B1599" s="18" t="n">
        <v>11596</v>
      </c>
      <c r="C1599" s="32" t="inlineStr">
        <is>
          <t>990013</t>
        </is>
      </c>
      <c r="D1599" s="32" t="inlineStr">
        <is>
          <t>大地遗蜕功法</t>
        </is>
      </c>
      <c r="E1599" s="18" t="inlineStr">
        <is>
          <t>45</t>
        </is>
      </c>
      <c r="F1599" s="18" t="n">
        <v>980</v>
      </c>
    </row>
    <row r="1600">
      <c r="B1600" s="18" t="n">
        <v>11597</v>
      </c>
      <c r="C1600" s="32" t="inlineStr">
        <is>
          <t>990013</t>
        </is>
      </c>
      <c r="D1600" s="32" t="inlineStr">
        <is>
          <t>大地遗蜕功法</t>
        </is>
      </c>
      <c r="E1600" s="18" t="inlineStr">
        <is>
          <t>46</t>
        </is>
      </c>
      <c r="F1600" s="18" t="n">
        <v>1000</v>
      </c>
    </row>
    <row r="1601">
      <c r="B1601" s="18" t="n">
        <v>11598</v>
      </c>
      <c r="C1601" s="32" t="inlineStr">
        <is>
          <t>990013</t>
        </is>
      </c>
      <c r="D1601" s="32" t="inlineStr">
        <is>
          <t>大地遗蜕功法</t>
        </is>
      </c>
      <c r="E1601" s="18" t="inlineStr">
        <is>
          <t>47</t>
        </is>
      </c>
      <c r="F1601" s="18" t="n">
        <v>1020</v>
      </c>
    </row>
    <row r="1602">
      <c r="B1602" s="18" t="n">
        <v>11599</v>
      </c>
      <c r="C1602" s="32" t="inlineStr">
        <is>
          <t>990013</t>
        </is>
      </c>
      <c r="D1602" s="32" t="inlineStr">
        <is>
          <t>大地遗蜕功法</t>
        </is>
      </c>
      <c r="E1602" s="18" t="inlineStr">
        <is>
          <t>48</t>
        </is>
      </c>
      <c r="F1602" s="18" t="n">
        <v>1040</v>
      </c>
    </row>
    <row r="1603">
      <c r="B1603" s="18" t="n">
        <v>11600</v>
      </c>
      <c r="C1603" s="32" t="inlineStr">
        <is>
          <t>990013</t>
        </is>
      </c>
      <c r="D1603" s="32" t="inlineStr">
        <is>
          <t>大地遗蜕功法</t>
        </is>
      </c>
      <c r="E1603" s="18" t="inlineStr">
        <is>
          <t>49</t>
        </is>
      </c>
      <c r="F1603" s="18" t="n">
        <v>1060</v>
      </c>
    </row>
    <row r="1604">
      <c r="B1604" s="18" t="n">
        <v>11601</v>
      </c>
      <c r="C1604" s="32" t="inlineStr">
        <is>
          <t>990013</t>
        </is>
      </c>
      <c r="D1604" s="32" t="inlineStr">
        <is>
          <t>大地遗蜕功法</t>
        </is>
      </c>
      <c r="E1604" s="18" t="inlineStr">
        <is>
          <t>50</t>
        </is>
      </c>
      <c r="F1604" s="18" t="n">
        <v>1080</v>
      </c>
    </row>
    <row r="1605">
      <c r="B1605" s="18" t="n">
        <v>11602</v>
      </c>
      <c r="C1605" s="32" t="inlineStr">
        <is>
          <t>990014</t>
        </is>
      </c>
      <c r="D1605" s="35" t="inlineStr">
        <is>
          <t>青月冰决</t>
        </is>
      </c>
      <c r="E1605" s="18" t="inlineStr">
        <is>
          <t>1</t>
        </is>
      </c>
      <c r="F1605" s="18" t="n">
        <v>100</v>
      </c>
      <c r="H1605" s="18" t="inlineStr">
        <is>
          <t>0|40</t>
        </is>
      </c>
    </row>
    <row r="1606">
      <c r="B1606" s="18" t="n">
        <v>11603</v>
      </c>
      <c r="C1606" s="32" t="inlineStr">
        <is>
          <t>990014</t>
        </is>
      </c>
      <c r="D1606" s="35" t="inlineStr">
        <is>
          <t>青月冰决</t>
        </is>
      </c>
      <c r="E1606" s="18" t="inlineStr">
        <is>
          <t>2</t>
        </is>
      </c>
      <c r="F1606" s="18" t="n">
        <v>120</v>
      </c>
      <c r="H1606" s="18" t="inlineStr">
        <is>
          <t>0|40</t>
        </is>
      </c>
    </row>
    <row r="1607">
      <c r="B1607" s="18" t="n">
        <v>11604</v>
      </c>
      <c r="C1607" s="32" t="inlineStr">
        <is>
          <t>990014</t>
        </is>
      </c>
      <c r="D1607" s="35" t="inlineStr">
        <is>
          <t>青月冰决</t>
        </is>
      </c>
      <c r="E1607" s="18" t="inlineStr">
        <is>
          <t>3</t>
        </is>
      </c>
      <c r="F1607" s="18" t="n">
        <v>140</v>
      </c>
      <c r="H1607" s="18" t="inlineStr">
        <is>
          <t>0|40</t>
        </is>
      </c>
    </row>
    <row r="1608">
      <c r="B1608" s="18" t="n">
        <v>11605</v>
      </c>
      <c r="C1608" s="32" t="inlineStr">
        <is>
          <t>990014</t>
        </is>
      </c>
      <c r="D1608" s="35" t="inlineStr">
        <is>
          <t>青月冰决</t>
        </is>
      </c>
      <c r="E1608" s="18" t="inlineStr">
        <is>
          <t>4</t>
        </is>
      </c>
      <c r="F1608" s="18" t="n">
        <v>160</v>
      </c>
      <c r="H1608" s="18" t="inlineStr">
        <is>
          <t>0|40</t>
        </is>
      </c>
    </row>
    <row r="1609">
      <c r="B1609" s="18" t="n">
        <v>11606</v>
      </c>
      <c r="C1609" s="32" t="inlineStr">
        <is>
          <t>990014</t>
        </is>
      </c>
      <c r="D1609" s="35" t="inlineStr">
        <is>
          <t>青月冰决</t>
        </is>
      </c>
      <c r="E1609" s="18" t="inlineStr">
        <is>
          <t>5</t>
        </is>
      </c>
      <c r="F1609" s="18" t="n">
        <v>180</v>
      </c>
      <c r="H1609" s="18" t="inlineStr">
        <is>
          <t>0|40</t>
        </is>
      </c>
    </row>
    <row r="1610">
      <c r="B1610" s="18" t="n">
        <v>11607</v>
      </c>
      <c r="C1610" s="32" t="inlineStr">
        <is>
          <t>990014</t>
        </is>
      </c>
      <c r="D1610" s="35" t="inlineStr">
        <is>
          <t>青月冰决</t>
        </is>
      </c>
      <c r="E1610" s="18" t="inlineStr">
        <is>
          <t>6</t>
        </is>
      </c>
      <c r="F1610" s="18" t="n">
        <v>200</v>
      </c>
      <c r="H1610" s="18" t="inlineStr">
        <is>
          <t>0|40</t>
        </is>
      </c>
    </row>
    <row r="1611">
      <c r="B1611" s="18" t="n">
        <v>11608</v>
      </c>
      <c r="C1611" s="32" t="inlineStr">
        <is>
          <t>990014</t>
        </is>
      </c>
      <c r="D1611" s="35" t="inlineStr">
        <is>
          <t>青月冰决</t>
        </is>
      </c>
      <c r="E1611" s="18" t="inlineStr">
        <is>
          <t>7</t>
        </is>
      </c>
      <c r="F1611" s="18" t="n">
        <v>220</v>
      </c>
      <c r="H1611" s="18" t="inlineStr">
        <is>
          <t>0|40</t>
        </is>
      </c>
    </row>
    <row r="1612">
      <c r="B1612" s="18" t="n">
        <v>11609</v>
      </c>
      <c r="C1612" s="32" t="inlineStr">
        <is>
          <t>990014</t>
        </is>
      </c>
      <c r="D1612" s="35" t="inlineStr">
        <is>
          <t>青月冰决</t>
        </is>
      </c>
      <c r="E1612" s="18" t="inlineStr">
        <is>
          <t>8</t>
        </is>
      </c>
      <c r="F1612" s="18" t="n">
        <v>240</v>
      </c>
      <c r="H1612" s="18" t="inlineStr">
        <is>
          <t>0|40</t>
        </is>
      </c>
    </row>
    <row r="1613">
      <c r="B1613" s="18" t="n">
        <v>11610</v>
      </c>
      <c r="C1613" s="32" t="inlineStr">
        <is>
          <t>990014</t>
        </is>
      </c>
      <c r="D1613" s="35" t="inlineStr">
        <is>
          <t>青月冰决</t>
        </is>
      </c>
      <c r="E1613" s="18" t="inlineStr">
        <is>
          <t>9</t>
        </is>
      </c>
      <c r="F1613" s="18" t="n">
        <v>260</v>
      </c>
      <c r="H1613" s="18" t="inlineStr">
        <is>
          <t>0|40</t>
        </is>
      </c>
    </row>
    <row r="1614">
      <c r="B1614" s="18" t="n">
        <v>11611</v>
      </c>
      <c r="C1614" s="32" t="inlineStr">
        <is>
          <t>990014</t>
        </is>
      </c>
      <c r="D1614" s="35" t="inlineStr">
        <is>
          <t>青月冰决</t>
        </is>
      </c>
      <c r="E1614" s="18" t="inlineStr">
        <is>
          <t>10</t>
        </is>
      </c>
      <c r="F1614" s="18" t="n">
        <v>280</v>
      </c>
      <c r="H1614" s="18" t="inlineStr">
        <is>
          <t>0|40</t>
        </is>
      </c>
    </row>
    <row r="1615">
      <c r="B1615" s="18" t="n">
        <v>11612</v>
      </c>
      <c r="C1615" s="32" t="inlineStr">
        <is>
          <t>990014</t>
        </is>
      </c>
      <c r="D1615" s="35" t="inlineStr">
        <is>
          <t>青月冰决</t>
        </is>
      </c>
      <c r="E1615" s="18" t="inlineStr">
        <is>
          <t>11</t>
        </is>
      </c>
      <c r="F1615" s="18" t="n">
        <v>300</v>
      </c>
      <c r="H1615" s="18" t="inlineStr">
        <is>
          <t>0|40</t>
        </is>
      </c>
    </row>
    <row r="1616">
      <c r="B1616" s="18" t="n">
        <v>11613</v>
      </c>
      <c r="C1616" s="32" t="inlineStr">
        <is>
          <t>990014</t>
        </is>
      </c>
      <c r="D1616" s="35" t="inlineStr">
        <is>
          <t>青月冰决</t>
        </is>
      </c>
      <c r="E1616" s="18" t="inlineStr">
        <is>
          <t>12</t>
        </is>
      </c>
      <c r="F1616" s="18" t="n">
        <v>320</v>
      </c>
      <c r="H1616" s="18" t="inlineStr">
        <is>
          <t>0|40</t>
        </is>
      </c>
    </row>
    <row r="1617">
      <c r="B1617" s="18" t="n">
        <v>11614</v>
      </c>
      <c r="C1617" s="32" t="inlineStr">
        <is>
          <t>990014</t>
        </is>
      </c>
      <c r="D1617" s="35" t="inlineStr">
        <is>
          <t>青月冰决</t>
        </is>
      </c>
      <c r="E1617" s="18" t="inlineStr">
        <is>
          <t>13</t>
        </is>
      </c>
      <c r="F1617" s="18" t="n">
        <v>340</v>
      </c>
      <c r="H1617" s="18" t="inlineStr">
        <is>
          <t>0|40</t>
        </is>
      </c>
    </row>
    <row r="1618">
      <c r="B1618" s="18" t="n">
        <v>11615</v>
      </c>
      <c r="C1618" s="32" t="inlineStr">
        <is>
          <t>990014</t>
        </is>
      </c>
      <c r="D1618" s="35" t="inlineStr">
        <is>
          <t>青月冰决</t>
        </is>
      </c>
      <c r="E1618" s="18" t="inlineStr">
        <is>
          <t>14</t>
        </is>
      </c>
      <c r="F1618" s="18" t="n">
        <v>360</v>
      </c>
      <c r="H1618" s="18" t="inlineStr">
        <is>
          <t>0|40</t>
        </is>
      </c>
    </row>
    <row r="1619">
      <c r="B1619" s="18" t="n">
        <v>11616</v>
      </c>
      <c r="C1619" s="32" t="inlineStr">
        <is>
          <t>990014</t>
        </is>
      </c>
      <c r="D1619" s="35" t="inlineStr">
        <is>
          <t>青月冰决</t>
        </is>
      </c>
      <c r="E1619" s="18" t="inlineStr">
        <is>
          <t>15</t>
        </is>
      </c>
      <c r="F1619" s="18" t="n">
        <v>380</v>
      </c>
      <c r="H1619" s="18" t="inlineStr">
        <is>
          <t>0|40</t>
        </is>
      </c>
    </row>
    <row r="1620">
      <c r="B1620" s="18" t="n">
        <v>11617</v>
      </c>
      <c r="C1620" s="32" t="inlineStr">
        <is>
          <t>990014</t>
        </is>
      </c>
      <c r="D1620" s="35" t="inlineStr">
        <is>
          <t>青月冰决</t>
        </is>
      </c>
      <c r="E1620" s="18" t="inlineStr">
        <is>
          <t>16</t>
        </is>
      </c>
      <c r="F1620" s="18" t="n">
        <v>400</v>
      </c>
      <c r="H1620" s="18" t="inlineStr">
        <is>
          <t>0|40</t>
        </is>
      </c>
    </row>
    <row r="1621">
      <c r="B1621" s="18" t="n">
        <v>11618</v>
      </c>
      <c r="C1621" s="32" t="inlineStr">
        <is>
          <t>990014</t>
        </is>
      </c>
      <c r="D1621" s="35" t="inlineStr">
        <is>
          <t>青月冰决</t>
        </is>
      </c>
      <c r="E1621" s="18" t="inlineStr">
        <is>
          <t>17</t>
        </is>
      </c>
      <c r="F1621" s="18" t="n">
        <v>420</v>
      </c>
      <c r="H1621" s="18" t="inlineStr">
        <is>
          <t>0|40</t>
        </is>
      </c>
    </row>
    <row r="1622">
      <c r="B1622" s="18" t="n">
        <v>11619</v>
      </c>
      <c r="C1622" s="32" t="inlineStr">
        <is>
          <t>990014</t>
        </is>
      </c>
      <c r="D1622" s="35" t="inlineStr">
        <is>
          <t>青月冰决</t>
        </is>
      </c>
      <c r="E1622" s="18" t="inlineStr">
        <is>
          <t>18</t>
        </is>
      </c>
      <c r="F1622" s="18" t="n">
        <v>440</v>
      </c>
      <c r="H1622" s="18" t="inlineStr">
        <is>
          <t>0|40</t>
        </is>
      </c>
    </row>
    <row r="1623">
      <c r="B1623" s="18" t="n">
        <v>11620</v>
      </c>
      <c r="C1623" s="32" t="inlineStr">
        <is>
          <t>990014</t>
        </is>
      </c>
      <c r="D1623" s="35" t="inlineStr">
        <is>
          <t>青月冰决</t>
        </is>
      </c>
      <c r="E1623" s="18" t="inlineStr">
        <is>
          <t>19</t>
        </is>
      </c>
      <c r="F1623" s="18" t="n">
        <v>460</v>
      </c>
      <c r="H1623" s="18" t="inlineStr">
        <is>
          <t>0|40</t>
        </is>
      </c>
    </row>
    <row r="1624">
      <c r="B1624" s="18" t="n">
        <v>11621</v>
      </c>
      <c r="C1624" s="32" t="inlineStr">
        <is>
          <t>990014</t>
        </is>
      </c>
      <c r="D1624" s="35" t="inlineStr">
        <is>
          <t>青月冰决</t>
        </is>
      </c>
      <c r="E1624" s="18" t="inlineStr">
        <is>
          <t>20</t>
        </is>
      </c>
      <c r="F1624" s="18" t="n">
        <v>480</v>
      </c>
      <c r="H1624" s="18" t="inlineStr">
        <is>
          <t>0|40</t>
        </is>
      </c>
    </row>
    <row r="1625">
      <c r="B1625" s="18" t="n">
        <v>11622</v>
      </c>
      <c r="C1625" s="32" t="inlineStr">
        <is>
          <t>990014</t>
        </is>
      </c>
      <c r="D1625" s="35" t="inlineStr">
        <is>
          <t>青月冰决</t>
        </is>
      </c>
      <c r="E1625" s="18" t="inlineStr">
        <is>
          <t>21</t>
        </is>
      </c>
      <c r="F1625" s="18" t="n">
        <v>500</v>
      </c>
      <c r="H1625" s="18" t="inlineStr">
        <is>
          <t>0|40</t>
        </is>
      </c>
    </row>
    <row r="1626">
      <c r="B1626" s="18" t="n">
        <v>11623</v>
      </c>
      <c r="C1626" s="32" t="inlineStr">
        <is>
          <t>990014</t>
        </is>
      </c>
      <c r="D1626" s="35" t="inlineStr">
        <is>
          <t>青月冰决</t>
        </is>
      </c>
      <c r="E1626" s="18" t="inlineStr">
        <is>
          <t>22</t>
        </is>
      </c>
      <c r="F1626" s="18" t="n">
        <v>520</v>
      </c>
      <c r="H1626" s="18" t="inlineStr">
        <is>
          <t>0|40</t>
        </is>
      </c>
    </row>
    <row r="1627">
      <c r="B1627" s="18" t="n">
        <v>11624</v>
      </c>
      <c r="C1627" s="32" t="inlineStr">
        <is>
          <t>990014</t>
        </is>
      </c>
      <c r="D1627" s="35" t="inlineStr">
        <is>
          <t>青月冰决</t>
        </is>
      </c>
      <c r="E1627" s="18" t="inlineStr">
        <is>
          <t>23</t>
        </is>
      </c>
      <c r="F1627" s="18" t="n">
        <v>540</v>
      </c>
      <c r="H1627" s="18" t="inlineStr">
        <is>
          <t>0|40</t>
        </is>
      </c>
    </row>
    <row r="1628">
      <c r="B1628" s="18" t="n">
        <v>11625</v>
      </c>
      <c r="C1628" s="32" t="inlineStr">
        <is>
          <t>990014</t>
        </is>
      </c>
      <c r="D1628" s="35" t="inlineStr">
        <is>
          <t>青月冰决</t>
        </is>
      </c>
      <c r="E1628" s="18" t="inlineStr">
        <is>
          <t>24</t>
        </is>
      </c>
      <c r="F1628" s="18" t="n">
        <v>560</v>
      </c>
      <c r="H1628" s="18" t="inlineStr">
        <is>
          <t>0|40</t>
        </is>
      </c>
    </row>
    <row r="1629">
      <c r="B1629" s="18" t="n">
        <v>11626</v>
      </c>
      <c r="C1629" s="32" t="inlineStr">
        <is>
          <t>990014</t>
        </is>
      </c>
      <c r="D1629" s="35" t="inlineStr">
        <is>
          <t>青月冰决</t>
        </is>
      </c>
      <c r="E1629" s="18" t="inlineStr">
        <is>
          <t>25</t>
        </is>
      </c>
      <c r="F1629" s="18" t="n">
        <v>580</v>
      </c>
      <c r="H1629" s="18" t="inlineStr">
        <is>
          <t>0|40</t>
        </is>
      </c>
    </row>
    <row r="1630">
      <c r="B1630" s="18" t="n">
        <v>11627</v>
      </c>
      <c r="C1630" s="32" t="inlineStr">
        <is>
          <t>990014</t>
        </is>
      </c>
      <c r="D1630" s="35" t="inlineStr">
        <is>
          <t>青月冰决</t>
        </is>
      </c>
      <c r="E1630" s="18" t="inlineStr">
        <is>
          <t>26</t>
        </is>
      </c>
      <c r="F1630" s="18" t="n">
        <v>600</v>
      </c>
      <c r="H1630" s="18" t="inlineStr">
        <is>
          <t>0|40</t>
        </is>
      </c>
    </row>
    <row r="1631">
      <c r="B1631" s="18" t="n">
        <v>11628</v>
      </c>
      <c r="C1631" s="32" t="inlineStr">
        <is>
          <t>990014</t>
        </is>
      </c>
      <c r="D1631" s="35" t="inlineStr">
        <is>
          <t>青月冰决</t>
        </is>
      </c>
      <c r="E1631" s="18" t="inlineStr">
        <is>
          <t>27</t>
        </is>
      </c>
      <c r="F1631" s="18" t="n">
        <v>620</v>
      </c>
      <c r="H1631" s="18" t="inlineStr">
        <is>
          <t>0|40</t>
        </is>
      </c>
    </row>
    <row r="1632">
      <c r="B1632" s="18" t="n">
        <v>11629</v>
      </c>
      <c r="C1632" s="32" t="inlineStr">
        <is>
          <t>990014</t>
        </is>
      </c>
      <c r="D1632" s="35" t="inlineStr">
        <is>
          <t>青月冰决</t>
        </is>
      </c>
      <c r="E1632" s="18" t="inlineStr">
        <is>
          <t>28</t>
        </is>
      </c>
      <c r="F1632" s="18" t="n">
        <v>640</v>
      </c>
      <c r="H1632" s="18" t="inlineStr">
        <is>
          <t>0|40</t>
        </is>
      </c>
    </row>
    <row r="1633">
      <c r="B1633" s="18" t="n">
        <v>11630</v>
      </c>
      <c r="C1633" s="32" t="inlineStr">
        <is>
          <t>990014</t>
        </is>
      </c>
      <c r="D1633" s="35" t="inlineStr">
        <is>
          <t>青月冰决</t>
        </is>
      </c>
      <c r="E1633" s="18" t="inlineStr">
        <is>
          <t>29</t>
        </is>
      </c>
      <c r="F1633" s="18" t="n">
        <v>660</v>
      </c>
      <c r="H1633" s="18" t="inlineStr">
        <is>
          <t>0|40</t>
        </is>
      </c>
    </row>
    <row r="1634">
      <c r="B1634" s="18" t="n">
        <v>11631</v>
      </c>
      <c r="C1634" s="32" t="inlineStr">
        <is>
          <t>990014</t>
        </is>
      </c>
      <c r="D1634" s="35" t="inlineStr">
        <is>
          <t>青月冰决</t>
        </is>
      </c>
      <c r="E1634" s="18" t="inlineStr">
        <is>
          <t>30</t>
        </is>
      </c>
      <c r="F1634" s="18" t="n">
        <v>680</v>
      </c>
      <c r="H1634" s="18" t="inlineStr">
        <is>
          <t>0|40</t>
        </is>
      </c>
    </row>
    <row r="1635">
      <c r="B1635" s="18" t="n">
        <v>11632</v>
      </c>
      <c r="C1635" s="32" t="inlineStr">
        <is>
          <t>990014</t>
        </is>
      </c>
      <c r="D1635" s="35" t="inlineStr">
        <is>
          <t>青月冰决</t>
        </is>
      </c>
      <c r="E1635" s="18" t="inlineStr">
        <is>
          <t>31</t>
        </is>
      </c>
      <c r="F1635" s="18" t="n">
        <v>700</v>
      </c>
      <c r="H1635" s="18" t="inlineStr">
        <is>
          <t>0|40</t>
        </is>
      </c>
    </row>
    <row r="1636">
      <c r="B1636" s="18" t="n">
        <v>11633</v>
      </c>
      <c r="C1636" s="32" t="inlineStr">
        <is>
          <t>990014</t>
        </is>
      </c>
      <c r="D1636" s="35" t="inlineStr">
        <is>
          <t>青月冰决</t>
        </is>
      </c>
      <c r="E1636" s="18" t="inlineStr">
        <is>
          <t>32</t>
        </is>
      </c>
      <c r="F1636" s="18" t="n">
        <v>720</v>
      </c>
      <c r="H1636" s="18" t="inlineStr">
        <is>
          <t>0|40</t>
        </is>
      </c>
    </row>
    <row r="1637">
      <c r="B1637" s="18" t="n">
        <v>11634</v>
      </c>
      <c r="C1637" s="32" t="inlineStr">
        <is>
          <t>990014</t>
        </is>
      </c>
      <c r="D1637" s="35" t="inlineStr">
        <is>
          <t>青月冰决</t>
        </is>
      </c>
      <c r="E1637" s="18" t="inlineStr">
        <is>
          <t>33</t>
        </is>
      </c>
      <c r="F1637" s="18" t="n">
        <v>740</v>
      </c>
      <c r="H1637" s="18" t="inlineStr">
        <is>
          <t>0|40</t>
        </is>
      </c>
    </row>
    <row r="1638">
      <c r="B1638" s="18" t="n">
        <v>11635</v>
      </c>
      <c r="C1638" s="32" t="inlineStr">
        <is>
          <t>990014</t>
        </is>
      </c>
      <c r="D1638" s="35" t="inlineStr">
        <is>
          <t>青月冰决</t>
        </is>
      </c>
      <c r="E1638" s="18" t="inlineStr">
        <is>
          <t>34</t>
        </is>
      </c>
      <c r="F1638" s="18" t="n">
        <v>760</v>
      </c>
      <c r="H1638" s="18" t="inlineStr">
        <is>
          <t>0|40</t>
        </is>
      </c>
    </row>
    <row r="1639">
      <c r="B1639" s="18" t="n">
        <v>11636</v>
      </c>
      <c r="C1639" s="32" t="inlineStr">
        <is>
          <t>990014</t>
        </is>
      </c>
      <c r="D1639" s="35" t="inlineStr">
        <is>
          <t>青月冰决</t>
        </is>
      </c>
      <c r="E1639" s="18" t="inlineStr">
        <is>
          <t>35</t>
        </is>
      </c>
      <c r="F1639" s="18" t="n">
        <v>780</v>
      </c>
      <c r="H1639" s="18" t="inlineStr">
        <is>
          <t>0|40</t>
        </is>
      </c>
    </row>
    <row r="1640">
      <c r="B1640" s="18" t="n">
        <v>11637</v>
      </c>
      <c r="C1640" s="32" t="inlineStr">
        <is>
          <t>990014</t>
        </is>
      </c>
      <c r="D1640" s="35" t="inlineStr">
        <is>
          <t>青月冰决</t>
        </is>
      </c>
      <c r="E1640" s="18" t="inlineStr">
        <is>
          <t>36</t>
        </is>
      </c>
      <c r="F1640" s="18" t="n">
        <v>800</v>
      </c>
      <c r="H1640" s="18" t="inlineStr">
        <is>
          <t>0|40</t>
        </is>
      </c>
    </row>
    <row r="1641">
      <c r="B1641" s="18" t="n">
        <v>11638</v>
      </c>
      <c r="C1641" s="32" t="inlineStr">
        <is>
          <t>990014</t>
        </is>
      </c>
      <c r="D1641" s="35" t="inlineStr">
        <is>
          <t>青月冰决</t>
        </is>
      </c>
      <c r="E1641" s="18" t="inlineStr">
        <is>
          <t>37</t>
        </is>
      </c>
      <c r="F1641" s="18" t="n">
        <v>820</v>
      </c>
      <c r="H1641" s="18" t="inlineStr">
        <is>
          <t>0|40</t>
        </is>
      </c>
    </row>
    <row r="1642">
      <c r="B1642" s="18" t="n">
        <v>11639</v>
      </c>
      <c r="C1642" s="32" t="inlineStr">
        <is>
          <t>990014</t>
        </is>
      </c>
      <c r="D1642" s="35" t="inlineStr">
        <is>
          <t>青月冰决</t>
        </is>
      </c>
      <c r="E1642" s="18" t="inlineStr">
        <is>
          <t>38</t>
        </is>
      </c>
      <c r="F1642" s="18" t="n">
        <v>840</v>
      </c>
      <c r="H1642" s="18" t="inlineStr">
        <is>
          <t>0|40</t>
        </is>
      </c>
    </row>
    <row r="1643">
      <c r="B1643" s="18" t="n">
        <v>11640</v>
      </c>
      <c r="C1643" s="32" t="inlineStr">
        <is>
          <t>990014</t>
        </is>
      </c>
      <c r="D1643" s="35" t="inlineStr">
        <is>
          <t>青月冰决</t>
        </is>
      </c>
      <c r="E1643" s="18" t="inlineStr">
        <is>
          <t>39</t>
        </is>
      </c>
      <c r="F1643" s="18" t="n">
        <v>860</v>
      </c>
      <c r="H1643" s="18" t="inlineStr">
        <is>
          <t>0|40</t>
        </is>
      </c>
    </row>
    <row r="1644">
      <c r="B1644" s="18" t="n">
        <v>11641</v>
      </c>
      <c r="C1644" s="32" t="inlineStr">
        <is>
          <t>990014</t>
        </is>
      </c>
      <c r="D1644" s="35" t="inlineStr">
        <is>
          <t>青月冰决</t>
        </is>
      </c>
      <c r="E1644" s="18" t="inlineStr">
        <is>
          <t>40</t>
        </is>
      </c>
      <c r="F1644" s="18" t="n">
        <v>880</v>
      </c>
      <c r="H1644" s="18" t="inlineStr">
        <is>
          <t>0|40</t>
        </is>
      </c>
    </row>
    <row r="1645">
      <c r="B1645" s="18" t="n">
        <v>11642</v>
      </c>
      <c r="C1645" s="32" t="inlineStr">
        <is>
          <t>990014</t>
        </is>
      </c>
      <c r="D1645" s="35" t="inlineStr">
        <is>
          <t>青月冰决</t>
        </is>
      </c>
      <c r="E1645" s="18" t="inlineStr">
        <is>
          <t>41</t>
        </is>
      </c>
      <c r="F1645" s="18" t="n">
        <v>900</v>
      </c>
      <c r="H1645" s="18" t="inlineStr">
        <is>
          <t>0|40</t>
        </is>
      </c>
    </row>
    <row r="1646">
      <c r="B1646" s="18" t="n">
        <v>11643</v>
      </c>
      <c r="C1646" s="32" t="inlineStr">
        <is>
          <t>990014</t>
        </is>
      </c>
      <c r="D1646" s="35" t="inlineStr">
        <is>
          <t>青月冰决</t>
        </is>
      </c>
      <c r="E1646" s="18" t="inlineStr">
        <is>
          <t>42</t>
        </is>
      </c>
      <c r="F1646" s="18" t="n">
        <v>920</v>
      </c>
      <c r="H1646" s="18" t="inlineStr">
        <is>
          <t>0|40</t>
        </is>
      </c>
    </row>
    <row r="1647">
      <c r="B1647" s="18" t="n">
        <v>11644</v>
      </c>
      <c r="C1647" s="32" t="inlineStr">
        <is>
          <t>990014</t>
        </is>
      </c>
      <c r="D1647" s="35" t="inlineStr">
        <is>
          <t>青月冰决</t>
        </is>
      </c>
      <c r="E1647" s="18" t="inlineStr">
        <is>
          <t>43</t>
        </is>
      </c>
      <c r="F1647" s="18" t="n">
        <v>940</v>
      </c>
      <c r="H1647" s="18" t="inlineStr">
        <is>
          <t>0|40</t>
        </is>
      </c>
    </row>
    <row r="1648">
      <c r="B1648" s="18" t="n">
        <v>11645</v>
      </c>
      <c r="C1648" s="32" t="inlineStr">
        <is>
          <t>990014</t>
        </is>
      </c>
      <c r="D1648" s="35" t="inlineStr">
        <is>
          <t>青月冰决</t>
        </is>
      </c>
      <c r="E1648" s="18" t="inlineStr">
        <is>
          <t>44</t>
        </is>
      </c>
      <c r="F1648" s="18" t="n">
        <v>960</v>
      </c>
      <c r="H1648" s="18" t="inlineStr">
        <is>
          <t>0|40</t>
        </is>
      </c>
    </row>
    <row r="1649">
      <c r="B1649" s="18" t="n">
        <v>11646</v>
      </c>
      <c r="C1649" s="32" t="inlineStr">
        <is>
          <t>990014</t>
        </is>
      </c>
      <c r="D1649" s="35" t="inlineStr">
        <is>
          <t>青月冰决</t>
        </is>
      </c>
      <c r="E1649" s="18" t="inlineStr">
        <is>
          <t>45</t>
        </is>
      </c>
      <c r="F1649" s="18" t="n">
        <v>980</v>
      </c>
      <c r="H1649" s="18" t="inlineStr">
        <is>
          <t>0|40</t>
        </is>
      </c>
    </row>
    <row r="1650">
      <c r="B1650" s="18" t="n">
        <v>11647</v>
      </c>
      <c r="C1650" s="32" t="inlineStr">
        <is>
          <t>990014</t>
        </is>
      </c>
      <c r="D1650" s="35" t="inlineStr">
        <is>
          <t>青月冰决</t>
        </is>
      </c>
      <c r="E1650" s="18" t="inlineStr">
        <is>
          <t>46</t>
        </is>
      </c>
      <c r="F1650" s="18" t="n">
        <v>1000</v>
      </c>
      <c r="H1650" s="18" t="inlineStr">
        <is>
          <t>0|40</t>
        </is>
      </c>
    </row>
    <row r="1651">
      <c r="B1651" s="18" t="n">
        <v>11648</v>
      </c>
      <c r="C1651" s="32" t="inlineStr">
        <is>
          <t>990014</t>
        </is>
      </c>
      <c r="D1651" s="35" t="inlineStr">
        <is>
          <t>青月冰决</t>
        </is>
      </c>
      <c r="E1651" s="18" t="inlineStr">
        <is>
          <t>47</t>
        </is>
      </c>
      <c r="F1651" s="18" t="n">
        <v>1020</v>
      </c>
      <c r="H1651" s="18" t="inlineStr">
        <is>
          <t>0|40</t>
        </is>
      </c>
    </row>
    <row r="1652">
      <c r="B1652" s="18" t="n">
        <v>11649</v>
      </c>
      <c r="C1652" s="32" t="inlineStr">
        <is>
          <t>990014</t>
        </is>
      </c>
      <c r="D1652" s="35" t="inlineStr">
        <is>
          <t>青月冰决</t>
        </is>
      </c>
      <c r="E1652" s="18" t="inlineStr">
        <is>
          <t>48</t>
        </is>
      </c>
      <c r="F1652" s="18" t="n">
        <v>1040</v>
      </c>
      <c r="H1652" s="18" t="inlineStr">
        <is>
          <t>0|40</t>
        </is>
      </c>
    </row>
    <row r="1653">
      <c r="B1653" s="18" t="n">
        <v>11650</v>
      </c>
      <c r="C1653" s="32" t="inlineStr">
        <is>
          <t>990014</t>
        </is>
      </c>
      <c r="D1653" s="35" t="inlineStr">
        <is>
          <t>青月冰决</t>
        </is>
      </c>
      <c r="E1653" s="18" t="inlineStr">
        <is>
          <t>49</t>
        </is>
      </c>
      <c r="F1653" s="18" t="n">
        <v>1060</v>
      </c>
      <c r="H1653" s="18" t="inlineStr">
        <is>
          <t>0|40</t>
        </is>
      </c>
    </row>
    <row r="1654">
      <c r="B1654" s="18" t="n">
        <v>11651</v>
      </c>
      <c r="C1654" s="32" t="inlineStr">
        <is>
          <t>990014</t>
        </is>
      </c>
      <c r="D1654" s="35" t="inlineStr">
        <is>
          <t>青月冰决</t>
        </is>
      </c>
      <c r="E1654" s="18" t="inlineStr">
        <is>
          <t>50</t>
        </is>
      </c>
      <c r="F1654" s="18" t="n">
        <v>1080</v>
      </c>
      <c r="H1654" s="18" t="inlineStr">
        <is>
          <t>0|40</t>
        </is>
      </c>
    </row>
    <row r="1655">
      <c r="B1655" s="18" t="n">
        <v>11652</v>
      </c>
      <c r="C1655" s="32" t="inlineStr">
        <is>
          <t>990015</t>
        </is>
      </c>
      <c r="D1655" s="35" t="inlineStr">
        <is>
          <t>龙玄憾天</t>
        </is>
      </c>
      <c r="E1655" s="18" t="inlineStr">
        <is>
          <t>1</t>
        </is>
      </c>
      <c r="F1655" s="18" t="n">
        <v>100</v>
      </c>
      <c r="G1655" s="26" t="n"/>
    </row>
    <row r="1656">
      <c r="B1656" s="18" t="n">
        <v>11653</v>
      </c>
      <c r="C1656" s="32" t="inlineStr">
        <is>
          <t>990015</t>
        </is>
      </c>
      <c r="D1656" s="35" t="inlineStr">
        <is>
          <t>龙玄憾天</t>
        </is>
      </c>
      <c r="E1656" s="18" t="inlineStr">
        <is>
          <t>2</t>
        </is>
      </c>
      <c r="F1656" s="18" t="n">
        <v>120</v>
      </c>
    </row>
    <row r="1657">
      <c r="B1657" s="18" t="n">
        <v>11654</v>
      </c>
      <c r="C1657" s="32" t="inlineStr">
        <is>
          <t>990015</t>
        </is>
      </c>
      <c r="D1657" s="35" t="inlineStr">
        <is>
          <t>龙玄憾天</t>
        </is>
      </c>
      <c r="E1657" s="18" t="inlineStr">
        <is>
          <t>3</t>
        </is>
      </c>
      <c r="F1657" s="18" t="n">
        <v>140</v>
      </c>
    </row>
    <row r="1658">
      <c r="B1658" s="18" t="n">
        <v>11655</v>
      </c>
      <c r="C1658" s="32" t="inlineStr">
        <is>
          <t>990015</t>
        </is>
      </c>
      <c r="D1658" s="35" t="inlineStr">
        <is>
          <t>龙玄憾天</t>
        </is>
      </c>
      <c r="E1658" s="18" t="inlineStr">
        <is>
          <t>4</t>
        </is>
      </c>
      <c r="F1658" s="18" t="n">
        <v>160</v>
      </c>
    </row>
    <row r="1659">
      <c r="B1659" s="18" t="n">
        <v>11656</v>
      </c>
      <c r="C1659" s="32" t="inlineStr">
        <is>
          <t>990015</t>
        </is>
      </c>
      <c r="D1659" s="35" t="inlineStr">
        <is>
          <t>龙玄憾天</t>
        </is>
      </c>
      <c r="E1659" s="18" t="inlineStr">
        <is>
          <t>5</t>
        </is>
      </c>
      <c r="F1659" s="18" t="n">
        <v>180</v>
      </c>
    </row>
    <row r="1660">
      <c r="B1660" s="18" t="n">
        <v>11657</v>
      </c>
      <c r="C1660" s="32" t="inlineStr">
        <is>
          <t>990015</t>
        </is>
      </c>
      <c r="D1660" s="35" t="inlineStr">
        <is>
          <t>龙玄憾天</t>
        </is>
      </c>
      <c r="E1660" s="18" t="inlineStr">
        <is>
          <t>6</t>
        </is>
      </c>
      <c r="F1660" s="18" t="n">
        <v>200</v>
      </c>
    </row>
    <row r="1661">
      <c r="B1661" s="18" t="n">
        <v>11658</v>
      </c>
      <c r="C1661" s="32" t="inlineStr">
        <is>
          <t>990015</t>
        </is>
      </c>
      <c r="D1661" s="35" t="inlineStr">
        <is>
          <t>龙玄憾天</t>
        </is>
      </c>
      <c r="E1661" s="18" t="inlineStr">
        <is>
          <t>7</t>
        </is>
      </c>
      <c r="F1661" s="18" t="n">
        <v>220</v>
      </c>
    </row>
    <row r="1662">
      <c r="B1662" s="18" t="n">
        <v>11659</v>
      </c>
      <c r="C1662" s="32" t="inlineStr">
        <is>
          <t>990015</t>
        </is>
      </c>
      <c r="D1662" s="35" t="inlineStr">
        <is>
          <t>龙玄憾天</t>
        </is>
      </c>
      <c r="E1662" s="18" t="inlineStr">
        <is>
          <t>8</t>
        </is>
      </c>
      <c r="F1662" s="18" t="n">
        <v>240</v>
      </c>
    </row>
    <row r="1663">
      <c r="B1663" s="18" t="n">
        <v>11660</v>
      </c>
      <c r="C1663" s="32" t="inlineStr">
        <is>
          <t>990015</t>
        </is>
      </c>
      <c r="D1663" s="35" t="inlineStr">
        <is>
          <t>龙玄憾天</t>
        </is>
      </c>
      <c r="E1663" s="18" t="inlineStr">
        <is>
          <t>9</t>
        </is>
      </c>
      <c r="F1663" s="18" t="n">
        <v>260</v>
      </c>
    </row>
    <row r="1664">
      <c r="B1664" s="18" t="n">
        <v>11661</v>
      </c>
      <c r="C1664" s="32" t="inlineStr">
        <is>
          <t>990015</t>
        </is>
      </c>
      <c r="D1664" s="35" t="inlineStr">
        <is>
          <t>龙玄憾天</t>
        </is>
      </c>
      <c r="E1664" s="18" t="inlineStr">
        <is>
          <t>10</t>
        </is>
      </c>
      <c r="F1664" s="18" t="n">
        <v>280</v>
      </c>
    </row>
    <row r="1665">
      <c r="B1665" s="18" t="n">
        <v>11662</v>
      </c>
      <c r="C1665" s="32" t="inlineStr">
        <is>
          <t>990015</t>
        </is>
      </c>
      <c r="D1665" s="35" t="inlineStr">
        <is>
          <t>龙玄憾天</t>
        </is>
      </c>
      <c r="E1665" s="18" t="inlineStr">
        <is>
          <t>11</t>
        </is>
      </c>
      <c r="F1665" s="18" t="n">
        <v>300</v>
      </c>
    </row>
    <row r="1666">
      <c r="B1666" s="18" t="n">
        <v>11663</v>
      </c>
      <c r="C1666" s="32" t="inlineStr">
        <is>
          <t>990015</t>
        </is>
      </c>
      <c r="D1666" s="35" t="inlineStr">
        <is>
          <t>龙玄憾天</t>
        </is>
      </c>
      <c r="E1666" s="18" t="inlineStr">
        <is>
          <t>12</t>
        </is>
      </c>
      <c r="F1666" s="18" t="n">
        <v>320</v>
      </c>
    </row>
    <row r="1667">
      <c r="B1667" s="18" t="n">
        <v>11664</v>
      </c>
      <c r="C1667" s="32" t="inlineStr">
        <is>
          <t>990015</t>
        </is>
      </c>
      <c r="D1667" s="35" t="inlineStr">
        <is>
          <t>龙玄憾天</t>
        </is>
      </c>
      <c r="E1667" s="18" t="inlineStr">
        <is>
          <t>13</t>
        </is>
      </c>
      <c r="F1667" s="18" t="n">
        <v>340</v>
      </c>
    </row>
    <row r="1668">
      <c r="B1668" s="18" t="n">
        <v>11665</v>
      </c>
      <c r="C1668" s="32" t="inlineStr">
        <is>
          <t>990015</t>
        </is>
      </c>
      <c r="D1668" s="35" t="inlineStr">
        <is>
          <t>龙玄憾天</t>
        </is>
      </c>
      <c r="E1668" s="18" t="inlineStr">
        <is>
          <t>14</t>
        </is>
      </c>
      <c r="F1668" s="18" t="n">
        <v>360</v>
      </c>
    </row>
    <row r="1669">
      <c r="B1669" s="18" t="n">
        <v>11666</v>
      </c>
      <c r="C1669" s="32" t="inlineStr">
        <is>
          <t>990015</t>
        </is>
      </c>
      <c r="D1669" s="35" t="inlineStr">
        <is>
          <t>龙玄憾天</t>
        </is>
      </c>
      <c r="E1669" s="18" t="inlineStr">
        <is>
          <t>15</t>
        </is>
      </c>
      <c r="F1669" s="18" t="n">
        <v>380</v>
      </c>
    </row>
    <row r="1670">
      <c r="B1670" s="18" t="n">
        <v>11667</v>
      </c>
      <c r="C1670" s="32" t="inlineStr">
        <is>
          <t>990015</t>
        </is>
      </c>
      <c r="D1670" s="35" t="inlineStr">
        <is>
          <t>龙玄憾天</t>
        </is>
      </c>
      <c r="E1670" s="18" t="inlineStr">
        <is>
          <t>16</t>
        </is>
      </c>
      <c r="F1670" s="18" t="n">
        <v>400</v>
      </c>
    </row>
    <row r="1671">
      <c r="B1671" s="18" t="n">
        <v>11668</v>
      </c>
      <c r="C1671" s="32" t="inlineStr">
        <is>
          <t>990015</t>
        </is>
      </c>
      <c r="D1671" s="35" t="inlineStr">
        <is>
          <t>龙玄憾天</t>
        </is>
      </c>
      <c r="E1671" s="18" t="inlineStr">
        <is>
          <t>17</t>
        </is>
      </c>
      <c r="F1671" s="18" t="n">
        <v>420</v>
      </c>
    </row>
    <row r="1672">
      <c r="B1672" s="18" t="n">
        <v>11669</v>
      </c>
      <c r="C1672" s="32" t="inlineStr">
        <is>
          <t>990015</t>
        </is>
      </c>
      <c r="D1672" s="35" t="inlineStr">
        <is>
          <t>龙玄憾天</t>
        </is>
      </c>
      <c r="E1672" s="18" t="inlineStr">
        <is>
          <t>18</t>
        </is>
      </c>
      <c r="F1672" s="18" t="n">
        <v>440</v>
      </c>
    </row>
    <row r="1673">
      <c r="B1673" s="18" t="n">
        <v>11670</v>
      </c>
      <c r="C1673" s="32" t="inlineStr">
        <is>
          <t>990015</t>
        </is>
      </c>
      <c r="D1673" s="35" t="inlineStr">
        <is>
          <t>龙玄憾天</t>
        </is>
      </c>
      <c r="E1673" s="18" t="inlineStr">
        <is>
          <t>19</t>
        </is>
      </c>
      <c r="F1673" s="18" t="n">
        <v>460</v>
      </c>
    </row>
    <row r="1674">
      <c r="B1674" s="18" t="n">
        <v>11671</v>
      </c>
      <c r="C1674" s="32" t="inlineStr">
        <is>
          <t>990015</t>
        </is>
      </c>
      <c r="D1674" s="35" t="inlineStr">
        <is>
          <t>龙玄憾天</t>
        </is>
      </c>
      <c r="E1674" s="18" t="inlineStr">
        <is>
          <t>20</t>
        </is>
      </c>
      <c r="F1674" s="18" t="n">
        <v>480</v>
      </c>
    </row>
    <row r="1675">
      <c r="B1675" s="18" t="n">
        <v>11672</v>
      </c>
      <c r="C1675" s="32" t="inlineStr">
        <is>
          <t>990015</t>
        </is>
      </c>
      <c r="D1675" s="35" t="inlineStr">
        <is>
          <t>龙玄憾天</t>
        </is>
      </c>
      <c r="E1675" s="18" t="inlineStr">
        <is>
          <t>21</t>
        </is>
      </c>
      <c r="F1675" s="18" t="n">
        <v>500</v>
      </c>
    </row>
    <row r="1676">
      <c r="B1676" s="18" t="n">
        <v>11673</v>
      </c>
      <c r="C1676" s="32" t="inlineStr">
        <is>
          <t>990015</t>
        </is>
      </c>
      <c r="D1676" s="35" t="inlineStr">
        <is>
          <t>龙玄憾天</t>
        </is>
      </c>
      <c r="E1676" s="18" t="inlineStr">
        <is>
          <t>22</t>
        </is>
      </c>
      <c r="F1676" s="18" t="n">
        <v>520</v>
      </c>
    </row>
    <row r="1677">
      <c r="B1677" s="18" t="n">
        <v>11674</v>
      </c>
      <c r="C1677" s="32" t="inlineStr">
        <is>
          <t>990015</t>
        </is>
      </c>
      <c r="D1677" s="35" t="inlineStr">
        <is>
          <t>龙玄憾天</t>
        </is>
      </c>
      <c r="E1677" s="18" t="inlineStr">
        <is>
          <t>23</t>
        </is>
      </c>
      <c r="F1677" s="18" t="n">
        <v>540</v>
      </c>
    </row>
    <row r="1678">
      <c r="B1678" s="18" t="n">
        <v>11675</v>
      </c>
      <c r="C1678" s="32" t="inlineStr">
        <is>
          <t>990015</t>
        </is>
      </c>
      <c r="D1678" s="35" t="inlineStr">
        <is>
          <t>龙玄憾天</t>
        </is>
      </c>
      <c r="E1678" s="18" t="inlineStr">
        <is>
          <t>24</t>
        </is>
      </c>
      <c r="F1678" s="18" t="n">
        <v>560</v>
      </c>
    </row>
    <row r="1679">
      <c r="B1679" s="18" t="n">
        <v>11676</v>
      </c>
      <c r="C1679" s="32" t="inlineStr">
        <is>
          <t>990015</t>
        </is>
      </c>
      <c r="D1679" s="35" t="inlineStr">
        <is>
          <t>龙玄憾天</t>
        </is>
      </c>
      <c r="E1679" s="18" t="inlineStr">
        <is>
          <t>25</t>
        </is>
      </c>
      <c r="F1679" s="18" t="n">
        <v>580</v>
      </c>
    </row>
    <row r="1680">
      <c r="B1680" s="18" t="n">
        <v>11677</v>
      </c>
      <c r="C1680" s="32" t="inlineStr">
        <is>
          <t>990015</t>
        </is>
      </c>
      <c r="D1680" s="35" t="inlineStr">
        <is>
          <t>龙玄憾天</t>
        </is>
      </c>
      <c r="E1680" s="18" t="inlineStr">
        <is>
          <t>26</t>
        </is>
      </c>
      <c r="F1680" s="18" t="n">
        <v>600</v>
      </c>
    </row>
    <row r="1681">
      <c r="B1681" s="18" t="n">
        <v>11678</v>
      </c>
      <c r="C1681" s="32" t="inlineStr">
        <is>
          <t>990015</t>
        </is>
      </c>
      <c r="D1681" s="35" t="inlineStr">
        <is>
          <t>龙玄憾天</t>
        </is>
      </c>
      <c r="E1681" s="18" t="inlineStr">
        <is>
          <t>27</t>
        </is>
      </c>
      <c r="F1681" s="18" t="n">
        <v>620</v>
      </c>
    </row>
    <row r="1682">
      <c r="B1682" s="18" t="n">
        <v>11679</v>
      </c>
      <c r="C1682" s="32" t="inlineStr">
        <is>
          <t>990015</t>
        </is>
      </c>
      <c r="D1682" s="35" t="inlineStr">
        <is>
          <t>龙玄憾天</t>
        </is>
      </c>
      <c r="E1682" s="18" t="inlineStr">
        <is>
          <t>28</t>
        </is>
      </c>
      <c r="F1682" s="18" t="n">
        <v>640</v>
      </c>
    </row>
    <row r="1683">
      <c r="B1683" s="18" t="n">
        <v>11680</v>
      </c>
      <c r="C1683" s="32" t="inlineStr">
        <is>
          <t>990015</t>
        </is>
      </c>
      <c r="D1683" s="35" t="inlineStr">
        <is>
          <t>龙玄憾天</t>
        </is>
      </c>
      <c r="E1683" s="18" t="inlineStr">
        <is>
          <t>29</t>
        </is>
      </c>
      <c r="F1683" s="18" t="n">
        <v>660</v>
      </c>
    </row>
    <row r="1684">
      <c r="B1684" s="18" t="n">
        <v>11681</v>
      </c>
      <c r="C1684" s="32" t="inlineStr">
        <is>
          <t>990015</t>
        </is>
      </c>
      <c r="D1684" s="35" t="inlineStr">
        <is>
          <t>龙玄憾天</t>
        </is>
      </c>
      <c r="E1684" s="18" t="inlineStr">
        <is>
          <t>30</t>
        </is>
      </c>
      <c r="F1684" s="18" t="n">
        <v>680</v>
      </c>
    </row>
    <row r="1685">
      <c r="B1685" s="18" t="n">
        <v>11682</v>
      </c>
      <c r="C1685" s="32" t="inlineStr">
        <is>
          <t>990015</t>
        </is>
      </c>
      <c r="D1685" s="35" t="inlineStr">
        <is>
          <t>龙玄憾天</t>
        </is>
      </c>
      <c r="E1685" s="18" t="inlineStr">
        <is>
          <t>31</t>
        </is>
      </c>
      <c r="F1685" s="18" t="n">
        <v>700</v>
      </c>
    </row>
    <row r="1686">
      <c r="B1686" s="18" t="n">
        <v>11683</v>
      </c>
      <c r="C1686" s="32" t="inlineStr">
        <is>
          <t>990015</t>
        </is>
      </c>
      <c r="D1686" s="35" t="inlineStr">
        <is>
          <t>龙玄憾天</t>
        </is>
      </c>
      <c r="E1686" s="18" t="inlineStr">
        <is>
          <t>32</t>
        </is>
      </c>
      <c r="F1686" s="18" t="n">
        <v>720</v>
      </c>
    </row>
    <row r="1687">
      <c r="B1687" s="18" t="n">
        <v>11684</v>
      </c>
      <c r="C1687" s="32" t="inlineStr">
        <is>
          <t>990015</t>
        </is>
      </c>
      <c r="D1687" s="35" t="inlineStr">
        <is>
          <t>龙玄憾天</t>
        </is>
      </c>
      <c r="E1687" s="18" t="inlineStr">
        <is>
          <t>33</t>
        </is>
      </c>
      <c r="F1687" s="18" t="n">
        <v>740</v>
      </c>
    </row>
    <row r="1688">
      <c r="B1688" s="18" t="n">
        <v>11685</v>
      </c>
      <c r="C1688" s="32" t="inlineStr">
        <is>
          <t>990015</t>
        </is>
      </c>
      <c r="D1688" s="35" t="inlineStr">
        <is>
          <t>龙玄憾天</t>
        </is>
      </c>
      <c r="E1688" s="18" t="inlineStr">
        <is>
          <t>34</t>
        </is>
      </c>
      <c r="F1688" s="18" t="n">
        <v>760</v>
      </c>
    </row>
    <row r="1689">
      <c r="B1689" s="18" t="n">
        <v>11686</v>
      </c>
      <c r="C1689" s="32" t="inlineStr">
        <is>
          <t>990015</t>
        </is>
      </c>
      <c r="D1689" s="35" t="inlineStr">
        <is>
          <t>龙玄憾天</t>
        </is>
      </c>
      <c r="E1689" s="18" t="inlineStr">
        <is>
          <t>35</t>
        </is>
      </c>
      <c r="F1689" s="18" t="n">
        <v>780</v>
      </c>
    </row>
    <row r="1690">
      <c r="B1690" s="18" t="n">
        <v>11687</v>
      </c>
      <c r="C1690" s="32" t="inlineStr">
        <is>
          <t>990015</t>
        </is>
      </c>
      <c r="D1690" s="35" t="inlineStr">
        <is>
          <t>龙玄憾天</t>
        </is>
      </c>
      <c r="E1690" s="18" t="inlineStr">
        <is>
          <t>36</t>
        </is>
      </c>
      <c r="F1690" s="18" t="n">
        <v>800</v>
      </c>
    </row>
    <row r="1691">
      <c r="B1691" s="18" t="n">
        <v>11688</v>
      </c>
      <c r="C1691" s="32" t="inlineStr">
        <is>
          <t>990015</t>
        </is>
      </c>
      <c r="D1691" s="35" t="inlineStr">
        <is>
          <t>龙玄憾天</t>
        </is>
      </c>
      <c r="E1691" s="18" t="inlineStr">
        <is>
          <t>37</t>
        </is>
      </c>
      <c r="F1691" s="18" t="n">
        <v>820</v>
      </c>
    </row>
    <row r="1692">
      <c r="B1692" s="18" t="n">
        <v>11689</v>
      </c>
      <c r="C1692" s="32" t="inlineStr">
        <is>
          <t>990015</t>
        </is>
      </c>
      <c r="D1692" s="35" t="inlineStr">
        <is>
          <t>龙玄憾天</t>
        </is>
      </c>
      <c r="E1692" s="18" t="inlineStr">
        <is>
          <t>38</t>
        </is>
      </c>
      <c r="F1692" s="18" t="n">
        <v>840</v>
      </c>
    </row>
    <row r="1693">
      <c r="B1693" s="18" t="n">
        <v>11690</v>
      </c>
      <c r="C1693" s="32" t="inlineStr">
        <is>
          <t>990015</t>
        </is>
      </c>
      <c r="D1693" s="35" t="inlineStr">
        <is>
          <t>龙玄憾天</t>
        </is>
      </c>
      <c r="E1693" s="18" t="inlineStr">
        <is>
          <t>39</t>
        </is>
      </c>
      <c r="F1693" s="18" t="n">
        <v>860</v>
      </c>
    </row>
    <row r="1694">
      <c r="B1694" s="18" t="n">
        <v>11691</v>
      </c>
      <c r="C1694" s="32" t="inlineStr">
        <is>
          <t>990015</t>
        </is>
      </c>
      <c r="D1694" s="35" t="inlineStr">
        <is>
          <t>龙玄憾天</t>
        </is>
      </c>
      <c r="E1694" s="18" t="inlineStr">
        <is>
          <t>40</t>
        </is>
      </c>
      <c r="F1694" s="18" t="n">
        <v>880</v>
      </c>
    </row>
    <row r="1695">
      <c r="B1695" s="18" t="n">
        <v>11692</v>
      </c>
      <c r="C1695" s="32" t="inlineStr">
        <is>
          <t>990015</t>
        </is>
      </c>
      <c r="D1695" s="35" t="inlineStr">
        <is>
          <t>龙玄憾天</t>
        </is>
      </c>
      <c r="E1695" s="18" t="inlineStr">
        <is>
          <t>41</t>
        </is>
      </c>
      <c r="F1695" s="18" t="n">
        <v>900</v>
      </c>
    </row>
    <row r="1696">
      <c r="B1696" s="18" t="n">
        <v>11693</v>
      </c>
      <c r="C1696" s="32" t="inlineStr">
        <is>
          <t>990015</t>
        </is>
      </c>
      <c r="D1696" s="35" t="inlineStr">
        <is>
          <t>龙玄憾天</t>
        </is>
      </c>
      <c r="E1696" s="18" t="inlineStr">
        <is>
          <t>42</t>
        </is>
      </c>
      <c r="F1696" s="18" t="n">
        <v>920</v>
      </c>
    </row>
    <row r="1697">
      <c r="B1697" s="18" t="n">
        <v>11694</v>
      </c>
      <c r="C1697" s="32" t="inlineStr">
        <is>
          <t>990015</t>
        </is>
      </c>
      <c r="D1697" s="35" t="inlineStr">
        <is>
          <t>龙玄憾天</t>
        </is>
      </c>
      <c r="E1697" s="18" t="inlineStr">
        <is>
          <t>43</t>
        </is>
      </c>
      <c r="F1697" s="18" t="n">
        <v>940</v>
      </c>
    </row>
    <row r="1698">
      <c r="B1698" s="18" t="n">
        <v>11695</v>
      </c>
      <c r="C1698" s="32" t="inlineStr">
        <is>
          <t>990015</t>
        </is>
      </c>
      <c r="D1698" s="35" t="inlineStr">
        <is>
          <t>龙玄憾天</t>
        </is>
      </c>
      <c r="E1698" s="18" t="inlineStr">
        <is>
          <t>44</t>
        </is>
      </c>
      <c r="F1698" s="18" t="n">
        <v>960</v>
      </c>
    </row>
    <row r="1699">
      <c r="B1699" s="18" t="n">
        <v>11696</v>
      </c>
      <c r="C1699" s="32" t="inlineStr">
        <is>
          <t>990015</t>
        </is>
      </c>
      <c r="D1699" s="35" t="inlineStr">
        <is>
          <t>龙玄憾天</t>
        </is>
      </c>
      <c r="E1699" s="18" t="inlineStr">
        <is>
          <t>45</t>
        </is>
      </c>
      <c r="F1699" s="18" t="n">
        <v>980</v>
      </c>
    </row>
    <row r="1700">
      <c r="B1700" s="18" t="n">
        <v>11697</v>
      </c>
      <c r="C1700" s="32" t="inlineStr">
        <is>
          <t>990015</t>
        </is>
      </c>
      <c r="D1700" s="35" t="inlineStr">
        <is>
          <t>龙玄憾天</t>
        </is>
      </c>
      <c r="E1700" s="18" t="inlineStr">
        <is>
          <t>46</t>
        </is>
      </c>
      <c r="F1700" s="18" t="n">
        <v>1000</v>
      </c>
    </row>
    <row r="1701">
      <c r="B1701" s="18" t="n">
        <v>11698</v>
      </c>
      <c r="C1701" s="32" t="inlineStr">
        <is>
          <t>990015</t>
        </is>
      </c>
      <c r="D1701" s="35" t="inlineStr">
        <is>
          <t>龙玄憾天</t>
        </is>
      </c>
      <c r="E1701" s="18" t="inlineStr">
        <is>
          <t>47</t>
        </is>
      </c>
      <c r="F1701" s="18" t="n">
        <v>1020</v>
      </c>
    </row>
    <row r="1702">
      <c r="B1702" s="18" t="n">
        <v>11699</v>
      </c>
      <c r="C1702" s="32" t="inlineStr">
        <is>
          <t>990015</t>
        </is>
      </c>
      <c r="D1702" s="35" t="inlineStr">
        <is>
          <t>龙玄憾天</t>
        </is>
      </c>
      <c r="E1702" s="18" t="inlineStr">
        <is>
          <t>48</t>
        </is>
      </c>
      <c r="F1702" s="18" t="n">
        <v>1040</v>
      </c>
    </row>
    <row r="1703">
      <c r="B1703" s="18" t="n">
        <v>11700</v>
      </c>
      <c r="C1703" s="32" t="inlineStr">
        <is>
          <t>990015</t>
        </is>
      </c>
      <c r="D1703" s="35" t="inlineStr">
        <is>
          <t>龙玄憾天</t>
        </is>
      </c>
      <c r="E1703" s="18" t="inlineStr">
        <is>
          <t>49</t>
        </is>
      </c>
      <c r="F1703" s="18" t="n">
        <v>1060</v>
      </c>
    </row>
    <row r="1704">
      <c r="B1704" s="18" t="n">
        <v>11701</v>
      </c>
      <c r="C1704" s="32" t="inlineStr">
        <is>
          <t>990015</t>
        </is>
      </c>
      <c r="D1704" s="35" t="inlineStr">
        <is>
          <t>龙玄憾天</t>
        </is>
      </c>
      <c r="E1704" s="18" t="inlineStr">
        <is>
          <t>50</t>
        </is>
      </c>
      <c r="F1704" s="18" t="n">
        <v>1080</v>
      </c>
    </row>
    <row r="1705">
      <c r="B1705" s="18" t="n">
        <v>11702</v>
      </c>
      <c r="C1705" s="32" t="inlineStr">
        <is>
          <t>990016</t>
        </is>
      </c>
      <c r="D1705" s="26" t="inlineStr">
        <is>
          <t>丹毁</t>
        </is>
      </c>
      <c r="E1705" s="18" t="inlineStr">
        <is>
          <t>1</t>
        </is>
      </c>
      <c r="F1705" s="26" t="inlineStr">
        <is>
          <t>360</t>
        </is>
      </c>
    </row>
    <row r="1706">
      <c r="B1706" s="18" t="n">
        <v>11703</v>
      </c>
      <c r="C1706" s="32" t="inlineStr">
        <is>
          <t>990016</t>
        </is>
      </c>
      <c r="D1706" s="26" t="inlineStr">
        <is>
          <t>丹毁</t>
        </is>
      </c>
      <c r="E1706" s="18" t="inlineStr">
        <is>
          <t>2</t>
        </is>
      </c>
      <c r="F1706" s="26" t="inlineStr">
        <is>
          <t>360</t>
        </is>
      </c>
    </row>
    <row r="1707">
      <c r="B1707" s="18" t="n">
        <v>11704</v>
      </c>
      <c r="C1707" s="32" t="inlineStr">
        <is>
          <t>990016</t>
        </is>
      </c>
      <c r="D1707" s="26" t="inlineStr">
        <is>
          <t>丹毁</t>
        </is>
      </c>
      <c r="E1707" s="18" t="inlineStr">
        <is>
          <t>3</t>
        </is>
      </c>
      <c r="F1707" s="26" t="inlineStr">
        <is>
          <t>360</t>
        </is>
      </c>
    </row>
    <row r="1708">
      <c r="B1708" s="18" t="n">
        <v>11705</v>
      </c>
      <c r="C1708" s="32" t="inlineStr">
        <is>
          <t>990016</t>
        </is>
      </c>
      <c r="D1708" s="26" t="inlineStr">
        <is>
          <t>丹毁</t>
        </is>
      </c>
      <c r="E1708" s="18" t="inlineStr">
        <is>
          <t>4</t>
        </is>
      </c>
      <c r="F1708" s="26" t="inlineStr">
        <is>
          <t>360</t>
        </is>
      </c>
    </row>
    <row r="1709">
      <c r="B1709" s="18" t="n">
        <v>11706</v>
      </c>
      <c r="C1709" s="32" t="inlineStr">
        <is>
          <t>990016</t>
        </is>
      </c>
      <c r="D1709" s="26" t="inlineStr">
        <is>
          <t>丹毁</t>
        </is>
      </c>
      <c r="E1709" s="18" t="inlineStr">
        <is>
          <t>5</t>
        </is>
      </c>
      <c r="F1709" s="26" t="inlineStr">
        <is>
          <t>360</t>
        </is>
      </c>
    </row>
    <row r="1710">
      <c r="B1710" s="18" t="n">
        <v>11707</v>
      </c>
      <c r="C1710" s="32" t="inlineStr">
        <is>
          <t>990016</t>
        </is>
      </c>
      <c r="D1710" s="26" t="inlineStr">
        <is>
          <t>丹毁</t>
        </is>
      </c>
      <c r="E1710" s="18" t="inlineStr">
        <is>
          <t>6</t>
        </is>
      </c>
      <c r="F1710" s="26" t="inlineStr">
        <is>
          <t>360</t>
        </is>
      </c>
    </row>
    <row r="1711">
      <c r="B1711" s="18" t="n">
        <v>11708</v>
      </c>
      <c r="C1711" s="32" t="inlineStr">
        <is>
          <t>990016</t>
        </is>
      </c>
      <c r="D1711" s="26" t="inlineStr">
        <is>
          <t>丹毁</t>
        </is>
      </c>
      <c r="E1711" s="18" t="inlineStr">
        <is>
          <t>7</t>
        </is>
      </c>
      <c r="F1711" s="26" t="inlineStr">
        <is>
          <t>360</t>
        </is>
      </c>
    </row>
    <row r="1712">
      <c r="B1712" s="18" t="n">
        <v>11709</v>
      </c>
      <c r="C1712" s="32" t="inlineStr">
        <is>
          <t>990016</t>
        </is>
      </c>
      <c r="D1712" s="26" t="inlineStr">
        <is>
          <t>丹毁</t>
        </is>
      </c>
      <c r="E1712" s="18" t="inlineStr">
        <is>
          <t>8</t>
        </is>
      </c>
      <c r="F1712" s="26" t="inlineStr">
        <is>
          <t>360</t>
        </is>
      </c>
    </row>
    <row r="1713">
      <c r="B1713" s="18" t="n">
        <v>11710</v>
      </c>
      <c r="C1713" s="32" t="inlineStr">
        <is>
          <t>990016</t>
        </is>
      </c>
      <c r="D1713" s="26" t="inlineStr">
        <is>
          <t>丹毁</t>
        </is>
      </c>
      <c r="E1713" s="18" t="inlineStr">
        <is>
          <t>9</t>
        </is>
      </c>
      <c r="F1713" s="26" t="inlineStr">
        <is>
          <t>360</t>
        </is>
      </c>
    </row>
    <row r="1714">
      <c r="B1714" s="18" t="n">
        <v>11711</v>
      </c>
      <c r="C1714" s="32" t="inlineStr">
        <is>
          <t>990016</t>
        </is>
      </c>
      <c r="D1714" s="26" t="inlineStr">
        <is>
          <t>丹毁</t>
        </is>
      </c>
      <c r="E1714" s="18" t="inlineStr">
        <is>
          <t>10</t>
        </is>
      </c>
      <c r="F1714" s="26" t="inlineStr">
        <is>
          <t>360</t>
        </is>
      </c>
    </row>
    <row r="1715">
      <c r="B1715" s="18" t="n">
        <v>11712</v>
      </c>
      <c r="C1715" s="32" t="inlineStr">
        <is>
          <t>990016</t>
        </is>
      </c>
      <c r="D1715" s="26" t="inlineStr">
        <is>
          <t>丹毁</t>
        </is>
      </c>
      <c r="E1715" s="18" t="inlineStr">
        <is>
          <t>11</t>
        </is>
      </c>
      <c r="F1715" s="26" t="inlineStr">
        <is>
          <t>360</t>
        </is>
      </c>
    </row>
    <row r="1716">
      <c r="B1716" s="18" t="n">
        <v>11713</v>
      </c>
      <c r="C1716" s="32" t="inlineStr">
        <is>
          <t>990016</t>
        </is>
      </c>
      <c r="D1716" s="26" t="inlineStr">
        <is>
          <t>丹毁</t>
        </is>
      </c>
      <c r="E1716" s="18" t="inlineStr">
        <is>
          <t>12</t>
        </is>
      </c>
      <c r="F1716" s="26" t="inlineStr">
        <is>
          <t>360</t>
        </is>
      </c>
    </row>
    <row r="1717">
      <c r="B1717" s="18" t="n">
        <v>11714</v>
      </c>
      <c r="C1717" s="32" t="inlineStr">
        <is>
          <t>990016</t>
        </is>
      </c>
      <c r="D1717" s="26" t="inlineStr">
        <is>
          <t>丹毁</t>
        </is>
      </c>
      <c r="E1717" s="18" t="inlineStr">
        <is>
          <t>13</t>
        </is>
      </c>
      <c r="F1717" s="26" t="inlineStr">
        <is>
          <t>360</t>
        </is>
      </c>
    </row>
    <row r="1718">
      <c r="B1718" s="18" t="n">
        <v>11715</v>
      </c>
      <c r="C1718" s="32" t="inlineStr">
        <is>
          <t>990016</t>
        </is>
      </c>
      <c r="D1718" s="26" t="inlineStr">
        <is>
          <t>丹毁</t>
        </is>
      </c>
      <c r="E1718" s="18" t="inlineStr">
        <is>
          <t>14</t>
        </is>
      </c>
      <c r="F1718" s="26" t="inlineStr">
        <is>
          <t>360</t>
        </is>
      </c>
    </row>
    <row r="1719">
      <c r="B1719" s="18" t="n">
        <v>11716</v>
      </c>
      <c r="C1719" s="32" t="inlineStr">
        <is>
          <t>990016</t>
        </is>
      </c>
      <c r="D1719" s="26" t="inlineStr">
        <is>
          <t>丹毁</t>
        </is>
      </c>
      <c r="E1719" s="18" t="inlineStr">
        <is>
          <t>15</t>
        </is>
      </c>
      <c r="F1719" s="26" t="inlineStr">
        <is>
          <t>360</t>
        </is>
      </c>
    </row>
    <row r="1720">
      <c r="B1720" s="18" t="n">
        <v>11717</v>
      </c>
      <c r="C1720" s="32" t="inlineStr">
        <is>
          <t>990016</t>
        </is>
      </c>
      <c r="D1720" s="26" t="inlineStr">
        <is>
          <t>丹毁</t>
        </is>
      </c>
      <c r="E1720" s="18" t="inlineStr">
        <is>
          <t>16</t>
        </is>
      </c>
      <c r="F1720" s="26" t="inlineStr">
        <is>
          <t>360</t>
        </is>
      </c>
    </row>
    <row r="1721">
      <c r="B1721" s="18" t="n">
        <v>11718</v>
      </c>
      <c r="C1721" s="32" t="inlineStr">
        <is>
          <t>990016</t>
        </is>
      </c>
      <c r="D1721" s="26" t="inlineStr">
        <is>
          <t>丹毁</t>
        </is>
      </c>
      <c r="E1721" s="18" t="inlineStr">
        <is>
          <t>17</t>
        </is>
      </c>
      <c r="F1721" s="26" t="inlineStr">
        <is>
          <t>360</t>
        </is>
      </c>
    </row>
    <row r="1722">
      <c r="B1722" s="18" t="n">
        <v>11719</v>
      </c>
      <c r="C1722" s="32" t="inlineStr">
        <is>
          <t>990016</t>
        </is>
      </c>
      <c r="D1722" s="26" t="inlineStr">
        <is>
          <t>丹毁</t>
        </is>
      </c>
      <c r="E1722" s="18" t="inlineStr">
        <is>
          <t>18</t>
        </is>
      </c>
      <c r="F1722" s="26" t="inlineStr">
        <is>
          <t>360</t>
        </is>
      </c>
    </row>
    <row r="1723">
      <c r="B1723" s="18" t="n">
        <v>11720</v>
      </c>
      <c r="C1723" s="32" t="inlineStr">
        <is>
          <t>990016</t>
        </is>
      </c>
      <c r="D1723" s="26" t="inlineStr">
        <is>
          <t>丹毁</t>
        </is>
      </c>
      <c r="E1723" s="18" t="inlineStr">
        <is>
          <t>19</t>
        </is>
      </c>
      <c r="F1723" s="26" t="inlineStr">
        <is>
          <t>360</t>
        </is>
      </c>
    </row>
    <row r="1724">
      <c r="B1724" s="18" t="n">
        <v>11721</v>
      </c>
      <c r="C1724" s="32" t="inlineStr">
        <is>
          <t>990016</t>
        </is>
      </c>
      <c r="D1724" s="26" t="inlineStr">
        <is>
          <t>丹毁</t>
        </is>
      </c>
      <c r="E1724" s="18" t="inlineStr">
        <is>
          <t>20</t>
        </is>
      </c>
      <c r="F1724" s="26" t="inlineStr">
        <is>
          <t>360</t>
        </is>
      </c>
    </row>
    <row r="1725">
      <c r="B1725" s="18" t="n">
        <v>11722</v>
      </c>
      <c r="C1725" s="32" t="inlineStr">
        <is>
          <t>990016</t>
        </is>
      </c>
      <c r="D1725" s="26" t="inlineStr">
        <is>
          <t>丹毁</t>
        </is>
      </c>
      <c r="E1725" s="18" t="inlineStr">
        <is>
          <t>21</t>
        </is>
      </c>
      <c r="F1725" s="26" t="inlineStr">
        <is>
          <t>360</t>
        </is>
      </c>
    </row>
    <row r="1726">
      <c r="B1726" s="18" t="n">
        <v>11723</v>
      </c>
      <c r="C1726" s="32" t="inlineStr">
        <is>
          <t>990016</t>
        </is>
      </c>
      <c r="D1726" s="26" t="inlineStr">
        <is>
          <t>丹毁</t>
        </is>
      </c>
      <c r="E1726" s="18" t="inlineStr">
        <is>
          <t>22</t>
        </is>
      </c>
      <c r="F1726" s="26" t="inlineStr">
        <is>
          <t>360</t>
        </is>
      </c>
    </row>
    <row r="1727">
      <c r="B1727" s="18" t="n">
        <v>11724</v>
      </c>
      <c r="C1727" s="32" t="inlineStr">
        <is>
          <t>990016</t>
        </is>
      </c>
      <c r="D1727" s="26" t="inlineStr">
        <is>
          <t>丹毁</t>
        </is>
      </c>
      <c r="E1727" s="18" t="inlineStr">
        <is>
          <t>23</t>
        </is>
      </c>
      <c r="F1727" s="26" t="inlineStr">
        <is>
          <t>360</t>
        </is>
      </c>
    </row>
    <row r="1728">
      <c r="B1728" s="18" t="n">
        <v>11725</v>
      </c>
      <c r="C1728" s="32" t="inlineStr">
        <is>
          <t>990016</t>
        </is>
      </c>
      <c r="D1728" s="26" t="inlineStr">
        <is>
          <t>丹毁</t>
        </is>
      </c>
      <c r="E1728" s="18" t="inlineStr">
        <is>
          <t>24</t>
        </is>
      </c>
      <c r="F1728" s="26" t="inlineStr">
        <is>
          <t>360</t>
        </is>
      </c>
    </row>
    <row r="1729">
      <c r="B1729" s="18" t="n">
        <v>11726</v>
      </c>
      <c r="C1729" s="32" t="inlineStr">
        <is>
          <t>990016</t>
        </is>
      </c>
      <c r="D1729" s="26" t="inlineStr">
        <is>
          <t>丹毁</t>
        </is>
      </c>
      <c r="E1729" s="18" t="inlineStr">
        <is>
          <t>25</t>
        </is>
      </c>
      <c r="F1729" s="26" t="inlineStr">
        <is>
          <t>360</t>
        </is>
      </c>
    </row>
    <row r="1730">
      <c r="B1730" s="18" t="n">
        <v>11727</v>
      </c>
      <c r="C1730" s="32" t="inlineStr">
        <is>
          <t>990016</t>
        </is>
      </c>
      <c r="D1730" s="26" t="inlineStr">
        <is>
          <t>丹毁</t>
        </is>
      </c>
      <c r="E1730" s="18" t="inlineStr">
        <is>
          <t>26</t>
        </is>
      </c>
      <c r="F1730" s="26" t="inlineStr">
        <is>
          <t>360</t>
        </is>
      </c>
    </row>
    <row r="1731">
      <c r="B1731" s="18" t="n">
        <v>11728</v>
      </c>
      <c r="C1731" s="32" t="inlineStr">
        <is>
          <t>990016</t>
        </is>
      </c>
      <c r="D1731" s="26" t="inlineStr">
        <is>
          <t>丹毁</t>
        </is>
      </c>
      <c r="E1731" s="18" t="inlineStr">
        <is>
          <t>27</t>
        </is>
      </c>
      <c r="F1731" s="26" t="inlineStr">
        <is>
          <t>360</t>
        </is>
      </c>
    </row>
    <row r="1732">
      <c r="B1732" s="18" t="n">
        <v>11729</v>
      </c>
      <c r="C1732" s="32" t="inlineStr">
        <is>
          <t>990016</t>
        </is>
      </c>
      <c r="D1732" s="26" t="inlineStr">
        <is>
          <t>丹毁</t>
        </is>
      </c>
      <c r="E1732" s="18" t="inlineStr">
        <is>
          <t>28</t>
        </is>
      </c>
      <c r="F1732" s="26" t="inlineStr">
        <is>
          <t>360</t>
        </is>
      </c>
    </row>
    <row r="1733">
      <c r="B1733" s="18" t="n">
        <v>11730</v>
      </c>
      <c r="C1733" s="32" t="inlineStr">
        <is>
          <t>990016</t>
        </is>
      </c>
      <c r="D1733" s="26" t="inlineStr">
        <is>
          <t>丹毁</t>
        </is>
      </c>
      <c r="E1733" s="18" t="inlineStr">
        <is>
          <t>29</t>
        </is>
      </c>
      <c r="F1733" s="26" t="inlineStr">
        <is>
          <t>360</t>
        </is>
      </c>
    </row>
    <row r="1734">
      <c r="B1734" s="18" t="n">
        <v>11731</v>
      </c>
      <c r="C1734" s="32" t="inlineStr">
        <is>
          <t>990016</t>
        </is>
      </c>
      <c r="D1734" s="26" t="inlineStr">
        <is>
          <t>丹毁</t>
        </is>
      </c>
      <c r="E1734" s="18" t="inlineStr">
        <is>
          <t>30</t>
        </is>
      </c>
      <c r="F1734" s="26" t="inlineStr">
        <is>
          <t>360</t>
        </is>
      </c>
    </row>
    <row r="1735">
      <c r="B1735" s="18" t="n">
        <v>11732</v>
      </c>
      <c r="C1735" s="32" t="inlineStr">
        <is>
          <t>990016</t>
        </is>
      </c>
      <c r="D1735" s="26" t="inlineStr">
        <is>
          <t>丹毁</t>
        </is>
      </c>
      <c r="E1735" s="18" t="inlineStr">
        <is>
          <t>31</t>
        </is>
      </c>
      <c r="F1735" s="26" t="inlineStr">
        <is>
          <t>360</t>
        </is>
      </c>
    </row>
    <row r="1736">
      <c r="B1736" s="18" t="n">
        <v>11733</v>
      </c>
      <c r="C1736" s="32" t="inlineStr">
        <is>
          <t>990016</t>
        </is>
      </c>
      <c r="D1736" s="26" t="inlineStr">
        <is>
          <t>丹毁</t>
        </is>
      </c>
      <c r="E1736" s="18" t="inlineStr">
        <is>
          <t>32</t>
        </is>
      </c>
      <c r="F1736" s="26" t="inlineStr">
        <is>
          <t>360</t>
        </is>
      </c>
    </row>
    <row r="1737">
      <c r="B1737" s="18" t="n">
        <v>11734</v>
      </c>
      <c r="C1737" s="32" t="inlineStr">
        <is>
          <t>990016</t>
        </is>
      </c>
      <c r="D1737" s="26" t="inlineStr">
        <is>
          <t>丹毁</t>
        </is>
      </c>
      <c r="E1737" s="18" t="inlineStr">
        <is>
          <t>33</t>
        </is>
      </c>
      <c r="F1737" s="26" t="inlineStr">
        <is>
          <t>360</t>
        </is>
      </c>
    </row>
    <row r="1738">
      <c r="B1738" s="18" t="n">
        <v>11735</v>
      </c>
      <c r="C1738" s="32" t="inlineStr">
        <is>
          <t>990016</t>
        </is>
      </c>
      <c r="D1738" s="26" t="inlineStr">
        <is>
          <t>丹毁</t>
        </is>
      </c>
      <c r="E1738" s="18" t="inlineStr">
        <is>
          <t>34</t>
        </is>
      </c>
      <c r="F1738" s="26" t="inlineStr">
        <is>
          <t>360</t>
        </is>
      </c>
    </row>
    <row r="1739">
      <c r="B1739" s="18" t="n">
        <v>11736</v>
      </c>
      <c r="C1739" s="32" t="inlineStr">
        <is>
          <t>990016</t>
        </is>
      </c>
      <c r="D1739" s="26" t="inlineStr">
        <is>
          <t>丹毁</t>
        </is>
      </c>
      <c r="E1739" s="18" t="inlineStr">
        <is>
          <t>35</t>
        </is>
      </c>
      <c r="F1739" s="26" t="inlineStr">
        <is>
          <t>360</t>
        </is>
      </c>
    </row>
    <row r="1740">
      <c r="B1740" s="18" t="n">
        <v>11737</v>
      </c>
      <c r="C1740" s="32" t="inlineStr">
        <is>
          <t>990016</t>
        </is>
      </c>
      <c r="D1740" s="26" t="inlineStr">
        <is>
          <t>丹毁</t>
        </is>
      </c>
      <c r="E1740" s="18" t="inlineStr">
        <is>
          <t>36</t>
        </is>
      </c>
      <c r="F1740" s="26" t="inlineStr">
        <is>
          <t>360</t>
        </is>
      </c>
    </row>
    <row r="1741">
      <c r="B1741" s="18" t="n">
        <v>11738</v>
      </c>
      <c r="C1741" s="32" t="inlineStr">
        <is>
          <t>990016</t>
        </is>
      </c>
      <c r="D1741" s="26" t="inlineStr">
        <is>
          <t>丹毁</t>
        </is>
      </c>
      <c r="E1741" s="18" t="inlineStr">
        <is>
          <t>37</t>
        </is>
      </c>
      <c r="F1741" s="26" t="inlineStr">
        <is>
          <t>360</t>
        </is>
      </c>
    </row>
    <row r="1742">
      <c r="B1742" s="18" t="n">
        <v>11739</v>
      </c>
      <c r="C1742" s="32" t="inlineStr">
        <is>
          <t>990016</t>
        </is>
      </c>
      <c r="D1742" s="26" t="inlineStr">
        <is>
          <t>丹毁</t>
        </is>
      </c>
      <c r="E1742" s="18" t="inlineStr">
        <is>
          <t>38</t>
        </is>
      </c>
      <c r="F1742" s="26" t="inlineStr">
        <is>
          <t>360</t>
        </is>
      </c>
    </row>
    <row r="1743">
      <c r="B1743" s="18" t="n">
        <v>11740</v>
      </c>
      <c r="C1743" s="32" t="inlineStr">
        <is>
          <t>990016</t>
        </is>
      </c>
      <c r="D1743" s="26" t="inlineStr">
        <is>
          <t>丹毁</t>
        </is>
      </c>
      <c r="E1743" s="18" t="inlineStr">
        <is>
          <t>39</t>
        </is>
      </c>
      <c r="F1743" s="26" t="inlineStr">
        <is>
          <t>360</t>
        </is>
      </c>
    </row>
    <row r="1744">
      <c r="B1744" s="18" t="n">
        <v>11741</v>
      </c>
      <c r="C1744" s="32" t="inlineStr">
        <is>
          <t>990016</t>
        </is>
      </c>
      <c r="D1744" s="26" t="inlineStr">
        <is>
          <t>丹毁</t>
        </is>
      </c>
      <c r="E1744" s="18" t="inlineStr">
        <is>
          <t>40</t>
        </is>
      </c>
      <c r="F1744" s="26" t="inlineStr">
        <is>
          <t>360</t>
        </is>
      </c>
    </row>
    <row r="1745">
      <c r="B1745" s="18" t="n">
        <v>11742</v>
      </c>
      <c r="C1745" s="32" t="inlineStr">
        <is>
          <t>990016</t>
        </is>
      </c>
      <c r="D1745" s="26" t="inlineStr">
        <is>
          <t>丹毁</t>
        </is>
      </c>
      <c r="E1745" s="18" t="inlineStr">
        <is>
          <t>41</t>
        </is>
      </c>
      <c r="F1745" s="26" t="inlineStr">
        <is>
          <t>360</t>
        </is>
      </c>
    </row>
    <row r="1746">
      <c r="B1746" s="18" t="n">
        <v>11743</v>
      </c>
      <c r="C1746" s="32" t="inlineStr">
        <is>
          <t>990016</t>
        </is>
      </c>
      <c r="D1746" s="26" t="inlineStr">
        <is>
          <t>丹毁</t>
        </is>
      </c>
      <c r="E1746" s="18" t="inlineStr">
        <is>
          <t>42</t>
        </is>
      </c>
      <c r="F1746" s="26" t="inlineStr">
        <is>
          <t>360</t>
        </is>
      </c>
    </row>
    <row r="1747">
      <c r="B1747" s="18" t="n">
        <v>11744</v>
      </c>
      <c r="C1747" s="32" t="inlineStr">
        <is>
          <t>990016</t>
        </is>
      </c>
      <c r="D1747" s="26" t="inlineStr">
        <is>
          <t>丹毁</t>
        </is>
      </c>
      <c r="E1747" s="18" t="inlineStr">
        <is>
          <t>43</t>
        </is>
      </c>
      <c r="F1747" s="26" t="inlineStr">
        <is>
          <t>360</t>
        </is>
      </c>
    </row>
    <row r="1748">
      <c r="B1748" s="18" t="n">
        <v>11745</v>
      </c>
      <c r="C1748" s="32" t="inlineStr">
        <is>
          <t>990016</t>
        </is>
      </c>
      <c r="D1748" s="26" t="inlineStr">
        <is>
          <t>丹毁</t>
        </is>
      </c>
      <c r="E1748" s="18" t="inlineStr">
        <is>
          <t>44</t>
        </is>
      </c>
      <c r="F1748" s="26" t="inlineStr">
        <is>
          <t>360</t>
        </is>
      </c>
    </row>
    <row r="1749">
      <c r="B1749" s="18" t="n">
        <v>11746</v>
      </c>
      <c r="C1749" s="32" t="inlineStr">
        <is>
          <t>990016</t>
        </is>
      </c>
      <c r="D1749" s="26" t="inlineStr">
        <is>
          <t>丹毁</t>
        </is>
      </c>
      <c r="E1749" s="18" t="inlineStr">
        <is>
          <t>45</t>
        </is>
      </c>
      <c r="F1749" s="26" t="inlineStr">
        <is>
          <t>360</t>
        </is>
      </c>
    </row>
    <row r="1750">
      <c r="B1750" s="18" t="n">
        <v>11747</v>
      </c>
      <c r="C1750" s="32" t="inlineStr">
        <is>
          <t>990016</t>
        </is>
      </c>
      <c r="D1750" s="26" t="inlineStr">
        <is>
          <t>丹毁</t>
        </is>
      </c>
      <c r="E1750" s="18" t="inlineStr">
        <is>
          <t>46</t>
        </is>
      </c>
      <c r="F1750" s="26" t="inlineStr">
        <is>
          <t>360</t>
        </is>
      </c>
    </row>
    <row r="1751">
      <c r="B1751" s="18" t="n">
        <v>11748</v>
      </c>
      <c r="C1751" s="32" t="inlineStr">
        <is>
          <t>990016</t>
        </is>
      </c>
      <c r="D1751" s="26" t="inlineStr">
        <is>
          <t>丹毁</t>
        </is>
      </c>
      <c r="E1751" s="18" t="inlineStr">
        <is>
          <t>47</t>
        </is>
      </c>
      <c r="F1751" s="26" t="inlineStr">
        <is>
          <t>360</t>
        </is>
      </c>
    </row>
    <row r="1752">
      <c r="B1752" s="18" t="n">
        <v>11749</v>
      </c>
      <c r="C1752" s="32" t="inlineStr">
        <is>
          <t>990016</t>
        </is>
      </c>
      <c r="D1752" s="26" t="inlineStr">
        <is>
          <t>丹毁</t>
        </is>
      </c>
      <c r="E1752" s="18" t="inlineStr">
        <is>
          <t>48</t>
        </is>
      </c>
      <c r="F1752" s="26" t="inlineStr">
        <is>
          <t>360</t>
        </is>
      </c>
    </row>
    <row r="1753">
      <c r="B1753" s="18" t="n">
        <v>11750</v>
      </c>
      <c r="C1753" s="32" t="inlineStr">
        <is>
          <t>990016</t>
        </is>
      </c>
      <c r="D1753" s="26" t="inlineStr">
        <is>
          <t>丹毁</t>
        </is>
      </c>
      <c r="E1753" s="18" t="inlineStr">
        <is>
          <t>49</t>
        </is>
      </c>
      <c r="F1753" s="26" t="inlineStr">
        <is>
          <t>360</t>
        </is>
      </c>
    </row>
    <row r="1754">
      <c r="B1754" s="18" t="n">
        <v>11751</v>
      </c>
      <c r="C1754" s="32" t="inlineStr">
        <is>
          <t>990016</t>
        </is>
      </c>
      <c r="D1754" s="26" t="inlineStr">
        <is>
          <t>丹毁</t>
        </is>
      </c>
      <c r="E1754" s="18" t="inlineStr">
        <is>
          <t>50</t>
        </is>
      </c>
      <c r="F1754" s="26" t="inlineStr">
        <is>
          <t>360</t>
        </is>
      </c>
    </row>
    <row r="1755">
      <c r="B1755" s="18" t="n">
        <v>11752</v>
      </c>
      <c r="C1755" s="32" t="inlineStr">
        <is>
          <t>990017</t>
        </is>
      </c>
      <c r="D1755" s="35" t="inlineStr">
        <is>
          <t>荒元遗术</t>
        </is>
      </c>
      <c r="E1755" s="18" t="inlineStr">
        <is>
          <t>1</t>
        </is>
      </c>
      <c r="F1755" s="18" t="n">
        <v>100</v>
      </c>
      <c r="G1755" s="18" t="inlineStr">
        <is>
          <t>10001|150$121001|92$121006|8</t>
        </is>
      </c>
      <c r="H1755" s="26" t="inlineStr">
        <is>
          <t>1000|50</t>
        </is>
      </c>
      <c r="I1755" s="26" t="n"/>
    </row>
    <row r="1756">
      <c r="B1756" s="18" t="n">
        <v>11753</v>
      </c>
      <c r="C1756" s="32" t="inlineStr">
        <is>
          <t>990017</t>
        </is>
      </c>
      <c r="D1756" s="35" t="inlineStr">
        <is>
          <t>荒元遗术</t>
        </is>
      </c>
      <c r="E1756" s="18" t="inlineStr">
        <is>
          <t>2</t>
        </is>
      </c>
      <c r="F1756" s="18" t="n">
        <v>120</v>
      </c>
      <c r="G1756" s="18" t="inlineStr">
        <is>
          <t>10001|600$121001|368$121006|21</t>
        </is>
      </c>
      <c r="H1756" s="26" t="inlineStr">
        <is>
          <t>1000|50</t>
        </is>
      </c>
      <c r="I1756" s="26" t="n"/>
    </row>
    <row r="1757">
      <c r="B1757" s="18" t="n">
        <v>11754</v>
      </c>
      <c r="C1757" s="32" t="inlineStr">
        <is>
          <t>990017</t>
        </is>
      </c>
      <c r="D1757" s="35" t="inlineStr">
        <is>
          <t>荒元遗术</t>
        </is>
      </c>
      <c r="E1757" s="18" t="inlineStr">
        <is>
          <t>3</t>
        </is>
      </c>
      <c r="F1757" s="18" t="n">
        <v>140</v>
      </c>
      <c r="G1757" s="18" t="inlineStr">
        <is>
          <t>10001|1350$121001|828$121006|39</t>
        </is>
      </c>
      <c r="H1757" s="26" t="inlineStr">
        <is>
          <t>1000|50</t>
        </is>
      </c>
      <c r="I1757" s="26" t="n"/>
    </row>
    <row r="1758">
      <c r="B1758" s="18" t="n">
        <v>11755</v>
      </c>
      <c r="C1758" s="32" t="inlineStr">
        <is>
          <t>990017</t>
        </is>
      </c>
      <c r="D1758" s="35" t="inlineStr">
        <is>
          <t>荒元遗术</t>
        </is>
      </c>
      <c r="E1758" s="18" t="inlineStr">
        <is>
          <t>4</t>
        </is>
      </c>
      <c r="F1758" s="18" t="n">
        <v>160</v>
      </c>
      <c r="G1758" s="18" t="inlineStr">
        <is>
          <t>10001|2400$121001|1472$121006|60</t>
        </is>
      </c>
      <c r="H1758" s="26" t="inlineStr">
        <is>
          <t>1000|50</t>
        </is>
      </c>
      <c r="I1758" s="26" t="n"/>
    </row>
    <row r="1759">
      <c r="B1759" s="18" t="n">
        <v>11756</v>
      </c>
      <c r="C1759" s="32" t="inlineStr">
        <is>
          <t>990017</t>
        </is>
      </c>
      <c r="D1759" s="35" t="inlineStr">
        <is>
          <t>荒元遗术</t>
        </is>
      </c>
      <c r="E1759" s="18" t="inlineStr">
        <is>
          <t>5</t>
        </is>
      </c>
      <c r="F1759" s="18" t="n">
        <v>180</v>
      </c>
      <c r="G1759" s="18" t="inlineStr">
        <is>
          <t>10001|3750$121001|2300$121006|84</t>
        </is>
      </c>
      <c r="H1759" s="26" t="inlineStr">
        <is>
          <t>1000|50</t>
        </is>
      </c>
      <c r="I1759" s="26" t="n"/>
    </row>
    <row r="1760">
      <c r="B1760" s="18" t="n">
        <v>11757</v>
      </c>
      <c r="C1760" s="32" t="inlineStr">
        <is>
          <t>990017</t>
        </is>
      </c>
      <c r="D1760" s="35" t="inlineStr">
        <is>
          <t>荒元遗术</t>
        </is>
      </c>
      <c r="E1760" s="18" t="inlineStr">
        <is>
          <t>6</t>
        </is>
      </c>
      <c r="F1760" s="18" t="n">
        <v>200</v>
      </c>
      <c r="G1760" s="18" t="inlineStr">
        <is>
          <t>10001|5400$121001|3312$121006|110</t>
        </is>
      </c>
      <c r="H1760" s="26" t="inlineStr">
        <is>
          <t>1000|50</t>
        </is>
      </c>
      <c r="I1760" s="26" t="n"/>
    </row>
    <row r="1761">
      <c r="B1761" s="18" t="n">
        <v>11758</v>
      </c>
      <c r="C1761" s="32" t="inlineStr">
        <is>
          <t>990017</t>
        </is>
      </c>
      <c r="D1761" s="35" t="inlineStr">
        <is>
          <t>荒元遗术</t>
        </is>
      </c>
      <c r="E1761" s="18" t="inlineStr">
        <is>
          <t>7</t>
        </is>
      </c>
      <c r="F1761" s="18" t="n">
        <v>220</v>
      </c>
      <c r="G1761" s="18" t="inlineStr">
        <is>
          <t>10001|7350$121001|4508$121006|139</t>
        </is>
      </c>
      <c r="H1761" s="26" t="inlineStr">
        <is>
          <t>1000|50</t>
        </is>
      </c>
      <c r="I1761" s="26" t="n"/>
    </row>
    <row r="1762">
      <c r="B1762" s="18" t="n">
        <v>11759</v>
      </c>
      <c r="C1762" s="32" t="inlineStr">
        <is>
          <t>990017</t>
        </is>
      </c>
      <c r="D1762" s="35" t="inlineStr">
        <is>
          <t>荒元遗术</t>
        </is>
      </c>
      <c r="E1762" s="18" t="inlineStr">
        <is>
          <t>8</t>
        </is>
      </c>
      <c r="F1762" s="18" t="n">
        <v>240</v>
      </c>
      <c r="G1762" s="18" t="inlineStr">
        <is>
          <t>10001|9600$121001|5888$121006|170</t>
        </is>
      </c>
      <c r="H1762" s="26" t="inlineStr">
        <is>
          <t>1000|50</t>
        </is>
      </c>
      <c r="I1762" s="26" t="n"/>
    </row>
    <row r="1763">
      <c r="B1763" s="18" t="n">
        <v>11760</v>
      </c>
      <c r="C1763" s="32" t="inlineStr">
        <is>
          <t>990017</t>
        </is>
      </c>
      <c r="D1763" s="35" t="inlineStr">
        <is>
          <t>荒元遗术</t>
        </is>
      </c>
      <c r="E1763" s="18" t="inlineStr">
        <is>
          <t>9</t>
        </is>
      </c>
      <c r="F1763" s="18" t="n">
        <v>260</v>
      </c>
      <c r="G1763" s="18" t="inlineStr">
        <is>
          <t>10001|12150$121001|7452$121006|203</t>
        </is>
      </c>
      <c r="H1763" s="26" t="inlineStr">
        <is>
          <t>1000|50</t>
        </is>
      </c>
      <c r="I1763" s="26" t="n"/>
    </row>
    <row r="1764">
      <c r="B1764" s="18" t="n">
        <v>11761</v>
      </c>
      <c r="C1764" s="32" t="inlineStr">
        <is>
          <t>990017</t>
        </is>
      </c>
      <c r="D1764" s="35" t="inlineStr">
        <is>
          <t>荒元遗术</t>
        </is>
      </c>
      <c r="E1764" s="18" t="inlineStr">
        <is>
          <t>10</t>
        </is>
      </c>
      <c r="F1764" s="18" t="n">
        <v>280</v>
      </c>
      <c r="G1764" s="18" t="inlineStr">
        <is>
          <t>10001|15000$122001|9200$122006|237</t>
        </is>
      </c>
      <c r="H1764" s="26" t="inlineStr">
        <is>
          <t>1000|50</t>
        </is>
      </c>
      <c r="I1764" s="26" t="n"/>
    </row>
    <row r="1765">
      <c r="B1765" s="18" t="n">
        <v>11762</v>
      </c>
      <c r="C1765" s="32" t="inlineStr">
        <is>
          <t>990017</t>
        </is>
      </c>
      <c r="D1765" s="35" t="inlineStr">
        <is>
          <t>荒元遗术</t>
        </is>
      </c>
      <c r="E1765" s="18" t="inlineStr">
        <is>
          <t>11</t>
        </is>
      </c>
      <c r="F1765" s="18" t="n">
        <v>300</v>
      </c>
      <c r="G1765" s="18" t="inlineStr">
        <is>
          <t>10001|18150$122001|11132$122006|274</t>
        </is>
      </c>
      <c r="H1765" s="26" t="inlineStr">
        <is>
          <t>1000|50</t>
        </is>
      </c>
      <c r="I1765" s="26" t="n"/>
    </row>
    <row r="1766">
      <c r="B1766" s="18" t="n">
        <v>11763</v>
      </c>
      <c r="C1766" s="32" t="inlineStr">
        <is>
          <t>990017</t>
        </is>
      </c>
      <c r="D1766" s="35" t="inlineStr">
        <is>
          <t>荒元遗术</t>
        </is>
      </c>
      <c r="E1766" s="18" t="inlineStr">
        <is>
          <t>12</t>
        </is>
      </c>
      <c r="F1766" s="18" t="n">
        <v>320</v>
      </c>
      <c r="G1766" s="18" t="inlineStr">
        <is>
          <t>10001|21600$122001|13248$122006|312</t>
        </is>
      </c>
      <c r="H1766" s="26" t="inlineStr">
        <is>
          <t>1000|50</t>
        </is>
      </c>
      <c r="I1766" s="26" t="n"/>
    </row>
    <row r="1767">
      <c r="B1767" s="18" t="n">
        <v>11764</v>
      </c>
      <c r="C1767" s="32" t="inlineStr">
        <is>
          <t>990017</t>
        </is>
      </c>
      <c r="D1767" s="35" t="inlineStr">
        <is>
          <t>荒元遗术</t>
        </is>
      </c>
      <c r="E1767" s="18" t="inlineStr">
        <is>
          <t>13</t>
        </is>
      </c>
      <c r="F1767" s="18" t="n">
        <v>340</v>
      </c>
      <c r="G1767" s="18" t="inlineStr">
        <is>
          <t>10001|25350$122001|15548$122006|352</t>
        </is>
      </c>
      <c r="H1767" s="26" t="inlineStr">
        <is>
          <t>1000|50</t>
        </is>
      </c>
      <c r="I1767" s="26" t="n"/>
    </row>
    <row r="1768">
      <c r="B1768" s="18" t="n">
        <v>11765</v>
      </c>
      <c r="C1768" s="32" t="inlineStr">
        <is>
          <t>990017</t>
        </is>
      </c>
      <c r="D1768" s="35" t="inlineStr">
        <is>
          <t>荒元遗术</t>
        </is>
      </c>
      <c r="E1768" s="18" t="inlineStr">
        <is>
          <t>14</t>
        </is>
      </c>
      <c r="F1768" s="18" t="n">
        <v>360</v>
      </c>
      <c r="G1768" s="18" t="inlineStr">
        <is>
          <t>10001|29400$122001|18032$122006|393</t>
        </is>
      </c>
      <c r="H1768" s="26" t="inlineStr">
        <is>
          <t>1000|50</t>
        </is>
      </c>
      <c r="I1768" s="26" t="n"/>
    </row>
    <row r="1769">
      <c r="B1769" s="18" t="n">
        <v>11766</v>
      </c>
      <c r="C1769" s="32" t="inlineStr">
        <is>
          <t>990017</t>
        </is>
      </c>
      <c r="D1769" s="35" t="inlineStr">
        <is>
          <t>荒元遗术</t>
        </is>
      </c>
      <c r="E1769" s="18" t="inlineStr">
        <is>
          <t>15</t>
        </is>
      </c>
      <c r="F1769" s="18" t="n">
        <v>380</v>
      </c>
      <c r="G1769" s="18" t="inlineStr">
        <is>
          <t>10001|33750$122001|20700$122006|436</t>
        </is>
      </c>
      <c r="H1769" s="26" t="inlineStr">
        <is>
          <t>1000|50</t>
        </is>
      </c>
      <c r="I1769" s="26" t="n"/>
    </row>
    <row r="1770">
      <c r="B1770" s="18" t="n">
        <v>11767</v>
      </c>
      <c r="C1770" s="32" t="inlineStr">
        <is>
          <t>990017</t>
        </is>
      </c>
      <c r="D1770" s="35" t="inlineStr">
        <is>
          <t>荒元遗术</t>
        </is>
      </c>
      <c r="E1770" s="18" t="inlineStr">
        <is>
          <t>16</t>
        </is>
      </c>
      <c r="F1770" s="18" t="n">
        <v>400</v>
      </c>
      <c r="G1770" s="18" t="inlineStr">
        <is>
          <t>10001|38400$122001|23552$122006|480</t>
        </is>
      </c>
      <c r="H1770" s="26" t="inlineStr">
        <is>
          <t>1000|50</t>
        </is>
      </c>
      <c r="I1770" s="26" t="n"/>
    </row>
    <row r="1771">
      <c r="B1771" s="18" t="n">
        <v>11768</v>
      </c>
      <c r="C1771" s="32" t="inlineStr">
        <is>
          <t>990017</t>
        </is>
      </c>
      <c r="D1771" s="35" t="inlineStr">
        <is>
          <t>荒元遗术</t>
        </is>
      </c>
      <c r="E1771" s="18" t="inlineStr">
        <is>
          <t>17</t>
        </is>
      </c>
      <c r="F1771" s="18" t="n">
        <v>420</v>
      </c>
      <c r="G1771" s="18" t="inlineStr">
        <is>
          <t>10001|43350$122001|26588$122006|526</t>
        </is>
      </c>
      <c r="H1771" s="26" t="inlineStr">
        <is>
          <t>1000|50</t>
        </is>
      </c>
      <c r="I1771" s="26" t="n"/>
    </row>
    <row r="1772">
      <c r="B1772" s="18" t="n">
        <v>11769</v>
      </c>
      <c r="C1772" s="32" t="inlineStr">
        <is>
          <t>990017</t>
        </is>
      </c>
      <c r="D1772" s="35" t="inlineStr">
        <is>
          <t>荒元遗术</t>
        </is>
      </c>
      <c r="E1772" s="18" t="inlineStr">
        <is>
          <t>18</t>
        </is>
      </c>
      <c r="F1772" s="18" t="n">
        <v>440</v>
      </c>
      <c r="G1772" s="18" t="inlineStr">
        <is>
          <t>10001|48600$122001|29808$122006|573</t>
        </is>
      </c>
      <c r="H1772" s="26" t="inlineStr">
        <is>
          <t>1000|50</t>
        </is>
      </c>
      <c r="I1772" s="26" t="n"/>
    </row>
    <row r="1773">
      <c r="B1773" s="18" t="n">
        <v>11770</v>
      </c>
      <c r="C1773" s="32" t="inlineStr">
        <is>
          <t>990017</t>
        </is>
      </c>
      <c r="D1773" s="35" t="inlineStr">
        <is>
          <t>荒元遗术</t>
        </is>
      </c>
      <c r="E1773" s="18" t="inlineStr">
        <is>
          <t>19</t>
        </is>
      </c>
      <c r="F1773" s="18" t="n">
        <v>460</v>
      </c>
      <c r="G1773" s="18" t="inlineStr">
        <is>
          <t>10001|54150$122001|33212$122006|621</t>
        </is>
      </c>
      <c r="H1773" s="26" t="inlineStr">
        <is>
          <t>1000|50</t>
        </is>
      </c>
      <c r="I1773" s="26" t="n"/>
    </row>
    <row r="1774">
      <c r="B1774" s="18" t="n">
        <v>11771</v>
      </c>
      <c r="C1774" s="32" t="inlineStr">
        <is>
          <t>990017</t>
        </is>
      </c>
      <c r="D1774" s="35" t="inlineStr">
        <is>
          <t>荒元遗术</t>
        </is>
      </c>
      <c r="E1774" s="18" t="inlineStr">
        <is>
          <t>20</t>
        </is>
      </c>
      <c r="F1774" s="18" t="n">
        <v>480</v>
      </c>
      <c r="G1774" s="18" t="inlineStr">
        <is>
          <t>10001|60000$123001|36800$123006|671</t>
        </is>
      </c>
      <c r="H1774" s="26" t="inlineStr">
        <is>
          <t>1000|50</t>
        </is>
      </c>
      <c r="I1774" s="26" t="n"/>
    </row>
    <row r="1775">
      <c r="B1775" s="18" t="n">
        <v>11772</v>
      </c>
      <c r="C1775" s="32" t="inlineStr">
        <is>
          <t>990017</t>
        </is>
      </c>
      <c r="D1775" s="35" t="inlineStr">
        <is>
          <t>荒元遗术</t>
        </is>
      </c>
      <c r="E1775" s="18" t="inlineStr">
        <is>
          <t>21</t>
        </is>
      </c>
      <c r="F1775" s="18" t="n">
        <v>500</v>
      </c>
      <c r="G1775" s="18" t="inlineStr">
        <is>
          <t>10001|66150$123001|40572$123006|722</t>
        </is>
      </c>
      <c r="H1775" s="26" t="inlineStr">
        <is>
          <t>1000|50</t>
        </is>
      </c>
      <c r="I1775" s="26" t="n"/>
    </row>
    <row r="1776">
      <c r="B1776" s="18" t="n">
        <v>11773</v>
      </c>
      <c r="C1776" s="32" t="inlineStr">
        <is>
          <t>990017</t>
        </is>
      </c>
      <c r="D1776" s="35" t="inlineStr">
        <is>
          <t>荒元遗术</t>
        </is>
      </c>
      <c r="E1776" s="18" t="inlineStr">
        <is>
          <t>22</t>
        </is>
      </c>
      <c r="F1776" s="18" t="n">
        <v>520</v>
      </c>
      <c r="G1776" s="18" t="inlineStr">
        <is>
          <t>10001|72600$123001|44528$123006|774</t>
        </is>
      </c>
      <c r="H1776" s="26" t="inlineStr">
        <is>
          <t>1000|50</t>
        </is>
      </c>
      <c r="I1776" s="26" t="n"/>
    </row>
    <row r="1777">
      <c r="B1777" s="18" t="n">
        <v>11774</v>
      </c>
      <c r="C1777" s="32" t="inlineStr">
        <is>
          <t>990017</t>
        </is>
      </c>
      <c r="D1777" s="35" t="inlineStr">
        <is>
          <t>荒元遗术</t>
        </is>
      </c>
      <c r="E1777" s="18" t="inlineStr">
        <is>
          <t>23</t>
        </is>
      </c>
      <c r="F1777" s="18" t="n">
        <v>540</v>
      </c>
      <c r="G1777" s="18" t="inlineStr">
        <is>
          <t>10001|79350$123001|48668$123006|827</t>
        </is>
      </c>
      <c r="H1777" s="26" t="inlineStr">
        <is>
          <t>1000|50</t>
        </is>
      </c>
      <c r="I1777" s="26" t="n"/>
    </row>
    <row r="1778">
      <c r="B1778" s="18" t="n">
        <v>11775</v>
      </c>
      <c r="C1778" s="32" t="inlineStr">
        <is>
          <t>990017</t>
        </is>
      </c>
      <c r="D1778" s="35" t="inlineStr">
        <is>
          <t>荒元遗术</t>
        </is>
      </c>
      <c r="E1778" s="18" t="inlineStr">
        <is>
          <t>24</t>
        </is>
      </c>
      <c r="F1778" s="18" t="n">
        <v>560</v>
      </c>
      <c r="G1778" s="18" t="inlineStr">
        <is>
          <t>10001|86400$123001|52992$123006|882</t>
        </is>
      </c>
      <c r="H1778" s="26" t="inlineStr">
        <is>
          <t>1000|50</t>
        </is>
      </c>
      <c r="I1778" s="26" t="n"/>
    </row>
    <row r="1779">
      <c r="B1779" s="18" t="n">
        <v>11776</v>
      </c>
      <c r="C1779" s="32" t="inlineStr">
        <is>
          <t>990017</t>
        </is>
      </c>
      <c r="D1779" s="35" t="inlineStr">
        <is>
          <t>荒元遗术</t>
        </is>
      </c>
      <c r="E1779" s="18" t="inlineStr">
        <is>
          <t>25</t>
        </is>
      </c>
      <c r="F1779" s="18" t="n">
        <v>580</v>
      </c>
      <c r="G1779" s="18" t="inlineStr">
        <is>
          <t>10001|93750$123001|57500$123006|938</t>
        </is>
      </c>
      <c r="H1779" s="26" t="inlineStr">
        <is>
          <t>1000|50</t>
        </is>
      </c>
      <c r="I1779" s="26" t="n"/>
    </row>
    <row r="1780">
      <c r="B1780" s="18" t="n">
        <v>11777</v>
      </c>
      <c r="C1780" s="32" t="inlineStr">
        <is>
          <t>990017</t>
        </is>
      </c>
      <c r="D1780" s="35" t="inlineStr">
        <is>
          <t>荒元遗术</t>
        </is>
      </c>
      <c r="E1780" s="18" t="inlineStr">
        <is>
          <t>26</t>
        </is>
      </c>
      <c r="F1780" s="18" t="n">
        <v>600</v>
      </c>
      <c r="G1780" s="18" t="inlineStr">
        <is>
          <t>10001|101400$123001|62192$123006|994</t>
        </is>
      </c>
      <c r="H1780" s="26" t="inlineStr">
        <is>
          <t>1000|50</t>
        </is>
      </c>
      <c r="I1780" s="26" t="n"/>
    </row>
    <row r="1781">
      <c r="B1781" s="18" t="n">
        <v>11778</v>
      </c>
      <c r="C1781" s="32" t="inlineStr">
        <is>
          <t>990017</t>
        </is>
      </c>
      <c r="D1781" s="35" t="inlineStr">
        <is>
          <t>荒元遗术</t>
        </is>
      </c>
      <c r="E1781" s="18" t="inlineStr">
        <is>
          <t>27</t>
        </is>
      </c>
      <c r="F1781" s="18" t="n">
        <v>620</v>
      </c>
      <c r="G1781" s="18" t="inlineStr">
        <is>
          <t>10001|109350$123001|67068$123006|1052</t>
        </is>
      </c>
      <c r="H1781" s="26" t="inlineStr">
        <is>
          <t>1000|50</t>
        </is>
      </c>
      <c r="I1781" s="26" t="n"/>
    </row>
    <row r="1782">
      <c r="B1782" s="18" t="n">
        <v>11779</v>
      </c>
      <c r="C1782" s="32" t="inlineStr">
        <is>
          <t>990017</t>
        </is>
      </c>
      <c r="D1782" s="35" t="inlineStr">
        <is>
          <t>荒元遗术</t>
        </is>
      </c>
      <c r="E1782" s="18" t="inlineStr">
        <is>
          <t>28</t>
        </is>
      </c>
      <c r="F1782" s="18" t="n">
        <v>640</v>
      </c>
      <c r="G1782" s="18" t="inlineStr">
        <is>
          <t>10001|117600$123001|72128$123006|1111</t>
        </is>
      </c>
      <c r="H1782" s="26" t="inlineStr">
        <is>
          <t>1000|50</t>
        </is>
      </c>
      <c r="I1782" s="26" t="n"/>
    </row>
    <row r="1783">
      <c r="B1783" s="18" t="n">
        <v>11780</v>
      </c>
      <c r="C1783" s="32" t="inlineStr">
        <is>
          <t>990017</t>
        </is>
      </c>
      <c r="D1783" s="35" t="inlineStr">
        <is>
          <t>荒元遗术</t>
        </is>
      </c>
      <c r="E1783" s="18" t="inlineStr">
        <is>
          <t>29</t>
        </is>
      </c>
      <c r="F1783" s="18" t="n">
        <v>660</v>
      </c>
      <c r="G1783" s="18" t="inlineStr">
        <is>
          <t>10001|126150$123001|77372$123006|1171</t>
        </is>
      </c>
      <c r="H1783" s="26" t="inlineStr">
        <is>
          <t>1000|50</t>
        </is>
      </c>
      <c r="I1783" s="26" t="n"/>
    </row>
    <row r="1784">
      <c r="B1784" s="18" t="n">
        <v>11781</v>
      </c>
      <c r="C1784" s="32" t="inlineStr">
        <is>
          <t>990017</t>
        </is>
      </c>
      <c r="D1784" s="35" t="inlineStr">
        <is>
          <t>荒元遗术</t>
        </is>
      </c>
      <c r="E1784" s="18" t="inlineStr">
        <is>
          <t>30</t>
        </is>
      </c>
      <c r="F1784" s="18" t="n">
        <v>680</v>
      </c>
      <c r="G1784" s="18" t="inlineStr">
        <is>
          <t>10001|135000$124001|82800$124006|1232</t>
        </is>
      </c>
      <c r="H1784" s="26" t="inlineStr">
        <is>
          <t>1000|50</t>
        </is>
      </c>
      <c r="I1784" s="26" t="n"/>
    </row>
    <row r="1785">
      <c r="B1785" s="18" t="n">
        <v>11782</v>
      </c>
      <c r="C1785" s="32" t="inlineStr">
        <is>
          <t>990017</t>
        </is>
      </c>
      <c r="D1785" s="35" t="inlineStr">
        <is>
          <t>荒元遗术</t>
        </is>
      </c>
      <c r="E1785" s="18" t="inlineStr">
        <is>
          <t>31</t>
        </is>
      </c>
      <c r="F1785" s="18" t="n">
        <v>700</v>
      </c>
      <c r="G1785" s="18" t="inlineStr">
        <is>
          <t>10001|144150$124001|88412$124006|1295</t>
        </is>
      </c>
      <c r="H1785" s="26" t="inlineStr">
        <is>
          <t>1000|50</t>
        </is>
      </c>
      <c r="I1785" s="26" t="n"/>
    </row>
    <row r="1786">
      <c r="B1786" s="18" t="n">
        <v>11783</v>
      </c>
      <c r="C1786" s="32" t="inlineStr">
        <is>
          <t>990017</t>
        </is>
      </c>
      <c r="D1786" s="35" t="inlineStr">
        <is>
          <t>荒元遗术</t>
        </is>
      </c>
      <c r="E1786" s="18" t="inlineStr">
        <is>
          <t>32</t>
        </is>
      </c>
      <c r="F1786" s="18" t="n">
        <v>720</v>
      </c>
      <c r="G1786" s="18" t="inlineStr">
        <is>
          <t>10001|153600$124001|94208$124006|1358</t>
        </is>
      </c>
      <c r="H1786" s="26" t="inlineStr">
        <is>
          <t>1000|50</t>
        </is>
      </c>
      <c r="I1786" s="26" t="n"/>
    </row>
    <row r="1787">
      <c r="B1787" s="18" t="n">
        <v>11784</v>
      </c>
      <c r="C1787" s="32" t="inlineStr">
        <is>
          <t>990017</t>
        </is>
      </c>
      <c r="D1787" s="35" t="inlineStr">
        <is>
          <t>荒元遗术</t>
        </is>
      </c>
      <c r="E1787" s="18" t="inlineStr">
        <is>
          <t>33</t>
        </is>
      </c>
      <c r="F1787" s="18" t="n">
        <v>740</v>
      </c>
      <c r="G1787" s="18" t="inlineStr">
        <is>
          <t>10001|163350$124001|100188$124006|1422</t>
        </is>
      </c>
      <c r="H1787" s="26" t="inlineStr">
        <is>
          <t>1000|50</t>
        </is>
      </c>
      <c r="I1787" s="26" t="n"/>
    </row>
    <row r="1788">
      <c r="B1788" s="18" t="n">
        <v>11785</v>
      </c>
      <c r="C1788" s="32" t="inlineStr">
        <is>
          <t>990017</t>
        </is>
      </c>
      <c r="D1788" s="35" t="inlineStr">
        <is>
          <t>荒元遗术</t>
        </is>
      </c>
      <c r="E1788" s="18" t="inlineStr">
        <is>
          <t>34</t>
        </is>
      </c>
      <c r="F1788" s="18" t="n">
        <v>760</v>
      </c>
      <c r="G1788" s="18" t="inlineStr">
        <is>
          <t>10001|173400$124001|106352$124006|1487</t>
        </is>
      </c>
      <c r="H1788" s="26" t="inlineStr">
        <is>
          <t>1000|50</t>
        </is>
      </c>
      <c r="I1788" s="26" t="n"/>
    </row>
    <row r="1789">
      <c r="B1789" s="18" t="n">
        <v>11786</v>
      </c>
      <c r="C1789" s="32" t="inlineStr">
        <is>
          <t>990017</t>
        </is>
      </c>
      <c r="D1789" s="35" t="inlineStr">
        <is>
          <t>荒元遗术</t>
        </is>
      </c>
      <c r="E1789" s="18" t="inlineStr">
        <is>
          <t>35</t>
        </is>
      </c>
      <c r="F1789" s="18" t="n">
        <v>780</v>
      </c>
      <c r="G1789" s="18" t="inlineStr">
        <is>
          <t>10001|183750$124001|112700$124006|1553</t>
        </is>
      </c>
      <c r="H1789" s="26" t="inlineStr">
        <is>
          <t>1000|50</t>
        </is>
      </c>
      <c r="I1789" s="26" t="n"/>
    </row>
    <row r="1790">
      <c r="B1790" s="18" t="n">
        <v>11787</v>
      </c>
      <c r="C1790" s="32" t="inlineStr">
        <is>
          <t>990017</t>
        </is>
      </c>
      <c r="D1790" s="35" t="inlineStr">
        <is>
          <t>荒元遗术</t>
        </is>
      </c>
      <c r="E1790" s="18" t="inlineStr">
        <is>
          <t>36</t>
        </is>
      </c>
      <c r="F1790" s="18" t="n">
        <v>800</v>
      </c>
      <c r="G1790" s="18" t="inlineStr">
        <is>
          <t>10001|194400$124001|119232$124006|1620</t>
        </is>
      </c>
      <c r="H1790" s="26" t="inlineStr">
        <is>
          <t>1000|50</t>
        </is>
      </c>
      <c r="I1790" s="26" t="n"/>
    </row>
    <row r="1791">
      <c r="B1791" s="18" t="n">
        <v>11788</v>
      </c>
      <c r="C1791" s="32" t="inlineStr">
        <is>
          <t>990017</t>
        </is>
      </c>
      <c r="D1791" s="35" t="inlineStr">
        <is>
          <t>荒元遗术</t>
        </is>
      </c>
      <c r="E1791" s="18" t="inlineStr">
        <is>
          <t>37</t>
        </is>
      </c>
      <c r="F1791" s="18" t="n">
        <v>820</v>
      </c>
      <c r="G1791" s="18" t="inlineStr">
        <is>
          <t>10001|205350$124001|125948$124006|1688</t>
        </is>
      </c>
      <c r="H1791" s="26" t="inlineStr">
        <is>
          <t>1000|50</t>
        </is>
      </c>
      <c r="I1791" s="26" t="n"/>
    </row>
    <row r="1792">
      <c r="B1792" s="18" t="n">
        <v>11789</v>
      </c>
      <c r="C1792" s="32" t="inlineStr">
        <is>
          <t>990017</t>
        </is>
      </c>
      <c r="D1792" s="35" t="inlineStr">
        <is>
          <t>荒元遗术</t>
        </is>
      </c>
      <c r="E1792" s="18" t="inlineStr">
        <is>
          <t>38</t>
        </is>
      </c>
      <c r="F1792" s="18" t="n">
        <v>840</v>
      </c>
      <c r="G1792" s="18" t="inlineStr">
        <is>
          <t>10001|216600$124001|132848$124006|1757</t>
        </is>
      </c>
      <c r="H1792" s="26" t="inlineStr">
        <is>
          <t>1000|50</t>
        </is>
      </c>
      <c r="I1792" s="26" t="n"/>
    </row>
    <row r="1793">
      <c r="B1793" s="18" t="n">
        <v>11790</v>
      </c>
      <c r="C1793" s="32" t="inlineStr">
        <is>
          <t>990017</t>
        </is>
      </c>
      <c r="D1793" s="35" t="inlineStr">
        <is>
          <t>荒元遗术</t>
        </is>
      </c>
      <c r="E1793" s="18" t="inlineStr">
        <is>
          <t>39</t>
        </is>
      </c>
      <c r="F1793" s="18" t="n">
        <v>860</v>
      </c>
      <c r="G1793" s="18" t="inlineStr">
        <is>
          <t>10001|228150$124001|139932$124006|1827</t>
        </is>
      </c>
      <c r="H1793" s="26" t="inlineStr">
        <is>
          <t>1000|50</t>
        </is>
      </c>
      <c r="I1793" s="26" t="n"/>
    </row>
    <row r="1794">
      <c r="B1794" s="18" t="n">
        <v>11791</v>
      </c>
      <c r="C1794" s="32" t="inlineStr">
        <is>
          <t>990017</t>
        </is>
      </c>
      <c r="D1794" s="35" t="inlineStr">
        <is>
          <t>荒元遗术</t>
        </is>
      </c>
      <c r="E1794" s="18" t="inlineStr">
        <is>
          <t>40</t>
        </is>
      </c>
      <c r="F1794" s="18" t="n">
        <v>880</v>
      </c>
      <c r="G1794" s="18" t="inlineStr">
        <is>
          <t>10001|240000$125001|147200$125006|1897</t>
        </is>
      </c>
      <c r="H1794" s="26" t="inlineStr">
        <is>
          <t>1000|50</t>
        </is>
      </c>
      <c r="I1794" s="26" t="n"/>
    </row>
    <row r="1795">
      <c r="B1795" s="18" t="n">
        <v>11792</v>
      </c>
      <c r="C1795" s="32" t="inlineStr">
        <is>
          <t>990017</t>
        </is>
      </c>
      <c r="D1795" s="35" t="inlineStr">
        <is>
          <t>荒元遗术</t>
        </is>
      </c>
      <c r="E1795" s="18" t="inlineStr">
        <is>
          <t>41</t>
        </is>
      </c>
      <c r="F1795" s="18" t="n">
        <v>900</v>
      </c>
      <c r="G1795" s="18" t="inlineStr">
        <is>
          <t>10001|252150$125001|154652$125006|1969</t>
        </is>
      </c>
      <c r="H1795" s="26" t="inlineStr">
        <is>
          <t>1000|50</t>
        </is>
      </c>
      <c r="I1795" s="26" t="n"/>
    </row>
    <row r="1796">
      <c r="B1796" s="18" t="n">
        <v>11793</v>
      </c>
      <c r="C1796" s="32" t="inlineStr">
        <is>
          <t>990017</t>
        </is>
      </c>
      <c r="D1796" s="35" t="inlineStr">
        <is>
          <t>荒元遗术</t>
        </is>
      </c>
      <c r="E1796" s="18" t="inlineStr">
        <is>
          <t>42</t>
        </is>
      </c>
      <c r="F1796" s="18" t="n">
        <v>920</v>
      </c>
      <c r="G1796" s="18" t="inlineStr">
        <is>
          <t>10001|264600$125001|162288$125006|2041</t>
        </is>
      </c>
      <c r="H1796" s="26" t="inlineStr">
        <is>
          <t>1000|50</t>
        </is>
      </c>
      <c r="I1796" s="26" t="n"/>
    </row>
    <row r="1797">
      <c r="B1797" s="18" t="n">
        <v>11794</v>
      </c>
      <c r="C1797" s="32" t="inlineStr">
        <is>
          <t>990017</t>
        </is>
      </c>
      <c r="D1797" s="35" t="inlineStr">
        <is>
          <t>荒元遗术</t>
        </is>
      </c>
      <c r="E1797" s="18" t="inlineStr">
        <is>
          <t>43</t>
        </is>
      </c>
      <c r="F1797" s="18" t="n">
        <v>940</v>
      </c>
      <c r="G1797" s="18" t="inlineStr">
        <is>
          <t>10001|277350$125001|170108$125006|2115</t>
        </is>
      </c>
      <c r="H1797" s="26" t="inlineStr">
        <is>
          <t>1000|50</t>
        </is>
      </c>
      <c r="I1797" s="26" t="n"/>
    </row>
    <row r="1798">
      <c r="B1798" s="18" t="n">
        <v>11795</v>
      </c>
      <c r="C1798" s="32" t="inlineStr">
        <is>
          <t>990017</t>
        </is>
      </c>
      <c r="D1798" s="35" t="inlineStr">
        <is>
          <t>荒元遗术</t>
        </is>
      </c>
      <c r="E1798" s="18" t="inlineStr">
        <is>
          <t>44</t>
        </is>
      </c>
      <c r="F1798" s="18" t="n">
        <v>960</v>
      </c>
      <c r="G1798" s="18" t="inlineStr">
        <is>
          <t>10001|290400$125001|178112$125006|2189</t>
        </is>
      </c>
      <c r="H1798" s="26" t="inlineStr">
        <is>
          <t>1000|50</t>
        </is>
      </c>
      <c r="I1798" s="26" t="n"/>
    </row>
    <row r="1799">
      <c r="B1799" s="18" t="n">
        <v>11796</v>
      </c>
      <c r="C1799" s="32" t="inlineStr">
        <is>
          <t>990017</t>
        </is>
      </c>
      <c r="D1799" s="35" t="inlineStr">
        <is>
          <t>荒元遗术</t>
        </is>
      </c>
      <c r="E1799" s="18" t="inlineStr">
        <is>
          <t>45</t>
        </is>
      </c>
      <c r="F1799" s="18" t="n">
        <v>980</v>
      </c>
      <c r="G1799" s="18" t="inlineStr">
        <is>
          <t>10001|303750$125001|186300$125006|2264</t>
        </is>
      </c>
      <c r="H1799" s="26" t="inlineStr">
        <is>
          <t>1000|50</t>
        </is>
      </c>
      <c r="I1799" s="26" t="n"/>
    </row>
    <row r="1800">
      <c r="B1800" s="18" t="n">
        <v>11797</v>
      </c>
      <c r="C1800" s="32" t="inlineStr">
        <is>
          <t>990017</t>
        </is>
      </c>
      <c r="D1800" s="35" t="inlineStr">
        <is>
          <t>荒元遗术</t>
        </is>
      </c>
      <c r="E1800" s="18" t="inlineStr">
        <is>
          <t>46</t>
        </is>
      </c>
      <c r="F1800" s="18" t="n">
        <v>1000</v>
      </c>
      <c r="G1800" s="18" t="inlineStr">
        <is>
          <t>10001|317400$125001|194672$125006|2340</t>
        </is>
      </c>
      <c r="H1800" s="26" t="inlineStr">
        <is>
          <t>1000|50</t>
        </is>
      </c>
      <c r="I1800" s="26" t="n"/>
    </row>
    <row r="1801">
      <c r="B1801" s="18" t="n">
        <v>11798</v>
      </c>
      <c r="C1801" s="32" t="inlineStr">
        <is>
          <t>990017</t>
        </is>
      </c>
      <c r="D1801" s="35" t="inlineStr">
        <is>
          <t>荒元遗术</t>
        </is>
      </c>
      <c r="E1801" s="18" t="inlineStr">
        <is>
          <t>47</t>
        </is>
      </c>
      <c r="F1801" s="18" t="n">
        <v>1020</v>
      </c>
      <c r="G1801" s="18" t="inlineStr">
        <is>
          <t>10001|331350$125001|203228$125006|2417</t>
        </is>
      </c>
      <c r="H1801" s="26" t="inlineStr">
        <is>
          <t>1000|50</t>
        </is>
      </c>
      <c r="I1801" s="26" t="n"/>
    </row>
    <row r="1802">
      <c r="B1802" s="18" t="n">
        <v>11799</v>
      </c>
      <c r="C1802" s="32" t="inlineStr">
        <is>
          <t>990017</t>
        </is>
      </c>
      <c r="D1802" s="35" t="inlineStr">
        <is>
          <t>荒元遗术</t>
        </is>
      </c>
      <c r="E1802" s="18" t="inlineStr">
        <is>
          <t>48</t>
        </is>
      </c>
      <c r="F1802" s="18" t="n">
        <v>1040</v>
      </c>
      <c r="G1802" s="18" t="inlineStr">
        <is>
          <t>10001|345600$125001|211968$125006|2494</t>
        </is>
      </c>
      <c r="H1802" s="26" t="inlineStr">
        <is>
          <t>1000|50</t>
        </is>
      </c>
      <c r="I1802" s="26" t="n"/>
    </row>
    <row r="1803">
      <c r="B1803" s="18" t="n">
        <v>11800</v>
      </c>
      <c r="C1803" s="32" t="inlineStr">
        <is>
          <t>990017</t>
        </is>
      </c>
      <c r="D1803" s="35" t="inlineStr">
        <is>
          <t>荒元遗术</t>
        </is>
      </c>
      <c r="E1803" s="18" t="inlineStr">
        <is>
          <t>49</t>
        </is>
      </c>
      <c r="F1803" s="18" t="n">
        <v>1060</v>
      </c>
      <c r="G1803" s="18" t="inlineStr">
        <is>
          <t>10001|360150$125001|220892$125006|2573</t>
        </is>
      </c>
      <c r="H1803" s="26" t="inlineStr">
        <is>
          <t>1000|50</t>
        </is>
      </c>
      <c r="I1803" s="26" t="n"/>
    </row>
    <row r="1804">
      <c r="B1804" s="18" t="n">
        <v>11801</v>
      </c>
      <c r="C1804" s="32" t="inlineStr">
        <is>
          <t>990017</t>
        </is>
      </c>
      <c r="D1804" s="35" t="inlineStr">
        <is>
          <t>荒元遗术</t>
        </is>
      </c>
      <c r="E1804" s="18" t="inlineStr">
        <is>
          <t>50</t>
        </is>
      </c>
      <c r="F1804" s="18" t="n">
        <v>1080</v>
      </c>
      <c r="G1804" s="18" t="inlineStr">
        <is>
          <t>10001|375000$125001|230000$125006|2652</t>
        </is>
      </c>
      <c r="H1804" s="26" t="inlineStr">
        <is>
          <t>1000|50</t>
        </is>
      </c>
      <c r="I1804" s="26" t="n"/>
    </row>
    <row r="1805">
      <c r="B1805" s="18" t="n">
        <v>11802</v>
      </c>
      <c r="C1805" s="26" t="inlineStr">
        <is>
          <t>990018</t>
        </is>
      </c>
      <c r="D1805" s="26" t="inlineStr">
        <is>
          <t>风雷万劫</t>
        </is>
      </c>
      <c r="E1805" s="18" t="inlineStr">
        <is>
          <t>1</t>
        </is>
      </c>
      <c r="F1805" s="18" t="inlineStr">
        <is>
          <t>-33|-33|-33</t>
        </is>
      </c>
      <c r="G1805" s="20" t="inlineStr">
        <is>
          <t>10001|150$121001|92$121004|8</t>
        </is>
      </c>
    </row>
    <row r="1806">
      <c r="B1806" s="18" t="n">
        <v>11803</v>
      </c>
      <c r="C1806" s="26" t="inlineStr">
        <is>
          <t>990018</t>
        </is>
      </c>
      <c r="D1806" s="26" t="inlineStr">
        <is>
          <t>风雷万劫</t>
        </is>
      </c>
      <c r="E1806" s="18" t="inlineStr">
        <is>
          <t>2</t>
        </is>
      </c>
      <c r="F1806" s="18" t="inlineStr">
        <is>
          <t>-27|-27|-27</t>
        </is>
      </c>
      <c r="G1806" s="20" t="inlineStr">
        <is>
          <t>10001|600$121001|368$121004|21</t>
        </is>
      </c>
    </row>
    <row r="1807">
      <c r="B1807" s="18" t="n">
        <v>11804</v>
      </c>
      <c r="C1807" s="26" t="inlineStr">
        <is>
          <t>990018</t>
        </is>
      </c>
      <c r="D1807" s="26" t="inlineStr">
        <is>
          <t>风雷万劫</t>
        </is>
      </c>
      <c r="E1807" s="18" t="inlineStr">
        <is>
          <t>3</t>
        </is>
      </c>
      <c r="F1807" s="18" t="inlineStr">
        <is>
          <t>-20|-20|-20</t>
        </is>
      </c>
      <c r="G1807" s="20" t="inlineStr">
        <is>
          <t>10001|1350$121001|828$121004|39</t>
        </is>
      </c>
    </row>
    <row r="1808">
      <c r="B1808" s="18" t="n">
        <v>11805</v>
      </c>
      <c r="C1808" s="26" t="inlineStr">
        <is>
          <t>990018</t>
        </is>
      </c>
      <c r="D1808" s="26" t="inlineStr">
        <is>
          <t>风雷万劫</t>
        </is>
      </c>
      <c r="E1808" s="18" t="inlineStr">
        <is>
          <t>4</t>
        </is>
      </c>
      <c r="F1808" s="18" t="inlineStr">
        <is>
          <t>-13|-13|-13</t>
        </is>
      </c>
      <c r="G1808" s="20" t="inlineStr">
        <is>
          <t>10001|2400$121001|1472$121004|60</t>
        </is>
      </c>
    </row>
    <row r="1809">
      <c r="B1809" s="18" t="n">
        <v>11806</v>
      </c>
      <c r="C1809" s="26" t="inlineStr">
        <is>
          <t>990018</t>
        </is>
      </c>
      <c r="D1809" s="26" t="inlineStr">
        <is>
          <t>风雷万劫</t>
        </is>
      </c>
      <c r="E1809" s="18" t="inlineStr">
        <is>
          <t>5</t>
        </is>
      </c>
      <c r="F1809" s="18" t="inlineStr">
        <is>
          <t>-7|-7|-7</t>
        </is>
      </c>
      <c r="G1809" s="20" t="inlineStr">
        <is>
          <t>10001|3750$121001|2300$121004|84</t>
        </is>
      </c>
    </row>
    <row r="1810">
      <c r="B1810" s="18" t="n">
        <v>11807</v>
      </c>
      <c r="C1810" s="26" t="inlineStr">
        <is>
          <t>990018</t>
        </is>
      </c>
      <c r="D1810" s="26" t="inlineStr">
        <is>
          <t>风雷万劫</t>
        </is>
      </c>
      <c r="E1810" s="18" t="inlineStr">
        <is>
          <t>6</t>
        </is>
      </c>
      <c r="F1810" s="18" t="inlineStr">
        <is>
          <t>0|0|0</t>
        </is>
      </c>
      <c r="G1810" s="20" t="inlineStr">
        <is>
          <t>10001|5400$121001|3312$121004|110</t>
        </is>
      </c>
    </row>
    <row r="1811">
      <c r="B1811" s="18" t="n">
        <v>11808</v>
      </c>
      <c r="C1811" s="26" t="inlineStr">
        <is>
          <t>990018</t>
        </is>
      </c>
      <c r="D1811" s="26" t="inlineStr">
        <is>
          <t>风雷万劫</t>
        </is>
      </c>
      <c r="E1811" s="18" t="inlineStr">
        <is>
          <t>7</t>
        </is>
      </c>
      <c r="F1811" s="18" t="inlineStr">
        <is>
          <t>7|7|7</t>
        </is>
      </c>
      <c r="G1811" s="20" t="inlineStr">
        <is>
          <t>10001|7350$121001|4508$121004|139</t>
        </is>
      </c>
    </row>
    <row r="1812">
      <c r="B1812" s="18" t="n">
        <v>11809</v>
      </c>
      <c r="C1812" s="26" t="inlineStr">
        <is>
          <t>990018</t>
        </is>
      </c>
      <c r="D1812" s="26" t="inlineStr">
        <is>
          <t>风雷万劫</t>
        </is>
      </c>
      <c r="E1812" s="18" t="inlineStr">
        <is>
          <t>8</t>
        </is>
      </c>
      <c r="F1812" s="18" t="inlineStr">
        <is>
          <t>13|13|13</t>
        </is>
      </c>
      <c r="G1812" s="20" t="inlineStr">
        <is>
          <t>10001|9600$121001|5888$121004|170</t>
        </is>
      </c>
    </row>
    <row r="1813">
      <c r="B1813" s="18" t="n">
        <v>11810</v>
      </c>
      <c r="C1813" s="26" t="inlineStr">
        <is>
          <t>990018</t>
        </is>
      </c>
      <c r="D1813" s="26" t="inlineStr">
        <is>
          <t>风雷万劫</t>
        </is>
      </c>
      <c r="E1813" s="18" t="inlineStr">
        <is>
          <t>9</t>
        </is>
      </c>
      <c r="F1813" s="18" t="inlineStr">
        <is>
          <t>20|20|20</t>
        </is>
      </c>
      <c r="G1813" s="20" t="inlineStr">
        <is>
          <t>10001|12150$121001|7452$121004|203</t>
        </is>
      </c>
    </row>
    <row r="1814">
      <c r="B1814" s="18" t="n">
        <v>11811</v>
      </c>
      <c r="C1814" s="26" t="inlineStr">
        <is>
          <t>990018</t>
        </is>
      </c>
      <c r="D1814" s="26" t="inlineStr">
        <is>
          <t>风雷万劫</t>
        </is>
      </c>
      <c r="E1814" s="18" t="inlineStr">
        <is>
          <t>10</t>
        </is>
      </c>
      <c r="F1814" s="18" t="inlineStr">
        <is>
          <t>27|27|27</t>
        </is>
      </c>
      <c r="G1814" s="20" t="inlineStr">
        <is>
          <t>10001|15000$122001|9200$122004|237</t>
        </is>
      </c>
    </row>
    <row r="1815">
      <c r="B1815" s="18" t="n">
        <v>11812</v>
      </c>
      <c r="C1815" s="26" t="inlineStr">
        <is>
          <t>990018</t>
        </is>
      </c>
      <c r="D1815" s="26" t="inlineStr">
        <is>
          <t>风雷万劫</t>
        </is>
      </c>
      <c r="E1815" s="18" t="inlineStr">
        <is>
          <t>11</t>
        </is>
      </c>
      <c r="F1815" s="18" t="inlineStr">
        <is>
          <t>33|33|33</t>
        </is>
      </c>
      <c r="G1815" s="20" t="inlineStr">
        <is>
          <t>10001|18150$122001|11132$122004|274</t>
        </is>
      </c>
    </row>
    <row r="1816">
      <c r="B1816" s="18" t="n">
        <v>11813</v>
      </c>
      <c r="C1816" s="26" t="inlineStr">
        <is>
          <t>990018</t>
        </is>
      </c>
      <c r="D1816" s="26" t="inlineStr">
        <is>
          <t>风雷万劫</t>
        </is>
      </c>
      <c r="E1816" s="18" t="inlineStr">
        <is>
          <t>12</t>
        </is>
      </c>
      <c r="F1816" s="18" t="inlineStr">
        <is>
          <t>40|40|40</t>
        </is>
      </c>
      <c r="G1816" s="20" t="inlineStr">
        <is>
          <t>10001|21600$122001|13248$122004|312</t>
        </is>
      </c>
    </row>
    <row r="1817">
      <c r="B1817" s="18" t="n">
        <v>11814</v>
      </c>
      <c r="C1817" s="26" t="inlineStr">
        <is>
          <t>990018</t>
        </is>
      </c>
      <c r="D1817" s="26" t="inlineStr">
        <is>
          <t>风雷万劫</t>
        </is>
      </c>
      <c r="E1817" s="18" t="inlineStr">
        <is>
          <t>13</t>
        </is>
      </c>
      <c r="F1817" s="18" t="inlineStr">
        <is>
          <t>47|47|47</t>
        </is>
      </c>
      <c r="G1817" s="20" t="inlineStr">
        <is>
          <t>10001|25350$122001|15548$122004|352</t>
        </is>
      </c>
    </row>
    <row r="1818">
      <c r="B1818" s="18" t="n">
        <v>11815</v>
      </c>
      <c r="C1818" s="26" t="inlineStr">
        <is>
          <t>990018</t>
        </is>
      </c>
      <c r="D1818" s="26" t="inlineStr">
        <is>
          <t>风雷万劫</t>
        </is>
      </c>
      <c r="E1818" s="18" t="inlineStr">
        <is>
          <t>14</t>
        </is>
      </c>
      <c r="F1818" s="18" t="inlineStr">
        <is>
          <t>53|53|53</t>
        </is>
      </c>
      <c r="G1818" s="20" t="inlineStr">
        <is>
          <t>10001|29400$122001|18032$122004|393</t>
        </is>
      </c>
    </row>
    <row r="1819">
      <c r="B1819" s="18" t="n">
        <v>11816</v>
      </c>
      <c r="C1819" s="26" t="inlineStr">
        <is>
          <t>990018</t>
        </is>
      </c>
      <c r="D1819" s="26" t="inlineStr">
        <is>
          <t>风雷万劫</t>
        </is>
      </c>
      <c r="E1819" s="18" t="inlineStr">
        <is>
          <t>15</t>
        </is>
      </c>
      <c r="F1819" s="18" t="inlineStr">
        <is>
          <t>60|60|60</t>
        </is>
      </c>
      <c r="G1819" s="20" t="inlineStr">
        <is>
          <t>10001|33750$122001|20700$122004|436</t>
        </is>
      </c>
    </row>
    <row r="1820">
      <c r="B1820" s="18" t="n">
        <v>11817</v>
      </c>
      <c r="C1820" s="26" t="inlineStr">
        <is>
          <t>990018</t>
        </is>
      </c>
      <c r="D1820" s="26" t="inlineStr">
        <is>
          <t>风雷万劫</t>
        </is>
      </c>
      <c r="E1820" s="18" t="inlineStr">
        <is>
          <t>16</t>
        </is>
      </c>
      <c r="F1820" s="18" t="inlineStr">
        <is>
          <t>67|67|67</t>
        </is>
      </c>
      <c r="G1820" s="20" t="inlineStr">
        <is>
          <t>10001|38400$122001|23552$122004|480</t>
        </is>
      </c>
    </row>
    <row r="1821">
      <c r="B1821" s="18" t="n">
        <v>11818</v>
      </c>
      <c r="C1821" s="26" t="inlineStr">
        <is>
          <t>990018</t>
        </is>
      </c>
      <c r="D1821" s="26" t="inlineStr">
        <is>
          <t>风雷万劫</t>
        </is>
      </c>
      <c r="E1821" s="18" t="inlineStr">
        <is>
          <t>17</t>
        </is>
      </c>
      <c r="F1821" s="18" t="inlineStr">
        <is>
          <t>73|73|73</t>
        </is>
      </c>
      <c r="G1821" s="20" t="inlineStr">
        <is>
          <t>10001|43350$122001|26588$122004|526</t>
        </is>
      </c>
    </row>
    <row r="1822">
      <c r="B1822" s="18" t="n">
        <v>11819</v>
      </c>
      <c r="C1822" s="26" t="inlineStr">
        <is>
          <t>990018</t>
        </is>
      </c>
      <c r="D1822" s="26" t="inlineStr">
        <is>
          <t>风雷万劫</t>
        </is>
      </c>
      <c r="E1822" s="18" t="inlineStr">
        <is>
          <t>18</t>
        </is>
      </c>
      <c r="F1822" s="18" t="inlineStr">
        <is>
          <t>80|80|80</t>
        </is>
      </c>
      <c r="G1822" s="20" t="inlineStr">
        <is>
          <t>10001|48600$122001|29808$122004|573</t>
        </is>
      </c>
    </row>
    <row r="1823">
      <c r="B1823" s="18" t="n">
        <v>11820</v>
      </c>
      <c r="C1823" s="26" t="inlineStr">
        <is>
          <t>990018</t>
        </is>
      </c>
      <c r="D1823" s="26" t="inlineStr">
        <is>
          <t>风雷万劫</t>
        </is>
      </c>
      <c r="E1823" s="18" t="inlineStr">
        <is>
          <t>19</t>
        </is>
      </c>
      <c r="F1823" s="18" t="inlineStr">
        <is>
          <t>87|87|87</t>
        </is>
      </c>
      <c r="G1823" s="20" t="inlineStr">
        <is>
          <t>10001|54150$122001|33212$122004|621</t>
        </is>
      </c>
    </row>
    <row r="1824">
      <c r="B1824" s="18" t="n">
        <v>11821</v>
      </c>
      <c r="C1824" s="26" t="inlineStr">
        <is>
          <t>990018</t>
        </is>
      </c>
      <c r="D1824" s="26" t="inlineStr">
        <is>
          <t>风雷万劫</t>
        </is>
      </c>
      <c r="E1824" s="18" t="inlineStr">
        <is>
          <t>20</t>
        </is>
      </c>
      <c r="F1824" s="18" t="inlineStr">
        <is>
          <t>93|93|93</t>
        </is>
      </c>
      <c r="G1824" s="20" t="inlineStr">
        <is>
          <t>10001|60000$123001|36800$123004|671</t>
        </is>
      </c>
    </row>
    <row r="1825">
      <c r="B1825" s="18" t="n">
        <v>11822</v>
      </c>
      <c r="C1825" s="26" t="inlineStr">
        <is>
          <t>990018</t>
        </is>
      </c>
      <c r="D1825" s="26" t="inlineStr">
        <is>
          <t>风雷万劫</t>
        </is>
      </c>
      <c r="E1825" s="18" t="inlineStr">
        <is>
          <t>21</t>
        </is>
      </c>
      <c r="F1825" s="18" t="inlineStr">
        <is>
          <t>100|100|100</t>
        </is>
      </c>
      <c r="G1825" s="20" t="inlineStr">
        <is>
          <t>10001|66150$123001|40572$123004|722</t>
        </is>
      </c>
    </row>
    <row r="1826">
      <c r="B1826" s="18" t="n">
        <v>11823</v>
      </c>
      <c r="C1826" s="26" t="inlineStr">
        <is>
          <t>990018</t>
        </is>
      </c>
      <c r="D1826" s="26" t="inlineStr">
        <is>
          <t>风雷万劫</t>
        </is>
      </c>
      <c r="E1826" s="18" t="inlineStr">
        <is>
          <t>22</t>
        </is>
      </c>
      <c r="F1826" s="18" t="inlineStr">
        <is>
          <t>107|107|107</t>
        </is>
      </c>
      <c r="G1826" s="20" t="inlineStr">
        <is>
          <t>10001|72600$123001|44528$123004|774</t>
        </is>
      </c>
    </row>
    <row r="1827">
      <c r="B1827" s="18" t="n">
        <v>11824</v>
      </c>
      <c r="C1827" s="26" t="inlineStr">
        <is>
          <t>990018</t>
        </is>
      </c>
      <c r="D1827" s="26" t="inlineStr">
        <is>
          <t>风雷万劫</t>
        </is>
      </c>
      <c r="E1827" s="18" t="inlineStr">
        <is>
          <t>23</t>
        </is>
      </c>
      <c r="F1827" s="18" t="inlineStr">
        <is>
          <t>113|113|113</t>
        </is>
      </c>
      <c r="G1827" s="20" t="inlineStr">
        <is>
          <t>10001|79350$123001|48668$123004|827</t>
        </is>
      </c>
    </row>
    <row r="1828">
      <c r="B1828" s="18" t="n">
        <v>11825</v>
      </c>
      <c r="C1828" s="26" t="inlineStr">
        <is>
          <t>990018</t>
        </is>
      </c>
      <c r="D1828" s="26" t="inlineStr">
        <is>
          <t>风雷万劫</t>
        </is>
      </c>
      <c r="E1828" s="18" t="inlineStr">
        <is>
          <t>24</t>
        </is>
      </c>
      <c r="F1828" s="18" t="inlineStr">
        <is>
          <t>120|120|120</t>
        </is>
      </c>
      <c r="G1828" s="20" t="inlineStr">
        <is>
          <t>10001|86400$123001|52992$123004|882</t>
        </is>
      </c>
    </row>
    <row r="1829">
      <c r="B1829" s="18" t="n">
        <v>11826</v>
      </c>
      <c r="C1829" s="26" t="inlineStr">
        <is>
          <t>990018</t>
        </is>
      </c>
      <c r="D1829" s="26" t="inlineStr">
        <is>
          <t>风雷万劫</t>
        </is>
      </c>
      <c r="E1829" s="18" t="inlineStr">
        <is>
          <t>25</t>
        </is>
      </c>
      <c r="F1829" s="18" t="inlineStr">
        <is>
          <t>127|127|127</t>
        </is>
      </c>
      <c r="G1829" s="20" t="inlineStr">
        <is>
          <t>10001|93750$123001|57500$123004|938</t>
        </is>
      </c>
    </row>
    <row r="1830">
      <c r="B1830" s="18" t="n">
        <v>11827</v>
      </c>
      <c r="C1830" s="26" t="inlineStr">
        <is>
          <t>990018</t>
        </is>
      </c>
      <c r="D1830" s="26" t="inlineStr">
        <is>
          <t>风雷万劫</t>
        </is>
      </c>
      <c r="E1830" s="18" t="inlineStr">
        <is>
          <t>26</t>
        </is>
      </c>
      <c r="F1830" s="18" t="inlineStr">
        <is>
          <t>133|133|133</t>
        </is>
      </c>
      <c r="G1830" s="20" t="inlineStr">
        <is>
          <t>10001|101400$123001|62192$123004|994</t>
        </is>
      </c>
    </row>
    <row r="1831">
      <c r="B1831" s="18" t="n">
        <v>11828</v>
      </c>
      <c r="C1831" s="26" t="inlineStr">
        <is>
          <t>990018</t>
        </is>
      </c>
      <c r="D1831" s="26" t="inlineStr">
        <is>
          <t>风雷万劫</t>
        </is>
      </c>
      <c r="E1831" s="18" t="inlineStr">
        <is>
          <t>27</t>
        </is>
      </c>
      <c r="F1831" s="18" t="inlineStr">
        <is>
          <t>140|140|140</t>
        </is>
      </c>
      <c r="G1831" s="20" t="inlineStr">
        <is>
          <t>10001|109350$123001|67068$123004|1052</t>
        </is>
      </c>
    </row>
    <row r="1832">
      <c r="B1832" s="18" t="n">
        <v>11829</v>
      </c>
      <c r="C1832" s="26" t="inlineStr">
        <is>
          <t>990018</t>
        </is>
      </c>
      <c r="D1832" s="26" t="inlineStr">
        <is>
          <t>风雷万劫</t>
        </is>
      </c>
      <c r="E1832" s="18" t="inlineStr">
        <is>
          <t>28</t>
        </is>
      </c>
      <c r="F1832" s="18" t="inlineStr">
        <is>
          <t>147|147|147</t>
        </is>
      </c>
      <c r="G1832" s="20" t="inlineStr">
        <is>
          <t>10001|117600$123001|72128$123004|1111</t>
        </is>
      </c>
    </row>
    <row r="1833">
      <c r="B1833" s="18" t="n">
        <v>11830</v>
      </c>
      <c r="C1833" s="26" t="inlineStr">
        <is>
          <t>990018</t>
        </is>
      </c>
      <c r="D1833" s="26" t="inlineStr">
        <is>
          <t>风雷万劫</t>
        </is>
      </c>
      <c r="E1833" s="18" t="inlineStr">
        <is>
          <t>29</t>
        </is>
      </c>
      <c r="F1833" s="18" t="inlineStr">
        <is>
          <t>153|153|153</t>
        </is>
      </c>
      <c r="G1833" s="20" t="inlineStr">
        <is>
          <t>10001|126150$123001|77372$123004|1171</t>
        </is>
      </c>
    </row>
    <row r="1834">
      <c r="B1834" s="18" t="n">
        <v>11831</v>
      </c>
      <c r="C1834" s="26" t="inlineStr">
        <is>
          <t>990018</t>
        </is>
      </c>
      <c r="D1834" s="26" t="inlineStr">
        <is>
          <t>风雷万劫</t>
        </is>
      </c>
      <c r="E1834" s="18" t="inlineStr">
        <is>
          <t>30</t>
        </is>
      </c>
      <c r="F1834" s="18" t="inlineStr">
        <is>
          <t>160|160|160</t>
        </is>
      </c>
      <c r="G1834" s="20" t="inlineStr">
        <is>
          <t>10001|135000$124001|82800$124004|1232</t>
        </is>
      </c>
    </row>
    <row r="1835">
      <c r="B1835" s="18" t="n">
        <v>11832</v>
      </c>
      <c r="C1835" s="26" t="inlineStr">
        <is>
          <t>990018</t>
        </is>
      </c>
      <c r="D1835" s="26" t="inlineStr">
        <is>
          <t>风雷万劫</t>
        </is>
      </c>
      <c r="E1835" s="18" t="inlineStr">
        <is>
          <t>31</t>
        </is>
      </c>
      <c r="F1835" s="18" t="inlineStr">
        <is>
          <t>167|167|167</t>
        </is>
      </c>
      <c r="G1835" s="20" t="inlineStr">
        <is>
          <t>10001|144150$124001|88412$124004|1295</t>
        </is>
      </c>
    </row>
    <row r="1836">
      <c r="B1836" s="18" t="n">
        <v>11833</v>
      </c>
      <c r="C1836" s="26" t="inlineStr">
        <is>
          <t>990018</t>
        </is>
      </c>
      <c r="D1836" s="26" t="inlineStr">
        <is>
          <t>风雷万劫</t>
        </is>
      </c>
      <c r="E1836" s="18" t="inlineStr">
        <is>
          <t>32</t>
        </is>
      </c>
      <c r="F1836" s="18" t="inlineStr">
        <is>
          <t>173|173|173</t>
        </is>
      </c>
      <c r="G1836" s="20" t="inlineStr">
        <is>
          <t>10001|153600$124001|94208$124004|1358</t>
        </is>
      </c>
    </row>
    <row r="1837">
      <c r="B1837" s="18" t="n">
        <v>11834</v>
      </c>
      <c r="C1837" s="26" t="inlineStr">
        <is>
          <t>990018</t>
        </is>
      </c>
      <c r="D1837" s="26" t="inlineStr">
        <is>
          <t>风雷万劫</t>
        </is>
      </c>
      <c r="E1837" s="18" t="inlineStr">
        <is>
          <t>33</t>
        </is>
      </c>
      <c r="F1837" s="18" t="inlineStr">
        <is>
          <t>180|180|180</t>
        </is>
      </c>
      <c r="G1837" s="20" t="inlineStr">
        <is>
          <t>10001|163350$124001|100188$124004|1422</t>
        </is>
      </c>
    </row>
    <row r="1838">
      <c r="B1838" s="18" t="n">
        <v>11835</v>
      </c>
      <c r="C1838" s="26" t="inlineStr">
        <is>
          <t>990018</t>
        </is>
      </c>
      <c r="D1838" s="26" t="inlineStr">
        <is>
          <t>风雷万劫</t>
        </is>
      </c>
      <c r="E1838" s="18" t="inlineStr">
        <is>
          <t>34</t>
        </is>
      </c>
      <c r="F1838" s="18" t="inlineStr">
        <is>
          <t>187|187|187</t>
        </is>
      </c>
      <c r="G1838" s="20" t="inlineStr">
        <is>
          <t>10001|173400$124001|106352$124004|1487</t>
        </is>
      </c>
    </row>
    <row r="1839">
      <c r="B1839" s="18" t="n">
        <v>11836</v>
      </c>
      <c r="C1839" s="26" t="inlineStr">
        <is>
          <t>990018</t>
        </is>
      </c>
      <c r="D1839" s="26" t="inlineStr">
        <is>
          <t>风雷万劫</t>
        </is>
      </c>
      <c r="E1839" s="18" t="inlineStr">
        <is>
          <t>35</t>
        </is>
      </c>
      <c r="F1839" s="18" t="inlineStr">
        <is>
          <t>193|193|193</t>
        </is>
      </c>
      <c r="G1839" s="20" t="inlineStr">
        <is>
          <t>10001|183750$124001|112700$124004|1553</t>
        </is>
      </c>
    </row>
    <row r="1840">
      <c r="B1840" s="18" t="n">
        <v>11837</v>
      </c>
      <c r="C1840" s="26" t="inlineStr">
        <is>
          <t>990018</t>
        </is>
      </c>
      <c r="D1840" s="26" t="inlineStr">
        <is>
          <t>风雷万劫</t>
        </is>
      </c>
      <c r="E1840" s="18" t="inlineStr">
        <is>
          <t>36</t>
        </is>
      </c>
      <c r="F1840" s="18" t="inlineStr">
        <is>
          <t>200|200|200</t>
        </is>
      </c>
      <c r="G1840" s="20" t="inlineStr">
        <is>
          <t>10001|194400$124001|119232$124004|1620</t>
        </is>
      </c>
    </row>
    <row r="1841">
      <c r="B1841" s="18" t="n">
        <v>11838</v>
      </c>
      <c r="C1841" s="26" t="inlineStr">
        <is>
          <t>990018</t>
        </is>
      </c>
      <c r="D1841" s="26" t="inlineStr">
        <is>
          <t>风雷万劫</t>
        </is>
      </c>
      <c r="E1841" s="18" t="inlineStr">
        <is>
          <t>37</t>
        </is>
      </c>
      <c r="F1841" s="18" t="inlineStr">
        <is>
          <t>207|207|207</t>
        </is>
      </c>
      <c r="G1841" s="20" t="inlineStr">
        <is>
          <t>10001|205350$124001|125948$124004|1688</t>
        </is>
      </c>
    </row>
    <row r="1842">
      <c r="B1842" s="18" t="n">
        <v>11839</v>
      </c>
      <c r="C1842" s="26" t="inlineStr">
        <is>
          <t>990018</t>
        </is>
      </c>
      <c r="D1842" s="26" t="inlineStr">
        <is>
          <t>风雷万劫</t>
        </is>
      </c>
      <c r="E1842" s="18" t="inlineStr">
        <is>
          <t>38</t>
        </is>
      </c>
      <c r="F1842" s="18" t="inlineStr">
        <is>
          <t>213|213|213</t>
        </is>
      </c>
      <c r="G1842" s="20" t="inlineStr">
        <is>
          <t>10001|216600$124001|132848$124004|1757</t>
        </is>
      </c>
    </row>
    <row r="1843">
      <c r="B1843" s="18" t="n">
        <v>11840</v>
      </c>
      <c r="C1843" s="26" t="inlineStr">
        <is>
          <t>990018</t>
        </is>
      </c>
      <c r="D1843" s="26" t="inlineStr">
        <is>
          <t>风雷万劫</t>
        </is>
      </c>
      <c r="E1843" s="18" t="inlineStr">
        <is>
          <t>39</t>
        </is>
      </c>
      <c r="F1843" s="18" t="inlineStr">
        <is>
          <t>220|220|220</t>
        </is>
      </c>
      <c r="G1843" s="20" t="inlineStr">
        <is>
          <t>10001|228150$124001|139932$124004|1827</t>
        </is>
      </c>
    </row>
    <row r="1844">
      <c r="B1844" s="18" t="n">
        <v>11841</v>
      </c>
      <c r="C1844" s="26" t="inlineStr">
        <is>
          <t>990018</t>
        </is>
      </c>
      <c r="D1844" s="26" t="inlineStr">
        <is>
          <t>风雷万劫</t>
        </is>
      </c>
      <c r="E1844" s="18" t="inlineStr">
        <is>
          <t>40</t>
        </is>
      </c>
      <c r="F1844" s="18" t="inlineStr">
        <is>
          <t>227|227|227</t>
        </is>
      </c>
      <c r="G1844" s="20" t="inlineStr">
        <is>
          <t>10001|240000$125001|147200$125004|1897</t>
        </is>
      </c>
    </row>
    <row r="1845">
      <c r="B1845" s="18" t="n">
        <v>11842</v>
      </c>
      <c r="C1845" s="26" t="inlineStr">
        <is>
          <t>990018</t>
        </is>
      </c>
      <c r="D1845" s="26" t="inlineStr">
        <is>
          <t>风雷万劫</t>
        </is>
      </c>
      <c r="E1845" s="18" t="inlineStr">
        <is>
          <t>41</t>
        </is>
      </c>
      <c r="F1845" s="18" t="inlineStr">
        <is>
          <t>233|233|233</t>
        </is>
      </c>
      <c r="G1845" s="20" t="inlineStr">
        <is>
          <t>10001|252150$125001|154652$125004|1969</t>
        </is>
      </c>
    </row>
    <row r="1846">
      <c r="B1846" s="18" t="n">
        <v>11843</v>
      </c>
      <c r="C1846" s="26" t="inlineStr">
        <is>
          <t>990018</t>
        </is>
      </c>
      <c r="D1846" s="26" t="inlineStr">
        <is>
          <t>风雷万劫</t>
        </is>
      </c>
      <c r="E1846" s="18" t="inlineStr">
        <is>
          <t>42</t>
        </is>
      </c>
      <c r="F1846" s="18" t="inlineStr">
        <is>
          <t>240|240|240</t>
        </is>
      </c>
      <c r="G1846" s="20" t="inlineStr">
        <is>
          <t>10001|264600$125001|162288$125004|2041</t>
        </is>
      </c>
    </row>
    <row r="1847">
      <c r="B1847" s="18" t="n">
        <v>11844</v>
      </c>
      <c r="C1847" s="26" t="inlineStr">
        <is>
          <t>990018</t>
        </is>
      </c>
      <c r="D1847" s="26" t="inlineStr">
        <is>
          <t>风雷万劫</t>
        </is>
      </c>
      <c r="E1847" s="18" t="inlineStr">
        <is>
          <t>43</t>
        </is>
      </c>
      <c r="F1847" s="18" t="inlineStr">
        <is>
          <t>247|247|247</t>
        </is>
      </c>
      <c r="G1847" s="20" t="inlineStr">
        <is>
          <t>10001|277350$125001|170108$125004|2115</t>
        </is>
      </c>
    </row>
    <row r="1848">
      <c r="B1848" s="18" t="n">
        <v>11845</v>
      </c>
      <c r="C1848" s="26" t="inlineStr">
        <is>
          <t>990018</t>
        </is>
      </c>
      <c r="D1848" s="26" t="inlineStr">
        <is>
          <t>风雷万劫</t>
        </is>
      </c>
      <c r="E1848" s="18" t="inlineStr">
        <is>
          <t>44</t>
        </is>
      </c>
      <c r="F1848" s="18" t="inlineStr">
        <is>
          <t>253|253|253</t>
        </is>
      </c>
      <c r="G1848" s="20" t="inlineStr">
        <is>
          <t>10001|290400$125001|178112$125004|2189</t>
        </is>
      </c>
    </row>
    <row r="1849">
      <c r="B1849" s="18" t="n">
        <v>11846</v>
      </c>
      <c r="C1849" s="26" t="inlineStr">
        <is>
          <t>990018</t>
        </is>
      </c>
      <c r="D1849" s="26" t="inlineStr">
        <is>
          <t>风雷万劫</t>
        </is>
      </c>
      <c r="E1849" s="18" t="inlineStr">
        <is>
          <t>45</t>
        </is>
      </c>
      <c r="F1849" s="18" t="inlineStr">
        <is>
          <t>260|260|260</t>
        </is>
      </c>
      <c r="G1849" s="20" t="inlineStr">
        <is>
          <t>10001|303750$125001|186300$125004|2264</t>
        </is>
      </c>
    </row>
    <row r="1850">
      <c r="B1850" s="18" t="n">
        <v>11847</v>
      </c>
      <c r="C1850" s="26" t="inlineStr">
        <is>
          <t>990018</t>
        </is>
      </c>
      <c r="D1850" s="26" t="inlineStr">
        <is>
          <t>风雷万劫</t>
        </is>
      </c>
      <c r="E1850" s="18" t="inlineStr">
        <is>
          <t>46</t>
        </is>
      </c>
      <c r="F1850" s="18" t="inlineStr">
        <is>
          <t>267|267|267</t>
        </is>
      </c>
      <c r="G1850" s="20" t="inlineStr">
        <is>
          <t>10001|317400$125001|194672$125004|2340</t>
        </is>
      </c>
    </row>
    <row r="1851">
      <c r="B1851" s="18" t="n">
        <v>11848</v>
      </c>
      <c r="C1851" s="26" t="inlineStr">
        <is>
          <t>990018</t>
        </is>
      </c>
      <c r="D1851" s="26" t="inlineStr">
        <is>
          <t>风雷万劫</t>
        </is>
      </c>
      <c r="E1851" s="18" t="inlineStr">
        <is>
          <t>47</t>
        </is>
      </c>
      <c r="F1851" s="18" t="inlineStr">
        <is>
          <t>273|273|273</t>
        </is>
      </c>
      <c r="G1851" s="20" t="inlineStr">
        <is>
          <t>10001|331350$125001|203228$125004|2417</t>
        </is>
      </c>
    </row>
    <row r="1852">
      <c r="B1852" s="18" t="n">
        <v>11849</v>
      </c>
      <c r="C1852" s="26" t="inlineStr">
        <is>
          <t>990018</t>
        </is>
      </c>
      <c r="D1852" s="26" t="inlineStr">
        <is>
          <t>风雷万劫</t>
        </is>
      </c>
      <c r="E1852" s="18" t="inlineStr">
        <is>
          <t>48</t>
        </is>
      </c>
      <c r="F1852" s="18" t="inlineStr">
        <is>
          <t>280|280|280</t>
        </is>
      </c>
      <c r="G1852" s="20" t="inlineStr">
        <is>
          <t>10001|345600$125001|211968$125004|2494</t>
        </is>
      </c>
    </row>
    <row r="1853">
      <c r="B1853" s="18" t="n">
        <v>11850</v>
      </c>
      <c r="C1853" s="26" t="inlineStr">
        <is>
          <t>990018</t>
        </is>
      </c>
      <c r="D1853" s="26" t="inlineStr">
        <is>
          <t>风雷万劫</t>
        </is>
      </c>
      <c r="E1853" s="18" t="inlineStr">
        <is>
          <t>49</t>
        </is>
      </c>
      <c r="F1853" s="18" t="inlineStr">
        <is>
          <t>287|287|287</t>
        </is>
      </c>
      <c r="G1853" s="20" t="inlineStr">
        <is>
          <t>10001|360150$125001|220892$125004|2573</t>
        </is>
      </c>
    </row>
    <row r="1854">
      <c r="B1854" s="18" t="n">
        <v>11851</v>
      </c>
      <c r="C1854" s="26" t="inlineStr">
        <is>
          <t>990018</t>
        </is>
      </c>
      <c r="D1854" s="26" t="inlineStr">
        <is>
          <t>风雷万劫</t>
        </is>
      </c>
      <c r="E1854" s="18" t="inlineStr">
        <is>
          <t>50</t>
        </is>
      </c>
      <c r="F1854" s="18" t="inlineStr">
        <is>
          <t>293|293|293</t>
        </is>
      </c>
      <c r="G1854" s="20" t="inlineStr">
        <is>
          <t>10001|375000$125001|230000$125004|2652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55"/>
  <sheetViews>
    <sheetView topLeftCell="FC22" workbookViewId="0">
      <selection activeCell="FT2" sqref="FT2:FT51"/>
    </sheetView>
  </sheetViews>
  <sheetFormatPr baseColWidth="8" defaultColWidth="9" defaultRowHeight="14.25"/>
  <cols>
    <col width="9" customWidth="1" style="49" min="1" max="1"/>
    <col width="12" customWidth="1" style="34" min="2" max="2"/>
    <col width="12.125" customWidth="1" style="34" min="3" max="3"/>
    <col width="25.5" customWidth="1" style="34" min="11" max="11"/>
    <col width="18.875" customWidth="1" style="34" min="15" max="15"/>
    <col width="8.125" customWidth="1" style="34" min="16" max="16"/>
    <col width="9.75" customWidth="1" style="34" min="17" max="17"/>
    <col width="14.625" customWidth="1" style="34" min="18" max="18"/>
    <col width="14.5" customWidth="1" style="34" min="20" max="20"/>
    <col width="9" customWidth="1" style="34" min="22" max="22"/>
    <col width="28.625" customWidth="1" style="34" min="25" max="25"/>
    <col width="6.25" customWidth="1" style="34" min="33" max="33"/>
    <col width="8.625" customWidth="1" style="34" min="34" max="38"/>
    <col width="11.625" customWidth="1" style="34" min="39" max="39"/>
    <col width="8.625" customWidth="1" style="34" min="40" max="42"/>
    <col width="10.75" customWidth="1" style="34" min="55" max="55"/>
    <col width="11" customWidth="1" style="34" min="56" max="56"/>
    <col width="16.75" customWidth="1" style="34" min="57" max="57"/>
    <col width="20.625" customWidth="1" style="34" min="64" max="64"/>
    <col width="9" customWidth="1" style="50" min="66" max="66"/>
    <col width="7" customWidth="1" style="50" min="67" max="67"/>
    <col width="9" customWidth="1" style="50" min="68" max="69"/>
    <col width="7.25" customWidth="1" style="50" min="70" max="70"/>
    <col width="7.25" customWidth="1" style="34" min="76" max="77"/>
    <col width="9" customWidth="1" style="50" min="79" max="80"/>
    <col width="7.25" customWidth="1" style="34" min="87" max="87"/>
    <col width="10.75" customWidth="1" style="34" min="94" max="95"/>
    <col width="16.75" customWidth="1" style="34" min="96" max="96"/>
    <col width="12.625" customWidth="1" style="34" min="99" max="99"/>
    <col width="10.5" customWidth="1" style="34" min="101" max="101"/>
    <col width="27.875" customWidth="1" style="34" min="102" max="102"/>
    <col width="10" customWidth="1" style="34" min="103" max="104"/>
    <col width="9.625" customWidth="1" style="34" min="106" max="106"/>
    <col width="9.625" customWidth="1" style="34" min="107" max="108"/>
    <col width="12.5" customWidth="1" style="34" min="114" max="114"/>
    <col width="9" customWidth="1" style="34" min="119" max="119"/>
    <col width="12.125" customWidth="1" style="34" min="120" max="122"/>
    <col width="9.625" customWidth="1" style="34" min="123" max="130"/>
    <col width="9" customWidth="1" style="50" min="133" max="133"/>
    <col width="8.5" customWidth="1" style="34" min="137" max="137"/>
    <col width="13.5" customWidth="1" style="34" min="138" max="138"/>
    <col width="30.125" customWidth="1" style="34" min="139" max="139"/>
    <col width="10" customWidth="1" style="34" min="144" max="144"/>
    <col width="8.5" customWidth="1" style="34" min="145" max="149"/>
    <col width="8.5" customWidth="1" style="34" min="150" max="150"/>
    <col width="8.5" customWidth="1" style="34" min="151" max="151"/>
    <col width="9" customWidth="1" style="34" min="152" max="152"/>
    <col width="9.75" customWidth="1" style="34" min="156" max="156"/>
    <col width="15.125" customWidth="1" style="34" min="157" max="157"/>
    <col width="11.875" customWidth="1" style="34" min="158" max="158"/>
    <col width="13.5" customWidth="1" style="34" min="159" max="159"/>
    <col width="12" customWidth="1" style="34" min="160" max="160"/>
    <col width="12" customWidth="1" style="34" min="165" max="165"/>
  </cols>
  <sheetData>
    <row r="1">
      <c r="F1" t="inlineStr">
        <is>
          <t>金风玉露</t>
        </is>
      </c>
      <c r="G1" t="inlineStr">
        <is>
          <t>等级</t>
        </is>
      </c>
      <c r="H1" t="inlineStr">
        <is>
          <t>单段伤害</t>
        </is>
      </c>
      <c r="I1" t="inlineStr">
        <is>
          <t>段数</t>
        </is>
      </c>
      <c r="J1" t="inlineStr">
        <is>
          <t>总伤害</t>
        </is>
      </c>
      <c r="L1" s="43" t="inlineStr">
        <is>
          <t>参数替换</t>
        </is>
      </c>
      <c r="M1" s="43" t="inlineStr">
        <is>
          <t>火焰爆轰</t>
        </is>
      </c>
      <c r="N1" t="inlineStr">
        <is>
          <t>等级</t>
        </is>
      </c>
      <c r="O1" t="inlineStr">
        <is>
          <t>单段伤害</t>
        </is>
      </c>
      <c r="P1" t="inlineStr">
        <is>
          <t>段数</t>
        </is>
      </c>
      <c r="Q1" t="inlineStr">
        <is>
          <t>总伤害</t>
        </is>
      </c>
      <c r="S1" s="43" t="inlineStr">
        <is>
          <t>参数替换</t>
        </is>
      </c>
      <c r="T1" t="inlineStr">
        <is>
          <t>九天玄雷</t>
        </is>
      </c>
      <c r="U1" t="inlineStr">
        <is>
          <t>等级</t>
        </is>
      </c>
      <c r="V1" t="inlineStr">
        <is>
          <t>单段伤害</t>
        </is>
      </c>
      <c r="W1" t="inlineStr">
        <is>
          <t>段数</t>
        </is>
      </c>
      <c r="X1" t="inlineStr">
        <is>
          <t>总伤害</t>
        </is>
      </c>
      <c r="Z1" s="43" t="inlineStr">
        <is>
          <t>参数替换</t>
        </is>
      </c>
      <c r="AB1" s="43" t="inlineStr">
        <is>
          <t>天罡镇压</t>
        </is>
      </c>
      <c r="AC1" t="inlineStr">
        <is>
          <t>等级</t>
        </is>
      </c>
      <c r="AD1" t="inlineStr">
        <is>
          <t>单段伤害</t>
        </is>
      </c>
      <c r="AE1" t="inlineStr">
        <is>
          <t>段数</t>
        </is>
      </c>
      <c r="AF1" t="inlineStr">
        <is>
          <t>总伤害</t>
        </is>
      </c>
      <c r="AH1" s="43" t="inlineStr">
        <is>
          <t>参数替换</t>
        </is>
      </c>
      <c r="AI1" s="43" t="inlineStr">
        <is>
          <t>莲台守身决</t>
        </is>
      </c>
      <c r="AJ1" t="inlineStr">
        <is>
          <t>等级</t>
        </is>
      </c>
      <c r="AK1" t="inlineStr">
        <is>
          <t>单段伤害</t>
        </is>
      </c>
      <c r="AL1" s="43" t="inlineStr">
        <is>
          <t>固定加成</t>
        </is>
      </c>
      <c r="AM1" s="43" t="inlineStr">
        <is>
          <t>百分比加成</t>
        </is>
      </c>
      <c r="AN1" t="inlineStr">
        <is>
          <t>总伤害</t>
        </is>
      </c>
      <c r="AO1" s="43" t="inlineStr">
        <is>
          <t>参数替换</t>
        </is>
      </c>
      <c r="AP1" s="43" t="n"/>
      <c r="AQ1" t="inlineStr">
        <is>
          <t>神念攻击</t>
        </is>
      </c>
      <c r="AR1" t="inlineStr">
        <is>
          <t>等级</t>
        </is>
      </c>
      <c r="AS1" t="inlineStr">
        <is>
          <t>单段伤害</t>
        </is>
      </c>
      <c r="AT1" t="inlineStr">
        <is>
          <t>段数</t>
        </is>
      </c>
      <c r="AU1" t="inlineStr">
        <is>
          <t>总伤害</t>
        </is>
      </c>
      <c r="AV1" s="43" t="inlineStr">
        <is>
          <t>参数替换</t>
        </is>
      </c>
      <c r="AW1" s="38" t="inlineStr">
        <is>
          <t>雾瘴爆裂</t>
        </is>
      </c>
      <c r="AX1" s="45" t="inlineStr">
        <is>
          <t>等级</t>
        </is>
      </c>
      <c r="AY1" s="45" t="inlineStr">
        <is>
          <t>单段伤害</t>
        </is>
      </c>
      <c r="AZ1" s="45" t="inlineStr">
        <is>
          <t>段数</t>
        </is>
      </c>
      <c r="BA1" s="45" t="inlineStr">
        <is>
          <t>总伤害</t>
        </is>
      </c>
      <c r="BB1" s="43" t="inlineStr">
        <is>
          <t>参数替换</t>
        </is>
      </c>
      <c r="BC1" s="8" t="inlineStr">
        <is>
          <t>太上净神诀</t>
        </is>
      </c>
      <c r="BD1" t="inlineStr">
        <is>
          <t>固定治疗量</t>
        </is>
      </c>
      <c r="BE1" t="inlineStr">
        <is>
          <t>生命百分比治疗量</t>
        </is>
      </c>
      <c r="BG1" s="43" t="inlineStr">
        <is>
          <t>剑影分光</t>
        </is>
      </c>
      <c r="BH1" t="inlineStr">
        <is>
          <t>等级</t>
        </is>
      </c>
      <c r="BI1" t="inlineStr">
        <is>
          <t>单段伤害</t>
        </is>
      </c>
      <c r="BJ1" t="inlineStr">
        <is>
          <t>段数</t>
        </is>
      </c>
      <c r="BK1" t="inlineStr">
        <is>
          <t>总伤害</t>
        </is>
      </c>
      <c r="BM1" s="43" t="inlineStr">
        <is>
          <t>参数替换</t>
        </is>
      </c>
      <c r="BS1" s="24" t="inlineStr">
        <is>
          <t>鬼天陨掌</t>
        </is>
      </c>
      <c r="BT1" t="inlineStr">
        <is>
          <t>等级</t>
        </is>
      </c>
      <c r="BU1" t="inlineStr">
        <is>
          <t>单段伤害</t>
        </is>
      </c>
      <c r="BV1" t="inlineStr">
        <is>
          <t>段数</t>
        </is>
      </c>
      <c r="BW1" t="inlineStr">
        <is>
          <t>总伤害</t>
        </is>
      </c>
      <c r="BY1" s="43" t="inlineStr">
        <is>
          <t>参数替换</t>
        </is>
      </c>
      <c r="CC1" s="32" t="inlineStr">
        <is>
          <t>神识定身</t>
        </is>
      </c>
      <c r="CD1" t="inlineStr">
        <is>
          <t>等级</t>
        </is>
      </c>
      <c r="CE1" t="inlineStr">
        <is>
          <t>单段伤害</t>
        </is>
      </c>
      <c r="CF1" t="inlineStr">
        <is>
          <t>段数</t>
        </is>
      </c>
      <c r="CG1" t="inlineStr">
        <is>
          <t>总伤害</t>
        </is>
      </c>
      <c r="CI1" s="43" t="inlineStr">
        <is>
          <t>参数替换</t>
        </is>
      </c>
      <c r="CJ1" s="24" t="inlineStr">
        <is>
          <t>祭神怒吼</t>
        </is>
      </c>
      <c r="CK1" t="inlineStr">
        <is>
          <t>等级</t>
        </is>
      </c>
      <c r="CL1" t="inlineStr">
        <is>
          <t>单段伤害</t>
        </is>
      </c>
      <c r="CM1" t="inlineStr">
        <is>
          <t>段数</t>
        </is>
      </c>
      <c r="CN1" t="inlineStr">
        <is>
          <t>总伤害</t>
        </is>
      </c>
      <c r="CP1" t="inlineStr">
        <is>
          <t>翩鸿灵动决</t>
        </is>
      </c>
      <c r="CR1" t="inlineStr">
        <is>
          <t>参数</t>
        </is>
      </c>
      <c r="CS1" s="43" t="n"/>
      <c r="CT1" s="43" t="n"/>
      <c r="CU1" t="inlineStr">
        <is>
          <t>真元赤阳决</t>
        </is>
      </c>
      <c r="CV1" t="inlineStr">
        <is>
          <t>攻击加成</t>
        </is>
      </c>
      <c r="CW1" s="43" t="inlineStr">
        <is>
          <t>剑芒聚气决</t>
        </is>
      </c>
      <c r="CY1" s="43" t="inlineStr">
        <is>
          <t>总伤害</t>
        </is>
      </c>
      <c r="CZ1" s="43" t="inlineStr">
        <is>
          <t>段数</t>
        </is>
      </c>
      <c r="DA1" t="inlineStr">
        <is>
          <t>单段伤害</t>
        </is>
      </c>
      <c r="DB1" s="43" t="inlineStr">
        <is>
          <t>参数替换1</t>
        </is>
      </c>
      <c r="DC1" s="43" t="inlineStr">
        <is>
          <t>参数替换2</t>
        </is>
      </c>
      <c r="DD1" s="43" t="inlineStr">
        <is>
          <t>参数替换</t>
        </is>
      </c>
      <c r="DE1" t="inlineStr">
        <is>
          <t>沸血之矛</t>
        </is>
      </c>
      <c r="DF1" t="inlineStr">
        <is>
          <t>等级</t>
        </is>
      </c>
      <c r="DG1" t="inlineStr">
        <is>
          <t>单段伤害</t>
        </is>
      </c>
      <c r="DH1" t="inlineStr">
        <is>
          <t>段数</t>
        </is>
      </c>
      <c r="DI1" t="inlineStr">
        <is>
          <t>总伤害</t>
        </is>
      </c>
      <c r="DJ1" t="inlineStr">
        <is>
          <t>每次叠加buff</t>
        </is>
      </c>
      <c r="DK1" s="5" t="inlineStr">
        <is>
          <t>焚尽</t>
        </is>
      </c>
      <c r="DL1" s="45" t="inlineStr">
        <is>
          <t>等级</t>
        </is>
      </c>
      <c r="DM1" s="45" t="inlineStr">
        <is>
          <t>单段伤害</t>
        </is>
      </c>
      <c r="DN1" s="45" t="inlineStr">
        <is>
          <t>段数</t>
        </is>
      </c>
      <c r="DO1" s="45" t="inlineStr">
        <is>
          <t>总伤害</t>
        </is>
      </c>
      <c r="DP1" s="46" t="inlineStr">
        <is>
          <t>灼烧伤害</t>
        </is>
      </c>
      <c r="DQ1" s="46" t="inlineStr">
        <is>
          <t xml:space="preserve">参数1 </t>
        </is>
      </c>
      <c r="DR1" s="46" t="inlineStr">
        <is>
          <t>参数2</t>
        </is>
      </c>
      <c r="DS1" s="43" t="inlineStr">
        <is>
          <t>参数替换</t>
        </is>
      </c>
      <c r="DT1" s="43" t="inlineStr">
        <is>
          <t>霜爆</t>
        </is>
      </c>
      <c r="DU1" t="inlineStr">
        <is>
          <t>等级</t>
        </is>
      </c>
      <c r="DV1" t="inlineStr">
        <is>
          <t>单段伤害</t>
        </is>
      </c>
      <c r="DW1" t="inlineStr">
        <is>
          <t>段数</t>
        </is>
      </c>
      <c r="DX1" t="inlineStr">
        <is>
          <t>总伤害</t>
        </is>
      </c>
      <c r="DZ1" s="43" t="inlineStr">
        <is>
          <t>参数替换</t>
        </is>
      </c>
      <c r="EA1" s="43" t="inlineStr">
        <is>
          <t>月曜八荒</t>
        </is>
      </c>
      <c r="EB1" t="inlineStr">
        <is>
          <t>等级</t>
        </is>
      </c>
      <c r="EC1" s="50" t="inlineStr">
        <is>
          <t>单段伤害</t>
        </is>
      </c>
      <c r="ED1" t="inlineStr">
        <is>
          <t>段数</t>
        </is>
      </c>
      <c r="EE1" t="inlineStr">
        <is>
          <t>总伤害</t>
        </is>
      </c>
      <c r="EF1" s="43" t="inlineStr">
        <is>
          <t>伤害合并</t>
        </is>
      </c>
      <c r="EG1" s="43" t="inlineStr">
        <is>
          <t>参数替换</t>
        </is>
      </c>
      <c r="EI1" s="43" t="inlineStr">
        <is>
          <t>罡气冲击</t>
        </is>
      </c>
      <c r="EJ1" t="inlineStr">
        <is>
          <t>等级</t>
        </is>
      </c>
      <c r="EK1" s="50" t="inlineStr">
        <is>
          <t>单段伤害</t>
        </is>
      </c>
      <c r="EL1" t="inlineStr">
        <is>
          <t>段数</t>
        </is>
      </c>
      <c r="EM1" t="inlineStr">
        <is>
          <t>总伤害</t>
        </is>
      </c>
      <c r="EO1" s="43" t="inlineStr">
        <is>
          <t>参数替换</t>
        </is>
      </c>
      <c r="EP1" s="43" t="inlineStr">
        <is>
          <t>天罡气劲</t>
        </is>
      </c>
      <c r="EQ1" t="inlineStr">
        <is>
          <t>等级</t>
        </is>
      </c>
      <c r="ER1" s="50" t="inlineStr">
        <is>
          <t>单段伤害</t>
        </is>
      </c>
      <c r="ES1" t="inlineStr">
        <is>
          <t>段数</t>
        </is>
      </c>
      <c r="ET1" t="inlineStr">
        <is>
          <t>总伤害</t>
        </is>
      </c>
      <c r="EV1" s="43" t="inlineStr">
        <is>
          <t>参数替换</t>
        </is>
      </c>
      <c r="EW1" s="43" t="inlineStr">
        <is>
          <t>彼岸炽魂</t>
        </is>
      </c>
      <c r="EX1" s="43" t="inlineStr">
        <is>
          <t>总伤害</t>
        </is>
      </c>
      <c r="EY1" s="43" t="inlineStr">
        <is>
          <t>段数</t>
        </is>
      </c>
      <c r="EZ1" s="43" t="inlineStr">
        <is>
          <t>火印单层伤害</t>
        </is>
      </c>
      <c r="FA1" s="43" t="inlineStr">
        <is>
          <t>火印单层生命回复</t>
        </is>
      </c>
      <c r="FB1" s="43" t="inlineStr">
        <is>
          <t>参数1</t>
        </is>
      </c>
      <c r="FD1" s="32" t="inlineStr">
        <is>
          <t>大地近卫功法</t>
        </is>
      </c>
      <c r="FE1" t="inlineStr">
        <is>
          <t>等级</t>
        </is>
      </c>
      <c r="FF1" s="50" t="inlineStr">
        <is>
          <t>单段伤害</t>
        </is>
      </c>
      <c r="FG1" t="inlineStr">
        <is>
          <t>段数</t>
        </is>
      </c>
      <c r="FH1" t="inlineStr">
        <is>
          <t>总伤害</t>
        </is>
      </c>
      <c r="FI1" s="32" t="inlineStr">
        <is>
          <t>青月冰决</t>
        </is>
      </c>
      <c r="FJ1" t="inlineStr">
        <is>
          <t>等级</t>
        </is>
      </c>
      <c r="FK1" s="50" t="inlineStr">
        <is>
          <t>单段伤害</t>
        </is>
      </c>
      <c r="FL1" s="51" t="inlineStr">
        <is>
          <t>治疗量</t>
        </is>
      </c>
      <c r="FM1" t="inlineStr">
        <is>
          <t>段数</t>
        </is>
      </c>
      <c r="FN1" t="inlineStr">
        <is>
          <t>总伤害</t>
        </is>
      </c>
      <c r="FO1" s="32" t="inlineStr">
        <is>
          <t>风雷万劫</t>
        </is>
      </c>
      <c r="FP1" t="inlineStr">
        <is>
          <t>等级</t>
        </is>
      </c>
      <c r="FQ1" s="50" t="inlineStr">
        <is>
          <t>单段伤害</t>
        </is>
      </c>
      <c r="FR1" t="inlineStr">
        <is>
          <t>段数</t>
        </is>
      </c>
      <c r="FS1" t="inlineStr">
        <is>
          <t>总伤害</t>
        </is>
      </c>
    </row>
    <row r="2">
      <c r="G2" t="n">
        <v>1</v>
      </c>
      <c r="H2">
        <f>(J2/I2-1)*100</f>
        <v/>
      </c>
      <c r="I2" t="n">
        <v>5</v>
      </c>
      <c r="J2" t="n">
        <v>1</v>
      </c>
      <c r="K2" s="49">
        <f>H2&amp;"|"&amp;H2&amp;"|"&amp;H2&amp;"|"&amp;H2&amp;"|"&amp;H2</f>
        <v/>
      </c>
      <c r="L2">
        <f>ROUND( 100+H2,0)</f>
        <v/>
      </c>
      <c r="M2" s="49" t="n"/>
      <c r="N2" s="49" t="n">
        <v>1</v>
      </c>
      <c r="O2">
        <f>(Q2/P2-1)*100</f>
        <v/>
      </c>
      <c r="P2" t="n">
        <v>3</v>
      </c>
      <c r="Q2" t="n">
        <v>1.2</v>
      </c>
      <c r="R2" s="49">
        <f>O2&amp;"|"&amp;O2&amp;"|"&amp;O2</f>
        <v/>
      </c>
      <c r="S2">
        <f>ROUND( 100+O2,0)</f>
        <v/>
      </c>
      <c r="U2" t="n">
        <v>1</v>
      </c>
      <c r="V2">
        <f>(X2/W2-1)*100</f>
        <v/>
      </c>
      <c r="W2" t="n">
        <v>8</v>
      </c>
      <c r="X2" t="n">
        <v>1</v>
      </c>
      <c r="Y2" s="49">
        <f>V2&amp;"|"&amp;V2&amp;"|"&amp;V2&amp;"|"&amp;V2&amp;"|"&amp;V2&amp;"|"&amp;V2&amp;"|"&amp;V2&amp;"|"&amp;V2</f>
        <v/>
      </c>
      <c r="Z2">
        <f>ROUND( 100+V2,0)</f>
        <v/>
      </c>
      <c r="AA2">
        <f>1.38*U2-39.38</f>
        <v/>
      </c>
      <c r="AC2" t="n">
        <v>1</v>
      </c>
      <c r="AD2">
        <f>(AF2/AE2-1)*100</f>
        <v/>
      </c>
      <c r="AE2" t="n">
        <v>1</v>
      </c>
      <c r="AF2" t="n">
        <v>1.55</v>
      </c>
      <c r="AG2" s="49">
        <f>AD2</f>
        <v/>
      </c>
      <c r="AH2">
        <f>ROUND( 100+AD2,0)</f>
        <v/>
      </c>
      <c r="AJ2" t="n">
        <v>1</v>
      </c>
      <c r="AK2">
        <f>(AN2/AL2-1)*100</f>
        <v/>
      </c>
      <c r="AL2" t="n">
        <v>1000</v>
      </c>
      <c r="AM2" t="n">
        <v>2</v>
      </c>
      <c r="AN2" t="n">
        <v>1.55</v>
      </c>
      <c r="AO2">
        <f>_xlfn.TEXTJOIN("|",TRUE,AL2:AM2)</f>
        <v/>
      </c>
      <c r="AR2" t="n">
        <v>1</v>
      </c>
      <c r="AS2">
        <f>(AU2/AT2-1)*100</f>
        <v/>
      </c>
      <c r="AT2" t="n">
        <v>1</v>
      </c>
      <c r="AU2" t="n">
        <v>1</v>
      </c>
      <c r="AV2">
        <f>ROUND( 100+AS2,0)</f>
        <v/>
      </c>
      <c r="AW2" s="45" t="n"/>
      <c r="AX2" s="45" t="n">
        <v>1</v>
      </c>
      <c r="AY2" s="45">
        <f>(BA2/$AZ$2-1)*100</f>
        <v/>
      </c>
      <c r="AZ2" s="45" t="n">
        <v>1</v>
      </c>
      <c r="BA2" s="45" t="n">
        <v>2</v>
      </c>
      <c r="BB2">
        <f>ROUND( 100+AY2,0)</f>
        <v/>
      </c>
      <c r="BD2" t="n">
        <v>400</v>
      </c>
      <c r="BE2" s="50" t="n">
        <v>10</v>
      </c>
      <c r="BF2">
        <f>BD2&amp;"|"&amp;BE2</f>
        <v/>
      </c>
      <c r="BH2" t="n">
        <v>1</v>
      </c>
      <c r="BI2" s="45">
        <f>(BK2/BJ2-1)*100</f>
        <v/>
      </c>
      <c r="BJ2" t="n">
        <v>5</v>
      </c>
      <c r="BK2" t="n">
        <v>1.7</v>
      </c>
      <c r="BL2" s="43">
        <f>_xlfn.TEXTJOIN("|",TRUE,BI2,BI2,BI2,BI2,BI2)</f>
        <v/>
      </c>
      <c r="BM2">
        <f>ROUND( 100+BI2,0)</f>
        <v/>
      </c>
      <c r="BT2" t="n">
        <v>1</v>
      </c>
      <c r="BU2">
        <f>(BW2/$BV$2-1)*100</f>
        <v/>
      </c>
      <c r="BV2" t="n">
        <v>2</v>
      </c>
      <c r="BW2" t="n">
        <v>1</v>
      </c>
      <c r="BX2" s="49">
        <f>CA2&amp;"|"&amp;CB2</f>
        <v/>
      </c>
      <c r="BY2">
        <f>ROUND( 100+BU2,0)</f>
        <v/>
      </c>
      <c r="BZ2">
        <f>2*BU2</f>
        <v/>
      </c>
      <c r="CA2" s="50">
        <f>BZ2/3</f>
        <v/>
      </c>
      <c r="CB2" s="50">
        <f>CA2*2</f>
        <v/>
      </c>
      <c r="CD2" t="n">
        <v>1</v>
      </c>
      <c r="CE2" s="50">
        <f>((CG2/$CF$2-1)*100)</f>
        <v/>
      </c>
      <c r="CF2" t="n">
        <v>1</v>
      </c>
      <c r="CG2" t="n">
        <v>1</v>
      </c>
      <c r="CH2" s="49">
        <f>CE2</f>
        <v/>
      </c>
      <c r="CI2">
        <f>ROUND( 100+CE2,0)</f>
        <v/>
      </c>
      <c r="CK2" t="n">
        <v>1</v>
      </c>
      <c r="CL2">
        <f>(CN2/$CF$2-1)*100</f>
        <v/>
      </c>
      <c r="CM2" t="n">
        <v>1</v>
      </c>
      <c r="CN2">
        <f>0.08*CK2+3.92</f>
        <v/>
      </c>
      <c r="CO2" s="49">
        <f>CL2</f>
        <v/>
      </c>
      <c r="CP2" t="n">
        <v>50</v>
      </c>
      <c r="CQ2" t="n">
        <v>99</v>
      </c>
      <c r="CR2">
        <f>CP2&amp;"|"&amp;CQ2</f>
        <v/>
      </c>
      <c r="CT2" s="18" t="n"/>
      <c r="CV2" s="50" t="n">
        <v>10</v>
      </c>
      <c r="CW2" t="n">
        <v>1</v>
      </c>
      <c r="CX2">
        <f>DA2&amp;"|"&amp;DA2&amp;"|"&amp;DA2&amp;"|"&amp;DA2&amp;"|"&amp;DA2</f>
        <v/>
      </c>
      <c r="CY2" t="n">
        <v>0.5</v>
      </c>
      <c r="CZ2" t="n">
        <v>5</v>
      </c>
      <c r="DA2">
        <f>(CY2/CZ2-1)*100</f>
        <v/>
      </c>
      <c r="DB2" s="50">
        <f>ROUND( 100+DA2,0)</f>
        <v/>
      </c>
      <c r="DC2" t="n">
        <v>10</v>
      </c>
      <c r="DD2">
        <f>_xlfn.TEXTJOIN("|",TRUE,DB2:DC2)</f>
        <v/>
      </c>
      <c r="DF2" t="n">
        <v>1</v>
      </c>
      <c r="DG2" t="n">
        <v>400</v>
      </c>
      <c r="DH2" t="n">
        <v>1</v>
      </c>
      <c r="DI2" s="50" t="n">
        <v>-99</v>
      </c>
      <c r="DJ2" s="50" t="n">
        <v>-95</v>
      </c>
      <c r="DK2" s="45" t="n"/>
      <c r="DL2" s="45" t="n">
        <v>1</v>
      </c>
      <c r="DM2">
        <f>(DO2/$DN$2-1)*100</f>
        <v/>
      </c>
      <c r="DN2" s="45" t="n">
        <v>1</v>
      </c>
      <c r="DO2" s="45" t="n">
        <v>1.2</v>
      </c>
      <c r="DP2" s="52" t="n">
        <v>-99</v>
      </c>
      <c r="DQ2" s="50">
        <f>ROUND( 100+DM2,0)</f>
        <v/>
      </c>
      <c r="DR2" s="50">
        <f>ROUND( 100+DP2,0)</f>
        <v/>
      </c>
      <c r="DS2">
        <f>_xlfn.TEXTJOIN("|",TRUE,DQ2:DR2)</f>
        <v/>
      </c>
      <c r="DU2" t="n">
        <v>1</v>
      </c>
      <c r="DV2" s="45">
        <f>(DX2/DW2-1)*100</f>
        <v/>
      </c>
      <c r="DW2" t="n">
        <v>1</v>
      </c>
      <c r="DX2" t="n">
        <v>1.2</v>
      </c>
      <c r="DY2" s="43">
        <f>DV2</f>
        <v/>
      </c>
      <c r="DZ2">
        <f>ROUND( 100+DV2,0)</f>
        <v/>
      </c>
      <c r="EB2" t="n">
        <v>1</v>
      </c>
      <c r="EC2" s="50">
        <f>(EE2/$ED$2-1)*100</f>
        <v/>
      </c>
      <c r="ED2" t="n">
        <v>6</v>
      </c>
      <c r="EE2" t="n">
        <v>1</v>
      </c>
      <c r="EF2" s="43">
        <f>_xlfn.TEXTJOIN("|",TRUE,EC2,EC2,EC2,EC2,EC2,EC2)</f>
        <v/>
      </c>
      <c r="EG2" s="50">
        <f>ROUND( 100+EC2,0)</f>
        <v/>
      </c>
      <c r="EH2" s="43" t="n"/>
      <c r="EJ2" t="n">
        <v>1</v>
      </c>
      <c r="EK2" s="50">
        <f>(EM2/EL2-1)*100</f>
        <v/>
      </c>
      <c r="EL2" t="n">
        <v>6</v>
      </c>
      <c r="EM2" t="n">
        <v>1</v>
      </c>
      <c r="EN2" s="43">
        <f>EK2&amp;"|"&amp;EK2&amp;"|"&amp;EK2&amp;"|"&amp;EK2&amp;"|"&amp;EK2&amp;"|"&amp;EK2</f>
        <v/>
      </c>
      <c r="EO2" s="50">
        <f>ROUND( 100+EK2,0)</f>
        <v/>
      </c>
      <c r="EQ2" t="n">
        <v>1</v>
      </c>
      <c r="ER2" s="50">
        <f>(ET2/ES2-1)*100</f>
        <v/>
      </c>
      <c r="ES2" t="n">
        <v>1</v>
      </c>
      <c r="ET2" t="n">
        <v>1.5</v>
      </c>
      <c r="EU2" s="43" t="n"/>
      <c r="EV2" s="50">
        <f>ROUND( 100+ER2,0)</f>
        <v/>
      </c>
      <c r="EW2" s="50">
        <f>(EX2/EY2-1)*100</f>
        <v/>
      </c>
      <c r="EX2" t="n">
        <v>1.3</v>
      </c>
      <c r="EY2" t="n">
        <v>1</v>
      </c>
      <c r="EZ2" t="n">
        <v>34</v>
      </c>
      <c r="FA2" t="n">
        <v>2</v>
      </c>
      <c r="FB2" s="50">
        <f>ROUND( 100+EW2,0)</f>
        <v/>
      </c>
      <c r="FC2">
        <f>EW2&amp;"|"&amp;EZ2&amp;"|"&amp;FA2</f>
        <v/>
      </c>
      <c r="FE2" t="n">
        <v>1</v>
      </c>
      <c r="FF2" s="50">
        <f>(FH2/FG2-1)*100</f>
        <v/>
      </c>
      <c r="FG2" t="n">
        <v>1</v>
      </c>
      <c r="FH2" t="n">
        <v>2</v>
      </c>
      <c r="FJ2" t="n">
        <v>1</v>
      </c>
      <c r="FK2" s="50">
        <f>(FN2/FM2-1)*100</f>
        <v/>
      </c>
      <c r="FL2" s="51" t="inlineStr">
        <is>
          <t>0|40</t>
        </is>
      </c>
      <c r="FM2" t="n">
        <v>1</v>
      </c>
      <c r="FN2" t="n">
        <v>2</v>
      </c>
      <c r="FP2" t="n">
        <v>1</v>
      </c>
      <c r="FQ2" s="50">
        <f>ROUND((FS2/FR2-1)*100,0)</f>
        <v/>
      </c>
      <c r="FR2" t="n">
        <v>3</v>
      </c>
      <c r="FS2" t="n">
        <v>2</v>
      </c>
      <c r="FT2">
        <f>_xlfn.TEXTJOIN("|",TRUE,FQ2,FQ2,FQ2)</f>
        <v/>
      </c>
    </row>
    <row r="3">
      <c r="A3" s="49" t="inlineStr">
        <is>
          <t>计算公式：见J2</t>
        </is>
      </c>
      <c r="G3" t="n">
        <v>2</v>
      </c>
      <c r="H3">
        <f>(J3/I3-1)*100</f>
        <v/>
      </c>
      <c r="I3">
        <f>I2</f>
        <v/>
      </c>
      <c r="J3" t="n">
        <v>1.12</v>
      </c>
      <c r="K3" s="49">
        <f>H3&amp;"|"&amp;H3&amp;"|"&amp;H3&amp;"|"&amp;H3&amp;"|"&amp;H3</f>
        <v/>
      </c>
      <c r="L3">
        <f>ROUND( 100+H3,0)</f>
        <v/>
      </c>
      <c r="M3" s="49" t="n"/>
      <c r="N3" s="49" t="n">
        <v>2</v>
      </c>
      <c r="O3">
        <f>(Q3/P3-1)*100</f>
        <v/>
      </c>
      <c r="P3">
        <f>P2</f>
        <v/>
      </c>
      <c r="Q3" t="n">
        <v>1.31</v>
      </c>
      <c r="R3" s="49">
        <f>O3&amp;"|"&amp;O3&amp;"|"&amp;O3</f>
        <v/>
      </c>
      <c r="S3">
        <f>ROUND( 100+O3,0)</f>
        <v/>
      </c>
      <c r="U3" t="n">
        <v>2</v>
      </c>
      <c r="V3">
        <f>(X3/W3-1)*100</f>
        <v/>
      </c>
      <c r="W3">
        <f>W2</f>
        <v/>
      </c>
      <c r="X3" t="n">
        <v>1.19</v>
      </c>
      <c r="Y3" s="49">
        <f>V3&amp;"|"&amp;V3&amp;"|"&amp;V3&amp;"|"&amp;V3&amp;"|"&amp;V3&amp;"|"&amp;V3&amp;"|"&amp;V3&amp;"|"&amp;V3</f>
        <v/>
      </c>
      <c r="Z3">
        <f>ROUND( 100+V3,0)</f>
        <v/>
      </c>
      <c r="AA3">
        <f>1.38*U3-39.38</f>
        <v/>
      </c>
      <c r="AC3" t="n">
        <v>2</v>
      </c>
      <c r="AD3">
        <f>(AF3/AE3-1)*100</f>
        <v/>
      </c>
      <c r="AE3" t="n">
        <v>1</v>
      </c>
      <c r="AF3" t="n">
        <v>1.69</v>
      </c>
      <c r="AG3" s="49">
        <f>AD3</f>
        <v/>
      </c>
      <c r="AH3">
        <f>ROUND( 100+AD3,0)</f>
        <v/>
      </c>
      <c r="AJ3" t="n">
        <v>2</v>
      </c>
      <c r="AL3" t="n">
        <v>1100</v>
      </c>
      <c r="AM3" t="n">
        <v>2.5</v>
      </c>
      <c r="AO3">
        <f>_xlfn.TEXTJOIN("|",TRUE,AL3:AM3)</f>
        <v/>
      </c>
      <c r="AR3" t="n">
        <v>2</v>
      </c>
      <c r="AS3">
        <f>(AU3/AT3-1)*100</f>
        <v/>
      </c>
      <c r="AT3">
        <f>AT2</f>
        <v/>
      </c>
      <c r="AU3" t="n">
        <v>1.1</v>
      </c>
      <c r="AV3">
        <f>ROUND( 100+AS3,0)</f>
        <v/>
      </c>
      <c r="AW3" s="45" t="n"/>
      <c r="AX3" s="45" t="n">
        <v>2</v>
      </c>
      <c r="AY3" s="45">
        <f>(BA3/$AZ$2-1)*100</f>
        <v/>
      </c>
      <c r="AZ3" s="45" t="n"/>
      <c r="BA3" s="45" t="n">
        <v>2.2</v>
      </c>
      <c r="BB3">
        <f>ROUND( 100+AY3,0)</f>
        <v/>
      </c>
      <c r="BD3" t="n">
        <v>500</v>
      </c>
      <c r="BE3" s="50" t="inlineStr">
        <is>
          <t>10</t>
        </is>
      </c>
      <c r="BF3">
        <f>BD3&amp;"|"&amp;BE3</f>
        <v/>
      </c>
      <c r="BH3" t="n">
        <v>2</v>
      </c>
      <c r="BI3" s="45">
        <f>(BK3/BJ3-1)*100</f>
        <v/>
      </c>
      <c r="BJ3">
        <f>BJ2</f>
        <v/>
      </c>
      <c r="BK3" t="n">
        <v>1.86</v>
      </c>
      <c r="BL3" s="43">
        <f>_xlfn.TEXTJOIN("|",TRUE,BI3,BI3,BI3,BI3,BI3)</f>
        <v/>
      </c>
      <c r="BM3">
        <f>ROUND( 100+BI3,0)</f>
        <v/>
      </c>
      <c r="BN3" s="50">
        <f>BM3/10</f>
        <v/>
      </c>
      <c r="BO3" s="50">
        <f>1.5*BM3/10</f>
        <v/>
      </c>
      <c r="BP3" s="50">
        <f>2*BM3/10</f>
        <v/>
      </c>
      <c r="BQ3" s="50">
        <f>2.5*BM3/10</f>
        <v/>
      </c>
      <c r="BR3" s="50">
        <f>3*BM3/10</f>
        <v/>
      </c>
      <c r="BT3" t="n">
        <v>2</v>
      </c>
      <c r="BU3">
        <f>(BW3/$BV$2-1)*100</f>
        <v/>
      </c>
      <c r="BW3" t="n">
        <v>1.2</v>
      </c>
      <c r="BX3" s="49">
        <f>CA3&amp;"|"&amp;CB3</f>
        <v/>
      </c>
      <c r="BY3">
        <f>ROUND( 100+BU3,0)</f>
        <v/>
      </c>
      <c r="BZ3">
        <f>2*BU3</f>
        <v/>
      </c>
      <c r="CA3" s="50">
        <f>BZ3/3</f>
        <v/>
      </c>
      <c r="CB3" s="50">
        <f>CA3*2</f>
        <v/>
      </c>
      <c r="CD3" t="n">
        <v>2</v>
      </c>
      <c r="CE3" s="50">
        <f>((CG3/$CF$2-1)*100)</f>
        <v/>
      </c>
      <c r="CG3" t="n">
        <v>1.1</v>
      </c>
      <c r="CH3" s="49">
        <f>CE3</f>
        <v/>
      </c>
      <c r="CI3">
        <f>ROUND( 100+CE3,0)</f>
        <v/>
      </c>
      <c r="CK3" t="n">
        <v>2</v>
      </c>
      <c r="CL3">
        <f>(CN3/$CF$2-1)*100</f>
        <v/>
      </c>
      <c r="CN3">
        <f>0.08*CK3+3.92</f>
        <v/>
      </c>
      <c r="CO3" s="49">
        <f>CL3</f>
        <v/>
      </c>
      <c r="CP3" t="n">
        <v>55</v>
      </c>
      <c r="CQ3" t="n">
        <v>98</v>
      </c>
      <c r="CR3">
        <f>CP3&amp;"|"&amp;CQ3</f>
        <v/>
      </c>
      <c r="CT3" s="26" t="n"/>
      <c r="CV3" s="50" t="n">
        <v>12</v>
      </c>
      <c r="CW3" t="n">
        <v>2</v>
      </c>
      <c r="CX3">
        <f>DA3&amp;"|"&amp;DA3&amp;"|"&amp;DA3&amp;"|"&amp;DA3&amp;"|"&amp;DA3</f>
        <v/>
      </c>
      <c r="CY3" t="n">
        <v>0.6</v>
      </c>
      <c r="CZ3">
        <f>CZ2</f>
        <v/>
      </c>
      <c r="DA3">
        <f>(CY3/CZ3-1)*100</f>
        <v/>
      </c>
      <c r="DB3" s="50">
        <f>ROUND( 100+DA3,0)</f>
        <v/>
      </c>
      <c r="DC3" t="n">
        <v>10.6</v>
      </c>
      <c r="DD3">
        <f>_xlfn.TEXTJOIN("|",TRUE,DB3:DC3)</f>
        <v/>
      </c>
      <c r="DF3" t="n">
        <v>2</v>
      </c>
      <c r="DG3" t="n">
        <v>410</v>
      </c>
      <c r="DI3" s="50" t="n">
        <v>-98</v>
      </c>
      <c r="DJ3" s="50" t="n">
        <v>-95</v>
      </c>
      <c r="DK3" s="45" t="n"/>
      <c r="DL3" s="45" t="n">
        <v>2</v>
      </c>
      <c r="DM3">
        <f>(DO3/$DN$2-1)*100</f>
        <v/>
      </c>
      <c r="DN3" s="45" t="n"/>
      <c r="DO3" s="45" t="n">
        <v>1.35</v>
      </c>
      <c r="DP3" s="52" t="n">
        <v>-98</v>
      </c>
      <c r="DQ3" s="50">
        <f>ROUND( 100+DM3,0)</f>
        <v/>
      </c>
      <c r="DR3" s="50">
        <f>ROUND( 100+DP3,0)</f>
        <v/>
      </c>
      <c r="DS3">
        <f>_xlfn.TEXTJOIN("|",TRUE,DQ3:DR3)</f>
        <v/>
      </c>
      <c r="DU3" t="n">
        <v>2</v>
      </c>
      <c r="DV3" s="45">
        <f>(DX3/DW3-1)*100</f>
        <v/>
      </c>
      <c r="DW3">
        <f>DW2</f>
        <v/>
      </c>
      <c r="DX3" t="n">
        <v>1.32</v>
      </c>
      <c r="DZ3">
        <f>ROUND( 100+DV3,0)</f>
        <v/>
      </c>
      <c r="EB3" t="n">
        <v>2</v>
      </c>
      <c r="EC3" s="50">
        <f>(EE3/$ED$2-1)*100</f>
        <v/>
      </c>
      <c r="ED3">
        <f>ED2</f>
        <v/>
      </c>
      <c r="EE3" t="n">
        <v>1.13</v>
      </c>
      <c r="EF3" s="43">
        <f>_xlfn.TEXTJOIN("|",TRUE,EC3,EC3,EC3,EC3,EC3,EC3)</f>
        <v/>
      </c>
      <c r="EG3" s="50">
        <f>ROUND( 100+EC3,0)</f>
        <v/>
      </c>
      <c r="EH3" s="43" t="n"/>
      <c r="EJ3" t="n">
        <v>2</v>
      </c>
      <c r="EK3" s="50">
        <f>(EM3/EL3-1)*100</f>
        <v/>
      </c>
      <c r="EL3">
        <f>EL2</f>
        <v/>
      </c>
      <c r="EM3" t="n">
        <v>1.1</v>
      </c>
      <c r="EN3" s="43">
        <f>EK3&amp;"|"&amp;EK3&amp;"|"&amp;EK3&amp;"|"&amp;EK3&amp;"|"&amp;EK3&amp;"|"&amp;EK3</f>
        <v/>
      </c>
      <c r="EO3" s="50">
        <f>ROUND( 100+EK3,0)</f>
        <v/>
      </c>
      <c r="EP3" s="50" t="n"/>
      <c r="EQ3" s="50" t="n"/>
      <c r="ER3" s="50">
        <f>(ET3/ES3-1)*100</f>
        <v/>
      </c>
      <c r="ES3" s="50">
        <f>ES2</f>
        <v/>
      </c>
      <c r="ET3" t="n">
        <v>1.65</v>
      </c>
      <c r="EU3" s="50" t="n"/>
      <c r="EV3" s="50">
        <f>ROUND( 100+ER3,0)</f>
        <v/>
      </c>
      <c r="EW3" s="50">
        <f>(EX3/EY3-1)*100</f>
        <v/>
      </c>
      <c r="EX3" t="n">
        <v>1.43</v>
      </c>
      <c r="EY3">
        <f>EY2</f>
        <v/>
      </c>
      <c r="EZ3" t="n">
        <v>37.4</v>
      </c>
      <c r="FA3" t="n">
        <v>2.062</v>
      </c>
      <c r="FB3" s="50">
        <f>ROUND( 100+EW3,0)</f>
        <v/>
      </c>
      <c r="FC3">
        <f>EW3&amp;"|"&amp;EZ3&amp;"|"&amp;FA3</f>
        <v/>
      </c>
      <c r="FE3" t="n">
        <v>2</v>
      </c>
      <c r="FF3" s="50">
        <f>(FH3/FG3-1)*100</f>
        <v/>
      </c>
      <c r="FG3">
        <f>FG2</f>
        <v/>
      </c>
      <c r="FH3">
        <f>2*(1+FE2*0.1)</f>
        <v/>
      </c>
      <c r="FJ3" t="n">
        <v>2</v>
      </c>
      <c r="FK3" s="50">
        <f>(FN3/FM3-1)*100</f>
        <v/>
      </c>
      <c r="FL3" s="50">
        <f>FL2</f>
        <v/>
      </c>
      <c r="FM3">
        <f>FM2</f>
        <v/>
      </c>
      <c r="FN3">
        <f>2*(1+FJ2*0.1)</f>
        <v/>
      </c>
      <c r="FP3" t="n">
        <v>2</v>
      </c>
      <c r="FQ3" s="50">
        <f>ROUND((FS3/FR3-1)*100,0)</f>
        <v/>
      </c>
      <c r="FR3">
        <f>FR2</f>
        <v/>
      </c>
      <c r="FS3">
        <f>2*(1+FP2*0.1)</f>
        <v/>
      </c>
      <c r="FT3">
        <f>_xlfn.TEXTJOIN("|",TRUE,FQ3,FQ3,FQ3)</f>
        <v/>
      </c>
    </row>
    <row r="4">
      <c r="B4" t="inlineStr">
        <is>
          <t>先定总伤害和段数</t>
        </is>
      </c>
      <c r="G4" t="n">
        <v>3</v>
      </c>
      <c r="H4">
        <f>(J4/I4-1)*100</f>
        <v/>
      </c>
      <c r="I4">
        <f>I3</f>
        <v/>
      </c>
      <c r="J4" t="n">
        <v>1.24</v>
      </c>
      <c r="K4" s="49">
        <f>H4&amp;"|"&amp;H4&amp;"|"&amp;H4&amp;"|"&amp;H4&amp;"|"&amp;H4</f>
        <v/>
      </c>
      <c r="L4">
        <f>ROUND( 100+H4,0)</f>
        <v/>
      </c>
      <c r="M4" s="49" t="n"/>
      <c r="N4" s="49" t="n">
        <v>3</v>
      </c>
      <c r="O4">
        <f>(Q4/P4-1)*100</f>
        <v/>
      </c>
      <c r="P4">
        <f>P3</f>
        <v/>
      </c>
      <c r="Q4" t="n">
        <v>1.42</v>
      </c>
      <c r="R4" s="49">
        <f>O4&amp;"|"&amp;O4&amp;"|"&amp;O4</f>
        <v/>
      </c>
      <c r="S4">
        <f>ROUND( 100+O4,0)</f>
        <v/>
      </c>
      <c r="U4" t="n">
        <v>3</v>
      </c>
      <c r="V4">
        <f>(X4/W4-1)*100</f>
        <v/>
      </c>
      <c r="W4">
        <f>W3</f>
        <v/>
      </c>
      <c r="X4" t="n">
        <v>1.38</v>
      </c>
      <c r="Y4" s="49">
        <f>V4&amp;"|"&amp;V4&amp;"|"&amp;V4&amp;"|"&amp;V4&amp;"|"&amp;V4&amp;"|"&amp;V4&amp;"|"&amp;V4&amp;"|"&amp;V4</f>
        <v/>
      </c>
      <c r="Z4">
        <f>ROUND( 100+V4,0)</f>
        <v/>
      </c>
      <c r="AA4">
        <f>1.38*U4-39.38</f>
        <v/>
      </c>
      <c r="AC4" t="n">
        <v>3</v>
      </c>
      <c r="AD4">
        <f>(AF4/AE4-1)*100</f>
        <v/>
      </c>
      <c r="AE4" t="n">
        <v>1</v>
      </c>
      <c r="AF4" t="n">
        <v>1.83</v>
      </c>
      <c r="AG4" s="49">
        <f>AD4</f>
        <v/>
      </c>
      <c r="AH4">
        <f>ROUND( 100+AD4,0)</f>
        <v/>
      </c>
      <c r="AJ4" t="n">
        <v>3</v>
      </c>
      <c r="AL4" t="n">
        <v>1200</v>
      </c>
      <c r="AM4" t="n">
        <v>3</v>
      </c>
      <c r="AO4">
        <f>_xlfn.TEXTJOIN("|",TRUE,AL4:AM4)</f>
        <v/>
      </c>
      <c r="AR4" t="n">
        <v>3</v>
      </c>
      <c r="AS4">
        <f>(AU4/AT4-1)*100</f>
        <v/>
      </c>
      <c r="AT4">
        <f>AT3</f>
        <v/>
      </c>
      <c r="AU4" t="n">
        <v>1.2</v>
      </c>
      <c r="AV4">
        <f>ROUND( 100+AS4,0)</f>
        <v/>
      </c>
      <c r="AW4" s="45" t="n"/>
      <c r="AX4" s="45" t="n">
        <v>3</v>
      </c>
      <c r="AY4" s="45">
        <f>(BA4/$AZ$2-1)*100</f>
        <v/>
      </c>
      <c r="AZ4" s="45" t="n"/>
      <c r="BA4" s="45" t="n">
        <v>2.4</v>
      </c>
      <c r="BB4">
        <f>ROUND( 100+AY4,0)</f>
        <v/>
      </c>
      <c r="BD4" t="n">
        <v>600</v>
      </c>
      <c r="BE4" s="50" t="inlineStr">
        <is>
          <t>10</t>
        </is>
      </c>
      <c r="BF4">
        <f>BD4&amp;"|"&amp;BE4</f>
        <v/>
      </c>
      <c r="BH4" t="n">
        <v>3</v>
      </c>
      <c r="BI4" s="45">
        <f>(BK4/BJ4-1)*100</f>
        <v/>
      </c>
      <c r="BJ4">
        <f>BJ3</f>
        <v/>
      </c>
      <c r="BK4" t="n">
        <v>2.02</v>
      </c>
      <c r="BL4" s="43">
        <f>_xlfn.TEXTJOIN("|",TRUE,BI4,BI4,BI4,BI4,BI4)</f>
        <v/>
      </c>
      <c r="BM4">
        <f>ROUND( 100+BI4,0)</f>
        <v/>
      </c>
      <c r="BN4" s="50">
        <f>BM4/10</f>
        <v/>
      </c>
      <c r="BO4" s="50">
        <f>1.5*BM4/10</f>
        <v/>
      </c>
      <c r="BP4" s="50">
        <f>2*BM4/10</f>
        <v/>
      </c>
      <c r="BQ4" s="50">
        <f>2.5*BM4/10</f>
        <v/>
      </c>
      <c r="BR4" s="50">
        <f>3*BM4/10</f>
        <v/>
      </c>
      <c r="BT4" t="n">
        <v>3</v>
      </c>
      <c r="BU4">
        <f>(BW4/$BV$2-1)*100</f>
        <v/>
      </c>
      <c r="BW4" t="n">
        <v>1.4</v>
      </c>
      <c r="BX4" s="49">
        <f>CA4&amp;"|"&amp;CB4</f>
        <v/>
      </c>
      <c r="BY4">
        <f>ROUND( 100+BU4,0)</f>
        <v/>
      </c>
      <c r="BZ4">
        <f>2*BU4</f>
        <v/>
      </c>
      <c r="CA4" s="50">
        <f>BZ4/3</f>
        <v/>
      </c>
      <c r="CB4" s="50">
        <f>CA4*2</f>
        <v/>
      </c>
      <c r="CD4" t="n">
        <v>3</v>
      </c>
      <c r="CE4" s="50">
        <f>((CG4/$CF$2-1)*100)</f>
        <v/>
      </c>
      <c r="CG4" t="n">
        <v>1.2</v>
      </c>
      <c r="CH4" s="49">
        <f>CE4</f>
        <v/>
      </c>
      <c r="CI4">
        <f>ROUND( 100+CE4,0)</f>
        <v/>
      </c>
      <c r="CK4" t="n">
        <v>3</v>
      </c>
      <c r="CL4">
        <f>(CN4/$CF$2-1)*100</f>
        <v/>
      </c>
      <c r="CN4">
        <f>0.08*CK4+3.92</f>
        <v/>
      </c>
      <c r="CO4" s="49">
        <f>CL4</f>
        <v/>
      </c>
      <c r="CP4" t="n">
        <v>60</v>
      </c>
      <c r="CQ4" t="n">
        <v>97</v>
      </c>
      <c r="CR4">
        <f>CP4&amp;"|"&amp;CQ4</f>
        <v/>
      </c>
      <c r="CT4" s="26" t="n"/>
      <c r="CV4" s="50" t="n">
        <v>13</v>
      </c>
      <c r="CW4" t="n">
        <v>3</v>
      </c>
      <c r="CX4">
        <f>DA4&amp;"|"&amp;DA4&amp;"|"&amp;DA4&amp;"|"&amp;DA4&amp;"|"&amp;DA4</f>
        <v/>
      </c>
      <c r="CY4" t="n">
        <v>0.7</v>
      </c>
      <c r="CZ4">
        <f>CZ3</f>
        <v/>
      </c>
      <c r="DA4">
        <f>(CY4/CZ4-1)*100</f>
        <v/>
      </c>
      <c r="DB4" s="50">
        <f>ROUND( 100+DA4,0)</f>
        <v/>
      </c>
      <c r="DC4" t="n">
        <v>11.2</v>
      </c>
      <c r="DD4">
        <f>_xlfn.TEXTJOIN("|",TRUE,DB4:DC4)</f>
        <v/>
      </c>
      <c r="DF4" t="n">
        <v>3</v>
      </c>
      <c r="DG4" t="n">
        <v>420</v>
      </c>
      <c r="DI4" s="50" t="n">
        <v>-98</v>
      </c>
      <c r="DJ4" s="50" t="n">
        <v>-95</v>
      </c>
      <c r="DK4" s="45" t="n"/>
      <c r="DL4" s="45" t="n">
        <v>3</v>
      </c>
      <c r="DM4">
        <f>(DO4/$DN$2-1)*100</f>
        <v/>
      </c>
      <c r="DN4" s="45" t="n"/>
      <c r="DO4" s="45" t="n">
        <v>1.5</v>
      </c>
      <c r="DP4" s="52" t="n">
        <v>-97</v>
      </c>
      <c r="DQ4" s="50">
        <f>ROUND( 100+DM4,0)</f>
        <v/>
      </c>
      <c r="DR4" s="50">
        <f>ROUND( 100+DP4,0)</f>
        <v/>
      </c>
      <c r="DS4">
        <f>_xlfn.TEXTJOIN("|",TRUE,DQ4:DR4)</f>
        <v/>
      </c>
      <c r="DU4" t="n">
        <v>3</v>
      </c>
      <c r="DV4" s="45">
        <f>(DX4/DW4-1)*100</f>
        <v/>
      </c>
      <c r="DW4">
        <f>DW3</f>
        <v/>
      </c>
      <c r="DX4" t="n">
        <v>1.44</v>
      </c>
      <c r="DZ4">
        <f>ROUND( 100+DV4,0)</f>
        <v/>
      </c>
      <c r="EB4" t="n">
        <v>3</v>
      </c>
      <c r="EC4" s="50">
        <f>(EE4/$ED$2-1)*100</f>
        <v/>
      </c>
      <c r="ED4">
        <f>ED3</f>
        <v/>
      </c>
      <c r="EE4" t="n">
        <v>1.26</v>
      </c>
      <c r="EF4" s="43">
        <f>_xlfn.TEXTJOIN("|",TRUE,EC4,EC4,EC4,EC4,EC4,EC4)</f>
        <v/>
      </c>
      <c r="EG4" s="50">
        <f>ROUND( 100+EC4,0)</f>
        <v/>
      </c>
      <c r="EH4" s="43" t="n"/>
      <c r="EJ4" t="n">
        <v>3</v>
      </c>
      <c r="EK4" s="50">
        <f>(EM4/EL4-1)*100</f>
        <v/>
      </c>
      <c r="EL4">
        <f>EL3</f>
        <v/>
      </c>
      <c r="EM4" t="n">
        <v>1.2</v>
      </c>
      <c r="EN4" s="43">
        <f>EK4&amp;"|"&amp;EK4&amp;"|"&amp;EK4&amp;"|"&amp;EK4&amp;"|"&amp;EK4&amp;"|"&amp;EK4</f>
        <v/>
      </c>
      <c r="EO4" s="50">
        <f>ROUND( 100+EK4,0)</f>
        <v/>
      </c>
      <c r="EP4" s="50" t="n"/>
      <c r="EQ4" s="50" t="n"/>
      <c r="ER4" s="50">
        <f>(ET4/ES4-1)*100</f>
        <v/>
      </c>
      <c r="ES4" s="50">
        <f>ES3</f>
        <v/>
      </c>
      <c r="ET4" t="n">
        <v>1.8</v>
      </c>
      <c r="EU4" s="50" t="n"/>
      <c r="EV4" s="50">
        <f>ROUND( 100+ER4,0)</f>
        <v/>
      </c>
      <c r="EW4" s="50">
        <f>(EX4/EY4-1)*100</f>
        <v/>
      </c>
      <c r="EX4" t="n">
        <v>1.56</v>
      </c>
      <c r="EY4">
        <f>EY3</f>
        <v/>
      </c>
      <c r="EZ4" t="n">
        <v>40.8</v>
      </c>
      <c r="FA4" t="n">
        <v>2.124</v>
      </c>
      <c r="FB4" s="50">
        <f>ROUND( 100+EW4,0)</f>
        <v/>
      </c>
      <c r="FC4">
        <f>EW4&amp;"|"&amp;EZ4&amp;"|"&amp;FA4</f>
        <v/>
      </c>
      <c r="FE4" t="n">
        <v>3</v>
      </c>
      <c r="FF4" s="50">
        <f>(FH4/FG4-1)*100</f>
        <v/>
      </c>
      <c r="FG4">
        <f>FG3</f>
        <v/>
      </c>
      <c r="FH4">
        <f>2*(1+FE3*0.1)</f>
        <v/>
      </c>
      <c r="FJ4" t="n">
        <v>3</v>
      </c>
      <c r="FK4" s="50">
        <f>(FN4/FM4-1)*100</f>
        <v/>
      </c>
      <c r="FL4" s="50">
        <f>FL3</f>
        <v/>
      </c>
      <c r="FM4">
        <f>FM3</f>
        <v/>
      </c>
      <c r="FN4">
        <f>2*(1+FJ3*0.1)</f>
        <v/>
      </c>
      <c r="FP4" t="n">
        <v>3</v>
      </c>
      <c r="FQ4" s="50">
        <f>ROUND((FS4/FR4-1)*100,0)</f>
        <v/>
      </c>
      <c r="FR4">
        <f>FR3</f>
        <v/>
      </c>
      <c r="FS4">
        <f>2*(1+FP3*0.1)</f>
        <v/>
      </c>
      <c r="FT4">
        <f>_xlfn.TEXTJOIN("|",TRUE,FQ4,FQ4,FQ4)</f>
        <v/>
      </c>
    </row>
    <row r="5">
      <c r="B5" t="inlineStr">
        <is>
          <t>单段伤害=(总伤害/段数-1)*100</t>
        </is>
      </c>
      <c r="G5" t="n">
        <v>4</v>
      </c>
      <c r="H5">
        <f>(J5/I5-1)*100</f>
        <v/>
      </c>
      <c r="I5">
        <f>I4</f>
        <v/>
      </c>
      <c r="J5" t="n">
        <v>1.36</v>
      </c>
      <c r="K5" s="49">
        <f>H5&amp;"|"&amp;H5&amp;"|"&amp;H5&amp;"|"&amp;H5&amp;"|"&amp;H5</f>
        <v/>
      </c>
      <c r="L5">
        <f>ROUND( 100+H5,0)</f>
        <v/>
      </c>
      <c r="M5" s="49" t="n"/>
      <c r="N5" s="49" t="n">
        <v>4</v>
      </c>
      <c r="O5">
        <f>(Q5/P5-1)*100</f>
        <v/>
      </c>
      <c r="P5">
        <f>P4</f>
        <v/>
      </c>
      <c r="Q5" t="n">
        <v>1.53</v>
      </c>
      <c r="R5" s="49">
        <f>O5&amp;"|"&amp;O5&amp;"|"&amp;O5</f>
        <v/>
      </c>
      <c r="S5">
        <f>ROUND( 100+O5,0)</f>
        <v/>
      </c>
      <c r="U5" t="n">
        <v>4</v>
      </c>
      <c r="V5">
        <f>(X5/W5-1)*100</f>
        <v/>
      </c>
      <c r="W5">
        <f>W4</f>
        <v/>
      </c>
      <c r="X5" t="n">
        <v>1.57</v>
      </c>
      <c r="Y5" s="49">
        <f>V5&amp;"|"&amp;V5&amp;"|"&amp;V5&amp;"|"&amp;V5&amp;"|"&amp;V5&amp;"|"&amp;V5&amp;"|"&amp;V5&amp;"|"&amp;V5</f>
        <v/>
      </c>
      <c r="Z5">
        <f>ROUND( 100+V5,0)</f>
        <v/>
      </c>
      <c r="AA5">
        <f>1.38*U5-39.38</f>
        <v/>
      </c>
      <c r="AC5" t="n">
        <v>4</v>
      </c>
      <c r="AD5">
        <f>(AF5/AE5-1)*100</f>
        <v/>
      </c>
      <c r="AE5" t="n">
        <v>1</v>
      </c>
      <c r="AF5" t="n">
        <v>1.97</v>
      </c>
      <c r="AG5" s="49">
        <f>AD5</f>
        <v/>
      </c>
      <c r="AH5">
        <f>ROUND( 100+AD5,0)</f>
        <v/>
      </c>
      <c r="AJ5" t="n">
        <v>4</v>
      </c>
      <c r="AL5" t="n">
        <v>1300</v>
      </c>
      <c r="AM5" t="n">
        <v>3.5</v>
      </c>
      <c r="AO5">
        <f>_xlfn.TEXTJOIN("|",TRUE,AL5:AM5)</f>
        <v/>
      </c>
      <c r="AR5" t="n">
        <v>4</v>
      </c>
      <c r="AS5">
        <f>(AU5/AT5-1)*100</f>
        <v/>
      </c>
      <c r="AT5">
        <f>AT4</f>
        <v/>
      </c>
      <c r="AU5" t="n">
        <v>1.3</v>
      </c>
      <c r="AV5">
        <f>ROUND( 100+AS5,0)</f>
        <v/>
      </c>
      <c r="AW5" s="45" t="n"/>
      <c r="AX5" s="45" t="n">
        <v>4</v>
      </c>
      <c r="AY5" s="45">
        <f>(BA5/$AZ$2-1)*100</f>
        <v/>
      </c>
      <c r="AZ5" s="45" t="n"/>
      <c r="BA5" s="45" t="n">
        <v>2.6</v>
      </c>
      <c r="BB5">
        <f>ROUND( 100+AY5,0)</f>
        <v/>
      </c>
      <c r="BD5" t="n">
        <v>700</v>
      </c>
      <c r="BE5" s="50" t="inlineStr">
        <is>
          <t>10</t>
        </is>
      </c>
      <c r="BF5">
        <f>BD5&amp;"|"&amp;BE5</f>
        <v/>
      </c>
      <c r="BH5" t="n">
        <v>4</v>
      </c>
      <c r="BI5" s="45">
        <f>(BK5/BJ5-1)*100</f>
        <v/>
      </c>
      <c r="BJ5">
        <f>BJ4</f>
        <v/>
      </c>
      <c r="BK5" t="n">
        <v>2.18</v>
      </c>
      <c r="BL5" s="43">
        <f>_xlfn.TEXTJOIN("|",TRUE,BI5,BI5,BI5,BI5,BI5)</f>
        <v/>
      </c>
      <c r="BM5">
        <f>ROUND( 100+BI5,0)</f>
        <v/>
      </c>
      <c r="BN5" s="50">
        <f>BM5/10</f>
        <v/>
      </c>
      <c r="BO5" s="50">
        <f>1.5*BM5/10</f>
        <v/>
      </c>
      <c r="BP5" s="50">
        <f>2*BM5/10</f>
        <v/>
      </c>
      <c r="BQ5" s="50">
        <f>2.5*BM5/10</f>
        <v/>
      </c>
      <c r="BR5" s="50">
        <f>3*BM5/10</f>
        <v/>
      </c>
      <c r="BT5" t="n">
        <v>4</v>
      </c>
      <c r="BU5">
        <f>(BW5/$BV$2-1)*100</f>
        <v/>
      </c>
      <c r="BW5" t="n">
        <v>1.6</v>
      </c>
      <c r="BX5" s="49">
        <f>CA5&amp;"|"&amp;CB5</f>
        <v/>
      </c>
      <c r="BY5">
        <f>ROUND( 100+BU5,0)</f>
        <v/>
      </c>
      <c r="BZ5">
        <f>2*BU5</f>
        <v/>
      </c>
      <c r="CA5" s="50">
        <f>BZ5/3</f>
        <v/>
      </c>
      <c r="CB5" s="50">
        <f>CA5*2</f>
        <v/>
      </c>
      <c r="CD5" t="n">
        <v>4</v>
      </c>
      <c r="CE5" s="50">
        <f>((CG5/$CF$2-1)*100)</f>
        <v/>
      </c>
      <c r="CG5" t="n">
        <v>1.3</v>
      </c>
      <c r="CH5" s="49">
        <f>CE5</f>
        <v/>
      </c>
      <c r="CI5">
        <f>ROUND( 100+CE5,0)</f>
        <v/>
      </c>
      <c r="CK5" t="n">
        <v>4</v>
      </c>
      <c r="CL5">
        <f>(CN5/$CF$2-1)*100</f>
        <v/>
      </c>
      <c r="CN5">
        <f>0.08*CK5+3.92</f>
        <v/>
      </c>
      <c r="CO5" s="49">
        <f>CL5</f>
        <v/>
      </c>
      <c r="CP5" t="n">
        <v>65</v>
      </c>
      <c r="CQ5" t="n">
        <v>96</v>
      </c>
      <c r="CR5">
        <f>CP5&amp;"|"&amp;CQ5</f>
        <v/>
      </c>
      <c r="CT5" s="26" t="n"/>
      <c r="CV5" s="50" t="n">
        <v>15</v>
      </c>
      <c r="CW5" t="n">
        <v>4</v>
      </c>
      <c r="CX5">
        <f>DA5&amp;"|"&amp;DA5&amp;"|"&amp;DA5&amp;"|"&amp;DA5&amp;"|"&amp;DA5</f>
        <v/>
      </c>
      <c r="CY5" t="n">
        <v>0.8</v>
      </c>
      <c r="CZ5">
        <f>CZ4</f>
        <v/>
      </c>
      <c r="DA5">
        <f>(CY5/CZ5-1)*100</f>
        <v/>
      </c>
      <c r="DB5" s="50">
        <f>ROUND( 100+DA5,0)</f>
        <v/>
      </c>
      <c r="DC5" t="n">
        <v>11.8</v>
      </c>
      <c r="DD5">
        <f>_xlfn.TEXTJOIN("|",TRUE,DB5:DC5)</f>
        <v/>
      </c>
      <c r="DF5" t="n">
        <v>4</v>
      </c>
      <c r="DG5" t="n">
        <v>430</v>
      </c>
      <c r="DI5" s="50" t="n">
        <v>-96</v>
      </c>
      <c r="DJ5" s="50" t="n">
        <v>-93</v>
      </c>
      <c r="DK5" s="45" t="n"/>
      <c r="DL5" s="45" t="n">
        <v>4</v>
      </c>
      <c r="DM5">
        <f>(DO5/$DN$2-1)*100</f>
        <v/>
      </c>
      <c r="DN5" s="45" t="n"/>
      <c r="DO5" s="45" t="n">
        <v>1.65</v>
      </c>
      <c r="DP5" s="52" t="n">
        <v>-96</v>
      </c>
      <c r="DQ5" s="50">
        <f>ROUND( 100+DM5,0)</f>
        <v/>
      </c>
      <c r="DR5" s="50">
        <f>ROUND( 100+DP5,0)</f>
        <v/>
      </c>
      <c r="DS5">
        <f>_xlfn.TEXTJOIN("|",TRUE,DQ5:DR5)</f>
        <v/>
      </c>
      <c r="DU5" t="n">
        <v>4</v>
      </c>
      <c r="DV5" s="45">
        <f>(DX5/DW5-1)*100</f>
        <v/>
      </c>
      <c r="DW5">
        <f>DW4</f>
        <v/>
      </c>
      <c r="DX5" t="n">
        <v>1.56</v>
      </c>
      <c r="DZ5">
        <f>ROUND( 100+DV5,0)</f>
        <v/>
      </c>
      <c r="EB5" t="n">
        <v>4</v>
      </c>
      <c r="EC5" s="50">
        <f>(EE5/$ED$2-1)*100</f>
        <v/>
      </c>
      <c r="ED5">
        <f>ED4</f>
        <v/>
      </c>
      <c r="EE5" t="n">
        <v>1.39</v>
      </c>
      <c r="EF5" s="43">
        <f>_xlfn.TEXTJOIN("|",TRUE,EC5,EC5,EC5,EC5,EC5,EC5)</f>
        <v/>
      </c>
      <c r="EG5" s="50">
        <f>ROUND( 100+EC5,0)</f>
        <v/>
      </c>
      <c r="EH5" s="43" t="n"/>
      <c r="EJ5" t="n">
        <v>4</v>
      </c>
      <c r="EK5" s="50">
        <f>(EM5/EL5-1)*100</f>
        <v/>
      </c>
      <c r="EL5">
        <f>EL4</f>
        <v/>
      </c>
      <c r="EM5" t="n">
        <v>1.3</v>
      </c>
      <c r="EN5" s="43">
        <f>EK5&amp;"|"&amp;EK5&amp;"|"&amp;EK5&amp;"|"&amp;EK5&amp;"|"&amp;EK5&amp;"|"&amp;EK5</f>
        <v/>
      </c>
      <c r="EO5" s="50">
        <f>ROUND( 100+EK5,0)</f>
        <v/>
      </c>
      <c r="EP5" s="50" t="n"/>
      <c r="EQ5" s="50" t="n"/>
      <c r="ER5" s="50">
        <f>(ET5/ES5-1)*100</f>
        <v/>
      </c>
      <c r="ES5" s="50">
        <f>ES4</f>
        <v/>
      </c>
      <c r="ET5" t="n">
        <v>1.95</v>
      </c>
      <c r="EU5" s="50" t="n"/>
      <c r="EV5" s="50">
        <f>ROUND( 100+ER5,0)</f>
        <v/>
      </c>
      <c r="EW5" s="50">
        <f>(EX5/EY5-1)*100</f>
        <v/>
      </c>
      <c r="EX5" t="n">
        <v>1.69</v>
      </c>
      <c r="EY5">
        <f>EY4</f>
        <v/>
      </c>
      <c r="EZ5" t="n">
        <v>44.2</v>
      </c>
      <c r="FA5" t="n">
        <v>2.186</v>
      </c>
      <c r="FB5" s="50">
        <f>ROUND( 100+EW5,0)</f>
        <v/>
      </c>
      <c r="FC5">
        <f>EW5&amp;"|"&amp;EZ5&amp;"|"&amp;FA5</f>
        <v/>
      </c>
      <c r="FE5" t="n">
        <v>4</v>
      </c>
      <c r="FF5" s="50">
        <f>(FH5/FG5-1)*100</f>
        <v/>
      </c>
      <c r="FG5">
        <f>FG4</f>
        <v/>
      </c>
      <c r="FH5">
        <f>2*(1+FE4*0.1)</f>
        <v/>
      </c>
      <c r="FJ5" t="n">
        <v>4</v>
      </c>
      <c r="FK5" s="50">
        <f>(FN5/FM5-1)*100</f>
        <v/>
      </c>
      <c r="FL5" s="50">
        <f>FL4</f>
        <v/>
      </c>
      <c r="FM5">
        <f>FM4</f>
        <v/>
      </c>
      <c r="FN5">
        <f>2*(1+FJ4*0.1)</f>
        <v/>
      </c>
      <c r="FP5" t="n">
        <v>4</v>
      </c>
      <c r="FQ5" s="50">
        <f>ROUND((FS5/FR5-1)*100,0)</f>
        <v/>
      </c>
      <c r="FR5">
        <f>FR4</f>
        <v/>
      </c>
      <c r="FS5">
        <f>2*(1+FP4*0.1)</f>
        <v/>
      </c>
      <c r="FT5">
        <f>_xlfn.TEXTJOIN("|",TRUE,FQ5,FQ5,FQ5)</f>
        <v/>
      </c>
    </row>
    <row r="6">
      <c r="G6" t="n">
        <v>5</v>
      </c>
      <c r="H6">
        <f>(J6/I6-1)*100</f>
        <v/>
      </c>
      <c r="I6">
        <f>I5</f>
        <v/>
      </c>
      <c r="J6" t="n">
        <v>1.48</v>
      </c>
      <c r="K6" s="49">
        <f>H6&amp;"|"&amp;H6&amp;"|"&amp;H6&amp;"|"&amp;H6&amp;"|"&amp;H6</f>
        <v/>
      </c>
      <c r="L6">
        <f>ROUND( 100+H6,0)</f>
        <v/>
      </c>
      <c r="M6" s="49" t="n"/>
      <c r="N6" s="49" t="n">
        <v>5</v>
      </c>
      <c r="O6">
        <f>(Q6/P6-1)*100</f>
        <v/>
      </c>
      <c r="P6">
        <f>P5</f>
        <v/>
      </c>
      <c r="Q6" t="n">
        <v>1.64</v>
      </c>
      <c r="R6" s="49">
        <f>O6&amp;"|"&amp;O6&amp;"|"&amp;O6</f>
        <v/>
      </c>
      <c r="S6">
        <f>ROUND( 100+O6,0)</f>
        <v/>
      </c>
      <c r="U6" t="n">
        <v>5</v>
      </c>
      <c r="V6">
        <f>(X6/W6-1)*100</f>
        <v/>
      </c>
      <c r="W6">
        <f>W5</f>
        <v/>
      </c>
      <c r="X6" t="n">
        <v>1.76</v>
      </c>
      <c r="Y6" s="49">
        <f>V6&amp;"|"&amp;V6&amp;"|"&amp;V6&amp;"|"&amp;V6&amp;"|"&amp;V6&amp;"|"&amp;V6&amp;"|"&amp;V6&amp;"|"&amp;V6</f>
        <v/>
      </c>
      <c r="Z6">
        <f>ROUND( 100+V6,0)</f>
        <v/>
      </c>
      <c r="AA6">
        <f>1.38*U6-39.38</f>
        <v/>
      </c>
      <c r="AC6" t="n">
        <v>5</v>
      </c>
      <c r="AD6">
        <f>(AF6/AE6-1)*100</f>
        <v/>
      </c>
      <c r="AE6" t="n">
        <v>1</v>
      </c>
      <c r="AF6" t="n">
        <v>2.11</v>
      </c>
      <c r="AG6" s="49">
        <f>AD6</f>
        <v/>
      </c>
      <c r="AH6">
        <f>ROUND( 100+AD6,0)</f>
        <v/>
      </c>
      <c r="AJ6" t="n">
        <v>5</v>
      </c>
      <c r="AL6" t="n">
        <v>1400</v>
      </c>
      <c r="AM6" t="n">
        <v>4</v>
      </c>
      <c r="AO6">
        <f>_xlfn.TEXTJOIN("|",TRUE,AL6:AM6)</f>
        <v/>
      </c>
      <c r="AR6" t="n">
        <v>5</v>
      </c>
      <c r="AS6">
        <f>(AU6/AT6-1)*100</f>
        <v/>
      </c>
      <c r="AT6">
        <f>AT5</f>
        <v/>
      </c>
      <c r="AU6" t="n">
        <v>1.4</v>
      </c>
      <c r="AV6">
        <f>ROUND( 100+AS6,0)</f>
        <v/>
      </c>
      <c r="AW6" s="45" t="n"/>
      <c r="AX6" s="45" t="n">
        <v>5</v>
      </c>
      <c r="AY6" s="45">
        <f>(BA6/$AZ$2-1)*100</f>
        <v/>
      </c>
      <c r="AZ6" s="45" t="n"/>
      <c r="BA6" s="45" t="n">
        <v>2.8</v>
      </c>
      <c r="BB6">
        <f>ROUND( 100+AY6,0)</f>
        <v/>
      </c>
      <c r="BD6" t="n">
        <v>800</v>
      </c>
      <c r="BE6" s="50" t="inlineStr">
        <is>
          <t>10</t>
        </is>
      </c>
      <c r="BF6">
        <f>BD6&amp;"|"&amp;BE6</f>
        <v/>
      </c>
      <c r="BH6" t="n">
        <v>5</v>
      </c>
      <c r="BI6" s="45">
        <f>(BK6/BJ6-1)*100</f>
        <v/>
      </c>
      <c r="BJ6">
        <f>BJ5</f>
        <v/>
      </c>
      <c r="BK6" t="n">
        <v>2.34</v>
      </c>
      <c r="BL6" s="43">
        <f>_xlfn.TEXTJOIN("|",TRUE,BI6,BI6,BI6,BI6,BI6)</f>
        <v/>
      </c>
      <c r="BM6">
        <f>ROUND( 100+BI6,0)</f>
        <v/>
      </c>
      <c r="BN6" s="50">
        <f>BM6/10</f>
        <v/>
      </c>
      <c r="BO6" s="50">
        <f>1.5*BM6/10</f>
        <v/>
      </c>
      <c r="BP6" s="50">
        <f>2*BM6/10</f>
        <v/>
      </c>
      <c r="BQ6" s="50">
        <f>2.5*BM6/10</f>
        <v/>
      </c>
      <c r="BR6" s="50">
        <f>3*BM6/10</f>
        <v/>
      </c>
      <c r="BT6" t="n">
        <v>5</v>
      </c>
      <c r="BU6">
        <f>(BW6/$BV$2-1)*100</f>
        <v/>
      </c>
      <c r="BW6" t="n">
        <v>1.8</v>
      </c>
      <c r="BX6" s="49">
        <f>CA6&amp;"|"&amp;CB6</f>
        <v/>
      </c>
      <c r="BY6">
        <f>ROUND( 100+BU6,0)</f>
        <v/>
      </c>
      <c r="BZ6">
        <f>2*BU6</f>
        <v/>
      </c>
      <c r="CA6" s="50">
        <f>BZ6/3</f>
        <v/>
      </c>
      <c r="CB6" s="50">
        <f>CA6*2</f>
        <v/>
      </c>
      <c r="CD6" t="n">
        <v>5</v>
      </c>
      <c r="CE6" s="50">
        <f>((CG6/$CF$2-1)*100)</f>
        <v/>
      </c>
      <c r="CG6" t="n">
        <v>1.4</v>
      </c>
      <c r="CH6" s="49">
        <f>CE6</f>
        <v/>
      </c>
      <c r="CI6">
        <f>ROUND( 100+CE6,0)</f>
        <v/>
      </c>
      <c r="CK6" t="n">
        <v>5</v>
      </c>
      <c r="CL6">
        <f>(CN6/$CF$2-1)*100</f>
        <v/>
      </c>
      <c r="CN6">
        <f>0.08*CK6+3.92</f>
        <v/>
      </c>
      <c r="CO6" s="49">
        <f>CL6</f>
        <v/>
      </c>
      <c r="CP6" t="n">
        <v>70</v>
      </c>
      <c r="CQ6" t="n">
        <v>95</v>
      </c>
      <c r="CR6">
        <f>CP6&amp;"|"&amp;CQ6</f>
        <v/>
      </c>
      <c r="CT6" s="26" t="n"/>
      <c r="CV6" s="50" t="n">
        <v>16</v>
      </c>
      <c r="CW6" t="n">
        <v>5</v>
      </c>
      <c r="CX6">
        <f>DA6&amp;"|"&amp;DA6&amp;"|"&amp;DA6&amp;"|"&amp;DA6&amp;"|"&amp;DA6</f>
        <v/>
      </c>
      <c r="CY6" t="n">
        <v>0.9</v>
      </c>
      <c r="CZ6">
        <f>CZ5</f>
        <v/>
      </c>
      <c r="DA6">
        <f>(CY6/CZ6-1)*100</f>
        <v/>
      </c>
      <c r="DB6" s="50">
        <f>ROUND( 100+DA6,0)</f>
        <v/>
      </c>
      <c r="DC6" t="n">
        <v>12.4</v>
      </c>
      <c r="DD6">
        <f>_xlfn.TEXTJOIN("|",TRUE,DB6:DC6)</f>
        <v/>
      </c>
      <c r="DF6" t="n">
        <v>5</v>
      </c>
      <c r="DG6" t="n">
        <v>440</v>
      </c>
      <c r="DI6" s="50" t="n">
        <v>-95</v>
      </c>
      <c r="DJ6" s="50" t="n">
        <v>-93</v>
      </c>
      <c r="DK6" s="45" t="n"/>
      <c r="DL6" s="45" t="n">
        <v>5</v>
      </c>
      <c r="DM6">
        <f>(DO6/$DN$2-1)*100</f>
        <v/>
      </c>
      <c r="DN6" s="45" t="n"/>
      <c r="DO6" s="45" t="n">
        <v>1.8</v>
      </c>
      <c r="DP6" s="52" t="n">
        <v>-95</v>
      </c>
      <c r="DQ6" s="50">
        <f>ROUND( 100+DM6,0)</f>
        <v/>
      </c>
      <c r="DR6" s="50">
        <f>ROUND( 100+DP6,0)</f>
        <v/>
      </c>
      <c r="DS6">
        <f>_xlfn.TEXTJOIN("|",TRUE,DQ6:DR6)</f>
        <v/>
      </c>
      <c r="DU6" t="n">
        <v>5</v>
      </c>
      <c r="DV6" s="45">
        <f>(DX6/DW6-1)*100</f>
        <v/>
      </c>
      <c r="DW6">
        <f>DW5</f>
        <v/>
      </c>
      <c r="DX6" t="n">
        <v>1.68</v>
      </c>
      <c r="DZ6">
        <f>ROUND( 100+DV6,0)</f>
        <v/>
      </c>
      <c r="EB6" t="n">
        <v>5</v>
      </c>
      <c r="EC6" s="50">
        <f>(EE6/$ED$2-1)*100</f>
        <v/>
      </c>
      <c r="ED6">
        <f>ED5</f>
        <v/>
      </c>
      <c r="EE6" t="n">
        <v>1.52</v>
      </c>
      <c r="EF6" s="43">
        <f>_xlfn.TEXTJOIN("|",TRUE,EC6,EC6,EC6,EC6,EC6,EC6)</f>
        <v/>
      </c>
      <c r="EG6" s="50">
        <f>ROUND( 100+EC6,0)</f>
        <v/>
      </c>
      <c r="EH6" s="43" t="n"/>
      <c r="EJ6" t="n">
        <v>5</v>
      </c>
      <c r="EK6" s="50">
        <f>(EM6/EL6-1)*100</f>
        <v/>
      </c>
      <c r="EL6">
        <f>EL5</f>
        <v/>
      </c>
      <c r="EM6" t="n">
        <v>1.4</v>
      </c>
      <c r="EN6" s="43">
        <f>EK6&amp;"|"&amp;EK6&amp;"|"&amp;EK6&amp;"|"&amp;EK6&amp;"|"&amp;EK6&amp;"|"&amp;EK6</f>
        <v/>
      </c>
      <c r="EO6" s="50">
        <f>ROUND( 100+EK6,0)</f>
        <v/>
      </c>
      <c r="EP6" s="50" t="n"/>
      <c r="EQ6" s="50" t="n"/>
      <c r="ER6" s="50">
        <f>(ET6/ES6-1)*100</f>
        <v/>
      </c>
      <c r="ES6" s="50">
        <f>ES5</f>
        <v/>
      </c>
      <c r="ET6" t="n">
        <v>2.1</v>
      </c>
      <c r="EU6" s="50" t="n"/>
      <c r="EV6" s="50">
        <f>ROUND( 100+ER6,0)</f>
        <v/>
      </c>
      <c r="EW6" s="50">
        <f>(EX6/EY6-1)*100</f>
        <v/>
      </c>
      <c r="EX6" t="n">
        <v>1.82</v>
      </c>
      <c r="EY6">
        <f>EY5</f>
        <v/>
      </c>
      <c r="EZ6" t="n">
        <v>47.6</v>
      </c>
      <c r="FA6" t="n">
        <v>2.248</v>
      </c>
      <c r="FB6" s="50">
        <f>ROUND( 100+EW6,0)</f>
        <v/>
      </c>
      <c r="FC6">
        <f>EW6&amp;"|"&amp;EZ6&amp;"|"&amp;FA6</f>
        <v/>
      </c>
      <c r="FE6" t="n">
        <v>5</v>
      </c>
      <c r="FF6" s="50">
        <f>(FH6/FG6-1)*100</f>
        <v/>
      </c>
      <c r="FG6">
        <f>FG5</f>
        <v/>
      </c>
      <c r="FH6">
        <f>2*(1+FE5*0.1)</f>
        <v/>
      </c>
      <c r="FJ6" t="n">
        <v>5</v>
      </c>
      <c r="FK6" s="50">
        <f>(FN6/FM6-1)*100</f>
        <v/>
      </c>
      <c r="FL6" s="50">
        <f>FL5</f>
        <v/>
      </c>
      <c r="FM6">
        <f>FM5</f>
        <v/>
      </c>
      <c r="FN6">
        <f>2*(1+FJ5*0.1)</f>
        <v/>
      </c>
      <c r="FP6" t="n">
        <v>5</v>
      </c>
      <c r="FQ6" s="50">
        <f>ROUND((FS6/FR6-1)*100,0)</f>
        <v/>
      </c>
      <c r="FR6">
        <f>FR5</f>
        <v/>
      </c>
      <c r="FS6">
        <f>2*(1+FP5*0.1)</f>
        <v/>
      </c>
      <c r="FT6">
        <f>_xlfn.TEXTJOIN("|",TRUE,FQ6,FQ6,FQ6)</f>
        <v/>
      </c>
    </row>
    <row r="7">
      <c r="G7" t="n">
        <v>6</v>
      </c>
      <c r="H7">
        <f>(J7/I7-1)*100</f>
        <v/>
      </c>
      <c r="I7">
        <f>I6</f>
        <v/>
      </c>
      <c r="J7" t="n">
        <v>1.6</v>
      </c>
      <c r="K7" s="49">
        <f>H7&amp;"|"&amp;H7&amp;"|"&amp;H7&amp;"|"&amp;H7&amp;"|"&amp;H7</f>
        <v/>
      </c>
      <c r="L7">
        <f>ROUND( 100+H7,0)</f>
        <v/>
      </c>
      <c r="M7" s="49" t="n"/>
      <c r="N7" s="49" t="n">
        <v>6</v>
      </c>
      <c r="O7">
        <f>(Q7/P7-1)*100</f>
        <v/>
      </c>
      <c r="P7">
        <f>P6</f>
        <v/>
      </c>
      <c r="Q7" t="n">
        <v>1.75</v>
      </c>
      <c r="R7" s="49">
        <f>O7&amp;"|"&amp;O7&amp;"|"&amp;O7</f>
        <v/>
      </c>
      <c r="S7">
        <f>ROUND( 100+O7,0)</f>
        <v/>
      </c>
      <c r="U7" t="n">
        <v>6</v>
      </c>
      <c r="V7">
        <f>(X7/W7-1)*100</f>
        <v/>
      </c>
      <c r="W7">
        <f>W6</f>
        <v/>
      </c>
      <c r="X7" t="n">
        <v>1.95</v>
      </c>
      <c r="Y7" s="49">
        <f>V7&amp;"|"&amp;V7&amp;"|"&amp;V7&amp;"|"&amp;V7&amp;"|"&amp;V7&amp;"|"&amp;V7&amp;"|"&amp;V7&amp;"|"&amp;V7</f>
        <v/>
      </c>
      <c r="Z7">
        <f>ROUND( 100+V7,0)</f>
        <v/>
      </c>
      <c r="AA7">
        <f>1.38*U7-39.38</f>
        <v/>
      </c>
      <c r="AC7" t="n">
        <v>6</v>
      </c>
      <c r="AD7">
        <f>(AF7/AE7-1)*100</f>
        <v/>
      </c>
      <c r="AE7" t="n">
        <v>1</v>
      </c>
      <c r="AF7" t="n">
        <v>2.25</v>
      </c>
      <c r="AG7" s="49">
        <f>AD7</f>
        <v/>
      </c>
      <c r="AH7">
        <f>ROUND( 100+AD7,0)</f>
        <v/>
      </c>
      <c r="AJ7" t="n">
        <v>6</v>
      </c>
      <c r="AL7" t="n">
        <v>1500</v>
      </c>
      <c r="AM7" t="n">
        <v>4.5</v>
      </c>
      <c r="AO7">
        <f>_xlfn.TEXTJOIN("|",TRUE,AL7:AM7)</f>
        <v/>
      </c>
      <c r="AR7" t="n">
        <v>6</v>
      </c>
      <c r="AS7">
        <f>(AU7/AT7-1)*100</f>
        <v/>
      </c>
      <c r="AT7">
        <f>AT6</f>
        <v/>
      </c>
      <c r="AU7" t="n">
        <v>1.5</v>
      </c>
      <c r="AV7">
        <f>ROUND( 100+AS7,0)</f>
        <v/>
      </c>
      <c r="AW7" s="45" t="n"/>
      <c r="AX7" s="45" t="n">
        <v>6</v>
      </c>
      <c r="AY7" s="45">
        <f>(BA7/$AZ$2-1)*100</f>
        <v/>
      </c>
      <c r="AZ7" s="45" t="n"/>
      <c r="BA7" s="45" t="n">
        <v>3</v>
      </c>
      <c r="BB7">
        <f>ROUND( 100+AY7,0)</f>
        <v/>
      </c>
      <c r="BD7" t="n">
        <v>900</v>
      </c>
      <c r="BE7" s="50" t="inlineStr">
        <is>
          <t>11</t>
        </is>
      </c>
      <c r="BF7">
        <f>BD7&amp;"|"&amp;BE7</f>
        <v/>
      </c>
      <c r="BH7" t="n">
        <v>6</v>
      </c>
      <c r="BI7" s="45">
        <f>(BK7/BJ7-1)*100</f>
        <v/>
      </c>
      <c r="BJ7">
        <f>BJ6</f>
        <v/>
      </c>
      <c r="BK7" t="n">
        <v>2.5</v>
      </c>
      <c r="BL7" s="43">
        <f>_xlfn.TEXTJOIN("|",TRUE,BI7,BI7,BI7,BI7,BI7)</f>
        <v/>
      </c>
      <c r="BM7">
        <f>ROUND( 100+BI7,0)</f>
        <v/>
      </c>
      <c r="BN7" s="50">
        <f>BM7/10</f>
        <v/>
      </c>
      <c r="BO7" s="50">
        <f>1.5*BM7/10</f>
        <v/>
      </c>
      <c r="BP7" s="50">
        <f>2*BM7/10</f>
        <v/>
      </c>
      <c r="BQ7" s="50">
        <f>2.5*BM7/10</f>
        <v/>
      </c>
      <c r="BR7" s="50">
        <f>3*BM7/10</f>
        <v/>
      </c>
      <c r="BT7" t="n">
        <v>6</v>
      </c>
      <c r="BU7">
        <f>(BW7/$BV$2-1)*100</f>
        <v/>
      </c>
      <c r="BW7" t="n">
        <v>2</v>
      </c>
      <c r="BX7" s="49">
        <f>CA7&amp;"|"&amp;CB7</f>
        <v/>
      </c>
      <c r="BY7">
        <f>ROUND( 100+BU7,0)</f>
        <v/>
      </c>
      <c r="BZ7">
        <f>2*BU7</f>
        <v/>
      </c>
      <c r="CA7" s="50">
        <f>BZ7/3</f>
        <v/>
      </c>
      <c r="CB7" s="50">
        <f>CA7*2</f>
        <v/>
      </c>
      <c r="CD7" t="n">
        <v>6</v>
      </c>
      <c r="CE7" s="50">
        <f>((CG7/$CF$2-1)*100)</f>
        <v/>
      </c>
      <c r="CG7" t="n">
        <v>1.5</v>
      </c>
      <c r="CH7" s="49">
        <f>CE7</f>
        <v/>
      </c>
      <c r="CI7">
        <f>ROUND( 100+CE7,0)</f>
        <v/>
      </c>
      <c r="CK7" t="n">
        <v>6</v>
      </c>
      <c r="CL7">
        <f>(CN7/$CF$2-1)*100</f>
        <v/>
      </c>
      <c r="CN7">
        <f>0.08*CK7+3.92</f>
        <v/>
      </c>
      <c r="CO7" s="49">
        <f>CL7</f>
        <v/>
      </c>
      <c r="CP7" t="n">
        <v>75</v>
      </c>
      <c r="CQ7" t="n">
        <v>94</v>
      </c>
      <c r="CR7">
        <f>CP7&amp;"|"&amp;CQ7</f>
        <v/>
      </c>
      <c r="CT7" s="26" t="n"/>
      <c r="CV7" s="50" t="n">
        <v>18</v>
      </c>
      <c r="CW7" t="n">
        <v>6</v>
      </c>
      <c r="CX7">
        <f>DA7&amp;"|"&amp;DA7&amp;"|"&amp;DA7&amp;"|"&amp;DA7&amp;"|"&amp;DA7</f>
        <v/>
      </c>
      <c r="CY7" t="n">
        <v>1</v>
      </c>
      <c r="CZ7">
        <f>CZ6</f>
        <v/>
      </c>
      <c r="DA7">
        <f>(CY7/CZ7-1)*100</f>
        <v/>
      </c>
      <c r="DB7" s="50">
        <f>ROUND( 100+DA7,0)</f>
        <v/>
      </c>
      <c r="DC7" t="n">
        <v>13</v>
      </c>
      <c r="DD7">
        <f>_xlfn.TEXTJOIN("|",TRUE,DB7:DC7)</f>
        <v/>
      </c>
      <c r="DF7" t="n">
        <v>6</v>
      </c>
      <c r="DG7" t="n">
        <v>450</v>
      </c>
      <c r="DI7" s="50" t="n">
        <v>-95</v>
      </c>
      <c r="DJ7" s="50" t="n">
        <v>-93</v>
      </c>
      <c r="DK7" s="45" t="n"/>
      <c r="DL7" s="45" t="n">
        <v>6</v>
      </c>
      <c r="DM7">
        <f>(DO7/$DN$2-1)*100</f>
        <v/>
      </c>
      <c r="DN7" s="45" t="n"/>
      <c r="DO7" s="45" t="n">
        <v>1.95</v>
      </c>
      <c r="DP7" s="52" t="n">
        <v>-94</v>
      </c>
      <c r="DQ7" s="50">
        <f>ROUND( 100+DM7,0)</f>
        <v/>
      </c>
      <c r="DR7" s="50">
        <f>ROUND( 100+DP7,0)</f>
        <v/>
      </c>
      <c r="DS7">
        <f>_xlfn.TEXTJOIN("|",TRUE,DQ7:DR7)</f>
        <v/>
      </c>
      <c r="DU7" t="n">
        <v>6</v>
      </c>
      <c r="DV7" s="45">
        <f>(DX7/DW7-1)*100</f>
        <v/>
      </c>
      <c r="DW7">
        <f>DW6</f>
        <v/>
      </c>
      <c r="DX7" t="n">
        <v>1.8</v>
      </c>
      <c r="DZ7">
        <f>ROUND( 100+DV7,0)</f>
        <v/>
      </c>
      <c r="EB7" t="n">
        <v>6</v>
      </c>
      <c r="EC7" s="50">
        <f>(EE7/$ED$2-1)*100</f>
        <v/>
      </c>
      <c r="ED7">
        <f>ED6</f>
        <v/>
      </c>
      <c r="EE7" t="n">
        <v>1.65</v>
      </c>
      <c r="EF7" s="43">
        <f>_xlfn.TEXTJOIN("|",TRUE,EC7,EC7,EC7,EC7,EC7,EC7)</f>
        <v/>
      </c>
      <c r="EG7" s="50">
        <f>ROUND( 100+EC7,0)</f>
        <v/>
      </c>
      <c r="EH7" s="43" t="n"/>
      <c r="EJ7" t="n">
        <v>6</v>
      </c>
      <c r="EK7" s="50">
        <f>(EM7/EL7-1)*100</f>
        <v/>
      </c>
      <c r="EL7">
        <f>EL6</f>
        <v/>
      </c>
      <c r="EM7" t="n">
        <v>1.5</v>
      </c>
      <c r="EN7" s="43">
        <f>EK7&amp;"|"&amp;EK7&amp;"|"&amp;EK7&amp;"|"&amp;EK7&amp;"|"&amp;EK7&amp;"|"&amp;EK7</f>
        <v/>
      </c>
      <c r="EO7" s="50">
        <f>ROUND( 100+EK7,0)</f>
        <v/>
      </c>
      <c r="EP7" s="50" t="n"/>
      <c r="EQ7" s="50" t="n"/>
      <c r="ER7" s="50">
        <f>(ET7/ES7-1)*100</f>
        <v/>
      </c>
      <c r="ES7" s="50">
        <f>ES6</f>
        <v/>
      </c>
      <c r="ET7" t="n">
        <v>2.25</v>
      </c>
      <c r="EU7" s="50" t="n"/>
      <c r="EV7" s="50">
        <f>ROUND( 100+ER7,0)</f>
        <v/>
      </c>
      <c r="EW7" s="50">
        <f>(EX7/EY7-1)*100</f>
        <v/>
      </c>
      <c r="EX7" t="n">
        <v>1.95</v>
      </c>
      <c r="EY7">
        <f>EY6</f>
        <v/>
      </c>
      <c r="EZ7" t="n">
        <v>51</v>
      </c>
      <c r="FA7" t="n">
        <v>2.31</v>
      </c>
      <c r="FB7" s="50">
        <f>ROUND( 100+EW7,0)</f>
        <v/>
      </c>
      <c r="FC7">
        <f>EW7&amp;"|"&amp;EZ7&amp;"|"&amp;FA7</f>
        <v/>
      </c>
      <c r="FE7" t="n">
        <v>6</v>
      </c>
      <c r="FF7" s="50">
        <f>(FH7/FG7-1)*100</f>
        <v/>
      </c>
      <c r="FG7">
        <f>FG6</f>
        <v/>
      </c>
      <c r="FH7">
        <f>2*(1+FE6*0.1)</f>
        <v/>
      </c>
      <c r="FJ7" t="n">
        <v>6</v>
      </c>
      <c r="FK7" s="50">
        <f>(FN7/FM7-1)*100</f>
        <v/>
      </c>
      <c r="FL7" s="50">
        <f>FL6</f>
        <v/>
      </c>
      <c r="FM7">
        <f>FM6</f>
        <v/>
      </c>
      <c r="FN7">
        <f>2*(1+FJ6*0.1)</f>
        <v/>
      </c>
      <c r="FP7" t="n">
        <v>6</v>
      </c>
      <c r="FQ7" s="50">
        <f>ROUND((FS7/FR7-1)*100,0)</f>
        <v/>
      </c>
      <c r="FR7">
        <f>FR6</f>
        <v/>
      </c>
      <c r="FS7">
        <f>2*(1+FP6*0.1)</f>
        <v/>
      </c>
      <c r="FT7">
        <f>_xlfn.TEXTJOIN("|",TRUE,FQ7,FQ7,FQ7)</f>
        <v/>
      </c>
    </row>
    <row r="8">
      <c r="G8" t="n">
        <v>7</v>
      </c>
      <c r="H8">
        <f>(J8/I8-1)*100</f>
        <v/>
      </c>
      <c r="I8">
        <f>I7</f>
        <v/>
      </c>
      <c r="J8" t="n">
        <v>1.72</v>
      </c>
      <c r="K8" s="49">
        <f>H8&amp;"|"&amp;H8&amp;"|"&amp;H8&amp;"|"&amp;H8&amp;"|"&amp;H8</f>
        <v/>
      </c>
      <c r="L8">
        <f>ROUND( 100+H8,0)</f>
        <v/>
      </c>
      <c r="M8" s="49" t="n"/>
      <c r="N8" s="49" t="n">
        <v>7</v>
      </c>
      <c r="O8">
        <f>(Q8/P8-1)*100</f>
        <v/>
      </c>
      <c r="P8">
        <f>P7</f>
        <v/>
      </c>
      <c r="Q8" t="n">
        <v>1.86</v>
      </c>
      <c r="R8" s="49">
        <f>O8&amp;"|"&amp;O8&amp;"|"&amp;O8</f>
        <v/>
      </c>
      <c r="S8">
        <f>ROUND( 100+O8,0)</f>
        <v/>
      </c>
      <c r="U8" t="n">
        <v>7</v>
      </c>
      <c r="V8">
        <f>(X8/W8-1)*100</f>
        <v/>
      </c>
      <c r="W8">
        <f>W7</f>
        <v/>
      </c>
      <c r="X8" t="n">
        <v>2.14</v>
      </c>
      <c r="Y8" s="49">
        <f>V8&amp;"|"&amp;V8&amp;"|"&amp;V8&amp;"|"&amp;V8&amp;"|"&amp;V8&amp;"|"&amp;V8&amp;"|"&amp;V8&amp;"|"&amp;V8</f>
        <v/>
      </c>
      <c r="Z8">
        <f>ROUND( 100+V8,0)</f>
        <v/>
      </c>
      <c r="AA8">
        <f>1.38*U8-39.38</f>
        <v/>
      </c>
      <c r="AC8" t="n">
        <v>7</v>
      </c>
      <c r="AD8">
        <f>(AF8/AE8-1)*100</f>
        <v/>
      </c>
      <c r="AE8" t="n">
        <v>1</v>
      </c>
      <c r="AF8" t="n">
        <v>2.39</v>
      </c>
      <c r="AH8">
        <f>ROUND( 100+AD8,0)</f>
        <v/>
      </c>
      <c r="AJ8" t="n">
        <v>7</v>
      </c>
      <c r="AL8" t="n">
        <v>1600</v>
      </c>
      <c r="AM8" t="n">
        <v>5</v>
      </c>
      <c r="AO8">
        <f>_xlfn.TEXTJOIN("|",TRUE,AL8:AM8)</f>
        <v/>
      </c>
      <c r="AR8" t="n">
        <v>7</v>
      </c>
      <c r="AS8">
        <f>(AU8/AT8-1)*100</f>
        <v/>
      </c>
      <c r="AT8">
        <f>AT7</f>
        <v/>
      </c>
      <c r="AU8" t="n">
        <v>1.6</v>
      </c>
      <c r="AV8">
        <f>ROUND( 100+AS8,0)</f>
        <v/>
      </c>
      <c r="AW8" s="45" t="n"/>
      <c r="AX8" s="45" t="n">
        <v>7</v>
      </c>
      <c r="AY8" s="45">
        <f>(BA8/$AZ$2-1)*100</f>
        <v/>
      </c>
      <c r="AZ8" s="45" t="n"/>
      <c r="BA8" s="45" t="n">
        <v>3.2</v>
      </c>
      <c r="BB8">
        <f>ROUND( 100+AY8,0)</f>
        <v/>
      </c>
      <c r="BD8" t="n">
        <v>1000</v>
      </c>
      <c r="BE8" s="50" t="inlineStr">
        <is>
          <t>11</t>
        </is>
      </c>
      <c r="BF8">
        <f>BD8&amp;"|"&amp;BE8</f>
        <v/>
      </c>
      <c r="BH8" t="n">
        <v>7</v>
      </c>
      <c r="BI8" s="45">
        <f>(BK8/BJ8-1)*100</f>
        <v/>
      </c>
      <c r="BJ8">
        <f>BJ7</f>
        <v/>
      </c>
      <c r="BK8" t="n">
        <v>2.66</v>
      </c>
      <c r="BL8" s="43">
        <f>_xlfn.TEXTJOIN("|",TRUE,BI8,BI8,BI8,BI8,BI8)</f>
        <v/>
      </c>
      <c r="BM8">
        <f>ROUND( 100+BI8,0)</f>
        <v/>
      </c>
      <c r="BN8" s="50">
        <f>BM8/10</f>
        <v/>
      </c>
      <c r="BO8" s="50">
        <f>1.5*BM8/10</f>
        <v/>
      </c>
      <c r="BP8" s="50">
        <f>2*BM8/10</f>
        <v/>
      </c>
      <c r="BQ8" s="50">
        <f>2.5*BM8/10</f>
        <v/>
      </c>
      <c r="BR8" s="50">
        <f>3*BM8/10</f>
        <v/>
      </c>
      <c r="BT8" t="n">
        <v>7</v>
      </c>
      <c r="BU8">
        <f>(BW8/$BV$2-1)*100</f>
        <v/>
      </c>
      <c r="BW8" t="n">
        <v>2.2</v>
      </c>
      <c r="BX8" s="49">
        <f>CA8&amp;"|"&amp;CB8</f>
        <v/>
      </c>
      <c r="BY8">
        <f>ROUND( 100+BU8,0)</f>
        <v/>
      </c>
      <c r="BZ8">
        <f>2*BU8</f>
        <v/>
      </c>
      <c r="CA8" s="50">
        <f>BZ8/3</f>
        <v/>
      </c>
      <c r="CB8" s="50">
        <f>CA8*2</f>
        <v/>
      </c>
      <c r="CD8" t="n">
        <v>7</v>
      </c>
      <c r="CE8" s="50">
        <f>((CG8/$CF$2-1)*100)</f>
        <v/>
      </c>
      <c r="CG8" t="n">
        <v>1.6</v>
      </c>
      <c r="CH8" s="49">
        <f>CE8</f>
        <v/>
      </c>
      <c r="CI8">
        <f>ROUND( 100+CE8,0)</f>
        <v/>
      </c>
      <c r="CK8" t="n">
        <v>7</v>
      </c>
      <c r="CL8">
        <f>(CN8/$CF$2-1)*100</f>
        <v/>
      </c>
      <c r="CN8">
        <f>0.08*CK8+3.92</f>
        <v/>
      </c>
      <c r="CO8" s="49">
        <f>CL8</f>
        <v/>
      </c>
      <c r="CP8" t="n">
        <v>80</v>
      </c>
      <c r="CQ8" t="n">
        <v>93</v>
      </c>
      <c r="CR8">
        <f>CP8&amp;"|"&amp;CQ8</f>
        <v/>
      </c>
      <c r="CT8" s="26" t="n"/>
      <c r="CV8" s="50" t="n">
        <v>19</v>
      </c>
      <c r="CW8" t="n">
        <v>7</v>
      </c>
      <c r="CX8">
        <f>DA8&amp;"|"&amp;DA8&amp;"|"&amp;DA8&amp;"|"&amp;DA8&amp;"|"&amp;DA8</f>
        <v/>
      </c>
      <c r="CY8" t="n">
        <v>1.1</v>
      </c>
      <c r="CZ8">
        <f>CZ7</f>
        <v/>
      </c>
      <c r="DA8">
        <f>(CY8/CZ8-1)*100</f>
        <v/>
      </c>
      <c r="DB8" s="50">
        <f>ROUND( 100+DA8,0)</f>
        <v/>
      </c>
      <c r="DC8" t="n">
        <v>13.6</v>
      </c>
      <c r="DD8">
        <f>_xlfn.TEXTJOIN("|",TRUE,DB8:DC8)</f>
        <v/>
      </c>
      <c r="DF8" t="n">
        <v>7</v>
      </c>
      <c r="DG8" t="n">
        <v>460</v>
      </c>
      <c r="DI8" s="50" t="n">
        <v>-93</v>
      </c>
      <c r="DJ8" s="50" t="n">
        <v>-90</v>
      </c>
      <c r="DK8" s="45" t="n"/>
      <c r="DL8" s="45" t="n">
        <v>7</v>
      </c>
      <c r="DM8">
        <f>(DO8/$DN$2-1)*100</f>
        <v/>
      </c>
      <c r="DN8" s="45" t="n"/>
      <c r="DO8" s="45" t="n">
        <v>2.1</v>
      </c>
      <c r="DP8" s="52" t="n">
        <v>-93</v>
      </c>
      <c r="DQ8" s="50">
        <f>ROUND( 100+DM8,0)</f>
        <v/>
      </c>
      <c r="DR8" s="50">
        <f>ROUND( 100+DP8,0)</f>
        <v/>
      </c>
      <c r="DS8">
        <f>_xlfn.TEXTJOIN("|",TRUE,DQ8:DR8)</f>
        <v/>
      </c>
      <c r="DU8" t="n">
        <v>7</v>
      </c>
      <c r="DV8" s="45">
        <f>(DX8/DW8-1)*100</f>
        <v/>
      </c>
      <c r="DW8">
        <f>DW7</f>
        <v/>
      </c>
      <c r="DX8" t="n">
        <v>1.92</v>
      </c>
      <c r="DZ8">
        <f>ROUND( 100+DV8,0)</f>
        <v/>
      </c>
      <c r="EB8" t="n">
        <v>7</v>
      </c>
      <c r="EC8" s="50">
        <f>(EE8/$ED$2-1)*100</f>
        <v/>
      </c>
      <c r="ED8">
        <f>ED7</f>
        <v/>
      </c>
      <c r="EE8" t="n">
        <v>1.78</v>
      </c>
      <c r="EF8" s="43">
        <f>_xlfn.TEXTJOIN("|",TRUE,EC8,EC8,EC8,EC8,EC8,EC8)</f>
        <v/>
      </c>
      <c r="EG8" s="50">
        <f>ROUND( 100+EC8,0)</f>
        <v/>
      </c>
      <c r="EH8" s="43" t="n"/>
      <c r="EJ8" t="n">
        <v>7</v>
      </c>
      <c r="EK8" s="50">
        <f>(EM8/EL8-1)*100</f>
        <v/>
      </c>
      <c r="EL8">
        <f>EL7</f>
        <v/>
      </c>
      <c r="EM8" t="n">
        <v>1.6</v>
      </c>
      <c r="EN8" s="43">
        <f>EK8&amp;"|"&amp;EK8&amp;"|"&amp;EK8&amp;"|"&amp;EK8&amp;"|"&amp;EK8&amp;"|"&amp;EK8</f>
        <v/>
      </c>
      <c r="EO8" s="50">
        <f>ROUND( 100+EK8,0)</f>
        <v/>
      </c>
      <c r="EP8" s="50" t="n"/>
      <c r="EQ8" s="50" t="n"/>
      <c r="ER8" s="50">
        <f>(ET8/ES8-1)*100</f>
        <v/>
      </c>
      <c r="ES8" s="50">
        <f>ES7</f>
        <v/>
      </c>
      <c r="ET8" t="n">
        <v>2.4</v>
      </c>
      <c r="EU8" s="50" t="n"/>
      <c r="EV8" s="50">
        <f>ROUND( 100+ER8,0)</f>
        <v/>
      </c>
      <c r="EW8" s="50">
        <f>(EX8/EY8-1)*100</f>
        <v/>
      </c>
      <c r="EX8" t="n">
        <v>2.08</v>
      </c>
      <c r="EY8">
        <f>EY7</f>
        <v/>
      </c>
      <c r="EZ8" t="n">
        <v>54.4</v>
      </c>
      <c r="FA8" t="n">
        <v>2.372</v>
      </c>
      <c r="FB8" s="50">
        <f>ROUND( 100+EW8,0)</f>
        <v/>
      </c>
      <c r="FC8">
        <f>EW8&amp;"|"&amp;EZ8&amp;"|"&amp;FA8</f>
        <v/>
      </c>
      <c r="FE8" t="n">
        <v>7</v>
      </c>
      <c r="FF8" s="50">
        <f>(FH8/FG8-1)*100</f>
        <v/>
      </c>
      <c r="FG8">
        <f>FG7</f>
        <v/>
      </c>
      <c r="FH8">
        <f>2*(1+FE7*0.1)</f>
        <v/>
      </c>
      <c r="FJ8" t="n">
        <v>7</v>
      </c>
      <c r="FK8" s="50">
        <f>(FN8/FM8-1)*100</f>
        <v/>
      </c>
      <c r="FL8" s="50">
        <f>FL7</f>
        <v/>
      </c>
      <c r="FM8">
        <f>FM7</f>
        <v/>
      </c>
      <c r="FN8">
        <f>2*(1+FJ7*0.1)</f>
        <v/>
      </c>
      <c r="FP8" t="n">
        <v>7</v>
      </c>
      <c r="FQ8" s="50">
        <f>ROUND((FS8/FR8-1)*100,0)</f>
        <v/>
      </c>
      <c r="FR8">
        <f>FR7</f>
        <v/>
      </c>
      <c r="FS8">
        <f>2*(1+FP7*0.1)</f>
        <v/>
      </c>
      <c r="FT8">
        <f>_xlfn.TEXTJOIN("|",TRUE,FQ8,FQ8,FQ8)</f>
        <v/>
      </c>
    </row>
    <row r="9">
      <c r="G9" t="n">
        <v>8</v>
      </c>
      <c r="H9">
        <f>(J9/I9-1)*100</f>
        <v/>
      </c>
      <c r="I9">
        <f>I8</f>
        <v/>
      </c>
      <c r="J9" t="n">
        <v>1.84</v>
      </c>
      <c r="K9" s="49">
        <f>H9&amp;"|"&amp;H9&amp;"|"&amp;H9&amp;"|"&amp;H9&amp;"|"&amp;H9</f>
        <v/>
      </c>
      <c r="L9">
        <f>ROUND( 100+H9,0)</f>
        <v/>
      </c>
      <c r="M9" s="49" t="n"/>
      <c r="N9" s="49" t="n">
        <v>8</v>
      </c>
      <c r="O9">
        <f>(Q9/P9-1)*100</f>
        <v/>
      </c>
      <c r="P9">
        <f>P8</f>
        <v/>
      </c>
      <c r="Q9" t="n">
        <v>1.97</v>
      </c>
      <c r="R9" s="49">
        <f>O9&amp;"|"&amp;O9&amp;"|"&amp;O9</f>
        <v/>
      </c>
      <c r="S9">
        <f>ROUND( 100+O9,0)</f>
        <v/>
      </c>
      <c r="U9" t="n">
        <v>8</v>
      </c>
      <c r="V9">
        <f>(X9/W9-1)*100</f>
        <v/>
      </c>
      <c r="W9">
        <f>W8</f>
        <v/>
      </c>
      <c r="X9" t="n">
        <v>2.33</v>
      </c>
      <c r="Y9" s="49">
        <f>V9&amp;"|"&amp;V9&amp;"|"&amp;V9&amp;"|"&amp;V9&amp;"|"&amp;V9&amp;"|"&amp;V9&amp;"|"&amp;V9&amp;"|"&amp;V9</f>
        <v/>
      </c>
      <c r="Z9">
        <f>ROUND( 100+V9,0)</f>
        <v/>
      </c>
      <c r="AA9">
        <f>1.38*U9-39.38</f>
        <v/>
      </c>
      <c r="AC9" t="n">
        <v>8</v>
      </c>
      <c r="AD9">
        <f>(AF9/AE9-1)*100</f>
        <v/>
      </c>
      <c r="AE9" t="n">
        <v>1</v>
      </c>
      <c r="AF9" t="n">
        <v>2.53</v>
      </c>
      <c r="AH9">
        <f>ROUND( 100+AD9,0)</f>
        <v/>
      </c>
      <c r="AJ9" t="n">
        <v>8</v>
      </c>
      <c r="AL9" t="n">
        <v>1700</v>
      </c>
      <c r="AM9" t="n">
        <v>5.5</v>
      </c>
      <c r="AO9">
        <f>_xlfn.TEXTJOIN("|",TRUE,AL9:AM9)</f>
        <v/>
      </c>
      <c r="AR9" t="n">
        <v>8</v>
      </c>
      <c r="AS9">
        <f>(AU9/AT9-1)*100</f>
        <v/>
      </c>
      <c r="AT9">
        <f>AT8</f>
        <v/>
      </c>
      <c r="AU9" t="n">
        <v>1.7</v>
      </c>
      <c r="AV9">
        <f>ROUND( 100+AS9,0)</f>
        <v/>
      </c>
      <c r="AW9" s="45" t="n"/>
      <c r="AX9" s="45" t="n">
        <v>8</v>
      </c>
      <c r="AY9" s="45">
        <f>(BA9/$AZ$2-1)*100</f>
        <v/>
      </c>
      <c r="AZ9" s="45" t="n"/>
      <c r="BA9" s="45" t="n">
        <v>3.4</v>
      </c>
      <c r="BB9">
        <f>ROUND( 100+AY9,0)</f>
        <v/>
      </c>
      <c r="BD9" t="n">
        <v>1100</v>
      </c>
      <c r="BE9" s="50" t="inlineStr">
        <is>
          <t>11</t>
        </is>
      </c>
      <c r="BF9">
        <f>BD9&amp;"|"&amp;BE9</f>
        <v/>
      </c>
      <c r="BH9" t="n">
        <v>8</v>
      </c>
      <c r="BI9" s="45">
        <f>(BK9/BJ9-1)*100</f>
        <v/>
      </c>
      <c r="BJ9">
        <f>BJ8</f>
        <v/>
      </c>
      <c r="BK9" t="n">
        <v>2.82</v>
      </c>
      <c r="BL9" s="43">
        <f>_xlfn.TEXTJOIN("|",TRUE,BI9,BI9,BI9,BI9,BI9)</f>
        <v/>
      </c>
      <c r="BM9">
        <f>ROUND( 100+BI9,0)</f>
        <v/>
      </c>
      <c r="BN9" s="50">
        <f>BM9/10</f>
        <v/>
      </c>
      <c r="BO9" s="50">
        <f>1.5*BM9/10</f>
        <v/>
      </c>
      <c r="BP9" s="50">
        <f>2*BM9/10</f>
        <v/>
      </c>
      <c r="BQ9" s="50">
        <f>2.5*BM9/10</f>
        <v/>
      </c>
      <c r="BR9" s="50">
        <f>3*BM9/10</f>
        <v/>
      </c>
      <c r="BT9" t="n">
        <v>8</v>
      </c>
      <c r="BU9">
        <f>(BW9/$BV$2-1)*100</f>
        <v/>
      </c>
      <c r="BW9" t="n">
        <v>2.4</v>
      </c>
      <c r="BX9" s="49">
        <f>CA9&amp;"|"&amp;CB9</f>
        <v/>
      </c>
      <c r="BY9">
        <f>ROUND( 100+BU9,0)</f>
        <v/>
      </c>
      <c r="BZ9">
        <f>2*BU9</f>
        <v/>
      </c>
      <c r="CA9" s="50">
        <f>BZ9/3</f>
        <v/>
      </c>
      <c r="CB9" s="50">
        <f>CA9*2</f>
        <v/>
      </c>
      <c r="CD9" t="n">
        <v>8</v>
      </c>
      <c r="CE9" s="50">
        <f>((CG9/$CF$2-1)*100)</f>
        <v/>
      </c>
      <c r="CG9" t="n">
        <v>1.7</v>
      </c>
      <c r="CH9" s="49">
        <f>CE9</f>
        <v/>
      </c>
      <c r="CI9">
        <f>ROUND( 100+CE9,0)</f>
        <v/>
      </c>
      <c r="CK9" t="n">
        <v>8</v>
      </c>
      <c r="CL9">
        <f>(CN9/$CF$2-1)*100</f>
        <v/>
      </c>
      <c r="CN9">
        <f>0.08*CK9+3.92</f>
        <v/>
      </c>
      <c r="CO9" s="49">
        <f>CL9</f>
        <v/>
      </c>
      <c r="CP9" t="n">
        <v>85</v>
      </c>
      <c r="CQ9" t="n">
        <v>92</v>
      </c>
      <c r="CR9">
        <f>CP9&amp;"|"&amp;CQ9</f>
        <v/>
      </c>
      <c r="CT9" s="26" t="n"/>
      <c r="CV9" s="50" t="n">
        <v>21</v>
      </c>
      <c r="CW9" t="n">
        <v>8</v>
      </c>
      <c r="CX9">
        <f>DA9&amp;"|"&amp;DA9&amp;"|"&amp;DA9&amp;"|"&amp;DA9&amp;"|"&amp;DA9</f>
        <v/>
      </c>
      <c r="CY9" t="n">
        <v>1.2</v>
      </c>
      <c r="CZ9">
        <f>CZ8</f>
        <v/>
      </c>
      <c r="DA9">
        <f>(CY9/CZ9-1)*100</f>
        <v/>
      </c>
      <c r="DB9" s="50">
        <f>ROUND( 100+DA9,0)</f>
        <v/>
      </c>
      <c r="DC9" t="n">
        <v>14.2</v>
      </c>
      <c r="DD9">
        <f>_xlfn.TEXTJOIN("|",TRUE,DB9:DC9)</f>
        <v/>
      </c>
      <c r="DF9" t="n">
        <v>8</v>
      </c>
      <c r="DG9" t="n">
        <v>470</v>
      </c>
      <c r="DI9" s="50" t="n">
        <v>-92</v>
      </c>
      <c r="DJ9" s="50" t="n">
        <v>-89</v>
      </c>
      <c r="DK9" s="45" t="n"/>
      <c r="DL9" s="45" t="n">
        <v>8</v>
      </c>
      <c r="DM9">
        <f>(DO9/$DN$2-1)*100</f>
        <v/>
      </c>
      <c r="DN9" s="45" t="n"/>
      <c r="DO9" s="45" t="n">
        <v>2.25</v>
      </c>
      <c r="DP9" s="52" t="n">
        <v>-92</v>
      </c>
      <c r="DQ9" s="50">
        <f>ROUND( 100+DM9,0)</f>
        <v/>
      </c>
      <c r="DR9" s="50">
        <f>ROUND( 100+DP9,0)</f>
        <v/>
      </c>
      <c r="DS9">
        <f>_xlfn.TEXTJOIN("|",TRUE,DQ9:DR9)</f>
        <v/>
      </c>
      <c r="DU9" t="n">
        <v>8</v>
      </c>
      <c r="DV9" s="45">
        <f>(DX9/DW9-1)*100</f>
        <v/>
      </c>
      <c r="DW9">
        <f>DW8</f>
        <v/>
      </c>
      <c r="DX9" t="n">
        <v>2.04</v>
      </c>
      <c r="DZ9">
        <f>ROUND( 100+DV9,0)</f>
        <v/>
      </c>
      <c r="EB9" t="n">
        <v>8</v>
      </c>
      <c r="EC9" s="50">
        <f>(EE9/$ED$2-1)*100</f>
        <v/>
      </c>
      <c r="ED9">
        <f>ED8</f>
        <v/>
      </c>
      <c r="EE9" t="n">
        <v>1.91</v>
      </c>
      <c r="EF9" s="43">
        <f>_xlfn.TEXTJOIN("|",TRUE,EC9,EC9,EC9,EC9,EC9,EC9)</f>
        <v/>
      </c>
      <c r="EG9" s="50">
        <f>ROUND( 100+EC9,0)</f>
        <v/>
      </c>
      <c r="EH9" s="43" t="n"/>
      <c r="EJ9" t="n">
        <v>8</v>
      </c>
      <c r="EK9" s="50">
        <f>(EM9/EL9-1)*100</f>
        <v/>
      </c>
      <c r="EL9">
        <f>EL8</f>
        <v/>
      </c>
      <c r="EM9" t="n">
        <v>1.7</v>
      </c>
      <c r="EN9" s="43">
        <f>EK9&amp;"|"&amp;EK9&amp;"|"&amp;EK9&amp;"|"&amp;EK9&amp;"|"&amp;EK9&amp;"|"&amp;EK9</f>
        <v/>
      </c>
      <c r="EO9" s="50">
        <f>ROUND( 100+EK9,0)</f>
        <v/>
      </c>
      <c r="EP9" s="50" t="n"/>
      <c r="EQ9" s="50" t="n"/>
      <c r="ER9" s="50">
        <f>(ET9/ES9-1)*100</f>
        <v/>
      </c>
      <c r="ES9" s="50">
        <f>ES8</f>
        <v/>
      </c>
      <c r="ET9" t="n">
        <v>2.55</v>
      </c>
      <c r="EU9" s="50" t="n"/>
      <c r="EV9" s="50">
        <f>ROUND( 100+ER9,0)</f>
        <v/>
      </c>
      <c r="EW9" s="50">
        <f>(EX9/EY9-1)*100</f>
        <v/>
      </c>
      <c r="EX9" t="n">
        <v>2.21</v>
      </c>
      <c r="EY9">
        <f>EY8</f>
        <v/>
      </c>
      <c r="EZ9" t="n">
        <v>57.8</v>
      </c>
      <c r="FA9" t="n">
        <v>2.434</v>
      </c>
      <c r="FB9" s="50">
        <f>ROUND( 100+EW9,0)</f>
        <v/>
      </c>
      <c r="FC9">
        <f>EW9&amp;"|"&amp;EZ9&amp;"|"&amp;FA9</f>
        <v/>
      </c>
      <c r="FE9" t="n">
        <v>8</v>
      </c>
      <c r="FF9" s="50">
        <f>(FH9/FG9-1)*100</f>
        <v/>
      </c>
      <c r="FG9">
        <f>FG8</f>
        <v/>
      </c>
      <c r="FH9">
        <f>2*(1+FE8*0.1)</f>
        <v/>
      </c>
      <c r="FJ9" t="n">
        <v>8</v>
      </c>
      <c r="FK9" s="50">
        <f>(FN9/FM9-1)*100</f>
        <v/>
      </c>
      <c r="FL9" s="50">
        <f>FL8</f>
        <v/>
      </c>
      <c r="FM9">
        <f>FM8</f>
        <v/>
      </c>
      <c r="FN9">
        <f>2*(1+FJ8*0.1)</f>
        <v/>
      </c>
      <c r="FP9" t="n">
        <v>8</v>
      </c>
      <c r="FQ9" s="50">
        <f>ROUND((FS9/FR9-1)*100,0)</f>
        <v/>
      </c>
      <c r="FR9">
        <f>FR8</f>
        <v/>
      </c>
      <c r="FS9">
        <f>2*(1+FP8*0.1)</f>
        <v/>
      </c>
      <c r="FT9">
        <f>_xlfn.TEXTJOIN("|",TRUE,FQ9,FQ9,FQ9)</f>
        <v/>
      </c>
    </row>
    <row r="10">
      <c r="G10" t="n">
        <v>9</v>
      </c>
      <c r="H10">
        <f>(J10/I10-1)*100</f>
        <v/>
      </c>
      <c r="I10">
        <f>I9</f>
        <v/>
      </c>
      <c r="J10" t="n">
        <v>1.96</v>
      </c>
      <c r="K10" s="49">
        <f>H10&amp;"|"&amp;H10&amp;"|"&amp;H10&amp;"|"&amp;H10&amp;"|"&amp;H10</f>
        <v/>
      </c>
      <c r="L10">
        <f>ROUND( 100+H10,0)</f>
        <v/>
      </c>
      <c r="M10" s="49" t="n"/>
      <c r="N10" s="49" t="n">
        <v>9</v>
      </c>
      <c r="O10">
        <f>(Q10/P10-1)*100</f>
        <v/>
      </c>
      <c r="P10">
        <f>P9</f>
        <v/>
      </c>
      <c r="Q10" t="n">
        <v>2.08</v>
      </c>
      <c r="R10" s="49">
        <f>O10&amp;"|"&amp;O10&amp;"|"&amp;O10</f>
        <v/>
      </c>
      <c r="S10">
        <f>ROUND( 100+O10,0)</f>
        <v/>
      </c>
      <c r="U10" t="n">
        <v>9</v>
      </c>
      <c r="V10">
        <f>(X10/W10-1)*100</f>
        <v/>
      </c>
      <c r="W10">
        <f>W9</f>
        <v/>
      </c>
      <c r="X10" t="n">
        <v>2.52</v>
      </c>
      <c r="Y10" s="49">
        <f>V10&amp;"|"&amp;V10&amp;"|"&amp;V10&amp;"|"&amp;V10&amp;"|"&amp;V10&amp;"|"&amp;V10&amp;"|"&amp;V10&amp;"|"&amp;V10</f>
        <v/>
      </c>
      <c r="Z10">
        <f>ROUND( 100+V10,0)</f>
        <v/>
      </c>
      <c r="AA10">
        <f>1.38*U10-39.38</f>
        <v/>
      </c>
      <c r="AC10" t="n">
        <v>9</v>
      </c>
      <c r="AD10">
        <f>(AF10/AE10-1)*100</f>
        <v/>
      </c>
      <c r="AE10" t="n">
        <v>1</v>
      </c>
      <c r="AF10" t="n">
        <v>2.67</v>
      </c>
      <c r="AH10">
        <f>ROUND( 100+AD10,0)</f>
        <v/>
      </c>
      <c r="AJ10" t="n">
        <v>9</v>
      </c>
      <c r="AL10" t="n">
        <v>1800</v>
      </c>
      <c r="AM10" t="n">
        <v>6</v>
      </c>
      <c r="AO10">
        <f>_xlfn.TEXTJOIN("|",TRUE,AL10:AM10)</f>
        <v/>
      </c>
      <c r="AR10" t="n">
        <v>9</v>
      </c>
      <c r="AS10">
        <f>(AU10/AT10-1)*100</f>
        <v/>
      </c>
      <c r="AT10">
        <f>AT9</f>
        <v/>
      </c>
      <c r="AU10" t="n">
        <v>1.8</v>
      </c>
      <c r="AV10">
        <f>ROUND( 100+AS10,0)</f>
        <v/>
      </c>
      <c r="AW10" s="45" t="n"/>
      <c r="AX10" s="45" t="n">
        <v>9</v>
      </c>
      <c r="AY10" s="45">
        <f>(BA10/$AZ$2-1)*100</f>
        <v/>
      </c>
      <c r="AZ10" s="45" t="n"/>
      <c r="BA10" s="45" t="n">
        <v>3.6</v>
      </c>
      <c r="BB10">
        <f>ROUND( 100+AY10,0)</f>
        <v/>
      </c>
      <c r="BD10" t="n">
        <v>1200</v>
      </c>
      <c r="BE10" s="50" t="inlineStr">
        <is>
          <t>11</t>
        </is>
      </c>
      <c r="BF10">
        <f>BD10&amp;"|"&amp;BE10</f>
        <v/>
      </c>
      <c r="BH10" t="n">
        <v>9</v>
      </c>
      <c r="BI10" s="45">
        <f>(BK10/BJ10-1)*100</f>
        <v/>
      </c>
      <c r="BJ10">
        <f>BJ9</f>
        <v/>
      </c>
      <c r="BK10" t="n">
        <v>2.98</v>
      </c>
      <c r="BL10" s="43">
        <f>_xlfn.TEXTJOIN("|",TRUE,BI10,BI10,BI10,BI10,BI10)</f>
        <v/>
      </c>
      <c r="BM10">
        <f>ROUND( 100+BI10,0)</f>
        <v/>
      </c>
      <c r="BN10" s="50">
        <f>BM10/10</f>
        <v/>
      </c>
      <c r="BO10" s="50">
        <f>1.5*BM10/10</f>
        <v/>
      </c>
      <c r="BP10" s="50">
        <f>2*BM10/10</f>
        <v/>
      </c>
      <c r="BQ10" s="50">
        <f>2.5*BM10/10</f>
        <v/>
      </c>
      <c r="BR10" s="50">
        <f>3*BM10/10</f>
        <v/>
      </c>
      <c r="BT10" t="n">
        <v>9</v>
      </c>
      <c r="BU10">
        <f>(BW10/$BV$2-1)*100</f>
        <v/>
      </c>
      <c r="BW10" t="n">
        <v>2.6</v>
      </c>
      <c r="BX10" s="49">
        <f>CA10&amp;"|"&amp;CB10</f>
        <v/>
      </c>
      <c r="BY10">
        <f>ROUND( 100+BU10,0)</f>
        <v/>
      </c>
      <c r="BZ10">
        <f>2*BU10</f>
        <v/>
      </c>
      <c r="CA10" s="50">
        <f>BZ10/3</f>
        <v/>
      </c>
      <c r="CB10" s="50">
        <f>CA10*2</f>
        <v/>
      </c>
      <c r="CD10" t="n">
        <v>9</v>
      </c>
      <c r="CE10" s="50">
        <f>((CG10/$CF$2-1)*100)</f>
        <v/>
      </c>
      <c r="CG10" t="n">
        <v>1.8</v>
      </c>
      <c r="CH10" s="49">
        <f>CE10</f>
        <v/>
      </c>
      <c r="CI10">
        <f>ROUND( 100+CE10,0)</f>
        <v/>
      </c>
      <c r="CK10" t="n">
        <v>9</v>
      </c>
      <c r="CL10">
        <f>(CN10/$CF$2-1)*100</f>
        <v/>
      </c>
      <c r="CN10">
        <f>0.08*CK10+3.92</f>
        <v/>
      </c>
      <c r="CO10" s="49">
        <f>CL10</f>
        <v/>
      </c>
      <c r="CP10" t="n">
        <v>90</v>
      </c>
      <c r="CQ10" t="n">
        <v>91</v>
      </c>
      <c r="CR10">
        <f>CP10&amp;"|"&amp;CQ10</f>
        <v/>
      </c>
      <c r="CT10" s="26" t="n"/>
      <c r="CV10" s="50" t="n">
        <v>22</v>
      </c>
      <c r="CW10" t="n">
        <v>9</v>
      </c>
      <c r="CX10">
        <f>DA10&amp;"|"&amp;DA10&amp;"|"&amp;DA10&amp;"|"&amp;DA10&amp;"|"&amp;DA10</f>
        <v/>
      </c>
      <c r="CY10" t="n">
        <v>1.3</v>
      </c>
      <c r="CZ10">
        <f>CZ9</f>
        <v/>
      </c>
      <c r="DA10">
        <f>(CY10/CZ10-1)*100</f>
        <v/>
      </c>
      <c r="DB10" s="50">
        <f>ROUND( 100+DA10,0)</f>
        <v/>
      </c>
      <c r="DC10" t="n">
        <v>14.8</v>
      </c>
      <c r="DD10">
        <f>_xlfn.TEXTJOIN("|",TRUE,DB10:DC10)</f>
        <v/>
      </c>
      <c r="DF10" t="n">
        <v>9</v>
      </c>
      <c r="DG10" t="n">
        <v>480</v>
      </c>
      <c r="DI10" s="50" t="n">
        <v>-92</v>
      </c>
      <c r="DJ10" s="50" t="n">
        <v>-89</v>
      </c>
      <c r="DK10" s="45" t="n"/>
      <c r="DL10" s="45" t="n">
        <v>9</v>
      </c>
      <c r="DM10">
        <f>(DO10/$DN$2-1)*100</f>
        <v/>
      </c>
      <c r="DN10" s="45" t="n"/>
      <c r="DO10" s="45" t="n">
        <v>2.4</v>
      </c>
      <c r="DP10" s="52" t="n">
        <v>-91</v>
      </c>
      <c r="DQ10" s="50">
        <f>ROUND( 100+DM10,0)</f>
        <v/>
      </c>
      <c r="DR10" s="50">
        <f>ROUND( 100+DP10,0)</f>
        <v/>
      </c>
      <c r="DS10">
        <f>_xlfn.TEXTJOIN("|",TRUE,DQ10:DR10)</f>
        <v/>
      </c>
      <c r="DU10" t="n">
        <v>9</v>
      </c>
      <c r="DV10" s="45">
        <f>(DX10/DW10-1)*100</f>
        <v/>
      </c>
      <c r="DW10">
        <f>DW9</f>
        <v/>
      </c>
      <c r="DX10" t="n">
        <v>2.16</v>
      </c>
      <c r="DZ10">
        <f>ROUND( 100+DV10,0)</f>
        <v/>
      </c>
      <c r="EB10" t="n">
        <v>9</v>
      </c>
      <c r="EC10" s="50">
        <f>(EE10/$ED$2-1)*100</f>
        <v/>
      </c>
      <c r="ED10">
        <f>ED9</f>
        <v/>
      </c>
      <c r="EE10" t="n">
        <v>2.04</v>
      </c>
      <c r="EF10" s="43">
        <f>_xlfn.TEXTJOIN("|",TRUE,EC10,EC10,EC10,EC10,EC10,EC10)</f>
        <v/>
      </c>
      <c r="EG10" s="50">
        <f>ROUND( 100+EC10,0)</f>
        <v/>
      </c>
      <c r="EH10" s="43" t="n"/>
      <c r="EJ10" t="n">
        <v>9</v>
      </c>
      <c r="EK10" s="50">
        <f>(EM10/EL10-1)*100</f>
        <v/>
      </c>
      <c r="EL10">
        <f>EL9</f>
        <v/>
      </c>
      <c r="EM10" t="n">
        <v>1.8</v>
      </c>
      <c r="EN10" s="43">
        <f>EK10&amp;"|"&amp;EK10&amp;"|"&amp;EK10&amp;"|"&amp;EK10&amp;"|"&amp;EK10&amp;"|"&amp;EK10</f>
        <v/>
      </c>
      <c r="EO10" s="50">
        <f>ROUND( 100+EK10,0)</f>
        <v/>
      </c>
      <c r="EP10" s="50" t="n"/>
      <c r="EQ10" s="50" t="n"/>
      <c r="ER10" s="50">
        <f>(ET10/ES10-1)*100</f>
        <v/>
      </c>
      <c r="ES10" s="50">
        <f>ES9</f>
        <v/>
      </c>
      <c r="ET10" t="n">
        <v>2.7</v>
      </c>
      <c r="EU10" s="50" t="n"/>
      <c r="EV10" s="50">
        <f>ROUND( 100+ER10,0)</f>
        <v/>
      </c>
      <c r="EW10" s="50">
        <f>(EX10/EY10-1)*100</f>
        <v/>
      </c>
      <c r="EX10" t="n">
        <v>2.34</v>
      </c>
      <c r="EY10">
        <f>EY9</f>
        <v/>
      </c>
      <c r="EZ10" t="n">
        <v>61.2</v>
      </c>
      <c r="FA10" t="n">
        <v>2.496</v>
      </c>
      <c r="FB10" s="50">
        <f>ROUND( 100+EW10,0)</f>
        <v/>
      </c>
      <c r="FC10">
        <f>EW10&amp;"|"&amp;EZ10&amp;"|"&amp;FA10</f>
        <v/>
      </c>
      <c r="FE10" t="n">
        <v>9</v>
      </c>
      <c r="FF10" s="50">
        <f>(FH10/FG10-1)*100</f>
        <v/>
      </c>
      <c r="FG10">
        <f>FG9</f>
        <v/>
      </c>
      <c r="FH10">
        <f>2*(1+FE9*0.1)</f>
        <v/>
      </c>
      <c r="FJ10" t="n">
        <v>9</v>
      </c>
      <c r="FK10" s="50">
        <f>(FN10/FM10-1)*100</f>
        <v/>
      </c>
      <c r="FL10" s="50">
        <f>FL9</f>
        <v/>
      </c>
      <c r="FM10">
        <f>FM9</f>
        <v/>
      </c>
      <c r="FN10">
        <f>2*(1+FJ9*0.1)</f>
        <v/>
      </c>
      <c r="FP10" t="n">
        <v>9</v>
      </c>
      <c r="FQ10" s="50">
        <f>ROUND((FS10/FR10-1)*100,0)</f>
        <v/>
      </c>
      <c r="FR10">
        <f>FR9</f>
        <v/>
      </c>
      <c r="FS10">
        <f>2*(1+FP9*0.1)</f>
        <v/>
      </c>
      <c r="FT10">
        <f>_xlfn.TEXTJOIN("|",TRUE,FQ10,FQ10,FQ10)</f>
        <v/>
      </c>
    </row>
    <row r="11">
      <c r="G11" t="n">
        <v>10</v>
      </c>
      <c r="H11">
        <f>(J11/I11-1)*100</f>
        <v/>
      </c>
      <c r="I11">
        <f>I10</f>
        <v/>
      </c>
      <c r="J11" t="n">
        <v>2.08</v>
      </c>
      <c r="K11" s="49">
        <f>H11&amp;"|"&amp;H11&amp;"|"&amp;H11&amp;"|"&amp;H11&amp;"|"&amp;H11</f>
        <v/>
      </c>
      <c r="L11">
        <f>ROUND( 100+H11,0)</f>
        <v/>
      </c>
      <c r="M11" s="49" t="n"/>
      <c r="N11" s="49" t="n">
        <v>10</v>
      </c>
      <c r="O11">
        <f>(Q11/P11-1)*100</f>
        <v/>
      </c>
      <c r="P11">
        <f>P10</f>
        <v/>
      </c>
      <c r="Q11" t="n">
        <v>2.19</v>
      </c>
      <c r="R11" s="49">
        <f>O11&amp;"|"&amp;O11&amp;"|"&amp;O11</f>
        <v/>
      </c>
      <c r="S11">
        <f>ROUND( 100+O11,0)</f>
        <v/>
      </c>
      <c r="U11" t="n">
        <v>10</v>
      </c>
      <c r="V11">
        <f>(X11/W11-1)*100</f>
        <v/>
      </c>
      <c r="W11">
        <f>W10</f>
        <v/>
      </c>
      <c r="X11" t="n">
        <v>2.71</v>
      </c>
      <c r="Y11" s="49">
        <f>V11&amp;"|"&amp;V11&amp;"|"&amp;V11&amp;"|"&amp;V11&amp;"|"&amp;V11&amp;"|"&amp;V11&amp;"|"&amp;V11&amp;"|"&amp;V11</f>
        <v/>
      </c>
      <c r="Z11">
        <f>ROUND( 100+V11,0)</f>
        <v/>
      </c>
      <c r="AA11">
        <f>1.38*U11-39.38</f>
        <v/>
      </c>
      <c r="AC11" t="n">
        <v>10</v>
      </c>
      <c r="AD11">
        <f>(AF11/AE11-1)*100</f>
        <v/>
      </c>
      <c r="AE11" t="n">
        <v>1</v>
      </c>
      <c r="AF11" t="n">
        <v>2.81</v>
      </c>
      <c r="AH11">
        <f>ROUND( 100+AD11,0)</f>
        <v/>
      </c>
      <c r="AJ11" t="n">
        <v>10</v>
      </c>
      <c r="AL11" t="n">
        <v>1900</v>
      </c>
      <c r="AM11" t="n">
        <v>6.5</v>
      </c>
      <c r="AO11">
        <f>_xlfn.TEXTJOIN("|",TRUE,AL11:AM11)</f>
        <v/>
      </c>
      <c r="AR11" t="n">
        <v>10</v>
      </c>
      <c r="AS11">
        <f>(AU11/AT11-1)*100</f>
        <v/>
      </c>
      <c r="AT11">
        <f>AT10</f>
        <v/>
      </c>
      <c r="AU11" t="n">
        <v>1.9</v>
      </c>
      <c r="AV11">
        <f>ROUND( 100+AS11,0)</f>
        <v/>
      </c>
      <c r="AW11" s="45" t="n"/>
      <c r="AX11" s="45" t="n">
        <v>10</v>
      </c>
      <c r="AY11" s="45">
        <f>(BA11/$AZ$2-1)*100</f>
        <v/>
      </c>
      <c r="AZ11" s="45" t="n"/>
      <c r="BA11" s="45" t="n">
        <v>3.8</v>
      </c>
      <c r="BB11">
        <f>ROUND( 100+AY11,0)</f>
        <v/>
      </c>
      <c r="BD11" t="n">
        <v>1300</v>
      </c>
      <c r="BE11" s="50" t="inlineStr">
        <is>
          <t>11</t>
        </is>
      </c>
      <c r="BF11">
        <f>BD11&amp;"|"&amp;BE11</f>
        <v/>
      </c>
      <c r="BH11" t="n">
        <v>10</v>
      </c>
      <c r="BI11" s="45">
        <f>(BK11/BJ11-1)*100</f>
        <v/>
      </c>
      <c r="BJ11">
        <f>BJ10</f>
        <v/>
      </c>
      <c r="BK11" t="n">
        <v>3.14</v>
      </c>
      <c r="BL11" s="43">
        <f>_xlfn.TEXTJOIN("|",TRUE,BI11,BI11,BI11,BI11,BI11)</f>
        <v/>
      </c>
      <c r="BM11">
        <f>ROUND( 100+BI11,0)</f>
        <v/>
      </c>
      <c r="BN11" s="50">
        <f>BM11/10</f>
        <v/>
      </c>
      <c r="BO11" s="50">
        <f>1.5*BM11/10</f>
        <v/>
      </c>
      <c r="BP11" s="50">
        <f>2*BM11/10</f>
        <v/>
      </c>
      <c r="BQ11" s="50">
        <f>2.5*BM11/10</f>
        <v/>
      </c>
      <c r="BR11" s="50">
        <f>3*BM11/10</f>
        <v/>
      </c>
      <c r="BT11" t="n">
        <v>10</v>
      </c>
      <c r="BU11">
        <f>(BW11/$BV$2-1)*100</f>
        <v/>
      </c>
      <c r="BW11" t="n">
        <v>2.8</v>
      </c>
      <c r="BX11" s="49">
        <f>CA11&amp;"|"&amp;CB11</f>
        <v/>
      </c>
      <c r="BY11">
        <f>ROUND( 100+BU11,0)</f>
        <v/>
      </c>
      <c r="BZ11">
        <f>2*BU11</f>
        <v/>
      </c>
      <c r="CA11" s="50">
        <f>BZ11/3</f>
        <v/>
      </c>
      <c r="CB11" s="50">
        <f>CA11*2</f>
        <v/>
      </c>
      <c r="CD11" t="n">
        <v>10</v>
      </c>
      <c r="CE11" s="50">
        <f>((CG11/$CF$2-1)*100)</f>
        <v/>
      </c>
      <c r="CG11" t="n">
        <v>1.9</v>
      </c>
      <c r="CH11" s="53">
        <f>CE11</f>
        <v/>
      </c>
      <c r="CI11">
        <f>ROUND( 100+CE11,0)</f>
        <v/>
      </c>
      <c r="CJ11" s="11" t="n"/>
      <c r="CK11" s="11" t="n">
        <v>10</v>
      </c>
      <c r="CL11" s="11">
        <f>(CN11/$CF$2-1)*100</f>
        <v/>
      </c>
      <c r="CM11" s="11" t="n"/>
      <c r="CN11" s="11">
        <f>0.08*CK11+3.92</f>
        <v/>
      </c>
      <c r="CO11" s="53">
        <f>CL11</f>
        <v/>
      </c>
      <c r="CP11" t="n">
        <v>95</v>
      </c>
      <c r="CQ11" t="n">
        <v>90</v>
      </c>
      <c r="CR11">
        <f>CP11&amp;"|"&amp;CQ11</f>
        <v/>
      </c>
      <c r="CT11" s="26" t="n"/>
      <c r="CV11" s="50" t="n">
        <v>24</v>
      </c>
      <c r="CW11" t="n">
        <v>10</v>
      </c>
      <c r="CX11">
        <f>DA11&amp;"|"&amp;DA11&amp;"|"&amp;DA11&amp;"|"&amp;DA11&amp;"|"&amp;DA11</f>
        <v/>
      </c>
      <c r="CY11" t="n">
        <v>1.4</v>
      </c>
      <c r="CZ11">
        <f>CZ10</f>
        <v/>
      </c>
      <c r="DA11">
        <f>(CY11/CZ11-1)*100</f>
        <v/>
      </c>
      <c r="DB11" s="50">
        <f>ROUND( 100+DA11,0)</f>
        <v/>
      </c>
      <c r="DC11" t="n">
        <v>15.4</v>
      </c>
      <c r="DD11">
        <f>_xlfn.TEXTJOIN("|",TRUE,DB11:DC11)</f>
        <v/>
      </c>
      <c r="DF11" t="n">
        <v>10</v>
      </c>
      <c r="DG11" t="n">
        <v>490</v>
      </c>
      <c r="DI11" s="50" t="n">
        <v>-90</v>
      </c>
      <c r="DJ11" s="50" t="n">
        <v>-86</v>
      </c>
      <c r="DK11" s="45" t="n"/>
      <c r="DL11" s="45" t="n">
        <v>10</v>
      </c>
      <c r="DM11">
        <f>(DO11/$DN$2-1)*100</f>
        <v/>
      </c>
      <c r="DN11" s="45" t="n"/>
      <c r="DO11" s="45" t="n">
        <v>2.55</v>
      </c>
      <c r="DP11" s="52" t="n">
        <v>-90</v>
      </c>
      <c r="DQ11" s="50">
        <f>ROUND( 100+DM11,0)</f>
        <v/>
      </c>
      <c r="DR11" s="50">
        <f>ROUND( 100+DP11,0)</f>
        <v/>
      </c>
      <c r="DS11">
        <f>_xlfn.TEXTJOIN("|",TRUE,DQ11:DR11)</f>
        <v/>
      </c>
      <c r="DU11" t="n">
        <v>10</v>
      </c>
      <c r="DV11" s="45">
        <f>(DX11/DW11-1)*100</f>
        <v/>
      </c>
      <c r="DW11">
        <f>DW10</f>
        <v/>
      </c>
      <c r="DX11" t="n">
        <v>2.28</v>
      </c>
      <c r="DZ11">
        <f>ROUND( 100+DV11,0)</f>
        <v/>
      </c>
      <c r="EB11" t="n">
        <v>10</v>
      </c>
      <c r="EC11" s="50">
        <f>(EE11/$ED$2-1)*100</f>
        <v/>
      </c>
      <c r="ED11">
        <f>ED10</f>
        <v/>
      </c>
      <c r="EE11" t="n">
        <v>2.17</v>
      </c>
      <c r="EF11" s="43">
        <f>_xlfn.TEXTJOIN("|",TRUE,EC11,EC11,EC11,EC11,EC11,EC11)</f>
        <v/>
      </c>
      <c r="EG11" s="50">
        <f>ROUND( 100+EC11,0)</f>
        <v/>
      </c>
      <c r="EH11" s="43" t="n"/>
      <c r="EJ11" t="n">
        <v>10</v>
      </c>
      <c r="EK11" s="50">
        <f>(EM11/EL11-1)*100</f>
        <v/>
      </c>
      <c r="EL11">
        <f>EL10</f>
        <v/>
      </c>
      <c r="EM11" t="n">
        <v>1.9</v>
      </c>
      <c r="EN11" s="43">
        <f>EK11&amp;"|"&amp;EK11&amp;"|"&amp;EK11&amp;"|"&amp;EK11&amp;"|"&amp;EK11&amp;"|"&amp;EK11</f>
        <v/>
      </c>
      <c r="EO11" s="50">
        <f>ROUND( 100+EK11,0)</f>
        <v/>
      </c>
      <c r="EP11" s="50" t="n"/>
      <c r="EQ11" s="50" t="n"/>
      <c r="ER11" s="50">
        <f>(ET11/ES11-1)*100</f>
        <v/>
      </c>
      <c r="ES11" s="50">
        <f>ES10</f>
        <v/>
      </c>
      <c r="ET11" t="n">
        <v>2.85</v>
      </c>
      <c r="EU11" s="50" t="n"/>
      <c r="EV11" s="50">
        <f>ROUND( 100+ER11,0)</f>
        <v/>
      </c>
      <c r="EW11" s="50">
        <f>(EX11/EY11-1)*100</f>
        <v/>
      </c>
      <c r="EX11" t="n">
        <v>2.47</v>
      </c>
      <c r="EY11">
        <f>EY10</f>
        <v/>
      </c>
      <c r="EZ11" t="n">
        <v>64.59999999999999</v>
      </c>
      <c r="FA11" t="n">
        <v>2.558</v>
      </c>
      <c r="FB11" s="50">
        <f>ROUND( 100+EW11,0)</f>
        <v/>
      </c>
      <c r="FC11">
        <f>EW11&amp;"|"&amp;EZ11&amp;"|"&amp;FA11</f>
        <v/>
      </c>
      <c r="FE11" t="n">
        <v>10</v>
      </c>
      <c r="FF11" s="50">
        <f>(FH11/FG11-1)*100</f>
        <v/>
      </c>
      <c r="FG11">
        <f>FG10</f>
        <v/>
      </c>
      <c r="FH11">
        <f>2*(1+FE10*0.1)</f>
        <v/>
      </c>
      <c r="FJ11" t="n">
        <v>10</v>
      </c>
      <c r="FK11" s="50">
        <f>(FN11/FM11-1)*100</f>
        <v/>
      </c>
      <c r="FL11" s="50">
        <f>FL10</f>
        <v/>
      </c>
      <c r="FM11">
        <f>FM10</f>
        <v/>
      </c>
      <c r="FN11">
        <f>2*(1+FJ10*0.1)</f>
        <v/>
      </c>
      <c r="FP11" t="n">
        <v>10</v>
      </c>
      <c r="FQ11" s="50">
        <f>ROUND((FS11/FR11-1)*100,0)</f>
        <v/>
      </c>
      <c r="FR11">
        <f>FR10</f>
        <v/>
      </c>
      <c r="FS11">
        <f>2*(1+FP10*0.1)</f>
        <v/>
      </c>
      <c r="FT11">
        <f>_xlfn.TEXTJOIN("|",TRUE,FQ11,FQ11,FQ11)</f>
        <v/>
      </c>
    </row>
    <row r="12">
      <c r="G12" t="n">
        <v>11</v>
      </c>
      <c r="H12">
        <f>(J12/I12-1)*100</f>
        <v/>
      </c>
      <c r="I12">
        <f>I11</f>
        <v/>
      </c>
      <c r="J12" t="n">
        <v>2.2</v>
      </c>
      <c r="K12" s="49">
        <f>H12&amp;"|"&amp;H12&amp;"|"&amp;H12&amp;"|"&amp;H12&amp;"|"&amp;H12</f>
        <v/>
      </c>
      <c r="L12">
        <f>ROUND( 100+H12,0)</f>
        <v/>
      </c>
      <c r="M12" s="49" t="n"/>
      <c r="N12" s="49" t="n">
        <v>11</v>
      </c>
      <c r="O12">
        <f>(Q12/P12-1)*100</f>
        <v/>
      </c>
      <c r="P12">
        <f>P11</f>
        <v/>
      </c>
      <c r="Q12" t="n">
        <v>2.3</v>
      </c>
      <c r="R12" s="49">
        <f>O12&amp;"|"&amp;O12&amp;"|"&amp;O12</f>
        <v/>
      </c>
      <c r="S12">
        <f>ROUND( 100+O12,0)</f>
        <v/>
      </c>
      <c r="U12" t="n">
        <v>11</v>
      </c>
      <c r="V12">
        <f>(X12/W12-1)*100</f>
        <v/>
      </c>
      <c r="W12">
        <f>W11</f>
        <v/>
      </c>
      <c r="X12" t="n">
        <v>2.9</v>
      </c>
      <c r="Y12" s="49">
        <f>V12&amp;"|"&amp;V12&amp;"|"&amp;V12&amp;"|"&amp;V12&amp;"|"&amp;V12&amp;"|"&amp;V12&amp;"|"&amp;V12&amp;"|"&amp;V12</f>
        <v/>
      </c>
      <c r="Z12">
        <f>ROUND( 100+V12,0)</f>
        <v/>
      </c>
      <c r="AA12">
        <f>1.38*U12-39.38</f>
        <v/>
      </c>
      <c r="AC12" t="n">
        <v>11</v>
      </c>
      <c r="AD12">
        <f>(AF12/AE12-1)*100</f>
        <v/>
      </c>
      <c r="AE12" t="n">
        <v>1</v>
      </c>
      <c r="AF12" t="n">
        <v>2.95</v>
      </c>
      <c r="AH12">
        <f>ROUND( 100+AD12,0)</f>
        <v/>
      </c>
      <c r="AJ12" t="n">
        <v>11</v>
      </c>
      <c r="AL12" t="n">
        <v>2000</v>
      </c>
      <c r="AM12" t="n">
        <v>7</v>
      </c>
      <c r="AO12">
        <f>_xlfn.TEXTJOIN("|",TRUE,AL12:AM12)</f>
        <v/>
      </c>
      <c r="AR12" t="n">
        <v>11</v>
      </c>
      <c r="AS12">
        <f>(AU12/AT12-1)*100</f>
        <v/>
      </c>
      <c r="AT12">
        <f>AT11</f>
        <v/>
      </c>
      <c r="AU12" t="n">
        <v>2</v>
      </c>
      <c r="AV12">
        <f>ROUND( 100+AS12,0)</f>
        <v/>
      </c>
      <c r="AW12" s="45" t="n"/>
      <c r="AX12" s="45" t="n">
        <v>11</v>
      </c>
      <c r="AY12" s="45">
        <f>(BA12/$AZ$2-1)*100</f>
        <v/>
      </c>
      <c r="AZ12" s="45" t="n"/>
      <c r="BA12" s="45" t="n">
        <v>4</v>
      </c>
      <c r="BB12">
        <f>ROUND( 100+AY12,0)</f>
        <v/>
      </c>
      <c r="BD12" t="n">
        <v>1400</v>
      </c>
      <c r="BE12" s="50" t="inlineStr">
        <is>
          <t>12</t>
        </is>
      </c>
      <c r="BF12">
        <f>BD12&amp;"|"&amp;BE12</f>
        <v/>
      </c>
      <c r="BH12" t="n">
        <v>11</v>
      </c>
      <c r="BI12" s="45">
        <f>(BK12/BJ12-1)*100</f>
        <v/>
      </c>
      <c r="BJ12">
        <f>BJ11</f>
        <v/>
      </c>
      <c r="BK12" t="n">
        <v>3.3</v>
      </c>
      <c r="BL12" s="43">
        <f>_xlfn.TEXTJOIN("|",TRUE,BI12,BI12,BI12,BI12,BI12)</f>
        <v/>
      </c>
      <c r="BM12">
        <f>ROUND( 100+BI12,0)</f>
        <v/>
      </c>
      <c r="BN12" s="50">
        <f>BM12/10</f>
        <v/>
      </c>
      <c r="BO12" s="50">
        <f>1.5*BM12/10</f>
        <v/>
      </c>
      <c r="BP12" s="50">
        <f>2*BM12/10</f>
        <v/>
      </c>
      <c r="BQ12" s="50">
        <f>2.5*BM12/10</f>
        <v/>
      </c>
      <c r="BR12" s="50">
        <f>3*BM12/10</f>
        <v/>
      </c>
      <c r="BT12" t="n">
        <v>11</v>
      </c>
      <c r="BU12">
        <f>(BW12/$BV$2-1)*100</f>
        <v/>
      </c>
      <c r="BW12" t="n">
        <v>3</v>
      </c>
      <c r="BX12" s="49">
        <f>CA12&amp;"|"&amp;CB12</f>
        <v/>
      </c>
      <c r="BY12">
        <f>ROUND( 100+BU12,0)</f>
        <v/>
      </c>
      <c r="BZ12">
        <f>2*BU12</f>
        <v/>
      </c>
      <c r="CA12" s="50">
        <f>BZ12/3</f>
        <v/>
      </c>
      <c r="CB12" s="50">
        <f>CA12*2</f>
        <v/>
      </c>
      <c r="CD12" t="n">
        <v>11</v>
      </c>
      <c r="CE12" s="50">
        <f>((CG12/$CF$2-1)*100)</f>
        <v/>
      </c>
      <c r="CG12" t="n">
        <v>2</v>
      </c>
      <c r="CH12" s="53">
        <f>CE12</f>
        <v/>
      </c>
      <c r="CI12">
        <f>ROUND( 100+CE12,0)</f>
        <v/>
      </c>
      <c r="CJ12" s="11" t="n"/>
      <c r="CK12" s="11" t="n">
        <v>11</v>
      </c>
      <c r="CL12" s="11">
        <f>(CN12/$CF$2-1)*100</f>
        <v/>
      </c>
      <c r="CM12" s="11" t="n"/>
      <c r="CN12" s="11">
        <f>0.08*CK12+3.92</f>
        <v/>
      </c>
      <c r="CO12" s="53">
        <f>CL12</f>
        <v/>
      </c>
      <c r="CP12" t="n">
        <v>100</v>
      </c>
      <c r="CQ12" t="n">
        <v>89</v>
      </c>
      <c r="CR12">
        <f>CP12&amp;"|"&amp;CQ12</f>
        <v/>
      </c>
      <c r="CT12" s="26" t="n"/>
      <c r="CV12" s="50" t="n">
        <v>25</v>
      </c>
      <c r="CW12" t="n">
        <v>11</v>
      </c>
      <c r="CX12">
        <f>DA12&amp;"|"&amp;DA12&amp;"|"&amp;DA12&amp;"|"&amp;DA12&amp;"|"&amp;DA12</f>
        <v/>
      </c>
      <c r="CY12" t="n">
        <v>1.5</v>
      </c>
      <c r="CZ12">
        <f>CZ11</f>
        <v/>
      </c>
      <c r="DA12">
        <f>(CY12/CZ12-1)*100</f>
        <v/>
      </c>
      <c r="DB12" s="50">
        <f>ROUND( 100+DA12,0)</f>
        <v/>
      </c>
      <c r="DC12" t="n">
        <v>16</v>
      </c>
      <c r="DD12">
        <f>_xlfn.TEXTJOIN("|",TRUE,DB12:DC12)</f>
        <v/>
      </c>
      <c r="DF12" t="n">
        <v>11</v>
      </c>
      <c r="DG12" t="n">
        <v>500</v>
      </c>
      <c r="DI12" s="50" t="n">
        <v>-89</v>
      </c>
      <c r="DJ12" s="50" t="n">
        <v>-86</v>
      </c>
      <c r="DK12" s="45" t="n"/>
      <c r="DL12" s="45" t="n">
        <v>11</v>
      </c>
      <c r="DM12">
        <f>(DO12/$DN$2-1)*100</f>
        <v/>
      </c>
      <c r="DN12" s="45" t="n"/>
      <c r="DO12" s="45" t="n">
        <v>2.7</v>
      </c>
      <c r="DP12" s="52" t="n">
        <v>-89</v>
      </c>
      <c r="DQ12" s="50">
        <f>ROUND( 100+DM12,0)</f>
        <v/>
      </c>
      <c r="DR12" s="50">
        <f>ROUND( 100+DP12,0)</f>
        <v/>
      </c>
      <c r="DS12">
        <f>_xlfn.TEXTJOIN("|",TRUE,DQ12:DR12)</f>
        <v/>
      </c>
      <c r="DU12" t="n">
        <v>11</v>
      </c>
      <c r="DV12" s="45">
        <f>(DX12/DW12-1)*100</f>
        <v/>
      </c>
      <c r="DW12">
        <f>DW11</f>
        <v/>
      </c>
      <c r="DX12" t="n">
        <v>2.4</v>
      </c>
      <c r="DZ12">
        <f>ROUND( 100+DV12,0)</f>
        <v/>
      </c>
      <c r="EB12" t="n">
        <v>11</v>
      </c>
      <c r="EC12" s="50">
        <f>(EE12/$ED$2-1)*100</f>
        <v/>
      </c>
      <c r="ED12">
        <f>ED11</f>
        <v/>
      </c>
      <c r="EE12" t="n">
        <v>2.3</v>
      </c>
      <c r="EF12" s="43">
        <f>_xlfn.TEXTJOIN("|",TRUE,EC12,EC12,EC12,EC12,EC12,EC12)</f>
        <v/>
      </c>
      <c r="EG12" s="50">
        <f>ROUND( 100+EC12,0)</f>
        <v/>
      </c>
      <c r="EH12" s="43" t="n"/>
      <c r="EJ12" t="n">
        <v>11</v>
      </c>
      <c r="EK12" s="50">
        <f>(EM12/EL12-1)*100</f>
        <v/>
      </c>
      <c r="EL12">
        <f>EL11</f>
        <v/>
      </c>
      <c r="EM12" t="n">
        <v>2</v>
      </c>
      <c r="EN12" s="43">
        <f>EK12&amp;"|"&amp;EK12&amp;"|"&amp;EK12&amp;"|"&amp;EK12&amp;"|"&amp;EK12&amp;"|"&amp;EK12</f>
        <v/>
      </c>
      <c r="EO12" s="50">
        <f>ROUND( 100+EK12,0)</f>
        <v/>
      </c>
      <c r="EP12" s="50" t="n"/>
      <c r="EQ12" s="50" t="n"/>
      <c r="ER12" s="50">
        <f>(ET12/ES12-1)*100</f>
        <v/>
      </c>
      <c r="ES12" s="50">
        <f>ES11</f>
        <v/>
      </c>
      <c r="ET12" t="n">
        <v>3</v>
      </c>
      <c r="EU12" s="50" t="n"/>
      <c r="EV12" s="50">
        <f>ROUND( 100+ER12,0)</f>
        <v/>
      </c>
      <c r="EW12" s="50">
        <f>(EX12/EY12-1)*100</f>
        <v/>
      </c>
      <c r="EX12" t="n">
        <v>2.6</v>
      </c>
      <c r="EY12">
        <f>EY11</f>
        <v/>
      </c>
      <c r="EZ12" t="n">
        <v>68</v>
      </c>
      <c r="FA12" t="n">
        <v>2.62</v>
      </c>
      <c r="FB12" s="50">
        <f>ROUND( 100+EW12,0)</f>
        <v/>
      </c>
      <c r="FC12">
        <f>EW12&amp;"|"&amp;EZ12&amp;"|"&amp;FA12</f>
        <v/>
      </c>
      <c r="FE12" t="n">
        <v>11</v>
      </c>
      <c r="FF12" s="50">
        <f>(FH12/FG12-1)*100</f>
        <v/>
      </c>
      <c r="FG12">
        <f>FG11</f>
        <v/>
      </c>
      <c r="FH12">
        <f>2*(1+FE11*0.1)</f>
        <v/>
      </c>
      <c r="FJ12" t="n">
        <v>11</v>
      </c>
      <c r="FK12" s="50">
        <f>(FN12/FM12-1)*100</f>
        <v/>
      </c>
      <c r="FL12" s="50">
        <f>FL11</f>
        <v/>
      </c>
      <c r="FM12">
        <f>FM11</f>
        <v/>
      </c>
      <c r="FN12">
        <f>2*(1+FJ11*0.1)</f>
        <v/>
      </c>
      <c r="FP12" t="n">
        <v>11</v>
      </c>
      <c r="FQ12" s="50">
        <f>ROUND((FS12/FR12-1)*100,0)</f>
        <v/>
      </c>
      <c r="FR12">
        <f>FR11</f>
        <v/>
      </c>
      <c r="FS12">
        <f>2*(1+FP11*0.1)</f>
        <v/>
      </c>
      <c r="FT12">
        <f>_xlfn.TEXTJOIN("|",TRUE,FQ12,FQ12,FQ12)</f>
        <v/>
      </c>
    </row>
    <row r="13">
      <c r="G13" t="n">
        <v>12</v>
      </c>
      <c r="H13">
        <f>(J13/I13-1)*100</f>
        <v/>
      </c>
      <c r="I13">
        <f>I12</f>
        <v/>
      </c>
      <c r="J13" t="n">
        <v>2.32</v>
      </c>
      <c r="K13" s="49">
        <f>H13&amp;"|"&amp;H13&amp;"|"&amp;H13&amp;"|"&amp;H13&amp;"|"&amp;H13</f>
        <v/>
      </c>
      <c r="L13">
        <f>ROUND( 100+H13,0)</f>
        <v/>
      </c>
      <c r="M13" s="49" t="n"/>
      <c r="N13" s="49" t="n">
        <v>12</v>
      </c>
      <c r="O13">
        <f>(Q13/P13-1)*100</f>
        <v/>
      </c>
      <c r="P13">
        <f>P12</f>
        <v/>
      </c>
      <c r="Q13" t="n">
        <v>2.41</v>
      </c>
      <c r="R13" s="49">
        <f>O13&amp;"|"&amp;O13&amp;"|"&amp;O13</f>
        <v/>
      </c>
      <c r="S13">
        <f>ROUND( 100+O13,0)</f>
        <v/>
      </c>
      <c r="U13" t="n">
        <v>12</v>
      </c>
      <c r="V13">
        <f>(X13/W13-1)*100</f>
        <v/>
      </c>
      <c r="W13">
        <f>W12</f>
        <v/>
      </c>
      <c r="X13" t="n">
        <v>3.09</v>
      </c>
      <c r="Y13" s="49">
        <f>V13&amp;"|"&amp;V13&amp;"|"&amp;V13&amp;"|"&amp;V13&amp;"|"&amp;V13&amp;"|"&amp;V13&amp;"|"&amp;V13&amp;"|"&amp;V13</f>
        <v/>
      </c>
      <c r="Z13">
        <f>ROUND( 100+V13,0)</f>
        <v/>
      </c>
      <c r="AA13">
        <f>1.38*U13-39.38</f>
        <v/>
      </c>
      <c r="AC13" t="n">
        <v>12</v>
      </c>
      <c r="AD13">
        <f>(AF13/AE13-1)*100</f>
        <v/>
      </c>
      <c r="AE13" t="n">
        <v>1</v>
      </c>
      <c r="AF13" t="n">
        <v>3.09</v>
      </c>
      <c r="AH13">
        <f>ROUND( 100+AD13,0)</f>
        <v/>
      </c>
      <c r="AJ13" t="n">
        <v>12</v>
      </c>
      <c r="AL13" t="n">
        <v>2100</v>
      </c>
      <c r="AM13" t="n">
        <v>7.5</v>
      </c>
      <c r="AO13">
        <f>_xlfn.TEXTJOIN("|",TRUE,AL13:AM13)</f>
        <v/>
      </c>
      <c r="AR13" t="n">
        <v>12</v>
      </c>
      <c r="AS13">
        <f>(AU13/AT13-1)*100</f>
        <v/>
      </c>
      <c r="AT13">
        <f>AT12</f>
        <v/>
      </c>
      <c r="AU13" t="n">
        <v>2.1</v>
      </c>
      <c r="AV13">
        <f>ROUND( 100+AS13,0)</f>
        <v/>
      </c>
      <c r="AW13" s="45" t="n"/>
      <c r="AX13" s="45" t="n">
        <v>12</v>
      </c>
      <c r="AY13" s="45">
        <f>(BA13/$AZ$2-1)*100</f>
        <v/>
      </c>
      <c r="AZ13" s="45" t="n"/>
      <c r="BA13" s="45" t="n">
        <v>4.2</v>
      </c>
      <c r="BB13">
        <f>ROUND( 100+AY13,0)</f>
        <v/>
      </c>
      <c r="BD13" t="n">
        <v>1500</v>
      </c>
      <c r="BE13" s="50" t="inlineStr">
        <is>
          <t>12</t>
        </is>
      </c>
      <c r="BF13">
        <f>BD13&amp;"|"&amp;BE13</f>
        <v/>
      </c>
      <c r="BH13" t="n">
        <v>12</v>
      </c>
      <c r="BI13" s="45">
        <f>(BK13/BJ13-1)*100</f>
        <v/>
      </c>
      <c r="BJ13">
        <f>BJ12</f>
        <v/>
      </c>
      <c r="BK13" t="n">
        <v>3.46</v>
      </c>
      <c r="BL13" s="43">
        <f>_xlfn.TEXTJOIN("|",TRUE,BI13,BI13,BI13,BI13,BI13)</f>
        <v/>
      </c>
      <c r="BM13">
        <f>ROUND( 100+BI13,0)</f>
        <v/>
      </c>
      <c r="BN13" s="50">
        <f>BM13/10</f>
        <v/>
      </c>
      <c r="BO13" s="50">
        <f>1.5*BM13/10</f>
        <v/>
      </c>
      <c r="BP13" s="50">
        <f>2*BM13/10</f>
        <v/>
      </c>
      <c r="BQ13" s="50">
        <f>2.5*BM13/10</f>
        <v/>
      </c>
      <c r="BR13" s="50">
        <f>3*BM13/10</f>
        <v/>
      </c>
      <c r="BT13" t="n">
        <v>12</v>
      </c>
      <c r="BU13">
        <f>(BW13/$BV$2-1)*100</f>
        <v/>
      </c>
      <c r="BW13" t="n">
        <v>3.2</v>
      </c>
      <c r="BX13" s="49">
        <f>CA13&amp;"|"&amp;CB13</f>
        <v/>
      </c>
      <c r="BY13">
        <f>ROUND( 100+BU13,0)</f>
        <v/>
      </c>
      <c r="BZ13">
        <f>2*BU13</f>
        <v/>
      </c>
      <c r="CA13" s="50">
        <f>BZ13/3</f>
        <v/>
      </c>
      <c r="CB13" s="50">
        <f>CA13*2</f>
        <v/>
      </c>
      <c r="CD13" t="n">
        <v>12</v>
      </c>
      <c r="CE13" s="50">
        <f>((CG13/$CF$2-1)*100)</f>
        <v/>
      </c>
      <c r="CG13" t="n">
        <v>2.1</v>
      </c>
      <c r="CH13" s="53">
        <f>CE13</f>
        <v/>
      </c>
      <c r="CI13">
        <f>ROUND( 100+CE13,0)</f>
        <v/>
      </c>
      <c r="CJ13" s="11" t="n"/>
      <c r="CK13" s="11" t="n">
        <v>12</v>
      </c>
      <c r="CL13" s="11">
        <f>(CN13/$CF$2-1)*100</f>
        <v/>
      </c>
      <c r="CM13" s="11" t="n"/>
      <c r="CN13" s="11">
        <f>0.08*CK13+3.92</f>
        <v/>
      </c>
      <c r="CO13" s="53">
        <f>CL13</f>
        <v/>
      </c>
      <c r="CP13" t="n">
        <v>105</v>
      </c>
      <c r="CQ13" t="n">
        <v>88</v>
      </c>
      <c r="CR13">
        <f>CP13&amp;"|"&amp;CQ13</f>
        <v/>
      </c>
      <c r="CT13" s="26" t="n"/>
      <c r="CV13" s="50" t="n">
        <v>27</v>
      </c>
      <c r="CW13" t="n">
        <v>12</v>
      </c>
      <c r="CX13">
        <f>DA13&amp;"|"&amp;DA13&amp;"|"&amp;DA13&amp;"|"&amp;DA13&amp;"|"&amp;DA13</f>
        <v/>
      </c>
      <c r="CY13" t="n">
        <v>1.6</v>
      </c>
      <c r="CZ13">
        <f>CZ12</f>
        <v/>
      </c>
      <c r="DA13">
        <f>(CY13/CZ13-1)*100</f>
        <v/>
      </c>
      <c r="DB13" s="50">
        <f>ROUND( 100+DA13,0)</f>
        <v/>
      </c>
      <c r="DC13" t="n">
        <v>16.6</v>
      </c>
      <c r="DD13">
        <f>_xlfn.TEXTJOIN("|",TRUE,DB13:DC13)</f>
        <v/>
      </c>
      <c r="DF13" t="n">
        <v>12</v>
      </c>
      <c r="DG13" t="n">
        <v>510</v>
      </c>
      <c r="DI13" s="50" t="n">
        <v>-89</v>
      </c>
      <c r="DJ13" s="50" t="n">
        <v>-86</v>
      </c>
      <c r="DK13" s="45" t="n"/>
      <c r="DL13" s="45" t="n">
        <v>12</v>
      </c>
      <c r="DM13">
        <f>(DO13/$DN$2-1)*100</f>
        <v/>
      </c>
      <c r="DN13" s="45" t="n"/>
      <c r="DO13" s="45" t="n">
        <v>2.85</v>
      </c>
      <c r="DP13" s="52" t="n">
        <v>-88</v>
      </c>
      <c r="DQ13" s="50">
        <f>ROUND( 100+DM13,0)</f>
        <v/>
      </c>
      <c r="DR13" s="50">
        <f>ROUND( 100+DP13,0)</f>
        <v/>
      </c>
      <c r="DS13">
        <f>_xlfn.TEXTJOIN("|",TRUE,DQ13:DR13)</f>
        <v/>
      </c>
      <c r="DU13" t="n">
        <v>12</v>
      </c>
      <c r="DV13" s="45">
        <f>(DX13/DW13-1)*100</f>
        <v/>
      </c>
      <c r="DW13">
        <f>DW12</f>
        <v/>
      </c>
      <c r="DX13" t="n">
        <v>2.52</v>
      </c>
      <c r="DZ13">
        <f>ROUND( 100+DV13,0)</f>
        <v/>
      </c>
      <c r="EB13" t="n">
        <v>12</v>
      </c>
      <c r="EC13" s="50">
        <f>(EE13/$ED$2-1)*100</f>
        <v/>
      </c>
      <c r="ED13">
        <f>ED12</f>
        <v/>
      </c>
      <c r="EE13" t="n">
        <v>2.43</v>
      </c>
      <c r="EF13" s="43">
        <f>_xlfn.TEXTJOIN("|",TRUE,EC13,EC13,EC13,EC13,EC13,EC13)</f>
        <v/>
      </c>
      <c r="EG13" s="50">
        <f>ROUND( 100+EC13,0)</f>
        <v/>
      </c>
      <c r="EH13" s="43" t="n"/>
      <c r="EJ13" t="n">
        <v>12</v>
      </c>
      <c r="EK13" s="50">
        <f>(EM13/EL13-1)*100</f>
        <v/>
      </c>
      <c r="EL13">
        <f>EL12</f>
        <v/>
      </c>
      <c r="EM13" t="n">
        <v>2.1</v>
      </c>
      <c r="EN13" s="43">
        <f>EK13&amp;"|"&amp;EK13&amp;"|"&amp;EK13&amp;"|"&amp;EK13&amp;"|"&amp;EK13&amp;"|"&amp;EK13</f>
        <v/>
      </c>
      <c r="EO13" s="50">
        <f>ROUND( 100+EK13,0)</f>
        <v/>
      </c>
      <c r="EP13" s="50" t="n"/>
      <c r="EQ13" s="50" t="n"/>
      <c r="ER13" s="50">
        <f>(ET13/ES13-1)*100</f>
        <v/>
      </c>
      <c r="ES13" s="50">
        <f>ES12</f>
        <v/>
      </c>
      <c r="ET13" t="n">
        <v>3.15</v>
      </c>
      <c r="EU13" s="50" t="n"/>
      <c r="EV13" s="50">
        <f>ROUND( 100+ER13,0)</f>
        <v/>
      </c>
      <c r="EW13" s="50">
        <f>(EX13/EY13-1)*100</f>
        <v/>
      </c>
      <c r="EX13" t="n">
        <v>2.73</v>
      </c>
      <c r="EY13">
        <f>EY12</f>
        <v/>
      </c>
      <c r="EZ13" t="n">
        <v>71.40000000000001</v>
      </c>
      <c r="FA13" t="n">
        <v>2.682</v>
      </c>
      <c r="FB13" s="50">
        <f>ROUND( 100+EW13,0)</f>
        <v/>
      </c>
      <c r="FC13">
        <f>EW13&amp;"|"&amp;EZ13&amp;"|"&amp;FA13</f>
        <v/>
      </c>
      <c r="FE13" t="n">
        <v>12</v>
      </c>
      <c r="FF13" s="50">
        <f>(FH13/FG13-1)*100</f>
        <v/>
      </c>
      <c r="FG13">
        <f>FG12</f>
        <v/>
      </c>
      <c r="FH13">
        <f>2*(1+FE12*0.1)</f>
        <v/>
      </c>
      <c r="FJ13" t="n">
        <v>12</v>
      </c>
      <c r="FK13" s="50">
        <f>(FN13/FM13-1)*100</f>
        <v/>
      </c>
      <c r="FL13" s="50">
        <f>FL12</f>
        <v/>
      </c>
      <c r="FM13">
        <f>FM12</f>
        <v/>
      </c>
      <c r="FN13">
        <f>2*(1+FJ12*0.1)</f>
        <v/>
      </c>
      <c r="FP13" t="n">
        <v>12</v>
      </c>
      <c r="FQ13" s="50">
        <f>ROUND((FS13/FR13-1)*100,0)</f>
        <v/>
      </c>
      <c r="FR13">
        <f>FR12</f>
        <v/>
      </c>
      <c r="FS13">
        <f>2*(1+FP12*0.1)</f>
        <v/>
      </c>
      <c r="FT13">
        <f>_xlfn.TEXTJOIN("|",TRUE,FQ13,FQ13,FQ13)</f>
        <v/>
      </c>
    </row>
    <row r="14">
      <c r="G14" t="n">
        <v>13</v>
      </c>
      <c r="H14">
        <f>(J14/I14-1)*100</f>
        <v/>
      </c>
      <c r="I14">
        <f>I13</f>
        <v/>
      </c>
      <c r="J14" t="n">
        <v>2.44</v>
      </c>
      <c r="K14" s="49">
        <f>H14&amp;"|"&amp;H14&amp;"|"&amp;H14&amp;"|"&amp;H14&amp;"|"&amp;H14</f>
        <v/>
      </c>
      <c r="L14">
        <f>ROUND( 100+H14,0)</f>
        <v/>
      </c>
      <c r="M14" s="49" t="n"/>
      <c r="N14" s="49" t="n">
        <v>13</v>
      </c>
      <c r="O14">
        <f>(Q14/P14-1)*100</f>
        <v/>
      </c>
      <c r="P14">
        <f>P13</f>
        <v/>
      </c>
      <c r="Q14" t="n">
        <v>2.52</v>
      </c>
      <c r="R14" s="49">
        <f>O14&amp;"|"&amp;O14&amp;"|"&amp;O14</f>
        <v/>
      </c>
      <c r="S14">
        <f>ROUND( 100+O14,0)</f>
        <v/>
      </c>
      <c r="U14" t="n">
        <v>13</v>
      </c>
      <c r="V14">
        <f>(X14/W14-1)*100</f>
        <v/>
      </c>
      <c r="W14">
        <f>W13</f>
        <v/>
      </c>
      <c r="X14" t="n">
        <v>3.28</v>
      </c>
      <c r="Y14" s="49">
        <f>V14&amp;"|"&amp;V14&amp;"|"&amp;V14&amp;"|"&amp;V14&amp;"|"&amp;V14&amp;"|"&amp;V14&amp;"|"&amp;V14&amp;"|"&amp;V14</f>
        <v/>
      </c>
      <c r="Z14">
        <f>ROUND( 100+V14,0)</f>
        <v/>
      </c>
      <c r="AA14">
        <f>1.38*U14-39.38</f>
        <v/>
      </c>
      <c r="AC14" t="n">
        <v>13</v>
      </c>
      <c r="AD14">
        <f>(AF14/AE14-1)*100</f>
        <v/>
      </c>
      <c r="AE14" t="n">
        <v>1</v>
      </c>
      <c r="AF14" t="n">
        <v>3.23</v>
      </c>
      <c r="AH14">
        <f>ROUND( 100+AD14,0)</f>
        <v/>
      </c>
      <c r="AJ14" t="n">
        <v>13</v>
      </c>
      <c r="AL14" t="n">
        <v>2200</v>
      </c>
      <c r="AM14" t="n">
        <v>8</v>
      </c>
      <c r="AO14">
        <f>_xlfn.TEXTJOIN("|",TRUE,AL14:AM14)</f>
        <v/>
      </c>
      <c r="AR14" t="n">
        <v>13</v>
      </c>
      <c r="AS14">
        <f>(AU14/AT14-1)*100</f>
        <v/>
      </c>
      <c r="AT14">
        <f>AT13</f>
        <v/>
      </c>
      <c r="AU14" t="n">
        <v>2.2</v>
      </c>
      <c r="AV14">
        <f>ROUND( 100+AS14,0)</f>
        <v/>
      </c>
      <c r="AW14" s="45" t="n"/>
      <c r="AX14" s="45" t="n">
        <v>13</v>
      </c>
      <c r="AY14" s="45">
        <f>(BA14/$AZ$2-1)*100</f>
        <v/>
      </c>
      <c r="AZ14" s="45" t="n"/>
      <c r="BA14" s="45" t="n">
        <v>4.4</v>
      </c>
      <c r="BB14">
        <f>ROUND( 100+AY14,0)</f>
        <v/>
      </c>
      <c r="BD14" t="n">
        <v>1600</v>
      </c>
      <c r="BE14" s="50" t="inlineStr">
        <is>
          <t>12</t>
        </is>
      </c>
      <c r="BF14">
        <f>BD14&amp;"|"&amp;BE14</f>
        <v/>
      </c>
      <c r="BH14" t="n">
        <v>13</v>
      </c>
      <c r="BI14" s="45">
        <f>(BK14/BJ14-1)*100</f>
        <v/>
      </c>
      <c r="BJ14">
        <f>BJ13</f>
        <v/>
      </c>
      <c r="BK14" t="n">
        <v>3.62</v>
      </c>
      <c r="BL14" s="43">
        <f>_xlfn.TEXTJOIN("|",TRUE,BI14,BI14,BI14,BI14,BI14)</f>
        <v/>
      </c>
      <c r="BM14">
        <f>ROUND( 100+BI14,0)</f>
        <v/>
      </c>
      <c r="BN14" s="50">
        <f>BM14/10</f>
        <v/>
      </c>
      <c r="BO14" s="50">
        <f>1.5*BM14/10</f>
        <v/>
      </c>
      <c r="BP14" s="50">
        <f>2*BM14/10</f>
        <v/>
      </c>
      <c r="BQ14" s="50">
        <f>2.5*BM14/10</f>
        <v/>
      </c>
      <c r="BR14" s="50">
        <f>3*BM14/10</f>
        <v/>
      </c>
      <c r="BT14" t="n">
        <v>13</v>
      </c>
      <c r="BU14">
        <f>(BW14/$BV$2-1)*100</f>
        <v/>
      </c>
      <c r="BW14" t="n">
        <v>3.4</v>
      </c>
      <c r="BX14" s="49">
        <f>CA14&amp;"|"&amp;CB14</f>
        <v/>
      </c>
      <c r="BY14">
        <f>ROUND( 100+BU14,0)</f>
        <v/>
      </c>
      <c r="BZ14">
        <f>2*BU14</f>
        <v/>
      </c>
      <c r="CA14" s="50">
        <f>BZ14/3</f>
        <v/>
      </c>
      <c r="CB14" s="50">
        <f>CA14*2</f>
        <v/>
      </c>
      <c r="CD14" t="n">
        <v>13</v>
      </c>
      <c r="CE14" s="50">
        <f>((CG14/$CF$2-1)*100)</f>
        <v/>
      </c>
      <c r="CG14" t="n">
        <v>2.2</v>
      </c>
      <c r="CH14" s="53">
        <f>CE14</f>
        <v/>
      </c>
      <c r="CI14">
        <f>ROUND( 100+CE14,0)</f>
        <v/>
      </c>
      <c r="CJ14" s="11" t="n"/>
      <c r="CK14" s="11" t="n">
        <v>13</v>
      </c>
      <c r="CL14" s="11">
        <f>(CN14/$CF$2-1)*100</f>
        <v/>
      </c>
      <c r="CM14" s="11" t="n"/>
      <c r="CN14" s="11">
        <f>0.08*CK14+3.92</f>
        <v/>
      </c>
      <c r="CO14" s="53">
        <f>CL14</f>
        <v/>
      </c>
      <c r="CP14" t="n">
        <v>110</v>
      </c>
      <c r="CQ14" t="n">
        <v>87</v>
      </c>
      <c r="CR14">
        <f>CP14&amp;"|"&amp;CQ14</f>
        <v/>
      </c>
      <c r="CT14" s="26" t="n"/>
      <c r="CV14" s="50" t="n">
        <v>28</v>
      </c>
      <c r="CW14" t="n">
        <v>13</v>
      </c>
      <c r="CX14">
        <f>DA14&amp;"|"&amp;DA14&amp;"|"&amp;DA14&amp;"|"&amp;DA14&amp;"|"&amp;DA14</f>
        <v/>
      </c>
      <c r="CY14" t="n">
        <v>1.7</v>
      </c>
      <c r="CZ14">
        <f>CZ13</f>
        <v/>
      </c>
      <c r="DA14">
        <f>(CY14/CZ14-1)*100</f>
        <v/>
      </c>
      <c r="DB14" s="50">
        <f>ROUND( 100+DA14,0)</f>
        <v/>
      </c>
      <c r="DC14" t="n">
        <v>17.2</v>
      </c>
      <c r="DD14">
        <f>_xlfn.TEXTJOIN("|",TRUE,DB14:DC14)</f>
        <v/>
      </c>
      <c r="DF14" t="n">
        <v>13</v>
      </c>
      <c r="DG14" t="n">
        <v>520</v>
      </c>
      <c r="DI14" s="50" t="n">
        <v>-87</v>
      </c>
      <c r="DJ14" s="50" t="n">
        <v>-85</v>
      </c>
      <c r="DK14" s="45" t="n"/>
      <c r="DL14" s="45" t="n">
        <v>13</v>
      </c>
      <c r="DM14">
        <f>(DO14/$DN$2-1)*100</f>
        <v/>
      </c>
      <c r="DN14" s="45" t="n"/>
      <c r="DO14" s="45" t="n">
        <v>3</v>
      </c>
      <c r="DP14" s="52" t="n">
        <v>-87</v>
      </c>
      <c r="DQ14" s="50">
        <f>ROUND( 100+DM14,0)</f>
        <v/>
      </c>
      <c r="DR14" s="50">
        <f>ROUND( 100+DP14,0)</f>
        <v/>
      </c>
      <c r="DS14">
        <f>_xlfn.TEXTJOIN("|",TRUE,DQ14:DR14)</f>
        <v/>
      </c>
      <c r="DU14" t="n">
        <v>13</v>
      </c>
      <c r="DV14" s="45">
        <f>(DX14/DW14-1)*100</f>
        <v/>
      </c>
      <c r="DW14">
        <f>DW13</f>
        <v/>
      </c>
      <c r="DX14" t="n">
        <v>2.64</v>
      </c>
      <c r="DZ14">
        <f>ROUND( 100+DV14,0)</f>
        <v/>
      </c>
      <c r="EB14" t="n">
        <v>13</v>
      </c>
      <c r="EC14" s="50">
        <f>(EE14/$ED$2-1)*100</f>
        <v/>
      </c>
      <c r="ED14">
        <f>ED13</f>
        <v/>
      </c>
      <c r="EE14" t="n">
        <v>2.56</v>
      </c>
      <c r="EF14" s="43">
        <f>_xlfn.TEXTJOIN("|",TRUE,EC14,EC14,EC14,EC14,EC14,EC14)</f>
        <v/>
      </c>
      <c r="EG14" s="50">
        <f>ROUND( 100+EC14,0)</f>
        <v/>
      </c>
      <c r="EH14" s="43" t="n"/>
      <c r="EJ14" t="n">
        <v>13</v>
      </c>
      <c r="EK14" s="50">
        <f>(EM14/EL14-1)*100</f>
        <v/>
      </c>
      <c r="EL14">
        <f>EL13</f>
        <v/>
      </c>
      <c r="EM14" t="n">
        <v>2.2</v>
      </c>
      <c r="EN14" s="43">
        <f>EK14&amp;"|"&amp;EK14&amp;"|"&amp;EK14&amp;"|"&amp;EK14&amp;"|"&amp;EK14&amp;"|"&amp;EK14</f>
        <v/>
      </c>
      <c r="EO14" s="50">
        <f>ROUND( 100+EK14,0)</f>
        <v/>
      </c>
      <c r="EP14" s="50" t="n"/>
      <c r="EQ14" s="50" t="n"/>
      <c r="ER14" s="50">
        <f>(ET14/ES14-1)*100</f>
        <v/>
      </c>
      <c r="ES14" s="50">
        <f>ES13</f>
        <v/>
      </c>
      <c r="ET14" t="n">
        <v>3.3</v>
      </c>
      <c r="EU14" s="50" t="n"/>
      <c r="EV14" s="50">
        <f>ROUND( 100+ER14,0)</f>
        <v/>
      </c>
      <c r="EW14" s="50">
        <f>(EX14/EY14-1)*100</f>
        <v/>
      </c>
      <c r="EX14" t="n">
        <v>2.86</v>
      </c>
      <c r="EY14">
        <f>EY13</f>
        <v/>
      </c>
      <c r="EZ14" t="n">
        <v>74.8</v>
      </c>
      <c r="FA14" t="n">
        <v>2.744</v>
      </c>
      <c r="FB14" s="50">
        <f>ROUND( 100+EW14,0)</f>
        <v/>
      </c>
      <c r="FC14">
        <f>EW14&amp;"|"&amp;EZ14&amp;"|"&amp;FA14</f>
        <v/>
      </c>
      <c r="FE14" t="n">
        <v>13</v>
      </c>
      <c r="FF14" s="50">
        <f>(FH14/FG14-1)*100</f>
        <v/>
      </c>
      <c r="FG14">
        <f>FG13</f>
        <v/>
      </c>
      <c r="FH14">
        <f>2*(1+FE13*0.1)</f>
        <v/>
      </c>
      <c r="FJ14" t="n">
        <v>13</v>
      </c>
      <c r="FK14" s="50">
        <f>(FN14/FM14-1)*100</f>
        <v/>
      </c>
      <c r="FL14" s="50">
        <f>FL13</f>
        <v/>
      </c>
      <c r="FM14">
        <f>FM13</f>
        <v/>
      </c>
      <c r="FN14">
        <f>2*(1+FJ13*0.1)</f>
        <v/>
      </c>
      <c r="FP14" t="n">
        <v>13</v>
      </c>
      <c r="FQ14" s="50">
        <f>ROUND((FS14/FR14-1)*100,0)</f>
        <v/>
      </c>
      <c r="FR14">
        <f>FR13</f>
        <v/>
      </c>
      <c r="FS14">
        <f>2*(1+FP13*0.1)</f>
        <v/>
      </c>
      <c r="FT14">
        <f>_xlfn.TEXTJOIN("|",TRUE,FQ14,FQ14,FQ14)</f>
        <v/>
      </c>
    </row>
    <row r="15">
      <c r="G15" t="n">
        <v>14</v>
      </c>
      <c r="H15">
        <f>(J15/I15-1)*100</f>
        <v/>
      </c>
      <c r="I15">
        <f>I14</f>
        <v/>
      </c>
      <c r="J15" t="n">
        <v>2.56</v>
      </c>
      <c r="K15" s="49">
        <f>H15&amp;"|"&amp;H15&amp;"|"&amp;H15&amp;"|"&amp;H15&amp;"|"&amp;H15</f>
        <v/>
      </c>
      <c r="L15">
        <f>ROUND( 100+H15,0)</f>
        <v/>
      </c>
      <c r="M15" s="49" t="n"/>
      <c r="N15" s="49" t="n">
        <v>14</v>
      </c>
      <c r="O15">
        <f>(Q15/P15-1)*100</f>
        <v/>
      </c>
      <c r="P15">
        <f>P14</f>
        <v/>
      </c>
      <c r="Q15" t="n">
        <v>2.63</v>
      </c>
      <c r="R15" s="49">
        <f>O15&amp;"|"&amp;O15&amp;"|"&amp;O15</f>
        <v/>
      </c>
      <c r="S15">
        <f>ROUND( 100+O15,0)</f>
        <v/>
      </c>
      <c r="U15" t="n">
        <v>14</v>
      </c>
      <c r="V15">
        <f>(X15/W15-1)*100</f>
        <v/>
      </c>
      <c r="W15">
        <f>W14</f>
        <v/>
      </c>
      <c r="X15" t="n">
        <v>3.47</v>
      </c>
      <c r="Y15" s="49">
        <f>V15&amp;"|"&amp;V15&amp;"|"&amp;V15&amp;"|"&amp;V15&amp;"|"&amp;V15&amp;"|"&amp;V15&amp;"|"&amp;V15&amp;"|"&amp;V15</f>
        <v/>
      </c>
      <c r="Z15">
        <f>ROUND( 100+V15,0)</f>
        <v/>
      </c>
      <c r="AA15">
        <f>1.38*U15-39.38</f>
        <v/>
      </c>
      <c r="AC15" t="n">
        <v>14</v>
      </c>
      <c r="AD15">
        <f>(AF15/AE15-1)*100</f>
        <v/>
      </c>
      <c r="AE15" t="n">
        <v>1</v>
      </c>
      <c r="AF15" t="n">
        <v>3.37</v>
      </c>
      <c r="AH15">
        <f>ROUND( 100+AD15,0)</f>
        <v/>
      </c>
      <c r="AJ15" t="n">
        <v>14</v>
      </c>
      <c r="AL15" t="n">
        <v>2300</v>
      </c>
      <c r="AM15" t="n">
        <v>8.5</v>
      </c>
      <c r="AO15">
        <f>_xlfn.TEXTJOIN("|",TRUE,AL15:AM15)</f>
        <v/>
      </c>
      <c r="AR15" t="n">
        <v>14</v>
      </c>
      <c r="AS15">
        <f>(AU15/AT15-1)*100</f>
        <v/>
      </c>
      <c r="AT15">
        <f>AT14</f>
        <v/>
      </c>
      <c r="AU15" t="n">
        <v>2.3</v>
      </c>
      <c r="AV15">
        <f>ROUND( 100+AS15,0)</f>
        <v/>
      </c>
      <c r="AW15" s="45" t="n"/>
      <c r="AX15" s="45" t="n">
        <v>14</v>
      </c>
      <c r="AY15" s="45">
        <f>(BA15/$AZ$2-1)*100</f>
        <v/>
      </c>
      <c r="AZ15" s="45" t="n"/>
      <c r="BA15" s="45" t="n">
        <v>4.6</v>
      </c>
      <c r="BB15">
        <f>ROUND( 100+AY15,0)</f>
        <v/>
      </c>
      <c r="BD15" t="n">
        <v>1700</v>
      </c>
      <c r="BE15" s="50" t="inlineStr">
        <is>
          <t>12</t>
        </is>
      </c>
      <c r="BF15">
        <f>BD15&amp;"|"&amp;BE15</f>
        <v/>
      </c>
      <c r="BH15" t="n">
        <v>14</v>
      </c>
      <c r="BI15" s="45">
        <f>(BK15/BJ15-1)*100</f>
        <v/>
      </c>
      <c r="BJ15">
        <f>BJ14</f>
        <v/>
      </c>
      <c r="BK15" t="n">
        <v>3.78</v>
      </c>
      <c r="BL15" s="43">
        <f>_xlfn.TEXTJOIN("|",TRUE,BI15,BI15,BI15,BI15,BI15)</f>
        <v/>
      </c>
      <c r="BM15">
        <f>ROUND( 100+BI15,0)</f>
        <v/>
      </c>
      <c r="BN15" s="50">
        <f>BM15/10</f>
        <v/>
      </c>
      <c r="BO15" s="50">
        <f>1.5*BM15/10</f>
        <v/>
      </c>
      <c r="BP15" s="50">
        <f>2*BM15/10</f>
        <v/>
      </c>
      <c r="BQ15" s="50">
        <f>2.5*BM15/10</f>
        <v/>
      </c>
      <c r="BR15" s="50">
        <f>3*BM15/10</f>
        <v/>
      </c>
      <c r="BT15" t="n">
        <v>14</v>
      </c>
      <c r="BU15">
        <f>(BW15/$BV$2-1)*100</f>
        <v/>
      </c>
      <c r="BW15" t="n">
        <v>3.6</v>
      </c>
      <c r="BX15" s="49">
        <f>CA15&amp;"|"&amp;CB15</f>
        <v/>
      </c>
      <c r="BY15">
        <f>ROUND( 100+BU15,0)</f>
        <v/>
      </c>
      <c r="BZ15">
        <f>2*BU15</f>
        <v/>
      </c>
      <c r="CA15" s="50">
        <f>BZ15/3</f>
        <v/>
      </c>
      <c r="CB15" s="50">
        <f>CA15*2</f>
        <v/>
      </c>
      <c r="CD15" t="n">
        <v>14</v>
      </c>
      <c r="CE15" s="50">
        <f>((CG15/$CF$2-1)*100)</f>
        <v/>
      </c>
      <c r="CG15" t="n">
        <v>2.3</v>
      </c>
      <c r="CH15" s="53">
        <f>CE15</f>
        <v/>
      </c>
      <c r="CI15">
        <f>ROUND( 100+CE15,0)</f>
        <v/>
      </c>
      <c r="CJ15" s="11" t="n"/>
      <c r="CK15" s="11" t="n">
        <v>14</v>
      </c>
      <c r="CL15" s="11">
        <f>(CN15/$CF$2-1)*100</f>
        <v/>
      </c>
      <c r="CM15" s="11" t="n"/>
      <c r="CN15" s="11">
        <f>0.08*CK15+3.92</f>
        <v/>
      </c>
      <c r="CO15" s="53">
        <f>CL15</f>
        <v/>
      </c>
      <c r="CP15" t="n">
        <v>115</v>
      </c>
      <c r="CQ15" t="n">
        <v>86</v>
      </c>
      <c r="CR15">
        <f>CP15&amp;"|"&amp;CQ15</f>
        <v/>
      </c>
      <c r="CT15" s="26" t="n"/>
      <c r="CV15" s="50" t="n">
        <v>30</v>
      </c>
      <c r="CW15" t="n">
        <v>14</v>
      </c>
      <c r="CX15">
        <f>DA15&amp;"|"&amp;DA15&amp;"|"&amp;DA15&amp;"|"&amp;DA15&amp;"|"&amp;DA15</f>
        <v/>
      </c>
      <c r="CY15" t="n">
        <v>1.8</v>
      </c>
      <c r="CZ15">
        <f>CZ14</f>
        <v/>
      </c>
      <c r="DA15">
        <f>(CY15/CZ15-1)*100</f>
        <v/>
      </c>
      <c r="DB15" s="50">
        <f>ROUND( 100+DA15,0)</f>
        <v/>
      </c>
      <c r="DC15" t="n">
        <v>17.8</v>
      </c>
      <c r="DD15">
        <f>_xlfn.TEXTJOIN("|",TRUE,DB15:DC15)</f>
        <v/>
      </c>
      <c r="DF15" t="n">
        <v>14</v>
      </c>
      <c r="DG15" t="n">
        <v>530</v>
      </c>
      <c r="DI15" s="50" t="n">
        <v>-87</v>
      </c>
      <c r="DJ15" s="50" t="n">
        <v>-85</v>
      </c>
      <c r="DK15" s="45" t="n"/>
      <c r="DL15" s="45" t="n">
        <v>14</v>
      </c>
      <c r="DM15">
        <f>(DO15/$DN$2-1)*100</f>
        <v/>
      </c>
      <c r="DN15" s="45" t="n"/>
      <c r="DO15" s="45" t="n">
        <v>3.15</v>
      </c>
      <c r="DP15" s="52" t="n">
        <v>-86</v>
      </c>
      <c r="DQ15" s="50">
        <f>ROUND( 100+DM15,0)</f>
        <v/>
      </c>
      <c r="DR15" s="50">
        <f>ROUND( 100+DP15,0)</f>
        <v/>
      </c>
      <c r="DS15">
        <f>_xlfn.TEXTJOIN("|",TRUE,DQ15:DR15)</f>
        <v/>
      </c>
      <c r="DU15" t="n">
        <v>14</v>
      </c>
      <c r="DV15" s="45">
        <f>(DX15/DW15-1)*100</f>
        <v/>
      </c>
      <c r="DW15">
        <f>DW14</f>
        <v/>
      </c>
      <c r="DX15" t="n">
        <v>2.76</v>
      </c>
      <c r="DZ15">
        <f>ROUND( 100+DV15,0)</f>
        <v/>
      </c>
      <c r="EB15" t="n">
        <v>14</v>
      </c>
      <c r="EC15" s="50">
        <f>(EE15/$ED$2-1)*100</f>
        <v/>
      </c>
      <c r="ED15">
        <f>ED14</f>
        <v/>
      </c>
      <c r="EE15" t="n">
        <v>2.69</v>
      </c>
      <c r="EF15" s="43">
        <f>_xlfn.TEXTJOIN("|",TRUE,EC15,EC15,EC15,EC15,EC15,EC15)</f>
        <v/>
      </c>
      <c r="EG15" s="50">
        <f>ROUND( 100+EC15,0)</f>
        <v/>
      </c>
      <c r="EH15" s="43" t="n"/>
      <c r="EJ15" t="n">
        <v>14</v>
      </c>
      <c r="EK15" s="50">
        <f>(EM15/EL15-1)*100</f>
        <v/>
      </c>
      <c r="EL15">
        <f>EL14</f>
        <v/>
      </c>
      <c r="EM15" t="n">
        <v>2.3</v>
      </c>
      <c r="EN15" s="43">
        <f>EK15&amp;"|"&amp;EK15&amp;"|"&amp;EK15&amp;"|"&amp;EK15&amp;"|"&amp;EK15&amp;"|"&amp;EK15</f>
        <v/>
      </c>
      <c r="EO15" s="50">
        <f>ROUND( 100+EK15,0)</f>
        <v/>
      </c>
      <c r="EP15" s="50" t="n"/>
      <c r="EQ15" s="50" t="n"/>
      <c r="ER15" s="50">
        <f>(ET15/ES15-1)*100</f>
        <v/>
      </c>
      <c r="ES15" s="50">
        <f>ES14</f>
        <v/>
      </c>
      <c r="ET15" t="n">
        <v>3.45</v>
      </c>
      <c r="EU15" s="50" t="n"/>
      <c r="EV15" s="50">
        <f>ROUND( 100+ER15,0)</f>
        <v/>
      </c>
      <c r="EW15" s="50">
        <f>(EX15/EY15-1)*100</f>
        <v/>
      </c>
      <c r="EX15" t="n">
        <v>2.99</v>
      </c>
      <c r="EY15">
        <f>EY14</f>
        <v/>
      </c>
      <c r="EZ15" t="n">
        <v>78.2</v>
      </c>
      <c r="FA15" t="n">
        <v>2.806</v>
      </c>
      <c r="FB15" s="50">
        <f>ROUND( 100+EW15,0)</f>
        <v/>
      </c>
      <c r="FC15">
        <f>EW15&amp;"|"&amp;EZ15&amp;"|"&amp;FA15</f>
        <v/>
      </c>
      <c r="FE15" t="n">
        <v>14</v>
      </c>
      <c r="FF15" s="50">
        <f>(FH15/FG15-1)*100</f>
        <v/>
      </c>
      <c r="FG15">
        <f>FG14</f>
        <v/>
      </c>
      <c r="FH15">
        <f>2*(1+FE14*0.1)</f>
        <v/>
      </c>
      <c r="FJ15" t="n">
        <v>14</v>
      </c>
      <c r="FK15" s="50">
        <f>(FN15/FM15-1)*100</f>
        <v/>
      </c>
      <c r="FL15" s="50">
        <f>FL14</f>
        <v/>
      </c>
      <c r="FM15">
        <f>FM14</f>
        <v/>
      </c>
      <c r="FN15">
        <f>2*(1+FJ14*0.1)</f>
        <v/>
      </c>
      <c r="FP15" t="n">
        <v>14</v>
      </c>
      <c r="FQ15" s="50">
        <f>ROUND((FS15/FR15-1)*100,0)</f>
        <v/>
      </c>
      <c r="FR15">
        <f>FR14</f>
        <v/>
      </c>
      <c r="FS15">
        <f>2*(1+FP14*0.1)</f>
        <v/>
      </c>
      <c r="FT15">
        <f>_xlfn.TEXTJOIN("|",TRUE,FQ15,FQ15,FQ15)</f>
        <v/>
      </c>
    </row>
    <row r="16">
      <c r="G16" t="n">
        <v>15</v>
      </c>
      <c r="H16">
        <f>(J16/I16-1)*100</f>
        <v/>
      </c>
      <c r="I16">
        <f>I15</f>
        <v/>
      </c>
      <c r="J16" t="n">
        <v>2.68</v>
      </c>
      <c r="K16" s="49">
        <f>H16&amp;"|"&amp;H16&amp;"|"&amp;H16&amp;"|"&amp;H16&amp;"|"&amp;H16</f>
        <v/>
      </c>
      <c r="L16">
        <f>ROUND( 100+H16,0)</f>
        <v/>
      </c>
      <c r="M16" s="49" t="n"/>
      <c r="N16" s="49" t="n">
        <v>15</v>
      </c>
      <c r="O16">
        <f>(Q16/P16-1)*100</f>
        <v/>
      </c>
      <c r="P16">
        <f>P15</f>
        <v/>
      </c>
      <c r="Q16" t="n">
        <v>2.74</v>
      </c>
      <c r="R16" s="49">
        <f>O16&amp;"|"&amp;O16&amp;"|"&amp;O16</f>
        <v/>
      </c>
      <c r="S16">
        <f>ROUND( 100+O16,0)</f>
        <v/>
      </c>
      <c r="U16" t="n">
        <v>15</v>
      </c>
      <c r="V16">
        <f>(X16/W16-1)*100</f>
        <v/>
      </c>
      <c r="W16">
        <f>W15</f>
        <v/>
      </c>
      <c r="X16" t="n">
        <v>3.66</v>
      </c>
      <c r="Y16" s="49">
        <f>V16&amp;"|"&amp;V16&amp;"|"&amp;V16&amp;"|"&amp;V16&amp;"|"&amp;V16&amp;"|"&amp;V16&amp;"|"&amp;V16&amp;"|"&amp;V16</f>
        <v/>
      </c>
      <c r="Z16">
        <f>ROUND( 100+V16,0)</f>
        <v/>
      </c>
      <c r="AA16">
        <f>1.38*U16-39.38</f>
        <v/>
      </c>
      <c r="AC16" t="n">
        <v>15</v>
      </c>
      <c r="AD16">
        <f>(AF16/AE16-1)*100</f>
        <v/>
      </c>
      <c r="AE16" t="n">
        <v>1</v>
      </c>
      <c r="AF16" t="n">
        <v>3.51</v>
      </c>
      <c r="AH16">
        <f>ROUND( 100+AD16,0)</f>
        <v/>
      </c>
      <c r="AJ16" t="n">
        <v>15</v>
      </c>
      <c r="AL16" t="n">
        <v>2400</v>
      </c>
      <c r="AM16" t="n">
        <v>9</v>
      </c>
      <c r="AO16">
        <f>_xlfn.TEXTJOIN("|",TRUE,AL16:AM16)</f>
        <v/>
      </c>
      <c r="AR16" t="n">
        <v>15</v>
      </c>
      <c r="AS16">
        <f>(AU16/AT16-1)*100</f>
        <v/>
      </c>
      <c r="AT16">
        <f>AT15</f>
        <v/>
      </c>
      <c r="AU16" t="n">
        <v>2.4</v>
      </c>
      <c r="AV16">
        <f>ROUND( 100+AS16,0)</f>
        <v/>
      </c>
      <c r="AW16" s="45" t="n"/>
      <c r="AX16" s="45" t="n">
        <v>15</v>
      </c>
      <c r="AY16" s="45">
        <f>(BA16/$AZ$2-1)*100</f>
        <v/>
      </c>
      <c r="AZ16" s="45" t="n"/>
      <c r="BA16" s="45" t="n">
        <v>4.8</v>
      </c>
      <c r="BB16">
        <f>ROUND( 100+AY16,0)</f>
        <v/>
      </c>
      <c r="BD16" t="n">
        <v>1800</v>
      </c>
      <c r="BE16" s="50" t="inlineStr">
        <is>
          <t>12</t>
        </is>
      </c>
      <c r="BF16">
        <f>BD16&amp;"|"&amp;BE16</f>
        <v/>
      </c>
      <c r="BH16" t="n">
        <v>15</v>
      </c>
      <c r="BI16" s="45">
        <f>(BK16/BJ16-1)*100</f>
        <v/>
      </c>
      <c r="BJ16">
        <f>BJ15</f>
        <v/>
      </c>
      <c r="BK16" t="n">
        <v>3.94</v>
      </c>
      <c r="BL16" s="43">
        <f>_xlfn.TEXTJOIN("|",TRUE,BI16,BI16,BI16,BI16,BI16)</f>
        <v/>
      </c>
      <c r="BM16">
        <f>ROUND( 100+BI16,0)</f>
        <v/>
      </c>
      <c r="BN16" s="50">
        <f>BM16/10</f>
        <v/>
      </c>
      <c r="BO16" s="50">
        <f>1.5*BM16/10</f>
        <v/>
      </c>
      <c r="BP16" s="50">
        <f>2*BM16/10</f>
        <v/>
      </c>
      <c r="BQ16" s="50">
        <f>2.5*BM16/10</f>
        <v/>
      </c>
      <c r="BR16" s="50">
        <f>3*BM16/10</f>
        <v/>
      </c>
      <c r="BT16" t="n">
        <v>15</v>
      </c>
      <c r="BU16">
        <f>(BW16/$BV$2-1)*100</f>
        <v/>
      </c>
      <c r="BW16" t="n">
        <v>3.8</v>
      </c>
      <c r="BX16" s="49">
        <f>CA16&amp;"|"&amp;CB16</f>
        <v/>
      </c>
      <c r="BY16">
        <f>ROUND( 100+BU16,0)</f>
        <v/>
      </c>
      <c r="BZ16">
        <f>2*BU16</f>
        <v/>
      </c>
      <c r="CA16" s="50">
        <f>BZ16/3</f>
        <v/>
      </c>
      <c r="CB16" s="50">
        <f>CA16*2</f>
        <v/>
      </c>
      <c r="CD16" t="n">
        <v>15</v>
      </c>
      <c r="CE16" s="50">
        <f>((CG16/$CF$2-1)*100)</f>
        <v/>
      </c>
      <c r="CG16" t="n">
        <v>2.4</v>
      </c>
      <c r="CH16" s="53">
        <f>CE16</f>
        <v/>
      </c>
      <c r="CI16">
        <f>ROUND( 100+CE16,0)</f>
        <v/>
      </c>
      <c r="CJ16" s="11" t="n"/>
      <c r="CK16" s="11" t="n">
        <v>15</v>
      </c>
      <c r="CL16" s="11">
        <f>(CN16/$CF$2-1)*100</f>
        <v/>
      </c>
      <c r="CM16" s="11" t="n"/>
      <c r="CN16" s="11">
        <f>0.08*CK16+3.92</f>
        <v/>
      </c>
      <c r="CO16" s="53">
        <f>CL16</f>
        <v/>
      </c>
      <c r="CP16" t="n">
        <v>120</v>
      </c>
      <c r="CQ16" t="n">
        <v>85</v>
      </c>
      <c r="CR16">
        <f>CP16&amp;"|"&amp;CQ16</f>
        <v/>
      </c>
      <c r="CT16" s="26" t="n"/>
      <c r="CV16" s="50" t="n">
        <v>31</v>
      </c>
      <c r="CW16" t="n">
        <v>15</v>
      </c>
      <c r="CX16">
        <f>DA16&amp;"|"&amp;DA16&amp;"|"&amp;DA16&amp;"|"&amp;DA16&amp;"|"&amp;DA16</f>
        <v/>
      </c>
      <c r="CY16" t="n">
        <v>1.9</v>
      </c>
      <c r="CZ16">
        <f>CZ15</f>
        <v/>
      </c>
      <c r="DA16">
        <f>(CY16/CZ16-1)*100</f>
        <v/>
      </c>
      <c r="DB16" s="50">
        <f>ROUND( 100+DA16,0)</f>
        <v/>
      </c>
      <c r="DC16" t="n">
        <v>18.4</v>
      </c>
      <c r="DD16">
        <f>_xlfn.TEXTJOIN("|",TRUE,DB16:DC16)</f>
        <v/>
      </c>
      <c r="DF16" t="n">
        <v>15</v>
      </c>
      <c r="DG16" t="n">
        <v>540</v>
      </c>
      <c r="DI16" s="50" t="n">
        <v>-86</v>
      </c>
      <c r="DJ16" s="50" t="n">
        <v>-83</v>
      </c>
      <c r="DK16" s="45" t="n"/>
      <c r="DL16" s="45" t="n">
        <v>15</v>
      </c>
      <c r="DM16">
        <f>(DO16/$DN$2-1)*100</f>
        <v/>
      </c>
      <c r="DN16" s="45" t="n"/>
      <c r="DO16" s="45" t="n">
        <v>3.3</v>
      </c>
      <c r="DP16" s="52" t="n">
        <v>-85</v>
      </c>
      <c r="DQ16" s="50">
        <f>ROUND( 100+DM16,0)</f>
        <v/>
      </c>
      <c r="DR16" s="50">
        <f>ROUND( 100+DP16,0)</f>
        <v/>
      </c>
      <c r="DS16">
        <f>_xlfn.TEXTJOIN("|",TRUE,DQ16:DR16)</f>
        <v/>
      </c>
      <c r="DU16" t="n">
        <v>15</v>
      </c>
      <c r="DV16" s="45">
        <f>(DX16/DW16-1)*100</f>
        <v/>
      </c>
      <c r="DW16">
        <f>DW15</f>
        <v/>
      </c>
      <c r="DX16" t="n">
        <v>2.88</v>
      </c>
      <c r="DZ16">
        <f>ROUND( 100+DV16,0)</f>
        <v/>
      </c>
      <c r="EB16" t="n">
        <v>15</v>
      </c>
      <c r="EC16" s="50">
        <f>(EE16/$ED$2-1)*100</f>
        <v/>
      </c>
      <c r="ED16">
        <f>ED15</f>
        <v/>
      </c>
      <c r="EE16" t="n">
        <v>2.82</v>
      </c>
      <c r="EF16" s="43">
        <f>_xlfn.TEXTJOIN("|",TRUE,EC16,EC16,EC16,EC16,EC16,EC16)</f>
        <v/>
      </c>
      <c r="EG16" s="50">
        <f>ROUND( 100+EC16,0)</f>
        <v/>
      </c>
      <c r="EH16" s="43" t="n"/>
      <c r="EJ16" t="n">
        <v>15</v>
      </c>
      <c r="EK16" s="50">
        <f>(EM16/EL16-1)*100</f>
        <v/>
      </c>
      <c r="EL16">
        <f>EL15</f>
        <v/>
      </c>
      <c r="EM16" t="n">
        <v>2.4</v>
      </c>
      <c r="EN16" s="43">
        <f>EK16&amp;"|"&amp;EK16&amp;"|"&amp;EK16&amp;"|"&amp;EK16&amp;"|"&amp;EK16&amp;"|"&amp;EK16</f>
        <v/>
      </c>
      <c r="EO16" s="50">
        <f>ROUND( 100+EK16,0)</f>
        <v/>
      </c>
      <c r="EP16" s="50" t="n"/>
      <c r="EQ16" s="50" t="n"/>
      <c r="ER16" s="50">
        <f>(ET16/ES16-1)*100</f>
        <v/>
      </c>
      <c r="ES16" s="50">
        <f>ES15</f>
        <v/>
      </c>
      <c r="ET16" t="n">
        <v>3.6</v>
      </c>
      <c r="EU16" s="50" t="n"/>
      <c r="EV16" s="50">
        <f>ROUND( 100+ER16,0)</f>
        <v/>
      </c>
      <c r="EW16" s="50">
        <f>(EX16/EY16-1)*100</f>
        <v/>
      </c>
      <c r="EX16" t="n">
        <v>3.12</v>
      </c>
      <c r="EY16">
        <f>EY15</f>
        <v/>
      </c>
      <c r="EZ16" t="n">
        <v>81.59999999999999</v>
      </c>
      <c r="FA16" t="n">
        <v>2.868</v>
      </c>
      <c r="FB16" s="50">
        <f>ROUND( 100+EW16,0)</f>
        <v/>
      </c>
      <c r="FC16">
        <f>EW16&amp;"|"&amp;EZ16&amp;"|"&amp;FA16</f>
        <v/>
      </c>
      <c r="FE16" t="n">
        <v>15</v>
      </c>
      <c r="FF16" s="50">
        <f>(FH16/FG16-1)*100</f>
        <v/>
      </c>
      <c r="FG16">
        <f>FG15</f>
        <v/>
      </c>
      <c r="FH16">
        <f>2*(1+FE15*0.1)</f>
        <v/>
      </c>
      <c r="FJ16" t="n">
        <v>15</v>
      </c>
      <c r="FK16" s="50">
        <f>(FN16/FM16-1)*100</f>
        <v/>
      </c>
      <c r="FL16" s="50">
        <f>FL15</f>
        <v/>
      </c>
      <c r="FM16">
        <f>FM15</f>
        <v/>
      </c>
      <c r="FN16">
        <f>2*(1+FJ15*0.1)</f>
        <v/>
      </c>
      <c r="FP16" t="n">
        <v>15</v>
      </c>
      <c r="FQ16" s="50">
        <f>ROUND((FS16/FR16-1)*100,0)</f>
        <v/>
      </c>
      <c r="FR16">
        <f>FR15</f>
        <v/>
      </c>
      <c r="FS16">
        <f>2*(1+FP15*0.1)</f>
        <v/>
      </c>
      <c r="FT16">
        <f>_xlfn.TEXTJOIN("|",TRUE,FQ16,FQ16,FQ16)</f>
        <v/>
      </c>
    </row>
    <row r="17">
      <c r="G17" t="n">
        <v>16</v>
      </c>
      <c r="H17">
        <f>(J17/I17-1)*100</f>
        <v/>
      </c>
      <c r="I17">
        <f>I16</f>
        <v/>
      </c>
      <c r="J17" t="n">
        <v>2.8</v>
      </c>
      <c r="K17" s="49">
        <f>H17&amp;"|"&amp;H17&amp;"|"&amp;H17&amp;"|"&amp;H17&amp;"|"&amp;H17</f>
        <v/>
      </c>
      <c r="L17">
        <f>ROUND( 100+H17,0)</f>
        <v/>
      </c>
      <c r="M17" s="49" t="n"/>
      <c r="N17" s="49" t="n">
        <v>16</v>
      </c>
      <c r="O17">
        <f>(Q17/P17-1)*100</f>
        <v/>
      </c>
      <c r="P17">
        <f>P16</f>
        <v/>
      </c>
      <c r="Q17" t="n">
        <v>2.85</v>
      </c>
      <c r="R17" s="49">
        <f>O17&amp;"|"&amp;O17&amp;"|"&amp;O17</f>
        <v/>
      </c>
      <c r="S17">
        <f>ROUND( 100+O17,0)</f>
        <v/>
      </c>
      <c r="U17" t="n">
        <v>16</v>
      </c>
      <c r="V17">
        <f>(X17/W17-1)*100</f>
        <v/>
      </c>
      <c r="W17">
        <f>W16</f>
        <v/>
      </c>
      <c r="X17" t="n">
        <v>3.85</v>
      </c>
      <c r="Y17" s="49">
        <f>V17&amp;"|"&amp;V17&amp;"|"&amp;V17&amp;"|"&amp;V17&amp;"|"&amp;V17&amp;"|"&amp;V17&amp;"|"&amp;V17&amp;"|"&amp;V17</f>
        <v/>
      </c>
      <c r="Z17">
        <f>ROUND( 100+V17,0)</f>
        <v/>
      </c>
      <c r="AA17">
        <f>1.38*U17-39.38</f>
        <v/>
      </c>
      <c r="AC17" t="n">
        <v>16</v>
      </c>
      <c r="AD17">
        <f>(AF17/AE17-1)*100</f>
        <v/>
      </c>
      <c r="AE17" t="n">
        <v>1</v>
      </c>
      <c r="AF17" t="n">
        <v>3.65</v>
      </c>
      <c r="AH17">
        <f>ROUND( 100+AD17,0)</f>
        <v/>
      </c>
      <c r="AJ17" t="n">
        <v>16</v>
      </c>
      <c r="AL17" t="n">
        <v>2500</v>
      </c>
      <c r="AM17" t="n">
        <v>9.5</v>
      </c>
      <c r="AO17">
        <f>_xlfn.TEXTJOIN("|",TRUE,AL17:AM17)</f>
        <v/>
      </c>
      <c r="AR17" t="n">
        <v>16</v>
      </c>
      <c r="AS17">
        <f>(AU17/AT17-1)*100</f>
        <v/>
      </c>
      <c r="AT17">
        <f>AT16</f>
        <v/>
      </c>
      <c r="AU17" t="n">
        <v>2.5</v>
      </c>
      <c r="AV17">
        <f>ROUND( 100+AS17,0)</f>
        <v/>
      </c>
      <c r="AW17" s="45" t="n"/>
      <c r="AX17" s="45" t="n">
        <v>16</v>
      </c>
      <c r="AY17" s="45">
        <f>(BA17/$AZ$2-1)*100</f>
        <v/>
      </c>
      <c r="AZ17" s="45" t="n"/>
      <c r="BA17" s="45" t="n">
        <v>5</v>
      </c>
      <c r="BB17">
        <f>ROUND( 100+AY17,0)</f>
        <v/>
      </c>
      <c r="BD17" t="n">
        <v>1900</v>
      </c>
      <c r="BE17" s="50" t="inlineStr">
        <is>
          <t>13</t>
        </is>
      </c>
      <c r="BF17">
        <f>BD17&amp;"|"&amp;BE17</f>
        <v/>
      </c>
      <c r="BH17" t="n">
        <v>16</v>
      </c>
      <c r="BI17" s="45">
        <f>(BK17/BJ17-1)*100</f>
        <v/>
      </c>
      <c r="BJ17">
        <f>BJ16</f>
        <v/>
      </c>
      <c r="BK17" t="n">
        <v>4.1</v>
      </c>
      <c r="BL17" s="43">
        <f>_xlfn.TEXTJOIN("|",TRUE,BI17,BI17,BI17,BI17,BI17)</f>
        <v/>
      </c>
      <c r="BM17">
        <f>ROUND( 100+BI17,0)</f>
        <v/>
      </c>
      <c r="BN17" s="50">
        <f>BM17/10</f>
        <v/>
      </c>
      <c r="BO17" s="50">
        <f>1.5*BM17/10</f>
        <v/>
      </c>
      <c r="BP17" s="50">
        <f>2*BM17/10</f>
        <v/>
      </c>
      <c r="BQ17" s="50">
        <f>2.5*BM17/10</f>
        <v/>
      </c>
      <c r="BR17" s="50">
        <f>3*BM17/10</f>
        <v/>
      </c>
      <c r="BT17" t="n">
        <v>16</v>
      </c>
      <c r="BU17">
        <f>(BW17/$BV$2-1)*100</f>
        <v/>
      </c>
      <c r="BW17" t="n">
        <v>4</v>
      </c>
      <c r="BX17" s="49">
        <f>CA17&amp;"|"&amp;CB17</f>
        <v/>
      </c>
      <c r="BY17">
        <f>ROUND( 100+BU17,0)</f>
        <v/>
      </c>
      <c r="BZ17">
        <f>2*BU17</f>
        <v/>
      </c>
      <c r="CA17" s="50">
        <f>BZ17/3</f>
        <v/>
      </c>
      <c r="CB17" s="50">
        <f>CA17*2</f>
        <v/>
      </c>
      <c r="CD17" t="n">
        <v>16</v>
      </c>
      <c r="CE17" s="50">
        <f>((CG17/$CF$2-1)*100)</f>
        <v/>
      </c>
      <c r="CG17" t="n">
        <v>2.5</v>
      </c>
      <c r="CH17" s="53">
        <f>CE17</f>
        <v/>
      </c>
      <c r="CI17">
        <f>ROUND( 100+CE17,0)</f>
        <v/>
      </c>
      <c r="CJ17" s="11" t="n"/>
      <c r="CK17" s="11" t="n">
        <v>16</v>
      </c>
      <c r="CL17" s="11">
        <f>(CN17/$CF$2-1)*100</f>
        <v/>
      </c>
      <c r="CM17" s="11" t="n"/>
      <c r="CN17" s="11">
        <f>0.08*CK17+3.92</f>
        <v/>
      </c>
      <c r="CO17" s="53">
        <f>CL17</f>
        <v/>
      </c>
      <c r="CP17" t="n">
        <v>125</v>
      </c>
      <c r="CQ17" t="n">
        <v>84</v>
      </c>
      <c r="CR17">
        <f>CP17&amp;"|"&amp;CQ17</f>
        <v/>
      </c>
      <c r="CT17" s="26" t="n"/>
      <c r="CV17" s="50" t="n">
        <v>33</v>
      </c>
      <c r="CW17" t="n">
        <v>16</v>
      </c>
      <c r="CX17">
        <f>DA17&amp;"|"&amp;DA17&amp;"|"&amp;DA17&amp;"|"&amp;DA17&amp;"|"&amp;DA17</f>
        <v/>
      </c>
      <c r="CY17" t="n">
        <v>2</v>
      </c>
      <c r="CZ17">
        <f>CZ16</f>
        <v/>
      </c>
      <c r="DA17">
        <f>(CY17/CZ17-1)*100</f>
        <v/>
      </c>
      <c r="DB17" s="50">
        <f>ROUND( 100+DA17,0)</f>
        <v/>
      </c>
      <c r="DC17" t="n">
        <v>19</v>
      </c>
      <c r="DD17">
        <f>_xlfn.TEXTJOIN("|",TRUE,DB17:DC17)</f>
        <v/>
      </c>
      <c r="DF17" t="n">
        <v>16</v>
      </c>
      <c r="DG17" t="n">
        <v>550</v>
      </c>
      <c r="DI17" s="50" t="n">
        <v>-84</v>
      </c>
      <c r="DJ17" s="50" t="n">
        <v>-82</v>
      </c>
      <c r="DK17" s="45" t="n"/>
      <c r="DL17" s="45" t="n">
        <v>16</v>
      </c>
      <c r="DM17">
        <f>(DO17/$DN$2-1)*100</f>
        <v/>
      </c>
      <c r="DN17" s="45" t="n"/>
      <c r="DO17" s="45" t="n">
        <v>3.45</v>
      </c>
      <c r="DP17" s="52" t="n">
        <v>-84</v>
      </c>
      <c r="DQ17" s="50">
        <f>ROUND( 100+DM17,0)</f>
        <v/>
      </c>
      <c r="DR17" s="50">
        <f>ROUND( 100+DP17,0)</f>
        <v/>
      </c>
      <c r="DS17">
        <f>_xlfn.TEXTJOIN("|",TRUE,DQ17:DR17)</f>
        <v/>
      </c>
      <c r="DU17" t="n">
        <v>16</v>
      </c>
      <c r="DV17" s="45">
        <f>(DX17/DW17-1)*100</f>
        <v/>
      </c>
      <c r="DW17">
        <f>DW16</f>
        <v/>
      </c>
      <c r="DX17" t="n">
        <v>3</v>
      </c>
      <c r="DZ17">
        <f>ROUND( 100+DV17,0)</f>
        <v/>
      </c>
      <c r="EB17" t="n">
        <v>16</v>
      </c>
      <c r="EC17" s="50">
        <f>(EE17/$ED$2-1)*100</f>
        <v/>
      </c>
      <c r="ED17">
        <f>ED16</f>
        <v/>
      </c>
      <c r="EE17" t="n">
        <v>2.95</v>
      </c>
      <c r="EF17" s="43">
        <f>_xlfn.TEXTJOIN("|",TRUE,EC17,EC17,EC17,EC17,EC17,EC17)</f>
        <v/>
      </c>
      <c r="EG17" s="50">
        <f>ROUND( 100+EC17,0)</f>
        <v/>
      </c>
      <c r="EH17" s="43" t="n"/>
      <c r="EJ17" t="n">
        <v>16</v>
      </c>
      <c r="EK17" s="50">
        <f>(EM17/EL17-1)*100</f>
        <v/>
      </c>
      <c r="EL17">
        <f>EL16</f>
        <v/>
      </c>
      <c r="EM17" t="n">
        <v>2.5</v>
      </c>
      <c r="EN17" s="43">
        <f>EK17&amp;"|"&amp;EK17&amp;"|"&amp;EK17&amp;"|"&amp;EK17&amp;"|"&amp;EK17&amp;"|"&amp;EK17</f>
        <v/>
      </c>
      <c r="EO17" s="50">
        <f>ROUND( 100+EK17,0)</f>
        <v/>
      </c>
      <c r="EP17" s="50" t="n"/>
      <c r="EQ17" s="50" t="n"/>
      <c r="ER17" s="50">
        <f>(ET17/ES17-1)*100</f>
        <v/>
      </c>
      <c r="ES17" s="50">
        <f>ES16</f>
        <v/>
      </c>
      <c r="ET17" t="n">
        <v>3.75</v>
      </c>
      <c r="EU17" s="50" t="n"/>
      <c r="EV17" s="50">
        <f>ROUND( 100+ER17,0)</f>
        <v/>
      </c>
      <c r="EW17" s="50">
        <f>(EX17/EY17-1)*100</f>
        <v/>
      </c>
      <c r="EX17" t="n">
        <v>3.25</v>
      </c>
      <c r="EY17">
        <f>EY16</f>
        <v/>
      </c>
      <c r="EZ17" t="n">
        <v>85</v>
      </c>
      <c r="FA17" t="n">
        <v>2.93</v>
      </c>
      <c r="FB17" s="50">
        <f>ROUND( 100+EW17,0)</f>
        <v/>
      </c>
      <c r="FC17">
        <f>EW17&amp;"|"&amp;EZ17&amp;"|"&amp;FA17</f>
        <v/>
      </c>
      <c r="FE17" t="n">
        <v>16</v>
      </c>
      <c r="FF17" s="50">
        <f>(FH17/FG17-1)*100</f>
        <v/>
      </c>
      <c r="FG17">
        <f>FG16</f>
        <v/>
      </c>
      <c r="FH17">
        <f>2*(1+FE16*0.1)</f>
        <v/>
      </c>
      <c r="FJ17" t="n">
        <v>16</v>
      </c>
      <c r="FK17" s="50">
        <f>(FN17/FM17-1)*100</f>
        <v/>
      </c>
      <c r="FL17" s="50">
        <f>FL16</f>
        <v/>
      </c>
      <c r="FM17">
        <f>FM16</f>
        <v/>
      </c>
      <c r="FN17">
        <f>2*(1+FJ16*0.1)</f>
        <v/>
      </c>
      <c r="FP17" t="n">
        <v>16</v>
      </c>
      <c r="FQ17" s="50">
        <f>ROUND((FS17/FR17-1)*100,0)</f>
        <v/>
      </c>
      <c r="FR17">
        <f>FR16</f>
        <v/>
      </c>
      <c r="FS17">
        <f>2*(1+FP16*0.1)</f>
        <v/>
      </c>
      <c r="FT17">
        <f>_xlfn.TEXTJOIN("|",TRUE,FQ17,FQ17,FQ17)</f>
        <v/>
      </c>
    </row>
    <row r="18">
      <c r="G18" t="n">
        <v>17</v>
      </c>
      <c r="H18">
        <f>(J18/I18-1)*100</f>
        <v/>
      </c>
      <c r="I18">
        <f>I17</f>
        <v/>
      </c>
      <c r="J18" t="n">
        <v>2.92</v>
      </c>
      <c r="K18" s="49">
        <f>H18&amp;"|"&amp;H18&amp;"|"&amp;H18&amp;"|"&amp;H18&amp;"|"&amp;H18</f>
        <v/>
      </c>
      <c r="L18">
        <f>ROUND( 100+H18,0)</f>
        <v/>
      </c>
      <c r="M18" s="49" t="n"/>
      <c r="N18" s="49" t="n">
        <v>17</v>
      </c>
      <c r="O18">
        <f>(Q18/P18-1)*100</f>
        <v/>
      </c>
      <c r="P18">
        <f>P17</f>
        <v/>
      </c>
      <c r="Q18" t="n">
        <v>2.96</v>
      </c>
      <c r="R18" s="49">
        <f>O18&amp;"|"&amp;O18&amp;"|"&amp;O18</f>
        <v/>
      </c>
      <c r="S18">
        <f>ROUND( 100+O18,0)</f>
        <v/>
      </c>
      <c r="U18" t="n">
        <v>17</v>
      </c>
      <c r="V18">
        <f>(X18/W18-1)*100</f>
        <v/>
      </c>
      <c r="W18">
        <f>W17</f>
        <v/>
      </c>
      <c r="X18" t="n">
        <v>4.04</v>
      </c>
      <c r="Y18" s="49">
        <f>V18&amp;"|"&amp;V18&amp;"|"&amp;V18&amp;"|"&amp;V18&amp;"|"&amp;V18&amp;"|"&amp;V18&amp;"|"&amp;V18&amp;"|"&amp;V18</f>
        <v/>
      </c>
      <c r="Z18">
        <f>ROUND( 100+V18,0)</f>
        <v/>
      </c>
      <c r="AA18">
        <f>1.38*U18-39.38</f>
        <v/>
      </c>
      <c r="AC18" t="n">
        <v>17</v>
      </c>
      <c r="AD18">
        <f>(AF18/AE18-1)*100</f>
        <v/>
      </c>
      <c r="AE18" t="n">
        <v>1</v>
      </c>
      <c r="AF18" t="n">
        <v>3.79</v>
      </c>
      <c r="AH18">
        <f>ROUND( 100+AD18,0)</f>
        <v/>
      </c>
      <c r="AJ18" t="n">
        <v>17</v>
      </c>
      <c r="AL18" t="n">
        <v>2600</v>
      </c>
      <c r="AM18" t="n">
        <v>10</v>
      </c>
      <c r="AO18">
        <f>_xlfn.TEXTJOIN("|",TRUE,AL18:AM18)</f>
        <v/>
      </c>
      <c r="AR18" t="n">
        <v>17</v>
      </c>
      <c r="AS18">
        <f>(AU18/AT18-1)*100</f>
        <v/>
      </c>
      <c r="AT18">
        <f>AT17</f>
        <v/>
      </c>
      <c r="AU18" t="n">
        <v>2.6</v>
      </c>
      <c r="AV18">
        <f>ROUND( 100+AS18,0)</f>
        <v/>
      </c>
      <c r="AW18" s="45" t="n"/>
      <c r="AX18" s="45" t="n">
        <v>17</v>
      </c>
      <c r="AY18" s="45">
        <f>(BA18/$AZ$2-1)*100</f>
        <v/>
      </c>
      <c r="AZ18" s="45" t="n"/>
      <c r="BA18" s="45" t="n">
        <v>5.2</v>
      </c>
      <c r="BB18">
        <f>ROUND( 100+AY18,0)</f>
        <v/>
      </c>
      <c r="BD18" t="n">
        <v>2000</v>
      </c>
      <c r="BE18" s="50" t="inlineStr">
        <is>
          <t>13</t>
        </is>
      </c>
      <c r="BF18">
        <f>BD18&amp;"|"&amp;BE18</f>
        <v/>
      </c>
      <c r="BH18" t="n">
        <v>17</v>
      </c>
      <c r="BI18" s="45">
        <f>(BK18/BJ18-1)*100</f>
        <v/>
      </c>
      <c r="BJ18">
        <f>BJ17</f>
        <v/>
      </c>
      <c r="BK18" t="n">
        <v>4.26</v>
      </c>
      <c r="BL18" s="43">
        <f>_xlfn.TEXTJOIN("|",TRUE,BI18,BI18,BI18,BI18,BI18)</f>
        <v/>
      </c>
      <c r="BM18">
        <f>ROUND( 100+BI18,0)</f>
        <v/>
      </c>
      <c r="BN18" s="50">
        <f>BM18/10</f>
        <v/>
      </c>
      <c r="BO18" s="50">
        <f>1.5*BM18/10</f>
        <v/>
      </c>
      <c r="BP18" s="50">
        <f>2*BM18/10</f>
        <v/>
      </c>
      <c r="BQ18" s="50">
        <f>2.5*BM18/10</f>
        <v/>
      </c>
      <c r="BR18" s="50">
        <f>3*BM18/10</f>
        <v/>
      </c>
      <c r="BT18" t="n">
        <v>17</v>
      </c>
      <c r="BU18">
        <f>(BW18/$BV$2-1)*100</f>
        <v/>
      </c>
      <c r="BW18" t="n">
        <v>4.2</v>
      </c>
      <c r="BX18" s="49">
        <f>CA18&amp;"|"&amp;CB18</f>
        <v/>
      </c>
      <c r="BY18">
        <f>ROUND( 100+BU18,0)</f>
        <v/>
      </c>
      <c r="BZ18">
        <f>2*BU18</f>
        <v/>
      </c>
      <c r="CA18" s="50">
        <f>BZ18/3</f>
        <v/>
      </c>
      <c r="CB18" s="50">
        <f>CA18*2</f>
        <v/>
      </c>
      <c r="CD18" t="n">
        <v>17</v>
      </c>
      <c r="CE18" s="50">
        <f>((CG18/$CF$2-1)*100)</f>
        <v/>
      </c>
      <c r="CG18" t="n">
        <v>2.6</v>
      </c>
      <c r="CH18" s="53">
        <f>CE18</f>
        <v/>
      </c>
      <c r="CI18">
        <f>ROUND( 100+CE18,0)</f>
        <v/>
      </c>
      <c r="CJ18" s="11" t="n"/>
      <c r="CK18" s="11" t="n">
        <v>17</v>
      </c>
      <c r="CL18" s="11">
        <f>(CN18/$CF$2-1)*100</f>
        <v/>
      </c>
      <c r="CM18" s="11" t="n"/>
      <c r="CN18" s="11">
        <f>0.08*CK18+3.92</f>
        <v/>
      </c>
      <c r="CO18" s="53">
        <f>CL18</f>
        <v/>
      </c>
      <c r="CP18" t="n">
        <v>130</v>
      </c>
      <c r="CQ18" t="n">
        <v>83</v>
      </c>
      <c r="CR18">
        <f>CP18&amp;"|"&amp;CQ18</f>
        <v/>
      </c>
      <c r="CT18" s="26" t="n"/>
      <c r="CV18" s="50" t="n">
        <v>34</v>
      </c>
      <c r="CW18" t="n">
        <v>17</v>
      </c>
      <c r="CX18">
        <f>DA18&amp;"|"&amp;DA18&amp;"|"&amp;DA18&amp;"|"&amp;DA18&amp;"|"&amp;DA18</f>
        <v/>
      </c>
      <c r="CY18" t="n">
        <v>2.1</v>
      </c>
      <c r="CZ18">
        <f>CZ17</f>
        <v/>
      </c>
      <c r="DA18">
        <f>(CY18/CZ18-1)*100</f>
        <v/>
      </c>
      <c r="DB18" s="50">
        <f>ROUND( 100+DA18,0)</f>
        <v/>
      </c>
      <c r="DC18" t="n">
        <v>19.6</v>
      </c>
      <c r="DD18">
        <f>_xlfn.TEXTJOIN("|",TRUE,DB18:DC18)</f>
        <v/>
      </c>
      <c r="DF18" t="n">
        <v>17</v>
      </c>
      <c r="DG18" t="n">
        <v>560</v>
      </c>
      <c r="DI18" s="50" t="n">
        <v>-84</v>
      </c>
      <c r="DJ18" s="50" t="n">
        <v>-82</v>
      </c>
      <c r="DK18" s="45" t="n"/>
      <c r="DL18" s="45" t="n">
        <v>17</v>
      </c>
      <c r="DM18">
        <f>(DO18/$DN$2-1)*100</f>
        <v/>
      </c>
      <c r="DN18" s="45" t="n"/>
      <c r="DO18" s="45" t="n">
        <v>3.6</v>
      </c>
      <c r="DP18" s="52" t="n">
        <v>-83</v>
      </c>
      <c r="DQ18" s="50">
        <f>ROUND( 100+DM18,0)</f>
        <v/>
      </c>
      <c r="DR18" s="50">
        <f>ROUND( 100+DP18,0)</f>
        <v/>
      </c>
      <c r="DS18">
        <f>_xlfn.TEXTJOIN("|",TRUE,DQ18:DR18)</f>
        <v/>
      </c>
      <c r="DU18" t="n">
        <v>17</v>
      </c>
      <c r="DV18" s="45">
        <f>(DX18/DW18-1)*100</f>
        <v/>
      </c>
      <c r="DW18">
        <f>DW17</f>
        <v/>
      </c>
      <c r="DX18" t="n">
        <v>3.12</v>
      </c>
      <c r="DZ18">
        <f>ROUND( 100+DV18,0)</f>
        <v/>
      </c>
      <c r="EB18" t="n">
        <v>17</v>
      </c>
      <c r="EC18" s="50">
        <f>(EE18/$ED$2-1)*100</f>
        <v/>
      </c>
      <c r="ED18">
        <f>ED17</f>
        <v/>
      </c>
      <c r="EE18" t="n">
        <v>3.08</v>
      </c>
      <c r="EF18" s="43">
        <f>_xlfn.TEXTJOIN("|",TRUE,EC18,EC18,EC18,EC18,EC18,EC18)</f>
        <v/>
      </c>
      <c r="EG18" s="50">
        <f>ROUND( 100+EC18,0)</f>
        <v/>
      </c>
      <c r="EH18" s="43" t="n"/>
      <c r="EJ18" t="n">
        <v>17</v>
      </c>
      <c r="EK18" s="50">
        <f>(EM18/EL18-1)*100</f>
        <v/>
      </c>
      <c r="EL18">
        <f>EL17</f>
        <v/>
      </c>
      <c r="EM18" t="n">
        <v>2.6</v>
      </c>
      <c r="EN18" s="43">
        <f>EK18&amp;"|"&amp;EK18&amp;"|"&amp;EK18&amp;"|"&amp;EK18&amp;"|"&amp;EK18&amp;"|"&amp;EK18</f>
        <v/>
      </c>
      <c r="EO18" s="50">
        <f>ROUND( 100+EK18,0)</f>
        <v/>
      </c>
      <c r="EP18" s="50" t="n"/>
      <c r="EQ18" s="50" t="n"/>
      <c r="ER18" s="50">
        <f>(ET18/ES18-1)*100</f>
        <v/>
      </c>
      <c r="ES18" s="50">
        <f>ES17</f>
        <v/>
      </c>
      <c r="ET18" t="n">
        <v>3.9</v>
      </c>
      <c r="EU18" s="50" t="n"/>
      <c r="EV18" s="50">
        <f>ROUND( 100+ER18,0)</f>
        <v/>
      </c>
      <c r="EW18" s="50">
        <f>(EX18/EY18-1)*100</f>
        <v/>
      </c>
      <c r="EX18" t="n">
        <v>3.38</v>
      </c>
      <c r="EY18">
        <f>EY17</f>
        <v/>
      </c>
      <c r="EZ18" t="n">
        <v>88.40000000000001</v>
      </c>
      <c r="FA18" t="n">
        <v>2.992</v>
      </c>
      <c r="FB18" s="50">
        <f>ROUND( 100+EW18,0)</f>
        <v/>
      </c>
      <c r="FC18">
        <f>EW18&amp;"|"&amp;EZ18&amp;"|"&amp;FA18</f>
        <v/>
      </c>
      <c r="FE18" t="n">
        <v>17</v>
      </c>
      <c r="FF18" s="50">
        <f>(FH18/FG18-1)*100</f>
        <v/>
      </c>
      <c r="FG18">
        <f>FG17</f>
        <v/>
      </c>
      <c r="FH18">
        <f>2*(1+FE17*0.1)</f>
        <v/>
      </c>
      <c r="FJ18" t="n">
        <v>17</v>
      </c>
      <c r="FK18" s="50">
        <f>(FN18/FM18-1)*100</f>
        <v/>
      </c>
      <c r="FL18" s="50">
        <f>FL17</f>
        <v/>
      </c>
      <c r="FM18">
        <f>FM17</f>
        <v/>
      </c>
      <c r="FN18">
        <f>2*(1+FJ17*0.1)</f>
        <v/>
      </c>
      <c r="FP18" t="n">
        <v>17</v>
      </c>
      <c r="FQ18" s="50">
        <f>ROUND((FS18/FR18-1)*100,0)</f>
        <v/>
      </c>
      <c r="FR18">
        <f>FR17</f>
        <v/>
      </c>
      <c r="FS18">
        <f>2*(1+FP17*0.1)</f>
        <v/>
      </c>
      <c r="FT18">
        <f>_xlfn.TEXTJOIN("|",TRUE,FQ18,FQ18,FQ18)</f>
        <v/>
      </c>
    </row>
    <row r="19">
      <c r="G19" t="n">
        <v>18</v>
      </c>
      <c r="H19">
        <f>(J19/I19-1)*100</f>
        <v/>
      </c>
      <c r="I19">
        <f>I18</f>
        <v/>
      </c>
      <c r="J19" t="n">
        <v>3.04</v>
      </c>
      <c r="K19" s="49">
        <f>H19&amp;"|"&amp;H19&amp;"|"&amp;H19&amp;"|"&amp;H19&amp;"|"&amp;H19</f>
        <v/>
      </c>
      <c r="L19">
        <f>ROUND( 100+H19,0)</f>
        <v/>
      </c>
      <c r="M19" s="49" t="n"/>
      <c r="N19" s="49" t="n">
        <v>18</v>
      </c>
      <c r="O19">
        <f>(Q19/P19-1)*100</f>
        <v/>
      </c>
      <c r="P19">
        <f>P18</f>
        <v/>
      </c>
      <c r="Q19" t="n">
        <v>3.07</v>
      </c>
      <c r="R19" s="49">
        <f>O19&amp;"|"&amp;O19&amp;"|"&amp;O19</f>
        <v/>
      </c>
      <c r="S19">
        <f>ROUND( 100+O19,0)</f>
        <v/>
      </c>
      <c r="U19" t="n">
        <v>18</v>
      </c>
      <c r="V19">
        <f>(X19/W19-1)*100</f>
        <v/>
      </c>
      <c r="W19">
        <f>W18</f>
        <v/>
      </c>
      <c r="X19" t="n">
        <v>4.23</v>
      </c>
      <c r="Y19" s="49">
        <f>V19&amp;"|"&amp;V19&amp;"|"&amp;V19&amp;"|"&amp;V19&amp;"|"&amp;V19&amp;"|"&amp;V19&amp;"|"&amp;V19&amp;"|"&amp;V19</f>
        <v/>
      </c>
      <c r="Z19">
        <f>ROUND( 100+V19,0)</f>
        <v/>
      </c>
      <c r="AA19">
        <f>1.38*U19-39.38</f>
        <v/>
      </c>
      <c r="AC19" t="n">
        <v>18</v>
      </c>
      <c r="AD19">
        <f>(AF19/AE19-1)*100</f>
        <v/>
      </c>
      <c r="AE19" t="n">
        <v>1</v>
      </c>
      <c r="AF19" t="n">
        <v>3.93</v>
      </c>
      <c r="AH19">
        <f>ROUND( 100+AD19,0)</f>
        <v/>
      </c>
      <c r="AJ19" t="n">
        <v>18</v>
      </c>
      <c r="AL19" t="n">
        <v>2700</v>
      </c>
      <c r="AM19" t="n">
        <v>10.5</v>
      </c>
      <c r="AO19">
        <f>_xlfn.TEXTJOIN("|",TRUE,AL19:AM19)</f>
        <v/>
      </c>
      <c r="AR19" t="n">
        <v>18</v>
      </c>
      <c r="AS19">
        <f>(AU19/AT19-1)*100</f>
        <v/>
      </c>
      <c r="AT19">
        <f>AT18</f>
        <v/>
      </c>
      <c r="AU19" t="n">
        <v>2.7</v>
      </c>
      <c r="AV19">
        <f>ROUND( 100+AS19,0)</f>
        <v/>
      </c>
      <c r="AW19" s="45" t="n"/>
      <c r="AX19" s="45" t="n">
        <v>18</v>
      </c>
      <c r="AY19" s="45">
        <f>(BA19/$AZ$2-1)*100</f>
        <v/>
      </c>
      <c r="AZ19" s="45" t="n"/>
      <c r="BA19" s="45" t="n">
        <v>5.4</v>
      </c>
      <c r="BB19">
        <f>ROUND( 100+AY19,0)</f>
        <v/>
      </c>
      <c r="BD19" t="n">
        <v>2100</v>
      </c>
      <c r="BE19" s="50" t="inlineStr">
        <is>
          <t>13</t>
        </is>
      </c>
      <c r="BF19">
        <f>BD19&amp;"|"&amp;BE19</f>
        <v/>
      </c>
      <c r="BH19" t="n">
        <v>18</v>
      </c>
      <c r="BI19" s="45">
        <f>(BK19/BJ19-1)*100</f>
        <v/>
      </c>
      <c r="BJ19">
        <f>BJ18</f>
        <v/>
      </c>
      <c r="BK19" t="n">
        <v>4.42</v>
      </c>
      <c r="BL19" s="43">
        <f>_xlfn.TEXTJOIN("|",TRUE,BI19,BI19,BI19,BI19,BI19)</f>
        <v/>
      </c>
      <c r="BM19">
        <f>ROUND( 100+BI19,0)</f>
        <v/>
      </c>
      <c r="BN19" s="50">
        <f>BM19/10</f>
        <v/>
      </c>
      <c r="BO19" s="50">
        <f>1.5*BM19/10</f>
        <v/>
      </c>
      <c r="BP19" s="50">
        <f>2*BM19/10</f>
        <v/>
      </c>
      <c r="BQ19" s="50">
        <f>2.5*BM19/10</f>
        <v/>
      </c>
      <c r="BR19" s="50">
        <f>3*BM19/10</f>
        <v/>
      </c>
      <c r="BT19" t="n">
        <v>18</v>
      </c>
      <c r="BU19">
        <f>(BW19/$BV$2-1)*100</f>
        <v/>
      </c>
      <c r="BW19" t="n">
        <v>4.4</v>
      </c>
      <c r="BX19" s="49">
        <f>CA19&amp;"|"&amp;CB19</f>
        <v/>
      </c>
      <c r="BY19">
        <f>ROUND( 100+BU19,0)</f>
        <v/>
      </c>
      <c r="BZ19">
        <f>2*BU19</f>
        <v/>
      </c>
      <c r="CA19" s="50">
        <f>BZ19/3</f>
        <v/>
      </c>
      <c r="CB19" s="50">
        <f>CA19*2</f>
        <v/>
      </c>
      <c r="CD19" t="n">
        <v>18</v>
      </c>
      <c r="CE19" s="50">
        <f>((CG19/$CF$2-1)*100)</f>
        <v/>
      </c>
      <c r="CG19" t="n">
        <v>2.7</v>
      </c>
      <c r="CH19" s="53">
        <f>CE19</f>
        <v/>
      </c>
      <c r="CI19">
        <f>ROUND( 100+CE19,0)</f>
        <v/>
      </c>
      <c r="CJ19" s="11" t="n"/>
      <c r="CK19" s="11" t="n">
        <v>18</v>
      </c>
      <c r="CL19" s="11">
        <f>(CN19/$CF$2-1)*100</f>
        <v/>
      </c>
      <c r="CM19" s="11" t="n"/>
      <c r="CN19" s="11">
        <f>0.08*CK19+3.92</f>
        <v/>
      </c>
      <c r="CO19" s="53">
        <f>CL19</f>
        <v/>
      </c>
      <c r="CP19" t="n">
        <v>135</v>
      </c>
      <c r="CQ19" t="n">
        <v>82</v>
      </c>
      <c r="CR19">
        <f>CP19&amp;"|"&amp;CQ19</f>
        <v/>
      </c>
      <c r="CT19" s="26" t="n"/>
      <c r="CV19" s="50" t="n">
        <v>36</v>
      </c>
      <c r="CW19" t="n">
        <v>18</v>
      </c>
      <c r="CX19">
        <f>DA19&amp;"|"&amp;DA19&amp;"|"&amp;DA19&amp;"|"&amp;DA19&amp;"|"&amp;DA19</f>
        <v/>
      </c>
      <c r="CY19" t="n">
        <v>2.2</v>
      </c>
      <c r="CZ19">
        <f>CZ18</f>
        <v/>
      </c>
      <c r="DA19">
        <f>(CY19/CZ19-1)*100</f>
        <v/>
      </c>
      <c r="DB19" s="50">
        <f>ROUND( 100+DA19,0)</f>
        <v/>
      </c>
      <c r="DC19" t="n">
        <v>20.2</v>
      </c>
      <c r="DD19">
        <f>_xlfn.TEXTJOIN("|",TRUE,DB19:DC19)</f>
        <v/>
      </c>
      <c r="DF19" t="n">
        <v>18</v>
      </c>
      <c r="DG19" t="n">
        <v>570</v>
      </c>
      <c r="DI19" s="50" t="n">
        <v>-83</v>
      </c>
      <c r="DJ19" s="50" t="n">
        <v>-79</v>
      </c>
      <c r="DK19" s="45" t="n"/>
      <c r="DL19" s="45" t="n">
        <v>18</v>
      </c>
      <c r="DM19">
        <f>(DO19/$DN$2-1)*100</f>
        <v/>
      </c>
      <c r="DN19" s="45" t="n"/>
      <c r="DO19" s="45" t="n">
        <v>3.75</v>
      </c>
      <c r="DP19" s="52" t="n">
        <v>-82</v>
      </c>
      <c r="DQ19" s="50">
        <f>ROUND( 100+DM19,0)</f>
        <v/>
      </c>
      <c r="DR19" s="50">
        <f>ROUND( 100+DP19,0)</f>
        <v/>
      </c>
      <c r="DS19">
        <f>_xlfn.TEXTJOIN("|",TRUE,DQ19:DR19)</f>
        <v/>
      </c>
      <c r="DU19" t="n">
        <v>18</v>
      </c>
      <c r="DV19" s="45">
        <f>(DX19/DW19-1)*100</f>
        <v/>
      </c>
      <c r="DW19">
        <f>DW18</f>
        <v/>
      </c>
      <c r="DX19" t="n">
        <v>3.24</v>
      </c>
      <c r="DZ19">
        <f>ROUND( 100+DV19,0)</f>
        <v/>
      </c>
      <c r="EB19" t="n">
        <v>18</v>
      </c>
      <c r="EC19" s="50">
        <f>(EE19/$ED$2-1)*100</f>
        <v/>
      </c>
      <c r="ED19">
        <f>ED18</f>
        <v/>
      </c>
      <c r="EE19" t="n">
        <v>3.21</v>
      </c>
      <c r="EF19" s="43">
        <f>_xlfn.TEXTJOIN("|",TRUE,EC19,EC19,EC19,EC19,EC19,EC19)</f>
        <v/>
      </c>
      <c r="EG19" s="50">
        <f>ROUND( 100+EC19,0)</f>
        <v/>
      </c>
      <c r="EH19" s="43" t="n"/>
      <c r="EJ19" t="n">
        <v>18</v>
      </c>
      <c r="EK19" s="50">
        <f>(EM19/EL19-1)*100</f>
        <v/>
      </c>
      <c r="EL19">
        <f>EL18</f>
        <v/>
      </c>
      <c r="EM19" t="n">
        <v>2.7</v>
      </c>
      <c r="EN19" s="43">
        <f>EK19&amp;"|"&amp;EK19&amp;"|"&amp;EK19&amp;"|"&amp;EK19&amp;"|"&amp;EK19&amp;"|"&amp;EK19</f>
        <v/>
      </c>
      <c r="EO19" s="50">
        <f>ROUND( 100+EK19,0)</f>
        <v/>
      </c>
      <c r="EP19" s="50" t="n"/>
      <c r="EQ19" s="50" t="n"/>
      <c r="ER19" s="50">
        <f>(ET19/ES19-1)*100</f>
        <v/>
      </c>
      <c r="ES19" s="50">
        <f>ES18</f>
        <v/>
      </c>
      <c r="ET19" t="n">
        <v>4.05</v>
      </c>
      <c r="EU19" s="50" t="n"/>
      <c r="EV19" s="50">
        <f>ROUND( 100+ER19,0)</f>
        <v/>
      </c>
      <c r="EW19" s="50">
        <f>(EX19/EY19-1)*100</f>
        <v/>
      </c>
      <c r="EX19" t="n">
        <v>3.51</v>
      </c>
      <c r="EY19">
        <f>EY18</f>
        <v/>
      </c>
      <c r="EZ19" t="n">
        <v>91.8</v>
      </c>
      <c r="FA19" t="n">
        <v>3.054</v>
      </c>
      <c r="FB19" s="50">
        <f>ROUND( 100+EW19,0)</f>
        <v/>
      </c>
      <c r="FC19">
        <f>EW19&amp;"|"&amp;EZ19&amp;"|"&amp;FA19</f>
        <v/>
      </c>
      <c r="FE19" t="n">
        <v>18</v>
      </c>
      <c r="FF19" s="50">
        <f>(FH19/FG19-1)*100</f>
        <v/>
      </c>
      <c r="FG19">
        <f>FG18</f>
        <v/>
      </c>
      <c r="FH19">
        <f>2*(1+FE18*0.1)</f>
        <v/>
      </c>
      <c r="FJ19" t="n">
        <v>18</v>
      </c>
      <c r="FK19" s="50">
        <f>(FN19/FM19-1)*100</f>
        <v/>
      </c>
      <c r="FL19" s="50">
        <f>FL18</f>
        <v/>
      </c>
      <c r="FM19">
        <f>FM18</f>
        <v/>
      </c>
      <c r="FN19">
        <f>2*(1+FJ18*0.1)</f>
        <v/>
      </c>
      <c r="FP19" t="n">
        <v>18</v>
      </c>
      <c r="FQ19" s="50">
        <f>ROUND((FS19/FR19-1)*100,0)</f>
        <v/>
      </c>
      <c r="FR19">
        <f>FR18</f>
        <v/>
      </c>
      <c r="FS19">
        <f>2*(1+FP18*0.1)</f>
        <v/>
      </c>
      <c r="FT19">
        <f>_xlfn.TEXTJOIN("|",TRUE,FQ19,FQ19,FQ19)</f>
        <v/>
      </c>
    </row>
    <row r="20">
      <c r="G20" t="n">
        <v>19</v>
      </c>
      <c r="H20">
        <f>(J20/I20-1)*100</f>
        <v/>
      </c>
      <c r="I20">
        <f>I19</f>
        <v/>
      </c>
      <c r="J20" t="n">
        <v>3.16</v>
      </c>
      <c r="K20" s="49">
        <f>H20&amp;"|"&amp;H20&amp;"|"&amp;H20&amp;"|"&amp;H20&amp;"|"&amp;H20</f>
        <v/>
      </c>
      <c r="L20">
        <f>ROUND( 100+H20,0)</f>
        <v/>
      </c>
      <c r="M20" s="49" t="n"/>
      <c r="N20" s="49" t="n">
        <v>19</v>
      </c>
      <c r="O20">
        <f>(Q20/P20-1)*100</f>
        <v/>
      </c>
      <c r="P20">
        <f>P19</f>
        <v/>
      </c>
      <c r="Q20" t="n">
        <v>3.18</v>
      </c>
      <c r="R20" s="49">
        <f>O20&amp;"|"&amp;O20&amp;"|"&amp;O20</f>
        <v/>
      </c>
      <c r="S20">
        <f>ROUND( 100+O20,0)</f>
        <v/>
      </c>
      <c r="U20" t="n">
        <v>19</v>
      </c>
      <c r="V20">
        <f>(X20/W20-1)*100</f>
        <v/>
      </c>
      <c r="W20">
        <f>W19</f>
        <v/>
      </c>
      <c r="X20" t="n">
        <v>4.42</v>
      </c>
      <c r="Y20" s="49">
        <f>V20&amp;"|"&amp;V20&amp;"|"&amp;V20&amp;"|"&amp;V20&amp;"|"&amp;V20&amp;"|"&amp;V20&amp;"|"&amp;V20&amp;"|"&amp;V20</f>
        <v/>
      </c>
      <c r="Z20">
        <f>ROUND( 100+V20,0)</f>
        <v/>
      </c>
      <c r="AA20">
        <f>1.38*U20-39.38</f>
        <v/>
      </c>
      <c r="AC20" t="n">
        <v>19</v>
      </c>
      <c r="AD20">
        <f>(AF20/AE20-1)*100</f>
        <v/>
      </c>
      <c r="AE20" t="n">
        <v>1</v>
      </c>
      <c r="AF20" t="n">
        <v>4.07</v>
      </c>
      <c r="AH20">
        <f>ROUND( 100+AD20,0)</f>
        <v/>
      </c>
      <c r="AJ20" t="n">
        <v>19</v>
      </c>
      <c r="AL20" t="n">
        <v>2800</v>
      </c>
      <c r="AM20" t="n">
        <v>11</v>
      </c>
      <c r="AO20">
        <f>_xlfn.TEXTJOIN("|",TRUE,AL20:AM20)</f>
        <v/>
      </c>
      <c r="AR20" t="n">
        <v>19</v>
      </c>
      <c r="AS20">
        <f>(AU20/AT20-1)*100</f>
        <v/>
      </c>
      <c r="AT20">
        <f>AT19</f>
        <v/>
      </c>
      <c r="AU20" t="n">
        <v>2.8</v>
      </c>
      <c r="AV20">
        <f>ROUND( 100+AS20,0)</f>
        <v/>
      </c>
      <c r="AW20" s="45" t="n"/>
      <c r="AX20" s="45" t="n">
        <v>19</v>
      </c>
      <c r="AY20" s="45">
        <f>(BA20/$AZ$2-1)*100</f>
        <v/>
      </c>
      <c r="AZ20" s="45" t="n"/>
      <c r="BA20" s="45" t="n">
        <v>5.6</v>
      </c>
      <c r="BB20">
        <f>ROUND( 100+AY20,0)</f>
        <v/>
      </c>
      <c r="BD20" t="n">
        <v>2200</v>
      </c>
      <c r="BE20" s="50" t="inlineStr">
        <is>
          <t>13</t>
        </is>
      </c>
      <c r="BF20">
        <f>BD20&amp;"|"&amp;BE20</f>
        <v/>
      </c>
      <c r="BH20" t="n">
        <v>19</v>
      </c>
      <c r="BI20" s="45">
        <f>(BK20/BJ20-1)*100</f>
        <v/>
      </c>
      <c r="BJ20">
        <f>BJ19</f>
        <v/>
      </c>
      <c r="BK20" t="n">
        <v>4.58</v>
      </c>
      <c r="BL20" s="43">
        <f>_xlfn.TEXTJOIN("|",TRUE,BI20,BI20,BI20,BI20,BI20)</f>
        <v/>
      </c>
      <c r="BM20">
        <f>ROUND( 100+BI20,0)</f>
        <v/>
      </c>
      <c r="BN20" s="50">
        <f>BM20/10</f>
        <v/>
      </c>
      <c r="BO20" s="50">
        <f>1.5*BM20/10</f>
        <v/>
      </c>
      <c r="BP20" s="50">
        <f>2*BM20/10</f>
        <v/>
      </c>
      <c r="BQ20" s="50">
        <f>2.5*BM20/10</f>
        <v/>
      </c>
      <c r="BR20" s="50">
        <f>3*BM20/10</f>
        <v/>
      </c>
      <c r="BT20" t="n">
        <v>19</v>
      </c>
      <c r="BU20">
        <f>(BW20/$BV$2-1)*100</f>
        <v/>
      </c>
      <c r="BW20" t="n">
        <v>4.6</v>
      </c>
      <c r="BX20" s="49">
        <f>CA20&amp;"|"&amp;CB20</f>
        <v/>
      </c>
      <c r="BY20">
        <f>ROUND( 100+BU20,0)</f>
        <v/>
      </c>
      <c r="BZ20">
        <f>2*BU20</f>
        <v/>
      </c>
      <c r="CA20" s="50">
        <f>BZ20/3</f>
        <v/>
      </c>
      <c r="CB20" s="50">
        <f>CA20*2</f>
        <v/>
      </c>
      <c r="CD20" t="n">
        <v>19</v>
      </c>
      <c r="CE20" s="50">
        <f>((CG20/$CF$2-1)*100)</f>
        <v/>
      </c>
      <c r="CG20" t="n">
        <v>2.8</v>
      </c>
      <c r="CH20" s="53">
        <f>CE20</f>
        <v/>
      </c>
      <c r="CI20">
        <f>ROUND( 100+CE20,0)</f>
        <v/>
      </c>
      <c r="CJ20" s="11" t="n"/>
      <c r="CK20" s="11" t="n">
        <v>19</v>
      </c>
      <c r="CL20" s="11">
        <f>(CN20/$CF$2-1)*100</f>
        <v/>
      </c>
      <c r="CM20" s="11" t="n"/>
      <c r="CN20" s="11">
        <f>0.08*CK20+3.92</f>
        <v/>
      </c>
      <c r="CO20" s="53">
        <f>CL20</f>
        <v/>
      </c>
      <c r="CP20" t="n">
        <v>140</v>
      </c>
      <c r="CQ20" t="n">
        <v>81</v>
      </c>
      <c r="CR20">
        <f>CP20&amp;"|"&amp;CQ20</f>
        <v/>
      </c>
      <c r="CT20" s="26" t="n"/>
      <c r="CV20" s="50" t="n">
        <v>37</v>
      </c>
      <c r="CW20" t="n">
        <v>19</v>
      </c>
      <c r="CX20">
        <f>DA20&amp;"|"&amp;DA20&amp;"|"&amp;DA20&amp;"|"&amp;DA20&amp;"|"&amp;DA20</f>
        <v/>
      </c>
      <c r="CY20" t="n">
        <v>2.3</v>
      </c>
      <c r="CZ20">
        <f>CZ19</f>
        <v/>
      </c>
      <c r="DA20">
        <f>(CY20/CZ20-1)*100</f>
        <v/>
      </c>
      <c r="DB20" s="50">
        <f>ROUND( 100+DA20,0)</f>
        <v/>
      </c>
      <c r="DC20" t="n">
        <v>20.8</v>
      </c>
      <c r="DD20">
        <f>_xlfn.TEXTJOIN("|",TRUE,DB20:DC20)</f>
        <v/>
      </c>
      <c r="DF20" t="n">
        <v>19</v>
      </c>
      <c r="DG20" t="n">
        <v>580</v>
      </c>
      <c r="DI20" s="50" t="n">
        <v>-81</v>
      </c>
      <c r="DJ20" s="50" t="n">
        <v>-79</v>
      </c>
      <c r="DK20" s="45" t="n"/>
      <c r="DL20" s="45" t="n">
        <v>19</v>
      </c>
      <c r="DM20">
        <f>(DO20/$DN$2-1)*100</f>
        <v/>
      </c>
      <c r="DN20" s="45" t="n"/>
      <c r="DO20" s="45" t="n">
        <v>3.9</v>
      </c>
      <c r="DP20" s="52" t="n">
        <v>-81</v>
      </c>
      <c r="DQ20" s="50">
        <f>ROUND( 100+DM20,0)</f>
        <v/>
      </c>
      <c r="DR20" s="50">
        <f>ROUND( 100+DP20,0)</f>
        <v/>
      </c>
      <c r="DS20">
        <f>_xlfn.TEXTJOIN("|",TRUE,DQ20:DR20)</f>
        <v/>
      </c>
      <c r="DU20" t="n">
        <v>19</v>
      </c>
      <c r="DV20" s="45">
        <f>(DX20/DW20-1)*100</f>
        <v/>
      </c>
      <c r="DW20">
        <f>DW19</f>
        <v/>
      </c>
      <c r="DX20" t="n">
        <v>3.36</v>
      </c>
      <c r="DZ20">
        <f>ROUND( 100+DV20,0)</f>
        <v/>
      </c>
      <c r="EB20" t="n">
        <v>19</v>
      </c>
      <c r="EC20" s="50">
        <f>(EE20/$ED$2-1)*100</f>
        <v/>
      </c>
      <c r="ED20">
        <f>ED19</f>
        <v/>
      </c>
      <c r="EE20" t="n">
        <v>3.34</v>
      </c>
      <c r="EF20" s="43">
        <f>_xlfn.TEXTJOIN("|",TRUE,EC20,EC20,EC20,EC20,EC20,EC20)</f>
        <v/>
      </c>
      <c r="EG20" s="50">
        <f>ROUND( 100+EC20,0)</f>
        <v/>
      </c>
      <c r="EH20" s="43" t="n"/>
      <c r="EJ20" t="n">
        <v>19</v>
      </c>
      <c r="EK20" s="50">
        <f>(EM20/EL20-1)*100</f>
        <v/>
      </c>
      <c r="EL20">
        <f>EL19</f>
        <v/>
      </c>
      <c r="EM20" t="n">
        <v>2.8</v>
      </c>
      <c r="EN20" s="43">
        <f>EK20&amp;"|"&amp;EK20&amp;"|"&amp;EK20&amp;"|"&amp;EK20&amp;"|"&amp;EK20&amp;"|"&amp;EK20</f>
        <v/>
      </c>
      <c r="EO20" s="50">
        <f>ROUND( 100+EK20,0)</f>
        <v/>
      </c>
      <c r="EP20" s="50" t="n"/>
      <c r="EQ20" s="50" t="n"/>
      <c r="ER20" s="50">
        <f>(ET20/ES20-1)*100</f>
        <v/>
      </c>
      <c r="ES20" s="50">
        <f>ES19</f>
        <v/>
      </c>
      <c r="ET20" t="n">
        <v>4.2</v>
      </c>
      <c r="EU20" s="50" t="n"/>
      <c r="EV20" s="50">
        <f>ROUND( 100+ER20,0)</f>
        <v/>
      </c>
      <c r="EW20" s="50">
        <f>(EX20/EY20-1)*100</f>
        <v/>
      </c>
      <c r="EX20" t="n">
        <v>3.64</v>
      </c>
      <c r="EY20">
        <f>EY19</f>
        <v/>
      </c>
      <c r="EZ20" t="n">
        <v>95.2</v>
      </c>
      <c r="FA20" t="n">
        <v>3.116</v>
      </c>
      <c r="FB20" s="50">
        <f>ROUND( 100+EW20,0)</f>
        <v/>
      </c>
      <c r="FC20">
        <f>EW20&amp;"|"&amp;EZ20&amp;"|"&amp;FA20</f>
        <v/>
      </c>
      <c r="FE20" t="n">
        <v>19</v>
      </c>
      <c r="FF20" s="50">
        <f>(FH20/FG20-1)*100</f>
        <v/>
      </c>
      <c r="FG20">
        <f>FG19</f>
        <v/>
      </c>
      <c r="FH20">
        <f>2*(1+FE19*0.1)</f>
        <v/>
      </c>
      <c r="FJ20" t="n">
        <v>19</v>
      </c>
      <c r="FK20" s="50">
        <f>(FN20/FM20-1)*100</f>
        <v/>
      </c>
      <c r="FL20" s="50">
        <f>FL19</f>
        <v/>
      </c>
      <c r="FM20">
        <f>FM19</f>
        <v/>
      </c>
      <c r="FN20">
        <f>2*(1+FJ19*0.1)</f>
        <v/>
      </c>
      <c r="FP20" t="n">
        <v>19</v>
      </c>
      <c r="FQ20" s="50">
        <f>ROUND((FS20/FR20-1)*100,0)</f>
        <v/>
      </c>
      <c r="FR20">
        <f>FR19</f>
        <v/>
      </c>
      <c r="FS20">
        <f>2*(1+FP19*0.1)</f>
        <v/>
      </c>
      <c r="FT20">
        <f>_xlfn.TEXTJOIN("|",TRUE,FQ20,FQ20,FQ20)</f>
        <v/>
      </c>
    </row>
    <row r="21">
      <c r="G21" t="n">
        <v>20</v>
      </c>
      <c r="H21">
        <f>(J21/I21-1)*100</f>
        <v/>
      </c>
      <c r="I21">
        <f>I20</f>
        <v/>
      </c>
      <c r="J21" t="n">
        <v>3.28</v>
      </c>
      <c r="K21" s="49">
        <f>H21&amp;"|"&amp;H21&amp;"|"&amp;H21&amp;"|"&amp;H21&amp;"|"&amp;H21</f>
        <v/>
      </c>
      <c r="L21">
        <f>ROUND( 100+H21,0)</f>
        <v/>
      </c>
      <c r="M21" s="49" t="n"/>
      <c r="N21" s="49" t="n">
        <v>20</v>
      </c>
      <c r="O21">
        <f>(Q21/P21-1)*100</f>
        <v/>
      </c>
      <c r="P21">
        <f>P20</f>
        <v/>
      </c>
      <c r="Q21" t="n">
        <v>3.29</v>
      </c>
      <c r="R21" s="49">
        <f>O21&amp;"|"&amp;O21&amp;"|"&amp;O21</f>
        <v/>
      </c>
      <c r="S21">
        <f>ROUND( 100+O21,0)</f>
        <v/>
      </c>
      <c r="U21" t="n">
        <v>20</v>
      </c>
      <c r="V21">
        <f>(X21/W21-1)*100</f>
        <v/>
      </c>
      <c r="W21">
        <f>W20</f>
        <v/>
      </c>
      <c r="X21" t="n">
        <v>4.61</v>
      </c>
      <c r="Y21" s="49">
        <f>V21&amp;"|"&amp;V21&amp;"|"&amp;V21&amp;"|"&amp;V21&amp;"|"&amp;V21&amp;"|"&amp;V21&amp;"|"&amp;V21&amp;"|"&amp;V21</f>
        <v/>
      </c>
      <c r="Z21">
        <f>ROUND( 100+V21,0)</f>
        <v/>
      </c>
      <c r="AA21">
        <f>1.38*U21-39.38</f>
        <v/>
      </c>
      <c r="AC21" t="n">
        <v>20</v>
      </c>
      <c r="AD21">
        <f>(AF21/AE21-1)*100</f>
        <v/>
      </c>
      <c r="AE21" t="n">
        <v>1</v>
      </c>
      <c r="AF21" t="n">
        <v>4.21</v>
      </c>
      <c r="AH21">
        <f>ROUND( 100+AD21,0)</f>
        <v/>
      </c>
      <c r="AJ21" t="n">
        <v>20</v>
      </c>
      <c r="AL21" t="n">
        <v>2900</v>
      </c>
      <c r="AM21" t="n">
        <v>11.5</v>
      </c>
      <c r="AO21">
        <f>_xlfn.TEXTJOIN("|",TRUE,AL21:AM21)</f>
        <v/>
      </c>
      <c r="AR21" t="n">
        <v>20</v>
      </c>
      <c r="AS21">
        <f>(AU21/AT21-1)*100</f>
        <v/>
      </c>
      <c r="AT21">
        <f>AT20</f>
        <v/>
      </c>
      <c r="AU21" t="n">
        <v>2.9</v>
      </c>
      <c r="AV21">
        <f>ROUND( 100+AS21,0)</f>
        <v/>
      </c>
      <c r="AW21" s="45" t="n"/>
      <c r="AX21" s="45" t="n">
        <v>20</v>
      </c>
      <c r="AY21" s="45">
        <f>(BA21/$AZ$2-1)*100</f>
        <v/>
      </c>
      <c r="AZ21" s="45" t="n"/>
      <c r="BA21" s="45" t="n">
        <v>5.8</v>
      </c>
      <c r="BB21">
        <f>ROUND( 100+AY21,0)</f>
        <v/>
      </c>
      <c r="BD21" t="n">
        <v>2300</v>
      </c>
      <c r="BE21" s="50" t="inlineStr">
        <is>
          <t>13</t>
        </is>
      </c>
      <c r="BF21">
        <f>BD21&amp;"|"&amp;BE21</f>
        <v/>
      </c>
      <c r="BH21" t="n">
        <v>20</v>
      </c>
      <c r="BI21" s="45">
        <f>(BK21/BJ21-1)*100</f>
        <v/>
      </c>
      <c r="BJ21">
        <f>BJ20</f>
        <v/>
      </c>
      <c r="BK21" t="n">
        <v>4.74</v>
      </c>
      <c r="BL21" s="43">
        <f>_xlfn.TEXTJOIN("|",TRUE,BI21,BI21,BI21,BI21,BI21)</f>
        <v/>
      </c>
      <c r="BM21">
        <f>ROUND( 100+BI21,0)</f>
        <v/>
      </c>
      <c r="BN21" s="50">
        <f>BM21/10</f>
        <v/>
      </c>
      <c r="BO21" s="50">
        <f>1.5*BM21/10</f>
        <v/>
      </c>
      <c r="BP21" s="50">
        <f>2*BM21/10</f>
        <v/>
      </c>
      <c r="BQ21" s="50">
        <f>2.5*BM21/10</f>
        <v/>
      </c>
      <c r="BR21" s="50">
        <f>3*BM21/10</f>
        <v/>
      </c>
      <c r="BT21" t="n">
        <v>20</v>
      </c>
      <c r="BU21">
        <f>(BW21/$BV$2-1)*100</f>
        <v/>
      </c>
      <c r="BW21" t="n">
        <v>4.8</v>
      </c>
      <c r="BX21" s="49">
        <f>CA21&amp;"|"&amp;CB21</f>
        <v/>
      </c>
      <c r="BY21">
        <f>ROUND( 100+BU21,0)</f>
        <v/>
      </c>
      <c r="BZ21">
        <f>2*BU21</f>
        <v/>
      </c>
      <c r="CA21" s="50">
        <f>BZ21/3</f>
        <v/>
      </c>
      <c r="CB21" s="50">
        <f>CA21*2</f>
        <v/>
      </c>
      <c r="CD21" t="n">
        <v>20</v>
      </c>
      <c r="CE21" s="50">
        <f>((CG21/$CF$2-1)*100)</f>
        <v/>
      </c>
      <c r="CG21" t="n">
        <v>2.9</v>
      </c>
      <c r="CH21" s="54">
        <f>CE21</f>
        <v/>
      </c>
      <c r="CI21">
        <f>ROUND( 100+CE21,0)</f>
        <v/>
      </c>
      <c r="CJ21" s="13" t="n"/>
      <c r="CK21" s="13" t="n">
        <v>20</v>
      </c>
      <c r="CL21" s="13">
        <f>(CN21/$CF$2-1)*100</f>
        <v/>
      </c>
      <c r="CM21" s="13" t="n"/>
      <c r="CN21" s="13">
        <f>0.08*CK21+3.92</f>
        <v/>
      </c>
      <c r="CO21" s="54">
        <f>CL21</f>
        <v/>
      </c>
      <c r="CP21" t="n">
        <v>145</v>
      </c>
      <c r="CQ21" t="n">
        <v>80</v>
      </c>
      <c r="CR21">
        <f>CP21&amp;"|"&amp;CQ21</f>
        <v/>
      </c>
      <c r="CT21" s="26" t="n"/>
      <c r="CV21" s="50" t="n">
        <v>39</v>
      </c>
      <c r="CW21" t="n">
        <v>20</v>
      </c>
      <c r="CX21">
        <f>DA21&amp;"|"&amp;DA21&amp;"|"&amp;DA21&amp;"|"&amp;DA21&amp;"|"&amp;DA21</f>
        <v/>
      </c>
      <c r="CY21" t="n">
        <v>2.4</v>
      </c>
      <c r="CZ21">
        <f>CZ20</f>
        <v/>
      </c>
      <c r="DA21">
        <f>(CY21/CZ21-1)*100</f>
        <v/>
      </c>
      <c r="DB21" s="50">
        <f>ROUND( 100+DA21,0)</f>
        <v/>
      </c>
      <c r="DC21" t="n">
        <v>21.4</v>
      </c>
      <c r="DD21">
        <f>_xlfn.TEXTJOIN("|",TRUE,DB21:DC21)</f>
        <v/>
      </c>
      <c r="DF21" t="n">
        <v>20</v>
      </c>
      <c r="DG21" t="n">
        <v>590</v>
      </c>
      <c r="DI21" s="50" t="n">
        <v>-81</v>
      </c>
      <c r="DJ21" s="50" t="n">
        <v>-79</v>
      </c>
      <c r="DK21" s="45" t="n"/>
      <c r="DL21" s="45" t="n">
        <v>20</v>
      </c>
      <c r="DM21">
        <f>(DO21/$DN$2-1)*100</f>
        <v/>
      </c>
      <c r="DN21" s="45" t="n"/>
      <c r="DO21" s="45" t="n">
        <v>4.05</v>
      </c>
      <c r="DP21" s="52" t="n">
        <v>-80</v>
      </c>
      <c r="DQ21" s="50">
        <f>ROUND( 100+DM21,0)</f>
        <v/>
      </c>
      <c r="DR21" s="50">
        <f>ROUND( 100+DP21,0)</f>
        <v/>
      </c>
      <c r="DS21">
        <f>_xlfn.TEXTJOIN("|",TRUE,DQ21:DR21)</f>
        <v/>
      </c>
      <c r="DU21" t="n">
        <v>20</v>
      </c>
      <c r="DV21" s="45">
        <f>(DX21/DW21-1)*100</f>
        <v/>
      </c>
      <c r="DW21">
        <f>DW20</f>
        <v/>
      </c>
      <c r="DX21" t="n">
        <v>3.48</v>
      </c>
      <c r="DZ21">
        <f>ROUND( 100+DV21,0)</f>
        <v/>
      </c>
      <c r="EB21" t="n">
        <v>20</v>
      </c>
      <c r="EC21" s="50">
        <f>(EE21/$ED$2-1)*100</f>
        <v/>
      </c>
      <c r="ED21">
        <f>ED20</f>
        <v/>
      </c>
      <c r="EE21" t="n">
        <v>3.47</v>
      </c>
      <c r="EF21" s="43">
        <f>_xlfn.TEXTJOIN("|",TRUE,EC21,EC21,EC21,EC21,EC21,EC21)</f>
        <v/>
      </c>
      <c r="EG21" s="50">
        <f>ROUND( 100+EC21,0)</f>
        <v/>
      </c>
      <c r="EH21" s="43" t="n"/>
      <c r="EJ21" t="n">
        <v>20</v>
      </c>
      <c r="EK21" s="50">
        <f>(EM21/EL21-1)*100</f>
        <v/>
      </c>
      <c r="EL21">
        <f>EL20</f>
        <v/>
      </c>
      <c r="EM21" t="n">
        <v>2.9</v>
      </c>
      <c r="EN21" s="43">
        <f>EK21&amp;"|"&amp;EK21&amp;"|"&amp;EK21&amp;"|"&amp;EK21&amp;"|"&amp;EK21&amp;"|"&amp;EK21</f>
        <v/>
      </c>
      <c r="EO21" s="50">
        <f>ROUND( 100+EK21,0)</f>
        <v/>
      </c>
      <c r="EP21" s="50" t="n"/>
      <c r="EQ21" s="50" t="n"/>
      <c r="ER21" s="50">
        <f>(ET21/ES21-1)*100</f>
        <v/>
      </c>
      <c r="ES21" s="50">
        <f>ES20</f>
        <v/>
      </c>
      <c r="ET21" t="n">
        <v>4.35</v>
      </c>
      <c r="EU21" s="50" t="n"/>
      <c r="EV21" s="50">
        <f>ROUND( 100+ER21,0)</f>
        <v/>
      </c>
      <c r="EW21" s="50">
        <f>(EX21/EY21-1)*100</f>
        <v/>
      </c>
      <c r="EX21" t="n">
        <v>3.77</v>
      </c>
      <c r="EY21">
        <f>EY20</f>
        <v/>
      </c>
      <c r="EZ21" t="n">
        <v>98.59999999999999</v>
      </c>
      <c r="FA21" t="n">
        <v>3.178</v>
      </c>
      <c r="FB21" s="50">
        <f>ROUND( 100+EW21,0)</f>
        <v/>
      </c>
      <c r="FC21">
        <f>EW21&amp;"|"&amp;EZ21&amp;"|"&amp;FA21</f>
        <v/>
      </c>
      <c r="FE21" t="n">
        <v>20</v>
      </c>
      <c r="FF21" s="50">
        <f>(FH21/FG21-1)*100</f>
        <v/>
      </c>
      <c r="FG21">
        <f>FG20</f>
        <v/>
      </c>
      <c r="FH21">
        <f>2*(1+FE20*0.1)</f>
        <v/>
      </c>
      <c r="FJ21" t="n">
        <v>20</v>
      </c>
      <c r="FK21" s="50">
        <f>(FN21/FM21-1)*100</f>
        <v/>
      </c>
      <c r="FL21" s="50">
        <f>FL20</f>
        <v/>
      </c>
      <c r="FM21">
        <f>FM20</f>
        <v/>
      </c>
      <c r="FN21">
        <f>2*(1+FJ20*0.1)</f>
        <v/>
      </c>
      <c r="FP21" t="n">
        <v>20</v>
      </c>
      <c r="FQ21" s="50">
        <f>ROUND((FS21/FR21-1)*100,0)</f>
        <v/>
      </c>
      <c r="FR21">
        <f>FR20</f>
        <v/>
      </c>
      <c r="FS21">
        <f>2*(1+FP20*0.1)</f>
        <v/>
      </c>
      <c r="FT21">
        <f>_xlfn.TEXTJOIN("|",TRUE,FQ21,FQ21,FQ21)</f>
        <v/>
      </c>
    </row>
    <row r="22">
      <c r="G22" t="n">
        <v>21</v>
      </c>
      <c r="H22">
        <f>(J22/I22-1)*100</f>
        <v/>
      </c>
      <c r="I22">
        <f>I21</f>
        <v/>
      </c>
      <c r="J22" t="n">
        <v>3.4</v>
      </c>
      <c r="K22" s="49">
        <f>H22&amp;"|"&amp;H22&amp;"|"&amp;H22&amp;"|"&amp;H22&amp;"|"&amp;H22</f>
        <v/>
      </c>
      <c r="L22">
        <f>ROUND( 100+H22,0)</f>
        <v/>
      </c>
      <c r="M22" s="49" t="n"/>
      <c r="N22" s="49" t="n">
        <v>21</v>
      </c>
      <c r="O22">
        <f>(Q22/P22-1)*100</f>
        <v/>
      </c>
      <c r="P22">
        <f>P21</f>
        <v/>
      </c>
      <c r="Q22" t="n">
        <v>3.4</v>
      </c>
      <c r="R22" s="49">
        <f>O22&amp;"|"&amp;O22&amp;"|"&amp;O22</f>
        <v/>
      </c>
      <c r="S22">
        <f>ROUND( 100+O22,0)</f>
        <v/>
      </c>
      <c r="U22" t="n">
        <v>21</v>
      </c>
      <c r="V22">
        <f>(X22/W22-1)*100</f>
        <v/>
      </c>
      <c r="W22">
        <f>W21</f>
        <v/>
      </c>
      <c r="X22" t="n">
        <v>4.8</v>
      </c>
      <c r="Y22" s="49">
        <f>V22&amp;"|"&amp;V22&amp;"|"&amp;V22&amp;"|"&amp;V22&amp;"|"&amp;V22&amp;"|"&amp;V22&amp;"|"&amp;V22&amp;"|"&amp;V22</f>
        <v/>
      </c>
      <c r="Z22">
        <f>ROUND( 100+V22,0)</f>
        <v/>
      </c>
      <c r="AA22">
        <f>1.38*U22-39.38</f>
        <v/>
      </c>
      <c r="AC22" t="n">
        <v>21</v>
      </c>
      <c r="AD22">
        <f>(AF22/AE22-1)*100</f>
        <v/>
      </c>
      <c r="AE22" t="n">
        <v>1</v>
      </c>
      <c r="AF22" t="n">
        <v>4.35</v>
      </c>
      <c r="AH22">
        <f>ROUND( 100+AD22,0)</f>
        <v/>
      </c>
      <c r="AJ22" t="n">
        <v>21</v>
      </c>
      <c r="AL22" t="n">
        <v>3000</v>
      </c>
      <c r="AM22" t="n">
        <v>12</v>
      </c>
      <c r="AO22">
        <f>_xlfn.TEXTJOIN("|",TRUE,AL22:AM22)</f>
        <v/>
      </c>
      <c r="AR22" t="n">
        <v>21</v>
      </c>
      <c r="AS22">
        <f>(AU22/AT22-1)*100</f>
        <v/>
      </c>
      <c r="AT22">
        <f>AT21</f>
        <v/>
      </c>
      <c r="AU22" t="n">
        <v>3</v>
      </c>
      <c r="AV22">
        <f>ROUND( 100+AS22,0)</f>
        <v/>
      </c>
      <c r="AW22" s="45" t="n"/>
      <c r="AX22" s="45" t="n">
        <v>21</v>
      </c>
      <c r="AY22" s="45">
        <f>(BA22/$AZ$2-1)*100</f>
        <v/>
      </c>
      <c r="AZ22" s="45" t="n"/>
      <c r="BA22" s="45" t="n">
        <v>6</v>
      </c>
      <c r="BB22">
        <f>ROUND( 100+AY22,0)</f>
        <v/>
      </c>
      <c r="BD22" t="n">
        <v>2400</v>
      </c>
      <c r="BE22" s="50" t="inlineStr">
        <is>
          <t>14</t>
        </is>
      </c>
      <c r="BF22">
        <f>BD22&amp;"|"&amp;BE22</f>
        <v/>
      </c>
      <c r="BH22" t="n">
        <v>21</v>
      </c>
      <c r="BI22" s="45">
        <f>(BK22/BJ22-1)*100</f>
        <v/>
      </c>
      <c r="BJ22">
        <f>BJ21</f>
        <v/>
      </c>
      <c r="BK22" t="n">
        <v>4.9</v>
      </c>
      <c r="BL22" s="43">
        <f>_xlfn.TEXTJOIN("|",TRUE,BI22,BI22,BI22,BI22,BI22)</f>
        <v/>
      </c>
      <c r="BM22">
        <f>ROUND( 100+BI22,0)</f>
        <v/>
      </c>
      <c r="BN22" s="50">
        <f>BM22/10</f>
        <v/>
      </c>
      <c r="BO22" s="50">
        <f>1.5*BM22/10</f>
        <v/>
      </c>
      <c r="BP22" s="50">
        <f>2*BM22/10</f>
        <v/>
      </c>
      <c r="BQ22" s="50">
        <f>2.5*BM22/10</f>
        <v/>
      </c>
      <c r="BR22" s="50">
        <f>3*BM22/10</f>
        <v/>
      </c>
      <c r="BT22" t="n">
        <v>21</v>
      </c>
      <c r="BU22">
        <f>(BW22/$BV$2-1)*100</f>
        <v/>
      </c>
      <c r="BW22" t="n">
        <v>5</v>
      </c>
      <c r="BX22" s="49">
        <f>CA22&amp;"|"&amp;CB22</f>
        <v/>
      </c>
      <c r="BY22">
        <f>ROUND( 100+BU22,0)</f>
        <v/>
      </c>
      <c r="BZ22">
        <f>2*BU22</f>
        <v/>
      </c>
      <c r="CA22" s="50">
        <f>BZ22/3</f>
        <v/>
      </c>
      <c r="CB22" s="50">
        <f>CA22*2</f>
        <v/>
      </c>
      <c r="CD22" t="n">
        <v>21</v>
      </c>
      <c r="CE22" s="50">
        <f>((CG22/$CF$2-1)*100)</f>
        <v/>
      </c>
      <c r="CG22" t="n">
        <v>3</v>
      </c>
      <c r="CH22" s="54">
        <f>CE22</f>
        <v/>
      </c>
      <c r="CI22">
        <f>ROUND( 100+CE22,0)</f>
        <v/>
      </c>
      <c r="CJ22" s="13" t="n"/>
      <c r="CK22" s="13" t="n">
        <v>21</v>
      </c>
      <c r="CL22" s="13">
        <f>(CN22/$CF$2-1)*100</f>
        <v/>
      </c>
      <c r="CM22" s="13" t="n"/>
      <c r="CN22" s="13">
        <f>0.08*CK22+3.92</f>
        <v/>
      </c>
      <c r="CO22" s="54">
        <f>CL22</f>
        <v/>
      </c>
      <c r="CP22" t="n">
        <v>150</v>
      </c>
      <c r="CQ22" t="n">
        <v>79</v>
      </c>
      <c r="CR22">
        <f>CP22&amp;"|"&amp;CQ22</f>
        <v/>
      </c>
      <c r="CT22" s="26" t="n"/>
      <c r="CV22" s="50" t="n">
        <v>40</v>
      </c>
      <c r="CW22" t="n">
        <v>21</v>
      </c>
      <c r="CX22">
        <f>DA22&amp;"|"&amp;DA22&amp;"|"&amp;DA22&amp;"|"&amp;DA22&amp;"|"&amp;DA22</f>
        <v/>
      </c>
      <c r="CY22" t="n">
        <v>2.5</v>
      </c>
      <c r="CZ22">
        <f>CZ21</f>
        <v/>
      </c>
      <c r="DA22">
        <f>(CY22/CZ22-1)*100</f>
        <v/>
      </c>
      <c r="DB22" s="50">
        <f>ROUND( 100+DA22,0)</f>
        <v/>
      </c>
      <c r="DC22" t="n">
        <v>22</v>
      </c>
      <c r="DD22">
        <f>_xlfn.TEXTJOIN("|",TRUE,DB22:DC22)</f>
        <v/>
      </c>
      <c r="DF22" t="n">
        <v>21</v>
      </c>
      <c r="DG22" t="n">
        <v>600</v>
      </c>
      <c r="DI22" s="50" t="n">
        <v>-80</v>
      </c>
      <c r="DJ22" s="50" t="n">
        <v>-78</v>
      </c>
      <c r="DK22" s="45" t="n"/>
      <c r="DL22" s="45" t="n">
        <v>21</v>
      </c>
      <c r="DM22">
        <f>(DO22/$DN$2-1)*100</f>
        <v/>
      </c>
      <c r="DN22" s="45" t="n"/>
      <c r="DO22" s="45" t="n">
        <v>4.2</v>
      </c>
      <c r="DP22" s="52" t="n">
        <v>-79</v>
      </c>
      <c r="DQ22" s="50">
        <f>ROUND( 100+DM22,0)</f>
        <v/>
      </c>
      <c r="DR22" s="50">
        <f>ROUND( 100+DP22,0)</f>
        <v/>
      </c>
      <c r="DS22">
        <f>_xlfn.TEXTJOIN("|",TRUE,DQ22:DR22)</f>
        <v/>
      </c>
      <c r="DU22" t="n">
        <v>21</v>
      </c>
      <c r="DV22" s="45">
        <f>(DX22/DW22-1)*100</f>
        <v/>
      </c>
      <c r="DW22">
        <f>DW21</f>
        <v/>
      </c>
      <c r="DX22" t="n">
        <v>3.6</v>
      </c>
      <c r="DZ22">
        <f>ROUND( 100+DV22,0)</f>
        <v/>
      </c>
      <c r="EB22" t="n">
        <v>21</v>
      </c>
      <c r="EC22" s="50">
        <f>(EE22/$ED$2-1)*100</f>
        <v/>
      </c>
      <c r="ED22">
        <f>ED21</f>
        <v/>
      </c>
      <c r="EE22" t="n">
        <v>3.6</v>
      </c>
      <c r="EF22" s="43">
        <f>_xlfn.TEXTJOIN("|",TRUE,EC22,EC22,EC22,EC22,EC22,EC22)</f>
        <v/>
      </c>
      <c r="EG22" s="50">
        <f>ROUND( 100+EC22,0)</f>
        <v/>
      </c>
      <c r="EH22" s="43" t="n"/>
      <c r="EJ22" t="n">
        <v>21</v>
      </c>
      <c r="EK22" s="50">
        <f>(EM22/EL22-1)*100</f>
        <v/>
      </c>
      <c r="EL22">
        <f>EL21</f>
        <v/>
      </c>
      <c r="EM22" t="n">
        <v>3</v>
      </c>
      <c r="EN22" s="43">
        <f>EK22&amp;"|"&amp;EK22&amp;"|"&amp;EK22&amp;"|"&amp;EK22&amp;"|"&amp;EK22&amp;"|"&amp;EK22</f>
        <v/>
      </c>
      <c r="EO22" s="50">
        <f>ROUND( 100+EK22,0)</f>
        <v/>
      </c>
      <c r="EP22" s="50" t="n"/>
      <c r="EQ22" s="50" t="n"/>
      <c r="ER22" s="50">
        <f>(ET22/ES22-1)*100</f>
        <v/>
      </c>
      <c r="ES22" s="50">
        <f>ES21</f>
        <v/>
      </c>
      <c r="ET22" t="n">
        <v>4.5</v>
      </c>
      <c r="EU22" s="50" t="n"/>
      <c r="EV22" s="50">
        <f>ROUND( 100+ER22,0)</f>
        <v/>
      </c>
      <c r="EW22" s="50">
        <f>(EX22/EY22-1)*100</f>
        <v/>
      </c>
      <c r="EX22" t="n">
        <v>3.9</v>
      </c>
      <c r="EY22">
        <f>EY21</f>
        <v/>
      </c>
      <c r="EZ22" t="n">
        <v>102</v>
      </c>
      <c r="FA22" t="n">
        <v>3.24</v>
      </c>
      <c r="FB22" s="50">
        <f>ROUND( 100+EW22,0)</f>
        <v/>
      </c>
      <c r="FC22">
        <f>EW22&amp;"|"&amp;EZ22&amp;"|"&amp;FA22</f>
        <v/>
      </c>
      <c r="FE22" t="n">
        <v>21</v>
      </c>
      <c r="FF22" s="50">
        <f>(FH22/FG22-1)*100</f>
        <v/>
      </c>
      <c r="FG22">
        <f>FG21</f>
        <v/>
      </c>
      <c r="FH22">
        <f>2*(1+FE21*0.1)</f>
        <v/>
      </c>
      <c r="FJ22" t="n">
        <v>21</v>
      </c>
      <c r="FK22" s="50">
        <f>(FN22/FM22-1)*100</f>
        <v/>
      </c>
      <c r="FL22" s="50">
        <f>FL21</f>
        <v/>
      </c>
      <c r="FM22">
        <f>FM21</f>
        <v/>
      </c>
      <c r="FN22">
        <f>2*(1+FJ21*0.1)</f>
        <v/>
      </c>
      <c r="FP22" t="n">
        <v>21</v>
      </c>
      <c r="FQ22" s="50">
        <f>ROUND((FS22/FR22-1)*100,0)</f>
        <v/>
      </c>
      <c r="FR22">
        <f>FR21</f>
        <v/>
      </c>
      <c r="FS22">
        <f>2*(1+FP21*0.1)</f>
        <v/>
      </c>
      <c r="FT22">
        <f>_xlfn.TEXTJOIN("|",TRUE,FQ22,FQ22,FQ22)</f>
        <v/>
      </c>
    </row>
    <row r="23">
      <c r="G23" t="n">
        <v>22</v>
      </c>
      <c r="H23">
        <f>(J23/I23-1)*100</f>
        <v/>
      </c>
      <c r="I23">
        <f>I22</f>
        <v/>
      </c>
      <c r="J23" t="n">
        <v>3.52</v>
      </c>
      <c r="K23" s="49">
        <f>H23&amp;"|"&amp;H23&amp;"|"&amp;H23&amp;"|"&amp;H23&amp;"|"&amp;H23</f>
        <v/>
      </c>
      <c r="L23">
        <f>ROUND( 100+H23,0)</f>
        <v/>
      </c>
      <c r="M23" s="49" t="n"/>
      <c r="N23" s="49" t="n">
        <v>22</v>
      </c>
      <c r="O23">
        <f>(Q23/P23-1)*100</f>
        <v/>
      </c>
      <c r="P23">
        <f>P22</f>
        <v/>
      </c>
      <c r="Q23" t="n">
        <v>3.51</v>
      </c>
      <c r="R23" s="49">
        <f>O23&amp;"|"&amp;O23&amp;"|"&amp;O23</f>
        <v/>
      </c>
      <c r="S23">
        <f>ROUND( 100+O23,0)</f>
        <v/>
      </c>
      <c r="U23" t="n">
        <v>22</v>
      </c>
      <c r="V23">
        <f>(X23/W23-1)*100</f>
        <v/>
      </c>
      <c r="W23">
        <f>W22</f>
        <v/>
      </c>
      <c r="X23" t="n">
        <v>4.99</v>
      </c>
      <c r="Y23" s="49">
        <f>V23&amp;"|"&amp;V23&amp;"|"&amp;V23&amp;"|"&amp;V23&amp;"|"&amp;V23&amp;"|"&amp;V23&amp;"|"&amp;V23&amp;"|"&amp;V23</f>
        <v/>
      </c>
      <c r="Z23">
        <f>ROUND( 100+V23,0)</f>
        <v/>
      </c>
      <c r="AA23">
        <f>1.38*U23-39.38</f>
        <v/>
      </c>
      <c r="AC23" t="n">
        <v>22</v>
      </c>
      <c r="AD23">
        <f>(AF23/AE23-1)*100</f>
        <v/>
      </c>
      <c r="AE23" t="n">
        <v>1</v>
      </c>
      <c r="AF23" t="n">
        <v>4.49</v>
      </c>
      <c r="AH23">
        <f>ROUND( 100+AD23,0)</f>
        <v/>
      </c>
      <c r="AJ23" t="n">
        <v>22</v>
      </c>
      <c r="AL23" t="n">
        <v>3100</v>
      </c>
      <c r="AM23" t="n">
        <v>12.5</v>
      </c>
      <c r="AO23">
        <f>_xlfn.TEXTJOIN("|",TRUE,AL23:AM23)</f>
        <v/>
      </c>
      <c r="AR23" t="n">
        <v>22</v>
      </c>
      <c r="AS23">
        <f>(AU23/AT23-1)*100</f>
        <v/>
      </c>
      <c r="AT23">
        <f>AT22</f>
        <v/>
      </c>
      <c r="AU23" t="n">
        <v>3.1</v>
      </c>
      <c r="AV23">
        <f>ROUND( 100+AS23,0)</f>
        <v/>
      </c>
      <c r="AW23" s="45" t="n"/>
      <c r="AX23" s="45" t="n">
        <v>22</v>
      </c>
      <c r="AY23" s="45">
        <f>(BA23/$AZ$2-1)*100</f>
        <v/>
      </c>
      <c r="AZ23" s="45" t="n"/>
      <c r="BA23" s="45" t="n">
        <v>6.2</v>
      </c>
      <c r="BB23">
        <f>ROUND( 100+AY23,0)</f>
        <v/>
      </c>
      <c r="BD23" t="n">
        <v>2500</v>
      </c>
      <c r="BE23" s="50" t="inlineStr">
        <is>
          <t>14</t>
        </is>
      </c>
      <c r="BF23">
        <f>BD23&amp;"|"&amp;BE23</f>
        <v/>
      </c>
      <c r="BH23" t="n">
        <v>22</v>
      </c>
      <c r="BI23" s="45">
        <f>(BK23/BJ23-1)*100</f>
        <v/>
      </c>
      <c r="BJ23">
        <f>BJ22</f>
        <v/>
      </c>
      <c r="BK23" t="n">
        <v>5.06</v>
      </c>
      <c r="BL23" s="43">
        <f>_xlfn.TEXTJOIN("|",TRUE,BI23,BI23,BI23,BI23,BI23)</f>
        <v/>
      </c>
      <c r="BM23">
        <f>ROUND( 100+BI23,0)</f>
        <v/>
      </c>
      <c r="BN23" s="50">
        <f>BM23/10</f>
        <v/>
      </c>
      <c r="BO23" s="50">
        <f>1.5*BM23/10</f>
        <v/>
      </c>
      <c r="BP23" s="50">
        <f>2*BM23/10</f>
        <v/>
      </c>
      <c r="BQ23" s="50">
        <f>2.5*BM23/10</f>
        <v/>
      </c>
      <c r="BR23" s="50">
        <f>3*BM23/10</f>
        <v/>
      </c>
      <c r="BT23" t="n">
        <v>22</v>
      </c>
      <c r="BU23">
        <f>(BW23/$BV$2-1)*100</f>
        <v/>
      </c>
      <c r="BW23" t="n">
        <v>5.2</v>
      </c>
      <c r="BX23" s="49">
        <f>CA23&amp;"|"&amp;CB23</f>
        <v/>
      </c>
      <c r="BY23">
        <f>ROUND( 100+BU23,0)</f>
        <v/>
      </c>
      <c r="BZ23">
        <f>2*BU23</f>
        <v/>
      </c>
      <c r="CA23" s="50">
        <f>BZ23/3</f>
        <v/>
      </c>
      <c r="CB23" s="50">
        <f>CA23*2</f>
        <v/>
      </c>
      <c r="CD23" t="n">
        <v>22</v>
      </c>
      <c r="CE23" s="50">
        <f>((CG23/$CF$2-1)*100)</f>
        <v/>
      </c>
      <c r="CG23" t="n">
        <v>3.1</v>
      </c>
      <c r="CH23" s="54">
        <f>CE23</f>
        <v/>
      </c>
      <c r="CI23">
        <f>ROUND( 100+CE23,0)</f>
        <v/>
      </c>
      <c r="CJ23" s="13" t="n"/>
      <c r="CK23" s="13" t="n">
        <v>22</v>
      </c>
      <c r="CL23" s="13">
        <f>(CN23/$CF$2-1)*100</f>
        <v/>
      </c>
      <c r="CM23" s="13" t="n"/>
      <c r="CN23" s="13">
        <f>0.08*CK23+3.92</f>
        <v/>
      </c>
      <c r="CO23" s="54">
        <f>CL23</f>
        <v/>
      </c>
      <c r="CP23" t="n">
        <v>155</v>
      </c>
      <c r="CQ23" t="n">
        <v>78</v>
      </c>
      <c r="CR23">
        <f>CP23&amp;"|"&amp;CQ23</f>
        <v/>
      </c>
      <c r="CT23" s="26" t="n"/>
      <c r="CV23" s="50" t="n">
        <v>42</v>
      </c>
      <c r="CW23" t="n">
        <v>22</v>
      </c>
      <c r="CX23">
        <f>DA23&amp;"|"&amp;DA23&amp;"|"&amp;DA23&amp;"|"&amp;DA23&amp;"|"&amp;DA23</f>
        <v/>
      </c>
      <c r="CY23" t="n">
        <v>2.6</v>
      </c>
      <c r="CZ23">
        <f>CZ22</f>
        <v/>
      </c>
      <c r="DA23">
        <f>(CY23/CZ23-1)*100</f>
        <v/>
      </c>
      <c r="DB23" s="50">
        <f>ROUND( 100+DA23,0)</f>
        <v/>
      </c>
      <c r="DC23" t="n">
        <v>22.6</v>
      </c>
      <c r="DD23">
        <f>_xlfn.TEXTJOIN("|",TRUE,DB23:DC23)</f>
        <v/>
      </c>
      <c r="DF23" t="n">
        <v>22</v>
      </c>
      <c r="DG23" t="n">
        <v>610</v>
      </c>
      <c r="DI23" s="50" t="n">
        <v>-78</v>
      </c>
      <c r="DJ23" s="50" t="n">
        <v>-76</v>
      </c>
      <c r="DK23" s="45" t="n"/>
      <c r="DL23" s="45" t="n">
        <v>22</v>
      </c>
      <c r="DM23">
        <f>(DO23/$DN$2-1)*100</f>
        <v/>
      </c>
      <c r="DN23" s="45" t="n"/>
      <c r="DO23" s="45" t="n">
        <v>4.35</v>
      </c>
      <c r="DP23" s="52" t="n">
        <v>-78</v>
      </c>
      <c r="DQ23" s="50">
        <f>ROUND( 100+DM23,0)</f>
        <v/>
      </c>
      <c r="DR23" s="50">
        <f>ROUND( 100+DP23,0)</f>
        <v/>
      </c>
      <c r="DS23">
        <f>_xlfn.TEXTJOIN("|",TRUE,DQ23:DR23)</f>
        <v/>
      </c>
      <c r="DU23" t="n">
        <v>22</v>
      </c>
      <c r="DV23" s="45">
        <f>(DX23/DW23-1)*100</f>
        <v/>
      </c>
      <c r="DW23">
        <f>DW22</f>
        <v/>
      </c>
      <c r="DX23" t="n">
        <v>3.72</v>
      </c>
      <c r="DZ23">
        <f>ROUND( 100+DV23,0)</f>
        <v/>
      </c>
      <c r="EB23" t="n">
        <v>22</v>
      </c>
      <c r="EC23" s="50">
        <f>(EE23/$ED$2-1)*100</f>
        <v/>
      </c>
      <c r="ED23">
        <f>ED22</f>
        <v/>
      </c>
      <c r="EE23" t="n">
        <v>3.73</v>
      </c>
      <c r="EF23" s="43">
        <f>_xlfn.TEXTJOIN("|",TRUE,EC23,EC23,EC23,EC23,EC23,EC23)</f>
        <v/>
      </c>
      <c r="EG23" s="50">
        <f>ROUND( 100+EC23,0)</f>
        <v/>
      </c>
      <c r="EH23" s="43" t="n"/>
      <c r="EJ23" t="n">
        <v>22</v>
      </c>
      <c r="EK23" s="50">
        <f>(EM23/EL23-1)*100</f>
        <v/>
      </c>
      <c r="EL23">
        <f>EL22</f>
        <v/>
      </c>
      <c r="EM23" t="n">
        <v>3.1</v>
      </c>
      <c r="EN23" s="43">
        <f>EK23&amp;"|"&amp;EK23&amp;"|"&amp;EK23&amp;"|"&amp;EK23&amp;"|"&amp;EK23&amp;"|"&amp;EK23</f>
        <v/>
      </c>
      <c r="EO23" s="50">
        <f>ROUND( 100+EK23,0)</f>
        <v/>
      </c>
      <c r="EP23" s="50" t="n"/>
      <c r="EQ23" s="50" t="n"/>
      <c r="ER23" s="50">
        <f>(ET23/ES23-1)*100</f>
        <v/>
      </c>
      <c r="ES23" s="50">
        <f>ES22</f>
        <v/>
      </c>
      <c r="ET23" t="n">
        <v>4.65</v>
      </c>
      <c r="EU23" s="50" t="n"/>
      <c r="EV23" s="50">
        <f>ROUND( 100+ER23,0)</f>
        <v/>
      </c>
      <c r="EW23" s="50">
        <f>(EX23/EY23-1)*100</f>
        <v/>
      </c>
      <c r="EX23" t="n">
        <v>4.03</v>
      </c>
      <c r="EY23">
        <f>EY22</f>
        <v/>
      </c>
      <c r="EZ23" t="n">
        <v>105.4</v>
      </c>
      <c r="FA23" t="n">
        <v>3.302</v>
      </c>
      <c r="FB23" s="50">
        <f>ROUND( 100+EW23,0)</f>
        <v/>
      </c>
      <c r="FC23">
        <f>EW23&amp;"|"&amp;EZ23&amp;"|"&amp;FA23</f>
        <v/>
      </c>
      <c r="FE23" t="n">
        <v>22</v>
      </c>
      <c r="FF23" s="50">
        <f>(FH23/FG23-1)*100</f>
        <v/>
      </c>
      <c r="FG23">
        <f>FG22</f>
        <v/>
      </c>
      <c r="FH23">
        <f>2*(1+FE22*0.1)</f>
        <v/>
      </c>
      <c r="FJ23" t="n">
        <v>22</v>
      </c>
      <c r="FK23" s="50">
        <f>(FN23/FM23-1)*100</f>
        <v/>
      </c>
      <c r="FL23" s="50">
        <f>FL22</f>
        <v/>
      </c>
      <c r="FM23">
        <f>FM22</f>
        <v/>
      </c>
      <c r="FN23">
        <f>2*(1+FJ22*0.1)</f>
        <v/>
      </c>
      <c r="FP23" t="n">
        <v>22</v>
      </c>
      <c r="FQ23" s="50">
        <f>ROUND((FS23/FR23-1)*100,0)</f>
        <v/>
      </c>
      <c r="FR23">
        <f>FR22</f>
        <v/>
      </c>
      <c r="FS23">
        <f>2*(1+FP22*0.1)</f>
        <v/>
      </c>
      <c r="FT23">
        <f>_xlfn.TEXTJOIN("|",TRUE,FQ23,FQ23,FQ23)</f>
        <v/>
      </c>
    </row>
    <row r="24">
      <c r="G24" t="n">
        <v>23</v>
      </c>
      <c r="H24">
        <f>(J24/I24-1)*100</f>
        <v/>
      </c>
      <c r="I24">
        <f>I23</f>
        <v/>
      </c>
      <c r="J24" t="n">
        <v>3.64</v>
      </c>
      <c r="K24" s="49">
        <f>H24&amp;"|"&amp;H24&amp;"|"&amp;H24&amp;"|"&amp;H24&amp;"|"&amp;H24</f>
        <v/>
      </c>
      <c r="L24">
        <f>ROUND( 100+H24,0)</f>
        <v/>
      </c>
      <c r="M24" s="49" t="n"/>
      <c r="N24" s="49" t="n">
        <v>23</v>
      </c>
      <c r="O24">
        <f>(Q24/P24-1)*100</f>
        <v/>
      </c>
      <c r="P24">
        <f>P23</f>
        <v/>
      </c>
      <c r="Q24" t="n">
        <v>3.62</v>
      </c>
      <c r="R24" s="49">
        <f>O24&amp;"|"&amp;O24&amp;"|"&amp;O24</f>
        <v/>
      </c>
      <c r="S24">
        <f>ROUND( 100+O24,0)</f>
        <v/>
      </c>
      <c r="U24" t="n">
        <v>23</v>
      </c>
      <c r="V24">
        <f>(X24/W24-1)*100</f>
        <v/>
      </c>
      <c r="W24">
        <f>W23</f>
        <v/>
      </c>
      <c r="X24" t="n">
        <v>5.18</v>
      </c>
      <c r="Y24" s="49">
        <f>V24&amp;"|"&amp;V24&amp;"|"&amp;V24&amp;"|"&amp;V24&amp;"|"&amp;V24&amp;"|"&amp;V24&amp;"|"&amp;V24&amp;"|"&amp;V24</f>
        <v/>
      </c>
      <c r="Z24">
        <f>ROUND( 100+V24,0)</f>
        <v/>
      </c>
      <c r="AA24">
        <f>1.38*U24-39.38</f>
        <v/>
      </c>
      <c r="AC24" t="n">
        <v>23</v>
      </c>
      <c r="AD24">
        <f>(AF24/AE24-1)*100</f>
        <v/>
      </c>
      <c r="AE24" t="n">
        <v>1</v>
      </c>
      <c r="AF24" t="n">
        <v>4.63</v>
      </c>
      <c r="AH24">
        <f>ROUND( 100+AD24,0)</f>
        <v/>
      </c>
      <c r="AJ24" t="n">
        <v>23</v>
      </c>
      <c r="AL24" t="n">
        <v>3200</v>
      </c>
      <c r="AM24" t="n">
        <v>13</v>
      </c>
      <c r="AO24">
        <f>_xlfn.TEXTJOIN("|",TRUE,AL24:AM24)</f>
        <v/>
      </c>
      <c r="AR24" t="n">
        <v>23</v>
      </c>
      <c r="AS24">
        <f>(AU24/AT24-1)*100</f>
        <v/>
      </c>
      <c r="AT24">
        <f>AT23</f>
        <v/>
      </c>
      <c r="AU24" t="n">
        <v>3.2</v>
      </c>
      <c r="AV24">
        <f>ROUND( 100+AS24,0)</f>
        <v/>
      </c>
      <c r="AW24" s="45" t="n"/>
      <c r="AX24" s="45" t="n">
        <v>23</v>
      </c>
      <c r="AY24" s="45">
        <f>(BA24/$AZ$2-1)*100</f>
        <v/>
      </c>
      <c r="AZ24" s="45" t="n"/>
      <c r="BA24" s="45" t="n">
        <v>6.4</v>
      </c>
      <c r="BB24">
        <f>ROUND( 100+AY24,0)</f>
        <v/>
      </c>
      <c r="BD24" t="n">
        <v>2600</v>
      </c>
      <c r="BE24" s="50" t="inlineStr">
        <is>
          <t>14</t>
        </is>
      </c>
      <c r="BF24">
        <f>BD24&amp;"|"&amp;BE24</f>
        <v/>
      </c>
      <c r="BH24" t="n">
        <v>23</v>
      </c>
      <c r="BI24" s="45">
        <f>(BK24/BJ24-1)*100</f>
        <v/>
      </c>
      <c r="BJ24">
        <f>BJ23</f>
        <v/>
      </c>
      <c r="BK24" t="n">
        <v>5.22</v>
      </c>
      <c r="BL24" s="43">
        <f>_xlfn.TEXTJOIN("|",TRUE,BI24,BI24,BI24,BI24,BI24)</f>
        <v/>
      </c>
      <c r="BM24">
        <f>ROUND( 100+BI24,0)</f>
        <v/>
      </c>
      <c r="BN24" s="50">
        <f>BM24/10</f>
        <v/>
      </c>
      <c r="BO24" s="50">
        <f>1.5*BM24/10</f>
        <v/>
      </c>
      <c r="BP24" s="50">
        <f>2*BM24/10</f>
        <v/>
      </c>
      <c r="BQ24" s="50">
        <f>2.5*BM24/10</f>
        <v/>
      </c>
      <c r="BR24" s="50">
        <f>3*BM24/10</f>
        <v/>
      </c>
      <c r="BT24" t="n">
        <v>23</v>
      </c>
      <c r="BU24">
        <f>(BW24/$BV$2-1)*100</f>
        <v/>
      </c>
      <c r="BW24" t="n">
        <v>5.4</v>
      </c>
      <c r="BX24" s="49">
        <f>CA24&amp;"|"&amp;CB24</f>
        <v/>
      </c>
      <c r="BY24">
        <f>ROUND( 100+BU24,0)</f>
        <v/>
      </c>
      <c r="BZ24">
        <f>2*BU24</f>
        <v/>
      </c>
      <c r="CA24" s="50">
        <f>BZ24/3</f>
        <v/>
      </c>
      <c r="CB24" s="50">
        <f>CA24*2</f>
        <v/>
      </c>
      <c r="CD24" t="n">
        <v>23</v>
      </c>
      <c r="CE24" s="50">
        <f>((CG24/$CF$2-1)*100)</f>
        <v/>
      </c>
      <c r="CG24" t="n">
        <v>3.2</v>
      </c>
      <c r="CH24" s="54">
        <f>CE24</f>
        <v/>
      </c>
      <c r="CI24">
        <f>ROUND( 100+CE24,0)</f>
        <v/>
      </c>
      <c r="CJ24" s="13" t="n"/>
      <c r="CK24" s="13" t="n">
        <v>23</v>
      </c>
      <c r="CL24" s="13">
        <f>(CN24/$CF$2-1)*100</f>
        <v/>
      </c>
      <c r="CM24" s="13" t="n"/>
      <c r="CN24" s="13">
        <f>0.08*CK24+3.92</f>
        <v/>
      </c>
      <c r="CO24" s="54">
        <f>CL24</f>
        <v/>
      </c>
      <c r="CP24" t="n">
        <v>160</v>
      </c>
      <c r="CQ24" t="n">
        <v>77</v>
      </c>
      <c r="CR24">
        <f>CP24&amp;"|"&amp;CQ24</f>
        <v/>
      </c>
      <c r="CT24" s="26" t="n"/>
      <c r="CV24" s="50" t="n">
        <v>43</v>
      </c>
      <c r="CW24" t="n">
        <v>23</v>
      </c>
      <c r="CX24">
        <f>DA24&amp;"|"&amp;DA24&amp;"|"&amp;DA24&amp;"|"&amp;DA24&amp;"|"&amp;DA24</f>
        <v/>
      </c>
      <c r="CY24" t="n">
        <v>2.7</v>
      </c>
      <c r="CZ24">
        <f>CZ23</f>
        <v/>
      </c>
      <c r="DA24">
        <f>(CY24/CZ24-1)*100</f>
        <v/>
      </c>
      <c r="DB24" s="50">
        <f>ROUND( 100+DA24,0)</f>
        <v/>
      </c>
      <c r="DC24" t="n">
        <v>23.2</v>
      </c>
      <c r="DD24">
        <f>_xlfn.TEXTJOIN("|",TRUE,DB24:DC24)</f>
        <v/>
      </c>
      <c r="DF24" t="n">
        <v>23</v>
      </c>
      <c r="DG24" t="n">
        <v>620</v>
      </c>
      <c r="DI24" s="50" t="n">
        <v>-78</v>
      </c>
      <c r="DJ24" s="50" t="n">
        <v>-76</v>
      </c>
      <c r="DK24" s="45" t="n"/>
      <c r="DL24" s="45" t="n">
        <v>23</v>
      </c>
      <c r="DM24">
        <f>(DO24/$DN$2-1)*100</f>
        <v/>
      </c>
      <c r="DN24" s="45" t="n"/>
      <c r="DO24" s="45" t="n">
        <v>4.5</v>
      </c>
      <c r="DP24" s="52" t="n">
        <v>-77</v>
      </c>
      <c r="DQ24" s="50">
        <f>ROUND( 100+DM24,0)</f>
        <v/>
      </c>
      <c r="DR24" s="50">
        <f>ROUND( 100+DP24,0)</f>
        <v/>
      </c>
      <c r="DS24">
        <f>_xlfn.TEXTJOIN("|",TRUE,DQ24:DR24)</f>
        <v/>
      </c>
      <c r="DU24" t="n">
        <v>23</v>
      </c>
      <c r="DV24" s="45">
        <f>(DX24/DW24-1)*100</f>
        <v/>
      </c>
      <c r="DW24">
        <f>DW23</f>
        <v/>
      </c>
      <c r="DX24" t="n">
        <v>3.84</v>
      </c>
      <c r="DZ24">
        <f>ROUND( 100+DV24,0)</f>
        <v/>
      </c>
      <c r="EB24" t="n">
        <v>23</v>
      </c>
      <c r="EC24" s="50">
        <f>(EE24/$ED$2-1)*100</f>
        <v/>
      </c>
      <c r="ED24">
        <f>ED23</f>
        <v/>
      </c>
      <c r="EE24" t="n">
        <v>3.86</v>
      </c>
      <c r="EF24" s="43">
        <f>_xlfn.TEXTJOIN("|",TRUE,EC24,EC24,EC24,EC24,EC24,EC24)</f>
        <v/>
      </c>
      <c r="EG24" s="50">
        <f>ROUND( 100+EC24,0)</f>
        <v/>
      </c>
      <c r="EH24" s="43" t="n"/>
      <c r="EJ24" t="n">
        <v>23</v>
      </c>
      <c r="EK24" s="50">
        <f>(EM24/EL24-1)*100</f>
        <v/>
      </c>
      <c r="EL24">
        <f>EL23</f>
        <v/>
      </c>
      <c r="EM24" t="n">
        <v>3.2</v>
      </c>
      <c r="EN24" s="43">
        <f>EK24&amp;"|"&amp;EK24&amp;"|"&amp;EK24&amp;"|"&amp;EK24&amp;"|"&amp;EK24&amp;"|"&amp;EK24</f>
        <v/>
      </c>
      <c r="EO24" s="50">
        <f>ROUND( 100+EK24,0)</f>
        <v/>
      </c>
      <c r="EP24" s="50" t="n"/>
      <c r="EQ24" s="50" t="n"/>
      <c r="ER24" s="50">
        <f>(ET24/ES24-1)*100</f>
        <v/>
      </c>
      <c r="ES24" s="50">
        <f>ES23</f>
        <v/>
      </c>
      <c r="ET24" t="n">
        <v>4.8</v>
      </c>
      <c r="EU24" s="50" t="n"/>
      <c r="EV24" s="50">
        <f>ROUND( 100+ER24,0)</f>
        <v/>
      </c>
      <c r="EW24" s="50">
        <f>(EX24/EY24-1)*100</f>
        <v/>
      </c>
      <c r="EX24" t="n">
        <v>4.16</v>
      </c>
      <c r="EY24">
        <f>EY23</f>
        <v/>
      </c>
      <c r="EZ24" t="n">
        <v>108.8</v>
      </c>
      <c r="FA24" t="n">
        <v>3.364</v>
      </c>
      <c r="FB24" s="50">
        <f>ROUND( 100+EW24,0)</f>
        <v/>
      </c>
      <c r="FC24">
        <f>EW24&amp;"|"&amp;EZ24&amp;"|"&amp;FA24</f>
        <v/>
      </c>
      <c r="FE24" t="n">
        <v>23</v>
      </c>
      <c r="FF24" s="50">
        <f>(FH24/FG24-1)*100</f>
        <v/>
      </c>
      <c r="FG24">
        <f>FG23</f>
        <v/>
      </c>
      <c r="FH24">
        <f>2*(1+FE23*0.1)</f>
        <v/>
      </c>
      <c r="FJ24" t="n">
        <v>23</v>
      </c>
      <c r="FK24" s="50">
        <f>(FN24/FM24-1)*100</f>
        <v/>
      </c>
      <c r="FL24" s="50">
        <f>FL23</f>
        <v/>
      </c>
      <c r="FM24">
        <f>FM23</f>
        <v/>
      </c>
      <c r="FN24">
        <f>2*(1+FJ23*0.1)</f>
        <v/>
      </c>
      <c r="FP24" t="n">
        <v>23</v>
      </c>
      <c r="FQ24" s="50">
        <f>ROUND((FS24/FR24-1)*100,0)</f>
        <v/>
      </c>
      <c r="FR24">
        <f>FR23</f>
        <v/>
      </c>
      <c r="FS24">
        <f>2*(1+FP23*0.1)</f>
        <v/>
      </c>
      <c r="FT24">
        <f>_xlfn.TEXTJOIN("|",TRUE,FQ24,FQ24,FQ24)</f>
        <v/>
      </c>
    </row>
    <row r="25">
      <c r="G25" t="n">
        <v>24</v>
      </c>
      <c r="H25">
        <f>(J25/I25-1)*100</f>
        <v/>
      </c>
      <c r="I25">
        <f>I24</f>
        <v/>
      </c>
      <c r="J25" t="n">
        <v>3.76</v>
      </c>
      <c r="K25" s="49">
        <f>H25&amp;"|"&amp;H25&amp;"|"&amp;H25&amp;"|"&amp;H25&amp;"|"&amp;H25</f>
        <v/>
      </c>
      <c r="L25">
        <f>ROUND( 100+H25,0)</f>
        <v/>
      </c>
      <c r="M25" s="49" t="n"/>
      <c r="N25" s="49" t="n">
        <v>24</v>
      </c>
      <c r="O25">
        <f>(Q25/P25-1)*100</f>
        <v/>
      </c>
      <c r="P25">
        <f>P24</f>
        <v/>
      </c>
      <c r="Q25" t="n">
        <v>3.73</v>
      </c>
      <c r="R25" s="49">
        <f>O25&amp;"|"&amp;O25&amp;"|"&amp;O25</f>
        <v/>
      </c>
      <c r="S25">
        <f>ROUND( 100+O25,0)</f>
        <v/>
      </c>
      <c r="U25" t="n">
        <v>24</v>
      </c>
      <c r="V25">
        <f>(X25/W25-1)*100</f>
        <v/>
      </c>
      <c r="W25">
        <f>W24</f>
        <v/>
      </c>
      <c r="X25" t="n">
        <v>5.37</v>
      </c>
      <c r="Y25" s="49">
        <f>V25&amp;"|"&amp;V25&amp;"|"&amp;V25&amp;"|"&amp;V25&amp;"|"&amp;V25&amp;"|"&amp;V25&amp;"|"&amp;V25&amp;"|"&amp;V25</f>
        <v/>
      </c>
      <c r="Z25">
        <f>ROUND( 100+V25,0)</f>
        <v/>
      </c>
      <c r="AA25">
        <f>1.38*U25-39.38</f>
        <v/>
      </c>
      <c r="AC25" t="n">
        <v>24</v>
      </c>
      <c r="AD25">
        <f>(AF25/AE25-1)*100</f>
        <v/>
      </c>
      <c r="AE25" t="n">
        <v>1</v>
      </c>
      <c r="AF25" t="n">
        <v>4.77</v>
      </c>
      <c r="AH25">
        <f>ROUND( 100+AD25,0)</f>
        <v/>
      </c>
      <c r="AJ25" t="n">
        <v>24</v>
      </c>
      <c r="AL25" t="n">
        <v>3300</v>
      </c>
      <c r="AM25" t="n">
        <v>13.5</v>
      </c>
      <c r="AO25">
        <f>_xlfn.TEXTJOIN("|",TRUE,AL25:AM25)</f>
        <v/>
      </c>
      <c r="AR25" t="n">
        <v>24</v>
      </c>
      <c r="AS25">
        <f>(AU25/AT25-1)*100</f>
        <v/>
      </c>
      <c r="AT25">
        <f>AT24</f>
        <v/>
      </c>
      <c r="AU25" t="n">
        <v>3.3</v>
      </c>
      <c r="AV25">
        <f>ROUND( 100+AS25,0)</f>
        <v/>
      </c>
      <c r="AW25" s="45" t="n"/>
      <c r="AX25" s="45" t="n">
        <v>24</v>
      </c>
      <c r="AY25" s="45">
        <f>(BA25/$AZ$2-1)*100</f>
        <v/>
      </c>
      <c r="AZ25" s="45" t="n"/>
      <c r="BA25" s="45" t="n">
        <v>6.6</v>
      </c>
      <c r="BB25">
        <f>ROUND( 100+AY25,0)</f>
        <v/>
      </c>
      <c r="BD25" t="n">
        <v>2700</v>
      </c>
      <c r="BE25" s="50" t="inlineStr">
        <is>
          <t>14</t>
        </is>
      </c>
      <c r="BF25">
        <f>BD25&amp;"|"&amp;BE25</f>
        <v/>
      </c>
      <c r="BH25" t="n">
        <v>24</v>
      </c>
      <c r="BI25" s="45">
        <f>(BK25/BJ25-1)*100</f>
        <v/>
      </c>
      <c r="BJ25">
        <f>BJ24</f>
        <v/>
      </c>
      <c r="BK25" t="n">
        <v>5.38</v>
      </c>
      <c r="BL25" s="43">
        <f>_xlfn.TEXTJOIN("|",TRUE,BI25,BI25,BI25,BI25,BI25)</f>
        <v/>
      </c>
      <c r="BM25">
        <f>ROUND( 100+BI25,0)</f>
        <v/>
      </c>
      <c r="BN25" s="50">
        <f>BM25/10</f>
        <v/>
      </c>
      <c r="BO25" s="50">
        <f>1.5*BM25/10</f>
        <v/>
      </c>
      <c r="BP25" s="50">
        <f>2*BM25/10</f>
        <v/>
      </c>
      <c r="BQ25" s="50">
        <f>2.5*BM25/10</f>
        <v/>
      </c>
      <c r="BR25" s="50">
        <f>3*BM25/10</f>
        <v/>
      </c>
      <c r="BT25" t="n">
        <v>24</v>
      </c>
      <c r="BU25">
        <f>(BW25/$BV$2-1)*100</f>
        <v/>
      </c>
      <c r="BW25" t="n">
        <v>5.6</v>
      </c>
      <c r="BX25" s="49">
        <f>CA25&amp;"|"&amp;CB25</f>
        <v/>
      </c>
      <c r="BY25">
        <f>ROUND( 100+BU25,0)</f>
        <v/>
      </c>
      <c r="BZ25">
        <f>2*BU25</f>
        <v/>
      </c>
      <c r="CA25" s="50">
        <f>BZ25/3</f>
        <v/>
      </c>
      <c r="CB25" s="50">
        <f>CA25*2</f>
        <v/>
      </c>
      <c r="CD25" t="n">
        <v>24</v>
      </c>
      <c r="CE25" s="50">
        <f>((CG25/$CF$2-1)*100)</f>
        <v/>
      </c>
      <c r="CG25" t="n">
        <v>3.3</v>
      </c>
      <c r="CH25" s="54">
        <f>CE25</f>
        <v/>
      </c>
      <c r="CI25">
        <f>ROUND( 100+CE25,0)</f>
        <v/>
      </c>
      <c r="CJ25" s="13" t="n"/>
      <c r="CK25" s="13" t="n">
        <v>24</v>
      </c>
      <c r="CL25" s="13">
        <f>(CN25/$CF$2-1)*100</f>
        <v/>
      </c>
      <c r="CM25" s="13" t="n"/>
      <c r="CN25" s="13">
        <f>0.08*CK25+3.92</f>
        <v/>
      </c>
      <c r="CO25" s="54">
        <f>CL25</f>
        <v/>
      </c>
      <c r="CP25" t="n">
        <v>165</v>
      </c>
      <c r="CQ25" t="n">
        <v>76</v>
      </c>
      <c r="CR25">
        <f>CP25&amp;"|"&amp;CQ25</f>
        <v/>
      </c>
      <c r="CT25" s="26" t="n"/>
      <c r="CV25" s="50" t="n">
        <v>45</v>
      </c>
      <c r="CW25" t="n">
        <v>24</v>
      </c>
      <c r="CX25">
        <f>DA25&amp;"|"&amp;DA25&amp;"|"&amp;DA25&amp;"|"&amp;DA25&amp;"|"&amp;DA25</f>
        <v/>
      </c>
      <c r="CY25" t="n">
        <v>2.8</v>
      </c>
      <c r="CZ25">
        <f>CZ24</f>
        <v/>
      </c>
      <c r="DA25">
        <f>(CY25/CZ25-1)*100</f>
        <v/>
      </c>
      <c r="DB25" s="50">
        <f>ROUND( 100+DA25,0)</f>
        <v/>
      </c>
      <c r="DC25" t="n">
        <v>23.8</v>
      </c>
      <c r="DD25">
        <f>_xlfn.TEXTJOIN("|",TRUE,DB25:DC25)</f>
        <v/>
      </c>
      <c r="DF25" t="n">
        <v>24</v>
      </c>
      <c r="DG25" t="n">
        <v>630</v>
      </c>
      <c r="DI25" s="50" t="n">
        <v>-77</v>
      </c>
      <c r="DJ25" s="50" t="n">
        <v>-75</v>
      </c>
      <c r="DK25" s="45" t="n"/>
      <c r="DL25" s="45" t="n">
        <v>24</v>
      </c>
      <c r="DM25">
        <f>(DO25/$DN$2-1)*100</f>
        <v/>
      </c>
      <c r="DN25" s="45" t="n"/>
      <c r="DO25" s="45" t="n">
        <v>4.65</v>
      </c>
      <c r="DP25" s="52" t="n">
        <v>-76</v>
      </c>
      <c r="DQ25" s="50">
        <f>ROUND( 100+DM25,0)</f>
        <v/>
      </c>
      <c r="DR25" s="50">
        <f>ROUND( 100+DP25,0)</f>
        <v/>
      </c>
      <c r="DS25">
        <f>_xlfn.TEXTJOIN("|",TRUE,DQ25:DR25)</f>
        <v/>
      </c>
      <c r="DU25" t="n">
        <v>24</v>
      </c>
      <c r="DV25" s="45">
        <f>(DX25/DW25-1)*100</f>
        <v/>
      </c>
      <c r="DW25">
        <f>DW24</f>
        <v/>
      </c>
      <c r="DX25" t="n">
        <v>3.96</v>
      </c>
      <c r="DZ25">
        <f>ROUND( 100+DV25,0)</f>
        <v/>
      </c>
      <c r="EB25" t="n">
        <v>24</v>
      </c>
      <c r="EC25" s="50">
        <f>(EE25/$ED$2-1)*100</f>
        <v/>
      </c>
      <c r="ED25">
        <f>ED24</f>
        <v/>
      </c>
      <c r="EE25" t="n">
        <v>3.99</v>
      </c>
      <c r="EF25" s="43">
        <f>_xlfn.TEXTJOIN("|",TRUE,EC25,EC25,EC25,EC25,EC25,EC25)</f>
        <v/>
      </c>
      <c r="EG25" s="50">
        <f>ROUND( 100+EC25,0)</f>
        <v/>
      </c>
      <c r="EH25" s="43" t="n"/>
      <c r="EJ25" t="n">
        <v>24</v>
      </c>
      <c r="EK25" s="50">
        <f>(EM25/EL25-1)*100</f>
        <v/>
      </c>
      <c r="EL25">
        <f>EL24</f>
        <v/>
      </c>
      <c r="EM25" t="n">
        <v>3.3</v>
      </c>
      <c r="EN25" s="43">
        <f>EK25&amp;"|"&amp;EK25&amp;"|"&amp;EK25&amp;"|"&amp;EK25&amp;"|"&amp;EK25&amp;"|"&amp;EK25</f>
        <v/>
      </c>
      <c r="EO25" s="50">
        <f>ROUND( 100+EK25,0)</f>
        <v/>
      </c>
      <c r="EP25" s="50" t="n"/>
      <c r="EQ25" s="50" t="n"/>
      <c r="ER25" s="50">
        <f>(ET25/ES25-1)*100</f>
        <v/>
      </c>
      <c r="ES25" s="50">
        <f>ES24</f>
        <v/>
      </c>
      <c r="ET25" t="n">
        <v>4.95</v>
      </c>
      <c r="EU25" s="50" t="n"/>
      <c r="EV25" s="50">
        <f>ROUND( 100+ER25,0)</f>
        <v/>
      </c>
      <c r="EW25" s="50">
        <f>(EX25/EY25-1)*100</f>
        <v/>
      </c>
      <c r="EX25" t="n">
        <v>4.29</v>
      </c>
      <c r="EY25">
        <f>EY24</f>
        <v/>
      </c>
      <c r="EZ25" t="n">
        <v>112.2</v>
      </c>
      <c r="FA25" t="n">
        <v>3.426</v>
      </c>
      <c r="FB25" s="50">
        <f>ROUND( 100+EW25,0)</f>
        <v/>
      </c>
      <c r="FC25">
        <f>EW25&amp;"|"&amp;EZ25&amp;"|"&amp;FA25</f>
        <v/>
      </c>
      <c r="FE25" t="n">
        <v>24</v>
      </c>
      <c r="FF25" s="50">
        <f>(FH25/FG25-1)*100</f>
        <v/>
      </c>
      <c r="FG25">
        <f>FG24</f>
        <v/>
      </c>
      <c r="FH25">
        <f>2*(1+FE24*0.1)</f>
        <v/>
      </c>
      <c r="FJ25" t="n">
        <v>24</v>
      </c>
      <c r="FK25" s="50">
        <f>(FN25/FM25-1)*100</f>
        <v/>
      </c>
      <c r="FL25" s="50">
        <f>FL24</f>
        <v/>
      </c>
      <c r="FM25">
        <f>FM24</f>
        <v/>
      </c>
      <c r="FN25">
        <f>2*(1+FJ24*0.1)</f>
        <v/>
      </c>
      <c r="FP25" t="n">
        <v>24</v>
      </c>
      <c r="FQ25" s="50">
        <f>ROUND((FS25/FR25-1)*100,0)</f>
        <v/>
      </c>
      <c r="FR25">
        <f>FR24</f>
        <v/>
      </c>
      <c r="FS25">
        <f>2*(1+FP24*0.1)</f>
        <v/>
      </c>
      <c r="FT25">
        <f>_xlfn.TEXTJOIN("|",TRUE,FQ25,FQ25,FQ25)</f>
        <v/>
      </c>
    </row>
    <row r="26">
      <c r="G26" t="n">
        <v>25</v>
      </c>
      <c r="H26">
        <f>(J26/I26-1)*100</f>
        <v/>
      </c>
      <c r="I26">
        <f>I25</f>
        <v/>
      </c>
      <c r="J26" t="n">
        <v>3.88</v>
      </c>
      <c r="K26" s="49">
        <f>H26&amp;"|"&amp;H26&amp;"|"&amp;H26&amp;"|"&amp;H26&amp;"|"&amp;H26</f>
        <v/>
      </c>
      <c r="L26">
        <f>ROUND( 100+H26,0)</f>
        <v/>
      </c>
      <c r="M26" s="49" t="n"/>
      <c r="N26" s="49" t="n">
        <v>25</v>
      </c>
      <c r="O26">
        <f>(Q26/P26-1)*100</f>
        <v/>
      </c>
      <c r="P26">
        <f>P25</f>
        <v/>
      </c>
      <c r="Q26" t="n">
        <v>3.84</v>
      </c>
      <c r="R26" s="49">
        <f>O26&amp;"|"&amp;O26&amp;"|"&amp;O26</f>
        <v/>
      </c>
      <c r="S26">
        <f>ROUND( 100+O26,0)</f>
        <v/>
      </c>
      <c r="U26" t="n">
        <v>25</v>
      </c>
      <c r="V26">
        <f>(X26/W26-1)*100</f>
        <v/>
      </c>
      <c r="W26">
        <f>W25</f>
        <v/>
      </c>
      <c r="X26" t="n">
        <v>5.56</v>
      </c>
      <c r="Y26" s="49">
        <f>V26&amp;"|"&amp;V26&amp;"|"&amp;V26&amp;"|"&amp;V26&amp;"|"&amp;V26&amp;"|"&amp;V26&amp;"|"&amp;V26&amp;"|"&amp;V26</f>
        <v/>
      </c>
      <c r="Z26">
        <f>ROUND( 100+V26,0)</f>
        <v/>
      </c>
      <c r="AA26">
        <f>1.38*U26-39.38</f>
        <v/>
      </c>
      <c r="AC26" t="n">
        <v>25</v>
      </c>
      <c r="AD26">
        <f>(AF26/AE26-1)*100</f>
        <v/>
      </c>
      <c r="AE26" t="n">
        <v>1</v>
      </c>
      <c r="AF26" t="n">
        <v>4.91</v>
      </c>
      <c r="AH26">
        <f>ROUND( 100+AD26,0)</f>
        <v/>
      </c>
      <c r="AJ26" t="n">
        <v>25</v>
      </c>
      <c r="AL26" t="n">
        <v>3400</v>
      </c>
      <c r="AM26" t="n">
        <v>14</v>
      </c>
      <c r="AO26">
        <f>_xlfn.TEXTJOIN("|",TRUE,AL26:AM26)</f>
        <v/>
      </c>
      <c r="AR26" t="n">
        <v>25</v>
      </c>
      <c r="AS26">
        <f>(AU26/AT26-1)*100</f>
        <v/>
      </c>
      <c r="AT26">
        <f>AT25</f>
        <v/>
      </c>
      <c r="AU26" t="n">
        <v>3.4</v>
      </c>
      <c r="AV26">
        <f>ROUND( 100+AS26,0)</f>
        <v/>
      </c>
      <c r="AW26" s="45" t="n"/>
      <c r="AX26" s="45" t="n">
        <v>25</v>
      </c>
      <c r="AY26" s="45">
        <f>(BA26/$AZ$2-1)*100</f>
        <v/>
      </c>
      <c r="AZ26" s="45" t="n"/>
      <c r="BA26" s="45" t="n">
        <v>6.8</v>
      </c>
      <c r="BB26">
        <f>ROUND( 100+AY26,0)</f>
        <v/>
      </c>
      <c r="BD26" t="n">
        <v>2800</v>
      </c>
      <c r="BE26" s="50" t="inlineStr">
        <is>
          <t>14</t>
        </is>
      </c>
      <c r="BF26">
        <f>BD26&amp;"|"&amp;BE26</f>
        <v/>
      </c>
      <c r="BH26" t="n">
        <v>25</v>
      </c>
      <c r="BI26" s="45">
        <f>(BK26/BJ26-1)*100</f>
        <v/>
      </c>
      <c r="BJ26">
        <f>BJ25</f>
        <v/>
      </c>
      <c r="BK26" t="n">
        <v>5.54</v>
      </c>
      <c r="BL26" s="43">
        <f>_xlfn.TEXTJOIN("|",TRUE,BI26,BI26,BI26,BI26,BI26)</f>
        <v/>
      </c>
      <c r="BM26">
        <f>ROUND( 100+BI26,0)</f>
        <v/>
      </c>
      <c r="BN26" s="50">
        <f>BM26/10</f>
        <v/>
      </c>
      <c r="BO26" s="50">
        <f>1.5*BM26/10</f>
        <v/>
      </c>
      <c r="BP26" s="50">
        <f>2*BM26/10</f>
        <v/>
      </c>
      <c r="BQ26" s="50">
        <f>2.5*BM26/10</f>
        <v/>
      </c>
      <c r="BR26" s="50">
        <f>3*BM26/10</f>
        <v/>
      </c>
      <c r="BT26" t="n">
        <v>25</v>
      </c>
      <c r="BU26">
        <f>(BW26/$BV$2-1)*100</f>
        <v/>
      </c>
      <c r="BW26" t="n">
        <v>5.8</v>
      </c>
      <c r="BX26" s="49">
        <f>CA26&amp;"|"&amp;CB26</f>
        <v/>
      </c>
      <c r="BY26">
        <f>ROUND( 100+BU26,0)</f>
        <v/>
      </c>
      <c r="BZ26">
        <f>2*BU26</f>
        <v/>
      </c>
      <c r="CA26" s="50">
        <f>BZ26/3</f>
        <v/>
      </c>
      <c r="CB26" s="50">
        <f>CA26*2</f>
        <v/>
      </c>
      <c r="CD26" t="n">
        <v>25</v>
      </c>
      <c r="CE26" s="50">
        <f>((CG26/$CF$2-1)*100)</f>
        <v/>
      </c>
      <c r="CG26" t="n">
        <v>3.4</v>
      </c>
      <c r="CH26" s="54">
        <f>CE26</f>
        <v/>
      </c>
      <c r="CI26">
        <f>ROUND( 100+CE26,0)</f>
        <v/>
      </c>
      <c r="CJ26" s="13" t="n"/>
      <c r="CK26" s="13" t="n">
        <v>25</v>
      </c>
      <c r="CL26" s="13">
        <f>(CN26/$CF$2-1)*100</f>
        <v/>
      </c>
      <c r="CM26" s="13" t="n"/>
      <c r="CN26" s="13">
        <f>0.08*CK26+3.92</f>
        <v/>
      </c>
      <c r="CO26" s="54">
        <f>CL26</f>
        <v/>
      </c>
      <c r="CP26" t="n">
        <v>170</v>
      </c>
      <c r="CQ26" t="n">
        <v>75</v>
      </c>
      <c r="CR26">
        <f>CP26&amp;"|"&amp;CQ26</f>
        <v/>
      </c>
      <c r="CT26" s="26" t="n"/>
      <c r="CV26" s="50" t="n">
        <v>46</v>
      </c>
      <c r="CW26" t="n">
        <v>25</v>
      </c>
      <c r="CX26">
        <f>DA26&amp;"|"&amp;DA26&amp;"|"&amp;DA26&amp;"|"&amp;DA26&amp;"|"&amp;DA26</f>
        <v/>
      </c>
      <c r="CY26" t="n">
        <v>2.9</v>
      </c>
      <c r="CZ26">
        <f>CZ25</f>
        <v/>
      </c>
      <c r="DA26">
        <f>(CY26/CZ26-1)*100</f>
        <v/>
      </c>
      <c r="DB26" s="50">
        <f>ROUND( 100+DA26,0)</f>
        <v/>
      </c>
      <c r="DC26" t="n">
        <v>24.4</v>
      </c>
      <c r="DD26">
        <f>_xlfn.TEXTJOIN("|",TRUE,DB26:DC26)</f>
        <v/>
      </c>
      <c r="DF26" t="n">
        <v>25</v>
      </c>
      <c r="DG26" t="n">
        <v>640</v>
      </c>
      <c r="DI26" s="50" t="n">
        <v>-75</v>
      </c>
      <c r="DJ26" s="50" t="n">
        <v>-72</v>
      </c>
      <c r="DK26" s="45" t="n"/>
      <c r="DL26" s="45" t="n">
        <v>25</v>
      </c>
      <c r="DM26">
        <f>(DO26/$DN$2-1)*100</f>
        <v/>
      </c>
      <c r="DN26" s="45" t="n"/>
      <c r="DO26" s="45" t="n">
        <v>4.8</v>
      </c>
      <c r="DP26" s="52" t="n">
        <v>-75</v>
      </c>
      <c r="DQ26" s="50">
        <f>ROUND( 100+DM26,0)</f>
        <v/>
      </c>
      <c r="DR26" s="50">
        <f>ROUND( 100+DP26,0)</f>
        <v/>
      </c>
      <c r="DS26">
        <f>_xlfn.TEXTJOIN("|",TRUE,DQ26:DR26)</f>
        <v/>
      </c>
      <c r="DU26" t="n">
        <v>25</v>
      </c>
      <c r="DV26" s="45">
        <f>(DX26/DW26-1)*100</f>
        <v/>
      </c>
      <c r="DW26">
        <f>DW25</f>
        <v/>
      </c>
      <c r="DX26" t="n">
        <v>4.08</v>
      </c>
      <c r="DZ26">
        <f>ROUND( 100+DV26,0)</f>
        <v/>
      </c>
      <c r="EB26" t="n">
        <v>25</v>
      </c>
      <c r="EC26" s="50">
        <f>(EE26/$ED$2-1)*100</f>
        <v/>
      </c>
      <c r="ED26">
        <f>ED25</f>
        <v/>
      </c>
      <c r="EE26" t="n">
        <v>4.12</v>
      </c>
      <c r="EF26" s="43">
        <f>_xlfn.TEXTJOIN("|",TRUE,EC26,EC26,EC26,EC26,EC26,EC26)</f>
        <v/>
      </c>
      <c r="EG26" s="50">
        <f>ROUND( 100+EC26,0)</f>
        <v/>
      </c>
      <c r="EH26" s="43" t="n"/>
      <c r="EJ26" t="n">
        <v>25</v>
      </c>
      <c r="EK26" s="50">
        <f>(EM26/EL26-1)*100</f>
        <v/>
      </c>
      <c r="EL26">
        <f>EL25</f>
        <v/>
      </c>
      <c r="EM26" t="n">
        <v>3.4</v>
      </c>
      <c r="EN26" s="43">
        <f>EK26&amp;"|"&amp;EK26&amp;"|"&amp;EK26&amp;"|"&amp;EK26&amp;"|"&amp;EK26&amp;"|"&amp;EK26</f>
        <v/>
      </c>
      <c r="EO26" s="50">
        <f>ROUND( 100+EK26,0)</f>
        <v/>
      </c>
      <c r="EP26" s="50" t="n"/>
      <c r="EQ26" s="50" t="n"/>
      <c r="ER26" s="50">
        <f>(ET26/ES26-1)*100</f>
        <v/>
      </c>
      <c r="ES26" s="50">
        <f>ES25</f>
        <v/>
      </c>
      <c r="ET26" t="n">
        <v>5.1</v>
      </c>
      <c r="EU26" s="50" t="n"/>
      <c r="EV26" s="50">
        <f>ROUND( 100+ER26,0)</f>
        <v/>
      </c>
      <c r="EW26" s="50">
        <f>(EX26/EY26-1)*100</f>
        <v/>
      </c>
      <c r="EX26" t="n">
        <v>4.42</v>
      </c>
      <c r="EY26">
        <f>EY25</f>
        <v/>
      </c>
      <c r="EZ26" t="n">
        <v>115.6</v>
      </c>
      <c r="FA26" t="n">
        <v>3.488</v>
      </c>
      <c r="FB26" s="50">
        <f>ROUND( 100+EW26,0)</f>
        <v/>
      </c>
      <c r="FC26">
        <f>EW26&amp;"|"&amp;EZ26&amp;"|"&amp;FA26</f>
        <v/>
      </c>
      <c r="FE26" t="n">
        <v>25</v>
      </c>
      <c r="FF26" s="50">
        <f>(FH26/FG26-1)*100</f>
        <v/>
      </c>
      <c r="FG26">
        <f>FG25</f>
        <v/>
      </c>
      <c r="FH26">
        <f>2*(1+FE25*0.1)</f>
        <v/>
      </c>
      <c r="FJ26" t="n">
        <v>25</v>
      </c>
      <c r="FK26" s="50">
        <f>(FN26/FM26-1)*100</f>
        <v/>
      </c>
      <c r="FL26" s="50">
        <f>FL25</f>
        <v/>
      </c>
      <c r="FM26">
        <f>FM25</f>
        <v/>
      </c>
      <c r="FN26">
        <f>2*(1+FJ25*0.1)</f>
        <v/>
      </c>
      <c r="FP26" t="n">
        <v>25</v>
      </c>
      <c r="FQ26" s="50">
        <f>ROUND((FS26/FR26-1)*100,0)</f>
        <v/>
      </c>
      <c r="FR26">
        <f>FR25</f>
        <v/>
      </c>
      <c r="FS26">
        <f>2*(1+FP25*0.1)</f>
        <v/>
      </c>
      <c r="FT26">
        <f>_xlfn.TEXTJOIN("|",TRUE,FQ26,FQ26,FQ26)</f>
        <v/>
      </c>
    </row>
    <row r="27">
      <c r="G27" t="n">
        <v>26</v>
      </c>
      <c r="H27">
        <f>(J27/I27-1)*100</f>
        <v/>
      </c>
      <c r="I27">
        <f>I26</f>
        <v/>
      </c>
      <c r="J27" t="n">
        <v>4</v>
      </c>
      <c r="K27" s="49">
        <f>H27&amp;"|"&amp;H27&amp;"|"&amp;H27&amp;"|"&amp;H27&amp;"|"&amp;H27</f>
        <v/>
      </c>
      <c r="L27">
        <f>ROUND( 100+H27,0)</f>
        <v/>
      </c>
      <c r="M27" s="49" t="n"/>
      <c r="N27" s="49" t="n">
        <v>26</v>
      </c>
      <c r="O27">
        <f>(Q27/P27-1)*100</f>
        <v/>
      </c>
      <c r="P27">
        <f>P26</f>
        <v/>
      </c>
      <c r="Q27" t="n">
        <v>3.95</v>
      </c>
      <c r="R27" s="49">
        <f>O27&amp;"|"&amp;O27&amp;"|"&amp;O27</f>
        <v/>
      </c>
      <c r="S27">
        <f>ROUND( 100+O27,0)</f>
        <v/>
      </c>
      <c r="U27" t="n">
        <v>26</v>
      </c>
      <c r="V27">
        <f>(X27/W27-1)*100</f>
        <v/>
      </c>
      <c r="W27">
        <f>W26</f>
        <v/>
      </c>
      <c r="X27" t="n">
        <v>5.75</v>
      </c>
      <c r="Y27" s="49">
        <f>V27&amp;"|"&amp;V27&amp;"|"&amp;V27&amp;"|"&amp;V27&amp;"|"&amp;V27&amp;"|"&amp;V27&amp;"|"&amp;V27&amp;"|"&amp;V27</f>
        <v/>
      </c>
      <c r="Z27">
        <f>ROUND( 100+V27,0)</f>
        <v/>
      </c>
      <c r="AA27">
        <f>1.38*U27-39.38</f>
        <v/>
      </c>
      <c r="AC27" t="n">
        <v>26</v>
      </c>
      <c r="AD27">
        <f>(AF27/AE27-1)*100</f>
        <v/>
      </c>
      <c r="AE27" t="n">
        <v>1</v>
      </c>
      <c r="AF27" t="n">
        <v>5.05</v>
      </c>
      <c r="AH27">
        <f>ROUND( 100+AD27,0)</f>
        <v/>
      </c>
      <c r="AJ27" t="n">
        <v>26</v>
      </c>
      <c r="AL27" t="n">
        <v>3500</v>
      </c>
      <c r="AM27" t="n">
        <v>14.5</v>
      </c>
      <c r="AO27">
        <f>_xlfn.TEXTJOIN("|",TRUE,AL27:AM27)</f>
        <v/>
      </c>
      <c r="AR27" t="n">
        <v>26</v>
      </c>
      <c r="AS27">
        <f>(AU27/AT27-1)*100</f>
        <v/>
      </c>
      <c r="AT27">
        <f>AT26</f>
        <v/>
      </c>
      <c r="AU27" t="n">
        <v>3.5</v>
      </c>
      <c r="AV27">
        <f>ROUND( 100+AS27,0)</f>
        <v/>
      </c>
      <c r="AW27" s="45" t="n"/>
      <c r="AX27" s="45" t="n">
        <v>26</v>
      </c>
      <c r="AY27" s="45">
        <f>(BA27/$AZ$2-1)*100</f>
        <v/>
      </c>
      <c r="AZ27" s="45" t="n"/>
      <c r="BA27" s="45" t="n">
        <v>7</v>
      </c>
      <c r="BB27">
        <f>ROUND( 100+AY27,0)</f>
        <v/>
      </c>
      <c r="BD27" t="n">
        <v>2900</v>
      </c>
      <c r="BE27" s="50" t="inlineStr">
        <is>
          <t>15</t>
        </is>
      </c>
      <c r="BF27">
        <f>BD27&amp;"|"&amp;BE27</f>
        <v/>
      </c>
      <c r="BH27" t="n">
        <v>26</v>
      </c>
      <c r="BI27" s="45">
        <f>(BK27/BJ27-1)*100</f>
        <v/>
      </c>
      <c r="BJ27">
        <f>BJ26</f>
        <v/>
      </c>
      <c r="BK27" t="n">
        <v>5.7</v>
      </c>
      <c r="BL27" s="43">
        <f>_xlfn.TEXTJOIN("|",TRUE,BI27,BI27,BI27,BI27,BI27)</f>
        <v/>
      </c>
      <c r="BM27">
        <f>ROUND( 100+BI27,0)</f>
        <v/>
      </c>
      <c r="BN27" s="50">
        <f>BM27/10</f>
        <v/>
      </c>
      <c r="BO27" s="50">
        <f>1.5*BM27/10</f>
        <v/>
      </c>
      <c r="BP27" s="50">
        <f>2*BM27/10</f>
        <v/>
      </c>
      <c r="BQ27" s="50">
        <f>2.5*BM27/10</f>
        <v/>
      </c>
      <c r="BR27" s="50">
        <f>3*BM27/10</f>
        <v/>
      </c>
      <c r="BT27" t="n">
        <v>26</v>
      </c>
      <c r="BU27">
        <f>(BW27/$BV$2-1)*100</f>
        <v/>
      </c>
      <c r="BW27" t="n">
        <v>6</v>
      </c>
      <c r="BX27" s="49">
        <f>CA27&amp;"|"&amp;CB27</f>
        <v/>
      </c>
      <c r="BY27">
        <f>ROUND( 100+BU27,0)</f>
        <v/>
      </c>
      <c r="BZ27">
        <f>2*BU27</f>
        <v/>
      </c>
      <c r="CA27" s="50">
        <f>BZ27/3</f>
        <v/>
      </c>
      <c r="CB27" s="50">
        <f>CA27*2</f>
        <v/>
      </c>
      <c r="CD27" t="n">
        <v>26</v>
      </c>
      <c r="CE27" s="50">
        <f>((CG27/$CF$2-1)*100)</f>
        <v/>
      </c>
      <c r="CG27" t="n">
        <v>3.5</v>
      </c>
      <c r="CH27" s="54">
        <f>CE27</f>
        <v/>
      </c>
      <c r="CI27">
        <f>ROUND( 100+CE27,0)</f>
        <v/>
      </c>
      <c r="CJ27" s="13" t="n"/>
      <c r="CK27" s="13" t="n">
        <v>26</v>
      </c>
      <c r="CL27" s="13">
        <f>(CN27/$CF$2-1)*100</f>
        <v/>
      </c>
      <c r="CM27" s="13" t="n"/>
      <c r="CN27" s="13">
        <f>0.08*CK27+3.92</f>
        <v/>
      </c>
      <c r="CO27" s="54">
        <f>CL27</f>
        <v/>
      </c>
      <c r="CP27" t="n">
        <v>175</v>
      </c>
      <c r="CQ27" t="n">
        <v>74</v>
      </c>
      <c r="CR27">
        <f>CP27&amp;"|"&amp;CQ27</f>
        <v/>
      </c>
      <c r="CT27" s="26" t="n"/>
      <c r="CV27" s="50" t="n">
        <v>48</v>
      </c>
      <c r="CW27" t="n">
        <v>26</v>
      </c>
      <c r="CX27">
        <f>DA27&amp;"|"&amp;DA27&amp;"|"&amp;DA27&amp;"|"&amp;DA27&amp;"|"&amp;DA27</f>
        <v/>
      </c>
      <c r="CY27" t="n">
        <v>3</v>
      </c>
      <c r="CZ27">
        <f>CZ26</f>
        <v/>
      </c>
      <c r="DA27">
        <f>(CY27/CZ27-1)*100</f>
        <v/>
      </c>
      <c r="DB27" s="50">
        <f>ROUND( 100+DA27,0)</f>
        <v/>
      </c>
      <c r="DC27" t="n">
        <v>25</v>
      </c>
      <c r="DD27">
        <f>_xlfn.TEXTJOIN("|",TRUE,DB27:DC27)</f>
        <v/>
      </c>
      <c r="DF27" t="n">
        <v>26</v>
      </c>
      <c r="DG27" t="n">
        <v>650</v>
      </c>
      <c r="DI27" s="50" t="n">
        <v>-75</v>
      </c>
      <c r="DJ27" s="50" t="n">
        <v>-72</v>
      </c>
      <c r="DK27" s="45" t="n"/>
      <c r="DL27" s="45" t="n">
        <v>26</v>
      </c>
      <c r="DM27">
        <f>(DO27/$DN$2-1)*100</f>
        <v/>
      </c>
      <c r="DN27" s="45" t="n"/>
      <c r="DO27" s="45" t="n">
        <v>4.95</v>
      </c>
      <c r="DP27" s="52" t="n">
        <v>-74</v>
      </c>
      <c r="DQ27" s="50">
        <f>ROUND( 100+DM27,0)</f>
        <v/>
      </c>
      <c r="DR27" s="50">
        <f>ROUND( 100+DP27,0)</f>
        <v/>
      </c>
      <c r="DS27">
        <f>_xlfn.TEXTJOIN("|",TRUE,DQ27:DR27)</f>
        <v/>
      </c>
      <c r="DU27" t="n">
        <v>26</v>
      </c>
      <c r="DV27" s="45">
        <f>(DX27/DW27-1)*100</f>
        <v/>
      </c>
      <c r="DW27">
        <f>DW26</f>
        <v/>
      </c>
      <c r="DX27" t="n">
        <v>4.2</v>
      </c>
      <c r="DZ27">
        <f>ROUND( 100+DV27,0)</f>
        <v/>
      </c>
      <c r="EB27" t="n">
        <v>26</v>
      </c>
      <c r="EC27" s="50">
        <f>(EE27/$ED$2-1)*100</f>
        <v/>
      </c>
      <c r="ED27">
        <f>ED26</f>
        <v/>
      </c>
      <c r="EE27" t="n">
        <v>4.25</v>
      </c>
      <c r="EF27" s="43">
        <f>_xlfn.TEXTJOIN("|",TRUE,EC27,EC27,EC27,EC27,EC27,EC27)</f>
        <v/>
      </c>
      <c r="EG27" s="50">
        <f>ROUND( 100+EC27,0)</f>
        <v/>
      </c>
      <c r="EH27" s="43" t="n"/>
      <c r="EJ27" t="n">
        <v>26</v>
      </c>
      <c r="EK27" s="50">
        <f>(EM27/EL27-1)*100</f>
        <v/>
      </c>
      <c r="EL27">
        <f>EL26</f>
        <v/>
      </c>
      <c r="EM27" t="n">
        <v>3.5</v>
      </c>
      <c r="EN27" s="43">
        <f>EK27&amp;"|"&amp;EK27&amp;"|"&amp;EK27&amp;"|"&amp;EK27&amp;"|"&amp;EK27&amp;"|"&amp;EK27</f>
        <v/>
      </c>
      <c r="EO27" s="50">
        <f>ROUND( 100+EK27,0)</f>
        <v/>
      </c>
      <c r="EP27" s="50" t="n"/>
      <c r="EQ27" s="50" t="n"/>
      <c r="ER27" s="50">
        <f>(ET27/ES27-1)*100</f>
        <v/>
      </c>
      <c r="ES27" s="50">
        <f>ES26</f>
        <v/>
      </c>
      <c r="ET27" t="n">
        <v>5.25</v>
      </c>
      <c r="EU27" s="50" t="n"/>
      <c r="EV27" s="50">
        <f>ROUND( 100+ER27,0)</f>
        <v/>
      </c>
      <c r="EW27" s="50">
        <f>(EX27/EY27-1)*100</f>
        <v/>
      </c>
      <c r="EX27" t="n">
        <v>4.55</v>
      </c>
      <c r="EY27">
        <f>EY26</f>
        <v/>
      </c>
      <c r="EZ27" t="n">
        <v>119</v>
      </c>
      <c r="FA27" t="n">
        <v>3.55</v>
      </c>
      <c r="FB27" s="50">
        <f>ROUND( 100+EW27,0)</f>
        <v/>
      </c>
      <c r="FC27">
        <f>EW27&amp;"|"&amp;EZ27&amp;"|"&amp;FA27</f>
        <v/>
      </c>
      <c r="FE27" t="n">
        <v>26</v>
      </c>
      <c r="FF27" s="50">
        <f>(FH27/FG27-1)*100</f>
        <v/>
      </c>
      <c r="FG27">
        <f>FG26</f>
        <v/>
      </c>
      <c r="FH27">
        <f>2*(1+FE26*0.1)</f>
        <v/>
      </c>
      <c r="FJ27" t="n">
        <v>26</v>
      </c>
      <c r="FK27" s="50">
        <f>(FN27/FM27-1)*100</f>
        <v/>
      </c>
      <c r="FL27" s="50">
        <f>FL26</f>
        <v/>
      </c>
      <c r="FM27">
        <f>FM26</f>
        <v/>
      </c>
      <c r="FN27">
        <f>2*(1+FJ26*0.1)</f>
        <v/>
      </c>
      <c r="FP27" t="n">
        <v>26</v>
      </c>
      <c r="FQ27" s="50">
        <f>ROUND((FS27/FR27-1)*100,0)</f>
        <v/>
      </c>
      <c r="FR27">
        <f>FR26</f>
        <v/>
      </c>
      <c r="FS27">
        <f>2*(1+FP26*0.1)</f>
        <v/>
      </c>
      <c r="FT27">
        <f>_xlfn.TEXTJOIN("|",TRUE,FQ27,FQ27,FQ27)</f>
        <v/>
      </c>
    </row>
    <row r="28">
      <c r="G28" t="n">
        <v>27</v>
      </c>
      <c r="H28">
        <f>(J28/I28-1)*100</f>
        <v/>
      </c>
      <c r="I28">
        <f>I27</f>
        <v/>
      </c>
      <c r="J28" t="n">
        <v>4.12</v>
      </c>
      <c r="K28" s="49">
        <f>H28&amp;"|"&amp;H28&amp;"|"&amp;H28&amp;"|"&amp;H28&amp;"|"&amp;H28</f>
        <v/>
      </c>
      <c r="L28">
        <f>ROUND( 100+H28,0)</f>
        <v/>
      </c>
      <c r="M28" s="49" t="n"/>
      <c r="N28" s="49" t="n">
        <v>27</v>
      </c>
      <c r="O28">
        <f>(Q28/P28-1)*100</f>
        <v/>
      </c>
      <c r="P28">
        <f>P27</f>
        <v/>
      </c>
      <c r="Q28" t="n">
        <v>4.06</v>
      </c>
      <c r="R28" s="49">
        <f>O28&amp;"|"&amp;O28&amp;"|"&amp;O28</f>
        <v/>
      </c>
      <c r="S28">
        <f>ROUND( 100+O28,0)</f>
        <v/>
      </c>
      <c r="U28" t="n">
        <v>27</v>
      </c>
      <c r="V28">
        <f>(X28/W28-1)*100</f>
        <v/>
      </c>
      <c r="W28">
        <f>W27</f>
        <v/>
      </c>
      <c r="X28" t="n">
        <v>5.94</v>
      </c>
      <c r="Y28" s="49">
        <f>V28&amp;"|"&amp;V28&amp;"|"&amp;V28&amp;"|"&amp;V28&amp;"|"&amp;V28&amp;"|"&amp;V28&amp;"|"&amp;V28&amp;"|"&amp;V28</f>
        <v/>
      </c>
      <c r="Z28">
        <f>ROUND( 100+V28,0)</f>
        <v/>
      </c>
      <c r="AA28">
        <f>1.38*U28-39.38</f>
        <v/>
      </c>
      <c r="AC28" t="n">
        <v>27</v>
      </c>
      <c r="AD28">
        <f>(AF28/AE28-1)*100</f>
        <v/>
      </c>
      <c r="AE28" t="n">
        <v>1</v>
      </c>
      <c r="AF28" t="n">
        <v>5.19</v>
      </c>
      <c r="AH28">
        <f>ROUND( 100+AD28,0)</f>
        <v/>
      </c>
      <c r="AJ28" t="n">
        <v>27</v>
      </c>
      <c r="AL28" t="n">
        <v>3600</v>
      </c>
      <c r="AM28" t="n">
        <v>15</v>
      </c>
      <c r="AO28">
        <f>_xlfn.TEXTJOIN("|",TRUE,AL28:AM28)</f>
        <v/>
      </c>
      <c r="AR28" t="n">
        <v>27</v>
      </c>
      <c r="AS28">
        <f>(AU28/AT28-1)*100</f>
        <v/>
      </c>
      <c r="AT28">
        <f>AT27</f>
        <v/>
      </c>
      <c r="AU28" t="n">
        <v>3.6</v>
      </c>
      <c r="AV28">
        <f>ROUND( 100+AS28,0)</f>
        <v/>
      </c>
      <c r="AW28" s="45" t="n"/>
      <c r="AX28" s="45" t="n">
        <v>27</v>
      </c>
      <c r="AY28" s="45">
        <f>(BA28/$AZ$2-1)*100</f>
        <v/>
      </c>
      <c r="AZ28" s="45" t="n"/>
      <c r="BA28" s="45" t="n">
        <v>7.2</v>
      </c>
      <c r="BB28">
        <f>ROUND( 100+AY28,0)</f>
        <v/>
      </c>
      <c r="BD28" t="n">
        <v>3000</v>
      </c>
      <c r="BE28" s="50" t="inlineStr">
        <is>
          <t>15</t>
        </is>
      </c>
      <c r="BF28">
        <f>BD28&amp;"|"&amp;BE28</f>
        <v/>
      </c>
      <c r="BH28" t="n">
        <v>27</v>
      </c>
      <c r="BI28" s="45">
        <f>(BK28/BJ28-1)*100</f>
        <v/>
      </c>
      <c r="BJ28">
        <f>BJ27</f>
        <v/>
      </c>
      <c r="BK28" t="n">
        <v>5.86</v>
      </c>
      <c r="BL28" s="43">
        <f>_xlfn.TEXTJOIN("|",TRUE,BI28,BI28,BI28,BI28,BI28)</f>
        <v/>
      </c>
      <c r="BM28">
        <f>ROUND( 100+BI28,0)</f>
        <v/>
      </c>
      <c r="BN28" s="50">
        <f>BM28/10</f>
        <v/>
      </c>
      <c r="BO28" s="50">
        <f>1.5*BM28/10</f>
        <v/>
      </c>
      <c r="BP28" s="50">
        <f>2*BM28/10</f>
        <v/>
      </c>
      <c r="BQ28" s="50">
        <f>2.5*BM28/10</f>
        <v/>
      </c>
      <c r="BR28" s="50">
        <f>3*BM28/10</f>
        <v/>
      </c>
      <c r="BT28" t="n">
        <v>27</v>
      </c>
      <c r="BU28">
        <f>(BW28/$BV$2-1)*100</f>
        <v/>
      </c>
      <c r="BW28" t="n">
        <v>6.2</v>
      </c>
      <c r="BX28" s="49">
        <f>CA28&amp;"|"&amp;CB28</f>
        <v/>
      </c>
      <c r="BY28">
        <f>ROUND( 100+BU28,0)</f>
        <v/>
      </c>
      <c r="BZ28">
        <f>2*BU28</f>
        <v/>
      </c>
      <c r="CA28" s="50">
        <f>BZ28/3</f>
        <v/>
      </c>
      <c r="CB28" s="50">
        <f>CA28*2</f>
        <v/>
      </c>
      <c r="CD28" t="n">
        <v>27</v>
      </c>
      <c r="CE28" s="50">
        <f>((CG28/$CF$2-1)*100)</f>
        <v/>
      </c>
      <c r="CG28" t="n">
        <v>3.6</v>
      </c>
      <c r="CH28" s="54">
        <f>CE28</f>
        <v/>
      </c>
      <c r="CI28">
        <f>ROUND( 100+CE28,0)</f>
        <v/>
      </c>
      <c r="CJ28" s="13" t="n"/>
      <c r="CK28" s="13" t="n">
        <v>27</v>
      </c>
      <c r="CL28" s="13">
        <f>(CN28/$CF$2-1)*100</f>
        <v/>
      </c>
      <c r="CM28" s="13" t="n"/>
      <c r="CN28" s="13">
        <f>0.08*CK28+3.92</f>
        <v/>
      </c>
      <c r="CO28" s="54">
        <f>CL28</f>
        <v/>
      </c>
      <c r="CP28" t="n">
        <v>180</v>
      </c>
      <c r="CQ28" t="n">
        <v>73</v>
      </c>
      <c r="CR28">
        <f>CP28&amp;"|"&amp;CQ28</f>
        <v/>
      </c>
      <c r="CT28" s="26" t="n"/>
      <c r="CV28" s="50" t="n">
        <v>49</v>
      </c>
      <c r="CW28" t="n">
        <v>27</v>
      </c>
      <c r="CX28">
        <f>DA28&amp;"|"&amp;DA28&amp;"|"&amp;DA28&amp;"|"&amp;DA28&amp;"|"&amp;DA28</f>
        <v/>
      </c>
      <c r="CY28" t="n">
        <v>3.1</v>
      </c>
      <c r="CZ28">
        <f>CZ27</f>
        <v/>
      </c>
      <c r="DA28">
        <f>(CY28/CZ28-1)*100</f>
        <v/>
      </c>
      <c r="DB28" s="50">
        <f>ROUND( 100+DA28,0)</f>
        <v/>
      </c>
      <c r="DC28" t="n">
        <v>25.6</v>
      </c>
      <c r="DD28">
        <f>_xlfn.TEXTJOIN("|",TRUE,DB28:DC28)</f>
        <v/>
      </c>
      <c r="DF28" t="n">
        <v>27</v>
      </c>
      <c r="DG28" t="n">
        <v>660</v>
      </c>
      <c r="DI28" s="50" t="n">
        <v>-74</v>
      </c>
      <c r="DJ28" s="50" t="n">
        <v>-72</v>
      </c>
      <c r="DK28" s="45" t="n"/>
      <c r="DL28" s="45" t="n">
        <v>27</v>
      </c>
      <c r="DM28">
        <f>(DO28/$DN$2-1)*100</f>
        <v/>
      </c>
      <c r="DN28" s="45" t="n"/>
      <c r="DO28" s="45" t="n">
        <v>5.1</v>
      </c>
      <c r="DP28" s="52" t="n">
        <v>-73</v>
      </c>
      <c r="DQ28" s="50">
        <f>ROUND( 100+DM28,0)</f>
        <v/>
      </c>
      <c r="DR28" s="50">
        <f>ROUND( 100+DP28,0)</f>
        <v/>
      </c>
      <c r="DS28">
        <f>_xlfn.TEXTJOIN("|",TRUE,DQ28:DR28)</f>
        <v/>
      </c>
      <c r="DU28" t="n">
        <v>27</v>
      </c>
      <c r="DV28" s="45">
        <f>(DX28/DW28-1)*100</f>
        <v/>
      </c>
      <c r="DW28">
        <f>DW27</f>
        <v/>
      </c>
      <c r="DX28" t="n">
        <v>4.32</v>
      </c>
      <c r="DZ28">
        <f>ROUND( 100+DV28,0)</f>
        <v/>
      </c>
      <c r="EB28" t="n">
        <v>27</v>
      </c>
      <c r="EC28" s="50">
        <f>(EE28/$ED$2-1)*100</f>
        <v/>
      </c>
      <c r="ED28">
        <f>ED27</f>
        <v/>
      </c>
      <c r="EE28" t="n">
        <v>4.38</v>
      </c>
      <c r="EF28" s="43">
        <f>_xlfn.TEXTJOIN("|",TRUE,EC28,EC28,EC28,EC28,EC28,EC28)</f>
        <v/>
      </c>
      <c r="EG28" s="50">
        <f>ROUND( 100+EC28,0)</f>
        <v/>
      </c>
      <c r="EH28" s="43" t="n"/>
      <c r="EJ28" t="n">
        <v>27</v>
      </c>
      <c r="EK28" s="50">
        <f>(EM28/EL28-1)*100</f>
        <v/>
      </c>
      <c r="EL28">
        <f>EL27</f>
        <v/>
      </c>
      <c r="EM28" t="n">
        <v>3.6</v>
      </c>
      <c r="EN28" s="43">
        <f>EK28&amp;"|"&amp;EK28&amp;"|"&amp;EK28&amp;"|"&amp;EK28&amp;"|"&amp;EK28&amp;"|"&amp;EK28</f>
        <v/>
      </c>
      <c r="EO28" s="50">
        <f>ROUND( 100+EK28,0)</f>
        <v/>
      </c>
      <c r="EP28" s="50" t="n"/>
      <c r="EQ28" s="50" t="n"/>
      <c r="ER28" s="50">
        <f>(ET28/ES28-1)*100</f>
        <v/>
      </c>
      <c r="ES28" s="50">
        <f>ES27</f>
        <v/>
      </c>
      <c r="ET28" t="n">
        <v>5.4</v>
      </c>
      <c r="EU28" s="50" t="n"/>
      <c r="EV28" s="50">
        <f>ROUND( 100+ER28,0)</f>
        <v/>
      </c>
      <c r="EW28" s="50">
        <f>(EX28/EY28-1)*100</f>
        <v/>
      </c>
      <c r="EX28" t="n">
        <v>4.68</v>
      </c>
      <c r="EY28">
        <f>EY27</f>
        <v/>
      </c>
      <c r="EZ28" t="n">
        <v>122.4</v>
      </c>
      <c r="FA28" t="n">
        <v>3.612</v>
      </c>
      <c r="FB28" s="50">
        <f>ROUND( 100+EW28,0)</f>
        <v/>
      </c>
      <c r="FC28">
        <f>EW28&amp;"|"&amp;EZ28&amp;"|"&amp;FA28</f>
        <v/>
      </c>
      <c r="FE28" t="n">
        <v>27</v>
      </c>
      <c r="FF28" s="50">
        <f>(FH28/FG28-1)*100</f>
        <v/>
      </c>
      <c r="FG28">
        <f>FG27</f>
        <v/>
      </c>
      <c r="FH28">
        <f>2*(1+FE27*0.1)</f>
        <v/>
      </c>
      <c r="FJ28" t="n">
        <v>27</v>
      </c>
      <c r="FK28" s="50">
        <f>(FN28/FM28-1)*100</f>
        <v/>
      </c>
      <c r="FL28" s="50">
        <f>FL27</f>
        <v/>
      </c>
      <c r="FM28">
        <f>FM27</f>
        <v/>
      </c>
      <c r="FN28">
        <f>2*(1+FJ27*0.1)</f>
        <v/>
      </c>
      <c r="FP28" t="n">
        <v>27</v>
      </c>
      <c r="FQ28" s="50">
        <f>ROUND((FS28/FR28-1)*100,0)</f>
        <v/>
      </c>
      <c r="FR28">
        <f>FR27</f>
        <v/>
      </c>
      <c r="FS28">
        <f>2*(1+FP27*0.1)</f>
        <v/>
      </c>
      <c r="FT28">
        <f>_xlfn.TEXTJOIN("|",TRUE,FQ28,FQ28,FQ28)</f>
        <v/>
      </c>
    </row>
    <row r="29">
      <c r="G29" t="n">
        <v>28</v>
      </c>
      <c r="H29">
        <f>(J29/I29-1)*100</f>
        <v/>
      </c>
      <c r="I29">
        <f>I28</f>
        <v/>
      </c>
      <c r="J29" t="n">
        <v>4.24</v>
      </c>
      <c r="K29" s="49">
        <f>H29&amp;"|"&amp;H29&amp;"|"&amp;H29&amp;"|"&amp;H29&amp;"|"&amp;H29</f>
        <v/>
      </c>
      <c r="L29">
        <f>ROUND( 100+H29,0)</f>
        <v/>
      </c>
      <c r="M29" s="49" t="n"/>
      <c r="N29" s="49" t="n">
        <v>28</v>
      </c>
      <c r="O29">
        <f>(Q29/P29-1)*100</f>
        <v/>
      </c>
      <c r="P29">
        <f>P28</f>
        <v/>
      </c>
      <c r="Q29" t="n">
        <v>4.17</v>
      </c>
      <c r="R29" s="49">
        <f>O29&amp;"|"&amp;O29&amp;"|"&amp;O29</f>
        <v/>
      </c>
      <c r="S29">
        <f>ROUND( 100+O29,0)</f>
        <v/>
      </c>
      <c r="U29" t="n">
        <v>28</v>
      </c>
      <c r="V29">
        <f>(X29/W29-1)*100</f>
        <v/>
      </c>
      <c r="W29">
        <f>W28</f>
        <v/>
      </c>
      <c r="X29" t="n">
        <v>6.13</v>
      </c>
      <c r="Y29" s="49">
        <f>V29&amp;"|"&amp;V29&amp;"|"&amp;V29&amp;"|"&amp;V29&amp;"|"&amp;V29&amp;"|"&amp;V29&amp;"|"&amp;V29&amp;"|"&amp;V29</f>
        <v/>
      </c>
      <c r="Z29">
        <f>ROUND( 100+V29,0)</f>
        <v/>
      </c>
      <c r="AA29">
        <f>1.38*U29-39.38</f>
        <v/>
      </c>
      <c r="AC29" t="n">
        <v>28</v>
      </c>
      <c r="AD29">
        <f>(AF29/AE29-1)*100</f>
        <v/>
      </c>
      <c r="AE29" t="n">
        <v>1</v>
      </c>
      <c r="AF29" t="n">
        <v>5.33</v>
      </c>
      <c r="AH29">
        <f>ROUND( 100+AD29,0)</f>
        <v/>
      </c>
      <c r="AJ29" t="n">
        <v>28</v>
      </c>
      <c r="AL29" t="n">
        <v>3700</v>
      </c>
      <c r="AM29" t="n">
        <v>15.5</v>
      </c>
      <c r="AO29">
        <f>_xlfn.TEXTJOIN("|",TRUE,AL29:AM29)</f>
        <v/>
      </c>
      <c r="AR29" t="n">
        <v>28</v>
      </c>
      <c r="AS29">
        <f>(AU29/AT29-1)*100</f>
        <v/>
      </c>
      <c r="AT29">
        <f>AT28</f>
        <v/>
      </c>
      <c r="AU29" t="n">
        <v>3.7</v>
      </c>
      <c r="AV29">
        <f>ROUND( 100+AS29,0)</f>
        <v/>
      </c>
      <c r="AW29" s="45" t="n"/>
      <c r="AX29" s="45" t="n">
        <v>28</v>
      </c>
      <c r="AY29" s="45">
        <f>(BA29/$AZ$2-1)*100</f>
        <v/>
      </c>
      <c r="AZ29" s="45" t="n"/>
      <c r="BA29" s="45" t="n">
        <v>7.4</v>
      </c>
      <c r="BB29">
        <f>ROUND( 100+AY29,0)</f>
        <v/>
      </c>
      <c r="BD29" t="n">
        <v>3100</v>
      </c>
      <c r="BE29" s="50" t="inlineStr">
        <is>
          <t>15</t>
        </is>
      </c>
      <c r="BF29">
        <f>BD29&amp;"|"&amp;BE29</f>
        <v/>
      </c>
      <c r="BH29" t="n">
        <v>28</v>
      </c>
      <c r="BI29" s="45">
        <f>(BK29/BJ29-1)*100</f>
        <v/>
      </c>
      <c r="BJ29">
        <f>BJ28</f>
        <v/>
      </c>
      <c r="BK29" t="n">
        <v>6.02</v>
      </c>
      <c r="BL29" s="43">
        <f>_xlfn.TEXTJOIN("|",TRUE,BI29,BI29,BI29,BI29,BI29)</f>
        <v/>
      </c>
      <c r="BM29">
        <f>ROUND( 100+BI29,0)</f>
        <v/>
      </c>
      <c r="BN29" s="50">
        <f>BM29/10</f>
        <v/>
      </c>
      <c r="BO29" s="50">
        <f>1.5*BM29/10</f>
        <v/>
      </c>
      <c r="BP29" s="50">
        <f>2*BM29/10</f>
        <v/>
      </c>
      <c r="BQ29" s="50">
        <f>2.5*BM29/10</f>
        <v/>
      </c>
      <c r="BR29" s="50">
        <f>3*BM29/10</f>
        <v/>
      </c>
      <c r="BT29" t="n">
        <v>28</v>
      </c>
      <c r="BU29">
        <f>(BW29/$BV$2-1)*100</f>
        <v/>
      </c>
      <c r="BW29" t="n">
        <v>6.4</v>
      </c>
      <c r="BX29" s="49">
        <f>CA29&amp;"|"&amp;CB29</f>
        <v/>
      </c>
      <c r="BY29">
        <f>ROUND( 100+BU29,0)</f>
        <v/>
      </c>
      <c r="BZ29">
        <f>2*BU29</f>
        <v/>
      </c>
      <c r="CA29" s="50">
        <f>BZ29/3</f>
        <v/>
      </c>
      <c r="CB29" s="50">
        <f>CA29*2</f>
        <v/>
      </c>
      <c r="CD29" t="n">
        <v>28</v>
      </c>
      <c r="CE29" s="50">
        <f>((CG29/$CF$2-1)*100)</f>
        <v/>
      </c>
      <c r="CG29" t="n">
        <v>3.7</v>
      </c>
      <c r="CH29" s="54">
        <f>CE29</f>
        <v/>
      </c>
      <c r="CI29">
        <f>ROUND( 100+CE29,0)</f>
        <v/>
      </c>
      <c r="CJ29" s="13" t="n"/>
      <c r="CK29" s="13" t="n">
        <v>28</v>
      </c>
      <c r="CL29" s="13">
        <f>(CN29/$CF$2-1)*100</f>
        <v/>
      </c>
      <c r="CM29" s="13" t="n"/>
      <c r="CN29" s="13">
        <f>0.08*CK29+3.92</f>
        <v/>
      </c>
      <c r="CO29" s="54">
        <f>CL29</f>
        <v/>
      </c>
      <c r="CP29" t="n">
        <v>185</v>
      </c>
      <c r="CQ29" t="n">
        <v>72</v>
      </c>
      <c r="CR29">
        <f>CP29&amp;"|"&amp;CQ29</f>
        <v/>
      </c>
      <c r="CT29" s="26" t="n"/>
      <c r="CV29" s="50" t="n">
        <v>51</v>
      </c>
      <c r="CW29" t="n">
        <v>28</v>
      </c>
      <c r="CX29">
        <f>DA29&amp;"|"&amp;DA29&amp;"|"&amp;DA29&amp;"|"&amp;DA29&amp;"|"&amp;DA29</f>
        <v/>
      </c>
      <c r="CY29" t="n">
        <v>3.2</v>
      </c>
      <c r="CZ29">
        <f>CZ28</f>
        <v/>
      </c>
      <c r="DA29">
        <f>(CY29/CZ29-1)*100</f>
        <v/>
      </c>
      <c r="DB29" s="50">
        <f>ROUND( 100+DA29,0)</f>
        <v/>
      </c>
      <c r="DC29" t="n">
        <v>26.2</v>
      </c>
      <c r="DD29">
        <f>_xlfn.TEXTJOIN("|",TRUE,DB29:DC29)</f>
        <v/>
      </c>
      <c r="DF29" t="n">
        <v>28</v>
      </c>
      <c r="DG29" t="n">
        <v>670</v>
      </c>
      <c r="DI29" s="50" t="n">
        <v>-72</v>
      </c>
      <c r="DJ29" s="50" t="n">
        <v>-69</v>
      </c>
      <c r="DK29" s="45" t="n"/>
      <c r="DL29" s="45" t="n">
        <v>28</v>
      </c>
      <c r="DM29">
        <f>(DO29/$DN$2-1)*100</f>
        <v/>
      </c>
      <c r="DN29" s="45" t="n"/>
      <c r="DO29" s="45" t="n">
        <v>5.25</v>
      </c>
      <c r="DP29" s="52" t="n">
        <v>-72</v>
      </c>
      <c r="DQ29" s="50">
        <f>ROUND( 100+DM29,0)</f>
        <v/>
      </c>
      <c r="DR29" s="50">
        <f>ROUND( 100+DP29,0)</f>
        <v/>
      </c>
      <c r="DS29">
        <f>_xlfn.TEXTJOIN("|",TRUE,DQ29:DR29)</f>
        <v/>
      </c>
      <c r="DU29" t="n">
        <v>28</v>
      </c>
      <c r="DV29" s="45">
        <f>(DX29/DW29-1)*100</f>
        <v/>
      </c>
      <c r="DW29">
        <f>DW28</f>
        <v/>
      </c>
      <c r="DX29" t="n">
        <v>4.44</v>
      </c>
      <c r="DZ29">
        <f>ROUND( 100+DV29,0)</f>
        <v/>
      </c>
      <c r="EB29" t="n">
        <v>28</v>
      </c>
      <c r="EC29" s="50">
        <f>(EE29/$ED$2-1)*100</f>
        <v/>
      </c>
      <c r="ED29">
        <f>ED28</f>
        <v/>
      </c>
      <c r="EE29" t="n">
        <v>4.51</v>
      </c>
      <c r="EF29" s="43">
        <f>_xlfn.TEXTJOIN("|",TRUE,EC29,EC29,EC29,EC29,EC29,EC29)</f>
        <v/>
      </c>
      <c r="EG29" s="50">
        <f>ROUND( 100+EC29,0)</f>
        <v/>
      </c>
      <c r="EH29" s="43" t="n"/>
      <c r="EJ29" t="n">
        <v>28</v>
      </c>
      <c r="EK29" s="50">
        <f>(EM29/EL29-1)*100</f>
        <v/>
      </c>
      <c r="EL29">
        <f>EL28</f>
        <v/>
      </c>
      <c r="EM29" t="n">
        <v>3.7</v>
      </c>
      <c r="EN29" s="43">
        <f>EK29&amp;"|"&amp;EK29&amp;"|"&amp;EK29&amp;"|"&amp;EK29&amp;"|"&amp;EK29&amp;"|"&amp;EK29</f>
        <v/>
      </c>
      <c r="EO29" s="50">
        <f>ROUND( 100+EK29,0)</f>
        <v/>
      </c>
      <c r="EP29" s="50" t="n"/>
      <c r="EQ29" s="50" t="n"/>
      <c r="ER29" s="50">
        <f>(ET29/ES29-1)*100</f>
        <v/>
      </c>
      <c r="ES29" s="50">
        <f>ES28</f>
        <v/>
      </c>
      <c r="ET29" t="n">
        <v>5.55</v>
      </c>
      <c r="EU29" s="50" t="n"/>
      <c r="EV29" s="50">
        <f>ROUND( 100+ER29,0)</f>
        <v/>
      </c>
      <c r="EW29" s="50">
        <f>(EX29/EY29-1)*100</f>
        <v/>
      </c>
      <c r="EX29" t="n">
        <v>4.81</v>
      </c>
      <c r="EY29">
        <f>EY28</f>
        <v/>
      </c>
      <c r="EZ29" t="n">
        <v>125.8</v>
      </c>
      <c r="FA29" t="n">
        <v>3.674</v>
      </c>
      <c r="FB29" s="50">
        <f>ROUND( 100+EW29,0)</f>
        <v/>
      </c>
      <c r="FC29">
        <f>EW29&amp;"|"&amp;EZ29&amp;"|"&amp;FA29</f>
        <v/>
      </c>
      <c r="FE29" t="n">
        <v>28</v>
      </c>
      <c r="FF29" s="50">
        <f>(FH29/FG29-1)*100</f>
        <v/>
      </c>
      <c r="FG29">
        <f>FG28</f>
        <v/>
      </c>
      <c r="FH29">
        <f>2*(1+FE28*0.1)</f>
        <v/>
      </c>
      <c r="FJ29" t="n">
        <v>28</v>
      </c>
      <c r="FK29" s="50">
        <f>(FN29/FM29-1)*100</f>
        <v/>
      </c>
      <c r="FL29" s="50">
        <f>FL28</f>
        <v/>
      </c>
      <c r="FM29">
        <f>FM28</f>
        <v/>
      </c>
      <c r="FN29">
        <f>2*(1+FJ28*0.1)</f>
        <v/>
      </c>
      <c r="FP29" t="n">
        <v>28</v>
      </c>
      <c r="FQ29" s="50">
        <f>ROUND((FS29/FR29-1)*100,0)</f>
        <v/>
      </c>
      <c r="FR29">
        <f>FR28</f>
        <v/>
      </c>
      <c r="FS29">
        <f>2*(1+FP28*0.1)</f>
        <v/>
      </c>
      <c r="FT29">
        <f>_xlfn.TEXTJOIN("|",TRUE,FQ29,FQ29,FQ29)</f>
        <v/>
      </c>
    </row>
    <row r="30">
      <c r="G30" t="n">
        <v>29</v>
      </c>
      <c r="H30">
        <f>(J30/I30-1)*100</f>
        <v/>
      </c>
      <c r="I30">
        <f>I29</f>
        <v/>
      </c>
      <c r="J30" t="n">
        <v>4.36</v>
      </c>
      <c r="K30" s="49">
        <f>H30&amp;"|"&amp;H30&amp;"|"&amp;H30&amp;"|"&amp;H30&amp;"|"&amp;H30</f>
        <v/>
      </c>
      <c r="L30">
        <f>ROUND( 100+H30,0)</f>
        <v/>
      </c>
      <c r="M30" s="49" t="n"/>
      <c r="N30" s="49" t="n">
        <v>29</v>
      </c>
      <c r="O30">
        <f>(Q30/P30-1)*100</f>
        <v/>
      </c>
      <c r="P30">
        <f>P29</f>
        <v/>
      </c>
      <c r="Q30" t="n">
        <v>4.28</v>
      </c>
      <c r="R30" s="49">
        <f>O30&amp;"|"&amp;O30&amp;"|"&amp;O30</f>
        <v/>
      </c>
      <c r="S30">
        <f>ROUND( 100+O30,0)</f>
        <v/>
      </c>
      <c r="U30" t="n">
        <v>29</v>
      </c>
      <c r="V30">
        <f>(X30/W30-1)*100</f>
        <v/>
      </c>
      <c r="W30">
        <f>W29</f>
        <v/>
      </c>
      <c r="X30" t="n">
        <v>6.32</v>
      </c>
      <c r="Y30" s="49">
        <f>V30&amp;"|"&amp;V30&amp;"|"&amp;V30&amp;"|"&amp;V30&amp;"|"&amp;V30&amp;"|"&amp;V30&amp;"|"&amp;V30&amp;"|"&amp;V30</f>
        <v/>
      </c>
      <c r="Z30">
        <f>ROUND( 100+V30,0)</f>
        <v/>
      </c>
      <c r="AA30">
        <f>1.38*U30-39.38</f>
        <v/>
      </c>
      <c r="AC30" t="n">
        <v>29</v>
      </c>
      <c r="AD30">
        <f>(AF30/AE30-1)*100</f>
        <v/>
      </c>
      <c r="AE30" t="n">
        <v>1</v>
      </c>
      <c r="AF30" t="n">
        <v>5.47</v>
      </c>
      <c r="AH30">
        <f>ROUND( 100+AD30,0)</f>
        <v/>
      </c>
      <c r="AJ30" t="n">
        <v>29</v>
      </c>
      <c r="AL30" t="n">
        <v>3800</v>
      </c>
      <c r="AM30" t="n">
        <v>16</v>
      </c>
      <c r="AO30">
        <f>_xlfn.TEXTJOIN("|",TRUE,AL30:AM30)</f>
        <v/>
      </c>
      <c r="AR30" t="n">
        <v>29</v>
      </c>
      <c r="AS30">
        <f>(AU30/AT30-1)*100</f>
        <v/>
      </c>
      <c r="AT30">
        <f>AT29</f>
        <v/>
      </c>
      <c r="AU30" t="n">
        <v>3.8</v>
      </c>
      <c r="AV30">
        <f>ROUND( 100+AS30,0)</f>
        <v/>
      </c>
      <c r="AW30" s="45" t="n"/>
      <c r="AX30" s="45" t="n">
        <v>29</v>
      </c>
      <c r="AY30" s="45">
        <f>(BA30/$AZ$2-1)*100</f>
        <v/>
      </c>
      <c r="AZ30" s="45" t="n"/>
      <c r="BA30" s="45" t="n">
        <v>7.6</v>
      </c>
      <c r="BB30">
        <f>ROUND( 100+AY30,0)</f>
        <v/>
      </c>
      <c r="BD30" t="n">
        <v>3200</v>
      </c>
      <c r="BE30" s="50" t="inlineStr">
        <is>
          <t>15</t>
        </is>
      </c>
      <c r="BF30">
        <f>BD30&amp;"|"&amp;BE30</f>
        <v/>
      </c>
      <c r="BH30" t="n">
        <v>29</v>
      </c>
      <c r="BI30" s="45">
        <f>(BK30/BJ30-1)*100</f>
        <v/>
      </c>
      <c r="BJ30">
        <f>BJ29</f>
        <v/>
      </c>
      <c r="BK30" t="n">
        <v>6.18</v>
      </c>
      <c r="BL30" s="43">
        <f>_xlfn.TEXTJOIN("|",TRUE,BI30,BI30,BI30,BI30,BI30)</f>
        <v/>
      </c>
      <c r="BM30">
        <f>ROUND( 100+BI30,0)</f>
        <v/>
      </c>
      <c r="BN30" s="50">
        <f>BM30/10</f>
        <v/>
      </c>
      <c r="BO30" s="50">
        <f>1.5*BM30/10</f>
        <v/>
      </c>
      <c r="BP30" s="50">
        <f>2*BM30/10</f>
        <v/>
      </c>
      <c r="BQ30" s="50">
        <f>2.5*BM30/10</f>
        <v/>
      </c>
      <c r="BR30" s="50">
        <f>3*BM30/10</f>
        <v/>
      </c>
      <c r="BT30" t="n">
        <v>29</v>
      </c>
      <c r="BU30">
        <f>(BW30/$BV$2-1)*100</f>
        <v/>
      </c>
      <c r="BW30" t="n">
        <v>6.6</v>
      </c>
      <c r="BX30" s="49">
        <f>CA30&amp;"|"&amp;CB30</f>
        <v/>
      </c>
      <c r="BY30">
        <f>ROUND( 100+BU30,0)</f>
        <v/>
      </c>
      <c r="BZ30">
        <f>2*BU30</f>
        <v/>
      </c>
      <c r="CA30" s="50">
        <f>BZ30/3</f>
        <v/>
      </c>
      <c r="CB30" s="50">
        <f>CA30*2</f>
        <v/>
      </c>
      <c r="CD30" t="n">
        <v>29</v>
      </c>
      <c r="CE30" s="50">
        <f>((CG30/$CF$2-1)*100)</f>
        <v/>
      </c>
      <c r="CG30" t="n">
        <v>3.8</v>
      </c>
      <c r="CH30" s="54">
        <f>CE30</f>
        <v/>
      </c>
      <c r="CI30">
        <f>ROUND( 100+CE30,0)</f>
        <v/>
      </c>
      <c r="CJ30" s="13" t="n"/>
      <c r="CK30" s="13" t="n">
        <v>29</v>
      </c>
      <c r="CL30" s="13">
        <f>(CN30/$CF$2-1)*100</f>
        <v/>
      </c>
      <c r="CM30" s="13" t="n"/>
      <c r="CN30" s="13">
        <f>0.08*CK30+3.92</f>
        <v/>
      </c>
      <c r="CO30" s="54">
        <f>CL30</f>
        <v/>
      </c>
      <c r="CP30" t="n">
        <v>190</v>
      </c>
      <c r="CQ30" t="n">
        <v>71</v>
      </c>
      <c r="CR30">
        <f>CP30&amp;"|"&amp;CQ30</f>
        <v/>
      </c>
      <c r="CT30" s="26" t="n"/>
      <c r="CV30" s="50" t="n">
        <v>52</v>
      </c>
      <c r="CW30" t="n">
        <v>29</v>
      </c>
      <c r="CX30">
        <f>DA30&amp;"|"&amp;DA30&amp;"|"&amp;DA30&amp;"|"&amp;DA30&amp;"|"&amp;DA30</f>
        <v/>
      </c>
      <c r="CY30" t="n">
        <v>3.3</v>
      </c>
      <c r="CZ30">
        <f>CZ29</f>
        <v/>
      </c>
      <c r="DA30">
        <f>(CY30/CZ30-1)*100</f>
        <v/>
      </c>
      <c r="DB30" s="50">
        <f>ROUND( 100+DA30,0)</f>
        <v/>
      </c>
      <c r="DC30" t="n">
        <v>26.8</v>
      </c>
      <c r="DD30">
        <f>_xlfn.TEXTJOIN("|",TRUE,DB30:DC30)</f>
        <v/>
      </c>
      <c r="DF30" t="n">
        <v>29</v>
      </c>
      <c r="DG30" t="n">
        <v>680</v>
      </c>
      <c r="DI30" s="50" t="n">
        <v>-72</v>
      </c>
      <c r="DJ30" s="50" t="n">
        <v>-69</v>
      </c>
      <c r="DK30" s="45" t="n"/>
      <c r="DL30" s="45" t="n">
        <v>29</v>
      </c>
      <c r="DM30">
        <f>(DO30/$DN$2-1)*100</f>
        <v/>
      </c>
      <c r="DN30" s="45" t="n"/>
      <c r="DO30" s="45" t="n">
        <v>5.4</v>
      </c>
      <c r="DP30" s="52" t="n">
        <v>-71</v>
      </c>
      <c r="DQ30" s="50">
        <f>ROUND( 100+DM30,0)</f>
        <v/>
      </c>
      <c r="DR30" s="50">
        <f>ROUND( 100+DP30,0)</f>
        <v/>
      </c>
      <c r="DS30">
        <f>_xlfn.TEXTJOIN("|",TRUE,DQ30:DR30)</f>
        <v/>
      </c>
      <c r="DU30" t="n">
        <v>29</v>
      </c>
      <c r="DV30" s="45">
        <f>(DX30/DW30-1)*100</f>
        <v/>
      </c>
      <c r="DW30">
        <f>DW29</f>
        <v/>
      </c>
      <c r="DX30" t="n">
        <v>4.56</v>
      </c>
      <c r="DZ30">
        <f>ROUND( 100+DV30,0)</f>
        <v/>
      </c>
      <c r="EB30" t="n">
        <v>29</v>
      </c>
      <c r="EC30" s="50">
        <f>(EE30/$ED$2-1)*100</f>
        <v/>
      </c>
      <c r="ED30">
        <f>ED29</f>
        <v/>
      </c>
      <c r="EE30" t="n">
        <v>4.64</v>
      </c>
      <c r="EF30" s="43">
        <f>_xlfn.TEXTJOIN("|",TRUE,EC30,EC30,EC30,EC30,EC30,EC30)</f>
        <v/>
      </c>
      <c r="EG30" s="50">
        <f>ROUND( 100+EC30,0)</f>
        <v/>
      </c>
      <c r="EH30" s="43" t="n"/>
      <c r="EJ30" t="n">
        <v>29</v>
      </c>
      <c r="EK30" s="50">
        <f>(EM30/EL30-1)*100</f>
        <v/>
      </c>
      <c r="EL30">
        <f>EL29</f>
        <v/>
      </c>
      <c r="EM30" t="n">
        <v>3.8</v>
      </c>
      <c r="EN30" s="43">
        <f>EK30&amp;"|"&amp;EK30&amp;"|"&amp;EK30&amp;"|"&amp;EK30&amp;"|"&amp;EK30&amp;"|"&amp;EK30</f>
        <v/>
      </c>
      <c r="EO30" s="50">
        <f>ROUND( 100+EK30,0)</f>
        <v/>
      </c>
      <c r="EP30" s="50" t="n"/>
      <c r="EQ30" s="50" t="n"/>
      <c r="ER30" s="50">
        <f>(ET30/ES30-1)*100</f>
        <v/>
      </c>
      <c r="ES30" s="50">
        <f>ES29</f>
        <v/>
      </c>
      <c r="ET30" t="n">
        <v>5.7</v>
      </c>
      <c r="EU30" s="50" t="n"/>
      <c r="EV30" s="50">
        <f>ROUND( 100+ER30,0)</f>
        <v/>
      </c>
      <c r="EW30" s="50">
        <f>(EX30/EY30-1)*100</f>
        <v/>
      </c>
      <c r="EX30" t="n">
        <v>4.94</v>
      </c>
      <c r="EY30">
        <f>EY29</f>
        <v/>
      </c>
      <c r="EZ30" t="n">
        <v>129.2</v>
      </c>
      <c r="FA30" t="n">
        <v>3.736</v>
      </c>
      <c r="FB30" s="50">
        <f>ROUND( 100+EW30,0)</f>
        <v/>
      </c>
      <c r="FC30">
        <f>EW30&amp;"|"&amp;EZ30&amp;"|"&amp;FA30</f>
        <v/>
      </c>
      <c r="FE30" t="n">
        <v>29</v>
      </c>
      <c r="FF30" s="50">
        <f>(FH30/FG30-1)*100</f>
        <v/>
      </c>
      <c r="FG30">
        <f>FG29</f>
        <v/>
      </c>
      <c r="FH30">
        <f>2*(1+FE29*0.1)</f>
        <v/>
      </c>
      <c r="FJ30" t="n">
        <v>29</v>
      </c>
      <c r="FK30" s="50">
        <f>(FN30/FM30-1)*100</f>
        <v/>
      </c>
      <c r="FL30" s="50">
        <f>FL29</f>
        <v/>
      </c>
      <c r="FM30">
        <f>FM29</f>
        <v/>
      </c>
      <c r="FN30">
        <f>2*(1+FJ29*0.1)</f>
        <v/>
      </c>
      <c r="FP30" t="n">
        <v>29</v>
      </c>
      <c r="FQ30" s="50">
        <f>ROUND((FS30/FR30-1)*100,0)</f>
        <v/>
      </c>
      <c r="FR30">
        <f>FR29</f>
        <v/>
      </c>
      <c r="FS30">
        <f>2*(1+FP29*0.1)</f>
        <v/>
      </c>
      <c r="FT30">
        <f>_xlfn.TEXTJOIN("|",TRUE,FQ30,FQ30,FQ30)</f>
        <v/>
      </c>
    </row>
    <row r="31">
      <c r="G31" t="n">
        <v>30</v>
      </c>
      <c r="H31">
        <f>(J31/I31-1)*100</f>
        <v/>
      </c>
      <c r="I31">
        <f>I30</f>
        <v/>
      </c>
      <c r="J31" t="n">
        <v>4.48</v>
      </c>
      <c r="K31" s="49">
        <f>H31&amp;"|"&amp;H31&amp;"|"&amp;H31&amp;"|"&amp;H31&amp;"|"&amp;H31</f>
        <v/>
      </c>
      <c r="L31">
        <f>ROUND( 100+H31,0)</f>
        <v/>
      </c>
      <c r="M31" s="49" t="n"/>
      <c r="N31" s="49" t="n">
        <v>30</v>
      </c>
      <c r="O31">
        <f>(Q31/P31-1)*100</f>
        <v/>
      </c>
      <c r="P31">
        <f>P30</f>
        <v/>
      </c>
      <c r="Q31" t="n">
        <v>4.39</v>
      </c>
      <c r="R31" s="49">
        <f>O31&amp;"|"&amp;O31&amp;"|"&amp;O31</f>
        <v/>
      </c>
      <c r="S31">
        <f>ROUND( 100+O31,0)</f>
        <v/>
      </c>
      <c r="U31" t="n">
        <v>30</v>
      </c>
      <c r="V31">
        <f>(X31/W31-1)*100</f>
        <v/>
      </c>
      <c r="W31">
        <f>W30</f>
        <v/>
      </c>
      <c r="X31" t="n">
        <v>6.51</v>
      </c>
      <c r="Y31" s="49">
        <f>V31&amp;"|"&amp;V31&amp;"|"&amp;V31&amp;"|"&amp;V31&amp;"|"&amp;V31&amp;"|"&amp;V31&amp;"|"&amp;V31&amp;"|"&amp;V31</f>
        <v/>
      </c>
      <c r="Z31">
        <f>ROUND( 100+V31,0)</f>
        <v/>
      </c>
      <c r="AA31">
        <f>1.38*U31-39.38</f>
        <v/>
      </c>
      <c r="AC31" t="n">
        <v>30</v>
      </c>
      <c r="AD31">
        <f>(AF31/AE31-1)*100</f>
        <v/>
      </c>
      <c r="AE31" t="n">
        <v>1</v>
      </c>
      <c r="AF31" t="n">
        <v>5.61</v>
      </c>
      <c r="AH31">
        <f>ROUND( 100+AD31,0)</f>
        <v/>
      </c>
      <c r="AJ31" t="n">
        <v>30</v>
      </c>
      <c r="AL31" t="n">
        <v>3900</v>
      </c>
      <c r="AM31" t="n">
        <v>16.5</v>
      </c>
      <c r="AO31">
        <f>_xlfn.TEXTJOIN("|",TRUE,AL31:AM31)</f>
        <v/>
      </c>
      <c r="AR31" t="n">
        <v>30</v>
      </c>
      <c r="AS31">
        <f>(AU31/AT31-1)*100</f>
        <v/>
      </c>
      <c r="AT31">
        <f>AT30</f>
        <v/>
      </c>
      <c r="AU31" t="n">
        <v>3.9</v>
      </c>
      <c r="AV31">
        <f>ROUND( 100+AS31,0)</f>
        <v/>
      </c>
      <c r="AW31" s="45" t="n"/>
      <c r="AX31" s="45" t="n">
        <v>30</v>
      </c>
      <c r="AY31" s="45">
        <f>(BA31/$AZ$2-1)*100</f>
        <v/>
      </c>
      <c r="AZ31" s="45" t="n"/>
      <c r="BA31" s="45" t="n">
        <v>7.80000000000001</v>
      </c>
      <c r="BB31">
        <f>ROUND( 100+AY31,0)</f>
        <v/>
      </c>
      <c r="BD31" t="n">
        <v>3300</v>
      </c>
      <c r="BE31" s="50" t="inlineStr">
        <is>
          <t>15</t>
        </is>
      </c>
      <c r="BF31">
        <f>BD31&amp;"|"&amp;BE31</f>
        <v/>
      </c>
      <c r="BH31" t="n">
        <v>30</v>
      </c>
      <c r="BI31" s="45">
        <f>(BK31/BJ31-1)*100</f>
        <v/>
      </c>
      <c r="BJ31">
        <f>BJ30</f>
        <v/>
      </c>
      <c r="BK31" t="n">
        <v>6.34</v>
      </c>
      <c r="BL31" s="43">
        <f>_xlfn.TEXTJOIN("|",TRUE,BI31,BI31,BI31,BI31,BI31)</f>
        <v/>
      </c>
      <c r="BM31">
        <f>ROUND( 100+BI31,0)</f>
        <v/>
      </c>
      <c r="BN31" s="50">
        <f>BM31/10</f>
        <v/>
      </c>
      <c r="BO31" s="50">
        <f>1.5*BM31/10</f>
        <v/>
      </c>
      <c r="BP31" s="50">
        <f>2*BM31/10</f>
        <v/>
      </c>
      <c r="BQ31" s="50">
        <f>2.5*BM31/10</f>
        <v/>
      </c>
      <c r="BR31" s="50">
        <f>3*BM31/10</f>
        <v/>
      </c>
      <c r="BT31" t="n">
        <v>30</v>
      </c>
      <c r="BU31">
        <f>(BW31/$BV$2-1)*100</f>
        <v/>
      </c>
      <c r="BW31" t="n">
        <v>6.8</v>
      </c>
      <c r="BX31" s="49">
        <f>CA31&amp;"|"&amp;CB31</f>
        <v/>
      </c>
      <c r="BY31">
        <f>ROUND( 100+BU31,0)</f>
        <v/>
      </c>
      <c r="BZ31">
        <f>2*BU31</f>
        <v/>
      </c>
      <c r="CA31" s="50">
        <f>BZ31/3</f>
        <v/>
      </c>
      <c r="CB31" s="50">
        <f>CA31*2</f>
        <v/>
      </c>
      <c r="CD31" t="n">
        <v>30</v>
      </c>
      <c r="CE31" s="50">
        <f>((CG31/$CF$2-1)*100)</f>
        <v/>
      </c>
      <c r="CG31" t="n">
        <v>3.9</v>
      </c>
      <c r="CH31" s="55">
        <f>CE31</f>
        <v/>
      </c>
      <c r="CI31">
        <f>ROUND( 100+CE31,0)</f>
        <v/>
      </c>
      <c r="CJ31" s="15" t="n"/>
      <c r="CK31" s="15" t="n">
        <v>30</v>
      </c>
      <c r="CL31" s="15">
        <f>(CN31/$CF$2-1)*100</f>
        <v/>
      </c>
      <c r="CM31" s="15" t="n"/>
      <c r="CN31" s="15">
        <f>0.08*CK31+3.92</f>
        <v/>
      </c>
      <c r="CO31" s="55">
        <f>CL31</f>
        <v/>
      </c>
      <c r="CP31" t="n">
        <v>195</v>
      </c>
      <c r="CQ31" t="n">
        <v>70</v>
      </c>
      <c r="CR31">
        <f>CP31&amp;"|"&amp;CQ31</f>
        <v/>
      </c>
      <c r="CT31" s="26" t="n"/>
      <c r="CV31" s="50" t="n">
        <v>54</v>
      </c>
      <c r="CW31" t="n">
        <v>30</v>
      </c>
      <c r="CX31">
        <f>DA31&amp;"|"&amp;DA31&amp;"|"&amp;DA31&amp;"|"&amp;DA31&amp;"|"&amp;DA31</f>
        <v/>
      </c>
      <c r="CY31" t="n">
        <v>3.4</v>
      </c>
      <c r="CZ31">
        <f>CZ30</f>
        <v/>
      </c>
      <c r="DA31">
        <f>(CY31/CZ31-1)*100</f>
        <v/>
      </c>
      <c r="DB31" s="50">
        <f>ROUND( 100+DA31,0)</f>
        <v/>
      </c>
      <c r="DC31" t="n">
        <v>27.4</v>
      </c>
      <c r="DD31">
        <f>_xlfn.TEXTJOIN("|",TRUE,DB31:DC31)</f>
        <v/>
      </c>
      <c r="DF31" t="n">
        <v>30</v>
      </c>
      <c r="DG31" t="n">
        <v>690</v>
      </c>
      <c r="DI31" s="50" t="n">
        <v>-71</v>
      </c>
      <c r="DJ31" s="50" t="n">
        <v>-69</v>
      </c>
      <c r="DK31" s="45" t="n"/>
      <c r="DL31" s="45" t="n">
        <v>30</v>
      </c>
      <c r="DM31">
        <f>(DO31/$DN$2-1)*100</f>
        <v/>
      </c>
      <c r="DN31" s="45" t="n"/>
      <c r="DO31" s="45" t="n">
        <v>5.55</v>
      </c>
      <c r="DP31" s="52" t="n">
        <v>-70</v>
      </c>
      <c r="DQ31" s="50">
        <f>ROUND( 100+DM31,0)</f>
        <v/>
      </c>
      <c r="DR31" s="50">
        <f>ROUND( 100+DP31,0)</f>
        <v/>
      </c>
      <c r="DS31">
        <f>_xlfn.TEXTJOIN("|",TRUE,DQ31:DR31)</f>
        <v/>
      </c>
      <c r="DU31" t="n">
        <v>30</v>
      </c>
      <c r="DV31" s="45">
        <f>(DX31/DW31-1)*100</f>
        <v/>
      </c>
      <c r="DW31">
        <f>DW30</f>
        <v/>
      </c>
      <c r="DX31" t="n">
        <v>4.68</v>
      </c>
      <c r="DZ31">
        <f>ROUND( 100+DV31,0)</f>
        <v/>
      </c>
      <c r="EB31" t="n">
        <v>30</v>
      </c>
      <c r="EC31" s="50">
        <f>(EE31/$ED$2-1)*100</f>
        <v/>
      </c>
      <c r="ED31">
        <f>ED30</f>
        <v/>
      </c>
      <c r="EE31" t="n">
        <v>4.77</v>
      </c>
      <c r="EF31" s="43">
        <f>_xlfn.TEXTJOIN("|",TRUE,EC31,EC31,EC31,EC31,EC31,EC31)</f>
        <v/>
      </c>
      <c r="EG31" s="50">
        <f>ROUND( 100+EC31,0)</f>
        <v/>
      </c>
      <c r="EH31" s="43" t="n"/>
      <c r="EJ31" t="n">
        <v>30</v>
      </c>
      <c r="EK31" s="50">
        <f>(EM31/EL31-1)*100</f>
        <v/>
      </c>
      <c r="EL31">
        <f>EL30</f>
        <v/>
      </c>
      <c r="EM31" t="n">
        <v>3.9</v>
      </c>
      <c r="EN31" s="43">
        <f>EK31&amp;"|"&amp;EK31&amp;"|"&amp;EK31&amp;"|"&amp;EK31&amp;"|"&amp;EK31&amp;"|"&amp;EK31</f>
        <v/>
      </c>
      <c r="EO31" s="50">
        <f>ROUND( 100+EK31,0)</f>
        <v/>
      </c>
      <c r="EP31" s="50" t="n"/>
      <c r="EQ31" s="50" t="n"/>
      <c r="ER31" s="50">
        <f>(ET31/ES31-1)*100</f>
        <v/>
      </c>
      <c r="ES31" s="50">
        <f>ES30</f>
        <v/>
      </c>
      <c r="ET31" t="n">
        <v>5.85</v>
      </c>
      <c r="EU31" s="50" t="n"/>
      <c r="EV31" s="50">
        <f>ROUND( 100+ER31,0)</f>
        <v/>
      </c>
      <c r="EW31" s="50">
        <f>(EX31/EY31-1)*100</f>
        <v/>
      </c>
      <c r="EX31" t="n">
        <v>5.07</v>
      </c>
      <c r="EY31">
        <f>EY30</f>
        <v/>
      </c>
      <c r="EZ31" t="n">
        <v>132.6</v>
      </c>
      <c r="FA31" t="n">
        <v>3.798</v>
      </c>
      <c r="FB31" s="50">
        <f>ROUND( 100+EW31,0)</f>
        <v/>
      </c>
      <c r="FC31">
        <f>EW31&amp;"|"&amp;EZ31&amp;"|"&amp;FA31</f>
        <v/>
      </c>
      <c r="FE31" t="n">
        <v>30</v>
      </c>
      <c r="FF31" s="50">
        <f>(FH31/FG31-1)*100</f>
        <v/>
      </c>
      <c r="FG31">
        <f>FG30</f>
        <v/>
      </c>
      <c r="FH31">
        <f>2*(1+FE30*0.1)</f>
        <v/>
      </c>
      <c r="FJ31" t="n">
        <v>30</v>
      </c>
      <c r="FK31" s="50">
        <f>(FN31/FM31-1)*100</f>
        <v/>
      </c>
      <c r="FL31" s="50">
        <f>FL30</f>
        <v/>
      </c>
      <c r="FM31">
        <f>FM30</f>
        <v/>
      </c>
      <c r="FN31">
        <f>2*(1+FJ30*0.1)</f>
        <v/>
      </c>
      <c r="FP31" t="n">
        <v>30</v>
      </c>
      <c r="FQ31" s="50">
        <f>ROUND((FS31/FR31-1)*100,0)</f>
        <v/>
      </c>
      <c r="FR31">
        <f>FR30</f>
        <v/>
      </c>
      <c r="FS31">
        <f>2*(1+FP30*0.1)</f>
        <v/>
      </c>
      <c r="FT31">
        <f>_xlfn.TEXTJOIN("|",TRUE,FQ31,FQ31,FQ31)</f>
        <v/>
      </c>
    </row>
    <row r="32">
      <c r="G32" t="n">
        <v>31</v>
      </c>
      <c r="H32">
        <f>(J32/I32-1)*100</f>
        <v/>
      </c>
      <c r="I32">
        <f>I31</f>
        <v/>
      </c>
      <c r="J32" t="n">
        <v>4.6</v>
      </c>
      <c r="K32" s="49">
        <f>H32&amp;"|"&amp;H32&amp;"|"&amp;H32&amp;"|"&amp;H32&amp;"|"&amp;H32</f>
        <v/>
      </c>
      <c r="L32">
        <f>ROUND( 100+H32,0)</f>
        <v/>
      </c>
      <c r="M32" s="49" t="n"/>
      <c r="N32" s="49" t="n">
        <v>31</v>
      </c>
      <c r="O32">
        <f>(Q32/P32-1)*100</f>
        <v/>
      </c>
      <c r="P32">
        <f>P31</f>
        <v/>
      </c>
      <c r="Q32" t="n">
        <v>4.5</v>
      </c>
      <c r="R32" s="49">
        <f>O32&amp;"|"&amp;O32&amp;"|"&amp;O32</f>
        <v/>
      </c>
      <c r="S32">
        <f>ROUND( 100+O32,0)</f>
        <v/>
      </c>
      <c r="U32" t="n">
        <v>31</v>
      </c>
      <c r="V32">
        <f>(X32/W32-1)*100</f>
        <v/>
      </c>
      <c r="W32">
        <f>W31</f>
        <v/>
      </c>
      <c r="X32" t="n">
        <v>6.7</v>
      </c>
      <c r="Y32" s="49">
        <f>V32&amp;"|"&amp;V32&amp;"|"&amp;V32&amp;"|"&amp;V32&amp;"|"&amp;V32&amp;"|"&amp;V32&amp;"|"&amp;V32&amp;"|"&amp;V32</f>
        <v/>
      </c>
      <c r="Z32">
        <f>ROUND( 100+V32,0)</f>
        <v/>
      </c>
      <c r="AA32">
        <f>1.38*U32-39.38</f>
        <v/>
      </c>
      <c r="AC32" t="n">
        <v>31</v>
      </c>
      <c r="AD32">
        <f>(AF32/AE32-1)*100</f>
        <v/>
      </c>
      <c r="AE32" t="n">
        <v>1</v>
      </c>
      <c r="AF32" t="n">
        <v>5.75</v>
      </c>
      <c r="AH32">
        <f>ROUND( 100+AD32,0)</f>
        <v/>
      </c>
      <c r="AJ32" t="n">
        <v>31</v>
      </c>
      <c r="AL32" t="n">
        <v>4000</v>
      </c>
      <c r="AM32" t="n">
        <v>17</v>
      </c>
      <c r="AO32">
        <f>_xlfn.TEXTJOIN("|",TRUE,AL32:AM32)</f>
        <v/>
      </c>
      <c r="AR32" t="n">
        <v>31</v>
      </c>
      <c r="AS32">
        <f>(AU32/AT32-1)*100</f>
        <v/>
      </c>
      <c r="AT32">
        <f>AT31</f>
        <v/>
      </c>
      <c r="AU32" t="n">
        <v>4</v>
      </c>
      <c r="AV32">
        <f>ROUND( 100+AS32,0)</f>
        <v/>
      </c>
      <c r="AW32" s="45" t="n"/>
      <c r="AX32" s="45" t="n">
        <v>31</v>
      </c>
      <c r="AY32" s="45">
        <f>(BA32/$AZ$2-1)*100</f>
        <v/>
      </c>
      <c r="AZ32" s="45" t="n"/>
      <c r="BA32" s="45" t="n">
        <v>8.000000000000011</v>
      </c>
      <c r="BB32">
        <f>ROUND( 100+AY32,0)</f>
        <v/>
      </c>
      <c r="BD32" t="n">
        <v>3400</v>
      </c>
      <c r="BE32" s="50" t="inlineStr">
        <is>
          <t>16</t>
        </is>
      </c>
      <c r="BF32">
        <f>BD32&amp;"|"&amp;BE32</f>
        <v/>
      </c>
      <c r="BH32" t="n">
        <v>31</v>
      </c>
      <c r="BI32" s="45">
        <f>(BK32/BJ32-1)*100</f>
        <v/>
      </c>
      <c r="BJ32">
        <f>BJ31</f>
        <v/>
      </c>
      <c r="BK32" t="n">
        <v>6.5</v>
      </c>
      <c r="BL32" s="43">
        <f>_xlfn.TEXTJOIN("|",TRUE,BI32,BI32,BI32,BI32,BI32)</f>
        <v/>
      </c>
      <c r="BM32">
        <f>ROUND( 100+BI32,0)</f>
        <v/>
      </c>
      <c r="BN32" s="50">
        <f>BM32/10</f>
        <v/>
      </c>
      <c r="BO32" s="50">
        <f>1.5*BM32/10</f>
        <v/>
      </c>
      <c r="BP32" s="50">
        <f>2*BM32/10</f>
        <v/>
      </c>
      <c r="BQ32" s="50">
        <f>2.5*BM32/10</f>
        <v/>
      </c>
      <c r="BR32" s="50">
        <f>3*BM32/10</f>
        <v/>
      </c>
      <c r="BT32" t="n">
        <v>31</v>
      </c>
      <c r="BU32">
        <f>(BW32/$BV$2-1)*100</f>
        <v/>
      </c>
      <c r="BW32" t="n">
        <v>7</v>
      </c>
      <c r="BX32" s="49">
        <f>CA32&amp;"|"&amp;CB32</f>
        <v/>
      </c>
      <c r="BY32">
        <f>ROUND( 100+BU32,0)</f>
        <v/>
      </c>
      <c r="BZ32">
        <f>2*BU32</f>
        <v/>
      </c>
      <c r="CA32" s="50">
        <f>BZ32/3</f>
        <v/>
      </c>
      <c r="CB32" s="50">
        <f>CA32*2</f>
        <v/>
      </c>
      <c r="CD32" t="n">
        <v>31</v>
      </c>
      <c r="CE32" s="50">
        <f>((CG32/$CF$2-1)*100)</f>
        <v/>
      </c>
      <c r="CG32" t="n">
        <v>4</v>
      </c>
      <c r="CH32" s="55">
        <f>CE32</f>
        <v/>
      </c>
      <c r="CI32">
        <f>ROUND( 100+CE32,0)</f>
        <v/>
      </c>
      <c r="CJ32" s="15" t="n"/>
      <c r="CK32" s="15" t="n">
        <v>31</v>
      </c>
      <c r="CL32" s="15">
        <f>(CN32/$CF$2-1)*100</f>
        <v/>
      </c>
      <c r="CM32" s="15" t="n"/>
      <c r="CN32" s="15">
        <f>0.08*CK32+3.92</f>
        <v/>
      </c>
      <c r="CO32" s="55">
        <f>CL32</f>
        <v/>
      </c>
      <c r="CP32" t="n">
        <v>200</v>
      </c>
      <c r="CQ32" t="n">
        <v>69</v>
      </c>
      <c r="CR32">
        <f>CP32&amp;"|"&amp;CQ32</f>
        <v/>
      </c>
      <c r="CT32" s="26" t="n"/>
      <c r="CV32" s="50" t="n">
        <v>55</v>
      </c>
      <c r="CW32" t="n">
        <v>31</v>
      </c>
      <c r="CX32">
        <f>DA32&amp;"|"&amp;DA32&amp;"|"&amp;DA32&amp;"|"&amp;DA32&amp;"|"&amp;DA32</f>
        <v/>
      </c>
      <c r="CY32" t="n">
        <v>3.5</v>
      </c>
      <c r="CZ32">
        <f>CZ31</f>
        <v/>
      </c>
      <c r="DA32">
        <f>(CY32/CZ32-1)*100</f>
        <v/>
      </c>
      <c r="DB32" s="50">
        <f>ROUND( 100+DA32,0)</f>
        <v/>
      </c>
      <c r="DC32" t="n">
        <v>28</v>
      </c>
      <c r="DD32">
        <f>_xlfn.TEXTJOIN("|",TRUE,DB32:DC32)</f>
        <v/>
      </c>
      <c r="DF32" t="n">
        <v>31</v>
      </c>
      <c r="DG32" t="n">
        <v>700</v>
      </c>
      <c r="DI32" s="50" t="n">
        <v>-69</v>
      </c>
      <c r="DJ32" s="50" t="n">
        <v>-66</v>
      </c>
      <c r="DK32" s="45" t="n"/>
      <c r="DL32" s="45" t="n">
        <v>31</v>
      </c>
      <c r="DM32">
        <f>(DO32/$DN$2-1)*100</f>
        <v/>
      </c>
      <c r="DN32" s="45" t="n"/>
      <c r="DO32" s="45" t="n">
        <v>5.7</v>
      </c>
      <c r="DP32" s="52" t="n">
        <v>-69</v>
      </c>
      <c r="DQ32" s="50">
        <f>ROUND( 100+DM32,0)</f>
        <v/>
      </c>
      <c r="DR32" s="50">
        <f>ROUND( 100+DP32,0)</f>
        <v/>
      </c>
      <c r="DS32">
        <f>_xlfn.TEXTJOIN("|",TRUE,DQ32:DR32)</f>
        <v/>
      </c>
      <c r="DU32" t="n">
        <v>31</v>
      </c>
      <c r="DV32" s="45">
        <f>(DX32/DW32-1)*100</f>
        <v/>
      </c>
      <c r="DW32">
        <f>DW31</f>
        <v/>
      </c>
      <c r="DX32" t="n">
        <v>4.8</v>
      </c>
      <c r="DZ32">
        <f>ROUND( 100+DV32,0)</f>
        <v/>
      </c>
      <c r="EB32" t="n">
        <v>31</v>
      </c>
      <c r="EC32" s="50">
        <f>(EE32/$ED$2-1)*100</f>
        <v/>
      </c>
      <c r="ED32">
        <f>ED31</f>
        <v/>
      </c>
      <c r="EE32" t="n">
        <v>4.9</v>
      </c>
      <c r="EF32" s="43">
        <f>_xlfn.TEXTJOIN("|",TRUE,EC32,EC32,EC32,EC32,EC32,EC32)</f>
        <v/>
      </c>
      <c r="EG32" s="50">
        <f>ROUND( 100+EC32,0)</f>
        <v/>
      </c>
      <c r="EH32" s="43" t="n"/>
      <c r="EJ32" t="n">
        <v>31</v>
      </c>
      <c r="EK32" s="50">
        <f>(EM32/EL32-1)*100</f>
        <v/>
      </c>
      <c r="EL32">
        <f>EL31</f>
        <v/>
      </c>
      <c r="EM32" t="n">
        <v>4</v>
      </c>
      <c r="EN32" s="43">
        <f>EK32&amp;"|"&amp;EK32&amp;"|"&amp;EK32&amp;"|"&amp;EK32&amp;"|"&amp;EK32&amp;"|"&amp;EK32</f>
        <v/>
      </c>
      <c r="EO32" s="50">
        <f>ROUND( 100+EK32,0)</f>
        <v/>
      </c>
      <c r="EP32" s="50" t="n"/>
      <c r="EQ32" s="50" t="n"/>
      <c r="ER32" s="50">
        <f>(ET32/ES32-1)*100</f>
        <v/>
      </c>
      <c r="ES32" s="50">
        <f>ES31</f>
        <v/>
      </c>
      <c r="ET32" t="n">
        <v>6</v>
      </c>
      <c r="EU32" s="50" t="n"/>
      <c r="EV32" s="50">
        <f>ROUND( 100+ER32,0)</f>
        <v/>
      </c>
      <c r="EW32" s="50">
        <f>(EX32/EY32-1)*100</f>
        <v/>
      </c>
      <c r="EX32" t="n">
        <v>5.2</v>
      </c>
      <c r="EY32">
        <f>EY31</f>
        <v/>
      </c>
      <c r="EZ32" t="n">
        <v>136</v>
      </c>
      <c r="FA32" t="n">
        <v>3.85999999999999</v>
      </c>
      <c r="FB32" s="50">
        <f>ROUND( 100+EW32,0)</f>
        <v/>
      </c>
      <c r="FC32">
        <f>EW32&amp;"|"&amp;EZ32&amp;"|"&amp;FA32</f>
        <v/>
      </c>
      <c r="FE32" t="n">
        <v>31</v>
      </c>
      <c r="FF32" s="50">
        <f>(FH32/FG32-1)*100</f>
        <v/>
      </c>
      <c r="FG32">
        <f>FG31</f>
        <v/>
      </c>
      <c r="FH32">
        <f>2*(1+FE31*0.1)</f>
        <v/>
      </c>
      <c r="FJ32" t="n">
        <v>31</v>
      </c>
      <c r="FK32" s="50">
        <f>(FN32/FM32-1)*100</f>
        <v/>
      </c>
      <c r="FL32" s="50">
        <f>FL31</f>
        <v/>
      </c>
      <c r="FM32">
        <f>FM31</f>
        <v/>
      </c>
      <c r="FN32">
        <f>2*(1+FJ31*0.1)</f>
        <v/>
      </c>
      <c r="FP32" t="n">
        <v>31</v>
      </c>
      <c r="FQ32" s="50">
        <f>ROUND((FS32/FR32-1)*100,0)</f>
        <v/>
      </c>
      <c r="FR32">
        <f>FR31</f>
        <v/>
      </c>
      <c r="FS32">
        <f>2*(1+FP31*0.1)</f>
        <v/>
      </c>
      <c r="FT32">
        <f>_xlfn.TEXTJOIN("|",TRUE,FQ32,FQ32,FQ32)</f>
        <v/>
      </c>
    </row>
    <row r="33">
      <c r="G33" t="n">
        <v>32</v>
      </c>
      <c r="H33">
        <f>(J33/I33-1)*100</f>
        <v/>
      </c>
      <c r="I33">
        <f>I32</f>
        <v/>
      </c>
      <c r="J33" t="n">
        <v>4.72</v>
      </c>
      <c r="K33" s="49">
        <f>H33&amp;"|"&amp;H33&amp;"|"&amp;H33&amp;"|"&amp;H33&amp;"|"&amp;H33</f>
        <v/>
      </c>
      <c r="L33">
        <f>ROUND( 100+H33,0)</f>
        <v/>
      </c>
      <c r="M33" s="49" t="n"/>
      <c r="N33" s="49" t="n">
        <v>32</v>
      </c>
      <c r="O33">
        <f>(Q33/P33-1)*100</f>
        <v/>
      </c>
      <c r="P33">
        <f>P32</f>
        <v/>
      </c>
      <c r="Q33" t="n">
        <v>4.61</v>
      </c>
      <c r="R33" s="49">
        <f>O33&amp;"|"&amp;O33&amp;"|"&amp;O33</f>
        <v/>
      </c>
      <c r="S33">
        <f>ROUND( 100+O33,0)</f>
        <v/>
      </c>
      <c r="U33" t="n">
        <v>32</v>
      </c>
      <c r="V33">
        <f>(X33/W33-1)*100</f>
        <v/>
      </c>
      <c r="W33">
        <f>W32</f>
        <v/>
      </c>
      <c r="X33" t="n">
        <v>6.89</v>
      </c>
      <c r="Y33" s="49">
        <f>V33&amp;"|"&amp;V33&amp;"|"&amp;V33&amp;"|"&amp;V33&amp;"|"&amp;V33&amp;"|"&amp;V33&amp;"|"&amp;V33&amp;"|"&amp;V33</f>
        <v/>
      </c>
      <c r="Z33">
        <f>ROUND( 100+V33,0)</f>
        <v/>
      </c>
      <c r="AA33">
        <f>1.38*U33-39.38</f>
        <v/>
      </c>
      <c r="AC33" t="n">
        <v>32</v>
      </c>
      <c r="AD33">
        <f>(AF33/AE33-1)*100</f>
        <v/>
      </c>
      <c r="AE33" t="n">
        <v>1</v>
      </c>
      <c r="AF33" t="n">
        <v>5.89</v>
      </c>
      <c r="AH33">
        <f>ROUND( 100+AD33,0)</f>
        <v/>
      </c>
      <c r="AJ33" t="n">
        <v>32</v>
      </c>
      <c r="AL33" t="n">
        <v>4100</v>
      </c>
      <c r="AM33" t="n">
        <v>17.5</v>
      </c>
      <c r="AO33">
        <f>_xlfn.TEXTJOIN("|",TRUE,AL33:AM33)</f>
        <v/>
      </c>
      <c r="AR33" t="n">
        <v>32</v>
      </c>
      <c r="AS33">
        <f>(AU33/AT33-1)*100</f>
        <v/>
      </c>
      <c r="AT33">
        <f>AT32</f>
        <v/>
      </c>
      <c r="AU33" t="n">
        <v>4.1</v>
      </c>
      <c r="AV33">
        <f>ROUND( 100+AS33,0)</f>
        <v/>
      </c>
      <c r="AW33" s="45" t="n"/>
      <c r="AX33" s="45" t="n">
        <v>32</v>
      </c>
      <c r="AY33" s="45">
        <f>(BA33/$AZ$2-1)*100</f>
        <v/>
      </c>
      <c r="AZ33" s="45" t="n"/>
      <c r="BA33" s="45" t="n">
        <v>8.20000000000001</v>
      </c>
      <c r="BB33">
        <f>ROUND( 100+AY33,0)</f>
        <v/>
      </c>
      <c r="BD33" t="n">
        <v>3500</v>
      </c>
      <c r="BE33" s="50" t="inlineStr">
        <is>
          <t>16</t>
        </is>
      </c>
      <c r="BF33">
        <f>BD33&amp;"|"&amp;BE33</f>
        <v/>
      </c>
      <c r="BH33" t="n">
        <v>32</v>
      </c>
      <c r="BI33" s="45">
        <f>(BK33/BJ33-1)*100</f>
        <v/>
      </c>
      <c r="BJ33">
        <f>BJ32</f>
        <v/>
      </c>
      <c r="BK33" t="n">
        <v>6.66</v>
      </c>
      <c r="BL33" s="43">
        <f>_xlfn.TEXTJOIN("|",TRUE,BI33,BI33,BI33,BI33,BI33)</f>
        <v/>
      </c>
      <c r="BM33">
        <f>ROUND( 100+BI33,0)</f>
        <v/>
      </c>
      <c r="BN33" s="50">
        <f>BM33/10</f>
        <v/>
      </c>
      <c r="BO33" s="50">
        <f>1.5*BM33/10</f>
        <v/>
      </c>
      <c r="BP33" s="50">
        <f>2*BM33/10</f>
        <v/>
      </c>
      <c r="BQ33" s="50">
        <f>2.5*BM33/10</f>
        <v/>
      </c>
      <c r="BR33" s="50">
        <f>3*BM33/10</f>
        <v/>
      </c>
      <c r="BT33" t="n">
        <v>32</v>
      </c>
      <c r="BU33">
        <f>(BW33/$BV$2-1)*100</f>
        <v/>
      </c>
      <c r="BW33" t="n">
        <v>7.2</v>
      </c>
      <c r="BX33" s="49">
        <f>CA33&amp;"|"&amp;CB33</f>
        <v/>
      </c>
      <c r="BY33">
        <f>ROUND( 100+BU33,0)</f>
        <v/>
      </c>
      <c r="BZ33">
        <f>2*BU33</f>
        <v/>
      </c>
      <c r="CA33" s="50">
        <f>BZ33/3</f>
        <v/>
      </c>
      <c r="CB33" s="50">
        <f>CA33*2</f>
        <v/>
      </c>
      <c r="CD33" t="n">
        <v>32</v>
      </c>
      <c r="CE33" s="50">
        <f>((CG33/$CF$2-1)*100)</f>
        <v/>
      </c>
      <c r="CG33" t="n">
        <v>4.1</v>
      </c>
      <c r="CH33" s="55">
        <f>CE33</f>
        <v/>
      </c>
      <c r="CI33">
        <f>ROUND( 100+CE33,0)</f>
        <v/>
      </c>
      <c r="CJ33" s="15" t="n"/>
      <c r="CK33" s="15" t="n">
        <v>32</v>
      </c>
      <c r="CL33" s="15">
        <f>(CN33/$CF$2-1)*100</f>
        <v/>
      </c>
      <c r="CM33" s="15" t="n"/>
      <c r="CN33" s="15">
        <f>0.08*CK33+3.92</f>
        <v/>
      </c>
      <c r="CO33" s="55">
        <f>CL33</f>
        <v/>
      </c>
      <c r="CP33" t="n">
        <v>205</v>
      </c>
      <c r="CQ33" t="n">
        <v>68</v>
      </c>
      <c r="CR33">
        <f>CP33&amp;"|"&amp;CQ33</f>
        <v/>
      </c>
      <c r="CT33" s="26" t="n"/>
      <c r="CV33" s="50" t="n">
        <v>57</v>
      </c>
      <c r="CW33" t="n">
        <v>32</v>
      </c>
      <c r="CX33">
        <f>DA33&amp;"|"&amp;DA33&amp;"|"&amp;DA33&amp;"|"&amp;DA33&amp;"|"&amp;DA33</f>
        <v/>
      </c>
      <c r="CY33" t="n">
        <v>3.6</v>
      </c>
      <c r="CZ33">
        <f>CZ32</f>
        <v/>
      </c>
      <c r="DA33">
        <f>(CY33/CZ33-1)*100</f>
        <v/>
      </c>
      <c r="DB33" s="50">
        <f>ROUND( 100+DA33,0)</f>
        <v/>
      </c>
      <c r="DC33" t="n">
        <v>28.6</v>
      </c>
      <c r="DD33">
        <f>_xlfn.TEXTJOIN("|",TRUE,DB33:DC33)</f>
        <v/>
      </c>
      <c r="DF33" t="n">
        <v>32</v>
      </c>
      <c r="DG33" t="n">
        <v>710</v>
      </c>
      <c r="DI33" s="50" t="n">
        <v>-69</v>
      </c>
      <c r="DJ33" s="50" t="n">
        <v>-66</v>
      </c>
      <c r="DK33" s="45" t="n"/>
      <c r="DL33" s="45" t="n">
        <v>32</v>
      </c>
      <c r="DM33">
        <f>(DO33/$DN$2-1)*100</f>
        <v/>
      </c>
      <c r="DN33" s="45" t="n"/>
      <c r="DO33" s="45" t="n">
        <v>5.85</v>
      </c>
      <c r="DP33" s="52" t="n">
        <v>-68</v>
      </c>
      <c r="DQ33" s="50">
        <f>ROUND( 100+DM33,0)</f>
        <v/>
      </c>
      <c r="DR33" s="50">
        <f>ROUND( 100+DP33,0)</f>
        <v/>
      </c>
      <c r="DS33">
        <f>_xlfn.TEXTJOIN("|",TRUE,DQ33:DR33)</f>
        <v/>
      </c>
      <c r="DU33" t="n">
        <v>32</v>
      </c>
      <c r="DV33" s="45">
        <f>(DX33/DW33-1)*100</f>
        <v/>
      </c>
      <c r="DW33">
        <f>DW32</f>
        <v/>
      </c>
      <c r="DX33" t="n">
        <v>4.92</v>
      </c>
      <c r="DZ33">
        <f>ROUND( 100+DV33,0)</f>
        <v/>
      </c>
      <c r="EB33" t="n">
        <v>32</v>
      </c>
      <c r="EC33" s="50">
        <f>(EE33/$ED$2-1)*100</f>
        <v/>
      </c>
      <c r="ED33">
        <f>ED32</f>
        <v/>
      </c>
      <c r="EE33" t="n">
        <v>5.03</v>
      </c>
      <c r="EF33" s="43">
        <f>_xlfn.TEXTJOIN("|",TRUE,EC33,EC33,EC33,EC33,EC33,EC33)</f>
        <v/>
      </c>
      <c r="EG33" s="50">
        <f>ROUND( 100+EC33,0)</f>
        <v/>
      </c>
      <c r="EH33" s="43" t="n"/>
      <c r="EJ33" t="n">
        <v>32</v>
      </c>
      <c r="EK33" s="50">
        <f>(EM33/EL33-1)*100</f>
        <v/>
      </c>
      <c r="EL33">
        <f>EL32</f>
        <v/>
      </c>
      <c r="EM33" t="n">
        <v>4.1</v>
      </c>
      <c r="EN33" s="43">
        <f>EK33&amp;"|"&amp;EK33&amp;"|"&amp;EK33&amp;"|"&amp;EK33&amp;"|"&amp;EK33&amp;"|"&amp;EK33</f>
        <v/>
      </c>
      <c r="EO33" s="50">
        <f>ROUND( 100+EK33,0)</f>
        <v/>
      </c>
      <c r="EP33" s="50" t="n"/>
      <c r="EQ33" s="50" t="n"/>
      <c r="ER33" s="50">
        <f>(ET33/ES33-1)*100</f>
        <v/>
      </c>
      <c r="ES33" s="50">
        <f>ES32</f>
        <v/>
      </c>
      <c r="ET33" t="n">
        <v>6.15</v>
      </c>
      <c r="EU33" s="50" t="n"/>
      <c r="EV33" s="50">
        <f>ROUND( 100+ER33,0)</f>
        <v/>
      </c>
      <c r="EW33" s="50">
        <f>(EX33/EY33-1)*100</f>
        <v/>
      </c>
      <c r="EX33" t="n">
        <v>5.33</v>
      </c>
      <c r="EY33">
        <f>EY32</f>
        <v/>
      </c>
      <c r="EZ33" t="n">
        <v>139.4</v>
      </c>
      <c r="FA33" t="n">
        <v>3.92199999999999</v>
      </c>
      <c r="FB33" s="50">
        <f>ROUND( 100+EW33,0)</f>
        <v/>
      </c>
      <c r="FC33">
        <f>EW33&amp;"|"&amp;EZ33&amp;"|"&amp;FA33</f>
        <v/>
      </c>
      <c r="FE33" t="n">
        <v>32</v>
      </c>
      <c r="FF33" s="50">
        <f>(FH33/FG33-1)*100</f>
        <v/>
      </c>
      <c r="FG33">
        <f>FG32</f>
        <v/>
      </c>
      <c r="FH33">
        <f>2*(1+FE32*0.1)</f>
        <v/>
      </c>
      <c r="FJ33" t="n">
        <v>32</v>
      </c>
      <c r="FK33" s="50">
        <f>(FN33/FM33-1)*100</f>
        <v/>
      </c>
      <c r="FL33" s="50">
        <f>FL32</f>
        <v/>
      </c>
      <c r="FM33">
        <f>FM32</f>
        <v/>
      </c>
      <c r="FN33">
        <f>2*(1+FJ32*0.1)</f>
        <v/>
      </c>
      <c r="FP33" t="n">
        <v>32</v>
      </c>
      <c r="FQ33" s="50">
        <f>ROUND((FS33/FR33-1)*100,0)</f>
        <v/>
      </c>
      <c r="FR33">
        <f>FR32</f>
        <v/>
      </c>
      <c r="FS33">
        <f>2*(1+FP32*0.1)</f>
        <v/>
      </c>
      <c r="FT33">
        <f>_xlfn.TEXTJOIN("|",TRUE,FQ33,FQ33,FQ33)</f>
        <v/>
      </c>
    </row>
    <row r="34">
      <c r="G34" t="n">
        <v>33</v>
      </c>
      <c r="H34">
        <f>(J34/I34-1)*100</f>
        <v/>
      </c>
      <c r="I34">
        <f>I33</f>
        <v/>
      </c>
      <c r="J34" t="n">
        <v>4.84</v>
      </c>
      <c r="K34" s="49">
        <f>H34&amp;"|"&amp;H34&amp;"|"&amp;H34&amp;"|"&amp;H34&amp;"|"&amp;H34</f>
        <v/>
      </c>
      <c r="L34">
        <f>ROUND( 100+H34,0)</f>
        <v/>
      </c>
      <c r="M34" s="49" t="n"/>
      <c r="N34" s="49" t="n">
        <v>33</v>
      </c>
      <c r="O34">
        <f>(Q34/P34-1)*100</f>
        <v/>
      </c>
      <c r="P34">
        <f>P33</f>
        <v/>
      </c>
      <c r="Q34" t="n">
        <v>4.72</v>
      </c>
      <c r="R34" s="49">
        <f>O34&amp;"|"&amp;O34&amp;"|"&amp;O34</f>
        <v/>
      </c>
      <c r="S34">
        <f>ROUND( 100+O34,0)</f>
        <v/>
      </c>
      <c r="U34" t="n">
        <v>33</v>
      </c>
      <c r="V34">
        <f>(X34/W34-1)*100</f>
        <v/>
      </c>
      <c r="W34">
        <f>W33</f>
        <v/>
      </c>
      <c r="X34" t="n">
        <v>7.08</v>
      </c>
      <c r="Y34" s="49">
        <f>V34&amp;"|"&amp;V34&amp;"|"&amp;V34&amp;"|"&amp;V34&amp;"|"&amp;V34&amp;"|"&amp;V34&amp;"|"&amp;V34&amp;"|"&amp;V34</f>
        <v/>
      </c>
      <c r="Z34">
        <f>ROUND( 100+V34,0)</f>
        <v/>
      </c>
      <c r="AA34">
        <f>1.38*U34-39.38</f>
        <v/>
      </c>
      <c r="AC34" t="n">
        <v>33</v>
      </c>
      <c r="AD34">
        <f>(AF34/AE34-1)*100</f>
        <v/>
      </c>
      <c r="AE34" t="n">
        <v>1</v>
      </c>
      <c r="AF34" t="n">
        <v>6.03</v>
      </c>
      <c r="AH34">
        <f>ROUND( 100+AD34,0)</f>
        <v/>
      </c>
      <c r="AJ34" t="n">
        <v>33</v>
      </c>
      <c r="AL34" t="n">
        <v>4200</v>
      </c>
      <c r="AM34" t="n">
        <v>18</v>
      </c>
      <c r="AO34">
        <f>_xlfn.TEXTJOIN("|",TRUE,AL34:AM34)</f>
        <v/>
      </c>
      <c r="AR34" t="n">
        <v>33</v>
      </c>
      <c r="AS34">
        <f>(AU34/AT34-1)*100</f>
        <v/>
      </c>
      <c r="AT34">
        <f>AT33</f>
        <v/>
      </c>
      <c r="AU34" t="n">
        <v>4.2</v>
      </c>
      <c r="AV34">
        <f>ROUND( 100+AS34,0)</f>
        <v/>
      </c>
      <c r="AW34" s="45" t="n"/>
      <c r="AX34" s="45" t="n">
        <v>33</v>
      </c>
      <c r="AY34" s="45">
        <f>(BA34/$AZ$2-1)*100</f>
        <v/>
      </c>
      <c r="AZ34" s="45" t="n"/>
      <c r="BA34" s="45" t="n">
        <v>8.400000000000009</v>
      </c>
      <c r="BB34">
        <f>ROUND( 100+AY34,0)</f>
        <v/>
      </c>
      <c r="BD34" t="n">
        <v>3600</v>
      </c>
      <c r="BE34" s="50" t="inlineStr">
        <is>
          <t>16</t>
        </is>
      </c>
      <c r="BF34">
        <f>BD34&amp;"|"&amp;BE34</f>
        <v/>
      </c>
      <c r="BH34" t="n">
        <v>33</v>
      </c>
      <c r="BI34" s="45">
        <f>(BK34/BJ34-1)*100</f>
        <v/>
      </c>
      <c r="BJ34">
        <f>BJ33</f>
        <v/>
      </c>
      <c r="BK34" t="n">
        <v>6.82</v>
      </c>
      <c r="BL34" s="43">
        <f>_xlfn.TEXTJOIN("|",TRUE,BI34,BI34,BI34,BI34,BI34)</f>
        <v/>
      </c>
      <c r="BM34">
        <f>ROUND( 100+BI34,0)</f>
        <v/>
      </c>
      <c r="BN34" s="50">
        <f>BM34/10</f>
        <v/>
      </c>
      <c r="BO34" s="50">
        <f>1.5*BM34/10</f>
        <v/>
      </c>
      <c r="BP34" s="50">
        <f>2*BM34/10</f>
        <v/>
      </c>
      <c r="BQ34" s="50">
        <f>2.5*BM34/10</f>
        <v/>
      </c>
      <c r="BR34" s="50">
        <f>3*BM34/10</f>
        <v/>
      </c>
      <c r="BT34" t="n">
        <v>33</v>
      </c>
      <c r="BU34">
        <f>(BW34/$BV$2-1)*100</f>
        <v/>
      </c>
      <c r="BW34" t="n">
        <v>7.4</v>
      </c>
      <c r="BX34" s="49">
        <f>CA34&amp;"|"&amp;CB34</f>
        <v/>
      </c>
      <c r="BY34">
        <f>ROUND( 100+BU34,0)</f>
        <v/>
      </c>
      <c r="BZ34">
        <f>2*BU34</f>
        <v/>
      </c>
      <c r="CA34" s="50">
        <f>BZ34/3</f>
        <v/>
      </c>
      <c r="CB34" s="50">
        <f>CA34*2</f>
        <v/>
      </c>
      <c r="CD34" t="n">
        <v>33</v>
      </c>
      <c r="CE34" s="50">
        <f>((CG34/$CF$2-1)*100)</f>
        <v/>
      </c>
      <c r="CG34" t="n">
        <v>4.2</v>
      </c>
      <c r="CH34" s="55">
        <f>CE34</f>
        <v/>
      </c>
      <c r="CI34">
        <f>ROUND( 100+CE34,0)</f>
        <v/>
      </c>
      <c r="CJ34" s="15" t="n"/>
      <c r="CK34" s="15" t="n">
        <v>33</v>
      </c>
      <c r="CL34" s="15">
        <f>(CN34/$CF$2-1)*100</f>
        <v/>
      </c>
      <c r="CM34" s="15" t="n"/>
      <c r="CN34" s="15">
        <f>0.08*CK34+3.92</f>
        <v/>
      </c>
      <c r="CO34" s="55">
        <f>CL34</f>
        <v/>
      </c>
      <c r="CP34" t="n">
        <v>210</v>
      </c>
      <c r="CQ34" t="n">
        <v>67</v>
      </c>
      <c r="CR34">
        <f>CP34&amp;"|"&amp;CQ34</f>
        <v/>
      </c>
      <c r="CT34" s="26" t="n"/>
      <c r="CV34" s="50" t="n">
        <v>58</v>
      </c>
      <c r="CW34" t="n">
        <v>33</v>
      </c>
      <c r="CX34">
        <f>DA34&amp;"|"&amp;DA34&amp;"|"&amp;DA34&amp;"|"&amp;DA34&amp;"|"&amp;DA34</f>
        <v/>
      </c>
      <c r="CY34" t="n">
        <v>3.7</v>
      </c>
      <c r="CZ34">
        <f>CZ33</f>
        <v/>
      </c>
      <c r="DA34">
        <f>(CY34/CZ34-1)*100</f>
        <v/>
      </c>
      <c r="DB34" s="50">
        <f>ROUND( 100+DA34,0)</f>
        <v/>
      </c>
      <c r="DC34" t="n">
        <v>29.2</v>
      </c>
      <c r="DD34">
        <f>_xlfn.TEXTJOIN("|",TRUE,DB34:DC34)</f>
        <v/>
      </c>
      <c r="DF34" t="n">
        <v>33</v>
      </c>
      <c r="DG34" t="n">
        <v>720</v>
      </c>
      <c r="DI34" s="50" t="n">
        <v>-68</v>
      </c>
      <c r="DJ34" s="50" t="n">
        <v>-66</v>
      </c>
      <c r="DK34" s="45" t="n"/>
      <c r="DL34" s="45" t="n">
        <v>33</v>
      </c>
      <c r="DM34">
        <f>(DO34/$DN$2-1)*100</f>
        <v/>
      </c>
      <c r="DN34" s="45" t="n"/>
      <c r="DO34" s="45" t="n">
        <v>6</v>
      </c>
      <c r="DP34" s="52" t="n">
        <v>-67</v>
      </c>
      <c r="DQ34" s="50">
        <f>ROUND( 100+DM34,0)</f>
        <v/>
      </c>
      <c r="DR34" s="50">
        <f>ROUND( 100+DP34,0)</f>
        <v/>
      </c>
      <c r="DS34">
        <f>_xlfn.TEXTJOIN("|",TRUE,DQ34:DR34)</f>
        <v/>
      </c>
      <c r="DU34" t="n">
        <v>33</v>
      </c>
      <c r="DV34" s="45">
        <f>(DX34/DW34-1)*100</f>
        <v/>
      </c>
      <c r="DW34">
        <f>DW33</f>
        <v/>
      </c>
      <c r="DX34" t="n">
        <v>5.04</v>
      </c>
      <c r="DZ34">
        <f>ROUND( 100+DV34,0)</f>
        <v/>
      </c>
      <c r="EB34" t="n">
        <v>33</v>
      </c>
      <c r="EC34" s="50">
        <f>(EE34/$ED$2-1)*100</f>
        <v/>
      </c>
      <c r="ED34">
        <f>ED33</f>
        <v/>
      </c>
      <c r="EE34" t="n">
        <v>5.16</v>
      </c>
      <c r="EF34" s="43">
        <f>_xlfn.TEXTJOIN("|",TRUE,EC34,EC34,EC34,EC34,EC34,EC34)</f>
        <v/>
      </c>
      <c r="EG34" s="50">
        <f>ROUND( 100+EC34,0)</f>
        <v/>
      </c>
      <c r="EH34" s="43" t="n"/>
      <c r="EJ34" t="n">
        <v>33</v>
      </c>
      <c r="EK34" s="50">
        <f>(EM34/EL34-1)*100</f>
        <v/>
      </c>
      <c r="EL34">
        <f>EL33</f>
        <v/>
      </c>
      <c r="EM34" t="n">
        <v>4.2</v>
      </c>
      <c r="EN34" s="43">
        <f>EK34&amp;"|"&amp;EK34&amp;"|"&amp;EK34&amp;"|"&amp;EK34&amp;"|"&amp;EK34&amp;"|"&amp;EK34</f>
        <v/>
      </c>
      <c r="EO34" s="50">
        <f>ROUND( 100+EK34,0)</f>
        <v/>
      </c>
      <c r="EP34" s="50" t="n"/>
      <c r="EQ34" s="50" t="n"/>
      <c r="ER34" s="50">
        <f>(ET34/ES34-1)*100</f>
        <v/>
      </c>
      <c r="ES34" s="50">
        <f>ES33</f>
        <v/>
      </c>
      <c r="ET34" t="n">
        <v>6.3</v>
      </c>
      <c r="EU34" s="50" t="n"/>
      <c r="EV34" s="50">
        <f>ROUND( 100+ER34,0)</f>
        <v/>
      </c>
      <c r="EW34" s="50">
        <f>(EX34/EY34-1)*100</f>
        <v/>
      </c>
      <c r="EX34" t="n">
        <v>5.46</v>
      </c>
      <c r="EY34">
        <f>EY33</f>
        <v/>
      </c>
      <c r="EZ34" t="n">
        <v>142.8</v>
      </c>
      <c r="FA34" t="n">
        <v>3.98399999999999</v>
      </c>
      <c r="FB34" s="50">
        <f>ROUND( 100+EW34,0)</f>
        <v/>
      </c>
      <c r="FC34">
        <f>EW34&amp;"|"&amp;EZ34&amp;"|"&amp;FA34</f>
        <v/>
      </c>
      <c r="FE34" t="n">
        <v>33</v>
      </c>
      <c r="FF34" s="50">
        <f>(FH34/FG34-1)*100</f>
        <v/>
      </c>
      <c r="FG34">
        <f>FG33</f>
        <v/>
      </c>
      <c r="FH34">
        <f>2*(1+FE33*0.1)</f>
        <v/>
      </c>
      <c r="FJ34" t="n">
        <v>33</v>
      </c>
      <c r="FK34" s="50">
        <f>(FN34/FM34-1)*100</f>
        <v/>
      </c>
      <c r="FL34" s="50">
        <f>FL33</f>
        <v/>
      </c>
      <c r="FM34">
        <f>FM33</f>
        <v/>
      </c>
      <c r="FN34">
        <f>2*(1+FJ33*0.1)</f>
        <v/>
      </c>
      <c r="FP34" t="n">
        <v>33</v>
      </c>
      <c r="FQ34" s="50">
        <f>ROUND((FS34/FR34-1)*100,0)</f>
        <v/>
      </c>
      <c r="FR34">
        <f>FR33</f>
        <v/>
      </c>
      <c r="FS34">
        <f>2*(1+FP33*0.1)</f>
        <v/>
      </c>
      <c r="FT34">
        <f>_xlfn.TEXTJOIN("|",TRUE,FQ34,FQ34,FQ34)</f>
        <v/>
      </c>
    </row>
    <row r="35">
      <c r="G35" t="n">
        <v>34</v>
      </c>
      <c r="H35">
        <f>(J35/I35-1)*100</f>
        <v/>
      </c>
      <c r="I35">
        <f>I34</f>
        <v/>
      </c>
      <c r="J35" t="n">
        <v>4.96</v>
      </c>
      <c r="K35" s="49">
        <f>H35&amp;"|"&amp;H35&amp;"|"&amp;H35&amp;"|"&amp;H35&amp;"|"&amp;H35</f>
        <v/>
      </c>
      <c r="L35">
        <f>ROUND( 100+H35,0)</f>
        <v/>
      </c>
      <c r="M35" s="49" t="n"/>
      <c r="N35" s="49" t="n">
        <v>34</v>
      </c>
      <c r="O35">
        <f>(Q35/P35-1)*100</f>
        <v/>
      </c>
      <c r="P35">
        <f>P34</f>
        <v/>
      </c>
      <c r="Q35" t="n">
        <v>4.83</v>
      </c>
      <c r="R35" s="49">
        <f>O35&amp;"|"&amp;O35&amp;"|"&amp;O35</f>
        <v/>
      </c>
      <c r="S35">
        <f>ROUND( 100+O35,0)</f>
        <v/>
      </c>
      <c r="U35" t="n">
        <v>34</v>
      </c>
      <c r="V35">
        <f>(X35/W35-1)*100</f>
        <v/>
      </c>
      <c r="W35">
        <f>W34</f>
        <v/>
      </c>
      <c r="X35" t="n">
        <v>7.27</v>
      </c>
      <c r="Y35" s="49">
        <f>V35&amp;"|"&amp;V35&amp;"|"&amp;V35&amp;"|"&amp;V35&amp;"|"&amp;V35&amp;"|"&amp;V35&amp;"|"&amp;V35&amp;"|"&amp;V35</f>
        <v/>
      </c>
      <c r="Z35">
        <f>ROUND( 100+V35,0)</f>
        <v/>
      </c>
      <c r="AA35">
        <f>1.38*U35-39.38</f>
        <v/>
      </c>
      <c r="AC35" t="n">
        <v>34</v>
      </c>
      <c r="AD35">
        <f>(AF35/AE35-1)*100</f>
        <v/>
      </c>
      <c r="AE35" t="n">
        <v>1</v>
      </c>
      <c r="AF35" t="n">
        <v>6.17</v>
      </c>
      <c r="AH35">
        <f>ROUND( 100+AD35,0)</f>
        <v/>
      </c>
      <c r="AJ35" t="n">
        <v>34</v>
      </c>
      <c r="AL35" t="n">
        <v>4300</v>
      </c>
      <c r="AM35" t="n">
        <v>18.5</v>
      </c>
      <c r="AO35">
        <f>_xlfn.TEXTJOIN("|",TRUE,AL35:AM35)</f>
        <v/>
      </c>
      <c r="AR35" t="n">
        <v>34</v>
      </c>
      <c r="AS35">
        <f>(AU35/AT35-1)*100</f>
        <v/>
      </c>
      <c r="AT35">
        <f>AT34</f>
        <v/>
      </c>
      <c r="AU35" t="n">
        <v>4.3</v>
      </c>
      <c r="AV35">
        <f>ROUND( 100+AS35,0)</f>
        <v/>
      </c>
      <c r="AW35" s="45" t="n"/>
      <c r="AX35" s="45" t="n">
        <v>34</v>
      </c>
      <c r="AY35" s="45">
        <f>(BA35/$AZ$2-1)*100</f>
        <v/>
      </c>
      <c r="AZ35" s="45" t="n"/>
      <c r="BA35" s="45" t="n">
        <v>8.60000000000001</v>
      </c>
      <c r="BB35">
        <f>ROUND( 100+AY35,0)</f>
        <v/>
      </c>
      <c r="BD35" t="n">
        <v>3700</v>
      </c>
      <c r="BE35" s="50" t="inlineStr">
        <is>
          <t>16</t>
        </is>
      </c>
      <c r="BF35">
        <f>BD35&amp;"|"&amp;BE35</f>
        <v/>
      </c>
      <c r="BH35" t="n">
        <v>34</v>
      </c>
      <c r="BI35" s="45">
        <f>(BK35/BJ35-1)*100</f>
        <v/>
      </c>
      <c r="BJ35">
        <f>BJ34</f>
        <v/>
      </c>
      <c r="BK35" t="n">
        <v>6.98</v>
      </c>
      <c r="BL35" s="43">
        <f>_xlfn.TEXTJOIN("|",TRUE,BI35,BI35,BI35,BI35,BI35)</f>
        <v/>
      </c>
      <c r="BM35">
        <f>ROUND( 100+BI35,0)</f>
        <v/>
      </c>
      <c r="BN35" s="50">
        <f>BM35/10</f>
        <v/>
      </c>
      <c r="BO35" s="50">
        <f>1.5*BM35/10</f>
        <v/>
      </c>
      <c r="BP35" s="50">
        <f>2*BM35/10</f>
        <v/>
      </c>
      <c r="BQ35" s="50">
        <f>2.5*BM35/10</f>
        <v/>
      </c>
      <c r="BR35" s="50">
        <f>3*BM35/10</f>
        <v/>
      </c>
      <c r="BT35" t="n">
        <v>34</v>
      </c>
      <c r="BU35">
        <f>(BW35/$BV$2-1)*100</f>
        <v/>
      </c>
      <c r="BW35" t="n">
        <v>7.6</v>
      </c>
      <c r="BX35" s="49">
        <f>CA35&amp;"|"&amp;CB35</f>
        <v/>
      </c>
      <c r="BY35">
        <f>ROUND( 100+BU35,0)</f>
        <v/>
      </c>
      <c r="BZ35">
        <f>2*BU35</f>
        <v/>
      </c>
      <c r="CA35" s="50">
        <f>BZ35/3</f>
        <v/>
      </c>
      <c r="CB35" s="50">
        <f>CA35*2</f>
        <v/>
      </c>
      <c r="CD35" t="n">
        <v>34</v>
      </c>
      <c r="CE35" s="50">
        <f>((CG35/$CF$2-1)*100)</f>
        <v/>
      </c>
      <c r="CG35" t="n">
        <v>4.3</v>
      </c>
      <c r="CH35" s="55">
        <f>CE35</f>
        <v/>
      </c>
      <c r="CI35">
        <f>ROUND( 100+CE35,0)</f>
        <v/>
      </c>
      <c r="CJ35" s="15" t="n"/>
      <c r="CK35" s="15" t="n">
        <v>34</v>
      </c>
      <c r="CL35" s="15">
        <f>(CN35/$CF$2-1)*100</f>
        <v/>
      </c>
      <c r="CM35" s="15" t="n"/>
      <c r="CN35" s="15">
        <f>0.08*CK35+3.92</f>
        <v/>
      </c>
      <c r="CO35" s="55">
        <f>CL35</f>
        <v/>
      </c>
      <c r="CP35" t="n">
        <v>215</v>
      </c>
      <c r="CQ35" t="n">
        <v>66</v>
      </c>
      <c r="CR35">
        <f>CP35&amp;"|"&amp;CQ35</f>
        <v/>
      </c>
      <c r="CT35" s="26" t="n"/>
      <c r="CV35" s="50" t="n">
        <v>60</v>
      </c>
      <c r="CW35" t="n">
        <v>34</v>
      </c>
      <c r="CX35">
        <f>DA35&amp;"|"&amp;DA35&amp;"|"&amp;DA35&amp;"|"&amp;DA35&amp;"|"&amp;DA35</f>
        <v/>
      </c>
      <c r="CY35" t="n">
        <v>3.8</v>
      </c>
      <c r="CZ35">
        <f>CZ34</f>
        <v/>
      </c>
      <c r="DA35">
        <f>(CY35/CZ35-1)*100</f>
        <v/>
      </c>
      <c r="DB35" s="50">
        <f>ROUND( 100+DA35,0)</f>
        <v/>
      </c>
      <c r="DC35" t="n">
        <v>29.8</v>
      </c>
      <c r="DD35">
        <f>_xlfn.TEXTJOIN("|",TRUE,DB35:DC35)</f>
        <v/>
      </c>
      <c r="DF35" t="n">
        <v>34</v>
      </c>
      <c r="DG35" t="n">
        <v>730</v>
      </c>
      <c r="DI35" s="50" t="n">
        <v>-68</v>
      </c>
      <c r="DJ35" s="50" t="n">
        <v>-66</v>
      </c>
      <c r="DK35" s="45" t="n"/>
      <c r="DL35" s="45" t="n">
        <v>34</v>
      </c>
      <c r="DM35">
        <f>(DO35/$DN$2-1)*100</f>
        <v/>
      </c>
      <c r="DN35" s="45" t="n"/>
      <c r="DO35" s="45" t="n">
        <v>6.15</v>
      </c>
      <c r="DP35" s="52" t="n">
        <v>-66</v>
      </c>
      <c r="DQ35" s="50">
        <f>ROUND( 100+DM35,0)</f>
        <v/>
      </c>
      <c r="DR35" s="50">
        <f>ROUND( 100+DP35,0)</f>
        <v/>
      </c>
      <c r="DS35">
        <f>_xlfn.TEXTJOIN("|",TRUE,DQ35:DR35)</f>
        <v/>
      </c>
      <c r="DU35" t="n">
        <v>34</v>
      </c>
      <c r="DV35" s="45">
        <f>(DX35/DW35-1)*100</f>
        <v/>
      </c>
      <c r="DW35">
        <f>DW34</f>
        <v/>
      </c>
      <c r="DX35" t="n">
        <v>5.16</v>
      </c>
      <c r="DZ35">
        <f>ROUND( 100+DV35,0)</f>
        <v/>
      </c>
      <c r="EB35" t="n">
        <v>34</v>
      </c>
      <c r="EC35" s="50">
        <f>(EE35/$ED$2-1)*100</f>
        <v/>
      </c>
      <c r="ED35">
        <f>ED34</f>
        <v/>
      </c>
      <c r="EE35" t="n">
        <v>5.29</v>
      </c>
      <c r="EF35" s="43">
        <f>_xlfn.TEXTJOIN("|",TRUE,EC35,EC35,EC35,EC35,EC35,EC35)</f>
        <v/>
      </c>
      <c r="EG35" s="50">
        <f>ROUND( 100+EC35,0)</f>
        <v/>
      </c>
      <c r="EH35" s="43" t="n"/>
      <c r="EJ35" t="n">
        <v>34</v>
      </c>
      <c r="EK35" s="50">
        <f>(EM35/EL35-1)*100</f>
        <v/>
      </c>
      <c r="EL35">
        <f>EL34</f>
        <v/>
      </c>
      <c r="EM35" t="n">
        <v>4.3</v>
      </c>
      <c r="EN35" s="43">
        <f>EK35&amp;"|"&amp;EK35&amp;"|"&amp;EK35&amp;"|"&amp;EK35&amp;"|"&amp;EK35&amp;"|"&amp;EK35</f>
        <v/>
      </c>
      <c r="EO35" s="50">
        <f>ROUND( 100+EK35,0)</f>
        <v/>
      </c>
      <c r="EP35" s="50" t="n"/>
      <c r="EQ35" s="50" t="n"/>
      <c r="ER35" s="50">
        <f>(ET35/ES35-1)*100</f>
        <v/>
      </c>
      <c r="ES35" s="50">
        <f>ES34</f>
        <v/>
      </c>
      <c r="ET35" t="n">
        <v>6.45</v>
      </c>
      <c r="EU35" s="50" t="n"/>
      <c r="EV35" s="50">
        <f>ROUND( 100+ER35,0)</f>
        <v/>
      </c>
      <c r="EW35" s="50">
        <f>(EX35/EY35-1)*100</f>
        <v/>
      </c>
      <c r="EX35" t="n">
        <v>5.59</v>
      </c>
      <c r="EY35">
        <f>EY34</f>
        <v/>
      </c>
      <c r="EZ35" t="n">
        <v>146.2</v>
      </c>
      <c r="FA35" t="n">
        <v>4.04599999999999</v>
      </c>
      <c r="FB35" s="50">
        <f>ROUND( 100+EW35,0)</f>
        <v/>
      </c>
      <c r="FC35">
        <f>EW35&amp;"|"&amp;EZ35&amp;"|"&amp;FA35</f>
        <v/>
      </c>
      <c r="FE35" t="n">
        <v>34</v>
      </c>
      <c r="FF35" s="50">
        <f>(FH35/FG35-1)*100</f>
        <v/>
      </c>
      <c r="FG35">
        <f>FG34</f>
        <v/>
      </c>
      <c r="FH35">
        <f>2*(1+FE34*0.1)</f>
        <v/>
      </c>
      <c r="FJ35" t="n">
        <v>34</v>
      </c>
      <c r="FK35" s="50">
        <f>(FN35/FM35-1)*100</f>
        <v/>
      </c>
      <c r="FL35" s="50">
        <f>FL34</f>
        <v/>
      </c>
      <c r="FM35">
        <f>FM34</f>
        <v/>
      </c>
      <c r="FN35">
        <f>2*(1+FJ34*0.1)</f>
        <v/>
      </c>
      <c r="FP35" t="n">
        <v>34</v>
      </c>
      <c r="FQ35" s="50">
        <f>ROUND((FS35/FR35-1)*100,0)</f>
        <v/>
      </c>
      <c r="FR35">
        <f>FR34</f>
        <v/>
      </c>
      <c r="FS35">
        <f>2*(1+FP34*0.1)</f>
        <v/>
      </c>
      <c r="FT35">
        <f>_xlfn.TEXTJOIN("|",TRUE,FQ35,FQ35,FQ35)</f>
        <v/>
      </c>
    </row>
    <row r="36">
      <c r="G36" t="n">
        <v>35</v>
      </c>
      <c r="H36">
        <f>(J36/I36-1)*100</f>
        <v/>
      </c>
      <c r="I36">
        <f>I35</f>
        <v/>
      </c>
      <c r="J36" t="n">
        <v>5.08</v>
      </c>
      <c r="K36" s="49">
        <f>H36&amp;"|"&amp;H36&amp;"|"&amp;H36&amp;"|"&amp;H36&amp;"|"&amp;H36</f>
        <v/>
      </c>
      <c r="L36">
        <f>ROUND( 100+H36,0)</f>
        <v/>
      </c>
      <c r="M36" s="49" t="n"/>
      <c r="N36" s="49" t="n">
        <v>35</v>
      </c>
      <c r="O36">
        <f>(Q36/P36-1)*100</f>
        <v/>
      </c>
      <c r="P36">
        <f>P35</f>
        <v/>
      </c>
      <c r="Q36" t="n">
        <v>4.94</v>
      </c>
      <c r="R36" s="49">
        <f>O36&amp;"|"&amp;O36&amp;"|"&amp;O36</f>
        <v/>
      </c>
      <c r="S36">
        <f>ROUND( 100+O36,0)</f>
        <v/>
      </c>
      <c r="U36" t="n">
        <v>35</v>
      </c>
      <c r="V36">
        <f>(X36/W36-1)*100</f>
        <v/>
      </c>
      <c r="W36">
        <f>W35</f>
        <v/>
      </c>
      <c r="X36" t="n">
        <v>7.46</v>
      </c>
      <c r="Y36" s="49">
        <f>V36&amp;"|"&amp;V36&amp;"|"&amp;V36&amp;"|"&amp;V36&amp;"|"&amp;V36&amp;"|"&amp;V36&amp;"|"&amp;V36&amp;"|"&amp;V36</f>
        <v/>
      </c>
      <c r="Z36">
        <f>ROUND( 100+V36,0)</f>
        <v/>
      </c>
      <c r="AA36">
        <f>1.38*U36-39.38</f>
        <v/>
      </c>
      <c r="AC36" t="n">
        <v>35</v>
      </c>
      <c r="AD36">
        <f>(AF36/AE36-1)*100</f>
        <v/>
      </c>
      <c r="AE36" t="n">
        <v>1</v>
      </c>
      <c r="AF36" t="n">
        <v>6.31</v>
      </c>
      <c r="AH36">
        <f>ROUND( 100+AD36,0)</f>
        <v/>
      </c>
      <c r="AJ36" t="n">
        <v>35</v>
      </c>
      <c r="AL36" t="n">
        <v>4400</v>
      </c>
      <c r="AM36" t="n">
        <v>19</v>
      </c>
      <c r="AO36">
        <f>_xlfn.TEXTJOIN("|",TRUE,AL36:AM36)</f>
        <v/>
      </c>
      <c r="AR36" t="n">
        <v>35</v>
      </c>
      <c r="AS36">
        <f>(AU36/AT36-1)*100</f>
        <v/>
      </c>
      <c r="AT36">
        <f>AT35</f>
        <v/>
      </c>
      <c r="AU36" t="n">
        <v>4.4</v>
      </c>
      <c r="AV36">
        <f>ROUND( 100+AS36,0)</f>
        <v/>
      </c>
      <c r="AW36" s="45" t="n"/>
      <c r="AX36" s="45" t="n">
        <v>35</v>
      </c>
      <c r="AY36" s="45">
        <f>(BA36/$AZ$2-1)*100</f>
        <v/>
      </c>
      <c r="AZ36" s="45" t="n"/>
      <c r="BA36" s="45" t="n">
        <v>8.80000000000001</v>
      </c>
      <c r="BB36">
        <f>ROUND( 100+AY36,0)</f>
        <v/>
      </c>
      <c r="BD36" t="n">
        <v>3800</v>
      </c>
      <c r="BE36" s="50" t="inlineStr">
        <is>
          <t>16</t>
        </is>
      </c>
      <c r="BF36">
        <f>BD36&amp;"|"&amp;BE36</f>
        <v/>
      </c>
      <c r="BH36" t="n">
        <v>35</v>
      </c>
      <c r="BI36" s="45">
        <f>(BK36/BJ36-1)*100</f>
        <v/>
      </c>
      <c r="BJ36">
        <f>BJ35</f>
        <v/>
      </c>
      <c r="BK36" t="n">
        <v>7.14</v>
      </c>
      <c r="BL36" s="43">
        <f>_xlfn.TEXTJOIN("|",TRUE,BI36,BI36,BI36,BI36,BI36)</f>
        <v/>
      </c>
      <c r="BM36">
        <f>ROUND( 100+BI36,0)</f>
        <v/>
      </c>
      <c r="BN36" s="50">
        <f>BM36/10</f>
        <v/>
      </c>
      <c r="BO36" s="50">
        <f>1.5*BM36/10</f>
        <v/>
      </c>
      <c r="BP36" s="50">
        <f>2*BM36/10</f>
        <v/>
      </c>
      <c r="BQ36" s="50">
        <f>2.5*BM36/10</f>
        <v/>
      </c>
      <c r="BR36" s="50">
        <f>3*BM36/10</f>
        <v/>
      </c>
      <c r="BT36" t="n">
        <v>35</v>
      </c>
      <c r="BU36">
        <f>(BW36/$BV$2-1)*100</f>
        <v/>
      </c>
      <c r="BW36" t="n">
        <v>7.8</v>
      </c>
      <c r="BX36" s="49">
        <f>CA36&amp;"|"&amp;CB36</f>
        <v/>
      </c>
      <c r="BY36">
        <f>ROUND( 100+BU36,0)</f>
        <v/>
      </c>
      <c r="BZ36">
        <f>2*BU36</f>
        <v/>
      </c>
      <c r="CA36" s="50">
        <f>BZ36/3</f>
        <v/>
      </c>
      <c r="CB36" s="50">
        <f>CA36*2</f>
        <v/>
      </c>
      <c r="CD36" t="n">
        <v>35</v>
      </c>
      <c r="CE36" s="50">
        <f>((CG36/$CF$2-1)*100)</f>
        <v/>
      </c>
      <c r="CG36" t="n">
        <v>4.4</v>
      </c>
      <c r="CH36" s="55">
        <f>CE36</f>
        <v/>
      </c>
      <c r="CI36">
        <f>ROUND( 100+CE36,0)</f>
        <v/>
      </c>
      <c r="CJ36" s="15" t="n"/>
      <c r="CK36" s="15" t="n">
        <v>35</v>
      </c>
      <c r="CL36" s="15">
        <f>(CN36/$CF$2-1)*100</f>
        <v/>
      </c>
      <c r="CM36" s="15" t="n"/>
      <c r="CN36" s="15">
        <f>0.08*CK36+3.92</f>
        <v/>
      </c>
      <c r="CO36" s="55">
        <f>CL36</f>
        <v/>
      </c>
      <c r="CP36" t="n">
        <v>220</v>
      </c>
      <c r="CQ36" t="n">
        <v>65</v>
      </c>
      <c r="CR36">
        <f>CP36&amp;"|"&amp;CQ36</f>
        <v/>
      </c>
      <c r="CT36" s="26" t="n"/>
      <c r="CV36" s="50" t="n">
        <v>61</v>
      </c>
      <c r="CW36" t="n">
        <v>35</v>
      </c>
      <c r="CX36">
        <f>DA36&amp;"|"&amp;DA36&amp;"|"&amp;DA36&amp;"|"&amp;DA36&amp;"|"&amp;DA36</f>
        <v/>
      </c>
      <c r="CY36" t="n">
        <v>3.9</v>
      </c>
      <c r="CZ36">
        <f>CZ35</f>
        <v/>
      </c>
      <c r="DA36">
        <f>(CY36/CZ36-1)*100</f>
        <v/>
      </c>
      <c r="DB36" s="50">
        <f>ROUND( 100+DA36,0)</f>
        <v/>
      </c>
      <c r="DC36" t="n">
        <v>30.4</v>
      </c>
      <c r="DD36">
        <f>_xlfn.TEXTJOIN("|",TRUE,DB36:DC36)</f>
        <v/>
      </c>
      <c r="DF36" t="n">
        <v>35</v>
      </c>
      <c r="DG36" t="n">
        <v>740</v>
      </c>
      <c r="DI36" s="50" t="n">
        <v>-66</v>
      </c>
      <c r="DJ36" s="50" t="n">
        <v>-64</v>
      </c>
      <c r="DK36" s="45" t="n"/>
      <c r="DL36" s="45" t="n">
        <v>35</v>
      </c>
      <c r="DM36">
        <f>(DO36/$DN$2-1)*100</f>
        <v/>
      </c>
      <c r="DN36" s="45" t="n"/>
      <c r="DO36" s="45" t="n">
        <v>6.3</v>
      </c>
      <c r="DP36" s="52" t="n">
        <v>-65</v>
      </c>
      <c r="DQ36" s="50">
        <f>ROUND( 100+DM36,0)</f>
        <v/>
      </c>
      <c r="DR36" s="50">
        <f>ROUND( 100+DP36,0)</f>
        <v/>
      </c>
      <c r="DS36">
        <f>_xlfn.TEXTJOIN("|",TRUE,DQ36:DR36)</f>
        <v/>
      </c>
      <c r="DU36" t="n">
        <v>35</v>
      </c>
      <c r="DV36" s="45">
        <f>(DX36/DW36-1)*100</f>
        <v/>
      </c>
      <c r="DW36">
        <f>DW35</f>
        <v/>
      </c>
      <c r="DX36" t="n">
        <v>5.28</v>
      </c>
      <c r="DZ36">
        <f>ROUND( 100+DV36,0)</f>
        <v/>
      </c>
      <c r="EB36" t="n">
        <v>35</v>
      </c>
      <c r="EC36" s="50">
        <f>(EE36/$ED$2-1)*100</f>
        <v/>
      </c>
      <c r="ED36">
        <f>ED35</f>
        <v/>
      </c>
      <c r="EE36" t="n">
        <v>5.42</v>
      </c>
      <c r="EF36" s="43">
        <f>_xlfn.TEXTJOIN("|",TRUE,EC36,EC36,EC36,EC36,EC36,EC36)</f>
        <v/>
      </c>
      <c r="EG36" s="50">
        <f>ROUND( 100+EC36,0)</f>
        <v/>
      </c>
      <c r="EH36" s="43" t="n"/>
      <c r="EJ36" t="n">
        <v>35</v>
      </c>
      <c r="EK36" s="50">
        <f>(EM36/EL36-1)*100</f>
        <v/>
      </c>
      <c r="EL36">
        <f>EL35</f>
        <v/>
      </c>
      <c r="EM36" t="n">
        <v>4.4</v>
      </c>
      <c r="EN36" s="43">
        <f>EK36&amp;"|"&amp;EK36&amp;"|"&amp;EK36&amp;"|"&amp;EK36&amp;"|"&amp;EK36&amp;"|"&amp;EK36</f>
        <v/>
      </c>
      <c r="EO36" s="50">
        <f>ROUND( 100+EK36,0)</f>
        <v/>
      </c>
      <c r="EP36" s="50" t="n"/>
      <c r="EQ36" s="50" t="n"/>
      <c r="ER36" s="50">
        <f>(ET36/ES36-1)*100</f>
        <v/>
      </c>
      <c r="ES36" s="50">
        <f>ES35</f>
        <v/>
      </c>
      <c r="ET36" t="n">
        <v>6.6</v>
      </c>
      <c r="EU36" s="50" t="n"/>
      <c r="EV36" s="50">
        <f>ROUND( 100+ER36,0)</f>
        <v/>
      </c>
      <c r="EW36" s="50">
        <f>(EX36/EY36-1)*100</f>
        <v/>
      </c>
      <c r="EX36" t="n">
        <v>5.72</v>
      </c>
      <c r="EY36">
        <f>EY35</f>
        <v/>
      </c>
      <c r="EZ36" t="n">
        <v>149.6</v>
      </c>
      <c r="FA36" t="n">
        <v>4.10799999999999</v>
      </c>
      <c r="FB36" s="50">
        <f>ROUND( 100+EW36,0)</f>
        <v/>
      </c>
      <c r="FC36">
        <f>EW36&amp;"|"&amp;EZ36&amp;"|"&amp;FA36</f>
        <v/>
      </c>
      <c r="FE36" t="n">
        <v>35</v>
      </c>
      <c r="FF36" s="50">
        <f>(FH36/FG36-1)*100</f>
        <v/>
      </c>
      <c r="FG36">
        <f>FG35</f>
        <v/>
      </c>
      <c r="FH36">
        <f>2*(1+FE35*0.1)</f>
        <v/>
      </c>
      <c r="FJ36" t="n">
        <v>35</v>
      </c>
      <c r="FK36" s="50">
        <f>(FN36/FM36-1)*100</f>
        <v/>
      </c>
      <c r="FL36" s="50">
        <f>FL35</f>
        <v/>
      </c>
      <c r="FM36">
        <f>FM35</f>
        <v/>
      </c>
      <c r="FN36">
        <f>2*(1+FJ35*0.1)</f>
        <v/>
      </c>
      <c r="FP36" t="n">
        <v>35</v>
      </c>
      <c r="FQ36" s="50">
        <f>ROUND((FS36/FR36-1)*100,0)</f>
        <v/>
      </c>
      <c r="FR36">
        <f>FR35</f>
        <v/>
      </c>
      <c r="FS36">
        <f>2*(1+FP35*0.1)</f>
        <v/>
      </c>
      <c r="FT36">
        <f>_xlfn.TEXTJOIN("|",TRUE,FQ36,FQ36,FQ36)</f>
        <v/>
      </c>
    </row>
    <row r="37">
      <c r="G37" t="n">
        <v>36</v>
      </c>
      <c r="H37">
        <f>(J37/I37-1)*100</f>
        <v/>
      </c>
      <c r="I37">
        <f>I36</f>
        <v/>
      </c>
      <c r="J37" t="n">
        <v>5.2</v>
      </c>
      <c r="K37" s="49">
        <f>H37&amp;"|"&amp;H37&amp;"|"&amp;H37&amp;"|"&amp;H37&amp;"|"&amp;H37</f>
        <v/>
      </c>
      <c r="L37">
        <f>ROUND( 100+H37,0)</f>
        <v/>
      </c>
      <c r="M37" s="49" t="n"/>
      <c r="N37" s="49" t="n">
        <v>36</v>
      </c>
      <c r="O37">
        <f>(Q37/P37-1)*100</f>
        <v/>
      </c>
      <c r="P37">
        <f>P36</f>
        <v/>
      </c>
      <c r="Q37" t="n">
        <v>5.05</v>
      </c>
      <c r="R37" s="49">
        <f>O37&amp;"|"&amp;O37&amp;"|"&amp;O37</f>
        <v/>
      </c>
      <c r="S37">
        <f>ROUND( 100+O37,0)</f>
        <v/>
      </c>
      <c r="U37" t="n">
        <v>36</v>
      </c>
      <c r="V37">
        <f>(X37/W37-1)*100</f>
        <v/>
      </c>
      <c r="W37">
        <f>W36</f>
        <v/>
      </c>
      <c r="X37" t="n">
        <v>7.65</v>
      </c>
      <c r="Y37" s="49">
        <f>V37&amp;"|"&amp;V37&amp;"|"&amp;V37&amp;"|"&amp;V37&amp;"|"&amp;V37&amp;"|"&amp;V37&amp;"|"&amp;V37&amp;"|"&amp;V37</f>
        <v/>
      </c>
      <c r="Z37">
        <f>ROUND( 100+V37,0)</f>
        <v/>
      </c>
      <c r="AA37">
        <f>1.38*U37-39.38</f>
        <v/>
      </c>
      <c r="AC37" t="n">
        <v>36</v>
      </c>
      <c r="AD37">
        <f>(AF37/AE37-1)*100</f>
        <v/>
      </c>
      <c r="AE37" t="n">
        <v>1</v>
      </c>
      <c r="AF37" t="n">
        <v>6.45</v>
      </c>
      <c r="AH37">
        <f>ROUND( 100+AD37,0)</f>
        <v/>
      </c>
      <c r="AJ37" t="n">
        <v>36</v>
      </c>
      <c r="AL37" t="n">
        <v>4500</v>
      </c>
      <c r="AM37" t="n">
        <v>19.5</v>
      </c>
      <c r="AO37">
        <f>_xlfn.TEXTJOIN("|",TRUE,AL37:AM37)</f>
        <v/>
      </c>
      <c r="AR37" t="n">
        <v>36</v>
      </c>
      <c r="AS37">
        <f>(AU37/AT37-1)*100</f>
        <v/>
      </c>
      <c r="AT37">
        <f>AT36</f>
        <v/>
      </c>
      <c r="AU37" t="n">
        <v>4.5</v>
      </c>
      <c r="AV37">
        <f>ROUND( 100+AS37,0)</f>
        <v/>
      </c>
      <c r="AW37" s="45" t="n"/>
      <c r="AX37" s="45" t="n">
        <v>36</v>
      </c>
      <c r="AY37" s="45">
        <f>(BA37/$AZ$2-1)*100</f>
        <v/>
      </c>
      <c r="AZ37" s="45" t="n"/>
      <c r="BA37" s="45" t="n">
        <v>9.000000000000011</v>
      </c>
      <c r="BB37">
        <f>ROUND( 100+AY37,0)</f>
        <v/>
      </c>
      <c r="BD37" t="n">
        <v>3900</v>
      </c>
      <c r="BE37" s="50" t="inlineStr">
        <is>
          <t>17</t>
        </is>
      </c>
      <c r="BF37">
        <f>BD37&amp;"|"&amp;BE37</f>
        <v/>
      </c>
      <c r="BH37" t="n">
        <v>36</v>
      </c>
      <c r="BI37" s="45">
        <f>(BK37/BJ37-1)*100</f>
        <v/>
      </c>
      <c r="BJ37">
        <f>BJ36</f>
        <v/>
      </c>
      <c r="BK37" t="n">
        <v>7.3</v>
      </c>
      <c r="BL37" s="43">
        <f>_xlfn.TEXTJOIN("|",TRUE,BI37,BI37,BI37,BI37,BI37)</f>
        <v/>
      </c>
      <c r="BM37">
        <f>ROUND( 100+BI37,0)</f>
        <v/>
      </c>
      <c r="BN37" s="50">
        <f>BM37/10</f>
        <v/>
      </c>
      <c r="BO37" s="50">
        <f>1.5*BM37/10</f>
        <v/>
      </c>
      <c r="BP37" s="50">
        <f>2*BM37/10</f>
        <v/>
      </c>
      <c r="BQ37" s="50">
        <f>2.5*BM37/10</f>
        <v/>
      </c>
      <c r="BR37" s="50">
        <f>3*BM37/10</f>
        <v/>
      </c>
      <c r="BT37" t="n">
        <v>36</v>
      </c>
      <c r="BU37">
        <f>(BW37/$BV$2-1)*100</f>
        <v/>
      </c>
      <c r="BW37" t="n">
        <v>8</v>
      </c>
      <c r="BX37" s="49">
        <f>CA37&amp;"|"&amp;CB37</f>
        <v/>
      </c>
      <c r="BY37">
        <f>ROUND( 100+BU37,0)</f>
        <v/>
      </c>
      <c r="BZ37">
        <f>2*BU37</f>
        <v/>
      </c>
      <c r="CA37" s="50">
        <f>BZ37/3</f>
        <v/>
      </c>
      <c r="CB37" s="50">
        <f>CA37*2</f>
        <v/>
      </c>
      <c r="CD37" t="n">
        <v>36</v>
      </c>
      <c r="CE37" s="50">
        <f>((CG37/$CF$2-1)*100)</f>
        <v/>
      </c>
      <c r="CG37" t="n">
        <v>4.5</v>
      </c>
      <c r="CH37" s="55">
        <f>CE37</f>
        <v/>
      </c>
      <c r="CI37">
        <f>ROUND( 100+CE37,0)</f>
        <v/>
      </c>
      <c r="CJ37" s="15" t="n"/>
      <c r="CK37" s="15" t="n">
        <v>36</v>
      </c>
      <c r="CL37" s="15">
        <f>(CN37/$CF$2-1)*100</f>
        <v/>
      </c>
      <c r="CM37" s="15" t="n"/>
      <c r="CN37" s="15">
        <f>0.08*CK37+3.92</f>
        <v/>
      </c>
      <c r="CO37" s="55">
        <f>CL37</f>
        <v/>
      </c>
      <c r="CP37" t="n">
        <v>225</v>
      </c>
      <c r="CQ37" t="n">
        <v>64</v>
      </c>
      <c r="CR37">
        <f>CP37&amp;"|"&amp;CQ37</f>
        <v/>
      </c>
      <c r="CT37" s="26" t="n"/>
      <c r="CV37" s="50" t="n">
        <v>63</v>
      </c>
      <c r="CW37" t="n">
        <v>36</v>
      </c>
      <c r="CX37">
        <f>DA37&amp;"|"&amp;DA37&amp;"|"&amp;DA37&amp;"|"&amp;DA37&amp;"|"&amp;DA37</f>
        <v/>
      </c>
      <c r="CY37" t="n">
        <v>4</v>
      </c>
      <c r="CZ37">
        <f>CZ36</f>
        <v/>
      </c>
      <c r="DA37">
        <f>(CY37/CZ37-1)*100</f>
        <v/>
      </c>
      <c r="DB37" s="50">
        <f>ROUND( 100+DA37,0)</f>
        <v/>
      </c>
      <c r="DC37" t="n">
        <v>31</v>
      </c>
      <c r="DD37">
        <f>_xlfn.TEXTJOIN("|",TRUE,DB37:DC37)</f>
        <v/>
      </c>
      <c r="DF37" t="n">
        <v>36</v>
      </c>
      <c r="DG37" t="n">
        <v>750</v>
      </c>
      <c r="DI37" s="50" t="n">
        <v>-65</v>
      </c>
      <c r="DJ37" s="50" t="n">
        <v>-64</v>
      </c>
      <c r="DK37" s="45" t="n"/>
      <c r="DL37" s="45" t="n">
        <v>36</v>
      </c>
      <c r="DM37">
        <f>(DO37/$DN$2-1)*100</f>
        <v/>
      </c>
      <c r="DN37" s="45" t="n"/>
      <c r="DO37" s="45" t="n">
        <v>6.45</v>
      </c>
      <c r="DP37" s="52" t="n">
        <v>-64</v>
      </c>
      <c r="DQ37" s="50">
        <f>ROUND( 100+DM37,0)</f>
        <v/>
      </c>
      <c r="DR37" s="50">
        <f>ROUND( 100+DP37,0)</f>
        <v/>
      </c>
      <c r="DS37">
        <f>_xlfn.TEXTJOIN("|",TRUE,DQ37:DR37)</f>
        <v/>
      </c>
      <c r="DU37" t="n">
        <v>36</v>
      </c>
      <c r="DV37" s="45">
        <f>(DX37/DW37-1)*100</f>
        <v/>
      </c>
      <c r="DW37">
        <f>DW36</f>
        <v/>
      </c>
      <c r="DX37" t="n">
        <v>5.4</v>
      </c>
      <c r="DZ37">
        <f>ROUND( 100+DV37,0)</f>
        <v/>
      </c>
      <c r="EB37" t="n">
        <v>36</v>
      </c>
      <c r="EC37" s="50">
        <f>(EE37/$ED$2-1)*100</f>
        <v/>
      </c>
      <c r="ED37">
        <f>ED36</f>
        <v/>
      </c>
      <c r="EE37" t="n">
        <v>5.55</v>
      </c>
      <c r="EF37" s="43">
        <f>_xlfn.TEXTJOIN("|",TRUE,EC37,EC37,EC37,EC37,EC37,EC37)</f>
        <v/>
      </c>
      <c r="EG37" s="50">
        <f>ROUND( 100+EC37,0)</f>
        <v/>
      </c>
      <c r="EH37" s="43" t="n"/>
      <c r="EJ37" t="n">
        <v>36</v>
      </c>
      <c r="EK37" s="50">
        <f>(EM37/EL37-1)*100</f>
        <v/>
      </c>
      <c r="EL37">
        <f>EL36</f>
        <v/>
      </c>
      <c r="EM37" t="n">
        <v>4.5</v>
      </c>
      <c r="EN37" s="43">
        <f>EK37&amp;"|"&amp;EK37&amp;"|"&amp;EK37&amp;"|"&amp;EK37&amp;"|"&amp;EK37&amp;"|"&amp;EK37</f>
        <v/>
      </c>
      <c r="EO37" s="50">
        <f>ROUND( 100+EK37,0)</f>
        <v/>
      </c>
      <c r="EP37" s="50" t="n"/>
      <c r="EQ37" s="50" t="n"/>
      <c r="ER37" s="50">
        <f>(ET37/ES37-1)*100</f>
        <v/>
      </c>
      <c r="ES37" s="50">
        <f>ES36</f>
        <v/>
      </c>
      <c r="ET37" t="n">
        <v>6.75</v>
      </c>
      <c r="EU37" s="50" t="n"/>
      <c r="EV37" s="50">
        <f>ROUND( 100+ER37,0)</f>
        <v/>
      </c>
      <c r="EW37" s="50">
        <f>(EX37/EY37-1)*100</f>
        <v/>
      </c>
      <c r="EX37" t="n">
        <v>5.85</v>
      </c>
      <c r="EY37">
        <f>EY36</f>
        <v/>
      </c>
      <c r="EZ37" t="n">
        <v>153</v>
      </c>
      <c r="FA37" t="n">
        <v>4.16999999999999</v>
      </c>
      <c r="FB37" s="50">
        <f>ROUND( 100+EW37,0)</f>
        <v/>
      </c>
      <c r="FC37">
        <f>EW37&amp;"|"&amp;EZ37&amp;"|"&amp;FA37</f>
        <v/>
      </c>
      <c r="FE37" t="n">
        <v>36</v>
      </c>
      <c r="FF37" s="50">
        <f>(FH37/FG37-1)*100</f>
        <v/>
      </c>
      <c r="FG37">
        <f>FG36</f>
        <v/>
      </c>
      <c r="FH37">
        <f>2*(1+FE36*0.1)</f>
        <v/>
      </c>
      <c r="FJ37" t="n">
        <v>36</v>
      </c>
      <c r="FK37" s="50">
        <f>(FN37/FM37-1)*100</f>
        <v/>
      </c>
      <c r="FL37" s="50">
        <f>FL36</f>
        <v/>
      </c>
      <c r="FM37">
        <f>FM36</f>
        <v/>
      </c>
      <c r="FN37">
        <f>2*(1+FJ36*0.1)</f>
        <v/>
      </c>
      <c r="FP37" t="n">
        <v>36</v>
      </c>
      <c r="FQ37" s="50">
        <f>ROUND((FS37/FR37-1)*100,0)</f>
        <v/>
      </c>
      <c r="FR37">
        <f>FR36</f>
        <v/>
      </c>
      <c r="FS37">
        <f>2*(1+FP36*0.1)</f>
        <v/>
      </c>
      <c r="FT37">
        <f>_xlfn.TEXTJOIN("|",TRUE,FQ37,FQ37,FQ37)</f>
        <v/>
      </c>
    </row>
    <row r="38">
      <c r="G38" t="n">
        <v>37</v>
      </c>
      <c r="H38">
        <f>(J38/I38-1)*100</f>
        <v/>
      </c>
      <c r="I38">
        <f>I37</f>
        <v/>
      </c>
      <c r="J38" t="n">
        <v>5.32</v>
      </c>
      <c r="K38" s="49">
        <f>H38&amp;"|"&amp;H38&amp;"|"&amp;H38&amp;"|"&amp;H38&amp;"|"&amp;H38</f>
        <v/>
      </c>
      <c r="L38">
        <f>ROUND( 100+H38,0)</f>
        <v/>
      </c>
      <c r="M38" s="49" t="n"/>
      <c r="N38" s="49" t="n">
        <v>37</v>
      </c>
      <c r="O38">
        <f>(Q38/P38-1)*100</f>
        <v/>
      </c>
      <c r="P38">
        <f>P37</f>
        <v/>
      </c>
      <c r="Q38" t="n">
        <v>5.16</v>
      </c>
      <c r="R38" s="49">
        <f>O38&amp;"|"&amp;O38&amp;"|"&amp;O38</f>
        <v/>
      </c>
      <c r="S38">
        <f>ROUND( 100+O38,0)</f>
        <v/>
      </c>
      <c r="U38" t="n">
        <v>37</v>
      </c>
      <c r="V38">
        <f>(X38/W38-1)*100</f>
        <v/>
      </c>
      <c r="W38">
        <f>W37</f>
        <v/>
      </c>
      <c r="X38" t="n">
        <v>7.84</v>
      </c>
      <c r="Y38" s="49">
        <f>V38&amp;"|"&amp;V38&amp;"|"&amp;V38&amp;"|"&amp;V38&amp;"|"&amp;V38&amp;"|"&amp;V38&amp;"|"&amp;V38&amp;"|"&amp;V38</f>
        <v/>
      </c>
      <c r="Z38">
        <f>ROUND( 100+V38,0)</f>
        <v/>
      </c>
      <c r="AA38">
        <f>1.38*U38-39.38</f>
        <v/>
      </c>
      <c r="AC38" t="n">
        <v>37</v>
      </c>
      <c r="AD38">
        <f>(AF38/AE38-1)*100</f>
        <v/>
      </c>
      <c r="AE38" t="n">
        <v>1</v>
      </c>
      <c r="AF38" t="n">
        <v>6.59</v>
      </c>
      <c r="AH38">
        <f>ROUND( 100+AD38,0)</f>
        <v/>
      </c>
      <c r="AJ38" t="n">
        <v>37</v>
      </c>
      <c r="AL38" t="n">
        <v>4600</v>
      </c>
      <c r="AM38" t="n">
        <v>20</v>
      </c>
      <c r="AO38">
        <f>_xlfn.TEXTJOIN("|",TRUE,AL38:AM38)</f>
        <v/>
      </c>
      <c r="AR38" t="n">
        <v>37</v>
      </c>
      <c r="AS38">
        <f>(AU38/AT38-1)*100</f>
        <v/>
      </c>
      <c r="AT38">
        <f>AT37</f>
        <v/>
      </c>
      <c r="AU38" t="n">
        <v>4.6</v>
      </c>
      <c r="AV38">
        <f>ROUND( 100+AS38,0)</f>
        <v/>
      </c>
      <c r="AW38" s="45" t="n"/>
      <c r="AX38" s="45" t="n">
        <v>37</v>
      </c>
      <c r="AY38" s="45">
        <f>(BA38/$AZ$2-1)*100</f>
        <v/>
      </c>
      <c r="AZ38" s="45" t="n"/>
      <c r="BA38" s="45" t="n">
        <v>9.20000000000001</v>
      </c>
      <c r="BB38">
        <f>ROUND( 100+AY38,0)</f>
        <v/>
      </c>
      <c r="BD38" t="n">
        <v>4000</v>
      </c>
      <c r="BE38" s="50" t="inlineStr">
        <is>
          <t>17</t>
        </is>
      </c>
      <c r="BF38">
        <f>BD38&amp;"|"&amp;BE38</f>
        <v/>
      </c>
      <c r="BH38" t="n">
        <v>37</v>
      </c>
      <c r="BI38" s="45">
        <f>(BK38/BJ38-1)*100</f>
        <v/>
      </c>
      <c r="BJ38">
        <f>BJ37</f>
        <v/>
      </c>
      <c r="BK38" t="n">
        <v>7.46000000000001</v>
      </c>
      <c r="BL38" s="43">
        <f>_xlfn.TEXTJOIN("|",TRUE,BI38,BI38,BI38,BI38,BI38)</f>
        <v/>
      </c>
      <c r="BM38">
        <f>ROUND( 100+BI38,0)</f>
        <v/>
      </c>
      <c r="BN38" s="50">
        <f>BM38/10</f>
        <v/>
      </c>
      <c r="BO38" s="50">
        <f>1.5*BM38/10</f>
        <v/>
      </c>
      <c r="BP38" s="50">
        <f>2*BM38/10</f>
        <v/>
      </c>
      <c r="BQ38" s="50">
        <f>2.5*BM38/10</f>
        <v/>
      </c>
      <c r="BR38" s="50">
        <f>3*BM38/10</f>
        <v/>
      </c>
      <c r="BT38" t="n">
        <v>37</v>
      </c>
      <c r="BU38">
        <f>(BW38/$BV$2-1)*100</f>
        <v/>
      </c>
      <c r="BW38" t="n">
        <v>8.199999999999999</v>
      </c>
      <c r="BX38" s="49">
        <f>CA38&amp;"|"&amp;CB38</f>
        <v/>
      </c>
      <c r="BY38">
        <f>ROUND( 100+BU38,0)</f>
        <v/>
      </c>
      <c r="BZ38">
        <f>2*BU38</f>
        <v/>
      </c>
      <c r="CA38" s="50">
        <f>BZ38/3</f>
        <v/>
      </c>
      <c r="CB38" s="50">
        <f>CA38*2</f>
        <v/>
      </c>
      <c r="CD38" t="n">
        <v>37</v>
      </c>
      <c r="CE38" s="50">
        <f>((CG38/$CF$2-1)*100)</f>
        <v/>
      </c>
      <c r="CG38" t="n">
        <v>4.6</v>
      </c>
      <c r="CH38" s="55">
        <f>CE38</f>
        <v/>
      </c>
      <c r="CI38">
        <f>ROUND( 100+CE38,0)</f>
        <v/>
      </c>
      <c r="CJ38" s="15" t="n"/>
      <c r="CK38" s="15" t="n">
        <v>37</v>
      </c>
      <c r="CL38" s="15">
        <f>(CN38/$CF$2-1)*100</f>
        <v/>
      </c>
      <c r="CM38" s="15" t="n"/>
      <c r="CN38" s="15">
        <f>0.08*CK38+3.92</f>
        <v/>
      </c>
      <c r="CO38" s="55">
        <f>CL38</f>
        <v/>
      </c>
      <c r="CP38" t="n">
        <v>230</v>
      </c>
      <c r="CQ38" t="n">
        <v>63</v>
      </c>
      <c r="CR38">
        <f>CP38&amp;"|"&amp;CQ38</f>
        <v/>
      </c>
      <c r="CT38" s="26" t="n"/>
      <c r="CV38" s="50" t="n">
        <v>64</v>
      </c>
      <c r="CW38" t="n">
        <v>37</v>
      </c>
      <c r="CX38">
        <f>DA38&amp;"|"&amp;DA38&amp;"|"&amp;DA38&amp;"|"&amp;DA38&amp;"|"&amp;DA38</f>
        <v/>
      </c>
      <c r="CY38" t="n">
        <v>4.1</v>
      </c>
      <c r="CZ38">
        <f>CZ37</f>
        <v/>
      </c>
      <c r="DA38">
        <f>(CY38/CZ38-1)*100</f>
        <v/>
      </c>
      <c r="DB38" s="50">
        <f>ROUND( 100+DA38,0)</f>
        <v/>
      </c>
      <c r="DC38" t="n">
        <v>31.6</v>
      </c>
      <c r="DD38">
        <f>_xlfn.TEXTJOIN("|",TRUE,DB38:DC38)</f>
        <v/>
      </c>
      <c r="DF38" t="n">
        <v>37</v>
      </c>
      <c r="DG38" t="n">
        <v>760</v>
      </c>
      <c r="DI38" s="50" t="n">
        <v>-65</v>
      </c>
      <c r="DJ38" s="50" t="n">
        <v>-64</v>
      </c>
      <c r="DK38" s="45" t="n"/>
      <c r="DL38" s="45" t="n">
        <v>37</v>
      </c>
      <c r="DM38">
        <f>(DO38/$DN$2-1)*100</f>
        <v/>
      </c>
      <c r="DN38" s="45" t="n"/>
      <c r="DO38" s="45" t="n">
        <v>6.6</v>
      </c>
      <c r="DP38" s="52" t="n">
        <v>-63</v>
      </c>
      <c r="DQ38" s="50">
        <f>ROUND( 100+DM38,0)</f>
        <v/>
      </c>
      <c r="DR38" s="50">
        <f>ROUND( 100+DP38,0)</f>
        <v/>
      </c>
      <c r="DS38">
        <f>_xlfn.TEXTJOIN("|",TRUE,DQ38:DR38)</f>
        <v/>
      </c>
      <c r="DU38" t="n">
        <v>37</v>
      </c>
      <c r="DV38" s="45">
        <f>(DX38/DW38-1)*100</f>
        <v/>
      </c>
      <c r="DW38">
        <f>DW37</f>
        <v/>
      </c>
      <c r="DX38" t="n">
        <v>5.52</v>
      </c>
      <c r="DZ38">
        <f>ROUND( 100+DV38,0)</f>
        <v/>
      </c>
      <c r="EB38" t="n">
        <v>37</v>
      </c>
      <c r="EC38" s="50">
        <f>(EE38/$ED$2-1)*100</f>
        <v/>
      </c>
      <c r="ED38">
        <f>ED37</f>
        <v/>
      </c>
      <c r="EE38" t="n">
        <v>5.68</v>
      </c>
      <c r="EF38" s="43">
        <f>_xlfn.TEXTJOIN("|",TRUE,EC38,EC38,EC38,EC38,EC38,EC38)</f>
        <v/>
      </c>
      <c r="EG38" s="50">
        <f>ROUND( 100+EC38,0)</f>
        <v/>
      </c>
      <c r="EH38" s="43" t="n"/>
      <c r="EJ38" t="n">
        <v>37</v>
      </c>
      <c r="EK38" s="50">
        <f>(EM38/EL38-1)*100</f>
        <v/>
      </c>
      <c r="EL38">
        <f>EL37</f>
        <v/>
      </c>
      <c r="EM38" t="n">
        <v>4.6</v>
      </c>
      <c r="EN38" s="43">
        <f>EK38&amp;"|"&amp;EK38&amp;"|"&amp;EK38&amp;"|"&amp;EK38&amp;"|"&amp;EK38&amp;"|"&amp;EK38</f>
        <v/>
      </c>
      <c r="EO38" s="50">
        <f>ROUND( 100+EK38,0)</f>
        <v/>
      </c>
      <c r="EP38" s="50" t="n"/>
      <c r="EQ38" s="50" t="n"/>
      <c r="ER38" s="50">
        <f>(ET38/ES38-1)*100</f>
        <v/>
      </c>
      <c r="ES38" s="50">
        <f>ES37</f>
        <v/>
      </c>
      <c r="ET38" t="n">
        <v>6.9</v>
      </c>
      <c r="EU38" s="50" t="n"/>
      <c r="EV38" s="50">
        <f>ROUND( 100+ER38,0)</f>
        <v/>
      </c>
      <c r="EW38" s="50">
        <f>(EX38/EY38-1)*100</f>
        <v/>
      </c>
      <c r="EX38" t="n">
        <v>5.98</v>
      </c>
      <c r="EY38">
        <f>EY37</f>
        <v/>
      </c>
      <c r="EZ38" t="n">
        <v>156.4</v>
      </c>
      <c r="FA38" t="n">
        <v>4.23199999999999</v>
      </c>
      <c r="FB38" s="50">
        <f>ROUND( 100+EW38,0)</f>
        <v/>
      </c>
      <c r="FC38">
        <f>EW38&amp;"|"&amp;EZ38&amp;"|"&amp;FA38</f>
        <v/>
      </c>
      <c r="FE38" t="n">
        <v>37</v>
      </c>
      <c r="FF38" s="50">
        <f>(FH38/FG38-1)*100</f>
        <v/>
      </c>
      <c r="FG38">
        <f>FG37</f>
        <v/>
      </c>
      <c r="FH38">
        <f>2*(1+FE37*0.1)</f>
        <v/>
      </c>
      <c r="FJ38" t="n">
        <v>37</v>
      </c>
      <c r="FK38" s="50">
        <f>(FN38/FM38-1)*100</f>
        <v/>
      </c>
      <c r="FL38" s="50">
        <f>FL37</f>
        <v/>
      </c>
      <c r="FM38">
        <f>FM37</f>
        <v/>
      </c>
      <c r="FN38">
        <f>2*(1+FJ37*0.1)</f>
        <v/>
      </c>
      <c r="FP38" t="n">
        <v>37</v>
      </c>
      <c r="FQ38" s="50">
        <f>ROUND((FS38/FR38-1)*100,0)</f>
        <v/>
      </c>
      <c r="FR38">
        <f>FR37</f>
        <v/>
      </c>
      <c r="FS38">
        <f>2*(1+FP37*0.1)</f>
        <v/>
      </c>
      <c r="FT38">
        <f>_xlfn.TEXTJOIN("|",TRUE,FQ38,FQ38,FQ38)</f>
        <v/>
      </c>
    </row>
    <row r="39">
      <c r="G39" t="n">
        <v>38</v>
      </c>
      <c r="H39">
        <f>(J39/I39-1)*100</f>
        <v/>
      </c>
      <c r="I39">
        <f>I38</f>
        <v/>
      </c>
      <c r="J39" t="n">
        <v>5.44</v>
      </c>
      <c r="K39" s="49">
        <f>H39&amp;"|"&amp;H39&amp;"|"&amp;H39&amp;"|"&amp;H39&amp;"|"&amp;H39</f>
        <v/>
      </c>
      <c r="L39">
        <f>ROUND( 100+H39,0)</f>
        <v/>
      </c>
      <c r="M39" s="49" t="n"/>
      <c r="N39" s="49" t="n">
        <v>38</v>
      </c>
      <c r="O39">
        <f>(Q39/P39-1)*100</f>
        <v/>
      </c>
      <c r="P39">
        <f>P38</f>
        <v/>
      </c>
      <c r="Q39" t="n">
        <v>5.27</v>
      </c>
      <c r="R39" s="49">
        <f>O39&amp;"|"&amp;O39&amp;"|"&amp;O39</f>
        <v/>
      </c>
      <c r="S39">
        <f>ROUND( 100+O39,0)</f>
        <v/>
      </c>
      <c r="U39" t="n">
        <v>38</v>
      </c>
      <c r="V39">
        <f>(X39/W39-1)*100</f>
        <v/>
      </c>
      <c r="W39">
        <f>W38</f>
        <v/>
      </c>
      <c r="X39" t="n">
        <v>8.029999999999999</v>
      </c>
      <c r="Y39" s="49">
        <f>V39&amp;"|"&amp;V39&amp;"|"&amp;V39&amp;"|"&amp;V39&amp;"|"&amp;V39&amp;"|"&amp;V39&amp;"|"&amp;V39&amp;"|"&amp;V39</f>
        <v/>
      </c>
      <c r="Z39">
        <f>ROUND( 100+V39,0)</f>
        <v/>
      </c>
      <c r="AA39">
        <f>1.38*U39-39.38</f>
        <v/>
      </c>
      <c r="AC39" t="n">
        <v>38</v>
      </c>
      <c r="AD39">
        <f>(AF39/AE39-1)*100</f>
        <v/>
      </c>
      <c r="AE39" t="n">
        <v>1</v>
      </c>
      <c r="AF39" t="n">
        <v>6.73</v>
      </c>
      <c r="AH39">
        <f>ROUND( 100+AD39,0)</f>
        <v/>
      </c>
      <c r="AJ39" t="n">
        <v>38</v>
      </c>
      <c r="AL39" t="n">
        <v>4700</v>
      </c>
      <c r="AM39" t="n">
        <v>20.5</v>
      </c>
      <c r="AO39">
        <f>_xlfn.TEXTJOIN("|",TRUE,AL39:AM39)</f>
        <v/>
      </c>
      <c r="AR39" t="n">
        <v>38</v>
      </c>
      <c r="AS39">
        <f>(AU39/AT39-1)*100</f>
        <v/>
      </c>
      <c r="AT39">
        <f>AT38</f>
        <v/>
      </c>
      <c r="AU39" t="n">
        <v>4.7</v>
      </c>
      <c r="AV39">
        <f>ROUND( 100+AS39,0)</f>
        <v/>
      </c>
      <c r="AW39" s="45" t="n"/>
      <c r="AX39" s="45" t="n">
        <v>38</v>
      </c>
      <c r="AY39" s="45">
        <f>(BA39/$AZ$2-1)*100</f>
        <v/>
      </c>
      <c r="AZ39" s="45" t="n"/>
      <c r="BA39" s="45" t="n">
        <v>9.400000000000009</v>
      </c>
      <c r="BB39">
        <f>ROUND( 100+AY39,0)</f>
        <v/>
      </c>
      <c r="BD39" t="n">
        <v>4100</v>
      </c>
      <c r="BE39" s="50" t="inlineStr">
        <is>
          <t>17</t>
        </is>
      </c>
      <c r="BF39">
        <f>BD39&amp;"|"&amp;BE39</f>
        <v/>
      </c>
      <c r="BH39" t="n">
        <v>38</v>
      </c>
      <c r="BI39" s="45">
        <f>(BK39/BJ39-1)*100</f>
        <v/>
      </c>
      <c r="BJ39">
        <f>BJ38</f>
        <v/>
      </c>
      <c r="BK39" t="n">
        <v>7.62000000000001</v>
      </c>
      <c r="BL39" s="43">
        <f>_xlfn.TEXTJOIN("|",TRUE,BI39,BI39,BI39,BI39,BI39)</f>
        <v/>
      </c>
      <c r="BM39">
        <f>ROUND( 100+BI39,0)</f>
        <v/>
      </c>
      <c r="BN39" s="50">
        <f>BM39/10</f>
        <v/>
      </c>
      <c r="BO39" s="50">
        <f>1.5*BM39/10</f>
        <v/>
      </c>
      <c r="BP39" s="50">
        <f>2*BM39/10</f>
        <v/>
      </c>
      <c r="BQ39" s="50">
        <f>2.5*BM39/10</f>
        <v/>
      </c>
      <c r="BR39" s="50">
        <f>3*BM39/10</f>
        <v/>
      </c>
      <c r="BT39" t="n">
        <v>38</v>
      </c>
      <c r="BU39">
        <f>(BW39/$BV$2-1)*100</f>
        <v/>
      </c>
      <c r="BW39" t="n">
        <v>8.4</v>
      </c>
      <c r="BX39" s="49">
        <f>CA39&amp;"|"&amp;CB39</f>
        <v/>
      </c>
      <c r="BY39">
        <f>ROUND( 100+BU39,0)</f>
        <v/>
      </c>
      <c r="BZ39">
        <f>2*BU39</f>
        <v/>
      </c>
      <c r="CA39" s="50">
        <f>BZ39/3</f>
        <v/>
      </c>
      <c r="CB39" s="50">
        <f>CA39*2</f>
        <v/>
      </c>
      <c r="CD39" t="n">
        <v>38</v>
      </c>
      <c r="CE39" s="50">
        <f>((CG39/$CF$2-1)*100)</f>
        <v/>
      </c>
      <c r="CG39" t="n">
        <v>4.7</v>
      </c>
      <c r="CH39" s="55">
        <f>CE39</f>
        <v/>
      </c>
      <c r="CI39">
        <f>ROUND( 100+CE39,0)</f>
        <v/>
      </c>
      <c r="CJ39" s="15" t="n"/>
      <c r="CK39" s="15" t="n">
        <v>38</v>
      </c>
      <c r="CL39" s="15">
        <f>(CN39/$CF$2-1)*100</f>
        <v/>
      </c>
      <c r="CM39" s="15" t="n"/>
      <c r="CN39" s="15">
        <f>0.08*CK39+3.92</f>
        <v/>
      </c>
      <c r="CO39" s="55">
        <f>CL39</f>
        <v/>
      </c>
      <c r="CP39" t="n">
        <v>235</v>
      </c>
      <c r="CQ39" t="n">
        <v>62</v>
      </c>
      <c r="CR39">
        <f>CP39&amp;"|"&amp;CQ39</f>
        <v/>
      </c>
      <c r="CT39" s="26" t="n"/>
      <c r="CV39" s="50" t="n">
        <v>66</v>
      </c>
      <c r="CW39" t="n">
        <v>38</v>
      </c>
      <c r="CX39">
        <f>DA39&amp;"|"&amp;DA39&amp;"|"&amp;DA39&amp;"|"&amp;DA39&amp;"|"&amp;DA39</f>
        <v/>
      </c>
      <c r="CY39" t="n">
        <v>4.2</v>
      </c>
      <c r="CZ39">
        <f>CZ38</f>
        <v/>
      </c>
      <c r="DA39">
        <f>(CY39/CZ39-1)*100</f>
        <v/>
      </c>
      <c r="DB39" s="50">
        <f>ROUND( 100+DA39,0)</f>
        <v/>
      </c>
      <c r="DC39" t="n">
        <v>32.2</v>
      </c>
      <c r="DD39">
        <f>_xlfn.TEXTJOIN("|",TRUE,DB39:DC39)</f>
        <v/>
      </c>
      <c r="DF39" t="n">
        <v>38</v>
      </c>
      <c r="DG39" t="n">
        <v>770</v>
      </c>
      <c r="DI39" s="50" t="n">
        <v>-63</v>
      </c>
      <c r="DJ39" s="50" t="n">
        <v>-61</v>
      </c>
      <c r="DK39" s="45" t="n"/>
      <c r="DL39" s="45" t="n">
        <v>38</v>
      </c>
      <c r="DM39">
        <f>(DO39/$DN$2-1)*100</f>
        <v/>
      </c>
      <c r="DN39" s="45" t="n"/>
      <c r="DO39" s="45" t="n">
        <v>6.75000000000001</v>
      </c>
      <c r="DP39" s="52" t="n">
        <v>-62</v>
      </c>
      <c r="DQ39" s="50">
        <f>ROUND( 100+DM39,0)</f>
        <v/>
      </c>
      <c r="DR39" s="50">
        <f>ROUND( 100+DP39,0)</f>
        <v/>
      </c>
      <c r="DS39">
        <f>_xlfn.TEXTJOIN("|",TRUE,DQ39:DR39)</f>
        <v/>
      </c>
      <c r="DU39" t="n">
        <v>38</v>
      </c>
      <c r="DV39" s="45">
        <f>(DX39/DW39-1)*100</f>
        <v/>
      </c>
      <c r="DW39">
        <f>DW38</f>
        <v/>
      </c>
      <c r="DX39" t="n">
        <v>5.64</v>
      </c>
      <c r="DZ39">
        <f>ROUND( 100+DV39,0)</f>
        <v/>
      </c>
      <c r="EB39" t="n">
        <v>38</v>
      </c>
      <c r="EC39" s="50">
        <f>(EE39/$ED$2-1)*100</f>
        <v/>
      </c>
      <c r="ED39">
        <f>ED38</f>
        <v/>
      </c>
      <c r="EE39" t="n">
        <v>5.81</v>
      </c>
      <c r="EF39" s="43">
        <f>_xlfn.TEXTJOIN("|",TRUE,EC39,EC39,EC39,EC39,EC39,EC39)</f>
        <v/>
      </c>
      <c r="EG39" s="50">
        <f>ROUND( 100+EC39,0)</f>
        <v/>
      </c>
      <c r="EH39" s="43" t="n"/>
      <c r="EJ39" t="n">
        <v>38</v>
      </c>
      <c r="EK39" s="50">
        <f>(EM39/EL39-1)*100</f>
        <v/>
      </c>
      <c r="EL39">
        <f>EL38</f>
        <v/>
      </c>
      <c r="EM39" t="n">
        <v>4.7</v>
      </c>
      <c r="EN39" s="43">
        <f>EK39&amp;"|"&amp;EK39&amp;"|"&amp;EK39&amp;"|"&amp;EK39&amp;"|"&amp;EK39&amp;"|"&amp;EK39</f>
        <v/>
      </c>
      <c r="EO39" s="50">
        <f>ROUND( 100+EK39,0)</f>
        <v/>
      </c>
      <c r="EP39" s="50" t="n"/>
      <c r="EQ39" s="50" t="n"/>
      <c r="ER39" s="50">
        <f>(ET39/ES39-1)*100</f>
        <v/>
      </c>
      <c r="ES39" s="50">
        <f>ES38</f>
        <v/>
      </c>
      <c r="ET39" t="n">
        <v>7.05</v>
      </c>
      <c r="EU39" s="50" t="n"/>
      <c r="EV39" s="50">
        <f>ROUND( 100+ER39,0)</f>
        <v/>
      </c>
      <c r="EW39" s="50">
        <f>(EX39/EY39-1)*100</f>
        <v/>
      </c>
      <c r="EX39" t="n">
        <v>6.11</v>
      </c>
      <c r="EY39">
        <f>EY38</f>
        <v/>
      </c>
      <c r="EZ39" t="n">
        <v>159.8</v>
      </c>
      <c r="FA39" t="n">
        <v>4.29399999999999</v>
      </c>
      <c r="FB39" s="50">
        <f>ROUND( 100+EW39,0)</f>
        <v/>
      </c>
      <c r="FC39">
        <f>EW39&amp;"|"&amp;EZ39&amp;"|"&amp;FA39</f>
        <v/>
      </c>
      <c r="FE39" t="n">
        <v>38</v>
      </c>
      <c r="FF39" s="50">
        <f>(FH39/FG39-1)*100</f>
        <v/>
      </c>
      <c r="FG39">
        <f>FG38</f>
        <v/>
      </c>
      <c r="FH39">
        <f>2*(1+FE38*0.1)</f>
        <v/>
      </c>
      <c r="FJ39" t="n">
        <v>38</v>
      </c>
      <c r="FK39" s="50">
        <f>(FN39/FM39-1)*100</f>
        <v/>
      </c>
      <c r="FL39" s="50">
        <f>FL38</f>
        <v/>
      </c>
      <c r="FM39">
        <f>FM38</f>
        <v/>
      </c>
      <c r="FN39">
        <f>2*(1+FJ38*0.1)</f>
        <v/>
      </c>
      <c r="FP39" t="n">
        <v>38</v>
      </c>
      <c r="FQ39" s="50">
        <f>ROUND((FS39/FR39-1)*100,0)</f>
        <v/>
      </c>
      <c r="FR39">
        <f>FR38</f>
        <v/>
      </c>
      <c r="FS39">
        <f>2*(1+FP38*0.1)</f>
        <v/>
      </c>
      <c r="FT39">
        <f>_xlfn.TEXTJOIN("|",TRUE,FQ39,FQ39,FQ39)</f>
        <v/>
      </c>
    </row>
    <row r="40">
      <c r="G40" t="n">
        <v>39</v>
      </c>
      <c r="H40">
        <f>(J40/I40-1)*100</f>
        <v/>
      </c>
      <c r="I40">
        <f>I39</f>
        <v/>
      </c>
      <c r="J40" t="n">
        <v>5.56</v>
      </c>
      <c r="K40" s="49">
        <f>H40&amp;"|"&amp;H40&amp;"|"&amp;H40&amp;"|"&amp;H40&amp;"|"&amp;H40</f>
        <v/>
      </c>
      <c r="L40">
        <f>ROUND( 100+H40,0)</f>
        <v/>
      </c>
      <c r="M40" s="49" t="n"/>
      <c r="N40" s="49" t="n">
        <v>39</v>
      </c>
      <c r="O40">
        <f>(Q40/P40-1)*100</f>
        <v/>
      </c>
      <c r="P40">
        <f>P39</f>
        <v/>
      </c>
      <c r="Q40" t="n">
        <v>5.38</v>
      </c>
      <c r="R40" s="49">
        <f>O40&amp;"|"&amp;O40&amp;"|"&amp;O40</f>
        <v/>
      </c>
      <c r="S40">
        <f>ROUND( 100+O40,0)</f>
        <v/>
      </c>
      <c r="U40" t="n">
        <v>39</v>
      </c>
      <c r="V40">
        <f>(X40/W40-1)*100</f>
        <v/>
      </c>
      <c r="W40">
        <f>W39</f>
        <v/>
      </c>
      <c r="X40" t="n">
        <v>8.220000000000001</v>
      </c>
      <c r="Y40" s="49">
        <f>V40&amp;"|"&amp;V40&amp;"|"&amp;V40&amp;"|"&amp;V40&amp;"|"&amp;V40&amp;"|"&amp;V40&amp;"|"&amp;V40&amp;"|"&amp;V40</f>
        <v/>
      </c>
      <c r="Z40">
        <f>ROUND( 100+V40,0)</f>
        <v/>
      </c>
      <c r="AA40">
        <f>1.38*U40-39.38</f>
        <v/>
      </c>
      <c r="AC40" t="n">
        <v>39</v>
      </c>
      <c r="AD40">
        <f>(AF40/AE40-1)*100</f>
        <v/>
      </c>
      <c r="AE40" t="n">
        <v>1</v>
      </c>
      <c r="AF40" t="n">
        <v>6.87</v>
      </c>
      <c r="AH40">
        <f>ROUND( 100+AD40,0)</f>
        <v/>
      </c>
      <c r="AJ40" t="n">
        <v>39</v>
      </c>
      <c r="AL40" t="n">
        <v>4800</v>
      </c>
      <c r="AM40" t="n">
        <v>21</v>
      </c>
      <c r="AO40">
        <f>_xlfn.TEXTJOIN("|",TRUE,AL40:AM40)</f>
        <v/>
      </c>
      <c r="AR40" t="n">
        <v>39</v>
      </c>
      <c r="AS40">
        <f>(AU40/AT40-1)*100</f>
        <v/>
      </c>
      <c r="AT40">
        <f>AT39</f>
        <v/>
      </c>
      <c r="AU40" t="n">
        <v>4.8</v>
      </c>
      <c r="AV40">
        <f>ROUND( 100+AS40,0)</f>
        <v/>
      </c>
      <c r="AW40" s="45" t="n"/>
      <c r="AX40" s="45" t="n">
        <v>39</v>
      </c>
      <c r="AY40" s="45">
        <f>(BA40/$AZ$2-1)*100</f>
        <v/>
      </c>
      <c r="AZ40" s="45" t="n"/>
      <c r="BA40" s="45" t="n">
        <v>9.60000000000001</v>
      </c>
      <c r="BB40">
        <f>ROUND( 100+AY40,0)</f>
        <v/>
      </c>
      <c r="BD40" t="n">
        <v>4200</v>
      </c>
      <c r="BE40" s="50" t="inlineStr">
        <is>
          <t>17</t>
        </is>
      </c>
      <c r="BF40">
        <f>BD40&amp;"|"&amp;BE40</f>
        <v/>
      </c>
      <c r="BH40" t="n">
        <v>39</v>
      </c>
      <c r="BI40" s="45">
        <f>(BK40/BJ40-1)*100</f>
        <v/>
      </c>
      <c r="BJ40">
        <f>BJ39</f>
        <v/>
      </c>
      <c r="BK40" t="n">
        <v>7.78000000000001</v>
      </c>
      <c r="BL40" s="43">
        <f>_xlfn.TEXTJOIN("|",TRUE,BI40,BI40,BI40,BI40,BI40)</f>
        <v/>
      </c>
      <c r="BM40">
        <f>ROUND( 100+BI40,0)</f>
        <v/>
      </c>
      <c r="BN40" s="50">
        <f>BM40/10</f>
        <v/>
      </c>
      <c r="BO40" s="50">
        <f>1.5*BM40/10</f>
        <v/>
      </c>
      <c r="BP40" s="50">
        <f>2*BM40/10</f>
        <v/>
      </c>
      <c r="BQ40" s="50">
        <f>2.5*BM40/10</f>
        <v/>
      </c>
      <c r="BR40" s="50">
        <f>3*BM40/10</f>
        <v/>
      </c>
      <c r="BT40" t="n">
        <v>39</v>
      </c>
      <c r="BU40">
        <f>(BW40/$BV$2-1)*100</f>
        <v/>
      </c>
      <c r="BW40" t="n">
        <v>8.6</v>
      </c>
      <c r="BX40" s="49">
        <f>CA40&amp;"|"&amp;CB40</f>
        <v/>
      </c>
      <c r="BY40">
        <f>ROUND( 100+BU40,0)</f>
        <v/>
      </c>
      <c r="BZ40">
        <f>2*BU40</f>
        <v/>
      </c>
      <c r="CA40" s="50">
        <f>BZ40/3</f>
        <v/>
      </c>
      <c r="CB40" s="50">
        <f>CA40*2</f>
        <v/>
      </c>
      <c r="CD40" t="n">
        <v>39</v>
      </c>
      <c r="CE40" s="50">
        <f>((CG40/$CF$2-1)*100)</f>
        <v/>
      </c>
      <c r="CG40" t="n">
        <v>4.8</v>
      </c>
      <c r="CH40" s="55">
        <f>CE40</f>
        <v/>
      </c>
      <c r="CI40">
        <f>ROUND( 100+CE40,0)</f>
        <v/>
      </c>
      <c r="CJ40" s="15" t="n"/>
      <c r="CK40" s="15" t="n">
        <v>39</v>
      </c>
      <c r="CL40" s="15">
        <f>(CN40/$CF$2-1)*100</f>
        <v/>
      </c>
      <c r="CM40" s="15" t="n"/>
      <c r="CN40" s="15">
        <f>0.08*CK40+3.92</f>
        <v/>
      </c>
      <c r="CO40" s="55">
        <f>CL40</f>
        <v/>
      </c>
      <c r="CP40" t="n">
        <v>240</v>
      </c>
      <c r="CQ40" t="n">
        <v>61</v>
      </c>
      <c r="CR40">
        <f>CP40&amp;"|"&amp;CQ40</f>
        <v/>
      </c>
      <c r="CT40" s="26" t="n"/>
      <c r="CV40" s="50" t="n">
        <v>67</v>
      </c>
      <c r="CW40" t="n">
        <v>39</v>
      </c>
      <c r="CX40">
        <f>DA40&amp;"|"&amp;DA40&amp;"|"&amp;DA40&amp;"|"&amp;DA40&amp;"|"&amp;DA40</f>
        <v/>
      </c>
      <c r="CY40" t="n">
        <v>4.3</v>
      </c>
      <c r="CZ40">
        <f>CZ39</f>
        <v/>
      </c>
      <c r="DA40">
        <f>(CY40/CZ40-1)*100</f>
        <v/>
      </c>
      <c r="DB40" s="50">
        <f>ROUND( 100+DA40,0)</f>
        <v/>
      </c>
      <c r="DC40" t="n">
        <v>32.8</v>
      </c>
      <c r="DD40">
        <f>_xlfn.TEXTJOIN("|",TRUE,DB40:DC40)</f>
        <v/>
      </c>
      <c r="DF40" t="n">
        <v>39</v>
      </c>
      <c r="DG40" t="n">
        <v>780</v>
      </c>
      <c r="DI40" s="50" t="n">
        <v>-62</v>
      </c>
      <c r="DJ40" s="50" t="n">
        <v>-59</v>
      </c>
      <c r="DK40" s="45" t="n"/>
      <c r="DL40" s="45" t="n">
        <v>39</v>
      </c>
      <c r="DM40">
        <f>(DO40/$DN$2-1)*100</f>
        <v/>
      </c>
      <c r="DN40" s="45" t="n"/>
      <c r="DO40" s="45" t="n">
        <v>6.9</v>
      </c>
      <c r="DP40" s="52" t="n">
        <v>-61</v>
      </c>
      <c r="DQ40" s="50">
        <f>ROUND( 100+DM40,0)</f>
        <v/>
      </c>
      <c r="DR40" s="50">
        <f>ROUND( 100+DP40,0)</f>
        <v/>
      </c>
      <c r="DS40">
        <f>_xlfn.TEXTJOIN("|",TRUE,DQ40:DR40)</f>
        <v/>
      </c>
      <c r="DU40" t="n">
        <v>39</v>
      </c>
      <c r="DV40" s="45">
        <f>(DX40/DW40-1)*100</f>
        <v/>
      </c>
      <c r="DW40">
        <f>DW39</f>
        <v/>
      </c>
      <c r="DX40" t="n">
        <v>5.76</v>
      </c>
      <c r="DZ40">
        <f>ROUND( 100+DV40,0)</f>
        <v/>
      </c>
      <c r="EB40" t="n">
        <v>39</v>
      </c>
      <c r="EC40" s="50">
        <f>(EE40/$ED$2-1)*100</f>
        <v/>
      </c>
      <c r="ED40">
        <f>ED39</f>
        <v/>
      </c>
      <c r="EE40" t="n">
        <v>5.94</v>
      </c>
      <c r="EF40" s="43">
        <f>_xlfn.TEXTJOIN("|",TRUE,EC40,EC40,EC40,EC40,EC40,EC40)</f>
        <v/>
      </c>
      <c r="EG40" s="50">
        <f>ROUND( 100+EC40,0)</f>
        <v/>
      </c>
      <c r="EH40" s="43" t="n"/>
      <c r="EJ40" t="n">
        <v>39</v>
      </c>
      <c r="EK40" s="50">
        <f>(EM40/EL40-1)*100</f>
        <v/>
      </c>
      <c r="EL40">
        <f>EL39</f>
        <v/>
      </c>
      <c r="EM40" t="n">
        <v>4.8</v>
      </c>
      <c r="EN40" s="43">
        <f>EK40&amp;"|"&amp;EK40&amp;"|"&amp;EK40&amp;"|"&amp;EK40&amp;"|"&amp;EK40&amp;"|"&amp;EK40</f>
        <v/>
      </c>
      <c r="EO40" s="50">
        <f>ROUND( 100+EK40,0)</f>
        <v/>
      </c>
      <c r="EP40" s="50" t="n"/>
      <c r="EQ40" s="50" t="n"/>
      <c r="ER40" s="50">
        <f>(ET40/ES40-1)*100</f>
        <v/>
      </c>
      <c r="ES40" s="50">
        <f>ES39</f>
        <v/>
      </c>
      <c r="ET40" t="n">
        <v>7.2</v>
      </c>
      <c r="EU40" s="50" t="n"/>
      <c r="EV40" s="50">
        <f>ROUND( 100+ER40,0)</f>
        <v/>
      </c>
      <c r="EW40" s="50">
        <f>(EX40/EY40-1)*100</f>
        <v/>
      </c>
      <c r="EX40" t="n">
        <v>6.24</v>
      </c>
      <c r="EY40">
        <f>EY39</f>
        <v/>
      </c>
      <c r="EZ40" t="n">
        <v>163.2</v>
      </c>
      <c r="FA40" t="n">
        <v>4.35599999999999</v>
      </c>
      <c r="FB40" s="50">
        <f>ROUND( 100+EW40,0)</f>
        <v/>
      </c>
      <c r="FC40">
        <f>EW40&amp;"|"&amp;EZ40&amp;"|"&amp;FA40</f>
        <v/>
      </c>
      <c r="FE40" t="n">
        <v>39</v>
      </c>
      <c r="FF40" s="50">
        <f>(FH40/FG40-1)*100</f>
        <v/>
      </c>
      <c r="FG40">
        <f>FG39</f>
        <v/>
      </c>
      <c r="FH40">
        <f>2*(1+FE39*0.1)</f>
        <v/>
      </c>
      <c r="FJ40" t="n">
        <v>39</v>
      </c>
      <c r="FK40" s="50">
        <f>(FN40/FM40-1)*100</f>
        <v/>
      </c>
      <c r="FL40" s="50">
        <f>FL39</f>
        <v/>
      </c>
      <c r="FM40">
        <f>FM39</f>
        <v/>
      </c>
      <c r="FN40">
        <f>2*(1+FJ39*0.1)</f>
        <v/>
      </c>
      <c r="FP40" t="n">
        <v>39</v>
      </c>
      <c r="FQ40" s="50">
        <f>ROUND((FS40/FR40-1)*100,0)</f>
        <v/>
      </c>
      <c r="FR40">
        <f>FR39</f>
        <v/>
      </c>
      <c r="FS40">
        <f>2*(1+FP39*0.1)</f>
        <v/>
      </c>
      <c r="FT40">
        <f>_xlfn.TEXTJOIN("|",TRUE,FQ40,FQ40,FQ40)</f>
        <v/>
      </c>
    </row>
    <row r="41">
      <c r="G41" t="n">
        <v>40</v>
      </c>
      <c r="H41">
        <f>(J41/I41-1)*100</f>
        <v/>
      </c>
      <c r="I41">
        <f>I40</f>
        <v/>
      </c>
      <c r="J41" t="n">
        <v>5.68</v>
      </c>
      <c r="K41" s="49">
        <f>H41&amp;"|"&amp;H41&amp;"|"&amp;H41&amp;"|"&amp;H41&amp;"|"&amp;H41</f>
        <v/>
      </c>
      <c r="L41">
        <f>ROUND( 100+H41,0)</f>
        <v/>
      </c>
      <c r="M41" s="49" t="n"/>
      <c r="N41" s="49" t="n">
        <v>40</v>
      </c>
      <c r="O41">
        <f>(Q41/P41-1)*100</f>
        <v/>
      </c>
      <c r="P41">
        <f>P40</f>
        <v/>
      </c>
      <c r="Q41" t="n">
        <v>5.49</v>
      </c>
      <c r="R41" s="49">
        <f>O41&amp;"|"&amp;O41&amp;"|"&amp;O41</f>
        <v/>
      </c>
      <c r="S41">
        <f>ROUND( 100+O41,0)</f>
        <v/>
      </c>
      <c r="U41" t="n">
        <v>40</v>
      </c>
      <c r="V41">
        <f>(X41/W41-1)*100</f>
        <v/>
      </c>
      <c r="W41">
        <f>W40</f>
        <v/>
      </c>
      <c r="X41" t="n">
        <v>8.41</v>
      </c>
      <c r="Y41" s="49">
        <f>V41&amp;"|"&amp;V41&amp;"|"&amp;V41&amp;"|"&amp;V41&amp;"|"&amp;V41&amp;"|"&amp;V41&amp;"|"&amp;V41&amp;"|"&amp;V41</f>
        <v/>
      </c>
      <c r="Z41">
        <f>ROUND( 100+V41,0)</f>
        <v/>
      </c>
      <c r="AA41">
        <f>1.38*U41-39.38</f>
        <v/>
      </c>
      <c r="AC41" t="n">
        <v>40</v>
      </c>
      <c r="AD41">
        <f>(AF41/AE41-1)*100</f>
        <v/>
      </c>
      <c r="AE41" t="n">
        <v>1</v>
      </c>
      <c r="AF41" t="n">
        <v>7.01</v>
      </c>
      <c r="AH41">
        <f>ROUND( 100+AD41,0)</f>
        <v/>
      </c>
      <c r="AJ41" t="n">
        <v>40</v>
      </c>
      <c r="AL41" t="n">
        <v>4900</v>
      </c>
      <c r="AM41" t="n">
        <v>21.5</v>
      </c>
      <c r="AO41">
        <f>_xlfn.TEXTJOIN("|",TRUE,AL41:AM41)</f>
        <v/>
      </c>
      <c r="AR41" t="n">
        <v>40</v>
      </c>
      <c r="AS41">
        <f>(AU41/AT41-1)*100</f>
        <v/>
      </c>
      <c r="AT41">
        <f>AT40</f>
        <v/>
      </c>
      <c r="AU41" t="n">
        <v>4.9</v>
      </c>
      <c r="AV41">
        <f>ROUND( 100+AS41,0)</f>
        <v/>
      </c>
      <c r="AW41" s="45" t="n"/>
      <c r="AX41" s="45" t="n">
        <v>40</v>
      </c>
      <c r="AY41" s="45">
        <f>(BA41/$AZ$2-1)*100</f>
        <v/>
      </c>
      <c r="AZ41" s="45" t="n"/>
      <c r="BA41" s="45" t="n">
        <v>9.80000000000001</v>
      </c>
      <c r="BB41">
        <f>ROUND( 100+AY41,0)</f>
        <v/>
      </c>
      <c r="BD41" t="n">
        <v>4300</v>
      </c>
      <c r="BE41" s="50" t="inlineStr">
        <is>
          <t>17</t>
        </is>
      </c>
      <c r="BF41">
        <f>BD41&amp;"|"&amp;BE41</f>
        <v/>
      </c>
      <c r="BH41" t="n">
        <v>40</v>
      </c>
      <c r="BI41" s="45">
        <f>(BK41/BJ41-1)*100</f>
        <v/>
      </c>
      <c r="BJ41">
        <f>BJ40</f>
        <v/>
      </c>
      <c r="BK41" t="n">
        <v>7.94000000000001</v>
      </c>
      <c r="BL41" s="43">
        <f>_xlfn.TEXTJOIN("|",TRUE,BI41,BI41,BI41,BI41,BI41)</f>
        <v/>
      </c>
      <c r="BM41">
        <f>ROUND( 100+BI41,0)</f>
        <v/>
      </c>
      <c r="BN41" s="50">
        <f>BM41/10</f>
        <v/>
      </c>
      <c r="BO41" s="50">
        <f>1.5*BM41/10</f>
        <v/>
      </c>
      <c r="BP41" s="50">
        <f>2*BM41/10</f>
        <v/>
      </c>
      <c r="BQ41" s="50">
        <f>2.5*BM41/10</f>
        <v/>
      </c>
      <c r="BR41" s="50">
        <f>3*BM41/10</f>
        <v/>
      </c>
      <c r="BT41" t="n">
        <v>40</v>
      </c>
      <c r="BU41">
        <f>(BW41/$BV$2-1)*100</f>
        <v/>
      </c>
      <c r="BW41" t="n">
        <v>8.800000000000001</v>
      </c>
      <c r="BX41" s="49">
        <f>CA41&amp;"|"&amp;CB41</f>
        <v/>
      </c>
      <c r="BY41">
        <f>ROUND( 100+BU41,0)</f>
        <v/>
      </c>
      <c r="BZ41">
        <f>2*BU41</f>
        <v/>
      </c>
      <c r="CA41" s="50">
        <f>BZ41/3</f>
        <v/>
      </c>
      <c r="CB41" s="50">
        <f>CA41*2</f>
        <v/>
      </c>
      <c r="CD41" t="n">
        <v>40</v>
      </c>
      <c r="CE41" s="50">
        <f>((CG41/$CF$2-1)*100)</f>
        <v/>
      </c>
      <c r="CG41" t="n">
        <v>4.9</v>
      </c>
      <c r="CH41" s="49">
        <f>CE41</f>
        <v/>
      </c>
      <c r="CI41">
        <f>ROUND( 100+CE41,0)</f>
        <v/>
      </c>
      <c r="CK41" t="n">
        <v>40</v>
      </c>
      <c r="CL41">
        <f>(CN41/$CF$2-1)*100</f>
        <v/>
      </c>
      <c r="CN41">
        <f>0.08*CK41+3.92</f>
        <v/>
      </c>
      <c r="CO41" s="49">
        <f>CL41</f>
        <v/>
      </c>
      <c r="CP41" t="n">
        <v>245</v>
      </c>
      <c r="CQ41" t="n">
        <v>60</v>
      </c>
      <c r="CR41">
        <f>CP41&amp;"|"&amp;CQ41</f>
        <v/>
      </c>
      <c r="CT41" s="26" t="n"/>
      <c r="CV41" s="50" t="n">
        <v>69</v>
      </c>
      <c r="CW41" t="n">
        <v>40</v>
      </c>
      <c r="CX41">
        <f>DA41&amp;"|"&amp;DA41&amp;"|"&amp;DA41&amp;"|"&amp;DA41&amp;"|"&amp;DA41</f>
        <v/>
      </c>
      <c r="CY41" t="n">
        <v>4.4</v>
      </c>
      <c r="CZ41">
        <f>CZ40</f>
        <v/>
      </c>
      <c r="DA41">
        <f>(CY41/CZ41-1)*100</f>
        <v/>
      </c>
      <c r="DB41" s="50">
        <f>ROUND( 100+DA41,0)</f>
        <v/>
      </c>
      <c r="DC41" t="n">
        <v>33.4</v>
      </c>
      <c r="DD41">
        <f>_xlfn.TEXTJOIN("|",TRUE,DB41:DC41)</f>
        <v/>
      </c>
      <c r="DF41" t="n">
        <v>40</v>
      </c>
      <c r="DG41" t="n">
        <v>790</v>
      </c>
      <c r="DI41" s="50" t="n">
        <v>-62</v>
      </c>
      <c r="DJ41" s="50" t="n">
        <v>-59</v>
      </c>
      <c r="DK41" s="45" t="n"/>
      <c r="DL41" s="45" t="n">
        <v>40</v>
      </c>
      <c r="DM41">
        <f>(DO41/$DN$2-1)*100</f>
        <v/>
      </c>
      <c r="DN41" s="45" t="n"/>
      <c r="DO41" s="45" t="n">
        <v>7.05</v>
      </c>
      <c r="DP41" s="52" t="n">
        <v>-60</v>
      </c>
      <c r="DQ41" s="50">
        <f>ROUND( 100+DM41,0)</f>
        <v/>
      </c>
      <c r="DR41" s="50">
        <f>ROUND( 100+DP41,0)</f>
        <v/>
      </c>
      <c r="DS41">
        <f>_xlfn.TEXTJOIN("|",TRUE,DQ41:DR41)</f>
        <v/>
      </c>
      <c r="DU41" t="n">
        <v>40</v>
      </c>
      <c r="DV41" s="45">
        <f>(DX41/DW41-1)*100</f>
        <v/>
      </c>
      <c r="DW41">
        <f>DW40</f>
        <v/>
      </c>
      <c r="DX41" t="n">
        <v>5.88</v>
      </c>
      <c r="DZ41">
        <f>ROUND( 100+DV41,0)</f>
        <v/>
      </c>
      <c r="EB41" t="n">
        <v>40</v>
      </c>
      <c r="EC41" s="50">
        <f>(EE41/$ED$2-1)*100</f>
        <v/>
      </c>
      <c r="ED41">
        <f>ED40</f>
        <v/>
      </c>
      <c r="EE41" t="n">
        <v>6.07</v>
      </c>
      <c r="EF41" s="43">
        <f>_xlfn.TEXTJOIN("|",TRUE,EC41,EC41,EC41,EC41,EC41,EC41)</f>
        <v/>
      </c>
      <c r="EG41" s="50">
        <f>ROUND( 100+EC41,0)</f>
        <v/>
      </c>
      <c r="EH41" s="43" t="n"/>
      <c r="EJ41" t="n">
        <v>40</v>
      </c>
      <c r="EK41" s="50">
        <f>(EM41/EL41-1)*100</f>
        <v/>
      </c>
      <c r="EL41">
        <f>EL40</f>
        <v/>
      </c>
      <c r="EM41" t="n">
        <v>4.9</v>
      </c>
      <c r="EN41" s="43">
        <f>EK41&amp;"|"&amp;EK41&amp;"|"&amp;EK41&amp;"|"&amp;EK41&amp;"|"&amp;EK41&amp;"|"&amp;EK41</f>
        <v/>
      </c>
      <c r="EO41" s="50">
        <f>ROUND( 100+EK41,0)</f>
        <v/>
      </c>
      <c r="EP41" s="50" t="n"/>
      <c r="EQ41" s="50" t="n"/>
      <c r="ER41" s="50">
        <f>(ET41/ES41-1)*100</f>
        <v/>
      </c>
      <c r="ES41" s="50">
        <f>ES40</f>
        <v/>
      </c>
      <c r="ET41" t="n">
        <v>7.35</v>
      </c>
      <c r="EU41" s="50" t="n"/>
      <c r="EV41" s="50">
        <f>ROUND( 100+ER41,0)</f>
        <v/>
      </c>
      <c r="EW41" s="50">
        <f>(EX41/EY41-1)*100</f>
        <v/>
      </c>
      <c r="EX41" t="n">
        <v>6.37</v>
      </c>
      <c r="EY41">
        <f>EY40</f>
        <v/>
      </c>
      <c r="EZ41" t="n">
        <v>166.6</v>
      </c>
      <c r="FA41" t="n">
        <v>4.41799999999999</v>
      </c>
      <c r="FB41" s="50">
        <f>ROUND( 100+EW41,0)</f>
        <v/>
      </c>
      <c r="FC41">
        <f>EW41&amp;"|"&amp;EZ41&amp;"|"&amp;FA41</f>
        <v/>
      </c>
      <c r="FE41" t="n">
        <v>40</v>
      </c>
      <c r="FF41" s="50">
        <f>(FH41/FG41-1)*100</f>
        <v/>
      </c>
      <c r="FG41">
        <f>FG40</f>
        <v/>
      </c>
      <c r="FH41">
        <f>2*(1+FE40*0.1)</f>
        <v/>
      </c>
      <c r="FJ41" t="n">
        <v>40</v>
      </c>
      <c r="FK41" s="50">
        <f>(FN41/FM41-1)*100</f>
        <v/>
      </c>
      <c r="FL41" s="50">
        <f>FL40</f>
        <v/>
      </c>
      <c r="FM41">
        <f>FM40</f>
        <v/>
      </c>
      <c r="FN41">
        <f>2*(1+FJ40*0.1)</f>
        <v/>
      </c>
      <c r="FP41" t="n">
        <v>40</v>
      </c>
      <c r="FQ41" s="50">
        <f>ROUND((FS41/FR41-1)*100,0)</f>
        <v/>
      </c>
      <c r="FR41">
        <f>FR40</f>
        <v/>
      </c>
      <c r="FS41">
        <f>2*(1+FP40*0.1)</f>
        <v/>
      </c>
      <c r="FT41">
        <f>_xlfn.TEXTJOIN("|",TRUE,FQ41,FQ41,FQ41)</f>
        <v/>
      </c>
    </row>
    <row r="42">
      <c r="G42" t="n">
        <v>41</v>
      </c>
      <c r="H42">
        <f>(J42/I42-1)*100</f>
        <v/>
      </c>
      <c r="I42">
        <f>I41</f>
        <v/>
      </c>
      <c r="J42" t="n">
        <v>5.8</v>
      </c>
      <c r="K42" s="49">
        <f>H42&amp;"|"&amp;H42&amp;"|"&amp;H42&amp;"|"&amp;H42&amp;"|"&amp;H42</f>
        <v/>
      </c>
      <c r="L42">
        <f>ROUND( 100+H42,0)</f>
        <v/>
      </c>
      <c r="M42" s="49" t="n"/>
      <c r="N42" s="49" t="n">
        <v>41</v>
      </c>
      <c r="O42">
        <f>(Q42/P42-1)*100</f>
        <v/>
      </c>
      <c r="P42">
        <f>P41</f>
        <v/>
      </c>
      <c r="Q42" t="n">
        <v>5.6</v>
      </c>
      <c r="R42" s="49">
        <f>O42&amp;"|"&amp;O42&amp;"|"&amp;O42</f>
        <v/>
      </c>
      <c r="S42">
        <f>ROUND( 100+O42,0)</f>
        <v/>
      </c>
      <c r="U42" t="n">
        <v>41</v>
      </c>
      <c r="V42">
        <f>(X42/W42-1)*100</f>
        <v/>
      </c>
      <c r="W42">
        <f>W41</f>
        <v/>
      </c>
      <c r="X42" t="n">
        <v>8.6</v>
      </c>
      <c r="Y42" s="49">
        <f>V42&amp;"|"&amp;V42&amp;"|"&amp;V42&amp;"|"&amp;V42&amp;"|"&amp;V42&amp;"|"&amp;V42&amp;"|"&amp;V42&amp;"|"&amp;V42</f>
        <v/>
      </c>
      <c r="Z42">
        <f>ROUND( 100+V42,0)</f>
        <v/>
      </c>
      <c r="AA42">
        <f>1.38*U42-39.38</f>
        <v/>
      </c>
      <c r="AC42" t="n">
        <v>41</v>
      </c>
      <c r="AD42">
        <f>(AF42/AE42-1)*100</f>
        <v/>
      </c>
      <c r="AE42" t="n">
        <v>1</v>
      </c>
      <c r="AF42" t="n">
        <v>7.15</v>
      </c>
      <c r="AH42">
        <f>ROUND( 100+AD42,0)</f>
        <v/>
      </c>
      <c r="AJ42" t="n">
        <v>41</v>
      </c>
      <c r="AL42" t="n">
        <v>5000</v>
      </c>
      <c r="AM42" t="n">
        <v>22</v>
      </c>
      <c r="AO42">
        <f>_xlfn.TEXTJOIN("|",TRUE,AL42:AM42)</f>
        <v/>
      </c>
      <c r="AR42" t="n">
        <v>41</v>
      </c>
      <c r="AS42">
        <f>(AU42/AT42-1)*100</f>
        <v/>
      </c>
      <c r="AT42">
        <f>AT41</f>
        <v/>
      </c>
      <c r="AU42" t="n">
        <v>5</v>
      </c>
      <c r="AV42">
        <f>ROUND( 100+AS42,0)</f>
        <v/>
      </c>
      <c r="AW42" s="45" t="n"/>
      <c r="AX42" s="45" t="n">
        <v>41</v>
      </c>
      <c r="AY42" s="45">
        <f>(BA42/$AZ$2-1)*100</f>
        <v/>
      </c>
      <c r="AZ42" s="45" t="n"/>
      <c r="BA42" s="45" t="n">
        <v>10</v>
      </c>
      <c r="BB42">
        <f>ROUND( 100+AY42,0)</f>
        <v/>
      </c>
      <c r="BD42" t="n">
        <v>4400</v>
      </c>
      <c r="BE42" s="50" t="inlineStr">
        <is>
          <t>18</t>
        </is>
      </c>
      <c r="BF42">
        <f>BD42&amp;"|"&amp;BE42</f>
        <v/>
      </c>
      <c r="BH42" t="n">
        <v>41</v>
      </c>
      <c r="BI42" s="45">
        <f>(BK42/BJ42-1)*100</f>
        <v/>
      </c>
      <c r="BJ42">
        <f>BJ41</f>
        <v/>
      </c>
      <c r="BK42" t="n">
        <v>8.10000000000001</v>
      </c>
      <c r="BL42" s="43">
        <f>_xlfn.TEXTJOIN("|",TRUE,BI42,BI42,BI42,BI42,BI42)</f>
        <v/>
      </c>
      <c r="BM42">
        <f>ROUND( 100+BI42,0)</f>
        <v/>
      </c>
      <c r="BN42" s="50">
        <f>BM42/10</f>
        <v/>
      </c>
      <c r="BO42" s="50">
        <f>1.5*BM42/10</f>
        <v/>
      </c>
      <c r="BP42" s="50">
        <f>2*BM42/10</f>
        <v/>
      </c>
      <c r="BQ42" s="50">
        <f>2.5*BM42/10</f>
        <v/>
      </c>
      <c r="BR42" s="50">
        <f>3*BM42/10</f>
        <v/>
      </c>
      <c r="BT42" t="n">
        <v>41</v>
      </c>
      <c r="BU42">
        <f>(BW42/$BV$2-1)*100</f>
        <v/>
      </c>
      <c r="BW42" t="n">
        <v>9</v>
      </c>
      <c r="BX42" s="49">
        <f>CA42&amp;"|"&amp;CB42</f>
        <v/>
      </c>
      <c r="BY42">
        <f>ROUND( 100+BU42,0)</f>
        <v/>
      </c>
      <c r="BZ42">
        <f>2*BU42</f>
        <v/>
      </c>
      <c r="CA42" s="50">
        <f>BZ42/3</f>
        <v/>
      </c>
      <c r="CB42" s="50">
        <f>CA42*2</f>
        <v/>
      </c>
      <c r="CD42" t="n">
        <v>41</v>
      </c>
      <c r="CE42" s="50">
        <f>((CG42/$CF$2-1)*100)</f>
        <v/>
      </c>
      <c r="CG42" t="n">
        <v>5</v>
      </c>
      <c r="CH42" s="49">
        <f>CE42</f>
        <v/>
      </c>
      <c r="CI42">
        <f>ROUND( 100+CE42,0)</f>
        <v/>
      </c>
      <c r="CK42" t="n">
        <v>41</v>
      </c>
      <c r="CL42">
        <f>(CN42/$CF$2-1)*100</f>
        <v/>
      </c>
      <c r="CN42">
        <f>0.08*CK42+3.92</f>
        <v/>
      </c>
      <c r="CO42" s="49">
        <f>CL42</f>
        <v/>
      </c>
      <c r="CP42" t="n">
        <v>250</v>
      </c>
      <c r="CQ42" t="n">
        <v>59</v>
      </c>
      <c r="CR42">
        <f>CP42&amp;"|"&amp;CQ42</f>
        <v/>
      </c>
      <c r="CT42" s="26" t="n"/>
      <c r="CV42" s="50" t="n">
        <v>70</v>
      </c>
      <c r="CW42" t="n">
        <v>41</v>
      </c>
      <c r="CX42">
        <f>DA42&amp;"|"&amp;DA42&amp;"|"&amp;DA42&amp;"|"&amp;DA42&amp;"|"&amp;DA42</f>
        <v/>
      </c>
      <c r="CY42" t="n">
        <v>4.5</v>
      </c>
      <c r="CZ42">
        <f>CZ41</f>
        <v/>
      </c>
      <c r="DA42">
        <f>(CY42/CZ42-1)*100</f>
        <v/>
      </c>
      <c r="DB42" s="50">
        <f>ROUND( 100+DA42,0)</f>
        <v/>
      </c>
      <c r="DC42" t="n">
        <v>34</v>
      </c>
      <c r="DD42">
        <f>_xlfn.TEXTJOIN("|",TRUE,DB42:DC42)</f>
        <v/>
      </c>
      <c r="DF42" t="n">
        <v>41</v>
      </c>
      <c r="DG42" t="n">
        <v>800</v>
      </c>
      <c r="DI42" s="50" t="n">
        <v>-60</v>
      </c>
      <c r="DJ42" s="50" t="n">
        <v>-59</v>
      </c>
      <c r="DK42" s="45" t="n"/>
      <c r="DL42" s="45" t="n">
        <v>41</v>
      </c>
      <c r="DM42">
        <f>(DO42/$DN$2-1)*100</f>
        <v/>
      </c>
      <c r="DN42" s="45" t="n"/>
      <c r="DO42" s="45" t="n">
        <v>7.20000000000001</v>
      </c>
      <c r="DP42" s="52" t="n">
        <v>-59</v>
      </c>
      <c r="DQ42" s="50">
        <f>ROUND( 100+DM42,0)</f>
        <v/>
      </c>
      <c r="DR42" s="50">
        <f>ROUND( 100+DP42,0)</f>
        <v/>
      </c>
      <c r="DS42">
        <f>_xlfn.TEXTJOIN("|",TRUE,DQ42:DR42)</f>
        <v/>
      </c>
      <c r="DU42" t="n">
        <v>41</v>
      </c>
      <c r="DV42" s="45">
        <f>(DX42/DW42-1)*100</f>
        <v/>
      </c>
      <c r="DW42">
        <f>DW41</f>
        <v/>
      </c>
      <c r="DX42" t="n">
        <v>6</v>
      </c>
      <c r="DZ42">
        <f>ROUND( 100+DV42,0)</f>
        <v/>
      </c>
      <c r="EB42" t="n">
        <v>41</v>
      </c>
      <c r="EC42" s="50">
        <f>(EE42/$ED$2-1)*100</f>
        <v/>
      </c>
      <c r="ED42">
        <f>ED41</f>
        <v/>
      </c>
      <c r="EE42" t="n">
        <v>6.2</v>
      </c>
      <c r="EF42" s="43">
        <f>_xlfn.TEXTJOIN("|",TRUE,EC42,EC42,EC42,EC42,EC42,EC42)</f>
        <v/>
      </c>
      <c r="EG42" s="50">
        <f>ROUND( 100+EC42,0)</f>
        <v/>
      </c>
      <c r="EH42" s="43" t="n"/>
      <c r="EJ42" t="n">
        <v>41</v>
      </c>
      <c r="EK42" s="50">
        <f>(EM42/EL42-1)*100</f>
        <v/>
      </c>
      <c r="EL42">
        <f>EL41</f>
        <v/>
      </c>
      <c r="EM42" t="n">
        <v>5</v>
      </c>
      <c r="EN42" s="43">
        <f>EK42&amp;"|"&amp;EK42&amp;"|"&amp;EK42&amp;"|"&amp;EK42&amp;"|"&amp;EK42&amp;"|"&amp;EK42</f>
        <v/>
      </c>
      <c r="EO42" s="50">
        <f>ROUND( 100+EK42,0)</f>
        <v/>
      </c>
      <c r="EP42" s="50" t="n"/>
      <c r="EQ42" s="50" t="n"/>
      <c r="ER42" s="50">
        <f>(ET42/ES42-1)*100</f>
        <v/>
      </c>
      <c r="ES42" s="50">
        <f>ES41</f>
        <v/>
      </c>
      <c r="ET42" t="n">
        <v>7.5</v>
      </c>
      <c r="EU42" s="50" t="n"/>
      <c r="EV42" s="50">
        <f>ROUND( 100+ER42,0)</f>
        <v/>
      </c>
      <c r="EW42" s="50">
        <f>(EX42/EY42-1)*100</f>
        <v/>
      </c>
      <c r="EX42" t="n">
        <v>6.5</v>
      </c>
      <c r="EY42">
        <f>EY41</f>
        <v/>
      </c>
      <c r="EZ42" t="n">
        <v>170</v>
      </c>
      <c r="FA42" t="n">
        <v>4.47999999999999</v>
      </c>
      <c r="FB42" s="50">
        <f>ROUND( 100+EW42,0)</f>
        <v/>
      </c>
      <c r="FC42">
        <f>EW42&amp;"|"&amp;EZ42&amp;"|"&amp;FA42</f>
        <v/>
      </c>
      <c r="FE42" t="n">
        <v>41</v>
      </c>
      <c r="FF42" s="50">
        <f>(FH42/FG42-1)*100</f>
        <v/>
      </c>
      <c r="FG42">
        <f>FG41</f>
        <v/>
      </c>
      <c r="FH42">
        <f>2*(1+FE41*0.1)</f>
        <v/>
      </c>
      <c r="FJ42" t="n">
        <v>41</v>
      </c>
      <c r="FK42" s="50">
        <f>(FN42/FM42-1)*100</f>
        <v/>
      </c>
      <c r="FL42" s="50">
        <f>FL41</f>
        <v/>
      </c>
      <c r="FM42">
        <f>FM41</f>
        <v/>
      </c>
      <c r="FN42">
        <f>2*(1+FJ41*0.1)</f>
        <v/>
      </c>
      <c r="FP42" t="n">
        <v>41</v>
      </c>
      <c r="FQ42" s="50">
        <f>ROUND((FS42/FR42-1)*100,0)</f>
        <v/>
      </c>
      <c r="FR42">
        <f>FR41</f>
        <v/>
      </c>
      <c r="FS42">
        <f>2*(1+FP41*0.1)</f>
        <v/>
      </c>
      <c r="FT42">
        <f>_xlfn.TEXTJOIN("|",TRUE,FQ42,FQ42,FQ42)</f>
        <v/>
      </c>
    </row>
    <row r="43">
      <c r="G43" t="n">
        <v>42</v>
      </c>
      <c r="H43">
        <f>(J43/I43-1)*100</f>
        <v/>
      </c>
      <c r="I43">
        <f>I42</f>
        <v/>
      </c>
      <c r="J43" t="n">
        <v>5.92</v>
      </c>
      <c r="K43" s="49">
        <f>H43&amp;"|"&amp;H43&amp;"|"&amp;H43&amp;"|"&amp;H43&amp;"|"&amp;H43</f>
        <v/>
      </c>
      <c r="L43">
        <f>ROUND( 100+H43,0)</f>
        <v/>
      </c>
      <c r="M43" s="49" t="n"/>
      <c r="N43" s="49" t="n">
        <v>42</v>
      </c>
      <c r="O43">
        <f>(Q43/P43-1)*100</f>
        <v/>
      </c>
      <c r="P43">
        <f>P42</f>
        <v/>
      </c>
      <c r="Q43" t="n">
        <v>5.71</v>
      </c>
      <c r="R43" s="49">
        <f>O43&amp;"|"&amp;O43&amp;"|"&amp;O43</f>
        <v/>
      </c>
      <c r="S43">
        <f>ROUND( 100+O43,0)</f>
        <v/>
      </c>
      <c r="U43" t="n">
        <v>42</v>
      </c>
      <c r="V43">
        <f>(X43/W43-1)*100</f>
        <v/>
      </c>
      <c r="W43">
        <f>W42</f>
        <v/>
      </c>
      <c r="X43" t="n">
        <v>8.789999999999999</v>
      </c>
      <c r="Y43" s="49">
        <f>V43&amp;"|"&amp;V43&amp;"|"&amp;V43&amp;"|"&amp;V43&amp;"|"&amp;V43&amp;"|"&amp;V43&amp;"|"&amp;V43&amp;"|"&amp;V43</f>
        <v/>
      </c>
      <c r="Z43">
        <f>ROUND( 100+V43,0)</f>
        <v/>
      </c>
      <c r="AA43">
        <f>1.38*U43-39.38</f>
        <v/>
      </c>
      <c r="AC43" t="n">
        <v>42</v>
      </c>
      <c r="AD43">
        <f>(AF43/AE43-1)*100</f>
        <v/>
      </c>
      <c r="AE43" t="n">
        <v>1</v>
      </c>
      <c r="AF43" t="n">
        <v>7.29</v>
      </c>
      <c r="AH43">
        <f>ROUND( 100+AD43,0)</f>
        <v/>
      </c>
      <c r="AJ43" t="n">
        <v>42</v>
      </c>
      <c r="AL43" t="n">
        <v>5100</v>
      </c>
      <c r="AM43" t="n">
        <v>22.5</v>
      </c>
      <c r="AO43">
        <f>_xlfn.TEXTJOIN("|",TRUE,AL43:AM43)</f>
        <v/>
      </c>
      <c r="AR43" t="n">
        <v>42</v>
      </c>
      <c r="AS43">
        <f>(AU43/AT43-1)*100</f>
        <v/>
      </c>
      <c r="AT43">
        <f>AT42</f>
        <v/>
      </c>
      <c r="AU43" t="n">
        <v>5.1</v>
      </c>
      <c r="AV43">
        <f>ROUND( 100+AS43,0)</f>
        <v/>
      </c>
      <c r="AW43" s="45" t="n"/>
      <c r="AX43" s="45" t="n">
        <v>42</v>
      </c>
      <c r="AY43" s="45">
        <f>(BA43/$AZ$2-1)*100</f>
        <v/>
      </c>
      <c r="AZ43" s="45" t="n"/>
      <c r="BA43" s="45" t="n">
        <v>10.2</v>
      </c>
      <c r="BB43">
        <f>ROUND( 100+AY43,0)</f>
        <v/>
      </c>
      <c r="BD43" t="n">
        <v>4500</v>
      </c>
      <c r="BE43" s="50" t="inlineStr">
        <is>
          <t>18</t>
        </is>
      </c>
      <c r="BF43">
        <f>BD43&amp;"|"&amp;BE43</f>
        <v/>
      </c>
      <c r="BH43" t="n">
        <v>42</v>
      </c>
      <c r="BI43" s="45">
        <f>(BK43/BJ43-1)*100</f>
        <v/>
      </c>
      <c r="BJ43">
        <f>BJ42</f>
        <v/>
      </c>
      <c r="BK43" t="n">
        <v>8.26000000000001</v>
      </c>
      <c r="BL43" s="43">
        <f>_xlfn.TEXTJOIN("|",TRUE,BI43,BI43,BI43,BI43,BI43)</f>
        <v/>
      </c>
      <c r="BM43">
        <f>ROUND( 100+BI43,0)</f>
        <v/>
      </c>
      <c r="BN43" s="50">
        <f>BM43/10</f>
        <v/>
      </c>
      <c r="BO43" s="50">
        <f>1.5*BM43/10</f>
        <v/>
      </c>
      <c r="BP43" s="50">
        <f>2*BM43/10</f>
        <v/>
      </c>
      <c r="BQ43" s="50">
        <f>2.5*BM43/10</f>
        <v/>
      </c>
      <c r="BR43" s="50">
        <f>3*BM43/10</f>
        <v/>
      </c>
      <c r="BT43" t="n">
        <v>42</v>
      </c>
      <c r="BU43">
        <f>(BW43/$BV$2-1)*100</f>
        <v/>
      </c>
      <c r="BW43" t="n">
        <v>9.199999999999999</v>
      </c>
      <c r="BX43" s="49">
        <f>CA43&amp;"|"&amp;CB43</f>
        <v/>
      </c>
      <c r="BY43">
        <f>ROUND( 100+BU43,0)</f>
        <v/>
      </c>
      <c r="BZ43">
        <f>2*BU43</f>
        <v/>
      </c>
      <c r="CA43" s="50">
        <f>BZ43/3</f>
        <v/>
      </c>
      <c r="CB43" s="50">
        <f>CA43*2</f>
        <v/>
      </c>
      <c r="CD43" t="n">
        <v>42</v>
      </c>
      <c r="CE43" s="50">
        <f>((CG43/$CF$2-1)*100)</f>
        <v/>
      </c>
      <c r="CG43" t="n">
        <v>5.1</v>
      </c>
      <c r="CH43" s="49">
        <f>CE43</f>
        <v/>
      </c>
      <c r="CI43">
        <f>ROUND( 100+CE43,0)</f>
        <v/>
      </c>
      <c r="CK43" t="n">
        <v>42</v>
      </c>
      <c r="CL43">
        <f>(CN43/$CF$2-1)*100</f>
        <v/>
      </c>
      <c r="CN43">
        <f>0.08*CK43+3.92</f>
        <v/>
      </c>
      <c r="CO43" s="49">
        <f>CL43</f>
        <v/>
      </c>
      <c r="CP43" t="n">
        <v>255</v>
      </c>
      <c r="CQ43" t="n">
        <v>58</v>
      </c>
      <c r="CR43">
        <f>CP43&amp;"|"&amp;CQ43</f>
        <v/>
      </c>
      <c r="CT43" s="26" t="n"/>
      <c r="CV43" s="50" t="n">
        <v>72</v>
      </c>
      <c r="CW43" t="n">
        <v>42</v>
      </c>
      <c r="CX43">
        <f>DA43&amp;"|"&amp;DA43&amp;"|"&amp;DA43&amp;"|"&amp;DA43&amp;"|"&amp;DA43</f>
        <v/>
      </c>
      <c r="CY43" t="n">
        <v>4.6</v>
      </c>
      <c r="CZ43">
        <f>CZ42</f>
        <v/>
      </c>
      <c r="DA43">
        <f>(CY43/CZ43-1)*100</f>
        <v/>
      </c>
      <c r="DB43" s="50">
        <f>ROUND( 100+DA43,0)</f>
        <v/>
      </c>
      <c r="DC43" t="n">
        <v>34.6</v>
      </c>
      <c r="DD43">
        <f>_xlfn.TEXTJOIN("|",TRUE,DB43:DC43)</f>
        <v/>
      </c>
      <c r="DF43" t="n">
        <v>42</v>
      </c>
      <c r="DG43" t="n">
        <v>810</v>
      </c>
      <c r="DI43" s="50" t="n">
        <v>-59</v>
      </c>
      <c r="DJ43" s="50" t="n">
        <v>-58</v>
      </c>
      <c r="DK43" s="45" t="n"/>
      <c r="DL43" s="45" t="n">
        <v>42</v>
      </c>
      <c r="DM43">
        <f>(DO43/$DN$2-1)*100</f>
        <v/>
      </c>
      <c r="DN43" s="45" t="n"/>
      <c r="DO43" s="45" t="n">
        <v>7.35000000000001</v>
      </c>
      <c r="DP43" s="52" t="n">
        <v>-58</v>
      </c>
      <c r="DQ43" s="50">
        <f>ROUND( 100+DM43,0)</f>
        <v/>
      </c>
      <c r="DR43" s="50">
        <f>ROUND( 100+DP43,0)</f>
        <v/>
      </c>
      <c r="DS43">
        <f>_xlfn.TEXTJOIN("|",TRUE,DQ43:DR43)</f>
        <v/>
      </c>
      <c r="DU43" t="n">
        <v>42</v>
      </c>
      <c r="DV43" s="45">
        <f>(DX43/DW43-1)*100</f>
        <v/>
      </c>
      <c r="DW43">
        <f>DW42</f>
        <v/>
      </c>
      <c r="DX43" t="n">
        <v>6.12</v>
      </c>
      <c r="DZ43">
        <f>ROUND( 100+DV43,0)</f>
        <v/>
      </c>
      <c r="EB43" t="n">
        <v>42</v>
      </c>
      <c r="EC43" s="50">
        <f>(EE43/$ED$2-1)*100</f>
        <v/>
      </c>
      <c r="ED43">
        <f>ED42</f>
        <v/>
      </c>
      <c r="EE43" t="n">
        <v>6.33</v>
      </c>
      <c r="EF43" s="43">
        <f>_xlfn.TEXTJOIN("|",TRUE,EC43,EC43,EC43,EC43,EC43,EC43)</f>
        <v/>
      </c>
      <c r="EG43" s="50">
        <f>ROUND( 100+EC43,0)</f>
        <v/>
      </c>
      <c r="EH43" s="43" t="n"/>
      <c r="EJ43" t="n">
        <v>42</v>
      </c>
      <c r="EK43" s="50">
        <f>(EM43/EL43-1)*100</f>
        <v/>
      </c>
      <c r="EL43">
        <f>EL42</f>
        <v/>
      </c>
      <c r="EM43" t="n">
        <v>5.1</v>
      </c>
      <c r="EN43" s="43">
        <f>EK43&amp;"|"&amp;EK43&amp;"|"&amp;EK43&amp;"|"&amp;EK43&amp;"|"&amp;EK43&amp;"|"&amp;EK43</f>
        <v/>
      </c>
      <c r="EO43" s="50">
        <f>ROUND( 100+EK43,0)</f>
        <v/>
      </c>
      <c r="EP43" s="50" t="n"/>
      <c r="EQ43" s="50" t="n"/>
      <c r="ER43" s="50">
        <f>(ET43/ES43-1)*100</f>
        <v/>
      </c>
      <c r="ES43" s="50">
        <f>ES42</f>
        <v/>
      </c>
      <c r="ET43" t="n">
        <v>7.65</v>
      </c>
      <c r="EU43" s="50" t="n"/>
      <c r="EV43" s="50">
        <f>ROUND( 100+ER43,0)</f>
        <v/>
      </c>
      <c r="EW43" s="50">
        <f>(EX43/EY43-1)*100</f>
        <v/>
      </c>
      <c r="EX43" t="n">
        <v>6.63</v>
      </c>
      <c r="EY43">
        <f>EY42</f>
        <v/>
      </c>
      <c r="EZ43" t="n">
        <v>173.4</v>
      </c>
      <c r="FA43" t="n">
        <v>4.54199999999999</v>
      </c>
      <c r="FB43" s="50">
        <f>ROUND( 100+EW43,0)</f>
        <v/>
      </c>
      <c r="FC43">
        <f>EW43&amp;"|"&amp;EZ43&amp;"|"&amp;FA43</f>
        <v/>
      </c>
      <c r="FE43" t="n">
        <v>42</v>
      </c>
      <c r="FF43" s="50">
        <f>(FH43/FG43-1)*100</f>
        <v/>
      </c>
      <c r="FG43">
        <f>FG42</f>
        <v/>
      </c>
      <c r="FH43">
        <f>2*(1+FE42*0.1)</f>
        <v/>
      </c>
      <c r="FJ43" t="n">
        <v>42</v>
      </c>
      <c r="FK43" s="50">
        <f>(FN43/FM43-1)*100</f>
        <v/>
      </c>
      <c r="FL43" s="50">
        <f>FL42</f>
        <v/>
      </c>
      <c r="FM43">
        <f>FM42</f>
        <v/>
      </c>
      <c r="FN43">
        <f>2*(1+FJ42*0.1)</f>
        <v/>
      </c>
      <c r="FP43" t="n">
        <v>42</v>
      </c>
      <c r="FQ43" s="50">
        <f>ROUND((FS43/FR43-1)*100,0)</f>
        <v/>
      </c>
      <c r="FR43">
        <f>FR42</f>
        <v/>
      </c>
      <c r="FS43">
        <f>2*(1+FP42*0.1)</f>
        <v/>
      </c>
      <c r="FT43">
        <f>_xlfn.TEXTJOIN("|",TRUE,FQ43,FQ43,FQ43)</f>
        <v/>
      </c>
    </row>
    <row r="44">
      <c r="G44" t="n">
        <v>43</v>
      </c>
      <c r="H44">
        <f>(J44/I44-1)*100</f>
        <v/>
      </c>
      <c r="I44">
        <f>I43</f>
        <v/>
      </c>
      <c r="J44" t="n">
        <v>6.04</v>
      </c>
      <c r="K44" s="49">
        <f>H44&amp;"|"&amp;H44&amp;"|"&amp;H44&amp;"|"&amp;H44&amp;"|"&amp;H44</f>
        <v/>
      </c>
      <c r="L44">
        <f>ROUND( 100+H44,0)</f>
        <v/>
      </c>
      <c r="M44" s="49" t="n"/>
      <c r="N44" s="49" t="n">
        <v>43</v>
      </c>
      <c r="O44">
        <f>(Q44/P44-1)*100</f>
        <v/>
      </c>
      <c r="P44">
        <f>P43</f>
        <v/>
      </c>
      <c r="Q44" t="n">
        <v>5.82</v>
      </c>
      <c r="R44" s="49">
        <f>O44&amp;"|"&amp;O44&amp;"|"&amp;O44</f>
        <v/>
      </c>
      <c r="S44">
        <f>ROUND( 100+O44,0)</f>
        <v/>
      </c>
      <c r="U44" t="n">
        <v>43</v>
      </c>
      <c r="V44">
        <f>(X44/W44-1)*100</f>
        <v/>
      </c>
      <c r="W44">
        <f>W43</f>
        <v/>
      </c>
      <c r="X44" t="n">
        <v>8.98</v>
      </c>
      <c r="Y44" s="49">
        <f>V44&amp;"|"&amp;V44&amp;"|"&amp;V44&amp;"|"&amp;V44&amp;"|"&amp;V44&amp;"|"&amp;V44&amp;"|"&amp;V44&amp;"|"&amp;V44</f>
        <v/>
      </c>
      <c r="Z44">
        <f>ROUND( 100+V44,0)</f>
        <v/>
      </c>
      <c r="AA44">
        <f>1.38*U44-39.38</f>
        <v/>
      </c>
      <c r="AC44" t="n">
        <v>43</v>
      </c>
      <c r="AD44">
        <f>(AF44/AE44-1)*100</f>
        <v/>
      </c>
      <c r="AE44" t="n">
        <v>1</v>
      </c>
      <c r="AF44" t="n">
        <v>7.43</v>
      </c>
      <c r="AH44">
        <f>ROUND( 100+AD44,0)</f>
        <v/>
      </c>
      <c r="AJ44" t="n">
        <v>43</v>
      </c>
      <c r="AL44" t="n">
        <v>5200</v>
      </c>
      <c r="AM44" t="n">
        <v>23</v>
      </c>
      <c r="AO44">
        <f>_xlfn.TEXTJOIN("|",TRUE,AL44:AM44)</f>
        <v/>
      </c>
      <c r="AR44" t="n">
        <v>43</v>
      </c>
      <c r="AS44">
        <f>(AU44/AT44-1)*100</f>
        <v/>
      </c>
      <c r="AT44">
        <f>AT43</f>
        <v/>
      </c>
      <c r="AU44" t="n">
        <v>5.2</v>
      </c>
      <c r="AV44">
        <f>ROUND( 100+AS44,0)</f>
        <v/>
      </c>
      <c r="AW44" s="45" t="n"/>
      <c r="AX44" s="45" t="n">
        <v>43</v>
      </c>
      <c r="AY44" s="45">
        <f>(BA44/$AZ$2-1)*100</f>
        <v/>
      </c>
      <c r="AZ44" s="45" t="n"/>
      <c r="BA44" s="45" t="n">
        <v>10.4</v>
      </c>
      <c r="BB44">
        <f>ROUND( 100+AY44,0)</f>
        <v/>
      </c>
      <c r="BD44" t="n">
        <v>4600</v>
      </c>
      <c r="BE44" s="50" t="inlineStr">
        <is>
          <t>18</t>
        </is>
      </c>
      <c r="BF44">
        <f>BD44&amp;"|"&amp;BE44</f>
        <v/>
      </c>
      <c r="BH44" t="n">
        <v>43</v>
      </c>
      <c r="BI44" s="45">
        <f>(BK44/BJ44-1)*100</f>
        <v/>
      </c>
      <c r="BJ44">
        <f>BJ43</f>
        <v/>
      </c>
      <c r="BK44" t="n">
        <v>8.420000000000011</v>
      </c>
      <c r="BL44" s="43">
        <f>_xlfn.TEXTJOIN("|",TRUE,BI44,BI44,BI44,BI44,BI44)</f>
        <v/>
      </c>
      <c r="BM44">
        <f>ROUND( 100+BI44,0)</f>
        <v/>
      </c>
      <c r="BN44" s="50">
        <f>BM44/10</f>
        <v/>
      </c>
      <c r="BO44" s="50">
        <f>1.5*BM44/10</f>
        <v/>
      </c>
      <c r="BP44" s="50">
        <f>2*BM44/10</f>
        <v/>
      </c>
      <c r="BQ44" s="50">
        <f>2.5*BM44/10</f>
        <v/>
      </c>
      <c r="BR44" s="50">
        <f>3*BM44/10</f>
        <v/>
      </c>
      <c r="BT44" t="n">
        <v>43</v>
      </c>
      <c r="BU44">
        <f>(BW44/$BV$2-1)*100</f>
        <v/>
      </c>
      <c r="BW44" t="n">
        <v>9.4</v>
      </c>
      <c r="BX44" s="49">
        <f>CA44&amp;"|"&amp;CB44</f>
        <v/>
      </c>
      <c r="BY44">
        <f>ROUND( 100+BU44,0)</f>
        <v/>
      </c>
      <c r="BZ44">
        <f>2*BU44</f>
        <v/>
      </c>
      <c r="CA44" s="50">
        <f>BZ44/3</f>
        <v/>
      </c>
      <c r="CB44" s="50">
        <f>CA44*2</f>
        <v/>
      </c>
      <c r="CD44" t="n">
        <v>43</v>
      </c>
      <c r="CE44" s="50">
        <f>((CG44/$CF$2-1)*100)</f>
        <v/>
      </c>
      <c r="CG44" t="n">
        <v>5.2</v>
      </c>
      <c r="CH44" s="49">
        <f>CE44</f>
        <v/>
      </c>
      <c r="CI44">
        <f>ROUND( 100+CE44,0)</f>
        <v/>
      </c>
      <c r="CK44" t="n">
        <v>43</v>
      </c>
      <c r="CL44">
        <f>(CN44/$CF$2-1)*100</f>
        <v/>
      </c>
      <c r="CN44">
        <f>0.08*CK44+3.92</f>
        <v/>
      </c>
      <c r="CO44" s="49">
        <f>CL44</f>
        <v/>
      </c>
      <c r="CP44" t="n">
        <v>260</v>
      </c>
      <c r="CQ44" t="n">
        <v>57</v>
      </c>
      <c r="CR44">
        <f>CP44&amp;"|"&amp;CQ44</f>
        <v/>
      </c>
      <c r="CT44" s="26" t="n"/>
      <c r="CV44" s="50" t="n">
        <v>73</v>
      </c>
      <c r="CW44" t="n">
        <v>43</v>
      </c>
      <c r="CX44">
        <f>DA44&amp;"|"&amp;DA44&amp;"|"&amp;DA44&amp;"|"&amp;DA44&amp;"|"&amp;DA44</f>
        <v/>
      </c>
      <c r="CY44" t="n">
        <v>4.7</v>
      </c>
      <c r="CZ44">
        <f>CZ43</f>
        <v/>
      </c>
      <c r="DA44">
        <f>(CY44/CZ44-1)*100</f>
        <v/>
      </c>
      <c r="DB44" s="50">
        <f>ROUND( 100+DA44,0)</f>
        <v/>
      </c>
      <c r="DC44" t="n">
        <v>35.2</v>
      </c>
      <c r="DD44">
        <f>_xlfn.TEXTJOIN("|",TRUE,DB44:DC44)</f>
        <v/>
      </c>
      <c r="DF44" t="n">
        <v>43</v>
      </c>
      <c r="DG44" t="n">
        <v>820</v>
      </c>
      <c r="DI44" s="50" t="n">
        <v>-59</v>
      </c>
      <c r="DJ44" s="50" t="n">
        <v>-58</v>
      </c>
      <c r="DK44" s="45" t="n"/>
      <c r="DL44" s="45" t="n">
        <v>43</v>
      </c>
      <c r="DM44">
        <f>(DO44/$DN$2-1)*100</f>
        <v/>
      </c>
      <c r="DN44" s="45" t="n"/>
      <c r="DO44" s="45" t="n">
        <v>7.50000000000001</v>
      </c>
      <c r="DP44" s="52" t="n">
        <v>-57</v>
      </c>
      <c r="DQ44" s="50">
        <f>ROUND( 100+DM44,0)</f>
        <v/>
      </c>
      <c r="DR44" s="50">
        <f>ROUND( 100+DP44,0)</f>
        <v/>
      </c>
      <c r="DS44">
        <f>_xlfn.TEXTJOIN("|",TRUE,DQ44:DR44)</f>
        <v/>
      </c>
      <c r="DU44" t="n">
        <v>43</v>
      </c>
      <c r="DV44" s="45">
        <f>(DX44/DW44-1)*100</f>
        <v/>
      </c>
      <c r="DW44">
        <f>DW43</f>
        <v/>
      </c>
      <c r="DX44" t="n">
        <v>6.24</v>
      </c>
      <c r="DZ44">
        <f>ROUND( 100+DV44,0)</f>
        <v/>
      </c>
      <c r="EB44" t="n">
        <v>43</v>
      </c>
      <c r="EC44" s="50">
        <f>(EE44/$ED$2-1)*100</f>
        <v/>
      </c>
      <c r="ED44">
        <f>ED43</f>
        <v/>
      </c>
      <c r="EE44" t="n">
        <v>6.46</v>
      </c>
      <c r="EF44" s="43">
        <f>_xlfn.TEXTJOIN("|",TRUE,EC44,EC44,EC44,EC44,EC44,EC44)</f>
        <v/>
      </c>
      <c r="EG44" s="50">
        <f>ROUND( 100+EC44,0)</f>
        <v/>
      </c>
      <c r="EH44" s="43" t="n"/>
      <c r="EJ44" t="n">
        <v>43</v>
      </c>
      <c r="EK44" s="50">
        <f>(EM44/EL44-1)*100</f>
        <v/>
      </c>
      <c r="EL44">
        <f>EL43</f>
        <v/>
      </c>
      <c r="EM44" t="n">
        <v>5.2</v>
      </c>
      <c r="EN44" s="43">
        <f>EK44&amp;"|"&amp;EK44&amp;"|"&amp;EK44&amp;"|"&amp;EK44&amp;"|"&amp;EK44&amp;"|"&amp;EK44</f>
        <v/>
      </c>
      <c r="EO44" s="50">
        <f>ROUND( 100+EK44,0)</f>
        <v/>
      </c>
      <c r="EP44" s="50" t="n"/>
      <c r="EQ44" s="50" t="n"/>
      <c r="ER44" s="50">
        <f>(ET44/ES44-1)*100</f>
        <v/>
      </c>
      <c r="ES44" s="50">
        <f>ES43</f>
        <v/>
      </c>
      <c r="ET44" t="n">
        <v>7.8</v>
      </c>
      <c r="EU44" s="50" t="n"/>
      <c r="EV44" s="50">
        <f>ROUND( 100+ER44,0)</f>
        <v/>
      </c>
      <c r="EW44" s="50">
        <f>(EX44/EY44-1)*100</f>
        <v/>
      </c>
      <c r="EX44" t="n">
        <v>6.76</v>
      </c>
      <c r="EY44">
        <f>EY43</f>
        <v/>
      </c>
      <c r="EZ44" t="n">
        <v>176.8</v>
      </c>
      <c r="FA44" t="n">
        <v>4.60399999999999</v>
      </c>
      <c r="FB44" s="50">
        <f>ROUND( 100+EW44,0)</f>
        <v/>
      </c>
      <c r="FC44">
        <f>EW44&amp;"|"&amp;EZ44&amp;"|"&amp;FA44</f>
        <v/>
      </c>
      <c r="FE44" t="n">
        <v>43</v>
      </c>
      <c r="FF44" s="50">
        <f>(FH44/FG44-1)*100</f>
        <v/>
      </c>
      <c r="FG44">
        <f>FG43</f>
        <v/>
      </c>
      <c r="FH44">
        <f>2*(1+FE43*0.1)</f>
        <v/>
      </c>
      <c r="FJ44" t="n">
        <v>43</v>
      </c>
      <c r="FK44" s="50">
        <f>(FN44/FM44-1)*100</f>
        <v/>
      </c>
      <c r="FL44" s="50">
        <f>FL43</f>
        <v/>
      </c>
      <c r="FM44">
        <f>FM43</f>
        <v/>
      </c>
      <c r="FN44">
        <f>2*(1+FJ43*0.1)</f>
        <v/>
      </c>
      <c r="FP44" t="n">
        <v>43</v>
      </c>
      <c r="FQ44" s="50">
        <f>ROUND((FS44/FR44-1)*100,0)</f>
        <v/>
      </c>
      <c r="FR44">
        <f>FR43</f>
        <v/>
      </c>
      <c r="FS44">
        <f>2*(1+FP43*0.1)</f>
        <v/>
      </c>
      <c r="FT44">
        <f>_xlfn.TEXTJOIN("|",TRUE,FQ44,FQ44,FQ44)</f>
        <v/>
      </c>
    </row>
    <row r="45">
      <c r="G45" t="n">
        <v>44</v>
      </c>
      <c r="H45">
        <f>(J45/I45-1)*100</f>
        <v/>
      </c>
      <c r="I45">
        <f>I44</f>
        <v/>
      </c>
      <c r="J45" t="n">
        <v>6.16</v>
      </c>
      <c r="K45" s="49">
        <f>H45&amp;"|"&amp;H45&amp;"|"&amp;H45&amp;"|"&amp;H45&amp;"|"&amp;H45</f>
        <v/>
      </c>
      <c r="L45">
        <f>ROUND( 100+H45,0)</f>
        <v/>
      </c>
      <c r="M45" s="49" t="n"/>
      <c r="N45" s="49" t="n">
        <v>44</v>
      </c>
      <c r="O45">
        <f>(Q45/P45-1)*100</f>
        <v/>
      </c>
      <c r="P45">
        <f>P44</f>
        <v/>
      </c>
      <c r="Q45" t="n">
        <v>5.93</v>
      </c>
      <c r="R45" s="49">
        <f>O45&amp;"|"&amp;O45&amp;"|"&amp;O45</f>
        <v/>
      </c>
      <c r="S45">
        <f>ROUND( 100+O45,0)</f>
        <v/>
      </c>
      <c r="U45" t="n">
        <v>44</v>
      </c>
      <c r="V45">
        <f>(X45/W45-1)*100</f>
        <v/>
      </c>
      <c r="W45">
        <f>W44</f>
        <v/>
      </c>
      <c r="X45" t="n">
        <v>9.17</v>
      </c>
      <c r="Y45" s="49">
        <f>V45&amp;"|"&amp;V45&amp;"|"&amp;V45&amp;"|"&amp;V45&amp;"|"&amp;V45&amp;"|"&amp;V45&amp;"|"&amp;V45&amp;"|"&amp;V45</f>
        <v/>
      </c>
      <c r="Z45">
        <f>ROUND( 100+V45,0)</f>
        <v/>
      </c>
      <c r="AA45">
        <f>1.38*U45-39.38</f>
        <v/>
      </c>
      <c r="AC45" t="n">
        <v>44</v>
      </c>
      <c r="AD45">
        <f>(AF45/AE45-1)*100</f>
        <v/>
      </c>
      <c r="AE45" t="n">
        <v>1</v>
      </c>
      <c r="AF45" t="n">
        <v>7.57</v>
      </c>
      <c r="AH45">
        <f>ROUND( 100+AD45,0)</f>
        <v/>
      </c>
      <c r="AJ45" t="n">
        <v>44</v>
      </c>
      <c r="AL45" t="n">
        <v>5300</v>
      </c>
      <c r="AM45" t="n">
        <v>23.5</v>
      </c>
      <c r="AO45">
        <f>_xlfn.TEXTJOIN("|",TRUE,AL45:AM45)</f>
        <v/>
      </c>
      <c r="AR45" t="n">
        <v>44</v>
      </c>
      <c r="AS45">
        <f>(AU45/AT45-1)*100</f>
        <v/>
      </c>
      <c r="AT45">
        <f>AT44</f>
        <v/>
      </c>
      <c r="AU45" t="n">
        <v>5.3</v>
      </c>
      <c r="AV45">
        <f>ROUND( 100+AS45,0)</f>
        <v/>
      </c>
      <c r="AW45" s="45" t="n"/>
      <c r="AX45" s="45" t="n">
        <v>44</v>
      </c>
      <c r="AY45" s="45">
        <f>(BA45/$AZ$2-1)*100</f>
        <v/>
      </c>
      <c r="AZ45" s="45" t="n"/>
      <c r="BA45" s="45" t="n">
        <v>10.6</v>
      </c>
      <c r="BB45">
        <f>ROUND( 100+AY45,0)</f>
        <v/>
      </c>
      <c r="BD45" t="n">
        <v>4700</v>
      </c>
      <c r="BE45" s="50" t="inlineStr">
        <is>
          <t>18</t>
        </is>
      </c>
      <c r="BF45">
        <f>BD45&amp;"|"&amp;BE45</f>
        <v/>
      </c>
      <c r="BH45" t="n">
        <v>44</v>
      </c>
      <c r="BI45" s="45">
        <f>(BK45/BJ45-1)*100</f>
        <v/>
      </c>
      <c r="BJ45">
        <f>BJ44</f>
        <v/>
      </c>
      <c r="BK45" t="n">
        <v>8.580000000000011</v>
      </c>
      <c r="BL45" s="43">
        <f>_xlfn.TEXTJOIN("|",TRUE,BI45,BI45,BI45,BI45,BI45)</f>
        <v/>
      </c>
      <c r="BM45">
        <f>ROUND( 100+BI45,0)</f>
        <v/>
      </c>
      <c r="BN45" s="50">
        <f>BM45/10</f>
        <v/>
      </c>
      <c r="BO45" s="50">
        <f>1.5*BM45/10</f>
        <v/>
      </c>
      <c r="BP45" s="50">
        <f>2*BM45/10</f>
        <v/>
      </c>
      <c r="BQ45" s="50">
        <f>2.5*BM45/10</f>
        <v/>
      </c>
      <c r="BR45" s="50">
        <f>3*BM45/10</f>
        <v/>
      </c>
      <c r="BT45" t="n">
        <v>44</v>
      </c>
      <c r="BU45">
        <f>(BW45/$BV$2-1)*100</f>
        <v/>
      </c>
      <c r="BW45" t="n">
        <v>9.6</v>
      </c>
      <c r="BX45" s="49">
        <f>CA45&amp;"|"&amp;CB45</f>
        <v/>
      </c>
      <c r="BY45">
        <f>ROUND( 100+BU45,0)</f>
        <v/>
      </c>
      <c r="BZ45">
        <f>2*BU45</f>
        <v/>
      </c>
      <c r="CA45" s="50">
        <f>BZ45/3</f>
        <v/>
      </c>
      <c r="CB45" s="50">
        <f>CA45*2</f>
        <v/>
      </c>
      <c r="CD45" t="n">
        <v>44</v>
      </c>
      <c r="CE45" s="50">
        <f>((CG45/$CF$2-1)*100)</f>
        <v/>
      </c>
      <c r="CG45" t="n">
        <v>5.3</v>
      </c>
      <c r="CH45" s="49">
        <f>CE45</f>
        <v/>
      </c>
      <c r="CI45">
        <f>ROUND( 100+CE45,0)</f>
        <v/>
      </c>
      <c r="CK45" t="n">
        <v>44</v>
      </c>
      <c r="CL45">
        <f>(CN45/$CF$2-1)*100</f>
        <v/>
      </c>
      <c r="CN45">
        <f>0.08*CK45+3.92</f>
        <v/>
      </c>
      <c r="CO45" s="49">
        <f>CL45</f>
        <v/>
      </c>
      <c r="CP45" t="n">
        <v>265</v>
      </c>
      <c r="CQ45" t="n">
        <v>56</v>
      </c>
      <c r="CR45">
        <f>CP45&amp;"|"&amp;CQ45</f>
        <v/>
      </c>
      <c r="CT45" s="26" t="n"/>
      <c r="CV45" s="50" t="n">
        <v>75</v>
      </c>
      <c r="CW45" t="n">
        <v>44</v>
      </c>
      <c r="CX45">
        <f>DA45&amp;"|"&amp;DA45&amp;"|"&amp;DA45&amp;"|"&amp;DA45&amp;"|"&amp;DA45</f>
        <v/>
      </c>
      <c r="CY45" t="n">
        <v>4.8</v>
      </c>
      <c r="CZ45">
        <f>CZ44</f>
        <v/>
      </c>
      <c r="DA45">
        <f>(CY45/CZ45-1)*100</f>
        <v/>
      </c>
      <c r="DB45" s="50">
        <f>ROUND( 100+DA45,0)</f>
        <v/>
      </c>
      <c r="DC45" t="n">
        <v>35.8</v>
      </c>
      <c r="DD45">
        <f>_xlfn.TEXTJOIN("|",TRUE,DB45:DC45)</f>
        <v/>
      </c>
      <c r="DF45" t="n">
        <v>44</v>
      </c>
      <c r="DG45" t="n">
        <v>830</v>
      </c>
      <c r="DI45" s="50" t="n">
        <v>-57</v>
      </c>
      <c r="DJ45" s="50" t="n">
        <v>-55</v>
      </c>
      <c r="DK45" s="45" t="n"/>
      <c r="DL45" s="45" t="n">
        <v>44</v>
      </c>
      <c r="DM45">
        <f>(DO45/$DN$2-1)*100</f>
        <v/>
      </c>
      <c r="DN45" s="45" t="n"/>
      <c r="DO45" s="45" t="n">
        <v>7.65000000000001</v>
      </c>
      <c r="DP45" s="52" t="n">
        <v>-56</v>
      </c>
      <c r="DQ45" s="50">
        <f>ROUND( 100+DM45,0)</f>
        <v/>
      </c>
      <c r="DR45" s="50">
        <f>ROUND( 100+DP45,0)</f>
        <v/>
      </c>
      <c r="DS45">
        <f>_xlfn.TEXTJOIN("|",TRUE,DQ45:DR45)</f>
        <v/>
      </c>
      <c r="DU45" t="n">
        <v>44</v>
      </c>
      <c r="DV45" s="45">
        <f>(DX45/DW45-1)*100</f>
        <v/>
      </c>
      <c r="DW45">
        <f>DW44</f>
        <v/>
      </c>
      <c r="DX45" t="n">
        <v>6.36</v>
      </c>
      <c r="DZ45">
        <f>ROUND( 100+DV45,0)</f>
        <v/>
      </c>
      <c r="EB45" t="n">
        <v>44</v>
      </c>
      <c r="EC45" s="50">
        <f>(EE45/$ED$2-1)*100</f>
        <v/>
      </c>
      <c r="ED45">
        <f>ED44</f>
        <v/>
      </c>
      <c r="EE45" t="n">
        <v>6.59</v>
      </c>
      <c r="EF45" s="43">
        <f>_xlfn.TEXTJOIN("|",TRUE,EC45,EC45,EC45,EC45,EC45,EC45)</f>
        <v/>
      </c>
      <c r="EG45" s="50">
        <f>ROUND( 100+EC45,0)</f>
        <v/>
      </c>
      <c r="EH45" s="43" t="n"/>
      <c r="EJ45" t="n">
        <v>44</v>
      </c>
      <c r="EK45" s="50">
        <f>(EM45/EL45-1)*100</f>
        <v/>
      </c>
      <c r="EL45">
        <f>EL44</f>
        <v/>
      </c>
      <c r="EM45" t="n">
        <v>5.3</v>
      </c>
      <c r="EN45" s="43">
        <f>EK45&amp;"|"&amp;EK45&amp;"|"&amp;EK45&amp;"|"&amp;EK45&amp;"|"&amp;EK45&amp;"|"&amp;EK45</f>
        <v/>
      </c>
      <c r="EO45" s="50">
        <f>ROUND( 100+EK45,0)</f>
        <v/>
      </c>
      <c r="EP45" s="50" t="n"/>
      <c r="EQ45" s="50" t="n"/>
      <c r="ER45" s="50">
        <f>(ET45/ES45-1)*100</f>
        <v/>
      </c>
      <c r="ES45" s="50">
        <f>ES44</f>
        <v/>
      </c>
      <c r="ET45" t="n">
        <v>7.95</v>
      </c>
      <c r="EU45" s="50" t="n"/>
      <c r="EV45" s="50">
        <f>ROUND( 100+ER45,0)</f>
        <v/>
      </c>
      <c r="EW45" s="50">
        <f>(EX45/EY45-1)*100</f>
        <v/>
      </c>
      <c r="EX45" t="n">
        <v>6.89</v>
      </c>
      <c r="EY45">
        <f>EY44</f>
        <v/>
      </c>
      <c r="EZ45" t="n">
        <v>180.2</v>
      </c>
      <c r="FA45" t="n">
        <v>4.66599999999999</v>
      </c>
      <c r="FB45" s="50">
        <f>ROUND( 100+EW45,0)</f>
        <v/>
      </c>
      <c r="FC45">
        <f>EW45&amp;"|"&amp;EZ45&amp;"|"&amp;FA45</f>
        <v/>
      </c>
      <c r="FE45" t="n">
        <v>44</v>
      </c>
      <c r="FF45" s="50">
        <f>(FH45/FG45-1)*100</f>
        <v/>
      </c>
      <c r="FG45">
        <f>FG44</f>
        <v/>
      </c>
      <c r="FH45">
        <f>2*(1+FE44*0.1)</f>
        <v/>
      </c>
      <c r="FJ45" t="n">
        <v>44</v>
      </c>
      <c r="FK45" s="50">
        <f>(FN45/FM45-1)*100</f>
        <v/>
      </c>
      <c r="FL45" s="50">
        <f>FL44</f>
        <v/>
      </c>
      <c r="FM45">
        <f>FM44</f>
        <v/>
      </c>
      <c r="FN45">
        <f>2*(1+FJ44*0.1)</f>
        <v/>
      </c>
      <c r="FP45" t="n">
        <v>44</v>
      </c>
      <c r="FQ45" s="50">
        <f>ROUND((FS45/FR45-1)*100,0)</f>
        <v/>
      </c>
      <c r="FR45">
        <f>FR44</f>
        <v/>
      </c>
      <c r="FS45">
        <f>2*(1+FP44*0.1)</f>
        <v/>
      </c>
      <c r="FT45">
        <f>_xlfn.TEXTJOIN("|",TRUE,FQ45,FQ45,FQ45)</f>
        <v/>
      </c>
    </row>
    <row r="46">
      <c r="G46" t="n">
        <v>45</v>
      </c>
      <c r="H46">
        <f>(J46/I46-1)*100</f>
        <v/>
      </c>
      <c r="I46">
        <f>I45</f>
        <v/>
      </c>
      <c r="J46" t="n">
        <v>6.28</v>
      </c>
      <c r="K46" s="49">
        <f>H46&amp;"|"&amp;H46&amp;"|"&amp;H46&amp;"|"&amp;H46&amp;"|"&amp;H46</f>
        <v/>
      </c>
      <c r="L46">
        <f>ROUND( 100+H46,0)</f>
        <v/>
      </c>
      <c r="M46" s="49" t="n"/>
      <c r="N46" s="49" t="n">
        <v>45</v>
      </c>
      <c r="O46">
        <f>(Q46/P46-1)*100</f>
        <v/>
      </c>
      <c r="P46">
        <f>P45</f>
        <v/>
      </c>
      <c r="Q46" t="n">
        <v>6.04</v>
      </c>
      <c r="R46" s="49">
        <f>O46&amp;"|"&amp;O46&amp;"|"&amp;O46</f>
        <v/>
      </c>
      <c r="S46">
        <f>ROUND( 100+O46,0)</f>
        <v/>
      </c>
      <c r="U46" t="n">
        <v>45</v>
      </c>
      <c r="V46">
        <f>(X46/W46-1)*100</f>
        <v/>
      </c>
      <c r="W46">
        <f>W45</f>
        <v/>
      </c>
      <c r="X46" t="n">
        <v>9.359999999999999</v>
      </c>
      <c r="Y46" s="49">
        <f>V46&amp;"|"&amp;V46&amp;"|"&amp;V46&amp;"|"&amp;V46&amp;"|"&amp;V46&amp;"|"&amp;V46&amp;"|"&amp;V46&amp;"|"&amp;V46</f>
        <v/>
      </c>
      <c r="Z46">
        <f>ROUND( 100+V46,0)</f>
        <v/>
      </c>
      <c r="AA46">
        <f>1.38*U46-39.38</f>
        <v/>
      </c>
      <c r="AC46" t="n">
        <v>45</v>
      </c>
      <c r="AD46">
        <f>(AF46/AE46-1)*100</f>
        <v/>
      </c>
      <c r="AE46" t="n">
        <v>1</v>
      </c>
      <c r="AF46" t="n">
        <v>7.71</v>
      </c>
      <c r="AH46">
        <f>ROUND( 100+AD46,0)</f>
        <v/>
      </c>
      <c r="AJ46" t="n">
        <v>45</v>
      </c>
      <c r="AL46" t="n">
        <v>5400</v>
      </c>
      <c r="AM46" t="n">
        <v>24</v>
      </c>
      <c r="AO46">
        <f>_xlfn.TEXTJOIN("|",TRUE,AL46:AM46)</f>
        <v/>
      </c>
      <c r="AR46" t="n">
        <v>45</v>
      </c>
      <c r="AS46">
        <f>(AU46/AT46-1)*100</f>
        <v/>
      </c>
      <c r="AT46">
        <f>AT45</f>
        <v/>
      </c>
      <c r="AU46" t="n">
        <v>5.4</v>
      </c>
      <c r="AV46">
        <f>ROUND( 100+AS46,0)</f>
        <v/>
      </c>
      <c r="AW46" s="45" t="n"/>
      <c r="AX46" s="45" t="n">
        <v>45</v>
      </c>
      <c r="AY46" s="45">
        <f>(BA46/$AZ$2-1)*100</f>
        <v/>
      </c>
      <c r="AZ46" s="45" t="n"/>
      <c r="BA46" s="45" t="n">
        <v>10.8</v>
      </c>
      <c r="BB46">
        <f>ROUND( 100+AY46,0)</f>
        <v/>
      </c>
      <c r="BD46" t="n">
        <v>4800</v>
      </c>
      <c r="BE46" s="50" t="inlineStr">
        <is>
          <t>18</t>
        </is>
      </c>
      <c r="BF46">
        <f>BD46&amp;"|"&amp;BE46</f>
        <v/>
      </c>
      <c r="BH46" t="n">
        <v>45</v>
      </c>
      <c r="BI46" s="45">
        <f>(BK46/BJ46-1)*100</f>
        <v/>
      </c>
      <c r="BJ46">
        <f>BJ45</f>
        <v/>
      </c>
      <c r="BK46" t="n">
        <v>8.740000000000011</v>
      </c>
      <c r="BL46" s="43">
        <f>_xlfn.TEXTJOIN("|",TRUE,BI46,BI46,BI46,BI46,BI46)</f>
        <v/>
      </c>
      <c r="BM46">
        <f>ROUND( 100+BI46,0)</f>
        <v/>
      </c>
      <c r="BN46" s="50">
        <f>BM46/10</f>
        <v/>
      </c>
      <c r="BO46" s="50">
        <f>1.5*BM46/10</f>
        <v/>
      </c>
      <c r="BP46" s="50">
        <f>2*BM46/10</f>
        <v/>
      </c>
      <c r="BQ46" s="50">
        <f>2.5*BM46/10</f>
        <v/>
      </c>
      <c r="BR46" s="50">
        <f>3*BM46/10</f>
        <v/>
      </c>
      <c r="BT46" t="n">
        <v>45</v>
      </c>
      <c r="BU46">
        <f>(BW46/$BV$2-1)*100</f>
        <v/>
      </c>
      <c r="BW46" t="n">
        <v>9.800000000000001</v>
      </c>
      <c r="BX46" s="49">
        <f>CA46&amp;"|"&amp;CB46</f>
        <v/>
      </c>
      <c r="BY46">
        <f>ROUND( 100+BU46,0)</f>
        <v/>
      </c>
      <c r="BZ46">
        <f>2*BU46</f>
        <v/>
      </c>
      <c r="CA46" s="50">
        <f>BZ46/3</f>
        <v/>
      </c>
      <c r="CB46" s="50">
        <f>CA46*2</f>
        <v/>
      </c>
      <c r="CD46" t="n">
        <v>45</v>
      </c>
      <c r="CE46" s="50">
        <f>((CG46/$CF$2-1)*100)</f>
        <v/>
      </c>
      <c r="CG46" t="n">
        <v>5.4</v>
      </c>
      <c r="CH46" s="49">
        <f>CE46</f>
        <v/>
      </c>
      <c r="CI46">
        <f>ROUND( 100+CE46,0)</f>
        <v/>
      </c>
      <c r="CK46" t="n">
        <v>45</v>
      </c>
      <c r="CL46">
        <f>(CN46/$CF$2-1)*100</f>
        <v/>
      </c>
      <c r="CN46">
        <f>0.08*CK46+3.92</f>
        <v/>
      </c>
      <c r="CO46" s="49">
        <f>CL46</f>
        <v/>
      </c>
      <c r="CP46" t="n">
        <v>270</v>
      </c>
      <c r="CQ46" t="n">
        <v>55</v>
      </c>
      <c r="CR46">
        <f>CP46&amp;"|"&amp;CQ46</f>
        <v/>
      </c>
      <c r="CT46" s="26" t="n"/>
      <c r="CV46" s="50" t="n">
        <v>76</v>
      </c>
      <c r="CW46" t="n">
        <v>45</v>
      </c>
      <c r="CX46">
        <f>DA46&amp;"|"&amp;DA46&amp;"|"&amp;DA46&amp;"|"&amp;DA46&amp;"|"&amp;DA46</f>
        <v/>
      </c>
      <c r="CY46" t="n">
        <v>4.9</v>
      </c>
      <c r="CZ46">
        <f>CZ45</f>
        <v/>
      </c>
      <c r="DA46">
        <f>(CY46/CZ46-1)*100</f>
        <v/>
      </c>
      <c r="DB46" s="50">
        <f>ROUND( 100+DA46,0)</f>
        <v/>
      </c>
      <c r="DC46" t="n">
        <v>36.4</v>
      </c>
      <c r="DD46">
        <f>_xlfn.TEXTJOIN("|",TRUE,DB46:DC46)</f>
        <v/>
      </c>
      <c r="DF46" t="n">
        <v>45</v>
      </c>
      <c r="DG46" t="n">
        <v>840</v>
      </c>
      <c r="DI46" s="50" t="n">
        <v>-56</v>
      </c>
      <c r="DJ46" s="50" t="n">
        <v>-54</v>
      </c>
      <c r="DK46" s="45" t="n"/>
      <c r="DL46" s="45" t="n">
        <v>45</v>
      </c>
      <c r="DM46">
        <f>(DO46/$DN$2-1)*100</f>
        <v/>
      </c>
      <c r="DN46" s="45" t="n"/>
      <c r="DO46" s="45" t="n">
        <v>7.80000000000001</v>
      </c>
      <c r="DP46" s="52" t="n">
        <v>-55</v>
      </c>
      <c r="DQ46" s="50">
        <f>ROUND( 100+DM46,0)</f>
        <v/>
      </c>
      <c r="DR46" s="50">
        <f>ROUND( 100+DP46,0)</f>
        <v/>
      </c>
      <c r="DS46">
        <f>_xlfn.TEXTJOIN("|",TRUE,DQ46:DR46)</f>
        <v/>
      </c>
      <c r="DU46" t="n">
        <v>45</v>
      </c>
      <c r="DV46" s="45">
        <f>(DX46/DW46-1)*100</f>
        <v/>
      </c>
      <c r="DW46">
        <f>DW45</f>
        <v/>
      </c>
      <c r="DX46" t="n">
        <v>6.48</v>
      </c>
      <c r="DZ46">
        <f>ROUND( 100+DV46,0)</f>
        <v/>
      </c>
      <c r="EB46" t="n">
        <v>45</v>
      </c>
      <c r="EC46" s="50">
        <f>(EE46/$ED$2-1)*100</f>
        <v/>
      </c>
      <c r="ED46">
        <f>ED45</f>
        <v/>
      </c>
      <c r="EE46" t="n">
        <v>6.72</v>
      </c>
      <c r="EF46" s="43">
        <f>_xlfn.TEXTJOIN("|",TRUE,EC46,EC46,EC46,EC46,EC46,EC46)</f>
        <v/>
      </c>
      <c r="EG46" s="50">
        <f>ROUND( 100+EC46,0)</f>
        <v/>
      </c>
      <c r="EH46" s="43" t="n"/>
      <c r="EJ46" t="n">
        <v>45</v>
      </c>
      <c r="EK46" s="50">
        <f>(EM46/EL46-1)*100</f>
        <v/>
      </c>
      <c r="EL46">
        <f>EL45</f>
        <v/>
      </c>
      <c r="EM46" t="n">
        <v>5.4</v>
      </c>
      <c r="EN46" s="43">
        <f>EK46&amp;"|"&amp;EK46&amp;"|"&amp;EK46&amp;"|"&amp;EK46&amp;"|"&amp;EK46&amp;"|"&amp;EK46</f>
        <v/>
      </c>
      <c r="EO46" s="50">
        <f>ROUND( 100+EK46,0)</f>
        <v/>
      </c>
      <c r="EP46" s="50" t="n"/>
      <c r="EQ46" s="50" t="n"/>
      <c r="ER46" s="50">
        <f>(ET46/ES46-1)*100</f>
        <v/>
      </c>
      <c r="ES46" s="50">
        <f>ES45</f>
        <v/>
      </c>
      <c r="ET46" t="n">
        <v>8.1</v>
      </c>
      <c r="EU46" s="50" t="n"/>
      <c r="EV46" s="50">
        <f>ROUND( 100+ER46,0)</f>
        <v/>
      </c>
      <c r="EW46" s="50">
        <f>(EX46/EY46-1)*100</f>
        <v/>
      </c>
      <c r="EX46" t="n">
        <v>7.02</v>
      </c>
      <c r="EY46">
        <f>EY45</f>
        <v/>
      </c>
      <c r="EZ46" t="n">
        <v>183.6</v>
      </c>
      <c r="FA46" t="n">
        <v>4.72799999999999</v>
      </c>
      <c r="FB46" s="50">
        <f>ROUND( 100+EW46,0)</f>
        <v/>
      </c>
      <c r="FC46">
        <f>EW46&amp;"|"&amp;EZ46&amp;"|"&amp;FA46</f>
        <v/>
      </c>
      <c r="FE46" t="n">
        <v>45</v>
      </c>
      <c r="FF46" s="50">
        <f>(FH46/FG46-1)*100</f>
        <v/>
      </c>
      <c r="FG46">
        <f>FG45</f>
        <v/>
      </c>
      <c r="FH46">
        <f>2*(1+FE45*0.1)</f>
        <v/>
      </c>
      <c r="FJ46" t="n">
        <v>45</v>
      </c>
      <c r="FK46" s="50">
        <f>(FN46/FM46-1)*100</f>
        <v/>
      </c>
      <c r="FL46" s="50">
        <f>FL45</f>
        <v/>
      </c>
      <c r="FM46">
        <f>FM45</f>
        <v/>
      </c>
      <c r="FN46">
        <f>2*(1+FJ45*0.1)</f>
        <v/>
      </c>
      <c r="FP46" t="n">
        <v>45</v>
      </c>
      <c r="FQ46" s="50">
        <f>ROUND((FS46/FR46-1)*100,0)</f>
        <v/>
      </c>
      <c r="FR46">
        <f>FR45</f>
        <v/>
      </c>
      <c r="FS46">
        <f>2*(1+FP45*0.1)</f>
        <v/>
      </c>
      <c r="FT46">
        <f>_xlfn.TEXTJOIN("|",TRUE,FQ46,FQ46,FQ46)</f>
        <v/>
      </c>
    </row>
    <row r="47">
      <c r="G47" t="n">
        <v>46</v>
      </c>
      <c r="H47">
        <f>(J47/I47-1)*100</f>
        <v/>
      </c>
      <c r="I47">
        <f>I46</f>
        <v/>
      </c>
      <c r="J47" t="n">
        <v>6.4</v>
      </c>
      <c r="K47" s="49">
        <f>H47&amp;"|"&amp;H47&amp;"|"&amp;H47&amp;"|"&amp;H47&amp;"|"&amp;H47</f>
        <v/>
      </c>
      <c r="L47">
        <f>ROUND( 100+H47,0)</f>
        <v/>
      </c>
      <c r="M47" s="49" t="n"/>
      <c r="N47" s="49" t="n">
        <v>46</v>
      </c>
      <c r="O47">
        <f>(Q47/P47-1)*100</f>
        <v/>
      </c>
      <c r="P47">
        <f>P46</f>
        <v/>
      </c>
      <c r="Q47" t="n">
        <v>6.15</v>
      </c>
      <c r="R47" s="49">
        <f>O47&amp;"|"&amp;O47&amp;"|"&amp;O47</f>
        <v/>
      </c>
      <c r="S47">
        <f>ROUND( 100+O47,0)</f>
        <v/>
      </c>
      <c r="U47" t="n">
        <v>46</v>
      </c>
      <c r="V47">
        <f>(X47/W47-1)*100</f>
        <v/>
      </c>
      <c r="W47">
        <f>W46</f>
        <v/>
      </c>
      <c r="X47" t="n">
        <v>9.550000000000001</v>
      </c>
      <c r="Y47" s="49">
        <f>V47&amp;"|"&amp;V47&amp;"|"&amp;V47&amp;"|"&amp;V47&amp;"|"&amp;V47&amp;"|"&amp;V47&amp;"|"&amp;V47&amp;"|"&amp;V47</f>
        <v/>
      </c>
      <c r="Z47">
        <f>ROUND( 100+V47,0)</f>
        <v/>
      </c>
      <c r="AA47">
        <f>1.38*U47-39.38</f>
        <v/>
      </c>
      <c r="AC47" t="n">
        <v>46</v>
      </c>
      <c r="AD47">
        <f>(AF47/AE47-1)*100</f>
        <v/>
      </c>
      <c r="AE47" t="n">
        <v>1</v>
      </c>
      <c r="AF47" t="n">
        <v>7.85</v>
      </c>
      <c r="AH47">
        <f>ROUND( 100+AD47,0)</f>
        <v/>
      </c>
      <c r="AJ47" t="n">
        <v>46</v>
      </c>
      <c r="AL47" t="n">
        <v>5500</v>
      </c>
      <c r="AM47" t="n">
        <v>24.5</v>
      </c>
      <c r="AO47">
        <f>_xlfn.TEXTJOIN("|",TRUE,AL47:AM47)</f>
        <v/>
      </c>
      <c r="AR47" t="n">
        <v>46</v>
      </c>
      <c r="AS47">
        <f>(AU47/AT47-1)*100</f>
        <v/>
      </c>
      <c r="AT47">
        <f>AT46</f>
        <v/>
      </c>
      <c r="AU47" t="n">
        <v>5.5</v>
      </c>
      <c r="AV47">
        <f>ROUND( 100+AS47,0)</f>
        <v/>
      </c>
      <c r="AW47" s="45" t="n"/>
      <c r="AX47" s="45" t="n">
        <v>46</v>
      </c>
      <c r="AY47" s="45">
        <f>(BA47/$AZ$2-1)*100</f>
        <v/>
      </c>
      <c r="AZ47" s="45" t="n"/>
      <c r="BA47" s="45" t="n">
        <v>11</v>
      </c>
      <c r="BB47">
        <f>ROUND( 100+AY47,0)</f>
        <v/>
      </c>
      <c r="BD47" t="n">
        <v>4900</v>
      </c>
      <c r="BE47" s="50" t="inlineStr">
        <is>
          <t>19</t>
        </is>
      </c>
      <c r="BF47">
        <f>BD47&amp;"|"&amp;BE47</f>
        <v/>
      </c>
      <c r="BH47" t="n">
        <v>46</v>
      </c>
      <c r="BI47" s="45">
        <f>(BK47/BJ47-1)*100</f>
        <v/>
      </c>
      <c r="BJ47">
        <f>BJ46</f>
        <v/>
      </c>
      <c r="BK47" t="n">
        <v>8.900000000000009</v>
      </c>
      <c r="BL47" s="43">
        <f>_xlfn.TEXTJOIN("|",TRUE,BI47,BI47,BI47,BI47,BI47)</f>
        <v/>
      </c>
      <c r="BM47">
        <f>ROUND( 100+BI47,0)</f>
        <v/>
      </c>
      <c r="BN47" s="50">
        <f>BM47/10</f>
        <v/>
      </c>
      <c r="BO47" s="50">
        <f>1.5*BM47/10</f>
        <v/>
      </c>
      <c r="BP47" s="50">
        <f>2*BM47/10</f>
        <v/>
      </c>
      <c r="BQ47" s="50">
        <f>2.5*BM47/10</f>
        <v/>
      </c>
      <c r="BR47" s="50">
        <f>3*BM47/10</f>
        <v/>
      </c>
      <c r="BT47" t="n">
        <v>46</v>
      </c>
      <c r="BU47">
        <f>(BW47/$BV$2-1)*100</f>
        <v/>
      </c>
      <c r="BW47" t="n">
        <v>10</v>
      </c>
      <c r="BX47" s="49">
        <f>CA47&amp;"|"&amp;CB47</f>
        <v/>
      </c>
      <c r="BY47">
        <f>ROUND( 100+BU47,0)</f>
        <v/>
      </c>
      <c r="BZ47">
        <f>2*BU47</f>
        <v/>
      </c>
      <c r="CA47" s="50">
        <f>BZ47/3</f>
        <v/>
      </c>
      <c r="CB47" s="50">
        <f>CA47*2</f>
        <v/>
      </c>
      <c r="CD47" t="n">
        <v>46</v>
      </c>
      <c r="CE47" s="50">
        <f>((CG47/$CF$2-1)*100)</f>
        <v/>
      </c>
      <c r="CG47" t="n">
        <v>5.5</v>
      </c>
      <c r="CH47" s="49">
        <f>CE47</f>
        <v/>
      </c>
      <c r="CI47">
        <f>ROUND( 100+CE47,0)</f>
        <v/>
      </c>
      <c r="CK47" t="n">
        <v>46</v>
      </c>
      <c r="CL47">
        <f>(CN47/$CF$2-1)*100</f>
        <v/>
      </c>
      <c r="CN47">
        <f>0.08*CK47+3.92</f>
        <v/>
      </c>
      <c r="CO47" s="49">
        <f>CL47</f>
        <v/>
      </c>
      <c r="CP47" t="n">
        <v>275</v>
      </c>
      <c r="CQ47" t="n">
        <v>54</v>
      </c>
      <c r="CR47">
        <f>CP47&amp;"|"&amp;CQ47</f>
        <v/>
      </c>
      <c r="CT47" s="26" t="n"/>
      <c r="CV47" s="50" t="n">
        <v>78</v>
      </c>
      <c r="CW47" t="n">
        <v>46</v>
      </c>
      <c r="CX47">
        <f>DA47&amp;"|"&amp;DA47&amp;"|"&amp;DA47&amp;"|"&amp;DA47&amp;"|"&amp;DA47</f>
        <v/>
      </c>
      <c r="CY47" t="n">
        <v>5</v>
      </c>
      <c r="CZ47">
        <f>CZ46</f>
        <v/>
      </c>
      <c r="DA47">
        <f>(CY47/CZ47-1)*100</f>
        <v/>
      </c>
      <c r="DB47" s="50">
        <f>ROUND( 100+DA47,0)</f>
        <v/>
      </c>
      <c r="DC47" t="n">
        <v>37</v>
      </c>
      <c r="DD47">
        <f>_xlfn.TEXTJOIN("|",TRUE,DB47:DC47)</f>
        <v/>
      </c>
      <c r="DF47" t="n">
        <v>46</v>
      </c>
      <c r="DG47" t="n">
        <v>850</v>
      </c>
      <c r="DI47" s="50" t="n">
        <v>-56</v>
      </c>
      <c r="DJ47" s="50" t="n">
        <v>-54</v>
      </c>
      <c r="DK47" s="45" t="n"/>
      <c r="DL47" s="45" t="n">
        <v>46</v>
      </c>
      <c r="DM47">
        <f>(DO47/$DN$2-1)*100</f>
        <v/>
      </c>
      <c r="DN47" s="45" t="n"/>
      <c r="DO47" s="45" t="n">
        <v>7.95000000000001</v>
      </c>
      <c r="DP47" s="52" t="n">
        <v>-54</v>
      </c>
      <c r="DQ47" s="50">
        <f>ROUND( 100+DM47,0)</f>
        <v/>
      </c>
      <c r="DR47" s="50">
        <f>ROUND( 100+DP47,0)</f>
        <v/>
      </c>
      <c r="DS47">
        <f>_xlfn.TEXTJOIN("|",TRUE,DQ47:DR47)</f>
        <v/>
      </c>
      <c r="DU47" t="n">
        <v>46</v>
      </c>
      <c r="DV47" s="45">
        <f>(DX47/DW47-1)*100</f>
        <v/>
      </c>
      <c r="DW47">
        <f>DW46</f>
        <v/>
      </c>
      <c r="DX47" t="n">
        <v>6.6</v>
      </c>
      <c r="DZ47">
        <f>ROUND( 100+DV47,0)</f>
        <v/>
      </c>
      <c r="EB47" t="n">
        <v>46</v>
      </c>
      <c r="EC47" s="50">
        <f>(EE47/$ED$2-1)*100</f>
        <v/>
      </c>
      <c r="ED47">
        <f>ED46</f>
        <v/>
      </c>
      <c r="EE47" t="n">
        <v>6.85</v>
      </c>
      <c r="EF47" s="43">
        <f>_xlfn.TEXTJOIN("|",TRUE,EC47,EC47,EC47,EC47,EC47,EC47)</f>
        <v/>
      </c>
      <c r="EG47" s="50">
        <f>ROUND( 100+EC47,0)</f>
        <v/>
      </c>
      <c r="EH47" s="43" t="n"/>
      <c r="EJ47" t="n">
        <v>46</v>
      </c>
      <c r="EK47" s="50">
        <f>(EM47/EL47-1)*100</f>
        <v/>
      </c>
      <c r="EL47">
        <f>EL46</f>
        <v/>
      </c>
      <c r="EM47" t="n">
        <v>5.5</v>
      </c>
      <c r="EN47" s="43">
        <f>EK47&amp;"|"&amp;EK47&amp;"|"&amp;EK47&amp;"|"&amp;EK47&amp;"|"&amp;EK47&amp;"|"&amp;EK47</f>
        <v/>
      </c>
      <c r="EO47" s="50">
        <f>ROUND( 100+EK47,0)</f>
        <v/>
      </c>
      <c r="EP47" s="50" t="n"/>
      <c r="EQ47" s="50" t="n"/>
      <c r="ER47" s="50">
        <f>(ET47/ES47-1)*100</f>
        <v/>
      </c>
      <c r="ES47" s="50">
        <f>ES46</f>
        <v/>
      </c>
      <c r="ET47" t="n">
        <v>8.25</v>
      </c>
      <c r="EU47" s="50" t="n"/>
      <c r="EV47" s="50">
        <f>ROUND( 100+ER47,0)</f>
        <v/>
      </c>
      <c r="EW47" s="50">
        <f>(EX47/EY47-1)*100</f>
        <v/>
      </c>
      <c r="EX47" t="n">
        <v>7.15</v>
      </c>
      <c r="EY47">
        <f>EY46</f>
        <v/>
      </c>
      <c r="EZ47" t="n">
        <v>187</v>
      </c>
      <c r="FA47" t="n">
        <v>4.78999999999999</v>
      </c>
      <c r="FB47" s="50">
        <f>ROUND( 100+EW47,0)</f>
        <v/>
      </c>
      <c r="FC47">
        <f>EW47&amp;"|"&amp;EZ47&amp;"|"&amp;FA47</f>
        <v/>
      </c>
      <c r="FE47" t="n">
        <v>46</v>
      </c>
      <c r="FF47" s="50">
        <f>(FH47/FG47-1)*100</f>
        <v/>
      </c>
      <c r="FG47">
        <f>FG46</f>
        <v/>
      </c>
      <c r="FH47">
        <f>2*(1+FE46*0.1)</f>
        <v/>
      </c>
      <c r="FJ47" t="n">
        <v>46</v>
      </c>
      <c r="FK47" s="50">
        <f>(FN47/FM47-1)*100</f>
        <v/>
      </c>
      <c r="FL47" s="50">
        <f>FL46</f>
        <v/>
      </c>
      <c r="FM47">
        <f>FM46</f>
        <v/>
      </c>
      <c r="FN47">
        <f>2*(1+FJ46*0.1)</f>
        <v/>
      </c>
      <c r="FP47" t="n">
        <v>46</v>
      </c>
      <c r="FQ47" s="50">
        <f>ROUND((FS47/FR47-1)*100,0)</f>
        <v/>
      </c>
      <c r="FR47">
        <f>FR46</f>
        <v/>
      </c>
      <c r="FS47">
        <f>2*(1+FP46*0.1)</f>
        <v/>
      </c>
      <c r="FT47">
        <f>_xlfn.TEXTJOIN("|",TRUE,FQ47,FQ47,FQ47)</f>
        <v/>
      </c>
    </row>
    <row r="48">
      <c r="G48" t="n">
        <v>47</v>
      </c>
      <c r="H48">
        <f>(J48/I48-1)*100</f>
        <v/>
      </c>
      <c r="I48">
        <f>I47</f>
        <v/>
      </c>
      <c r="J48" t="n">
        <v>6.52</v>
      </c>
      <c r="K48" s="49">
        <f>H48&amp;"|"&amp;H48&amp;"|"&amp;H48&amp;"|"&amp;H48&amp;"|"&amp;H48</f>
        <v/>
      </c>
      <c r="L48">
        <f>ROUND( 100+H48,0)</f>
        <v/>
      </c>
      <c r="M48" s="49" t="n"/>
      <c r="N48" s="49" t="n">
        <v>47</v>
      </c>
      <c r="O48">
        <f>(Q48/P48-1)*100</f>
        <v/>
      </c>
      <c r="P48">
        <f>P47</f>
        <v/>
      </c>
      <c r="Q48" t="n">
        <v>6.26</v>
      </c>
      <c r="R48" s="49">
        <f>O48&amp;"|"&amp;O48&amp;"|"&amp;O48</f>
        <v/>
      </c>
      <c r="S48">
        <f>ROUND( 100+O48,0)</f>
        <v/>
      </c>
      <c r="U48" t="n">
        <v>47</v>
      </c>
      <c r="V48">
        <f>(X48/W48-1)*100</f>
        <v/>
      </c>
      <c r="W48">
        <f>W47</f>
        <v/>
      </c>
      <c r="X48" t="n">
        <v>9.74</v>
      </c>
      <c r="Y48" s="49">
        <f>V48&amp;"|"&amp;V48&amp;"|"&amp;V48&amp;"|"&amp;V48&amp;"|"&amp;V48&amp;"|"&amp;V48&amp;"|"&amp;V48&amp;"|"&amp;V48</f>
        <v/>
      </c>
      <c r="Z48">
        <f>ROUND( 100+V48,0)</f>
        <v/>
      </c>
      <c r="AA48">
        <f>1.38*U48-39.38</f>
        <v/>
      </c>
      <c r="AC48" t="n">
        <v>47</v>
      </c>
      <c r="AD48">
        <f>(AF48/AE48-1)*100</f>
        <v/>
      </c>
      <c r="AE48" t="n">
        <v>1</v>
      </c>
      <c r="AF48" t="n">
        <v>7.99</v>
      </c>
      <c r="AH48">
        <f>ROUND( 100+AD48,0)</f>
        <v/>
      </c>
      <c r="AJ48" t="n">
        <v>47</v>
      </c>
      <c r="AL48" t="n">
        <v>5600</v>
      </c>
      <c r="AM48" t="n">
        <v>25</v>
      </c>
      <c r="AO48">
        <f>_xlfn.TEXTJOIN("|",TRUE,AL48:AM48)</f>
        <v/>
      </c>
      <c r="AR48" t="n">
        <v>47</v>
      </c>
      <c r="AS48">
        <f>(AU48/AT48-1)*100</f>
        <v/>
      </c>
      <c r="AT48">
        <f>AT47</f>
        <v/>
      </c>
      <c r="AU48" t="n">
        <v>5.6</v>
      </c>
      <c r="AV48">
        <f>ROUND( 100+AS48,0)</f>
        <v/>
      </c>
      <c r="AW48" s="45" t="n"/>
      <c r="AX48" s="45" t="n">
        <v>47</v>
      </c>
      <c r="AY48" s="45">
        <f>(BA48/$AZ$2-1)*100</f>
        <v/>
      </c>
      <c r="AZ48" s="45" t="n"/>
      <c r="BA48" s="45" t="n">
        <v>11.2</v>
      </c>
      <c r="BB48">
        <f>ROUND( 100+AY48,0)</f>
        <v/>
      </c>
      <c r="BD48" t="n">
        <v>5000</v>
      </c>
      <c r="BE48" s="50" t="inlineStr">
        <is>
          <t>19</t>
        </is>
      </c>
      <c r="BF48">
        <f>BD48&amp;"|"&amp;BE48</f>
        <v/>
      </c>
      <c r="BH48" t="n">
        <v>47</v>
      </c>
      <c r="BI48" s="45">
        <f>(BK48/BJ48-1)*100</f>
        <v/>
      </c>
      <c r="BJ48">
        <f>BJ47</f>
        <v/>
      </c>
      <c r="BK48" t="n">
        <v>9.060000000000009</v>
      </c>
      <c r="BL48" s="43">
        <f>_xlfn.TEXTJOIN("|",TRUE,BI48,BI48,BI48,BI48,BI48)</f>
        <v/>
      </c>
      <c r="BM48">
        <f>ROUND( 100+BI48,0)</f>
        <v/>
      </c>
      <c r="BN48" s="50">
        <f>BM48/10</f>
        <v/>
      </c>
      <c r="BO48" s="50">
        <f>1.5*BM48/10</f>
        <v/>
      </c>
      <c r="BP48" s="50">
        <f>2*BM48/10</f>
        <v/>
      </c>
      <c r="BQ48" s="50">
        <f>2.5*BM48/10</f>
        <v/>
      </c>
      <c r="BR48" s="50">
        <f>3*BM48/10</f>
        <v/>
      </c>
      <c r="BT48" t="n">
        <v>47</v>
      </c>
      <c r="BU48">
        <f>(BW48/$BV$2-1)*100</f>
        <v/>
      </c>
      <c r="BW48" t="n">
        <v>10.2</v>
      </c>
      <c r="BX48" s="49">
        <f>CA48&amp;"|"&amp;CB48</f>
        <v/>
      </c>
      <c r="BY48">
        <f>ROUND( 100+BU48,0)</f>
        <v/>
      </c>
      <c r="BZ48">
        <f>2*BU48</f>
        <v/>
      </c>
      <c r="CA48" s="50">
        <f>BZ48/3</f>
        <v/>
      </c>
      <c r="CB48" s="50">
        <f>CA48*2</f>
        <v/>
      </c>
      <c r="CD48" t="n">
        <v>47</v>
      </c>
      <c r="CE48" s="50">
        <f>((CG48/$CF$2-1)*100)</f>
        <v/>
      </c>
      <c r="CG48" t="n">
        <v>5.6</v>
      </c>
      <c r="CH48" s="49">
        <f>CE48</f>
        <v/>
      </c>
      <c r="CI48">
        <f>ROUND( 100+CE48,0)</f>
        <v/>
      </c>
      <c r="CK48" t="n">
        <v>47</v>
      </c>
      <c r="CL48">
        <f>(CN48/$CF$2-1)*100</f>
        <v/>
      </c>
      <c r="CN48">
        <f>0.08*CK48+3.92</f>
        <v/>
      </c>
      <c r="CO48" s="49">
        <f>CL48</f>
        <v/>
      </c>
      <c r="CP48" t="n">
        <v>280</v>
      </c>
      <c r="CQ48" t="n">
        <v>53</v>
      </c>
      <c r="CR48">
        <f>CP48&amp;"|"&amp;CQ48</f>
        <v/>
      </c>
      <c r="CT48" s="26" t="n"/>
      <c r="CV48" s="50" t="n">
        <v>79</v>
      </c>
      <c r="CW48" t="n">
        <v>47</v>
      </c>
      <c r="CX48">
        <f>DA48&amp;"|"&amp;DA48&amp;"|"&amp;DA48&amp;"|"&amp;DA48&amp;"|"&amp;DA48</f>
        <v/>
      </c>
      <c r="CY48" t="n">
        <v>5.1</v>
      </c>
      <c r="CZ48">
        <f>CZ47</f>
        <v/>
      </c>
      <c r="DA48">
        <f>(CY48/CZ48-1)*100</f>
        <v/>
      </c>
      <c r="DB48" s="50">
        <f>ROUND( 100+DA48,0)</f>
        <v/>
      </c>
      <c r="DC48" t="n">
        <v>37.6</v>
      </c>
      <c r="DD48">
        <f>_xlfn.TEXTJOIN("|",TRUE,DB48:DC48)</f>
        <v/>
      </c>
      <c r="DF48" t="n">
        <v>47</v>
      </c>
      <c r="DG48" t="n">
        <v>860</v>
      </c>
      <c r="DI48" s="50" t="n">
        <v>-54</v>
      </c>
      <c r="DJ48" s="50" t="n">
        <v>-52</v>
      </c>
      <c r="DK48" s="45" t="n"/>
      <c r="DL48" s="45" t="n">
        <v>47</v>
      </c>
      <c r="DM48">
        <f>(DO48/$DN$2-1)*100</f>
        <v/>
      </c>
      <c r="DN48" s="45" t="n"/>
      <c r="DO48" s="45" t="n">
        <v>8.10000000000001</v>
      </c>
      <c r="DP48" s="52" t="n">
        <v>-53</v>
      </c>
      <c r="DQ48" s="50">
        <f>ROUND( 100+DM48,0)</f>
        <v/>
      </c>
      <c r="DR48" s="50">
        <f>ROUND( 100+DP48,0)</f>
        <v/>
      </c>
      <c r="DS48">
        <f>_xlfn.TEXTJOIN("|",TRUE,DQ48:DR48)</f>
        <v/>
      </c>
      <c r="DU48" t="n">
        <v>47</v>
      </c>
      <c r="DV48" s="45">
        <f>(DX48/DW48-1)*100</f>
        <v/>
      </c>
      <c r="DW48">
        <f>DW47</f>
        <v/>
      </c>
      <c r="DX48" t="n">
        <v>6.72</v>
      </c>
      <c r="DZ48">
        <f>ROUND( 100+DV48,0)</f>
        <v/>
      </c>
      <c r="EB48" t="n">
        <v>47</v>
      </c>
      <c r="EC48" s="50">
        <f>(EE48/$ED$2-1)*100</f>
        <v/>
      </c>
      <c r="ED48">
        <f>ED47</f>
        <v/>
      </c>
      <c r="EE48" t="n">
        <v>6.98</v>
      </c>
      <c r="EF48" s="43">
        <f>_xlfn.TEXTJOIN("|",TRUE,EC48,EC48,EC48,EC48,EC48,EC48)</f>
        <v/>
      </c>
      <c r="EG48" s="50">
        <f>ROUND( 100+EC48,0)</f>
        <v/>
      </c>
      <c r="EH48" s="43" t="n"/>
      <c r="EJ48" t="n">
        <v>47</v>
      </c>
      <c r="EK48" s="50">
        <f>(EM48/EL48-1)*100</f>
        <v/>
      </c>
      <c r="EL48">
        <f>EL47</f>
        <v/>
      </c>
      <c r="EM48" t="n">
        <v>5.6</v>
      </c>
      <c r="EN48" s="43">
        <f>EK48&amp;"|"&amp;EK48&amp;"|"&amp;EK48&amp;"|"&amp;EK48&amp;"|"&amp;EK48&amp;"|"&amp;EK48</f>
        <v/>
      </c>
      <c r="EO48" s="50">
        <f>ROUND( 100+EK48,0)</f>
        <v/>
      </c>
      <c r="EP48" s="50" t="n"/>
      <c r="EQ48" s="50" t="n"/>
      <c r="ER48" s="50">
        <f>(ET48/ES48-1)*100</f>
        <v/>
      </c>
      <c r="ES48" s="50">
        <f>ES47</f>
        <v/>
      </c>
      <c r="ET48" t="n">
        <v>8.4</v>
      </c>
      <c r="EU48" s="50" t="n"/>
      <c r="EV48" s="50">
        <f>ROUND( 100+ER48,0)</f>
        <v/>
      </c>
      <c r="EW48" s="50">
        <f>(EX48/EY48-1)*100</f>
        <v/>
      </c>
      <c r="EX48" t="n">
        <v>7.28</v>
      </c>
      <c r="EY48">
        <f>EY47</f>
        <v/>
      </c>
      <c r="EZ48" t="n">
        <v>190.4</v>
      </c>
      <c r="FA48" t="n">
        <v>4.85199999999999</v>
      </c>
      <c r="FB48" s="50">
        <f>ROUND( 100+EW48,0)</f>
        <v/>
      </c>
      <c r="FC48">
        <f>EW48&amp;"|"&amp;EZ48&amp;"|"&amp;FA48</f>
        <v/>
      </c>
      <c r="FE48" t="n">
        <v>47</v>
      </c>
      <c r="FF48" s="50">
        <f>(FH48/FG48-1)*100</f>
        <v/>
      </c>
      <c r="FG48">
        <f>FG47</f>
        <v/>
      </c>
      <c r="FH48">
        <f>2*(1+FE47*0.1)</f>
        <v/>
      </c>
      <c r="FJ48" t="n">
        <v>47</v>
      </c>
      <c r="FK48" s="50">
        <f>(FN48/FM48-1)*100</f>
        <v/>
      </c>
      <c r="FL48" s="50">
        <f>FL47</f>
        <v/>
      </c>
      <c r="FM48">
        <f>FM47</f>
        <v/>
      </c>
      <c r="FN48">
        <f>2*(1+FJ47*0.1)</f>
        <v/>
      </c>
      <c r="FP48" t="n">
        <v>47</v>
      </c>
      <c r="FQ48" s="50">
        <f>ROUND((FS48/FR48-1)*100,0)</f>
        <v/>
      </c>
      <c r="FR48">
        <f>FR47</f>
        <v/>
      </c>
      <c r="FS48">
        <f>2*(1+FP47*0.1)</f>
        <v/>
      </c>
      <c r="FT48">
        <f>_xlfn.TEXTJOIN("|",TRUE,FQ48,FQ48,FQ48)</f>
        <v/>
      </c>
    </row>
    <row r="49">
      <c r="G49" t="n">
        <v>48</v>
      </c>
      <c r="H49">
        <f>(J49/I49-1)*100</f>
        <v/>
      </c>
      <c r="I49">
        <f>I48</f>
        <v/>
      </c>
      <c r="J49" t="n">
        <v>6.64000000000001</v>
      </c>
      <c r="K49" s="49">
        <f>H49&amp;"|"&amp;H49&amp;"|"&amp;H49&amp;"|"&amp;H49&amp;"|"&amp;H49</f>
        <v/>
      </c>
      <c r="L49">
        <f>ROUND( 100+H49,0)</f>
        <v/>
      </c>
      <c r="M49" s="49" t="n"/>
      <c r="N49" s="49" t="n">
        <v>48</v>
      </c>
      <c r="O49">
        <f>(Q49/P49-1)*100</f>
        <v/>
      </c>
      <c r="P49">
        <f>P48</f>
        <v/>
      </c>
      <c r="Q49" t="n">
        <v>6.37</v>
      </c>
      <c r="R49" s="49">
        <f>O49&amp;"|"&amp;O49&amp;"|"&amp;O49</f>
        <v/>
      </c>
      <c r="S49">
        <f>ROUND( 100+O49,0)</f>
        <v/>
      </c>
      <c r="U49" t="n">
        <v>48</v>
      </c>
      <c r="V49">
        <f>(X49/W49-1)*100</f>
        <v/>
      </c>
      <c r="W49">
        <f>W48</f>
        <v/>
      </c>
      <c r="X49" t="n">
        <v>9.93</v>
      </c>
      <c r="Y49" s="49">
        <f>V49&amp;"|"&amp;V49&amp;"|"&amp;V49&amp;"|"&amp;V49&amp;"|"&amp;V49&amp;"|"&amp;V49&amp;"|"&amp;V49&amp;"|"&amp;V49</f>
        <v/>
      </c>
      <c r="Z49">
        <f>ROUND( 100+V49,0)</f>
        <v/>
      </c>
      <c r="AA49">
        <f>1.38*U49-39.38</f>
        <v/>
      </c>
      <c r="AC49" t="n">
        <v>48</v>
      </c>
      <c r="AD49">
        <f>(AF49/AE49-1)*100</f>
        <v/>
      </c>
      <c r="AE49" t="n">
        <v>1</v>
      </c>
      <c r="AF49" t="n">
        <v>8.130000000000001</v>
      </c>
      <c r="AH49">
        <f>ROUND( 100+AD49,0)</f>
        <v/>
      </c>
      <c r="AJ49" t="n">
        <v>48</v>
      </c>
      <c r="AL49" t="n">
        <v>5700</v>
      </c>
      <c r="AM49" t="n">
        <v>25.5</v>
      </c>
      <c r="AO49">
        <f>_xlfn.TEXTJOIN("|",TRUE,AL49:AM49)</f>
        <v/>
      </c>
      <c r="AR49" t="n">
        <v>48</v>
      </c>
      <c r="AS49">
        <f>(AU49/AT49-1)*100</f>
        <v/>
      </c>
      <c r="AT49">
        <f>AT48</f>
        <v/>
      </c>
      <c r="AU49" t="n">
        <v>5.7</v>
      </c>
      <c r="AV49">
        <f>ROUND( 100+AS49,0)</f>
        <v/>
      </c>
      <c r="AW49" s="45" t="n"/>
      <c r="AX49" s="45" t="n">
        <v>48</v>
      </c>
      <c r="AY49" s="45">
        <f>(BA49/$AZ$2-1)*100</f>
        <v/>
      </c>
      <c r="AZ49" s="45" t="n"/>
      <c r="BA49" s="45" t="n">
        <v>11.4</v>
      </c>
      <c r="BB49">
        <f>ROUND( 100+AY49,0)</f>
        <v/>
      </c>
      <c r="BD49" t="n">
        <v>5100</v>
      </c>
      <c r="BE49" s="50" t="inlineStr">
        <is>
          <t>19</t>
        </is>
      </c>
      <c r="BF49">
        <f>BD49&amp;"|"&amp;BE49</f>
        <v/>
      </c>
      <c r="BH49" t="n">
        <v>48</v>
      </c>
      <c r="BI49" s="45">
        <f>(BK49/BJ49-1)*100</f>
        <v/>
      </c>
      <c r="BJ49">
        <f>BJ48</f>
        <v/>
      </c>
      <c r="BK49" t="n">
        <v>9.22000000000001</v>
      </c>
      <c r="BL49" s="43">
        <f>_xlfn.TEXTJOIN("|",TRUE,BI49,BI49,BI49,BI49,BI49)</f>
        <v/>
      </c>
      <c r="BM49">
        <f>ROUND( 100+BI49,0)</f>
        <v/>
      </c>
      <c r="BN49" s="50">
        <f>BM49/10</f>
        <v/>
      </c>
      <c r="BO49" s="50">
        <f>1.5*BM49/10</f>
        <v/>
      </c>
      <c r="BP49" s="50">
        <f>2*BM49/10</f>
        <v/>
      </c>
      <c r="BQ49" s="50">
        <f>2.5*BM49/10</f>
        <v/>
      </c>
      <c r="BR49" s="50">
        <f>3*BM49/10</f>
        <v/>
      </c>
      <c r="BT49" t="n">
        <v>48</v>
      </c>
      <c r="BU49">
        <f>(BW49/$BV$2-1)*100</f>
        <v/>
      </c>
      <c r="BW49" t="n">
        <v>10.4</v>
      </c>
      <c r="BX49" s="49">
        <f>CA49&amp;"|"&amp;CB49</f>
        <v/>
      </c>
      <c r="BY49">
        <f>ROUND( 100+BU49,0)</f>
        <v/>
      </c>
      <c r="BZ49">
        <f>2*BU49</f>
        <v/>
      </c>
      <c r="CA49" s="50">
        <f>BZ49/3</f>
        <v/>
      </c>
      <c r="CB49" s="50">
        <f>CA49*2</f>
        <v/>
      </c>
      <c r="CD49" t="n">
        <v>48</v>
      </c>
      <c r="CE49" s="50">
        <f>((CG49/$CF$2-1)*100)</f>
        <v/>
      </c>
      <c r="CG49" t="n">
        <v>5.7</v>
      </c>
      <c r="CH49" s="49">
        <f>CE49</f>
        <v/>
      </c>
      <c r="CI49">
        <f>ROUND( 100+CE49,0)</f>
        <v/>
      </c>
      <c r="CK49" t="n">
        <v>48</v>
      </c>
      <c r="CL49">
        <f>(CN49/$CF$2-1)*100</f>
        <v/>
      </c>
      <c r="CN49">
        <f>0.08*CK49+3.92</f>
        <v/>
      </c>
      <c r="CO49" s="49">
        <f>CL49</f>
        <v/>
      </c>
      <c r="CP49" t="n">
        <v>285</v>
      </c>
      <c r="CQ49" t="n">
        <v>52</v>
      </c>
      <c r="CR49">
        <f>CP49&amp;"|"&amp;CQ49</f>
        <v/>
      </c>
      <c r="CT49" s="26" t="n"/>
      <c r="CV49" s="50" t="n">
        <v>81</v>
      </c>
      <c r="CW49" t="n">
        <v>48</v>
      </c>
      <c r="CX49">
        <f>DA49&amp;"|"&amp;DA49&amp;"|"&amp;DA49&amp;"|"&amp;DA49&amp;"|"&amp;DA49</f>
        <v/>
      </c>
      <c r="CY49" t="n">
        <v>5.2</v>
      </c>
      <c r="CZ49">
        <f>CZ48</f>
        <v/>
      </c>
      <c r="DA49">
        <f>(CY49/CZ49-1)*100</f>
        <v/>
      </c>
      <c r="DB49" s="50">
        <f>ROUND( 100+DA49,0)</f>
        <v/>
      </c>
      <c r="DC49" t="n">
        <v>38.2</v>
      </c>
      <c r="DD49">
        <f>_xlfn.TEXTJOIN("|",TRUE,DB49:DC49)</f>
        <v/>
      </c>
      <c r="DF49" t="n">
        <v>48</v>
      </c>
      <c r="DG49" t="n">
        <v>870</v>
      </c>
      <c r="DI49" s="50" t="n">
        <v>-53</v>
      </c>
      <c r="DJ49" s="50" t="n">
        <v>-52</v>
      </c>
      <c r="DK49" s="45" t="n"/>
      <c r="DL49" s="45" t="n">
        <v>48</v>
      </c>
      <c r="DM49">
        <f>(DO49/$DN$2-1)*100</f>
        <v/>
      </c>
      <c r="DN49" s="45" t="n"/>
      <c r="DO49" s="45" t="n">
        <v>8.250000000000011</v>
      </c>
      <c r="DP49" s="52" t="n">
        <v>-52</v>
      </c>
      <c r="DQ49" s="50">
        <f>ROUND( 100+DM49,0)</f>
        <v/>
      </c>
      <c r="DR49" s="50">
        <f>ROUND( 100+DP49,0)</f>
        <v/>
      </c>
      <c r="DS49">
        <f>_xlfn.TEXTJOIN("|",TRUE,DQ49:DR49)</f>
        <v/>
      </c>
      <c r="DU49" t="n">
        <v>48</v>
      </c>
      <c r="DV49" s="45">
        <f>(DX49/DW49-1)*100</f>
        <v/>
      </c>
      <c r="DW49">
        <f>DW48</f>
        <v/>
      </c>
      <c r="DX49" t="n">
        <v>6.84000000000001</v>
      </c>
      <c r="DZ49">
        <f>ROUND( 100+DV49,0)</f>
        <v/>
      </c>
      <c r="EB49" t="n">
        <v>48</v>
      </c>
      <c r="EC49" s="50">
        <f>(EE49/$ED$2-1)*100</f>
        <v/>
      </c>
      <c r="ED49">
        <f>ED48</f>
        <v/>
      </c>
      <c r="EE49" t="n">
        <v>7.10999999999999</v>
      </c>
      <c r="EF49" s="43">
        <f>_xlfn.TEXTJOIN("|",TRUE,EC49,EC49,EC49,EC49,EC49,EC49)</f>
        <v/>
      </c>
      <c r="EG49" s="50">
        <f>ROUND( 100+EC49,0)</f>
        <v/>
      </c>
      <c r="EH49" s="43" t="n"/>
      <c r="EJ49" t="n">
        <v>48</v>
      </c>
      <c r="EK49" s="50">
        <f>(EM49/EL49-1)*100</f>
        <v/>
      </c>
      <c r="EL49">
        <f>EL48</f>
        <v/>
      </c>
      <c r="EM49" t="n">
        <v>5.7</v>
      </c>
      <c r="EN49" s="43">
        <f>EK49&amp;"|"&amp;EK49&amp;"|"&amp;EK49&amp;"|"&amp;EK49&amp;"|"&amp;EK49&amp;"|"&amp;EK49</f>
        <v/>
      </c>
      <c r="EO49" s="50">
        <f>ROUND( 100+EK49,0)</f>
        <v/>
      </c>
      <c r="EP49" s="50" t="n"/>
      <c r="EQ49" s="50" t="n"/>
      <c r="ER49" s="50">
        <f>(ET49/ES49-1)*100</f>
        <v/>
      </c>
      <c r="ES49" s="50">
        <f>ES48</f>
        <v/>
      </c>
      <c r="ET49" t="n">
        <v>8.550000000000001</v>
      </c>
      <c r="EU49" s="50" t="n"/>
      <c r="EV49" s="50">
        <f>ROUND( 100+ER49,0)</f>
        <v/>
      </c>
      <c r="EW49" s="50">
        <f>(EX49/EY49-1)*100</f>
        <v/>
      </c>
      <c r="EX49" t="n">
        <v>7.40999999999999</v>
      </c>
      <c r="EY49">
        <f>EY48</f>
        <v/>
      </c>
      <c r="EZ49" t="n">
        <v>193.8</v>
      </c>
      <c r="FA49" t="n">
        <v>4.91399999999999</v>
      </c>
      <c r="FB49" s="50">
        <f>ROUND( 100+EW49,0)</f>
        <v/>
      </c>
      <c r="FC49">
        <f>EW49&amp;"|"&amp;EZ49&amp;"|"&amp;FA49</f>
        <v/>
      </c>
      <c r="FE49" t="n">
        <v>48</v>
      </c>
      <c r="FF49" s="50">
        <f>(FH49/FG49-1)*100</f>
        <v/>
      </c>
      <c r="FG49">
        <f>FG48</f>
        <v/>
      </c>
      <c r="FH49">
        <f>2*(1+FE48*0.1)</f>
        <v/>
      </c>
      <c r="FJ49" t="n">
        <v>48</v>
      </c>
      <c r="FK49" s="50">
        <f>(FN49/FM49-1)*100</f>
        <v/>
      </c>
      <c r="FL49" s="50">
        <f>FL48</f>
        <v/>
      </c>
      <c r="FM49">
        <f>FM48</f>
        <v/>
      </c>
      <c r="FN49">
        <f>2*(1+FJ48*0.1)</f>
        <v/>
      </c>
      <c r="FP49" t="n">
        <v>48</v>
      </c>
      <c r="FQ49" s="50">
        <f>ROUND((FS49/FR49-1)*100,0)</f>
        <v/>
      </c>
      <c r="FR49">
        <f>FR48</f>
        <v/>
      </c>
      <c r="FS49">
        <f>2*(1+FP48*0.1)</f>
        <v/>
      </c>
      <c r="FT49">
        <f>_xlfn.TEXTJOIN("|",TRUE,FQ49,FQ49,FQ49)</f>
        <v/>
      </c>
    </row>
    <row r="50">
      <c r="G50" t="n">
        <v>49</v>
      </c>
      <c r="H50">
        <f>(J50/I50-1)*100</f>
        <v/>
      </c>
      <c r="I50">
        <f>I49</f>
        <v/>
      </c>
      <c r="J50" t="n">
        <v>6.76000000000001</v>
      </c>
      <c r="K50" s="49">
        <f>H50&amp;"|"&amp;H50&amp;"|"&amp;H50&amp;"|"&amp;H50&amp;"|"&amp;H50</f>
        <v/>
      </c>
      <c r="L50">
        <f>ROUND( 100+H50,0)</f>
        <v/>
      </c>
      <c r="M50" s="49" t="n"/>
      <c r="N50" s="49" t="n">
        <v>49</v>
      </c>
      <c r="O50">
        <f>(Q50/P50-1)*100</f>
        <v/>
      </c>
      <c r="P50">
        <f>P49</f>
        <v/>
      </c>
      <c r="Q50" t="n">
        <v>6.48</v>
      </c>
      <c r="R50" s="49">
        <f>O50&amp;"|"&amp;O50&amp;"|"&amp;O50</f>
        <v/>
      </c>
      <c r="S50">
        <f>ROUND( 100+O50,0)</f>
        <v/>
      </c>
      <c r="U50" t="n">
        <v>49</v>
      </c>
      <c r="V50">
        <f>(X50/W50-1)*100</f>
        <v/>
      </c>
      <c r="W50">
        <f>W49</f>
        <v/>
      </c>
      <c r="X50" t="n">
        <v>10.12</v>
      </c>
      <c r="Y50" s="49">
        <f>V50&amp;"|"&amp;V50&amp;"|"&amp;V50&amp;"|"&amp;V50&amp;"|"&amp;V50&amp;"|"&amp;V50&amp;"|"&amp;V50&amp;"|"&amp;V50</f>
        <v/>
      </c>
      <c r="Z50">
        <f>ROUND( 100+V50,0)</f>
        <v/>
      </c>
      <c r="AA50">
        <f>1.38*U50-39.38</f>
        <v/>
      </c>
      <c r="AC50" t="n">
        <v>49</v>
      </c>
      <c r="AD50">
        <f>(AF50/AE50-1)*100</f>
        <v/>
      </c>
      <c r="AE50" t="n">
        <v>1</v>
      </c>
      <c r="AF50" t="n">
        <v>8.27</v>
      </c>
      <c r="AH50">
        <f>ROUND( 100+AD50,0)</f>
        <v/>
      </c>
      <c r="AJ50" t="n">
        <v>49</v>
      </c>
      <c r="AL50" t="n">
        <v>5800</v>
      </c>
      <c r="AM50" t="n">
        <v>26</v>
      </c>
      <c r="AO50">
        <f>_xlfn.TEXTJOIN("|",TRUE,AL50:AM50)</f>
        <v/>
      </c>
      <c r="AR50" t="n">
        <v>49</v>
      </c>
      <c r="AS50">
        <f>(AU50/AT50-1)*100</f>
        <v/>
      </c>
      <c r="AT50">
        <f>AT49</f>
        <v/>
      </c>
      <c r="AU50" t="n">
        <v>5.8</v>
      </c>
      <c r="AV50">
        <f>ROUND( 100+AS50,0)</f>
        <v/>
      </c>
      <c r="AW50" s="45" t="n"/>
      <c r="AX50" s="45" t="n">
        <v>49</v>
      </c>
      <c r="AY50" s="45">
        <f>(BA50/$AZ$2-1)*100</f>
        <v/>
      </c>
      <c r="AZ50" s="45" t="n"/>
      <c r="BA50" s="45" t="n">
        <v>11.6</v>
      </c>
      <c r="BB50">
        <f>ROUND( 100+AY50,0)</f>
        <v/>
      </c>
      <c r="BD50" t="n">
        <v>5200</v>
      </c>
      <c r="BE50" s="50" t="inlineStr">
        <is>
          <t>20</t>
        </is>
      </c>
      <c r="BF50">
        <f>BD50&amp;"|"&amp;BE50</f>
        <v/>
      </c>
      <c r="BH50" t="n">
        <v>49</v>
      </c>
      <c r="BI50" s="45">
        <f>(BK50/BJ50-1)*100</f>
        <v/>
      </c>
      <c r="BJ50">
        <f>BJ49</f>
        <v/>
      </c>
      <c r="BK50" t="n">
        <v>9.38000000000001</v>
      </c>
      <c r="BL50" s="43">
        <f>_xlfn.TEXTJOIN("|",TRUE,BI50,BI50,BI50,BI50,BI50)</f>
        <v/>
      </c>
      <c r="BM50">
        <f>ROUND( 100+BI50,0)</f>
        <v/>
      </c>
      <c r="BN50" s="50">
        <f>BM50/10</f>
        <v/>
      </c>
      <c r="BO50" s="50">
        <f>1.5*BM50/10</f>
        <v/>
      </c>
      <c r="BP50" s="50">
        <f>2*BM50/10</f>
        <v/>
      </c>
      <c r="BQ50" s="50">
        <f>2.5*BM50/10</f>
        <v/>
      </c>
      <c r="BR50" s="50">
        <f>3*BM50/10</f>
        <v/>
      </c>
      <c r="BT50" t="n">
        <v>49</v>
      </c>
      <c r="BU50">
        <f>(BW50/$BV$2-1)*100</f>
        <v/>
      </c>
      <c r="BW50" t="n">
        <v>10.6</v>
      </c>
      <c r="BX50" s="49">
        <f>CA50&amp;"|"&amp;CB50</f>
        <v/>
      </c>
      <c r="BY50">
        <f>ROUND( 100+BU50,0)</f>
        <v/>
      </c>
      <c r="BZ50">
        <f>2*BU50</f>
        <v/>
      </c>
      <c r="CA50" s="50">
        <f>BZ50/3</f>
        <v/>
      </c>
      <c r="CB50" s="50">
        <f>CA50*2</f>
        <v/>
      </c>
      <c r="CD50" t="n">
        <v>49</v>
      </c>
      <c r="CE50" s="50">
        <f>((CG50/$CF$2-1)*100)</f>
        <v/>
      </c>
      <c r="CG50" t="n">
        <v>5.8</v>
      </c>
      <c r="CH50" s="49">
        <f>CE50</f>
        <v/>
      </c>
      <c r="CI50">
        <f>ROUND( 100+CE50,0)</f>
        <v/>
      </c>
      <c r="CK50" t="n">
        <v>49</v>
      </c>
      <c r="CL50">
        <f>(CN50/$CF$2-1)*100</f>
        <v/>
      </c>
      <c r="CN50">
        <f>0.08*CK50+3.92</f>
        <v/>
      </c>
      <c r="CO50" s="49">
        <f>CL50</f>
        <v/>
      </c>
      <c r="CP50" t="n">
        <v>290</v>
      </c>
      <c r="CQ50" t="n">
        <v>51</v>
      </c>
      <c r="CR50">
        <f>CP50&amp;"|"&amp;CQ50</f>
        <v/>
      </c>
      <c r="CT50" s="26" t="n"/>
      <c r="CV50" s="50" t="n">
        <v>82</v>
      </c>
      <c r="CW50" t="n">
        <v>49</v>
      </c>
      <c r="CX50">
        <f>DA50&amp;"|"&amp;DA50&amp;"|"&amp;DA50&amp;"|"&amp;DA50&amp;"|"&amp;DA50</f>
        <v/>
      </c>
      <c r="CY50" t="n">
        <v>5.3</v>
      </c>
      <c r="CZ50">
        <f>CZ49</f>
        <v/>
      </c>
      <c r="DA50">
        <f>(CY50/CZ50-1)*100</f>
        <v/>
      </c>
      <c r="DB50" s="50">
        <f>ROUND( 100+DA50,0)</f>
        <v/>
      </c>
      <c r="DC50" t="n">
        <v>38.8</v>
      </c>
      <c r="DD50">
        <f>_xlfn.TEXTJOIN("|",TRUE,DB50:DC50)</f>
        <v/>
      </c>
      <c r="DF50" t="n">
        <v>49</v>
      </c>
      <c r="DG50" t="n">
        <v>880</v>
      </c>
      <c r="DI50" s="50" t="n">
        <v>-53</v>
      </c>
      <c r="DJ50" s="50" t="n">
        <v>-52</v>
      </c>
      <c r="DK50" s="45" t="n"/>
      <c r="DL50" s="45" t="n">
        <v>49</v>
      </c>
      <c r="DM50">
        <f>(DO50/$DN$2-1)*100</f>
        <v/>
      </c>
      <c r="DN50" s="45" t="n"/>
      <c r="DO50" s="45" t="n">
        <v>8.400000000000009</v>
      </c>
      <c r="DP50" s="52" t="n">
        <v>-51</v>
      </c>
      <c r="DQ50" s="50">
        <f>ROUND( 100+DM50,0)</f>
        <v/>
      </c>
      <c r="DR50" s="50">
        <f>ROUND( 100+DP50,0)</f>
        <v/>
      </c>
      <c r="DS50">
        <f>_xlfn.TEXTJOIN("|",TRUE,DQ50:DR50)</f>
        <v/>
      </c>
      <c r="DU50" t="n">
        <v>49</v>
      </c>
      <c r="DV50" s="45">
        <f>(DX50/DW50-1)*100</f>
        <v/>
      </c>
      <c r="DW50">
        <f>DW49</f>
        <v/>
      </c>
      <c r="DX50" t="n">
        <v>6.96000000000001</v>
      </c>
      <c r="DZ50">
        <f>ROUND( 100+DV50,0)</f>
        <v/>
      </c>
      <c r="EB50" t="n">
        <v>49</v>
      </c>
      <c r="EC50" s="50">
        <f>(EE50/$ED$2-1)*100</f>
        <v/>
      </c>
      <c r="ED50">
        <f>ED49</f>
        <v/>
      </c>
      <c r="EE50" t="n">
        <v>7.23999999999999</v>
      </c>
      <c r="EF50" s="43">
        <f>_xlfn.TEXTJOIN("|",TRUE,EC50,EC50,EC50,EC50,EC50,EC50)</f>
        <v/>
      </c>
      <c r="EG50" s="50">
        <f>ROUND( 100+EC50,0)</f>
        <v/>
      </c>
      <c r="EH50" s="43" t="n"/>
      <c r="EJ50" t="n">
        <v>49</v>
      </c>
      <c r="EK50" s="50">
        <f>(EM50/EL50-1)*100</f>
        <v/>
      </c>
      <c r="EL50">
        <f>EL49</f>
        <v/>
      </c>
      <c r="EM50" t="n">
        <v>5.8</v>
      </c>
      <c r="EN50" s="43">
        <f>EK50&amp;"|"&amp;EK50&amp;"|"&amp;EK50&amp;"|"&amp;EK50&amp;"|"&amp;EK50&amp;"|"&amp;EK50</f>
        <v/>
      </c>
      <c r="EO50" s="50">
        <f>ROUND( 100+EK50,0)</f>
        <v/>
      </c>
      <c r="EP50" s="50" t="n"/>
      <c r="EQ50" s="50" t="n"/>
      <c r="ER50" s="50">
        <f>(ET50/ES50-1)*100</f>
        <v/>
      </c>
      <c r="ES50" s="50">
        <f>ES49</f>
        <v/>
      </c>
      <c r="ET50" t="n">
        <v>8.699999999999999</v>
      </c>
      <c r="EU50" s="50" t="n"/>
      <c r="EV50" s="50">
        <f>ROUND( 100+ER50,0)</f>
        <v/>
      </c>
      <c r="EW50" s="50">
        <f>(EX50/EY50-1)*100</f>
        <v/>
      </c>
      <c r="EX50" t="n">
        <v>7.53999999999999</v>
      </c>
      <c r="EY50">
        <f>EY49</f>
        <v/>
      </c>
      <c r="EZ50" t="n">
        <v>197.2</v>
      </c>
      <c r="FA50" t="n">
        <v>4.97599999999999</v>
      </c>
      <c r="FB50" s="50">
        <f>ROUND( 100+EW50,0)</f>
        <v/>
      </c>
      <c r="FC50">
        <f>EW50&amp;"|"&amp;EZ50&amp;"|"&amp;FA50</f>
        <v/>
      </c>
      <c r="FE50" t="n">
        <v>49</v>
      </c>
      <c r="FF50" s="50">
        <f>(FH50/FG50-1)*100</f>
        <v/>
      </c>
      <c r="FG50">
        <f>FG49</f>
        <v/>
      </c>
      <c r="FH50">
        <f>2*(1+FE49*0.1)</f>
        <v/>
      </c>
      <c r="FJ50" t="n">
        <v>49</v>
      </c>
      <c r="FK50" s="50">
        <f>(FN50/FM50-1)*100</f>
        <v/>
      </c>
      <c r="FL50" s="50">
        <f>FL49</f>
        <v/>
      </c>
      <c r="FM50">
        <f>FM49</f>
        <v/>
      </c>
      <c r="FN50">
        <f>2*(1+FJ49*0.1)</f>
        <v/>
      </c>
      <c r="FP50" t="n">
        <v>49</v>
      </c>
      <c r="FQ50" s="50">
        <f>ROUND((FS50/FR50-1)*100,0)</f>
        <v/>
      </c>
      <c r="FR50">
        <f>FR49</f>
        <v/>
      </c>
      <c r="FS50">
        <f>2*(1+FP49*0.1)</f>
        <v/>
      </c>
      <c r="FT50">
        <f>_xlfn.TEXTJOIN("|",TRUE,FQ50,FQ50,FQ50)</f>
        <v/>
      </c>
    </row>
    <row r="51">
      <c r="G51" t="n">
        <v>50</v>
      </c>
      <c r="H51">
        <f>(J51/I51-1)*100</f>
        <v/>
      </c>
      <c r="I51">
        <f>I50</f>
        <v/>
      </c>
      <c r="J51" t="n">
        <v>6.88000000000001</v>
      </c>
      <c r="K51" s="49">
        <f>H51&amp;"|"&amp;H51&amp;"|"&amp;H51&amp;"|"&amp;H51&amp;"|"&amp;H51</f>
        <v/>
      </c>
      <c r="L51">
        <f>ROUND( 100+H51,0)</f>
        <v/>
      </c>
      <c r="N51" s="49" t="n">
        <v>50</v>
      </c>
      <c r="O51">
        <f>(Q51/P51-1)*100</f>
        <v/>
      </c>
      <c r="P51">
        <f>P50</f>
        <v/>
      </c>
      <c r="Q51" t="n">
        <v>6.59000000000001</v>
      </c>
      <c r="R51" s="49">
        <f>O51&amp;"|"&amp;O51&amp;"|"&amp;O51</f>
        <v/>
      </c>
      <c r="S51">
        <f>ROUND( 100+O51,0)</f>
        <v/>
      </c>
      <c r="U51" t="n">
        <v>50</v>
      </c>
      <c r="V51">
        <f>(X51/W51-1)*100</f>
        <v/>
      </c>
      <c r="W51">
        <f>W50</f>
        <v/>
      </c>
      <c r="X51" t="n">
        <v>10.31</v>
      </c>
      <c r="Y51" s="49">
        <f>V51&amp;"|"&amp;V51&amp;"|"&amp;V51&amp;"|"&amp;V51&amp;"|"&amp;V51&amp;"|"&amp;V51&amp;"|"&amp;V51&amp;"|"&amp;V51</f>
        <v/>
      </c>
      <c r="Z51">
        <f>ROUND( 100+V51,0)</f>
        <v/>
      </c>
      <c r="AA51">
        <f>1.38*U51-39.38</f>
        <v/>
      </c>
      <c r="AC51" t="n">
        <v>50</v>
      </c>
      <c r="AD51">
        <f>(AF51/AE51-1)*100</f>
        <v/>
      </c>
      <c r="AE51" t="n">
        <v>1</v>
      </c>
      <c r="AF51" t="n">
        <v>8.409999999999989</v>
      </c>
      <c r="AH51">
        <f>ROUND( 100+AD51,0)</f>
        <v/>
      </c>
      <c r="AJ51" t="n">
        <v>50</v>
      </c>
      <c r="AL51" t="n">
        <v>5900</v>
      </c>
      <c r="AM51" t="n">
        <v>26.5</v>
      </c>
      <c r="AO51">
        <f>_xlfn.TEXTJOIN("|",TRUE,AL51:AM51)</f>
        <v/>
      </c>
      <c r="AR51" t="n">
        <v>50</v>
      </c>
      <c r="AS51">
        <f>(AU51/AT51-1)*100</f>
        <v/>
      </c>
      <c r="AT51">
        <f>AT50</f>
        <v/>
      </c>
      <c r="AU51" t="n">
        <v>5.9</v>
      </c>
      <c r="AV51">
        <f>ROUND( 100+AS51,0)</f>
        <v/>
      </c>
      <c r="AW51" s="45" t="n"/>
      <c r="AX51" s="45" t="n">
        <v>50</v>
      </c>
      <c r="AY51" s="45">
        <f>(BA51/$AZ$2-1)*100</f>
        <v/>
      </c>
      <c r="AZ51" s="45" t="n"/>
      <c r="BA51" s="45" t="n">
        <v>11.8</v>
      </c>
      <c r="BB51">
        <f>ROUND( 100+AY51,0)</f>
        <v/>
      </c>
      <c r="BD51" t="n">
        <v>5300</v>
      </c>
      <c r="BE51" s="50" t="inlineStr">
        <is>
          <t>20</t>
        </is>
      </c>
      <c r="BF51">
        <f>BD51&amp;"|"&amp;BE51</f>
        <v/>
      </c>
      <c r="BH51" t="n">
        <v>50</v>
      </c>
      <c r="BI51" s="45">
        <f>(BK51/BJ51-1)*100</f>
        <v/>
      </c>
      <c r="BJ51">
        <f>BJ50</f>
        <v/>
      </c>
      <c r="BK51" t="n">
        <v>9.54000000000001</v>
      </c>
      <c r="BL51" s="43">
        <f>_xlfn.TEXTJOIN("|",TRUE,BI51,BI51,BI51,BI51,BI51)</f>
        <v/>
      </c>
      <c r="BM51">
        <f>ROUND( 100+BI51,0)</f>
        <v/>
      </c>
      <c r="BN51" s="50">
        <f>BM51/10</f>
        <v/>
      </c>
      <c r="BO51" s="50">
        <f>1.5*BM51/10</f>
        <v/>
      </c>
      <c r="BP51" s="50">
        <f>2*BM51/10</f>
        <v/>
      </c>
      <c r="BQ51" s="50">
        <f>2.5*BM51/10</f>
        <v/>
      </c>
      <c r="BR51" s="50">
        <f>3*BM51/10</f>
        <v/>
      </c>
      <c r="BT51" t="n">
        <v>50</v>
      </c>
      <c r="BU51">
        <f>(BW51/$BV$2-1)*100</f>
        <v/>
      </c>
      <c r="BW51" t="n">
        <v>10.8</v>
      </c>
      <c r="BX51" s="49">
        <f>CA51&amp;"|"&amp;CB51</f>
        <v/>
      </c>
      <c r="BY51">
        <f>ROUND( 100+BU51,0)</f>
        <v/>
      </c>
      <c r="BZ51">
        <f>2*BU51</f>
        <v/>
      </c>
      <c r="CA51" s="50">
        <f>BZ51/3</f>
        <v/>
      </c>
      <c r="CB51" s="50">
        <f>CA51*2</f>
        <v/>
      </c>
      <c r="CD51" t="n">
        <v>50</v>
      </c>
      <c r="CE51" s="50">
        <f>((CG51/$CF$2-1)*100)</f>
        <v/>
      </c>
      <c r="CG51" t="n">
        <v>5.9</v>
      </c>
      <c r="CH51" s="49">
        <f>CE51</f>
        <v/>
      </c>
      <c r="CI51">
        <f>ROUND( 100+CE51,0)</f>
        <v/>
      </c>
      <c r="CK51" t="n">
        <v>50</v>
      </c>
      <c r="CL51">
        <f>(CN51/$CF$2-1)*100</f>
        <v/>
      </c>
      <c r="CN51">
        <f>0.08*CK51+3.92</f>
        <v/>
      </c>
      <c r="CO51" s="49">
        <f>CL51</f>
        <v/>
      </c>
      <c r="CP51" t="n">
        <v>295</v>
      </c>
      <c r="CQ51" t="n">
        <v>50</v>
      </c>
      <c r="CR51">
        <f>CP51&amp;"|"&amp;CQ51</f>
        <v/>
      </c>
      <c r="CT51" s="26" t="n"/>
      <c r="CV51" s="50" t="n">
        <v>84</v>
      </c>
      <c r="CW51" t="n">
        <v>50</v>
      </c>
      <c r="CX51">
        <f>DA51&amp;"|"&amp;DA51&amp;"|"&amp;DA51&amp;"|"&amp;DA51&amp;"|"&amp;DA51</f>
        <v/>
      </c>
      <c r="CY51" t="n">
        <v>5.4</v>
      </c>
      <c r="CZ51">
        <f>CZ50</f>
        <v/>
      </c>
      <c r="DA51">
        <f>(CY51/CZ51-1)*100</f>
        <v/>
      </c>
      <c r="DB51" s="50">
        <f>ROUND( 100+DA51,0)</f>
        <v/>
      </c>
      <c r="DC51" t="n">
        <v>39.4</v>
      </c>
      <c r="DD51">
        <f>_xlfn.TEXTJOIN("|",TRUE,DB51:DC51)</f>
        <v/>
      </c>
      <c r="DF51" t="n">
        <v>50</v>
      </c>
      <c r="DG51" t="n">
        <v>890</v>
      </c>
      <c r="DI51" s="50" t="n">
        <v>-51</v>
      </c>
      <c r="DJ51" s="50" t="n">
        <v>-51</v>
      </c>
      <c r="DK51" s="45" t="n"/>
      <c r="DL51" s="45" t="n">
        <v>50</v>
      </c>
      <c r="DM51">
        <f>(DO51/$DN$2-1)*100</f>
        <v/>
      </c>
      <c r="DN51" s="45" t="n"/>
      <c r="DO51" s="45" t="n">
        <v>8.55000000000001</v>
      </c>
      <c r="DP51" s="52" t="n">
        <v>-50</v>
      </c>
      <c r="DQ51" s="50">
        <f>ROUND( 100+DM51,0)</f>
        <v/>
      </c>
      <c r="DR51" s="50">
        <f>ROUND( 100+DP51,0)</f>
        <v/>
      </c>
      <c r="DS51">
        <f>_xlfn.TEXTJOIN("|",TRUE,DQ51:DR51)</f>
        <v/>
      </c>
      <c r="DU51" t="n">
        <v>50</v>
      </c>
      <c r="DV51" s="45">
        <f>(DX51/DW51-1)*100</f>
        <v/>
      </c>
      <c r="DW51">
        <f>DW50</f>
        <v/>
      </c>
      <c r="DX51" t="n">
        <v>7.08000000000001</v>
      </c>
      <c r="DZ51">
        <f>ROUND( 100+DV51,0)</f>
        <v/>
      </c>
      <c r="EB51" t="n">
        <v>50</v>
      </c>
      <c r="EC51" s="50">
        <f>(EE51/$ED$2-1)*100</f>
        <v/>
      </c>
      <c r="ED51">
        <f>ED50</f>
        <v/>
      </c>
      <c r="EE51" t="n">
        <v>7.36999999999999</v>
      </c>
      <c r="EF51" s="43">
        <f>_xlfn.TEXTJOIN("|",TRUE,EC51,EC51,EC51,EC51,EC51,EC51)</f>
        <v/>
      </c>
      <c r="EG51" s="50">
        <f>ROUND( 100+EC51,0)</f>
        <v/>
      </c>
      <c r="EH51" s="43" t="n"/>
      <c r="EJ51" t="n">
        <v>50</v>
      </c>
      <c r="EK51" s="50">
        <f>(EM51/EL51-1)*100</f>
        <v/>
      </c>
      <c r="EL51">
        <f>EL50</f>
        <v/>
      </c>
      <c r="EM51" t="n">
        <v>5.9</v>
      </c>
      <c r="EN51" s="43">
        <f>EK51&amp;"|"&amp;EK51&amp;"|"&amp;EK51&amp;"|"&amp;EK51&amp;"|"&amp;EK51&amp;"|"&amp;EK51</f>
        <v/>
      </c>
      <c r="EO51" s="50">
        <f>ROUND( 100+EK51,0)</f>
        <v/>
      </c>
      <c r="EP51" s="50" t="n"/>
      <c r="EQ51" s="50" t="n"/>
      <c r="ER51" s="50">
        <f>(ET51/ES51-1)*100</f>
        <v/>
      </c>
      <c r="ES51" s="50">
        <f>ES50</f>
        <v/>
      </c>
      <c r="ET51" t="n">
        <v>8.85</v>
      </c>
      <c r="EU51" s="50" t="n"/>
      <c r="EV51" s="50">
        <f>ROUND( 100+ER51,0)</f>
        <v/>
      </c>
      <c r="EW51" s="50">
        <f>(EX51/EY51-1)*100</f>
        <v/>
      </c>
      <c r="EX51" t="n">
        <v>7.66999999999999</v>
      </c>
      <c r="EY51">
        <f>EY50</f>
        <v/>
      </c>
      <c r="EZ51" t="n">
        <v>200.6</v>
      </c>
      <c r="FA51" t="n">
        <v>5.03799999999999</v>
      </c>
      <c r="FB51" s="50">
        <f>ROUND( 100+EW51,0)</f>
        <v/>
      </c>
      <c r="FC51">
        <f>EW51&amp;"|"&amp;EZ51&amp;"|"&amp;FA51</f>
        <v/>
      </c>
      <c r="FE51" t="n">
        <v>50</v>
      </c>
      <c r="FF51" s="50">
        <f>(FH51/FG51-1)*100</f>
        <v/>
      </c>
      <c r="FG51">
        <f>FG50</f>
        <v/>
      </c>
      <c r="FH51">
        <f>2*(1+FE50*0.1)</f>
        <v/>
      </c>
      <c r="FJ51" t="n">
        <v>50</v>
      </c>
      <c r="FK51" s="50">
        <f>(FN51/FM51-1)*100</f>
        <v/>
      </c>
      <c r="FL51" s="50">
        <f>FL50</f>
        <v/>
      </c>
      <c r="FM51">
        <f>FM50</f>
        <v/>
      </c>
      <c r="FN51">
        <f>2*(1+FJ50*0.1)</f>
        <v/>
      </c>
      <c r="FP51" t="n">
        <v>50</v>
      </c>
      <c r="FQ51" s="50">
        <f>ROUND((FS51/FR51-1)*100,0)</f>
        <v/>
      </c>
      <c r="FR51">
        <f>FR50</f>
        <v/>
      </c>
      <c r="FS51">
        <f>2*(1+FP50*0.1)</f>
        <v/>
      </c>
      <c r="FT51">
        <f>_xlfn.TEXTJOIN("|",TRUE,FQ51,FQ51,FQ51)</f>
        <v/>
      </c>
    </row>
    <row r="52">
      <c r="K52" s="49" t="n"/>
      <c r="DI52" t="n">
        <v>3</v>
      </c>
      <c r="DJ52" t="n">
        <v>0.7</v>
      </c>
      <c r="DM52" s="45" t="n">
        <v>0.7</v>
      </c>
      <c r="DO52" s="45" t="n">
        <v>0.8</v>
      </c>
      <c r="DP52" s="52" t="n">
        <v>1</v>
      </c>
      <c r="DQ52" s="52" t="n"/>
      <c r="DR52" s="52" t="n"/>
    </row>
    <row r="53">
      <c r="DH53" t="n">
        <v>1.15</v>
      </c>
      <c r="DI53" s="50" t="n"/>
      <c r="DJ53" s="50" t="n">
        <v>1</v>
      </c>
      <c r="DM53" t="n">
        <v>0.7</v>
      </c>
    </row>
    <row r="54">
      <c r="DI54" s="50" t="n"/>
    </row>
    <row r="55">
      <c r="CE55" t="n">
        <v>0.5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ColWidth="9" defaultRowHeight="14.25"/>
  <cols>
    <col width="23.125" customWidth="1" style="34" min="1" max="2"/>
  </cols>
  <sheetData>
    <row r="1">
      <c r="A1" t="inlineStr">
        <is>
          <t>10001|19$121001|12</t>
        </is>
      </c>
    </row>
    <row r="2">
      <c r="A2" t="inlineStr">
        <is>
          <t>10001|53$121001|33</t>
        </is>
      </c>
    </row>
    <row r="3">
      <c r="A3" t="inlineStr">
        <is>
          <t>10001|97$121001|60</t>
        </is>
      </c>
    </row>
    <row r="4">
      <c r="A4" t="inlineStr">
        <is>
          <t>10001|150$121001|92</t>
        </is>
      </c>
    </row>
    <row r="5">
      <c r="A5" t="inlineStr">
        <is>
          <t>10001|210$121001|129</t>
        </is>
      </c>
    </row>
    <row r="6">
      <c r="A6" t="inlineStr">
        <is>
          <t>10001|276$121001|169</t>
        </is>
      </c>
    </row>
    <row r="7">
      <c r="A7" t="inlineStr">
        <is>
          <t>10001|347$121001|213</t>
        </is>
      </c>
    </row>
    <row r="8">
      <c r="A8" t="inlineStr">
        <is>
          <t>10001|424$121001|260</t>
        </is>
      </c>
    </row>
    <row r="9">
      <c r="A9" t="inlineStr">
        <is>
          <t>10001|506$121001|311</t>
        </is>
      </c>
    </row>
    <row r="10">
      <c r="A10" t="inlineStr">
        <is>
          <t>10001|593$121001|364</t>
        </is>
      </c>
    </row>
    <row r="11">
      <c r="A11" t="inlineStr">
        <is>
          <t>10001|684$122001|420</t>
        </is>
      </c>
    </row>
    <row r="12">
      <c r="A12" t="inlineStr">
        <is>
          <t>10001|779$122001|478</t>
        </is>
      </c>
    </row>
    <row r="13">
      <c r="A13" t="inlineStr">
        <is>
          <t>10001|879$122001|539</t>
        </is>
      </c>
    </row>
    <row r="14">
      <c r="A14" t="inlineStr">
        <is>
          <t>10001|982$122001|602</t>
        </is>
      </c>
    </row>
    <row r="15">
      <c r="A15" t="inlineStr">
        <is>
          <t>10001|1089$122001|668</t>
        </is>
      </c>
    </row>
    <row r="16">
      <c r="A16" t="inlineStr">
        <is>
          <t>10001|1200$122001|736</t>
        </is>
      </c>
    </row>
    <row r="17">
      <c r="A17" t="inlineStr">
        <is>
          <t>10001|1314$122001|806</t>
        </is>
      </c>
    </row>
    <row r="18">
      <c r="A18" t="inlineStr">
        <is>
          <t>10001|1432$122001|878</t>
        </is>
      </c>
    </row>
    <row r="19">
      <c r="A19" t="inlineStr">
        <is>
          <t>10001|1553$122001|952</t>
        </is>
      </c>
    </row>
    <row r="20">
      <c r="A20" t="inlineStr">
        <is>
          <t>10001|1677$122001|1029</t>
        </is>
      </c>
    </row>
    <row r="21">
      <c r="A21" t="inlineStr">
        <is>
          <t>10001|1804$123001|1107</t>
        </is>
      </c>
    </row>
    <row r="22">
      <c r="A22" t="inlineStr">
        <is>
          <t>10001|1935$123001|1187</t>
        </is>
      </c>
    </row>
    <row r="23">
      <c r="A23" t="inlineStr">
        <is>
          <t>10001|2068$123001|1268</t>
        </is>
      </c>
    </row>
    <row r="24">
      <c r="A24" t="inlineStr">
        <is>
          <t>10001|2205$123001|1352</t>
        </is>
      </c>
    </row>
    <row r="25">
      <c r="A25" t="inlineStr">
        <is>
          <t>10001|2344$123001|1438</t>
        </is>
      </c>
    </row>
    <row r="26">
      <c r="A26" t="inlineStr">
        <is>
          <t>10001|2486$123001|1525</t>
        </is>
      </c>
    </row>
    <row r="27">
      <c r="A27" t="inlineStr">
        <is>
          <t>10001|2631$123001|1613</t>
        </is>
      </c>
    </row>
    <row r="28">
      <c r="A28" t="inlineStr">
        <is>
          <t>10001|2778$123001|1704</t>
        </is>
      </c>
    </row>
    <row r="29">
      <c r="A29" t="inlineStr">
        <is>
          <t>10001|2928$123001|1796</t>
        </is>
      </c>
    </row>
    <row r="30">
      <c r="A30" t="inlineStr">
        <is>
          <t>10001|3081$123001|1890</t>
        </is>
      </c>
    </row>
    <row r="31">
      <c r="A31" t="inlineStr">
        <is>
          <t>10001|3236$123001|1985</t>
        </is>
      </c>
    </row>
    <row r="32">
      <c r="A32" t="inlineStr">
        <is>
          <t>10001|3394$123001|2082</t>
        </is>
      </c>
    </row>
    <row r="33">
      <c r="A33" t="inlineStr">
        <is>
          <t>10001|3554$124001|2180</t>
        </is>
      </c>
    </row>
    <row r="34">
      <c r="A34" t="inlineStr">
        <is>
          <t>10001|3717$124001|2280</t>
        </is>
      </c>
    </row>
    <row r="35">
      <c r="A35" t="inlineStr">
        <is>
          <t>10001|3882$124001|2381</t>
        </is>
      </c>
    </row>
    <row r="36">
      <c r="A36" t="inlineStr">
        <is>
          <t>10001|4050$124001|2484</t>
        </is>
      </c>
    </row>
    <row r="37">
      <c r="A37" t="inlineStr">
        <is>
          <t>10001|4220$124001|2588</t>
        </is>
      </c>
    </row>
    <row r="38">
      <c r="A38" t="inlineStr">
        <is>
          <t>10001|4392$124001|2694</t>
        </is>
      </c>
    </row>
    <row r="39">
      <c r="A39" t="inlineStr">
        <is>
          <t>10001|4567$124001|2801</t>
        </is>
      </c>
    </row>
    <row r="40">
      <c r="A40" t="inlineStr">
        <is>
          <t>10001|4743$124001|2909</t>
        </is>
      </c>
    </row>
    <row r="41">
      <c r="A41" t="inlineStr">
        <is>
          <t>10001|4922$125001|3019</t>
        </is>
      </c>
    </row>
    <row r="42">
      <c r="A42" t="inlineStr">
        <is>
          <t>10001|5104$125001|3130</t>
        </is>
      </c>
    </row>
    <row r="43">
      <c r="A43" t="inlineStr">
        <is>
          <t>10001|5287$125001|3243</t>
        </is>
      </c>
    </row>
    <row r="44">
      <c r="A44" t="inlineStr">
        <is>
          <t>10001|5472$125001|3356</t>
        </is>
      </c>
    </row>
    <row r="45">
      <c r="A45" t="inlineStr">
        <is>
          <t>10001|5660$125001|3471</t>
        </is>
      </c>
    </row>
    <row r="46">
      <c r="A46" t="inlineStr">
        <is>
          <t>10001|5850$125001|3588</t>
        </is>
      </c>
    </row>
    <row r="47">
      <c r="A47" t="inlineStr">
        <is>
          <t>10001|6042$125001|3705</t>
        </is>
      </c>
    </row>
    <row r="48">
      <c r="A48" t="inlineStr">
        <is>
          <t>10001|6235$125001|3824</t>
        </is>
      </c>
    </row>
    <row r="49">
      <c r="A49" t="inlineStr">
        <is>
          <t>10001|6431$125001|3945</t>
        </is>
      </c>
    </row>
    <row r="50">
      <c r="A50" t="inlineStr">
        <is>
          <t>10001|6629$125001|4066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253"/>
  <sheetViews>
    <sheetView workbookViewId="0">
      <selection activeCell="C4" sqref="A4:C8"/>
    </sheetView>
  </sheetViews>
  <sheetFormatPr baseColWidth="8" defaultRowHeight="14.25"/>
  <cols>
    <col width="16.375" customWidth="1" style="34" min="1" max="1"/>
    <col width="19.875" customWidth="1" style="34" min="3" max="3"/>
    <col width="31.375" customWidth="1" style="34" min="4" max="4"/>
    <col width="39.875" customWidth="1" style="34" min="5" max="5"/>
  </cols>
  <sheetData>
    <row r="4">
      <c r="A4" s="8" t="inlineStr">
        <is>
          <t>莲台守身诀</t>
        </is>
      </c>
      <c r="B4" s="18" t="inlineStr">
        <is>
          <t>1</t>
        </is>
      </c>
      <c r="C4" s="18" t="inlineStr">
        <is>
          <t>1000|10</t>
        </is>
      </c>
      <c r="D4" s="43" t="inlineStr">
        <is>
          <t>护盾最大吸收量：1000+10%血上限</t>
        </is>
      </c>
    </row>
    <row r="5">
      <c r="A5" s="8" t="inlineStr">
        <is>
          <t>莲台守身诀</t>
        </is>
      </c>
      <c r="B5" s="18" t="inlineStr">
        <is>
          <t>2</t>
        </is>
      </c>
      <c r="C5" s="18" t="inlineStr">
        <is>
          <t>1020|10</t>
        </is>
      </c>
      <c r="D5" s="43" t="n"/>
    </row>
    <row r="6">
      <c r="A6" s="8" t="inlineStr">
        <is>
          <t>莲台守身诀</t>
        </is>
      </c>
      <c r="B6" s="18" t="inlineStr">
        <is>
          <t>3</t>
        </is>
      </c>
      <c r="C6" s="18" t="inlineStr">
        <is>
          <t>1040|10</t>
        </is>
      </c>
      <c r="D6" s="43" t="n"/>
    </row>
    <row r="7">
      <c r="A7" s="8" t="inlineStr">
        <is>
          <t>莲台守身诀</t>
        </is>
      </c>
      <c r="B7" s="18" t="inlineStr">
        <is>
          <t>4</t>
        </is>
      </c>
      <c r="C7" s="18" t="inlineStr">
        <is>
          <t>1060|11</t>
        </is>
      </c>
      <c r="D7" s="43" t="n"/>
    </row>
    <row r="8">
      <c r="A8" s="8" t="inlineStr">
        <is>
          <t>莲台守身诀</t>
        </is>
      </c>
      <c r="B8" s="18" t="inlineStr">
        <is>
          <t>5</t>
        </is>
      </c>
      <c r="C8" s="18" t="inlineStr">
        <is>
          <t>1080|11</t>
        </is>
      </c>
      <c r="D8" s="43" t="n"/>
    </row>
    <row r="9">
      <c r="A9" s="8" t="inlineStr">
        <is>
          <t>莲台守身诀</t>
        </is>
      </c>
      <c r="B9" s="18" t="inlineStr">
        <is>
          <t>6</t>
        </is>
      </c>
      <c r="C9" s="18" t="inlineStr">
        <is>
          <t>1100|11</t>
        </is>
      </c>
      <c r="D9" s="43" t="n"/>
    </row>
    <row r="10">
      <c r="A10" s="8" t="inlineStr">
        <is>
          <t>莲台守身诀</t>
        </is>
      </c>
      <c r="B10" s="18" t="inlineStr">
        <is>
          <t>7</t>
        </is>
      </c>
      <c r="C10" s="18" t="inlineStr">
        <is>
          <t>1120|12</t>
        </is>
      </c>
      <c r="D10" s="43" t="n"/>
    </row>
    <row r="11">
      <c r="A11" s="8" t="inlineStr">
        <is>
          <t>莲台守身诀</t>
        </is>
      </c>
      <c r="B11" s="18" t="inlineStr">
        <is>
          <t>8</t>
        </is>
      </c>
      <c r="C11" s="18" t="inlineStr">
        <is>
          <t>1140|12</t>
        </is>
      </c>
      <c r="D11" s="43" t="n"/>
    </row>
    <row r="12">
      <c r="A12" s="8" t="inlineStr">
        <is>
          <t>莲台守身诀</t>
        </is>
      </c>
      <c r="B12" s="18" t="inlineStr">
        <is>
          <t>9</t>
        </is>
      </c>
      <c r="C12" s="18" t="inlineStr">
        <is>
          <t>1160|12</t>
        </is>
      </c>
      <c r="D12" s="43" t="n"/>
    </row>
    <row r="13">
      <c r="A13" s="8" t="inlineStr">
        <is>
          <t>莲台守身诀</t>
        </is>
      </c>
      <c r="B13" s="18" t="inlineStr">
        <is>
          <t>10</t>
        </is>
      </c>
      <c r="C13" s="18" t="inlineStr">
        <is>
          <t>1180|13</t>
        </is>
      </c>
      <c r="D13" s="43" t="n"/>
    </row>
    <row r="14">
      <c r="A14" s="8" t="inlineStr">
        <is>
          <t>莲台守身诀</t>
        </is>
      </c>
      <c r="B14" s="18" t="inlineStr">
        <is>
          <t>11</t>
        </is>
      </c>
      <c r="C14" s="18" t="inlineStr">
        <is>
          <t>1200|13</t>
        </is>
      </c>
      <c r="D14" s="43" t="n"/>
    </row>
    <row r="15">
      <c r="A15" s="8" t="inlineStr">
        <is>
          <t>莲台守身诀</t>
        </is>
      </c>
      <c r="B15" s="18" t="inlineStr">
        <is>
          <t>12</t>
        </is>
      </c>
      <c r="C15" s="18" t="inlineStr">
        <is>
          <t>1220|13</t>
        </is>
      </c>
      <c r="D15" s="43" t="n"/>
    </row>
    <row r="16">
      <c r="A16" s="8" t="inlineStr">
        <is>
          <t>莲台守身诀</t>
        </is>
      </c>
      <c r="B16" s="18" t="inlineStr">
        <is>
          <t>13</t>
        </is>
      </c>
      <c r="C16" s="18" t="inlineStr">
        <is>
          <t>1240|14</t>
        </is>
      </c>
      <c r="D16" s="43" t="n"/>
    </row>
    <row r="17">
      <c r="A17" s="8" t="inlineStr">
        <is>
          <t>莲台守身诀</t>
        </is>
      </c>
      <c r="B17" s="18" t="inlineStr">
        <is>
          <t>14</t>
        </is>
      </c>
      <c r="C17" s="18" t="inlineStr">
        <is>
          <t>1260|14</t>
        </is>
      </c>
      <c r="D17" s="43" t="n"/>
    </row>
    <row r="18">
      <c r="A18" s="8" t="inlineStr">
        <is>
          <t>莲台守身诀</t>
        </is>
      </c>
      <c r="B18" s="18" t="inlineStr">
        <is>
          <t>15</t>
        </is>
      </c>
      <c r="C18" s="18" t="inlineStr">
        <is>
          <t>1280|14</t>
        </is>
      </c>
      <c r="D18" s="43" t="n"/>
    </row>
    <row r="19">
      <c r="A19" s="8" t="inlineStr">
        <is>
          <t>莲台守身诀</t>
        </is>
      </c>
      <c r="B19" s="18" t="inlineStr">
        <is>
          <t>16</t>
        </is>
      </c>
      <c r="C19" s="18" t="inlineStr">
        <is>
          <t>1300|15</t>
        </is>
      </c>
      <c r="D19" s="43" t="n"/>
    </row>
    <row r="20">
      <c r="A20" s="8" t="inlineStr">
        <is>
          <t>莲台守身诀</t>
        </is>
      </c>
      <c r="B20" s="18" t="inlineStr">
        <is>
          <t>17</t>
        </is>
      </c>
      <c r="C20" s="18" t="inlineStr">
        <is>
          <t>1320|15</t>
        </is>
      </c>
      <c r="D20" s="43" t="n"/>
    </row>
    <row r="21">
      <c r="A21" s="8" t="inlineStr">
        <is>
          <t>莲台守身诀</t>
        </is>
      </c>
      <c r="B21" s="18" t="inlineStr">
        <is>
          <t>18</t>
        </is>
      </c>
      <c r="C21" s="18" t="inlineStr">
        <is>
          <t>1340|15</t>
        </is>
      </c>
      <c r="D21" s="43" t="n"/>
    </row>
    <row r="22">
      <c r="A22" s="8" t="inlineStr">
        <is>
          <t>莲台守身诀</t>
        </is>
      </c>
      <c r="B22" s="18" t="inlineStr">
        <is>
          <t>19</t>
        </is>
      </c>
      <c r="C22" s="18" t="inlineStr">
        <is>
          <t>1360|16</t>
        </is>
      </c>
      <c r="D22" s="43" t="n"/>
    </row>
    <row r="23">
      <c r="A23" s="8" t="inlineStr">
        <is>
          <t>莲台守身诀</t>
        </is>
      </c>
      <c r="B23" s="18" t="inlineStr">
        <is>
          <t>20</t>
        </is>
      </c>
      <c r="C23" s="18" t="inlineStr">
        <is>
          <t>1380|16</t>
        </is>
      </c>
      <c r="D23" s="43" t="n"/>
    </row>
    <row r="24">
      <c r="A24" s="8" t="inlineStr">
        <is>
          <t>莲台守身诀</t>
        </is>
      </c>
      <c r="B24" s="18" t="inlineStr">
        <is>
          <t>21</t>
        </is>
      </c>
      <c r="C24" s="18" t="inlineStr">
        <is>
          <t>1400|16</t>
        </is>
      </c>
      <c r="D24" s="43" t="n"/>
    </row>
    <row r="25">
      <c r="A25" s="8" t="inlineStr">
        <is>
          <t>莲台守身诀</t>
        </is>
      </c>
      <c r="B25" s="18" t="inlineStr">
        <is>
          <t>22</t>
        </is>
      </c>
      <c r="C25" s="18" t="inlineStr">
        <is>
          <t>1420|17</t>
        </is>
      </c>
      <c r="D25" s="43" t="n"/>
    </row>
    <row r="26">
      <c r="A26" s="8" t="inlineStr">
        <is>
          <t>莲台守身诀</t>
        </is>
      </c>
      <c r="B26" s="18" t="inlineStr">
        <is>
          <t>23</t>
        </is>
      </c>
      <c r="C26" s="18" t="inlineStr">
        <is>
          <t>1460|17</t>
        </is>
      </c>
      <c r="D26" s="43" t="n"/>
    </row>
    <row r="27">
      <c r="A27" s="8" t="inlineStr">
        <is>
          <t>莲台守身诀</t>
        </is>
      </c>
      <c r="B27" s="18" t="inlineStr">
        <is>
          <t>24</t>
        </is>
      </c>
      <c r="C27" s="18" t="inlineStr">
        <is>
          <t>1480|17</t>
        </is>
      </c>
      <c r="D27" s="43" t="n"/>
    </row>
    <row r="28">
      <c r="A28" s="8" t="inlineStr">
        <is>
          <t>莲台守身诀</t>
        </is>
      </c>
      <c r="B28" s="18" t="inlineStr">
        <is>
          <t>25</t>
        </is>
      </c>
      <c r="C28" s="26" t="inlineStr">
        <is>
          <t>1500|18</t>
        </is>
      </c>
      <c r="D28" s="43" t="n"/>
    </row>
    <row r="29">
      <c r="A29" s="8" t="inlineStr">
        <is>
          <t>莲台守身诀</t>
        </is>
      </c>
      <c r="B29" s="18" t="inlineStr">
        <is>
          <t>26</t>
        </is>
      </c>
      <c r="C29" s="26" t="inlineStr">
        <is>
          <t>1520|18</t>
        </is>
      </c>
      <c r="D29" s="43" t="n"/>
    </row>
    <row r="30">
      <c r="A30" s="8" t="inlineStr">
        <is>
          <t>莲台守身诀</t>
        </is>
      </c>
      <c r="B30" s="18" t="inlineStr">
        <is>
          <t>27</t>
        </is>
      </c>
      <c r="C30" s="26" t="inlineStr">
        <is>
          <t>1560|18</t>
        </is>
      </c>
      <c r="D30" s="43" t="n"/>
    </row>
    <row r="31">
      <c r="A31" s="8" t="inlineStr">
        <is>
          <t>莲台守身诀</t>
        </is>
      </c>
      <c r="B31" s="18" t="inlineStr">
        <is>
          <t>28</t>
        </is>
      </c>
      <c r="C31" s="26" t="inlineStr">
        <is>
          <t>1580|18</t>
        </is>
      </c>
      <c r="D31" s="43" t="n"/>
    </row>
    <row r="32">
      <c r="A32" s="8" t="inlineStr">
        <is>
          <t>莲台守身诀</t>
        </is>
      </c>
      <c r="B32" s="18" t="inlineStr">
        <is>
          <t>29</t>
        </is>
      </c>
      <c r="C32" s="26" t="inlineStr">
        <is>
          <t>1600|19</t>
        </is>
      </c>
      <c r="D32" s="43" t="n"/>
    </row>
    <row r="33">
      <c r="A33" s="8" t="inlineStr">
        <is>
          <t>莲台守身诀</t>
        </is>
      </c>
      <c r="B33" s="18" t="inlineStr">
        <is>
          <t>30</t>
        </is>
      </c>
      <c r="C33" s="26" t="inlineStr">
        <is>
          <t>1620|19</t>
        </is>
      </c>
      <c r="D33" s="43" t="n"/>
    </row>
    <row r="34">
      <c r="A34" s="8" t="inlineStr">
        <is>
          <t>莲台守身诀</t>
        </is>
      </c>
      <c r="B34" s="18" t="inlineStr">
        <is>
          <t>31</t>
        </is>
      </c>
      <c r="C34" s="26" t="inlineStr">
        <is>
          <t>1640|19</t>
        </is>
      </c>
      <c r="D34" s="43" t="n"/>
    </row>
    <row r="35">
      <c r="A35" s="8" t="inlineStr">
        <is>
          <t>莲台守身诀</t>
        </is>
      </c>
      <c r="B35" s="18" t="inlineStr">
        <is>
          <t>32</t>
        </is>
      </c>
      <c r="C35" s="26" t="inlineStr">
        <is>
          <t>1680|20</t>
        </is>
      </c>
      <c r="D35" s="43" t="n"/>
    </row>
    <row r="36">
      <c r="A36" s="8" t="inlineStr">
        <is>
          <t>莲台守身诀</t>
        </is>
      </c>
      <c r="B36" s="18" t="inlineStr">
        <is>
          <t>33</t>
        </is>
      </c>
      <c r="C36" s="26" t="inlineStr">
        <is>
          <t>1700|20</t>
        </is>
      </c>
      <c r="D36" s="43" t="n"/>
    </row>
    <row r="37">
      <c r="A37" s="8" t="inlineStr">
        <is>
          <t>莲台守身诀</t>
        </is>
      </c>
      <c r="B37" s="18" t="inlineStr">
        <is>
          <t>34</t>
        </is>
      </c>
      <c r="C37" s="26" t="inlineStr">
        <is>
          <t>1720|20</t>
        </is>
      </c>
      <c r="D37" s="43" t="n"/>
    </row>
    <row r="38">
      <c r="A38" s="8" t="inlineStr">
        <is>
          <t>莲台守身诀</t>
        </is>
      </c>
      <c r="B38" s="18" t="inlineStr">
        <is>
          <t>35</t>
        </is>
      </c>
      <c r="C38" s="26" t="inlineStr">
        <is>
          <t>1740|21</t>
        </is>
      </c>
      <c r="D38" s="43" t="n"/>
    </row>
    <row r="39">
      <c r="A39" s="8" t="inlineStr">
        <is>
          <t>莲台守身诀</t>
        </is>
      </c>
      <c r="B39" s="18" t="inlineStr">
        <is>
          <t>36</t>
        </is>
      </c>
      <c r="C39" s="26" t="inlineStr">
        <is>
          <t>1780|21</t>
        </is>
      </c>
      <c r="D39" s="43" t="n"/>
    </row>
    <row r="40">
      <c r="A40" s="8" t="inlineStr">
        <is>
          <t>莲台守身诀</t>
        </is>
      </c>
      <c r="B40" s="18" t="inlineStr">
        <is>
          <t>37</t>
        </is>
      </c>
      <c r="C40" s="26" t="inlineStr">
        <is>
          <t>1800|21</t>
        </is>
      </c>
      <c r="D40" s="43" t="n"/>
    </row>
    <row r="41">
      <c r="A41" s="8" t="inlineStr">
        <is>
          <t>莲台守身诀</t>
        </is>
      </c>
      <c r="B41" s="18" t="inlineStr">
        <is>
          <t>38</t>
        </is>
      </c>
      <c r="C41" s="26" t="inlineStr">
        <is>
          <t>1820|22</t>
        </is>
      </c>
      <c r="D41" s="43" t="n"/>
    </row>
    <row r="42">
      <c r="A42" s="8" t="inlineStr">
        <is>
          <t>莲台守身诀</t>
        </is>
      </c>
      <c r="B42" s="18" t="inlineStr">
        <is>
          <t>39</t>
        </is>
      </c>
      <c r="C42" s="26" t="inlineStr">
        <is>
          <t>1840|22</t>
        </is>
      </c>
      <c r="D42" s="43" t="n"/>
    </row>
    <row r="43">
      <c r="A43" s="8" t="inlineStr">
        <is>
          <t>莲台守身诀</t>
        </is>
      </c>
      <c r="B43" s="18" t="inlineStr">
        <is>
          <t>40</t>
        </is>
      </c>
      <c r="C43" s="26" t="inlineStr">
        <is>
          <t>1880|22</t>
        </is>
      </c>
      <c r="D43" s="43" t="n"/>
    </row>
    <row r="44">
      <c r="A44" s="8" t="inlineStr">
        <is>
          <t>莲台守身诀</t>
        </is>
      </c>
      <c r="B44" s="18" t="inlineStr">
        <is>
          <t>41</t>
        </is>
      </c>
      <c r="C44" s="26" t="inlineStr">
        <is>
          <t>1900|23</t>
        </is>
      </c>
      <c r="D44" s="43" t="n"/>
    </row>
    <row r="45">
      <c r="A45" s="8" t="inlineStr">
        <is>
          <t>莲台守身诀</t>
        </is>
      </c>
      <c r="B45" s="18" t="inlineStr">
        <is>
          <t>42</t>
        </is>
      </c>
      <c r="C45" s="26" t="inlineStr">
        <is>
          <t>1920|23</t>
        </is>
      </c>
      <c r="D45" s="43" t="n"/>
    </row>
    <row r="46">
      <c r="A46" s="8" t="inlineStr">
        <is>
          <t>莲台守身诀</t>
        </is>
      </c>
      <c r="B46" s="18" t="inlineStr">
        <is>
          <t>43</t>
        </is>
      </c>
      <c r="C46" s="26" t="inlineStr">
        <is>
          <t>1940|23</t>
        </is>
      </c>
      <c r="D46" s="43" t="n"/>
    </row>
    <row r="47">
      <c r="A47" s="8" t="inlineStr">
        <is>
          <t>莲台守身诀</t>
        </is>
      </c>
      <c r="B47" s="18" t="inlineStr">
        <is>
          <t>44</t>
        </is>
      </c>
      <c r="C47" s="26" t="inlineStr">
        <is>
          <t>1980|24</t>
        </is>
      </c>
      <c r="D47" s="43" t="n"/>
    </row>
    <row r="48">
      <c r="A48" s="8" t="inlineStr">
        <is>
          <t>莲台守身诀</t>
        </is>
      </c>
      <c r="B48" s="18" t="inlineStr">
        <is>
          <t>45</t>
        </is>
      </c>
      <c r="C48" s="26" t="inlineStr">
        <is>
          <t>2000|24</t>
        </is>
      </c>
      <c r="D48" s="43" t="n"/>
    </row>
    <row r="49">
      <c r="A49" s="8" t="inlineStr">
        <is>
          <t>莲台守身诀</t>
        </is>
      </c>
      <c r="B49" s="18" t="inlineStr">
        <is>
          <t>46</t>
        </is>
      </c>
      <c r="C49" s="26" t="inlineStr">
        <is>
          <t>2020|24</t>
        </is>
      </c>
      <c r="D49" s="43" t="n"/>
    </row>
    <row r="50">
      <c r="A50" s="8" t="inlineStr">
        <is>
          <t>莲台守身诀</t>
        </is>
      </c>
      <c r="B50" s="18" t="inlineStr">
        <is>
          <t>47</t>
        </is>
      </c>
      <c r="C50" s="26" t="inlineStr">
        <is>
          <t>2040|25</t>
        </is>
      </c>
      <c r="D50" s="43" t="n"/>
    </row>
    <row r="51">
      <c r="A51" s="8" t="inlineStr">
        <is>
          <t>莲台守身诀</t>
        </is>
      </c>
      <c r="B51" s="18" t="inlineStr">
        <is>
          <t>48</t>
        </is>
      </c>
      <c r="C51" s="26" t="inlineStr">
        <is>
          <t>2080|25</t>
        </is>
      </c>
      <c r="D51" s="43" t="n"/>
    </row>
    <row r="52">
      <c r="A52" s="8" t="inlineStr">
        <is>
          <t>莲台守身诀</t>
        </is>
      </c>
      <c r="B52" s="18" t="inlineStr">
        <is>
          <t>49</t>
        </is>
      </c>
      <c r="C52" s="26" t="inlineStr">
        <is>
          <t>2100|25</t>
        </is>
      </c>
      <c r="D52" s="43" t="n"/>
    </row>
    <row r="53">
      <c r="A53" s="8" t="inlineStr">
        <is>
          <t>莲台守身诀</t>
        </is>
      </c>
      <c r="B53" s="18" t="inlineStr">
        <is>
          <t>50</t>
        </is>
      </c>
      <c r="C53" s="26" t="inlineStr">
        <is>
          <t>2120|25</t>
        </is>
      </c>
      <c r="D53" s="43" t="n"/>
    </row>
    <row r="54">
      <c r="A54" s="29" t="inlineStr">
        <is>
          <t>回愈净神诀</t>
        </is>
      </c>
      <c r="B54" s="18" t="inlineStr">
        <is>
          <t>1</t>
        </is>
      </c>
      <c r="C54" s="18" t="inlineStr">
        <is>
          <t>400|10</t>
        </is>
      </c>
      <c r="D54" s="43" t="inlineStr">
        <is>
          <t>治疗量：400+10%血上限</t>
        </is>
      </c>
    </row>
    <row r="55">
      <c r="A55" s="29" t="inlineStr">
        <is>
          <t>回愈净神诀</t>
        </is>
      </c>
      <c r="B55" s="18" t="inlineStr">
        <is>
          <t>2</t>
        </is>
      </c>
      <c r="C55" s="18" t="inlineStr">
        <is>
          <t>440|10</t>
        </is>
      </c>
    </row>
    <row r="56">
      <c r="A56" s="29" t="inlineStr">
        <is>
          <t>回愈净神诀</t>
        </is>
      </c>
      <c r="B56" s="18" t="inlineStr">
        <is>
          <t>3</t>
        </is>
      </c>
      <c r="C56" s="18" t="inlineStr">
        <is>
          <t>480|10</t>
        </is>
      </c>
    </row>
    <row r="57">
      <c r="A57" s="29" t="inlineStr">
        <is>
          <t>回愈净神诀</t>
        </is>
      </c>
      <c r="B57" s="18" t="inlineStr">
        <is>
          <t>4</t>
        </is>
      </c>
      <c r="C57" s="18" t="inlineStr">
        <is>
          <t>520|10</t>
        </is>
      </c>
    </row>
    <row r="58">
      <c r="A58" s="29" t="inlineStr">
        <is>
          <t>回愈净神诀</t>
        </is>
      </c>
      <c r="B58" s="18" t="inlineStr">
        <is>
          <t>5</t>
        </is>
      </c>
      <c r="C58" s="18" t="inlineStr">
        <is>
          <t>560|10</t>
        </is>
      </c>
    </row>
    <row r="59">
      <c r="A59" s="29" t="inlineStr">
        <is>
          <t>回愈净神诀</t>
        </is>
      </c>
      <c r="B59" s="18" t="inlineStr">
        <is>
          <t>6</t>
        </is>
      </c>
      <c r="C59" s="18" t="inlineStr">
        <is>
          <t>600|11</t>
        </is>
      </c>
    </row>
    <row r="60">
      <c r="A60" s="29" t="inlineStr">
        <is>
          <t>回愈净神诀</t>
        </is>
      </c>
      <c r="B60" s="18" t="inlineStr">
        <is>
          <t>7</t>
        </is>
      </c>
      <c r="C60" s="18" t="inlineStr">
        <is>
          <t>640|11</t>
        </is>
      </c>
    </row>
    <row r="61">
      <c r="A61" s="29" t="inlineStr">
        <is>
          <t>回愈净神诀</t>
        </is>
      </c>
      <c r="B61" s="18" t="inlineStr">
        <is>
          <t>8</t>
        </is>
      </c>
      <c r="C61" s="18" t="inlineStr">
        <is>
          <t>680|11</t>
        </is>
      </c>
    </row>
    <row r="62">
      <c r="A62" s="29" t="inlineStr">
        <is>
          <t>回愈净神诀</t>
        </is>
      </c>
      <c r="B62" s="18" t="inlineStr">
        <is>
          <t>9</t>
        </is>
      </c>
      <c r="C62" s="18" t="inlineStr">
        <is>
          <t>720|11</t>
        </is>
      </c>
    </row>
    <row r="63">
      <c r="A63" s="29" t="inlineStr">
        <is>
          <t>回愈净神诀</t>
        </is>
      </c>
      <c r="B63" s="18" t="inlineStr">
        <is>
          <t>10</t>
        </is>
      </c>
      <c r="C63" s="18" t="inlineStr">
        <is>
          <t>760|11</t>
        </is>
      </c>
    </row>
    <row r="64">
      <c r="A64" s="29" t="inlineStr">
        <is>
          <t>回愈净神诀</t>
        </is>
      </c>
      <c r="B64" s="18" t="inlineStr">
        <is>
          <t>11</t>
        </is>
      </c>
      <c r="C64" s="18" t="inlineStr">
        <is>
          <t>800|12</t>
        </is>
      </c>
    </row>
    <row r="65">
      <c r="A65" s="29" t="inlineStr">
        <is>
          <t>回愈净神诀</t>
        </is>
      </c>
      <c r="B65" s="18" t="inlineStr">
        <is>
          <t>12</t>
        </is>
      </c>
      <c r="C65" s="18" t="inlineStr">
        <is>
          <t>840|12</t>
        </is>
      </c>
    </row>
    <row r="66">
      <c r="A66" s="29" t="inlineStr">
        <is>
          <t>回愈净神诀</t>
        </is>
      </c>
      <c r="B66" s="18" t="inlineStr">
        <is>
          <t>13</t>
        </is>
      </c>
      <c r="C66" s="18" t="inlineStr">
        <is>
          <t>880|12</t>
        </is>
      </c>
    </row>
    <row r="67">
      <c r="A67" s="29" t="inlineStr">
        <is>
          <t>回愈净神诀</t>
        </is>
      </c>
      <c r="B67" s="18" t="inlineStr">
        <is>
          <t>14</t>
        </is>
      </c>
      <c r="C67" s="18" t="inlineStr">
        <is>
          <t>920|12</t>
        </is>
      </c>
    </row>
    <row r="68">
      <c r="A68" s="29" t="inlineStr">
        <is>
          <t>回愈净神诀</t>
        </is>
      </c>
      <c r="B68" s="18" t="inlineStr">
        <is>
          <t>15</t>
        </is>
      </c>
      <c r="C68" s="18" t="inlineStr">
        <is>
          <t>960|12</t>
        </is>
      </c>
    </row>
    <row r="69">
      <c r="A69" s="29" t="inlineStr">
        <is>
          <t>回愈净神诀</t>
        </is>
      </c>
      <c r="B69" s="18" t="inlineStr">
        <is>
          <t>16</t>
        </is>
      </c>
      <c r="C69" s="18" t="inlineStr">
        <is>
          <t>1000|13</t>
        </is>
      </c>
    </row>
    <row r="70">
      <c r="A70" s="29" t="inlineStr">
        <is>
          <t>回愈净神诀</t>
        </is>
      </c>
      <c r="B70" s="18" t="inlineStr">
        <is>
          <t>17</t>
        </is>
      </c>
      <c r="C70" s="18" t="inlineStr">
        <is>
          <t>1040|13</t>
        </is>
      </c>
    </row>
    <row r="71">
      <c r="A71" s="29" t="inlineStr">
        <is>
          <t>回愈净神诀</t>
        </is>
      </c>
      <c r="B71" s="18" t="inlineStr">
        <is>
          <t>18</t>
        </is>
      </c>
      <c r="C71" s="18" t="inlineStr">
        <is>
          <t>1080|13</t>
        </is>
      </c>
    </row>
    <row r="72">
      <c r="A72" s="29" t="inlineStr">
        <is>
          <t>回愈净神诀</t>
        </is>
      </c>
      <c r="B72" s="18" t="inlineStr">
        <is>
          <t>19</t>
        </is>
      </c>
      <c r="C72" s="18" t="inlineStr">
        <is>
          <t>1120|13</t>
        </is>
      </c>
    </row>
    <row r="73">
      <c r="A73" s="29" t="inlineStr">
        <is>
          <t>回愈净神诀</t>
        </is>
      </c>
      <c r="B73" s="18" t="inlineStr">
        <is>
          <t>20</t>
        </is>
      </c>
      <c r="C73" s="18" t="inlineStr">
        <is>
          <t>1160|13</t>
        </is>
      </c>
    </row>
    <row r="74">
      <c r="A74" s="29" t="inlineStr">
        <is>
          <t>回愈净神诀</t>
        </is>
      </c>
      <c r="B74" s="18" t="inlineStr">
        <is>
          <t>21</t>
        </is>
      </c>
      <c r="C74" s="18" t="inlineStr">
        <is>
          <t>1200|14</t>
        </is>
      </c>
    </row>
    <row r="75">
      <c r="A75" s="29" t="inlineStr">
        <is>
          <t>回愈净神诀</t>
        </is>
      </c>
      <c r="B75" s="18" t="inlineStr">
        <is>
          <t>22</t>
        </is>
      </c>
      <c r="C75" s="18" t="inlineStr">
        <is>
          <t>1240|14</t>
        </is>
      </c>
    </row>
    <row r="76">
      <c r="A76" s="29" t="inlineStr">
        <is>
          <t>回愈净神诀</t>
        </is>
      </c>
      <c r="B76" s="18" t="inlineStr">
        <is>
          <t>23</t>
        </is>
      </c>
      <c r="C76" s="18" t="inlineStr">
        <is>
          <t>1280|14</t>
        </is>
      </c>
    </row>
    <row r="77">
      <c r="A77" s="29" t="inlineStr">
        <is>
          <t>回愈净神诀</t>
        </is>
      </c>
      <c r="B77" s="18" t="inlineStr">
        <is>
          <t>24</t>
        </is>
      </c>
      <c r="C77" s="18" t="inlineStr">
        <is>
          <t>1320|14</t>
        </is>
      </c>
    </row>
    <row r="78">
      <c r="A78" s="29" t="inlineStr">
        <is>
          <t>回愈净神诀</t>
        </is>
      </c>
      <c r="B78" s="18" t="inlineStr">
        <is>
          <t>25</t>
        </is>
      </c>
      <c r="C78" s="18" t="inlineStr">
        <is>
          <t>1360|14</t>
        </is>
      </c>
    </row>
    <row r="79">
      <c r="A79" s="29" t="inlineStr">
        <is>
          <t>回愈净神诀</t>
        </is>
      </c>
      <c r="B79" s="18" t="inlineStr">
        <is>
          <t>26</t>
        </is>
      </c>
      <c r="C79" s="18" t="inlineStr">
        <is>
          <t>1400|15</t>
        </is>
      </c>
    </row>
    <row r="80">
      <c r="A80" s="29" t="inlineStr">
        <is>
          <t>回愈净神诀</t>
        </is>
      </c>
      <c r="B80" s="18" t="inlineStr">
        <is>
          <t>27</t>
        </is>
      </c>
      <c r="C80" s="18" t="inlineStr">
        <is>
          <t>1440|15</t>
        </is>
      </c>
    </row>
    <row r="81">
      <c r="A81" s="29" t="inlineStr">
        <is>
          <t>回愈净神诀</t>
        </is>
      </c>
      <c r="B81" s="18" t="inlineStr">
        <is>
          <t>28</t>
        </is>
      </c>
      <c r="C81" s="18" t="inlineStr">
        <is>
          <t>1480|15</t>
        </is>
      </c>
    </row>
    <row r="82">
      <c r="A82" s="29" t="inlineStr">
        <is>
          <t>回愈净神诀</t>
        </is>
      </c>
      <c r="B82" s="18" t="inlineStr">
        <is>
          <t>29</t>
        </is>
      </c>
      <c r="C82" s="18" t="inlineStr">
        <is>
          <t>1520|15</t>
        </is>
      </c>
    </row>
    <row r="83">
      <c r="A83" s="29" t="inlineStr">
        <is>
          <t>回愈净神诀</t>
        </is>
      </c>
      <c r="B83" s="18" t="inlineStr">
        <is>
          <t>30</t>
        </is>
      </c>
      <c r="C83" s="18" t="inlineStr">
        <is>
          <t>1560|15</t>
        </is>
      </c>
    </row>
    <row r="84">
      <c r="A84" s="29" t="inlineStr">
        <is>
          <t>回愈净神诀</t>
        </is>
      </c>
      <c r="B84" s="18" t="inlineStr">
        <is>
          <t>31</t>
        </is>
      </c>
      <c r="C84" s="18" t="inlineStr">
        <is>
          <t>1600|16</t>
        </is>
      </c>
    </row>
    <row r="85">
      <c r="A85" s="29" t="inlineStr">
        <is>
          <t>回愈净神诀</t>
        </is>
      </c>
      <c r="B85" s="18" t="inlineStr">
        <is>
          <t>32</t>
        </is>
      </c>
      <c r="C85" s="18" t="inlineStr">
        <is>
          <t>1640|16</t>
        </is>
      </c>
    </row>
    <row r="86">
      <c r="A86" s="29" t="inlineStr">
        <is>
          <t>回愈净神诀</t>
        </is>
      </c>
      <c r="B86" s="18" t="inlineStr">
        <is>
          <t>33</t>
        </is>
      </c>
      <c r="C86" s="18" t="inlineStr">
        <is>
          <t>1680|16</t>
        </is>
      </c>
    </row>
    <row r="87">
      <c r="A87" s="29" t="inlineStr">
        <is>
          <t>回愈净神诀</t>
        </is>
      </c>
      <c r="B87" s="18" t="inlineStr">
        <is>
          <t>34</t>
        </is>
      </c>
      <c r="C87" s="18" t="inlineStr">
        <is>
          <t>1720|16</t>
        </is>
      </c>
    </row>
    <row r="88">
      <c r="A88" s="29" t="inlineStr">
        <is>
          <t>回愈净神诀</t>
        </is>
      </c>
      <c r="B88" s="18" t="inlineStr">
        <is>
          <t>35</t>
        </is>
      </c>
      <c r="C88" s="18" t="inlineStr">
        <is>
          <t>1760|16</t>
        </is>
      </c>
    </row>
    <row r="89">
      <c r="A89" s="29" t="inlineStr">
        <is>
          <t>回愈净神诀</t>
        </is>
      </c>
      <c r="B89" s="18" t="inlineStr">
        <is>
          <t>36</t>
        </is>
      </c>
      <c r="C89" s="18" t="inlineStr">
        <is>
          <t>1800|17</t>
        </is>
      </c>
    </row>
    <row r="90">
      <c r="A90" s="29" t="inlineStr">
        <is>
          <t>回愈净神诀</t>
        </is>
      </c>
      <c r="B90" s="18" t="inlineStr">
        <is>
          <t>37</t>
        </is>
      </c>
      <c r="C90" s="18" t="inlineStr">
        <is>
          <t>1840|17</t>
        </is>
      </c>
    </row>
    <row r="91">
      <c r="A91" s="29" t="inlineStr">
        <is>
          <t>回愈净神诀</t>
        </is>
      </c>
      <c r="B91" s="18" t="inlineStr">
        <is>
          <t>38</t>
        </is>
      </c>
      <c r="C91" s="18" t="inlineStr">
        <is>
          <t>1880|17</t>
        </is>
      </c>
    </row>
    <row r="92">
      <c r="A92" s="29" t="inlineStr">
        <is>
          <t>回愈净神诀</t>
        </is>
      </c>
      <c r="B92" s="18" t="inlineStr">
        <is>
          <t>39</t>
        </is>
      </c>
      <c r="C92" s="18" t="inlineStr">
        <is>
          <t>1920|17</t>
        </is>
      </c>
    </row>
    <row r="93">
      <c r="A93" s="29" t="inlineStr">
        <is>
          <t>回愈净神诀</t>
        </is>
      </c>
      <c r="B93" s="18" t="inlineStr">
        <is>
          <t>40</t>
        </is>
      </c>
      <c r="C93" s="18" t="inlineStr">
        <is>
          <t>1960|17</t>
        </is>
      </c>
    </row>
    <row r="94">
      <c r="A94" s="29" t="inlineStr">
        <is>
          <t>回愈净神诀</t>
        </is>
      </c>
      <c r="B94" s="18" t="inlineStr">
        <is>
          <t>41</t>
        </is>
      </c>
      <c r="C94" s="18" t="inlineStr">
        <is>
          <t>2000|18</t>
        </is>
      </c>
    </row>
    <row r="95">
      <c r="A95" s="29" t="inlineStr">
        <is>
          <t>回愈净神诀</t>
        </is>
      </c>
      <c r="B95" s="18" t="inlineStr">
        <is>
          <t>42</t>
        </is>
      </c>
      <c r="C95" s="18" t="inlineStr">
        <is>
          <t>2040|18</t>
        </is>
      </c>
    </row>
    <row r="96">
      <c r="A96" s="29" t="inlineStr">
        <is>
          <t>回愈净神诀</t>
        </is>
      </c>
      <c r="B96" s="18" t="inlineStr">
        <is>
          <t>43</t>
        </is>
      </c>
      <c r="C96" s="18" t="inlineStr">
        <is>
          <t>2080|18</t>
        </is>
      </c>
    </row>
    <row r="97">
      <c r="A97" s="29" t="inlineStr">
        <is>
          <t>回愈净神诀</t>
        </is>
      </c>
      <c r="B97" s="18" t="inlineStr">
        <is>
          <t>44</t>
        </is>
      </c>
      <c r="C97" s="18" t="inlineStr">
        <is>
          <t>2120|18</t>
        </is>
      </c>
    </row>
    <row r="98">
      <c r="A98" s="29" t="inlineStr">
        <is>
          <t>回愈净神诀</t>
        </is>
      </c>
      <c r="B98" s="18" t="inlineStr">
        <is>
          <t>45</t>
        </is>
      </c>
      <c r="C98" s="18" t="inlineStr">
        <is>
          <t>2160|18</t>
        </is>
      </c>
    </row>
    <row r="99">
      <c r="A99" s="29" t="inlineStr">
        <is>
          <t>回愈净神诀</t>
        </is>
      </c>
      <c r="B99" s="18" t="inlineStr">
        <is>
          <t>46</t>
        </is>
      </c>
      <c r="C99" s="18" t="inlineStr">
        <is>
          <t>2200|19</t>
        </is>
      </c>
    </row>
    <row r="100">
      <c r="A100" s="29" t="inlineStr">
        <is>
          <t>回愈净神诀</t>
        </is>
      </c>
      <c r="B100" s="18" t="inlineStr">
        <is>
          <t>47</t>
        </is>
      </c>
      <c r="C100" s="18" t="inlineStr">
        <is>
          <t>2240|19</t>
        </is>
      </c>
    </row>
    <row r="101">
      <c r="A101" s="29" t="inlineStr">
        <is>
          <t>回愈净神诀</t>
        </is>
      </c>
      <c r="B101" s="18" t="inlineStr">
        <is>
          <t>48</t>
        </is>
      </c>
      <c r="C101" s="18" t="inlineStr">
        <is>
          <t>2280|19</t>
        </is>
      </c>
    </row>
    <row r="102">
      <c r="A102" s="29" t="inlineStr">
        <is>
          <t>回愈净神诀</t>
        </is>
      </c>
      <c r="B102" s="18" t="inlineStr">
        <is>
          <t>49</t>
        </is>
      </c>
      <c r="C102" s="18" t="inlineStr">
        <is>
          <t>2320|20</t>
        </is>
      </c>
    </row>
    <row r="103">
      <c r="A103" s="29" t="inlineStr">
        <is>
          <t>回愈净神诀</t>
        </is>
      </c>
      <c r="B103" s="18" t="inlineStr">
        <is>
          <t>50</t>
        </is>
      </c>
      <c r="C103" s="18" t="inlineStr">
        <is>
          <t>2360|20</t>
        </is>
      </c>
    </row>
    <row r="104">
      <c r="A104" s="18" t="inlineStr">
        <is>
          <t>翩鸿灵动决</t>
        </is>
      </c>
      <c r="B104" s="18" t="inlineStr">
        <is>
          <t>1</t>
        </is>
      </c>
      <c r="C104" s="26" t="inlineStr">
        <is>
          <t>100|80</t>
        </is>
      </c>
      <c r="D104" s="26" t="inlineStr">
        <is>
          <t>攻速增加100%，攻击降低80%</t>
        </is>
      </c>
    </row>
    <row r="105">
      <c r="A105" s="18" t="inlineStr">
        <is>
          <t>翩鸿灵动决</t>
        </is>
      </c>
      <c r="B105" s="18" t="inlineStr">
        <is>
          <t>2</t>
        </is>
      </c>
      <c r="C105" s="18" t="inlineStr">
        <is>
          <t>102|80</t>
        </is>
      </c>
    </row>
    <row r="106">
      <c r="A106" s="18" t="inlineStr">
        <is>
          <t>翩鸿灵动决</t>
        </is>
      </c>
      <c r="B106" s="18" t="inlineStr">
        <is>
          <t>3</t>
        </is>
      </c>
      <c r="C106" s="18" t="inlineStr">
        <is>
          <t>104|80</t>
        </is>
      </c>
    </row>
    <row r="107">
      <c r="A107" s="18" t="inlineStr">
        <is>
          <t>翩鸿灵动决</t>
        </is>
      </c>
      <c r="B107" s="18" t="inlineStr">
        <is>
          <t>4</t>
        </is>
      </c>
      <c r="C107" s="18" t="inlineStr">
        <is>
          <t>106|80</t>
        </is>
      </c>
    </row>
    <row r="108">
      <c r="A108" s="18" t="inlineStr">
        <is>
          <t>翩鸿灵动决</t>
        </is>
      </c>
      <c r="B108" s="18" t="inlineStr">
        <is>
          <t>5</t>
        </is>
      </c>
      <c r="C108" s="18" t="inlineStr">
        <is>
          <t>108|80</t>
        </is>
      </c>
    </row>
    <row r="109">
      <c r="A109" s="18" t="inlineStr">
        <is>
          <t>翩鸿灵动决</t>
        </is>
      </c>
      <c r="B109" s="18" t="inlineStr">
        <is>
          <t>6</t>
        </is>
      </c>
      <c r="C109" s="18" t="inlineStr">
        <is>
          <t>110|80</t>
        </is>
      </c>
    </row>
    <row r="110">
      <c r="A110" s="18" t="inlineStr">
        <is>
          <t>翩鸿灵动决</t>
        </is>
      </c>
      <c r="B110" s="18" t="inlineStr">
        <is>
          <t>7</t>
        </is>
      </c>
      <c r="C110" s="18" t="inlineStr">
        <is>
          <t>112|80</t>
        </is>
      </c>
    </row>
    <row r="111">
      <c r="A111" s="18" t="inlineStr">
        <is>
          <t>翩鸿灵动决</t>
        </is>
      </c>
      <c r="B111" s="18" t="inlineStr">
        <is>
          <t>8</t>
        </is>
      </c>
      <c r="C111" s="18" t="inlineStr">
        <is>
          <t>114|80</t>
        </is>
      </c>
    </row>
    <row r="112">
      <c r="A112" s="18" t="inlineStr">
        <is>
          <t>翩鸿灵动决</t>
        </is>
      </c>
      <c r="B112" s="18" t="inlineStr">
        <is>
          <t>9</t>
        </is>
      </c>
      <c r="C112" s="18" t="inlineStr">
        <is>
          <t>116|80</t>
        </is>
      </c>
    </row>
    <row r="113">
      <c r="A113" s="18" t="inlineStr">
        <is>
          <t>翩鸿灵动决</t>
        </is>
      </c>
      <c r="B113" s="18" t="inlineStr">
        <is>
          <t>10</t>
        </is>
      </c>
      <c r="C113" s="18" t="inlineStr">
        <is>
          <t>118|70</t>
        </is>
      </c>
    </row>
    <row r="114">
      <c r="A114" s="18" t="inlineStr">
        <is>
          <t>翩鸿灵动决</t>
        </is>
      </c>
      <c r="B114" s="18" t="inlineStr">
        <is>
          <t>11</t>
        </is>
      </c>
      <c r="C114" s="18" t="inlineStr">
        <is>
          <t>120|70</t>
        </is>
      </c>
    </row>
    <row r="115">
      <c r="A115" s="18" t="inlineStr">
        <is>
          <t>翩鸿灵动决</t>
        </is>
      </c>
      <c r="B115" s="18" t="inlineStr">
        <is>
          <t>12</t>
        </is>
      </c>
      <c r="C115" s="18" t="inlineStr">
        <is>
          <t>122|70</t>
        </is>
      </c>
    </row>
    <row r="116">
      <c r="A116" s="18" t="inlineStr">
        <is>
          <t>翩鸿灵动决</t>
        </is>
      </c>
      <c r="B116" s="18" t="inlineStr">
        <is>
          <t>13</t>
        </is>
      </c>
      <c r="C116" s="18" t="inlineStr">
        <is>
          <t>124|70</t>
        </is>
      </c>
    </row>
    <row r="117">
      <c r="A117" s="18" t="inlineStr">
        <is>
          <t>翩鸿灵动决</t>
        </is>
      </c>
      <c r="B117" s="18" t="inlineStr">
        <is>
          <t>14</t>
        </is>
      </c>
      <c r="C117" s="18" t="inlineStr">
        <is>
          <t>126|70</t>
        </is>
      </c>
    </row>
    <row r="118">
      <c r="A118" s="18" t="inlineStr">
        <is>
          <t>翩鸿灵动决</t>
        </is>
      </c>
      <c r="B118" s="18" t="inlineStr">
        <is>
          <t>15</t>
        </is>
      </c>
      <c r="C118" s="18" t="inlineStr">
        <is>
          <t>128|70</t>
        </is>
      </c>
    </row>
    <row r="119">
      <c r="A119" s="18" t="inlineStr">
        <is>
          <t>翩鸿灵动决</t>
        </is>
      </c>
      <c r="B119" s="18" t="inlineStr">
        <is>
          <t>16</t>
        </is>
      </c>
      <c r="C119" s="18" t="inlineStr">
        <is>
          <t>130|70</t>
        </is>
      </c>
    </row>
    <row r="120">
      <c r="A120" s="18" t="inlineStr">
        <is>
          <t>翩鸿灵动决</t>
        </is>
      </c>
      <c r="B120" s="18" t="inlineStr">
        <is>
          <t>17</t>
        </is>
      </c>
      <c r="C120" s="18" t="inlineStr">
        <is>
          <t>132|70</t>
        </is>
      </c>
    </row>
    <row r="121">
      <c r="A121" s="18" t="inlineStr">
        <is>
          <t>翩鸿灵动决</t>
        </is>
      </c>
      <c r="B121" s="18" t="inlineStr">
        <is>
          <t>18</t>
        </is>
      </c>
      <c r="C121" s="18" t="inlineStr">
        <is>
          <t>134|70</t>
        </is>
      </c>
    </row>
    <row r="122">
      <c r="A122" s="18" t="inlineStr">
        <is>
          <t>翩鸿灵动决</t>
        </is>
      </c>
      <c r="B122" s="18" t="inlineStr">
        <is>
          <t>19</t>
        </is>
      </c>
      <c r="C122" s="18" t="inlineStr">
        <is>
          <t>136|70</t>
        </is>
      </c>
    </row>
    <row r="123">
      <c r="A123" s="18" t="inlineStr">
        <is>
          <t>翩鸿灵动决</t>
        </is>
      </c>
      <c r="B123" s="18" t="inlineStr">
        <is>
          <t>20</t>
        </is>
      </c>
      <c r="C123" s="18" t="inlineStr">
        <is>
          <t>138|60</t>
        </is>
      </c>
    </row>
    <row r="124">
      <c r="A124" s="18" t="inlineStr">
        <is>
          <t>翩鸿灵动决</t>
        </is>
      </c>
      <c r="B124" s="18" t="inlineStr">
        <is>
          <t>21</t>
        </is>
      </c>
      <c r="C124" s="18" t="inlineStr">
        <is>
          <t>140|60</t>
        </is>
      </c>
    </row>
    <row r="125">
      <c r="A125" s="18" t="inlineStr">
        <is>
          <t>翩鸿灵动决</t>
        </is>
      </c>
      <c r="B125" s="18" t="inlineStr">
        <is>
          <t>22</t>
        </is>
      </c>
      <c r="C125" s="18" t="inlineStr">
        <is>
          <t>142|60</t>
        </is>
      </c>
    </row>
    <row r="126">
      <c r="A126" s="18" t="inlineStr">
        <is>
          <t>翩鸿灵动决</t>
        </is>
      </c>
      <c r="B126" s="18" t="inlineStr">
        <is>
          <t>23</t>
        </is>
      </c>
      <c r="C126" s="18" t="inlineStr">
        <is>
          <t>144|60</t>
        </is>
      </c>
    </row>
    <row r="127">
      <c r="A127" s="18" t="inlineStr">
        <is>
          <t>翩鸿灵动决</t>
        </is>
      </c>
      <c r="B127" s="18" t="inlineStr">
        <is>
          <t>24</t>
        </is>
      </c>
      <c r="C127" s="18" t="inlineStr">
        <is>
          <t>146|60</t>
        </is>
      </c>
    </row>
    <row r="128">
      <c r="A128" s="18" t="inlineStr">
        <is>
          <t>翩鸿灵动决</t>
        </is>
      </c>
      <c r="B128" s="18" t="inlineStr">
        <is>
          <t>25</t>
        </is>
      </c>
      <c r="C128" s="18" t="inlineStr">
        <is>
          <t>148|60</t>
        </is>
      </c>
    </row>
    <row r="129">
      <c r="A129" s="18" t="inlineStr">
        <is>
          <t>翩鸿灵动决</t>
        </is>
      </c>
      <c r="B129" s="18" t="inlineStr">
        <is>
          <t>26</t>
        </is>
      </c>
      <c r="C129" s="18" t="inlineStr">
        <is>
          <t>150|60</t>
        </is>
      </c>
    </row>
    <row r="130">
      <c r="A130" s="18" t="inlineStr">
        <is>
          <t>翩鸿灵动决</t>
        </is>
      </c>
      <c r="B130" s="18" t="inlineStr">
        <is>
          <t>27</t>
        </is>
      </c>
      <c r="C130" s="18" t="inlineStr">
        <is>
          <t>152|60</t>
        </is>
      </c>
    </row>
    <row r="131">
      <c r="A131" s="18" t="inlineStr">
        <is>
          <t>翩鸿灵动决</t>
        </is>
      </c>
      <c r="B131" s="18" t="inlineStr">
        <is>
          <t>28</t>
        </is>
      </c>
      <c r="C131" s="18" t="inlineStr">
        <is>
          <t>154|60</t>
        </is>
      </c>
    </row>
    <row r="132">
      <c r="A132" s="18" t="inlineStr">
        <is>
          <t>翩鸿灵动决</t>
        </is>
      </c>
      <c r="B132" s="18" t="inlineStr">
        <is>
          <t>29</t>
        </is>
      </c>
      <c r="C132" s="18" t="inlineStr">
        <is>
          <t>156|60</t>
        </is>
      </c>
    </row>
    <row r="133">
      <c r="A133" s="18" t="inlineStr">
        <is>
          <t>翩鸿灵动决</t>
        </is>
      </c>
      <c r="B133" s="18" t="inlineStr">
        <is>
          <t>30</t>
        </is>
      </c>
      <c r="C133" s="18" t="inlineStr">
        <is>
          <t>158|50</t>
        </is>
      </c>
    </row>
    <row r="134">
      <c r="A134" s="18" t="inlineStr">
        <is>
          <t>翩鸿灵动决</t>
        </is>
      </c>
      <c r="B134" s="18" t="inlineStr">
        <is>
          <t>31</t>
        </is>
      </c>
      <c r="C134" s="18" t="inlineStr">
        <is>
          <t>160|50</t>
        </is>
      </c>
    </row>
    <row r="135">
      <c r="A135" s="18" t="inlineStr">
        <is>
          <t>翩鸿灵动决</t>
        </is>
      </c>
      <c r="B135" s="18" t="inlineStr">
        <is>
          <t>32</t>
        </is>
      </c>
      <c r="C135" s="18" t="inlineStr">
        <is>
          <t>162|50</t>
        </is>
      </c>
    </row>
    <row r="136">
      <c r="A136" s="18" t="inlineStr">
        <is>
          <t>翩鸿灵动决</t>
        </is>
      </c>
      <c r="B136" s="18" t="inlineStr">
        <is>
          <t>33</t>
        </is>
      </c>
      <c r="C136" s="18" t="inlineStr">
        <is>
          <t>164|50</t>
        </is>
      </c>
    </row>
    <row r="137">
      <c r="A137" s="18" t="inlineStr">
        <is>
          <t>翩鸿灵动决</t>
        </is>
      </c>
      <c r="B137" s="18" t="inlineStr">
        <is>
          <t>34</t>
        </is>
      </c>
      <c r="C137" s="18" t="inlineStr">
        <is>
          <t>166|50</t>
        </is>
      </c>
    </row>
    <row r="138">
      <c r="A138" s="18" t="inlineStr">
        <is>
          <t>翩鸿灵动决</t>
        </is>
      </c>
      <c r="B138" s="18" t="inlineStr">
        <is>
          <t>35</t>
        </is>
      </c>
      <c r="C138" s="18" t="inlineStr">
        <is>
          <t>168|50</t>
        </is>
      </c>
    </row>
    <row r="139">
      <c r="A139" s="18" t="inlineStr">
        <is>
          <t>翩鸿灵动决</t>
        </is>
      </c>
      <c r="B139" s="18" t="inlineStr">
        <is>
          <t>36</t>
        </is>
      </c>
      <c r="C139" s="18" t="inlineStr">
        <is>
          <t>170|50</t>
        </is>
      </c>
    </row>
    <row r="140">
      <c r="A140" s="18" t="inlineStr">
        <is>
          <t>翩鸿灵动决</t>
        </is>
      </c>
      <c r="B140" s="18" t="inlineStr">
        <is>
          <t>37</t>
        </is>
      </c>
      <c r="C140" s="18" t="inlineStr">
        <is>
          <t>172|50</t>
        </is>
      </c>
    </row>
    <row r="141">
      <c r="A141" s="18" t="inlineStr">
        <is>
          <t>翩鸿灵动决</t>
        </is>
      </c>
      <c r="B141" s="18" t="inlineStr">
        <is>
          <t>38</t>
        </is>
      </c>
      <c r="C141" s="18" t="inlineStr">
        <is>
          <t>174|50</t>
        </is>
      </c>
    </row>
    <row r="142">
      <c r="A142" s="18" t="inlineStr">
        <is>
          <t>翩鸿灵动决</t>
        </is>
      </c>
      <c r="B142" s="18" t="inlineStr">
        <is>
          <t>39</t>
        </is>
      </c>
      <c r="C142" s="18" t="inlineStr">
        <is>
          <t>176|50</t>
        </is>
      </c>
    </row>
    <row r="143">
      <c r="A143" s="18" t="inlineStr">
        <is>
          <t>翩鸿灵动决</t>
        </is>
      </c>
      <c r="B143" s="18" t="inlineStr">
        <is>
          <t>40</t>
        </is>
      </c>
      <c r="C143" s="18" t="inlineStr">
        <is>
          <t>178|40</t>
        </is>
      </c>
    </row>
    <row r="144">
      <c r="A144" s="18" t="inlineStr">
        <is>
          <t>翩鸿灵动决</t>
        </is>
      </c>
      <c r="B144" s="18" t="inlineStr">
        <is>
          <t>41</t>
        </is>
      </c>
      <c r="C144" s="18" t="inlineStr">
        <is>
          <t>180|40</t>
        </is>
      </c>
    </row>
    <row r="145">
      <c r="A145" s="18" t="inlineStr">
        <is>
          <t>翩鸿灵动决</t>
        </is>
      </c>
      <c r="B145" s="18" t="inlineStr">
        <is>
          <t>42</t>
        </is>
      </c>
      <c r="C145" s="18" t="inlineStr">
        <is>
          <t>182|40</t>
        </is>
      </c>
    </row>
    <row r="146">
      <c r="A146" s="18" t="inlineStr">
        <is>
          <t>翩鸿灵动决</t>
        </is>
      </c>
      <c r="B146" s="18" t="inlineStr">
        <is>
          <t>43</t>
        </is>
      </c>
      <c r="C146" s="18" t="inlineStr">
        <is>
          <t>184|40</t>
        </is>
      </c>
    </row>
    <row r="147">
      <c r="A147" s="18" t="inlineStr">
        <is>
          <t>翩鸿灵动决</t>
        </is>
      </c>
      <c r="B147" s="18" t="inlineStr">
        <is>
          <t>44</t>
        </is>
      </c>
      <c r="C147" s="18" t="inlineStr">
        <is>
          <t>186|40</t>
        </is>
      </c>
    </row>
    <row r="148">
      <c r="A148" s="18" t="inlineStr">
        <is>
          <t>翩鸿灵动决</t>
        </is>
      </c>
      <c r="B148" s="18" t="inlineStr">
        <is>
          <t>45</t>
        </is>
      </c>
      <c r="C148" s="18" t="inlineStr">
        <is>
          <t>188|40</t>
        </is>
      </c>
    </row>
    <row r="149">
      <c r="A149" s="18" t="inlineStr">
        <is>
          <t>翩鸿灵动决</t>
        </is>
      </c>
      <c r="B149" s="18" t="inlineStr">
        <is>
          <t>46</t>
        </is>
      </c>
      <c r="C149" s="18" t="inlineStr">
        <is>
          <t>190|40</t>
        </is>
      </c>
    </row>
    <row r="150">
      <c r="A150" s="18" t="inlineStr">
        <is>
          <t>翩鸿灵动决</t>
        </is>
      </c>
      <c r="B150" s="18" t="inlineStr">
        <is>
          <t>47</t>
        </is>
      </c>
      <c r="C150" s="18" t="inlineStr">
        <is>
          <t>192|40</t>
        </is>
      </c>
    </row>
    <row r="151">
      <c r="A151" s="18" t="inlineStr">
        <is>
          <t>翩鸿灵动决</t>
        </is>
      </c>
      <c r="B151" s="18" t="inlineStr">
        <is>
          <t>48</t>
        </is>
      </c>
      <c r="C151" s="18" t="inlineStr">
        <is>
          <t>194|40</t>
        </is>
      </c>
    </row>
    <row r="152">
      <c r="A152" s="18" t="inlineStr">
        <is>
          <t>翩鸿灵动决</t>
        </is>
      </c>
      <c r="B152" s="18" t="inlineStr">
        <is>
          <t>49</t>
        </is>
      </c>
      <c r="C152" s="18" t="inlineStr">
        <is>
          <t>196|40</t>
        </is>
      </c>
    </row>
    <row r="153">
      <c r="A153" s="18" t="inlineStr">
        <is>
          <t>翩鸿灵动决</t>
        </is>
      </c>
      <c r="B153" s="18" t="inlineStr">
        <is>
          <t>50</t>
        </is>
      </c>
      <c r="C153" s="18" t="inlineStr">
        <is>
          <t>198|40</t>
        </is>
      </c>
    </row>
    <row r="154">
      <c r="A154" s="32" t="inlineStr">
        <is>
          <t>蓝元增攻诀</t>
        </is>
      </c>
      <c r="B154" s="18" t="inlineStr">
        <is>
          <t>1</t>
        </is>
      </c>
      <c r="C154" s="18" t="n">
        <v>10</v>
      </c>
      <c r="D154" s="43" t="inlineStr">
        <is>
          <t>攻击增加10%</t>
        </is>
      </c>
    </row>
    <row r="155">
      <c r="A155" s="32" t="inlineStr">
        <is>
          <t>蓝元增攻诀</t>
        </is>
      </c>
      <c r="B155" s="18" t="inlineStr">
        <is>
          <t>2</t>
        </is>
      </c>
      <c r="C155" s="18" t="n">
        <v>12</v>
      </c>
    </row>
    <row r="156">
      <c r="A156" s="32" t="inlineStr">
        <is>
          <t>蓝元增攻诀</t>
        </is>
      </c>
      <c r="B156" s="18" t="inlineStr">
        <is>
          <t>3</t>
        </is>
      </c>
      <c r="C156" s="18" t="n">
        <v>13</v>
      </c>
    </row>
    <row r="157">
      <c r="A157" s="32" t="inlineStr">
        <is>
          <t>蓝元增攻诀</t>
        </is>
      </c>
      <c r="B157" s="18" t="inlineStr">
        <is>
          <t>4</t>
        </is>
      </c>
      <c r="C157" s="18" t="n">
        <v>15</v>
      </c>
    </row>
    <row r="158">
      <c r="A158" s="32" t="inlineStr">
        <is>
          <t>蓝元增攻诀</t>
        </is>
      </c>
      <c r="B158" s="18" t="inlineStr">
        <is>
          <t>5</t>
        </is>
      </c>
      <c r="C158" s="18" t="n">
        <v>16</v>
      </c>
    </row>
    <row r="159">
      <c r="A159" s="32" t="inlineStr">
        <is>
          <t>蓝元增攻诀</t>
        </is>
      </c>
      <c r="B159" s="18" t="inlineStr">
        <is>
          <t>6</t>
        </is>
      </c>
      <c r="C159" s="18" t="n">
        <v>18</v>
      </c>
    </row>
    <row r="160">
      <c r="A160" s="32" t="inlineStr">
        <is>
          <t>蓝元增攻诀</t>
        </is>
      </c>
      <c r="B160" s="18" t="inlineStr">
        <is>
          <t>7</t>
        </is>
      </c>
      <c r="C160" s="18" t="n">
        <v>19</v>
      </c>
    </row>
    <row r="161">
      <c r="A161" s="32" t="inlineStr">
        <is>
          <t>蓝元增攻诀</t>
        </is>
      </c>
      <c r="B161" s="18" t="inlineStr">
        <is>
          <t>8</t>
        </is>
      </c>
      <c r="C161" s="18" t="n">
        <v>21</v>
      </c>
    </row>
    <row r="162">
      <c r="A162" s="32" t="inlineStr">
        <is>
          <t>蓝元增攻诀</t>
        </is>
      </c>
      <c r="B162" s="18" t="inlineStr">
        <is>
          <t>9</t>
        </is>
      </c>
      <c r="C162" s="18" t="n">
        <v>22</v>
      </c>
    </row>
    <row r="163">
      <c r="A163" s="32" t="inlineStr">
        <is>
          <t>蓝元增攻诀</t>
        </is>
      </c>
      <c r="B163" s="18" t="inlineStr">
        <is>
          <t>10</t>
        </is>
      </c>
      <c r="C163" s="18" t="n">
        <v>24</v>
      </c>
    </row>
    <row r="164">
      <c r="A164" s="32" t="inlineStr">
        <is>
          <t>蓝元增攻诀</t>
        </is>
      </c>
      <c r="B164" s="18" t="inlineStr">
        <is>
          <t>11</t>
        </is>
      </c>
      <c r="C164" s="18" t="n">
        <v>25</v>
      </c>
    </row>
    <row r="165">
      <c r="A165" s="32" t="inlineStr">
        <is>
          <t>蓝元增攻诀</t>
        </is>
      </c>
      <c r="B165" s="18" t="inlineStr">
        <is>
          <t>12</t>
        </is>
      </c>
      <c r="C165" s="18" t="n">
        <v>27</v>
      </c>
    </row>
    <row r="166">
      <c r="A166" s="32" t="inlineStr">
        <is>
          <t>蓝元增攻诀</t>
        </is>
      </c>
      <c r="B166" s="18" t="inlineStr">
        <is>
          <t>13</t>
        </is>
      </c>
      <c r="C166" s="18" t="n">
        <v>28</v>
      </c>
    </row>
    <row r="167">
      <c r="A167" s="32" t="inlineStr">
        <is>
          <t>蓝元增攻诀</t>
        </is>
      </c>
      <c r="B167" s="18" t="inlineStr">
        <is>
          <t>14</t>
        </is>
      </c>
      <c r="C167" s="18" t="n">
        <v>30</v>
      </c>
    </row>
    <row r="168">
      <c r="A168" s="32" t="inlineStr">
        <is>
          <t>蓝元增攻诀</t>
        </is>
      </c>
      <c r="B168" s="18" t="inlineStr">
        <is>
          <t>15</t>
        </is>
      </c>
      <c r="C168" s="18" t="n">
        <v>31</v>
      </c>
    </row>
    <row r="169">
      <c r="A169" s="32" t="inlineStr">
        <is>
          <t>蓝元增攻诀</t>
        </is>
      </c>
      <c r="B169" s="18" t="inlineStr">
        <is>
          <t>16</t>
        </is>
      </c>
      <c r="C169" s="18" t="n">
        <v>33</v>
      </c>
    </row>
    <row r="170">
      <c r="A170" s="32" t="inlineStr">
        <is>
          <t>蓝元增攻诀</t>
        </is>
      </c>
      <c r="B170" s="18" t="inlineStr">
        <is>
          <t>17</t>
        </is>
      </c>
      <c r="C170" s="18" t="n">
        <v>34</v>
      </c>
    </row>
    <row r="171">
      <c r="A171" s="32" t="inlineStr">
        <is>
          <t>蓝元增攻诀</t>
        </is>
      </c>
      <c r="B171" s="18" t="inlineStr">
        <is>
          <t>18</t>
        </is>
      </c>
      <c r="C171" s="18" t="n">
        <v>36</v>
      </c>
    </row>
    <row r="172">
      <c r="A172" s="32" t="inlineStr">
        <is>
          <t>蓝元增攻诀</t>
        </is>
      </c>
      <c r="B172" s="18" t="inlineStr">
        <is>
          <t>19</t>
        </is>
      </c>
      <c r="C172" s="18" t="n">
        <v>37</v>
      </c>
    </row>
    <row r="173">
      <c r="A173" s="32" t="inlineStr">
        <is>
          <t>蓝元增攻诀</t>
        </is>
      </c>
      <c r="B173" s="18" t="inlineStr">
        <is>
          <t>20</t>
        </is>
      </c>
      <c r="C173" s="18" t="n">
        <v>39</v>
      </c>
    </row>
    <row r="174">
      <c r="A174" s="32" t="inlineStr">
        <is>
          <t>蓝元增攻诀</t>
        </is>
      </c>
      <c r="B174" s="18" t="inlineStr">
        <is>
          <t>21</t>
        </is>
      </c>
      <c r="C174" s="18" t="n">
        <v>40</v>
      </c>
    </row>
    <row r="175">
      <c r="A175" s="32" t="inlineStr">
        <is>
          <t>蓝元增攻诀</t>
        </is>
      </c>
      <c r="B175" s="18" t="inlineStr">
        <is>
          <t>22</t>
        </is>
      </c>
      <c r="C175" s="18" t="n">
        <v>42</v>
      </c>
    </row>
    <row r="176">
      <c r="A176" s="32" t="inlineStr">
        <is>
          <t>蓝元增攻诀</t>
        </is>
      </c>
      <c r="B176" s="18" t="inlineStr">
        <is>
          <t>23</t>
        </is>
      </c>
      <c r="C176" s="18" t="n">
        <v>43</v>
      </c>
    </row>
    <row r="177">
      <c r="A177" s="32" t="inlineStr">
        <is>
          <t>蓝元增攻诀</t>
        </is>
      </c>
      <c r="B177" s="18" t="inlineStr">
        <is>
          <t>24</t>
        </is>
      </c>
      <c r="C177" s="18" t="n">
        <v>45</v>
      </c>
    </row>
    <row r="178">
      <c r="A178" s="32" t="inlineStr">
        <is>
          <t>蓝元增攻诀</t>
        </is>
      </c>
      <c r="B178" s="18" t="inlineStr">
        <is>
          <t>25</t>
        </is>
      </c>
      <c r="C178" s="18" t="n">
        <v>46</v>
      </c>
    </row>
    <row r="179">
      <c r="A179" s="32" t="inlineStr">
        <is>
          <t>蓝元增攻诀</t>
        </is>
      </c>
      <c r="B179" s="18" t="inlineStr">
        <is>
          <t>26</t>
        </is>
      </c>
      <c r="C179" s="18" t="n">
        <v>48</v>
      </c>
    </row>
    <row r="180">
      <c r="A180" s="32" t="inlineStr">
        <is>
          <t>蓝元增攻诀</t>
        </is>
      </c>
      <c r="B180" s="18" t="inlineStr">
        <is>
          <t>27</t>
        </is>
      </c>
      <c r="C180" s="18" t="n">
        <v>49</v>
      </c>
    </row>
    <row r="181">
      <c r="A181" s="32" t="inlineStr">
        <is>
          <t>蓝元增攻诀</t>
        </is>
      </c>
      <c r="B181" s="18" t="inlineStr">
        <is>
          <t>28</t>
        </is>
      </c>
      <c r="C181" s="18" t="n">
        <v>51</v>
      </c>
    </row>
    <row r="182">
      <c r="A182" s="32" t="inlineStr">
        <is>
          <t>蓝元增攻诀</t>
        </is>
      </c>
      <c r="B182" s="18" t="inlineStr">
        <is>
          <t>29</t>
        </is>
      </c>
      <c r="C182" s="18" t="n">
        <v>52</v>
      </c>
    </row>
    <row r="183">
      <c r="A183" s="32" t="inlineStr">
        <is>
          <t>蓝元增攻诀</t>
        </is>
      </c>
      <c r="B183" s="18" t="inlineStr">
        <is>
          <t>30</t>
        </is>
      </c>
      <c r="C183" s="18" t="n">
        <v>54</v>
      </c>
    </row>
    <row r="184">
      <c r="A184" s="32" t="inlineStr">
        <is>
          <t>蓝元增攻诀</t>
        </is>
      </c>
      <c r="B184" s="18" t="inlineStr">
        <is>
          <t>31</t>
        </is>
      </c>
      <c r="C184" s="18" t="n">
        <v>55</v>
      </c>
    </row>
    <row r="185">
      <c r="A185" s="32" t="inlineStr">
        <is>
          <t>蓝元增攻诀</t>
        </is>
      </c>
      <c r="B185" s="18" t="inlineStr">
        <is>
          <t>32</t>
        </is>
      </c>
      <c r="C185" s="18" t="n">
        <v>57</v>
      </c>
    </row>
    <row r="186">
      <c r="A186" s="32" t="inlineStr">
        <is>
          <t>蓝元增攻诀</t>
        </is>
      </c>
      <c r="B186" s="18" t="inlineStr">
        <is>
          <t>33</t>
        </is>
      </c>
      <c r="C186" s="18" t="n">
        <v>58</v>
      </c>
    </row>
    <row r="187">
      <c r="A187" s="32" t="inlineStr">
        <is>
          <t>蓝元增攻诀</t>
        </is>
      </c>
      <c r="B187" s="18" t="inlineStr">
        <is>
          <t>34</t>
        </is>
      </c>
      <c r="C187" s="18" t="n">
        <v>60</v>
      </c>
    </row>
    <row r="188">
      <c r="A188" s="32" t="inlineStr">
        <is>
          <t>蓝元增攻诀</t>
        </is>
      </c>
      <c r="B188" s="18" t="inlineStr">
        <is>
          <t>35</t>
        </is>
      </c>
      <c r="C188" s="18" t="n">
        <v>61</v>
      </c>
    </row>
    <row r="189">
      <c r="A189" s="32" t="inlineStr">
        <is>
          <t>蓝元增攻诀</t>
        </is>
      </c>
      <c r="B189" s="18" t="inlineStr">
        <is>
          <t>36</t>
        </is>
      </c>
      <c r="C189" s="18" t="n">
        <v>63</v>
      </c>
    </row>
    <row r="190">
      <c r="A190" s="32" t="inlineStr">
        <is>
          <t>蓝元增攻诀</t>
        </is>
      </c>
      <c r="B190" s="18" t="inlineStr">
        <is>
          <t>37</t>
        </is>
      </c>
      <c r="C190" s="18" t="n">
        <v>64</v>
      </c>
    </row>
    <row r="191">
      <c r="A191" s="32" t="inlineStr">
        <is>
          <t>蓝元增攻诀</t>
        </is>
      </c>
      <c r="B191" s="18" t="inlineStr">
        <is>
          <t>38</t>
        </is>
      </c>
      <c r="C191" s="18" t="n">
        <v>66</v>
      </c>
    </row>
    <row r="192">
      <c r="A192" s="32" t="inlineStr">
        <is>
          <t>蓝元增攻诀</t>
        </is>
      </c>
      <c r="B192" s="18" t="inlineStr">
        <is>
          <t>39</t>
        </is>
      </c>
      <c r="C192" s="18" t="n">
        <v>67</v>
      </c>
    </row>
    <row r="193">
      <c r="A193" s="32" t="inlineStr">
        <is>
          <t>蓝元增攻诀</t>
        </is>
      </c>
      <c r="B193" s="18" t="inlineStr">
        <is>
          <t>40</t>
        </is>
      </c>
      <c r="C193" s="18" t="n">
        <v>69</v>
      </c>
    </row>
    <row r="194">
      <c r="A194" s="32" t="inlineStr">
        <is>
          <t>蓝元增攻诀</t>
        </is>
      </c>
      <c r="B194" s="18" t="inlineStr">
        <is>
          <t>41</t>
        </is>
      </c>
      <c r="C194" s="18" t="n">
        <v>70</v>
      </c>
    </row>
    <row r="195">
      <c r="A195" s="32" t="inlineStr">
        <is>
          <t>蓝元增攻诀</t>
        </is>
      </c>
      <c r="B195" s="18" t="inlineStr">
        <is>
          <t>42</t>
        </is>
      </c>
      <c r="C195" s="18" t="n">
        <v>72</v>
      </c>
    </row>
    <row r="196">
      <c r="A196" s="32" t="inlineStr">
        <is>
          <t>蓝元增攻诀</t>
        </is>
      </c>
      <c r="B196" s="18" t="inlineStr">
        <is>
          <t>43</t>
        </is>
      </c>
      <c r="C196" s="18" t="n">
        <v>73</v>
      </c>
    </row>
    <row r="197">
      <c r="A197" s="32" t="inlineStr">
        <is>
          <t>蓝元增攻诀</t>
        </is>
      </c>
      <c r="B197" s="18" t="inlineStr">
        <is>
          <t>44</t>
        </is>
      </c>
      <c r="C197" s="18" t="n">
        <v>75</v>
      </c>
    </row>
    <row r="198">
      <c r="A198" s="32" t="inlineStr">
        <is>
          <t>蓝元增攻诀</t>
        </is>
      </c>
      <c r="B198" s="18" t="inlineStr">
        <is>
          <t>45</t>
        </is>
      </c>
      <c r="C198" s="18" t="n">
        <v>76</v>
      </c>
    </row>
    <row r="199">
      <c r="A199" s="32" t="inlineStr">
        <is>
          <t>蓝元增攻诀</t>
        </is>
      </c>
      <c r="B199" s="18" t="inlineStr">
        <is>
          <t>46</t>
        </is>
      </c>
      <c r="C199" s="18" t="n">
        <v>78</v>
      </c>
    </row>
    <row r="200">
      <c r="A200" s="32" t="inlineStr">
        <is>
          <t>蓝元增攻诀</t>
        </is>
      </c>
      <c r="B200" s="18" t="inlineStr">
        <is>
          <t>47</t>
        </is>
      </c>
      <c r="C200" s="18" t="n">
        <v>79</v>
      </c>
    </row>
    <row r="201">
      <c r="A201" s="32" t="inlineStr">
        <is>
          <t>蓝元增攻诀</t>
        </is>
      </c>
      <c r="B201" s="18" t="inlineStr">
        <is>
          <t>48</t>
        </is>
      </c>
      <c r="C201" s="18" t="n">
        <v>81</v>
      </c>
    </row>
    <row r="202">
      <c r="A202" s="32" t="inlineStr">
        <is>
          <t>蓝元增攻诀</t>
        </is>
      </c>
      <c r="B202" s="18" t="inlineStr">
        <is>
          <t>49</t>
        </is>
      </c>
      <c r="C202" s="18" t="n">
        <v>82</v>
      </c>
    </row>
    <row r="203">
      <c r="A203" s="32" t="inlineStr">
        <is>
          <t>蓝元增攻诀</t>
        </is>
      </c>
      <c r="B203" s="18" t="inlineStr">
        <is>
          <t>50</t>
        </is>
      </c>
      <c r="C203" s="18" t="n">
        <v>84</v>
      </c>
    </row>
    <row r="204">
      <c r="A204" s="8" t="inlineStr">
        <is>
          <t>剑芒聚气诀</t>
        </is>
      </c>
      <c r="B204" s="18" t="inlineStr">
        <is>
          <t>1</t>
        </is>
      </c>
      <c r="C204" s="18" t="inlineStr">
        <is>
          <t>-66|-66|-66|-66|-66</t>
        </is>
      </c>
      <c r="D204" t="inlineStr">
        <is>
          <t>50</t>
        </is>
      </c>
      <c r="E204" s="43" t="inlineStr">
        <is>
          <t>造成5段34%的伤害，招式结束后回复50%气</t>
        </is>
      </c>
    </row>
    <row r="205">
      <c r="A205" s="8" t="inlineStr">
        <is>
          <t>剑芒聚气诀</t>
        </is>
      </c>
      <c r="B205" s="18" t="inlineStr">
        <is>
          <t>2</t>
        </is>
      </c>
      <c r="C205" s="18" t="inlineStr">
        <is>
          <t>-65|-65|-65|-65|-65</t>
        </is>
      </c>
      <c r="D205" t="inlineStr">
        <is>
          <t>51</t>
        </is>
      </c>
    </row>
    <row r="206">
      <c r="A206" s="8" t="inlineStr">
        <is>
          <t>剑芒聚气诀</t>
        </is>
      </c>
      <c r="B206" s="18" t="inlineStr">
        <is>
          <t>3</t>
        </is>
      </c>
      <c r="C206" s="18" t="inlineStr">
        <is>
          <t>-65|-65|-65|-65|-65</t>
        </is>
      </c>
      <c r="D206" t="inlineStr">
        <is>
          <t>52</t>
        </is>
      </c>
    </row>
    <row r="207">
      <c r="A207" s="8" t="inlineStr">
        <is>
          <t>剑芒聚气诀</t>
        </is>
      </c>
      <c r="B207" s="18" t="inlineStr">
        <is>
          <t>4</t>
        </is>
      </c>
      <c r="C207" s="18" t="inlineStr">
        <is>
          <t>-64|-64|-64|-64|-64</t>
        </is>
      </c>
      <c r="D207" t="inlineStr">
        <is>
          <t>53</t>
        </is>
      </c>
    </row>
    <row r="208">
      <c r="A208" s="8" t="inlineStr">
        <is>
          <t>剑芒聚气诀</t>
        </is>
      </c>
      <c r="B208" s="18" t="inlineStr">
        <is>
          <t>5</t>
        </is>
      </c>
      <c r="C208" s="18" t="inlineStr">
        <is>
          <t>-63|-63|-63|-63|-63</t>
        </is>
      </c>
      <c r="D208" t="inlineStr">
        <is>
          <t>54</t>
        </is>
      </c>
    </row>
    <row r="209">
      <c r="A209" s="8" t="inlineStr">
        <is>
          <t>剑芒聚气诀</t>
        </is>
      </c>
      <c r="B209" s="18" t="inlineStr">
        <is>
          <t>6</t>
        </is>
      </c>
      <c r="C209" s="18" t="inlineStr">
        <is>
          <t>-63|-63|-63|-63|-63</t>
        </is>
      </c>
      <c r="D209" t="inlineStr">
        <is>
          <t>55</t>
        </is>
      </c>
    </row>
    <row r="210">
      <c r="A210" s="8" t="inlineStr">
        <is>
          <t>剑芒聚气诀</t>
        </is>
      </c>
      <c r="B210" s="18" t="inlineStr">
        <is>
          <t>7</t>
        </is>
      </c>
      <c r="C210" s="18" t="inlineStr">
        <is>
          <t>-62|-62|-62|-62|-62</t>
        </is>
      </c>
      <c r="D210" t="inlineStr">
        <is>
          <t>56</t>
        </is>
      </c>
    </row>
    <row r="211">
      <c r="A211" s="8" t="inlineStr">
        <is>
          <t>剑芒聚气诀</t>
        </is>
      </c>
      <c r="B211" s="18" t="inlineStr">
        <is>
          <t>8</t>
        </is>
      </c>
      <c r="C211" s="18" t="inlineStr">
        <is>
          <t>-61|-61|-61|-61|-61</t>
        </is>
      </c>
      <c r="D211" t="inlineStr">
        <is>
          <t>57</t>
        </is>
      </c>
    </row>
    <row r="212">
      <c r="A212" s="8" t="inlineStr">
        <is>
          <t>剑芒聚气诀</t>
        </is>
      </c>
      <c r="B212" s="18" t="inlineStr">
        <is>
          <t>9</t>
        </is>
      </c>
      <c r="C212" s="18" t="inlineStr">
        <is>
          <t>-61|-61|-61|-61|-61</t>
        </is>
      </c>
      <c r="D212" t="inlineStr">
        <is>
          <t>58</t>
        </is>
      </c>
    </row>
    <row r="213">
      <c r="A213" s="8" t="inlineStr">
        <is>
          <t>剑芒聚气诀</t>
        </is>
      </c>
      <c r="B213" s="18" t="inlineStr">
        <is>
          <t>10</t>
        </is>
      </c>
      <c r="C213" s="18" t="inlineStr">
        <is>
          <t>-60|-60|-60|-60|-60</t>
        </is>
      </c>
      <c r="D213" t="inlineStr">
        <is>
          <t>59</t>
        </is>
      </c>
    </row>
    <row r="214">
      <c r="A214" s="8" t="inlineStr">
        <is>
          <t>剑芒聚气诀</t>
        </is>
      </c>
      <c r="B214" s="18" t="inlineStr">
        <is>
          <t>11</t>
        </is>
      </c>
      <c r="C214" s="18" t="inlineStr">
        <is>
          <t>-59|-59|-59|-59|-59</t>
        </is>
      </c>
      <c r="D214" t="inlineStr">
        <is>
          <t>60</t>
        </is>
      </c>
    </row>
    <row r="215">
      <c r="A215" s="8" t="inlineStr">
        <is>
          <t>剑芒聚气诀</t>
        </is>
      </c>
      <c r="B215" s="18" t="inlineStr">
        <is>
          <t>12</t>
        </is>
      </c>
      <c r="C215" s="18" t="inlineStr">
        <is>
          <t>-59|-59|-59|-59|-59</t>
        </is>
      </c>
      <c r="D215" t="inlineStr">
        <is>
          <t>61</t>
        </is>
      </c>
    </row>
    <row r="216">
      <c r="A216" s="8" t="inlineStr">
        <is>
          <t>剑芒聚气诀</t>
        </is>
      </c>
      <c r="B216" s="18" t="inlineStr">
        <is>
          <t>13</t>
        </is>
      </c>
      <c r="C216" s="18" t="inlineStr">
        <is>
          <t>-58|-58|-58|-58|-58</t>
        </is>
      </c>
      <c r="D216" t="inlineStr">
        <is>
          <t>62</t>
        </is>
      </c>
    </row>
    <row r="217">
      <c r="A217" s="8" t="inlineStr">
        <is>
          <t>剑芒聚气诀</t>
        </is>
      </c>
      <c r="B217" s="18" t="inlineStr">
        <is>
          <t>14</t>
        </is>
      </c>
      <c r="C217" s="18" t="inlineStr">
        <is>
          <t>-58|-58|-58|-58|-58</t>
        </is>
      </c>
      <c r="D217" t="inlineStr">
        <is>
          <t>63</t>
        </is>
      </c>
    </row>
    <row r="218">
      <c r="A218" s="8" t="inlineStr">
        <is>
          <t>剑芒聚气诀</t>
        </is>
      </c>
      <c r="B218" s="18" t="inlineStr">
        <is>
          <t>15</t>
        </is>
      </c>
      <c r="C218" s="18" t="inlineStr">
        <is>
          <t>-57|-57|-57|-57|-57</t>
        </is>
      </c>
      <c r="D218" t="inlineStr">
        <is>
          <t>64</t>
        </is>
      </c>
    </row>
    <row r="219">
      <c r="A219" s="8" t="inlineStr">
        <is>
          <t>剑芒聚气诀</t>
        </is>
      </c>
      <c r="B219" s="18" t="inlineStr">
        <is>
          <t>16</t>
        </is>
      </c>
      <c r="C219" s="18" t="inlineStr">
        <is>
          <t>-56|-56|-56|-56|-56</t>
        </is>
      </c>
      <c r="D219" t="inlineStr">
        <is>
          <t>65</t>
        </is>
      </c>
    </row>
    <row r="220">
      <c r="A220" s="8" t="inlineStr">
        <is>
          <t>剑芒聚气诀</t>
        </is>
      </c>
      <c r="B220" s="18" t="inlineStr">
        <is>
          <t>17</t>
        </is>
      </c>
      <c r="C220" s="18" t="inlineStr">
        <is>
          <t>-56|-56|-56|-56|-56</t>
        </is>
      </c>
      <c r="D220" t="inlineStr">
        <is>
          <t>66</t>
        </is>
      </c>
    </row>
    <row r="221">
      <c r="A221" s="8" t="inlineStr">
        <is>
          <t>剑芒聚气诀</t>
        </is>
      </c>
      <c r="B221" s="18" t="inlineStr">
        <is>
          <t>18</t>
        </is>
      </c>
      <c r="C221" s="18" t="inlineStr">
        <is>
          <t>-55|-55|-55|-55|-55</t>
        </is>
      </c>
      <c r="D221" t="inlineStr">
        <is>
          <t>67</t>
        </is>
      </c>
    </row>
    <row r="222">
      <c r="A222" s="8" t="inlineStr">
        <is>
          <t>剑芒聚气诀</t>
        </is>
      </c>
      <c r="B222" s="18" t="inlineStr">
        <is>
          <t>19</t>
        </is>
      </c>
      <c r="C222" s="18" t="inlineStr">
        <is>
          <t>-54|-54|-54|-54|-54</t>
        </is>
      </c>
      <c r="D222" t="inlineStr">
        <is>
          <t>68</t>
        </is>
      </c>
    </row>
    <row r="223">
      <c r="A223" s="8" t="inlineStr">
        <is>
          <t>剑芒聚气诀</t>
        </is>
      </c>
      <c r="B223" s="18" t="inlineStr">
        <is>
          <t>20</t>
        </is>
      </c>
      <c r="C223" s="18" t="inlineStr">
        <is>
          <t>-54|-54|-54|-54|-54</t>
        </is>
      </c>
      <c r="D223" t="inlineStr">
        <is>
          <t>69</t>
        </is>
      </c>
    </row>
    <row r="224">
      <c r="A224" s="8" t="inlineStr">
        <is>
          <t>剑芒聚气诀</t>
        </is>
      </c>
      <c r="B224" s="18" t="inlineStr">
        <is>
          <t>21</t>
        </is>
      </c>
      <c r="C224" s="18" t="inlineStr">
        <is>
          <t>-53|-53|-53|-53|-53</t>
        </is>
      </c>
      <c r="D224" t="inlineStr">
        <is>
          <t>70</t>
        </is>
      </c>
    </row>
    <row r="225">
      <c r="A225" s="8" t="inlineStr">
        <is>
          <t>剑芒聚气诀</t>
        </is>
      </c>
      <c r="B225" s="18" t="inlineStr">
        <is>
          <t>22</t>
        </is>
      </c>
      <c r="C225" s="18" t="inlineStr">
        <is>
          <t>-52|-52|-52|-52|-52</t>
        </is>
      </c>
      <c r="D225" t="inlineStr">
        <is>
          <t>71</t>
        </is>
      </c>
    </row>
    <row r="226">
      <c r="A226" s="8" t="inlineStr">
        <is>
          <t>剑芒聚气诀</t>
        </is>
      </c>
      <c r="B226" s="18" t="inlineStr">
        <is>
          <t>23</t>
        </is>
      </c>
      <c r="C226" s="18" t="inlineStr">
        <is>
          <t>-52|-52|-52|-52|-52</t>
        </is>
      </c>
      <c r="D226" t="inlineStr">
        <is>
          <t>72</t>
        </is>
      </c>
    </row>
    <row r="227">
      <c r="A227" s="8" t="inlineStr">
        <is>
          <t>剑芒聚气诀</t>
        </is>
      </c>
      <c r="B227" s="18" t="inlineStr">
        <is>
          <t>24</t>
        </is>
      </c>
      <c r="C227" s="18" t="inlineStr">
        <is>
          <t>-51|-51|-51|-51|-51</t>
        </is>
      </c>
      <c r="D227" t="inlineStr">
        <is>
          <t>73</t>
        </is>
      </c>
    </row>
    <row r="228">
      <c r="A228" s="8" t="inlineStr">
        <is>
          <t>剑芒聚气诀</t>
        </is>
      </c>
      <c r="B228" s="18" t="inlineStr">
        <is>
          <t>25</t>
        </is>
      </c>
      <c r="C228" s="18" t="inlineStr">
        <is>
          <t>-50|-50|-50|-50|-50</t>
        </is>
      </c>
      <c r="D228" t="inlineStr">
        <is>
          <t>74</t>
        </is>
      </c>
    </row>
    <row r="229">
      <c r="A229" s="8" t="inlineStr">
        <is>
          <t>剑芒聚气诀</t>
        </is>
      </c>
      <c r="B229" s="18" t="inlineStr">
        <is>
          <t>26</t>
        </is>
      </c>
      <c r="C229" s="18" t="inlineStr">
        <is>
          <t>-50|-50|-50|-50|-50</t>
        </is>
      </c>
      <c r="D229" t="inlineStr">
        <is>
          <t>75</t>
        </is>
      </c>
    </row>
    <row r="230">
      <c r="A230" s="8" t="inlineStr">
        <is>
          <t>剑芒聚气诀</t>
        </is>
      </c>
      <c r="B230" s="18" t="inlineStr">
        <is>
          <t>27</t>
        </is>
      </c>
      <c r="C230" s="18" t="inlineStr">
        <is>
          <t>-49|-49|-49|-49|-49</t>
        </is>
      </c>
      <c r="D230" t="inlineStr">
        <is>
          <t>76</t>
        </is>
      </c>
    </row>
    <row r="231">
      <c r="A231" s="8" t="inlineStr">
        <is>
          <t>剑芒聚气诀</t>
        </is>
      </c>
      <c r="B231" s="18" t="inlineStr">
        <is>
          <t>28</t>
        </is>
      </c>
      <c r="C231" s="18" t="inlineStr">
        <is>
          <t>-48|-48|-48|-48|-48</t>
        </is>
      </c>
      <c r="D231" t="inlineStr">
        <is>
          <t>77</t>
        </is>
      </c>
    </row>
    <row r="232">
      <c r="A232" s="8" t="inlineStr">
        <is>
          <t>剑芒聚气诀</t>
        </is>
      </c>
      <c r="B232" s="18" t="inlineStr">
        <is>
          <t>29</t>
        </is>
      </c>
      <c r="C232" s="18" t="inlineStr">
        <is>
          <t>-48|-48|-48|-48|-48</t>
        </is>
      </c>
      <c r="D232" t="inlineStr">
        <is>
          <t>78</t>
        </is>
      </c>
    </row>
    <row r="233">
      <c r="A233" s="8" t="inlineStr">
        <is>
          <t>剑芒聚气诀</t>
        </is>
      </c>
      <c r="B233" s="18" t="inlineStr">
        <is>
          <t>30</t>
        </is>
      </c>
      <c r="C233" s="18" t="inlineStr">
        <is>
          <t>-47|-47|-47|-47|-47</t>
        </is>
      </c>
      <c r="D233" t="inlineStr">
        <is>
          <t>79</t>
        </is>
      </c>
    </row>
    <row r="234">
      <c r="A234" s="8" t="inlineStr">
        <is>
          <t>剑芒聚气诀</t>
        </is>
      </c>
      <c r="B234" s="18" t="inlineStr">
        <is>
          <t>31</t>
        </is>
      </c>
      <c r="C234" s="18" t="inlineStr">
        <is>
          <t>-46|-46|-46|-46|-46</t>
        </is>
      </c>
      <c r="D234" t="inlineStr">
        <is>
          <t>80</t>
        </is>
      </c>
    </row>
    <row r="235">
      <c r="A235" s="8" t="inlineStr">
        <is>
          <t>剑芒聚气诀</t>
        </is>
      </c>
      <c r="B235" s="18" t="inlineStr">
        <is>
          <t>32</t>
        </is>
      </c>
      <c r="C235" s="18" t="inlineStr">
        <is>
          <t>-46|-46|-46|-46|-46</t>
        </is>
      </c>
      <c r="D235" t="inlineStr">
        <is>
          <t>81</t>
        </is>
      </c>
    </row>
    <row r="236">
      <c r="A236" s="8" t="inlineStr">
        <is>
          <t>剑芒聚气诀</t>
        </is>
      </c>
      <c r="B236" s="18" t="inlineStr">
        <is>
          <t>33</t>
        </is>
      </c>
      <c r="C236" s="18" t="inlineStr">
        <is>
          <t>-45|-45|-45|-45|-45</t>
        </is>
      </c>
      <c r="D236" t="inlineStr">
        <is>
          <t>82</t>
        </is>
      </c>
    </row>
    <row r="237">
      <c r="A237" s="8" t="inlineStr">
        <is>
          <t>剑芒聚气诀</t>
        </is>
      </c>
      <c r="B237" s="18" t="inlineStr">
        <is>
          <t>34</t>
        </is>
      </c>
      <c r="C237" s="18" t="inlineStr">
        <is>
          <t>-45|-45|-45|-45|-45</t>
        </is>
      </c>
      <c r="D237" t="inlineStr">
        <is>
          <t>83</t>
        </is>
      </c>
    </row>
    <row r="238">
      <c r="A238" s="8" t="inlineStr">
        <is>
          <t>剑芒聚气诀</t>
        </is>
      </c>
      <c r="B238" s="18" t="inlineStr">
        <is>
          <t>35</t>
        </is>
      </c>
      <c r="C238" s="18" t="inlineStr">
        <is>
          <t>-44|-44|-44|-44|-44</t>
        </is>
      </c>
      <c r="D238" t="inlineStr">
        <is>
          <t>84</t>
        </is>
      </c>
    </row>
    <row r="239">
      <c r="A239" s="8" t="inlineStr">
        <is>
          <t>剑芒聚气诀</t>
        </is>
      </c>
      <c r="B239" s="18" t="inlineStr">
        <is>
          <t>36</t>
        </is>
      </c>
      <c r="C239" s="18" t="inlineStr">
        <is>
          <t>-43|-43|-43|-43|-43</t>
        </is>
      </c>
      <c r="D239" t="inlineStr">
        <is>
          <t>85</t>
        </is>
      </c>
    </row>
    <row r="240">
      <c r="A240" s="8" t="inlineStr">
        <is>
          <t>剑芒聚气诀</t>
        </is>
      </c>
      <c r="B240" s="18" t="inlineStr">
        <is>
          <t>37</t>
        </is>
      </c>
      <c r="C240" s="18" t="inlineStr">
        <is>
          <t>-43|-43|-43|-43|-43</t>
        </is>
      </c>
      <c r="D240" t="inlineStr">
        <is>
          <t>86</t>
        </is>
      </c>
    </row>
    <row r="241">
      <c r="A241" s="8" t="inlineStr">
        <is>
          <t>剑芒聚气诀</t>
        </is>
      </c>
      <c r="B241" s="18" t="inlineStr">
        <is>
          <t>38</t>
        </is>
      </c>
      <c r="C241" s="18" t="inlineStr">
        <is>
          <t>-42|-42|-42|-42|-42</t>
        </is>
      </c>
      <c r="D241" t="inlineStr">
        <is>
          <t>87</t>
        </is>
      </c>
    </row>
    <row r="242">
      <c r="A242" s="8" t="inlineStr">
        <is>
          <t>剑芒聚气诀</t>
        </is>
      </c>
      <c r="B242" s="18" t="inlineStr">
        <is>
          <t>39</t>
        </is>
      </c>
      <c r="C242" s="18" t="inlineStr">
        <is>
          <t>-41|-41|-41|-41|-41</t>
        </is>
      </c>
      <c r="D242" t="inlineStr">
        <is>
          <t>88</t>
        </is>
      </c>
    </row>
    <row r="243">
      <c r="A243" s="8" t="inlineStr">
        <is>
          <t>剑芒聚气诀</t>
        </is>
      </c>
      <c r="B243" s="18" t="inlineStr">
        <is>
          <t>40</t>
        </is>
      </c>
      <c r="C243" s="18" t="inlineStr">
        <is>
          <t>-41|-41|-41|-41|-41</t>
        </is>
      </c>
      <c r="D243" t="inlineStr">
        <is>
          <t>89</t>
        </is>
      </c>
    </row>
    <row r="244">
      <c r="A244" s="8" t="inlineStr">
        <is>
          <t>剑芒聚气诀</t>
        </is>
      </c>
      <c r="B244" s="18" t="inlineStr">
        <is>
          <t>41</t>
        </is>
      </c>
      <c r="C244" s="18" t="inlineStr">
        <is>
          <t>-40|-40|-40|-40|-40</t>
        </is>
      </c>
      <c r="D244" t="inlineStr">
        <is>
          <t>90</t>
        </is>
      </c>
    </row>
    <row r="245">
      <c r="A245" s="8" t="inlineStr">
        <is>
          <t>剑芒聚气诀</t>
        </is>
      </c>
      <c r="B245" s="18" t="inlineStr">
        <is>
          <t>42</t>
        </is>
      </c>
      <c r="C245" s="18" t="inlineStr">
        <is>
          <t>-39|-39|-39|-39|-39</t>
        </is>
      </c>
      <c r="D245" t="inlineStr">
        <is>
          <t>91</t>
        </is>
      </c>
    </row>
    <row r="246">
      <c r="A246" s="8" t="inlineStr">
        <is>
          <t>剑芒聚气诀</t>
        </is>
      </c>
      <c r="B246" s="18" t="inlineStr">
        <is>
          <t>43</t>
        </is>
      </c>
      <c r="C246" s="18" t="inlineStr">
        <is>
          <t>-39|-39|-39|-39|-39</t>
        </is>
      </c>
      <c r="D246" t="inlineStr">
        <is>
          <t>92</t>
        </is>
      </c>
    </row>
    <row r="247">
      <c r="A247" s="8" t="inlineStr">
        <is>
          <t>剑芒聚气诀</t>
        </is>
      </c>
      <c r="B247" s="18" t="inlineStr">
        <is>
          <t>44</t>
        </is>
      </c>
      <c r="C247" s="18" t="inlineStr">
        <is>
          <t>-38|-38|-38|-38|-38</t>
        </is>
      </c>
      <c r="D247" t="inlineStr">
        <is>
          <t>93</t>
        </is>
      </c>
    </row>
    <row r="248">
      <c r="A248" s="8" t="inlineStr">
        <is>
          <t>剑芒聚气诀</t>
        </is>
      </c>
      <c r="B248" s="18" t="inlineStr">
        <is>
          <t>45</t>
        </is>
      </c>
      <c r="C248" s="18" t="inlineStr">
        <is>
          <t>-37|-37|-37|-37|-37</t>
        </is>
      </c>
      <c r="D248" t="inlineStr">
        <is>
          <t>94</t>
        </is>
      </c>
    </row>
    <row r="249">
      <c r="A249" s="8" t="inlineStr">
        <is>
          <t>剑芒聚气诀</t>
        </is>
      </c>
      <c r="B249" s="18" t="inlineStr">
        <is>
          <t>46</t>
        </is>
      </c>
      <c r="C249" s="18" t="inlineStr">
        <is>
          <t>-37|-37|-37|-37|-37</t>
        </is>
      </c>
      <c r="D249" t="inlineStr">
        <is>
          <t>95</t>
        </is>
      </c>
    </row>
    <row r="250">
      <c r="A250" s="8" t="inlineStr">
        <is>
          <t>剑芒聚气诀</t>
        </is>
      </c>
      <c r="B250" s="18" t="inlineStr">
        <is>
          <t>47</t>
        </is>
      </c>
      <c r="C250" s="18" t="inlineStr">
        <is>
          <t>-36|-36|-36|-36|-36</t>
        </is>
      </c>
      <c r="D250" t="inlineStr">
        <is>
          <t>96</t>
        </is>
      </c>
    </row>
    <row r="251">
      <c r="A251" s="8" t="inlineStr">
        <is>
          <t>剑芒聚气诀</t>
        </is>
      </c>
      <c r="B251" s="18" t="inlineStr">
        <is>
          <t>48</t>
        </is>
      </c>
      <c r="C251" s="18" t="inlineStr">
        <is>
          <t>-35|-35|-35|-35|-35</t>
        </is>
      </c>
      <c r="D251" t="inlineStr">
        <is>
          <t>97</t>
        </is>
      </c>
    </row>
    <row r="252">
      <c r="A252" s="8" t="inlineStr">
        <is>
          <t>剑芒聚气诀</t>
        </is>
      </c>
      <c r="B252" s="18" t="inlineStr">
        <is>
          <t>49</t>
        </is>
      </c>
      <c r="C252" s="18" t="inlineStr">
        <is>
          <t>-35|-35|-35|-35|-35</t>
        </is>
      </c>
      <c r="D252" t="inlineStr">
        <is>
          <t>98</t>
        </is>
      </c>
    </row>
    <row r="253">
      <c r="A253" s="8" t="inlineStr">
        <is>
          <t>剑芒聚气诀</t>
        </is>
      </c>
      <c r="B253" s="18" t="inlineStr">
        <is>
          <t>50</t>
        </is>
      </c>
      <c r="C253" s="18" t="inlineStr">
        <is>
          <t>-34|-34|-34|-34|-34</t>
        </is>
      </c>
      <c r="D25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2026-01-12T03:12:30Z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