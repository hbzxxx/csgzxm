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35" yWindow="735" windowWidth="25155" windowHeight="13305" tabRatio="600" firstSheet="0" activeTab="0" autoFilterDateGrouping="1"/>
  </bookViews>
  <sheets>
    <sheet xmlns:r="http://schemas.openxmlformats.org/officeDocument/2006/relationships" name="Sheet2" sheetId="1" state="visible" r:id="rId1"/>
    <sheet xmlns:r="http://schemas.openxmlformats.org/officeDocument/2006/relationships" name="Sheet3" sheetId="2" state="visible" r:id="rId2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_ "/>
    <numFmt numFmtId="165" formatCode="0_);[Red]\(0\)"/>
  </numFmts>
  <fonts count="9">
    <font>
      <name val="宋体"/>
      <charset val="134"/>
      <color theme="1"/>
      <sz val="11"/>
      <scheme val="minor"/>
    </font>
    <font>
      <name val="宋体"/>
      <charset val="134"/>
      <family val="2"/>
      <color theme="1"/>
      <sz val="11"/>
      <scheme val="minor"/>
    </font>
    <font>
      <name val="Arial"/>
      <family val="2"/>
      <color rgb="FF000000"/>
      <sz val="10"/>
    </font>
    <font>
      <name val="宋体"/>
      <charset val="134"/>
      <family val="3"/>
      <color rgb="FF000000"/>
      <sz val="10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rgb="FF333333"/>
      <sz val="10.5"/>
      <scheme val="minor"/>
    </font>
    <font>
      <name val="宋体"/>
      <charset val="134"/>
      <family val="3"/>
      <color theme="1"/>
      <sz val="10.5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.5"/>
    </font>
  </fonts>
  <fills count="1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70702230903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82909634693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399822992645039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45066682943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left" vertical="center" wrapText="1"/>
    </xf>
    <xf numFmtId="164" fontId="0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164" fontId="3" fillId="3" borderId="0" applyAlignment="1" pivotButton="0" quotePrefix="0" xfId="0">
      <alignment horizontal="left" vertical="center" wrapText="1"/>
    </xf>
    <xf numFmtId="164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164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49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49" fontId="0" fillId="5" borderId="0" applyAlignment="1" pivotButton="0" quotePrefix="0" xfId="0">
      <alignment vertical="center"/>
    </xf>
    <xf numFmtId="49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49" fontId="0" fillId="7" borderId="0" applyAlignment="1" pivotButton="0" quotePrefix="0" xfId="0">
      <alignment vertical="center"/>
    </xf>
    <xf numFmtId="0" fontId="0" fillId="8" borderId="0" applyAlignment="1" pivotButton="0" quotePrefix="0" xfId="0">
      <alignment vertical="center" wrapText="1"/>
    </xf>
    <xf numFmtId="0" fontId="0" fillId="9" borderId="0" applyAlignment="1" pivotButton="0" quotePrefix="0" xfId="0">
      <alignment vertical="center" wrapText="1"/>
    </xf>
    <xf numFmtId="49" fontId="0" fillId="8" borderId="0" applyAlignment="1" pivotButton="0" quotePrefix="0" xfId="0">
      <alignment vertical="center"/>
    </xf>
    <xf numFmtId="49" fontId="0" fillId="9" borderId="0" applyAlignment="1" pivotButton="0" quotePrefix="0" xfId="0">
      <alignment vertical="center"/>
    </xf>
    <xf numFmtId="0" fontId="0" fillId="10" borderId="0" applyAlignment="1" pivotButton="0" quotePrefix="0" xfId="0">
      <alignment vertical="center" wrapText="1"/>
    </xf>
    <xf numFmtId="49" fontId="0" fillId="1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0" fillId="11" borderId="0" applyAlignment="1" pivotButton="0" quotePrefix="0" xfId="0">
      <alignment vertical="center"/>
    </xf>
    <xf numFmtId="49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center" wrapText="1"/>
    </xf>
    <xf numFmtId="49" fontId="4" fillId="12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 wrapText="1"/>
    </xf>
    <xf numFmtId="49" fontId="5" fillId="0" borderId="0" applyAlignment="1" pivotButton="0" quotePrefix="0" xfId="0">
      <alignment vertical="center"/>
    </xf>
    <xf numFmtId="49" fontId="0" fillId="0" borderId="0" pivotButton="0" quotePrefix="0" xfId="0"/>
    <xf numFmtId="49" fontId="0" fillId="12" borderId="0" applyAlignment="1" pivotButton="0" quotePrefix="0" xfId="0">
      <alignment vertical="center"/>
    </xf>
    <xf numFmtId="0" fontId="6" fillId="12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0" fillId="12" borderId="0" pivotButton="0" quotePrefix="0" xfId="0"/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49" fontId="0" fillId="12" borderId="0" applyAlignment="1" pivotButton="0" quotePrefix="0" xfId="0">
      <alignment vertical="center"/>
    </xf>
    <xf numFmtId="49" fontId="0" fillId="13" borderId="0" applyAlignment="1" pivotButton="0" quotePrefix="0" xfId="0">
      <alignment vertical="center"/>
    </xf>
    <xf numFmtId="49" fontId="0" fillId="0" borderId="0" applyAlignment="1" pivotButton="0" quotePrefix="0" xfId="0">
      <alignment wrapText="1"/>
    </xf>
    <xf numFmtId="49" fontId="4" fillId="0" borderId="0" applyAlignment="1" pivotButton="0" quotePrefix="0" xfId="0">
      <alignment wrapText="1"/>
    </xf>
    <xf numFmtId="0" fontId="0" fillId="12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49" fontId="4" fillId="0" borderId="0" pivotButton="0" quotePrefix="0" xfId="0"/>
    <xf numFmtId="0" fontId="4" fillId="0" borderId="0" applyAlignment="1" pivotButton="0" quotePrefix="0" xfId="0">
      <alignment horizontal="justify" vertical="center"/>
    </xf>
    <xf numFmtId="49" fontId="4" fillId="11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justify" vertical="center"/>
    </xf>
    <xf numFmtId="49" fontId="4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0" fillId="2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164" fontId="3" fillId="3" borderId="0" applyAlignment="1" pivotButton="0" quotePrefix="0" xfId="0">
      <alignment horizontal="left" vertical="center" wrapText="1"/>
    </xf>
    <xf numFmtId="164" fontId="0" fillId="3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"/>
  <sheetViews>
    <sheetView tabSelected="1" workbookViewId="0">
      <pane ySplit="1" topLeftCell="A47" activePane="bottomLeft" state="frozen"/>
      <selection pane="bottomLeft" activeCell="F58" sqref="F58"/>
    </sheetView>
  </sheetViews>
  <sheetFormatPr baseColWidth="8" defaultColWidth="9" defaultRowHeight="13.5"/>
  <cols>
    <col width="9" customWidth="1" style="30" min="1" max="1"/>
    <col width="18.25" customWidth="1" style="30" min="2" max="2"/>
    <col width="17.625" customWidth="1" style="30" min="3" max="3"/>
    <col width="11.875" customWidth="1" style="30" min="4" max="4"/>
    <col width="20.25" customWidth="1" style="30" min="5" max="5"/>
    <col width="25.625" customWidth="1" style="30" min="6" max="6"/>
    <col width="10.875" customWidth="1" style="30" min="7" max="7"/>
    <col width="9" customWidth="1" style="30" min="8" max="8"/>
    <col width="15" customWidth="1" style="30" min="9" max="9"/>
    <col width="15.375" customWidth="1" style="30" min="10" max="10"/>
    <col width="16.125" customWidth="1" style="31" min="11" max="11"/>
    <col width="10.75" customWidth="1" style="30" min="12" max="12"/>
    <col width="15.625" customWidth="1" style="30" min="13" max="13"/>
    <col width="14.625" customWidth="1" style="30" min="14" max="14"/>
    <col width="19.375" customWidth="1" style="30" min="15" max="15"/>
    <col width="16.625" customWidth="1" style="30" min="16" max="16"/>
    <col width="11.875" customWidth="1" style="30" min="17" max="17"/>
    <col width="9" customWidth="1" style="30" min="18" max="19"/>
    <col width="10.625" customWidth="1" style="30" min="20" max="20"/>
    <col width="22.375" customWidth="1" style="30" min="21" max="21"/>
    <col width="10.875" customWidth="1" style="30" min="22" max="22"/>
    <col width="9" customWidth="1" style="30" min="23" max="16384"/>
  </cols>
  <sheetData>
    <row r="1" ht="27" customHeight="1" s="59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</t>
        </is>
      </c>
      <c r="E1" t="inlineStr">
        <is>
          <t>puGong</t>
        </is>
      </c>
      <c r="F1" t="inlineStr">
        <is>
          <t>foreRollEffectName</t>
        </is>
      </c>
      <c r="G1" t="inlineStr">
        <is>
          <t>effectName</t>
        </is>
      </c>
      <c r="H1" t="inlineStr">
        <is>
          <t>foreRollTime</t>
        </is>
      </c>
      <c r="I1" t="inlineStr">
        <is>
          <t>centerTime</t>
        </is>
      </c>
      <c r="J1" t="inlineStr">
        <is>
          <t>damageTimeArr</t>
        </is>
      </c>
      <c r="K1" t="inlineStr">
        <is>
          <t>screenShakeStrength</t>
        </is>
      </c>
      <c r="L1" t="inlineStr">
        <is>
          <t>iconName</t>
        </is>
      </c>
      <c r="M1" t="inlineStr">
        <is>
          <t>energyAddTimeArr</t>
        </is>
      </c>
      <c r="N1" t="inlineStr">
        <is>
          <t>energyAddArr</t>
        </is>
      </c>
      <c r="O1" t="inlineStr">
        <is>
          <t>energyNeed</t>
        </is>
      </c>
      <c r="P1" t="inlineStr">
        <is>
          <t>upgradeDesArr</t>
        </is>
      </c>
      <c r="Q1" t="inlineStr">
        <is>
          <t>jingMai</t>
        </is>
      </c>
      <c r="R1" t="inlineStr">
        <is>
          <t>param</t>
        </is>
      </c>
      <c r="S1" t="inlineStr">
        <is>
          <t>haveBuff</t>
        </is>
      </c>
      <c r="T1" t="inlineStr">
        <is>
          <t>beforeAddBuff</t>
        </is>
      </c>
      <c r="U1" t="inlineStr">
        <is>
          <t>skillType</t>
        </is>
      </c>
      <c r="V1" t="inlineStr">
        <is>
          <t>hitAudio</t>
        </is>
      </c>
      <c r="W1" t="inlineStr">
        <is>
          <t>haveAttack</t>
        </is>
      </c>
      <c r="X1" t="inlineStr">
        <is>
          <t>cd</t>
        </is>
      </c>
      <c r="Y1" t="inlineStr">
        <is>
          <t>yuanSu</t>
        </is>
      </c>
      <c r="Z1" t="inlineStr">
        <is>
          <t>canStudy</t>
        </is>
      </c>
    </row>
    <row r="2" ht="63.75" customHeight="1" s="59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  <c r="O2" t="inlineStr">
        <is>
          <t>string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  <c r="U2" t="inlineStr">
        <is>
          <t>string</t>
        </is>
      </c>
      <c r="V2" t="inlineStr">
        <is>
          <t>string</t>
        </is>
      </c>
      <c r="W2" t="inlineStr">
        <is>
          <t>string</t>
        </is>
      </c>
      <c r="X2" t="inlineStr">
        <is>
          <t>string</t>
        </is>
      </c>
      <c r="Y2" t="inlineStr">
        <is>
          <t>string</t>
        </is>
      </c>
      <c r="Z2" t="inlineStr">
        <is>
          <t>string</t>
        </is>
      </c>
    </row>
    <row r="3" ht="100.5" customHeight="1" s="59">
      <c r="A3" t="inlineStr">
        <is>
          <t>##</t>
        </is>
      </c>
      <c r="B3" s="33" t="inlineStr">
        <is>
          <t>id</t>
        </is>
      </c>
      <c r="C3" s="33" t="inlineStr">
        <is>
          <t>name</t>
        </is>
      </c>
      <c r="D3" s="33" t="inlineStr">
        <is>
          <t>des</t>
        </is>
      </c>
      <c r="E3" s="36" t="inlineStr">
        <is>
          <t>puGong</t>
        </is>
      </c>
      <c r="F3" s="33" t="inlineStr">
        <is>
          <t>foreRollEffectName</t>
        </is>
      </c>
      <c r="G3" s="33" t="inlineStr">
        <is>
          <t>effectName</t>
        </is>
      </c>
      <c r="H3" s="33" t="inlineStr">
        <is>
          <t>foreRollTime</t>
        </is>
      </c>
      <c r="I3" s="33" t="inlineStr">
        <is>
          <t>centerTime</t>
        </is>
      </c>
      <c r="J3" s="33" t="inlineStr">
        <is>
          <t>damageTimeArr</t>
        </is>
      </c>
      <c r="K3" s="30" t="inlineStr">
        <is>
          <t>screenShakeStrength</t>
        </is>
      </c>
      <c r="L3" s="31" t="inlineStr">
        <is>
          <t>iconName</t>
        </is>
      </c>
      <c r="M3" s="30" t="inlineStr">
        <is>
          <t>energyAddTimeArr</t>
        </is>
      </c>
      <c r="N3" s="30" t="inlineStr">
        <is>
          <t>energyAddArr</t>
        </is>
      </c>
      <c r="O3" s="30" t="inlineStr">
        <is>
          <t>energyNeed</t>
        </is>
      </c>
      <c r="P3" s="30" t="inlineStr">
        <is>
          <t>upgradeDesArr</t>
        </is>
      </c>
      <c r="Q3" s="30" t="inlineStr">
        <is>
          <t>jingMai</t>
        </is>
      </c>
      <c r="R3" s="30" t="inlineStr">
        <is>
          <t>param</t>
        </is>
      </c>
      <c r="S3" s="30" t="inlineStr">
        <is>
          <t>haveBuff</t>
        </is>
      </c>
      <c r="T3" s="52" t="inlineStr">
        <is>
          <t>beforeAddBuff</t>
        </is>
      </c>
      <c r="U3" s="30" t="inlineStr">
        <is>
          <t>skillType</t>
        </is>
      </c>
      <c r="V3" s="30" t="inlineStr">
        <is>
          <t>hitAudio</t>
        </is>
      </c>
      <c r="W3" s="30" t="inlineStr">
        <is>
          <t>haveAttack</t>
        </is>
      </c>
      <c r="X3" s="30" t="inlineStr">
        <is>
          <t>cd</t>
        </is>
      </c>
      <c r="Y3" s="52" t="inlineStr">
        <is>
          <t>yuanSu</t>
        </is>
      </c>
      <c r="Z3" s="52" t="inlineStr">
        <is>
          <t>canStudy</t>
        </is>
      </c>
    </row>
    <row r="4" ht="43.5" customHeight="1" s="59">
      <c r="B4" s="36" t="inlineStr">
        <is>
          <t>211010</t>
        </is>
      </c>
      <c r="C4" s="30" t="inlineStr">
        <is>
          <t>光弹</t>
        </is>
      </c>
      <c r="D4" s="30" t="inlineStr">
        <is>
          <t>冲击波</t>
        </is>
      </c>
      <c r="E4" s="52" t="inlineStr">
        <is>
          <t>1</t>
        </is>
      </c>
      <c r="G4" s="30" t="inlineStr">
        <is>
          <t>RingAttack</t>
        </is>
      </c>
      <c r="H4" s="30" t="inlineStr">
        <is>
          <t>0.2</t>
        </is>
      </c>
      <c r="I4" s="30" t="inlineStr">
        <is>
          <t>0.7</t>
        </is>
      </c>
      <c r="J4" s="30" t="inlineStr">
        <is>
          <t>0.28</t>
        </is>
      </c>
      <c r="K4" s="30" t="inlineStr">
        <is>
          <t>20</t>
        </is>
      </c>
      <c r="L4" s="31" t="inlineStr">
        <is>
          <t>img_jineng1</t>
        </is>
      </c>
      <c r="M4" s="30" t="inlineStr">
        <is>
          <t>0.28</t>
        </is>
      </c>
      <c r="N4" s="30" t="inlineStr">
        <is>
          <t>20</t>
        </is>
      </c>
      <c r="P4" s="33" t="inlineStr">
        <is>
          <t>伤害：50%|伤害：55%|伤害：60%|伤害：65%|伤害：70%|伤害：75%</t>
        </is>
      </c>
      <c r="U4" s="30" t="inlineStr">
        <is>
          <t>0</t>
        </is>
      </c>
      <c r="V4" s="30" t="inlineStr">
        <is>
          <t>etfx_explosion_plasma</t>
        </is>
      </c>
      <c r="W4" s="30" t="inlineStr">
        <is>
          <t>1</t>
        </is>
      </c>
      <c r="Y4" s="52" t="inlineStr">
        <is>
          <t>5</t>
        </is>
      </c>
    </row>
    <row r="5" ht="62.25" customHeight="1" s="59">
      <c r="B5" s="33" t="inlineStr">
        <is>
          <t>211011</t>
        </is>
      </c>
      <c r="C5" s="30" t="inlineStr">
        <is>
          <t>金风玉露</t>
        </is>
      </c>
      <c r="D5" s="52" t="inlineStr">
        <is>
          <t>造成5段伤害，并给自己施加“愈合”状态，持续3回合</t>
        </is>
      </c>
      <c r="E5" s="52" t="n"/>
      <c r="G5" s="30" t="inlineStr">
        <is>
          <t>Effect_jinFengYuLu</t>
        </is>
      </c>
      <c r="H5" s="30" t="inlineStr">
        <is>
          <t>0.2</t>
        </is>
      </c>
      <c r="I5" s="30" t="inlineStr">
        <is>
          <t>2</t>
        </is>
      </c>
      <c r="J5" s="33" t="inlineStr">
        <is>
          <t>1.2|1.4|1.6|1.8|1.9</t>
        </is>
      </c>
      <c r="K5" s="33" t="inlineStr">
        <is>
          <t>10|12|14|14|14</t>
        </is>
      </c>
      <c r="L5" s="31" t="inlineStr">
        <is>
          <t>img_jieng2</t>
        </is>
      </c>
      <c r="O5" s="30" t="inlineStr">
        <is>
          <t>30</t>
        </is>
      </c>
      <c r="P5" s="33" t="inlineStr">
        <is>
          <t>一段伤害：0%\n二段伤害:0%\n三段伤害:0%\n四段伤害：0%\n五段伤害:0%|一段伤害：6%\n二段伤害:6%\n三段伤害:6%\n四段伤害：6%\n五段伤害:6%|一段伤害：18%\n二段伤害:18%\n三段伤害:18%\n四段伤害：18%\n五段伤害:18%|一段伤害：24%\n二段伤害:24%\n三段伤害:24%\n四段伤害：24%\n五段伤害:24%|一段伤害：30%\n二段伤害:30%\n三段伤害:50%\n四段伤害：50%\n五段伤害:50%|一段伤害：55%\n二段伤害:55%\n三段伤害:55%\n四段伤害：55%\n五段伤害:55%</t>
        </is>
      </c>
      <c r="Q5" s="30" t="inlineStr">
        <is>
          <t>0|1|2|3|4|5</t>
        </is>
      </c>
      <c r="R5" s="52" t="inlineStr">
        <is>
          <t>10032</t>
        </is>
      </c>
      <c r="S5" s="52" t="inlineStr">
        <is>
          <t>1</t>
        </is>
      </c>
      <c r="T5" s="52" t="n"/>
      <c r="U5" s="30" t="inlineStr">
        <is>
          <t>1</t>
        </is>
      </c>
      <c r="V5" s="30" t="inlineStr">
        <is>
          <t>lingDanAudio|lingDanAudio|lingDanAudio|lingDanAudio|lingDanAudio</t>
        </is>
      </c>
      <c r="W5" s="30" t="inlineStr">
        <is>
          <t>1</t>
        </is>
      </c>
      <c r="X5" s="52" t="inlineStr">
        <is>
          <t>4</t>
        </is>
      </c>
      <c r="Y5" s="52" t="inlineStr">
        <is>
          <t>5</t>
        </is>
      </c>
      <c r="Z5" s="52" t="inlineStr">
        <is>
          <t>1</t>
        </is>
      </c>
    </row>
    <row r="6" ht="43.5" customHeight="1" s="59">
      <c r="B6" s="33" t="inlineStr">
        <is>
          <t>212010</t>
        </is>
      </c>
      <c r="C6" s="33" t="inlineStr">
        <is>
          <t>剑普攻</t>
        </is>
      </c>
      <c r="D6" s="33" t="inlineStr">
        <is>
          <t>剑普攻</t>
        </is>
      </c>
      <c r="E6" s="33" t="n"/>
      <c r="F6" s="33" t="n"/>
      <c r="G6" s="33" t="inlineStr">
        <is>
          <t>SkillEffect_SwordAttack</t>
        </is>
      </c>
      <c r="H6" s="33" t="inlineStr">
        <is>
          <t>0.5</t>
        </is>
      </c>
      <c r="I6" s="33" t="inlineStr">
        <is>
          <t>0.5</t>
        </is>
      </c>
      <c r="J6" s="33" t="n">
        <v>0</v>
      </c>
      <c r="K6" s="33" t="inlineStr">
        <is>
          <t>30</t>
        </is>
      </c>
      <c r="L6" s="31" t="inlineStr">
        <is>
          <t>img_jineng1</t>
        </is>
      </c>
      <c r="M6" s="30" t="inlineStr">
        <is>
          <t>0</t>
        </is>
      </c>
      <c r="N6" s="30" t="inlineStr">
        <is>
          <t>20</t>
        </is>
      </c>
      <c r="P6" s="33" t="inlineStr">
        <is>
          <t>伤害：60%|伤害：65%|伤害：70%|伤害：75%|伤害：80%|伤害：85%</t>
        </is>
      </c>
      <c r="U6" s="30" t="inlineStr">
        <is>
          <t>0</t>
        </is>
      </c>
      <c r="V6" s="30" t="inlineStr">
        <is>
          <t>swordHit</t>
        </is>
      </c>
      <c r="W6" s="30" t="inlineStr">
        <is>
          <t>1</t>
        </is>
      </c>
    </row>
    <row r="7" ht="67.5" customHeight="1" s="59">
      <c r="B7" s="36" t="inlineStr">
        <is>
          <t>212011</t>
        </is>
      </c>
      <c r="C7" s="33" t="inlineStr">
        <is>
          <t>月耀八荒</t>
        </is>
      </c>
      <c r="D7" s="36" t="inlineStr">
        <is>
          <t>造成6段伤害，并对对方施加“禁疗”状态，持续3回合</t>
        </is>
      </c>
      <c r="E7" s="36" t="n"/>
      <c r="F7" s="33" t="n"/>
      <c r="G7" s="33" t="inlineStr">
        <is>
          <t>jiuShuiLianDaZhao</t>
        </is>
      </c>
      <c r="H7" s="33" t="inlineStr">
        <is>
          <t>0.5</t>
        </is>
      </c>
      <c r="I7" s="33" t="n">
        <v>3.3</v>
      </c>
      <c r="J7" s="33" t="inlineStr">
        <is>
          <t>0.08|0.38|0.72|2.06|2.24|2.26</t>
        </is>
      </c>
      <c r="K7" s="33" t="inlineStr">
        <is>
          <t>10|12|14|20|30|40</t>
        </is>
      </c>
      <c r="L7" s="31" t="inlineStr">
        <is>
          <t>img_jineng_yueyaobahuang</t>
        </is>
      </c>
      <c r="O7" s="30" t="inlineStr">
        <is>
          <t>30</t>
        </is>
      </c>
      <c r="P7" s="33" t="inlineStr">
        <is>
          <t>一段伤害：30%\n二段伤害:30%\n三段伤害:30%\n四段伤害：60%\n五段伤害:60%\n六段伤害:60%|一段伤害：35%\n二段伤害:35%\n三段伤害:35%\n四段伤害：65%\n五段伤害:65%\n六段伤害:65%|一段伤害：40%\n二段伤害:40%\n三段伤害:40%\n四段伤害：70%\n五段伤害:70%\n六段伤害:70%|一段伤害：45%\n二段伤害:45%\n三段伤害:45%\n四段伤害：75%\n五段伤害:75%\n六段伤害:75%|一段伤害：50%\n二段伤害:50%\n三段伤害:50%\n四段伤害：80%\n五段伤害:80%\n六段伤害:80%|一段伤害：55%\n二段伤害:55%\n三段伤害:55%\n四段伤害：85%\n五段伤害:85%\n六段伤害:85%</t>
        </is>
      </c>
      <c r="Q7" s="30" t="inlineStr">
        <is>
          <t>0|1|2|3|4|5</t>
        </is>
      </c>
      <c r="R7" s="52" t="inlineStr">
        <is>
          <t>10021</t>
        </is>
      </c>
      <c r="S7" s="52" t="inlineStr">
        <is>
          <t>1</t>
        </is>
      </c>
      <c r="T7" s="52" t="n"/>
      <c r="U7" s="30" t="inlineStr">
        <is>
          <t>1</t>
        </is>
      </c>
      <c r="V7" s="33" t="inlineStr">
        <is>
          <t>swordHit|swordHit|swordHit|baoZha|baoZha|baoZha</t>
        </is>
      </c>
      <c r="W7" s="30" t="inlineStr">
        <is>
          <t>1</t>
        </is>
      </c>
      <c r="X7" s="52" t="inlineStr">
        <is>
          <t>4</t>
        </is>
      </c>
      <c r="Y7" s="52" t="inlineStr">
        <is>
          <t>6</t>
        </is>
      </c>
      <c r="Z7" s="52" t="inlineStr">
        <is>
          <t>1</t>
        </is>
      </c>
    </row>
    <row r="8" ht="43.5" customHeight="1" s="59">
      <c r="B8" s="36" t="inlineStr">
        <is>
          <t>221010</t>
        </is>
      </c>
      <c r="C8" s="30" t="inlineStr">
        <is>
          <t>琉璃光弹</t>
        </is>
      </c>
      <c r="D8" s="30" t="inlineStr">
        <is>
          <t>冲击波</t>
        </is>
      </c>
      <c r="E8" s="30" t="n"/>
      <c r="G8" s="30" t="inlineStr">
        <is>
          <t>RingAttack</t>
        </is>
      </c>
      <c r="H8" s="30" t="inlineStr">
        <is>
          <t>0.2</t>
        </is>
      </c>
      <c r="I8" s="30" t="inlineStr">
        <is>
          <t>0.7</t>
        </is>
      </c>
      <c r="J8" s="30" t="inlineStr">
        <is>
          <t>0.28</t>
        </is>
      </c>
      <c r="K8" s="30" t="inlineStr">
        <is>
          <t>20</t>
        </is>
      </c>
      <c r="L8" s="31" t="inlineStr">
        <is>
          <t>img_jineng1</t>
        </is>
      </c>
      <c r="M8" s="30" t="inlineStr">
        <is>
          <t>0.28</t>
        </is>
      </c>
      <c r="N8" s="30" t="inlineStr">
        <is>
          <t>20</t>
        </is>
      </c>
      <c r="P8" s="33" t="inlineStr">
        <is>
          <t>伤害：50%|伤害：55%|伤害：60%|伤害：65%|伤害：70%|伤害：75%</t>
        </is>
      </c>
      <c r="U8" s="30" t="inlineStr">
        <is>
          <t>1</t>
        </is>
      </c>
      <c r="W8" s="30" t="inlineStr">
        <is>
          <t>1</t>
        </is>
      </c>
    </row>
    <row r="9" ht="67.5" customHeight="1" s="59">
      <c r="B9" s="33" t="inlineStr">
        <is>
          <t>221011</t>
        </is>
      </c>
      <c r="C9" s="30" t="inlineStr">
        <is>
          <t>琉璃金风玉露</t>
        </is>
      </c>
      <c r="D9" s="30" t="inlineStr">
        <is>
          <t>吃点叶子</t>
        </is>
      </c>
      <c r="G9" s="30" t="inlineStr">
        <is>
          <t>Effect_jinFengYuLu</t>
        </is>
      </c>
      <c r="H9" s="30" t="inlineStr">
        <is>
          <t>0.2</t>
        </is>
      </c>
      <c r="I9" s="30" t="inlineStr">
        <is>
          <t>2</t>
        </is>
      </c>
      <c r="J9" s="33" t="inlineStr">
        <is>
          <t>1.2|1.4|1.6|1.8|1.9</t>
        </is>
      </c>
      <c r="K9" s="33" t="inlineStr">
        <is>
          <t>10|12|14|14|14</t>
        </is>
      </c>
      <c r="L9" s="31" t="inlineStr">
        <is>
          <t>img_jieng2</t>
        </is>
      </c>
      <c r="O9" s="30" t="inlineStr">
        <is>
          <t>30</t>
        </is>
      </c>
      <c r="P9" s="33" t="inlineStr">
        <is>
          <t>一段伤害：30%\n二段伤害:30%\n三段伤害:30%\n四段伤害：30%\n五段伤害:30%|一段伤害：35%\n二段伤害:35%\n三段伤害:35%\n四段伤害：35%\n五段伤害:35%|一段伤害：40%\n二段伤害:40%\n三段伤害:40%\n四段伤害：40%\n五段伤害:40%|一段伤害：45%\n二段伤害:45%\n三段伤害:45%\n四段伤害：45%\n五段伤害:45%|一段伤害：50%\n二段伤害:50%\n三段伤害:50%\n四段伤害：50%\n五段伤害:50%|一段伤害：55%\n二段伤害:55%\n三段伤害:55%\n四段伤害：55%\n五段伤害:55%</t>
        </is>
      </c>
      <c r="U9" s="30" t="inlineStr">
        <is>
          <t>1</t>
        </is>
      </c>
      <c r="W9" s="30" t="inlineStr">
        <is>
          <t>1</t>
        </is>
      </c>
    </row>
    <row r="10" ht="54" customHeight="1" s="59">
      <c r="B10" s="33" t="inlineStr">
        <is>
          <t>222010</t>
        </is>
      </c>
      <c r="C10" s="33" t="inlineStr">
        <is>
          <t>青铜剑普攻</t>
        </is>
      </c>
      <c r="D10" s="33" t="inlineStr">
        <is>
          <t>青铜剑普攻</t>
        </is>
      </c>
      <c r="E10" s="33" t="n"/>
      <c r="F10" s="33" t="n"/>
      <c r="G10" s="33" t="inlineStr">
        <is>
          <t>SkillEffect_SwordAttack</t>
        </is>
      </c>
      <c r="H10" s="33" t="inlineStr">
        <is>
          <t>0.5</t>
        </is>
      </c>
      <c r="I10" s="33" t="inlineStr">
        <is>
          <t>0.5</t>
        </is>
      </c>
      <c r="J10" s="33" t="inlineStr">
        <is>
          <t>0</t>
        </is>
      </c>
      <c r="K10" s="33" t="inlineStr">
        <is>
          <t>30</t>
        </is>
      </c>
      <c r="L10" s="31" t="inlineStr">
        <is>
          <t>img_jineng1</t>
        </is>
      </c>
      <c r="M10" s="30" t="inlineStr">
        <is>
          <t>0</t>
        </is>
      </c>
      <c r="N10" s="30" t="inlineStr">
        <is>
          <t>20</t>
        </is>
      </c>
      <c r="P10" s="33" t="inlineStr">
        <is>
          <t>伤害：60%|伤害：65%|伤害：70%|伤害：75%|伤害：80%|伤害：85%</t>
        </is>
      </c>
      <c r="U10" s="30" t="inlineStr">
        <is>
          <t>1</t>
        </is>
      </c>
      <c r="W10" s="30" t="inlineStr">
        <is>
          <t>1</t>
        </is>
      </c>
    </row>
    <row r="11" ht="63.75" customHeight="1" s="59">
      <c r="B11" s="33" t="inlineStr">
        <is>
          <t>222011</t>
        </is>
      </c>
      <c r="C11" s="33" t="inlineStr">
        <is>
          <t>青铜月耀八荒</t>
        </is>
      </c>
      <c r="D11" s="33" t="inlineStr">
        <is>
          <t>装逼利器</t>
        </is>
      </c>
      <c r="E11" s="33" t="n"/>
      <c r="F11" s="33" t="n"/>
      <c r="G11" s="33" t="inlineStr">
        <is>
          <t>jiuShuiLianDaZhao</t>
        </is>
      </c>
      <c r="H11" s="33" t="inlineStr">
        <is>
          <t>0.5</t>
        </is>
      </c>
      <c r="I11" s="33" t="n">
        <v>3.3</v>
      </c>
      <c r="J11" s="33" t="inlineStr">
        <is>
          <t>0.08|0.38|0.72|2.06|2.24|2.26</t>
        </is>
      </c>
      <c r="K11" s="33" t="inlineStr">
        <is>
          <t>10|12|14|20|30|40</t>
        </is>
      </c>
      <c r="L11" s="31" t="inlineStr">
        <is>
          <t>img_jieng2</t>
        </is>
      </c>
      <c r="O11" s="30" t="inlineStr">
        <is>
          <t>30</t>
        </is>
      </c>
      <c r="P11" s="33" t="inlineStr">
        <is>
          <t>一段伤害：30%\n二段伤害:30%\n三段伤害:30%\n四段伤害：60%\n五段伤害:60%\n六段伤害:60%|一段伤害：35%\n二段伤害:35%\n三段伤害:35%\n四段伤害：65%\n五段伤害:65%\n六段伤害:65%|一段伤害：40%\n二段伤害:40%\n三段伤害:40%\n四段伤害：70%\n五段伤害:70%\n六段伤害:70%|一段伤害：45%\n二段伤害:45%\n三段伤害:45%\n四段伤害：75%\n五段伤害:75%\n六段伤害:75%|一段伤害：50%\n二段伤害:50%\n三段伤害:50%\n四段伤害：80%\n五段伤害:80%\n六段伤害:80%|一段伤害：55%\n二段伤害:55%\n三段伤害:55%\n四段伤害：85%\n五段伤害:85%\n六段伤害:85%</t>
        </is>
      </c>
      <c r="U11" s="30" t="inlineStr">
        <is>
          <t>1</t>
        </is>
      </c>
      <c r="W11" s="30" t="inlineStr">
        <is>
          <t>1</t>
        </is>
      </c>
    </row>
    <row r="12" ht="54" customHeight="1" s="59">
      <c r="B12" s="33" t="inlineStr">
        <is>
          <t>231010</t>
        </is>
      </c>
      <c r="C12" s="30" t="inlineStr">
        <is>
          <t>玉光弹</t>
        </is>
      </c>
      <c r="D12" s="30" t="inlineStr">
        <is>
          <t>冲击波</t>
        </is>
      </c>
      <c r="E12" s="30" t="n"/>
      <c r="G12" s="30" t="inlineStr">
        <is>
          <t>RingAttack</t>
        </is>
      </c>
      <c r="H12" s="30" t="inlineStr">
        <is>
          <t>0.2</t>
        </is>
      </c>
      <c r="I12" s="30" t="inlineStr">
        <is>
          <t>0.7</t>
        </is>
      </c>
      <c r="J12" s="30" t="inlineStr">
        <is>
          <t>0.28</t>
        </is>
      </c>
      <c r="K12" s="30" t="inlineStr">
        <is>
          <t>20</t>
        </is>
      </c>
      <c r="L12" s="31" t="inlineStr">
        <is>
          <t>img_jineng1</t>
        </is>
      </c>
      <c r="M12" s="30" t="inlineStr">
        <is>
          <t>0.28</t>
        </is>
      </c>
      <c r="N12" s="30" t="inlineStr">
        <is>
          <t>20</t>
        </is>
      </c>
      <c r="P12" s="33" t="inlineStr">
        <is>
          <t>伤害：50%|伤害：55%|伤害：60%|伤害：65%|伤害：70%|伤害：75%</t>
        </is>
      </c>
      <c r="U12" s="30" t="inlineStr">
        <is>
          <t>1</t>
        </is>
      </c>
      <c r="W12" s="30" t="inlineStr">
        <is>
          <t>1</t>
        </is>
      </c>
    </row>
    <row r="13" ht="63.75" customHeight="1" s="59">
      <c r="B13" s="33" t="inlineStr">
        <is>
          <t>231011</t>
        </is>
      </c>
      <c r="C13" s="30" t="inlineStr">
        <is>
          <t>玉金风玉露</t>
        </is>
      </c>
      <c r="D13" s="30" t="inlineStr">
        <is>
          <t>吃点叶子</t>
        </is>
      </c>
      <c r="G13" s="30" t="inlineStr">
        <is>
          <t>Effect_jinFengYuLu</t>
        </is>
      </c>
      <c r="H13" s="30" t="inlineStr">
        <is>
          <t>0.2</t>
        </is>
      </c>
      <c r="I13" s="30" t="inlineStr">
        <is>
          <t>2</t>
        </is>
      </c>
      <c r="J13" s="33" t="inlineStr">
        <is>
          <t>1.2|1.4|1.6|1.8|1.9</t>
        </is>
      </c>
      <c r="K13" s="33" t="inlineStr">
        <is>
          <t>10|12|14|14|14</t>
        </is>
      </c>
      <c r="L13" s="31" t="inlineStr">
        <is>
          <t>img_jieng2</t>
        </is>
      </c>
      <c r="N13" s="30" t="n"/>
      <c r="O13" s="30" t="inlineStr">
        <is>
          <t>30</t>
        </is>
      </c>
      <c r="P13" s="33" t="inlineStr">
        <is>
          <t>一段伤害：30%\n二段伤害:30%\n三段伤害:30%\n四段伤害：30%\n五段伤害:30%|一段伤害：35%\n二段伤害:35%\n三段伤害:35%\n四段伤害：35%\n五段伤害:35%|一段伤害：40%\n二段伤害:40%\n三段伤害:40%\n四段伤害：40%\n五段伤害:40%|一段伤害：45%\n二段伤害:45%\n三段伤害:45%\n四段伤害：45%\n五段伤害:45%|一段伤害：50%\n二段伤害:50%\n三段伤害:50%\n四段伤害：50%\n五段伤害:50%|一段伤害：55%\n二段伤害:55%\n三段伤害:55%\n四段伤害：55%\n五段伤害:55%</t>
        </is>
      </c>
      <c r="U13" s="30" t="inlineStr">
        <is>
          <t>1</t>
        </is>
      </c>
      <c r="W13" s="30" t="inlineStr">
        <is>
          <t>1</t>
        </is>
      </c>
    </row>
    <row r="14" ht="39" customHeight="1" s="59">
      <c r="B14" s="33" t="inlineStr">
        <is>
          <t>232010</t>
        </is>
      </c>
      <c r="C14" s="33" t="inlineStr">
        <is>
          <t>龙泉剑普攻</t>
        </is>
      </c>
      <c r="D14" s="33" t="inlineStr">
        <is>
          <t>青铜剑普攻</t>
        </is>
      </c>
      <c r="E14" s="33" t="n"/>
      <c r="F14" s="33" t="n"/>
      <c r="G14" s="33" t="inlineStr">
        <is>
          <t>SkillEffect_SwordAttack</t>
        </is>
      </c>
      <c r="H14" s="33" t="inlineStr">
        <is>
          <t>0.5</t>
        </is>
      </c>
      <c r="I14" s="33" t="inlineStr">
        <is>
          <t>0.5</t>
        </is>
      </c>
      <c r="J14" s="33" t="inlineStr">
        <is>
          <t>0</t>
        </is>
      </c>
      <c r="K14" s="33" t="inlineStr">
        <is>
          <t>30</t>
        </is>
      </c>
      <c r="L14" s="31" t="inlineStr">
        <is>
          <t>img_jineng1</t>
        </is>
      </c>
      <c r="M14" s="30" t="inlineStr">
        <is>
          <t>0</t>
        </is>
      </c>
      <c r="N14" s="30" t="inlineStr">
        <is>
          <t>20</t>
        </is>
      </c>
      <c r="P14" s="33" t="inlineStr">
        <is>
          <t>伤害：60%|伤害：65%|伤害：70%|伤害：75%|伤害：80%|伤害：85%</t>
        </is>
      </c>
      <c r="U14" s="30" t="inlineStr">
        <is>
          <t>1</t>
        </is>
      </c>
      <c r="W14" s="30" t="inlineStr">
        <is>
          <t>1</t>
        </is>
      </c>
    </row>
    <row r="15" ht="29.25" customHeight="1" s="59">
      <c r="B15" s="33" t="inlineStr">
        <is>
          <t>232011</t>
        </is>
      </c>
      <c r="C15" s="33" t="inlineStr">
        <is>
          <t>龙泉剑月耀八荒</t>
        </is>
      </c>
      <c r="D15" s="33" t="inlineStr">
        <is>
          <t>装逼利器</t>
        </is>
      </c>
      <c r="E15" s="33" t="n"/>
      <c r="F15" s="33" t="n"/>
      <c r="G15" s="33" t="inlineStr">
        <is>
          <t>jiuShuiLianDaZhao</t>
        </is>
      </c>
      <c r="H15" s="33" t="inlineStr">
        <is>
          <t>0.5</t>
        </is>
      </c>
      <c r="I15" s="33" t="n">
        <v>3.3</v>
      </c>
      <c r="J15" s="33" t="inlineStr">
        <is>
          <t>0.08|0.38|0.72|2.06|2.24|2.26</t>
        </is>
      </c>
      <c r="K15" s="33" t="inlineStr">
        <is>
          <t>10|12|14|20|30|40</t>
        </is>
      </c>
      <c r="L15" s="31" t="inlineStr">
        <is>
          <t>img_jieng2</t>
        </is>
      </c>
      <c r="O15" s="30" t="inlineStr">
        <is>
          <t>30</t>
        </is>
      </c>
      <c r="P15" s="33" t="inlineStr">
        <is>
          <t>一段伤害：30%\n二段伤害:30%\n三段伤害:30%\n四段伤害：60%\n五段伤害:60%\n六段伤害:60%|一段伤害：35%\n二段伤害:35%\n三段伤害:35%\n四段伤害：65%\n五段伤害:65%\n六段伤害:65%|一段伤害：40%\n二段伤害:40%\n三段伤害:40%\n四段伤害：70%\n五段伤害:70%\n六段伤害:70%|一段伤害：45%\n二段伤害:45%\n三段伤害:45%\n四段伤害：75%\n五段伤害:75%\n六段伤害:75%|一段伤害：50%\n二段伤害:50%\n三段伤害:50%\n四段伤害：80%\n五段伤害:80%\n六段伤害:80%|一段伤害：55%\n二段伤害:55%\n三段伤害:55%\n四段伤害：85%\n五段伤害:85%\n六段伤害:85%</t>
        </is>
      </c>
      <c r="U15" s="30" t="inlineStr">
        <is>
          <t>1</t>
        </is>
      </c>
      <c r="W15" s="30" t="inlineStr">
        <is>
          <t>1</t>
        </is>
      </c>
    </row>
    <row r="16" ht="15.75" customHeight="1" s="59">
      <c r="B16" s="30" t="inlineStr">
        <is>
          <t>141001</t>
        </is>
      </c>
      <c r="C16" s="34" t="inlineStr">
        <is>
          <t>九天玄雷决</t>
        </is>
      </c>
      <c r="D16" s="52" t="inlineStr">
        <is>
          <t>九天玄雷，凝神一击</t>
        </is>
      </c>
      <c r="E16" s="52" t="n"/>
      <c r="G16" s="30" t="inlineStr">
        <is>
          <t>skill_ljiutianxuanleijie</t>
        </is>
      </c>
      <c r="H16" s="30" t="inlineStr">
        <is>
          <t>0.2</t>
        </is>
      </c>
      <c r="I16" s="30" t="inlineStr">
        <is>
          <t>2</t>
        </is>
      </c>
      <c r="J16" s="36" t="inlineStr">
        <is>
          <t>0.97|1.16|1.2|1.24|1.28|1.34|1.38|1.42</t>
        </is>
      </c>
      <c r="K16" s="33" t="inlineStr">
        <is>
          <t>30|12|14|14|14|14|14|14</t>
        </is>
      </c>
      <c r="L16" s="31" t="inlineStr">
        <is>
          <t>img_jineng_jiutianxuanliejie</t>
        </is>
      </c>
      <c r="O16" s="30" t="inlineStr">
        <is>
          <t>30</t>
        </is>
      </c>
      <c r="P16" s="33" t="inlineStr">
        <is>
          <t>1段伤害:0\n2段伤害:0\n3段伤害:0\n4段伤害:0\n5段伤害:0$1段伤害:5\n2段伤害:5\n3段伤害:5\n4段伤害:5\n5段伤害:5$1段伤害:10\n2段伤害:10\n3段伤害:10\n4段伤害:10\n5段伤害:10$1段伤害:15\n2段伤害:15\n3段伤害:15\n4段伤害:15\n5段伤害:15$1段伤害:20\n2段伤害:20\n3段伤害:20\n4段伤害:20\n5段伤害:20$1段伤害:25\n2段伤害:25\n3段伤害:25\n4段伤害:25\n5段伤害:25$1段伤害:30\n2段伤害:30\n3段伤害:30\n4段伤害:30\n5段伤害:30$1段伤害:35\n2段伤害:35\n3段伤害:35\n4段伤害:35\n5段伤害:35$1段伤害:40\n2段伤害:40\n3段伤害:40\n4段伤害:40\n5段伤害:40$1段伤害:45\n2段伤害:45\n3段伤害:45\n4段伤害:45\n5段伤害:45$1段伤害:50\n2段伤害:50\n3段伤害:50\n4段伤害:50\n5段伤害:50$1段伤害:55\n2段伤害:55\n3段伤害:55\n4段伤害:55\n5段伤害:55$1段伤害:60\n2段伤害:60\n3段伤害:60\n4段伤害:60\n5段伤害:60$1段伤害:65\n2段伤害:65\n3段伤害:65\n4段伤害:65\n5段伤害:65$1段伤害:70\n2段伤害:70\n3段伤害:70\n4段伤害:70\n5段伤害:70$1段伤害:75\n2段伤害:75\n3段伤害:75\n4段伤害:75\n5段伤害:75$1段伤害:80\n2段伤害:80\n3段伤害:80\n4段伤害:80\n5段伤害:80$1段伤害:85\n2段伤害:85\n3段伤害:85\n4段伤害:85\n5段伤害:85$1段伤害:90\n2段伤害:90\n3段伤害:90\n4段伤害:90\n5段伤害:90$1段伤害:95\n2段伤害:95\n3段伤害:95\n4段伤害:95\n5段伤害:95$1段伤害:100\n2段伤害:100\n3段伤害:100\n4段伤害:100\n5段伤害:100$1段伤害:105\n2段伤害:105\n3段伤害:105\n4段伤害:105\n5段伤害:105$1段伤害:110\n2段伤害:110\n3段伤害:110\n4段伤害:110\n5段伤害:110$1段伤害:115\n2段伤害:115\n3段伤害:115\n4段伤害:115\n5段伤害:115$1段伤害:120\n2段伤害:120\n3段伤害:120\n4段伤害:120\n5段伤害:120$1段伤害:125\n2段伤害:125\n3段伤害:125\n4段伤害:125\n5段伤害:125$1段伤害:130\n2段伤害:130\n3段伤害:130\n4段伤害:130\n5段伤害:130$1段伤害:135\n2段伤害:135\n3段伤害:135\n4段伤害:135\n5段伤害:135$1段伤害:140\n2段伤害:140\n3段伤害:140\n4段伤害:140\n5段伤害:140$1段伤害:145\n2段伤害:145\n3段伤害:145\n4段伤害:145\n5段伤害:145$1段伤害:150\n2段伤害:150\n3段伤害:150\n4段伤害:150\n5段伤害:150$1段伤害:155\n2段伤害:155\n3段伤害:155\n4段伤害:155\n5段伤害:155$1段伤害:160\n2段伤害:160\n3段伤害:160\n4段伤害:160\n5段伤害:160$1段伤害:165\n2段伤害:165\n3段伤害:165\n4段伤害:165\n5段伤害:165$1段伤害:170\n2段伤害:170\n3段伤害:170\n4段伤害:170\n5段伤害:170$1段伤害:175\n2段伤害:175\n3段伤害:175\n4段伤害:175\n5段伤害:175$1段伤害:180\n2段伤害:180\n3段伤害:180\n4段伤害:180\n5段伤害:180$1段伤害:185\n2段伤害:185\n3段伤害:185\n4段伤害:185\n5段伤害:185$1段伤害:190\n2段伤害:190\n3段伤害:190\n4段伤害:190\n5段伤害:190$1段伤害:195\n2段伤害:195\n3段伤害:195\n4段伤害:195\n5段伤害:195$1段伤害:200\n2段伤害:200\n3段伤害:200\n4段伤害:200\n5段伤害:200$1段伤害:205\n2段伤害:205\n3段伤害:205\n4段伤害:205\n5段伤害:205$1段伤害:210\n2段伤害:210\n3段伤害:210\n4段伤害:210\n5段伤害:210$1段伤害:215\n2段伤害:215\n3段伤害:215\n4段伤害:215\n5段伤害:215$1段伤害:220\n2段伤害:220\n3段伤害:220\n4段伤害:220\n5段伤害:220$1段伤害:225\n2段伤害:225\n3段伤害:225\n4段伤害:225\n5段伤害:225$1段伤害:230\n2段伤害:230\n3段伤害:230\n4段伤害:230\n5段伤害:230$1段伤害:235\n2段伤害:235\n3段伤害:235\n4段伤害:235\n5段伤害:235$1段伤害:240\n2段伤害:240\n3段伤害:240\n4段伤害:240\n5段伤害:240$1段伤害:245\n2段伤害:245\n3段伤害:245\n4段伤害:245\n5段伤害:245</t>
        </is>
      </c>
      <c r="Q16" s="30" t="inlineStr">
        <is>
          <t>0|1|2|3|4|5</t>
        </is>
      </c>
      <c r="U16" s="30" t="inlineStr">
        <is>
          <t>1</t>
        </is>
      </c>
      <c r="V16" s="36" t="inlineStr">
        <is>
          <t>jiutianxuanleijueStart|lightning_bolt|lightning_bolt|lightning_bolt|lightning_bolt|lightning_bolt|lightning_bolt|lightning_bolt</t>
        </is>
      </c>
      <c r="W16" s="30" t="inlineStr">
        <is>
          <t>1</t>
        </is>
      </c>
      <c r="X16" s="52" t="inlineStr">
        <is>
          <t>4</t>
        </is>
      </c>
      <c r="Y16" s="30" t="inlineStr">
        <is>
          <t>3</t>
        </is>
      </c>
      <c r="Z16" s="52" t="inlineStr">
        <is>
          <t>1</t>
        </is>
      </c>
    </row>
    <row r="17" ht="30.75" customHeight="1" s="59">
      <c r="B17" s="36" t="inlineStr">
        <is>
          <t>213001</t>
        </is>
      </c>
      <c r="C17" s="37" t="inlineStr">
        <is>
          <t>天罡镇压</t>
        </is>
      </c>
      <c r="D17" s="36" t="inlineStr">
        <is>
          <t>一道金色椭圆阵法击向敌方，造成一段伤害，并对敌方造成【失神】状态</t>
        </is>
      </c>
      <c r="E17" s="36" t="n"/>
      <c r="G17" s="30" t="inlineStr">
        <is>
          <t>baiming_tiangangzhengya</t>
        </is>
      </c>
      <c r="H17" s="30" t="inlineStr">
        <is>
          <t>0.2</t>
        </is>
      </c>
      <c r="I17" s="30" t="inlineStr">
        <is>
          <t>1.29</t>
        </is>
      </c>
      <c r="J17" s="30" t="inlineStr">
        <is>
          <t>0.9</t>
        </is>
      </c>
      <c r="K17" s="30" t="inlineStr">
        <is>
          <t>20</t>
        </is>
      </c>
      <c r="L17" s="31" t="inlineStr">
        <is>
          <t>img_jineng_tiangangzhengya</t>
        </is>
      </c>
      <c r="M17" s="30" t="n"/>
      <c r="N17" s="30" t="n"/>
      <c r="P17" s="33" t="inlineStr">
        <is>
          <t>伤害：50%|伤害：55%|伤害：60%|伤害：65%|伤害：70%|伤害：75%</t>
        </is>
      </c>
      <c r="Q17" s="30" t="inlineStr">
        <is>
          <t>0|1|2|3|4|5</t>
        </is>
      </c>
      <c r="R17" s="50" t="inlineStr">
        <is>
          <t>10052</t>
        </is>
      </c>
      <c r="S17" s="52" t="inlineStr">
        <is>
          <t>1</t>
        </is>
      </c>
      <c r="T17" s="52" t="n"/>
      <c r="U17" s="52" t="inlineStr">
        <is>
          <t>1</t>
        </is>
      </c>
      <c r="W17" s="30" t="inlineStr">
        <is>
          <t>1</t>
        </is>
      </c>
      <c r="X17" s="52" t="inlineStr">
        <is>
          <t>4</t>
        </is>
      </c>
      <c r="Y17" s="52" t="inlineStr">
        <is>
          <t>5</t>
        </is>
      </c>
      <c r="Z17" s="52" t="inlineStr">
        <is>
          <t>1</t>
        </is>
      </c>
    </row>
    <row r="18">
      <c r="B18" s="42" t="inlineStr">
        <is>
          <t>660001</t>
        </is>
      </c>
      <c r="C18" s="47" t="inlineStr">
        <is>
          <t>莲台守身诀</t>
        </is>
      </c>
      <c r="D18" s="52" t="inlineStr">
        <is>
          <t>形成一个减伤150%的护盾</t>
        </is>
      </c>
      <c r="E18" s="52" t="n"/>
      <c r="G18" s="30" t="inlineStr">
        <is>
          <t>skill_liantaishoushenjie</t>
        </is>
      </c>
      <c r="H18" s="30" t="inlineStr">
        <is>
          <t>0.2</t>
        </is>
      </c>
      <c r="I18" s="52" t="inlineStr">
        <is>
          <t>2</t>
        </is>
      </c>
      <c r="J18" s="30" t="inlineStr">
        <is>
          <t>0</t>
        </is>
      </c>
      <c r="K18" s="30" t="inlineStr">
        <is>
          <t>0</t>
        </is>
      </c>
      <c r="L18" s="31" t="inlineStr">
        <is>
          <t>img_jineng_liantaishoushenjue</t>
        </is>
      </c>
      <c r="Q18" s="30" t="inlineStr">
        <is>
          <t>5|4|3|2|1|0</t>
        </is>
      </c>
      <c r="R18" s="42" t="n">
        <v>10001</v>
      </c>
      <c r="S18" s="30" t="inlineStr">
        <is>
          <t>1</t>
        </is>
      </c>
      <c r="T18" s="30" t="n"/>
      <c r="U18" s="30" t="inlineStr">
        <is>
          <t>6</t>
        </is>
      </c>
      <c r="X18" s="52" t="inlineStr">
        <is>
          <t>4</t>
        </is>
      </c>
      <c r="Y18" s="52" t="inlineStr">
        <is>
          <t>5</t>
        </is>
      </c>
      <c r="Z18" s="52" t="inlineStr">
        <is>
          <t>1</t>
        </is>
      </c>
    </row>
    <row r="19" ht="34.5" customHeight="1" s="59">
      <c r="B19" s="30" t="inlineStr">
        <is>
          <t>110001</t>
        </is>
      </c>
      <c r="C19" s="40" t="inlineStr">
        <is>
          <t>火焰爆轰</t>
        </is>
      </c>
      <c r="D19" s="41" t="inlineStr">
        <is>
          <t xml:space="preserve">召唤红色火球，从头顶击下，对方身上每有一层灼烧状态，暴击率提升10% </t>
        </is>
      </c>
      <c r="E19" s="41" t="n"/>
      <c r="G19" s="30" t="inlineStr">
        <is>
          <t>yanhuo_firebaolei</t>
        </is>
      </c>
      <c r="H19" s="52" t="inlineStr">
        <is>
          <t>0.8</t>
        </is>
      </c>
      <c r="I19" s="52" t="inlineStr">
        <is>
          <t>1</t>
        </is>
      </c>
      <c r="J19" s="52" t="inlineStr">
        <is>
          <t>0.2|0.40|0.42</t>
        </is>
      </c>
      <c r="K19" s="30" t="inlineStr">
        <is>
          <t>10|10|10</t>
        </is>
      </c>
      <c r="L19" s="31" t="inlineStr">
        <is>
          <t>img_jineng_huoyanbaohong</t>
        </is>
      </c>
      <c r="Q19" s="30" t="inlineStr">
        <is>
          <t>0|1|2|3|4|5</t>
        </is>
      </c>
      <c r="U19" s="30" t="inlineStr">
        <is>
          <t>1</t>
        </is>
      </c>
      <c r="W19" s="30" t="inlineStr">
        <is>
          <t>1</t>
        </is>
      </c>
      <c r="X19" s="52" t="inlineStr">
        <is>
          <t>4</t>
        </is>
      </c>
      <c r="Y19" s="52" t="inlineStr">
        <is>
          <t>2</t>
        </is>
      </c>
      <c r="Z19" s="52" t="inlineStr">
        <is>
          <t>1</t>
        </is>
      </c>
    </row>
    <row r="20">
      <c r="B20" s="30" t="inlineStr">
        <is>
          <t>2</t>
        </is>
      </c>
      <c r="C20" s="30" t="inlineStr">
        <is>
          <t>季狸普攻</t>
        </is>
      </c>
      <c r="D20" s="30" t="inlineStr">
        <is>
          <t>狸猫人的阴招</t>
        </is>
      </c>
      <c r="E20" s="52" t="inlineStr">
        <is>
          <t>1</t>
        </is>
      </c>
      <c r="G20" s="30" t="inlineStr">
        <is>
          <t>jili_pugong</t>
        </is>
      </c>
      <c r="H20" s="30" t="inlineStr">
        <is>
          <t>0.2</t>
        </is>
      </c>
      <c r="I20" s="52" t="inlineStr">
        <is>
          <t>0.7</t>
        </is>
      </c>
      <c r="J20" s="30" t="inlineStr">
        <is>
          <t>0.1</t>
        </is>
      </c>
      <c r="K20" s="30" t="inlineStr">
        <is>
          <t>15</t>
        </is>
      </c>
      <c r="L20" s="31" t="inlineStr">
        <is>
          <t>img_jieng2</t>
        </is>
      </c>
      <c r="M20" s="30" t="inlineStr">
        <is>
          <t>0.1</t>
        </is>
      </c>
      <c r="N20" s="30" t="inlineStr">
        <is>
          <t>20</t>
        </is>
      </c>
      <c r="U20" s="30" t="inlineStr">
        <is>
          <t>0</t>
        </is>
      </c>
      <c r="W20" s="30" t="inlineStr">
        <is>
          <t>1</t>
        </is>
      </c>
      <c r="Y20" s="52" t="inlineStr">
        <is>
          <t>6</t>
        </is>
      </c>
    </row>
    <row r="21">
      <c r="B21" s="42" t="inlineStr">
        <is>
          <t>770001</t>
        </is>
      </c>
      <c r="C21" s="43" t="inlineStr">
        <is>
          <t>神念攻击</t>
        </is>
      </c>
      <c r="D21" s="36" t="inlineStr">
        <is>
          <t>打出一道缠绕黑光的细线击中对方，并施加状态【恶意】</t>
        </is>
      </c>
      <c r="E21" s="36" t="n"/>
      <c r="G21" s="30" t="inlineStr">
        <is>
          <t>jili_shenniangongji_ji</t>
        </is>
      </c>
      <c r="H21" s="52" t="inlineStr">
        <is>
          <t>0.8</t>
        </is>
      </c>
      <c r="I21" s="52" t="inlineStr">
        <is>
          <t>1.2</t>
        </is>
      </c>
      <c r="J21" s="30" t="inlineStr">
        <is>
          <t>0.25</t>
        </is>
      </c>
      <c r="K21" s="30" t="inlineStr">
        <is>
          <t>25</t>
        </is>
      </c>
      <c r="L21" s="31" t="inlineStr">
        <is>
          <t>img_jineng_shennianwuzhang</t>
        </is>
      </c>
      <c r="M21" s="30" t="n"/>
      <c r="N21" s="30" t="n"/>
      <c r="Q21" s="30" t="inlineStr">
        <is>
          <t>6|7|4|5|3|1</t>
        </is>
      </c>
      <c r="R21" s="30" t="inlineStr">
        <is>
          <t>10002</t>
        </is>
      </c>
      <c r="S21" s="30" t="inlineStr">
        <is>
          <t>1</t>
        </is>
      </c>
      <c r="T21" s="30" t="n"/>
      <c r="U21" s="30" t="inlineStr">
        <is>
          <t>7</t>
        </is>
      </c>
      <c r="W21" s="30" t="inlineStr">
        <is>
          <t>1</t>
        </is>
      </c>
      <c r="X21" s="52" t="inlineStr">
        <is>
          <t>4</t>
        </is>
      </c>
      <c r="Y21" s="52" t="inlineStr">
        <is>
          <t>6</t>
        </is>
      </c>
      <c r="Z21" s="52" t="inlineStr">
        <is>
          <t>1</t>
        </is>
      </c>
    </row>
    <row r="22">
      <c r="B22" s="30" t="inlineStr">
        <is>
          <t>110002</t>
        </is>
      </c>
      <c r="C22" s="34" t="inlineStr">
        <is>
          <t>雾瘴爆裂</t>
        </is>
      </c>
      <c r="D22" s="52" t="inlineStr">
        <is>
          <t>打出一团紫黑色雾气笼罩敌方，造成巨量伤害，并施加“封脉”状态</t>
        </is>
      </c>
      <c r="E22" s="52" t="n"/>
      <c r="G22" s="30" t="inlineStr">
        <is>
          <t>jili_mihuanwuzhang</t>
        </is>
      </c>
      <c r="H22" s="52" t="inlineStr">
        <is>
          <t>0.8</t>
        </is>
      </c>
      <c r="I22" s="52" t="inlineStr">
        <is>
          <t>1.2</t>
        </is>
      </c>
      <c r="J22" s="30" t="inlineStr">
        <is>
          <t>0.17</t>
        </is>
      </c>
      <c r="K22" s="30" t="inlineStr">
        <is>
          <t>40</t>
        </is>
      </c>
      <c r="L22" s="31" t="inlineStr">
        <is>
          <t>img_jineng_baoliewuzhang</t>
        </is>
      </c>
      <c r="Q22" s="30" t="inlineStr">
        <is>
          <t>0|1|2|3|4|5</t>
        </is>
      </c>
      <c r="R22" s="52" t="inlineStr">
        <is>
          <t>10017</t>
        </is>
      </c>
      <c r="S22" s="52" t="inlineStr">
        <is>
          <t>1</t>
        </is>
      </c>
      <c r="T22" s="52" t="n"/>
      <c r="U22" s="30" t="inlineStr">
        <is>
          <t>1</t>
        </is>
      </c>
      <c r="W22" s="30" t="inlineStr">
        <is>
          <t>1</t>
        </is>
      </c>
      <c r="X22" s="52" t="inlineStr">
        <is>
          <t>4</t>
        </is>
      </c>
      <c r="Y22" s="52" t="inlineStr">
        <is>
          <t>6</t>
        </is>
      </c>
      <c r="Z22" s="52" t="inlineStr">
        <is>
          <t>1</t>
        </is>
      </c>
    </row>
    <row r="23">
      <c r="B23" s="30" t="inlineStr">
        <is>
          <t>330001</t>
        </is>
      </c>
      <c r="C23" s="46" t="inlineStr">
        <is>
          <t>回愈净神诀</t>
        </is>
      </c>
      <c r="D23" s="45" t="inlineStr">
        <is>
          <t>回复部分血量，并驱散自身所有负面效果</t>
        </is>
      </c>
      <c r="E23" s="45" t="n"/>
      <c r="G23" s="30" t="inlineStr">
        <is>
          <t>skill_taishangjingshenjue</t>
        </is>
      </c>
      <c r="H23" s="30" t="inlineStr">
        <is>
          <t>0.2</t>
        </is>
      </c>
      <c r="I23" s="30" t="inlineStr">
        <is>
          <t>2</t>
        </is>
      </c>
      <c r="L23" s="31" t="inlineStr">
        <is>
          <t>img_jineng_huiyujingshenjue</t>
        </is>
      </c>
      <c r="Q23" s="30" t="inlineStr">
        <is>
          <t>2|1|3|5|4|7</t>
        </is>
      </c>
      <c r="U23" s="30" t="inlineStr">
        <is>
          <t>3</t>
        </is>
      </c>
      <c r="X23" s="52" t="inlineStr">
        <is>
          <t>4</t>
        </is>
      </c>
      <c r="Y23" s="52" t="inlineStr">
        <is>
          <t>5</t>
        </is>
      </c>
      <c r="Z23" s="52" t="inlineStr">
        <is>
          <t>1</t>
        </is>
      </c>
    </row>
    <row r="24">
      <c r="B24" s="52" t="inlineStr">
        <is>
          <t>110003</t>
        </is>
      </c>
      <c r="C24" s="46" t="inlineStr">
        <is>
          <t>水影分光</t>
        </is>
      </c>
      <c r="D24" s="52" t="inlineStr">
        <is>
          <t>打出一套连击，造成5段水属性伤害</t>
        </is>
      </c>
      <c r="E24" s="52" t="n"/>
      <c r="G24" s="30" t="inlineStr">
        <is>
          <t>jili_zhihuanguangshu_1</t>
        </is>
      </c>
      <c r="H24" s="52" t="inlineStr">
        <is>
          <t>0.8</t>
        </is>
      </c>
      <c r="I24" s="30" t="inlineStr">
        <is>
          <t>1</t>
        </is>
      </c>
      <c r="J24" s="30" t="inlineStr">
        <is>
          <t>0.4|0.52|0.6|0.68|0.77</t>
        </is>
      </c>
      <c r="K24" s="33" t="inlineStr">
        <is>
          <t>10|12|14|14|14</t>
        </is>
      </c>
      <c r="L24" s="31" t="inlineStr">
        <is>
          <t>img_jineng_jianyingfenshen</t>
        </is>
      </c>
      <c r="Q24" s="30" t="inlineStr">
        <is>
          <t>0|1|2|3|4|5</t>
        </is>
      </c>
      <c r="U24" s="30" t="inlineStr">
        <is>
          <t>1</t>
        </is>
      </c>
      <c r="W24" s="30" t="inlineStr">
        <is>
          <t>1</t>
        </is>
      </c>
      <c r="X24" s="52" t="inlineStr">
        <is>
          <t>4</t>
        </is>
      </c>
      <c r="Y24" s="52" t="inlineStr">
        <is>
          <t>1</t>
        </is>
      </c>
      <c r="Z24" s="52" t="inlineStr">
        <is>
          <t>1</t>
        </is>
      </c>
    </row>
    <row r="25" ht="54" customHeight="1" s="59">
      <c r="B25" s="30" t="inlineStr">
        <is>
          <t>110004</t>
        </is>
      </c>
      <c r="C25" s="47" t="inlineStr">
        <is>
          <t>鬼天陨掌</t>
        </is>
      </c>
      <c r="D25" s="52" t="inlineStr">
        <is>
          <t>打出一簇幽蓝鬼火，造成两段伤害，并施加“萎靡”状态</t>
        </is>
      </c>
      <c r="E25" s="52" t="n"/>
      <c r="G25" s="30" t="inlineStr">
        <is>
          <t>jili_guitianyunzhang</t>
        </is>
      </c>
      <c r="H25" s="52" t="inlineStr">
        <is>
          <t>1</t>
        </is>
      </c>
      <c r="I25" s="30" t="inlineStr">
        <is>
          <t>0.3</t>
        </is>
      </c>
      <c r="J25" s="30" t="inlineStr">
        <is>
          <t>0.16|0.18</t>
        </is>
      </c>
      <c r="K25" s="30" t="inlineStr">
        <is>
          <t>20|40</t>
        </is>
      </c>
      <c r="L25" s="31" t="inlineStr">
        <is>
          <t>img_jineng_guitianyunzhang</t>
        </is>
      </c>
      <c r="Q25" s="30" t="inlineStr">
        <is>
          <t>0|1|2|3|4|5</t>
        </is>
      </c>
      <c r="R25" s="52" t="inlineStr">
        <is>
          <t>10028</t>
        </is>
      </c>
      <c r="S25" s="52" t="inlineStr">
        <is>
          <t>1</t>
        </is>
      </c>
      <c r="T25" s="52" t="n"/>
      <c r="U25" s="30" t="inlineStr">
        <is>
          <t>1</t>
        </is>
      </c>
      <c r="W25" s="30" t="inlineStr">
        <is>
          <t>1</t>
        </is>
      </c>
      <c r="X25" s="52" t="inlineStr">
        <is>
          <t>4</t>
        </is>
      </c>
      <c r="Y25" s="52" t="inlineStr">
        <is>
          <t>6</t>
        </is>
      </c>
      <c r="Z25" s="52" t="inlineStr">
        <is>
          <t>1</t>
        </is>
      </c>
    </row>
    <row r="26">
      <c r="B26" s="30" t="inlineStr">
        <is>
          <t>440001</t>
        </is>
      </c>
      <c r="C26" s="34" t="inlineStr">
        <is>
          <t>冰凌反射</t>
        </is>
      </c>
      <c r="D26" s="52" t="inlineStr">
        <is>
          <t xml:space="preserve">  </t>
        </is>
      </c>
      <c r="E26" s="52" t="n"/>
      <c r="G26" s="30" t="inlineStr">
        <is>
          <t>tianbaohuajing</t>
        </is>
      </c>
      <c r="H26" s="52" t="inlineStr">
        <is>
          <t>0.8</t>
        </is>
      </c>
      <c r="I26" s="30" t="inlineStr">
        <is>
          <t>0.3</t>
        </is>
      </c>
      <c r="L26" s="31" t="inlineStr">
        <is>
          <t>img_jineng_tianbaohuajing</t>
        </is>
      </c>
      <c r="Q26" s="30" t="inlineStr">
        <is>
          <t>3|1|2|5|4|7</t>
        </is>
      </c>
      <c r="R26" s="30" t="inlineStr">
        <is>
          <t>10003</t>
        </is>
      </c>
      <c r="S26" s="30" t="inlineStr">
        <is>
          <t>1</t>
        </is>
      </c>
      <c r="T26" s="30" t="n"/>
      <c r="U26" s="30" t="inlineStr">
        <is>
          <t>4</t>
        </is>
      </c>
      <c r="X26" s="52" t="inlineStr">
        <is>
          <t>4</t>
        </is>
      </c>
      <c r="Y26" s="52" t="inlineStr">
        <is>
          <t>4</t>
        </is>
      </c>
    </row>
    <row r="27">
      <c r="B27" s="30" t="inlineStr">
        <is>
          <t>440002</t>
        </is>
      </c>
      <c r="C27" s="48" t="inlineStr">
        <is>
          <t>噬神守卫</t>
        </is>
      </c>
      <c r="D27" s="36" t="inlineStr">
        <is>
          <t>召唤5名幽魂，每个回合都射出5箭，每箭都造成一次普攻的伤害。</t>
        </is>
      </c>
      <c r="E27" s="36" t="n"/>
      <c r="G27" s="30" t="inlineStr">
        <is>
          <t>jili_shishenhuwei_11</t>
        </is>
      </c>
      <c r="H27" s="30" t="inlineStr">
        <is>
          <t>0.2</t>
        </is>
      </c>
      <c r="I27" s="30" t="inlineStr">
        <is>
          <t>1</t>
        </is>
      </c>
      <c r="L27" s="31" t="inlineStr">
        <is>
          <t>img_jineng_shennianwuzhang</t>
        </is>
      </c>
      <c r="M27" s="30" t="inlineStr">
        <is>
          <t>.5</t>
        </is>
      </c>
      <c r="N27" s="30" t="inlineStr">
        <is>
          <t>100</t>
        </is>
      </c>
      <c r="Q27" s="30" t="inlineStr">
        <is>
          <t>3|1|2|5|4|7</t>
        </is>
      </c>
      <c r="R27" s="30" t="inlineStr">
        <is>
          <t>10004</t>
        </is>
      </c>
      <c r="S27" s="30" t="inlineStr">
        <is>
          <t>1</t>
        </is>
      </c>
      <c r="T27" s="30" t="n"/>
      <c r="U27" s="30" t="inlineStr">
        <is>
          <t>0</t>
        </is>
      </c>
      <c r="W27" s="30" t="n"/>
      <c r="X27" s="30" t="inlineStr">
        <is>
          <t>99999</t>
        </is>
      </c>
      <c r="Y27" s="52" t="inlineStr">
        <is>
          <t>6</t>
        </is>
      </c>
    </row>
    <row r="28" ht="35.25" customHeight="1" s="59">
      <c r="B28" s="30" t="inlineStr">
        <is>
          <t>110005</t>
        </is>
      </c>
      <c r="C28" s="48" t="inlineStr">
        <is>
          <t>噬神守卫（攻击）</t>
        </is>
      </c>
      <c r="D28" s="30" t="inlineStr">
        <is>
          <t>守城箭卫兵，每个回合都射出五个光箭，每箭都造成一次普攻的伤害</t>
        </is>
      </c>
      <c r="E28" s="30" t="n"/>
      <c r="G28" s="30" t="inlineStr">
        <is>
          <t>jili_shishenhuwei_33</t>
        </is>
      </c>
      <c r="H28" s="30" t="inlineStr">
        <is>
          <t>0.2</t>
        </is>
      </c>
      <c r="I28" s="30" t="inlineStr">
        <is>
          <t>1.5</t>
        </is>
      </c>
      <c r="J28" s="30" t="inlineStr">
        <is>
          <t>0.3|0.53|0.77|0.98|1.22</t>
        </is>
      </c>
      <c r="K28" s="33" t="inlineStr">
        <is>
          <t>10|12|14|14|14</t>
        </is>
      </c>
      <c r="L28" s="31" t="inlineStr">
        <is>
          <t>img_jineng_shennianwuzhang</t>
        </is>
      </c>
      <c r="M28" s="30" t="inlineStr">
        <is>
          <t>0.3|0.53|0.77|0.98|1.22</t>
        </is>
      </c>
      <c r="N28" s="30" t="inlineStr">
        <is>
          <t>20|20|20|20|20</t>
        </is>
      </c>
      <c r="Q28" s="30" t="inlineStr">
        <is>
          <t>0|1|2|3|4|5</t>
        </is>
      </c>
      <c r="U28" s="30" t="inlineStr">
        <is>
          <t>0</t>
        </is>
      </c>
      <c r="W28" s="30" t="inlineStr">
        <is>
          <t>1</t>
        </is>
      </c>
      <c r="Y28" s="52" t="inlineStr">
        <is>
          <t>6</t>
        </is>
      </c>
    </row>
    <row r="29" ht="28.5" customHeight="1" s="59">
      <c r="B29" s="30" t="inlineStr">
        <is>
          <t>880001</t>
        </is>
      </c>
      <c r="C29" s="46" t="inlineStr">
        <is>
          <t>神识定身</t>
        </is>
      </c>
      <c r="D29" s="52" t="inlineStr">
        <is>
          <t>打出1道攻击，击中造成伤害，并施加“定身”状态，当对方抗性不大于20%时，定身必定成功</t>
        </is>
      </c>
      <c r="E29" s="52" t="n"/>
      <c r="G29" s="30" t="inlineStr">
        <is>
          <t>jili_shihaibaodong_1</t>
        </is>
      </c>
      <c r="H29" s="52" t="inlineStr">
        <is>
          <t>1</t>
        </is>
      </c>
      <c r="I29" s="30" t="inlineStr">
        <is>
          <t>0.84</t>
        </is>
      </c>
      <c r="J29" s="30" t="inlineStr">
        <is>
          <t>0.13</t>
        </is>
      </c>
      <c r="K29" s="30" t="inlineStr">
        <is>
          <t>35</t>
        </is>
      </c>
      <c r="L29" s="31" t="inlineStr">
        <is>
          <t>img_jineng_tianbaohuajing</t>
        </is>
      </c>
      <c r="Q29" s="30" t="inlineStr">
        <is>
          <t>7|4|5|3|1|2</t>
        </is>
      </c>
      <c r="R29" s="30" t="inlineStr">
        <is>
          <t>10005</t>
        </is>
      </c>
      <c r="S29" s="30" t="inlineStr">
        <is>
          <t>1</t>
        </is>
      </c>
      <c r="T29" s="30" t="n"/>
      <c r="U29" s="30" t="inlineStr">
        <is>
          <t>8</t>
        </is>
      </c>
      <c r="W29" s="30" t="inlineStr">
        <is>
          <t>1</t>
        </is>
      </c>
      <c r="X29" s="52" t="inlineStr">
        <is>
          <t>5</t>
        </is>
      </c>
      <c r="Y29" s="52" t="inlineStr">
        <is>
          <t>4</t>
        </is>
      </c>
      <c r="Z29" s="52" t="inlineStr">
        <is>
          <t>1</t>
        </is>
      </c>
    </row>
    <row r="30">
      <c r="B30" s="42" t="inlineStr">
        <is>
          <t>660002</t>
        </is>
      </c>
      <c r="C30" s="30" t="inlineStr">
        <is>
          <t>天音护盾</t>
        </is>
      </c>
      <c r="D30" s="36" t="inlineStr">
        <is>
          <t>周身出现一个防御护罩，如果在5个回合内无法打破，则恢复30%血，否则进入“易伤”状态，持续3回合</t>
        </is>
      </c>
      <c r="E30" s="36" t="n"/>
      <c r="G30" s="30" t="inlineStr">
        <is>
          <t>jili_tianyinhudun</t>
        </is>
      </c>
      <c r="H30" s="52" t="inlineStr">
        <is>
          <t>0.8</t>
        </is>
      </c>
      <c r="I30" s="30" t="inlineStr">
        <is>
          <t>0.3</t>
        </is>
      </c>
      <c r="L30" s="31" t="inlineStr">
        <is>
          <t>img_jineng_liantaishoushenjue</t>
        </is>
      </c>
      <c r="Q30" s="30" t="inlineStr">
        <is>
          <t>5|4|3|2|1|0</t>
        </is>
      </c>
      <c r="R30" s="30" t="inlineStr">
        <is>
          <t>10006</t>
        </is>
      </c>
      <c r="S30" s="30" t="inlineStr">
        <is>
          <t>1</t>
        </is>
      </c>
      <c r="T30" s="30" t="n"/>
      <c r="U30" s="30" t="inlineStr">
        <is>
          <t>6</t>
        </is>
      </c>
      <c r="X30" s="30" t="inlineStr">
        <is>
          <t>8</t>
        </is>
      </c>
      <c r="Y30" s="52" t="inlineStr">
        <is>
          <t>5</t>
        </is>
      </c>
    </row>
    <row r="31">
      <c r="B31" s="30" t="inlineStr">
        <is>
          <t>110006</t>
        </is>
      </c>
      <c r="C31" s="49" t="inlineStr">
        <is>
          <t>祭神怒吼</t>
        </is>
      </c>
      <c r="D31" s="50" t="inlineStr">
        <is>
          <t>玄狸燃烧灵魂，攻击力+400％的恐怖普攻，持续到死亡</t>
        </is>
      </c>
      <c r="E31" s="50" t="n"/>
      <c r="G31" s="30" t="inlineStr">
        <is>
          <t>baiming_tiangangzhengya</t>
        </is>
      </c>
      <c r="H31" s="30" t="inlineStr">
        <is>
          <t>0.2</t>
        </is>
      </c>
      <c r="I31" s="30" t="inlineStr">
        <is>
          <t>1.29</t>
        </is>
      </c>
      <c r="J31" s="30" t="inlineStr">
        <is>
          <t>0.9</t>
        </is>
      </c>
      <c r="K31" s="30" t="inlineStr">
        <is>
          <t>20</t>
        </is>
      </c>
      <c r="L31" s="31" t="inlineStr">
        <is>
          <t>img_jineng_shennianwuzhang</t>
        </is>
      </c>
      <c r="M31" s="30" t="inlineStr">
        <is>
          <t>0.9</t>
        </is>
      </c>
      <c r="N31" s="30" t="inlineStr">
        <is>
          <t>20</t>
        </is>
      </c>
      <c r="U31" s="30" t="inlineStr">
        <is>
          <t>1</t>
        </is>
      </c>
      <c r="W31" s="30" t="inlineStr">
        <is>
          <t>1</t>
        </is>
      </c>
      <c r="Y31" s="52" t="inlineStr">
        <is>
          <t>6</t>
        </is>
      </c>
    </row>
    <row r="32">
      <c r="B32" s="30" t="inlineStr">
        <is>
          <t>550001</t>
        </is>
      </c>
      <c r="C32" s="51" t="inlineStr">
        <is>
          <t>翩鸿灵动诀</t>
        </is>
      </c>
      <c r="D32" s="46" t="inlineStr">
        <is>
          <t>以降低攻击力为代价，将攻击速率加快，持续5个回合</t>
        </is>
      </c>
      <c r="E32" s="46" t="n"/>
      <c r="G32" s="30" t="inlineStr">
        <is>
          <t>skill_pianhonglingdongjue</t>
        </is>
      </c>
      <c r="H32" s="52" t="inlineStr">
        <is>
          <t>0.5</t>
        </is>
      </c>
      <c r="I32" s="52" t="inlineStr">
        <is>
          <t>1.2</t>
        </is>
      </c>
      <c r="L32" s="31" t="inlineStr">
        <is>
          <t>img_jineng_1</t>
        </is>
      </c>
      <c r="Q32" s="30" t="inlineStr">
        <is>
          <t>4|5|3|1|2|0</t>
        </is>
      </c>
      <c r="R32" s="30" t="inlineStr">
        <is>
          <t>10008</t>
        </is>
      </c>
      <c r="S32" s="30" t="inlineStr">
        <is>
          <t>1</t>
        </is>
      </c>
      <c r="T32" s="30" t="n"/>
      <c r="U32" s="30" t="inlineStr">
        <is>
          <t>5</t>
        </is>
      </c>
      <c r="W32" s="30" t="n"/>
      <c r="X32" s="30" t="inlineStr">
        <is>
          <t>10</t>
        </is>
      </c>
      <c r="Y32" s="52" t="inlineStr">
        <is>
          <t>5</t>
        </is>
      </c>
      <c r="Z32" s="52" t="inlineStr">
        <is>
          <t>1</t>
        </is>
      </c>
    </row>
    <row r="33" ht="54" customHeight="1" s="59">
      <c r="B33" s="30" t="inlineStr">
        <is>
          <t>440003</t>
        </is>
      </c>
      <c r="C33" s="52" t="inlineStr">
        <is>
          <t>蓝元增攻诀</t>
        </is>
      </c>
      <c r="D33" s="52" t="inlineStr">
        <is>
          <t>对自身施加“加攻”状态</t>
        </is>
      </c>
      <c r="E33" s="52" t="n"/>
      <c r="G33" s="30" t="inlineStr">
        <is>
          <t>skill_zhenyuanchiyangjue</t>
        </is>
      </c>
      <c r="H33" s="52" t="inlineStr">
        <is>
          <t>0.5</t>
        </is>
      </c>
      <c r="I33" s="30" t="inlineStr">
        <is>
          <t>1</t>
        </is>
      </c>
      <c r="L33" s="31" t="inlineStr">
        <is>
          <t>img_jineng_shishenshouwei</t>
        </is>
      </c>
      <c r="Q33" s="30" t="inlineStr">
        <is>
          <t>3|1|2|5|4|7</t>
        </is>
      </c>
      <c r="R33" s="30" t="inlineStr">
        <is>
          <t>10009</t>
        </is>
      </c>
      <c r="S33" s="30" t="inlineStr">
        <is>
          <t>1</t>
        </is>
      </c>
      <c r="T33" s="30" t="n"/>
      <c r="U33" s="30" t="inlineStr">
        <is>
          <t>4</t>
        </is>
      </c>
      <c r="X33" s="30" t="inlineStr">
        <is>
          <t>8</t>
        </is>
      </c>
      <c r="Y33" s="52" t="inlineStr">
        <is>
          <t>5</t>
        </is>
      </c>
      <c r="Z33" s="52" t="inlineStr">
        <is>
          <t>1</t>
        </is>
      </c>
    </row>
    <row r="34">
      <c r="B34" s="30" t="inlineStr">
        <is>
          <t>220001</t>
        </is>
      </c>
      <c r="C34" s="34" t="inlineStr">
        <is>
          <t>剑芒聚气决</t>
        </is>
      </c>
      <c r="D34" s="30" t="inlineStr">
        <is>
          <t>造成5段伤害，招式结束后回复自身真气</t>
        </is>
      </c>
      <c r="E34" s="30" t="n"/>
      <c r="G34" s="30" t="inlineStr">
        <is>
          <t>skill_sanhuajudingjue</t>
        </is>
      </c>
      <c r="H34" s="52" t="inlineStr">
        <is>
          <t>1</t>
        </is>
      </c>
      <c r="I34" s="30" t="inlineStr">
        <is>
          <t>0.84</t>
        </is>
      </c>
      <c r="J34" s="30" t="inlineStr">
        <is>
          <t>0.27|0.35|0.45|0.55|0.68</t>
        </is>
      </c>
      <c r="K34" s="36" t="inlineStr">
        <is>
          <t>10|12|14|14|14</t>
        </is>
      </c>
      <c r="L34" s="31" t="inlineStr">
        <is>
          <t>img_jineng_2</t>
        </is>
      </c>
      <c r="M34" s="30" t="n"/>
      <c r="Q34" s="30" t="inlineStr">
        <is>
          <t>1|3|5|4|7|6</t>
        </is>
      </c>
      <c r="U34" s="30" t="inlineStr">
        <is>
          <t>2</t>
        </is>
      </c>
      <c r="W34" s="30" t="inlineStr">
        <is>
          <t>1</t>
        </is>
      </c>
      <c r="X34" s="30" t="inlineStr">
        <is>
          <t>10</t>
        </is>
      </c>
      <c r="Y34" s="52" t="inlineStr">
        <is>
          <t>5</t>
        </is>
      </c>
      <c r="Z34" s="52" t="inlineStr">
        <is>
          <t>1</t>
        </is>
      </c>
    </row>
    <row r="35">
      <c r="B35" s="33" t="inlineStr">
        <is>
          <t>3</t>
        </is>
      </c>
      <c r="C35" s="30" t="inlineStr">
        <is>
          <t>沸血之矛</t>
        </is>
      </c>
      <c r="D35" s="52" t="inlineStr">
        <is>
          <t>攻击施加“灼烧”状态，最多叠加5层</t>
        </is>
      </c>
      <c r="E35" s="52" t="n"/>
      <c r="G35" s="30" t="inlineStr">
        <is>
          <t>yanhuo_huoyangongji</t>
        </is>
      </c>
      <c r="H35" s="30" t="inlineStr">
        <is>
          <t>0.2</t>
        </is>
      </c>
      <c r="I35" s="52" t="inlineStr">
        <is>
          <t>0.21</t>
        </is>
      </c>
      <c r="J35" s="52" t="inlineStr">
        <is>
          <t>0.16</t>
        </is>
      </c>
      <c r="K35" s="30" t="inlineStr">
        <is>
          <t>20</t>
        </is>
      </c>
      <c r="L35" s="31" t="inlineStr">
        <is>
          <t>img_jineng1</t>
        </is>
      </c>
      <c r="M35" s="52" t="inlineStr">
        <is>
          <t>0.16</t>
        </is>
      </c>
      <c r="N35" s="30" t="inlineStr">
        <is>
          <t>20</t>
        </is>
      </c>
      <c r="P35" s="33" t="inlineStr">
        <is>
          <t>伤害：50%|伤害：55%|伤害：60%|伤害：65%|伤害：70%|伤害：75%</t>
        </is>
      </c>
      <c r="R35" s="30" t="inlineStr">
        <is>
          <t>10010</t>
        </is>
      </c>
      <c r="S35" s="30" t="inlineStr">
        <is>
          <t>1</t>
        </is>
      </c>
      <c r="T35" s="30" t="n"/>
      <c r="U35" s="30" t="inlineStr">
        <is>
          <t>0</t>
        </is>
      </c>
      <c r="V35" s="30" t="inlineStr">
        <is>
          <t>etfx_explosion_plasma</t>
        </is>
      </c>
      <c r="W35" s="30" t="inlineStr">
        <is>
          <t>1</t>
        </is>
      </c>
      <c r="X35" s="52" t="inlineStr">
        <is>
          <t>4</t>
        </is>
      </c>
      <c r="Y35" s="52" t="inlineStr">
        <is>
          <t>2</t>
        </is>
      </c>
    </row>
    <row r="36">
      <c r="B36" s="30" t="inlineStr">
        <is>
          <t>110007</t>
        </is>
      </c>
      <c r="C36" s="52" t="inlineStr">
        <is>
          <t>烈火焚天</t>
        </is>
      </c>
      <c r="D36" s="52" t="inlineStr">
        <is>
          <t>召唤红色火球，从头顶击下，造成一片火海，并附加5层“灼烧”状态</t>
        </is>
      </c>
      <c r="E36" s="52" t="n"/>
      <c r="G36" s="30" t="inlineStr">
        <is>
          <t>yanhuo_firefengtian</t>
        </is>
      </c>
      <c r="H36" s="52" t="inlineStr">
        <is>
          <t>1</t>
        </is>
      </c>
      <c r="I36" s="30" t="inlineStr">
        <is>
          <t>1.5</t>
        </is>
      </c>
      <c r="J36" s="30" t="inlineStr">
        <is>
          <t>0.15</t>
        </is>
      </c>
      <c r="K36" s="30" t="inlineStr">
        <is>
          <t>10</t>
        </is>
      </c>
      <c r="L36" s="31" t="inlineStr">
        <is>
          <t>img_jineng_liehuofentian</t>
        </is>
      </c>
      <c r="Q36" s="30" t="inlineStr">
        <is>
          <t>0|1|2|3|4|5</t>
        </is>
      </c>
      <c r="R36" s="30" t="inlineStr">
        <is>
          <t>10010</t>
        </is>
      </c>
      <c r="S36" s="52" t="inlineStr">
        <is>
          <t>5</t>
        </is>
      </c>
      <c r="T36" s="52" t="n"/>
      <c r="U36" s="30" t="inlineStr">
        <is>
          <t>1</t>
        </is>
      </c>
      <c r="W36" s="30" t="inlineStr">
        <is>
          <t>1</t>
        </is>
      </c>
      <c r="X36" s="52" t="inlineStr">
        <is>
          <t>4</t>
        </is>
      </c>
      <c r="Y36" s="52" t="inlineStr">
        <is>
          <t>2</t>
        </is>
      </c>
      <c r="Z36" s="52" t="inlineStr">
        <is>
          <t>1</t>
        </is>
      </c>
    </row>
    <row r="37">
      <c r="B37" s="30" t="inlineStr">
        <is>
          <t>110008</t>
        </is>
      </c>
      <c r="C37" s="52" t="inlineStr">
        <is>
          <t>霜爆</t>
        </is>
      </c>
      <c r="D37" s="52" t="inlineStr">
        <is>
          <t>造成一次冰属性伤害，若敌人处于“潮湿”状态，则伤害提高30%</t>
        </is>
      </c>
      <c r="E37" s="52" t="n"/>
      <c r="G37" s="30" t="inlineStr">
        <is>
          <t>PS_IceAttack_TUT</t>
        </is>
      </c>
      <c r="H37" s="52" t="inlineStr">
        <is>
          <t>1</t>
        </is>
      </c>
      <c r="I37" s="52" t="inlineStr">
        <is>
          <t>1</t>
        </is>
      </c>
      <c r="J37" s="52" t="inlineStr">
        <is>
          <t>0.1</t>
        </is>
      </c>
      <c r="K37" s="52" t="inlineStr">
        <is>
          <t>10</t>
        </is>
      </c>
      <c r="L37" s="31" t="inlineStr">
        <is>
          <t>img_jineng1</t>
        </is>
      </c>
      <c r="M37" s="52" t="n"/>
      <c r="N37" s="52" t="n"/>
      <c r="Q37" s="30" t="inlineStr">
        <is>
          <t>0|1|2|3|4|5</t>
        </is>
      </c>
      <c r="S37" s="52" t="n"/>
      <c r="T37" s="52" t="n"/>
      <c r="U37" s="52" t="inlineStr">
        <is>
          <t>1</t>
        </is>
      </c>
      <c r="W37" s="52" t="inlineStr">
        <is>
          <t>1</t>
        </is>
      </c>
      <c r="X37" s="52" t="inlineStr">
        <is>
          <t>5</t>
        </is>
      </c>
      <c r="Y37" s="52" t="inlineStr">
        <is>
          <t>4</t>
        </is>
      </c>
      <c r="Z37" s="52" t="inlineStr">
        <is>
          <t>1</t>
        </is>
      </c>
    </row>
    <row r="38">
      <c r="B38" s="52" t="inlineStr">
        <is>
          <t>4</t>
        </is>
      </c>
      <c r="C38" s="52" t="inlineStr">
        <is>
          <t>水普攻</t>
        </is>
      </c>
      <c r="E38" s="52" t="inlineStr">
        <is>
          <t>1</t>
        </is>
      </c>
      <c r="G38" s="30" t="inlineStr">
        <is>
          <t>yuansufanyi_3water</t>
        </is>
      </c>
      <c r="H38" s="30" t="inlineStr">
        <is>
          <t>0.2</t>
        </is>
      </c>
      <c r="I38" s="52" t="inlineStr">
        <is>
          <t>0.7</t>
        </is>
      </c>
      <c r="J38" s="52" t="inlineStr">
        <is>
          <t>0.15</t>
        </is>
      </c>
      <c r="K38" s="30" t="inlineStr">
        <is>
          <t>20</t>
        </is>
      </c>
      <c r="L38" s="31" t="inlineStr">
        <is>
          <t>img_jineng1</t>
        </is>
      </c>
      <c r="M38" s="52" t="inlineStr">
        <is>
          <t>0.15</t>
        </is>
      </c>
      <c r="N38" s="30" t="inlineStr">
        <is>
          <t>20</t>
        </is>
      </c>
      <c r="P38" s="33" t="n"/>
      <c r="U38" s="30" t="inlineStr">
        <is>
          <t>0</t>
        </is>
      </c>
      <c r="W38" s="52" t="inlineStr">
        <is>
          <t>1</t>
        </is>
      </c>
      <c r="Y38" s="52" t="inlineStr">
        <is>
          <t>1</t>
        </is>
      </c>
    </row>
    <row r="39">
      <c r="B39" s="52" t="inlineStr">
        <is>
          <t>5</t>
        </is>
      </c>
      <c r="C39" s="52" t="inlineStr">
        <is>
          <t>火普攻</t>
        </is>
      </c>
      <c r="E39" s="52" t="inlineStr">
        <is>
          <t>1</t>
        </is>
      </c>
      <c r="G39" s="30" t="inlineStr">
        <is>
          <t>yuansufanyi_1</t>
        </is>
      </c>
      <c r="H39" s="30" t="inlineStr">
        <is>
          <t>0.2</t>
        </is>
      </c>
      <c r="I39" s="52" t="inlineStr">
        <is>
          <t>0.7</t>
        </is>
      </c>
      <c r="J39" s="52" t="inlineStr">
        <is>
          <t>0.4</t>
        </is>
      </c>
      <c r="K39" s="30" t="inlineStr">
        <is>
          <t>20</t>
        </is>
      </c>
      <c r="L39" s="31" t="inlineStr">
        <is>
          <t>img_jineng1</t>
        </is>
      </c>
      <c r="M39" s="52" t="inlineStr">
        <is>
          <t>0.4</t>
        </is>
      </c>
      <c r="N39" s="30" t="inlineStr">
        <is>
          <t>20</t>
        </is>
      </c>
      <c r="P39" s="33" t="n"/>
      <c r="U39" s="30" t="inlineStr">
        <is>
          <t>0</t>
        </is>
      </c>
      <c r="W39" s="52" t="inlineStr">
        <is>
          <t>1</t>
        </is>
      </c>
      <c r="Y39" s="52" t="inlineStr">
        <is>
          <t>2</t>
        </is>
      </c>
    </row>
    <row r="40">
      <c r="B40" s="52" t="inlineStr">
        <is>
          <t>6</t>
        </is>
      </c>
      <c r="C40" s="52" t="inlineStr">
        <is>
          <t>雷普攻</t>
        </is>
      </c>
      <c r="E40" s="52" t="inlineStr">
        <is>
          <t>1</t>
        </is>
      </c>
      <c r="G40" s="30" t="inlineStr">
        <is>
          <t>yuansufanyi_4light</t>
        </is>
      </c>
      <c r="H40" s="30" t="inlineStr">
        <is>
          <t>0.2</t>
        </is>
      </c>
      <c r="I40" s="52" t="inlineStr">
        <is>
          <t>0.7</t>
        </is>
      </c>
      <c r="J40" s="52" t="inlineStr">
        <is>
          <t>0.26</t>
        </is>
      </c>
      <c r="K40" s="30" t="inlineStr">
        <is>
          <t>20</t>
        </is>
      </c>
      <c r="L40" s="31" t="inlineStr">
        <is>
          <t>img_jineng1</t>
        </is>
      </c>
      <c r="M40" s="52" t="inlineStr">
        <is>
          <t>0.26</t>
        </is>
      </c>
      <c r="N40" s="30" t="inlineStr">
        <is>
          <t>20</t>
        </is>
      </c>
      <c r="P40" s="33" t="n"/>
      <c r="U40" s="30" t="inlineStr">
        <is>
          <t>0</t>
        </is>
      </c>
      <c r="W40" s="52" t="inlineStr">
        <is>
          <t>1</t>
        </is>
      </c>
      <c r="Y40" s="52" t="inlineStr">
        <is>
          <t>3</t>
        </is>
      </c>
    </row>
    <row r="41" ht="35.25" customHeight="1" s="59">
      <c r="B41" s="52" t="inlineStr">
        <is>
          <t>7</t>
        </is>
      </c>
      <c r="C41" s="52" t="inlineStr">
        <is>
          <t>冰普攻</t>
        </is>
      </c>
      <c r="E41" s="52" t="inlineStr">
        <is>
          <t>1</t>
        </is>
      </c>
      <c r="G41" s="30" t="inlineStr">
        <is>
          <t>yuansufanyi_2ice</t>
        </is>
      </c>
      <c r="H41" s="30" t="inlineStr">
        <is>
          <t>0.2</t>
        </is>
      </c>
      <c r="I41" s="52" t="inlineStr">
        <is>
          <t>0.7</t>
        </is>
      </c>
      <c r="J41" s="52" t="inlineStr">
        <is>
          <t>0.6</t>
        </is>
      </c>
      <c r="K41" s="30" t="inlineStr">
        <is>
          <t>20</t>
        </is>
      </c>
      <c r="L41" s="31" t="inlineStr">
        <is>
          <t>img_jineng1</t>
        </is>
      </c>
      <c r="M41" s="52" t="inlineStr">
        <is>
          <t>0.6</t>
        </is>
      </c>
      <c r="N41" s="30" t="inlineStr">
        <is>
          <t>20</t>
        </is>
      </c>
      <c r="P41" s="33" t="n"/>
      <c r="U41" s="30" t="inlineStr">
        <is>
          <t>0</t>
        </is>
      </c>
      <c r="V41" s="30" t="inlineStr">
        <is>
          <t>iceAttack2</t>
        </is>
      </c>
      <c r="W41" s="52" t="inlineStr">
        <is>
          <t>1</t>
        </is>
      </c>
      <c r="Y41" s="52" t="inlineStr">
        <is>
          <t>4</t>
        </is>
      </c>
    </row>
    <row r="42" ht="54" customHeight="1" s="59">
      <c r="B42" s="52" t="inlineStr">
        <is>
          <t>110009</t>
        </is>
      </c>
      <c r="C42" s="52" t="inlineStr">
        <is>
          <t>罡气冲击</t>
        </is>
      </c>
      <c r="D42" s="46" t="inlineStr">
        <is>
          <t>打出5发金色光弹，如果暴击则对对方施加“定身”</t>
        </is>
      </c>
      <c r="E42" s="46" t="n"/>
      <c r="G42" s="30" t="inlineStr">
        <is>
          <t>jili_zhihuanguangshu_1</t>
        </is>
      </c>
      <c r="H42" s="30" t="inlineStr">
        <is>
          <t>0.8</t>
        </is>
      </c>
      <c r="I42" s="30" t="inlineStr">
        <is>
          <t>1</t>
        </is>
      </c>
      <c r="J42" s="30" t="inlineStr">
        <is>
          <t>0.4|0.52|0.6|0.68|0.77</t>
        </is>
      </c>
      <c r="K42" s="30" t="inlineStr">
        <is>
          <t>10|12|14|14|14</t>
        </is>
      </c>
      <c r="L42" s="31" t="inlineStr">
        <is>
          <t>img_jineng_jianyingfenshen</t>
        </is>
      </c>
      <c r="Q42" s="30" t="inlineStr">
        <is>
          <t>0|1|2|3|4|5</t>
        </is>
      </c>
      <c r="U42" s="30" t="inlineStr">
        <is>
          <t>1</t>
        </is>
      </c>
      <c r="W42" s="30" t="inlineStr">
        <is>
          <t>1</t>
        </is>
      </c>
      <c r="X42" s="52" t="inlineStr">
        <is>
          <t>4</t>
        </is>
      </c>
      <c r="Y42" s="52" t="inlineStr">
        <is>
          <t>5</t>
        </is>
      </c>
      <c r="Z42" s="52" t="inlineStr">
        <is>
          <t>1</t>
        </is>
      </c>
    </row>
    <row r="43" ht="54" customHeight="1" s="59">
      <c r="B43" s="53" t="inlineStr">
        <is>
          <t>660003</t>
        </is>
      </c>
      <c r="C43" s="52" t="inlineStr">
        <is>
          <t>火盾</t>
        </is>
      </c>
      <c r="D43" s="36" t="inlineStr">
        <is>
          <t>周身出现一个防御护罩，打破后进入“易伤”状态，持续3回合</t>
        </is>
      </c>
      <c r="E43" s="36" t="n"/>
      <c r="G43" s="52" t="inlineStr">
        <is>
          <t>dun_huodun</t>
        </is>
      </c>
      <c r="H43" s="52" t="inlineStr">
        <is>
          <t>0.8</t>
        </is>
      </c>
      <c r="I43" s="52" t="inlineStr">
        <is>
          <t>0.2</t>
        </is>
      </c>
      <c r="L43" s="31" t="inlineStr">
        <is>
          <t>img_jineng_liantaishoushenjue</t>
        </is>
      </c>
      <c r="Q43" s="30" t="inlineStr">
        <is>
          <t>5|4|3|2|1|0</t>
        </is>
      </c>
      <c r="R43" s="50" t="inlineStr">
        <is>
          <t>10051</t>
        </is>
      </c>
      <c r="S43" s="30" t="inlineStr">
        <is>
          <t>1</t>
        </is>
      </c>
      <c r="T43" s="30" t="n"/>
      <c r="U43" s="30" t="inlineStr">
        <is>
          <t>6</t>
        </is>
      </c>
      <c r="X43" s="30" t="inlineStr">
        <is>
          <t>8</t>
        </is>
      </c>
      <c r="Y43" s="52" t="inlineStr">
        <is>
          <t>2</t>
        </is>
      </c>
    </row>
    <row r="44" ht="81" customHeight="1" s="59">
      <c r="B44" s="52" t="inlineStr">
        <is>
          <t>110010</t>
        </is>
      </c>
      <c r="C44" s="45" t="inlineStr">
        <is>
          <t>天罡气劲</t>
        </is>
      </c>
      <c r="D44" s="54" t="inlineStr">
        <is>
          <t>打出金色弧状天罡气劲，造成一段伤害，并对敌方造成“虚弱”状态</t>
        </is>
      </c>
      <c r="E44" s="54" t="n"/>
      <c r="G44" s="30" t="inlineStr">
        <is>
          <t>baiming_tiangangzhengya</t>
        </is>
      </c>
      <c r="H44" s="52" t="inlineStr">
        <is>
          <t>0.8</t>
        </is>
      </c>
      <c r="I44" s="30" t="inlineStr">
        <is>
          <t>1.29</t>
        </is>
      </c>
      <c r="J44" s="30" t="inlineStr">
        <is>
          <t>0.9</t>
        </is>
      </c>
      <c r="K44" s="30" t="inlineStr">
        <is>
          <t>20</t>
        </is>
      </c>
      <c r="L44" s="31" t="inlineStr">
        <is>
          <t>img_jineng_tiangangqijin</t>
        </is>
      </c>
      <c r="M44" s="30" t="n"/>
      <c r="N44" s="30" t="n"/>
      <c r="P44" s="33" t="n"/>
      <c r="Q44" s="30" t="inlineStr">
        <is>
          <t>0|1|2|3|4|5</t>
        </is>
      </c>
      <c r="R44" s="52" t="inlineStr">
        <is>
          <t>10053</t>
        </is>
      </c>
      <c r="S44" s="52" t="inlineStr">
        <is>
          <t>2</t>
        </is>
      </c>
      <c r="T44" s="52" t="n"/>
      <c r="U44" s="52" t="inlineStr">
        <is>
          <t>1</t>
        </is>
      </c>
      <c r="W44" s="52" t="inlineStr">
        <is>
          <t>1</t>
        </is>
      </c>
      <c r="X44" s="52" t="inlineStr">
        <is>
          <t>4</t>
        </is>
      </c>
      <c r="Y44" s="52" t="inlineStr">
        <is>
          <t>5</t>
        </is>
      </c>
      <c r="Z44" s="52" t="inlineStr">
        <is>
          <t>1</t>
        </is>
      </c>
    </row>
    <row r="45" ht="66" customHeight="1" s="59">
      <c r="B45" s="53" t="inlineStr">
        <is>
          <t>660004</t>
        </is>
      </c>
      <c r="C45" s="52" t="inlineStr">
        <is>
          <t>金罡之体</t>
        </is>
      </c>
      <c r="D45" s="54" t="inlineStr">
        <is>
          <t>体表泛出金光，对自身施加“力量”，“铁壁”和“反伤”状态</t>
        </is>
      </c>
      <c r="E45" s="54" t="n"/>
      <c r="G45" s="30" t="inlineStr">
        <is>
          <t>jili_tianyinhudun</t>
        </is>
      </c>
      <c r="H45" s="52" t="inlineStr">
        <is>
          <t>0.8</t>
        </is>
      </c>
      <c r="I45" s="30" t="inlineStr">
        <is>
          <t>0.3</t>
        </is>
      </c>
      <c r="L45" s="31" t="inlineStr">
        <is>
          <t>img_jineng_liantaishoushenjue</t>
        </is>
      </c>
      <c r="Q45" s="30" t="inlineStr">
        <is>
          <t>5|4|3|2|1|0</t>
        </is>
      </c>
      <c r="R45" s="52" t="inlineStr">
        <is>
          <t>10055|10056|10057</t>
        </is>
      </c>
      <c r="S45" s="52" t="inlineStr">
        <is>
          <t>1|1|1</t>
        </is>
      </c>
      <c r="T45" s="52" t="n"/>
      <c r="U45" s="30" t="inlineStr">
        <is>
          <t>6</t>
        </is>
      </c>
      <c r="X45" s="30" t="inlineStr">
        <is>
          <t>8</t>
        </is>
      </c>
      <c r="Y45" s="52" t="inlineStr">
        <is>
          <t>5</t>
        </is>
      </c>
    </row>
    <row r="46">
      <c r="B46" s="53" t="inlineStr">
        <is>
          <t>660005</t>
        </is>
      </c>
      <c r="C46" s="52" t="inlineStr">
        <is>
          <t>金罡护身</t>
        </is>
      </c>
      <c r="D46" s="54" t="inlineStr">
        <is>
          <t>周身出现一层防御护罩，对自身施加“铁壁”，“集中”，和“护身”状态，打破后进入“易伤”状态，持续3回合</t>
        </is>
      </c>
      <c r="E46" s="54" t="n"/>
      <c r="G46" s="30" t="inlineStr">
        <is>
          <t>dun_guangdun</t>
        </is>
      </c>
      <c r="H46" s="52" t="inlineStr">
        <is>
          <t>0.8</t>
        </is>
      </c>
      <c r="I46" s="52" t="inlineStr">
        <is>
          <t>0.2</t>
        </is>
      </c>
      <c r="L46" s="55" t="inlineStr">
        <is>
          <t>img_jineng_liantaishoushenjue</t>
        </is>
      </c>
      <c r="Q46" s="52" t="inlineStr">
        <is>
          <t>5|4|3|2|1|0</t>
        </is>
      </c>
      <c r="R46" s="52" t="inlineStr">
        <is>
          <t>10058|10041|10033|10054</t>
        </is>
      </c>
      <c r="S46" s="52" t="inlineStr">
        <is>
          <t>1|1|1|1</t>
        </is>
      </c>
      <c r="T46" s="52" t="n"/>
      <c r="U46" s="30" t="inlineStr">
        <is>
          <t>6</t>
        </is>
      </c>
      <c r="X46" s="30" t="inlineStr">
        <is>
          <t>8</t>
        </is>
      </c>
      <c r="Y46" s="52" t="inlineStr">
        <is>
          <t>5</t>
        </is>
      </c>
    </row>
    <row r="47">
      <c r="B47" s="52" t="inlineStr">
        <is>
          <t>110011</t>
        </is>
      </c>
      <c r="C47" s="52" t="inlineStr">
        <is>
          <t>彼岸炽魂</t>
        </is>
      </c>
      <c r="D47" s="56" t="inlineStr">
        <is>
          <t>消耗部分生命值，造成一次火属性伤害，并为自己附加状态“火魂”持续4回合。在该状态下，暴击率提高10%，抗性提高30%，普攻对对方施加“火印”状态。该状态结束后，触发“爆燃”效果，再次对敌方造成一次巨额火属性伤害，并回复一次生命值，若提前切人，则提前触发“爆燃”。“爆燃”的伤害与生命回复和“火印”层数相关</t>
        </is>
      </c>
      <c r="E47" s="56" t="n"/>
      <c r="G47" s="31" t="inlineStr">
        <is>
          <t>skill_bianchihun1</t>
        </is>
      </c>
      <c r="H47" s="52" t="inlineStr">
        <is>
          <t>0.8</t>
        </is>
      </c>
      <c r="I47" s="52" t="inlineStr">
        <is>
          <t>0.6</t>
        </is>
      </c>
      <c r="J47" s="52" t="inlineStr">
        <is>
          <t>0.2</t>
        </is>
      </c>
      <c r="K47" s="30" t="inlineStr">
        <is>
          <t>20</t>
        </is>
      </c>
      <c r="L47" s="30" t="inlineStr">
        <is>
          <t>img_jineng_bianchihun</t>
        </is>
      </c>
      <c r="Q47" s="30" t="inlineStr">
        <is>
          <t>0|1|2|3|4|5</t>
        </is>
      </c>
      <c r="R47" s="52" t="inlineStr">
        <is>
          <t>10061</t>
        </is>
      </c>
      <c r="S47" s="52" t="inlineStr">
        <is>
          <t>1</t>
        </is>
      </c>
      <c r="T47" s="52" t="n"/>
      <c r="U47" s="52" t="inlineStr">
        <is>
          <t>1</t>
        </is>
      </c>
      <c r="W47" s="52" t="inlineStr">
        <is>
          <t>1</t>
        </is>
      </c>
      <c r="X47" s="52" t="inlineStr">
        <is>
          <t>8</t>
        </is>
      </c>
      <c r="Y47" s="52" t="inlineStr">
        <is>
          <t>2</t>
        </is>
      </c>
      <c r="Z47" s="52" t="inlineStr">
        <is>
          <t>1</t>
        </is>
      </c>
    </row>
    <row r="48">
      <c r="B48" s="52" t="inlineStr">
        <is>
          <t>990012</t>
        </is>
      </c>
      <c r="C48" s="52" t="inlineStr">
        <is>
          <t>大地近卫功法</t>
        </is>
      </c>
      <c r="G48" s="31" t="inlineStr">
        <is>
          <t>skill_bianchihun1</t>
        </is>
      </c>
      <c r="H48" s="52" t="inlineStr">
        <is>
          <t>0.8</t>
        </is>
      </c>
      <c r="I48" s="52" t="inlineStr">
        <is>
          <t>0.6</t>
        </is>
      </c>
      <c r="J48" s="52" t="inlineStr">
        <is>
          <t>0.2</t>
        </is>
      </c>
      <c r="K48" s="30" t="inlineStr">
        <is>
          <t>20</t>
        </is>
      </c>
      <c r="L48" s="30" t="inlineStr">
        <is>
          <t>img_jineng_bianchihun</t>
        </is>
      </c>
      <c r="U48" s="52" t="inlineStr">
        <is>
          <t>1</t>
        </is>
      </c>
      <c r="W48" s="52" t="inlineStr">
        <is>
          <t>1</t>
        </is>
      </c>
      <c r="X48" s="52" t="inlineStr">
        <is>
          <t>5</t>
        </is>
      </c>
      <c r="Y48" s="52" t="inlineStr">
        <is>
          <t>2</t>
        </is>
      </c>
    </row>
    <row r="49">
      <c r="B49" s="52" t="inlineStr">
        <is>
          <t>990013</t>
        </is>
      </c>
      <c r="C49" s="57" t="inlineStr">
        <is>
          <t>大帝遗火</t>
        </is>
      </c>
      <c r="G49" s="31" t="inlineStr">
        <is>
          <t>skill_bianchihun1</t>
        </is>
      </c>
      <c r="H49" s="52" t="inlineStr">
        <is>
          <t>0.8</t>
        </is>
      </c>
      <c r="I49" s="52" t="inlineStr">
        <is>
          <t>0.6</t>
        </is>
      </c>
      <c r="J49" s="52" t="inlineStr">
        <is>
          <t>0.2</t>
        </is>
      </c>
      <c r="K49" s="30" t="inlineStr">
        <is>
          <t>20</t>
        </is>
      </c>
      <c r="L49" s="30" t="inlineStr">
        <is>
          <t>img_jineng_bianchihun</t>
        </is>
      </c>
      <c r="R49" s="52" t="inlineStr">
        <is>
          <t>10017</t>
        </is>
      </c>
      <c r="S49" s="52" t="inlineStr">
        <is>
          <t>1</t>
        </is>
      </c>
      <c r="T49" s="52" t="n"/>
      <c r="U49" s="52" t="inlineStr">
        <is>
          <t>1</t>
        </is>
      </c>
      <c r="W49" s="52" t="inlineStr">
        <is>
          <t>1</t>
        </is>
      </c>
      <c r="X49" s="52" t="inlineStr">
        <is>
          <t>5</t>
        </is>
      </c>
      <c r="Y49" s="52" t="inlineStr">
        <is>
          <t>2</t>
        </is>
      </c>
    </row>
    <row r="50">
      <c r="B50" s="52" t="inlineStr">
        <is>
          <t>990014</t>
        </is>
      </c>
      <c r="C50" s="57" t="inlineStr">
        <is>
          <t>青月冰决</t>
        </is>
      </c>
      <c r="D50" s="52" t="inlineStr">
        <is>
          <t>伤害的40%治疗自身</t>
        </is>
      </c>
      <c r="G50" s="31" t="inlineStr">
        <is>
          <t>skill_bianchihun1</t>
        </is>
      </c>
      <c r="H50" s="52" t="inlineStr">
        <is>
          <t>0.8</t>
        </is>
      </c>
      <c r="I50" s="52" t="inlineStr">
        <is>
          <t>0.6</t>
        </is>
      </c>
      <c r="J50" s="52" t="inlineStr">
        <is>
          <t>0.2</t>
        </is>
      </c>
      <c r="K50" s="30" t="inlineStr">
        <is>
          <t>20</t>
        </is>
      </c>
      <c r="L50" s="30" t="inlineStr">
        <is>
          <t>img_jineng_bianchihun</t>
        </is>
      </c>
      <c r="R50" s="52" t="inlineStr">
        <is>
          <t>40</t>
        </is>
      </c>
      <c r="U50" s="52" t="inlineStr">
        <is>
          <t>3</t>
        </is>
      </c>
      <c r="W50" s="52" t="inlineStr">
        <is>
          <t>1</t>
        </is>
      </c>
      <c r="X50" s="52" t="inlineStr">
        <is>
          <t>5</t>
        </is>
      </c>
      <c r="Y50" s="52" t="inlineStr">
        <is>
          <t>4</t>
        </is>
      </c>
    </row>
    <row r="51">
      <c r="B51" s="52" t="inlineStr">
        <is>
          <t>990015</t>
        </is>
      </c>
      <c r="C51" s="57" t="inlineStr">
        <is>
          <t>龙玄憾天</t>
        </is>
      </c>
      <c r="D51" s="52" t="inlineStr">
        <is>
          <t>必然暴击</t>
        </is>
      </c>
      <c r="G51" s="31" t="inlineStr">
        <is>
          <t>skill_bianchihun1</t>
        </is>
      </c>
      <c r="H51" s="52" t="inlineStr">
        <is>
          <t>0.8</t>
        </is>
      </c>
      <c r="I51" s="52" t="inlineStr">
        <is>
          <t>0.6</t>
        </is>
      </c>
      <c r="J51" s="52" t="inlineStr">
        <is>
          <t>0.2</t>
        </is>
      </c>
      <c r="K51" s="30" t="inlineStr">
        <is>
          <t>20</t>
        </is>
      </c>
      <c r="L51" s="30" t="inlineStr">
        <is>
          <t>img_jineng_bianchihun</t>
        </is>
      </c>
      <c r="T51" s="52" t="inlineStr">
        <is>
          <t>10067</t>
        </is>
      </c>
      <c r="W51" s="52" t="inlineStr">
        <is>
          <t>1</t>
        </is>
      </c>
      <c r="X51" s="52" t="inlineStr">
        <is>
          <t>5</t>
        </is>
      </c>
      <c r="Y51" s="52" t="inlineStr">
        <is>
          <t>3</t>
        </is>
      </c>
    </row>
    <row r="52" ht="54" customHeight="1" s="59">
      <c r="B52" s="52" t="inlineStr">
        <is>
          <t>990016</t>
        </is>
      </c>
      <c r="C52" s="52" t="inlineStr">
        <is>
          <t>丹毁</t>
        </is>
      </c>
      <c r="G52" s="31" t="inlineStr">
        <is>
          <t>skill_bianchihun1</t>
        </is>
      </c>
      <c r="H52" s="52" t="inlineStr">
        <is>
          <t>0.8</t>
        </is>
      </c>
      <c r="I52" s="52" t="inlineStr">
        <is>
          <t>0.6</t>
        </is>
      </c>
      <c r="J52" s="52" t="inlineStr">
        <is>
          <t>0.2</t>
        </is>
      </c>
      <c r="K52" s="30" t="inlineStr">
        <is>
          <t>20</t>
        </is>
      </c>
      <c r="L52" s="30" t="inlineStr">
        <is>
          <t>img_jineng_bianchihun</t>
        </is>
      </c>
      <c r="W52" s="52" t="inlineStr">
        <is>
          <t>1</t>
        </is>
      </c>
      <c r="Y52" s="52" t="inlineStr">
        <is>
          <t>2</t>
        </is>
      </c>
    </row>
    <row r="53">
      <c r="B53" s="52" t="inlineStr">
        <is>
          <t>990017</t>
        </is>
      </c>
      <c r="C53" s="57" t="inlineStr">
        <is>
          <t>荒元遗术</t>
        </is>
      </c>
      <c r="G53" s="31" t="inlineStr">
        <is>
          <t>skill_bianchihun1</t>
        </is>
      </c>
      <c r="H53" s="52" t="inlineStr">
        <is>
          <t>0.8</t>
        </is>
      </c>
      <c r="I53" s="52" t="inlineStr">
        <is>
          <t>0.6</t>
        </is>
      </c>
      <c r="J53" s="52" t="inlineStr">
        <is>
          <t>0.2</t>
        </is>
      </c>
      <c r="K53" s="30" t="inlineStr">
        <is>
          <t>20</t>
        </is>
      </c>
      <c r="L53" s="30" t="inlineStr">
        <is>
          <t>img_jineng_bianchihun</t>
        </is>
      </c>
      <c r="R53" s="52" t="inlineStr">
        <is>
          <t>10073</t>
        </is>
      </c>
      <c r="S53" s="52" t="inlineStr">
        <is>
          <t>1</t>
        </is>
      </c>
      <c r="W53" s="52" t="inlineStr">
        <is>
          <t>1</t>
        </is>
      </c>
      <c r="Y53" s="52" t="inlineStr">
        <is>
          <t>2</t>
        </is>
      </c>
    </row>
    <row r="54">
      <c r="B54" s="52" t="inlineStr">
        <is>
          <t>990018</t>
        </is>
      </c>
      <c r="C54" s="52" t="inlineStr">
        <is>
          <t>风雷万劫</t>
        </is>
      </c>
      <c r="D54" s="58" t="inlineStr">
        <is>
          <t>三道闪电造成递增的三段伤害，技能结束后附加“易感”效果,持续8个回合</t>
        </is>
      </c>
      <c r="G54" s="55" t="inlineStr">
        <is>
          <t>dafeng_texiao_1</t>
        </is>
      </c>
      <c r="H54" s="52" t="inlineStr">
        <is>
          <t>0.8</t>
        </is>
      </c>
      <c r="I54" s="52" t="inlineStr">
        <is>
          <t>2.43</t>
        </is>
      </c>
      <c r="J54" s="52" t="inlineStr">
        <is>
          <t>1.43|1.66|1.88</t>
        </is>
      </c>
      <c r="K54" s="30" t="inlineStr">
        <is>
          <t>10|12|14</t>
        </is>
      </c>
      <c r="L54" s="30" t="inlineStr">
        <is>
          <t>img_jineng_bianchihun</t>
        </is>
      </c>
      <c r="R54" s="50" t="inlineStr">
        <is>
          <t>10084</t>
        </is>
      </c>
      <c r="S54" s="52" t="inlineStr">
        <is>
          <t>1</t>
        </is>
      </c>
      <c r="U54" s="52" t="n"/>
      <c r="W54" s="52" t="inlineStr">
        <is>
          <t>1</t>
        </is>
      </c>
      <c r="X54" s="52" t="inlineStr">
        <is>
          <t>6</t>
        </is>
      </c>
      <c r="Y54" s="52" t="inlineStr">
        <is>
          <t>3</t>
        </is>
      </c>
      <c r="Z54" s="52" t="n"/>
    </row>
    <row r="55">
      <c r="B55" s="52" t="inlineStr">
        <is>
          <t>990019</t>
        </is>
      </c>
      <c r="C55" s="52" t="inlineStr">
        <is>
          <t>风雷影</t>
        </is>
      </c>
      <c r="D55" s="30" t="inlineStr">
        <is>
          <t>该技能发出后，boss获得“风影”buff持续5个回合</t>
        </is>
      </c>
      <c r="G55" s="31" t="inlineStr">
        <is>
          <t>skill_bianchihun1</t>
        </is>
      </c>
      <c r="H55" s="52" t="inlineStr">
        <is>
          <t>0.8</t>
        </is>
      </c>
      <c r="I55" s="52" t="inlineStr">
        <is>
          <t>1</t>
        </is>
      </c>
      <c r="L55" s="30" t="inlineStr">
        <is>
          <t>img_jineng_bianchihun</t>
        </is>
      </c>
      <c r="R55" s="50" t="inlineStr">
        <is>
          <t>10083</t>
        </is>
      </c>
      <c r="S55" s="52" t="inlineStr">
        <is>
          <t>1</t>
        </is>
      </c>
      <c r="X55" s="52" t="inlineStr">
        <is>
          <t>6</t>
        </is>
      </c>
      <c r="Y55" s="52" t="inlineStr">
        <is>
          <t>3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73"/>
  <sheetViews>
    <sheetView topLeftCell="AJ1" workbookViewId="0">
      <selection activeCell="A15" sqref="A15"/>
    </sheetView>
  </sheetViews>
  <sheetFormatPr baseColWidth="8" defaultColWidth="9" defaultRowHeight="13.5"/>
  <cols>
    <col width="16.125" customWidth="1" style="11" min="1" max="1"/>
    <col width="39" customWidth="1" style="11" min="2" max="2"/>
    <col width="14.875" customWidth="1" style="11" min="3" max="3"/>
    <col width="9" customWidth="1" style="11" min="4" max="4"/>
    <col width="12.25" customWidth="1" style="11" min="5" max="5"/>
    <col width="9" customWidth="1" style="11" min="6" max="16"/>
    <col width="11.75" customWidth="1" style="11" min="17" max="17"/>
    <col width="9" customWidth="1" style="11" min="18" max="18"/>
    <col width="25.25" customWidth="1" style="11" min="19" max="19"/>
    <col width="9" customWidth="1" style="11" min="20" max="23"/>
    <col width="9.875" customWidth="1" style="11" min="24" max="24"/>
    <col width="10" customWidth="1" style="11" min="25" max="25"/>
    <col width="9" customWidth="1" style="11" min="26" max="34"/>
    <col width="22.875" customWidth="1" style="11" min="35" max="35"/>
    <col width="32.875" customWidth="1" style="11" min="36" max="36"/>
    <col width="11.25" customWidth="1" style="11" min="37" max="37"/>
    <col width="16" customWidth="1" style="11" min="38" max="38"/>
    <col width="20.875" customWidth="1" style="11" min="39" max="39"/>
    <col width="19.75" customWidth="1" style="11" min="40" max="40"/>
    <col width="22.625" customWidth="1" style="11" min="41" max="41"/>
    <col width="9" customWidth="1" style="11" min="42" max="16384"/>
  </cols>
  <sheetData>
    <row r="1" ht="27" customHeight="1" s="59">
      <c r="Q1" s="11" t="inlineStr">
        <is>
          <t>材料需求</t>
        </is>
      </c>
      <c r="R1" s="11" t="inlineStr">
        <is>
          <t>灵石</t>
        </is>
      </c>
      <c r="S1" s="11" t="inlineStr">
        <is>
          <t>凡级残页</t>
        </is>
      </c>
      <c r="T1" s="11" t="inlineStr">
        <is>
          <t>玄级残页</t>
        </is>
      </c>
      <c r="U1" s="11" t="inlineStr">
        <is>
          <t>黄级残页</t>
        </is>
      </c>
      <c r="V1" s="11" t="inlineStr">
        <is>
          <t>地级残页</t>
        </is>
      </c>
      <c r="W1" s="11" t="inlineStr">
        <is>
          <t>天级残页</t>
        </is>
      </c>
      <c r="X1" s="11" t="inlineStr">
        <is>
          <t>凡级念珠1类</t>
        </is>
      </c>
      <c r="Y1" s="11" t="inlineStr">
        <is>
          <t>黄级念珠1类</t>
        </is>
      </c>
      <c r="Z1" s="11" t="inlineStr">
        <is>
          <t>玄级念珠1类</t>
        </is>
      </c>
      <c r="AA1" s="11" t="inlineStr">
        <is>
          <t>地级念珠1类</t>
        </is>
      </c>
      <c r="AB1" s="11" t="inlineStr">
        <is>
          <t>天级念珠1类</t>
        </is>
      </c>
      <c r="AC1" s="16" t="inlineStr">
        <is>
          <t>凡级念珠2类</t>
        </is>
      </c>
      <c r="AD1" s="16" t="inlineStr">
        <is>
          <t>黄级念珠2类</t>
        </is>
      </c>
      <c r="AE1" s="16" t="inlineStr">
        <is>
          <t>玄级念珠2类</t>
        </is>
      </c>
      <c r="AF1" s="16" t="inlineStr">
        <is>
          <t>地级念珠2类</t>
        </is>
      </c>
      <c r="AG1" s="16" t="inlineStr">
        <is>
          <t>天级念珠2类</t>
        </is>
      </c>
      <c r="AH1" s="18" t="inlineStr">
        <is>
          <t>凡级念珠3类</t>
        </is>
      </c>
      <c r="AI1" s="18" t="inlineStr">
        <is>
          <t>黄级念珠3类</t>
        </is>
      </c>
      <c r="AJ1" s="18" t="inlineStr">
        <is>
          <t>玄级念珠3类</t>
        </is>
      </c>
      <c r="AK1" s="18" t="inlineStr">
        <is>
          <t>地级念珠3类</t>
        </is>
      </c>
      <c r="AL1" s="18" t="inlineStr">
        <is>
          <t>天级念珠3类</t>
        </is>
      </c>
      <c r="AM1" s="19" t="inlineStr">
        <is>
          <t>凡级念珠4类</t>
        </is>
      </c>
      <c r="AN1" s="19" t="inlineStr">
        <is>
          <t>黄级念珠4类</t>
        </is>
      </c>
      <c r="AO1" s="19" t="inlineStr">
        <is>
          <t>玄级念珠4类</t>
        </is>
      </c>
      <c r="AP1" s="19" t="inlineStr">
        <is>
          <t>地级念珠4类</t>
        </is>
      </c>
      <c r="AQ1" s="19" t="inlineStr">
        <is>
          <t>天级念珠4类</t>
        </is>
      </c>
      <c r="AR1" s="22" t="inlineStr">
        <is>
          <t>凡级念珠5类</t>
        </is>
      </c>
      <c r="AS1" s="22" t="inlineStr">
        <is>
          <t>黄级念珠5类</t>
        </is>
      </c>
      <c r="AT1" s="22" t="inlineStr">
        <is>
          <t>玄级念珠5类</t>
        </is>
      </c>
      <c r="AU1" s="22" t="inlineStr">
        <is>
          <t>地级念珠5类</t>
        </is>
      </c>
      <c r="AV1" s="22" t="inlineStr">
        <is>
          <t>天级念珠5类</t>
        </is>
      </c>
      <c r="AW1" s="24" t="inlineStr">
        <is>
          <t>凡级念珠6类</t>
        </is>
      </c>
      <c r="AX1" s="24" t="inlineStr">
        <is>
          <t>黄级念珠6类</t>
        </is>
      </c>
      <c r="AY1" s="24" t="inlineStr">
        <is>
          <t>玄级念珠6类</t>
        </is>
      </c>
      <c r="AZ1" s="24" t="inlineStr">
        <is>
          <t>地级念珠6类</t>
        </is>
      </c>
      <c r="BA1" s="24" t="inlineStr">
        <is>
          <t>天级念珠6类</t>
        </is>
      </c>
      <c r="BB1" s="25" t="inlineStr">
        <is>
          <t>凡级念珠7类</t>
        </is>
      </c>
      <c r="BC1" s="25" t="inlineStr">
        <is>
          <t>黄级念珠7类</t>
        </is>
      </c>
      <c r="BD1" s="25" t="inlineStr">
        <is>
          <t>玄级念珠7类</t>
        </is>
      </c>
      <c r="BE1" s="25" t="inlineStr">
        <is>
          <t>地级念珠7类</t>
        </is>
      </c>
      <c r="BF1" s="25" t="inlineStr">
        <is>
          <t>天级念珠7类</t>
        </is>
      </c>
      <c r="BG1" s="28" t="inlineStr">
        <is>
          <t>凡级念珠8类</t>
        </is>
      </c>
      <c r="BH1" s="28" t="inlineStr">
        <is>
          <t>黄级念珠8类</t>
        </is>
      </c>
      <c r="BI1" s="28" t="inlineStr">
        <is>
          <t>玄级念珠8类</t>
        </is>
      </c>
      <c r="BJ1" s="28" t="inlineStr">
        <is>
          <t>地级念珠8类</t>
        </is>
      </c>
      <c r="BK1" s="28" t="inlineStr">
        <is>
          <t>天级念珠8类</t>
        </is>
      </c>
    </row>
    <row r="2">
      <c r="A2" s="11" t="inlineStr">
        <is>
          <t>技能升级伤害</t>
        </is>
      </c>
      <c r="E2" s="11" t="inlineStr">
        <is>
          <t>1段伤害</t>
        </is>
      </c>
      <c r="F2" s="11" t="inlineStr">
        <is>
          <t>2段伤害</t>
        </is>
      </c>
      <c r="G2" s="11" t="inlineStr">
        <is>
          <t>3段伤害</t>
        </is>
      </c>
      <c r="H2" s="11" t="inlineStr">
        <is>
          <t>4段伤害</t>
        </is>
      </c>
      <c r="I2" s="11" t="inlineStr">
        <is>
          <t>5段伤害</t>
        </is>
      </c>
      <c r="J2" s="11" t="inlineStr">
        <is>
          <t>消耗</t>
        </is>
      </c>
      <c r="R2" s="11" t="n">
        <v>10001</v>
      </c>
      <c r="S2" s="11" t="n">
        <v>121001</v>
      </c>
      <c r="T2" s="11" t="n">
        <v>122001</v>
      </c>
      <c r="U2" s="11" t="n">
        <v>123001</v>
      </c>
      <c r="V2" s="11" t="n">
        <v>124001</v>
      </c>
      <c r="W2" s="11" t="n">
        <v>125001</v>
      </c>
      <c r="X2" s="30" t="inlineStr">
        <is>
          <t>121002</t>
        </is>
      </c>
      <c r="Y2" s="30" t="inlineStr">
        <is>
          <t>122002</t>
        </is>
      </c>
      <c r="Z2" s="30" t="inlineStr">
        <is>
          <t>123002</t>
        </is>
      </c>
      <c r="AA2" s="30" t="inlineStr">
        <is>
          <t>124002</t>
        </is>
      </c>
      <c r="AB2" s="30" t="inlineStr">
        <is>
          <t>125002</t>
        </is>
      </c>
      <c r="AC2" s="17" t="inlineStr">
        <is>
          <t>121003</t>
        </is>
      </c>
      <c r="AD2" s="17" t="inlineStr">
        <is>
          <t>122003</t>
        </is>
      </c>
      <c r="AE2" s="17" t="inlineStr">
        <is>
          <t>123003</t>
        </is>
      </c>
      <c r="AF2" s="17" t="inlineStr">
        <is>
          <t>124003</t>
        </is>
      </c>
      <c r="AG2" s="17" t="inlineStr">
        <is>
          <t>125003</t>
        </is>
      </c>
      <c r="AH2" s="20" t="inlineStr">
        <is>
          <t>121004</t>
        </is>
      </c>
      <c r="AI2" s="20" t="inlineStr">
        <is>
          <t>122004</t>
        </is>
      </c>
      <c r="AJ2" s="20" t="inlineStr">
        <is>
          <t>123004</t>
        </is>
      </c>
      <c r="AK2" s="20" t="inlineStr">
        <is>
          <t>124004</t>
        </is>
      </c>
      <c r="AL2" s="20" t="inlineStr">
        <is>
          <t>125004</t>
        </is>
      </c>
      <c r="AM2" s="21" t="inlineStr">
        <is>
          <t>121005</t>
        </is>
      </c>
      <c r="AN2" s="21" t="inlineStr">
        <is>
          <t>122005</t>
        </is>
      </c>
      <c r="AO2" s="21" t="inlineStr">
        <is>
          <t>123005</t>
        </is>
      </c>
      <c r="AP2" s="21" t="inlineStr">
        <is>
          <t>124005</t>
        </is>
      </c>
      <c r="AQ2" s="21" t="inlineStr">
        <is>
          <t>125005</t>
        </is>
      </c>
      <c r="AR2" s="23" t="inlineStr">
        <is>
          <t>121006</t>
        </is>
      </c>
      <c r="AS2" s="23" t="inlineStr">
        <is>
          <t>122006</t>
        </is>
      </c>
      <c r="AT2" s="23" t="inlineStr">
        <is>
          <t>123006</t>
        </is>
      </c>
      <c r="AU2" s="23" t="inlineStr">
        <is>
          <t>124006</t>
        </is>
      </c>
      <c r="AV2" s="23" t="inlineStr">
        <is>
          <t>125006</t>
        </is>
      </c>
      <c r="AW2" s="26" t="inlineStr">
        <is>
          <t>121007</t>
        </is>
      </c>
      <c r="AX2" s="26" t="inlineStr">
        <is>
          <t>122007</t>
        </is>
      </c>
      <c r="AY2" s="26" t="inlineStr">
        <is>
          <t>123007</t>
        </is>
      </c>
      <c r="AZ2" s="26" t="inlineStr">
        <is>
          <t>124007</t>
        </is>
      </c>
      <c r="BA2" s="26" t="inlineStr">
        <is>
          <t>125007</t>
        </is>
      </c>
      <c r="BB2" s="27" t="inlineStr">
        <is>
          <t>121008</t>
        </is>
      </c>
      <c r="BC2" s="27" t="inlineStr">
        <is>
          <t>122008</t>
        </is>
      </c>
      <c r="BD2" s="27" t="inlineStr">
        <is>
          <t>123008</t>
        </is>
      </c>
      <c r="BE2" s="27" t="inlineStr">
        <is>
          <t>124008</t>
        </is>
      </c>
      <c r="BF2" s="27" t="inlineStr">
        <is>
          <t>125008</t>
        </is>
      </c>
      <c r="BG2" s="29" t="inlineStr">
        <is>
          <t>121009</t>
        </is>
      </c>
      <c r="BH2" s="29" t="inlineStr">
        <is>
          <t>122009</t>
        </is>
      </c>
      <c r="BI2" s="29" t="inlineStr">
        <is>
          <t>123009</t>
        </is>
      </c>
      <c r="BJ2" s="29" t="inlineStr">
        <is>
          <t>124009</t>
        </is>
      </c>
      <c r="BK2" s="29" t="inlineStr">
        <is>
          <t>125009</t>
        </is>
      </c>
    </row>
    <row r="3" ht="81" customHeight="1" s="59">
      <c r="A3" s="11" t="n">
        <v>1</v>
      </c>
      <c r="B3" s="11">
        <f>E3&amp;"|"&amp;F3&amp;"|"&amp;G3&amp;"|"&amp;H3&amp;"|"&amp;I3</f>
        <v/>
      </c>
      <c r="C3" s="11">
        <f>$E$2&amp;":"&amp;E3&amp;"\n"&amp;$F$2&amp;":"&amp;F3&amp;"\n"&amp;$G$2&amp;":"&amp;G3&amp;"\n"&amp;$H$2&amp;":"&amp;H3&amp;"\n"&amp;$I$2&amp;":"&amp;I3</f>
        <v/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K3" s="2" t="inlineStr">
        <is>
          <t>K</t>
        </is>
      </c>
      <c r="L3" s="2" t="inlineStr">
        <is>
          <t>A</t>
        </is>
      </c>
      <c r="M3" s="2" t="n"/>
      <c r="N3" s="2" t="inlineStr">
        <is>
          <t>t</t>
        </is>
      </c>
      <c r="O3" s="2" t="inlineStr">
        <is>
          <t>y(t)</t>
        </is>
      </c>
      <c r="S3" s="56" t="inlineStr">
        <is>
          <t>1水类</t>
        </is>
      </c>
      <c r="X3" s="2" t="inlineStr">
        <is>
          <t>K</t>
        </is>
      </c>
      <c r="Y3" s="2" t="inlineStr">
        <is>
          <t>A</t>
        </is>
      </c>
      <c r="Z3" s="2" t="n"/>
      <c r="AA3" s="2" t="inlineStr">
        <is>
          <t>t</t>
        </is>
      </c>
      <c r="AB3" s="2" t="inlineStr">
        <is>
          <t>y(t)</t>
        </is>
      </c>
      <c r="AC3" s="2" t="inlineStr">
        <is>
          <t>K</t>
        </is>
      </c>
      <c r="AD3" s="2" t="inlineStr">
        <is>
          <t>A</t>
        </is>
      </c>
      <c r="AE3" s="2" t="n"/>
      <c r="AF3" s="2" t="inlineStr">
        <is>
          <t>t</t>
        </is>
      </c>
      <c r="AG3" s="2" t="inlineStr">
        <is>
          <t>y(t)</t>
        </is>
      </c>
      <c r="AI3" s="56" t="inlineStr">
        <is>
          <t>2火类升级需求</t>
        </is>
      </c>
      <c r="AJ3" s="56" t="inlineStr">
        <is>
          <t>3雷类升级需求</t>
        </is>
      </c>
      <c r="AK3" s="56" t="inlineStr">
        <is>
          <t>4冰类升级需求</t>
        </is>
      </c>
      <c r="AL3" s="56" t="inlineStr">
        <is>
          <t>5阳类升级需求</t>
        </is>
      </c>
      <c r="AM3" s="56" t="inlineStr">
        <is>
          <t>6阴类升级需求</t>
        </is>
      </c>
      <c r="AN3" s="11" t="inlineStr">
        <is>
          <t>7削弱类升级需求</t>
        </is>
      </c>
      <c r="AO3" s="11" t="inlineStr">
        <is>
          <t>8定身类升级需求</t>
        </is>
      </c>
    </row>
    <row r="4" ht="67.5" customHeight="1" s="59">
      <c r="A4" s="11" t="n">
        <v>2</v>
      </c>
      <c r="B4" s="11">
        <f>E4&amp;"|"&amp;F4&amp;"|"&amp;G4&amp;"|"&amp;H4&amp;"|"&amp;I4</f>
        <v/>
      </c>
      <c r="C4" s="11">
        <f>$E$2&amp;":"&amp;E4&amp;"\n"&amp;$F$2&amp;":"&amp;F4&amp;"\n"&amp;$G$2&amp;":"&amp;G4&amp;"\n"&amp;$H$2&amp;":"&amp;H4&amp;"\n"&amp;$I$2&amp;":"&amp;I4</f>
        <v/>
      </c>
      <c r="E4" s="11" t="n">
        <v>5</v>
      </c>
      <c r="F4" s="11" t="n">
        <v>5</v>
      </c>
      <c r="G4" s="11" t="n">
        <v>5</v>
      </c>
      <c r="H4" s="11" t="n">
        <v>5</v>
      </c>
      <c r="I4" s="11" t="n">
        <v>5</v>
      </c>
      <c r="K4" s="3" t="n">
        <v>92</v>
      </c>
      <c r="L4" s="4" t="n">
        <v>2</v>
      </c>
      <c r="M4" s="5" t="n"/>
      <c r="N4" s="5" t="n">
        <v>1</v>
      </c>
      <c r="O4" s="60">
        <f>($K$4*POWER(N4,$L$4))</f>
        <v/>
      </c>
      <c r="R4" s="61" t="n">
        <v>25</v>
      </c>
      <c r="S4" s="11">
        <f>$R$2&amp;"|"&amp;AB4&amp;"$"&amp;$S$2&amp;"|"&amp;O4&amp;"$"&amp;$X$2&amp;"|"&amp;AG4</f>
        <v/>
      </c>
      <c r="X4" s="3" t="n">
        <v>150</v>
      </c>
      <c r="Y4" s="4" t="n">
        <v>2</v>
      </c>
      <c r="Z4" s="5" t="n"/>
      <c r="AA4" s="5" t="n">
        <v>1</v>
      </c>
      <c r="AB4" s="60">
        <f>($X$4*POWER(AA4,$Y$4))</f>
        <v/>
      </c>
      <c r="AC4" s="3" t="n">
        <v>60</v>
      </c>
      <c r="AD4" s="4" t="n">
        <v>1.5</v>
      </c>
      <c r="AE4" s="5" t="n"/>
      <c r="AF4" s="5" t="n">
        <v>1</v>
      </c>
      <c r="AG4" s="60">
        <f>($AC$4*POWER(AF4,$AD$4))/8</f>
        <v/>
      </c>
      <c r="AI4" s="11">
        <f>$R$2&amp;"|"&amp;AB4&amp;"$"&amp;$S$2&amp;"|"&amp;O4&amp;"$"&amp;$AC$2&amp;"|"&amp;AG4</f>
        <v/>
      </c>
      <c r="AJ4" s="11">
        <f>$R$2&amp;"|"&amp;AB4&amp;"$"&amp;$S$2&amp;"|"&amp;O4&amp;"$"&amp;$AH$2&amp;"|"&amp;AG4</f>
        <v/>
      </c>
      <c r="AK4" s="11">
        <f>$R$2&amp;"|"&amp;AB4&amp;"$"&amp;$S$2&amp;"|"&amp;O4&amp;"$"&amp;$AM$2&amp;"|"&amp;AG4</f>
        <v/>
      </c>
      <c r="AL4" s="11">
        <f>$R$2&amp;"|"&amp;AB4&amp;"$"&amp;$S$2&amp;"|"&amp;O4&amp;"$"&amp;$AR$2&amp;"|"&amp;AG4</f>
        <v/>
      </c>
      <c r="AM4" s="11">
        <f>$R$2&amp;"|"&amp;AB4&amp;"$"&amp;$S$2&amp;"|"&amp;O4&amp;"$"&amp;$AW$2&amp;"|"&amp;AG4</f>
        <v/>
      </c>
      <c r="AN4" s="11">
        <f>$R$2&amp;"|"&amp;AB4&amp;"$"&amp;$S$2&amp;"|"&amp;O4&amp;"$"&amp;$BB$2&amp;"|"&amp;AG4</f>
        <v/>
      </c>
      <c r="AO4" s="11">
        <f>$R$2&amp;"|"&amp;AB4&amp;"$"&amp;$S$2&amp;"|"&amp;O4&amp;"$"&amp;$BG$2&amp;"|"&amp;AG4</f>
        <v/>
      </c>
    </row>
    <row r="5" ht="67.5" customHeight="1" s="59">
      <c r="A5" s="11" t="n">
        <v>3</v>
      </c>
      <c r="B5" s="11">
        <f>E5&amp;"|"&amp;F5&amp;"|"&amp;G5&amp;"|"&amp;H5&amp;"|"&amp;I5</f>
        <v/>
      </c>
      <c r="C5" s="11">
        <f>$E$2&amp;":"&amp;E5&amp;"\n"&amp;$F$2&amp;":"&amp;F5&amp;"\n"&amp;$G$2&amp;":"&amp;G5&amp;"\n"&amp;$H$2&amp;":"&amp;H5&amp;"\n"&amp;$I$2&amp;":"&amp;I5</f>
        <v/>
      </c>
      <c r="E5" s="11" t="n">
        <v>10</v>
      </c>
      <c r="F5" s="11" t="n">
        <v>10</v>
      </c>
      <c r="G5" s="11" t="n">
        <v>10</v>
      </c>
      <c r="H5" s="11" t="n">
        <v>10</v>
      </c>
      <c r="I5" s="11" t="n">
        <v>10</v>
      </c>
      <c r="K5" s="11" t="n"/>
      <c r="L5" s="11" t="n"/>
      <c r="M5" s="11" t="n"/>
      <c r="N5" s="5" t="n">
        <v>2</v>
      </c>
      <c r="O5" s="60">
        <f>($K$4*POWER(N5,$L$4))</f>
        <v/>
      </c>
      <c r="R5" s="61" t="n">
        <v>101</v>
      </c>
      <c r="S5" s="11">
        <f>$R$2&amp;"|"&amp;AB5&amp;"$"&amp;$S$2&amp;"|"&amp;O5&amp;"$"&amp;$X$2&amp;"|"&amp;AG5</f>
        <v/>
      </c>
      <c r="AA5" s="11" t="n">
        <v>2</v>
      </c>
      <c r="AB5" s="60">
        <f>($X$4*POWER(AA5,$Y$4))</f>
        <v/>
      </c>
      <c r="AF5" s="11" t="n">
        <v>2</v>
      </c>
      <c r="AG5" s="60">
        <f>($AC$4*POWER(AF5,$AD$4))/8</f>
        <v/>
      </c>
      <c r="AI5" s="11">
        <f>$R$2&amp;"|"&amp;AB5&amp;"$"&amp;$S$2&amp;"|"&amp;O5&amp;"$"&amp;$AC$2&amp;"|"&amp;AG5</f>
        <v/>
      </c>
      <c r="AJ5" s="11">
        <f>$R$2&amp;"|"&amp;AB5&amp;"$"&amp;$S$2&amp;"|"&amp;O5&amp;"$"&amp;$AH$2&amp;"|"&amp;AG5</f>
        <v/>
      </c>
      <c r="AK5" s="11">
        <f>$R$2&amp;"|"&amp;AB5&amp;"$"&amp;$S$2&amp;"|"&amp;O5&amp;"$"&amp;$AM$2&amp;"|"&amp;AG5</f>
        <v/>
      </c>
      <c r="AL5" s="11">
        <f>$R$2&amp;"|"&amp;AB5&amp;"$"&amp;$S$2&amp;"|"&amp;O5&amp;"$"&amp;$AR$2&amp;"|"&amp;AG5</f>
        <v/>
      </c>
      <c r="AM5" s="11">
        <f>$R$2&amp;"|"&amp;AB5&amp;"$"&amp;$S$2&amp;"|"&amp;O5&amp;"$"&amp;$AW$2&amp;"|"&amp;AG5</f>
        <v/>
      </c>
      <c r="AN5" s="11">
        <f>$R$2&amp;"|"&amp;AB5&amp;"$"&amp;$S$2&amp;"|"&amp;O5&amp;"$"&amp;$BB$2&amp;"|"&amp;AG5</f>
        <v/>
      </c>
      <c r="AO5" s="11">
        <f>$R$2&amp;"|"&amp;AB5&amp;"$"&amp;$S$2&amp;"|"&amp;O5&amp;"$"&amp;$BG$2&amp;"|"&amp;AG5</f>
        <v/>
      </c>
    </row>
    <row r="6" ht="67.5" customHeight="1" s="59">
      <c r="A6" s="11" t="n">
        <v>4</v>
      </c>
      <c r="B6" s="11">
        <f>E6&amp;"|"&amp;F6&amp;"|"&amp;G6&amp;"|"&amp;H6&amp;"|"&amp;I6</f>
        <v/>
      </c>
      <c r="C6" s="11">
        <f>$E$2&amp;":"&amp;E6&amp;"\n"&amp;$F$2&amp;":"&amp;F6&amp;"\n"&amp;$G$2&amp;":"&amp;G6&amp;"\n"&amp;$H$2&amp;":"&amp;H6&amp;"\n"&amp;$I$2&amp;":"&amp;I6</f>
        <v/>
      </c>
      <c r="E6" s="11" t="n">
        <v>15</v>
      </c>
      <c r="F6" s="11" t="n">
        <v>15</v>
      </c>
      <c r="G6" s="11" t="n">
        <v>15</v>
      </c>
      <c r="H6" s="11" t="n">
        <v>15</v>
      </c>
      <c r="I6" s="11" t="n">
        <v>15</v>
      </c>
      <c r="K6" s="11" t="n"/>
      <c r="L6" s="11" t="n"/>
      <c r="M6" s="11" t="n"/>
      <c r="N6" s="5" t="n">
        <v>3</v>
      </c>
      <c r="O6" s="60">
        <f>($K$4*POWER(N6,$L$4))</f>
        <v/>
      </c>
      <c r="R6" s="61" t="n">
        <v>228</v>
      </c>
      <c r="S6" s="11">
        <f>$R$2&amp;"|"&amp;AB6&amp;"$"&amp;$S$2&amp;"|"&amp;O6&amp;"$"&amp;$X$2&amp;"|"&amp;AG6</f>
        <v/>
      </c>
      <c r="AA6" s="5" t="n">
        <v>3</v>
      </c>
      <c r="AB6" s="60">
        <f>($X$4*POWER(AA6,$Y$4))</f>
        <v/>
      </c>
      <c r="AF6" s="5" t="n">
        <v>3</v>
      </c>
      <c r="AG6" s="60">
        <f>($AC$4*POWER(AF6,$AD$4))/8</f>
        <v/>
      </c>
      <c r="AI6" s="11">
        <f>$R$2&amp;"|"&amp;AB6&amp;"$"&amp;$S$2&amp;"|"&amp;O6&amp;"$"&amp;$AC$2&amp;"|"&amp;AG6</f>
        <v/>
      </c>
      <c r="AJ6" s="11">
        <f>$R$2&amp;"|"&amp;AB6&amp;"$"&amp;$S$2&amp;"|"&amp;O6&amp;"$"&amp;$AH$2&amp;"|"&amp;AG6</f>
        <v/>
      </c>
      <c r="AK6" s="11">
        <f>$R$2&amp;"|"&amp;AB6&amp;"$"&amp;$S$2&amp;"|"&amp;O6&amp;"$"&amp;$AM$2&amp;"|"&amp;AG6</f>
        <v/>
      </c>
      <c r="AL6" s="11">
        <f>$R$2&amp;"|"&amp;AB6&amp;"$"&amp;$S$2&amp;"|"&amp;O6&amp;"$"&amp;$AR$2&amp;"|"&amp;AG6</f>
        <v/>
      </c>
      <c r="AM6" s="11">
        <f>$R$2&amp;"|"&amp;AB6&amp;"$"&amp;$S$2&amp;"|"&amp;O6&amp;"$"&amp;$AW$2&amp;"|"&amp;AG6</f>
        <v/>
      </c>
      <c r="AN6" s="11">
        <f>$R$2&amp;"|"&amp;AB6&amp;"$"&amp;$S$2&amp;"|"&amp;O6&amp;"$"&amp;$BB$2&amp;"|"&amp;AG6</f>
        <v/>
      </c>
      <c r="AO6" s="11">
        <f>$R$2&amp;"|"&amp;AB6&amp;"$"&amp;$S$2&amp;"|"&amp;O6&amp;"$"&amp;$BG$2&amp;"|"&amp;AG6</f>
        <v/>
      </c>
    </row>
    <row r="7" ht="67.5" customHeight="1" s="59">
      <c r="A7" s="11" t="n">
        <v>5</v>
      </c>
      <c r="B7" s="11">
        <f>E7&amp;"|"&amp;F7&amp;"|"&amp;G7&amp;"|"&amp;H7&amp;"|"&amp;I7</f>
        <v/>
      </c>
      <c r="C7" s="11">
        <f>$E$2&amp;":"&amp;E7&amp;"\n"&amp;$F$2&amp;":"&amp;F7&amp;"\n"&amp;$G$2&amp;":"&amp;G7&amp;"\n"&amp;$H$2&amp;":"&amp;H7&amp;"\n"&amp;$I$2&amp;":"&amp;I7</f>
        <v/>
      </c>
      <c r="E7" s="11" t="n">
        <v>20</v>
      </c>
      <c r="F7" s="11" t="n">
        <v>20</v>
      </c>
      <c r="G7" s="11" t="n">
        <v>20</v>
      </c>
      <c r="H7" s="11" t="n">
        <v>20</v>
      </c>
      <c r="I7" s="11" t="n">
        <v>20</v>
      </c>
      <c r="K7" s="11" t="n"/>
      <c r="L7" s="11" t="n"/>
      <c r="M7" s="11" t="n"/>
      <c r="N7" s="5" t="n">
        <v>4</v>
      </c>
      <c r="O7" s="60">
        <f>($K$4*POWER(N7,$L$4))</f>
        <v/>
      </c>
      <c r="R7" s="61" t="n">
        <v>405</v>
      </c>
      <c r="S7" s="11">
        <f>$R$2&amp;"|"&amp;AB7&amp;"$"&amp;$S$2&amp;"|"&amp;O7&amp;"$"&amp;$X$2&amp;"|"&amp;AG7</f>
        <v/>
      </c>
      <c r="AA7" s="11" t="n">
        <v>4</v>
      </c>
      <c r="AB7" s="60">
        <f>($X$4*POWER(AA7,$Y$4))</f>
        <v/>
      </c>
      <c r="AF7" s="11" t="n">
        <v>4</v>
      </c>
      <c r="AG7" s="60">
        <f>($AC$4*POWER(AF7,$AD$4))/8</f>
        <v/>
      </c>
      <c r="AI7" s="11">
        <f>$R$2&amp;"|"&amp;AB7&amp;"$"&amp;$S$2&amp;"|"&amp;O7&amp;"$"&amp;$AC$2&amp;"|"&amp;AG7</f>
        <v/>
      </c>
      <c r="AJ7" s="11">
        <f>$R$2&amp;"|"&amp;AB7&amp;"$"&amp;$S$2&amp;"|"&amp;O7&amp;"$"&amp;$AH$2&amp;"|"&amp;AG7</f>
        <v/>
      </c>
      <c r="AK7" s="11">
        <f>$R$2&amp;"|"&amp;AB7&amp;"$"&amp;$S$2&amp;"|"&amp;O7&amp;"$"&amp;$AM$2&amp;"|"&amp;AG7</f>
        <v/>
      </c>
      <c r="AL7" s="11">
        <f>$R$2&amp;"|"&amp;AB7&amp;"$"&amp;$S$2&amp;"|"&amp;O7&amp;"$"&amp;$AR$2&amp;"|"&amp;AG7</f>
        <v/>
      </c>
      <c r="AM7" s="11">
        <f>$R$2&amp;"|"&amp;AB7&amp;"$"&amp;$S$2&amp;"|"&amp;O7&amp;"$"&amp;$AW$2&amp;"|"&amp;AG7</f>
        <v/>
      </c>
      <c r="AN7" s="11">
        <f>$R$2&amp;"|"&amp;AB7&amp;"$"&amp;$S$2&amp;"|"&amp;O7&amp;"$"&amp;$BB$2&amp;"|"&amp;AG7</f>
        <v/>
      </c>
      <c r="AO7" s="11">
        <f>$R$2&amp;"|"&amp;AB7&amp;"$"&amp;$S$2&amp;"|"&amp;O7&amp;"$"&amp;$BG$2&amp;"|"&amp;AG7</f>
        <v/>
      </c>
    </row>
    <row r="8" ht="67.5" customHeight="1" s="59">
      <c r="A8" s="11" t="n">
        <v>6</v>
      </c>
      <c r="B8" s="11">
        <f>E8&amp;"|"&amp;F8&amp;"|"&amp;G8&amp;"|"&amp;H8&amp;"|"&amp;I8</f>
        <v/>
      </c>
      <c r="C8" s="11">
        <f>$E$2&amp;":"&amp;E8&amp;"\n"&amp;$F$2&amp;":"&amp;F8&amp;"\n"&amp;$G$2&amp;":"&amp;G8&amp;"\n"&amp;$H$2&amp;":"&amp;H8&amp;"\n"&amp;$I$2&amp;":"&amp;I8</f>
        <v/>
      </c>
      <c r="E8" s="11" t="n">
        <v>25</v>
      </c>
      <c r="F8" s="11" t="n">
        <v>25</v>
      </c>
      <c r="G8" s="11" t="n">
        <v>25</v>
      </c>
      <c r="H8" s="11" t="n">
        <v>25</v>
      </c>
      <c r="I8" s="11" t="n">
        <v>25</v>
      </c>
      <c r="K8" s="11" t="n"/>
      <c r="L8" s="11" t="n"/>
      <c r="M8" s="11" t="n"/>
      <c r="N8" s="5" t="n">
        <v>5</v>
      </c>
      <c r="O8" s="60">
        <f>($K$4*POWER(N8,$L$4))</f>
        <v/>
      </c>
      <c r="R8" s="61" t="n">
        <v>633</v>
      </c>
      <c r="S8" s="11">
        <f>$R$2&amp;"|"&amp;AB8&amp;"$"&amp;$S$2&amp;"|"&amp;O8&amp;"$"&amp;$X$2&amp;"|"&amp;AG8</f>
        <v/>
      </c>
      <c r="AA8" s="5" t="n">
        <v>5</v>
      </c>
      <c r="AB8" s="60">
        <f>($X$4*POWER(AA8,$Y$4))</f>
        <v/>
      </c>
      <c r="AF8" s="5" t="n">
        <v>5</v>
      </c>
      <c r="AG8" s="60">
        <f>($AC$4*POWER(AF8,$AD$4))/8</f>
        <v/>
      </c>
      <c r="AI8" s="11">
        <f>$R$2&amp;"|"&amp;AB8&amp;"$"&amp;$S$2&amp;"|"&amp;O8&amp;"$"&amp;$AC$2&amp;"|"&amp;AG8</f>
        <v/>
      </c>
      <c r="AJ8" s="11">
        <f>$R$2&amp;"|"&amp;AB8&amp;"$"&amp;$S$2&amp;"|"&amp;O8&amp;"$"&amp;$AH$2&amp;"|"&amp;AG8</f>
        <v/>
      </c>
      <c r="AK8" s="11">
        <f>$R$2&amp;"|"&amp;AB8&amp;"$"&amp;$S$2&amp;"|"&amp;O8&amp;"$"&amp;$AM$2&amp;"|"&amp;AG8</f>
        <v/>
      </c>
      <c r="AL8" s="11">
        <f>$R$2&amp;"|"&amp;AB8&amp;"$"&amp;$S$2&amp;"|"&amp;O8&amp;"$"&amp;$AR$2&amp;"|"&amp;AG8</f>
        <v/>
      </c>
      <c r="AM8" s="11">
        <f>$R$2&amp;"|"&amp;AB8&amp;"$"&amp;$S$2&amp;"|"&amp;O8&amp;"$"&amp;$AW$2&amp;"|"&amp;AG8</f>
        <v/>
      </c>
      <c r="AN8" s="11">
        <f>$R$2&amp;"|"&amp;AB8&amp;"$"&amp;$S$2&amp;"|"&amp;O8&amp;"$"&amp;$BB$2&amp;"|"&amp;AG8</f>
        <v/>
      </c>
      <c r="AO8" s="11">
        <f>$R$2&amp;"|"&amp;AB8&amp;"$"&amp;$S$2&amp;"|"&amp;O8&amp;"$"&amp;$BG$2&amp;"|"&amp;AG8</f>
        <v/>
      </c>
    </row>
    <row r="9" ht="67.5" customHeight="1" s="59">
      <c r="A9" s="11" t="n">
        <v>7</v>
      </c>
      <c r="B9" s="11">
        <f>E9&amp;"|"&amp;F9&amp;"|"&amp;G9&amp;"|"&amp;H9&amp;"|"&amp;I9</f>
        <v/>
      </c>
      <c r="C9" s="11">
        <f>$E$2&amp;":"&amp;E9&amp;"\n"&amp;$F$2&amp;":"&amp;F9&amp;"\n"&amp;$G$2&amp;":"&amp;G9&amp;"\n"&amp;$H$2&amp;":"&amp;H9&amp;"\n"&amp;$I$2&amp;":"&amp;I9</f>
        <v/>
      </c>
      <c r="E9" s="11" t="n">
        <v>30</v>
      </c>
      <c r="F9" s="11" t="n">
        <v>30</v>
      </c>
      <c r="G9" s="11" t="n">
        <v>30</v>
      </c>
      <c r="H9" s="11" t="n">
        <v>30</v>
      </c>
      <c r="I9" s="11" t="n">
        <v>30</v>
      </c>
      <c r="K9" s="11" t="n"/>
      <c r="L9" s="11" t="n"/>
      <c r="M9" s="11" t="n"/>
      <c r="N9" s="5" t="n">
        <v>6</v>
      </c>
      <c r="O9" s="60">
        <f>($K$4*POWER(N9,$L$4))</f>
        <v/>
      </c>
      <c r="R9" s="61" t="n">
        <v>911</v>
      </c>
      <c r="S9" s="11">
        <f>$R$2&amp;"|"&amp;AB9&amp;"$"&amp;$S$2&amp;"|"&amp;O9&amp;"$"&amp;$X$2&amp;"|"&amp;AG9</f>
        <v/>
      </c>
      <c r="AA9" s="11" t="n">
        <v>6</v>
      </c>
      <c r="AB9" s="60">
        <f>($X$4*POWER(AA9,$Y$4))</f>
        <v/>
      </c>
      <c r="AF9" s="11" t="n">
        <v>6</v>
      </c>
      <c r="AG9" s="60">
        <f>($AC$4*POWER(AF9,$AD$4))/8</f>
        <v/>
      </c>
      <c r="AI9" s="11">
        <f>$R$2&amp;"|"&amp;AB9&amp;"$"&amp;$S$2&amp;"|"&amp;O9&amp;"$"&amp;$AC$2&amp;"|"&amp;AG9</f>
        <v/>
      </c>
      <c r="AJ9" s="11">
        <f>$R$2&amp;"|"&amp;AB9&amp;"$"&amp;$S$2&amp;"|"&amp;O9&amp;"$"&amp;$AH$2&amp;"|"&amp;AG9</f>
        <v/>
      </c>
      <c r="AK9" s="11">
        <f>$R$2&amp;"|"&amp;AB9&amp;"$"&amp;$S$2&amp;"|"&amp;O9&amp;"$"&amp;$AM$2&amp;"|"&amp;AG9</f>
        <v/>
      </c>
      <c r="AL9" s="11">
        <f>$R$2&amp;"|"&amp;AB9&amp;"$"&amp;$S$2&amp;"|"&amp;O9&amp;"$"&amp;$AR$2&amp;"|"&amp;AG9</f>
        <v/>
      </c>
      <c r="AM9" s="11">
        <f>$R$2&amp;"|"&amp;AB9&amp;"$"&amp;$S$2&amp;"|"&amp;O9&amp;"$"&amp;$AW$2&amp;"|"&amp;AG9</f>
        <v/>
      </c>
      <c r="AN9" s="11">
        <f>$R$2&amp;"|"&amp;AB9&amp;"$"&amp;$S$2&amp;"|"&amp;O9&amp;"$"&amp;$BB$2&amp;"|"&amp;AG9</f>
        <v/>
      </c>
      <c r="AO9" s="11">
        <f>$R$2&amp;"|"&amp;AB9&amp;"$"&amp;$S$2&amp;"|"&amp;O9&amp;"$"&amp;$BG$2&amp;"|"&amp;AG9</f>
        <v/>
      </c>
    </row>
    <row r="10" ht="67.5" customHeight="1" s="59">
      <c r="A10" s="11" t="n">
        <v>8</v>
      </c>
      <c r="B10" s="11">
        <f>E10&amp;"|"&amp;F10&amp;"|"&amp;G10&amp;"|"&amp;H10&amp;"|"&amp;I10</f>
        <v/>
      </c>
      <c r="C10" s="11">
        <f>$E$2&amp;":"&amp;E10&amp;"\n"&amp;$F$2&amp;":"&amp;F10&amp;"\n"&amp;$G$2&amp;":"&amp;G10&amp;"\n"&amp;$H$2&amp;":"&amp;H10&amp;"\n"&amp;$I$2&amp;":"&amp;I10</f>
        <v/>
      </c>
      <c r="E10" s="11" t="n">
        <v>35</v>
      </c>
      <c r="F10" s="11" t="n">
        <v>35</v>
      </c>
      <c r="G10" s="11" t="n">
        <v>35</v>
      </c>
      <c r="H10" s="11" t="n">
        <v>35</v>
      </c>
      <c r="I10" s="11" t="n">
        <v>35</v>
      </c>
      <c r="K10" s="11" t="n"/>
      <c r="L10" s="11" t="n"/>
      <c r="M10" s="11" t="n"/>
      <c r="N10" s="5" t="n">
        <v>7</v>
      </c>
      <c r="O10" s="60">
        <f>($K$4*POWER(N10,$L$4))</f>
        <v/>
      </c>
      <c r="R10" s="61" t="n">
        <v>1240</v>
      </c>
      <c r="S10" s="11">
        <f>$R$2&amp;"|"&amp;AB10&amp;"$"&amp;$S$2&amp;"|"&amp;O10&amp;"$"&amp;$X$2&amp;"|"&amp;AG10</f>
        <v/>
      </c>
      <c r="AA10" s="5" t="n">
        <v>7</v>
      </c>
      <c r="AB10" s="60">
        <f>($X$4*POWER(AA10,$Y$4))</f>
        <v/>
      </c>
      <c r="AF10" s="5" t="n">
        <v>7</v>
      </c>
      <c r="AG10" s="60">
        <f>($AC$4*POWER(AF10,$AD$4))/8</f>
        <v/>
      </c>
      <c r="AI10" s="11">
        <f>$R$2&amp;"|"&amp;AB10&amp;"$"&amp;$S$2&amp;"|"&amp;O10&amp;"$"&amp;$AC$2&amp;"|"&amp;AG10</f>
        <v/>
      </c>
      <c r="AJ10" s="11">
        <f>$R$2&amp;"|"&amp;AB10&amp;"$"&amp;$S$2&amp;"|"&amp;O10&amp;"$"&amp;$AH$2&amp;"|"&amp;AG10</f>
        <v/>
      </c>
      <c r="AK10" s="11">
        <f>$R$2&amp;"|"&amp;AB10&amp;"$"&amp;$S$2&amp;"|"&amp;O10&amp;"$"&amp;$AM$2&amp;"|"&amp;AG10</f>
        <v/>
      </c>
      <c r="AL10" s="11">
        <f>$R$2&amp;"|"&amp;AB10&amp;"$"&amp;$S$2&amp;"|"&amp;O10&amp;"$"&amp;$AR$2&amp;"|"&amp;AG10</f>
        <v/>
      </c>
      <c r="AM10" s="11">
        <f>$R$2&amp;"|"&amp;AB10&amp;"$"&amp;$S$2&amp;"|"&amp;O10&amp;"$"&amp;$AW$2&amp;"|"&amp;AG10</f>
        <v/>
      </c>
      <c r="AN10" s="11">
        <f>$R$2&amp;"|"&amp;AB10&amp;"$"&amp;$S$2&amp;"|"&amp;O10&amp;"$"&amp;$BB$2&amp;"|"&amp;AG10</f>
        <v/>
      </c>
      <c r="AO10" s="11">
        <f>$R$2&amp;"|"&amp;AB10&amp;"$"&amp;$S$2&amp;"|"&amp;O10&amp;"$"&amp;$BG$2&amp;"|"&amp;AG10</f>
        <v/>
      </c>
    </row>
    <row r="11" ht="67.5" customHeight="1" s="59">
      <c r="A11" s="11" t="n">
        <v>9</v>
      </c>
      <c r="B11" s="11">
        <f>E11&amp;"|"&amp;F11&amp;"|"&amp;G11&amp;"|"&amp;H11&amp;"|"&amp;I11</f>
        <v/>
      </c>
      <c r="C11" s="11">
        <f>$E$2&amp;":"&amp;E11&amp;"\n"&amp;$F$2&amp;":"&amp;F11&amp;"\n"&amp;$G$2&amp;":"&amp;G11&amp;"\n"&amp;$H$2&amp;":"&amp;H11&amp;"\n"&amp;$I$2&amp;":"&amp;I11</f>
        <v/>
      </c>
      <c r="E11" s="11" t="n">
        <v>40</v>
      </c>
      <c r="F11" s="11" t="n">
        <v>40</v>
      </c>
      <c r="G11" s="11" t="n">
        <v>40</v>
      </c>
      <c r="H11" s="11" t="n">
        <v>40</v>
      </c>
      <c r="I11" s="11" t="n">
        <v>40</v>
      </c>
      <c r="K11" s="11" t="n"/>
      <c r="L11" s="11" t="n"/>
      <c r="M11" s="11" t="n"/>
      <c r="N11" s="5" t="n">
        <v>8</v>
      </c>
      <c r="O11" s="60">
        <f>($K$4*POWER(N11,$L$4))</f>
        <v/>
      </c>
      <c r="R11" s="61" t="n">
        <v>1620</v>
      </c>
      <c r="S11" s="11">
        <f>$R$2&amp;"|"&amp;AB11&amp;"$"&amp;$S$2&amp;"|"&amp;O11&amp;"$"&amp;$X$2&amp;"|"&amp;AG11</f>
        <v/>
      </c>
      <c r="AA11" s="11" t="n">
        <v>8</v>
      </c>
      <c r="AB11" s="60">
        <f>($X$4*POWER(AA11,$Y$4))</f>
        <v/>
      </c>
      <c r="AF11" s="11" t="n">
        <v>8</v>
      </c>
      <c r="AG11" s="60">
        <f>($AC$4*POWER(AF11,$AD$4))/8</f>
        <v/>
      </c>
      <c r="AI11" s="11">
        <f>$R$2&amp;"|"&amp;AB11&amp;"$"&amp;$S$2&amp;"|"&amp;O11&amp;"$"&amp;$AC$2&amp;"|"&amp;AG11</f>
        <v/>
      </c>
      <c r="AJ11" s="11">
        <f>$R$2&amp;"|"&amp;AB11&amp;"$"&amp;$S$2&amp;"|"&amp;O11&amp;"$"&amp;$AH$2&amp;"|"&amp;AG11</f>
        <v/>
      </c>
      <c r="AK11" s="11">
        <f>$R$2&amp;"|"&amp;AB11&amp;"$"&amp;$S$2&amp;"|"&amp;O11&amp;"$"&amp;$AM$2&amp;"|"&amp;AG11</f>
        <v/>
      </c>
      <c r="AL11" s="11">
        <f>$R$2&amp;"|"&amp;AB11&amp;"$"&amp;$S$2&amp;"|"&amp;O11&amp;"$"&amp;$AR$2&amp;"|"&amp;AG11</f>
        <v/>
      </c>
      <c r="AM11" s="11">
        <f>$R$2&amp;"|"&amp;AB11&amp;"$"&amp;$S$2&amp;"|"&amp;O11&amp;"$"&amp;$AW$2&amp;"|"&amp;AG11</f>
        <v/>
      </c>
      <c r="AN11" s="11">
        <f>$R$2&amp;"|"&amp;AB11&amp;"$"&amp;$S$2&amp;"|"&amp;O11&amp;"$"&amp;$BB$2&amp;"|"&amp;AG11</f>
        <v/>
      </c>
      <c r="AO11" s="11">
        <f>$R$2&amp;"|"&amp;AB11&amp;"$"&amp;$S$2&amp;"|"&amp;O11&amp;"$"&amp;$BG$2&amp;"|"&amp;AG11</f>
        <v/>
      </c>
    </row>
    <row r="12" ht="67.5" customHeight="1" s="59">
      <c r="A12" s="11" t="n">
        <v>10</v>
      </c>
      <c r="B12" s="11">
        <f>E12&amp;"|"&amp;F12&amp;"|"&amp;G12&amp;"|"&amp;H12&amp;"|"&amp;I12</f>
        <v/>
      </c>
      <c r="C12" s="11">
        <f>$E$2&amp;":"&amp;E12&amp;"\n"&amp;$F$2&amp;":"&amp;F12&amp;"\n"&amp;$G$2&amp;":"&amp;G12&amp;"\n"&amp;$H$2&amp;":"&amp;H12&amp;"\n"&amp;$I$2&amp;":"&amp;I12</f>
        <v/>
      </c>
      <c r="E12" s="11" t="n">
        <v>45</v>
      </c>
      <c r="F12" s="11" t="n">
        <v>45</v>
      </c>
      <c r="G12" s="11" t="n">
        <v>45</v>
      </c>
      <c r="H12" s="11" t="n">
        <v>45</v>
      </c>
      <c r="I12" s="11" t="n">
        <v>45</v>
      </c>
      <c r="K12" s="11" t="n"/>
      <c r="L12" s="11" t="n"/>
      <c r="M12" s="11" t="n"/>
      <c r="N12" s="5" t="n">
        <v>9</v>
      </c>
      <c r="O12" s="60">
        <f>($K$4*POWER(N12,$L$4))</f>
        <v/>
      </c>
      <c r="R12" s="61" t="n">
        <v>2050</v>
      </c>
      <c r="S12" s="11">
        <f>$R$2&amp;"|"&amp;AB12&amp;"$"&amp;$S$2&amp;"|"&amp;O12&amp;"$"&amp;$X$2&amp;"|"&amp;AG12</f>
        <v/>
      </c>
      <c r="T12" s="11" t="inlineStr">
        <is>
          <t>总共需要残页</t>
        </is>
      </c>
      <c r="AA12" s="5" t="n">
        <v>9</v>
      </c>
      <c r="AB12" s="60">
        <f>($X$4*POWER(AA12,$Y$4))</f>
        <v/>
      </c>
      <c r="AF12" s="5" t="n">
        <v>9</v>
      </c>
      <c r="AG12" s="60">
        <f>($AC$4*POWER(AF12,$AD$4))/8</f>
        <v/>
      </c>
      <c r="AI12" s="11">
        <f>$R$2&amp;"|"&amp;AB12&amp;"$"&amp;$S$2&amp;"|"&amp;O12&amp;"$"&amp;$AC$2&amp;"|"&amp;AG12</f>
        <v/>
      </c>
      <c r="AJ12" s="11">
        <f>$R$2&amp;"|"&amp;AB12&amp;"$"&amp;$S$2&amp;"|"&amp;O12&amp;"$"&amp;$AH$2&amp;"|"&amp;AG12</f>
        <v/>
      </c>
      <c r="AK12" s="11">
        <f>$R$2&amp;"|"&amp;AB12&amp;"$"&amp;$S$2&amp;"|"&amp;O12&amp;"$"&amp;$AM$2&amp;"|"&amp;AG12</f>
        <v/>
      </c>
      <c r="AL12" s="11">
        <f>$R$2&amp;"|"&amp;AB12&amp;"$"&amp;$S$2&amp;"|"&amp;O12&amp;"$"&amp;$AR$2&amp;"|"&amp;AG12</f>
        <v/>
      </c>
      <c r="AM12" s="11">
        <f>$R$2&amp;"|"&amp;AB12&amp;"$"&amp;$S$2&amp;"|"&amp;O12&amp;"$"&amp;$AW$2&amp;"|"&amp;AG12</f>
        <v/>
      </c>
      <c r="AN12" s="11">
        <f>$R$2&amp;"|"&amp;AB12&amp;"$"&amp;$S$2&amp;"|"&amp;O12&amp;"$"&amp;$BB$2&amp;"|"&amp;AG12</f>
        <v/>
      </c>
      <c r="AO12" s="11">
        <f>$R$2&amp;"|"&amp;AB12&amp;"$"&amp;$S$2&amp;"|"&amp;O12&amp;"$"&amp;$BG$2&amp;"|"&amp;AG12</f>
        <v/>
      </c>
    </row>
    <row r="13" ht="67.5" customHeight="1" s="59">
      <c r="A13" s="11" t="n">
        <v>11</v>
      </c>
      <c r="B13" s="11">
        <f>E13&amp;"|"&amp;F13&amp;"|"&amp;G13&amp;"|"&amp;H13&amp;"|"&amp;I13</f>
        <v/>
      </c>
      <c r="C13" s="11">
        <f>$E$2&amp;":"&amp;E13&amp;"\n"&amp;$F$2&amp;":"&amp;F13&amp;"\n"&amp;$G$2&amp;":"&amp;G13&amp;"\n"&amp;$H$2&amp;":"&amp;H13&amp;"\n"&amp;$I$2&amp;":"&amp;I13</f>
        <v/>
      </c>
      <c r="E13" s="11" t="n">
        <v>50</v>
      </c>
      <c r="F13" s="11" t="n">
        <v>50</v>
      </c>
      <c r="G13" s="11" t="n">
        <v>50</v>
      </c>
      <c r="H13" s="11" t="n">
        <v>50</v>
      </c>
      <c r="I13" s="11" t="n">
        <v>50</v>
      </c>
      <c r="K13" s="11" t="n"/>
      <c r="L13" s="11" t="n"/>
      <c r="M13" s="11" t="n"/>
      <c r="N13" s="5" t="n">
        <v>10</v>
      </c>
      <c r="O13" s="60">
        <f>($K$4*POWER(N13,$L$4))</f>
        <v/>
      </c>
      <c r="P13" s="62" t="n"/>
      <c r="R13" s="61" t="n">
        <v>2531</v>
      </c>
      <c r="S13" s="11">
        <f>$R$2&amp;"|"&amp;AB13&amp;"$"&amp;$T$2&amp;"|"&amp;O13&amp;"$"&amp;$Y$2&amp;"|"&amp;AG13</f>
        <v/>
      </c>
      <c r="T13" s="61">
        <f>SUM(O4:O13)</f>
        <v/>
      </c>
      <c r="AA13" s="11" t="n">
        <v>10</v>
      </c>
      <c r="AB13" s="60">
        <f>($X$4*POWER(AA13,$Y$4))</f>
        <v/>
      </c>
      <c r="AF13" s="11" t="n">
        <v>10</v>
      </c>
      <c r="AG13" s="60">
        <f>($AC$4*POWER(AF13,$AD$4))/8</f>
        <v/>
      </c>
      <c r="AI13" s="11">
        <f>$R$2&amp;"|"&amp;AB13&amp;"$"&amp;$T$2&amp;"|"&amp;O13&amp;"$"&amp;$AD$2&amp;"|"&amp;AG13</f>
        <v/>
      </c>
      <c r="AJ13" s="11">
        <f>$R$2&amp;"|"&amp;AB13&amp;"$"&amp;$T$2&amp;"|"&amp;O13&amp;"$"&amp;$AI$2&amp;"|"&amp;AG13</f>
        <v/>
      </c>
      <c r="AK13" s="11">
        <f>$R$2&amp;"|"&amp;AB13&amp;"$"&amp;$T$2&amp;"|"&amp;O13&amp;"$"&amp;$AN$2&amp;"|"&amp;AG13</f>
        <v/>
      </c>
      <c r="AL13" s="11">
        <f>$R$2&amp;"|"&amp;AB13&amp;"$"&amp;$T$2&amp;"|"&amp;O13&amp;"$"&amp;$AS$2&amp;"|"&amp;AG13</f>
        <v/>
      </c>
      <c r="AM13" s="11">
        <f>$R$2&amp;"|"&amp;AB13&amp;"$"&amp;$T$2&amp;"|"&amp;O13&amp;"$"&amp;$AX$2&amp;"|"&amp;AG13</f>
        <v/>
      </c>
      <c r="AN13" s="11">
        <f>$R$2&amp;"|"&amp;AB13&amp;"$"&amp;$T$2&amp;"|"&amp;O13&amp;"$"&amp;$BC$2&amp;"|"&amp;AG13</f>
        <v/>
      </c>
      <c r="AO13" s="11">
        <f>$R$2&amp;"|"&amp;AB13&amp;"$"&amp;$T$2&amp;"|"&amp;O13&amp;"$"&amp;$BH$2&amp;"|"&amp;AG13</f>
        <v/>
      </c>
      <c r="AP13" s="61">
        <f>SUM(AG4:AH13)</f>
        <v/>
      </c>
    </row>
    <row r="14" ht="67.5" customHeight="1" s="59">
      <c r="A14" s="11" t="n">
        <v>12</v>
      </c>
      <c r="B14" s="11">
        <f>E14&amp;"|"&amp;F14&amp;"|"&amp;G14&amp;"|"&amp;H14&amp;"|"&amp;I14</f>
        <v/>
      </c>
      <c r="C14" s="11">
        <f>$E$2&amp;":"&amp;E14&amp;"\n"&amp;$F$2&amp;":"&amp;F14&amp;"\n"&amp;$G$2&amp;":"&amp;G14&amp;"\n"&amp;$H$2&amp;":"&amp;H14&amp;"\n"&amp;$I$2&amp;":"&amp;I14</f>
        <v/>
      </c>
      <c r="E14" s="11" t="n">
        <v>55</v>
      </c>
      <c r="F14" s="11" t="n">
        <v>55</v>
      </c>
      <c r="G14" s="11" t="n">
        <v>55</v>
      </c>
      <c r="H14" s="11" t="n">
        <v>55</v>
      </c>
      <c r="I14" s="11" t="n">
        <v>55</v>
      </c>
      <c r="K14" s="11" t="n"/>
      <c r="L14" s="11" t="n"/>
      <c r="M14" s="11" t="n"/>
      <c r="N14" s="5" t="n">
        <v>11</v>
      </c>
      <c r="O14" s="60">
        <f>($K$4*POWER(N14,$L$4))</f>
        <v/>
      </c>
      <c r="P14" s="63" t="n">
        <v>3711</v>
      </c>
      <c r="Q14" s="14" t="n"/>
      <c r="R14" s="64" t="n">
        <v>3063</v>
      </c>
      <c r="S14" s="11">
        <f>$R$2&amp;"|"&amp;AB14&amp;"$"&amp;$T$2&amp;"|"&amp;O14&amp;"$"&amp;$Y$2&amp;"|"&amp;AG14</f>
        <v/>
      </c>
      <c r="AA14" s="5" t="n">
        <v>11</v>
      </c>
      <c r="AB14" s="60">
        <f>($X$4*POWER(AA14,$Y$4))</f>
        <v/>
      </c>
      <c r="AF14" s="11" t="n">
        <v>11</v>
      </c>
      <c r="AG14" s="60">
        <f>($AC$4*POWER(AF14,$AD$4))/8</f>
        <v/>
      </c>
      <c r="AI14" s="11">
        <f>$R$2&amp;"|"&amp;AB14&amp;"$"&amp;$T$2&amp;"|"&amp;O14&amp;"$"&amp;$AD$2&amp;"|"&amp;AG14</f>
        <v/>
      </c>
      <c r="AJ14" s="11">
        <f>$R$2&amp;"|"&amp;AB14&amp;"$"&amp;$T$2&amp;"|"&amp;O14&amp;"$"&amp;$AI$2&amp;"|"&amp;AG14</f>
        <v/>
      </c>
      <c r="AK14" s="11">
        <f>$R$2&amp;"|"&amp;AB14&amp;"$"&amp;$T$2&amp;"|"&amp;O14&amp;"$"&amp;$AN$2&amp;"|"&amp;AG14</f>
        <v/>
      </c>
      <c r="AL14" s="11">
        <f>$R$2&amp;"|"&amp;AB14&amp;"$"&amp;$T$2&amp;"|"&amp;O14&amp;"$"&amp;$AS$2&amp;"|"&amp;AG14</f>
        <v/>
      </c>
      <c r="AM14" s="11">
        <f>$R$2&amp;"|"&amp;AB14&amp;"$"&amp;$T$2&amp;"|"&amp;O14&amp;"$"&amp;$AX$2&amp;"|"&amp;AG14</f>
        <v/>
      </c>
      <c r="AN14" s="11">
        <f>$R$2&amp;"|"&amp;AB14&amp;"$"&amp;$T$2&amp;"|"&amp;O14&amp;"$"&amp;$BC$2&amp;"|"&amp;AG14</f>
        <v/>
      </c>
      <c r="AO14" s="11">
        <f>$R$2&amp;"|"&amp;AB14&amp;"$"&amp;$T$2&amp;"|"&amp;O14&amp;"$"&amp;$BH$2&amp;"|"&amp;AG14</f>
        <v/>
      </c>
    </row>
    <row r="15" ht="67.5" customHeight="1" s="59">
      <c r="A15" s="11" t="n">
        <v>13</v>
      </c>
      <c r="B15" s="11">
        <f>E15&amp;"|"&amp;F15&amp;"|"&amp;G15&amp;"|"&amp;H15&amp;"|"&amp;I15</f>
        <v/>
      </c>
      <c r="C15" s="11">
        <f>$E$2&amp;":"&amp;E15&amp;"\n"&amp;$F$2&amp;":"&amp;F15&amp;"\n"&amp;$G$2&amp;":"&amp;G15&amp;"\n"&amp;$H$2&amp;":"&amp;H15&amp;"\n"&amp;$I$2&amp;":"&amp;I15</f>
        <v/>
      </c>
      <c r="E15" s="11" t="n">
        <v>60</v>
      </c>
      <c r="F15" s="11" t="n">
        <v>60</v>
      </c>
      <c r="G15" s="11" t="n">
        <v>60</v>
      </c>
      <c r="H15" s="11" t="n">
        <v>60</v>
      </c>
      <c r="I15" s="11" t="n">
        <v>60</v>
      </c>
      <c r="K15" s="11" t="n"/>
      <c r="L15" s="11" t="n"/>
      <c r="M15" s="11" t="n"/>
      <c r="N15" s="5" t="n">
        <v>12</v>
      </c>
      <c r="O15" s="60">
        <f>($K$4*POWER(N15,$L$4))</f>
        <v/>
      </c>
      <c r="P15" s="63" t="n">
        <v>4416</v>
      </c>
      <c r="Q15" s="14" t="n"/>
      <c r="R15" s="64" t="n">
        <v>3645</v>
      </c>
      <c r="S15" s="11">
        <f>$R$2&amp;"|"&amp;AB15&amp;"$"&amp;$T$2&amp;"|"&amp;O15&amp;"$"&amp;$Y$2&amp;"|"&amp;AG15</f>
        <v/>
      </c>
      <c r="AA15" s="11" t="n">
        <v>12</v>
      </c>
      <c r="AB15" s="60">
        <f>($X$4*POWER(AA15,$Y$4))</f>
        <v/>
      </c>
      <c r="AF15" s="11" t="n">
        <v>12</v>
      </c>
      <c r="AG15" s="60">
        <f>($AC$4*POWER(AF15,$AD$4))/8</f>
        <v/>
      </c>
      <c r="AI15" s="11">
        <f>$R$2&amp;"|"&amp;AB15&amp;"$"&amp;$T$2&amp;"|"&amp;O15&amp;"$"&amp;$AD$2&amp;"|"&amp;AG15</f>
        <v/>
      </c>
      <c r="AJ15" s="11">
        <f>$R$2&amp;"|"&amp;AB15&amp;"$"&amp;$T$2&amp;"|"&amp;O15&amp;"$"&amp;$AI$2&amp;"|"&amp;AG15</f>
        <v/>
      </c>
      <c r="AK15" s="11">
        <f>$R$2&amp;"|"&amp;AB15&amp;"$"&amp;$T$2&amp;"|"&amp;O15&amp;"$"&amp;$AN$2&amp;"|"&amp;AG15</f>
        <v/>
      </c>
      <c r="AL15" s="11">
        <f>$R$2&amp;"|"&amp;AB15&amp;"$"&amp;$T$2&amp;"|"&amp;O15&amp;"$"&amp;$AS$2&amp;"|"&amp;AG15</f>
        <v/>
      </c>
      <c r="AM15" s="11">
        <f>$R$2&amp;"|"&amp;AB15&amp;"$"&amp;$T$2&amp;"|"&amp;O15&amp;"$"&amp;$AX$2&amp;"|"&amp;AG15</f>
        <v/>
      </c>
      <c r="AN15" s="11">
        <f>$R$2&amp;"|"&amp;AB15&amp;"$"&amp;$T$2&amp;"|"&amp;O15&amp;"$"&amp;$BC$2&amp;"|"&amp;AG15</f>
        <v/>
      </c>
      <c r="AO15" s="11">
        <f>$R$2&amp;"|"&amp;AB15&amp;"$"&amp;$T$2&amp;"|"&amp;O15&amp;"$"&amp;$BH$2&amp;"|"&amp;AG15</f>
        <v/>
      </c>
    </row>
    <row r="16" ht="67.5" customHeight="1" s="59">
      <c r="A16" s="11" t="n">
        <v>14</v>
      </c>
      <c r="B16" s="11">
        <f>E16&amp;"|"&amp;F16&amp;"|"&amp;G16&amp;"|"&amp;H16&amp;"|"&amp;I16</f>
        <v/>
      </c>
      <c r="C16" s="11">
        <f>$E$2&amp;":"&amp;E16&amp;"\n"&amp;$F$2&amp;":"&amp;F16&amp;"\n"&amp;$G$2&amp;":"&amp;G16&amp;"\n"&amp;$H$2&amp;":"&amp;H16&amp;"\n"&amp;$I$2&amp;":"&amp;I16</f>
        <v/>
      </c>
      <c r="E16" s="11" t="n">
        <v>65</v>
      </c>
      <c r="F16" s="11" t="n">
        <v>65</v>
      </c>
      <c r="G16" s="11" t="n">
        <v>65</v>
      </c>
      <c r="H16" s="11" t="n">
        <v>65</v>
      </c>
      <c r="I16" s="11" t="n">
        <v>65</v>
      </c>
      <c r="K16" s="11" t="n"/>
      <c r="L16" s="11" t="n"/>
      <c r="M16" s="11" t="n"/>
      <c r="N16" s="5" t="n">
        <v>13</v>
      </c>
      <c r="O16" s="60">
        <f>($K$4*POWER(N16,$L$4))</f>
        <v/>
      </c>
      <c r="P16" s="63" t="n">
        <v>5183</v>
      </c>
      <c r="Q16" s="14" t="n"/>
      <c r="R16" s="64" t="n">
        <v>4278</v>
      </c>
      <c r="S16" s="11">
        <f>$R$2&amp;"|"&amp;AB16&amp;"$"&amp;$T$2&amp;"|"&amp;O16&amp;"$"&amp;$Y$2&amp;"|"&amp;AG16</f>
        <v/>
      </c>
      <c r="AA16" s="5" t="n">
        <v>13</v>
      </c>
      <c r="AB16" s="60">
        <f>($X$4*POWER(AA16,$Y$4))</f>
        <v/>
      </c>
      <c r="AF16" s="11" t="n">
        <v>13</v>
      </c>
      <c r="AG16" s="60">
        <f>($AC$4*POWER(AF16,$AD$4))/8</f>
        <v/>
      </c>
      <c r="AI16" s="11">
        <f>$R$2&amp;"|"&amp;AB16&amp;"$"&amp;$T$2&amp;"|"&amp;O16&amp;"$"&amp;$AD$2&amp;"|"&amp;AG16</f>
        <v/>
      </c>
      <c r="AJ16" s="11">
        <f>$R$2&amp;"|"&amp;AB16&amp;"$"&amp;$T$2&amp;"|"&amp;O16&amp;"$"&amp;$AI$2&amp;"|"&amp;AG16</f>
        <v/>
      </c>
      <c r="AK16" s="11">
        <f>$R$2&amp;"|"&amp;AB16&amp;"$"&amp;$T$2&amp;"|"&amp;O16&amp;"$"&amp;$AN$2&amp;"|"&amp;AG16</f>
        <v/>
      </c>
      <c r="AL16" s="11">
        <f>$R$2&amp;"|"&amp;AB16&amp;"$"&amp;$T$2&amp;"|"&amp;O16&amp;"$"&amp;$AS$2&amp;"|"&amp;AG16</f>
        <v/>
      </c>
      <c r="AM16" s="11">
        <f>$R$2&amp;"|"&amp;AB16&amp;"$"&amp;$T$2&amp;"|"&amp;O16&amp;"$"&amp;$AX$2&amp;"|"&amp;AG16</f>
        <v/>
      </c>
      <c r="AN16" s="11">
        <f>$R$2&amp;"|"&amp;AB16&amp;"$"&amp;$T$2&amp;"|"&amp;O16&amp;"$"&amp;$BC$2&amp;"|"&amp;AG16</f>
        <v/>
      </c>
      <c r="AO16" s="11">
        <f>$R$2&amp;"|"&amp;AB16&amp;"$"&amp;$T$2&amp;"|"&amp;O16&amp;"$"&amp;$BH$2&amp;"|"&amp;AG16</f>
        <v/>
      </c>
    </row>
    <row r="17" ht="67.5" customHeight="1" s="59">
      <c r="A17" s="11" t="n">
        <v>15</v>
      </c>
      <c r="B17" s="11">
        <f>E17&amp;"|"&amp;F17&amp;"|"&amp;G17&amp;"|"&amp;H17&amp;"|"&amp;I17</f>
        <v/>
      </c>
      <c r="C17" s="11">
        <f>$E$2&amp;":"&amp;E17&amp;"\n"&amp;$F$2&amp;":"&amp;F17&amp;"\n"&amp;$G$2&amp;":"&amp;G17&amp;"\n"&amp;$H$2&amp;":"&amp;H17&amp;"\n"&amp;$I$2&amp;":"&amp;I17</f>
        <v/>
      </c>
      <c r="E17" s="11" t="n">
        <v>70</v>
      </c>
      <c r="F17" s="11" t="n">
        <v>70</v>
      </c>
      <c r="G17" s="11" t="n">
        <v>70</v>
      </c>
      <c r="H17" s="11" t="n">
        <v>70</v>
      </c>
      <c r="I17" s="11" t="n">
        <v>70</v>
      </c>
      <c r="K17" s="11" t="n"/>
      <c r="L17" s="11" t="n"/>
      <c r="M17" s="11" t="n"/>
      <c r="N17" s="5" t="n">
        <v>14</v>
      </c>
      <c r="O17" s="60">
        <f>($K$4*POWER(N17,$L$4))</f>
        <v/>
      </c>
      <c r="P17" s="63" t="n">
        <v>6011</v>
      </c>
      <c r="Q17" s="14" t="n"/>
      <c r="R17" s="64" t="n">
        <v>4961</v>
      </c>
      <c r="S17" s="11">
        <f>$R$2&amp;"|"&amp;AB17&amp;"$"&amp;$T$2&amp;"|"&amp;O17&amp;"$"&amp;$Y$2&amp;"|"&amp;AG17</f>
        <v/>
      </c>
      <c r="AA17" s="11" t="n">
        <v>14</v>
      </c>
      <c r="AB17" s="60">
        <f>($X$4*POWER(AA17,$Y$4))</f>
        <v/>
      </c>
      <c r="AF17" s="11" t="n">
        <v>14</v>
      </c>
      <c r="AG17" s="60">
        <f>($AC$4*POWER(AF17,$AD$4))/8</f>
        <v/>
      </c>
      <c r="AI17" s="11">
        <f>$R$2&amp;"|"&amp;AB17&amp;"$"&amp;$T$2&amp;"|"&amp;O17&amp;"$"&amp;$AD$2&amp;"|"&amp;AG17</f>
        <v/>
      </c>
      <c r="AJ17" s="11">
        <f>$R$2&amp;"|"&amp;AB17&amp;"$"&amp;$T$2&amp;"|"&amp;O17&amp;"$"&amp;$AI$2&amp;"|"&amp;AG17</f>
        <v/>
      </c>
      <c r="AK17" s="11">
        <f>$R$2&amp;"|"&amp;AB17&amp;"$"&amp;$T$2&amp;"|"&amp;O17&amp;"$"&amp;$AN$2&amp;"|"&amp;AG17</f>
        <v/>
      </c>
      <c r="AL17" s="11">
        <f>$R$2&amp;"|"&amp;AB17&amp;"$"&amp;$T$2&amp;"|"&amp;O17&amp;"$"&amp;$AS$2&amp;"|"&amp;AG17</f>
        <v/>
      </c>
      <c r="AM17" s="11">
        <f>$R$2&amp;"|"&amp;AB17&amp;"$"&amp;$T$2&amp;"|"&amp;O17&amp;"$"&amp;$AX$2&amp;"|"&amp;AG17</f>
        <v/>
      </c>
      <c r="AN17" s="11">
        <f>$R$2&amp;"|"&amp;AB17&amp;"$"&amp;$T$2&amp;"|"&amp;O17&amp;"$"&amp;$BC$2&amp;"|"&amp;AG17</f>
        <v/>
      </c>
      <c r="AO17" s="11">
        <f>$R$2&amp;"|"&amp;AB17&amp;"$"&amp;$T$2&amp;"|"&amp;O17&amp;"$"&amp;$BH$2&amp;"|"&amp;AG17</f>
        <v/>
      </c>
    </row>
    <row r="18" ht="67.5" customHeight="1" s="59">
      <c r="A18" s="11" t="n">
        <v>16</v>
      </c>
      <c r="B18" s="11">
        <f>E18&amp;"|"&amp;F18&amp;"|"&amp;G18&amp;"|"&amp;H18&amp;"|"&amp;I18</f>
        <v/>
      </c>
      <c r="C18" s="11">
        <f>$E$2&amp;":"&amp;E18&amp;"\n"&amp;$F$2&amp;":"&amp;F18&amp;"\n"&amp;$G$2&amp;":"&amp;G18&amp;"\n"&amp;$H$2&amp;":"&amp;H18&amp;"\n"&amp;$I$2&amp;":"&amp;I18</f>
        <v/>
      </c>
      <c r="E18" s="11" t="n">
        <v>75</v>
      </c>
      <c r="F18" s="11" t="n">
        <v>75</v>
      </c>
      <c r="G18" s="11" t="n">
        <v>75</v>
      </c>
      <c r="H18" s="11" t="n">
        <v>75</v>
      </c>
      <c r="I18" s="11" t="n">
        <v>75</v>
      </c>
      <c r="N18" s="5" t="n">
        <v>15</v>
      </c>
      <c r="O18" s="60">
        <f>($K$4*POWER(N18,$L$4))</f>
        <v/>
      </c>
      <c r="P18" s="63" t="n">
        <v>6900</v>
      </c>
      <c r="Q18" s="14" t="n"/>
      <c r="R18" s="64" t="n">
        <v>5695</v>
      </c>
      <c r="S18" s="11">
        <f>$R$2&amp;"|"&amp;AB18&amp;"$"&amp;$T$2&amp;"|"&amp;O18&amp;"$"&amp;$Y$2&amp;"|"&amp;AG18</f>
        <v/>
      </c>
      <c r="AA18" s="5" t="n">
        <v>15</v>
      </c>
      <c r="AB18" s="60">
        <f>($X$4*POWER(AA18,$Y$4))</f>
        <v/>
      </c>
      <c r="AF18" s="11" t="n">
        <v>15</v>
      </c>
      <c r="AG18" s="60">
        <f>($AC$4*POWER(AF18,$AD$4))/8</f>
        <v/>
      </c>
      <c r="AI18" s="11">
        <f>$R$2&amp;"|"&amp;AB18&amp;"$"&amp;$T$2&amp;"|"&amp;O18&amp;"$"&amp;$AD$2&amp;"|"&amp;AG18</f>
        <v/>
      </c>
      <c r="AJ18" s="11">
        <f>$R$2&amp;"|"&amp;AB18&amp;"$"&amp;$T$2&amp;"|"&amp;O18&amp;"$"&amp;$AI$2&amp;"|"&amp;AG18</f>
        <v/>
      </c>
      <c r="AK18" s="11">
        <f>$R$2&amp;"|"&amp;AB18&amp;"$"&amp;$T$2&amp;"|"&amp;O18&amp;"$"&amp;$AN$2&amp;"|"&amp;AG18</f>
        <v/>
      </c>
      <c r="AL18" s="11">
        <f>$R$2&amp;"|"&amp;AB18&amp;"$"&amp;$T$2&amp;"|"&amp;O18&amp;"$"&amp;$AS$2&amp;"|"&amp;AG18</f>
        <v/>
      </c>
      <c r="AM18" s="11">
        <f>$R$2&amp;"|"&amp;AB18&amp;"$"&amp;$T$2&amp;"|"&amp;O18&amp;"$"&amp;$AX$2&amp;"|"&amp;AG18</f>
        <v/>
      </c>
      <c r="AN18" s="11">
        <f>$R$2&amp;"|"&amp;AB18&amp;"$"&amp;$T$2&amp;"|"&amp;O18&amp;"$"&amp;$BC$2&amp;"|"&amp;AG18</f>
        <v/>
      </c>
      <c r="AO18" s="11">
        <f>$R$2&amp;"|"&amp;AB18&amp;"$"&amp;$T$2&amp;"|"&amp;O18&amp;"$"&amp;$BH$2&amp;"|"&amp;AG18</f>
        <v/>
      </c>
    </row>
    <row r="19" ht="67.5" customHeight="1" s="59">
      <c r="A19" s="11" t="n">
        <v>17</v>
      </c>
      <c r="B19" s="11">
        <f>E19&amp;"|"&amp;F19&amp;"|"&amp;G19&amp;"|"&amp;H19&amp;"|"&amp;I19</f>
        <v/>
      </c>
      <c r="C19" s="11">
        <f>$E$2&amp;":"&amp;E19&amp;"\n"&amp;$F$2&amp;":"&amp;F19&amp;"\n"&amp;$G$2&amp;":"&amp;G19&amp;"\n"&amp;$H$2&amp;":"&amp;H19&amp;"\n"&amp;$I$2&amp;":"&amp;I19</f>
        <v/>
      </c>
      <c r="E19" s="11" t="n">
        <v>80</v>
      </c>
      <c r="F19" s="11" t="n">
        <v>80</v>
      </c>
      <c r="G19" s="11" t="n">
        <v>80</v>
      </c>
      <c r="H19" s="11" t="n">
        <v>80</v>
      </c>
      <c r="I19" s="11" t="n">
        <v>80</v>
      </c>
      <c r="N19" s="5" t="n">
        <v>16</v>
      </c>
      <c r="O19" s="60">
        <f>($K$4*POWER(N19,$L$4))</f>
        <v/>
      </c>
      <c r="P19" s="63" t="n">
        <v>7851</v>
      </c>
      <c r="Q19" s="14" t="n"/>
      <c r="R19" s="64" t="n">
        <v>6480</v>
      </c>
      <c r="S19" s="11">
        <f>$R$2&amp;"|"&amp;AB19&amp;"$"&amp;$T$2&amp;"|"&amp;O19&amp;"$"&amp;$Y$2&amp;"|"&amp;AG19</f>
        <v/>
      </c>
      <c r="AA19" s="11" t="n">
        <v>16</v>
      </c>
      <c r="AB19" s="60">
        <f>($X$4*POWER(AA19,$Y$4))</f>
        <v/>
      </c>
      <c r="AF19" s="11" t="n">
        <v>16</v>
      </c>
      <c r="AG19" s="60">
        <f>($AC$4*POWER(AF19,$AD$4))/8</f>
        <v/>
      </c>
      <c r="AI19" s="11">
        <f>$R$2&amp;"|"&amp;AB19&amp;"$"&amp;$T$2&amp;"|"&amp;O19&amp;"$"&amp;$AD$2&amp;"|"&amp;AG19</f>
        <v/>
      </c>
      <c r="AJ19" s="11">
        <f>$R$2&amp;"|"&amp;AB19&amp;"$"&amp;$T$2&amp;"|"&amp;O19&amp;"$"&amp;$AI$2&amp;"|"&amp;AG19</f>
        <v/>
      </c>
      <c r="AK19" s="11">
        <f>$R$2&amp;"|"&amp;AB19&amp;"$"&amp;$T$2&amp;"|"&amp;O19&amp;"$"&amp;$AN$2&amp;"|"&amp;AG19</f>
        <v/>
      </c>
      <c r="AL19" s="11">
        <f>$R$2&amp;"|"&amp;AB19&amp;"$"&amp;$T$2&amp;"|"&amp;O19&amp;"$"&amp;$AS$2&amp;"|"&amp;AG19</f>
        <v/>
      </c>
      <c r="AM19" s="11">
        <f>$R$2&amp;"|"&amp;AB19&amp;"$"&amp;$T$2&amp;"|"&amp;O19&amp;"$"&amp;$AX$2&amp;"|"&amp;AG19</f>
        <v/>
      </c>
      <c r="AN19" s="11">
        <f>$R$2&amp;"|"&amp;AB19&amp;"$"&amp;$T$2&amp;"|"&amp;O19&amp;"$"&amp;$BC$2&amp;"|"&amp;AG19</f>
        <v/>
      </c>
      <c r="AO19" s="11">
        <f>$R$2&amp;"|"&amp;AB19&amp;"$"&amp;$T$2&amp;"|"&amp;O19&amp;"$"&amp;$BH$2&amp;"|"&amp;AG19</f>
        <v/>
      </c>
    </row>
    <row r="20" ht="67.5" customHeight="1" s="59">
      <c r="A20" s="11" t="n">
        <v>18</v>
      </c>
      <c r="B20" s="11">
        <f>E20&amp;"|"&amp;F20&amp;"|"&amp;G20&amp;"|"&amp;H20&amp;"|"&amp;I20</f>
        <v/>
      </c>
      <c r="C20" s="11">
        <f>$E$2&amp;":"&amp;E20&amp;"\n"&amp;$F$2&amp;":"&amp;F20&amp;"\n"&amp;$G$2&amp;":"&amp;G20&amp;"\n"&amp;$H$2&amp;":"&amp;H20&amp;"\n"&amp;$I$2&amp;":"&amp;I20</f>
        <v/>
      </c>
      <c r="E20" s="11" t="n">
        <v>85</v>
      </c>
      <c r="F20" s="11" t="n">
        <v>85</v>
      </c>
      <c r="G20" s="11" t="n">
        <v>85</v>
      </c>
      <c r="H20" s="11" t="n">
        <v>85</v>
      </c>
      <c r="I20" s="11" t="n">
        <v>85</v>
      </c>
      <c r="N20" s="5" t="n">
        <v>17</v>
      </c>
      <c r="O20" s="60">
        <f>($K$4*POWER(N20,$L$4))</f>
        <v/>
      </c>
      <c r="P20" s="63" t="n">
        <v>8863</v>
      </c>
      <c r="Q20" s="14" t="n"/>
      <c r="R20" s="64" t="n">
        <v>7315</v>
      </c>
      <c r="S20" s="11">
        <f>$R$2&amp;"|"&amp;AB20&amp;"$"&amp;$T$2&amp;"|"&amp;O20&amp;"$"&amp;$Y$2&amp;"|"&amp;AG20</f>
        <v/>
      </c>
      <c r="AA20" s="5" t="n">
        <v>17</v>
      </c>
      <c r="AB20" s="60">
        <f>($X$4*POWER(AA20,$Y$4))</f>
        <v/>
      </c>
      <c r="AF20" s="11" t="n">
        <v>17</v>
      </c>
      <c r="AG20" s="60">
        <f>($AC$4*POWER(AF20,$AD$4))/8</f>
        <v/>
      </c>
      <c r="AI20" s="11">
        <f>$R$2&amp;"|"&amp;AB20&amp;"$"&amp;$T$2&amp;"|"&amp;O20&amp;"$"&amp;$AD$2&amp;"|"&amp;AG20</f>
        <v/>
      </c>
      <c r="AJ20" s="11">
        <f>$R$2&amp;"|"&amp;AB20&amp;"$"&amp;$T$2&amp;"|"&amp;O20&amp;"$"&amp;$AI$2&amp;"|"&amp;AG20</f>
        <v/>
      </c>
      <c r="AK20" s="11">
        <f>$R$2&amp;"|"&amp;AB20&amp;"$"&amp;$T$2&amp;"|"&amp;O20&amp;"$"&amp;$AN$2&amp;"|"&amp;AG20</f>
        <v/>
      </c>
      <c r="AL20" s="11">
        <f>$R$2&amp;"|"&amp;AB20&amp;"$"&amp;$T$2&amp;"|"&amp;O20&amp;"$"&amp;$AS$2&amp;"|"&amp;AG20</f>
        <v/>
      </c>
      <c r="AM20" s="11">
        <f>$R$2&amp;"|"&amp;AB20&amp;"$"&amp;$T$2&amp;"|"&amp;O20&amp;"$"&amp;$AX$2&amp;"|"&amp;AG20</f>
        <v/>
      </c>
      <c r="AN20" s="11">
        <f>$R$2&amp;"|"&amp;AB20&amp;"$"&amp;$T$2&amp;"|"&amp;O20&amp;"$"&amp;$BC$2&amp;"|"&amp;AG20</f>
        <v/>
      </c>
      <c r="AO20" s="11">
        <f>$R$2&amp;"|"&amp;AB20&amp;"$"&amp;$T$2&amp;"|"&amp;O20&amp;"$"&amp;$BH$2&amp;"|"&amp;AG20</f>
        <v/>
      </c>
    </row>
    <row r="21" ht="67.5" customHeight="1" s="59">
      <c r="A21" s="11" t="n">
        <v>19</v>
      </c>
      <c r="B21" s="11">
        <f>E21&amp;"|"&amp;F21&amp;"|"&amp;G21&amp;"|"&amp;H21&amp;"|"&amp;I21</f>
        <v/>
      </c>
      <c r="C21" s="11">
        <f>$E$2&amp;":"&amp;E21&amp;"\n"&amp;$F$2&amp;":"&amp;F21&amp;"\n"&amp;$G$2&amp;":"&amp;G21&amp;"\n"&amp;$H$2&amp;":"&amp;H21&amp;"\n"&amp;$I$2&amp;":"&amp;I21</f>
        <v/>
      </c>
      <c r="E21" s="11" t="n">
        <v>90</v>
      </c>
      <c r="F21" s="11" t="n">
        <v>90</v>
      </c>
      <c r="G21" s="11" t="n">
        <v>90</v>
      </c>
      <c r="H21" s="11" t="n">
        <v>90</v>
      </c>
      <c r="I21" s="11" t="n">
        <v>90</v>
      </c>
      <c r="N21" s="5" t="n">
        <v>18</v>
      </c>
      <c r="O21" s="60">
        <f>($K$4*POWER(N21,$L$4))</f>
        <v/>
      </c>
      <c r="P21" s="63" t="n">
        <v>9936</v>
      </c>
      <c r="Q21" s="14" t="n"/>
      <c r="R21" s="64" t="n">
        <v>8201</v>
      </c>
      <c r="S21" s="11">
        <f>$R$2&amp;"|"&amp;AB21&amp;"$"&amp;$T$2&amp;"|"&amp;O21&amp;"$"&amp;$Y$2&amp;"|"&amp;AG21</f>
        <v/>
      </c>
      <c r="AA21" s="11" t="n">
        <v>18</v>
      </c>
      <c r="AB21" s="60">
        <f>($X$4*POWER(AA21,$Y$4))</f>
        <v/>
      </c>
      <c r="AF21" s="11" t="n">
        <v>18</v>
      </c>
      <c r="AG21" s="60">
        <f>($AC$4*POWER(AF21,$AD$4))/8</f>
        <v/>
      </c>
      <c r="AI21" s="11">
        <f>$R$2&amp;"|"&amp;AB21&amp;"$"&amp;$T$2&amp;"|"&amp;O21&amp;"$"&amp;$AD$2&amp;"|"&amp;AG21</f>
        <v/>
      </c>
      <c r="AJ21" s="11">
        <f>$R$2&amp;"|"&amp;AB21&amp;"$"&amp;$T$2&amp;"|"&amp;O21&amp;"$"&amp;$AI$2&amp;"|"&amp;AG21</f>
        <v/>
      </c>
      <c r="AK21" s="11">
        <f>$R$2&amp;"|"&amp;AB21&amp;"$"&amp;$T$2&amp;"|"&amp;O21&amp;"$"&amp;$AN$2&amp;"|"&amp;AG21</f>
        <v/>
      </c>
      <c r="AL21" s="11">
        <f>$R$2&amp;"|"&amp;AB21&amp;"$"&amp;$T$2&amp;"|"&amp;O21&amp;"$"&amp;$AS$2&amp;"|"&amp;AG21</f>
        <v/>
      </c>
      <c r="AM21" s="11">
        <f>$R$2&amp;"|"&amp;AB21&amp;"$"&amp;$T$2&amp;"|"&amp;O21&amp;"$"&amp;$AX$2&amp;"|"&amp;AG21</f>
        <v/>
      </c>
      <c r="AN21" s="11">
        <f>$R$2&amp;"|"&amp;AB21&amp;"$"&amp;$T$2&amp;"|"&amp;O21&amp;"$"&amp;$BC$2&amp;"|"&amp;AG21</f>
        <v/>
      </c>
      <c r="AO21" s="11">
        <f>$R$2&amp;"|"&amp;AB21&amp;"$"&amp;$T$2&amp;"|"&amp;O21&amp;"$"&amp;$BH$2&amp;"|"&amp;AG21</f>
        <v/>
      </c>
    </row>
    <row r="22" ht="67.5" customHeight="1" s="59">
      <c r="A22" s="11" t="n">
        <v>20</v>
      </c>
      <c r="B22" s="11">
        <f>E22&amp;"|"&amp;F22&amp;"|"&amp;G22&amp;"|"&amp;H22&amp;"|"&amp;I22</f>
        <v/>
      </c>
      <c r="C22" s="11">
        <f>$E$2&amp;":"&amp;E22&amp;"\n"&amp;$F$2&amp;":"&amp;F22&amp;"\n"&amp;$G$2&amp;":"&amp;G22&amp;"\n"&amp;$H$2&amp;":"&amp;H22&amp;"\n"&amp;$I$2&amp;":"&amp;I22</f>
        <v/>
      </c>
      <c r="E22" s="11" t="n">
        <v>95</v>
      </c>
      <c r="F22" s="11" t="n">
        <v>95</v>
      </c>
      <c r="G22" s="11" t="n">
        <v>95</v>
      </c>
      <c r="H22" s="11" t="n">
        <v>95</v>
      </c>
      <c r="I22" s="11" t="n">
        <v>95</v>
      </c>
      <c r="N22" s="5" t="n">
        <v>19</v>
      </c>
      <c r="O22" s="60">
        <f>($K$4*POWER(N22,$L$4))</f>
        <v/>
      </c>
      <c r="P22" s="63" t="n">
        <v>11071</v>
      </c>
      <c r="Q22" s="14" t="n"/>
      <c r="R22" s="64" t="n">
        <v>9138</v>
      </c>
      <c r="S22" s="11">
        <f>$R$2&amp;"|"&amp;AB22&amp;"$"&amp;$T$2&amp;"|"&amp;O22&amp;"$"&amp;$Y$2&amp;"|"&amp;AG22</f>
        <v/>
      </c>
      <c r="AA22" s="5" t="n">
        <v>19</v>
      </c>
      <c r="AB22" s="60">
        <f>($X$4*POWER(AA22,$Y$4))</f>
        <v/>
      </c>
      <c r="AF22" s="11" t="n">
        <v>19</v>
      </c>
      <c r="AG22" s="60">
        <f>($AC$4*POWER(AF22,$AD$4))/8</f>
        <v/>
      </c>
      <c r="AI22" s="11">
        <f>$R$2&amp;"|"&amp;AB22&amp;"$"&amp;$T$2&amp;"|"&amp;O22&amp;"$"&amp;$AD$2&amp;"|"&amp;AG22</f>
        <v/>
      </c>
      <c r="AJ22" s="11">
        <f>$R$2&amp;"|"&amp;AB22&amp;"$"&amp;$T$2&amp;"|"&amp;O22&amp;"$"&amp;$AI$2&amp;"|"&amp;AG22</f>
        <v/>
      </c>
      <c r="AK22" s="11">
        <f>$R$2&amp;"|"&amp;AB22&amp;"$"&amp;$T$2&amp;"|"&amp;O22&amp;"$"&amp;$AN$2&amp;"|"&amp;AG22</f>
        <v/>
      </c>
      <c r="AL22" s="11">
        <f>$R$2&amp;"|"&amp;AB22&amp;"$"&amp;$T$2&amp;"|"&amp;O22&amp;"$"&amp;$AS$2&amp;"|"&amp;AG22</f>
        <v/>
      </c>
      <c r="AM22" s="11">
        <f>$R$2&amp;"|"&amp;AB22&amp;"$"&amp;$T$2&amp;"|"&amp;O22&amp;"$"&amp;$AX$2&amp;"|"&amp;AG22</f>
        <v/>
      </c>
      <c r="AN22" s="11">
        <f>$R$2&amp;"|"&amp;AB22&amp;"$"&amp;$T$2&amp;"|"&amp;O22&amp;"$"&amp;$BC$2&amp;"|"&amp;AG22</f>
        <v/>
      </c>
      <c r="AO22" s="11">
        <f>$R$2&amp;"|"&amp;AB22&amp;"$"&amp;$T$2&amp;"|"&amp;O22&amp;"$"&amp;$BH$2&amp;"|"&amp;AG22</f>
        <v/>
      </c>
    </row>
    <row r="23" ht="67.5" customHeight="1" s="59">
      <c r="A23" s="11" t="n">
        <v>21</v>
      </c>
      <c r="B23" s="11">
        <f>E23&amp;"|"&amp;F23&amp;"|"&amp;G23&amp;"|"&amp;H23&amp;"|"&amp;I23</f>
        <v/>
      </c>
      <c r="C23" s="11">
        <f>$E$2&amp;":"&amp;E23&amp;"\n"&amp;$F$2&amp;":"&amp;F23&amp;"\n"&amp;$G$2&amp;":"&amp;G23&amp;"\n"&amp;$H$2&amp;":"&amp;H23&amp;"\n"&amp;$I$2&amp;":"&amp;I23</f>
        <v/>
      </c>
      <c r="E23" s="11" t="n">
        <v>100</v>
      </c>
      <c r="F23" s="11" t="n">
        <v>100</v>
      </c>
      <c r="G23" s="11" t="n">
        <v>100</v>
      </c>
      <c r="H23" s="11" t="n">
        <v>100</v>
      </c>
      <c r="I23" s="11" t="n">
        <v>100</v>
      </c>
      <c r="N23" s="5" t="n">
        <v>20</v>
      </c>
      <c r="O23" s="60">
        <f>($K$4*POWER(N23,$L$4))</f>
        <v/>
      </c>
      <c r="P23" s="63" t="n">
        <v>12267</v>
      </c>
      <c r="Q23" s="14" t="n"/>
      <c r="R23" s="64" t="n">
        <v>10125</v>
      </c>
      <c r="S23" s="11">
        <f>$R$2&amp;"|"&amp;AB23&amp;"$"&amp;$U$2&amp;"|"&amp;O23&amp;"$"&amp;$Z$2&amp;"|"&amp;AG23</f>
        <v/>
      </c>
      <c r="AA23" s="11" t="n">
        <v>20</v>
      </c>
      <c r="AB23" s="60">
        <f>($X$4*POWER(AA23,$Y$4))</f>
        <v/>
      </c>
      <c r="AF23" s="11" t="n">
        <v>20</v>
      </c>
      <c r="AG23" s="60">
        <f>($AC$4*POWER(AF23,$AD$4))/8</f>
        <v/>
      </c>
      <c r="AI23" s="11">
        <f>$R$2&amp;"|"&amp;AB23&amp;"$"&amp;$U$2&amp;"|"&amp;O23&amp;"$"&amp;$AE$2&amp;"|"&amp;AG23</f>
        <v/>
      </c>
      <c r="AJ23" s="11">
        <f>$R$2&amp;"|"&amp;AB23&amp;"$"&amp;$U$2&amp;"|"&amp;O23&amp;"$"&amp;$AJ$2&amp;"|"&amp;AG23</f>
        <v/>
      </c>
      <c r="AK23" s="11">
        <f>$R$2&amp;"|"&amp;AB23&amp;"$"&amp;$U$2&amp;"|"&amp;O23&amp;"$"&amp;$AO$2&amp;"|"&amp;AG23</f>
        <v/>
      </c>
      <c r="AL23" s="11">
        <f>$R$2&amp;"|"&amp;AB23&amp;"$"&amp;$U$2&amp;"|"&amp;O23&amp;"$"&amp;$AT$2&amp;"|"&amp;AG23</f>
        <v/>
      </c>
      <c r="AM23" s="11">
        <f>$R$2&amp;"|"&amp;AB23&amp;"$"&amp;$U$2&amp;"|"&amp;O23&amp;"$"&amp;$AY$2&amp;"|"&amp;AG23</f>
        <v/>
      </c>
      <c r="AN23" s="11">
        <f>$R$2&amp;"|"&amp;AB23&amp;"$"&amp;$U$2&amp;"|"&amp;O23&amp;"$"&amp;$BD$2&amp;"|"&amp;AG23</f>
        <v/>
      </c>
      <c r="AO23" s="11">
        <f>$R$2&amp;"|"&amp;AB23&amp;"$"&amp;$U$2&amp;"|"&amp;O23&amp;"$"&amp;$BI$2&amp;"|"&amp;AG23</f>
        <v/>
      </c>
    </row>
    <row r="24" ht="67.5" customHeight="1" s="59">
      <c r="A24" s="11" t="n">
        <v>22</v>
      </c>
      <c r="B24" s="11">
        <f>E24&amp;"|"&amp;F24&amp;"|"&amp;G24&amp;"|"&amp;H24&amp;"|"&amp;I24</f>
        <v/>
      </c>
      <c r="C24" s="11">
        <f>$E$2&amp;":"&amp;E24&amp;"\n"&amp;$F$2&amp;":"&amp;F24&amp;"\n"&amp;$G$2&amp;":"&amp;G24&amp;"\n"&amp;$H$2&amp;":"&amp;H24&amp;"\n"&amp;$I$2&amp;":"&amp;I24</f>
        <v/>
      </c>
      <c r="E24" s="11" t="n">
        <v>105</v>
      </c>
      <c r="F24" s="11" t="n">
        <v>105</v>
      </c>
      <c r="G24" s="11" t="n">
        <v>105</v>
      </c>
      <c r="H24" s="11" t="n">
        <v>105</v>
      </c>
      <c r="I24" s="11" t="n">
        <v>105</v>
      </c>
      <c r="N24" s="5" t="n">
        <v>21</v>
      </c>
      <c r="O24" s="60">
        <f>($K$4*POWER(N24,$L$4))</f>
        <v/>
      </c>
      <c r="P24" s="65" t="n">
        <v>6762</v>
      </c>
      <c r="R24" s="61" t="n">
        <v>11163</v>
      </c>
      <c r="S24" s="11">
        <f>$R$2&amp;"|"&amp;AB24&amp;"$"&amp;$U$2&amp;"|"&amp;O24&amp;"$"&amp;$Z$2&amp;"|"&amp;AG24</f>
        <v/>
      </c>
      <c r="AA24" s="5" t="n">
        <v>21</v>
      </c>
      <c r="AB24" s="60">
        <f>($X$4*POWER(AA24,$Y$4))</f>
        <v/>
      </c>
      <c r="AF24" s="11" t="n">
        <v>21</v>
      </c>
      <c r="AG24" s="60">
        <f>($AC$4*POWER(AF24,$AD$4))/8</f>
        <v/>
      </c>
      <c r="AI24" s="11">
        <f>$R$2&amp;"|"&amp;AB24&amp;"$"&amp;$U$2&amp;"|"&amp;O24&amp;"$"&amp;$AE$2&amp;"|"&amp;AG24</f>
        <v/>
      </c>
      <c r="AJ24" s="11">
        <f>$R$2&amp;"|"&amp;AB24&amp;"$"&amp;$U$2&amp;"|"&amp;O24&amp;"$"&amp;$AJ$2&amp;"|"&amp;AG24</f>
        <v/>
      </c>
      <c r="AK24" s="11">
        <f>$R$2&amp;"|"&amp;AB24&amp;"$"&amp;$U$2&amp;"|"&amp;O24&amp;"$"&amp;$AO$2&amp;"|"&amp;AG24</f>
        <v/>
      </c>
      <c r="AL24" s="11">
        <f>$R$2&amp;"|"&amp;AB24&amp;"$"&amp;$U$2&amp;"|"&amp;O24&amp;"$"&amp;$AT$2&amp;"|"&amp;AG24</f>
        <v/>
      </c>
      <c r="AM24" s="11">
        <f>$R$2&amp;"|"&amp;AB24&amp;"$"&amp;$U$2&amp;"|"&amp;O24&amp;"$"&amp;$AY$2&amp;"|"&amp;AG24</f>
        <v/>
      </c>
      <c r="AN24" s="11">
        <f>$R$2&amp;"|"&amp;AB24&amp;"$"&amp;$U$2&amp;"|"&amp;O24&amp;"$"&amp;$BD$2&amp;"|"&amp;AG24</f>
        <v/>
      </c>
      <c r="AO24" s="11">
        <f>$R$2&amp;"|"&amp;AB24&amp;"$"&amp;$U$2&amp;"|"&amp;O24&amp;"$"&amp;$BI$2&amp;"|"&amp;AG24</f>
        <v/>
      </c>
    </row>
    <row r="25" ht="67.5" customHeight="1" s="59">
      <c r="A25" s="11" t="n">
        <v>23</v>
      </c>
      <c r="B25" s="11">
        <f>E25&amp;"|"&amp;F25&amp;"|"&amp;G25&amp;"|"&amp;H25&amp;"|"&amp;I25</f>
        <v/>
      </c>
      <c r="C25" s="11">
        <f>$E$2&amp;":"&amp;E25&amp;"\n"&amp;$F$2&amp;":"&amp;F25&amp;"\n"&amp;$G$2&amp;":"&amp;G25&amp;"\n"&amp;$H$2&amp;":"&amp;H25&amp;"\n"&amp;$I$2&amp;":"&amp;I25</f>
        <v/>
      </c>
      <c r="E25" s="11" t="n">
        <v>110</v>
      </c>
      <c r="F25" s="11" t="n">
        <v>110</v>
      </c>
      <c r="G25" s="11" t="n">
        <v>110</v>
      </c>
      <c r="H25" s="11" t="n">
        <v>110</v>
      </c>
      <c r="I25" s="11" t="n">
        <v>110</v>
      </c>
      <c r="N25" s="5" t="n">
        <v>22</v>
      </c>
      <c r="O25" s="60">
        <f>($K$4*POWER(N25,$L$4))</f>
        <v/>
      </c>
      <c r="P25" s="65" t="n">
        <v>7421</v>
      </c>
      <c r="R25" s="61" t="n">
        <v>12251</v>
      </c>
      <c r="S25" s="11">
        <f>$R$2&amp;"|"&amp;AB25&amp;"$"&amp;$U$2&amp;"|"&amp;O25&amp;"$"&amp;$Z$2&amp;"|"&amp;AG25</f>
        <v/>
      </c>
      <c r="AA25" s="11" t="n">
        <v>22</v>
      </c>
      <c r="AB25" s="60">
        <f>($X$4*POWER(AA25,$Y$4))</f>
        <v/>
      </c>
      <c r="AF25" s="11" t="n">
        <v>22</v>
      </c>
      <c r="AG25" s="60">
        <f>($AC$4*POWER(AF25,$AD$4))/8</f>
        <v/>
      </c>
      <c r="AI25" s="11">
        <f>$R$2&amp;"|"&amp;AB25&amp;"$"&amp;$U$2&amp;"|"&amp;O25&amp;"$"&amp;$AE$2&amp;"|"&amp;AG25</f>
        <v/>
      </c>
      <c r="AJ25" s="11">
        <f>$R$2&amp;"|"&amp;AB25&amp;"$"&amp;$U$2&amp;"|"&amp;O25&amp;"$"&amp;$AJ$2&amp;"|"&amp;AG25</f>
        <v/>
      </c>
      <c r="AK25" s="11">
        <f>$R$2&amp;"|"&amp;AB25&amp;"$"&amp;$U$2&amp;"|"&amp;O25&amp;"$"&amp;$AO$2&amp;"|"&amp;AG25</f>
        <v/>
      </c>
      <c r="AL25" s="11">
        <f>$R$2&amp;"|"&amp;AB25&amp;"$"&amp;$U$2&amp;"|"&amp;O25&amp;"$"&amp;$AT$2&amp;"|"&amp;AG25</f>
        <v/>
      </c>
      <c r="AM25" s="11">
        <f>$R$2&amp;"|"&amp;AB25&amp;"$"&amp;$U$2&amp;"|"&amp;O25&amp;"$"&amp;$AY$2&amp;"|"&amp;AG25</f>
        <v/>
      </c>
      <c r="AN25" s="11">
        <f>$R$2&amp;"|"&amp;AB25&amp;"$"&amp;$U$2&amp;"|"&amp;O25&amp;"$"&amp;$BD$2&amp;"|"&amp;AG25</f>
        <v/>
      </c>
      <c r="AO25" s="11">
        <f>$R$2&amp;"|"&amp;AB25&amp;"$"&amp;$U$2&amp;"|"&amp;O25&amp;"$"&amp;$BI$2&amp;"|"&amp;AG25</f>
        <v/>
      </c>
    </row>
    <row r="26" ht="67.5" customHeight="1" s="59">
      <c r="A26" s="11" t="n">
        <v>24</v>
      </c>
      <c r="B26" s="11">
        <f>E26&amp;"|"&amp;F26&amp;"|"&amp;G26&amp;"|"&amp;H26&amp;"|"&amp;I26</f>
        <v/>
      </c>
      <c r="C26" s="11">
        <f>$E$2&amp;":"&amp;E26&amp;"\n"&amp;$F$2&amp;":"&amp;F26&amp;"\n"&amp;$G$2&amp;":"&amp;G26&amp;"\n"&amp;$H$2&amp;":"&amp;H26&amp;"\n"&amp;$I$2&amp;":"&amp;I26</f>
        <v/>
      </c>
      <c r="E26" s="11" t="n">
        <v>115</v>
      </c>
      <c r="F26" s="11" t="n">
        <v>115</v>
      </c>
      <c r="G26" s="11" t="n">
        <v>115</v>
      </c>
      <c r="H26" s="11" t="n">
        <v>115</v>
      </c>
      <c r="I26" s="11" t="n">
        <v>115</v>
      </c>
      <c r="N26" s="5" t="n">
        <v>23</v>
      </c>
      <c r="O26" s="60">
        <f>($K$4*POWER(N26,$L$4))</f>
        <v/>
      </c>
      <c r="P26" s="65" t="n">
        <v>8111</v>
      </c>
      <c r="R26" s="61" t="n">
        <v>13390</v>
      </c>
      <c r="S26" s="11">
        <f>$R$2&amp;"|"&amp;AB26&amp;"$"&amp;$U$2&amp;"|"&amp;O26&amp;"$"&amp;$Z$2&amp;"|"&amp;AG26</f>
        <v/>
      </c>
      <c r="AA26" s="5" t="n">
        <v>23</v>
      </c>
      <c r="AB26" s="60">
        <f>($X$4*POWER(AA26,$Y$4))</f>
        <v/>
      </c>
      <c r="AF26" s="11" t="n">
        <v>23</v>
      </c>
      <c r="AG26" s="60">
        <f>($AC$4*POWER(AF26,$AD$4))/8</f>
        <v/>
      </c>
      <c r="AI26" s="11">
        <f>$R$2&amp;"|"&amp;AB26&amp;"$"&amp;$U$2&amp;"|"&amp;O26&amp;"$"&amp;$AE$2&amp;"|"&amp;AG26</f>
        <v/>
      </c>
      <c r="AJ26" s="11">
        <f>$R$2&amp;"|"&amp;AB26&amp;"$"&amp;$U$2&amp;"|"&amp;O26&amp;"$"&amp;$AJ$2&amp;"|"&amp;AG26</f>
        <v/>
      </c>
      <c r="AK26" s="11">
        <f>$R$2&amp;"|"&amp;AB26&amp;"$"&amp;$U$2&amp;"|"&amp;O26&amp;"$"&amp;$AO$2&amp;"|"&amp;AG26</f>
        <v/>
      </c>
      <c r="AL26" s="11">
        <f>$R$2&amp;"|"&amp;AB26&amp;"$"&amp;$U$2&amp;"|"&amp;O26&amp;"$"&amp;$AT$2&amp;"|"&amp;AG26</f>
        <v/>
      </c>
      <c r="AM26" s="11">
        <f>$R$2&amp;"|"&amp;AB26&amp;"$"&amp;$U$2&amp;"|"&amp;O26&amp;"$"&amp;$AY$2&amp;"|"&amp;AG26</f>
        <v/>
      </c>
      <c r="AN26" s="11">
        <f>$R$2&amp;"|"&amp;AB26&amp;"$"&amp;$U$2&amp;"|"&amp;O26&amp;"$"&amp;$BD$2&amp;"|"&amp;AG26</f>
        <v/>
      </c>
      <c r="AO26" s="11">
        <f>$R$2&amp;"|"&amp;AB26&amp;"$"&amp;$U$2&amp;"|"&amp;O26&amp;"$"&amp;$BI$2&amp;"|"&amp;AG26</f>
        <v/>
      </c>
    </row>
    <row r="27" ht="67.5" customHeight="1" s="59">
      <c r="A27" s="11" t="n">
        <v>25</v>
      </c>
      <c r="B27" s="11">
        <f>E27&amp;"|"&amp;F27&amp;"|"&amp;G27&amp;"|"&amp;H27&amp;"|"&amp;I27</f>
        <v/>
      </c>
      <c r="C27" s="11">
        <f>$E$2&amp;":"&amp;E27&amp;"\n"&amp;$F$2&amp;":"&amp;F27&amp;"\n"&amp;$G$2&amp;":"&amp;G27&amp;"\n"&amp;$H$2&amp;":"&amp;H27&amp;"\n"&amp;$I$2&amp;":"&amp;I27</f>
        <v/>
      </c>
      <c r="E27" s="11" t="n">
        <v>120</v>
      </c>
      <c r="F27" s="11" t="n">
        <v>120</v>
      </c>
      <c r="G27" s="11" t="n">
        <v>120</v>
      </c>
      <c r="H27" s="11" t="n">
        <v>120</v>
      </c>
      <c r="I27" s="11" t="n">
        <v>120</v>
      </c>
      <c r="N27" s="5" t="n">
        <v>24</v>
      </c>
      <c r="O27" s="60">
        <f>($K$4*POWER(N27,$L$4))</f>
        <v/>
      </c>
      <c r="P27" s="65" t="n">
        <v>8832</v>
      </c>
      <c r="R27" s="61" t="n">
        <v>14580</v>
      </c>
      <c r="S27" s="11">
        <f>$R$2&amp;"|"&amp;AB27&amp;"$"&amp;$U$2&amp;"|"&amp;O27&amp;"$"&amp;$Z$2&amp;"|"&amp;AG27</f>
        <v/>
      </c>
      <c r="AA27" s="11" t="n">
        <v>24</v>
      </c>
      <c r="AB27" s="60">
        <f>($X$4*POWER(AA27,$Y$4))</f>
        <v/>
      </c>
      <c r="AF27" s="11" t="n">
        <v>24</v>
      </c>
      <c r="AG27" s="60">
        <f>($AC$4*POWER(AF27,$AD$4))/8</f>
        <v/>
      </c>
      <c r="AI27" s="11">
        <f>$R$2&amp;"|"&amp;AB27&amp;"$"&amp;$U$2&amp;"|"&amp;O27&amp;"$"&amp;$AE$2&amp;"|"&amp;AG27</f>
        <v/>
      </c>
      <c r="AJ27" s="11">
        <f>$R$2&amp;"|"&amp;AB27&amp;"$"&amp;$U$2&amp;"|"&amp;O27&amp;"$"&amp;$AJ$2&amp;"|"&amp;AG27</f>
        <v/>
      </c>
      <c r="AK27" s="11">
        <f>$R$2&amp;"|"&amp;AB27&amp;"$"&amp;$U$2&amp;"|"&amp;O27&amp;"$"&amp;$AO$2&amp;"|"&amp;AG27</f>
        <v/>
      </c>
      <c r="AL27" s="11">
        <f>$R$2&amp;"|"&amp;AB27&amp;"$"&amp;$U$2&amp;"|"&amp;O27&amp;"$"&amp;$AT$2&amp;"|"&amp;AG27</f>
        <v/>
      </c>
      <c r="AM27" s="11">
        <f>$R$2&amp;"|"&amp;AB27&amp;"$"&amp;$U$2&amp;"|"&amp;O27&amp;"$"&amp;$AY$2&amp;"|"&amp;AG27</f>
        <v/>
      </c>
      <c r="AN27" s="11">
        <f>$R$2&amp;"|"&amp;AB27&amp;"$"&amp;$U$2&amp;"|"&amp;O27&amp;"$"&amp;$BD$2&amp;"|"&amp;AG27</f>
        <v/>
      </c>
      <c r="AO27" s="11">
        <f>$R$2&amp;"|"&amp;AB27&amp;"$"&amp;$U$2&amp;"|"&amp;O27&amp;"$"&amp;$BI$2&amp;"|"&amp;AG27</f>
        <v/>
      </c>
    </row>
    <row r="28" ht="67.5" customHeight="1" s="59">
      <c r="A28" s="11" t="n">
        <v>26</v>
      </c>
      <c r="B28" s="11">
        <f>E28&amp;"|"&amp;F28&amp;"|"&amp;G28&amp;"|"&amp;H28&amp;"|"&amp;I28</f>
        <v/>
      </c>
      <c r="C28" s="11">
        <f>$E$2&amp;":"&amp;E28&amp;"\n"&amp;$F$2&amp;":"&amp;F28&amp;"\n"&amp;$G$2&amp;":"&amp;G28&amp;"\n"&amp;$H$2&amp;":"&amp;H28&amp;"\n"&amp;$I$2&amp;":"&amp;I28</f>
        <v/>
      </c>
      <c r="E28" s="11" t="n">
        <v>125</v>
      </c>
      <c r="F28" s="11" t="n">
        <v>125</v>
      </c>
      <c r="G28" s="11" t="n">
        <v>125</v>
      </c>
      <c r="H28" s="11" t="n">
        <v>125</v>
      </c>
      <c r="I28" s="11" t="n">
        <v>125</v>
      </c>
      <c r="N28" s="5" t="n">
        <v>25</v>
      </c>
      <c r="O28" s="60">
        <f>($K$4*POWER(N28,$L$4))</f>
        <v/>
      </c>
      <c r="P28" s="65" t="n">
        <v>9583</v>
      </c>
      <c r="R28" s="61" t="n">
        <v>15820</v>
      </c>
      <c r="S28" s="11">
        <f>$R$2&amp;"|"&amp;AB28&amp;"$"&amp;$U$2&amp;"|"&amp;O28&amp;"$"&amp;$Z$2&amp;"|"&amp;AG28</f>
        <v/>
      </c>
      <c r="AA28" s="5" t="n">
        <v>25</v>
      </c>
      <c r="AB28" s="60">
        <f>($X$4*POWER(AA28,$Y$4))</f>
        <v/>
      </c>
      <c r="AF28" s="11" t="n">
        <v>25</v>
      </c>
      <c r="AG28" s="60">
        <f>($AC$4*POWER(AF28,$AD$4))/8</f>
        <v/>
      </c>
      <c r="AI28" s="11">
        <f>$R$2&amp;"|"&amp;AB28&amp;"$"&amp;$U$2&amp;"|"&amp;O28&amp;"$"&amp;$AE$2&amp;"|"&amp;AG28</f>
        <v/>
      </c>
      <c r="AJ28" s="11">
        <f>$R$2&amp;"|"&amp;AB28&amp;"$"&amp;$U$2&amp;"|"&amp;O28&amp;"$"&amp;$AJ$2&amp;"|"&amp;AG28</f>
        <v/>
      </c>
      <c r="AK28" s="11">
        <f>$R$2&amp;"|"&amp;AB28&amp;"$"&amp;$U$2&amp;"|"&amp;O28&amp;"$"&amp;$AO$2&amp;"|"&amp;AG28</f>
        <v/>
      </c>
      <c r="AL28" s="11">
        <f>$R$2&amp;"|"&amp;AB28&amp;"$"&amp;$U$2&amp;"|"&amp;O28&amp;"$"&amp;$AT$2&amp;"|"&amp;AG28</f>
        <v/>
      </c>
      <c r="AM28" s="11">
        <f>$R$2&amp;"|"&amp;AB28&amp;"$"&amp;$U$2&amp;"|"&amp;O28&amp;"$"&amp;$AY$2&amp;"|"&amp;AG28</f>
        <v/>
      </c>
      <c r="AN28" s="11">
        <f>$R$2&amp;"|"&amp;AB28&amp;"$"&amp;$U$2&amp;"|"&amp;O28&amp;"$"&amp;$BD$2&amp;"|"&amp;AG28</f>
        <v/>
      </c>
      <c r="AO28" s="11">
        <f>$R$2&amp;"|"&amp;AB28&amp;"$"&amp;$U$2&amp;"|"&amp;O28&amp;"$"&amp;$BI$2&amp;"|"&amp;AG28</f>
        <v/>
      </c>
    </row>
    <row r="29" ht="67.5" customHeight="1" s="59">
      <c r="A29" s="11" t="n">
        <v>27</v>
      </c>
      <c r="B29" s="11">
        <f>E29&amp;"|"&amp;F29&amp;"|"&amp;G29&amp;"|"&amp;H29&amp;"|"&amp;I29</f>
        <v/>
      </c>
      <c r="C29" s="11">
        <f>$E$2&amp;":"&amp;E29&amp;"\n"&amp;$F$2&amp;":"&amp;F29&amp;"\n"&amp;$G$2&amp;":"&amp;G29&amp;"\n"&amp;$H$2&amp;":"&amp;H29&amp;"\n"&amp;$I$2&amp;":"&amp;I29</f>
        <v/>
      </c>
      <c r="E29" s="11" t="n">
        <v>130</v>
      </c>
      <c r="F29" s="11" t="n">
        <v>130</v>
      </c>
      <c r="G29" s="11" t="n">
        <v>130</v>
      </c>
      <c r="H29" s="11" t="n">
        <v>130</v>
      </c>
      <c r="I29" s="11" t="n">
        <v>130</v>
      </c>
      <c r="N29" s="5" t="n">
        <v>26</v>
      </c>
      <c r="O29" s="60">
        <f>($K$4*POWER(N29,$L$4))</f>
        <v/>
      </c>
      <c r="P29" s="65" t="n">
        <v>10365</v>
      </c>
      <c r="R29" s="61" t="n">
        <v>17111</v>
      </c>
      <c r="S29" s="11">
        <f>$R$2&amp;"|"&amp;AB29&amp;"$"&amp;$U$2&amp;"|"&amp;O29&amp;"$"&amp;$Z$2&amp;"|"&amp;AG29</f>
        <v/>
      </c>
      <c r="AA29" s="11" t="n">
        <v>26</v>
      </c>
      <c r="AB29" s="60">
        <f>($X$4*POWER(AA29,$Y$4))</f>
        <v/>
      </c>
      <c r="AF29" s="11" t="n">
        <v>26</v>
      </c>
      <c r="AG29" s="60">
        <f>($AC$4*POWER(AF29,$AD$4))/8</f>
        <v/>
      </c>
      <c r="AI29" s="11">
        <f>$R$2&amp;"|"&amp;AB29&amp;"$"&amp;$U$2&amp;"|"&amp;O29&amp;"$"&amp;$AE$2&amp;"|"&amp;AG29</f>
        <v/>
      </c>
      <c r="AJ29" s="11">
        <f>$R$2&amp;"|"&amp;AB29&amp;"$"&amp;$U$2&amp;"|"&amp;O29&amp;"$"&amp;$AJ$2&amp;"|"&amp;AG29</f>
        <v/>
      </c>
      <c r="AK29" s="11">
        <f>$R$2&amp;"|"&amp;AB29&amp;"$"&amp;$U$2&amp;"|"&amp;O29&amp;"$"&amp;$AO$2&amp;"|"&amp;AG29</f>
        <v/>
      </c>
      <c r="AL29" s="11">
        <f>$R$2&amp;"|"&amp;AB29&amp;"$"&amp;$U$2&amp;"|"&amp;O29&amp;"$"&amp;$AT$2&amp;"|"&amp;AG29</f>
        <v/>
      </c>
      <c r="AM29" s="11">
        <f>$R$2&amp;"|"&amp;AB29&amp;"$"&amp;$U$2&amp;"|"&amp;O29&amp;"$"&amp;$AY$2&amp;"|"&amp;AG29</f>
        <v/>
      </c>
      <c r="AN29" s="11">
        <f>$R$2&amp;"|"&amp;AB29&amp;"$"&amp;$U$2&amp;"|"&amp;O29&amp;"$"&amp;$BD$2&amp;"|"&amp;AG29</f>
        <v/>
      </c>
      <c r="AO29" s="11">
        <f>$R$2&amp;"|"&amp;AB29&amp;"$"&amp;$U$2&amp;"|"&amp;O29&amp;"$"&amp;$BI$2&amp;"|"&amp;AG29</f>
        <v/>
      </c>
    </row>
    <row r="30" ht="67.5" customHeight="1" s="59">
      <c r="A30" s="11" t="n">
        <v>28</v>
      </c>
      <c r="B30" s="11">
        <f>E30&amp;"|"&amp;F30&amp;"|"&amp;G30&amp;"|"&amp;H30&amp;"|"&amp;I30</f>
        <v/>
      </c>
      <c r="C30" s="11">
        <f>$E$2&amp;":"&amp;E30&amp;"\n"&amp;$F$2&amp;":"&amp;F30&amp;"\n"&amp;$G$2&amp;":"&amp;G30&amp;"\n"&amp;$H$2&amp;":"&amp;H30&amp;"\n"&amp;$I$2&amp;":"&amp;I30</f>
        <v/>
      </c>
      <c r="E30" s="11" t="n">
        <v>135</v>
      </c>
      <c r="F30" s="11" t="n">
        <v>135</v>
      </c>
      <c r="G30" s="11" t="n">
        <v>135</v>
      </c>
      <c r="H30" s="11" t="n">
        <v>135</v>
      </c>
      <c r="I30" s="11" t="n">
        <v>135</v>
      </c>
      <c r="N30" s="5" t="n">
        <v>27</v>
      </c>
      <c r="O30" s="60">
        <f>($K$4*POWER(N30,$L$4))</f>
        <v/>
      </c>
      <c r="P30" s="65" t="n">
        <v>11178</v>
      </c>
      <c r="R30" s="61" t="n">
        <v>18453</v>
      </c>
      <c r="S30" s="11">
        <f>$R$2&amp;"|"&amp;AB30&amp;"$"&amp;$U$2&amp;"|"&amp;O30&amp;"$"&amp;$Z$2&amp;"|"&amp;AG30</f>
        <v/>
      </c>
      <c r="AA30" s="5" t="n">
        <v>27</v>
      </c>
      <c r="AB30" s="60">
        <f>($X$4*POWER(AA30,$Y$4))</f>
        <v/>
      </c>
      <c r="AF30" s="11" t="n">
        <v>27</v>
      </c>
      <c r="AG30" s="60">
        <f>($AC$4*POWER(AF30,$AD$4))/8</f>
        <v/>
      </c>
      <c r="AI30" s="11">
        <f>$R$2&amp;"|"&amp;AB30&amp;"$"&amp;$U$2&amp;"|"&amp;O30&amp;"$"&amp;$AE$2&amp;"|"&amp;AG30</f>
        <v/>
      </c>
      <c r="AJ30" s="11">
        <f>$R$2&amp;"|"&amp;AB30&amp;"$"&amp;$U$2&amp;"|"&amp;O30&amp;"$"&amp;$AJ$2&amp;"|"&amp;AG30</f>
        <v/>
      </c>
      <c r="AK30" s="11">
        <f>$R$2&amp;"|"&amp;AB30&amp;"$"&amp;$U$2&amp;"|"&amp;O30&amp;"$"&amp;$AO$2&amp;"|"&amp;AG30</f>
        <v/>
      </c>
      <c r="AL30" s="11">
        <f>$R$2&amp;"|"&amp;AB30&amp;"$"&amp;$U$2&amp;"|"&amp;O30&amp;"$"&amp;$AT$2&amp;"|"&amp;AG30</f>
        <v/>
      </c>
      <c r="AM30" s="11">
        <f>$R$2&amp;"|"&amp;AB30&amp;"$"&amp;$U$2&amp;"|"&amp;O30&amp;"$"&amp;$AY$2&amp;"|"&amp;AG30</f>
        <v/>
      </c>
      <c r="AN30" s="11">
        <f>$R$2&amp;"|"&amp;AB30&amp;"$"&amp;$U$2&amp;"|"&amp;O30&amp;"$"&amp;$BD$2&amp;"|"&amp;AG30</f>
        <v/>
      </c>
      <c r="AO30" s="11">
        <f>$R$2&amp;"|"&amp;AB30&amp;"$"&amp;$U$2&amp;"|"&amp;O30&amp;"$"&amp;$BI$2&amp;"|"&amp;AG30</f>
        <v/>
      </c>
    </row>
    <row r="31" ht="67.5" customHeight="1" s="59">
      <c r="A31" s="11" t="n">
        <v>29</v>
      </c>
      <c r="B31" s="11">
        <f>E31&amp;"|"&amp;F31&amp;"|"&amp;G31&amp;"|"&amp;H31&amp;"|"&amp;I31</f>
        <v/>
      </c>
      <c r="C31" s="11">
        <f>$E$2&amp;":"&amp;E31&amp;"\n"&amp;$F$2&amp;":"&amp;F31&amp;"\n"&amp;$G$2&amp;":"&amp;G31&amp;"\n"&amp;$H$2&amp;":"&amp;H31&amp;"\n"&amp;$I$2&amp;":"&amp;I31</f>
        <v/>
      </c>
      <c r="E31" s="11" t="n">
        <v>140</v>
      </c>
      <c r="F31" s="11" t="n">
        <v>140</v>
      </c>
      <c r="G31" s="11" t="n">
        <v>140</v>
      </c>
      <c r="H31" s="11" t="n">
        <v>140</v>
      </c>
      <c r="I31" s="11" t="n">
        <v>140</v>
      </c>
      <c r="N31" s="5" t="n">
        <v>28</v>
      </c>
      <c r="O31" s="60">
        <f>($K$4*POWER(N31,$L$4))</f>
        <v/>
      </c>
      <c r="P31" s="65" t="n">
        <v>12021</v>
      </c>
      <c r="R31" s="61" t="n">
        <v>19845</v>
      </c>
      <c r="S31" s="11">
        <f>$R$2&amp;"|"&amp;AB31&amp;"$"&amp;$U$2&amp;"|"&amp;O31&amp;"$"&amp;$Z$2&amp;"|"&amp;AG31</f>
        <v/>
      </c>
      <c r="AA31" s="11" t="n">
        <v>28</v>
      </c>
      <c r="AB31" s="60">
        <f>($X$4*POWER(AA31,$Y$4))</f>
        <v/>
      </c>
      <c r="AF31" s="11" t="n">
        <v>28</v>
      </c>
      <c r="AG31" s="60">
        <f>($AC$4*POWER(AF31,$AD$4))/8</f>
        <v/>
      </c>
      <c r="AI31" s="11">
        <f>$R$2&amp;"|"&amp;AB31&amp;"$"&amp;$U$2&amp;"|"&amp;O31&amp;"$"&amp;$AE$2&amp;"|"&amp;AG31</f>
        <v/>
      </c>
      <c r="AJ31" s="11">
        <f>$R$2&amp;"|"&amp;AB31&amp;"$"&amp;$U$2&amp;"|"&amp;O31&amp;"$"&amp;$AJ$2&amp;"|"&amp;AG31</f>
        <v/>
      </c>
      <c r="AK31" s="11">
        <f>$R$2&amp;"|"&amp;AB31&amp;"$"&amp;$U$2&amp;"|"&amp;O31&amp;"$"&amp;$AO$2&amp;"|"&amp;AG31</f>
        <v/>
      </c>
      <c r="AL31" s="11">
        <f>$R$2&amp;"|"&amp;AB31&amp;"$"&amp;$U$2&amp;"|"&amp;O31&amp;"$"&amp;$AT$2&amp;"|"&amp;AG31</f>
        <v/>
      </c>
      <c r="AM31" s="11">
        <f>$R$2&amp;"|"&amp;AB31&amp;"$"&amp;$U$2&amp;"|"&amp;O31&amp;"$"&amp;$AY$2&amp;"|"&amp;AG31</f>
        <v/>
      </c>
      <c r="AN31" s="11">
        <f>$R$2&amp;"|"&amp;AB31&amp;"$"&amp;$U$2&amp;"|"&amp;O31&amp;"$"&amp;$BD$2&amp;"|"&amp;AG31</f>
        <v/>
      </c>
      <c r="AO31" s="11">
        <f>$R$2&amp;"|"&amp;AB31&amp;"$"&amp;$U$2&amp;"|"&amp;O31&amp;"$"&amp;$BI$2&amp;"|"&amp;AG31</f>
        <v/>
      </c>
    </row>
    <row r="32" ht="67.5" customHeight="1" s="59">
      <c r="A32" s="11" t="n">
        <v>30</v>
      </c>
      <c r="B32" s="11">
        <f>E32&amp;"|"&amp;F32&amp;"|"&amp;G32&amp;"|"&amp;H32&amp;"|"&amp;I32</f>
        <v/>
      </c>
      <c r="C32" s="11">
        <f>$E$2&amp;":"&amp;E32&amp;"\n"&amp;$F$2&amp;":"&amp;F32&amp;"\n"&amp;$G$2&amp;":"&amp;G32&amp;"\n"&amp;$H$2&amp;":"&amp;H32&amp;"\n"&amp;$I$2&amp;":"&amp;I32</f>
        <v/>
      </c>
      <c r="E32" s="11" t="n">
        <v>145</v>
      </c>
      <c r="F32" s="11" t="n">
        <v>145</v>
      </c>
      <c r="G32" s="11" t="n">
        <v>145</v>
      </c>
      <c r="H32" s="11" t="n">
        <v>145</v>
      </c>
      <c r="I32" s="11" t="n">
        <v>145</v>
      </c>
      <c r="N32" s="5" t="n">
        <v>29</v>
      </c>
      <c r="O32" s="60">
        <f>($K$4*POWER(N32,$L$4))</f>
        <v/>
      </c>
      <c r="P32" s="65" t="n">
        <v>12895</v>
      </c>
      <c r="R32" s="61" t="n">
        <v>21288</v>
      </c>
      <c r="S32" s="11">
        <f>$R$2&amp;"|"&amp;AB32&amp;"$"&amp;$U$2&amp;"|"&amp;O32&amp;"$"&amp;$Z$2&amp;"|"&amp;AG32</f>
        <v/>
      </c>
      <c r="AA32" s="5" t="n">
        <v>29</v>
      </c>
      <c r="AB32" s="60">
        <f>($X$4*POWER(AA32,$Y$4))</f>
        <v/>
      </c>
      <c r="AF32" s="11" t="n">
        <v>29</v>
      </c>
      <c r="AG32" s="60">
        <f>($AC$4*POWER(AF32,$AD$4))/8</f>
        <v/>
      </c>
      <c r="AI32" s="11">
        <f>$R$2&amp;"|"&amp;AB32&amp;"$"&amp;$U$2&amp;"|"&amp;O32&amp;"$"&amp;$AE$2&amp;"|"&amp;AG32</f>
        <v/>
      </c>
      <c r="AJ32" s="11">
        <f>$R$2&amp;"|"&amp;AB32&amp;"$"&amp;$U$2&amp;"|"&amp;O32&amp;"$"&amp;$AJ$2&amp;"|"&amp;AG32</f>
        <v/>
      </c>
      <c r="AK32" s="11">
        <f>$R$2&amp;"|"&amp;AB32&amp;"$"&amp;$U$2&amp;"|"&amp;O32&amp;"$"&amp;$AO$2&amp;"|"&amp;AG32</f>
        <v/>
      </c>
      <c r="AL32" s="11">
        <f>$R$2&amp;"|"&amp;AB32&amp;"$"&amp;$U$2&amp;"|"&amp;O32&amp;"$"&amp;$AT$2&amp;"|"&amp;AG32</f>
        <v/>
      </c>
      <c r="AM32" s="11">
        <f>$R$2&amp;"|"&amp;AB32&amp;"$"&amp;$U$2&amp;"|"&amp;O32&amp;"$"&amp;$AY$2&amp;"|"&amp;AG32</f>
        <v/>
      </c>
      <c r="AN32" s="11">
        <f>$R$2&amp;"|"&amp;AB32&amp;"$"&amp;$U$2&amp;"|"&amp;O32&amp;"$"&amp;$BD$2&amp;"|"&amp;AG32</f>
        <v/>
      </c>
      <c r="AO32" s="11">
        <f>$R$2&amp;"|"&amp;AB32&amp;"$"&amp;$U$2&amp;"|"&amp;O32&amp;"$"&amp;$BI$2&amp;"|"&amp;AG32</f>
        <v/>
      </c>
    </row>
    <row r="33" ht="67.5" customHeight="1" s="59">
      <c r="A33" s="11" t="n">
        <v>31</v>
      </c>
      <c r="B33" s="11">
        <f>E33&amp;"|"&amp;F33&amp;"|"&amp;G33&amp;"|"&amp;H33&amp;"|"&amp;I33</f>
        <v/>
      </c>
      <c r="C33" s="11">
        <f>$E$2&amp;":"&amp;E33&amp;"\n"&amp;$F$2&amp;":"&amp;F33&amp;"\n"&amp;$G$2&amp;":"&amp;G33&amp;"\n"&amp;$H$2&amp;":"&amp;H33&amp;"\n"&amp;$I$2&amp;":"&amp;I33</f>
        <v/>
      </c>
      <c r="E33" s="11" t="n">
        <v>150</v>
      </c>
      <c r="F33" s="11" t="n">
        <v>150</v>
      </c>
      <c r="G33" s="11" t="n">
        <v>150</v>
      </c>
      <c r="H33" s="11" t="n">
        <v>150</v>
      </c>
      <c r="I33" s="11" t="n">
        <v>150</v>
      </c>
      <c r="N33" s="5" t="n">
        <v>30</v>
      </c>
      <c r="O33" s="60">
        <f>($K$4*POWER(N33,$L$4))</f>
        <v/>
      </c>
      <c r="P33" s="65" t="n">
        <v>13800</v>
      </c>
      <c r="R33" s="61" t="n">
        <v>22781</v>
      </c>
      <c r="S33" s="11">
        <f>$R$2&amp;"|"&amp;AB33&amp;"$"&amp;$V$2&amp;"|"&amp;O33&amp;"$"&amp;$AA$2&amp;"|"&amp;AG33</f>
        <v/>
      </c>
      <c r="AA33" s="11" t="n">
        <v>30</v>
      </c>
      <c r="AB33" s="60">
        <f>($X$4*POWER(AA33,$Y$4))</f>
        <v/>
      </c>
      <c r="AF33" s="11" t="n">
        <v>30</v>
      </c>
      <c r="AG33" s="60">
        <f>($AC$4*POWER(AF33,$AD$4))/8</f>
        <v/>
      </c>
      <c r="AI33" s="11">
        <f>$R$2&amp;"|"&amp;AB33&amp;"$"&amp;$V$2&amp;"|"&amp;O33&amp;"$"&amp;$AF$2&amp;"|"&amp;AG33</f>
        <v/>
      </c>
      <c r="AJ33" s="11">
        <f>$R$2&amp;"|"&amp;AB33&amp;"$"&amp;$V$2&amp;"|"&amp;O33&amp;"$"&amp;$AK$2&amp;"|"&amp;AG33</f>
        <v/>
      </c>
      <c r="AK33" s="11">
        <f>$R$2&amp;"|"&amp;AB33&amp;"$"&amp;$V$2&amp;"|"&amp;O33&amp;"$"&amp;$AP$2&amp;"|"&amp;AG33</f>
        <v/>
      </c>
      <c r="AL33" s="11">
        <f>$R$2&amp;"|"&amp;AB33&amp;"$"&amp;$V$2&amp;"|"&amp;O33&amp;"$"&amp;$AU$2&amp;"|"&amp;AG33</f>
        <v/>
      </c>
      <c r="AM33" s="11">
        <f>$R$2&amp;"|"&amp;AB33&amp;"$"&amp;$V$2&amp;"|"&amp;O33&amp;"$"&amp;$AZ$2&amp;"|"&amp;AG33</f>
        <v/>
      </c>
      <c r="AN33" s="11">
        <f>$R$2&amp;"|"&amp;AB33&amp;"$"&amp;$V$2&amp;"|"&amp;O33&amp;"$"&amp;$BE$2&amp;"|"&amp;AG33</f>
        <v/>
      </c>
      <c r="AO33" s="11">
        <f>$R$2&amp;"|"&amp;AB33&amp;"$"&amp;$V$2&amp;"|"&amp;O33&amp;"$"&amp;$BJ$2&amp;"|"&amp;AG33</f>
        <v/>
      </c>
    </row>
    <row r="34" ht="67.5" customHeight="1" s="59">
      <c r="A34" s="11" t="n">
        <v>32</v>
      </c>
      <c r="B34" s="11">
        <f>E34&amp;"|"&amp;F34&amp;"|"&amp;G34&amp;"|"&amp;H34&amp;"|"&amp;I34</f>
        <v/>
      </c>
      <c r="C34" s="11">
        <f>$E$2&amp;":"&amp;E34&amp;"\n"&amp;$F$2&amp;":"&amp;F34&amp;"\n"&amp;$G$2&amp;":"&amp;G34&amp;"\n"&amp;$H$2&amp;":"&amp;H34&amp;"\n"&amp;$I$2&amp;":"&amp;I34</f>
        <v/>
      </c>
      <c r="E34" s="11" t="n">
        <v>155</v>
      </c>
      <c r="F34" s="11" t="n">
        <v>155</v>
      </c>
      <c r="G34" s="11" t="n">
        <v>155</v>
      </c>
      <c r="H34" s="11" t="n">
        <v>155</v>
      </c>
      <c r="I34" s="11" t="n">
        <v>155</v>
      </c>
      <c r="N34" s="5" t="n">
        <v>31</v>
      </c>
      <c r="O34" s="60">
        <f>($K$4*POWER(N34,$L$4))</f>
        <v/>
      </c>
      <c r="P34" s="65" t="n">
        <v>9824</v>
      </c>
      <c r="R34" s="61" t="n">
        <v>24325</v>
      </c>
      <c r="S34" s="11">
        <f>$R$2&amp;"|"&amp;AB34&amp;"$"&amp;$V$2&amp;"|"&amp;O34&amp;"$"&amp;$AA$2&amp;"|"&amp;AG34</f>
        <v/>
      </c>
      <c r="AA34" s="5" t="n">
        <v>31</v>
      </c>
      <c r="AB34" s="60">
        <f>($X$4*POWER(AA34,$Y$4))</f>
        <v/>
      </c>
      <c r="AF34" s="11" t="n">
        <v>31</v>
      </c>
      <c r="AG34" s="60">
        <f>($AC$4*POWER(AF34,$AD$4))/8</f>
        <v/>
      </c>
      <c r="AI34" s="11">
        <f>$R$2&amp;"|"&amp;AB34&amp;"$"&amp;$V$2&amp;"|"&amp;O34&amp;"$"&amp;$AF$2&amp;"|"&amp;AG34</f>
        <v/>
      </c>
      <c r="AJ34" s="11">
        <f>$R$2&amp;"|"&amp;AB34&amp;"$"&amp;$V$2&amp;"|"&amp;O34&amp;"$"&amp;$AK$2&amp;"|"&amp;AG34</f>
        <v/>
      </c>
      <c r="AK34" s="11">
        <f>$R$2&amp;"|"&amp;AB34&amp;"$"&amp;$V$2&amp;"|"&amp;O34&amp;"$"&amp;$AP$2&amp;"|"&amp;AG34</f>
        <v/>
      </c>
      <c r="AL34" s="11">
        <f>$R$2&amp;"|"&amp;AB34&amp;"$"&amp;$V$2&amp;"|"&amp;O34&amp;"$"&amp;$AU$2&amp;"|"&amp;AG34</f>
        <v/>
      </c>
      <c r="AM34" s="11">
        <f>$R$2&amp;"|"&amp;AB34&amp;"$"&amp;$V$2&amp;"|"&amp;O34&amp;"$"&amp;$AZ$2&amp;"|"&amp;AG34</f>
        <v/>
      </c>
      <c r="AN34" s="11">
        <f>$R$2&amp;"|"&amp;AB34&amp;"$"&amp;$V$2&amp;"|"&amp;O34&amp;"$"&amp;$BE$2&amp;"|"&amp;AG34</f>
        <v/>
      </c>
      <c r="AO34" s="11">
        <f>$R$2&amp;"|"&amp;AB34&amp;"$"&amp;$V$2&amp;"|"&amp;O34&amp;"$"&amp;$BJ$2&amp;"|"&amp;AG34</f>
        <v/>
      </c>
    </row>
    <row r="35" ht="67.5" customHeight="1" s="59">
      <c r="A35" s="11" t="n">
        <v>33</v>
      </c>
      <c r="B35" s="11">
        <f>E35&amp;"|"&amp;F35&amp;"|"&amp;G35&amp;"|"&amp;H35&amp;"|"&amp;I35</f>
        <v/>
      </c>
      <c r="C35" s="11">
        <f>$E$2&amp;":"&amp;E35&amp;"\n"&amp;$F$2&amp;":"&amp;F35&amp;"\n"&amp;$G$2&amp;":"&amp;G35&amp;"\n"&amp;$H$2&amp;":"&amp;H35&amp;"\n"&amp;$I$2&amp;":"&amp;I35</f>
        <v/>
      </c>
      <c r="E35" s="11" t="n">
        <v>160</v>
      </c>
      <c r="F35" s="11" t="n">
        <v>160</v>
      </c>
      <c r="G35" s="11" t="n">
        <v>160</v>
      </c>
      <c r="H35" s="11" t="n">
        <v>160</v>
      </c>
      <c r="I35" s="11" t="n">
        <v>160</v>
      </c>
      <c r="N35" s="5" t="n">
        <v>32</v>
      </c>
      <c r="O35" s="60">
        <f>($K$4*POWER(N35,$L$4))</f>
        <v/>
      </c>
      <c r="P35" s="65" t="n">
        <v>10468</v>
      </c>
      <c r="R35" s="61" t="n">
        <v>25920</v>
      </c>
      <c r="S35" s="11">
        <f>$R$2&amp;"|"&amp;AB35&amp;"$"&amp;$V$2&amp;"|"&amp;O35&amp;"$"&amp;$AA$2&amp;"|"&amp;AG35</f>
        <v/>
      </c>
      <c r="AA35" s="11" t="n">
        <v>32</v>
      </c>
      <c r="AB35" s="60">
        <f>($X$4*POWER(AA35,$Y$4))</f>
        <v/>
      </c>
      <c r="AF35" s="11" t="n">
        <v>32</v>
      </c>
      <c r="AG35" s="60">
        <f>($AC$4*POWER(AF35,$AD$4))/8</f>
        <v/>
      </c>
      <c r="AI35" s="11">
        <f>$R$2&amp;"|"&amp;AB35&amp;"$"&amp;$V$2&amp;"|"&amp;O35&amp;"$"&amp;$AF$2&amp;"|"&amp;AG35</f>
        <v/>
      </c>
      <c r="AJ35" s="11">
        <f>$R$2&amp;"|"&amp;AB35&amp;"$"&amp;$V$2&amp;"|"&amp;O35&amp;"$"&amp;$AK$2&amp;"|"&amp;AG35</f>
        <v/>
      </c>
      <c r="AK35" s="11">
        <f>$R$2&amp;"|"&amp;AB35&amp;"$"&amp;$V$2&amp;"|"&amp;O35&amp;"$"&amp;$AP$2&amp;"|"&amp;AG35</f>
        <v/>
      </c>
      <c r="AL35" s="11">
        <f>$R$2&amp;"|"&amp;AB35&amp;"$"&amp;$V$2&amp;"|"&amp;O35&amp;"$"&amp;$AU$2&amp;"|"&amp;AG35</f>
        <v/>
      </c>
      <c r="AM35" s="11">
        <f>$R$2&amp;"|"&amp;AB35&amp;"$"&amp;$V$2&amp;"|"&amp;O35&amp;"$"&amp;$AZ$2&amp;"|"&amp;AG35</f>
        <v/>
      </c>
      <c r="AN35" s="11">
        <f>$R$2&amp;"|"&amp;AB35&amp;"$"&amp;$V$2&amp;"|"&amp;O35&amp;"$"&amp;$BE$2&amp;"|"&amp;AG35</f>
        <v/>
      </c>
      <c r="AO35" s="11">
        <f>$R$2&amp;"|"&amp;AB35&amp;"$"&amp;$V$2&amp;"|"&amp;O35&amp;"$"&amp;$BJ$2&amp;"|"&amp;AG35</f>
        <v/>
      </c>
    </row>
    <row r="36" ht="67.5" customHeight="1" s="59">
      <c r="A36" s="11" t="n">
        <v>34</v>
      </c>
      <c r="B36" s="11">
        <f>E36&amp;"|"&amp;F36&amp;"|"&amp;G36&amp;"|"&amp;H36&amp;"|"&amp;I36</f>
        <v/>
      </c>
      <c r="C36" s="11">
        <f>$E$2&amp;":"&amp;E36&amp;"\n"&amp;$F$2&amp;":"&amp;F36&amp;"\n"&amp;$G$2&amp;":"&amp;G36&amp;"\n"&amp;$H$2&amp;":"&amp;H36&amp;"\n"&amp;$I$2&amp;":"&amp;I36</f>
        <v/>
      </c>
      <c r="E36" s="11" t="n">
        <v>165</v>
      </c>
      <c r="F36" s="11" t="n">
        <v>165</v>
      </c>
      <c r="G36" s="11" t="n">
        <v>165</v>
      </c>
      <c r="H36" s="11" t="n">
        <v>165</v>
      </c>
      <c r="I36" s="11" t="n">
        <v>165</v>
      </c>
      <c r="N36" s="5" t="n">
        <v>33</v>
      </c>
      <c r="O36" s="60">
        <f>($K$4*POWER(N36,$L$4))</f>
        <v/>
      </c>
      <c r="P36" s="65" t="n">
        <v>11132</v>
      </c>
      <c r="R36" s="61" t="n">
        <v>27565</v>
      </c>
      <c r="S36" s="11">
        <f>$R$2&amp;"|"&amp;AB36&amp;"$"&amp;$V$2&amp;"|"&amp;O36&amp;"$"&amp;$AA$2&amp;"|"&amp;AG36</f>
        <v/>
      </c>
      <c r="AA36" s="5" t="n">
        <v>33</v>
      </c>
      <c r="AB36" s="60">
        <f>($X$4*POWER(AA36,$Y$4))</f>
        <v/>
      </c>
      <c r="AF36" s="11" t="n">
        <v>33</v>
      </c>
      <c r="AG36" s="60">
        <f>($AC$4*POWER(AF36,$AD$4))/8</f>
        <v/>
      </c>
      <c r="AI36" s="11">
        <f>$R$2&amp;"|"&amp;AB36&amp;"$"&amp;$V$2&amp;"|"&amp;O36&amp;"$"&amp;$AF$2&amp;"|"&amp;AG36</f>
        <v/>
      </c>
      <c r="AJ36" s="11">
        <f>$R$2&amp;"|"&amp;AB36&amp;"$"&amp;$V$2&amp;"|"&amp;O36&amp;"$"&amp;$AK$2&amp;"|"&amp;AG36</f>
        <v/>
      </c>
      <c r="AK36" s="11">
        <f>$R$2&amp;"|"&amp;AB36&amp;"$"&amp;$V$2&amp;"|"&amp;O36&amp;"$"&amp;$AP$2&amp;"|"&amp;AG36</f>
        <v/>
      </c>
      <c r="AL36" s="11">
        <f>$R$2&amp;"|"&amp;AB36&amp;"$"&amp;$V$2&amp;"|"&amp;O36&amp;"$"&amp;$AU$2&amp;"|"&amp;AG36</f>
        <v/>
      </c>
      <c r="AM36" s="11">
        <f>$R$2&amp;"|"&amp;AB36&amp;"$"&amp;$V$2&amp;"|"&amp;O36&amp;"$"&amp;$AZ$2&amp;"|"&amp;AG36</f>
        <v/>
      </c>
      <c r="AN36" s="11">
        <f>$R$2&amp;"|"&amp;AB36&amp;"$"&amp;$V$2&amp;"|"&amp;O36&amp;"$"&amp;$BE$2&amp;"|"&amp;AG36</f>
        <v/>
      </c>
      <c r="AO36" s="11">
        <f>$R$2&amp;"|"&amp;AB36&amp;"$"&amp;$V$2&amp;"|"&amp;O36&amp;"$"&amp;$BJ$2&amp;"|"&amp;AG36</f>
        <v/>
      </c>
    </row>
    <row r="37" ht="67.5" customHeight="1" s="59">
      <c r="A37" s="11" t="n">
        <v>35</v>
      </c>
      <c r="B37" s="11">
        <f>E37&amp;"|"&amp;F37&amp;"|"&amp;G37&amp;"|"&amp;H37&amp;"|"&amp;I37</f>
        <v/>
      </c>
      <c r="C37" s="11">
        <f>$E$2&amp;":"&amp;E37&amp;"\n"&amp;$F$2&amp;":"&amp;F37&amp;"\n"&amp;$G$2&amp;":"&amp;G37&amp;"\n"&amp;$H$2&amp;":"&amp;H37&amp;"\n"&amp;$I$2&amp;":"&amp;I37</f>
        <v/>
      </c>
      <c r="E37" s="11" t="n">
        <v>170</v>
      </c>
      <c r="F37" s="11" t="n">
        <v>170</v>
      </c>
      <c r="G37" s="11" t="n">
        <v>170</v>
      </c>
      <c r="H37" s="11" t="n">
        <v>170</v>
      </c>
      <c r="I37" s="11" t="n">
        <v>170</v>
      </c>
      <c r="N37" s="5" t="n">
        <v>34</v>
      </c>
      <c r="O37" s="60">
        <f>($K$4*POWER(N37,$L$4))</f>
        <v/>
      </c>
      <c r="P37" s="65" t="n">
        <v>11817</v>
      </c>
      <c r="R37" s="61" t="n">
        <v>29261</v>
      </c>
      <c r="S37" s="11">
        <f>$R$2&amp;"|"&amp;AB37&amp;"$"&amp;$V$2&amp;"|"&amp;O37&amp;"$"&amp;$AA$2&amp;"|"&amp;AG37</f>
        <v/>
      </c>
      <c r="AA37" s="11" t="n">
        <v>34</v>
      </c>
      <c r="AB37" s="60">
        <f>($X$4*POWER(AA37,$Y$4))</f>
        <v/>
      </c>
      <c r="AF37" s="11" t="n">
        <v>34</v>
      </c>
      <c r="AG37" s="60">
        <f>($AC$4*POWER(AF37,$AD$4))/8</f>
        <v/>
      </c>
      <c r="AI37" s="11">
        <f>$R$2&amp;"|"&amp;AB37&amp;"$"&amp;$V$2&amp;"|"&amp;O37&amp;"$"&amp;$AF$2&amp;"|"&amp;AG37</f>
        <v/>
      </c>
      <c r="AJ37" s="11">
        <f>$R$2&amp;"|"&amp;AB37&amp;"$"&amp;$V$2&amp;"|"&amp;O37&amp;"$"&amp;$AK$2&amp;"|"&amp;AG37</f>
        <v/>
      </c>
      <c r="AK37" s="11">
        <f>$R$2&amp;"|"&amp;AB37&amp;"$"&amp;$V$2&amp;"|"&amp;O37&amp;"$"&amp;$AP$2&amp;"|"&amp;AG37</f>
        <v/>
      </c>
      <c r="AL37" s="11">
        <f>$R$2&amp;"|"&amp;AB37&amp;"$"&amp;$V$2&amp;"|"&amp;O37&amp;"$"&amp;$AU$2&amp;"|"&amp;AG37</f>
        <v/>
      </c>
      <c r="AM37" s="11">
        <f>$R$2&amp;"|"&amp;AB37&amp;"$"&amp;$V$2&amp;"|"&amp;O37&amp;"$"&amp;$AZ$2&amp;"|"&amp;AG37</f>
        <v/>
      </c>
      <c r="AN37" s="11">
        <f>$R$2&amp;"|"&amp;AB37&amp;"$"&amp;$V$2&amp;"|"&amp;O37&amp;"$"&amp;$BE$2&amp;"|"&amp;AG37</f>
        <v/>
      </c>
      <c r="AO37" s="11">
        <f>$R$2&amp;"|"&amp;AB37&amp;"$"&amp;$V$2&amp;"|"&amp;O37&amp;"$"&amp;$BJ$2&amp;"|"&amp;AG37</f>
        <v/>
      </c>
    </row>
    <row r="38" ht="67.5" customHeight="1" s="59">
      <c r="A38" s="11" t="n">
        <v>36</v>
      </c>
      <c r="B38" s="11">
        <f>E38&amp;"|"&amp;F38&amp;"|"&amp;G38&amp;"|"&amp;H38&amp;"|"&amp;I38</f>
        <v/>
      </c>
      <c r="C38" s="11">
        <f>$E$2&amp;":"&amp;E38&amp;"\n"&amp;$F$2&amp;":"&amp;F38&amp;"\n"&amp;$G$2&amp;":"&amp;G38&amp;"\n"&amp;$H$2&amp;":"&amp;H38&amp;"\n"&amp;$I$2&amp;":"&amp;I38</f>
        <v/>
      </c>
      <c r="E38" s="11" t="n">
        <v>175</v>
      </c>
      <c r="F38" s="11" t="n">
        <v>175</v>
      </c>
      <c r="G38" s="11" t="n">
        <v>175</v>
      </c>
      <c r="H38" s="11" t="n">
        <v>175</v>
      </c>
      <c r="I38" s="11" t="n">
        <v>175</v>
      </c>
      <c r="N38" s="5" t="n">
        <v>35</v>
      </c>
      <c r="O38" s="60">
        <f>($K$4*POWER(N38,$L$4))</f>
        <v/>
      </c>
      <c r="P38" s="65" t="n">
        <v>12522</v>
      </c>
      <c r="R38" s="61" t="n">
        <v>31008</v>
      </c>
      <c r="S38" s="11">
        <f>$R$2&amp;"|"&amp;AB38&amp;"$"&amp;$V$2&amp;"|"&amp;O38&amp;"$"&amp;$AA$2&amp;"|"&amp;AG38</f>
        <v/>
      </c>
      <c r="AA38" s="5" t="n">
        <v>35</v>
      </c>
      <c r="AB38" s="60">
        <f>($X$4*POWER(AA38,$Y$4))</f>
        <v/>
      </c>
      <c r="AF38" s="11" t="n">
        <v>35</v>
      </c>
      <c r="AG38" s="60">
        <f>($AC$4*POWER(AF38,$AD$4))/8</f>
        <v/>
      </c>
      <c r="AI38" s="11">
        <f>$R$2&amp;"|"&amp;AB38&amp;"$"&amp;$V$2&amp;"|"&amp;O38&amp;"$"&amp;$AF$2&amp;"|"&amp;AG38</f>
        <v/>
      </c>
      <c r="AJ38" s="11">
        <f>$R$2&amp;"|"&amp;AB38&amp;"$"&amp;$V$2&amp;"|"&amp;O38&amp;"$"&amp;$AK$2&amp;"|"&amp;AG38</f>
        <v/>
      </c>
      <c r="AK38" s="11">
        <f>$R$2&amp;"|"&amp;AB38&amp;"$"&amp;$V$2&amp;"|"&amp;O38&amp;"$"&amp;$AP$2&amp;"|"&amp;AG38</f>
        <v/>
      </c>
      <c r="AL38" s="11">
        <f>$R$2&amp;"|"&amp;AB38&amp;"$"&amp;$V$2&amp;"|"&amp;O38&amp;"$"&amp;$AU$2&amp;"|"&amp;AG38</f>
        <v/>
      </c>
      <c r="AM38" s="11">
        <f>$R$2&amp;"|"&amp;AB38&amp;"$"&amp;$V$2&amp;"|"&amp;O38&amp;"$"&amp;$AZ$2&amp;"|"&amp;AG38</f>
        <v/>
      </c>
      <c r="AN38" s="11">
        <f>$R$2&amp;"|"&amp;AB38&amp;"$"&amp;$V$2&amp;"|"&amp;O38&amp;"$"&amp;$BE$2&amp;"|"&amp;AG38</f>
        <v/>
      </c>
      <c r="AO38" s="11">
        <f>$R$2&amp;"|"&amp;AB38&amp;"$"&amp;$V$2&amp;"|"&amp;O38&amp;"$"&amp;$BJ$2&amp;"|"&amp;AG38</f>
        <v/>
      </c>
    </row>
    <row r="39" ht="67.5" customHeight="1" s="59">
      <c r="A39" s="11" t="n">
        <v>37</v>
      </c>
      <c r="B39" s="11">
        <f>E39&amp;"|"&amp;F39&amp;"|"&amp;G39&amp;"|"&amp;H39&amp;"|"&amp;I39</f>
        <v/>
      </c>
      <c r="C39" s="11">
        <f>$E$2&amp;":"&amp;E39&amp;"\n"&amp;$F$2&amp;":"&amp;F39&amp;"\n"&amp;$G$2&amp;":"&amp;G39&amp;"\n"&amp;$H$2&amp;":"&amp;H39&amp;"\n"&amp;$I$2&amp;":"&amp;I39</f>
        <v/>
      </c>
      <c r="E39" s="11" t="n">
        <v>180</v>
      </c>
      <c r="F39" s="11" t="n">
        <v>180</v>
      </c>
      <c r="G39" s="11" t="n">
        <v>180</v>
      </c>
      <c r="H39" s="11" t="n">
        <v>180</v>
      </c>
      <c r="I39" s="11" t="n">
        <v>180</v>
      </c>
      <c r="N39" s="5" t="n">
        <v>36</v>
      </c>
      <c r="O39" s="60">
        <f>($K$4*POWER(N39,$L$4))</f>
        <v/>
      </c>
      <c r="P39" s="65" t="n">
        <v>13248</v>
      </c>
      <c r="R39" s="61" t="n">
        <v>32805</v>
      </c>
      <c r="S39" s="11">
        <f>$R$2&amp;"|"&amp;AB39&amp;"$"&amp;$V$2&amp;"|"&amp;O39&amp;"$"&amp;$AA$2&amp;"|"&amp;AG39</f>
        <v/>
      </c>
      <c r="AA39" s="11" t="n">
        <v>36</v>
      </c>
      <c r="AB39" s="60">
        <f>($X$4*POWER(AA39,$Y$4))</f>
        <v/>
      </c>
      <c r="AF39" s="11" t="n">
        <v>36</v>
      </c>
      <c r="AG39" s="60">
        <f>($AC$4*POWER(AF39,$AD$4))/8</f>
        <v/>
      </c>
      <c r="AI39" s="11">
        <f>$R$2&amp;"|"&amp;AB39&amp;"$"&amp;$V$2&amp;"|"&amp;O39&amp;"$"&amp;$AF$2&amp;"|"&amp;AG39</f>
        <v/>
      </c>
      <c r="AJ39" s="11">
        <f>$R$2&amp;"|"&amp;AB39&amp;"$"&amp;$V$2&amp;"|"&amp;O39&amp;"$"&amp;$AK$2&amp;"|"&amp;AG39</f>
        <v/>
      </c>
      <c r="AK39" s="11">
        <f>$R$2&amp;"|"&amp;AB39&amp;"$"&amp;$V$2&amp;"|"&amp;O39&amp;"$"&amp;$AP$2&amp;"|"&amp;AG39</f>
        <v/>
      </c>
      <c r="AL39" s="11">
        <f>$R$2&amp;"|"&amp;AB39&amp;"$"&amp;$V$2&amp;"|"&amp;O39&amp;"$"&amp;$AU$2&amp;"|"&amp;AG39</f>
        <v/>
      </c>
      <c r="AM39" s="11">
        <f>$R$2&amp;"|"&amp;AB39&amp;"$"&amp;$V$2&amp;"|"&amp;O39&amp;"$"&amp;$AZ$2&amp;"|"&amp;AG39</f>
        <v/>
      </c>
      <c r="AN39" s="11">
        <f>$R$2&amp;"|"&amp;AB39&amp;"$"&amp;$V$2&amp;"|"&amp;O39&amp;"$"&amp;$BE$2&amp;"|"&amp;AG39</f>
        <v/>
      </c>
      <c r="AO39" s="11">
        <f>$R$2&amp;"|"&amp;AB39&amp;"$"&amp;$V$2&amp;"|"&amp;O39&amp;"$"&amp;$BJ$2&amp;"|"&amp;AG39</f>
        <v/>
      </c>
    </row>
    <row r="40" ht="67.5" customHeight="1" s="59">
      <c r="A40" s="11" t="n">
        <v>38</v>
      </c>
      <c r="B40" s="11">
        <f>E40&amp;"|"&amp;F40&amp;"|"&amp;G40&amp;"|"&amp;H40&amp;"|"&amp;I40</f>
        <v/>
      </c>
      <c r="C40" s="11">
        <f>$E$2&amp;":"&amp;E40&amp;"\n"&amp;$F$2&amp;":"&amp;F40&amp;"\n"&amp;$G$2&amp;":"&amp;G40&amp;"\n"&amp;$H$2&amp;":"&amp;H40&amp;"\n"&amp;$I$2&amp;":"&amp;I40</f>
        <v/>
      </c>
      <c r="E40" s="11" t="n">
        <v>185</v>
      </c>
      <c r="F40" s="11" t="n">
        <v>185</v>
      </c>
      <c r="G40" s="11" t="n">
        <v>185</v>
      </c>
      <c r="H40" s="11" t="n">
        <v>185</v>
      </c>
      <c r="I40" s="11" t="n">
        <v>185</v>
      </c>
      <c r="N40" s="5" t="n">
        <v>37</v>
      </c>
      <c r="O40" s="60">
        <f>($K$4*POWER(N40,$L$4))</f>
        <v/>
      </c>
      <c r="P40" s="65" t="n">
        <v>13994</v>
      </c>
      <c r="R40" s="61" t="n">
        <v>34653</v>
      </c>
      <c r="S40" s="11">
        <f>$R$2&amp;"|"&amp;AB40&amp;"$"&amp;$V$2&amp;"|"&amp;O40&amp;"$"&amp;$AA$2&amp;"|"&amp;AG40</f>
        <v/>
      </c>
      <c r="AA40" s="5" t="n">
        <v>37</v>
      </c>
      <c r="AB40" s="60">
        <f>($X$4*POWER(AA40,$Y$4))</f>
        <v/>
      </c>
      <c r="AF40" s="11" t="n">
        <v>37</v>
      </c>
      <c r="AG40" s="60">
        <f>($AC$4*POWER(AF40,$AD$4))/8</f>
        <v/>
      </c>
      <c r="AI40" s="11">
        <f>$R$2&amp;"|"&amp;AB40&amp;"$"&amp;$V$2&amp;"|"&amp;O40&amp;"$"&amp;$AF$2&amp;"|"&amp;AG40</f>
        <v/>
      </c>
      <c r="AJ40" s="11">
        <f>$R$2&amp;"|"&amp;AB40&amp;"$"&amp;$V$2&amp;"|"&amp;O40&amp;"$"&amp;$AK$2&amp;"|"&amp;AG40</f>
        <v/>
      </c>
      <c r="AK40" s="11">
        <f>$R$2&amp;"|"&amp;AB40&amp;"$"&amp;$V$2&amp;"|"&amp;O40&amp;"$"&amp;$AP$2&amp;"|"&amp;AG40</f>
        <v/>
      </c>
      <c r="AL40" s="11">
        <f>$R$2&amp;"|"&amp;AB40&amp;"$"&amp;$V$2&amp;"|"&amp;O40&amp;"$"&amp;$AU$2&amp;"|"&amp;AG40</f>
        <v/>
      </c>
      <c r="AM40" s="11">
        <f>$R$2&amp;"|"&amp;AB40&amp;"$"&amp;$V$2&amp;"|"&amp;O40&amp;"$"&amp;$AZ$2&amp;"|"&amp;AG40</f>
        <v/>
      </c>
      <c r="AN40" s="11">
        <f>$R$2&amp;"|"&amp;AB40&amp;"$"&amp;$V$2&amp;"|"&amp;O40&amp;"$"&amp;$BE$2&amp;"|"&amp;AG40</f>
        <v/>
      </c>
      <c r="AO40" s="11">
        <f>$R$2&amp;"|"&amp;AB40&amp;"$"&amp;$V$2&amp;"|"&amp;O40&amp;"$"&amp;$BJ$2&amp;"|"&amp;AG40</f>
        <v/>
      </c>
    </row>
    <row r="41" ht="67.5" customHeight="1" s="59">
      <c r="A41" s="11" t="n">
        <v>39</v>
      </c>
      <c r="B41" s="11">
        <f>E41&amp;"|"&amp;F41&amp;"|"&amp;G41&amp;"|"&amp;H41&amp;"|"&amp;I41</f>
        <v/>
      </c>
      <c r="C41" s="11">
        <f>$E$2&amp;":"&amp;E41&amp;"\n"&amp;$F$2&amp;":"&amp;F41&amp;"\n"&amp;$G$2&amp;":"&amp;G41&amp;"\n"&amp;$H$2&amp;":"&amp;H41&amp;"\n"&amp;$I$2&amp;":"&amp;I41</f>
        <v/>
      </c>
      <c r="E41" s="11" t="n">
        <v>190</v>
      </c>
      <c r="F41" s="11" t="n">
        <v>190</v>
      </c>
      <c r="G41" s="11" t="n">
        <v>190</v>
      </c>
      <c r="H41" s="11" t="n">
        <v>190</v>
      </c>
      <c r="I41" s="11" t="n">
        <v>190</v>
      </c>
      <c r="N41" s="5" t="n">
        <v>38</v>
      </c>
      <c r="O41" s="60">
        <f>($K$4*POWER(N41,$L$4))</f>
        <v/>
      </c>
      <c r="P41" s="65" t="n">
        <v>14761</v>
      </c>
      <c r="R41" s="61" t="n">
        <v>36551</v>
      </c>
      <c r="S41" s="11">
        <f>$R$2&amp;"|"&amp;AB41&amp;"$"&amp;$V$2&amp;"|"&amp;O41&amp;"$"&amp;$AA$2&amp;"|"&amp;AG41</f>
        <v/>
      </c>
      <c r="AA41" s="11" t="n">
        <v>38</v>
      </c>
      <c r="AB41" s="60">
        <f>($X$4*POWER(AA41,$Y$4))</f>
        <v/>
      </c>
      <c r="AF41" s="11" t="n">
        <v>38</v>
      </c>
      <c r="AG41" s="60">
        <f>($AC$4*POWER(AF41,$AD$4))/8</f>
        <v/>
      </c>
      <c r="AI41" s="11">
        <f>$R$2&amp;"|"&amp;AB41&amp;"$"&amp;$V$2&amp;"|"&amp;O41&amp;"$"&amp;$AF$2&amp;"|"&amp;AG41</f>
        <v/>
      </c>
      <c r="AJ41" s="11">
        <f>$R$2&amp;"|"&amp;AB41&amp;"$"&amp;$V$2&amp;"|"&amp;O41&amp;"$"&amp;$AK$2&amp;"|"&amp;AG41</f>
        <v/>
      </c>
      <c r="AK41" s="11">
        <f>$R$2&amp;"|"&amp;AB41&amp;"$"&amp;$V$2&amp;"|"&amp;O41&amp;"$"&amp;$AP$2&amp;"|"&amp;AG41</f>
        <v/>
      </c>
      <c r="AL41" s="11">
        <f>$R$2&amp;"|"&amp;AB41&amp;"$"&amp;$V$2&amp;"|"&amp;O41&amp;"$"&amp;$AU$2&amp;"|"&amp;AG41</f>
        <v/>
      </c>
      <c r="AM41" s="11">
        <f>$R$2&amp;"|"&amp;AB41&amp;"$"&amp;$V$2&amp;"|"&amp;O41&amp;"$"&amp;$AZ$2&amp;"|"&amp;AG41</f>
        <v/>
      </c>
      <c r="AN41" s="11">
        <f>$R$2&amp;"|"&amp;AB41&amp;"$"&amp;$V$2&amp;"|"&amp;O41&amp;"$"&amp;$BE$2&amp;"|"&amp;AG41</f>
        <v/>
      </c>
      <c r="AO41" s="11">
        <f>$R$2&amp;"|"&amp;AB41&amp;"$"&amp;$V$2&amp;"|"&amp;O41&amp;"$"&amp;$BJ$2&amp;"|"&amp;AG41</f>
        <v/>
      </c>
    </row>
    <row r="42" ht="67.5" customHeight="1" s="59">
      <c r="A42" s="11" t="n">
        <v>40</v>
      </c>
      <c r="B42" s="11">
        <f>E42&amp;"|"&amp;F42&amp;"|"&amp;G42&amp;"|"&amp;H42&amp;"|"&amp;I42</f>
        <v/>
      </c>
      <c r="C42" s="11">
        <f>$E$2&amp;":"&amp;E42&amp;"\n"&amp;$F$2&amp;":"&amp;F42&amp;"\n"&amp;$G$2&amp;":"&amp;G42&amp;"\n"&amp;$H$2&amp;":"&amp;H42&amp;"\n"&amp;$I$2&amp;":"&amp;I42</f>
        <v/>
      </c>
      <c r="E42" s="11" t="n">
        <v>195</v>
      </c>
      <c r="F42" s="11" t="n">
        <v>195</v>
      </c>
      <c r="G42" s="11" t="n">
        <v>195</v>
      </c>
      <c r="H42" s="11" t="n">
        <v>195</v>
      </c>
      <c r="I42" s="11" t="n">
        <v>195</v>
      </c>
      <c r="N42" s="5" t="n">
        <v>39</v>
      </c>
      <c r="O42" s="60">
        <f>($K$4*POWER(N42,$L$4))</f>
        <v/>
      </c>
      <c r="P42" s="65" t="n">
        <v>15548</v>
      </c>
      <c r="R42" s="61" t="n">
        <v>38500</v>
      </c>
      <c r="S42" s="11">
        <f>$R$2&amp;"|"&amp;AB42&amp;"$"&amp;$W$2&amp;"|"&amp;O42&amp;"$"&amp;$AB$2&amp;"|"&amp;AG42</f>
        <v/>
      </c>
      <c r="AA42" s="5" t="n">
        <v>39</v>
      </c>
      <c r="AB42" s="60">
        <f>($X$4*POWER(AA42,$Y$4))</f>
        <v/>
      </c>
      <c r="AF42" s="11" t="n">
        <v>39</v>
      </c>
      <c r="AG42" s="60">
        <f>($AC$4*POWER(AF42,$AD$4))/8</f>
        <v/>
      </c>
      <c r="AI42" s="11">
        <f>$R$2&amp;"|"&amp;AB42&amp;"$"&amp;$V$2&amp;"|"&amp;O42&amp;"$"&amp;$AF$2&amp;"|"&amp;AG42</f>
        <v/>
      </c>
      <c r="AJ42" s="11">
        <f>$R$2&amp;"|"&amp;AB42&amp;"$"&amp;$V$2&amp;"|"&amp;O42&amp;"$"&amp;$AK$2&amp;"|"&amp;AG42</f>
        <v/>
      </c>
      <c r="AK42" s="11">
        <f>$R$2&amp;"|"&amp;AB42&amp;"$"&amp;$V$2&amp;"|"&amp;O42&amp;"$"&amp;$AP$2&amp;"|"&amp;AG42</f>
        <v/>
      </c>
      <c r="AL42" s="11">
        <f>$R$2&amp;"|"&amp;AB42&amp;"$"&amp;$V$2&amp;"|"&amp;O42&amp;"$"&amp;$AU$2&amp;"|"&amp;AG42</f>
        <v/>
      </c>
      <c r="AM42" s="11">
        <f>$R$2&amp;"|"&amp;AB42&amp;"$"&amp;$V$2&amp;"|"&amp;O42&amp;"$"&amp;$AZ$2&amp;"|"&amp;AG42</f>
        <v/>
      </c>
      <c r="AN42" s="11">
        <f>$R$2&amp;"|"&amp;AB42&amp;"$"&amp;$V$2&amp;"|"&amp;O42&amp;"$"&amp;$BE$2&amp;"|"&amp;AG42</f>
        <v/>
      </c>
      <c r="AO42" s="11">
        <f>$R$2&amp;"|"&amp;AB42&amp;"$"&amp;$V$2&amp;"|"&amp;O42&amp;"$"&amp;$BJ$2&amp;"|"&amp;AG42</f>
        <v/>
      </c>
    </row>
    <row r="43" ht="67.5" customHeight="1" s="59">
      <c r="A43" s="11" t="n">
        <v>41</v>
      </c>
      <c r="B43" s="11">
        <f>E43&amp;"|"&amp;F43&amp;"|"&amp;G43&amp;"|"&amp;H43&amp;"|"&amp;I43</f>
        <v/>
      </c>
      <c r="C43" s="11">
        <f>$E$2&amp;":"&amp;E43&amp;"\n"&amp;$F$2&amp;":"&amp;F43&amp;"\n"&amp;$G$2&amp;":"&amp;G43&amp;"\n"&amp;$H$2&amp;":"&amp;H43&amp;"\n"&amp;$I$2&amp;":"&amp;I43</f>
        <v/>
      </c>
      <c r="E43" s="11" t="n">
        <v>200</v>
      </c>
      <c r="F43" s="11" t="n">
        <v>200</v>
      </c>
      <c r="G43" s="11" t="n">
        <v>200</v>
      </c>
      <c r="H43" s="11" t="n">
        <v>200</v>
      </c>
      <c r="I43" s="11" t="n">
        <v>200</v>
      </c>
      <c r="N43" s="5" t="n">
        <v>40</v>
      </c>
      <c r="O43" s="60">
        <f>($K$4*POWER(N43,$L$4))</f>
        <v/>
      </c>
      <c r="P43" s="65" t="n">
        <v>16356</v>
      </c>
      <c r="R43" s="61" t="n">
        <v>40500</v>
      </c>
      <c r="S43" s="11">
        <f>$R$2&amp;"|"&amp;AB43&amp;"$"&amp;$W$2&amp;"|"&amp;O43&amp;"$"&amp;$AB$2&amp;"|"&amp;AG43</f>
        <v/>
      </c>
      <c r="AA43" s="11" t="n">
        <v>40</v>
      </c>
      <c r="AB43" s="60">
        <f>($X$4*POWER(AA43,$Y$4))</f>
        <v/>
      </c>
      <c r="AF43" s="11" t="n">
        <v>40</v>
      </c>
      <c r="AG43" s="60">
        <f>($AC$4*POWER(AF43,$AD$4))/8</f>
        <v/>
      </c>
      <c r="AI43" s="11">
        <f>$R$2&amp;"|"&amp;AB43&amp;"$"&amp;$W$2&amp;"|"&amp;O43&amp;"$"&amp;$AG$2&amp;"|"&amp;AG43</f>
        <v/>
      </c>
      <c r="AJ43" s="11">
        <f>$R$2&amp;"|"&amp;AB43&amp;"$"&amp;$W$2&amp;"|"&amp;O43&amp;"$"&amp;$AL$2&amp;"|"&amp;AG43</f>
        <v/>
      </c>
      <c r="AK43" s="11">
        <f>$R$2&amp;"|"&amp;AB43&amp;"$"&amp;$W$2&amp;"|"&amp;O43&amp;"$"&amp;$AQ$2&amp;"|"&amp;AG43</f>
        <v/>
      </c>
      <c r="AL43" s="11">
        <f>$R$2&amp;"|"&amp;AB43&amp;"$"&amp;$W$2&amp;"|"&amp;O43&amp;"$"&amp;$AV$2&amp;"|"&amp;AG43</f>
        <v/>
      </c>
      <c r="AM43" s="11">
        <f>$R$2&amp;"|"&amp;AB43&amp;"$"&amp;$W$2&amp;"|"&amp;O43&amp;"$"&amp;$BA$2&amp;"|"&amp;AG43</f>
        <v/>
      </c>
      <c r="AN43" s="11">
        <f>$R$2&amp;"|"&amp;AB43&amp;"$"&amp;$W$2&amp;"|"&amp;O43&amp;"$"&amp;$BF$2&amp;"|"&amp;AG43</f>
        <v/>
      </c>
      <c r="AO43" s="11">
        <f>$R$2&amp;"|"&amp;AB43&amp;"$"&amp;$W$2&amp;"|"&amp;O43&amp;"$"&amp;$BK$2&amp;"|"&amp;AG43</f>
        <v/>
      </c>
    </row>
    <row r="44" ht="67.5" customHeight="1" s="59">
      <c r="A44" s="11" t="n">
        <v>42</v>
      </c>
      <c r="B44" s="11">
        <f>E44&amp;"|"&amp;F44&amp;"|"&amp;G44&amp;"|"&amp;H44&amp;"|"&amp;I44</f>
        <v/>
      </c>
      <c r="C44" s="11">
        <f>$E$2&amp;":"&amp;E44&amp;"\n"&amp;$F$2&amp;":"&amp;F44&amp;"\n"&amp;$G$2&amp;":"&amp;G44&amp;"\n"&amp;$H$2&amp;":"&amp;H44&amp;"\n"&amp;$I$2&amp;":"&amp;I44</f>
        <v/>
      </c>
      <c r="E44" s="11" t="n">
        <v>205</v>
      </c>
      <c r="F44" s="11" t="n">
        <v>205</v>
      </c>
      <c r="G44" s="11" t="n">
        <v>205</v>
      </c>
      <c r="H44" s="11" t="n">
        <v>205</v>
      </c>
      <c r="I44" s="11" t="n">
        <v>205</v>
      </c>
      <c r="N44" s="5" t="n">
        <v>41</v>
      </c>
      <c r="O44" s="60">
        <f>($K$4*POWER(N44,$L$4))</f>
        <v/>
      </c>
      <c r="P44" s="65" t="n">
        <v>12888</v>
      </c>
      <c r="R44" s="61" t="n">
        <v>42550</v>
      </c>
      <c r="S44" s="11">
        <f>$R$2&amp;"|"&amp;AB44&amp;"$"&amp;$W$2&amp;"|"&amp;O44&amp;"$"&amp;$AB$2&amp;"|"&amp;AG44</f>
        <v/>
      </c>
      <c r="AA44" s="5" t="n">
        <v>41</v>
      </c>
      <c r="AB44" s="60">
        <f>($X$4*POWER(AA44,$Y$4))</f>
        <v/>
      </c>
      <c r="AF44" s="11" t="n">
        <v>41</v>
      </c>
      <c r="AG44" s="60">
        <f>($AC$4*POWER(AF44,$AD$4))/8</f>
        <v/>
      </c>
      <c r="AI44" s="11">
        <f>$R$2&amp;"|"&amp;AB44&amp;"$"&amp;$W$2&amp;"|"&amp;O44&amp;"$"&amp;$AG$2&amp;"|"&amp;AG44</f>
        <v/>
      </c>
      <c r="AJ44" s="11">
        <f>$R$2&amp;"|"&amp;AB44&amp;"$"&amp;$W$2&amp;"|"&amp;O44&amp;"$"&amp;$AL$2&amp;"|"&amp;AG44</f>
        <v/>
      </c>
      <c r="AK44" s="11">
        <f>$R$2&amp;"|"&amp;AB44&amp;"$"&amp;$W$2&amp;"|"&amp;O44&amp;"$"&amp;$AQ$2&amp;"|"&amp;AG44</f>
        <v/>
      </c>
      <c r="AL44" s="11">
        <f>$R$2&amp;"|"&amp;AB44&amp;"$"&amp;$W$2&amp;"|"&amp;O44&amp;"$"&amp;$AV$2&amp;"|"&amp;AG44</f>
        <v/>
      </c>
      <c r="AM44" s="11">
        <f>$R$2&amp;"|"&amp;AB44&amp;"$"&amp;$W$2&amp;"|"&amp;O44&amp;"$"&amp;$BA$2&amp;"|"&amp;AG44</f>
        <v/>
      </c>
      <c r="AN44" s="11">
        <f>$R$2&amp;"|"&amp;AB44&amp;"$"&amp;$W$2&amp;"|"&amp;O44&amp;"$"&amp;$BF$2&amp;"|"&amp;AG44</f>
        <v/>
      </c>
      <c r="AO44" s="11">
        <f>$R$2&amp;"|"&amp;AB44&amp;"$"&amp;$W$2&amp;"|"&amp;O44&amp;"$"&amp;$BK$2&amp;"|"&amp;AG44</f>
        <v/>
      </c>
    </row>
    <row r="45" ht="67.5" customHeight="1" s="59">
      <c r="A45" s="11" t="n">
        <v>43</v>
      </c>
      <c r="B45" s="11">
        <f>E45&amp;"|"&amp;F45&amp;"|"&amp;G45&amp;"|"&amp;H45&amp;"|"&amp;I45</f>
        <v/>
      </c>
      <c r="C45" s="11">
        <f>$E$2&amp;":"&amp;E45&amp;"\n"&amp;$F$2&amp;":"&amp;F45&amp;"\n"&amp;$G$2&amp;":"&amp;G45&amp;"\n"&amp;$H$2&amp;":"&amp;H45&amp;"\n"&amp;$I$2&amp;":"&amp;I45</f>
        <v/>
      </c>
      <c r="E45" s="11" t="n">
        <v>210</v>
      </c>
      <c r="F45" s="11" t="n">
        <v>210</v>
      </c>
      <c r="G45" s="11" t="n">
        <v>210</v>
      </c>
      <c r="H45" s="11" t="n">
        <v>210</v>
      </c>
      <c r="I45" s="11" t="n">
        <v>210</v>
      </c>
      <c r="N45" s="5" t="n">
        <v>42</v>
      </c>
      <c r="O45" s="60">
        <f>($K$4*POWER(N45,$L$4))</f>
        <v/>
      </c>
      <c r="P45" s="65" t="n">
        <v>13524</v>
      </c>
      <c r="R45" s="61" t="n">
        <v>44651</v>
      </c>
      <c r="S45" s="11">
        <f>$R$2&amp;"|"&amp;AB45&amp;"$"&amp;$W$2&amp;"|"&amp;O45&amp;"$"&amp;$AB$2&amp;"|"&amp;AG45</f>
        <v/>
      </c>
      <c r="AA45" s="11" t="n">
        <v>42</v>
      </c>
      <c r="AB45" s="60">
        <f>($X$4*POWER(AA45,$Y$4))</f>
        <v/>
      </c>
      <c r="AF45" s="11" t="n">
        <v>42</v>
      </c>
      <c r="AG45" s="60">
        <f>($AC$4*POWER(AF45,$AD$4))/8</f>
        <v/>
      </c>
      <c r="AI45" s="11">
        <f>$R$2&amp;"|"&amp;AB45&amp;"$"&amp;$W$2&amp;"|"&amp;O45&amp;"$"&amp;$AG$2&amp;"|"&amp;AG45</f>
        <v/>
      </c>
      <c r="AJ45" s="11">
        <f>$R$2&amp;"|"&amp;AB45&amp;"$"&amp;$W$2&amp;"|"&amp;O45&amp;"$"&amp;$AL$2&amp;"|"&amp;AG45</f>
        <v/>
      </c>
      <c r="AK45" s="11">
        <f>$R$2&amp;"|"&amp;AB45&amp;"$"&amp;$W$2&amp;"|"&amp;O45&amp;"$"&amp;$AQ$2&amp;"|"&amp;AG45</f>
        <v/>
      </c>
      <c r="AL45" s="11">
        <f>$R$2&amp;"|"&amp;AB45&amp;"$"&amp;$W$2&amp;"|"&amp;O45&amp;"$"&amp;$AV$2&amp;"|"&amp;AG45</f>
        <v/>
      </c>
      <c r="AM45" s="11">
        <f>$R$2&amp;"|"&amp;AB45&amp;"$"&amp;$W$2&amp;"|"&amp;O45&amp;"$"&amp;$BA$2&amp;"|"&amp;AG45</f>
        <v/>
      </c>
      <c r="AN45" s="11">
        <f>$R$2&amp;"|"&amp;AB45&amp;"$"&amp;$W$2&amp;"|"&amp;O45&amp;"$"&amp;$BF$2&amp;"|"&amp;AG45</f>
        <v/>
      </c>
      <c r="AO45" s="11">
        <f>$R$2&amp;"|"&amp;AB45&amp;"$"&amp;$W$2&amp;"|"&amp;O45&amp;"$"&amp;$BK$2&amp;"|"&amp;AG45</f>
        <v/>
      </c>
    </row>
    <row r="46" ht="67.5" customHeight="1" s="59">
      <c r="A46" s="11" t="n">
        <v>44</v>
      </c>
      <c r="B46" s="11">
        <f>E46&amp;"|"&amp;F46&amp;"|"&amp;G46&amp;"|"&amp;H46&amp;"|"&amp;I46</f>
        <v/>
      </c>
      <c r="C46" s="11">
        <f>$E$2&amp;":"&amp;E46&amp;"\n"&amp;$F$2&amp;":"&amp;F46&amp;"\n"&amp;$G$2&amp;":"&amp;G46&amp;"\n"&amp;$H$2&amp;":"&amp;H46&amp;"\n"&amp;$I$2&amp;":"&amp;I46</f>
        <v/>
      </c>
      <c r="E46" s="11" t="n">
        <v>215</v>
      </c>
      <c r="F46" s="11" t="n">
        <v>215</v>
      </c>
      <c r="G46" s="11" t="n">
        <v>215</v>
      </c>
      <c r="H46" s="11" t="n">
        <v>215</v>
      </c>
      <c r="I46" s="11" t="n">
        <v>215</v>
      </c>
      <c r="N46" s="5" t="n">
        <v>43</v>
      </c>
      <c r="O46" s="60">
        <f>($K$4*POWER(N46,$L$4))</f>
        <v/>
      </c>
      <c r="P46" s="65" t="n">
        <v>14176</v>
      </c>
      <c r="R46" s="61" t="n">
        <v>46803</v>
      </c>
      <c r="S46" s="11">
        <f>$R$2&amp;"|"&amp;AB46&amp;"$"&amp;$W$2&amp;"|"&amp;O46&amp;"$"&amp;$AB$2&amp;"|"&amp;AG46</f>
        <v/>
      </c>
      <c r="AA46" s="5" t="n">
        <v>43</v>
      </c>
      <c r="AB46" s="60">
        <f>($X$4*POWER(AA46,$Y$4))</f>
        <v/>
      </c>
      <c r="AF46" s="11" t="n">
        <v>43</v>
      </c>
      <c r="AG46" s="60">
        <f>($AC$4*POWER(AF46,$AD$4))/8</f>
        <v/>
      </c>
      <c r="AI46" s="11">
        <f>$R$2&amp;"|"&amp;AB46&amp;"$"&amp;$W$2&amp;"|"&amp;O46&amp;"$"&amp;$AG$2&amp;"|"&amp;AG46</f>
        <v/>
      </c>
      <c r="AJ46" s="11">
        <f>$R$2&amp;"|"&amp;AB46&amp;"$"&amp;$W$2&amp;"|"&amp;O46&amp;"$"&amp;$AL$2&amp;"|"&amp;AG46</f>
        <v/>
      </c>
      <c r="AK46" s="11">
        <f>$R$2&amp;"|"&amp;AB46&amp;"$"&amp;$W$2&amp;"|"&amp;O46&amp;"$"&amp;$AQ$2&amp;"|"&amp;AG46</f>
        <v/>
      </c>
      <c r="AL46" s="11">
        <f>$R$2&amp;"|"&amp;AB46&amp;"$"&amp;$W$2&amp;"|"&amp;O46&amp;"$"&amp;$AV$2&amp;"|"&amp;AG46</f>
        <v/>
      </c>
      <c r="AM46" s="11">
        <f>$R$2&amp;"|"&amp;AB46&amp;"$"&amp;$W$2&amp;"|"&amp;O46&amp;"$"&amp;$BA$2&amp;"|"&amp;AG46</f>
        <v/>
      </c>
      <c r="AN46" s="11">
        <f>$R$2&amp;"|"&amp;AB46&amp;"$"&amp;$W$2&amp;"|"&amp;O46&amp;"$"&amp;$BF$2&amp;"|"&amp;AG46</f>
        <v/>
      </c>
      <c r="AO46" s="11">
        <f>$R$2&amp;"|"&amp;AB46&amp;"$"&amp;$W$2&amp;"|"&amp;O46&amp;"$"&amp;$BK$2&amp;"|"&amp;AG46</f>
        <v/>
      </c>
    </row>
    <row r="47" ht="67.5" customHeight="1" s="59">
      <c r="A47" s="11" t="n">
        <v>45</v>
      </c>
      <c r="B47" s="11">
        <f>E47&amp;"|"&amp;F47&amp;"|"&amp;G47&amp;"|"&amp;H47&amp;"|"&amp;I47</f>
        <v/>
      </c>
      <c r="C47" s="11">
        <f>$E$2&amp;":"&amp;E47&amp;"\n"&amp;$F$2&amp;":"&amp;F47&amp;"\n"&amp;$G$2&amp;":"&amp;G47&amp;"\n"&amp;$H$2&amp;":"&amp;H47&amp;"\n"&amp;$I$2&amp;":"&amp;I47</f>
        <v/>
      </c>
      <c r="E47" s="11" t="n">
        <v>220</v>
      </c>
      <c r="F47" s="11" t="n">
        <v>220</v>
      </c>
      <c r="G47" s="11" t="n">
        <v>220</v>
      </c>
      <c r="H47" s="11" t="n">
        <v>220</v>
      </c>
      <c r="I47" s="11" t="n">
        <v>220</v>
      </c>
      <c r="N47" s="5" t="n">
        <v>44</v>
      </c>
      <c r="O47" s="60">
        <f>($K$4*POWER(N47,$L$4))</f>
        <v/>
      </c>
      <c r="P47" s="65" t="n">
        <v>14843</v>
      </c>
      <c r="R47" s="61" t="n">
        <v>49005</v>
      </c>
      <c r="S47" s="11">
        <f>$R$2&amp;"|"&amp;AB47&amp;"$"&amp;$W$2&amp;"|"&amp;O47&amp;"$"&amp;$AB$2&amp;"|"&amp;AG47</f>
        <v/>
      </c>
      <c r="AA47" s="11" t="n">
        <v>44</v>
      </c>
      <c r="AB47" s="60">
        <f>($X$4*POWER(AA47,$Y$4))</f>
        <v/>
      </c>
      <c r="AF47" s="11" t="n">
        <v>44</v>
      </c>
      <c r="AG47" s="60">
        <f>($AC$4*POWER(AF47,$AD$4))/8</f>
        <v/>
      </c>
      <c r="AI47" s="11">
        <f>$R$2&amp;"|"&amp;AB47&amp;"$"&amp;$W$2&amp;"|"&amp;O47&amp;"$"&amp;$AG$2&amp;"|"&amp;AG47</f>
        <v/>
      </c>
      <c r="AJ47" s="11">
        <f>$R$2&amp;"|"&amp;AB47&amp;"$"&amp;$W$2&amp;"|"&amp;O47&amp;"$"&amp;$AL$2&amp;"|"&amp;AG47</f>
        <v/>
      </c>
      <c r="AK47" s="11">
        <f>$R$2&amp;"|"&amp;AB47&amp;"$"&amp;$W$2&amp;"|"&amp;O47&amp;"$"&amp;$AQ$2&amp;"|"&amp;AG47</f>
        <v/>
      </c>
      <c r="AL47" s="11">
        <f>$R$2&amp;"|"&amp;AB47&amp;"$"&amp;$W$2&amp;"|"&amp;O47&amp;"$"&amp;$AV$2&amp;"|"&amp;AG47</f>
        <v/>
      </c>
      <c r="AM47" s="11">
        <f>$R$2&amp;"|"&amp;AB47&amp;"$"&amp;$W$2&amp;"|"&amp;O47&amp;"$"&amp;$BA$2&amp;"|"&amp;AG47</f>
        <v/>
      </c>
      <c r="AN47" s="11">
        <f>$R$2&amp;"|"&amp;AB47&amp;"$"&amp;$W$2&amp;"|"&amp;O47&amp;"$"&amp;$BF$2&amp;"|"&amp;AG47</f>
        <v/>
      </c>
      <c r="AO47" s="11">
        <f>$R$2&amp;"|"&amp;AB47&amp;"$"&amp;$W$2&amp;"|"&amp;O47&amp;"$"&amp;$BK$2&amp;"|"&amp;AG47</f>
        <v/>
      </c>
    </row>
    <row r="48" ht="67.5" customHeight="1" s="59">
      <c r="A48" s="11" t="n">
        <v>46</v>
      </c>
      <c r="B48" s="11">
        <f>E48&amp;"|"&amp;F48&amp;"|"&amp;G48&amp;"|"&amp;H48&amp;"|"&amp;I48</f>
        <v/>
      </c>
      <c r="C48" s="11">
        <f>$E$2&amp;":"&amp;E48&amp;"\n"&amp;$F$2&amp;":"&amp;F48&amp;"\n"&amp;$G$2&amp;":"&amp;G48&amp;"\n"&amp;$H$2&amp;":"&amp;H48&amp;"\n"&amp;$I$2&amp;":"&amp;I48</f>
        <v/>
      </c>
      <c r="E48" s="11" t="n">
        <v>225</v>
      </c>
      <c r="F48" s="11" t="n">
        <v>225</v>
      </c>
      <c r="G48" s="11" t="n">
        <v>225</v>
      </c>
      <c r="H48" s="11" t="n">
        <v>225</v>
      </c>
      <c r="I48" s="11" t="n">
        <v>225</v>
      </c>
      <c r="N48" s="5" t="n">
        <v>45</v>
      </c>
      <c r="O48" s="60">
        <f>($K$4*POWER(N48,$L$4))</f>
        <v/>
      </c>
      <c r="P48" s="65" t="n">
        <v>15525</v>
      </c>
      <c r="R48" s="61" t="n">
        <v>51258</v>
      </c>
      <c r="S48" s="11">
        <f>$R$2&amp;"|"&amp;AB48&amp;"$"&amp;$W$2&amp;"|"&amp;O48&amp;"$"&amp;$AB$2&amp;"|"&amp;AG48</f>
        <v/>
      </c>
      <c r="AA48" s="5" t="n">
        <v>45</v>
      </c>
      <c r="AB48" s="60">
        <f>($X$4*POWER(AA48,$Y$4))</f>
        <v/>
      </c>
      <c r="AF48" s="11" t="n">
        <v>45</v>
      </c>
      <c r="AG48" s="60">
        <f>($AC$4*POWER(AF48,$AD$4))/8</f>
        <v/>
      </c>
      <c r="AI48" s="11">
        <f>$R$2&amp;"|"&amp;AB48&amp;"$"&amp;$W$2&amp;"|"&amp;O48&amp;"$"&amp;$AG$2&amp;"|"&amp;AG48</f>
        <v/>
      </c>
      <c r="AJ48" s="11">
        <f>$R$2&amp;"|"&amp;AB48&amp;"$"&amp;$W$2&amp;"|"&amp;O48&amp;"$"&amp;$AL$2&amp;"|"&amp;AG48</f>
        <v/>
      </c>
      <c r="AK48" s="11">
        <f>$R$2&amp;"|"&amp;AB48&amp;"$"&amp;$W$2&amp;"|"&amp;O48&amp;"$"&amp;$AQ$2&amp;"|"&amp;AG48</f>
        <v/>
      </c>
      <c r="AL48" s="11">
        <f>$R$2&amp;"|"&amp;AB48&amp;"$"&amp;$W$2&amp;"|"&amp;O48&amp;"$"&amp;$AV$2&amp;"|"&amp;AG48</f>
        <v/>
      </c>
      <c r="AM48" s="11">
        <f>$R$2&amp;"|"&amp;AB48&amp;"$"&amp;$W$2&amp;"|"&amp;O48&amp;"$"&amp;$BA$2&amp;"|"&amp;AG48</f>
        <v/>
      </c>
      <c r="AN48" s="11">
        <f>$R$2&amp;"|"&amp;AB48&amp;"$"&amp;$W$2&amp;"|"&amp;O48&amp;"$"&amp;$BF$2&amp;"|"&amp;AG48</f>
        <v/>
      </c>
      <c r="AO48" s="11">
        <f>$R$2&amp;"|"&amp;AB48&amp;"$"&amp;$W$2&amp;"|"&amp;O48&amp;"$"&amp;$BK$2&amp;"|"&amp;AG48</f>
        <v/>
      </c>
    </row>
    <row r="49" ht="67.5" customHeight="1" s="59">
      <c r="A49" s="11" t="n">
        <v>47</v>
      </c>
      <c r="B49" s="11">
        <f>E49&amp;"|"&amp;F49&amp;"|"&amp;G49&amp;"|"&amp;H49&amp;"|"&amp;I49</f>
        <v/>
      </c>
      <c r="C49" s="11">
        <f>$E$2&amp;":"&amp;E49&amp;"\n"&amp;$F$2&amp;":"&amp;F49&amp;"\n"&amp;$G$2&amp;":"&amp;G49&amp;"\n"&amp;$H$2&amp;":"&amp;H49&amp;"\n"&amp;$I$2&amp;":"&amp;I49</f>
        <v/>
      </c>
      <c r="E49" s="11" t="n">
        <v>230</v>
      </c>
      <c r="F49" s="11" t="n">
        <v>230</v>
      </c>
      <c r="G49" s="11" t="n">
        <v>230</v>
      </c>
      <c r="H49" s="11" t="n">
        <v>230</v>
      </c>
      <c r="I49" s="11" t="n">
        <v>230</v>
      </c>
      <c r="N49" s="5" t="n">
        <v>46</v>
      </c>
      <c r="O49" s="60">
        <f>($K$4*POWER(N49,$L$4))</f>
        <v/>
      </c>
      <c r="P49" s="65" t="n">
        <v>16223</v>
      </c>
      <c r="R49" s="61" t="n">
        <v>53561</v>
      </c>
      <c r="S49" s="11">
        <f>$R$2&amp;"|"&amp;AB49&amp;"$"&amp;$W$2&amp;"|"&amp;O49&amp;"$"&amp;$AB$2&amp;"|"&amp;AG49</f>
        <v/>
      </c>
      <c r="AA49" s="11" t="n">
        <v>46</v>
      </c>
      <c r="AB49" s="60">
        <f>($X$4*POWER(AA49,$Y$4))</f>
        <v/>
      </c>
      <c r="AF49" s="11" t="n">
        <v>46</v>
      </c>
      <c r="AG49" s="60">
        <f>($AC$4*POWER(AF49,$AD$4))/8</f>
        <v/>
      </c>
      <c r="AI49" s="11">
        <f>$R$2&amp;"|"&amp;AB49&amp;"$"&amp;$W$2&amp;"|"&amp;O49&amp;"$"&amp;$AG$2&amp;"|"&amp;AG49</f>
        <v/>
      </c>
      <c r="AJ49" s="11">
        <f>$R$2&amp;"|"&amp;AB49&amp;"$"&amp;$W$2&amp;"|"&amp;O49&amp;"$"&amp;$AL$2&amp;"|"&amp;AG49</f>
        <v/>
      </c>
      <c r="AK49" s="11">
        <f>$R$2&amp;"|"&amp;AB49&amp;"$"&amp;$W$2&amp;"|"&amp;O49&amp;"$"&amp;$AQ$2&amp;"|"&amp;AG49</f>
        <v/>
      </c>
      <c r="AL49" s="11">
        <f>$R$2&amp;"|"&amp;AB49&amp;"$"&amp;$W$2&amp;"|"&amp;O49&amp;"$"&amp;$AV$2&amp;"|"&amp;AG49</f>
        <v/>
      </c>
      <c r="AM49" s="11">
        <f>$R$2&amp;"|"&amp;AB49&amp;"$"&amp;$W$2&amp;"|"&amp;O49&amp;"$"&amp;$BA$2&amp;"|"&amp;AG49</f>
        <v/>
      </c>
      <c r="AN49" s="11">
        <f>$R$2&amp;"|"&amp;AB49&amp;"$"&amp;$W$2&amp;"|"&amp;O49&amp;"$"&amp;$BF$2&amp;"|"&amp;AG49</f>
        <v/>
      </c>
      <c r="AO49" s="11">
        <f>$R$2&amp;"|"&amp;AB49&amp;"$"&amp;$W$2&amp;"|"&amp;O49&amp;"$"&amp;$BK$2&amp;"|"&amp;AG49</f>
        <v/>
      </c>
    </row>
    <row r="50" ht="67.5" customHeight="1" s="59">
      <c r="A50" s="11" t="n">
        <v>48</v>
      </c>
      <c r="B50" s="11">
        <f>E50&amp;"|"&amp;F50&amp;"|"&amp;G50&amp;"|"&amp;H50&amp;"|"&amp;I50</f>
        <v/>
      </c>
      <c r="C50" s="11">
        <f>$E$2&amp;":"&amp;E50&amp;"\n"&amp;$F$2&amp;":"&amp;F50&amp;"\n"&amp;$G$2&amp;":"&amp;G50&amp;"\n"&amp;$H$2&amp;":"&amp;H50&amp;"\n"&amp;$I$2&amp;":"&amp;I50</f>
        <v/>
      </c>
      <c r="E50" s="11" t="n">
        <v>235</v>
      </c>
      <c r="F50" s="11" t="n">
        <v>235</v>
      </c>
      <c r="G50" s="11" t="n">
        <v>235</v>
      </c>
      <c r="H50" s="11" t="n">
        <v>235</v>
      </c>
      <c r="I50" s="11" t="n">
        <v>235</v>
      </c>
      <c r="N50" s="5" t="n">
        <v>47</v>
      </c>
      <c r="O50" s="60">
        <f>($K$4*POWER(N50,$L$4))</f>
        <v/>
      </c>
      <c r="P50" s="65" t="n">
        <v>16936</v>
      </c>
      <c r="R50" s="61" t="n">
        <v>55915</v>
      </c>
      <c r="S50" s="11">
        <f>$R$2&amp;"|"&amp;AB50&amp;"$"&amp;$W$2&amp;"|"&amp;O50&amp;"$"&amp;$AB$2&amp;"|"&amp;AG50</f>
        <v/>
      </c>
      <c r="AA50" s="5" t="n">
        <v>47</v>
      </c>
      <c r="AB50" s="60">
        <f>($X$4*POWER(AA50,$Y$4))</f>
        <v/>
      </c>
      <c r="AF50" s="11" t="n">
        <v>47</v>
      </c>
      <c r="AG50" s="60">
        <f>($AC$4*POWER(AF50,$AD$4))/8</f>
        <v/>
      </c>
      <c r="AI50" s="11">
        <f>$R$2&amp;"|"&amp;AB50&amp;"$"&amp;$W$2&amp;"|"&amp;O50&amp;"$"&amp;$AG$2&amp;"|"&amp;AG50</f>
        <v/>
      </c>
      <c r="AJ50" s="11">
        <f>$R$2&amp;"|"&amp;AB50&amp;"$"&amp;$W$2&amp;"|"&amp;O50&amp;"$"&amp;$AL$2&amp;"|"&amp;AG50</f>
        <v/>
      </c>
      <c r="AK50" s="11">
        <f>$R$2&amp;"|"&amp;AB50&amp;"$"&amp;$W$2&amp;"|"&amp;O50&amp;"$"&amp;$AQ$2&amp;"|"&amp;AG50</f>
        <v/>
      </c>
      <c r="AL50" s="11">
        <f>$R$2&amp;"|"&amp;AB50&amp;"$"&amp;$W$2&amp;"|"&amp;O50&amp;"$"&amp;$AV$2&amp;"|"&amp;AG50</f>
        <v/>
      </c>
      <c r="AM50" s="11">
        <f>$R$2&amp;"|"&amp;AB50&amp;"$"&amp;$W$2&amp;"|"&amp;O50&amp;"$"&amp;$BA$2&amp;"|"&amp;AG50</f>
        <v/>
      </c>
      <c r="AN50" s="11">
        <f>$R$2&amp;"|"&amp;AB50&amp;"$"&amp;$W$2&amp;"|"&amp;O50&amp;"$"&amp;$BF$2&amp;"|"&amp;AG50</f>
        <v/>
      </c>
      <c r="AO50" s="11">
        <f>$R$2&amp;"|"&amp;AB50&amp;"$"&amp;$W$2&amp;"|"&amp;O50&amp;"$"&amp;$BK$2&amp;"|"&amp;AG50</f>
        <v/>
      </c>
    </row>
    <row r="51" ht="67.5" customHeight="1" s="59">
      <c r="A51" s="11" t="n">
        <v>49</v>
      </c>
      <c r="B51" s="11">
        <f>E51&amp;"|"&amp;F51&amp;"|"&amp;G51&amp;"|"&amp;H51&amp;"|"&amp;I51</f>
        <v/>
      </c>
      <c r="C51" s="11">
        <f>$E$2&amp;":"&amp;E51&amp;"\n"&amp;$F$2&amp;":"&amp;F51&amp;"\n"&amp;$G$2&amp;":"&amp;G51&amp;"\n"&amp;$H$2&amp;":"&amp;H51&amp;"\n"&amp;$I$2&amp;":"&amp;I51</f>
        <v/>
      </c>
      <c r="E51" s="11" t="n">
        <v>240</v>
      </c>
      <c r="F51" s="11" t="n">
        <v>240</v>
      </c>
      <c r="G51" s="11" t="n">
        <v>240</v>
      </c>
      <c r="H51" s="11" t="n">
        <v>240</v>
      </c>
      <c r="I51" s="11" t="n">
        <v>240</v>
      </c>
      <c r="N51" s="5" t="n">
        <v>48</v>
      </c>
      <c r="O51" s="60">
        <f>($K$4*POWER(N51,$L$4))</f>
        <v/>
      </c>
      <c r="P51" s="65" t="n">
        <v>17664</v>
      </c>
      <c r="R51" s="61" t="n">
        <v>58320</v>
      </c>
      <c r="S51" s="11">
        <f>$R$2&amp;"|"&amp;AB51&amp;"$"&amp;$W$2&amp;"|"&amp;O51&amp;"$"&amp;$AB$2&amp;"|"&amp;AG51</f>
        <v/>
      </c>
      <c r="AA51" s="11" t="n">
        <v>48</v>
      </c>
      <c r="AB51" s="60">
        <f>($X$4*POWER(AA51,$Y$4))</f>
        <v/>
      </c>
      <c r="AF51" s="11" t="n">
        <v>48</v>
      </c>
      <c r="AG51" s="60">
        <f>($AC$4*POWER(AF51,$AD$4))/8</f>
        <v/>
      </c>
      <c r="AI51" s="11">
        <f>$R$2&amp;"|"&amp;AB51&amp;"$"&amp;$W$2&amp;"|"&amp;O51&amp;"$"&amp;$AG$2&amp;"|"&amp;AG51</f>
        <v/>
      </c>
      <c r="AJ51" s="11">
        <f>$R$2&amp;"|"&amp;AB51&amp;"$"&amp;$W$2&amp;"|"&amp;O51&amp;"$"&amp;$AL$2&amp;"|"&amp;AG51</f>
        <v/>
      </c>
      <c r="AK51" s="11">
        <f>$R$2&amp;"|"&amp;AB51&amp;"$"&amp;$W$2&amp;"|"&amp;O51&amp;"$"&amp;$AQ$2&amp;"|"&amp;AG51</f>
        <v/>
      </c>
      <c r="AL51" s="11">
        <f>$R$2&amp;"|"&amp;AB51&amp;"$"&amp;$W$2&amp;"|"&amp;O51&amp;"$"&amp;$AV$2&amp;"|"&amp;AG51</f>
        <v/>
      </c>
      <c r="AM51" s="11">
        <f>$R$2&amp;"|"&amp;AB51&amp;"$"&amp;$W$2&amp;"|"&amp;O51&amp;"$"&amp;$BA$2&amp;"|"&amp;AG51</f>
        <v/>
      </c>
      <c r="AN51" s="11">
        <f>$R$2&amp;"|"&amp;AB51&amp;"$"&amp;$W$2&amp;"|"&amp;O51&amp;"$"&amp;$BF$2&amp;"|"&amp;AG51</f>
        <v/>
      </c>
      <c r="AO51" s="11">
        <f>$R$2&amp;"|"&amp;AB51&amp;"$"&amp;$W$2&amp;"|"&amp;O51&amp;"$"&amp;$BK$2&amp;"|"&amp;AG51</f>
        <v/>
      </c>
    </row>
    <row r="52" ht="37.5" customHeight="1" s="59">
      <c r="A52" s="11" t="n">
        <v>50</v>
      </c>
      <c r="B52" s="11">
        <f>E52&amp;"|"&amp;F52&amp;"|"&amp;G52&amp;"|"&amp;H52&amp;"|"&amp;I52</f>
        <v/>
      </c>
      <c r="C52" s="11">
        <f>$E$2&amp;":"&amp;E52&amp;"\n"&amp;$F$2&amp;":"&amp;F52&amp;"\n"&amp;$G$2&amp;":"&amp;G52&amp;"\n"&amp;$H$2&amp;":"&amp;H52&amp;"\n"&amp;$I$2&amp;":"&amp;I52</f>
        <v/>
      </c>
      <c r="E52" s="11" t="n">
        <v>245</v>
      </c>
      <c r="F52" s="11" t="n">
        <v>245</v>
      </c>
      <c r="G52" s="11" t="n">
        <v>245</v>
      </c>
      <c r="H52" s="11" t="n">
        <v>245</v>
      </c>
      <c r="I52" s="11" t="n">
        <v>245</v>
      </c>
      <c r="N52" s="5" t="n">
        <v>49</v>
      </c>
      <c r="O52" s="60">
        <f>($K$4*POWER(N52,$L$4))</f>
        <v/>
      </c>
      <c r="P52" s="65" t="n">
        <v>18408</v>
      </c>
      <c r="R52" s="61" t="n">
        <v>60775</v>
      </c>
      <c r="S52" s="11">
        <f>$R$2&amp;"|"&amp;AB52&amp;"$"&amp;$W$2&amp;"|"&amp;O52&amp;"$"&amp;$AB$2&amp;"|"&amp;AG52</f>
        <v/>
      </c>
      <c r="AA52" s="5" t="n">
        <v>49</v>
      </c>
      <c r="AB52" s="60">
        <f>($X$4*POWER(AA52,$Y$4))</f>
        <v/>
      </c>
      <c r="AF52" s="11" t="n">
        <v>49</v>
      </c>
      <c r="AG52" s="60">
        <f>($AC$4*POWER(AF52,$AD$4))/8</f>
        <v/>
      </c>
      <c r="AI52" s="11">
        <f>$R$2&amp;"|"&amp;AB52&amp;"$"&amp;$W$2&amp;"|"&amp;O52&amp;"$"&amp;$AG$2&amp;"|"&amp;AG52</f>
        <v/>
      </c>
      <c r="AJ52" s="11">
        <f>$R$2&amp;"|"&amp;AB52&amp;"$"&amp;$W$2&amp;"|"&amp;O52&amp;"$"&amp;$AL$2&amp;"|"&amp;AG52</f>
        <v/>
      </c>
      <c r="AK52" s="11">
        <f>$R$2&amp;"|"&amp;AB52&amp;"$"&amp;$W$2&amp;"|"&amp;O52&amp;"$"&amp;$AQ$2&amp;"|"&amp;AG52</f>
        <v/>
      </c>
      <c r="AL52" s="11">
        <f>$R$2&amp;"|"&amp;AB52&amp;"$"&amp;$W$2&amp;"|"&amp;O52&amp;"$"&amp;$AV$2&amp;"|"&amp;AG52</f>
        <v/>
      </c>
      <c r="AM52" s="11">
        <f>$R$2&amp;"|"&amp;AB52&amp;"$"&amp;$W$2&amp;"|"&amp;O52&amp;"$"&amp;$BA$2&amp;"|"&amp;AG52</f>
        <v/>
      </c>
      <c r="AN52" s="11">
        <f>$R$2&amp;"|"&amp;AB52&amp;"$"&amp;$W$2&amp;"|"&amp;O52&amp;"$"&amp;$BF$2&amp;"|"&amp;AG52</f>
        <v/>
      </c>
      <c r="AO52" s="11">
        <f>$R$2&amp;"|"&amp;AB52&amp;"$"&amp;$W$2&amp;"|"&amp;O52&amp;"$"&amp;$BK$2&amp;"|"&amp;AG52</f>
        <v/>
      </c>
    </row>
    <row r="53" ht="69" customHeight="1" s="59">
      <c r="B53" s="11">
        <f>B3&amp;"$"&amp;B4&amp;"$"&amp;B5&amp;"$"&amp;B6&amp;"$"&amp;B7&amp;"$"&amp;B8&amp;"$"&amp;B9&amp;"$"&amp;B10&amp;"$"&amp;B11&amp;"$"&amp;B12&amp;"$"&amp;B13&amp;"$"&amp;B14&amp;"$"&amp;B15&amp;"$"&amp;B16&amp;"$"&amp;B17&amp;"$"&amp;B18&amp;"$"&amp;B19&amp;"$"&amp;B20&amp;"$"&amp;B21&amp;"$"&amp;B22&amp;"$"&amp;B23&amp;"$"&amp;B24&amp;"$"&amp;B25&amp;"$"&amp;B26&amp;"$"&amp;B27&amp;"$"&amp;B28&amp;"$"&amp;B29&amp;"$"&amp;B30&amp;"$"&amp;B31&amp;"$"&amp;B32&amp;"$"&amp;B33&amp;"$"&amp;B34&amp;"$"&amp;B35&amp;"$"&amp;B36&amp;"$"&amp;B37&amp;"$"&amp;B38&amp;"$"&amp;B39&amp;"$"&amp;B40&amp;"$"&amp;B41&amp;"$"&amp;B42&amp;"$"&amp;B43&amp;"$"&amp;B44&amp;"$"&amp;B45&amp;"$"&amp;B46&amp;"$"&amp;B47&amp;"$"&amp;B48&amp;"$"&amp;B49&amp;"$"&amp;B50&amp;"$"&amp;B51&amp;"$"&amp;B52</f>
        <v/>
      </c>
      <c r="C53" s="11">
        <f>C3&amp;"$"&amp;C4&amp;"$"&amp;C5&amp;"$"&amp;C6&amp;"$"&amp;C7&amp;"$"&amp;C8&amp;"$"&amp;C9&amp;"$"&amp;C10&amp;"$"&amp;C11&amp;"$"&amp;C12&amp;"$"&amp;C13&amp;"$"&amp;C14&amp;"$"&amp;C15&amp;"$"&amp;C16&amp;"$"&amp;C17&amp;"$"&amp;C18&amp;"$"&amp;C19&amp;"$"&amp;C20&amp;"$"&amp;C21&amp;"$"&amp;C22&amp;"$"&amp;C23&amp;"$"&amp;C24&amp;"$"&amp;C25&amp;"$"&amp;C26&amp;"$"&amp;C27&amp;"$"&amp;C28&amp;"$"&amp;C29&amp;"$"&amp;C30&amp;"$"&amp;C31&amp;"$"&amp;C32&amp;"$"&amp;C33&amp;"$"&amp;C34&amp;"$"&amp;C35&amp;"$"&amp;C36&amp;"$"&amp;C37&amp;"$"&amp;C38&amp;"$"&amp;C39&amp;"$"&amp;C40&amp;"$"&amp;C41&amp;"$"&amp;C42&amp;"$"&amp;C43&amp;"$"&amp;C44&amp;"$"&amp;C45&amp;"$"&amp;C46&amp;"$"&amp;C47&amp;"$"&amp;C48&amp;"$"&amp;C49&amp;"$"&amp;C50&amp;"$"&amp;C51&amp;"$"&amp;C52</f>
        <v/>
      </c>
      <c r="N53" s="5" t="n">
        <v>50</v>
      </c>
      <c r="O53" s="60">
        <f>($K$4*POWER(N53,$L$4))</f>
        <v/>
      </c>
      <c r="P53" s="65" t="n">
        <v>19167</v>
      </c>
      <c r="R53" s="61" t="n">
        <v>63281</v>
      </c>
      <c r="S53" s="11">
        <f>$R$2&amp;"|"&amp;AB53&amp;"$"&amp;$W$2&amp;"|"&amp;O53&amp;"$"&amp;$AB$2&amp;"|"&amp;AG53</f>
        <v/>
      </c>
      <c r="AA53" s="11" t="n">
        <v>50</v>
      </c>
      <c r="AB53" s="60">
        <f>($X$4*POWER(AA53,$Y$4))</f>
        <v/>
      </c>
      <c r="AF53" s="11" t="n">
        <v>50</v>
      </c>
      <c r="AG53" s="60">
        <f>($AC$4*POWER(AF53,$AD$4))/8</f>
        <v/>
      </c>
      <c r="AI53" s="11">
        <f>$R$2&amp;"|"&amp;AB53&amp;"$"&amp;$W$2&amp;"|"&amp;O53&amp;"$"&amp;$AG$2&amp;"|"&amp;AG53</f>
        <v/>
      </c>
      <c r="AJ53" s="11">
        <f>$R$2&amp;"|"&amp;AB53&amp;"$"&amp;$W$2&amp;"|"&amp;O53&amp;"$"&amp;$AL$2&amp;"|"&amp;AG53</f>
        <v/>
      </c>
      <c r="AK53" s="11">
        <f>$R$2&amp;"|"&amp;AB53&amp;"$"&amp;$W$2&amp;"|"&amp;O53&amp;"$"&amp;$AQ$2&amp;"|"&amp;AG53</f>
        <v/>
      </c>
      <c r="AL53" s="11">
        <f>$R$2&amp;"|"&amp;AB53&amp;"$"&amp;$W$2&amp;"|"&amp;O53&amp;"$"&amp;$AV$2&amp;"|"&amp;AG53</f>
        <v/>
      </c>
      <c r="AM53" s="11">
        <f>$R$2&amp;"|"&amp;AB53&amp;"$"&amp;$W$2&amp;"|"&amp;O53&amp;"$"&amp;$BA$2&amp;"|"&amp;AG53</f>
        <v/>
      </c>
      <c r="AN53" s="11">
        <f>$R$2&amp;"|"&amp;AB53&amp;"$"&amp;$W$2&amp;"|"&amp;O53&amp;"$"&amp;$BF$2&amp;"|"&amp;AG53</f>
        <v/>
      </c>
      <c r="AO53" s="11">
        <f>$R$2&amp;"|"&amp;AB53&amp;"$"&amp;$W$2&amp;"|"&amp;O53&amp;"$"&amp;$BK$2&amp;"|"&amp;AG53</f>
        <v/>
      </c>
    </row>
    <row r="54">
      <c r="A54" s="11" t="inlineStr">
        <is>
          <t>光弹：</t>
        </is>
      </c>
    </row>
    <row r="55">
      <c r="A55" s="11" t="n">
        <v>211010</v>
      </c>
      <c r="N55" s="5" t="n"/>
    </row>
    <row r="56">
      <c r="N56" s="5" t="n"/>
    </row>
    <row r="57">
      <c r="N57" s="5" t="n"/>
    </row>
    <row r="58">
      <c r="N58" s="5" t="n"/>
    </row>
    <row r="61">
      <c r="R61" s="11" t="n">
        <v>8</v>
      </c>
    </row>
    <row r="63">
      <c r="B63" s="2" t="inlineStr">
        <is>
          <t>K</t>
        </is>
      </c>
      <c r="C63" s="2" t="inlineStr">
        <is>
          <t>A</t>
        </is>
      </c>
      <c r="D63" s="2" t="n"/>
      <c r="E63" s="2" t="inlineStr">
        <is>
          <t>t</t>
        </is>
      </c>
      <c r="F63" s="2" t="inlineStr">
        <is>
          <t>y(t)</t>
        </is>
      </c>
    </row>
    <row r="64">
      <c r="A64" s="11" t="inlineStr">
        <is>
          <t>每5级需要书</t>
        </is>
      </c>
      <c r="B64" s="3" t="n">
        <v>1</v>
      </c>
      <c r="C64" s="4" t="n">
        <v>1.5</v>
      </c>
      <c r="D64" s="5" t="n"/>
      <c r="E64" s="5" t="n">
        <v>1</v>
      </c>
      <c r="F64" s="60">
        <f>($B$64*POWER(E64,$C$64))</f>
        <v/>
      </c>
      <c r="G64" s="11" t="n">
        <v>5</v>
      </c>
    </row>
    <row r="65">
      <c r="E65" s="11" t="n">
        <v>2</v>
      </c>
      <c r="F65" s="60">
        <f>($B$64*POWER(E65,$C$64))</f>
        <v/>
      </c>
      <c r="G65" s="11" t="n">
        <v>10</v>
      </c>
    </row>
    <row r="66">
      <c r="E66" s="5" t="n">
        <v>3</v>
      </c>
      <c r="F66" s="60">
        <f>($B$64*POWER(E66,$C$64))</f>
        <v/>
      </c>
      <c r="G66" s="11" t="n">
        <v>15</v>
      </c>
    </row>
    <row r="67">
      <c r="E67" s="11" t="n">
        <v>4</v>
      </c>
      <c r="F67" s="60">
        <f>($B$64*POWER(E67,$C$64))</f>
        <v/>
      </c>
      <c r="G67" s="11" t="n">
        <v>20</v>
      </c>
    </row>
    <row r="68">
      <c r="E68" s="5" t="n">
        <v>5</v>
      </c>
      <c r="F68" s="60">
        <f>($B$64*POWER(E68,$C$64))</f>
        <v/>
      </c>
      <c r="G68" s="11" t="n">
        <v>25</v>
      </c>
    </row>
    <row r="69">
      <c r="E69" s="11" t="n">
        <v>6</v>
      </c>
      <c r="F69" s="60">
        <f>($B$64*POWER(E69,$C$64))</f>
        <v/>
      </c>
      <c r="G69" s="11" t="n">
        <v>30</v>
      </c>
    </row>
    <row r="70">
      <c r="E70" s="5" t="n">
        <v>7</v>
      </c>
      <c r="F70" s="60">
        <f>($B$64*POWER(E70,$C$64))</f>
        <v/>
      </c>
      <c r="G70" s="11" t="n">
        <v>35</v>
      </c>
    </row>
    <row r="71">
      <c r="E71" s="11" t="n">
        <v>8</v>
      </c>
      <c r="F71" s="60">
        <f>($B$64*POWER(E71,$C$64))</f>
        <v/>
      </c>
      <c r="G71" s="11" t="n">
        <v>40</v>
      </c>
    </row>
    <row r="72">
      <c r="E72" s="5" t="n">
        <v>9</v>
      </c>
      <c r="F72" s="60">
        <f>($B$64*POWER(E72,$C$64))</f>
        <v/>
      </c>
      <c r="G72" s="11" t="n">
        <v>45</v>
      </c>
    </row>
    <row r="73">
      <c r="E73" s="11" t="n">
        <v>10</v>
      </c>
      <c r="F73" s="60">
        <f>($B$64*POWER(E73,$C$64))</f>
        <v/>
      </c>
      <c r="G73" s="11" t="n">
        <v>50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2021-07-14T02:49:00Z</dcterms:created>
  <dcterms:modified xmlns:dcterms="http://purl.org/dc/terms/" xmlns:xsi="http://www.w3.org/2001/XMLSchema-instance" xsi:type="dcterms:W3CDTF">2026-01-12T03:12:30Z</dcterms:modified>
  <cp:lastModifiedBy>admin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2052-11.1.0.10132</vt:lpwstr>
  </property>
</Properties>
</file>