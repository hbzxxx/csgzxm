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20" windowHeight="10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<sst xmlns="http://schemas.openxmlformats.org/spreadsheetml/2006/main" count="238" uniqueCount="131">
  <si>
    <t>##var</t>
  </si>
  <si>
    <t>id</t>
  </si>
  <si>
    <t>hangNum</t>
  </si>
  <si>
    <t>lieNum</t>
  </si>
  <si>
    <t>distance</t>
  </si>
  <si>
    <t>belongMapId</t>
  </si>
  <si>
    <t>startLogicPos</t>
  </si>
  <si>
    <t>possibleEventId</t>
  </si>
  <si>
    <t>possibleEventWeight</t>
  </si>
  <si>
    <t>possibleAward</t>
  </si>
  <si>
    <t>##type</t>
  </si>
  <si>
    <t>string</t>
  </si>
  <si>
    <t>##</t>
  </si>
  <si>
    <t>10000</t>
  </si>
  <si>
    <t>17</t>
  </si>
  <si>
    <t>3</t>
  </si>
  <si>
    <t>200|300</t>
  </si>
  <si>
    <t>0|0</t>
  </si>
  <si>
    <t>20004|20005|20006|20007|20008|20009|20010|20011|20012|20013|20014|20015|20016|20017</t>
  </si>
  <si>
    <t>6|6|10|10|9|8|6|3|3|10|9|8|6|6</t>
  </si>
  <si>
    <t>10001|111001|61001|152001|161001</t>
  </si>
  <si>
    <t>10001</t>
  </si>
  <si>
    <t>21001|21002|21003|21004|21005|21006|21007|21008|21009|21010|21011|21012|21013|21014|21015|21016|21017|21018</t>
  </si>
  <si>
    <t>6|6|10|8|7|6|5|4|5|3|3|8|7|6|5|4|3|4</t>
  </si>
  <si>
    <t>10002</t>
  </si>
  <si>
    <t>22001|22002|22003|22004|22005|22006|22007|22008|22009|22010|22011|22012|22013|22014|22015|22016|22017|22018</t>
  </si>
  <si>
    <t>10001|112001|62001|152001|162001</t>
  </si>
  <si>
    <t>10003</t>
  </si>
  <si>
    <t>23001|23002|23003|23004|23005|23006|23007|23008|23009|23010|23011|23012|23013|23014|23015|23016|23017|23018</t>
  </si>
  <si>
    <t>10001|113001|63001|152001|163001</t>
  </si>
  <si>
    <t>10004</t>
  </si>
  <si>
    <t>24001|24002|24003|24004|24005|24006|24007|24008|24009|24010|24011|24012|24013|24014|24015|24016|24017|24018</t>
  </si>
  <si>
    <t>10001|114001|64001|152001|164001</t>
  </si>
  <si>
    <t>10005</t>
  </si>
  <si>
    <t>20004|20005|20006</t>
  </si>
  <si>
    <t>1|1|1</t>
  </si>
  <si>
    <t>云海宗</t>
  </si>
  <si>
    <t>月灵矿脉</t>
  </si>
  <si>
    <t>仙渺森林</t>
  </si>
  <si>
    <t>憩息点</t>
  </si>
  <si>
    <t>荒废遗迹</t>
  </si>
  <si>
    <t>简陋木屋</t>
  </si>
  <si>
    <t>古朴木屋</t>
  </si>
  <si>
    <t>隐龙地脉</t>
  </si>
  <si>
    <t>陌生女子</t>
  </si>
  <si>
    <t>迷路的村民</t>
  </si>
  <si>
    <t>小片药圃</t>
  </si>
  <si>
    <t>中型药圃</t>
  </si>
  <si>
    <t>大片药圃</t>
  </si>
  <si>
    <t>灵罗盘</t>
  </si>
  <si>
    <t>灵罗盘(大）</t>
  </si>
  <si>
    <t>季狸国</t>
  </si>
  <si>
    <t>21001</t>
  </si>
  <si>
    <t>小树林</t>
  </si>
  <si>
    <t>21002</t>
  </si>
  <si>
    <t>21003</t>
  </si>
  <si>
    <t>21004</t>
  </si>
  <si>
    <t>21005</t>
  </si>
  <si>
    <t>21006</t>
  </si>
  <si>
    <t>飘渺庭院</t>
  </si>
  <si>
    <t>21007</t>
  </si>
  <si>
    <t>破败宫殿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</si>
  <si>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</si>
  <si>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</si>
  <si>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</si>
  <si>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</si>
  <si>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</si>
  <si>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</si>
  <si>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</si>
  <si>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</si>
  <si>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药王灵域</t>
  </si>
  <si>
    <t>21016</t>
  </si>
  <si>
    <t>21017</t>
  </si>
  <si>
    <t>21018</t>
  </si>
  <si>
    <t>厌火国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</si>
  <si>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</si>
  <si>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</si>
  <si>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</si>
  <si>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</si>
  <si>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</si>
  <si>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</si>
  <si>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</si>
  <si>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</si>
  <si>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</si>
  <si>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</si>
  <si>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</si>
  <si>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</si>
  <si>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</si>
  <si>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</si>
  <si>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</si>
  <si>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</si>
  <si>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</si>
  <si>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</si>
  <si>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白民国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</si>
  <si>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</si>
  <si>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</si>
  <si>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</si>
  <si>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</si>
  <si>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</si>
  <si>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</si>
  <si>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</si>
  <si>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</si>
  <si>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</si>
  <si>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</si>
  <si>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</si>
  <si>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</si>
  <si>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</si>
  <si>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</si>
  <si>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</si>
  <si>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</si>
  <si>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</si>
  <si>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</si>
  <si>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羽民国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</si>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</sst>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6" borderId="0" xfId="0" applyFill="1" applyAlignment="1">
      <alignment vertical="center"/>
    </xf>
    <xf numFmtId="49" fontId="1" fillId="6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49" fontId="0" fillId="7" borderId="0" xfId="0" applyNumberFormat="1" applyFill="1" applyAlignment="1">
      <alignment vertical="center" wrapText="1"/>
    </xf>
    <xf numFmtId="0" fontId="0" fillId="7" borderId="0" xfId="0" applyFill="1" applyAlignment="1">
      <alignment vertical="center"/>
    </xf>
    <xf numFmtId="0" fontId="1" fillId="7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1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" fillId="10" borderId="0" xfId="0" applyFont="1" applyFill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G14" sqref="G14"/>
    </sheetView>
  </sheetViews>
  <sheetFormatPr defaultColWidth="9" defaultRowHeight="13.5"/>
  <cols>
    <col min="1" max="1" width="9" style="21" customWidth="1"/>
    <col min="2" max="2" width="13.25" style="21" customWidth="1"/>
    <col min="3" max="3" width="9" style="21" customWidth="1"/>
    <col min="4" max="4" width="9.75" style="21" customWidth="1"/>
    <col min="5" max="5" width="12.75" style="21" customWidth="1"/>
    <col min="6" max="6" width="13.5" style="21" customWidth="1"/>
    <col min="7" max="7" width="91.875" style="21" customWidth="1"/>
    <col min="8" max="8" width="35.125" style="21" customWidth="1"/>
    <col min="9" max="9" width="33.375" style="21" customWidth="1"/>
    <col min="10" max="16383" width="9" style="21" customWidth="1"/>
    <col min="16384" max="16384" width="9" style="2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>
      <c r="A3" t="s">
        <v>12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2" t="s">
        <v>9</v>
      </c>
    </row>
    <row r="4" spans="1:10">
      <c r="B4" s="21" t="s">
        <v>13</v>
      </c>
      <c r="C4" s="22" t="s">
        <v>14</v>
      </c>
      <c r="D4" s="21" t="s">
        <v>15</v>
      </c>
      <c r="E4" s="21" t="s">
        <v>16</v>
      </c>
      <c r="F4" s="21">
        <v>10000</v>
      </c>
      <c r="G4" s="21" t="s">
        <v>17</v>
      </c>
      <c r="H4" s="22" t="s">
        <v>18</v>
      </c>
      <c r="I4" s="21" t="s">
        <v>19</v>
      </c>
      <c r="J4" s="22" t="s">
        <v>20</v>
      </c>
    </row>
    <row r="5" spans="1:10">
      <c r="B5" s="21" t="s">
        <v>21</v>
      </c>
      <c r="C5" s="21" t="s">
        <v>14</v>
      </c>
      <c r="D5" s="21" t="s">
        <v>15</v>
      </c>
      <c r="E5" s="21" t="s">
        <v>16</v>
      </c>
      <c r="F5" s="21">
        <v>10001</v>
      </c>
      <c r="G5" s="21" t="s">
        <v>17</v>
      </c>
      <c r="H5" s="22" t="s">
        <v>22</v>
      </c>
      <c r="I5" s="21" t="s">
        <v>23</v>
      </c>
      <c r="J5" s="22" t="s">
        <v>20</v>
      </c>
    </row>
    <row r="6" spans="1:10">
      <c r="B6" s="21" t="s">
        <v>24</v>
      </c>
      <c r="C6" s="22" t="s">
        <v>14</v>
      </c>
      <c r="D6" s="21" t="s">
        <v>15</v>
      </c>
      <c r="E6" s="21" t="s">
        <v>16</v>
      </c>
      <c r="F6" s="21">
        <v>10002</v>
      </c>
      <c r="G6" s="21" t="s">
        <v>17</v>
      </c>
      <c r="H6" s="22" t="s">
        <v>25</v>
      </c>
      <c r="I6" s="21" t="s">
        <v>23</v>
      </c>
      <c r="J6" s="22" t="s">
        <v>26</v>
      </c>
    </row>
    <row r="7" spans="1:10">
      <c r="B7" s="21" t="s">
        <v>27</v>
      </c>
      <c r="C7" s="22" t="s">
        <v>14</v>
      </c>
      <c r="D7" s="22" t="s">
        <v>15</v>
      </c>
      <c r="E7" s="21" t="s">
        <v>16</v>
      </c>
      <c r="F7" s="21">
        <v>10003</v>
      </c>
      <c r="G7" s="21" t="s">
        <v>17</v>
      </c>
      <c r="H7" s="22" t="s">
        <v>28</v>
      </c>
      <c r="I7" s="22" t="s">
        <v>23</v>
      </c>
      <c r="J7" s="22" t="s">
        <v>29</v>
      </c>
    </row>
    <row r="8" spans="1:10">
      <c r="B8" s="21" t="s">
        <v>30</v>
      </c>
      <c r="C8" s="22" t="s">
        <v>14</v>
      </c>
      <c r="D8" s="22" t="s">
        <v>15</v>
      </c>
      <c r="E8" s="21" t="s">
        <v>16</v>
      </c>
      <c r="F8" s="21">
        <v>10004</v>
      </c>
      <c r="G8" s="21" t="s">
        <v>17</v>
      </c>
      <c r="H8" s="22" t="s">
        <v>31</v>
      </c>
      <c r="I8" s="22" t="s">
        <v>23</v>
      </c>
      <c r="J8" s="22" t="s">
        <v>32</v>
      </c>
    </row>
    <row r="9" spans="1:10">
      <c r="B9" s="21" t="s">
        <v>33</v>
      </c>
      <c r="C9" s="21">
        <v>5</v>
      </c>
      <c r="D9" s="21">
        <v>5</v>
      </c>
      <c r="E9" s="21" t="s">
        <v>16</v>
      </c>
      <c r="F9" s="21">
        <v>10005</v>
      </c>
      <c r="G9" s="21" t="s">
        <v>17</v>
      </c>
      <c r="H9" s="22" t="s">
        <v>34</v>
      </c>
      <c r="I9" s="2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topLeftCell="A69" workbookViewId="0">
      <selection activeCell="E78" sqref="E78"/>
    </sheetView>
  </sheetViews>
  <sheetFormatPr defaultColWidth="9" defaultRowHeight="13.5" outlineLevelCol="5"/>
  <cols>
    <col min="1" max="1" width="10.875" style="1" customWidth="1"/>
    <col min="2" max="3" width="9" style="1" customWidth="1"/>
    <col min="4" max="4" width="33.625" style="1" customWidth="1"/>
    <col min="5" max="5" width="59.25" style="1" customWidth="1"/>
    <col min="6" max="16384" width="9" style="1" customWidth="1"/>
  </cols>
  <sheetData>
    <row r="1" spans="1:6">
      <c r="A1" s="2" t="s">
        <v>36</v>
      </c>
    </row>
    <row r="2" ht="54" customHeight="1" spans="1:6">
      <c r="A2" s="3" t="s">
        <v>37</v>
      </c>
      <c r="B2" s="2">
        <v>20004</v>
      </c>
      <c r="C2" s="1">
        <v>6</v>
      </c>
      <c r="D2" s="1" t="str">
        <f t="shared" ref="D2:D15" si="0">B2&amp;"|"&amp;C2</f>
        <v>20004|6</v>
      </c>
      <c r="E2" s="1" t="str">
        <f>B2&amp;"|"&amp;B3&amp;"|"&amp;B4&amp;"|"&amp;B5&amp;"|"&amp;B6&amp;"|"&amp;B7&amp;"|"&amp;B8&amp;"|"&amp;B9&amp;"|"&amp;B10&amp;"|"&amp;B11&amp;"|"&amp;B12&amp;"|"&amp;B13&amp;"|"&amp;B14&amp;"|"&amp;B15</f>
        <v>20004|20005|20006|20007|20008|20009|20010|20011|20012|20013|20014|20015|20016|20017</v>
      </c>
      <c r="F2" s="1" t="str">
        <f>C2&amp;"|"&amp;C3&amp;"|"&amp;C4&amp;"|"&amp;C5&amp;"|"&amp;C6&amp;"|"&amp;C7&amp;"|"&amp;C8&amp;"|"&amp;C9&amp;"|"&amp;C10&amp;"|"&amp;C11&amp;"|"&amp;C12&amp;"|"&amp;C13&amp;"|"&amp;C14&amp;"|"&amp;C15</f>
        <v>6|6|10|10|9|8|6|3|3|10|9|8|6|6</v>
      </c>
    </row>
    <row r="3" spans="1:6">
      <c r="A3" s="3" t="s">
        <v>38</v>
      </c>
      <c r="B3" s="2">
        <v>20005</v>
      </c>
      <c r="C3" s="1">
        <v>6</v>
      </c>
      <c r="D3" s="1" t="str">
        <f t="shared" si="0"/>
        <v>20005|6</v>
      </c>
    </row>
    <row r="4" spans="1:6">
      <c r="A4" s="4" t="s">
        <v>39</v>
      </c>
      <c r="B4" s="2">
        <v>20006</v>
      </c>
      <c r="C4" s="1">
        <v>10</v>
      </c>
      <c r="D4" s="1" t="str">
        <f t="shared" si="0"/>
        <v>20006|10</v>
      </c>
    </row>
    <row r="5" spans="1:6">
      <c r="A5" s="3" t="s">
        <v>40</v>
      </c>
      <c r="B5" s="2">
        <v>20007</v>
      </c>
      <c r="C5" s="1">
        <v>10</v>
      </c>
      <c r="D5" s="1" t="str">
        <f t="shared" si="0"/>
        <v>20007|10</v>
      </c>
    </row>
    <row r="6" spans="1:6">
      <c r="A6" s="3" t="s">
        <v>41</v>
      </c>
      <c r="B6" s="2">
        <v>20008</v>
      </c>
      <c r="C6" s="1">
        <v>9</v>
      </c>
      <c r="D6" s="1" t="str">
        <f t="shared" si="0"/>
        <v>20008|9</v>
      </c>
    </row>
    <row r="7" spans="1:6">
      <c r="A7" s="3" t="s">
        <v>42</v>
      </c>
      <c r="B7" s="2">
        <v>20009</v>
      </c>
      <c r="C7" s="1">
        <v>8</v>
      </c>
      <c r="D7" s="1" t="str">
        <f t="shared" si="0"/>
        <v>20009|8</v>
      </c>
    </row>
    <row r="8" spans="1:6">
      <c r="A8" s="5" t="s">
        <v>43</v>
      </c>
      <c r="B8" s="2">
        <v>20010</v>
      </c>
      <c r="C8" s="1">
        <v>6</v>
      </c>
      <c r="D8" s="1" t="str">
        <f t="shared" si="0"/>
        <v>20010|6</v>
      </c>
    </row>
    <row r="9" spans="1:6">
      <c r="A9" s="6" t="s">
        <v>44</v>
      </c>
      <c r="B9" s="2">
        <v>20011</v>
      </c>
      <c r="C9" s="1">
        <v>3</v>
      </c>
      <c r="D9" s="1" t="str">
        <f t="shared" si="0"/>
        <v>20011|3</v>
      </c>
    </row>
    <row r="10" spans="1:6">
      <c r="A10" s="6" t="s">
        <v>45</v>
      </c>
      <c r="B10" s="2">
        <v>20012</v>
      </c>
      <c r="C10" s="1">
        <v>3</v>
      </c>
      <c r="D10" s="1" t="str">
        <f t="shared" si="0"/>
        <v>20012|3</v>
      </c>
    </row>
    <row r="11" spans="1:6">
      <c r="A11" s="5" t="s">
        <v>46</v>
      </c>
      <c r="B11" s="2">
        <v>20013</v>
      </c>
      <c r="C11" s="1">
        <v>10</v>
      </c>
      <c r="D11" s="1" t="str">
        <f t="shared" si="0"/>
        <v>20013|10</v>
      </c>
    </row>
    <row r="12" spans="1:6">
      <c r="A12" s="7" t="s">
        <v>47</v>
      </c>
      <c r="B12" s="2">
        <v>20014</v>
      </c>
      <c r="C12" s="1">
        <v>9</v>
      </c>
      <c r="D12" s="1" t="str">
        <f t="shared" si="0"/>
        <v>20014|9</v>
      </c>
    </row>
    <row r="13" spans="1:6">
      <c r="A13" s="3" t="s">
        <v>48</v>
      </c>
      <c r="B13" s="2">
        <v>20015</v>
      </c>
      <c r="C13" s="1">
        <v>8</v>
      </c>
      <c r="D13" s="1" t="str">
        <f t="shared" si="0"/>
        <v>20015|8</v>
      </c>
    </row>
    <row r="14" spans="1:6">
      <c r="A14" s="8" t="s">
        <v>49</v>
      </c>
      <c r="B14" s="2">
        <v>20016</v>
      </c>
      <c r="C14" s="1">
        <v>6</v>
      </c>
      <c r="D14" s="1" t="str">
        <f t="shared" si="0"/>
        <v>20016|6</v>
      </c>
    </row>
    <row r="15" ht="27" customHeight="1" spans="1:6">
      <c r="A15" s="8" t="s">
        <v>50</v>
      </c>
      <c r="B15" s="2">
        <v>20017</v>
      </c>
      <c r="C15" s="1">
        <v>6</v>
      </c>
      <c r="D15" s="1" t="str">
        <f t="shared" si="0"/>
        <v>20017|6</v>
      </c>
    </row>
    <row r="16" ht="176.25" customHeight="1" spans="1:6">
      <c r="B16" s="2"/>
      <c r="C16" s="1">
        <f>SUM(C2:C15)</f>
        <v>100</v>
      </c>
      <c r="D16" s="1" t="str">
        <f>D2&amp;"$"&amp;D3&amp;"$"&amp;D4&amp;"$"&amp;D5&amp;"$"&amp;D6&amp;"$"&amp;D7&amp;"$"&amp;D8&amp;"$"&amp;D9&amp;"$"&amp;D10&amp;"$"&amp;D11&amp;"$"&amp;D12&amp;"$"&amp;D13&amp;"$"&amp;D14&amp;"$"&amp;D15</f>
        <v>20004|6$20005|6$20006|10$20007|10$20008|9$20009|8$20010|6$20011|3$20012|3$20013|10$20014|9$20015|8$20016|6$20017|6</v>
      </c>
    </row>
    <row r="17" spans="1:6">
      <c r="A17" s="1" t="s">
        <v>51</v>
      </c>
    </row>
    <row r="18" ht="67.5" customHeight="1" spans="1:6">
      <c r="A18" s="9" t="s">
        <v>37</v>
      </c>
      <c r="B18" s="10" t="s">
        <v>52</v>
      </c>
      <c r="C18" s="1">
        <v>6</v>
      </c>
      <c r="E18" s="1" t="str">
        <f>B18&amp;"|"&amp;B19&amp;"|"&amp;B20&amp;"|"&amp;B21&amp;"|"&amp;B22&amp;"|"&amp;B23&amp;"|"&amp;B24&amp;"|"&amp;B25&amp;"|"&amp;B26&amp;"|"&amp;B27&amp;"|"&amp;B28&amp;"|"&amp;B29&amp;"|"&amp;B30&amp;"|"&amp;B31&amp;"|"&amp;B32&amp;"|"&amp;B33&amp;"|"&amp;B34&amp;"|"&amp;B35</f>
        <v>21001|21002|21003|21004|21005|21006|21007|21008|21009|21010|21011|21012|21013|21014|21015|21016|21017|21018</v>
      </c>
      <c r="F18" s="1" t="str">
        <f>C18&amp;"|"&amp;C19&amp;"|"&amp;C20&amp;"|"&amp;C21&amp;"|"&amp;C22&amp;"|"&amp;C23&amp;"|"&amp;C24&amp;"|"&amp;C25&amp;"|"&amp;C26&amp;"|"&amp;C27&amp;"|"&amp;C28&amp;"|"&amp;C29&amp;"|"&amp;C30&amp;"|"&amp;C31&amp;"|"&amp;C32&amp;"|"&amp;C33&amp;"|"&amp;C34&amp;"|"&amp;C35</f>
        <v>6|6|10|8|7|6|5|4|5|3|3|8|7|6|5|4|3|4</v>
      </c>
    </row>
    <row r="19" spans="1:6">
      <c r="A19" s="11" t="s">
        <v>53</v>
      </c>
      <c r="B19" s="10" t="s">
        <v>54</v>
      </c>
      <c r="C19" s="1">
        <v>6</v>
      </c>
    </row>
    <row r="20" spans="1:6">
      <c r="A20" s="4" t="s">
        <v>39</v>
      </c>
      <c r="B20" s="10" t="s">
        <v>55</v>
      </c>
      <c r="C20" s="1">
        <v>10</v>
      </c>
    </row>
    <row r="21" spans="1:6">
      <c r="A21" s="12" t="s">
        <v>40</v>
      </c>
      <c r="B21" s="10" t="s">
        <v>56</v>
      </c>
      <c r="C21" s="1">
        <v>8</v>
      </c>
    </row>
    <row r="22" spans="1:6">
      <c r="A22" s="12" t="s">
        <v>41</v>
      </c>
      <c r="B22" s="10" t="s">
        <v>57</v>
      </c>
      <c r="C22" s="1">
        <v>7</v>
      </c>
    </row>
    <row r="23" spans="1:6">
      <c r="A23" s="12" t="s">
        <v>42</v>
      </c>
      <c r="B23" s="10" t="s">
        <v>58</v>
      </c>
      <c r="C23" s="1">
        <v>6</v>
      </c>
    </row>
    <row r="24" spans="1:6">
      <c r="A24" s="13" t="s">
        <v>59</v>
      </c>
      <c r="B24" s="10" t="s">
        <v>60</v>
      </c>
      <c r="C24" s="1">
        <v>5</v>
      </c>
    </row>
    <row r="25" spans="1:6">
      <c r="A25" s="13" t="s">
        <v>61</v>
      </c>
      <c r="B25" s="10" t="s">
        <v>62</v>
      </c>
      <c r="C25" s="1">
        <v>4</v>
      </c>
    </row>
    <row r="26" spans="1:6">
      <c r="A26" s="14" t="s">
        <v>43</v>
      </c>
      <c r="B26" s="10" t="s">
        <v>63</v>
      </c>
      <c r="C26" s="1">
        <v>5</v>
      </c>
    </row>
    <row r="27" spans="1:6">
      <c r="A27" s="15" t="s">
        <v>44</v>
      </c>
      <c r="B27" s="10" t="s">
        <v>64</v>
      </c>
      <c r="C27" s="1">
        <v>3</v>
      </c>
    </row>
    <row r="28" spans="1:6">
      <c r="A28" s="15" t="s">
        <v>45</v>
      </c>
      <c r="B28" s="10" t="s">
        <v>65</v>
      </c>
      <c r="C28" s="1">
        <v>3</v>
      </c>
    </row>
    <row r="29" spans="1:6">
      <c r="A29" s="16" t="s">
        <v>46</v>
      </c>
      <c r="B29" s="10" t="s">
        <v>66</v>
      </c>
      <c r="C29" s="1">
        <v>8</v>
      </c>
    </row>
    <row r="30" spans="1:6">
      <c r="A30" s="17" t="s">
        <v>47</v>
      </c>
      <c r="B30" s="10" t="s">
        <v>67</v>
      </c>
      <c r="C30" s="1">
        <v>7</v>
      </c>
    </row>
    <row r="31" spans="1:6">
      <c r="A31" s="16" t="s">
        <v>48</v>
      </c>
      <c r="B31" s="10" t="s">
        <v>68</v>
      </c>
      <c r="C31" s="1">
        <v>6</v>
      </c>
    </row>
    <row r="32" spans="1:6">
      <c r="A32" s="18" t="s">
        <v>38</v>
      </c>
      <c r="B32" s="10" t="s">
        <v>69</v>
      </c>
      <c r="C32" s="1">
        <v>5</v>
      </c>
    </row>
    <row r="33" spans="1:6">
      <c r="A33" s="18" t="s">
        <v>70</v>
      </c>
      <c r="B33" s="10" t="s">
        <v>71</v>
      </c>
      <c r="C33" s="1">
        <v>4</v>
      </c>
    </row>
    <row r="34" spans="1:6">
      <c r="A34" s="19" t="s">
        <v>49</v>
      </c>
      <c r="B34" s="10" t="s">
        <v>72</v>
      </c>
      <c r="C34" s="1">
        <v>3</v>
      </c>
    </row>
    <row r="35" spans="1:6">
      <c r="A35" s="19" t="s">
        <v>50</v>
      </c>
      <c r="B35" s="10" t="s">
        <v>73</v>
      </c>
      <c r="C35" s="1">
        <v>4</v>
      </c>
    </row>
    <row r="36" spans="1:6">
      <c r="B36" s="20"/>
      <c r="C36" s="1">
        <f>SUM(C18:C35)</f>
        <v>100</v>
      </c>
    </row>
    <row r="37" spans="1:6">
      <c r="A37" s="2" t="s">
        <v>74</v>
      </c>
      <c r="B37" s="20"/>
    </row>
    <row r="38" ht="67.5" customHeight="1" spans="1:6">
      <c r="A38" s="9" t="s">
        <v>37</v>
      </c>
      <c r="B38" s="10" t="s">
        <v>75</v>
      </c>
      <c r="C38" s="1">
        <v>6</v>
      </c>
      <c r="E38" s="1" t="str">
        <f>B38&amp;"|"&amp;B39&amp;"|"&amp;B40&amp;"|"&amp;B41&amp;"|"&amp;B42&amp;"|"&amp;B43&amp;"|"&amp;B44&amp;"|"&amp;B45&amp;"|"&amp;B46&amp;"|"&amp;B47&amp;"|"&amp;B48&amp;"|"&amp;B49&amp;"|"&amp;B50&amp;"|"&amp;B51&amp;"|"&amp;B52&amp;"|"&amp;B53&amp;"|"&amp;B54&amp;"|"&amp;B55</f>
        <v>22001|22002|22003|22004|22005|22006|22007|22008|22009|22010|22011|22012|22013|22014|22015|22016|22017|22018</v>
      </c>
      <c r="F38" s="1" t="str">
        <f>C38&amp;"|"&amp;C39&amp;"|"&amp;C40&amp;"|"&amp;C41&amp;"|"&amp;C42&amp;"|"&amp;C43&amp;"|"&amp;C44&amp;"|"&amp;C45&amp;"|"&amp;C46&amp;"|"&amp;C47&amp;"|"&amp;C48&amp;"|"&amp;C49&amp;"|"&amp;C50&amp;"|"&amp;C51&amp;"|"&amp;C52&amp;"|"&amp;C53&amp;"|"&amp;C54&amp;"|"&amp;C55</f>
        <v>6|6|10|8|7|6|5|4|5|3|3|8|7|6|5|4|3|4</v>
      </c>
    </row>
    <row r="39" spans="1:6">
      <c r="A39" s="11" t="s">
        <v>53</v>
      </c>
      <c r="B39" s="10" t="s">
        <v>76</v>
      </c>
      <c r="C39" s="1">
        <v>6</v>
      </c>
    </row>
    <row r="40" spans="1:6">
      <c r="A40" s="4" t="s">
        <v>39</v>
      </c>
      <c r="B40" s="10" t="s">
        <v>77</v>
      </c>
      <c r="C40" s="1">
        <v>10</v>
      </c>
    </row>
    <row r="41" spans="1:6">
      <c r="A41" s="12" t="s">
        <v>40</v>
      </c>
      <c r="B41" s="10" t="s">
        <v>78</v>
      </c>
      <c r="C41" s="1">
        <v>8</v>
      </c>
    </row>
    <row r="42" spans="1:6">
      <c r="A42" s="12" t="s">
        <v>41</v>
      </c>
      <c r="B42" s="10" t="s">
        <v>79</v>
      </c>
      <c r="C42" s="1">
        <v>7</v>
      </c>
    </row>
    <row r="43" spans="1:6">
      <c r="A43" s="12" t="s">
        <v>42</v>
      </c>
      <c r="B43" s="10" t="s">
        <v>80</v>
      </c>
      <c r="C43" s="1">
        <v>6</v>
      </c>
    </row>
    <row r="44" spans="1:6">
      <c r="A44" s="13" t="s">
        <v>59</v>
      </c>
      <c r="B44" s="10" t="s">
        <v>81</v>
      </c>
      <c r="C44" s="1">
        <v>5</v>
      </c>
    </row>
    <row r="45" spans="1:6">
      <c r="A45" s="13" t="s">
        <v>61</v>
      </c>
      <c r="B45" s="10" t="s">
        <v>82</v>
      </c>
      <c r="C45" s="1">
        <v>4</v>
      </c>
    </row>
    <row r="46" spans="1:6">
      <c r="A46" s="14" t="s">
        <v>43</v>
      </c>
      <c r="B46" s="10" t="s">
        <v>83</v>
      </c>
      <c r="C46" s="1">
        <v>5</v>
      </c>
    </row>
    <row r="47" spans="1:6">
      <c r="A47" s="15" t="s">
        <v>44</v>
      </c>
      <c r="B47" s="10" t="s">
        <v>84</v>
      </c>
      <c r="C47" s="1">
        <v>3</v>
      </c>
    </row>
    <row r="48" spans="1:6">
      <c r="A48" s="15" t="s">
        <v>45</v>
      </c>
      <c r="B48" s="10" t="s">
        <v>85</v>
      </c>
      <c r="C48" s="1">
        <v>3</v>
      </c>
    </row>
    <row r="49" spans="1:6">
      <c r="A49" s="16" t="s">
        <v>46</v>
      </c>
      <c r="B49" s="10" t="s">
        <v>86</v>
      </c>
      <c r="C49" s="1">
        <v>8</v>
      </c>
    </row>
    <row r="50" spans="1:6">
      <c r="A50" s="17" t="s">
        <v>47</v>
      </c>
      <c r="B50" s="10" t="s">
        <v>87</v>
      </c>
      <c r="C50" s="1">
        <v>7</v>
      </c>
    </row>
    <row r="51" spans="1:6">
      <c r="A51" s="16" t="s">
        <v>48</v>
      </c>
      <c r="B51" s="10" t="s">
        <v>88</v>
      </c>
      <c r="C51" s="1">
        <v>6</v>
      </c>
    </row>
    <row r="52" spans="1:6">
      <c r="A52" s="18" t="s">
        <v>38</v>
      </c>
      <c r="B52" s="10" t="s">
        <v>89</v>
      </c>
      <c r="C52" s="1">
        <v>5</v>
      </c>
    </row>
    <row r="53" spans="1:6">
      <c r="A53" s="18" t="s">
        <v>70</v>
      </c>
      <c r="B53" s="10" t="s">
        <v>90</v>
      </c>
      <c r="C53" s="1">
        <v>4</v>
      </c>
    </row>
    <row r="54" spans="1:6">
      <c r="A54" s="19" t="s">
        <v>49</v>
      </c>
      <c r="B54" s="10" t="s">
        <v>91</v>
      </c>
      <c r="C54" s="1">
        <v>3</v>
      </c>
    </row>
    <row r="55" spans="1:6">
      <c r="A55" s="19" t="s">
        <v>50</v>
      </c>
      <c r="B55" s="10" t="s">
        <v>92</v>
      </c>
      <c r="C55" s="1">
        <v>4</v>
      </c>
    </row>
    <row r="56" spans="1:6">
      <c r="C56" s="1">
        <f>SUM(C38:C55)</f>
        <v>100</v>
      </c>
    </row>
    <row r="57" spans="1:6">
      <c r="A57" s="2" t="s">
        <v>93</v>
      </c>
      <c r="B57" s="20"/>
    </row>
    <row r="58" ht="67.5" customHeight="1" spans="1:6">
      <c r="A58" s="9" t="s">
        <v>37</v>
      </c>
      <c r="B58" s="10" t="s">
        <v>94</v>
      </c>
      <c r="C58" s="1">
        <v>6</v>
      </c>
      <c r="E58" s="1" t="str">
        <f>B58&amp;"|"&amp;B59&amp;"|"&amp;B60&amp;"|"&amp;B61&amp;"|"&amp;B62&amp;"|"&amp;B63&amp;"|"&amp;B64&amp;"|"&amp;B65&amp;"|"&amp;B66&amp;"|"&amp;B67&amp;"|"&amp;B68&amp;"|"&amp;B69&amp;"|"&amp;B70&amp;"|"&amp;B71&amp;"|"&amp;B72&amp;"|"&amp;B73&amp;"|"&amp;B74&amp;"|"&amp;B75</f>
        <v>23001|23002|23003|23004|23005|23006|23007|23008|23009|23010|23011|23012|23013|23014|23015|23016|23017|23018</v>
      </c>
      <c r="F58" s="1" t="str">
        <f>C58&amp;"|"&amp;C59&amp;"|"&amp;C60&amp;"|"&amp;C61&amp;"|"&amp;C62&amp;"|"&amp;C63&amp;"|"&amp;C64&amp;"|"&amp;C65&amp;"|"&amp;C66&amp;"|"&amp;C67&amp;"|"&amp;C68&amp;"|"&amp;C69&amp;"|"&amp;C70&amp;"|"&amp;C71&amp;"|"&amp;C72&amp;"|"&amp;C73&amp;"|"&amp;C74&amp;"|"&amp;C75</f>
        <v>6|6|10|8|7|6|5|4|5|3|3|8|7|6|5|4|3|4</v>
      </c>
    </row>
    <row r="59" spans="1:6">
      <c r="A59" s="11" t="s">
        <v>53</v>
      </c>
      <c r="B59" s="10" t="s">
        <v>95</v>
      </c>
      <c r="C59" s="1">
        <v>6</v>
      </c>
    </row>
    <row r="60" spans="1:6">
      <c r="A60" s="4" t="s">
        <v>39</v>
      </c>
      <c r="B60" s="10" t="s">
        <v>96</v>
      </c>
      <c r="C60" s="1">
        <v>10</v>
      </c>
    </row>
    <row r="61" spans="1:6">
      <c r="A61" s="12" t="s">
        <v>40</v>
      </c>
      <c r="B61" s="10" t="s">
        <v>97</v>
      </c>
      <c r="C61" s="1">
        <v>8</v>
      </c>
    </row>
    <row r="62" spans="1:6">
      <c r="A62" s="12" t="s">
        <v>41</v>
      </c>
      <c r="B62" s="10" t="s">
        <v>98</v>
      </c>
      <c r="C62" s="1">
        <v>7</v>
      </c>
    </row>
    <row r="63" spans="1:6">
      <c r="A63" s="12" t="s">
        <v>42</v>
      </c>
      <c r="B63" s="10" t="s">
        <v>99</v>
      </c>
      <c r="C63" s="1">
        <v>6</v>
      </c>
    </row>
    <row r="64" spans="1:6">
      <c r="A64" s="13" t="s">
        <v>59</v>
      </c>
      <c r="B64" s="10" t="s">
        <v>100</v>
      </c>
      <c r="C64" s="1">
        <v>5</v>
      </c>
    </row>
    <row r="65" spans="1:6">
      <c r="A65" s="13" t="s">
        <v>61</v>
      </c>
      <c r="B65" s="10" t="s">
        <v>101</v>
      </c>
      <c r="C65" s="1">
        <v>4</v>
      </c>
    </row>
    <row r="66" spans="1:6">
      <c r="A66" s="14" t="s">
        <v>43</v>
      </c>
      <c r="B66" s="10" t="s">
        <v>102</v>
      </c>
      <c r="C66" s="1">
        <v>5</v>
      </c>
    </row>
    <row r="67" spans="1:6">
      <c r="A67" s="15" t="s">
        <v>44</v>
      </c>
      <c r="B67" s="10" t="s">
        <v>103</v>
      </c>
      <c r="C67" s="1">
        <v>3</v>
      </c>
    </row>
    <row r="68" spans="1:6">
      <c r="A68" s="15" t="s">
        <v>45</v>
      </c>
      <c r="B68" s="10" t="s">
        <v>104</v>
      </c>
      <c r="C68" s="1">
        <v>3</v>
      </c>
    </row>
    <row r="69" spans="1:6">
      <c r="A69" s="16" t="s">
        <v>46</v>
      </c>
      <c r="B69" s="10" t="s">
        <v>105</v>
      </c>
      <c r="C69" s="1">
        <v>8</v>
      </c>
    </row>
    <row r="70" spans="1:6">
      <c r="A70" s="17" t="s">
        <v>47</v>
      </c>
      <c r="B70" s="10" t="s">
        <v>106</v>
      </c>
      <c r="C70" s="1">
        <v>7</v>
      </c>
    </row>
    <row r="71" spans="1:6">
      <c r="A71" s="16" t="s">
        <v>48</v>
      </c>
      <c r="B71" s="10" t="s">
        <v>107</v>
      </c>
      <c r="C71" s="1">
        <v>6</v>
      </c>
    </row>
    <row r="72" spans="1:6">
      <c r="A72" s="18" t="s">
        <v>38</v>
      </c>
      <c r="B72" s="10" t="s">
        <v>108</v>
      </c>
      <c r="C72" s="1">
        <v>5</v>
      </c>
    </row>
    <row r="73" spans="1:6">
      <c r="A73" s="18" t="s">
        <v>70</v>
      </c>
      <c r="B73" s="10" t="s">
        <v>109</v>
      </c>
      <c r="C73" s="1">
        <v>4</v>
      </c>
    </row>
    <row r="74" spans="1:6">
      <c r="A74" s="19" t="s">
        <v>49</v>
      </c>
      <c r="B74" s="10" t="s">
        <v>110</v>
      </c>
      <c r="C74" s="1">
        <v>3</v>
      </c>
    </row>
    <row r="75" spans="1:6">
      <c r="A75" s="19" t="s">
        <v>50</v>
      </c>
      <c r="B75" s="10" t="s">
        <v>111</v>
      </c>
      <c r="C75" s="1">
        <v>4</v>
      </c>
    </row>
    <row r="76" spans="1:6">
      <c r="C76" s="1">
        <f>SUM(C58:C75)</f>
        <v>100</v>
      </c>
    </row>
    <row r="77" spans="1:6">
      <c r="A77" s="2" t="s">
        <v>112</v>
      </c>
      <c r="B77" s="20"/>
    </row>
    <row r="78" ht="67.5" customHeight="1" spans="1:6">
      <c r="A78" s="9" t="s">
        <v>37</v>
      </c>
      <c r="B78" s="10" t="s">
        <v>113</v>
      </c>
      <c r="C78" s="1">
        <v>6</v>
      </c>
      <c r="E78" s="1" t="str">
        <f>B78&amp;"|"&amp;B79&amp;"|"&amp;B80&amp;"|"&amp;B81&amp;"|"&amp;B82&amp;"|"&amp;B83&amp;"|"&amp;B84&amp;"|"&amp;B85&amp;"|"&amp;B86&amp;"|"&amp;B87&amp;"|"&amp;B88&amp;"|"&amp;B89&amp;"|"&amp;B90&amp;"|"&amp;B91&amp;"|"&amp;B92&amp;"|"&amp;B93&amp;"|"&amp;B94&amp;"|"&amp;B95</f>
        <v>24001|24002|24003|24004|24005|24006|24007|24008|24009|24010|24011|24012|24013|24014|24015|24016|24017|24018</v>
      </c>
      <c r="F78" s="1" t="str">
        <f>C78&amp;"|"&amp;C79&amp;"|"&amp;C80&amp;"|"&amp;C81&amp;"|"&amp;C82&amp;"|"&amp;C83&amp;"|"&amp;C84&amp;"|"&amp;C85&amp;"|"&amp;C86&amp;"|"&amp;C87&amp;"|"&amp;C88&amp;"|"&amp;C89&amp;"|"&amp;C90&amp;"|"&amp;C91&amp;"|"&amp;C92&amp;"|"&amp;C93&amp;"|"&amp;C94&amp;"|"&amp;C95</f>
        <v>6|6|10|8|7|6|5|4|5|3|3|8|7|6|5|4|3|4</v>
      </c>
    </row>
    <row r="79" spans="1:6">
      <c r="A79" s="11" t="s">
        <v>53</v>
      </c>
      <c r="B79" s="10" t="s">
        <v>114</v>
      </c>
      <c r="C79" s="1">
        <v>6</v>
      </c>
    </row>
    <row r="80" spans="1:6">
      <c r="A80" s="4" t="s">
        <v>39</v>
      </c>
      <c r="B80" s="10" t="s">
        <v>115</v>
      </c>
      <c r="C80" s="1">
        <v>10</v>
      </c>
    </row>
    <row r="81" spans="1:3">
      <c r="A81" s="12" t="s">
        <v>40</v>
      </c>
      <c r="B81" s="10" t="s">
        <v>116</v>
      </c>
      <c r="C81" s="1">
        <v>8</v>
      </c>
    </row>
    <row r="82" spans="1:3">
      <c r="A82" s="12" t="s">
        <v>41</v>
      </c>
      <c r="B82" s="10" t="s">
        <v>117</v>
      </c>
      <c r="C82" s="1">
        <v>7</v>
      </c>
    </row>
    <row r="83" spans="1:3">
      <c r="A83" s="12" t="s">
        <v>42</v>
      </c>
      <c r="B83" s="10" t="s">
        <v>118</v>
      </c>
      <c r="C83" s="1">
        <v>6</v>
      </c>
    </row>
    <row r="84" spans="1:3">
      <c r="A84" s="13" t="s">
        <v>59</v>
      </c>
      <c r="B84" s="10" t="s">
        <v>119</v>
      </c>
      <c r="C84" s="1">
        <v>5</v>
      </c>
    </row>
    <row r="85" spans="1:3">
      <c r="A85" s="13" t="s">
        <v>61</v>
      </c>
      <c r="B85" s="10" t="s">
        <v>120</v>
      </c>
      <c r="C85" s="1">
        <v>4</v>
      </c>
    </row>
    <row r="86" spans="1:3">
      <c r="A86" s="14" t="s">
        <v>43</v>
      </c>
      <c r="B86" s="10" t="s">
        <v>121</v>
      </c>
      <c r="C86" s="1">
        <v>5</v>
      </c>
    </row>
    <row r="87" spans="1:3">
      <c r="A87" s="15" t="s">
        <v>44</v>
      </c>
      <c r="B87" s="10" t="s">
        <v>122</v>
      </c>
      <c r="C87" s="1">
        <v>3</v>
      </c>
    </row>
    <row r="88" spans="1:3">
      <c r="A88" s="15" t="s">
        <v>45</v>
      </c>
      <c r="B88" s="10" t="s">
        <v>123</v>
      </c>
      <c r="C88" s="1">
        <v>3</v>
      </c>
    </row>
    <row r="89" spans="1:3">
      <c r="A89" s="16" t="s">
        <v>46</v>
      </c>
      <c r="B89" s="10" t="s">
        <v>124</v>
      </c>
      <c r="C89" s="1">
        <v>8</v>
      </c>
    </row>
    <row r="90" spans="1:3">
      <c r="A90" s="17" t="s">
        <v>47</v>
      </c>
      <c r="B90" s="10" t="s">
        <v>125</v>
      </c>
      <c r="C90" s="1">
        <v>7</v>
      </c>
    </row>
    <row r="91" spans="1:3">
      <c r="A91" s="16" t="s">
        <v>48</v>
      </c>
      <c r="B91" s="10" t="s">
        <v>126</v>
      </c>
      <c r="C91" s="1">
        <v>6</v>
      </c>
    </row>
    <row r="92" spans="1:3">
      <c r="A92" s="18" t="s">
        <v>38</v>
      </c>
      <c r="B92" s="10" t="s">
        <v>127</v>
      </c>
      <c r="C92" s="1">
        <v>5</v>
      </c>
    </row>
    <row r="93" spans="1:3">
      <c r="A93" s="18" t="s">
        <v>70</v>
      </c>
      <c r="B93" s="10" t="s">
        <v>128</v>
      </c>
      <c r="C93" s="1">
        <v>4</v>
      </c>
    </row>
    <row r="94" spans="1:3">
      <c r="A94" s="19" t="s">
        <v>49</v>
      </c>
      <c r="B94" s="10" t="s">
        <v>129</v>
      </c>
      <c r="C94" s="1">
        <v>3</v>
      </c>
    </row>
    <row r="95" spans="1:3">
      <c r="A95" s="19" t="s">
        <v>50</v>
      </c>
      <c r="B95" s="10" t="s">
        <v>130</v>
      </c>
      <c r="C95" s="1">
        <v>4</v>
      </c>
    </row>
    <row r="96" spans="1:3">
      <c r="C96" s="1">
        <f>SUM(C78:C95)</f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2021-10-27T11:04:00Z</dcterms:created>
  <dcterms:modified xsi:type="dcterms:W3CDTF">2026-01-21T08:45:01Z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C9C8B3745AA341E683BF234D90B875F3_12</vt:lpwstr>
  </property>
  <property fmtid="{D5CDD505-2E9C-101B-9397-08002B2CF9AE}" pid="4" name="CalculationRule">
    <vt:i4>0</vt:i4>
  </property>
</Properties>
</file>