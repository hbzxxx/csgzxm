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55" windowHeight="10605"/>
  </bookViews>
  <sheets>
    <sheet name="Sheet1" sheetId="1" r:id="rId1"/>
    <sheet name="Sheet2" sheetId="2" r:id="rId2"/>
    <sheet name="Sheet3" sheetId="3" r:id="rId3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<sst xmlns="http://schemas.openxmlformats.org/spreadsheetml/2006/main" count="2067" uniqueCount="357">
  <si>
    <t>##var</t>
  </si>
  <si>
    <t>id</t>
  </si>
  <si>
    <t>name</t>
  </si>
  <si>
    <t>des</t>
  </si>
  <si>
    <t>hideDes</t>
  </si>
  <si>
    <t>param</t>
  </si>
  <si>
    <t>type</t>
  </si>
  <si>
    <t>structLayer</t>
  </si>
  <si>
    <t>btn1Txt</t>
  </si>
  <si>
    <t>btn2Txt</t>
  </si>
  <si>
    <t>tagName</t>
  </si>
  <si>
    <t>consume</t>
  </si>
  <si>
    <t>finishShow</t>
  </si>
  <si>
    <t>rdmByTime</t>
  </si>
  <si>
    <t>rdmMonth</t>
  </si>
  <si>
    <t>unique</t>
  </si>
  <si>
    <t>pos</t>
  </si>
  <si>
    <t>sustain</t>
  </si>
  <si>
    <t>dangerousLevel</t>
  </si>
  <si>
    <t>enemyGroup</t>
  </si>
  <si>
    <t>enemyGroupLevel</t>
  </si>
  <si>
    <t>unlockMapLevel</t>
  </si>
  <si>
    <t>EventAppearType</t>
  </si>
  <si>
    <t>uiName</t>
  </si>
  <si>
    <t>param2</t>
  </si>
  <si>
    <t/>
  </si>
  <si>
    <t>##type</t>
  </si>
  <si>
    <t>string</t>
  </si>
  <si>
    <t>##</t>
  </si>
  <si>
    <t>薄雾营地</t>
  </si>
  <si>
    <t>一处薄雾缭绕的临时营地，篝火余温未散，适合整队整备与短暂休整。</t>
  </si>
  <si>
    <t>25|100</t>
  </si>
  <si>
    <t>2</t>
  </si>
  <si>
    <t>1</t>
  </si>
  <si>
    <t>在此扎营</t>
  </si>
  <si>
    <t>无视它</t>
  </si>
  <si>
    <t>-1</t>
  </si>
  <si>
    <t>林地果树</t>
  </si>
  <si>
    <t>林间果树结实累累，枝叶间藏着几枚稀罕野果，采下可作补给。</t>
  </si>
  <si>
    <t>25</t>
  </si>
  <si>
    <t>采摘</t>
  </si>
  <si>
    <t>10003</t>
  </si>
  <si>
    <t>回声营地</t>
  </si>
  <si>
    <t>地势背风、草地平坦，像是旧日队伍停驻过的地方，适合歇脚与整顿。</t>
  </si>
  <si>
    <t>20004</t>
  </si>
  <si>
    <t>月银矿脉</t>
  </si>
  <si>
    <t>岩层裸露出银白矿纹，蕴藏“月银矿”与少量伴生稀矿，是锻造与强化所需的珍材。</t>
  </si>
  <si>
    <t>111001|330|400</t>
  </si>
  <si>
    <t>3</t>
  </si>
  <si>
    <t>勘探</t>
  </si>
  <si>
    <t>矿</t>
  </si>
  <si>
    <t>7</t>
  </si>
  <si>
    <t>此处矿脉已被取尽，只剩无用碎石与矿渣</t>
  </si>
  <si>
    <t>img_kuangchang</t>
  </si>
  <si>
    <t>20005</t>
  </si>
  <si>
    <t>密林边径</t>
  </si>
  <si>
    <t>一条通往密林深处的旧路，林中传闻有猛兽与怪影出没，仍可试探性搜查。</t>
  </si>
  <si>
    <t>91001|60|80</t>
  </si>
  <si>
    <t>探索</t>
  </si>
  <si>
    <t>林地已被翻找殆尽，几乎没有可用之物</t>
  </si>
  <si>
    <t>img_mjbaoxiang2-2</t>
  </si>
  <si>
    <t>20006</t>
  </si>
  <si>
    <t>清泉歇脚点</t>
  </si>
  <si>
    <t>泉水清冽，能缓解疲惫、恢复精力；但水量有限，取用后可能干涸。</t>
  </si>
  <si>
    <t>20|30</t>
  </si>
  <si>
    <t>4</t>
  </si>
  <si>
    <t>休息</t>
  </si>
  <si>
    <t>泉水已被取尽，只余潮湿石面与干涸水痕</t>
  </si>
  <si>
    <t>img_xiuxidian</t>
  </si>
  <si>
    <t>20007</t>
  </si>
  <si>
    <t>荒废庭院</t>
  </si>
  <si>
    <t>残墙断柱的旧贵族庭院，被微弱符印守护；谨慎翻查或有遗物，深入则风险更高。</t>
  </si>
  <si>
    <t>10001|700|1600,161001|1|3$10001|1000|1200</t>
  </si>
  <si>
    <t>5</t>
  </si>
  <si>
    <t>简单搜寻</t>
  </si>
  <si>
    <t>彻底搜刮</t>
  </si>
  <si>
    <t>不宜贸然深入；在外围翻查，反而能捡到意外收获</t>
  </si>
  <si>
    <t>img_huangfeiyiji</t>
  </si>
  <si>
    <t>[弟子]在搜寻过程中惊动了遗迹中憩息的野兽，朝众人扑了过来！|3000</t>
  </si>
  <si>
    <t>20008</t>
  </si>
  <si>
    <t>破屋残舍</t>
  </si>
  <si>
    <t>一间随时会塌的破木屋，像是匆匆搭建的避难处；门口翻找尚可，深入易出事。</t>
  </si>
  <si>
    <t>10001|1000|1200,161001|2|4$10001|1500|1800</t>
  </si>
  <si>
    <t>不宜贸然深入；在门口翻查，反而能捡到意外收获</t>
  </si>
  <si>
    <t>img_jianloumuwu</t>
  </si>
  <si>
    <t>居然有一名隐修尚未离开，似乎入了魔道，向众人发动攻击！|6000</t>
  </si>
  <si>
    <t>20009</t>
  </si>
  <si>
    <t>古宅木屋</t>
  </si>
  <si>
    <t>一座保存更完整的旧木屋，陈设虽旧却有秩序，似曾有人长居；或留有值钱旧物。</t>
  </si>
  <si>
    <t>10001|1300|1600,161001|4|6$10001|1800|2200</t>
  </si>
  <si>
    <t>img_gupumuw</t>
  </si>
  <si>
    <t>大能的残魂还未散去，向众人发动攻击！|9000</t>
  </si>
  <si>
    <t>20010</t>
  </si>
  <si>
    <t>隐脉渗泉</t>
  </si>
  <si>
    <t>地底渗出的稀薄灵液痕迹，气息强盛但已被吸收大半，仍可探查残留。</t>
  </si>
  <si>
    <t>2000|3000</t>
  </si>
  <si>
    <t>6</t>
  </si>
  <si>
    <t>残液已被吸收殆尽，地面只剩泥泞与污迹</t>
  </si>
  <si>
    <t>img_longmai</t>
  </si>
  <si>
    <t>20011</t>
  </si>
  <si>
    <t>哭泣旅人</t>
  </si>
  <si>
    <t>荒野树下，一名陌生旅人泪眼婆娑，似是迷途受惊；是否出手相助？</t>
  </si>
  <si>
    <t>护送</t>
  </si>
  <si>
    <t>旅人向你致谢，随后自行前往附近城镇寻求庇护</t>
  </si>
  <si>
    <t>img_hongbiao</t>
  </si>
  <si>
    <t>恩人，多谢你的帮助，小女子走投无路，希望宗门能收留我。</t>
  </si>
  <si>
    <t>20012</t>
  </si>
  <si>
    <t>迷路村民</t>
  </si>
  <si>
    <t>一名迷路的村民神色慌张，想求你带他走回安全道路。</t>
  </si>
  <si>
    <t>0</t>
  </si>
  <si>
    <t>村民向你致谢，随后自行返回村落</t>
  </si>
  <si>
    <t>多谢恩人相救，敬仰宗门已久，希望宗门能收留我。</t>
  </si>
  <si>
    <t>20013</t>
  </si>
  <si>
    <t>隐蔽草药地</t>
  </si>
  <si>
    <t>山涧里藏着一小片草药地，少有人至；可快速搜集，深挖则耗时且危险。</t>
  </si>
  <si>
    <t>91001|60|80,61001|10|20$91001|120|200</t>
  </si>
  <si>
    <t>不宜久留；简单搜集即可，边缘处还有些遗漏好物</t>
  </si>
  <si>
    <t>img_yaopu1</t>
  </si>
  <si>
    <t>[弟子]在搜寻过程中惊动了遗迹中憩息的野兽，朝众人扑了过来！|6000</t>
  </si>
  <si>
    <t>20014</t>
  </si>
  <si>
    <t>山涧药圃</t>
  </si>
  <si>
    <t>较大的药草地透出幽光，草叶更肥厚；谨慎采集能有不错收获。</t>
  </si>
  <si>
    <t>91001|80|100,61001|20|30$91001|120|140</t>
  </si>
  <si>
    <t>img_yaopu2</t>
  </si>
  <si>
    <t>[弟子]在搜寻过程中惊动了遗迹中憩息的野兽，朝众人扑了过来！|10000</t>
  </si>
  <si>
    <t>20015</t>
  </si>
  <si>
    <t>灵草谷地</t>
  </si>
  <si>
    <t>一处草药丰茂的山谷，珍稀灵植遍地；资源诱人，也更易引来危险。</t>
  </si>
  <si>
    <t>91001|100|120,61001|30|40$91001|140|180</t>
  </si>
  <si>
    <t>img_yaopu3</t>
  </si>
  <si>
    <t>[弟子]在搜寻过程中惊动了遗迹中憩息的野兽，朝众人扑了过来！|14000</t>
  </si>
  <si>
    <t>20016</t>
  </si>
  <si>
    <t>斥候罗盘</t>
  </si>
  <si>
    <t>刻有方位与刻度的斥候罗盘，可为你标记周边10里内的可探索点位。</t>
  </si>
  <si>
    <t>8</t>
  </si>
  <si>
    <t>揭示</t>
  </si>
  <si>
    <t>img_luopanxiao</t>
  </si>
  <si>
    <t>20017</t>
  </si>
  <si>
    <t>斥候罗盘（精制）</t>
  </si>
  <si>
    <t>精制斥候罗盘，指针更敏锐，可稳定标记周边10里内的可探索点位。</t>
  </si>
  <si>
    <t>img_luopanda</t>
  </si>
  <si>
    <t>21001</t>
  </si>
  <si>
    <t>111001|495|675</t>
  </si>
  <si>
    <t>21002</t>
  </si>
  <si>
    <t>91001|100|120</t>
  </si>
  <si>
    <t>21003</t>
  </si>
  <si>
    <t>21004</t>
  </si>
  <si>
    <t>10001|700|1000,161001|1|3$10001|1000|1200</t>
  </si>
  <si>
    <t>21005</t>
  </si>
  <si>
    <t>居然有一名隐修尚未离开，似乎入了魔道，向众人发动攻击！|10000</t>
  </si>
  <si>
    <t>21006</t>
  </si>
  <si>
    <t>10001|1500|1800,161001|4|6$10001|1800|2200</t>
  </si>
  <si>
    <t>大能的残魂还未散去，向众人发动攻击！|14000</t>
  </si>
  <si>
    <t>21007</t>
  </si>
  <si>
    <t>雾影别院</t>
  </si>
  <si>
    <t>雾气终日不散的偏院遗址，石阶与廊柱尚存，像是旧日大人物的落脚处；可先探外围再决定是否深入。</t>
  </si>
  <si>
    <t>10001|1800|2200,161001|6|8$152001|0|1$10001|2200|2600</t>
  </si>
  <si>
    <t>大能的残魂还未散去，向众人发动攻击！|18000</t>
  </si>
  <si>
    <t>21008</t>
  </si>
  <si>
    <t>断壁王宫</t>
  </si>
  <si>
    <t>一座规模宏大的残破王宫，穹顶坍塌、壁画斑驳；越是华贵处越可能暗藏危险。</t>
  </si>
  <si>
    <t>10001|2200|2600,161001|8|10$152001|0|1$10001|2600|3000</t>
  </si>
  <si>
    <t>大能的残魂还未散去，向众人发动攻击！|22000</t>
  </si>
  <si>
    <t>21009</t>
  </si>
  <si>
    <t>3000|4500</t>
  </si>
  <si>
    <t>21010</t>
  </si>
  <si>
    <t>21011</t>
  </si>
  <si>
    <t>21012</t>
  </si>
  <si>
    <t>91001|40|60,61001|10|20$91001|100|120</t>
  </si>
  <si>
    <t>21013</t>
  </si>
  <si>
    <t>91001|60|80,61001|20|30$91001|100|140</t>
  </si>
  <si>
    <t>21014</t>
  </si>
  <si>
    <t>91001|80|100,61001|30|40$91001|140|180</t>
  </si>
  <si>
    <t>21015</t>
  </si>
  <si>
    <t>迷雾古林</t>
  </si>
  <si>
    <t>浓雾常年盘踞的古老密林，林木高大、兽影出没；谨慎搜寻或能找到稀有之物。</t>
  </si>
  <si>
    <t>91001|100|120,61001|40|50$152001|0|1$91001|180|220</t>
  </si>
  <si>
    <t>此地栖息的异兽对不速之客充满敌意，朝众人扑了过来！|18000</t>
  </si>
  <si>
    <t>21016</t>
  </si>
  <si>
    <t>药师圣园</t>
  </si>
  <si>
    <t>传言是古代药师贵族留下的密园遗址，奇花异草自生自长；外圈可采，深处更凶险。</t>
  </si>
  <si>
    <t>91001|120|140,61001|50|60$152001|0|1$91001|220|260</t>
  </si>
  <si>
    <t>药王十分反感有人闯入禁地，朝众人发动攻击！|22000</t>
  </si>
  <si>
    <t>21017</t>
  </si>
  <si>
    <t>21018</t>
  </si>
  <si>
    <t>22001</t>
  </si>
  <si>
    <t>112001|495|575</t>
  </si>
  <si>
    <t>22002</t>
  </si>
  <si>
    <t>92001|120|140</t>
  </si>
  <si>
    <t>22003</t>
  </si>
  <si>
    <t>22004</t>
  </si>
  <si>
    <t>10001|1000|1300,162001|1|3$10001|1300|1600</t>
  </si>
  <si>
    <t>[弟子]在搜寻过程中惊动了遗迹中憩息的野兽，朝众人扑了过来！|13000</t>
  </si>
  <si>
    <t>22005</t>
  </si>
  <si>
    <t>10001|1300|1600,162001|2|4$10001|2000|2400</t>
  </si>
  <si>
    <t>居然有一名隐修尚未离开，似乎入了魔道，向众人发动攻击！|20000</t>
  </si>
  <si>
    <t>22006</t>
  </si>
  <si>
    <t>10001|2000|2400,162001|4|6$10001|2800|3200</t>
  </si>
  <si>
    <t>大能的残魂还未散去，向众人发动攻击！|27000</t>
  </si>
  <si>
    <t>22007</t>
  </si>
  <si>
    <t>10001|2800|3200,162001|6|8$152001|0|1$10001|3200|3600</t>
  </si>
  <si>
    <t>大能的残魂还未散去，向众人发动攻击！|34000</t>
  </si>
  <si>
    <t>22008</t>
  </si>
  <si>
    <t>10001|3200|3600,162001|8|10$152001|0|1$10001|3600|4000</t>
  </si>
  <si>
    <t>大能的残魂还未散去，向众人发动攻击！|41000</t>
  </si>
  <si>
    <t>22009</t>
  </si>
  <si>
    <t>5000|8500</t>
  </si>
  <si>
    <t>22010</t>
  </si>
  <si>
    <t>22011</t>
  </si>
  <si>
    <t>22012</t>
  </si>
  <si>
    <t>92001|40|60,62001|10|20$92001|60|80</t>
  </si>
  <si>
    <t>22013</t>
  </si>
  <si>
    <t>92001|60|80,62001|20|30$92001|80|100</t>
  </si>
  <si>
    <t>[弟子]在搜寻过程中惊动了遗迹中憩息的野兽，朝众人扑了过来！|20000</t>
  </si>
  <si>
    <t>22014</t>
  </si>
  <si>
    <t>92001|80|100,62001|30|40$92001|100|120</t>
  </si>
  <si>
    <t>[弟子]在搜寻过程中惊动了遗迹中憩息的野兽，朝众人扑了过来！|27000</t>
  </si>
  <si>
    <t>22015</t>
  </si>
  <si>
    <t>92001|100|120,62001|40|50$152001|0|1$92001|120|140</t>
  </si>
  <si>
    <t>此地栖息的异兽对不速之客充满敌意，朝众人扑了过来！|34000</t>
  </si>
  <si>
    <t>22016</t>
  </si>
  <si>
    <t>92001|120|140,62001|50|60$152001|0|1$92001|140|160</t>
  </si>
  <si>
    <t>药王十分反感有人闯入禁地，朝众人发动攻击！|41000</t>
  </si>
  <si>
    <t>22017</t>
  </si>
  <si>
    <t>22018</t>
  </si>
  <si>
    <t>23001</t>
  </si>
  <si>
    <t>113001|495|575</t>
  </si>
  <si>
    <t>23002</t>
  </si>
  <si>
    <t>93001|120|140</t>
  </si>
  <si>
    <t>23003</t>
  </si>
  <si>
    <t>23004</t>
  </si>
  <si>
    <t>10001|3600|4000,163001|1|3$10001|4000|4400</t>
  </si>
  <si>
    <t>[弟子]在搜寻过程中惊动了遗迹中憩息的野兽，朝众人扑了过来！|31800</t>
  </si>
  <si>
    <t>23005</t>
  </si>
  <si>
    <t>10001|4000|4400,163001|2|4$10001|4400|4800</t>
  </si>
  <si>
    <t>居然有一名隐修尚未离开，似乎入了魔道，向众人发动攻击！|35000</t>
  </si>
  <si>
    <t>23006</t>
  </si>
  <si>
    <t>10001|4400|4800,163001|4|6$10001|4800|5200</t>
  </si>
  <si>
    <t>大能的残魂还未散去，向众人发动攻击！|40000</t>
  </si>
  <si>
    <t>23007</t>
  </si>
  <si>
    <t>10001|4800|5200,163001|6|8$152001|0|1$10001|5200|5600</t>
  </si>
  <si>
    <t>大能的残魂还未散去，向众人发动攻击！|45000</t>
  </si>
  <si>
    <t>23008</t>
  </si>
  <si>
    <t>10001|5200|5600,163001|8|10$152001|0|1$10001|5600|6000</t>
  </si>
  <si>
    <t>大能的残魂还未散去，向众人发动攻击！|50000</t>
  </si>
  <si>
    <t>23009</t>
  </si>
  <si>
    <t>5500|8000</t>
  </si>
  <si>
    <t>23010</t>
  </si>
  <si>
    <t>23011</t>
  </si>
  <si>
    <t>23012</t>
  </si>
  <si>
    <t>93001|40|60,63001|10|20$93001|60|80</t>
  </si>
  <si>
    <t>[弟子]在搜寻过程中惊动了遗迹中憩息的野兽，朝众人扑了过来！|31000</t>
  </si>
  <si>
    <t>23013</t>
  </si>
  <si>
    <t>93001|60|80,63001|20|30$93001|80|100</t>
  </si>
  <si>
    <t>[弟子]在搜寻过程中惊动了遗迹中憩息的野兽，朝众人扑了过来！|35000</t>
  </si>
  <si>
    <t>23014</t>
  </si>
  <si>
    <t>93001|80|100,63001|30|40$93001|100|120</t>
  </si>
  <si>
    <t>[弟子]在搜寻过程中惊动了遗迹中憩息的野兽，朝众人扑了过来！|40000</t>
  </si>
  <si>
    <t>23015</t>
  </si>
  <si>
    <t>93001|100|120,63001|40|50$152001|0|1$93001|120|140</t>
  </si>
  <si>
    <t>此地栖息的异兽对不速之客充满敌意，朝众人扑了过来！|45000</t>
  </si>
  <si>
    <t>23016</t>
  </si>
  <si>
    <t>93001|120|140,63001|50|60$152001|0|1$93001|140|160</t>
  </si>
  <si>
    <t>药王十分反感有人闯入禁地，朝众人发动攻击！|50000</t>
  </si>
  <si>
    <t>23017</t>
  </si>
  <si>
    <t>23018</t>
  </si>
  <si>
    <t>24001</t>
  </si>
  <si>
    <t>114001|495|575</t>
  </si>
  <si>
    <t>24002</t>
  </si>
  <si>
    <t>94001|120|140</t>
  </si>
  <si>
    <t>24003</t>
  </si>
  <si>
    <t>24004</t>
  </si>
  <si>
    <t>10001|3600|4000,164001|1|3$10001|4000|4400</t>
  </si>
  <si>
    <t>[弟子]在搜寻过程中惊动了遗迹中憩息的野兽，朝众人扑了过来！|50000</t>
  </si>
  <si>
    <t>24005</t>
  </si>
  <si>
    <t>10001|4000|4400,164001|2|4$10001|4400|4800</t>
  </si>
  <si>
    <t>居然有一名隐修尚未离开，似乎入了魔道，向众人发动攻击！|55000</t>
  </si>
  <si>
    <t>24006</t>
  </si>
  <si>
    <t>10001|4400|4800,164001|4|6$10001|4800|5200</t>
  </si>
  <si>
    <t>大能的残魂还未散去，向众人发动攻击！|60000</t>
  </si>
  <si>
    <t>24007</t>
  </si>
  <si>
    <t>10001|4800|5200,164001|6|8$152001|0|1$10001|5200|5600</t>
  </si>
  <si>
    <t>大能的残魂还未散去，向众人发动攻击！|65000</t>
  </si>
  <si>
    <t>24008</t>
  </si>
  <si>
    <t>10001|5200|5600,164001|8|10$152001|0|1$10001|5600|6000</t>
  </si>
  <si>
    <t>大能的残魂还未散去，向众人发动攻击！|70000</t>
  </si>
  <si>
    <t>24009</t>
  </si>
  <si>
    <t>24010</t>
  </si>
  <si>
    <t>24011</t>
  </si>
  <si>
    <t>24012</t>
  </si>
  <si>
    <t>94001|40|60,64001|10|20$94001|60|80</t>
  </si>
  <si>
    <t>24013</t>
  </si>
  <si>
    <t>94001|60|80,64001|20|30$94001|80|100</t>
  </si>
  <si>
    <t>[弟子]在搜寻过程中惊动了遗迹中憩息的野兽，朝众人扑了过来！|55000</t>
  </si>
  <si>
    <t>24014</t>
  </si>
  <si>
    <t>94001|80|100,64001|30|40$94001|100|120</t>
  </si>
  <si>
    <t>[弟子]在搜寻过程中惊动了遗迹中憩息的野兽，朝众人扑了过来！|60000</t>
  </si>
  <si>
    <t>24015</t>
  </si>
  <si>
    <t>94001|100|120,64001|40|50$152001|0|1$94001|120|140</t>
  </si>
  <si>
    <t>此地栖息的异兽对不速之客充满敌意，朝众人扑了过来！|65000</t>
  </si>
  <si>
    <t>24016</t>
  </si>
  <si>
    <t>94001|120|140,64001|50|60$152001|0|1$94001|140|160</t>
  </si>
  <si>
    <t>药王十分反感有人闯入禁地，朝众人发动攻击！|70000</t>
  </si>
  <si>
    <t>24017</t>
  </si>
  <si>
    <t>24018</t>
  </si>
  <si>
    <t>灵石</t>
  </si>
  <si>
    <t>凡级清灵草</t>
  </si>
  <si>
    <t>小蛇属性</t>
  </si>
  <si>
    <t>中蛇属性</t>
  </si>
  <si>
    <t>大蛇属性</t>
  </si>
  <si>
    <t>血</t>
  </si>
  <si>
    <t>防</t>
  </si>
  <si>
    <t>攻</t>
  </si>
  <si>
    <t>噬灵蝮蛇投放</t>
  </si>
  <si>
    <t>灵鲲投放</t>
  </si>
  <si>
    <t>星尘</t>
  </si>
  <si>
    <t>数量</t>
  </si>
  <si>
    <t>灵鲲属性</t>
  </si>
  <si>
    <t>131001</t>
  </si>
  <si>
    <t>0|15</t>
  </si>
  <si>
    <t>132001</t>
  </si>
  <si>
    <t>15|30</t>
  </si>
  <si>
    <t>133001</t>
  </si>
  <si>
    <t>30|45</t>
  </si>
  <si>
    <t>134001</t>
  </si>
  <si>
    <t>45|60</t>
  </si>
  <si>
    <t>135001</t>
  </si>
  <si>
    <t>65|80</t>
  </si>
  <si>
    <t>虎鲲投放</t>
  </si>
  <si>
    <t>131301</t>
  </si>
  <si>
    <t>132301</t>
  </si>
  <si>
    <t>133301</t>
  </si>
  <si>
    <t>134301</t>
  </si>
  <si>
    <t>135301</t>
  </si>
  <si>
    <t>骨鲲投放</t>
  </si>
  <si>
    <t>0|30</t>
  </si>
  <si>
    <t>30|60</t>
  </si>
  <si>
    <t>30|90</t>
  </si>
  <si>
    <t>90|120</t>
  </si>
  <si>
    <t>120|160</t>
  </si>
  <si>
    <t>仙陨魂投放</t>
  </si>
  <si>
    <t>990002</t>
  </si>
  <si>
    <t>121004|121003|121009|121008</t>
  </si>
  <si>
    <t>魔陨魂投放</t>
  </si>
  <si>
    <t>990003</t>
  </si>
  <si>
    <t>神陨魂投放</t>
  </si>
  <si>
    <t>990001</t>
  </si>
  <si>
    <t>修为点</t>
  </si>
  <si>
    <t>给弟子加修为用的</t>
  </si>
  <si>
    <t>buff点</t>
  </si>
  <si>
    <t>加探索buff</t>
  </si>
  <si>
    <t>战斗点</t>
  </si>
  <si>
    <t>几个难度的怪物 获取奖励（修为 灵石 小概率获取书 蛋 源力结晶 消耗大量精力</t>
  </si>
  <si>
    <t>落单弟子</t>
  </si>
  <si>
    <t>有概率碰到弟子 可以招募</t>
  </si>
  <si>
    <t>天材地宝</t>
  </si>
  <si>
    <t>特殊炼丹材料 宗门升级材料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</si>
</sst>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3" tint="0.79979857783745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82909634693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829096346934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8" tint="0.79982909634693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85961485641"/>
        <bgColor indexed="64"/>
      </patternFill>
    </fill>
    <fill>
      <patternFill patternType="solid">
        <fgColor theme="5" tint="0.39985351115451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4" applyNumberFormat="0" applyAlignment="0" applyProtection="0">
      <alignment vertical="center"/>
    </xf>
    <xf numFmtId="0" fontId="11" fillId="27" borderId="5" applyNumberFormat="0" applyAlignment="0" applyProtection="0">
      <alignment vertical="center"/>
    </xf>
    <xf numFmtId="0" fontId="12" fillId="27" borderId="4" applyNumberFormat="0" applyAlignment="0" applyProtection="0">
      <alignment vertical="center"/>
    </xf>
    <xf numFmtId="0" fontId="13" fillId="2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6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50" borderId="0" applyNumberFormat="0" applyBorder="0" applyAlignment="0" applyProtection="0">
      <alignment vertical="center"/>
    </xf>
    <xf numFmtId="0" fontId="19" fillId="51" borderId="0" applyNumberFormat="0" applyBorder="0" applyAlignment="0" applyProtection="0">
      <alignment vertical="center"/>
    </xf>
    <xf numFmtId="0" fontId="19" fillId="52" borderId="0" applyNumberFormat="0" applyBorder="0" applyAlignment="0" applyProtection="0">
      <alignment vertical="center"/>
    </xf>
    <xf numFmtId="0" fontId="20" fillId="53" borderId="0" applyNumberFormat="0" applyBorder="0" applyAlignment="0" applyProtection="0">
      <alignment vertical="center"/>
    </xf>
    <xf numFmtId="0" fontId="20" fillId="54" borderId="0" applyNumberFormat="0" applyBorder="0" applyAlignment="0" applyProtection="0">
      <alignment vertical="center"/>
    </xf>
    <xf numFmtId="0" fontId="19" fillId="55" borderId="0" applyNumberFormat="0" applyBorder="0" applyAlignment="0" applyProtection="0">
      <alignment vertical="center"/>
    </xf>
  </cellStyleXfs>
  <cellXfs count="71">
    <xf numFmtId="0" fontId="0" fillId="0" borderId="0" xfId="0" applyAlignment="1">
      <alignment vertical="center"/>
    </xf>
    <xf numFmtId="49" fontId="0" fillId="0" borderId="0" xfId="0" applyNumberFormat="1" applyAlignment="1">
      <alignment vertical="center" wrapText="1"/>
    </xf>
    <xf numFmtId="0" fontId="0" fillId="0" borderId="0" xfId="0" applyAlignment="1"/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176" fontId="0" fillId="2" borderId="0" xfId="0" applyNumberFormat="1" applyFill="1" applyAlignment="1">
      <alignment vertical="center"/>
    </xf>
    <xf numFmtId="176" fontId="0" fillId="4" borderId="0" xfId="0" applyNumberFormat="1" applyFill="1" applyAlignment="1">
      <alignment vertical="center"/>
    </xf>
    <xf numFmtId="176" fontId="0" fillId="5" borderId="0" xfId="0" applyNumberFormat="1" applyFill="1" applyAlignment="1">
      <alignment vertical="center"/>
    </xf>
    <xf numFmtId="176" fontId="0" fillId="6" borderId="0" xfId="0" applyNumberFormat="1" applyFill="1" applyAlignment="1">
      <alignment vertical="center"/>
    </xf>
    <xf numFmtId="49" fontId="0" fillId="0" borderId="0" xfId="0" applyNumberFormat="1" applyAlignment="1"/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0" fillId="10" borderId="0" xfId="0" applyFill="1" applyAlignment="1">
      <alignment vertical="center" wrapText="1"/>
    </xf>
    <xf numFmtId="49" fontId="0" fillId="10" borderId="0" xfId="0" applyNumberFormat="1" applyFill="1" applyAlignment="1">
      <alignment wrapText="1"/>
    </xf>
    <xf numFmtId="49" fontId="0" fillId="0" borderId="0" xfId="0" applyNumberFormat="1" applyAlignment="1">
      <alignment vertical="center"/>
    </xf>
    <xf numFmtId="0" fontId="0" fillId="11" borderId="0" xfId="0" applyFill="1" applyAlignment="1">
      <alignment vertical="center"/>
    </xf>
    <xf numFmtId="0" fontId="0" fillId="11" borderId="0" xfId="0" applyFill="1" applyAlignment="1">
      <alignment vertical="center" wrapText="1"/>
    </xf>
    <xf numFmtId="0" fontId="0" fillId="12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6" borderId="0" xfId="0" applyFill="1" applyAlignment="1">
      <alignment vertical="center" wrapText="1"/>
    </xf>
    <xf numFmtId="0" fontId="0" fillId="5" borderId="0" xfId="0" applyFill="1" applyAlignment="1">
      <alignment vertical="center"/>
    </xf>
    <xf numFmtId="0" fontId="0" fillId="13" borderId="0" xfId="0" applyFill="1" applyAlignment="1">
      <alignment vertical="center" wrapText="1"/>
    </xf>
    <xf numFmtId="0" fontId="0" fillId="14" borderId="0" xfId="0" applyFill="1" applyAlignment="1">
      <alignment vertical="center" wrapText="1"/>
    </xf>
    <xf numFmtId="0" fontId="0" fillId="15" borderId="0" xfId="0" applyFill="1" applyAlignment="1">
      <alignment vertical="center" wrapText="1"/>
    </xf>
    <xf numFmtId="0" fontId="0" fillId="16" borderId="0" xfId="0" applyFill="1" applyAlignment="1">
      <alignment vertical="center" wrapText="1"/>
    </xf>
    <xf numFmtId="49" fontId="0" fillId="12" borderId="0" xfId="0" applyNumberFormat="1" applyFill="1" applyAlignment="1">
      <alignment vertical="center" wrapText="1"/>
    </xf>
    <xf numFmtId="49" fontId="0" fillId="10" borderId="0" xfId="0" applyNumberFormat="1" applyFill="1" applyAlignment="1">
      <alignment vertical="center" wrapText="1"/>
    </xf>
    <xf numFmtId="49" fontId="0" fillId="17" borderId="0" xfId="0" applyNumberFormat="1" applyFill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0" fillId="3" borderId="0" xfId="0" applyNumberFormat="1" applyFill="1" applyAlignment="1">
      <alignment vertical="center" wrapText="1"/>
    </xf>
    <xf numFmtId="0" fontId="0" fillId="18" borderId="0" xfId="0" applyFill="1" applyAlignment="1">
      <alignment vertical="center"/>
    </xf>
    <xf numFmtId="0" fontId="0" fillId="0" borderId="0" xfId="0" applyAlignment="1">
      <alignment horizontal="justify" vertical="center"/>
    </xf>
    <xf numFmtId="49" fontId="1" fillId="3" borderId="0" xfId="0" applyNumberFormat="1" applyFont="1" applyFill="1" applyAlignment="1">
      <alignment vertical="center" wrapText="1"/>
    </xf>
    <xf numFmtId="0" fontId="0" fillId="3" borderId="0" xfId="0" applyFill="1" applyAlignment="1">
      <alignment horizontal="justify" vertical="center"/>
    </xf>
    <xf numFmtId="49" fontId="0" fillId="19" borderId="0" xfId="0" applyNumberFormat="1" applyFill="1" applyAlignment="1">
      <alignment vertical="center" wrapText="1"/>
    </xf>
    <xf numFmtId="0" fontId="0" fillId="19" borderId="0" xfId="0" applyFill="1" applyAlignment="1">
      <alignment vertical="center"/>
    </xf>
    <xf numFmtId="0" fontId="0" fillId="19" borderId="0" xfId="0" applyFill="1" applyAlignment="1">
      <alignment horizontal="justify" vertical="center"/>
    </xf>
    <xf numFmtId="49" fontId="0" fillId="2" borderId="0" xfId="0" applyNumberFormat="1" applyFill="1" applyAlignment="1">
      <alignment vertical="center" wrapText="1"/>
    </xf>
    <xf numFmtId="0" fontId="0" fillId="2" borderId="0" xfId="0" applyFill="1" applyAlignment="1">
      <alignment horizontal="justify" vertical="center"/>
    </xf>
    <xf numFmtId="49" fontId="1" fillId="19" borderId="0" xfId="0" applyNumberFormat="1" applyFont="1" applyFill="1" applyAlignment="1">
      <alignment vertical="center" wrapText="1"/>
    </xf>
    <xf numFmtId="49" fontId="0" fillId="20" borderId="0" xfId="0" applyNumberFormat="1" applyFill="1" applyAlignment="1">
      <alignment vertical="center" wrapText="1"/>
    </xf>
    <xf numFmtId="0" fontId="0" fillId="20" borderId="0" xfId="0" applyFill="1" applyAlignment="1">
      <alignment vertical="center"/>
    </xf>
    <xf numFmtId="0" fontId="0" fillId="20" borderId="0" xfId="0" applyFill="1" applyAlignment="1">
      <alignment horizontal="justify" vertical="center"/>
    </xf>
    <xf numFmtId="49" fontId="0" fillId="21" borderId="0" xfId="0" applyNumberFormat="1" applyFill="1" applyAlignment="1">
      <alignment vertical="center" wrapText="1"/>
    </xf>
    <xf numFmtId="0" fontId="0" fillId="21" borderId="0" xfId="0" applyFill="1" applyAlignment="1">
      <alignment vertical="center"/>
    </xf>
    <xf numFmtId="0" fontId="0" fillId="21" borderId="0" xfId="0" applyFill="1" applyAlignment="1">
      <alignment horizontal="justify" vertical="center"/>
    </xf>
    <xf numFmtId="49" fontId="0" fillId="22" borderId="0" xfId="0" applyNumberFormat="1" applyFill="1" applyAlignment="1">
      <alignment vertical="center" wrapText="1"/>
    </xf>
    <xf numFmtId="49" fontId="1" fillId="21" borderId="0" xfId="0" applyNumberFormat="1" applyFont="1" applyFill="1" applyAlignment="1">
      <alignment vertical="center" wrapText="1"/>
    </xf>
    <xf numFmtId="49" fontId="0" fillId="23" borderId="0" xfId="0" applyNumberFormat="1" applyFill="1" applyAlignment="1">
      <alignment vertical="center" wrapText="1"/>
    </xf>
    <xf numFmtId="49" fontId="1" fillId="23" borderId="0" xfId="0" applyNumberFormat="1" applyFont="1" applyFill="1" applyAlignment="1">
      <alignment vertical="center" wrapText="1"/>
    </xf>
    <xf numFmtId="0" fontId="0" fillId="23" borderId="0" xfId="0" applyFill="1" applyAlignment="1">
      <alignment vertical="center"/>
    </xf>
    <xf numFmtId="0" fontId="0" fillId="23" borderId="0" xfId="0" applyFill="1" applyAlignment="1">
      <alignment horizontal="justify" vertical="center"/>
    </xf>
    <xf numFmtId="0" fontId="0" fillId="17" borderId="0" xfId="0" applyFill="1" applyAlignment="1">
      <alignment vertical="center"/>
    </xf>
    <xf numFmtId="0" fontId="0" fillId="17" borderId="0" xfId="0" applyFill="1" applyAlignment="1">
      <alignment horizontal="justify" vertical="center"/>
    </xf>
    <xf numFmtId="49" fontId="1" fillId="17" borderId="0" xfId="0" applyNumberFormat="1" applyFont="1" applyFill="1" applyAlignment="1">
      <alignment vertical="center" wrapText="1"/>
    </xf>
    <xf numFmtId="0" fontId="0" fillId="12" borderId="0" xfId="0" applyFill="1" applyAlignment="1">
      <alignment horizontal="justify" vertical="center"/>
    </xf>
    <xf numFmtId="49" fontId="1" fillId="12" borderId="0" xfId="0" applyNumberFormat="1" applyFont="1" applyFill="1" applyAlignment="1">
      <alignment vertical="center" wrapText="1"/>
    </xf>
    <xf numFmtId="0" fontId="0" fillId="24" borderId="0" xfId="0" applyFill="1" applyAlignment="1">
      <alignment vertical="center"/>
    </xf>
    <xf numFmtId="0" fontId="0" fillId="24" borderId="0" xfId="0" applyFill="1" applyAlignment="1">
      <alignment horizontal="justify" vertical="center"/>
    </xf>
    <xf numFmtId="49" fontId="0" fillId="24" borderId="0" xfId="0" applyNumberFormat="1" applyFill="1" applyAlignment="1">
      <alignment vertical="center" wrapText="1"/>
    </xf>
    <xf numFmtId="49" fontId="1" fillId="24" borderId="0" xfId="0" applyNumberFormat="1" applyFont="1" applyFill="1" applyAlignment="1">
      <alignment vertical="center" wrapText="1"/>
    </xf>
    <xf numFmtId="49" fontId="1" fillId="10" borderId="0" xfId="0" applyNumberFormat="1" applyFont="1" applyFill="1" applyAlignment="1">
      <alignment vertical="center" wrapText="1"/>
    </xf>
    <xf numFmtId="0" fontId="0" fillId="10" borderId="0" xfId="0" applyFill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A92"/>
  <sheetViews>
    <sheetView tabSelected="1" workbookViewId="0">
      <pane ySplit="1" topLeftCell="A55" activePane="bottomLeft" state="frozen"/>
      <selection/>
      <selection pane="bottomLeft" activeCell="G56" sqref="G56"/>
    </sheetView>
  </sheetViews>
  <sheetFormatPr defaultColWidth="9" defaultRowHeight="13.5"/>
  <cols>
    <col min="1" max="1" width="9" style="1" customWidth="1"/>
    <col min="2" max="2" width="10.125" style="1" customWidth="1"/>
    <col min="3" max="3" width="42.625" style="1" customWidth="1"/>
    <col min="4" max="4" width="15.125" style="1" customWidth="1"/>
    <col min="5" max="5" width="30.875" style="1" customWidth="1"/>
    <col min="6" max="6" width="9" style="1" customWidth="1"/>
    <col min="7" max="7" width="12.125" style="1" customWidth="1"/>
    <col min="8" max="11" width="9" style="1" customWidth="1"/>
    <col min="12" max="12" width="11.5" style="1" customWidth="1"/>
    <col min="13" max="13" width="10.25" style="1" customWidth="1"/>
    <col min="14" max="14" width="9.375" style="1" customWidth="1"/>
    <col min="15" max="15" width="8.5" style="1" customWidth="1"/>
    <col min="16" max="18" width="9" style="1" customWidth="1"/>
    <col min="19" max="20" width="16.75" style="1" customWidth="1"/>
    <col min="21" max="24" width="9" style="1" customWidth="1"/>
    <col min="25" max="25" width="10.125" style="1" customWidth="1"/>
    <col min="26" max="16384" width="9" style="1" customWidth="1"/>
  </cols>
  <sheetData>
    <row r="1" ht="27" customHeight="1" spans="1:2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25</v>
      </c>
      <c r="AB1" t="s">
        <v>25</v>
      </c>
      <c r="AC1" t="s">
        <v>25</v>
      </c>
      <c r="AD1" t="s">
        <v>25</v>
      </c>
      <c r="AE1" t="s">
        <v>25</v>
      </c>
      <c r="AF1" t="s">
        <v>25</v>
      </c>
      <c r="AG1" t="s">
        <v>25</v>
      </c>
      <c r="AH1" t="s">
        <v>25</v>
      </c>
      <c r="AI1" t="s">
        <v>25</v>
      </c>
      <c r="AJ1" t="s">
        <v>25</v>
      </c>
      <c r="AK1" t="s">
        <v>25</v>
      </c>
      <c r="AL1" t="s">
        <v>25</v>
      </c>
      <c r="AM1" t="s">
        <v>25</v>
      </c>
      <c r="AN1" t="s">
        <v>25</v>
      </c>
      <c r="AO1" t="s">
        <v>25</v>
      </c>
      <c r="AP1" t="s">
        <v>25</v>
      </c>
      <c r="AQ1" t="s">
        <v>25</v>
      </c>
      <c r="AR1" t="s">
        <v>25</v>
      </c>
      <c r="AS1" t="s">
        <v>25</v>
      </c>
      <c r="AT1" t="s">
        <v>25</v>
      </c>
      <c r="AU1" t="s">
        <v>25</v>
      </c>
      <c r="AV1" t="s">
        <v>25</v>
      </c>
      <c r="AW1" t="s">
        <v>25</v>
      </c>
      <c r="AX1" t="s">
        <v>25</v>
      </c>
      <c r="AY1" t="s">
        <v>25</v>
      </c>
      <c r="AZ1" t="s">
        <v>25</v>
      </c>
      <c r="BA1" t="s">
        <v>25</v>
      </c>
      <c r="BB1" t="s">
        <v>25</v>
      </c>
      <c r="BC1" t="s">
        <v>25</v>
      </c>
      <c r="BD1" t="s">
        <v>25</v>
      </c>
      <c r="BE1" t="s">
        <v>25</v>
      </c>
      <c r="BF1" t="s">
        <v>25</v>
      </c>
      <c r="BG1" t="s">
        <v>25</v>
      </c>
      <c r="BH1" t="s">
        <v>25</v>
      </c>
      <c r="BI1" t="s">
        <v>25</v>
      </c>
      <c r="BJ1" t="s">
        <v>25</v>
      </c>
      <c r="BK1" t="s">
        <v>25</v>
      </c>
      <c r="BL1" t="s">
        <v>25</v>
      </c>
      <c r="BM1" t="s">
        <v>25</v>
      </c>
      <c r="BN1" t="s">
        <v>25</v>
      </c>
      <c r="BO1" t="s">
        <v>25</v>
      </c>
      <c r="BP1" t="s">
        <v>25</v>
      </c>
      <c r="BQ1" t="s">
        <v>25</v>
      </c>
      <c r="BR1" t="s">
        <v>25</v>
      </c>
      <c r="BS1" t="s">
        <v>25</v>
      </c>
      <c r="BT1" t="s">
        <v>25</v>
      </c>
      <c r="BU1" t="s">
        <v>25</v>
      </c>
      <c r="BV1" t="s">
        <v>25</v>
      </c>
      <c r="BW1" t="s">
        <v>25</v>
      </c>
      <c r="BX1" t="s">
        <v>25</v>
      </c>
      <c r="BY1" t="s">
        <v>25</v>
      </c>
      <c r="BZ1" t="s">
        <v>25</v>
      </c>
      <c r="CA1" t="s">
        <v>25</v>
      </c>
      <c r="CB1" t="s">
        <v>25</v>
      </c>
      <c r="CC1" t="s">
        <v>25</v>
      </c>
      <c r="CD1" t="s">
        <v>25</v>
      </c>
      <c r="CE1" t="s">
        <v>25</v>
      </c>
      <c r="CF1" t="s">
        <v>25</v>
      </c>
      <c r="CG1" t="s">
        <v>25</v>
      </c>
      <c r="CH1" t="s">
        <v>25</v>
      </c>
      <c r="CI1" t="s">
        <v>25</v>
      </c>
      <c r="CJ1" t="s">
        <v>25</v>
      </c>
      <c r="CK1" t="s">
        <v>25</v>
      </c>
      <c r="CL1" t="s">
        <v>25</v>
      </c>
      <c r="CM1" t="s">
        <v>25</v>
      </c>
      <c r="CN1" t="s">
        <v>25</v>
      </c>
      <c r="CO1" t="s">
        <v>25</v>
      </c>
      <c r="CP1" t="s">
        <v>25</v>
      </c>
      <c r="CQ1" t="s">
        <v>25</v>
      </c>
      <c r="CR1" t="s">
        <v>25</v>
      </c>
      <c r="CS1" t="s">
        <v>25</v>
      </c>
      <c r="CT1" t="s">
        <v>25</v>
      </c>
      <c r="CU1" t="s">
        <v>25</v>
      </c>
      <c r="CV1" t="s">
        <v>25</v>
      </c>
      <c r="CW1" t="s">
        <v>25</v>
      </c>
      <c r="CX1" t="s">
        <v>25</v>
      </c>
      <c r="CY1" t="s">
        <v>25</v>
      </c>
      <c r="CZ1" t="s">
        <v>25</v>
      </c>
      <c r="DA1" t="s">
        <v>25</v>
      </c>
      <c r="DB1" t="s">
        <v>25</v>
      </c>
      <c r="DC1" t="s">
        <v>25</v>
      </c>
      <c r="DD1" t="s">
        <v>25</v>
      </c>
      <c r="DE1" t="s">
        <v>25</v>
      </c>
      <c r="DF1" t="s">
        <v>25</v>
      </c>
      <c r="DG1" t="s">
        <v>25</v>
      </c>
      <c r="DH1" t="s">
        <v>25</v>
      </c>
      <c r="DI1" t="s">
        <v>25</v>
      </c>
      <c r="DJ1" t="s">
        <v>25</v>
      </c>
      <c r="DK1" t="s">
        <v>25</v>
      </c>
      <c r="DL1" t="s">
        <v>25</v>
      </c>
      <c r="DM1" t="s">
        <v>25</v>
      </c>
      <c r="DN1" t="s">
        <v>25</v>
      </c>
      <c r="DO1" t="s">
        <v>25</v>
      </c>
      <c r="DP1" t="s">
        <v>25</v>
      </c>
      <c r="DQ1" t="s">
        <v>25</v>
      </c>
      <c r="DR1" t="s">
        <v>25</v>
      </c>
      <c r="DS1" t="s">
        <v>25</v>
      </c>
      <c r="DT1" t="s">
        <v>25</v>
      </c>
      <c r="DU1" t="s">
        <v>25</v>
      </c>
      <c r="DV1" t="s">
        <v>25</v>
      </c>
      <c r="DW1" t="s">
        <v>25</v>
      </c>
      <c r="DX1" t="s">
        <v>25</v>
      </c>
      <c r="DY1" t="s">
        <v>25</v>
      </c>
      <c r="DZ1" t="s">
        <v>25</v>
      </c>
      <c r="EA1" t="s">
        <v>25</v>
      </c>
      <c r="EB1" t="s">
        <v>25</v>
      </c>
      <c r="EC1" t="s">
        <v>25</v>
      </c>
      <c r="ED1" t="s">
        <v>25</v>
      </c>
      <c r="EE1" t="s">
        <v>25</v>
      </c>
      <c r="EF1" t="s">
        <v>25</v>
      </c>
      <c r="EG1" t="s">
        <v>25</v>
      </c>
      <c r="EH1" t="s">
        <v>25</v>
      </c>
      <c r="EI1" t="s">
        <v>25</v>
      </c>
      <c r="EJ1" t="s">
        <v>25</v>
      </c>
      <c r="EK1" t="s">
        <v>25</v>
      </c>
      <c r="EL1" t="s">
        <v>25</v>
      </c>
      <c r="EM1" t="s">
        <v>25</v>
      </c>
      <c r="EN1" t="s">
        <v>25</v>
      </c>
      <c r="EO1" t="s">
        <v>25</v>
      </c>
      <c r="EP1" t="s">
        <v>25</v>
      </c>
      <c r="EQ1" t="s">
        <v>25</v>
      </c>
      <c r="ER1" t="s">
        <v>25</v>
      </c>
      <c r="ES1" t="s">
        <v>25</v>
      </c>
      <c r="ET1" t="s">
        <v>25</v>
      </c>
      <c r="EU1" t="s">
        <v>25</v>
      </c>
      <c r="EV1" t="s">
        <v>25</v>
      </c>
      <c r="EW1" t="s">
        <v>25</v>
      </c>
      <c r="EX1" t="s">
        <v>25</v>
      </c>
      <c r="EY1" t="s">
        <v>25</v>
      </c>
      <c r="EZ1" t="s">
        <v>25</v>
      </c>
      <c r="FA1" t="s">
        <v>25</v>
      </c>
      <c r="FB1" t="s">
        <v>25</v>
      </c>
      <c r="FC1" t="s">
        <v>25</v>
      </c>
      <c r="FD1" t="s">
        <v>25</v>
      </c>
      <c r="FE1" t="s">
        <v>25</v>
      </c>
      <c r="FF1" t="s">
        <v>25</v>
      </c>
      <c r="FG1" t="s">
        <v>25</v>
      </c>
      <c r="FH1" t="s">
        <v>25</v>
      </c>
      <c r="FI1" t="s">
        <v>25</v>
      </c>
      <c r="FJ1" t="s">
        <v>25</v>
      </c>
      <c r="FK1" t="s">
        <v>25</v>
      </c>
      <c r="FL1" t="s">
        <v>25</v>
      </c>
      <c r="FM1" t="s">
        <v>25</v>
      </c>
      <c r="FN1" t="s">
        <v>25</v>
      </c>
      <c r="FO1" t="s">
        <v>25</v>
      </c>
      <c r="FP1" t="s">
        <v>25</v>
      </c>
      <c r="FQ1" t="s">
        <v>25</v>
      </c>
      <c r="FR1" t="s">
        <v>25</v>
      </c>
      <c r="FS1" t="s">
        <v>25</v>
      </c>
      <c r="FT1" t="s">
        <v>25</v>
      </c>
      <c r="FU1" t="s">
        <v>25</v>
      </c>
      <c r="FV1" t="s">
        <v>25</v>
      </c>
      <c r="FW1" t="s">
        <v>25</v>
      </c>
      <c r="FX1" t="s">
        <v>25</v>
      </c>
      <c r="FY1" t="s">
        <v>25</v>
      </c>
      <c r="FZ1" t="s">
        <v>25</v>
      </c>
      <c r="GA1" t="s">
        <v>25</v>
      </c>
      <c r="GB1" t="s">
        <v>25</v>
      </c>
      <c r="GC1" t="s">
        <v>25</v>
      </c>
      <c r="GD1" t="s">
        <v>25</v>
      </c>
      <c r="GE1" t="s">
        <v>25</v>
      </c>
      <c r="GF1" t="s">
        <v>25</v>
      </c>
      <c r="GG1" t="s">
        <v>25</v>
      </c>
      <c r="GH1" t="s">
        <v>25</v>
      </c>
      <c r="GI1" t="s">
        <v>25</v>
      </c>
      <c r="GJ1" t="s">
        <v>25</v>
      </c>
      <c r="GK1" t="s">
        <v>25</v>
      </c>
      <c r="GL1" t="s">
        <v>25</v>
      </c>
      <c r="GM1" t="s">
        <v>25</v>
      </c>
      <c r="GN1" t="s">
        <v>25</v>
      </c>
      <c r="GO1" t="s">
        <v>25</v>
      </c>
      <c r="GP1" t="s">
        <v>25</v>
      </c>
      <c r="GQ1" t="s">
        <v>25</v>
      </c>
      <c r="GR1" t="s">
        <v>25</v>
      </c>
      <c r="GS1" t="s">
        <v>25</v>
      </c>
      <c r="GT1" t="s">
        <v>25</v>
      </c>
      <c r="GU1" t="s">
        <v>25</v>
      </c>
      <c r="GV1" t="s">
        <v>25</v>
      </c>
      <c r="GW1" t="s">
        <v>25</v>
      </c>
      <c r="GX1" t="s">
        <v>25</v>
      </c>
      <c r="GY1" t="s">
        <v>25</v>
      </c>
      <c r="GZ1" t="s">
        <v>25</v>
      </c>
      <c r="HA1" t="s">
        <v>25</v>
      </c>
      <c r="HB1" t="s">
        <v>25</v>
      </c>
      <c r="HC1" t="s">
        <v>25</v>
      </c>
      <c r="HD1" t="s">
        <v>25</v>
      </c>
      <c r="HE1" t="s">
        <v>25</v>
      </c>
      <c r="HF1" t="s">
        <v>25</v>
      </c>
      <c r="HG1" t="s">
        <v>25</v>
      </c>
      <c r="HH1" t="s">
        <v>25</v>
      </c>
      <c r="HI1" t="s">
        <v>25</v>
      </c>
      <c r="HJ1" t="s">
        <v>25</v>
      </c>
      <c r="HK1" t="s">
        <v>25</v>
      </c>
      <c r="HL1" t="s">
        <v>25</v>
      </c>
      <c r="HM1" t="s">
        <v>25</v>
      </c>
      <c r="HN1" t="s">
        <v>25</v>
      </c>
      <c r="HO1" t="s">
        <v>25</v>
      </c>
      <c r="HP1" t="s">
        <v>25</v>
      </c>
      <c r="HQ1" t="s">
        <v>25</v>
      </c>
      <c r="HR1" t="s">
        <v>25</v>
      </c>
      <c r="HS1" t="s">
        <v>25</v>
      </c>
      <c r="HT1" t="s">
        <v>25</v>
      </c>
      <c r="HU1" t="s">
        <v>25</v>
      </c>
      <c r="HV1" t="s">
        <v>25</v>
      </c>
      <c r="HW1" t="s">
        <v>25</v>
      </c>
      <c r="HX1" t="s">
        <v>25</v>
      </c>
      <c r="HY1" t="s">
        <v>25</v>
      </c>
      <c r="HZ1" t="s">
        <v>25</v>
      </c>
      <c r="IA1" t="s">
        <v>25</v>
      </c>
    </row>
    <row r="2" spans="1:235">
      <c r="A2" t="s">
        <v>26</v>
      </c>
      <c r="B2" t="s">
        <v>27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  <c r="Z2" t="s">
        <v>27</v>
      </c>
      <c r="AA2" t="s">
        <v>27</v>
      </c>
      <c r="AB2" t="s">
        <v>27</v>
      </c>
      <c r="AC2" t="s">
        <v>27</v>
      </c>
      <c r="AD2" t="s">
        <v>27</v>
      </c>
      <c r="AE2" t="s">
        <v>27</v>
      </c>
      <c r="AF2" t="s">
        <v>27</v>
      </c>
      <c r="AG2" t="s">
        <v>27</v>
      </c>
      <c r="AH2" t="s">
        <v>27</v>
      </c>
      <c r="AI2" t="s">
        <v>27</v>
      </c>
      <c r="AJ2" t="s">
        <v>27</v>
      </c>
      <c r="AK2" t="s">
        <v>27</v>
      </c>
      <c r="AL2" t="s">
        <v>27</v>
      </c>
      <c r="AM2" t="s">
        <v>27</v>
      </c>
      <c r="AN2" t="s">
        <v>27</v>
      </c>
      <c r="AO2" t="s">
        <v>27</v>
      </c>
      <c r="AP2" t="s">
        <v>27</v>
      </c>
      <c r="AQ2" t="s">
        <v>27</v>
      </c>
      <c r="AR2" t="s">
        <v>27</v>
      </c>
      <c r="AS2" t="s">
        <v>27</v>
      </c>
      <c r="AT2" t="s">
        <v>27</v>
      </c>
      <c r="AU2" t="s">
        <v>27</v>
      </c>
      <c r="AV2" t="s">
        <v>27</v>
      </c>
      <c r="AW2" t="s">
        <v>27</v>
      </c>
      <c r="AX2" t="s">
        <v>27</v>
      </c>
      <c r="AY2" t="s">
        <v>27</v>
      </c>
      <c r="AZ2" t="s">
        <v>27</v>
      </c>
      <c r="BA2" t="s">
        <v>27</v>
      </c>
      <c r="BB2" t="s">
        <v>27</v>
      </c>
      <c r="BC2" t="s">
        <v>27</v>
      </c>
      <c r="BD2" t="s">
        <v>27</v>
      </c>
      <c r="BE2" t="s">
        <v>27</v>
      </c>
      <c r="BF2" t="s">
        <v>27</v>
      </c>
      <c r="BG2" t="s">
        <v>27</v>
      </c>
      <c r="BH2" t="s">
        <v>27</v>
      </c>
      <c r="BI2" t="s">
        <v>27</v>
      </c>
      <c r="BJ2" t="s">
        <v>27</v>
      </c>
      <c r="BK2" t="s">
        <v>27</v>
      </c>
      <c r="BL2" t="s">
        <v>27</v>
      </c>
      <c r="BM2" t="s">
        <v>27</v>
      </c>
      <c r="BN2" t="s">
        <v>27</v>
      </c>
      <c r="BO2" t="s">
        <v>27</v>
      </c>
      <c r="BP2" t="s">
        <v>27</v>
      </c>
      <c r="BQ2" t="s">
        <v>27</v>
      </c>
      <c r="BR2" t="s">
        <v>27</v>
      </c>
      <c r="BS2" t="s">
        <v>27</v>
      </c>
      <c r="BT2" t="s">
        <v>27</v>
      </c>
      <c r="BU2" t="s">
        <v>27</v>
      </c>
      <c r="BV2" t="s">
        <v>27</v>
      </c>
      <c r="BW2" t="s">
        <v>27</v>
      </c>
      <c r="BX2" t="s">
        <v>27</v>
      </c>
      <c r="BY2" t="s">
        <v>27</v>
      </c>
      <c r="BZ2" t="s">
        <v>27</v>
      </c>
      <c r="CA2" t="s">
        <v>27</v>
      </c>
      <c r="CB2" t="s">
        <v>27</v>
      </c>
      <c r="CC2" t="s">
        <v>27</v>
      </c>
      <c r="CD2" t="s">
        <v>27</v>
      </c>
      <c r="CE2" t="s">
        <v>27</v>
      </c>
      <c r="CF2" t="s">
        <v>27</v>
      </c>
      <c r="CG2" t="s">
        <v>27</v>
      </c>
      <c r="CH2" t="s">
        <v>27</v>
      </c>
      <c r="CI2" t="s">
        <v>27</v>
      </c>
      <c r="CJ2" t="s">
        <v>27</v>
      </c>
      <c r="CK2" t="s">
        <v>27</v>
      </c>
      <c r="CL2" t="s">
        <v>27</v>
      </c>
      <c r="CM2" t="s">
        <v>27</v>
      </c>
      <c r="CN2" t="s">
        <v>27</v>
      </c>
      <c r="CO2" t="s">
        <v>27</v>
      </c>
      <c r="CP2" t="s">
        <v>27</v>
      </c>
      <c r="CQ2" t="s">
        <v>27</v>
      </c>
      <c r="CR2" t="s">
        <v>27</v>
      </c>
      <c r="CS2" t="s">
        <v>27</v>
      </c>
      <c r="CT2" t="s">
        <v>27</v>
      </c>
      <c r="CU2" t="s">
        <v>27</v>
      </c>
      <c r="CV2" t="s">
        <v>27</v>
      </c>
      <c r="CW2" t="s">
        <v>27</v>
      </c>
      <c r="CX2" t="s">
        <v>27</v>
      </c>
      <c r="CY2" t="s">
        <v>27</v>
      </c>
      <c r="CZ2" t="s">
        <v>27</v>
      </c>
      <c r="DA2" t="s">
        <v>27</v>
      </c>
      <c r="DB2" t="s">
        <v>27</v>
      </c>
      <c r="DC2" t="s">
        <v>27</v>
      </c>
      <c r="DD2" t="s">
        <v>27</v>
      </c>
      <c r="DE2" t="s">
        <v>27</v>
      </c>
      <c r="DF2" t="s">
        <v>27</v>
      </c>
      <c r="DG2" t="s">
        <v>27</v>
      </c>
      <c r="DH2" t="s">
        <v>27</v>
      </c>
      <c r="DI2" t="s">
        <v>27</v>
      </c>
      <c r="DJ2" t="s">
        <v>27</v>
      </c>
      <c r="DK2" t="s">
        <v>27</v>
      </c>
      <c r="DL2" t="s">
        <v>27</v>
      </c>
      <c r="DM2" t="s">
        <v>27</v>
      </c>
      <c r="DN2" t="s">
        <v>27</v>
      </c>
      <c r="DO2" t="s">
        <v>27</v>
      </c>
      <c r="DP2" t="s">
        <v>27</v>
      </c>
      <c r="DQ2" t="s">
        <v>27</v>
      </c>
      <c r="DR2" t="s">
        <v>27</v>
      </c>
      <c r="DS2" t="s">
        <v>27</v>
      </c>
      <c r="DT2" t="s">
        <v>27</v>
      </c>
      <c r="DU2" t="s">
        <v>27</v>
      </c>
      <c r="DV2" t="s">
        <v>27</v>
      </c>
      <c r="DW2" t="s">
        <v>27</v>
      </c>
      <c r="DX2" t="s">
        <v>27</v>
      </c>
      <c r="DY2" t="s">
        <v>27</v>
      </c>
      <c r="DZ2" t="s">
        <v>27</v>
      </c>
      <c r="EA2" t="s">
        <v>27</v>
      </c>
      <c r="EB2" t="s">
        <v>27</v>
      </c>
      <c r="EC2" t="s">
        <v>27</v>
      </c>
      <c r="ED2" t="s">
        <v>27</v>
      </c>
      <c r="EE2" t="s">
        <v>27</v>
      </c>
      <c r="EF2" t="s">
        <v>27</v>
      </c>
      <c r="EG2" t="s">
        <v>27</v>
      </c>
      <c r="EH2" t="s">
        <v>27</v>
      </c>
      <c r="EI2" t="s">
        <v>27</v>
      </c>
      <c r="EJ2" t="s">
        <v>27</v>
      </c>
      <c r="EK2" t="s">
        <v>27</v>
      </c>
      <c r="EL2" t="s">
        <v>27</v>
      </c>
      <c r="EM2" t="s">
        <v>27</v>
      </c>
      <c r="EN2" t="s">
        <v>27</v>
      </c>
      <c r="EO2" t="s">
        <v>27</v>
      </c>
      <c r="EP2" t="s">
        <v>27</v>
      </c>
      <c r="EQ2" t="s">
        <v>27</v>
      </c>
      <c r="ER2" t="s">
        <v>27</v>
      </c>
      <c r="ES2" t="s">
        <v>27</v>
      </c>
      <c r="ET2" t="s">
        <v>27</v>
      </c>
      <c r="EU2" t="s">
        <v>27</v>
      </c>
      <c r="EV2" t="s">
        <v>27</v>
      </c>
      <c r="EW2" t="s">
        <v>27</v>
      </c>
      <c r="EX2" t="s">
        <v>27</v>
      </c>
      <c r="EY2" t="s">
        <v>27</v>
      </c>
      <c r="EZ2" t="s">
        <v>27</v>
      </c>
      <c r="FA2" t="s">
        <v>27</v>
      </c>
      <c r="FB2" t="s">
        <v>27</v>
      </c>
      <c r="FC2" t="s">
        <v>27</v>
      </c>
      <c r="FD2" t="s">
        <v>27</v>
      </c>
      <c r="FE2" t="s">
        <v>27</v>
      </c>
      <c r="FF2" t="s">
        <v>27</v>
      </c>
      <c r="FG2" t="s">
        <v>27</v>
      </c>
      <c r="FH2" t="s">
        <v>27</v>
      </c>
      <c r="FI2" t="s">
        <v>27</v>
      </c>
      <c r="FJ2" t="s">
        <v>27</v>
      </c>
      <c r="FK2" t="s">
        <v>27</v>
      </c>
      <c r="FL2" t="s">
        <v>27</v>
      </c>
      <c r="FM2" t="s">
        <v>27</v>
      </c>
      <c r="FN2" t="s">
        <v>27</v>
      </c>
      <c r="FO2" t="s">
        <v>27</v>
      </c>
      <c r="FP2" t="s">
        <v>27</v>
      </c>
      <c r="FQ2" t="s">
        <v>27</v>
      </c>
      <c r="FR2" t="s">
        <v>27</v>
      </c>
      <c r="FS2" t="s">
        <v>27</v>
      </c>
      <c r="FT2" t="s">
        <v>27</v>
      </c>
      <c r="FU2" t="s">
        <v>27</v>
      </c>
      <c r="FV2" t="s">
        <v>27</v>
      </c>
      <c r="FW2" t="s">
        <v>27</v>
      </c>
      <c r="FX2" t="s">
        <v>27</v>
      </c>
      <c r="FY2" t="s">
        <v>27</v>
      </c>
      <c r="FZ2" t="s">
        <v>27</v>
      </c>
      <c r="GA2" t="s">
        <v>27</v>
      </c>
      <c r="GB2" t="s">
        <v>27</v>
      </c>
      <c r="GC2" t="s">
        <v>27</v>
      </c>
      <c r="GD2" t="s">
        <v>27</v>
      </c>
      <c r="GE2" t="s">
        <v>27</v>
      </c>
      <c r="GF2" t="s">
        <v>27</v>
      </c>
      <c r="GG2" t="s">
        <v>27</v>
      </c>
      <c r="GH2" t="s">
        <v>27</v>
      </c>
      <c r="GI2" t="s">
        <v>27</v>
      </c>
      <c r="GJ2" t="s">
        <v>27</v>
      </c>
      <c r="GK2" t="s">
        <v>27</v>
      </c>
      <c r="GL2" t="s">
        <v>27</v>
      </c>
      <c r="GM2" t="s">
        <v>27</v>
      </c>
      <c r="GN2" t="s">
        <v>27</v>
      </c>
      <c r="GO2" t="s">
        <v>27</v>
      </c>
      <c r="GP2" t="s">
        <v>27</v>
      </c>
      <c r="GQ2" t="s">
        <v>27</v>
      </c>
      <c r="GR2" t="s">
        <v>27</v>
      </c>
      <c r="GS2" t="s">
        <v>27</v>
      </c>
      <c r="GT2" t="s">
        <v>27</v>
      </c>
      <c r="GU2" t="s">
        <v>27</v>
      </c>
      <c r="GV2" t="s">
        <v>27</v>
      </c>
      <c r="GW2" t="s">
        <v>27</v>
      </c>
      <c r="GX2" t="s">
        <v>27</v>
      </c>
      <c r="GY2" t="s">
        <v>27</v>
      </c>
      <c r="GZ2" t="s">
        <v>27</v>
      </c>
      <c r="HA2" t="s">
        <v>27</v>
      </c>
      <c r="HB2" t="s">
        <v>27</v>
      </c>
      <c r="HC2" t="s">
        <v>27</v>
      </c>
      <c r="HD2" t="s">
        <v>27</v>
      </c>
      <c r="HE2" t="s">
        <v>27</v>
      </c>
      <c r="HF2" t="s">
        <v>27</v>
      </c>
      <c r="HG2" t="s">
        <v>27</v>
      </c>
      <c r="HH2" t="s">
        <v>27</v>
      </c>
      <c r="HI2" t="s">
        <v>27</v>
      </c>
      <c r="HJ2" t="s">
        <v>27</v>
      </c>
      <c r="HK2" t="s">
        <v>27</v>
      </c>
      <c r="HL2" t="s">
        <v>27</v>
      </c>
      <c r="HM2" t="s">
        <v>27</v>
      </c>
      <c r="HN2" t="s">
        <v>27</v>
      </c>
      <c r="HO2" t="s">
        <v>27</v>
      </c>
      <c r="HP2" t="s">
        <v>27</v>
      </c>
      <c r="HQ2" t="s">
        <v>27</v>
      </c>
      <c r="HR2" t="s">
        <v>27</v>
      </c>
      <c r="HS2" t="s">
        <v>27</v>
      </c>
      <c r="HT2" t="s">
        <v>27</v>
      </c>
      <c r="HU2" t="s">
        <v>27</v>
      </c>
      <c r="HV2" t="s">
        <v>27</v>
      </c>
      <c r="HW2" t="s">
        <v>27</v>
      </c>
      <c r="HX2" t="s">
        <v>27</v>
      </c>
      <c r="HY2" t="s">
        <v>27</v>
      </c>
      <c r="HZ2" t="s">
        <v>27</v>
      </c>
      <c r="IA2" t="s">
        <v>27</v>
      </c>
    </row>
    <row r="3" ht="27" spans="1:235">
      <c r="A3" t="s">
        <v>28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36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t="s">
        <v>25</v>
      </c>
      <c r="AA3" t="s">
        <v>25</v>
      </c>
      <c r="AB3" t="s">
        <v>25</v>
      </c>
      <c r="AC3" t="s">
        <v>25</v>
      </c>
      <c r="AD3" t="s">
        <v>25</v>
      </c>
      <c r="AE3" t="s">
        <v>25</v>
      </c>
      <c r="AF3" t="s">
        <v>25</v>
      </c>
      <c r="AG3" t="s">
        <v>25</v>
      </c>
      <c r="AH3" t="s">
        <v>25</v>
      </c>
      <c r="AI3" t="s">
        <v>25</v>
      </c>
      <c r="AJ3" t="s">
        <v>25</v>
      </c>
      <c r="AK3" t="s">
        <v>25</v>
      </c>
      <c r="AL3" t="s">
        <v>25</v>
      </c>
      <c r="AM3" t="s">
        <v>25</v>
      </c>
      <c r="AN3" t="s">
        <v>25</v>
      </c>
      <c r="AO3" t="s">
        <v>25</v>
      </c>
      <c r="AP3" t="s">
        <v>25</v>
      </c>
      <c r="AQ3" t="s">
        <v>25</v>
      </c>
      <c r="AR3" t="s">
        <v>25</v>
      </c>
      <c r="AS3" t="s">
        <v>25</v>
      </c>
      <c r="AT3" t="s">
        <v>25</v>
      </c>
      <c r="AU3" t="s">
        <v>25</v>
      </c>
      <c r="AV3" t="s">
        <v>25</v>
      </c>
      <c r="AW3" t="s">
        <v>25</v>
      </c>
      <c r="AX3" t="s">
        <v>25</v>
      </c>
      <c r="AY3" t="s">
        <v>25</v>
      </c>
      <c r="AZ3" t="s">
        <v>25</v>
      </c>
      <c r="BA3" t="s">
        <v>25</v>
      </c>
      <c r="BB3" t="s">
        <v>25</v>
      </c>
      <c r="BC3" t="s">
        <v>25</v>
      </c>
      <c r="BD3" t="s">
        <v>25</v>
      </c>
      <c r="BE3" t="s">
        <v>25</v>
      </c>
      <c r="BF3" t="s">
        <v>25</v>
      </c>
      <c r="BG3" t="s">
        <v>25</v>
      </c>
      <c r="BH3" t="s">
        <v>25</v>
      </c>
      <c r="BI3" t="s">
        <v>25</v>
      </c>
      <c r="BJ3" t="s">
        <v>25</v>
      </c>
      <c r="BK3" t="s">
        <v>25</v>
      </c>
      <c r="BL3" t="s">
        <v>25</v>
      </c>
      <c r="BM3" t="s">
        <v>25</v>
      </c>
      <c r="BN3" t="s">
        <v>25</v>
      </c>
      <c r="BO3" t="s">
        <v>25</v>
      </c>
      <c r="BP3" t="s">
        <v>25</v>
      </c>
      <c r="BQ3" t="s">
        <v>25</v>
      </c>
      <c r="BR3" t="s">
        <v>25</v>
      </c>
      <c r="BS3" t="s">
        <v>25</v>
      </c>
      <c r="BT3" t="s">
        <v>25</v>
      </c>
      <c r="BU3" t="s">
        <v>25</v>
      </c>
      <c r="BV3" t="s">
        <v>25</v>
      </c>
      <c r="BW3" t="s">
        <v>25</v>
      </c>
      <c r="BX3" t="s">
        <v>25</v>
      </c>
      <c r="BY3" t="s">
        <v>25</v>
      </c>
      <c r="BZ3" t="s">
        <v>25</v>
      </c>
      <c r="CA3" t="s">
        <v>25</v>
      </c>
      <c r="CB3" t="s">
        <v>25</v>
      </c>
      <c r="CC3" t="s">
        <v>25</v>
      </c>
      <c r="CD3" t="s">
        <v>25</v>
      </c>
      <c r="CE3" t="s">
        <v>25</v>
      </c>
      <c r="CF3" t="s">
        <v>25</v>
      </c>
      <c r="CG3" t="s">
        <v>25</v>
      </c>
      <c r="CH3" t="s">
        <v>25</v>
      </c>
      <c r="CI3" t="s">
        <v>25</v>
      </c>
      <c r="CJ3" t="s">
        <v>25</v>
      </c>
      <c r="CK3" t="s">
        <v>25</v>
      </c>
      <c r="CL3" t="s">
        <v>25</v>
      </c>
      <c r="CM3" t="s">
        <v>25</v>
      </c>
      <c r="CN3" t="s">
        <v>25</v>
      </c>
      <c r="CO3" t="s">
        <v>25</v>
      </c>
      <c r="CP3" t="s">
        <v>25</v>
      </c>
      <c r="CQ3" t="s">
        <v>25</v>
      </c>
      <c r="CR3" t="s">
        <v>25</v>
      </c>
      <c r="CS3" t="s">
        <v>25</v>
      </c>
      <c r="CT3" t="s">
        <v>25</v>
      </c>
      <c r="CU3" t="s">
        <v>25</v>
      </c>
      <c r="CV3" t="s">
        <v>25</v>
      </c>
      <c r="CW3" t="s">
        <v>25</v>
      </c>
      <c r="CX3" t="s">
        <v>25</v>
      </c>
      <c r="CY3" t="s">
        <v>25</v>
      </c>
      <c r="CZ3" t="s">
        <v>25</v>
      </c>
      <c r="DA3" t="s">
        <v>25</v>
      </c>
      <c r="DB3" t="s">
        <v>25</v>
      </c>
      <c r="DC3" t="s">
        <v>25</v>
      </c>
      <c r="DD3" t="s">
        <v>25</v>
      </c>
      <c r="DE3" t="s">
        <v>25</v>
      </c>
      <c r="DF3" t="s">
        <v>25</v>
      </c>
      <c r="DG3" t="s">
        <v>25</v>
      </c>
      <c r="DH3" t="s">
        <v>25</v>
      </c>
      <c r="DI3" t="s">
        <v>25</v>
      </c>
      <c r="DJ3" t="s">
        <v>25</v>
      </c>
      <c r="DK3" t="s">
        <v>25</v>
      </c>
      <c r="DL3" t="s">
        <v>25</v>
      </c>
      <c r="DM3" t="s">
        <v>25</v>
      </c>
      <c r="DN3" t="s">
        <v>25</v>
      </c>
      <c r="DO3" t="s">
        <v>25</v>
      </c>
      <c r="DP3" t="s">
        <v>25</v>
      </c>
      <c r="DQ3" t="s">
        <v>25</v>
      </c>
      <c r="DR3" t="s">
        <v>25</v>
      </c>
      <c r="DS3" t="s">
        <v>25</v>
      </c>
      <c r="DT3" t="s">
        <v>25</v>
      </c>
      <c r="DU3" t="s">
        <v>25</v>
      </c>
      <c r="DV3" t="s">
        <v>25</v>
      </c>
      <c r="DW3" t="s">
        <v>25</v>
      </c>
      <c r="DX3" t="s">
        <v>25</v>
      </c>
      <c r="DY3" t="s">
        <v>25</v>
      </c>
      <c r="DZ3" t="s">
        <v>25</v>
      </c>
      <c r="EA3" t="s">
        <v>25</v>
      </c>
      <c r="EB3" t="s">
        <v>25</v>
      </c>
      <c r="EC3" t="s">
        <v>25</v>
      </c>
      <c r="ED3" t="s">
        <v>25</v>
      </c>
      <c r="EE3" t="s">
        <v>25</v>
      </c>
      <c r="EF3" t="s">
        <v>25</v>
      </c>
      <c r="EG3" t="s">
        <v>25</v>
      </c>
      <c r="EH3" t="s">
        <v>25</v>
      </c>
      <c r="EI3" t="s">
        <v>25</v>
      </c>
      <c r="EJ3" t="s">
        <v>25</v>
      </c>
      <c r="EK3" t="s">
        <v>25</v>
      </c>
      <c r="EL3" t="s">
        <v>25</v>
      </c>
      <c r="EM3" t="s">
        <v>25</v>
      </c>
      <c r="EN3" t="s">
        <v>25</v>
      </c>
      <c r="EO3" t="s">
        <v>25</v>
      </c>
      <c r="EP3" t="s">
        <v>25</v>
      </c>
      <c r="EQ3" t="s">
        <v>25</v>
      </c>
      <c r="ER3" t="s">
        <v>25</v>
      </c>
      <c r="ES3" t="s">
        <v>25</v>
      </c>
      <c r="ET3" t="s">
        <v>25</v>
      </c>
      <c r="EU3" t="s">
        <v>25</v>
      </c>
      <c r="EV3" t="s">
        <v>25</v>
      </c>
      <c r="EW3" t="s">
        <v>25</v>
      </c>
      <c r="EX3" t="s">
        <v>25</v>
      </c>
      <c r="EY3" t="s">
        <v>25</v>
      </c>
      <c r="EZ3" t="s">
        <v>25</v>
      </c>
      <c r="FA3" t="s">
        <v>25</v>
      </c>
      <c r="FB3" t="s">
        <v>25</v>
      </c>
      <c r="FC3" t="s">
        <v>25</v>
      </c>
      <c r="FD3" t="s">
        <v>25</v>
      </c>
      <c r="FE3" t="s">
        <v>25</v>
      </c>
      <c r="FF3" t="s">
        <v>25</v>
      </c>
      <c r="FG3" t="s">
        <v>25</v>
      </c>
      <c r="FH3" t="s">
        <v>25</v>
      </c>
      <c r="FI3" t="s">
        <v>25</v>
      </c>
      <c r="FJ3" t="s">
        <v>25</v>
      </c>
      <c r="FK3" t="s">
        <v>25</v>
      </c>
      <c r="FL3" t="s">
        <v>25</v>
      </c>
      <c r="FM3" t="s">
        <v>25</v>
      </c>
      <c r="FN3" t="s">
        <v>25</v>
      </c>
      <c r="FO3" t="s">
        <v>25</v>
      </c>
      <c r="FP3" t="s">
        <v>25</v>
      </c>
      <c r="FQ3" t="s">
        <v>25</v>
      </c>
      <c r="FR3" t="s">
        <v>25</v>
      </c>
      <c r="FS3" t="s">
        <v>25</v>
      </c>
      <c r="FT3" t="s">
        <v>25</v>
      </c>
      <c r="FU3" t="s">
        <v>25</v>
      </c>
      <c r="FV3" t="s">
        <v>25</v>
      </c>
      <c r="FW3" t="s">
        <v>25</v>
      </c>
      <c r="FX3" t="s">
        <v>25</v>
      </c>
      <c r="FY3" t="s">
        <v>25</v>
      </c>
      <c r="FZ3" t="s">
        <v>25</v>
      </c>
      <c r="GA3" t="s">
        <v>25</v>
      </c>
      <c r="GB3" t="s">
        <v>25</v>
      </c>
      <c r="GC3" t="s">
        <v>25</v>
      </c>
      <c r="GD3" t="s">
        <v>25</v>
      </c>
      <c r="GE3" t="s">
        <v>25</v>
      </c>
      <c r="GF3" t="s">
        <v>25</v>
      </c>
      <c r="GG3" t="s">
        <v>25</v>
      </c>
      <c r="GH3" t="s">
        <v>25</v>
      </c>
      <c r="GI3" t="s">
        <v>25</v>
      </c>
      <c r="GJ3" t="s">
        <v>25</v>
      </c>
      <c r="GK3" t="s">
        <v>25</v>
      </c>
      <c r="GL3" t="s">
        <v>25</v>
      </c>
      <c r="GM3" t="s">
        <v>25</v>
      </c>
      <c r="GN3" t="s">
        <v>25</v>
      </c>
      <c r="GO3" t="s">
        <v>25</v>
      </c>
      <c r="GP3" t="s">
        <v>25</v>
      </c>
      <c r="GQ3" t="s">
        <v>25</v>
      </c>
      <c r="GR3" t="s">
        <v>25</v>
      </c>
      <c r="GS3" t="s">
        <v>25</v>
      </c>
      <c r="GT3" t="s">
        <v>25</v>
      </c>
      <c r="GU3" t="s">
        <v>25</v>
      </c>
      <c r="GV3" t="s">
        <v>25</v>
      </c>
      <c r="GW3" t="s">
        <v>25</v>
      </c>
      <c r="GX3" t="s">
        <v>25</v>
      </c>
      <c r="GY3" t="s">
        <v>25</v>
      </c>
      <c r="GZ3" t="s">
        <v>25</v>
      </c>
      <c r="HA3" t="s">
        <v>25</v>
      </c>
      <c r="HB3" t="s">
        <v>25</v>
      </c>
      <c r="HC3" t="s">
        <v>25</v>
      </c>
      <c r="HD3" t="s">
        <v>25</v>
      </c>
      <c r="HE3" t="s">
        <v>25</v>
      </c>
      <c r="HF3" t="s">
        <v>25</v>
      </c>
      <c r="HG3" t="s">
        <v>25</v>
      </c>
      <c r="HH3" t="s">
        <v>25</v>
      </c>
      <c r="HI3" t="s">
        <v>25</v>
      </c>
      <c r="HJ3" t="s">
        <v>25</v>
      </c>
      <c r="HK3" t="s">
        <v>25</v>
      </c>
      <c r="HL3" t="s">
        <v>25</v>
      </c>
      <c r="HM3" t="s">
        <v>25</v>
      </c>
      <c r="HN3" t="s">
        <v>25</v>
      </c>
      <c r="HO3" t="s">
        <v>25</v>
      </c>
      <c r="HP3" t="s">
        <v>25</v>
      </c>
      <c r="HQ3" t="s">
        <v>25</v>
      </c>
      <c r="HR3" t="s">
        <v>25</v>
      </c>
      <c r="HS3" t="s">
        <v>25</v>
      </c>
      <c r="HT3" t="s">
        <v>25</v>
      </c>
      <c r="HU3" t="s">
        <v>25</v>
      </c>
      <c r="HV3" t="s">
        <v>25</v>
      </c>
      <c r="HW3" t="s">
        <v>25</v>
      </c>
      <c r="HX3" t="s">
        <v>25</v>
      </c>
      <c r="HY3" t="s">
        <v>25</v>
      </c>
      <c r="HZ3" t="s">
        <v>25</v>
      </c>
      <c r="IA3" t="s">
        <v>25</v>
      </c>
    </row>
    <row r="4" ht="67.5" spans="1:235">
      <c r="B4" s="1">
        <v>10001</v>
      </c>
      <c r="C4" s="1" t="s">
        <v>29</v>
      </c>
      <c r="D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  <c r="R4" s="1" t="s">
        <v>36</v>
      </c>
    </row>
    <row r="5" ht="67.5" customHeight="1" spans="1:235">
      <c r="B5" s="1">
        <v>10002</v>
      </c>
      <c r="C5" s="1" t="s">
        <v>37</v>
      </c>
      <c r="D5" s="1" t="s">
        <v>38</v>
      </c>
      <c r="F5" s="1" t="s">
        <v>39</v>
      </c>
      <c r="G5" s="1" t="s">
        <v>32</v>
      </c>
      <c r="H5" s="1" t="s">
        <v>32</v>
      </c>
      <c r="I5" s="1" t="s">
        <v>40</v>
      </c>
      <c r="J5" s="1" t="s">
        <v>35</v>
      </c>
      <c r="R5" s="1" t="s">
        <v>36</v>
      </c>
    </row>
    <row r="6" ht="54" customHeight="1" spans="1:235">
      <c r="B6" s="1" t="s">
        <v>41</v>
      </c>
      <c r="C6" s="1" t="s">
        <v>42</v>
      </c>
      <c r="D6" s="1" t="s">
        <v>43</v>
      </c>
      <c r="F6" s="1" t="s">
        <v>31</v>
      </c>
      <c r="G6" s="1" t="s">
        <v>32</v>
      </c>
      <c r="H6" s="1" t="s">
        <v>33</v>
      </c>
      <c r="I6" s="1" t="s">
        <v>34</v>
      </c>
      <c r="J6" s="1" t="s">
        <v>35</v>
      </c>
      <c r="R6" s="1" t="s">
        <v>36</v>
      </c>
    </row>
    <row r="7" ht="67.5" customHeight="1" spans="1:235">
      <c r="B7" s="37" t="s">
        <v>44</v>
      </c>
      <c r="C7" s="38" t="s">
        <v>45</v>
      </c>
      <c r="D7" s="39" t="s">
        <v>46</v>
      </c>
      <c r="E7" s="37"/>
      <c r="F7" s="40" t="s">
        <v>47</v>
      </c>
      <c r="G7" s="37" t="s">
        <v>48</v>
      </c>
      <c r="H7" s="37" t="s">
        <v>33</v>
      </c>
      <c r="I7" s="37" t="s">
        <v>49</v>
      </c>
      <c r="J7" s="37" t="s">
        <v>35</v>
      </c>
      <c r="K7" s="37" t="s">
        <v>50</v>
      </c>
      <c r="L7" s="37" t="s">
        <v>51</v>
      </c>
      <c r="M7" s="37" t="s">
        <v>52</v>
      </c>
      <c r="N7" s="37"/>
      <c r="O7" s="37"/>
      <c r="P7" s="37"/>
      <c r="Q7" s="37"/>
      <c r="R7" s="37" t="s">
        <v>36</v>
      </c>
      <c r="S7" s="37"/>
      <c r="T7" s="37"/>
      <c r="U7" s="37"/>
      <c r="V7" s="37"/>
      <c r="W7" s="37"/>
      <c r="X7" s="37" t="s">
        <v>53</v>
      </c>
      <c r="Y7" s="37"/>
      <c r="Z7" s="38"/>
    </row>
    <row r="8" ht="121.5" customHeight="1" spans="1:235">
      <c r="B8" s="37" t="s">
        <v>54</v>
      </c>
      <c r="C8" s="38" t="s">
        <v>55</v>
      </c>
      <c r="D8" s="39" t="s">
        <v>56</v>
      </c>
      <c r="E8" s="37"/>
      <c r="F8" s="40" t="s">
        <v>57</v>
      </c>
      <c r="G8" s="37" t="s">
        <v>48</v>
      </c>
      <c r="H8" s="37" t="s">
        <v>33</v>
      </c>
      <c r="I8" s="37" t="s">
        <v>58</v>
      </c>
      <c r="J8" s="37" t="s">
        <v>35</v>
      </c>
      <c r="K8" s="37" t="s">
        <v>50</v>
      </c>
      <c r="L8" s="37" t="s">
        <v>51</v>
      </c>
      <c r="M8" s="37" t="s">
        <v>59</v>
      </c>
      <c r="N8" s="37"/>
      <c r="O8" s="37"/>
      <c r="P8" s="37"/>
      <c r="Q8" s="37"/>
      <c r="R8" s="37" t="s">
        <v>36</v>
      </c>
      <c r="S8" s="37"/>
      <c r="T8" s="37"/>
      <c r="U8" s="37"/>
      <c r="V8" s="37"/>
      <c r="W8" s="37"/>
      <c r="X8" s="37" t="s">
        <v>60</v>
      </c>
      <c r="Y8" s="37"/>
      <c r="Z8" s="38"/>
    </row>
    <row r="9" ht="108" customHeight="1" spans="1:235">
      <c r="B9" s="37" t="s">
        <v>61</v>
      </c>
      <c r="C9" s="37" t="s">
        <v>62</v>
      </c>
      <c r="D9" s="37" t="s">
        <v>63</v>
      </c>
      <c r="E9" s="37"/>
      <c r="F9" s="37" t="s">
        <v>64</v>
      </c>
      <c r="G9" s="37" t="s">
        <v>65</v>
      </c>
      <c r="H9" s="37" t="s">
        <v>33</v>
      </c>
      <c r="I9" s="37" t="s">
        <v>66</v>
      </c>
      <c r="J9" s="37" t="s">
        <v>35</v>
      </c>
      <c r="K9" s="37" t="s">
        <v>66</v>
      </c>
      <c r="L9" s="37"/>
      <c r="M9" s="37" t="s">
        <v>67</v>
      </c>
      <c r="N9" s="37"/>
      <c r="O9" s="37"/>
      <c r="P9" s="37"/>
      <c r="Q9" s="37"/>
      <c r="R9" s="37" t="s">
        <v>36</v>
      </c>
      <c r="S9" s="37"/>
      <c r="T9" s="37"/>
      <c r="U9" s="37"/>
      <c r="V9" s="37"/>
      <c r="W9" s="37"/>
      <c r="X9" s="37" t="s">
        <v>68</v>
      </c>
      <c r="Y9" s="37"/>
      <c r="Z9" s="37"/>
    </row>
    <row r="10" ht="130.5" customHeight="1" spans="1:235">
      <c r="B10" s="37" t="s">
        <v>69</v>
      </c>
      <c r="C10" s="38" t="s">
        <v>70</v>
      </c>
      <c r="D10" s="41" t="s">
        <v>71</v>
      </c>
      <c r="E10" s="37"/>
      <c r="F10" s="40" t="s">
        <v>72</v>
      </c>
      <c r="G10" s="37" t="s">
        <v>73</v>
      </c>
      <c r="H10" s="37" t="s">
        <v>33</v>
      </c>
      <c r="I10" s="37" t="s">
        <v>74</v>
      </c>
      <c r="J10" s="37" t="s">
        <v>75</v>
      </c>
      <c r="K10" s="37" t="s">
        <v>50</v>
      </c>
      <c r="L10" s="37" t="s">
        <v>51</v>
      </c>
      <c r="M10" s="37" t="s">
        <v>76</v>
      </c>
      <c r="N10" s="37"/>
      <c r="O10" s="37"/>
      <c r="P10" s="37"/>
      <c r="Q10" s="37"/>
      <c r="R10" s="37" t="s">
        <v>36</v>
      </c>
      <c r="S10" s="37" t="s">
        <v>33</v>
      </c>
      <c r="T10" s="37"/>
      <c r="U10" s="37"/>
      <c r="V10" s="37"/>
      <c r="W10" s="37"/>
      <c r="X10" s="37" t="s">
        <v>77</v>
      </c>
      <c r="Y10" s="37" t="s">
        <v>78</v>
      </c>
      <c r="Z10" s="38"/>
    </row>
    <row r="11" ht="130.5" customHeight="1" spans="1:235">
      <c r="B11" s="37" t="s">
        <v>79</v>
      </c>
      <c r="C11" s="38" t="s">
        <v>80</v>
      </c>
      <c r="D11" s="39" t="s">
        <v>81</v>
      </c>
      <c r="E11" s="37"/>
      <c r="F11" s="40" t="s">
        <v>82</v>
      </c>
      <c r="G11" s="37" t="s">
        <v>73</v>
      </c>
      <c r="H11" s="37" t="s">
        <v>33</v>
      </c>
      <c r="I11" s="37" t="s">
        <v>74</v>
      </c>
      <c r="J11" s="37" t="s">
        <v>75</v>
      </c>
      <c r="K11" s="37" t="s">
        <v>50</v>
      </c>
      <c r="L11" s="37" t="s">
        <v>51</v>
      </c>
      <c r="M11" s="37" t="s">
        <v>83</v>
      </c>
      <c r="N11" s="37"/>
      <c r="O11" s="37"/>
      <c r="P11" s="37"/>
      <c r="Q11" s="37"/>
      <c r="R11" s="37" t="s">
        <v>36</v>
      </c>
      <c r="S11" s="37" t="s">
        <v>32</v>
      </c>
      <c r="T11" s="37"/>
      <c r="U11" s="37"/>
      <c r="V11" s="37"/>
      <c r="W11" s="37"/>
      <c r="X11" s="37" t="s">
        <v>84</v>
      </c>
      <c r="Y11" s="37" t="s">
        <v>85</v>
      </c>
      <c r="Z11" s="38"/>
    </row>
    <row r="12" ht="130.5" customHeight="1" spans="1:235">
      <c r="B12" s="37" t="s">
        <v>86</v>
      </c>
      <c r="C12" s="38" t="s">
        <v>87</v>
      </c>
      <c r="D12" s="39" t="s">
        <v>88</v>
      </c>
      <c r="E12" s="37"/>
      <c r="F12" s="40" t="s">
        <v>89</v>
      </c>
      <c r="G12" s="37" t="s">
        <v>73</v>
      </c>
      <c r="H12" s="37" t="s">
        <v>33</v>
      </c>
      <c r="I12" s="37" t="s">
        <v>74</v>
      </c>
      <c r="J12" s="37" t="s">
        <v>75</v>
      </c>
      <c r="K12" s="37" t="s">
        <v>50</v>
      </c>
      <c r="L12" s="37" t="s">
        <v>51</v>
      </c>
      <c r="M12" s="37" t="s">
        <v>76</v>
      </c>
      <c r="N12" s="37"/>
      <c r="O12" s="37"/>
      <c r="P12" s="37"/>
      <c r="Q12" s="37"/>
      <c r="R12" s="37" t="s">
        <v>36</v>
      </c>
      <c r="S12" s="37" t="s">
        <v>48</v>
      </c>
      <c r="T12" s="37"/>
      <c r="U12" s="37"/>
      <c r="V12" s="37"/>
      <c r="W12" s="37"/>
      <c r="X12" s="37" t="s">
        <v>90</v>
      </c>
      <c r="Y12" s="37" t="s">
        <v>91</v>
      </c>
      <c r="Z12" s="38"/>
    </row>
    <row r="13" ht="130.5" customHeight="1" spans="1:235">
      <c r="B13" s="42" t="s">
        <v>92</v>
      </c>
      <c r="C13" s="43" t="s">
        <v>93</v>
      </c>
      <c r="D13" s="44" t="s">
        <v>94</v>
      </c>
      <c r="E13" s="42"/>
      <c r="F13" s="42" t="s">
        <v>95</v>
      </c>
      <c r="G13" s="42" t="s">
        <v>96</v>
      </c>
      <c r="H13" s="42" t="s">
        <v>33</v>
      </c>
      <c r="I13" s="42" t="s">
        <v>58</v>
      </c>
      <c r="J13" s="42" t="s">
        <v>35</v>
      </c>
      <c r="K13" s="42" t="s">
        <v>50</v>
      </c>
      <c r="L13" s="42" t="s">
        <v>51</v>
      </c>
      <c r="M13" s="42" t="s">
        <v>97</v>
      </c>
      <c r="N13" s="42"/>
      <c r="O13" s="42"/>
      <c r="P13" s="42"/>
      <c r="Q13" s="42"/>
      <c r="R13" s="37" t="s">
        <v>36</v>
      </c>
      <c r="S13" s="42"/>
      <c r="T13" s="42"/>
      <c r="U13" s="42"/>
      <c r="V13" s="42"/>
      <c r="W13" s="42"/>
      <c r="X13" s="42" t="s">
        <v>98</v>
      </c>
      <c r="Y13" s="42"/>
      <c r="Z13" s="43"/>
    </row>
    <row r="14" ht="130.5" customHeight="1" spans="1:235">
      <c r="B14" s="45" t="s">
        <v>99</v>
      </c>
      <c r="C14" s="5" t="s">
        <v>100</v>
      </c>
      <c r="D14" s="46" t="s">
        <v>101</v>
      </c>
      <c r="E14" s="45"/>
      <c r="F14" s="45" t="s">
        <v>32</v>
      </c>
      <c r="G14" s="45" t="s">
        <v>51</v>
      </c>
      <c r="H14" s="45" t="s">
        <v>33</v>
      </c>
      <c r="I14" s="45" t="s">
        <v>102</v>
      </c>
      <c r="J14" s="45" t="s">
        <v>35</v>
      </c>
      <c r="K14" s="45" t="s">
        <v>50</v>
      </c>
      <c r="L14" s="45" t="s">
        <v>51</v>
      </c>
      <c r="M14" s="45" t="s">
        <v>103</v>
      </c>
      <c r="N14" s="45"/>
      <c r="O14" s="45"/>
      <c r="P14" s="45"/>
      <c r="Q14" s="45"/>
      <c r="R14" s="45" t="s">
        <v>36</v>
      </c>
      <c r="S14" s="45"/>
      <c r="T14" s="45"/>
      <c r="U14" s="45"/>
      <c r="V14" s="45"/>
      <c r="W14" s="45"/>
      <c r="X14" s="45" t="s">
        <v>104</v>
      </c>
      <c r="Y14" s="45" t="s">
        <v>105</v>
      </c>
      <c r="Z14" s="5"/>
    </row>
    <row r="15" ht="130.5" customHeight="1" spans="1:235">
      <c r="B15" s="45" t="s">
        <v>106</v>
      </c>
      <c r="C15" s="5" t="s">
        <v>107</v>
      </c>
      <c r="D15" s="46" t="s">
        <v>108</v>
      </c>
      <c r="E15" s="45"/>
      <c r="F15" s="45" t="s">
        <v>109</v>
      </c>
      <c r="G15" s="45" t="s">
        <v>51</v>
      </c>
      <c r="H15" s="45" t="s">
        <v>33</v>
      </c>
      <c r="I15" s="45" t="s">
        <v>102</v>
      </c>
      <c r="J15" s="45" t="s">
        <v>35</v>
      </c>
      <c r="K15" s="45" t="s">
        <v>50</v>
      </c>
      <c r="L15" s="45" t="s">
        <v>51</v>
      </c>
      <c r="M15" s="45" t="s">
        <v>110</v>
      </c>
      <c r="N15" s="45"/>
      <c r="O15" s="45"/>
      <c r="P15" s="45"/>
      <c r="Q15" s="45"/>
      <c r="R15" s="45" t="s">
        <v>36</v>
      </c>
      <c r="S15" s="45"/>
      <c r="T15" s="45"/>
      <c r="U15" s="45"/>
      <c r="V15" s="45"/>
      <c r="W15" s="45"/>
      <c r="X15" s="45" t="s">
        <v>104</v>
      </c>
      <c r="Y15" s="45" t="s">
        <v>111</v>
      </c>
      <c r="Z15" s="5"/>
    </row>
    <row r="16" ht="130.5" customHeight="1" spans="1:235">
      <c r="B16" s="42" t="s">
        <v>112</v>
      </c>
      <c r="C16" s="43" t="s">
        <v>113</v>
      </c>
      <c r="D16" s="44" t="s">
        <v>114</v>
      </c>
      <c r="E16" s="42"/>
      <c r="F16" s="47" t="s">
        <v>115</v>
      </c>
      <c r="G16" s="42" t="s">
        <v>73</v>
      </c>
      <c r="H16" s="42" t="s">
        <v>33</v>
      </c>
      <c r="I16" s="42" t="s">
        <v>74</v>
      </c>
      <c r="J16" s="42" t="s">
        <v>75</v>
      </c>
      <c r="K16" s="42" t="s">
        <v>50</v>
      </c>
      <c r="L16" s="42" t="s">
        <v>51</v>
      </c>
      <c r="M16" s="42" t="s">
        <v>116</v>
      </c>
      <c r="N16" s="42"/>
      <c r="O16" s="42"/>
      <c r="P16" s="42"/>
      <c r="Q16" s="42"/>
      <c r="R16" s="42" t="s">
        <v>36</v>
      </c>
      <c r="S16" s="42" t="s">
        <v>33</v>
      </c>
      <c r="T16" s="42"/>
      <c r="U16" s="42"/>
      <c r="V16" s="42"/>
      <c r="W16" s="42"/>
      <c r="X16" s="42" t="s">
        <v>117</v>
      </c>
      <c r="Y16" s="42" t="s">
        <v>118</v>
      </c>
      <c r="Z16" s="43"/>
    </row>
    <row r="17" ht="130.5" customHeight="1" spans="2:235">
      <c r="B17" s="42" t="s">
        <v>119</v>
      </c>
      <c r="C17" s="43" t="s">
        <v>120</v>
      </c>
      <c r="D17" s="44" t="s">
        <v>121</v>
      </c>
      <c r="E17" s="42"/>
      <c r="F17" s="47" t="s">
        <v>122</v>
      </c>
      <c r="G17" s="42" t="s">
        <v>73</v>
      </c>
      <c r="H17" s="42" t="s">
        <v>33</v>
      </c>
      <c r="I17" s="42" t="s">
        <v>74</v>
      </c>
      <c r="J17" s="42" t="s">
        <v>75</v>
      </c>
      <c r="K17" s="42" t="s">
        <v>50</v>
      </c>
      <c r="L17" s="42" t="s">
        <v>51</v>
      </c>
      <c r="M17" s="42" t="s">
        <v>116</v>
      </c>
      <c r="N17" s="42"/>
      <c r="O17" s="42"/>
      <c r="P17" s="42"/>
      <c r="Q17" s="42"/>
      <c r="R17" s="42" t="s">
        <v>36</v>
      </c>
      <c r="S17" s="42" t="s">
        <v>32</v>
      </c>
      <c r="T17" s="42"/>
      <c r="U17" s="42"/>
      <c r="V17" s="42"/>
      <c r="W17" s="42"/>
      <c r="X17" s="42" t="s">
        <v>123</v>
      </c>
      <c r="Y17" s="42" t="s">
        <v>124</v>
      </c>
      <c r="Z17" s="43"/>
    </row>
    <row r="18" ht="130.5" customHeight="1" spans="2:235">
      <c r="B18" s="42" t="s">
        <v>125</v>
      </c>
      <c r="C18" s="43" t="s">
        <v>126</v>
      </c>
      <c r="D18" s="44" t="s">
        <v>127</v>
      </c>
      <c r="E18" s="42"/>
      <c r="F18" s="47" t="s">
        <v>128</v>
      </c>
      <c r="G18" s="42" t="s">
        <v>73</v>
      </c>
      <c r="H18" s="42" t="s">
        <v>33</v>
      </c>
      <c r="I18" s="42" t="s">
        <v>74</v>
      </c>
      <c r="J18" s="42" t="s">
        <v>75</v>
      </c>
      <c r="K18" s="42" t="s">
        <v>50</v>
      </c>
      <c r="L18" s="42" t="s">
        <v>51</v>
      </c>
      <c r="M18" s="42" t="s">
        <v>116</v>
      </c>
      <c r="N18" s="42"/>
      <c r="O18" s="42"/>
      <c r="P18" s="42"/>
      <c r="Q18" s="42"/>
      <c r="R18" s="42" t="s">
        <v>36</v>
      </c>
      <c r="S18" s="42" t="s">
        <v>32</v>
      </c>
      <c r="T18" s="42"/>
      <c r="U18" s="42"/>
      <c r="V18" s="42"/>
      <c r="W18" s="42"/>
      <c r="X18" s="42" t="s">
        <v>129</v>
      </c>
      <c r="Y18" s="42" t="s">
        <v>130</v>
      </c>
      <c r="Z18" s="43"/>
    </row>
    <row r="19" ht="130.5" customHeight="1" spans="2:235">
      <c r="B19" s="48" t="s">
        <v>131</v>
      </c>
      <c r="C19" s="49" t="s">
        <v>132</v>
      </c>
      <c r="D19" s="50" t="s">
        <v>133</v>
      </c>
      <c r="E19" s="48"/>
      <c r="F19" s="48" t="s">
        <v>33</v>
      </c>
      <c r="G19" s="48" t="s">
        <v>134</v>
      </c>
      <c r="H19" s="48" t="s">
        <v>33</v>
      </c>
      <c r="I19" s="48" t="s">
        <v>135</v>
      </c>
      <c r="J19" s="48" t="s">
        <v>35</v>
      </c>
      <c r="K19" s="48" t="s">
        <v>50</v>
      </c>
      <c r="L19" s="48" t="s">
        <v>51</v>
      </c>
      <c r="M19" s="48"/>
      <c r="N19" s="48"/>
      <c r="O19" s="48"/>
      <c r="P19" s="48"/>
      <c r="Q19" s="48"/>
      <c r="R19" s="48" t="s">
        <v>36</v>
      </c>
      <c r="S19" s="48"/>
      <c r="T19" s="48"/>
      <c r="U19" s="48"/>
      <c r="V19" s="48"/>
      <c r="W19" s="48"/>
      <c r="X19" s="48" t="s">
        <v>136</v>
      </c>
      <c r="Y19" s="48"/>
      <c r="Z19" s="49"/>
    </row>
    <row r="20" ht="130.5" customHeight="1" spans="2:235">
      <c r="B20" s="48" t="s">
        <v>137</v>
      </c>
      <c r="C20" s="49" t="s">
        <v>138</v>
      </c>
      <c r="D20" s="50" t="s">
        <v>139</v>
      </c>
      <c r="E20" s="48"/>
      <c r="F20" s="48" t="s">
        <v>32</v>
      </c>
      <c r="G20" s="48" t="s">
        <v>134</v>
      </c>
      <c r="H20" s="48" t="s">
        <v>33</v>
      </c>
      <c r="I20" s="48" t="s">
        <v>135</v>
      </c>
      <c r="J20" s="48" t="s">
        <v>35</v>
      </c>
      <c r="K20" s="48" t="s">
        <v>50</v>
      </c>
      <c r="L20" s="48" t="s">
        <v>51</v>
      </c>
      <c r="M20" s="48"/>
      <c r="N20" s="48"/>
      <c r="O20" s="48"/>
      <c r="P20" s="48"/>
      <c r="Q20" s="48"/>
      <c r="R20" s="48" t="s">
        <v>36</v>
      </c>
      <c r="S20" s="48"/>
      <c r="T20" s="48"/>
      <c r="U20" s="48"/>
      <c r="V20" s="48"/>
      <c r="W20" s="48"/>
      <c r="X20" s="48" t="s">
        <v>140</v>
      </c>
      <c r="Y20" s="48"/>
      <c r="Z20" s="49"/>
    </row>
    <row r="21" ht="130.5" customHeight="1" spans="2:235">
      <c r="B21" s="51" t="s">
        <v>141</v>
      </c>
      <c r="C21" s="52" t="s">
        <v>45</v>
      </c>
      <c r="D21" s="53" t="s">
        <v>46</v>
      </c>
      <c r="E21" s="51"/>
      <c r="F21" s="51" t="s">
        <v>142</v>
      </c>
      <c r="G21" s="51" t="s">
        <v>48</v>
      </c>
      <c r="H21" s="51" t="s">
        <v>33</v>
      </c>
      <c r="I21" s="51" t="s">
        <v>49</v>
      </c>
      <c r="J21" s="51" t="s">
        <v>35</v>
      </c>
      <c r="K21" s="51" t="s">
        <v>50</v>
      </c>
      <c r="L21" s="51" t="s">
        <v>51</v>
      </c>
      <c r="M21" s="51" t="s">
        <v>52</v>
      </c>
      <c r="N21" s="51"/>
      <c r="O21" s="51"/>
      <c r="P21" s="51"/>
      <c r="Q21" s="51"/>
      <c r="R21" s="51" t="s">
        <v>36</v>
      </c>
      <c r="S21" s="51"/>
      <c r="T21" s="51"/>
      <c r="U21" s="51"/>
      <c r="V21" s="51"/>
      <c r="W21" s="51"/>
      <c r="X21" s="51" t="s">
        <v>53</v>
      </c>
      <c r="Y21" s="51"/>
      <c r="Z21" s="52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  <c r="CC21" s="54"/>
      <c r="CD21" s="54"/>
      <c r="CE21" s="54"/>
      <c r="CF21" s="54"/>
      <c r="CG21" s="54"/>
      <c r="CH21" s="54"/>
      <c r="CI21" s="54"/>
      <c r="CJ21" s="54"/>
      <c r="CK21" s="54"/>
      <c r="CL21" s="54"/>
      <c r="CM21" s="54"/>
      <c r="CN21" s="54"/>
      <c r="CO21" s="54"/>
      <c r="CP21" s="54"/>
      <c r="CQ21" s="54"/>
      <c r="CR21" s="54"/>
      <c r="CS21" s="54"/>
      <c r="CT21" s="54"/>
      <c r="CU21" s="54"/>
      <c r="CV21" s="54"/>
      <c r="CW21" s="54"/>
      <c r="CX21" s="54"/>
      <c r="CY21" s="54"/>
      <c r="CZ21" s="54"/>
      <c r="DA21" s="54"/>
      <c r="DB21" s="54"/>
      <c r="DC21" s="54"/>
      <c r="DD21" s="54"/>
      <c r="DE21" s="54"/>
      <c r="DF21" s="54"/>
      <c r="DG21" s="54"/>
      <c r="DH21" s="54"/>
      <c r="DI21" s="54"/>
      <c r="DJ21" s="54"/>
      <c r="DK21" s="54"/>
      <c r="DL21" s="54"/>
      <c r="DM21" s="54"/>
      <c r="DN21" s="54"/>
      <c r="DO21" s="54"/>
      <c r="DP21" s="54"/>
      <c r="DQ21" s="54"/>
      <c r="DR21" s="54"/>
      <c r="DS21" s="54"/>
      <c r="DT21" s="54"/>
      <c r="DU21" s="54"/>
      <c r="DV21" s="54"/>
      <c r="DW21" s="54"/>
      <c r="DX21" s="54"/>
      <c r="DY21" s="54"/>
      <c r="DZ21" s="54"/>
      <c r="EA21" s="54"/>
      <c r="EB21" s="54"/>
      <c r="EC21" s="54"/>
      <c r="ED21" s="54"/>
      <c r="EE21" s="54"/>
      <c r="EF21" s="54"/>
      <c r="EG21" s="54"/>
      <c r="EH21" s="54"/>
      <c r="EI21" s="54"/>
      <c r="EJ21" s="54"/>
      <c r="EK21" s="54"/>
      <c r="EL21" s="54"/>
      <c r="EM21" s="54"/>
      <c r="EN21" s="54"/>
      <c r="EO21" s="54"/>
      <c r="EP21" s="54"/>
      <c r="EQ21" s="54"/>
      <c r="ER21" s="54"/>
      <c r="ES21" s="54"/>
      <c r="ET21" s="54"/>
      <c r="EU21" s="54"/>
      <c r="EV21" s="54"/>
      <c r="EW21" s="54"/>
      <c r="EX21" s="54"/>
      <c r="EY21" s="54"/>
      <c r="EZ21" s="54"/>
      <c r="FA21" s="54"/>
      <c r="FB21" s="54"/>
      <c r="FC21" s="54"/>
      <c r="FD21" s="54"/>
      <c r="FE21" s="54"/>
      <c r="FF21" s="54"/>
      <c r="FG21" s="54"/>
      <c r="FH21" s="54"/>
      <c r="FI21" s="54"/>
      <c r="FJ21" s="54"/>
      <c r="FK21" s="54"/>
      <c r="FL21" s="54"/>
      <c r="FM21" s="54"/>
      <c r="FN21" s="54"/>
      <c r="FO21" s="54"/>
      <c r="FP21" s="54"/>
      <c r="FQ21" s="54"/>
      <c r="FR21" s="54"/>
      <c r="FS21" s="54"/>
      <c r="FT21" s="54"/>
      <c r="FU21" s="54"/>
      <c r="FV21" s="54"/>
      <c r="FW21" s="54"/>
      <c r="FX21" s="54"/>
      <c r="FY21" s="54"/>
      <c r="FZ21" s="54"/>
      <c r="GA21" s="54"/>
      <c r="GB21" s="54"/>
      <c r="GC21" s="54"/>
      <c r="GD21" s="54"/>
      <c r="GE21" s="54"/>
      <c r="GF21" s="54"/>
      <c r="GG21" s="54"/>
      <c r="GH21" s="54"/>
      <c r="GI21" s="54"/>
      <c r="GJ21" s="54"/>
      <c r="GK21" s="54"/>
      <c r="GL21" s="54"/>
      <c r="GM21" s="54"/>
      <c r="GN21" s="54"/>
      <c r="GO21" s="54"/>
      <c r="GP21" s="54"/>
      <c r="GQ21" s="54"/>
      <c r="GR21" s="54"/>
      <c r="GS21" s="54"/>
      <c r="GT21" s="54"/>
      <c r="GU21" s="54"/>
      <c r="GV21" s="54"/>
      <c r="GW21" s="54"/>
      <c r="GX21" s="54"/>
      <c r="GY21" s="54"/>
      <c r="GZ21" s="54"/>
      <c r="HA21" s="54"/>
      <c r="HB21" s="54"/>
      <c r="HC21" s="54"/>
      <c r="HD21" s="54"/>
      <c r="HE21" s="54"/>
      <c r="HF21" s="54"/>
      <c r="HG21" s="54"/>
      <c r="HH21" s="54"/>
      <c r="HI21" s="54"/>
      <c r="HJ21" s="54"/>
      <c r="HK21" s="54"/>
      <c r="HL21" s="54"/>
      <c r="HM21" s="54"/>
      <c r="HN21" s="54"/>
      <c r="HO21" s="54"/>
      <c r="HP21" s="54"/>
      <c r="HQ21" s="54"/>
      <c r="HR21" s="54"/>
      <c r="HS21" s="54"/>
      <c r="HT21" s="54"/>
      <c r="HU21" s="54"/>
      <c r="HV21" s="54"/>
      <c r="HW21" s="54"/>
      <c r="HX21" s="54"/>
      <c r="HY21" s="54"/>
      <c r="HZ21" s="54"/>
      <c r="IA21" s="54"/>
    </row>
    <row r="22" ht="130.5" customHeight="1" spans="2:235">
      <c r="B22" s="51" t="s">
        <v>143</v>
      </c>
      <c r="C22" s="52" t="s">
        <v>55</v>
      </c>
      <c r="D22" s="53" t="s">
        <v>56</v>
      </c>
      <c r="E22" s="51"/>
      <c r="F22" s="55" t="s">
        <v>144</v>
      </c>
      <c r="G22" s="51" t="s">
        <v>48</v>
      </c>
      <c r="H22" s="51" t="s">
        <v>33</v>
      </c>
      <c r="I22" s="51" t="s">
        <v>58</v>
      </c>
      <c r="J22" s="51" t="s">
        <v>35</v>
      </c>
      <c r="K22" s="51" t="s">
        <v>50</v>
      </c>
      <c r="L22" s="51" t="s">
        <v>51</v>
      </c>
      <c r="M22" s="51" t="s">
        <v>59</v>
      </c>
      <c r="N22" s="51"/>
      <c r="O22" s="51"/>
      <c r="P22" s="51"/>
      <c r="Q22" s="51"/>
      <c r="R22" s="51" t="s">
        <v>36</v>
      </c>
      <c r="S22" s="51"/>
      <c r="T22" s="51"/>
      <c r="U22" s="51"/>
      <c r="V22" s="51"/>
      <c r="W22" s="51"/>
      <c r="X22" s="51" t="s">
        <v>60</v>
      </c>
      <c r="Y22" s="51"/>
      <c r="Z22" s="52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  <c r="CC22" s="54"/>
      <c r="CD22" s="54"/>
      <c r="CE22" s="54"/>
      <c r="CF22" s="54"/>
      <c r="CG22" s="54"/>
      <c r="CH22" s="54"/>
      <c r="CI22" s="54"/>
      <c r="CJ22" s="54"/>
      <c r="CK22" s="54"/>
      <c r="CL22" s="54"/>
      <c r="CM22" s="54"/>
      <c r="CN22" s="54"/>
      <c r="CO22" s="54"/>
      <c r="CP22" s="54"/>
      <c r="CQ22" s="54"/>
      <c r="CR22" s="54"/>
      <c r="CS22" s="54"/>
      <c r="CT22" s="54"/>
      <c r="CU22" s="54"/>
      <c r="CV22" s="54"/>
      <c r="CW22" s="54"/>
      <c r="CX22" s="54"/>
      <c r="CY22" s="54"/>
      <c r="CZ22" s="54"/>
      <c r="DA22" s="54"/>
      <c r="DB22" s="54"/>
      <c r="DC22" s="54"/>
      <c r="DD22" s="54"/>
      <c r="DE22" s="54"/>
      <c r="DF22" s="54"/>
      <c r="DG22" s="54"/>
      <c r="DH22" s="54"/>
      <c r="DI22" s="54"/>
      <c r="DJ22" s="54"/>
      <c r="DK22" s="54"/>
      <c r="DL22" s="54"/>
      <c r="DM22" s="54"/>
      <c r="DN22" s="54"/>
      <c r="DO22" s="54"/>
      <c r="DP22" s="54"/>
      <c r="DQ22" s="54"/>
      <c r="DR22" s="54"/>
      <c r="DS22" s="54"/>
      <c r="DT22" s="54"/>
      <c r="DU22" s="54"/>
      <c r="DV22" s="54"/>
      <c r="DW22" s="54"/>
      <c r="DX22" s="54"/>
      <c r="DY22" s="54"/>
      <c r="DZ22" s="54"/>
      <c r="EA22" s="54"/>
      <c r="EB22" s="54"/>
      <c r="EC22" s="54"/>
      <c r="ED22" s="54"/>
      <c r="EE22" s="54"/>
      <c r="EF22" s="54"/>
      <c r="EG22" s="54"/>
      <c r="EH22" s="54"/>
      <c r="EI22" s="54"/>
      <c r="EJ22" s="54"/>
      <c r="EK22" s="54"/>
      <c r="EL22" s="54"/>
      <c r="EM22" s="54"/>
      <c r="EN22" s="54"/>
      <c r="EO22" s="54"/>
      <c r="EP22" s="54"/>
      <c r="EQ22" s="54"/>
      <c r="ER22" s="54"/>
      <c r="ES22" s="54"/>
      <c r="ET22" s="54"/>
      <c r="EU22" s="54"/>
      <c r="EV22" s="54"/>
      <c r="EW22" s="54"/>
      <c r="EX22" s="54"/>
      <c r="EY22" s="54"/>
      <c r="EZ22" s="54"/>
      <c r="FA22" s="54"/>
      <c r="FB22" s="54"/>
      <c r="FC22" s="54"/>
      <c r="FD22" s="54"/>
      <c r="FE22" s="54"/>
      <c r="FF22" s="54"/>
      <c r="FG22" s="54"/>
      <c r="FH22" s="54"/>
      <c r="FI22" s="54"/>
      <c r="FJ22" s="54"/>
      <c r="FK22" s="54"/>
      <c r="FL22" s="54"/>
      <c r="FM22" s="54"/>
      <c r="FN22" s="54"/>
      <c r="FO22" s="54"/>
      <c r="FP22" s="54"/>
      <c r="FQ22" s="54"/>
      <c r="FR22" s="54"/>
      <c r="FS22" s="54"/>
      <c r="FT22" s="54"/>
      <c r="FU22" s="54"/>
      <c r="FV22" s="54"/>
      <c r="FW22" s="54"/>
      <c r="FX22" s="54"/>
      <c r="FY22" s="54"/>
      <c r="FZ22" s="54"/>
      <c r="GA22" s="54"/>
      <c r="GB22" s="54"/>
      <c r="GC22" s="54"/>
      <c r="GD22" s="54"/>
      <c r="GE22" s="54"/>
      <c r="GF22" s="54"/>
      <c r="GG22" s="54"/>
      <c r="GH22" s="54"/>
      <c r="GI22" s="54"/>
      <c r="GJ22" s="54"/>
      <c r="GK22" s="54"/>
      <c r="GL22" s="54"/>
      <c r="GM22" s="54"/>
      <c r="GN22" s="54"/>
      <c r="GO22" s="54"/>
      <c r="GP22" s="54"/>
      <c r="GQ22" s="54"/>
      <c r="GR22" s="54"/>
      <c r="GS22" s="54"/>
      <c r="GT22" s="54"/>
      <c r="GU22" s="54"/>
      <c r="GV22" s="54"/>
      <c r="GW22" s="54"/>
      <c r="GX22" s="54"/>
      <c r="GY22" s="54"/>
      <c r="GZ22" s="54"/>
      <c r="HA22" s="54"/>
      <c r="HB22" s="54"/>
      <c r="HC22" s="54"/>
      <c r="HD22" s="54"/>
      <c r="HE22" s="54"/>
      <c r="HF22" s="54"/>
      <c r="HG22" s="54"/>
      <c r="HH22" s="54"/>
      <c r="HI22" s="54"/>
      <c r="HJ22" s="54"/>
      <c r="HK22" s="54"/>
      <c r="HL22" s="54"/>
      <c r="HM22" s="54"/>
      <c r="HN22" s="54"/>
      <c r="HO22" s="54"/>
      <c r="HP22" s="54"/>
      <c r="HQ22" s="54"/>
      <c r="HR22" s="54"/>
      <c r="HS22" s="54"/>
      <c r="HT22" s="54"/>
      <c r="HU22" s="54"/>
      <c r="HV22" s="54"/>
      <c r="HW22" s="54"/>
      <c r="HX22" s="54"/>
      <c r="HY22" s="54"/>
      <c r="HZ22" s="54"/>
      <c r="IA22" s="54"/>
    </row>
    <row r="23" ht="130.5" customHeight="1" spans="2:235">
      <c r="B23" s="51" t="s">
        <v>145</v>
      </c>
      <c r="C23" s="37" t="s">
        <v>62</v>
      </c>
      <c r="D23" s="37" t="s">
        <v>63</v>
      </c>
      <c r="E23" s="37"/>
      <c r="F23" s="37" t="s">
        <v>64</v>
      </c>
      <c r="G23" s="37" t="s">
        <v>65</v>
      </c>
      <c r="H23" s="37" t="s">
        <v>33</v>
      </c>
      <c r="I23" s="37" t="s">
        <v>66</v>
      </c>
      <c r="J23" s="37" t="s">
        <v>35</v>
      </c>
      <c r="K23" s="37" t="s">
        <v>66</v>
      </c>
      <c r="L23" s="37"/>
      <c r="M23" s="37" t="s">
        <v>67</v>
      </c>
      <c r="N23" s="37"/>
      <c r="O23" s="37"/>
      <c r="P23" s="37"/>
      <c r="Q23" s="37"/>
      <c r="R23" s="37" t="s">
        <v>36</v>
      </c>
      <c r="S23" s="37"/>
      <c r="T23" s="37"/>
      <c r="U23" s="37"/>
      <c r="V23" s="37"/>
      <c r="W23" s="37"/>
      <c r="X23" s="37" t="s">
        <v>68</v>
      </c>
      <c r="Y23" s="51"/>
      <c r="Z23" s="37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4"/>
      <c r="CA23" s="54"/>
      <c r="CB23" s="54"/>
      <c r="CC23" s="54"/>
      <c r="CD23" s="54"/>
      <c r="CE23" s="54"/>
      <c r="CF23" s="54"/>
      <c r="CG23" s="54"/>
      <c r="CH23" s="54"/>
      <c r="CI23" s="54"/>
      <c r="CJ23" s="54"/>
      <c r="CK23" s="54"/>
      <c r="CL23" s="54"/>
      <c r="CM23" s="54"/>
      <c r="CN23" s="54"/>
      <c r="CO23" s="54"/>
      <c r="CP23" s="54"/>
      <c r="CQ23" s="54"/>
      <c r="CR23" s="54"/>
      <c r="CS23" s="54"/>
      <c r="CT23" s="54"/>
      <c r="CU23" s="54"/>
      <c r="CV23" s="54"/>
      <c r="CW23" s="54"/>
      <c r="CX23" s="54"/>
      <c r="CY23" s="54"/>
      <c r="CZ23" s="54"/>
      <c r="DA23" s="54"/>
      <c r="DB23" s="54"/>
      <c r="DC23" s="54"/>
      <c r="DD23" s="54"/>
      <c r="DE23" s="54"/>
      <c r="DF23" s="54"/>
      <c r="DG23" s="54"/>
      <c r="DH23" s="54"/>
      <c r="DI23" s="54"/>
      <c r="DJ23" s="54"/>
      <c r="DK23" s="54"/>
      <c r="DL23" s="54"/>
      <c r="DM23" s="54"/>
      <c r="DN23" s="54"/>
      <c r="DO23" s="54"/>
      <c r="DP23" s="54"/>
      <c r="DQ23" s="54"/>
      <c r="DR23" s="54"/>
      <c r="DS23" s="54"/>
      <c r="DT23" s="54"/>
      <c r="DU23" s="54"/>
      <c r="DV23" s="54"/>
      <c r="DW23" s="54"/>
      <c r="DX23" s="54"/>
      <c r="DY23" s="54"/>
      <c r="DZ23" s="54"/>
      <c r="EA23" s="54"/>
      <c r="EB23" s="54"/>
      <c r="EC23" s="54"/>
      <c r="ED23" s="54"/>
      <c r="EE23" s="54"/>
      <c r="EF23" s="54"/>
      <c r="EG23" s="54"/>
      <c r="EH23" s="54"/>
      <c r="EI23" s="54"/>
      <c r="EJ23" s="54"/>
      <c r="EK23" s="54"/>
      <c r="EL23" s="54"/>
      <c r="EM23" s="54"/>
      <c r="EN23" s="54"/>
      <c r="EO23" s="54"/>
      <c r="EP23" s="54"/>
      <c r="EQ23" s="54"/>
      <c r="ER23" s="54"/>
      <c r="ES23" s="54"/>
      <c r="ET23" s="54"/>
      <c r="EU23" s="54"/>
      <c r="EV23" s="54"/>
      <c r="EW23" s="54"/>
      <c r="EX23" s="54"/>
      <c r="EY23" s="54"/>
      <c r="EZ23" s="54"/>
      <c r="FA23" s="54"/>
      <c r="FB23" s="54"/>
      <c r="FC23" s="54"/>
      <c r="FD23" s="54"/>
      <c r="FE23" s="54"/>
      <c r="FF23" s="54"/>
      <c r="FG23" s="54"/>
      <c r="FH23" s="54"/>
      <c r="FI23" s="54"/>
      <c r="FJ23" s="54"/>
      <c r="FK23" s="54"/>
      <c r="FL23" s="54"/>
      <c r="FM23" s="54"/>
      <c r="FN23" s="54"/>
      <c r="FO23" s="54"/>
      <c r="FP23" s="54"/>
      <c r="FQ23" s="54"/>
      <c r="FR23" s="54"/>
      <c r="FS23" s="54"/>
      <c r="FT23" s="54"/>
      <c r="FU23" s="54"/>
      <c r="FV23" s="54"/>
      <c r="FW23" s="54"/>
      <c r="FX23" s="54"/>
      <c r="FY23" s="54"/>
      <c r="FZ23" s="54"/>
      <c r="GA23" s="54"/>
      <c r="GB23" s="54"/>
      <c r="GC23" s="54"/>
      <c r="GD23" s="54"/>
      <c r="GE23" s="54"/>
      <c r="GF23" s="54"/>
      <c r="GG23" s="54"/>
      <c r="GH23" s="54"/>
      <c r="GI23" s="54"/>
      <c r="GJ23" s="54"/>
      <c r="GK23" s="54"/>
      <c r="GL23" s="54"/>
      <c r="GM23" s="54"/>
      <c r="GN23" s="54"/>
      <c r="GO23" s="54"/>
      <c r="GP23" s="54"/>
      <c r="GQ23" s="54"/>
      <c r="GR23" s="54"/>
      <c r="GS23" s="54"/>
      <c r="GT23" s="54"/>
      <c r="GU23" s="54"/>
      <c r="GV23" s="54"/>
      <c r="GW23" s="54"/>
      <c r="GX23" s="54"/>
      <c r="GY23" s="54"/>
      <c r="GZ23" s="54"/>
      <c r="HA23" s="54"/>
      <c r="HB23" s="54"/>
      <c r="HC23" s="54"/>
      <c r="HD23" s="54"/>
      <c r="HE23" s="54"/>
      <c r="HF23" s="54"/>
      <c r="HG23" s="54"/>
      <c r="HH23" s="54"/>
      <c r="HI23" s="54"/>
      <c r="HJ23" s="54"/>
      <c r="HK23" s="54"/>
      <c r="HL23" s="54"/>
      <c r="HM23" s="54"/>
      <c r="HN23" s="54"/>
      <c r="HO23" s="54"/>
      <c r="HP23" s="54"/>
      <c r="HQ23" s="54"/>
      <c r="HR23" s="54"/>
      <c r="HS23" s="54"/>
      <c r="HT23" s="54"/>
      <c r="HU23" s="54"/>
      <c r="HV23" s="54"/>
      <c r="HW23" s="54"/>
      <c r="HX23" s="54"/>
      <c r="HY23" s="54"/>
      <c r="HZ23" s="54"/>
      <c r="IA23" s="54"/>
    </row>
    <row r="24" ht="130.5" customHeight="1" spans="2:235">
      <c r="B24" s="51" t="s">
        <v>146</v>
      </c>
      <c r="C24" s="56" t="s">
        <v>70</v>
      </c>
      <c r="D24" s="56" t="s">
        <v>71</v>
      </c>
      <c r="E24" s="56"/>
      <c r="F24" s="57" t="s">
        <v>147</v>
      </c>
      <c r="G24" s="56" t="s">
        <v>73</v>
      </c>
      <c r="H24" s="56" t="s">
        <v>33</v>
      </c>
      <c r="I24" s="56" t="s">
        <v>74</v>
      </c>
      <c r="J24" s="56" t="s">
        <v>75</v>
      </c>
      <c r="K24" s="56" t="s">
        <v>50</v>
      </c>
      <c r="L24" s="56" t="s">
        <v>51</v>
      </c>
      <c r="M24" s="56" t="s">
        <v>76</v>
      </c>
      <c r="N24" s="56"/>
      <c r="O24" s="56"/>
      <c r="P24" s="56"/>
      <c r="Q24" s="56"/>
      <c r="R24" s="56" t="s">
        <v>36</v>
      </c>
      <c r="S24" s="56" t="s">
        <v>33</v>
      </c>
      <c r="T24" s="56"/>
      <c r="U24" s="56"/>
      <c r="V24" s="56"/>
      <c r="W24" s="56"/>
      <c r="X24" s="56" t="s">
        <v>77</v>
      </c>
      <c r="Y24" s="56" t="s">
        <v>118</v>
      </c>
      <c r="Z24" s="56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  <c r="CC24" s="54"/>
      <c r="CD24" s="54"/>
      <c r="CE24" s="54"/>
      <c r="CF24" s="54"/>
      <c r="CG24" s="54"/>
      <c r="CH24" s="54"/>
      <c r="CI24" s="54"/>
      <c r="CJ24" s="54"/>
      <c r="CK24" s="54"/>
      <c r="CL24" s="54"/>
      <c r="CM24" s="54"/>
      <c r="CN24" s="54"/>
      <c r="CO24" s="54"/>
      <c r="CP24" s="54"/>
      <c r="CQ24" s="54"/>
      <c r="CR24" s="54"/>
      <c r="CS24" s="54"/>
      <c r="CT24" s="54"/>
      <c r="CU24" s="54"/>
      <c r="CV24" s="54"/>
      <c r="CW24" s="54"/>
      <c r="CX24" s="54"/>
      <c r="CY24" s="54"/>
      <c r="CZ24" s="54"/>
      <c r="DA24" s="54"/>
      <c r="DB24" s="54"/>
      <c r="DC24" s="54"/>
      <c r="DD24" s="54"/>
      <c r="DE24" s="54"/>
      <c r="DF24" s="54"/>
      <c r="DG24" s="54"/>
      <c r="DH24" s="54"/>
      <c r="DI24" s="54"/>
      <c r="DJ24" s="54"/>
      <c r="DK24" s="54"/>
      <c r="DL24" s="54"/>
      <c r="DM24" s="54"/>
      <c r="DN24" s="54"/>
      <c r="DO24" s="54"/>
      <c r="DP24" s="54"/>
      <c r="DQ24" s="54"/>
      <c r="DR24" s="54"/>
      <c r="DS24" s="54"/>
      <c r="DT24" s="54"/>
      <c r="DU24" s="54"/>
      <c r="DV24" s="54"/>
      <c r="DW24" s="54"/>
      <c r="DX24" s="54"/>
      <c r="DY24" s="54"/>
      <c r="DZ24" s="54"/>
      <c r="EA24" s="54"/>
      <c r="EB24" s="54"/>
      <c r="EC24" s="54"/>
      <c r="ED24" s="54"/>
      <c r="EE24" s="54"/>
      <c r="EF24" s="54"/>
      <c r="EG24" s="54"/>
      <c r="EH24" s="54"/>
      <c r="EI24" s="54"/>
      <c r="EJ24" s="54"/>
      <c r="EK24" s="54"/>
      <c r="EL24" s="54"/>
      <c r="EM24" s="54"/>
      <c r="EN24" s="54"/>
      <c r="EO24" s="54"/>
      <c r="EP24" s="54"/>
      <c r="EQ24" s="54"/>
      <c r="ER24" s="54"/>
      <c r="ES24" s="54"/>
      <c r="ET24" s="54"/>
      <c r="EU24" s="54"/>
      <c r="EV24" s="54"/>
      <c r="EW24" s="54"/>
      <c r="EX24" s="54"/>
      <c r="EY24" s="54"/>
      <c r="EZ24" s="54"/>
      <c r="FA24" s="54"/>
      <c r="FB24" s="54"/>
      <c r="FC24" s="54"/>
      <c r="FD24" s="54"/>
      <c r="FE24" s="54"/>
      <c r="FF24" s="54"/>
      <c r="FG24" s="54"/>
      <c r="FH24" s="54"/>
      <c r="FI24" s="54"/>
      <c r="FJ24" s="54"/>
      <c r="FK24" s="54"/>
      <c r="FL24" s="54"/>
      <c r="FM24" s="54"/>
      <c r="FN24" s="54"/>
      <c r="FO24" s="54"/>
      <c r="FP24" s="54"/>
      <c r="FQ24" s="54"/>
      <c r="FR24" s="54"/>
      <c r="FS24" s="54"/>
      <c r="FT24" s="54"/>
      <c r="FU24" s="54"/>
      <c r="FV24" s="54"/>
      <c r="FW24" s="54"/>
      <c r="FX24" s="54"/>
      <c r="FY24" s="54"/>
      <c r="FZ24" s="54"/>
      <c r="GA24" s="54"/>
      <c r="GB24" s="54"/>
      <c r="GC24" s="54"/>
      <c r="GD24" s="54"/>
      <c r="GE24" s="54"/>
      <c r="GF24" s="54"/>
      <c r="GG24" s="54"/>
      <c r="GH24" s="54"/>
      <c r="GI24" s="54"/>
      <c r="GJ24" s="54"/>
      <c r="GK24" s="54"/>
      <c r="GL24" s="54"/>
      <c r="GM24" s="54"/>
      <c r="GN24" s="54"/>
      <c r="GO24" s="54"/>
      <c r="GP24" s="54"/>
      <c r="GQ24" s="54"/>
      <c r="GR24" s="54"/>
      <c r="GS24" s="54"/>
      <c r="GT24" s="54"/>
      <c r="GU24" s="54"/>
      <c r="GV24" s="54"/>
      <c r="GW24" s="54"/>
      <c r="GX24" s="54"/>
      <c r="GY24" s="54"/>
      <c r="GZ24" s="54"/>
      <c r="HA24" s="54"/>
      <c r="HB24" s="54"/>
      <c r="HC24" s="54"/>
      <c r="HD24" s="54"/>
      <c r="HE24" s="54"/>
      <c r="HF24" s="54"/>
      <c r="HG24" s="54"/>
      <c r="HH24" s="54"/>
      <c r="HI24" s="54"/>
      <c r="HJ24" s="54"/>
      <c r="HK24" s="54"/>
      <c r="HL24" s="54"/>
      <c r="HM24" s="54"/>
      <c r="HN24" s="54"/>
      <c r="HO24" s="54"/>
      <c r="HP24" s="54"/>
      <c r="HQ24" s="54"/>
      <c r="HR24" s="54"/>
      <c r="HS24" s="54"/>
      <c r="HT24" s="54"/>
      <c r="HU24" s="54"/>
      <c r="HV24" s="54"/>
      <c r="HW24" s="54"/>
      <c r="HX24" s="54"/>
      <c r="HY24" s="54"/>
      <c r="HZ24" s="54"/>
      <c r="IA24" s="54"/>
    </row>
    <row r="25" ht="130.5" customHeight="1" spans="2:235">
      <c r="B25" s="51" t="s">
        <v>148</v>
      </c>
      <c r="C25" s="56" t="s">
        <v>80</v>
      </c>
      <c r="D25" s="56" t="s">
        <v>81</v>
      </c>
      <c r="E25" s="56"/>
      <c r="F25" s="57" t="s">
        <v>82</v>
      </c>
      <c r="G25" s="56" t="s">
        <v>73</v>
      </c>
      <c r="H25" s="56" t="s">
        <v>33</v>
      </c>
      <c r="I25" s="56" t="s">
        <v>74</v>
      </c>
      <c r="J25" s="56" t="s">
        <v>75</v>
      </c>
      <c r="K25" s="56" t="s">
        <v>50</v>
      </c>
      <c r="L25" s="56" t="s">
        <v>51</v>
      </c>
      <c r="M25" s="56" t="s">
        <v>83</v>
      </c>
      <c r="N25" s="56"/>
      <c r="O25" s="56"/>
      <c r="P25" s="56"/>
      <c r="Q25" s="56"/>
      <c r="R25" s="56" t="s">
        <v>36</v>
      </c>
      <c r="S25" s="56" t="s">
        <v>32</v>
      </c>
      <c r="T25" s="56"/>
      <c r="U25" s="56"/>
      <c r="V25" s="56"/>
      <c r="W25" s="56"/>
      <c r="X25" s="56" t="s">
        <v>84</v>
      </c>
      <c r="Y25" s="56" t="s">
        <v>149</v>
      </c>
      <c r="Z25" s="56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54"/>
      <c r="BR25" s="54"/>
      <c r="BS25" s="54"/>
      <c r="BT25" s="54"/>
      <c r="BU25" s="54"/>
      <c r="BV25" s="54"/>
      <c r="BW25" s="54"/>
      <c r="BX25" s="54"/>
      <c r="BY25" s="54"/>
      <c r="BZ25" s="54"/>
      <c r="CA25" s="54"/>
      <c r="CB25" s="54"/>
      <c r="CC25" s="54"/>
      <c r="CD25" s="54"/>
      <c r="CE25" s="54"/>
      <c r="CF25" s="54"/>
      <c r="CG25" s="54"/>
      <c r="CH25" s="54"/>
      <c r="CI25" s="54"/>
      <c r="CJ25" s="54"/>
      <c r="CK25" s="54"/>
      <c r="CL25" s="54"/>
      <c r="CM25" s="54"/>
      <c r="CN25" s="54"/>
      <c r="CO25" s="54"/>
      <c r="CP25" s="54"/>
      <c r="CQ25" s="54"/>
      <c r="CR25" s="54"/>
      <c r="CS25" s="54"/>
      <c r="CT25" s="54"/>
      <c r="CU25" s="54"/>
      <c r="CV25" s="54"/>
      <c r="CW25" s="54"/>
      <c r="CX25" s="54"/>
      <c r="CY25" s="54"/>
      <c r="CZ25" s="54"/>
      <c r="DA25" s="54"/>
      <c r="DB25" s="54"/>
      <c r="DC25" s="54"/>
      <c r="DD25" s="54"/>
      <c r="DE25" s="54"/>
      <c r="DF25" s="54"/>
      <c r="DG25" s="54"/>
      <c r="DH25" s="54"/>
      <c r="DI25" s="54"/>
      <c r="DJ25" s="54"/>
      <c r="DK25" s="54"/>
      <c r="DL25" s="54"/>
      <c r="DM25" s="54"/>
      <c r="DN25" s="54"/>
      <c r="DO25" s="54"/>
      <c r="DP25" s="54"/>
      <c r="DQ25" s="54"/>
      <c r="DR25" s="54"/>
      <c r="DS25" s="54"/>
      <c r="DT25" s="54"/>
      <c r="DU25" s="54"/>
      <c r="DV25" s="54"/>
      <c r="DW25" s="54"/>
      <c r="DX25" s="54"/>
      <c r="DY25" s="54"/>
      <c r="DZ25" s="54"/>
      <c r="EA25" s="54"/>
      <c r="EB25" s="54"/>
      <c r="EC25" s="54"/>
      <c r="ED25" s="54"/>
      <c r="EE25" s="54"/>
      <c r="EF25" s="54"/>
      <c r="EG25" s="54"/>
      <c r="EH25" s="54"/>
      <c r="EI25" s="54"/>
      <c r="EJ25" s="54"/>
      <c r="EK25" s="54"/>
      <c r="EL25" s="54"/>
      <c r="EM25" s="54"/>
      <c r="EN25" s="54"/>
      <c r="EO25" s="54"/>
      <c r="EP25" s="54"/>
      <c r="EQ25" s="54"/>
      <c r="ER25" s="54"/>
      <c r="ES25" s="54"/>
      <c r="ET25" s="54"/>
      <c r="EU25" s="54"/>
      <c r="EV25" s="54"/>
      <c r="EW25" s="54"/>
      <c r="EX25" s="54"/>
      <c r="EY25" s="54"/>
      <c r="EZ25" s="54"/>
      <c r="FA25" s="54"/>
      <c r="FB25" s="54"/>
      <c r="FC25" s="54"/>
      <c r="FD25" s="54"/>
      <c r="FE25" s="54"/>
      <c r="FF25" s="54"/>
      <c r="FG25" s="54"/>
      <c r="FH25" s="54"/>
      <c r="FI25" s="54"/>
      <c r="FJ25" s="54"/>
      <c r="FK25" s="54"/>
      <c r="FL25" s="54"/>
      <c r="FM25" s="54"/>
      <c r="FN25" s="54"/>
      <c r="FO25" s="54"/>
      <c r="FP25" s="54"/>
      <c r="FQ25" s="54"/>
      <c r="FR25" s="54"/>
      <c r="FS25" s="54"/>
      <c r="FT25" s="54"/>
      <c r="FU25" s="54"/>
      <c r="FV25" s="54"/>
      <c r="FW25" s="54"/>
      <c r="FX25" s="54"/>
      <c r="FY25" s="54"/>
      <c r="FZ25" s="54"/>
      <c r="GA25" s="54"/>
      <c r="GB25" s="54"/>
      <c r="GC25" s="54"/>
      <c r="GD25" s="54"/>
      <c r="GE25" s="54"/>
      <c r="GF25" s="54"/>
      <c r="GG25" s="54"/>
      <c r="GH25" s="54"/>
      <c r="GI25" s="54"/>
      <c r="GJ25" s="54"/>
      <c r="GK25" s="54"/>
      <c r="GL25" s="54"/>
      <c r="GM25" s="54"/>
      <c r="GN25" s="54"/>
      <c r="GO25" s="54"/>
      <c r="GP25" s="54"/>
      <c r="GQ25" s="54"/>
      <c r="GR25" s="54"/>
      <c r="GS25" s="54"/>
      <c r="GT25" s="54"/>
      <c r="GU25" s="54"/>
      <c r="GV25" s="54"/>
      <c r="GW25" s="54"/>
      <c r="GX25" s="54"/>
      <c r="GY25" s="54"/>
      <c r="GZ25" s="54"/>
      <c r="HA25" s="54"/>
      <c r="HB25" s="54"/>
      <c r="HC25" s="54"/>
      <c r="HD25" s="54"/>
      <c r="HE25" s="54"/>
      <c r="HF25" s="54"/>
      <c r="HG25" s="54"/>
      <c r="HH25" s="54"/>
      <c r="HI25" s="54"/>
      <c r="HJ25" s="54"/>
      <c r="HK25" s="54"/>
      <c r="HL25" s="54"/>
      <c r="HM25" s="54"/>
      <c r="HN25" s="54"/>
      <c r="HO25" s="54"/>
      <c r="HP25" s="54"/>
      <c r="HQ25" s="54"/>
      <c r="HR25" s="54"/>
      <c r="HS25" s="54"/>
      <c r="HT25" s="54"/>
      <c r="HU25" s="54"/>
      <c r="HV25" s="54"/>
      <c r="HW25" s="54"/>
      <c r="HX25" s="54"/>
      <c r="HY25" s="54"/>
      <c r="HZ25" s="54"/>
      <c r="IA25" s="54"/>
    </row>
    <row r="26" ht="130.5" customHeight="1" spans="2:235">
      <c r="B26" s="51" t="s">
        <v>150</v>
      </c>
      <c r="C26" s="56" t="s">
        <v>87</v>
      </c>
      <c r="D26" s="56" t="s">
        <v>88</v>
      </c>
      <c r="E26" s="56"/>
      <c r="F26" s="57" t="s">
        <v>151</v>
      </c>
      <c r="G26" s="56" t="s">
        <v>73</v>
      </c>
      <c r="H26" s="56" t="s">
        <v>33</v>
      </c>
      <c r="I26" s="56" t="s">
        <v>74</v>
      </c>
      <c r="J26" s="56" t="s">
        <v>75</v>
      </c>
      <c r="K26" s="56" t="s">
        <v>50</v>
      </c>
      <c r="L26" s="56" t="s">
        <v>51</v>
      </c>
      <c r="M26" s="56" t="s">
        <v>76</v>
      </c>
      <c r="N26" s="56"/>
      <c r="O26" s="56"/>
      <c r="P26" s="56"/>
      <c r="Q26" s="56"/>
      <c r="R26" s="56" t="s">
        <v>36</v>
      </c>
      <c r="S26" s="56" t="s">
        <v>48</v>
      </c>
      <c r="T26" s="56"/>
      <c r="U26" s="56"/>
      <c r="V26" s="56"/>
      <c r="W26" s="56"/>
      <c r="X26" s="56" t="s">
        <v>90</v>
      </c>
      <c r="Y26" s="56" t="s">
        <v>152</v>
      </c>
      <c r="Z26" s="56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  <c r="BR26" s="54"/>
      <c r="BS26" s="54"/>
      <c r="BT26" s="54"/>
      <c r="BU26" s="54"/>
      <c r="BV26" s="54"/>
      <c r="BW26" s="54"/>
      <c r="BX26" s="54"/>
      <c r="BY26" s="54"/>
      <c r="BZ26" s="54"/>
      <c r="CA26" s="54"/>
      <c r="CB26" s="54"/>
      <c r="CC26" s="54"/>
      <c r="CD26" s="54"/>
      <c r="CE26" s="54"/>
      <c r="CF26" s="54"/>
      <c r="CG26" s="54"/>
      <c r="CH26" s="54"/>
      <c r="CI26" s="54"/>
      <c r="CJ26" s="54"/>
      <c r="CK26" s="54"/>
      <c r="CL26" s="54"/>
      <c r="CM26" s="54"/>
      <c r="CN26" s="54"/>
      <c r="CO26" s="54"/>
      <c r="CP26" s="54"/>
      <c r="CQ26" s="54"/>
      <c r="CR26" s="54"/>
      <c r="CS26" s="54"/>
      <c r="CT26" s="54"/>
      <c r="CU26" s="54"/>
      <c r="CV26" s="54"/>
      <c r="CW26" s="54"/>
      <c r="CX26" s="54"/>
      <c r="CY26" s="54"/>
      <c r="CZ26" s="54"/>
      <c r="DA26" s="54"/>
      <c r="DB26" s="54"/>
      <c r="DC26" s="54"/>
      <c r="DD26" s="54"/>
      <c r="DE26" s="54"/>
      <c r="DF26" s="54"/>
      <c r="DG26" s="54"/>
      <c r="DH26" s="54"/>
      <c r="DI26" s="54"/>
      <c r="DJ26" s="54"/>
      <c r="DK26" s="54"/>
      <c r="DL26" s="54"/>
      <c r="DM26" s="54"/>
      <c r="DN26" s="54"/>
      <c r="DO26" s="54"/>
      <c r="DP26" s="54"/>
      <c r="DQ26" s="54"/>
      <c r="DR26" s="54"/>
      <c r="DS26" s="54"/>
      <c r="DT26" s="54"/>
      <c r="DU26" s="54"/>
      <c r="DV26" s="54"/>
      <c r="DW26" s="54"/>
      <c r="DX26" s="54"/>
      <c r="DY26" s="54"/>
      <c r="DZ26" s="54"/>
      <c r="EA26" s="54"/>
      <c r="EB26" s="54"/>
      <c r="EC26" s="54"/>
      <c r="ED26" s="54"/>
      <c r="EE26" s="54"/>
      <c r="EF26" s="54"/>
      <c r="EG26" s="54"/>
      <c r="EH26" s="54"/>
      <c r="EI26" s="54"/>
      <c r="EJ26" s="54"/>
      <c r="EK26" s="54"/>
      <c r="EL26" s="54"/>
      <c r="EM26" s="54"/>
      <c r="EN26" s="54"/>
      <c r="EO26" s="54"/>
      <c r="EP26" s="54"/>
      <c r="EQ26" s="54"/>
      <c r="ER26" s="54"/>
      <c r="ES26" s="54"/>
      <c r="ET26" s="54"/>
      <c r="EU26" s="54"/>
      <c r="EV26" s="54"/>
      <c r="EW26" s="54"/>
      <c r="EX26" s="54"/>
      <c r="EY26" s="54"/>
      <c r="EZ26" s="54"/>
      <c r="FA26" s="54"/>
      <c r="FB26" s="54"/>
      <c r="FC26" s="54"/>
      <c r="FD26" s="54"/>
      <c r="FE26" s="54"/>
      <c r="FF26" s="54"/>
      <c r="FG26" s="54"/>
      <c r="FH26" s="54"/>
      <c r="FI26" s="54"/>
      <c r="FJ26" s="54"/>
      <c r="FK26" s="54"/>
      <c r="FL26" s="54"/>
      <c r="FM26" s="54"/>
      <c r="FN26" s="54"/>
      <c r="FO26" s="54"/>
      <c r="FP26" s="54"/>
      <c r="FQ26" s="54"/>
      <c r="FR26" s="54"/>
      <c r="FS26" s="54"/>
      <c r="FT26" s="54"/>
      <c r="FU26" s="54"/>
      <c r="FV26" s="54"/>
      <c r="FW26" s="54"/>
      <c r="FX26" s="54"/>
      <c r="FY26" s="54"/>
      <c r="FZ26" s="54"/>
      <c r="GA26" s="54"/>
      <c r="GB26" s="54"/>
      <c r="GC26" s="54"/>
      <c r="GD26" s="54"/>
      <c r="GE26" s="54"/>
      <c r="GF26" s="54"/>
      <c r="GG26" s="54"/>
      <c r="GH26" s="54"/>
      <c r="GI26" s="54"/>
      <c r="GJ26" s="54"/>
      <c r="GK26" s="54"/>
      <c r="GL26" s="54"/>
      <c r="GM26" s="54"/>
      <c r="GN26" s="54"/>
      <c r="GO26" s="54"/>
      <c r="GP26" s="54"/>
      <c r="GQ26" s="54"/>
      <c r="GR26" s="54"/>
      <c r="GS26" s="54"/>
      <c r="GT26" s="54"/>
      <c r="GU26" s="54"/>
      <c r="GV26" s="54"/>
      <c r="GW26" s="54"/>
      <c r="GX26" s="54"/>
      <c r="GY26" s="54"/>
      <c r="GZ26" s="54"/>
      <c r="HA26" s="54"/>
      <c r="HB26" s="54"/>
      <c r="HC26" s="54"/>
      <c r="HD26" s="54"/>
      <c r="HE26" s="54"/>
      <c r="HF26" s="54"/>
      <c r="HG26" s="54"/>
      <c r="HH26" s="54"/>
      <c r="HI26" s="54"/>
      <c r="HJ26" s="54"/>
      <c r="HK26" s="54"/>
      <c r="HL26" s="54"/>
      <c r="HM26" s="54"/>
      <c r="HN26" s="54"/>
      <c r="HO26" s="54"/>
      <c r="HP26" s="54"/>
      <c r="HQ26" s="54"/>
      <c r="HR26" s="54"/>
      <c r="HS26" s="54"/>
      <c r="HT26" s="54"/>
      <c r="HU26" s="54"/>
      <c r="HV26" s="54"/>
      <c r="HW26" s="54"/>
      <c r="HX26" s="54"/>
      <c r="HY26" s="54"/>
      <c r="HZ26" s="54"/>
      <c r="IA26" s="54"/>
    </row>
    <row r="27" ht="130.5" customHeight="1" spans="2:235">
      <c r="B27" s="51" t="s">
        <v>153</v>
      </c>
      <c r="C27" s="58" t="s">
        <v>154</v>
      </c>
      <c r="D27" s="59" t="s">
        <v>155</v>
      </c>
      <c r="E27" s="56"/>
      <c r="F27" s="57" t="s">
        <v>156</v>
      </c>
      <c r="G27" s="56" t="s">
        <v>73</v>
      </c>
      <c r="H27" s="56" t="s">
        <v>33</v>
      </c>
      <c r="I27" s="56" t="s">
        <v>74</v>
      </c>
      <c r="J27" s="56" t="s">
        <v>75</v>
      </c>
      <c r="K27" s="56" t="s">
        <v>50</v>
      </c>
      <c r="L27" s="56" t="s">
        <v>51</v>
      </c>
      <c r="M27" s="56" t="s">
        <v>76</v>
      </c>
      <c r="N27" s="56"/>
      <c r="O27" s="56"/>
      <c r="P27" s="56"/>
      <c r="Q27" s="56"/>
      <c r="R27" s="56" t="s">
        <v>36</v>
      </c>
      <c r="S27" s="56" t="s">
        <v>65</v>
      </c>
      <c r="T27" s="56"/>
      <c r="U27" s="56"/>
      <c r="V27" s="56"/>
      <c r="W27" s="56"/>
      <c r="X27" s="56" t="s">
        <v>90</v>
      </c>
      <c r="Y27" s="56" t="s">
        <v>157</v>
      </c>
      <c r="Z27" s="58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4"/>
      <c r="CH27" s="54"/>
      <c r="CI27" s="54"/>
      <c r="CJ27" s="54"/>
      <c r="CK27" s="54"/>
      <c r="CL27" s="54"/>
      <c r="CM27" s="54"/>
      <c r="CN27" s="54"/>
      <c r="CO27" s="54"/>
      <c r="CP27" s="54"/>
      <c r="CQ27" s="54"/>
      <c r="CR27" s="54"/>
      <c r="CS27" s="54"/>
      <c r="CT27" s="54"/>
      <c r="CU27" s="54"/>
      <c r="CV27" s="54"/>
      <c r="CW27" s="54"/>
      <c r="CX27" s="54"/>
      <c r="CY27" s="54"/>
      <c r="CZ27" s="54"/>
      <c r="DA27" s="54"/>
      <c r="DB27" s="54"/>
      <c r="DC27" s="54"/>
      <c r="DD27" s="54"/>
      <c r="DE27" s="54"/>
      <c r="DF27" s="54"/>
      <c r="DG27" s="54"/>
      <c r="DH27" s="54"/>
      <c r="DI27" s="54"/>
      <c r="DJ27" s="54"/>
      <c r="DK27" s="54"/>
      <c r="DL27" s="54"/>
      <c r="DM27" s="54"/>
      <c r="DN27" s="54"/>
      <c r="DO27" s="54"/>
      <c r="DP27" s="54"/>
      <c r="DQ27" s="54"/>
      <c r="DR27" s="54"/>
      <c r="DS27" s="54"/>
      <c r="DT27" s="54"/>
      <c r="DU27" s="54"/>
      <c r="DV27" s="54"/>
      <c r="DW27" s="54"/>
      <c r="DX27" s="54"/>
      <c r="DY27" s="54"/>
      <c r="DZ27" s="54"/>
      <c r="EA27" s="54"/>
      <c r="EB27" s="54"/>
      <c r="EC27" s="54"/>
      <c r="ED27" s="54"/>
      <c r="EE27" s="54"/>
      <c r="EF27" s="54"/>
      <c r="EG27" s="54"/>
      <c r="EH27" s="54"/>
      <c r="EI27" s="54"/>
      <c r="EJ27" s="54"/>
      <c r="EK27" s="54"/>
      <c r="EL27" s="54"/>
      <c r="EM27" s="54"/>
      <c r="EN27" s="54"/>
      <c r="EO27" s="54"/>
      <c r="EP27" s="54"/>
      <c r="EQ27" s="54"/>
      <c r="ER27" s="54"/>
      <c r="ES27" s="54"/>
      <c r="ET27" s="54"/>
      <c r="EU27" s="54"/>
      <c r="EV27" s="54"/>
      <c r="EW27" s="54"/>
      <c r="EX27" s="54"/>
      <c r="EY27" s="54"/>
      <c r="EZ27" s="54"/>
      <c r="FA27" s="54"/>
      <c r="FB27" s="54"/>
      <c r="FC27" s="54"/>
      <c r="FD27" s="54"/>
      <c r="FE27" s="54"/>
      <c r="FF27" s="54"/>
      <c r="FG27" s="54"/>
      <c r="FH27" s="54"/>
      <c r="FI27" s="54"/>
      <c r="FJ27" s="54"/>
      <c r="FK27" s="54"/>
      <c r="FL27" s="54"/>
      <c r="FM27" s="54"/>
      <c r="FN27" s="54"/>
      <c r="FO27" s="54"/>
      <c r="FP27" s="54"/>
      <c r="FQ27" s="54"/>
      <c r="FR27" s="54"/>
      <c r="FS27" s="54"/>
      <c r="FT27" s="54"/>
      <c r="FU27" s="54"/>
      <c r="FV27" s="54"/>
      <c r="FW27" s="54"/>
      <c r="FX27" s="54"/>
      <c r="FY27" s="54"/>
      <c r="FZ27" s="54"/>
      <c r="GA27" s="54"/>
      <c r="GB27" s="54"/>
      <c r="GC27" s="54"/>
      <c r="GD27" s="54"/>
      <c r="GE27" s="54"/>
      <c r="GF27" s="54"/>
      <c r="GG27" s="54"/>
      <c r="GH27" s="54"/>
      <c r="GI27" s="54"/>
      <c r="GJ27" s="54"/>
      <c r="GK27" s="54"/>
      <c r="GL27" s="54"/>
      <c r="GM27" s="54"/>
      <c r="GN27" s="54"/>
      <c r="GO27" s="54"/>
      <c r="GP27" s="54"/>
      <c r="GQ27" s="54"/>
      <c r="GR27" s="54"/>
      <c r="GS27" s="54"/>
      <c r="GT27" s="54"/>
      <c r="GU27" s="54"/>
      <c r="GV27" s="54"/>
      <c r="GW27" s="54"/>
      <c r="GX27" s="54"/>
      <c r="GY27" s="54"/>
      <c r="GZ27" s="54"/>
      <c r="HA27" s="54"/>
      <c r="HB27" s="54"/>
      <c r="HC27" s="54"/>
      <c r="HD27" s="54"/>
      <c r="HE27" s="54"/>
      <c r="HF27" s="54"/>
      <c r="HG27" s="54"/>
      <c r="HH27" s="54"/>
      <c r="HI27" s="54"/>
      <c r="HJ27" s="54"/>
      <c r="HK27" s="54"/>
      <c r="HL27" s="54"/>
      <c r="HM27" s="54"/>
      <c r="HN27" s="54"/>
      <c r="HO27" s="54"/>
      <c r="HP27" s="54"/>
      <c r="HQ27" s="54"/>
      <c r="HR27" s="54"/>
      <c r="HS27" s="54"/>
      <c r="HT27" s="54"/>
      <c r="HU27" s="54"/>
      <c r="HV27" s="54"/>
      <c r="HW27" s="54"/>
      <c r="HX27" s="54"/>
      <c r="HY27" s="54"/>
      <c r="HZ27" s="54"/>
      <c r="IA27" s="54"/>
    </row>
    <row r="28" ht="130.5" customHeight="1" spans="2:235">
      <c r="B28" s="51" t="s">
        <v>158</v>
      </c>
      <c r="C28" s="58" t="s">
        <v>159</v>
      </c>
      <c r="D28" s="59" t="s">
        <v>160</v>
      </c>
      <c r="E28" s="56"/>
      <c r="F28" s="57" t="s">
        <v>161</v>
      </c>
      <c r="G28" s="56" t="s">
        <v>73</v>
      </c>
      <c r="H28" s="56" t="s">
        <v>33</v>
      </c>
      <c r="I28" s="56" t="s">
        <v>74</v>
      </c>
      <c r="J28" s="56" t="s">
        <v>75</v>
      </c>
      <c r="K28" s="56" t="s">
        <v>50</v>
      </c>
      <c r="L28" s="56" t="s">
        <v>51</v>
      </c>
      <c r="M28" s="56" t="s">
        <v>76</v>
      </c>
      <c r="N28" s="56"/>
      <c r="O28" s="56"/>
      <c r="P28" s="56"/>
      <c r="Q28" s="56"/>
      <c r="R28" s="56" t="s">
        <v>36</v>
      </c>
      <c r="S28" s="56" t="s">
        <v>73</v>
      </c>
      <c r="T28" s="56"/>
      <c r="U28" s="56"/>
      <c r="V28" s="56"/>
      <c r="W28" s="56"/>
      <c r="X28" s="56" t="s">
        <v>90</v>
      </c>
      <c r="Y28" s="56" t="s">
        <v>162</v>
      </c>
      <c r="Z28" s="58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  <c r="BT28" s="54"/>
      <c r="BU28" s="54"/>
      <c r="BV28" s="54"/>
      <c r="BW28" s="54"/>
      <c r="BX28" s="54"/>
      <c r="BY28" s="54"/>
      <c r="BZ28" s="54"/>
      <c r="CA28" s="54"/>
      <c r="CB28" s="54"/>
      <c r="CC28" s="54"/>
      <c r="CD28" s="54"/>
      <c r="CE28" s="54"/>
      <c r="CF28" s="54"/>
      <c r="CG28" s="54"/>
      <c r="CH28" s="54"/>
      <c r="CI28" s="54"/>
      <c r="CJ28" s="54"/>
      <c r="CK28" s="54"/>
      <c r="CL28" s="54"/>
      <c r="CM28" s="54"/>
      <c r="CN28" s="54"/>
      <c r="CO28" s="54"/>
      <c r="CP28" s="54"/>
      <c r="CQ28" s="54"/>
      <c r="CR28" s="54"/>
      <c r="CS28" s="54"/>
      <c r="CT28" s="54"/>
      <c r="CU28" s="54"/>
      <c r="CV28" s="54"/>
      <c r="CW28" s="54"/>
      <c r="CX28" s="54"/>
      <c r="CY28" s="54"/>
      <c r="CZ28" s="54"/>
      <c r="DA28" s="54"/>
      <c r="DB28" s="54"/>
      <c r="DC28" s="54"/>
      <c r="DD28" s="54"/>
      <c r="DE28" s="54"/>
      <c r="DF28" s="54"/>
      <c r="DG28" s="54"/>
      <c r="DH28" s="54"/>
      <c r="DI28" s="54"/>
      <c r="DJ28" s="54"/>
      <c r="DK28" s="54"/>
      <c r="DL28" s="54"/>
      <c r="DM28" s="54"/>
      <c r="DN28" s="54"/>
      <c r="DO28" s="54"/>
      <c r="DP28" s="54"/>
      <c r="DQ28" s="54"/>
      <c r="DR28" s="54"/>
      <c r="DS28" s="54"/>
      <c r="DT28" s="54"/>
      <c r="DU28" s="54"/>
      <c r="DV28" s="54"/>
      <c r="DW28" s="54"/>
      <c r="DX28" s="54"/>
      <c r="DY28" s="54"/>
      <c r="DZ28" s="54"/>
      <c r="EA28" s="54"/>
      <c r="EB28" s="54"/>
      <c r="EC28" s="54"/>
      <c r="ED28" s="54"/>
      <c r="EE28" s="54"/>
      <c r="EF28" s="54"/>
      <c r="EG28" s="54"/>
      <c r="EH28" s="54"/>
      <c r="EI28" s="54"/>
      <c r="EJ28" s="54"/>
      <c r="EK28" s="54"/>
      <c r="EL28" s="54"/>
      <c r="EM28" s="54"/>
      <c r="EN28" s="54"/>
      <c r="EO28" s="54"/>
      <c r="EP28" s="54"/>
      <c r="EQ28" s="54"/>
      <c r="ER28" s="54"/>
      <c r="ES28" s="54"/>
      <c r="ET28" s="54"/>
      <c r="EU28" s="54"/>
      <c r="EV28" s="54"/>
      <c r="EW28" s="54"/>
      <c r="EX28" s="54"/>
      <c r="EY28" s="54"/>
      <c r="EZ28" s="54"/>
      <c r="FA28" s="54"/>
      <c r="FB28" s="54"/>
      <c r="FC28" s="54"/>
      <c r="FD28" s="54"/>
      <c r="FE28" s="54"/>
      <c r="FF28" s="54"/>
      <c r="FG28" s="54"/>
      <c r="FH28" s="54"/>
      <c r="FI28" s="54"/>
      <c r="FJ28" s="54"/>
      <c r="FK28" s="54"/>
      <c r="FL28" s="54"/>
      <c r="FM28" s="54"/>
      <c r="FN28" s="54"/>
      <c r="FO28" s="54"/>
      <c r="FP28" s="54"/>
      <c r="FQ28" s="54"/>
      <c r="FR28" s="54"/>
      <c r="FS28" s="54"/>
      <c r="FT28" s="54"/>
      <c r="FU28" s="54"/>
      <c r="FV28" s="54"/>
      <c r="FW28" s="54"/>
      <c r="FX28" s="54"/>
      <c r="FY28" s="54"/>
      <c r="FZ28" s="54"/>
      <c r="GA28" s="54"/>
      <c r="GB28" s="54"/>
      <c r="GC28" s="54"/>
      <c r="GD28" s="54"/>
      <c r="GE28" s="54"/>
      <c r="GF28" s="54"/>
      <c r="GG28" s="54"/>
      <c r="GH28" s="54"/>
      <c r="GI28" s="54"/>
      <c r="GJ28" s="54"/>
      <c r="GK28" s="54"/>
      <c r="GL28" s="54"/>
      <c r="GM28" s="54"/>
      <c r="GN28" s="54"/>
      <c r="GO28" s="54"/>
      <c r="GP28" s="54"/>
      <c r="GQ28" s="54"/>
      <c r="GR28" s="54"/>
      <c r="GS28" s="54"/>
      <c r="GT28" s="54"/>
      <c r="GU28" s="54"/>
      <c r="GV28" s="54"/>
      <c r="GW28" s="54"/>
      <c r="GX28" s="54"/>
      <c r="GY28" s="54"/>
      <c r="GZ28" s="54"/>
      <c r="HA28" s="54"/>
      <c r="HB28" s="54"/>
      <c r="HC28" s="54"/>
      <c r="HD28" s="54"/>
      <c r="HE28" s="54"/>
      <c r="HF28" s="54"/>
      <c r="HG28" s="54"/>
      <c r="HH28" s="54"/>
      <c r="HI28" s="54"/>
      <c r="HJ28" s="54"/>
      <c r="HK28" s="54"/>
      <c r="HL28" s="54"/>
      <c r="HM28" s="54"/>
      <c r="HN28" s="54"/>
      <c r="HO28" s="54"/>
      <c r="HP28" s="54"/>
      <c r="HQ28" s="54"/>
      <c r="HR28" s="54"/>
      <c r="HS28" s="54"/>
      <c r="HT28" s="54"/>
      <c r="HU28" s="54"/>
      <c r="HV28" s="54"/>
      <c r="HW28" s="54"/>
      <c r="HX28" s="54"/>
      <c r="HY28" s="54"/>
      <c r="HZ28" s="54"/>
      <c r="IA28" s="54"/>
    </row>
    <row r="29" ht="130.5" customHeight="1" spans="2:235">
      <c r="B29" s="51" t="s">
        <v>163</v>
      </c>
      <c r="C29" s="58" t="s">
        <v>93</v>
      </c>
      <c r="D29" s="59" t="s">
        <v>94</v>
      </c>
      <c r="E29" s="56"/>
      <c r="F29" s="56" t="s">
        <v>164</v>
      </c>
      <c r="G29" s="56" t="s">
        <v>96</v>
      </c>
      <c r="H29" s="56" t="s">
        <v>33</v>
      </c>
      <c r="I29" s="56" t="s">
        <v>58</v>
      </c>
      <c r="J29" s="56" t="s">
        <v>35</v>
      </c>
      <c r="K29" s="56" t="s">
        <v>50</v>
      </c>
      <c r="L29" s="56" t="s">
        <v>51</v>
      </c>
      <c r="M29" s="56" t="s">
        <v>97</v>
      </c>
      <c r="N29" s="56"/>
      <c r="O29" s="56"/>
      <c r="P29" s="56"/>
      <c r="Q29" s="56"/>
      <c r="R29" s="56" t="s">
        <v>36</v>
      </c>
      <c r="S29" s="56"/>
      <c r="T29" s="56"/>
      <c r="U29" s="56"/>
      <c r="V29" s="56"/>
      <c r="W29" s="56"/>
      <c r="X29" s="56" t="s">
        <v>98</v>
      </c>
      <c r="Y29" s="56"/>
      <c r="Z29" s="58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  <c r="CB29" s="54"/>
      <c r="CC29" s="54"/>
      <c r="CD29" s="54"/>
      <c r="CE29" s="54"/>
      <c r="CF29" s="54"/>
      <c r="CG29" s="54"/>
      <c r="CH29" s="54"/>
      <c r="CI29" s="54"/>
      <c r="CJ29" s="54"/>
      <c r="CK29" s="54"/>
      <c r="CL29" s="54"/>
      <c r="CM29" s="54"/>
      <c r="CN29" s="54"/>
      <c r="CO29" s="54"/>
      <c r="CP29" s="54"/>
      <c r="CQ29" s="54"/>
      <c r="CR29" s="54"/>
      <c r="CS29" s="54"/>
      <c r="CT29" s="54"/>
      <c r="CU29" s="54"/>
      <c r="CV29" s="54"/>
      <c r="CW29" s="54"/>
      <c r="CX29" s="54"/>
      <c r="CY29" s="54"/>
      <c r="CZ29" s="54"/>
      <c r="DA29" s="54"/>
      <c r="DB29" s="54"/>
      <c r="DC29" s="54"/>
      <c r="DD29" s="54"/>
      <c r="DE29" s="54"/>
      <c r="DF29" s="54"/>
      <c r="DG29" s="54"/>
      <c r="DH29" s="54"/>
      <c r="DI29" s="54"/>
      <c r="DJ29" s="54"/>
      <c r="DK29" s="54"/>
      <c r="DL29" s="54"/>
      <c r="DM29" s="54"/>
      <c r="DN29" s="54"/>
      <c r="DO29" s="54"/>
      <c r="DP29" s="54"/>
      <c r="DQ29" s="54"/>
      <c r="DR29" s="54"/>
      <c r="DS29" s="54"/>
      <c r="DT29" s="54"/>
      <c r="DU29" s="54"/>
      <c r="DV29" s="54"/>
      <c r="DW29" s="54"/>
      <c r="DX29" s="54"/>
      <c r="DY29" s="54"/>
      <c r="DZ29" s="54"/>
      <c r="EA29" s="54"/>
      <c r="EB29" s="54"/>
      <c r="EC29" s="54"/>
      <c r="ED29" s="54"/>
      <c r="EE29" s="54"/>
      <c r="EF29" s="54"/>
      <c r="EG29" s="54"/>
      <c r="EH29" s="54"/>
      <c r="EI29" s="54"/>
      <c r="EJ29" s="54"/>
      <c r="EK29" s="54"/>
      <c r="EL29" s="54"/>
      <c r="EM29" s="54"/>
      <c r="EN29" s="54"/>
      <c r="EO29" s="54"/>
      <c r="EP29" s="54"/>
      <c r="EQ29" s="54"/>
      <c r="ER29" s="54"/>
      <c r="ES29" s="54"/>
      <c r="ET29" s="54"/>
      <c r="EU29" s="54"/>
      <c r="EV29" s="54"/>
      <c r="EW29" s="54"/>
      <c r="EX29" s="54"/>
      <c r="EY29" s="54"/>
      <c r="EZ29" s="54"/>
      <c r="FA29" s="54"/>
      <c r="FB29" s="54"/>
      <c r="FC29" s="54"/>
      <c r="FD29" s="54"/>
      <c r="FE29" s="54"/>
      <c r="FF29" s="54"/>
      <c r="FG29" s="54"/>
      <c r="FH29" s="54"/>
      <c r="FI29" s="54"/>
      <c r="FJ29" s="54"/>
      <c r="FK29" s="54"/>
      <c r="FL29" s="54"/>
      <c r="FM29" s="54"/>
      <c r="FN29" s="54"/>
      <c r="FO29" s="54"/>
      <c r="FP29" s="54"/>
      <c r="FQ29" s="54"/>
      <c r="FR29" s="54"/>
      <c r="FS29" s="54"/>
      <c r="FT29" s="54"/>
      <c r="FU29" s="54"/>
      <c r="FV29" s="54"/>
      <c r="FW29" s="54"/>
      <c r="FX29" s="54"/>
      <c r="FY29" s="54"/>
      <c r="FZ29" s="54"/>
      <c r="GA29" s="54"/>
      <c r="GB29" s="54"/>
      <c r="GC29" s="54"/>
      <c r="GD29" s="54"/>
      <c r="GE29" s="54"/>
      <c r="GF29" s="54"/>
      <c r="GG29" s="54"/>
      <c r="GH29" s="54"/>
      <c r="GI29" s="54"/>
      <c r="GJ29" s="54"/>
      <c r="GK29" s="54"/>
      <c r="GL29" s="54"/>
      <c r="GM29" s="54"/>
      <c r="GN29" s="54"/>
      <c r="GO29" s="54"/>
      <c r="GP29" s="54"/>
      <c r="GQ29" s="54"/>
      <c r="GR29" s="54"/>
      <c r="GS29" s="54"/>
      <c r="GT29" s="54"/>
      <c r="GU29" s="54"/>
      <c r="GV29" s="54"/>
      <c r="GW29" s="54"/>
      <c r="GX29" s="54"/>
      <c r="GY29" s="54"/>
      <c r="GZ29" s="54"/>
      <c r="HA29" s="54"/>
      <c r="HB29" s="54"/>
      <c r="HC29" s="54"/>
      <c r="HD29" s="54"/>
      <c r="HE29" s="54"/>
      <c r="HF29" s="54"/>
      <c r="HG29" s="54"/>
      <c r="HH29" s="54"/>
      <c r="HI29" s="54"/>
      <c r="HJ29" s="54"/>
      <c r="HK29" s="54"/>
      <c r="HL29" s="54"/>
      <c r="HM29" s="54"/>
      <c r="HN29" s="54"/>
      <c r="HO29" s="54"/>
      <c r="HP29" s="54"/>
      <c r="HQ29" s="54"/>
      <c r="HR29" s="54"/>
      <c r="HS29" s="54"/>
      <c r="HT29" s="54"/>
      <c r="HU29" s="54"/>
      <c r="HV29" s="54"/>
      <c r="HW29" s="54"/>
      <c r="HX29" s="54"/>
      <c r="HY29" s="54"/>
      <c r="HZ29" s="54"/>
      <c r="IA29" s="54"/>
    </row>
    <row r="30" ht="130.5" customHeight="1" spans="2:235">
      <c r="B30" s="51" t="s">
        <v>165</v>
      </c>
      <c r="C30" s="5" t="s">
        <v>100</v>
      </c>
      <c r="D30" s="46" t="s">
        <v>101</v>
      </c>
      <c r="E30" s="45"/>
      <c r="F30" s="45" t="s">
        <v>32</v>
      </c>
      <c r="G30" s="45" t="s">
        <v>51</v>
      </c>
      <c r="H30" s="45" t="s">
        <v>33</v>
      </c>
      <c r="I30" s="45" t="s">
        <v>102</v>
      </c>
      <c r="J30" s="45" t="s">
        <v>35</v>
      </c>
      <c r="K30" s="45" t="s">
        <v>50</v>
      </c>
      <c r="L30" s="45" t="s">
        <v>51</v>
      </c>
      <c r="M30" s="45" t="s">
        <v>103</v>
      </c>
      <c r="N30" s="45"/>
      <c r="O30" s="45"/>
      <c r="P30" s="45"/>
      <c r="Q30" s="45"/>
      <c r="R30" s="45" t="s">
        <v>36</v>
      </c>
      <c r="S30" s="45"/>
      <c r="T30" s="45"/>
      <c r="U30" s="45"/>
      <c r="V30" s="45"/>
      <c r="W30" s="45"/>
      <c r="X30" s="45" t="s">
        <v>104</v>
      </c>
      <c r="Y30" s="45" t="s">
        <v>105</v>
      </c>
      <c r="Z30" s="5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4"/>
      <c r="BU30" s="54"/>
      <c r="BV30" s="54"/>
      <c r="BW30" s="54"/>
      <c r="BX30" s="54"/>
      <c r="BY30" s="54"/>
      <c r="BZ30" s="54"/>
      <c r="CA30" s="54"/>
      <c r="CB30" s="54"/>
      <c r="CC30" s="54"/>
      <c r="CD30" s="54"/>
      <c r="CE30" s="54"/>
      <c r="CF30" s="54"/>
      <c r="CG30" s="54"/>
      <c r="CH30" s="54"/>
      <c r="CI30" s="54"/>
      <c r="CJ30" s="54"/>
      <c r="CK30" s="54"/>
      <c r="CL30" s="54"/>
      <c r="CM30" s="54"/>
      <c r="CN30" s="54"/>
      <c r="CO30" s="54"/>
      <c r="CP30" s="54"/>
      <c r="CQ30" s="54"/>
      <c r="CR30" s="54"/>
      <c r="CS30" s="54"/>
      <c r="CT30" s="54"/>
      <c r="CU30" s="54"/>
      <c r="CV30" s="54"/>
      <c r="CW30" s="54"/>
      <c r="CX30" s="54"/>
      <c r="CY30" s="54"/>
      <c r="CZ30" s="54"/>
      <c r="DA30" s="54"/>
      <c r="DB30" s="54"/>
      <c r="DC30" s="54"/>
      <c r="DD30" s="54"/>
      <c r="DE30" s="54"/>
      <c r="DF30" s="54"/>
      <c r="DG30" s="54"/>
      <c r="DH30" s="54"/>
      <c r="DI30" s="54"/>
      <c r="DJ30" s="54"/>
      <c r="DK30" s="54"/>
      <c r="DL30" s="54"/>
      <c r="DM30" s="54"/>
      <c r="DN30" s="54"/>
      <c r="DO30" s="54"/>
      <c r="DP30" s="54"/>
      <c r="DQ30" s="54"/>
      <c r="DR30" s="54"/>
      <c r="DS30" s="54"/>
      <c r="DT30" s="54"/>
      <c r="DU30" s="54"/>
      <c r="DV30" s="54"/>
      <c r="DW30" s="54"/>
      <c r="DX30" s="54"/>
      <c r="DY30" s="54"/>
      <c r="DZ30" s="54"/>
      <c r="EA30" s="54"/>
      <c r="EB30" s="54"/>
      <c r="EC30" s="54"/>
      <c r="ED30" s="54"/>
      <c r="EE30" s="54"/>
      <c r="EF30" s="54"/>
      <c r="EG30" s="54"/>
      <c r="EH30" s="54"/>
      <c r="EI30" s="54"/>
      <c r="EJ30" s="54"/>
      <c r="EK30" s="54"/>
      <c r="EL30" s="54"/>
      <c r="EM30" s="54"/>
      <c r="EN30" s="54"/>
      <c r="EO30" s="54"/>
      <c r="EP30" s="54"/>
      <c r="EQ30" s="54"/>
      <c r="ER30" s="54"/>
      <c r="ES30" s="54"/>
      <c r="ET30" s="54"/>
      <c r="EU30" s="54"/>
      <c r="EV30" s="54"/>
      <c r="EW30" s="54"/>
      <c r="EX30" s="54"/>
      <c r="EY30" s="54"/>
      <c r="EZ30" s="54"/>
      <c r="FA30" s="54"/>
      <c r="FB30" s="54"/>
      <c r="FC30" s="54"/>
      <c r="FD30" s="54"/>
      <c r="FE30" s="54"/>
      <c r="FF30" s="54"/>
      <c r="FG30" s="54"/>
      <c r="FH30" s="54"/>
      <c r="FI30" s="54"/>
      <c r="FJ30" s="54"/>
      <c r="FK30" s="54"/>
      <c r="FL30" s="54"/>
      <c r="FM30" s="54"/>
      <c r="FN30" s="54"/>
      <c r="FO30" s="54"/>
      <c r="FP30" s="54"/>
      <c r="FQ30" s="54"/>
      <c r="FR30" s="54"/>
      <c r="FS30" s="54"/>
      <c r="FT30" s="54"/>
      <c r="FU30" s="54"/>
      <c r="FV30" s="54"/>
      <c r="FW30" s="54"/>
      <c r="FX30" s="54"/>
      <c r="FY30" s="54"/>
      <c r="FZ30" s="54"/>
      <c r="GA30" s="54"/>
      <c r="GB30" s="54"/>
      <c r="GC30" s="54"/>
      <c r="GD30" s="54"/>
      <c r="GE30" s="54"/>
      <c r="GF30" s="54"/>
      <c r="GG30" s="54"/>
      <c r="GH30" s="54"/>
      <c r="GI30" s="54"/>
      <c r="GJ30" s="54"/>
      <c r="GK30" s="54"/>
      <c r="GL30" s="54"/>
      <c r="GM30" s="54"/>
      <c r="GN30" s="54"/>
      <c r="GO30" s="54"/>
      <c r="GP30" s="54"/>
      <c r="GQ30" s="54"/>
      <c r="GR30" s="54"/>
      <c r="GS30" s="54"/>
      <c r="GT30" s="54"/>
      <c r="GU30" s="54"/>
      <c r="GV30" s="54"/>
      <c r="GW30" s="54"/>
      <c r="GX30" s="54"/>
      <c r="GY30" s="54"/>
      <c r="GZ30" s="54"/>
      <c r="HA30" s="54"/>
      <c r="HB30" s="54"/>
      <c r="HC30" s="54"/>
      <c r="HD30" s="54"/>
      <c r="HE30" s="54"/>
      <c r="HF30" s="54"/>
      <c r="HG30" s="54"/>
      <c r="HH30" s="54"/>
      <c r="HI30" s="54"/>
      <c r="HJ30" s="54"/>
      <c r="HK30" s="54"/>
      <c r="HL30" s="54"/>
      <c r="HM30" s="54"/>
      <c r="HN30" s="54"/>
      <c r="HO30" s="54"/>
      <c r="HP30" s="54"/>
      <c r="HQ30" s="54"/>
      <c r="HR30" s="54"/>
      <c r="HS30" s="54"/>
      <c r="HT30" s="54"/>
      <c r="HU30" s="54"/>
      <c r="HV30" s="54"/>
      <c r="HW30" s="54"/>
      <c r="HX30" s="54"/>
      <c r="HY30" s="54"/>
      <c r="HZ30" s="54"/>
      <c r="IA30" s="54"/>
    </row>
    <row r="31" ht="130.5" customHeight="1" spans="2:235">
      <c r="B31" s="51" t="s">
        <v>166</v>
      </c>
      <c r="C31" s="5" t="s">
        <v>107</v>
      </c>
      <c r="D31" s="46" t="s">
        <v>108</v>
      </c>
      <c r="E31" s="45"/>
      <c r="F31" s="45" t="s">
        <v>109</v>
      </c>
      <c r="G31" s="45" t="s">
        <v>51</v>
      </c>
      <c r="H31" s="45" t="s">
        <v>33</v>
      </c>
      <c r="I31" s="45" t="s">
        <v>102</v>
      </c>
      <c r="J31" s="45" t="s">
        <v>35</v>
      </c>
      <c r="K31" s="45" t="s">
        <v>50</v>
      </c>
      <c r="L31" s="45" t="s">
        <v>51</v>
      </c>
      <c r="M31" s="45" t="s">
        <v>110</v>
      </c>
      <c r="N31" s="45"/>
      <c r="O31" s="45"/>
      <c r="P31" s="45"/>
      <c r="Q31" s="45"/>
      <c r="R31" s="45" t="s">
        <v>36</v>
      </c>
      <c r="S31" s="45"/>
      <c r="T31" s="45"/>
      <c r="U31" s="45"/>
      <c r="V31" s="45"/>
      <c r="W31" s="45"/>
      <c r="X31" s="45" t="s">
        <v>104</v>
      </c>
      <c r="Y31" s="45" t="s">
        <v>111</v>
      </c>
      <c r="Z31" s="5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  <c r="BT31" s="54"/>
      <c r="BU31" s="54"/>
      <c r="BV31" s="54"/>
      <c r="BW31" s="54"/>
      <c r="BX31" s="54"/>
      <c r="BY31" s="54"/>
      <c r="BZ31" s="54"/>
      <c r="CA31" s="54"/>
      <c r="CB31" s="54"/>
      <c r="CC31" s="54"/>
      <c r="CD31" s="54"/>
      <c r="CE31" s="54"/>
      <c r="CF31" s="54"/>
      <c r="CG31" s="54"/>
      <c r="CH31" s="54"/>
      <c r="CI31" s="54"/>
      <c r="CJ31" s="54"/>
      <c r="CK31" s="54"/>
      <c r="CL31" s="54"/>
      <c r="CM31" s="54"/>
      <c r="CN31" s="54"/>
      <c r="CO31" s="54"/>
      <c r="CP31" s="54"/>
      <c r="CQ31" s="54"/>
      <c r="CR31" s="54"/>
      <c r="CS31" s="54"/>
      <c r="CT31" s="54"/>
      <c r="CU31" s="54"/>
      <c r="CV31" s="54"/>
      <c r="CW31" s="54"/>
      <c r="CX31" s="54"/>
      <c r="CY31" s="54"/>
      <c r="CZ31" s="54"/>
      <c r="DA31" s="54"/>
      <c r="DB31" s="54"/>
      <c r="DC31" s="54"/>
      <c r="DD31" s="54"/>
      <c r="DE31" s="54"/>
      <c r="DF31" s="54"/>
      <c r="DG31" s="54"/>
      <c r="DH31" s="54"/>
      <c r="DI31" s="54"/>
      <c r="DJ31" s="54"/>
      <c r="DK31" s="54"/>
      <c r="DL31" s="54"/>
      <c r="DM31" s="54"/>
      <c r="DN31" s="54"/>
      <c r="DO31" s="54"/>
      <c r="DP31" s="54"/>
      <c r="DQ31" s="54"/>
      <c r="DR31" s="54"/>
      <c r="DS31" s="54"/>
      <c r="DT31" s="54"/>
      <c r="DU31" s="54"/>
      <c r="DV31" s="54"/>
      <c r="DW31" s="54"/>
      <c r="DX31" s="54"/>
      <c r="DY31" s="54"/>
      <c r="DZ31" s="54"/>
      <c r="EA31" s="54"/>
      <c r="EB31" s="54"/>
      <c r="EC31" s="54"/>
      <c r="ED31" s="54"/>
      <c r="EE31" s="54"/>
      <c r="EF31" s="54"/>
      <c r="EG31" s="54"/>
      <c r="EH31" s="54"/>
      <c r="EI31" s="54"/>
      <c r="EJ31" s="54"/>
      <c r="EK31" s="54"/>
      <c r="EL31" s="54"/>
      <c r="EM31" s="54"/>
      <c r="EN31" s="54"/>
      <c r="EO31" s="54"/>
      <c r="EP31" s="54"/>
      <c r="EQ31" s="54"/>
      <c r="ER31" s="54"/>
      <c r="ES31" s="54"/>
      <c r="ET31" s="54"/>
      <c r="EU31" s="54"/>
      <c r="EV31" s="54"/>
      <c r="EW31" s="54"/>
      <c r="EX31" s="54"/>
      <c r="EY31" s="54"/>
      <c r="EZ31" s="54"/>
      <c r="FA31" s="54"/>
      <c r="FB31" s="54"/>
      <c r="FC31" s="54"/>
      <c r="FD31" s="54"/>
      <c r="FE31" s="54"/>
      <c r="FF31" s="54"/>
      <c r="FG31" s="54"/>
      <c r="FH31" s="54"/>
      <c r="FI31" s="54"/>
      <c r="FJ31" s="54"/>
      <c r="FK31" s="54"/>
      <c r="FL31" s="54"/>
      <c r="FM31" s="54"/>
      <c r="FN31" s="54"/>
      <c r="FO31" s="54"/>
      <c r="FP31" s="54"/>
      <c r="FQ31" s="54"/>
      <c r="FR31" s="54"/>
      <c r="FS31" s="54"/>
      <c r="FT31" s="54"/>
      <c r="FU31" s="54"/>
      <c r="FV31" s="54"/>
      <c r="FW31" s="54"/>
      <c r="FX31" s="54"/>
      <c r="FY31" s="54"/>
      <c r="FZ31" s="54"/>
      <c r="GA31" s="54"/>
      <c r="GB31" s="54"/>
      <c r="GC31" s="54"/>
      <c r="GD31" s="54"/>
      <c r="GE31" s="54"/>
      <c r="GF31" s="54"/>
      <c r="GG31" s="54"/>
      <c r="GH31" s="54"/>
      <c r="GI31" s="54"/>
      <c r="GJ31" s="54"/>
      <c r="GK31" s="54"/>
      <c r="GL31" s="54"/>
      <c r="GM31" s="54"/>
      <c r="GN31" s="54"/>
      <c r="GO31" s="54"/>
      <c r="GP31" s="54"/>
      <c r="GQ31" s="54"/>
      <c r="GR31" s="54"/>
      <c r="GS31" s="54"/>
      <c r="GT31" s="54"/>
      <c r="GU31" s="54"/>
      <c r="GV31" s="54"/>
      <c r="GW31" s="54"/>
      <c r="GX31" s="54"/>
      <c r="GY31" s="54"/>
      <c r="GZ31" s="54"/>
      <c r="HA31" s="54"/>
      <c r="HB31" s="54"/>
      <c r="HC31" s="54"/>
      <c r="HD31" s="54"/>
      <c r="HE31" s="54"/>
      <c r="HF31" s="54"/>
      <c r="HG31" s="54"/>
      <c r="HH31" s="54"/>
      <c r="HI31" s="54"/>
      <c r="HJ31" s="54"/>
      <c r="HK31" s="54"/>
      <c r="HL31" s="54"/>
      <c r="HM31" s="54"/>
      <c r="HN31" s="54"/>
      <c r="HO31" s="54"/>
      <c r="HP31" s="54"/>
      <c r="HQ31" s="54"/>
      <c r="HR31" s="54"/>
      <c r="HS31" s="54"/>
      <c r="HT31" s="54"/>
      <c r="HU31" s="54"/>
      <c r="HV31" s="54"/>
      <c r="HW31" s="54"/>
      <c r="HX31" s="54"/>
      <c r="HY31" s="54"/>
      <c r="HZ31" s="54"/>
      <c r="IA31" s="54"/>
    </row>
    <row r="32" ht="130.5" customHeight="1" spans="2:235">
      <c r="B32" s="51" t="s">
        <v>167</v>
      </c>
      <c r="C32" s="43" t="s">
        <v>113</v>
      </c>
      <c r="D32" s="44" t="s">
        <v>114</v>
      </c>
      <c r="E32" s="42"/>
      <c r="F32" s="47" t="s">
        <v>168</v>
      </c>
      <c r="G32" s="42" t="s">
        <v>73</v>
      </c>
      <c r="H32" s="42" t="s">
        <v>33</v>
      </c>
      <c r="I32" s="42" t="s">
        <v>74</v>
      </c>
      <c r="J32" s="42" t="s">
        <v>75</v>
      </c>
      <c r="K32" s="42" t="s">
        <v>50</v>
      </c>
      <c r="L32" s="42" t="s">
        <v>51</v>
      </c>
      <c r="M32" s="42" t="s">
        <v>116</v>
      </c>
      <c r="N32" s="42"/>
      <c r="O32" s="42"/>
      <c r="P32" s="42"/>
      <c r="Q32" s="42"/>
      <c r="R32" s="42" t="s">
        <v>36</v>
      </c>
      <c r="S32" s="42" t="s">
        <v>33</v>
      </c>
      <c r="T32" s="42"/>
      <c r="U32" s="42"/>
      <c r="V32" s="42"/>
      <c r="W32" s="42"/>
      <c r="X32" s="42" t="s">
        <v>117</v>
      </c>
      <c r="Y32" s="42" t="s">
        <v>118</v>
      </c>
      <c r="Z32" s="43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  <c r="BT32" s="54"/>
      <c r="BU32" s="54"/>
      <c r="BV32" s="54"/>
      <c r="BW32" s="54"/>
      <c r="BX32" s="54"/>
      <c r="BY32" s="54"/>
      <c r="BZ32" s="54"/>
      <c r="CA32" s="54"/>
      <c r="CB32" s="54"/>
      <c r="CC32" s="54"/>
      <c r="CD32" s="54"/>
      <c r="CE32" s="54"/>
      <c r="CF32" s="54"/>
      <c r="CG32" s="54"/>
      <c r="CH32" s="54"/>
      <c r="CI32" s="54"/>
      <c r="CJ32" s="54"/>
      <c r="CK32" s="54"/>
      <c r="CL32" s="54"/>
      <c r="CM32" s="54"/>
      <c r="CN32" s="54"/>
      <c r="CO32" s="54"/>
      <c r="CP32" s="54"/>
      <c r="CQ32" s="54"/>
      <c r="CR32" s="54"/>
      <c r="CS32" s="54"/>
      <c r="CT32" s="54"/>
      <c r="CU32" s="54"/>
      <c r="CV32" s="54"/>
      <c r="CW32" s="54"/>
      <c r="CX32" s="54"/>
      <c r="CY32" s="54"/>
      <c r="CZ32" s="54"/>
      <c r="DA32" s="54"/>
      <c r="DB32" s="54"/>
      <c r="DC32" s="54"/>
      <c r="DD32" s="54"/>
      <c r="DE32" s="54"/>
      <c r="DF32" s="54"/>
      <c r="DG32" s="54"/>
      <c r="DH32" s="54"/>
      <c r="DI32" s="54"/>
      <c r="DJ32" s="54"/>
      <c r="DK32" s="54"/>
      <c r="DL32" s="54"/>
      <c r="DM32" s="54"/>
      <c r="DN32" s="54"/>
      <c r="DO32" s="54"/>
      <c r="DP32" s="54"/>
      <c r="DQ32" s="54"/>
      <c r="DR32" s="54"/>
      <c r="DS32" s="54"/>
      <c r="DT32" s="54"/>
      <c r="DU32" s="54"/>
      <c r="DV32" s="54"/>
      <c r="DW32" s="54"/>
      <c r="DX32" s="54"/>
      <c r="DY32" s="54"/>
      <c r="DZ32" s="54"/>
      <c r="EA32" s="54"/>
      <c r="EB32" s="54"/>
      <c r="EC32" s="54"/>
      <c r="ED32" s="54"/>
      <c r="EE32" s="54"/>
      <c r="EF32" s="54"/>
      <c r="EG32" s="54"/>
      <c r="EH32" s="54"/>
      <c r="EI32" s="54"/>
      <c r="EJ32" s="54"/>
      <c r="EK32" s="54"/>
      <c r="EL32" s="54"/>
      <c r="EM32" s="54"/>
      <c r="EN32" s="54"/>
      <c r="EO32" s="54"/>
      <c r="EP32" s="54"/>
      <c r="EQ32" s="54"/>
      <c r="ER32" s="54"/>
      <c r="ES32" s="54"/>
      <c r="ET32" s="54"/>
      <c r="EU32" s="54"/>
      <c r="EV32" s="54"/>
      <c r="EW32" s="54"/>
      <c r="EX32" s="54"/>
      <c r="EY32" s="54"/>
      <c r="EZ32" s="54"/>
      <c r="FA32" s="54"/>
      <c r="FB32" s="54"/>
      <c r="FC32" s="54"/>
      <c r="FD32" s="54"/>
      <c r="FE32" s="54"/>
      <c r="FF32" s="54"/>
      <c r="FG32" s="54"/>
      <c r="FH32" s="54"/>
      <c r="FI32" s="54"/>
      <c r="FJ32" s="54"/>
      <c r="FK32" s="54"/>
      <c r="FL32" s="54"/>
      <c r="FM32" s="54"/>
      <c r="FN32" s="54"/>
      <c r="FO32" s="54"/>
      <c r="FP32" s="54"/>
      <c r="FQ32" s="54"/>
      <c r="FR32" s="54"/>
      <c r="FS32" s="54"/>
      <c r="FT32" s="54"/>
      <c r="FU32" s="54"/>
      <c r="FV32" s="54"/>
      <c r="FW32" s="54"/>
      <c r="FX32" s="54"/>
      <c r="FY32" s="54"/>
      <c r="FZ32" s="54"/>
      <c r="GA32" s="54"/>
      <c r="GB32" s="54"/>
      <c r="GC32" s="54"/>
      <c r="GD32" s="54"/>
      <c r="GE32" s="54"/>
      <c r="GF32" s="54"/>
      <c r="GG32" s="54"/>
      <c r="GH32" s="54"/>
      <c r="GI32" s="54"/>
      <c r="GJ32" s="54"/>
      <c r="GK32" s="54"/>
      <c r="GL32" s="54"/>
      <c r="GM32" s="54"/>
      <c r="GN32" s="54"/>
      <c r="GO32" s="54"/>
      <c r="GP32" s="54"/>
      <c r="GQ32" s="54"/>
      <c r="GR32" s="54"/>
      <c r="GS32" s="54"/>
      <c r="GT32" s="54"/>
      <c r="GU32" s="54"/>
      <c r="GV32" s="54"/>
      <c r="GW32" s="54"/>
      <c r="GX32" s="54"/>
      <c r="GY32" s="54"/>
      <c r="GZ32" s="54"/>
      <c r="HA32" s="54"/>
      <c r="HB32" s="54"/>
      <c r="HC32" s="54"/>
      <c r="HD32" s="54"/>
      <c r="HE32" s="54"/>
      <c r="HF32" s="54"/>
      <c r="HG32" s="54"/>
      <c r="HH32" s="54"/>
      <c r="HI32" s="54"/>
      <c r="HJ32" s="54"/>
      <c r="HK32" s="54"/>
      <c r="HL32" s="54"/>
      <c r="HM32" s="54"/>
      <c r="HN32" s="54"/>
      <c r="HO32" s="54"/>
      <c r="HP32" s="54"/>
      <c r="HQ32" s="54"/>
      <c r="HR32" s="54"/>
      <c r="HS32" s="54"/>
      <c r="HT32" s="54"/>
      <c r="HU32" s="54"/>
      <c r="HV32" s="54"/>
      <c r="HW32" s="54"/>
      <c r="HX32" s="54"/>
      <c r="HY32" s="54"/>
      <c r="HZ32" s="54"/>
      <c r="IA32" s="54"/>
    </row>
    <row r="33" ht="130.5" customHeight="1" spans="2:235">
      <c r="B33" s="51" t="s">
        <v>169</v>
      </c>
      <c r="C33" s="43" t="s">
        <v>120</v>
      </c>
      <c r="D33" s="44" t="s">
        <v>121</v>
      </c>
      <c r="E33" s="42"/>
      <c r="F33" s="47" t="s">
        <v>170</v>
      </c>
      <c r="G33" s="42" t="s">
        <v>73</v>
      </c>
      <c r="H33" s="42" t="s">
        <v>33</v>
      </c>
      <c r="I33" s="42" t="s">
        <v>74</v>
      </c>
      <c r="J33" s="42" t="s">
        <v>75</v>
      </c>
      <c r="K33" s="42" t="s">
        <v>50</v>
      </c>
      <c r="L33" s="42" t="s">
        <v>51</v>
      </c>
      <c r="M33" s="42" t="s">
        <v>116</v>
      </c>
      <c r="N33" s="42"/>
      <c r="O33" s="42"/>
      <c r="P33" s="42"/>
      <c r="Q33" s="42"/>
      <c r="R33" s="42" t="s">
        <v>36</v>
      </c>
      <c r="S33" s="42" t="s">
        <v>32</v>
      </c>
      <c r="T33" s="42"/>
      <c r="U33" s="42"/>
      <c r="V33" s="42"/>
      <c r="W33" s="42"/>
      <c r="X33" s="42" t="s">
        <v>123</v>
      </c>
      <c r="Y33" s="42" t="s">
        <v>124</v>
      </c>
      <c r="Z33" s="43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  <c r="BM33" s="54"/>
      <c r="BN33" s="54"/>
      <c r="BO33" s="54"/>
      <c r="BP33" s="54"/>
      <c r="BQ33" s="54"/>
      <c r="BR33" s="54"/>
      <c r="BS33" s="54"/>
      <c r="BT33" s="54"/>
      <c r="BU33" s="54"/>
      <c r="BV33" s="54"/>
      <c r="BW33" s="54"/>
      <c r="BX33" s="54"/>
      <c r="BY33" s="54"/>
      <c r="BZ33" s="54"/>
      <c r="CA33" s="54"/>
      <c r="CB33" s="54"/>
      <c r="CC33" s="54"/>
      <c r="CD33" s="54"/>
      <c r="CE33" s="54"/>
      <c r="CF33" s="54"/>
      <c r="CG33" s="54"/>
      <c r="CH33" s="54"/>
      <c r="CI33" s="54"/>
      <c r="CJ33" s="54"/>
      <c r="CK33" s="54"/>
      <c r="CL33" s="54"/>
      <c r="CM33" s="54"/>
      <c r="CN33" s="54"/>
      <c r="CO33" s="54"/>
      <c r="CP33" s="54"/>
      <c r="CQ33" s="54"/>
      <c r="CR33" s="54"/>
      <c r="CS33" s="54"/>
      <c r="CT33" s="54"/>
      <c r="CU33" s="54"/>
      <c r="CV33" s="54"/>
      <c r="CW33" s="54"/>
      <c r="CX33" s="54"/>
      <c r="CY33" s="54"/>
      <c r="CZ33" s="54"/>
      <c r="DA33" s="54"/>
      <c r="DB33" s="54"/>
      <c r="DC33" s="54"/>
      <c r="DD33" s="54"/>
      <c r="DE33" s="54"/>
      <c r="DF33" s="54"/>
      <c r="DG33" s="54"/>
      <c r="DH33" s="54"/>
      <c r="DI33" s="54"/>
      <c r="DJ33" s="54"/>
      <c r="DK33" s="54"/>
      <c r="DL33" s="54"/>
      <c r="DM33" s="54"/>
      <c r="DN33" s="54"/>
      <c r="DO33" s="54"/>
      <c r="DP33" s="54"/>
      <c r="DQ33" s="54"/>
      <c r="DR33" s="54"/>
      <c r="DS33" s="54"/>
      <c r="DT33" s="54"/>
      <c r="DU33" s="54"/>
      <c r="DV33" s="54"/>
      <c r="DW33" s="54"/>
      <c r="DX33" s="54"/>
      <c r="DY33" s="54"/>
      <c r="DZ33" s="54"/>
      <c r="EA33" s="54"/>
      <c r="EB33" s="54"/>
      <c r="EC33" s="54"/>
      <c r="ED33" s="54"/>
      <c r="EE33" s="54"/>
      <c r="EF33" s="54"/>
      <c r="EG33" s="54"/>
      <c r="EH33" s="54"/>
      <c r="EI33" s="54"/>
      <c r="EJ33" s="54"/>
      <c r="EK33" s="54"/>
      <c r="EL33" s="54"/>
      <c r="EM33" s="54"/>
      <c r="EN33" s="54"/>
      <c r="EO33" s="54"/>
      <c r="EP33" s="54"/>
      <c r="EQ33" s="54"/>
      <c r="ER33" s="54"/>
      <c r="ES33" s="54"/>
      <c r="ET33" s="54"/>
      <c r="EU33" s="54"/>
      <c r="EV33" s="54"/>
      <c r="EW33" s="54"/>
      <c r="EX33" s="54"/>
      <c r="EY33" s="54"/>
      <c r="EZ33" s="54"/>
      <c r="FA33" s="54"/>
      <c r="FB33" s="54"/>
      <c r="FC33" s="54"/>
      <c r="FD33" s="54"/>
      <c r="FE33" s="54"/>
      <c r="FF33" s="54"/>
      <c r="FG33" s="54"/>
      <c r="FH33" s="54"/>
      <c r="FI33" s="54"/>
      <c r="FJ33" s="54"/>
      <c r="FK33" s="54"/>
      <c r="FL33" s="54"/>
      <c r="FM33" s="54"/>
      <c r="FN33" s="54"/>
      <c r="FO33" s="54"/>
      <c r="FP33" s="54"/>
      <c r="FQ33" s="54"/>
      <c r="FR33" s="54"/>
      <c r="FS33" s="54"/>
      <c r="FT33" s="54"/>
      <c r="FU33" s="54"/>
      <c r="FV33" s="54"/>
      <c r="FW33" s="54"/>
      <c r="FX33" s="54"/>
      <c r="FY33" s="54"/>
      <c r="FZ33" s="54"/>
      <c r="GA33" s="54"/>
      <c r="GB33" s="54"/>
      <c r="GC33" s="54"/>
      <c r="GD33" s="54"/>
      <c r="GE33" s="54"/>
      <c r="GF33" s="54"/>
      <c r="GG33" s="54"/>
      <c r="GH33" s="54"/>
      <c r="GI33" s="54"/>
      <c r="GJ33" s="54"/>
      <c r="GK33" s="54"/>
      <c r="GL33" s="54"/>
      <c r="GM33" s="54"/>
      <c r="GN33" s="54"/>
      <c r="GO33" s="54"/>
      <c r="GP33" s="54"/>
      <c r="GQ33" s="54"/>
      <c r="GR33" s="54"/>
      <c r="GS33" s="54"/>
      <c r="GT33" s="54"/>
      <c r="GU33" s="54"/>
      <c r="GV33" s="54"/>
      <c r="GW33" s="54"/>
      <c r="GX33" s="54"/>
      <c r="GY33" s="54"/>
      <c r="GZ33" s="54"/>
      <c r="HA33" s="54"/>
      <c r="HB33" s="54"/>
      <c r="HC33" s="54"/>
      <c r="HD33" s="54"/>
      <c r="HE33" s="54"/>
      <c r="HF33" s="54"/>
      <c r="HG33" s="54"/>
      <c r="HH33" s="54"/>
      <c r="HI33" s="54"/>
      <c r="HJ33" s="54"/>
      <c r="HK33" s="54"/>
      <c r="HL33" s="54"/>
      <c r="HM33" s="54"/>
      <c r="HN33" s="54"/>
      <c r="HO33" s="54"/>
      <c r="HP33" s="54"/>
      <c r="HQ33" s="54"/>
      <c r="HR33" s="54"/>
      <c r="HS33" s="54"/>
      <c r="HT33" s="54"/>
      <c r="HU33" s="54"/>
      <c r="HV33" s="54"/>
      <c r="HW33" s="54"/>
      <c r="HX33" s="54"/>
      <c r="HY33" s="54"/>
      <c r="HZ33" s="54"/>
      <c r="IA33" s="54"/>
    </row>
    <row r="34" ht="130.5" customHeight="1" spans="2:235">
      <c r="B34" s="51" t="s">
        <v>171</v>
      </c>
      <c r="C34" s="43" t="s">
        <v>126</v>
      </c>
      <c r="D34" s="44" t="s">
        <v>127</v>
      </c>
      <c r="E34" s="42"/>
      <c r="F34" s="47" t="s">
        <v>172</v>
      </c>
      <c r="G34" s="42" t="s">
        <v>73</v>
      </c>
      <c r="H34" s="42" t="s">
        <v>33</v>
      </c>
      <c r="I34" s="42" t="s">
        <v>74</v>
      </c>
      <c r="J34" s="42" t="s">
        <v>75</v>
      </c>
      <c r="K34" s="42" t="s">
        <v>50</v>
      </c>
      <c r="L34" s="42" t="s">
        <v>51</v>
      </c>
      <c r="M34" s="42" t="s">
        <v>116</v>
      </c>
      <c r="N34" s="42"/>
      <c r="O34" s="42"/>
      <c r="P34" s="42"/>
      <c r="Q34" s="42"/>
      <c r="R34" s="42" t="s">
        <v>36</v>
      </c>
      <c r="S34" s="42" t="s">
        <v>48</v>
      </c>
      <c r="T34" s="42"/>
      <c r="U34" s="42"/>
      <c r="V34" s="42"/>
      <c r="W34" s="42"/>
      <c r="X34" s="42" t="s">
        <v>129</v>
      </c>
      <c r="Y34" s="42" t="s">
        <v>130</v>
      </c>
      <c r="Z34" s="43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  <c r="BQ34" s="54"/>
      <c r="BR34" s="54"/>
      <c r="BS34" s="54"/>
      <c r="BT34" s="54"/>
      <c r="BU34" s="54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/>
      <c r="CV34" s="54"/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  <c r="DH34" s="54"/>
      <c r="DI34" s="54"/>
      <c r="DJ34" s="54"/>
      <c r="DK34" s="54"/>
      <c r="DL34" s="54"/>
      <c r="DM34" s="54"/>
      <c r="DN34" s="54"/>
      <c r="DO34" s="54"/>
      <c r="DP34" s="54"/>
      <c r="DQ34" s="54"/>
      <c r="DR34" s="54"/>
      <c r="DS34" s="54"/>
      <c r="DT34" s="54"/>
      <c r="DU34" s="54"/>
      <c r="DV34" s="54"/>
      <c r="DW34" s="54"/>
      <c r="DX34" s="54"/>
      <c r="DY34" s="54"/>
      <c r="DZ34" s="54"/>
      <c r="EA34" s="54"/>
      <c r="EB34" s="54"/>
      <c r="EC34" s="54"/>
      <c r="ED34" s="54"/>
      <c r="EE34" s="54"/>
      <c r="EF34" s="54"/>
      <c r="EG34" s="54"/>
      <c r="EH34" s="54"/>
      <c r="EI34" s="54"/>
      <c r="EJ34" s="54"/>
      <c r="EK34" s="54"/>
      <c r="EL34" s="54"/>
      <c r="EM34" s="54"/>
      <c r="EN34" s="54"/>
      <c r="EO34" s="54"/>
      <c r="EP34" s="54"/>
      <c r="EQ34" s="54"/>
      <c r="ER34" s="54"/>
      <c r="ES34" s="54"/>
      <c r="ET34" s="54"/>
      <c r="EU34" s="54"/>
      <c r="EV34" s="54"/>
      <c r="EW34" s="54"/>
      <c r="EX34" s="54"/>
      <c r="EY34" s="54"/>
      <c r="EZ34" s="54"/>
      <c r="FA34" s="54"/>
      <c r="FB34" s="54"/>
      <c r="FC34" s="54"/>
      <c r="FD34" s="54"/>
      <c r="FE34" s="54"/>
      <c r="FF34" s="54"/>
      <c r="FG34" s="54"/>
      <c r="FH34" s="54"/>
      <c r="FI34" s="54"/>
      <c r="FJ34" s="54"/>
      <c r="FK34" s="54"/>
      <c r="FL34" s="54"/>
      <c r="FM34" s="54"/>
      <c r="FN34" s="54"/>
      <c r="FO34" s="54"/>
      <c r="FP34" s="54"/>
      <c r="FQ34" s="54"/>
      <c r="FR34" s="54"/>
      <c r="FS34" s="54"/>
      <c r="FT34" s="54"/>
      <c r="FU34" s="54"/>
      <c r="FV34" s="54"/>
      <c r="FW34" s="54"/>
      <c r="FX34" s="54"/>
      <c r="FY34" s="54"/>
      <c r="FZ34" s="54"/>
      <c r="GA34" s="54"/>
      <c r="GB34" s="54"/>
      <c r="GC34" s="54"/>
      <c r="GD34" s="54"/>
      <c r="GE34" s="54"/>
      <c r="GF34" s="54"/>
      <c r="GG34" s="54"/>
      <c r="GH34" s="54"/>
      <c r="GI34" s="54"/>
      <c r="GJ34" s="54"/>
      <c r="GK34" s="54"/>
      <c r="GL34" s="54"/>
      <c r="GM34" s="54"/>
      <c r="GN34" s="54"/>
      <c r="GO34" s="54"/>
      <c r="GP34" s="54"/>
      <c r="GQ34" s="54"/>
      <c r="GR34" s="54"/>
      <c r="GS34" s="54"/>
      <c r="GT34" s="54"/>
      <c r="GU34" s="54"/>
      <c r="GV34" s="54"/>
      <c r="GW34" s="54"/>
      <c r="GX34" s="54"/>
      <c r="GY34" s="54"/>
      <c r="GZ34" s="54"/>
      <c r="HA34" s="54"/>
      <c r="HB34" s="54"/>
      <c r="HC34" s="54"/>
      <c r="HD34" s="54"/>
      <c r="HE34" s="54"/>
      <c r="HF34" s="54"/>
      <c r="HG34" s="54"/>
      <c r="HH34" s="54"/>
      <c r="HI34" s="54"/>
      <c r="HJ34" s="54"/>
      <c r="HK34" s="54"/>
      <c r="HL34" s="54"/>
      <c r="HM34" s="54"/>
      <c r="HN34" s="54"/>
      <c r="HO34" s="54"/>
      <c r="HP34" s="54"/>
      <c r="HQ34" s="54"/>
      <c r="HR34" s="54"/>
      <c r="HS34" s="54"/>
      <c r="HT34" s="54"/>
      <c r="HU34" s="54"/>
      <c r="HV34" s="54"/>
      <c r="HW34" s="54"/>
      <c r="HX34" s="54"/>
      <c r="HY34" s="54"/>
      <c r="HZ34" s="54"/>
      <c r="IA34" s="54"/>
    </row>
    <row r="35" ht="130.5" customHeight="1" spans="2:235">
      <c r="B35" s="51" t="s">
        <v>173</v>
      </c>
      <c r="C35" s="60" t="s">
        <v>174</v>
      </c>
      <c r="D35" s="61" t="s">
        <v>175</v>
      </c>
      <c r="E35" s="35"/>
      <c r="F35" s="47" t="s">
        <v>176</v>
      </c>
      <c r="G35" s="42" t="s">
        <v>73</v>
      </c>
      <c r="H35" s="42" t="s">
        <v>33</v>
      </c>
      <c r="I35" s="42" t="s">
        <v>74</v>
      </c>
      <c r="J35" s="42" t="s">
        <v>75</v>
      </c>
      <c r="K35" s="42" t="s">
        <v>50</v>
      </c>
      <c r="L35" s="42" t="s">
        <v>51</v>
      </c>
      <c r="M35" s="42" t="s">
        <v>116</v>
      </c>
      <c r="N35" s="42"/>
      <c r="O35" s="42"/>
      <c r="P35" s="42"/>
      <c r="Q35" s="42"/>
      <c r="R35" s="42" t="s">
        <v>36</v>
      </c>
      <c r="S35" s="42" t="s">
        <v>65</v>
      </c>
      <c r="T35" s="42"/>
      <c r="U35" s="42"/>
      <c r="V35" s="42"/>
      <c r="W35" s="42"/>
      <c r="X35" s="42" t="s">
        <v>129</v>
      </c>
      <c r="Y35" s="42" t="s">
        <v>177</v>
      </c>
      <c r="Z35" s="60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  <c r="BR35" s="54"/>
      <c r="BS35" s="54"/>
      <c r="BT35" s="54"/>
      <c r="BU35" s="54"/>
      <c r="BV35" s="54"/>
      <c r="BW35" s="54"/>
      <c r="BX35" s="54"/>
      <c r="BY35" s="54"/>
      <c r="BZ35" s="54"/>
      <c r="CA35" s="54"/>
      <c r="CB35" s="54"/>
      <c r="CC35" s="54"/>
      <c r="CD35" s="54"/>
      <c r="CE35" s="54"/>
      <c r="CF35" s="54"/>
      <c r="CG35" s="54"/>
      <c r="CH35" s="54"/>
      <c r="CI35" s="54"/>
      <c r="CJ35" s="54"/>
      <c r="CK35" s="54"/>
      <c r="CL35" s="54"/>
      <c r="CM35" s="54"/>
      <c r="CN35" s="54"/>
      <c r="CO35" s="54"/>
      <c r="CP35" s="54"/>
      <c r="CQ35" s="54"/>
      <c r="CR35" s="54"/>
      <c r="CS35" s="54"/>
      <c r="CT35" s="54"/>
      <c r="CU35" s="54"/>
      <c r="CV35" s="54"/>
      <c r="CW35" s="54"/>
      <c r="CX35" s="54"/>
      <c r="CY35" s="54"/>
      <c r="CZ35" s="54"/>
      <c r="DA35" s="54"/>
      <c r="DB35" s="54"/>
      <c r="DC35" s="54"/>
      <c r="DD35" s="54"/>
      <c r="DE35" s="54"/>
      <c r="DF35" s="54"/>
      <c r="DG35" s="54"/>
      <c r="DH35" s="54"/>
      <c r="DI35" s="54"/>
      <c r="DJ35" s="54"/>
      <c r="DK35" s="54"/>
      <c r="DL35" s="54"/>
      <c r="DM35" s="54"/>
      <c r="DN35" s="54"/>
      <c r="DO35" s="54"/>
      <c r="DP35" s="54"/>
      <c r="DQ35" s="54"/>
      <c r="DR35" s="54"/>
      <c r="DS35" s="54"/>
      <c r="DT35" s="54"/>
      <c r="DU35" s="54"/>
      <c r="DV35" s="54"/>
      <c r="DW35" s="54"/>
      <c r="DX35" s="54"/>
      <c r="DY35" s="54"/>
      <c r="DZ35" s="54"/>
      <c r="EA35" s="54"/>
      <c r="EB35" s="54"/>
      <c r="EC35" s="54"/>
      <c r="ED35" s="54"/>
      <c r="EE35" s="54"/>
      <c r="EF35" s="54"/>
      <c r="EG35" s="54"/>
      <c r="EH35" s="54"/>
      <c r="EI35" s="54"/>
      <c r="EJ35" s="54"/>
      <c r="EK35" s="54"/>
      <c r="EL35" s="54"/>
      <c r="EM35" s="54"/>
      <c r="EN35" s="54"/>
      <c r="EO35" s="54"/>
      <c r="EP35" s="54"/>
      <c r="EQ35" s="54"/>
      <c r="ER35" s="54"/>
      <c r="ES35" s="54"/>
      <c r="ET35" s="54"/>
      <c r="EU35" s="54"/>
      <c r="EV35" s="54"/>
      <c r="EW35" s="54"/>
      <c r="EX35" s="54"/>
      <c r="EY35" s="54"/>
      <c r="EZ35" s="54"/>
      <c r="FA35" s="54"/>
      <c r="FB35" s="54"/>
      <c r="FC35" s="54"/>
      <c r="FD35" s="54"/>
      <c r="FE35" s="54"/>
      <c r="FF35" s="54"/>
      <c r="FG35" s="54"/>
      <c r="FH35" s="54"/>
      <c r="FI35" s="54"/>
      <c r="FJ35" s="54"/>
      <c r="FK35" s="54"/>
      <c r="FL35" s="54"/>
      <c r="FM35" s="54"/>
      <c r="FN35" s="54"/>
      <c r="FO35" s="54"/>
      <c r="FP35" s="54"/>
      <c r="FQ35" s="54"/>
      <c r="FR35" s="54"/>
      <c r="FS35" s="54"/>
      <c r="FT35" s="54"/>
      <c r="FU35" s="54"/>
      <c r="FV35" s="54"/>
      <c r="FW35" s="54"/>
      <c r="FX35" s="54"/>
      <c r="FY35" s="54"/>
      <c r="FZ35" s="54"/>
      <c r="GA35" s="54"/>
      <c r="GB35" s="54"/>
      <c r="GC35" s="54"/>
      <c r="GD35" s="54"/>
      <c r="GE35" s="54"/>
      <c r="GF35" s="54"/>
      <c r="GG35" s="54"/>
      <c r="GH35" s="54"/>
      <c r="GI35" s="54"/>
      <c r="GJ35" s="54"/>
      <c r="GK35" s="54"/>
      <c r="GL35" s="54"/>
      <c r="GM35" s="54"/>
      <c r="GN35" s="54"/>
      <c r="GO35" s="54"/>
      <c r="GP35" s="54"/>
      <c r="GQ35" s="54"/>
      <c r="GR35" s="54"/>
      <c r="GS35" s="54"/>
      <c r="GT35" s="54"/>
      <c r="GU35" s="54"/>
      <c r="GV35" s="54"/>
      <c r="GW35" s="54"/>
      <c r="GX35" s="54"/>
      <c r="GY35" s="54"/>
      <c r="GZ35" s="54"/>
      <c r="HA35" s="54"/>
      <c r="HB35" s="54"/>
      <c r="HC35" s="54"/>
      <c r="HD35" s="54"/>
      <c r="HE35" s="54"/>
      <c r="HF35" s="54"/>
      <c r="HG35" s="54"/>
      <c r="HH35" s="54"/>
      <c r="HI35" s="54"/>
      <c r="HJ35" s="54"/>
      <c r="HK35" s="54"/>
      <c r="HL35" s="54"/>
      <c r="HM35" s="54"/>
      <c r="HN35" s="54"/>
      <c r="HO35" s="54"/>
      <c r="HP35" s="54"/>
      <c r="HQ35" s="54"/>
      <c r="HR35" s="54"/>
      <c r="HS35" s="54"/>
      <c r="HT35" s="54"/>
      <c r="HU35" s="54"/>
      <c r="HV35" s="54"/>
      <c r="HW35" s="54"/>
      <c r="HX35" s="54"/>
      <c r="HY35" s="54"/>
      <c r="HZ35" s="54"/>
      <c r="IA35" s="54"/>
    </row>
    <row r="36" ht="130.5" customHeight="1" spans="2:235">
      <c r="B36" s="51" t="s">
        <v>178</v>
      </c>
      <c r="C36" s="60" t="s">
        <v>179</v>
      </c>
      <c r="D36" s="61" t="s">
        <v>180</v>
      </c>
      <c r="E36" s="35"/>
      <c r="F36" s="47" t="s">
        <v>181</v>
      </c>
      <c r="G36" s="42" t="s">
        <v>73</v>
      </c>
      <c r="H36" s="42" t="s">
        <v>33</v>
      </c>
      <c r="I36" s="42" t="s">
        <v>74</v>
      </c>
      <c r="J36" s="42" t="s">
        <v>75</v>
      </c>
      <c r="K36" s="42" t="s">
        <v>50</v>
      </c>
      <c r="L36" s="42" t="s">
        <v>51</v>
      </c>
      <c r="M36" s="42" t="s">
        <v>116</v>
      </c>
      <c r="N36" s="42"/>
      <c r="O36" s="42"/>
      <c r="P36" s="42"/>
      <c r="Q36" s="42"/>
      <c r="R36" s="42" t="s">
        <v>36</v>
      </c>
      <c r="S36" s="42" t="s">
        <v>73</v>
      </c>
      <c r="T36" s="42"/>
      <c r="U36" s="42"/>
      <c r="V36" s="42"/>
      <c r="W36" s="42"/>
      <c r="X36" s="42" t="s">
        <v>129</v>
      </c>
      <c r="Y36" s="42" t="s">
        <v>182</v>
      </c>
      <c r="Z36" s="60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BU36" s="54"/>
      <c r="BV36" s="54"/>
      <c r="BW36" s="54"/>
      <c r="BX36" s="54"/>
      <c r="BY36" s="54"/>
      <c r="BZ36" s="54"/>
      <c r="CA36" s="54"/>
      <c r="CB36" s="54"/>
      <c r="CC36" s="54"/>
      <c r="CD36" s="54"/>
      <c r="CE36" s="54"/>
      <c r="CF36" s="54"/>
      <c r="CG36" s="54"/>
      <c r="CH36" s="54"/>
      <c r="CI36" s="54"/>
      <c r="CJ36" s="54"/>
      <c r="CK36" s="54"/>
      <c r="CL36" s="54"/>
      <c r="CM36" s="54"/>
      <c r="CN36" s="54"/>
      <c r="CO36" s="54"/>
      <c r="CP36" s="54"/>
      <c r="CQ36" s="54"/>
      <c r="CR36" s="54"/>
      <c r="CS36" s="54"/>
      <c r="CT36" s="54"/>
      <c r="CU36" s="54"/>
      <c r="CV36" s="54"/>
      <c r="CW36" s="54"/>
      <c r="CX36" s="54"/>
      <c r="CY36" s="54"/>
      <c r="CZ36" s="54"/>
      <c r="DA36" s="54"/>
      <c r="DB36" s="54"/>
      <c r="DC36" s="54"/>
      <c r="DD36" s="54"/>
      <c r="DE36" s="54"/>
      <c r="DF36" s="54"/>
      <c r="DG36" s="54"/>
      <c r="DH36" s="54"/>
      <c r="DI36" s="54"/>
      <c r="DJ36" s="54"/>
      <c r="DK36" s="54"/>
      <c r="DL36" s="54"/>
      <c r="DM36" s="54"/>
      <c r="DN36" s="54"/>
      <c r="DO36" s="54"/>
      <c r="DP36" s="54"/>
      <c r="DQ36" s="54"/>
      <c r="DR36" s="54"/>
      <c r="DS36" s="54"/>
      <c r="DT36" s="54"/>
      <c r="DU36" s="54"/>
      <c r="DV36" s="54"/>
      <c r="DW36" s="54"/>
      <c r="DX36" s="54"/>
      <c r="DY36" s="54"/>
      <c r="DZ36" s="54"/>
      <c r="EA36" s="54"/>
      <c r="EB36" s="54"/>
      <c r="EC36" s="54"/>
      <c r="ED36" s="54"/>
      <c r="EE36" s="54"/>
      <c r="EF36" s="54"/>
      <c r="EG36" s="54"/>
      <c r="EH36" s="54"/>
      <c r="EI36" s="54"/>
      <c r="EJ36" s="54"/>
      <c r="EK36" s="54"/>
      <c r="EL36" s="54"/>
      <c r="EM36" s="54"/>
      <c r="EN36" s="54"/>
      <c r="EO36" s="54"/>
      <c r="EP36" s="54"/>
      <c r="EQ36" s="54"/>
      <c r="ER36" s="54"/>
      <c r="ES36" s="54"/>
      <c r="ET36" s="54"/>
      <c r="EU36" s="54"/>
      <c r="EV36" s="54"/>
      <c r="EW36" s="54"/>
      <c r="EX36" s="54"/>
      <c r="EY36" s="54"/>
      <c r="EZ36" s="54"/>
      <c r="FA36" s="54"/>
      <c r="FB36" s="54"/>
      <c r="FC36" s="54"/>
      <c r="FD36" s="54"/>
      <c r="FE36" s="54"/>
      <c r="FF36" s="54"/>
      <c r="FG36" s="54"/>
      <c r="FH36" s="54"/>
      <c r="FI36" s="54"/>
      <c r="FJ36" s="54"/>
      <c r="FK36" s="54"/>
      <c r="FL36" s="54"/>
      <c r="FM36" s="54"/>
      <c r="FN36" s="54"/>
      <c r="FO36" s="54"/>
      <c r="FP36" s="54"/>
      <c r="FQ36" s="54"/>
      <c r="FR36" s="54"/>
      <c r="FS36" s="54"/>
      <c r="FT36" s="54"/>
      <c r="FU36" s="54"/>
      <c r="FV36" s="54"/>
      <c r="FW36" s="54"/>
      <c r="FX36" s="54"/>
      <c r="FY36" s="54"/>
      <c r="FZ36" s="54"/>
      <c r="GA36" s="54"/>
      <c r="GB36" s="54"/>
      <c r="GC36" s="54"/>
      <c r="GD36" s="54"/>
      <c r="GE36" s="54"/>
      <c r="GF36" s="54"/>
      <c r="GG36" s="54"/>
      <c r="GH36" s="54"/>
      <c r="GI36" s="54"/>
      <c r="GJ36" s="54"/>
      <c r="GK36" s="54"/>
      <c r="GL36" s="54"/>
      <c r="GM36" s="54"/>
      <c r="GN36" s="54"/>
      <c r="GO36" s="54"/>
      <c r="GP36" s="54"/>
      <c r="GQ36" s="54"/>
      <c r="GR36" s="54"/>
      <c r="GS36" s="54"/>
      <c r="GT36" s="54"/>
      <c r="GU36" s="54"/>
      <c r="GV36" s="54"/>
      <c r="GW36" s="54"/>
      <c r="GX36" s="54"/>
      <c r="GY36" s="54"/>
      <c r="GZ36" s="54"/>
      <c r="HA36" s="54"/>
      <c r="HB36" s="54"/>
      <c r="HC36" s="54"/>
      <c r="HD36" s="54"/>
      <c r="HE36" s="54"/>
      <c r="HF36" s="54"/>
      <c r="HG36" s="54"/>
      <c r="HH36" s="54"/>
      <c r="HI36" s="54"/>
      <c r="HJ36" s="54"/>
      <c r="HK36" s="54"/>
      <c r="HL36" s="54"/>
      <c r="HM36" s="54"/>
      <c r="HN36" s="54"/>
      <c r="HO36" s="54"/>
      <c r="HP36" s="54"/>
      <c r="HQ36" s="54"/>
      <c r="HR36" s="54"/>
      <c r="HS36" s="54"/>
      <c r="HT36" s="54"/>
      <c r="HU36" s="54"/>
      <c r="HV36" s="54"/>
      <c r="HW36" s="54"/>
      <c r="HX36" s="54"/>
      <c r="HY36" s="54"/>
      <c r="HZ36" s="54"/>
      <c r="IA36" s="54"/>
    </row>
    <row r="37" ht="130.5" customHeight="1" spans="2:235">
      <c r="B37" s="51" t="s">
        <v>183</v>
      </c>
      <c r="C37" s="49" t="s">
        <v>132</v>
      </c>
      <c r="D37" s="50" t="s">
        <v>133</v>
      </c>
      <c r="E37" s="48"/>
      <c r="F37" s="48" t="s">
        <v>33</v>
      </c>
      <c r="G37" s="48" t="s">
        <v>134</v>
      </c>
      <c r="H37" s="48" t="s">
        <v>33</v>
      </c>
      <c r="I37" s="48" t="s">
        <v>135</v>
      </c>
      <c r="J37" s="48" t="s">
        <v>35</v>
      </c>
      <c r="K37" s="48" t="s">
        <v>50</v>
      </c>
      <c r="L37" s="48" t="s">
        <v>51</v>
      </c>
      <c r="M37" s="48"/>
      <c r="N37" s="48"/>
      <c r="O37" s="48"/>
      <c r="P37" s="48"/>
      <c r="Q37" s="48"/>
      <c r="R37" s="48" t="s">
        <v>36</v>
      </c>
      <c r="S37" s="48"/>
      <c r="T37" s="48"/>
      <c r="U37" s="48"/>
      <c r="V37" s="48"/>
      <c r="W37" s="48"/>
      <c r="X37" s="48" t="s">
        <v>136</v>
      </c>
      <c r="Y37" s="48"/>
      <c r="Z37" s="49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  <c r="BR37" s="54"/>
      <c r="BS37" s="54"/>
      <c r="BT37" s="54"/>
      <c r="BU37" s="54"/>
      <c r="BV37" s="54"/>
      <c r="BW37" s="54"/>
      <c r="BX37" s="54"/>
      <c r="BY37" s="54"/>
      <c r="BZ37" s="54"/>
      <c r="CA37" s="54"/>
      <c r="CB37" s="54"/>
      <c r="CC37" s="54"/>
      <c r="CD37" s="54"/>
      <c r="CE37" s="54"/>
      <c r="CF37" s="54"/>
      <c r="CG37" s="54"/>
      <c r="CH37" s="54"/>
      <c r="CI37" s="54"/>
      <c r="CJ37" s="54"/>
      <c r="CK37" s="54"/>
      <c r="CL37" s="54"/>
      <c r="CM37" s="54"/>
      <c r="CN37" s="54"/>
      <c r="CO37" s="54"/>
      <c r="CP37" s="54"/>
      <c r="CQ37" s="54"/>
      <c r="CR37" s="54"/>
      <c r="CS37" s="54"/>
      <c r="CT37" s="54"/>
      <c r="CU37" s="54"/>
      <c r="CV37" s="54"/>
      <c r="CW37" s="54"/>
      <c r="CX37" s="54"/>
      <c r="CY37" s="54"/>
      <c r="CZ37" s="54"/>
      <c r="DA37" s="54"/>
      <c r="DB37" s="54"/>
      <c r="DC37" s="54"/>
      <c r="DD37" s="54"/>
      <c r="DE37" s="54"/>
      <c r="DF37" s="54"/>
      <c r="DG37" s="54"/>
      <c r="DH37" s="54"/>
      <c r="DI37" s="54"/>
      <c r="DJ37" s="54"/>
      <c r="DK37" s="54"/>
      <c r="DL37" s="54"/>
      <c r="DM37" s="54"/>
      <c r="DN37" s="54"/>
      <c r="DO37" s="54"/>
      <c r="DP37" s="54"/>
      <c r="DQ37" s="54"/>
      <c r="DR37" s="54"/>
      <c r="DS37" s="54"/>
      <c r="DT37" s="54"/>
      <c r="DU37" s="54"/>
      <c r="DV37" s="54"/>
      <c r="DW37" s="54"/>
      <c r="DX37" s="54"/>
      <c r="DY37" s="54"/>
      <c r="DZ37" s="54"/>
      <c r="EA37" s="54"/>
      <c r="EB37" s="54"/>
      <c r="EC37" s="54"/>
      <c r="ED37" s="54"/>
      <c r="EE37" s="54"/>
      <c r="EF37" s="54"/>
      <c r="EG37" s="54"/>
      <c r="EH37" s="54"/>
      <c r="EI37" s="54"/>
      <c r="EJ37" s="54"/>
      <c r="EK37" s="54"/>
      <c r="EL37" s="54"/>
      <c r="EM37" s="54"/>
      <c r="EN37" s="54"/>
      <c r="EO37" s="54"/>
      <c r="EP37" s="54"/>
      <c r="EQ37" s="54"/>
      <c r="ER37" s="54"/>
      <c r="ES37" s="54"/>
      <c r="ET37" s="54"/>
      <c r="EU37" s="54"/>
      <c r="EV37" s="54"/>
      <c r="EW37" s="54"/>
      <c r="EX37" s="54"/>
      <c r="EY37" s="54"/>
      <c r="EZ37" s="54"/>
      <c r="FA37" s="54"/>
      <c r="FB37" s="54"/>
      <c r="FC37" s="54"/>
      <c r="FD37" s="54"/>
      <c r="FE37" s="54"/>
      <c r="FF37" s="54"/>
      <c r="FG37" s="54"/>
      <c r="FH37" s="54"/>
      <c r="FI37" s="54"/>
      <c r="FJ37" s="54"/>
      <c r="FK37" s="54"/>
      <c r="FL37" s="54"/>
      <c r="FM37" s="54"/>
      <c r="FN37" s="54"/>
      <c r="FO37" s="54"/>
      <c r="FP37" s="54"/>
      <c r="FQ37" s="54"/>
      <c r="FR37" s="54"/>
      <c r="FS37" s="54"/>
      <c r="FT37" s="54"/>
      <c r="FU37" s="54"/>
      <c r="FV37" s="54"/>
      <c r="FW37" s="54"/>
      <c r="FX37" s="54"/>
      <c r="FY37" s="54"/>
      <c r="FZ37" s="54"/>
      <c r="GA37" s="54"/>
      <c r="GB37" s="54"/>
      <c r="GC37" s="54"/>
      <c r="GD37" s="54"/>
      <c r="GE37" s="54"/>
      <c r="GF37" s="54"/>
      <c r="GG37" s="54"/>
      <c r="GH37" s="54"/>
      <c r="GI37" s="54"/>
      <c r="GJ37" s="54"/>
      <c r="GK37" s="54"/>
      <c r="GL37" s="54"/>
      <c r="GM37" s="54"/>
      <c r="GN37" s="54"/>
      <c r="GO37" s="54"/>
      <c r="GP37" s="54"/>
      <c r="GQ37" s="54"/>
      <c r="GR37" s="54"/>
      <c r="GS37" s="54"/>
      <c r="GT37" s="54"/>
      <c r="GU37" s="54"/>
      <c r="GV37" s="54"/>
      <c r="GW37" s="54"/>
      <c r="GX37" s="54"/>
      <c r="GY37" s="54"/>
      <c r="GZ37" s="54"/>
      <c r="HA37" s="54"/>
      <c r="HB37" s="54"/>
      <c r="HC37" s="54"/>
      <c r="HD37" s="54"/>
      <c r="HE37" s="54"/>
      <c r="HF37" s="54"/>
      <c r="HG37" s="54"/>
      <c r="HH37" s="54"/>
      <c r="HI37" s="54"/>
      <c r="HJ37" s="54"/>
      <c r="HK37" s="54"/>
      <c r="HL37" s="54"/>
      <c r="HM37" s="54"/>
      <c r="HN37" s="54"/>
      <c r="HO37" s="54"/>
      <c r="HP37" s="54"/>
      <c r="HQ37" s="54"/>
      <c r="HR37" s="54"/>
      <c r="HS37" s="54"/>
      <c r="HT37" s="54"/>
      <c r="HU37" s="54"/>
      <c r="HV37" s="54"/>
      <c r="HW37" s="54"/>
      <c r="HX37" s="54"/>
      <c r="HY37" s="54"/>
      <c r="HZ37" s="54"/>
      <c r="IA37" s="54"/>
    </row>
    <row r="38" ht="130.5" customHeight="1" spans="2:235">
      <c r="B38" s="51" t="s">
        <v>184</v>
      </c>
      <c r="C38" s="49" t="s">
        <v>138</v>
      </c>
      <c r="D38" s="50" t="s">
        <v>139</v>
      </c>
      <c r="E38" s="48"/>
      <c r="F38" s="48" t="s">
        <v>32</v>
      </c>
      <c r="G38" s="48" t="s">
        <v>134</v>
      </c>
      <c r="H38" s="48" t="s">
        <v>33</v>
      </c>
      <c r="I38" s="48" t="s">
        <v>135</v>
      </c>
      <c r="J38" s="48" t="s">
        <v>35</v>
      </c>
      <c r="K38" s="48" t="s">
        <v>50</v>
      </c>
      <c r="L38" s="48" t="s">
        <v>51</v>
      </c>
      <c r="M38" s="48"/>
      <c r="N38" s="48"/>
      <c r="O38" s="48"/>
      <c r="P38" s="48"/>
      <c r="Q38" s="48"/>
      <c r="R38" s="48" t="s">
        <v>36</v>
      </c>
      <c r="S38" s="48"/>
      <c r="T38" s="48"/>
      <c r="U38" s="48"/>
      <c r="V38" s="48"/>
      <c r="W38" s="48"/>
      <c r="X38" s="48" t="s">
        <v>140</v>
      </c>
      <c r="Y38" s="48"/>
      <c r="Z38" s="49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4"/>
      <c r="CG38" s="54"/>
      <c r="CH38" s="54"/>
      <c r="CI38" s="54"/>
      <c r="CJ38" s="54"/>
      <c r="CK38" s="54"/>
      <c r="CL38" s="54"/>
      <c r="CM38" s="54"/>
      <c r="CN38" s="54"/>
      <c r="CO38" s="54"/>
      <c r="CP38" s="54"/>
      <c r="CQ38" s="54"/>
      <c r="CR38" s="54"/>
      <c r="CS38" s="54"/>
      <c r="CT38" s="54"/>
      <c r="CU38" s="54"/>
      <c r="CV38" s="54"/>
      <c r="CW38" s="54"/>
      <c r="CX38" s="54"/>
      <c r="CY38" s="54"/>
      <c r="CZ38" s="54"/>
      <c r="DA38" s="54"/>
      <c r="DB38" s="54"/>
      <c r="DC38" s="54"/>
      <c r="DD38" s="54"/>
      <c r="DE38" s="54"/>
      <c r="DF38" s="54"/>
      <c r="DG38" s="54"/>
      <c r="DH38" s="54"/>
      <c r="DI38" s="54"/>
      <c r="DJ38" s="54"/>
      <c r="DK38" s="54"/>
      <c r="DL38" s="54"/>
      <c r="DM38" s="54"/>
      <c r="DN38" s="54"/>
      <c r="DO38" s="54"/>
      <c r="DP38" s="54"/>
      <c r="DQ38" s="54"/>
      <c r="DR38" s="54"/>
      <c r="DS38" s="54"/>
      <c r="DT38" s="54"/>
      <c r="DU38" s="54"/>
      <c r="DV38" s="54"/>
      <c r="DW38" s="54"/>
      <c r="DX38" s="54"/>
      <c r="DY38" s="54"/>
      <c r="DZ38" s="54"/>
      <c r="EA38" s="54"/>
      <c r="EB38" s="54"/>
      <c r="EC38" s="54"/>
      <c r="ED38" s="54"/>
      <c r="EE38" s="54"/>
      <c r="EF38" s="54"/>
      <c r="EG38" s="54"/>
      <c r="EH38" s="54"/>
      <c r="EI38" s="54"/>
      <c r="EJ38" s="54"/>
      <c r="EK38" s="54"/>
      <c r="EL38" s="54"/>
      <c r="EM38" s="54"/>
      <c r="EN38" s="54"/>
      <c r="EO38" s="54"/>
      <c r="EP38" s="54"/>
      <c r="EQ38" s="54"/>
      <c r="ER38" s="54"/>
      <c r="ES38" s="54"/>
      <c r="ET38" s="54"/>
      <c r="EU38" s="54"/>
      <c r="EV38" s="54"/>
      <c r="EW38" s="54"/>
      <c r="EX38" s="54"/>
      <c r="EY38" s="54"/>
      <c r="EZ38" s="54"/>
      <c r="FA38" s="54"/>
      <c r="FB38" s="54"/>
      <c r="FC38" s="54"/>
      <c r="FD38" s="54"/>
      <c r="FE38" s="54"/>
      <c r="FF38" s="54"/>
      <c r="FG38" s="54"/>
      <c r="FH38" s="54"/>
      <c r="FI38" s="54"/>
      <c r="FJ38" s="54"/>
      <c r="FK38" s="54"/>
      <c r="FL38" s="54"/>
      <c r="FM38" s="54"/>
      <c r="FN38" s="54"/>
      <c r="FO38" s="54"/>
      <c r="FP38" s="54"/>
      <c r="FQ38" s="54"/>
      <c r="FR38" s="54"/>
      <c r="FS38" s="54"/>
      <c r="FT38" s="54"/>
      <c r="FU38" s="54"/>
      <c r="FV38" s="54"/>
      <c r="FW38" s="54"/>
      <c r="FX38" s="54"/>
      <c r="FY38" s="54"/>
      <c r="FZ38" s="54"/>
      <c r="GA38" s="54"/>
      <c r="GB38" s="54"/>
      <c r="GC38" s="54"/>
      <c r="GD38" s="54"/>
      <c r="GE38" s="54"/>
      <c r="GF38" s="54"/>
      <c r="GG38" s="54"/>
      <c r="GH38" s="54"/>
      <c r="GI38" s="54"/>
      <c r="GJ38" s="54"/>
      <c r="GK38" s="54"/>
      <c r="GL38" s="54"/>
      <c r="GM38" s="54"/>
      <c r="GN38" s="54"/>
      <c r="GO38" s="54"/>
      <c r="GP38" s="54"/>
      <c r="GQ38" s="54"/>
      <c r="GR38" s="54"/>
      <c r="GS38" s="54"/>
      <c r="GT38" s="54"/>
      <c r="GU38" s="54"/>
      <c r="GV38" s="54"/>
      <c r="GW38" s="54"/>
      <c r="GX38" s="54"/>
      <c r="GY38" s="54"/>
      <c r="GZ38" s="54"/>
      <c r="HA38" s="54"/>
      <c r="HB38" s="54"/>
      <c r="HC38" s="54"/>
      <c r="HD38" s="54"/>
      <c r="HE38" s="54"/>
      <c r="HF38" s="54"/>
      <c r="HG38" s="54"/>
      <c r="HH38" s="54"/>
      <c r="HI38" s="54"/>
      <c r="HJ38" s="54"/>
      <c r="HK38" s="54"/>
      <c r="HL38" s="54"/>
      <c r="HM38" s="54"/>
      <c r="HN38" s="54"/>
      <c r="HO38" s="54"/>
      <c r="HP38" s="54"/>
      <c r="HQ38" s="54"/>
      <c r="HR38" s="54"/>
      <c r="HS38" s="54"/>
      <c r="HT38" s="54"/>
      <c r="HU38" s="54"/>
      <c r="HV38" s="54"/>
      <c r="HW38" s="54"/>
      <c r="HX38" s="54"/>
      <c r="HY38" s="54"/>
      <c r="HZ38" s="54"/>
      <c r="IA38" s="54"/>
    </row>
    <row r="39" ht="130.5" customHeight="1" spans="2:235">
      <c r="B39" s="51" t="s">
        <v>185</v>
      </c>
      <c r="C39" s="52" t="s">
        <v>45</v>
      </c>
      <c r="D39" s="53" t="s">
        <v>46</v>
      </c>
      <c r="E39" s="51"/>
      <c r="F39" s="55" t="s">
        <v>186</v>
      </c>
      <c r="G39" s="51" t="s">
        <v>48</v>
      </c>
      <c r="H39" s="51" t="s">
        <v>33</v>
      </c>
      <c r="I39" s="51" t="s">
        <v>49</v>
      </c>
      <c r="J39" s="51" t="s">
        <v>35</v>
      </c>
      <c r="K39" s="51" t="s">
        <v>50</v>
      </c>
      <c r="L39" s="51" t="s">
        <v>51</v>
      </c>
      <c r="M39" s="51" t="s">
        <v>52</v>
      </c>
      <c r="N39" s="51"/>
      <c r="O39" s="51"/>
      <c r="P39" s="51"/>
      <c r="Q39" s="51"/>
      <c r="R39" s="51" t="s">
        <v>36</v>
      </c>
      <c r="S39" s="51"/>
      <c r="T39" s="51"/>
      <c r="U39" s="51"/>
      <c r="V39" s="51"/>
      <c r="W39" s="51"/>
      <c r="X39" s="51" t="s">
        <v>53</v>
      </c>
      <c r="Y39" s="48"/>
      <c r="Z39" s="52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54"/>
      <c r="CO39" s="54"/>
      <c r="CP39" s="54"/>
      <c r="CQ39" s="54"/>
      <c r="CR39" s="54"/>
      <c r="CS39" s="54"/>
      <c r="CT39" s="54"/>
      <c r="CU39" s="54"/>
      <c r="CV39" s="54"/>
      <c r="CW39" s="54"/>
      <c r="CX39" s="54"/>
      <c r="CY39" s="54"/>
      <c r="CZ39" s="54"/>
      <c r="DA39" s="54"/>
      <c r="DB39" s="54"/>
      <c r="DC39" s="54"/>
      <c r="DD39" s="54"/>
      <c r="DE39" s="54"/>
      <c r="DF39" s="54"/>
      <c r="DG39" s="54"/>
      <c r="DH39" s="54"/>
      <c r="DI39" s="54"/>
      <c r="DJ39" s="54"/>
      <c r="DK39" s="54"/>
      <c r="DL39" s="54"/>
      <c r="DM39" s="54"/>
      <c r="DN39" s="54"/>
      <c r="DO39" s="54"/>
      <c r="DP39" s="54"/>
      <c r="DQ39" s="54"/>
      <c r="DR39" s="54"/>
      <c r="DS39" s="54"/>
      <c r="DT39" s="54"/>
      <c r="DU39" s="54"/>
      <c r="DV39" s="54"/>
      <c r="DW39" s="54"/>
      <c r="DX39" s="54"/>
      <c r="DY39" s="54"/>
      <c r="DZ39" s="54"/>
      <c r="EA39" s="54"/>
      <c r="EB39" s="54"/>
      <c r="EC39" s="54"/>
      <c r="ED39" s="54"/>
      <c r="EE39" s="54"/>
      <c r="EF39" s="54"/>
      <c r="EG39" s="54"/>
      <c r="EH39" s="54"/>
      <c r="EI39" s="54"/>
      <c r="EJ39" s="54"/>
      <c r="EK39" s="54"/>
      <c r="EL39" s="54"/>
      <c r="EM39" s="54"/>
      <c r="EN39" s="54"/>
      <c r="EO39" s="54"/>
      <c r="EP39" s="54"/>
      <c r="EQ39" s="54"/>
      <c r="ER39" s="54"/>
      <c r="ES39" s="54"/>
      <c r="ET39" s="54"/>
      <c r="EU39" s="54"/>
      <c r="EV39" s="54"/>
      <c r="EW39" s="54"/>
      <c r="EX39" s="54"/>
      <c r="EY39" s="54"/>
      <c r="EZ39" s="54"/>
      <c r="FA39" s="54"/>
      <c r="FB39" s="54"/>
      <c r="FC39" s="54"/>
      <c r="FD39" s="54"/>
      <c r="FE39" s="54"/>
      <c r="FF39" s="54"/>
      <c r="FG39" s="54"/>
      <c r="FH39" s="54"/>
      <c r="FI39" s="54"/>
      <c r="FJ39" s="54"/>
      <c r="FK39" s="54"/>
      <c r="FL39" s="54"/>
      <c r="FM39" s="54"/>
      <c r="FN39" s="54"/>
      <c r="FO39" s="54"/>
      <c r="FP39" s="54"/>
      <c r="FQ39" s="54"/>
      <c r="FR39" s="54"/>
      <c r="FS39" s="54"/>
      <c r="FT39" s="54"/>
      <c r="FU39" s="54"/>
      <c r="FV39" s="54"/>
      <c r="FW39" s="54"/>
      <c r="FX39" s="54"/>
      <c r="FY39" s="54"/>
      <c r="FZ39" s="54"/>
      <c r="GA39" s="54"/>
      <c r="GB39" s="54"/>
      <c r="GC39" s="54"/>
      <c r="GD39" s="54"/>
      <c r="GE39" s="54"/>
      <c r="GF39" s="54"/>
      <c r="GG39" s="54"/>
      <c r="GH39" s="54"/>
      <c r="GI39" s="54"/>
      <c r="GJ39" s="54"/>
      <c r="GK39" s="54"/>
      <c r="GL39" s="54"/>
      <c r="GM39" s="54"/>
      <c r="GN39" s="54"/>
      <c r="GO39" s="54"/>
      <c r="GP39" s="54"/>
      <c r="GQ39" s="54"/>
      <c r="GR39" s="54"/>
      <c r="GS39" s="54"/>
      <c r="GT39" s="54"/>
      <c r="GU39" s="54"/>
      <c r="GV39" s="54"/>
      <c r="GW39" s="54"/>
      <c r="GX39" s="54"/>
      <c r="GY39" s="54"/>
      <c r="GZ39" s="54"/>
      <c r="HA39" s="54"/>
      <c r="HB39" s="54"/>
      <c r="HC39" s="54"/>
      <c r="HD39" s="54"/>
      <c r="HE39" s="54"/>
      <c r="HF39" s="54"/>
      <c r="HG39" s="54"/>
      <c r="HH39" s="54"/>
      <c r="HI39" s="54"/>
      <c r="HJ39" s="54"/>
      <c r="HK39" s="54"/>
      <c r="HL39" s="54"/>
      <c r="HM39" s="54"/>
      <c r="HN39" s="54"/>
      <c r="HO39" s="54"/>
      <c r="HP39" s="54"/>
      <c r="HQ39" s="54"/>
      <c r="HR39" s="54"/>
      <c r="HS39" s="54"/>
      <c r="HT39" s="54"/>
      <c r="HU39" s="54"/>
      <c r="HV39" s="54"/>
      <c r="HW39" s="54"/>
      <c r="HX39" s="54"/>
      <c r="HY39" s="54"/>
      <c r="HZ39" s="54"/>
      <c r="IA39" s="54"/>
    </row>
    <row r="40" ht="130.5" customHeight="1" spans="2:235">
      <c r="B40" s="51" t="s">
        <v>187</v>
      </c>
      <c r="C40" s="52" t="s">
        <v>55</v>
      </c>
      <c r="D40" s="53" t="s">
        <v>56</v>
      </c>
      <c r="E40" s="51"/>
      <c r="F40" s="55" t="s">
        <v>188</v>
      </c>
      <c r="G40" s="51" t="s">
        <v>48</v>
      </c>
      <c r="H40" s="51" t="s">
        <v>33</v>
      </c>
      <c r="I40" s="51" t="s">
        <v>58</v>
      </c>
      <c r="J40" s="51" t="s">
        <v>35</v>
      </c>
      <c r="K40" s="51" t="s">
        <v>50</v>
      </c>
      <c r="L40" s="51" t="s">
        <v>51</v>
      </c>
      <c r="M40" s="51" t="s">
        <v>59</v>
      </c>
      <c r="N40" s="51"/>
      <c r="O40" s="51"/>
      <c r="P40" s="51"/>
      <c r="Q40" s="51"/>
      <c r="R40" s="51" t="s">
        <v>36</v>
      </c>
      <c r="S40" s="51"/>
      <c r="T40" s="51"/>
      <c r="U40" s="51"/>
      <c r="V40" s="51"/>
      <c r="W40" s="51"/>
      <c r="X40" s="51" t="s">
        <v>60</v>
      </c>
      <c r="Y40" s="48"/>
      <c r="Z40" s="52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/>
      <c r="BU40" s="54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F40" s="54"/>
      <c r="CG40" s="54"/>
      <c r="CH40" s="54"/>
      <c r="CI40" s="54"/>
      <c r="CJ40" s="54"/>
      <c r="CK40" s="54"/>
      <c r="CL40" s="54"/>
      <c r="CM40" s="54"/>
      <c r="CN40" s="54"/>
      <c r="CO40" s="54"/>
      <c r="CP40" s="54"/>
      <c r="CQ40" s="54"/>
      <c r="CR40" s="54"/>
      <c r="CS40" s="54"/>
      <c r="CT40" s="54"/>
      <c r="CU40" s="54"/>
      <c r="CV40" s="54"/>
      <c r="CW40" s="54"/>
      <c r="CX40" s="54"/>
      <c r="CY40" s="54"/>
      <c r="CZ40" s="54"/>
      <c r="DA40" s="54"/>
      <c r="DB40" s="54"/>
      <c r="DC40" s="54"/>
      <c r="DD40" s="54"/>
      <c r="DE40" s="54"/>
      <c r="DF40" s="54"/>
      <c r="DG40" s="54"/>
      <c r="DH40" s="54"/>
      <c r="DI40" s="54"/>
      <c r="DJ40" s="54"/>
      <c r="DK40" s="54"/>
      <c r="DL40" s="54"/>
      <c r="DM40" s="54"/>
      <c r="DN40" s="54"/>
      <c r="DO40" s="54"/>
      <c r="DP40" s="54"/>
      <c r="DQ40" s="54"/>
      <c r="DR40" s="54"/>
      <c r="DS40" s="54"/>
      <c r="DT40" s="54"/>
      <c r="DU40" s="54"/>
      <c r="DV40" s="54"/>
      <c r="DW40" s="54"/>
      <c r="DX40" s="54"/>
      <c r="DY40" s="54"/>
      <c r="DZ40" s="54"/>
      <c r="EA40" s="54"/>
      <c r="EB40" s="54"/>
      <c r="EC40" s="54"/>
      <c r="ED40" s="54"/>
      <c r="EE40" s="54"/>
      <c r="EF40" s="54"/>
      <c r="EG40" s="54"/>
      <c r="EH40" s="54"/>
      <c r="EI40" s="54"/>
      <c r="EJ40" s="54"/>
      <c r="EK40" s="54"/>
      <c r="EL40" s="54"/>
      <c r="EM40" s="54"/>
      <c r="EN40" s="54"/>
      <c r="EO40" s="54"/>
      <c r="EP40" s="54"/>
      <c r="EQ40" s="54"/>
      <c r="ER40" s="54"/>
      <c r="ES40" s="54"/>
      <c r="ET40" s="54"/>
      <c r="EU40" s="54"/>
      <c r="EV40" s="54"/>
      <c r="EW40" s="54"/>
      <c r="EX40" s="54"/>
      <c r="EY40" s="54"/>
      <c r="EZ40" s="54"/>
      <c r="FA40" s="54"/>
      <c r="FB40" s="54"/>
      <c r="FC40" s="54"/>
      <c r="FD40" s="54"/>
      <c r="FE40" s="54"/>
      <c r="FF40" s="54"/>
      <c r="FG40" s="54"/>
      <c r="FH40" s="54"/>
      <c r="FI40" s="54"/>
      <c r="FJ40" s="54"/>
      <c r="FK40" s="54"/>
      <c r="FL40" s="54"/>
      <c r="FM40" s="54"/>
      <c r="FN40" s="54"/>
      <c r="FO40" s="54"/>
      <c r="FP40" s="54"/>
      <c r="FQ40" s="54"/>
      <c r="FR40" s="54"/>
      <c r="FS40" s="54"/>
      <c r="FT40" s="54"/>
      <c r="FU40" s="54"/>
      <c r="FV40" s="54"/>
      <c r="FW40" s="54"/>
      <c r="FX40" s="54"/>
      <c r="FY40" s="54"/>
      <c r="FZ40" s="54"/>
      <c r="GA40" s="54"/>
      <c r="GB40" s="54"/>
      <c r="GC40" s="54"/>
      <c r="GD40" s="54"/>
      <c r="GE40" s="54"/>
      <c r="GF40" s="54"/>
      <c r="GG40" s="54"/>
      <c r="GH40" s="54"/>
      <c r="GI40" s="54"/>
      <c r="GJ40" s="54"/>
      <c r="GK40" s="54"/>
      <c r="GL40" s="54"/>
      <c r="GM40" s="54"/>
      <c r="GN40" s="54"/>
      <c r="GO40" s="54"/>
      <c r="GP40" s="54"/>
      <c r="GQ40" s="54"/>
      <c r="GR40" s="54"/>
      <c r="GS40" s="54"/>
      <c r="GT40" s="54"/>
      <c r="GU40" s="54"/>
      <c r="GV40" s="54"/>
      <c r="GW40" s="54"/>
      <c r="GX40" s="54"/>
      <c r="GY40" s="54"/>
      <c r="GZ40" s="54"/>
      <c r="HA40" s="54"/>
      <c r="HB40" s="54"/>
      <c r="HC40" s="54"/>
      <c r="HD40" s="54"/>
      <c r="HE40" s="54"/>
      <c r="HF40" s="54"/>
      <c r="HG40" s="54"/>
      <c r="HH40" s="54"/>
      <c r="HI40" s="54"/>
      <c r="HJ40" s="54"/>
      <c r="HK40" s="54"/>
      <c r="HL40" s="54"/>
      <c r="HM40" s="54"/>
      <c r="HN40" s="54"/>
      <c r="HO40" s="54"/>
      <c r="HP40" s="54"/>
      <c r="HQ40" s="54"/>
      <c r="HR40" s="54"/>
      <c r="HS40" s="54"/>
      <c r="HT40" s="54"/>
      <c r="HU40" s="54"/>
      <c r="HV40" s="54"/>
      <c r="HW40" s="54"/>
      <c r="HX40" s="54"/>
      <c r="HY40" s="54"/>
      <c r="HZ40" s="54"/>
      <c r="IA40" s="54"/>
    </row>
    <row r="41" ht="130.5" customHeight="1" spans="2:235">
      <c r="B41" s="51" t="s">
        <v>189</v>
      </c>
      <c r="C41" s="49" t="s">
        <v>62</v>
      </c>
      <c r="D41" s="50" t="s">
        <v>63</v>
      </c>
      <c r="E41" s="48"/>
      <c r="F41" s="48" t="s">
        <v>64</v>
      </c>
      <c r="G41" s="48" t="s">
        <v>65</v>
      </c>
      <c r="H41" s="48" t="s">
        <v>33</v>
      </c>
      <c r="I41" s="48" t="s">
        <v>66</v>
      </c>
      <c r="J41" s="48" t="s">
        <v>35</v>
      </c>
      <c r="K41" s="48" t="s">
        <v>66</v>
      </c>
      <c r="L41" s="48"/>
      <c r="M41" s="48" t="s">
        <v>67</v>
      </c>
      <c r="N41" s="48"/>
      <c r="O41" s="48"/>
      <c r="P41" s="48"/>
      <c r="Q41" s="48"/>
      <c r="R41" s="48" t="s">
        <v>36</v>
      </c>
      <c r="S41" s="48"/>
      <c r="T41" s="48"/>
      <c r="U41" s="48"/>
      <c r="V41" s="48"/>
      <c r="W41" s="48"/>
      <c r="X41" s="48" t="s">
        <v>68</v>
      </c>
      <c r="Y41" s="48"/>
      <c r="Z41" s="49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54"/>
      <c r="CD41" s="54"/>
      <c r="CE41" s="54"/>
      <c r="CF41" s="54"/>
      <c r="CG41" s="54"/>
      <c r="CH41" s="54"/>
      <c r="CI41" s="54"/>
      <c r="CJ41" s="54"/>
      <c r="CK41" s="54"/>
      <c r="CL41" s="54"/>
      <c r="CM41" s="54"/>
      <c r="CN41" s="54"/>
      <c r="CO41" s="54"/>
      <c r="CP41" s="54"/>
      <c r="CQ41" s="54"/>
      <c r="CR41" s="54"/>
      <c r="CS41" s="54"/>
      <c r="CT41" s="54"/>
      <c r="CU41" s="54"/>
      <c r="CV41" s="54"/>
      <c r="CW41" s="54"/>
      <c r="CX41" s="54"/>
      <c r="CY41" s="54"/>
      <c r="CZ41" s="54"/>
      <c r="DA41" s="54"/>
      <c r="DB41" s="54"/>
      <c r="DC41" s="54"/>
      <c r="DD41" s="54"/>
      <c r="DE41" s="54"/>
      <c r="DF41" s="54"/>
      <c r="DG41" s="54"/>
      <c r="DH41" s="54"/>
      <c r="DI41" s="54"/>
      <c r="DJ41" s="54"/>
      <c r="DK41" s="54"/>
      <c r="DL41" s="54"/>
      <c r="DM41" s="54"/>
      <c r="DN41" s="54"/>
      <c r="DO41" s="54"/>
      <c r="DP41" s="54"/>
      <c r="DQ41" s="54"/>
      <c r="DR41" s="54"/>
      <c r="DS41" s="54"/>
      <c r="DT41" s="54"/>
      <c r="DU41" s="54"/>
      <c r="DV41" s="54"/>
      <c r="DW41" s="54"/>
      <c r="DX41" s="54"/>
      <c r="DY41" s="54"/>
      <c r="DZ41" s="54"/>
      <c r="EA41" s="54"/>
      <c r="EB41" s="54"/>
      <c r="EC41" s="54"/>
      <c r="ED41" s="54"/>
      <c r="EE41" s="54"/>
      <c r="EF41" s="54"/>
      <c r="EG41" s="54"/>
      <c r="EH41" s="54"/>
      <c r="EI41" s="54"/>
      <c r="EJ41" s="54"/>
      <c r="EK41" s="54"/>
      <c r="EL41" s="54"/>
      <c r="EM41" s="54"/>
      <c r="EN41" s="54"/>
      <c r="EO41" s="54"/>
      <c r="EP41" s="54"/>
      <c r="EQ41" s="54"/>
      <c r="ER41" s="54"/>
      <c r="ES41" s="54"/>
      <c r="ET41" s="54"/>
      <c r="EU41" s="54"/>
      <c r="EV41" s="54"/>
      <c r="EW41" s="54"/>
      <c r="EX41" s="54"/>
      <c r="EY41" s="54"/>
      <c r="EZ41" s="54"/>
      <c r="FA41" s="54"/>
      <c r="FB41" s="54"/>
      <c r="FC41" s="54"/>
      <c r="FD41" s="54"/>
      <c r="FE41" s="54"/>
      <c r="FF41" s="54"/>
      <c r="FG41" s="54"/>
      <c r="FH41" s="54"/>
      <c r="FI41" s="54"/>
      <c r="FJ41" s="54"/>
      <c r="FK41" s="54"/>
      <c r="FL41" s="54"/>
      <c r="FM41" s="54"/>
      <c r="FN41" s="54"/>
      <c r="FO41" s="54"/>
      <c r="FP41" s="54"/>
      <c r="FQ41" s="54"/>
      <c r="FR41" s="54"/>
      <c r="FS41" s="54"/>
      <c r="FT41" s="54"/>
      <c r="FU41" s="54"/>
      <c r="FV41" s="54"/>
      <c r="FW41" s="54"/>
      <c r="FX41" s="54"/>
      <c r="FY41" s="54"/>
      <c r="FZ41" s="54"/>
      <c r="GA41" s="54"/>
      <c r="GB41" s="54"/>
      <c r="GC41" s="54"/>
      <c r="GD41" s="54"/>
      <c r="GE41" s="54"/>
      <c r="GF41" s="54"/>
      <c r="GG41" s="54"/>
      <c r="GH41" s="54"/>
      <c r="GI41" s="54"/>
      <c r="GJ41" s="54"/>
      <c r="GK41" s="54"/>
      <c r="GL41" s="54"/>
      <c r="GM41" s="54"/>
      <c r="GN41" s="54"/>
      <c r="GO41" s="54"/>
      <c r="GP41" s="54"/>
      <c r="GQ41" s="54"/>
      <c r="GR41" s="54"/>
      <c r="GS41" s="54"/>
      <c r="GT41" s="54"/>
      <c r="GU41" s="54"/>
      <c r="GV41" s="54"/>
      <c r="GW41" s="54"/>
      <c r="GX41" s="54"/>
      <c r="GY41" s="54"/>
      <c r="GZ41" s="54"/>
      <c r="HA41" s="54"/>
      <c r="HB41" s="54"/>
      <c r="HC41" s="54"/>
      <c r="HD41" s="54"/>
      <c r="HE41" s="54"/>
      <c r="HF41" s="54"/>
      <c r="HG41" s="54"/>
      <c r="HH41" s="54"/>
      <c r="HI41" s="54"/>
      <c r="HJ41" s="54"/>
      <c r="HK41" s="54"/>
      <c r="HL41" s="54"/>
      <c r="HM41" s="54"/>
      <c r="HN41" s="54"/>
      <c r="HO41" s="54"/>
      <c r="HP41" s="54"/>
      <c r="HQ41" s="54"/>
      <c r="HR41" s="54"/>
      <c r="HS41" s="54"/>
      <c r="HT41" s="54"/>
      <c r="HU41" s="54"/>
      <c r="HV41" s="54"/>
      <c r="HW41" s="54"/>
      <c r="HX41" s="54"/>
      <c r="HY41" s="54"/>
      <c r="HZ41" s="54"/>
      <c r="IA41" s="54"/>
    </row>
    <row r="42" ht="130.5" customHeight="1" spans="2:235">
      <c r="B42" s="51" t="s">
        <v>190</v>
      </c>
      <c r="C42" s="60" t="s">
        <v>70</v>
      </c>
      <c r="D42" s="61" t="s">
        <v>71</v>
      </c>
      <c r="E42" s="35"/>
      <c r="F42" s="62" t="s">
        <v>191</v>
      </c>
      <c r="G42" s="35" t="s">
        <v>73</v>
      </c>
      <c r="H42" s="35" t="s">
        <v>33</v>
      </c>
      <c r="I42" s="35" t="s">
        <v>74</v>
      </c>
      <c r="J42" s="35" t="s">
        <v>75</v>
      </c>
      <c r="K42" s="35" t="s">
        <v>50</v>
      </c>
      <c r="L42" s="35" t="s">
        <v>51</v>
      </c>
      <c r="M42" s="35" t="s">
        <v>76</v>
      </c>
      <c r="N42" s="35"/>
      <c r="O42" s="35"/>
      <c r="P42" s="35"/>
      <c r="Q42" s="35"/>
      <c r="R42" s="35" t="s">
        <v>36</v>
      </c>
      <c r="S42" s="35" t="s">
        <v>33</v>
      </c>
      <c r="T42" s="35"/>
      <c r="U42" s="35"/>
      <c r="V42" s="35"/>
      <c r="W42" s="35"/>
      <c r="X42" s="35" t="s">
        <v>77</v>
      </c>
      <c r="Y42" s="35" t="s">
        <v>192</v>
      </c>
      <c r="Z42" s="60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54"/>
      <c r="CO42" s="54"/>
      <c r="CP42" s="54"/>
      <c r="CQ42" s="54"/>
      <c r="CR42" s="54"/>
      <c r="CS42" s="54"/>
      <c r="CT42" s="54"/>
      <c r="CU42" s="54"/>
      <c r="CV42" s="54"/>
      <c r="CW42" s="54"/>
      <c r="CX42" s="54"/>
      <c r="CY42" s="54"/>
      <c r="CZ42" s="54"/>
      <c r="DA42" s="54"/>
      <c r="DB42" s="54"/>
      <c r="DC42" s="54"/>
      <c r="DD42" s="54"/>
      <c r="DE42" s="54"/>
      <c r="DF42" s="54"/>
      <c r="DG42" s="54"/>
      <c r="DH42" s="54"/>
      <c r="DI42" s="54"/>
      <c r="DJ42" s="54"/>
      <c r="DK42" s="54"/>
      <c r="DL42" s="54"/>
      <c r="DM42" s="54"/>
      <c r="DN42" s="54"/>
      <c r="DO42" s="54"/>
      <c r="DP42" s="54"/>
      <c r="DQ42" s="54"/>
      <c r="DR42" s="54"/>
      <c r="DS42" s="54"/>
      <c r="DT42" s="54"/>
      <c r="DU42" s="54"/>
      <c r="DV42" s="54"/>
      <c r="DW42" s="54"/>
      <c r="DX42" s="54"/>
      <c r="DY42" s="54"/>
      <c r="DZ42" s="54"/>
      <c r="EA42" s="54"/>
      <c r="EB42" s="54"/>
      <c r="EC42" s="54"/>
      <c r="ED42" s="54"/>
      <c r="EE42" s="54"/>
      <c r="EF42" s="54"/>
      <c r="EG42" s="54"/>
      <c r="EH42" s="54"/>
      <c r="EI42" s="54"/>
      <c r="EJ42" s="54"/>
      <c r="EK42" s="54"/>
      <c r="EL42" s="54"/>
      <c r="EM42" s="54"/>
      <c r="EN42" s="54"/>
      <c r="EO42" s="54"/>
      <c r="EP42" s="54"/>
      <c r="EQ42" s="54"/>
      <c r="ER42" s="54"/>
      <c r="ES42" s="54"/>
      <c r="ET42" s="54"/>
      <c r="EU42" s="54"/>
      <c r="EV42" s="54"/>
      <c r="EW42" s="54"/>
      <c r="EX42" s="54"/>
      <c r="EY42" s="54"/>
      <c r="EZ42" s="54"/>
      <c r="FA42" s="54"/>
      <c r="FB42" s="54"/>
      <c r="FC42" s="54"/>
      <c r="FD42" s="54"/>
      <c r="FE42" s="54"/>
      <c r="FF42" s="54"/>
      <c r="FG42" s="54"/>
      <c r="FH42" s="54"/>
      <c r="FI42" s="54"/>
      <c r="FJ42" s="54"/>
      <c r="FK42" s="54"/>
      <c r="FL42" s="54"/>
      <c r="FM42" s="54"/>
      <c r="FN42" s="54"/>
      <c r="FO42" s="54"/>
      <c r="FP42" s="54"/>
      <c r="FQ42" s="54"/>
      <c r="FR42" s="54"/>
      <c r="FS42" s="54"/>
      <c r="FT42" s="54"/>
      <c r="FU42" s="54"/>
      <c r="FV42" s="54"/>
      <c r="FW42" s="54"/>
      <c r="FX42" s="54"/>
      <c r="FY42" s="54"/>
      <c r="FZ42" s="54"/>
      <c r="GA42" s="54"/>
      <c r="GB42" s="54"/>
      <c r="GC42" s="54"/>
      <c r="GD42" s="54"/>
      <c r="GE42" s="54"/>
      <c r="GF42" s="54"/>
      <c r="GG42" s="54"/>
      <c r="GH42" s="54"/>
      <c r="GI42" s="54"/>
      <c r="GJ42" s="54"/>
      <c r="GK42" s="54"/>
      <c r="GL42" s="54"/>
      <c r="GM42" s="54"/>
      <c r="GN42" s="54"/>
      <c r="GO42" s="54"/>
      <c r="GP42" s="54"/>
      <c r="GQ42" s="54"/>
      <c r="GR42" s="54"/>
      <c r="GS42" s="54"/>
      <c r="GT42" s="54"/>
      <c r="GU42" s="54"/>
      <c r="GV42" s="54"/>
      <c r="GW42" s="54"/>
      <c r="GX42" s="54"/>
      <c r="GY42" s="54"/>
      <c r="GZ42" s="54"/>
      <c r="HA42" s="54"/>
      <c r="HB42" s="54"/>
      <c r="HC42" s="54"/>
      <c r="HD42" s="54"/>
      <c r="HE42" s="54"/>
      <c r="HF42" s="54"/>
      <c r="HG42" s="54"/>
      <c r="HH42" s="54"/>
      <c r="HI42" s="54"/>
      <c r="HJ42" s="54"/>
      <c r="HK42" s="54"/>
      <c r="HL42" s="54"/>
      <c r="HM42" s="54"/>
      <c r="HN42" s="54"/>
      <c r="HO42" s="54"/>
      <c r="HP42" s="54"/>
      <c r="HQ42" s="54"/>
      <c r="HR42" s="54"/>
      <c r="HS42" s="54"/>
      <c r="HT42" s="54"/>
      <c r="HU42" s="54"/>
      <c r="HV42" s="54"/>
      <c r="HW42" s="54"/>
      <c r="HX42" s="54"/>
      <c r="HY42" s="54"/>
      <c r="HZ42" s="54"/>
      <c r="IA42" s="54"/>
    </row>
    <row r="43" ht="130.5" customHeight="1" spans="2:235">
      <c r="B43" s="51" t="s">
        <v>193</v>
      </c>
      <c r="C43" s="60" t="s">
        <v>80</v>
      </c>
      <c r="D43" s="61" t="s">
        <v>81</v>
      </c>
      <c r="E43" s="35"/>
      <c r="F43" s="62" t="s">
        <v>194</v>
      </c>
      <c r="G43" s="35" t="s">
        <v>73</v>
      </c>
      <c r="H43" s="35" t="s">
        <v>33</v>
      </c>
      <c r="I43" s="35" t="s">
        <v>74</v>
      </c>
      <c r="J43" s="35" t="s">
        <v>75</v>
      </c>
      <c r="K43" s="35" t="s">
        <v>50</v>
      </c>
      <c r="L43" s="35" t="s">
        <v>51</v>
      </c>
      <c r="M43" s="35" t="s">
        <v>83</v>
      </c>
      <c r="N43" s="35"/>
      <c r="O43" s="35"/>
      <c r="P43" s="35"/>
      <c r="Q43" s="35"/>
      <c r="R43" s="35" t="s">
        <v>36</v>
      </c>
      <c r="S43" s="35" t="s">
        <v>32</v>
      </c>
      <c r="T43" s="35"/>
      <c r="U43" s="35"/>
      <c r="V43" s="35"/>
      <c r="W43" s="35"/>
      <c r="X43" s="35" t="s">
        <v>84</v>
      </c>
      <c r="Y43" s="35" t="s">
        <v>195</v>
      </c>
      <c r="Z43" s="60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BU43" s="54"/>
      <c r="BV43" s="54"/>
      <c r="BW43" s="54"/>
      <c r="BX43" s="54"/>
      <c r="BY43" s="54"/>
      <c r="BZ43" s="54"/>
      <c r="CA43" s="54"/>
      <c r="CB43" s="54"/>
      <c r="CC43" s="54"/>
      <c r="CD43" s="54"/>
      <c r="CE43" s="54"/>
      <c r="CF43" s="54"/>
      <c r="CG43" s="54"/>
      <c r="CH43" s="54"/>
      <c r="CI43" s="54"/>
      <c r="CJ43" s="54"/>
      <c r="CK43" s="54"/>
      <c r="CL43" s="54"/>
      <c r="CM43" s="54"/>
      <c r="CN43" s="54"/>
      <c r="CO43" s="54"/>
      <c r="CP43" s="54"/>
      <c r="CQ43" s="54"/>
      <c r="CR43" s="54"/>
      <c r="CS43" s="54"/>
      <c r="CT43" s="54"/>
      <c r="CU43" s="54"/>
      <c r="CV43" s="54"/>
      <c r="CW43" s="54"/>
      <c r="CX43" s="54"/>
      <c r="CY43" s="54"/>
      <c r="CZ43" s="54"/>
      <c r="DA43" s="54"/>
      <c r="DB43" s="54"/>
      <c r="DC43" s="54"/>
      <c r="DD43" s="54"/>
      <c r="DE43" s="54"/>
      <c r="DF43" s="54"/>
      <c r="DG43" s="54"/>
      <c r="DH43" s="54"/>
      <c r="DI43" s="54"/>
      <c r="DJ43" s="54"/>
      <c r="DK43" s="54"/>
      <c r="DL43" s="54"/>
      <c r="DM43" s="54"/>
      <c r="DN43" s="54"/>
      <c r="DO43" s="54"/>
      <c r="DP43" s="54"/>
      <c r="DQ43" s="54"/>
      <c r="DR43" s="54"/>
      <c r="DS43" s="54"/>
      <c r="DT43" s="54"/>
      <c r="DU43" s="54"/>
      <c r="DV43" s="54"/>
      <c r="DW43" s="54"/>
      <c r="DX43" s="54"/>
      <c r="DY43" s="54"/>
      <c r="DZ43" s="54"/>
      <c r="EA43" s="54"/>
      <c r="EB43" s="54"/>
      <c r="EC43" s="54"/>
      <c r="ED43" s="54"/>
      <c r="EE43" s="54"/>
      <c r="EF43" s="54"/>
      <c r="EG43" s="54"/>
      <c r="EH43" s="54"/>
      <c r="EI43" s="54"/>
      <c r="EJ43" s="54"/>
      <c r="EK43" s="54"/>
      <c r="EL43" s="54"/>
      <c r="EM43" s="54"/>
      <c r="EN43" s="54"/>
      <c r="EO43" s="54"/>
      <c r="EP43" s="54"/>
      <c r="EQ43" s="54"/>
      <c r="ER43" s="54"/>
      <c r="ES43" s="54"/>
      <c r="ET43" s="54"/>
      <c r="EU43" s="54"/>
      <c r="EV43" s="54"/>
      <c r="EW43" s="54"/>
      <c r="EX43" s="54"/>
      <c r="EY43" s="54"/>
      <c r="EZ43" s="54"/>
      <c r="FA43" s="54"/>
      <c r="FB43" s="54"/>
      <c r="FC43" s="54"/>
      <c r="FD43" s="54"/>
      <c r="FE43" s="54"/>
      <c r="FF43" s="54"/>
      <c r="FG43" s="54"/>
      <c r="FH43" s="54"/>
      <c r="FI43" s="54"/>
      <c r="FJ43" s="54"/>
      <c r="FK43" s="54"/>
      <c r="FL43" s="54"/>
      <c r="FM43" s="54"/>
      <c r="FN43" s="54"/>
      <c r="FO43" s="54"/>
      <c r="FP43" s="54"/>
      <c r="FQ43" s="54"/>
      <c r="FR43" s="54"/>
      <c r="FS43" s="54"/>
      <c r="FT43" s="54"/>
      <c r="FU43" s="54"/>
      <c r="FV43" s="54"/>
      <c r="FW43" s="54"/>
      <c r="FX43" s="54"/>
      <c r="FY43" s="54"/>
      <c r="FZ43" s="54"/>
      <c r="GA43" s="54"/>
      <c r="GB43" s="54"/>
      <c r="GC43" s="54"/>
      <c r="GD43" s="54"/>
      <c r="GE43" s="54"/>
      <c r="GF43" s="54"/>
      <c r="GG43" s="54"/>
      <c r="GH43" s="54"/>
      <c r="GI43" s="54"/>
      <c r="GJ43" s="54"/>
      <c r="GK43" s="54"/>
      <c r="GL43" s="54"/>
      <c r="GM43" s="54"/>
      <c r="GN43" s="54"/>
      <c r="GO43" s="54"/>
      <c r="GP43" s="54"/>
      <c r="GQ43" s="54"/>
      <c r="GR43" s="54"/>
      <c r="GS43" s="54"/>
      <c r="GT43" s="54"/>
      <c r="GU43" s="54"/>
      <c r="GV43" s="54"/>
      <c r="GW43" s="54"/>
      <c r="GX43" s="54"/>
      <c r="GY43" s="54"/>
      <c r="GZ43" s="54"/>
      <c r="HA43" s="54"/>
      <c r="HB43" s="54"/>
      <c r="HC43" s="54"/>
      <c r="HD43" s="54"/>
      <c r="HE43" s="54"/>
      <c r="HF43" s="54"/>
      <c r="HG43" s="54"/>
      <c r="HH43" s="54"/>
      <c r="HI43" s="54"/>
      <c r="HJ43" s="54"/>
      <c r="HK43" s="54"/>
      <c r="HL43" s="54"/>
      <c r="HM43" s="54"/>
      <c r="HN43" s="54"/>
      <c r="HO43" s="54"/>
      <c r="HP43" s="54"/>
      <c r="HQ43" s="54"/>
      <c r="HR43" s="54"/>
      <c r="HS43" s="54"/>
      <c r="HT43" s="54"/>
      <c r="HU43" s="54"/>
      <c r="HV43" s="54"/>
      <c r="HW43" s="54"/>
      <c r="HX43" s="54"/>
      <c r="HY43" s="54"/>
      <c r="HZ43" s="54"/>
      <c r="IA43" s="54"/>
    </row>
    <row r="44" ht="130.5" customHeight="1" spans="2:235">
      <c r="B44" s="51" t="s">
        <v>196</v>
      </c>
      <c r="C44" s="60" t="s">
        <v>87</v>
      </c>
      <c r="D44" s="61" t="s">
        <v>88</v>
      </c>
      <c r="E44" s="35"/>
      <c r="F44" s="62" t="s">
        <v>197</v>
      </c>
      <c r="G44" s="35" t="s">
        <v>73</v>
      </c>
      <c r="H44" s="35" t="s">
        <v>33</v>
      </c>
      <c r="I44" s="35" t="s">
        <v>74</v>
      </c>
      <c r="J44" s="35" t="s">
        <v>75</v>
      </c>
      <c r="K44" s="35" t="s">
        <v>50</v>
      </c>
      <c r="L44" s="35" t="s">
        <v>51</v>
      </c>
      <c r="M44" s="35" t="s">
        <v>76</v>
      </c>
      <c r="N44" s="35"/>
      <c r="O44" s="35"/>
      <c r="P44" s="35"/>
      <c r="Q44" s="35"/>
      <c r="R44" s="35" t="s">
        <v>36</v>
      </c>
      <c r="S44" s="35" t="s">
        <v>48</v>
      </c>
      <c r="T44" s="35"/>
      <c r="U44" s="35"/>
      <c r="V44" s="35"/>
      <c r="W44" s="35"/>
      <c r="X44" s="35" t="s">
        <v>90</v>
      </c>
      <c r="Y44" s="35" t="s">
        <v>198</v>
      </c>
      <c r="Z44" s="60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/>
      <c r="CP44" s="54"/>
      <c r="CQ44" s="54"/>
      <c r="CR44" s="54"/>
      <c r="CS44" s="54"/>
      <c r="CT44" s="54"/>
      <c r="CU44" s="54"/>
      <c r="CV44" s="54"/>
      <c r="CW44" s="54"/>
      <c r="CX44" s="54"/>
      <c r="CY44" s="54"/>
      <c r="CZ44" s="54"/>
      <c r="DA44" s="54"/>
      <c r="DB44" s="54"/>
      <c r="DC44" s="54"/>
      <c r="DD44" s="54"/>
      <c r="DE44" s="54"/>
      <c r="DF44" s="54"/>
      <c r="DG44" s="54"/>
      <c r="DH44" s="54"/>
      <c r="DI44" s="54"/>
      <c r="DJ44" s="54"/>
      <c r="DK44" s="54"/>
      <c r="DL44" s="54"/>
      <c r="DM44" s="54"/>
      <c r="DN44" s="54"/>
      <c r="DO44" s="54"/>
      <c r="DP44" s="54"/>
      <c r="DQ44" s="54"/>
      <c r="DR44" s="54"/>
      <c r="DS44" s="54"/>
      <c r="DT44" s="54"/>
      <c r="DU44" s="54"/>
      <c r="DV44" s="54"/>
      <c r="DW44" s="54"/>
      <c r="DX44" s="54"/>
      <c r="DY44" s="54"/>
      <c r="DZ44" s="54"/>
      <c r="EA44" s="54"/>
      <c r="EB44" s="54"/>
      <c r="EC44" s="54"/>
      <c r="ED44" s="54"/>
      <c r="EE44" s="54"/>
      <c r="EF44" s="54"/>
      <c r="EG44" s="54"/>
      <c r="EH44" s="54"/>
      <c r="EI44" s="54"/>
      <c r="EJ44" s="54"/>
      <c r="EK44" s="54"/>
      <c r="EL44" s="54"/>
      <c r="EM44" s="54"/>
      <c r="EN44" s="54"/>
      <c r="EO44" s="54"/>
      <c r="EP44" s="54"/>
      <c r="EQ44" s="54"/>
      <c r="ER44" s="54"/>
      <c r="ES44" s="54"/>
      <c r="ET44" s="54"/>
      <c r="EU44" s="54"/>
      <c r="EV44" s="54"/>
      <c r="EW44" s="54"/>
      <c r="EX44" s="54"/>
      <c r="EY44" s="54"/>
      <c r="EZ44" s="54"/>
      <c r="FA44" s="54"/>
      <c r="FB44" s="54"/>
      <c r="FC44" s="54"/>
      <c r="FD44" s="54"/>
      <c r="FE44" s="54"/>
      <c r="FF44" s="54"/>
      <c r="FG44" s="54"/>
      <c r="FH44" s="54"/>
      <c r="FI44" s="54"/>
      <c r="FJ44" s="54"/>
      <c r="FK44" s="54"/>
      <c r="FL44" s="54"/>
      <c r="FM44" s="54"/>
      <c r="FN44" s="54"/>
      <c r="FO44" s="54"/>
      <c r="FP44" s="54"/>
      <c r="FQ44" s="54"/>
      <c r="FR44" s="54"/>
      <c r="FS44" s="54"/>
      <c r="FT44" s="54"/>
      <c r="FU44" s="54"/>
      <c r="FV44" s="54"/>
      <c r="FW44" s="54"/>
      <c r="FX44" s="54"/>
      <c r="FY44" s="54"/>
      <c r="FZ44" s="54"/>
      <c r="GA44" s="54"/>
      <c r="GB44" s="54"/>
      <c r="GC44" s="54"/>
      <c r="GD44" s="54"/>
      <c r="GE44" s="54"/>
      <c r="GF44" s="54"/>
      <c r="GG44" s="54"/>
      <c r="GH44" s="54"/>
      <c r="GI44" s="54"/>
      <c r="GJ44" s="54"/>
      <c r="GK44" s="54"/>
      <c r="GL44" s="54"/>
      <c r="GM44" s="54"/>
      <c r="GN44" s="54"/>
      <c r="GO44" s="54"/>
      <c r="GP44" s="54"/>
      <c r="GQ44" s="54"/>
      <c r="GR44" s="54"/>
      <c r="GS44" s="54"/>
      <c r="GT44" s="54"/>
      <c r="GU44" s="54"/>
      <c r="GV44" s="54"/>
      <c r="GW44" s="54"/>
      <c r="GX44" s="54"/>
      <c r="GY44" s="54"/>
      <c r="GZ44" s="54"/>
      <c r="HA44" s="54"/>
      <c r="HB44" s="54"/>
      <c r="HC44" s="54"/>
      <c r="HD44" s="54"/>
      <c r="HE44" s="54"/>
      <c r="HF44" s="54"/>
      <c r="HG44" s="54"/>
      <c r="HH44" s="54"/>
      <c r="HI44" s="54"/>
      <c r="HJ44" s="54"/>
      <c r="HK44" s="54"/>
      <c r="HL44" s="54"/>
      <c r="HM44" s="54"/>
      <c r="HN44" s="54"/>
      <c r="HO44" s="54"/>
      <c r="HP44" s="54"/>
      <c r="HQ44" s="54"/>
      <c r="HR44" s="54"/>
      <c r="HS44" s="54"/>
      <c r="HT44" s="54"/>
      <c r="HU44" s="54"/>
      <c r="HV44" s="54"/>
      <c r="HW44" s="54"/>
      <c r="HX44" s="54"/>
      <c r="HY44" s="54"/>
      <c r="HZ44" s="54"/>
      <c r="IA44" s="54"/>
    </row>
    <row r="45" s="33" customFormat="1" ht="130.5" customHeight="1" spans="2:235">
      <c r="B45" s="51" t="s">
        <v>199</v>
      </c>
      <c r="C45" s="60" t="s">
        <v>154</v>
      </c>
      <c r="D45" s="61" t="s">
        <v>155</v>
      </c>
      <c r="E45" s="35"/>
      <c r="F45" s="62" t="s">
        <v>200</v>
      </c>
      <c r="G45" s="35" t="s">
        <v>73</v>
      </c>
      <c r="H45" s="35" t="s">
        <v>33</v>
      </c>
      <c r="I45" s="35" t="s">
        <v>74</v>
      </c>
      <c r="J45" s="35" t="s">
        <v>75</v>
      </c>
      <c r="K45" s="35" t="s">
        <v>50</v>
      </c>
      <c r="L45" s="35" t="s">
        <v>51</v>
      </c>
      <c r="M45" s="35" t="s">
        <v>76</v>
      </c>
      <c r="N45" s="35"/>
      <c r="O45" s="35"/>
      <c r="P45" s="35"/>
      <c r="Q45" s="35"/>
      <c r="R45" s="35" t="s">
        <v>36</v>
      </c>
      <c r="S45" s="35" t="s">
        <v>65</v>
      </c>
      <c r="T45" s="35"/>
      <c r="U45" s="35"/>
      <c r="V45" s="35"/>
      <c r="W45" s="35"/>
      <c r="X45" s="35" t="s">
        <v>90</v>
      </c>
      <c r="Y45" s="35" t="s">
        <v>201</v>
      </c>
      <c r="Z45" s="60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54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  <c r="DK45" s="54"/>
      <c r="DL45" s="54"/>
      <c r="DM45" s="54"/>
      <c r="DN45" s="54"/>
      <c r="DO45" s="54"/>
      <c r="DP45" s="54"/>
      <c r="DQ45" s="54"/>
      <c r="DR45" s="54"/>
      <c r="DS45" s="54"/>
      <c r="DT45" s="54"/>
      <c r="DU45" s="54"/>
      <c r="DV45" s="54"/>
      <c r="DW45" s="54"/>
      <c r="DX45" s="54"/>
      <c r="DY45" s="54"/>
      <c r="DZ45" s="54"/>
      <c r="EA45" s="54"/>
      <c r="EB45" s="54"/>
      <c r="EC45" s="54"/>
      <c r="ED45" s="54"/>
      <c r="EE45" s="54"/>
      <c r="EF45" s="54"/>
      <c r="EG45" s="54"/>
      <c r="EH45" s="54"/>
      <c r="EI45" s="54"/>
      <c r="EJ45" s="54"/>
      <c r="EK45" s="54"/>
      <c r="EL45" s="54"/>
      <c r="EM45" s="54"/>
      <c r="EN45" s="54"/>
      <c r="EO45" s="54"/>
      <c r="EP45" s="54"/>
      <c r="EQ45" s="54"/>
      <c r="ER45" s="54"/>
      <c r="ES45" s="54"/>
      <c r="ET45" s="54"/>
      <c r="EU45" s="54"/>
      <c r="EV45" s="54"/>
      <c r="EW45" s="54"/>
      <c r="EX45" s="54"/>
      <c r="EY45" s="54"/>
      <c r="EZ45" s="54"/>
      <c r="FA45" s="54"/>
      <c r="FB45" s="54"/>
      <c r="FC45" s="54"/>
      <c r="FD45" s="54"/>
      <c r="FE45" s="54"/>
      <c r="FF45" s="54"/>
      <c r="FG45" s="54"/>
      <c r="FH45" s="54"/>
      <c r="FI45" s="54"/>
      <c r="FJ45" s="54"/>
      <c r="FK45" s="54"/>
      <c r="FL45" s="54"/>
      <c r="FM45" s="54"/>
      <c r="FN45" s="54"/>
      <c r="FO45" s="54"/>
      <c r="FP45" s="54"/>
      <c r="FQ45" s="54"/>
      <c r="FR45" s="54"/>
      <c r="FS45" s="54"/>
      <c r="FT45" s="54"/>
      <c r="FU45" s="54"/>
      <c r="FV45" s="54"/>
      <c r="FW45" s="54"/>
      <c r="FX45" s="54"/>
      <c r="FY45" s="54"/>
      <c r="FZ45" s="54"/>
      <c r="GA45" s="54"/>
      <c r="GB45" s="54"/>
      <c r="GC45" s="54"/>
      <c r="GD45" s="54"/>
      <c r="GE45" s="54"/>
      <c r="GF45" s="54"/>
      <c r="GG45" s="54"/>
      <c r="GH45" s="54"/>
      <c r="GI45" s="54"/>
      <c r="GJ45" s="54"/>
      <c r="GK45" s="54"/>
      <c r="GL45" s="54"/>
      <c r="GM45" s="54"/>
      <c r="GN45" s="54"/>
      <c r="GO45" s="54"/>
      <c r="GP45" s="54"/>
      <c r="GQ45" s="54"/>
      <c r="GR45" s="54"/>
      <c r="GS45" s="54"/>
      <c r="GT45" s="54"/>
      <c r="GU45" s="54"/>
      <c r="GV45" s="54"/>
      <c r="GW45" s="54"/>
      <c r="GX45" s="54"/>
      <c r="GY45" s="54"/>
      <c r="GZ45" s="54"/>
      <c r="HA45" s="54"/>
      <c r="HB45" s="54"/>
      <c r="HC45" s="54"/>
      <c r="HD45" s="54"/>
      <c r="HE45" s="54"/>
      <c r="HF45" s="54"/>
      <c r="HG45" s="54"/>
      <c r="HH45" s="54"/>
      <c r="HI45" s="54"/>
      <c r="HJ45" s="54"/>
      <c r="HK45" s="54"/>
      <c r="HL45" s="54"/>
      <c r="HM45" s="54"/>
      <c r="HN45" s="54"/>
      <c r="HO45" s="54"/>
      <c r="HP45" s="54"/>
      <c r="HQ45" s="54"/>
      <c r="HR45" s="54"/>
      <c r="HS45" s="54"/>
      <c r="HT45" s="54"/>
      <c r="HU45" s="54"/>
      <c r="HV45" s="54"/>
      <c r="HW45" s="54"/>
      <c r="HX45" s="54"/>
      <c r="HY45" s="54"/>
      <c r="HZ45" s="54"/>
      <c r="IA45" s="54"/>
    </row>
    <row r="46" s="33" customFormat="1" ht="130.5" customHeight="1" spans="2:235">
      <c r="B46" s="51" t="s">
        <v>202</v>
      </c>
      <c r="C46" s="60" t="s">
        <v>159</v>
      </c>
      <c r="D46" s="61" t="s">
        <v>160</v>
      </c>
      <c r="E46" s="35"/>
      <c r="F46" s="62" t="s">
        <v>203</v>
      </c>
      <c r="G46" s="35" t="s">
        <v>73</v>
      </c>
      <c r="H46" s="35" t="s">
        <v>33</v>
      </c>
      <c r="I46" s="35" t="s">
        <v>74</v>
      </c>
      <c r="J46" s="35" t="s">
        <v>75</v>
      </c>
      <c r="K46" s="35" t="s">
        <v>50</v>
      </c>
      <c r="L46" s="35" t="s">
        <v>51</v>
      </c>
      <c r="M46" s="35" t="s">
        <v>76</v>
      </c>
      <c r="N46" s="35"/>
      <c r="O46" s="35"/>
      <c r="P46" s="35"/>
      <c r="Q46" s="35"/>
      <c r="R46" s="35" t="s">
        <v>36</v>
      </c>
      <c r="S46" s="35" t="s">
        <v>73</v>
      </c>
      <c r="T46" s="35"/>
      <c r="U46" s="35"/>
      <c r="V46" s="35"/>
      <c r="W46" s="35"/>
      <c r="X46" s="35" t="s">
        <v>90</v>
      </c>
      <c r="Y46" s="35" t="s">
        <v>204</v>
      </c>
      <c r="Z46" s="60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4"/>
      <c r="BU46" s="54"/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54"/>
      <c r="CH46" s="54"/>
      <c r="CI46" s="54"/>
      <c r="CJ46" s="54"/>
      <c r="CK46" s="54"/>
      <c r="CL46" s="54"/>
      <c r="CM46" s="54"/>
      <c r="CN46" s="54"/>
      <c r="CO46" s="54"/>
      <c r="CP46" s="54"/>
      <c r="CQ46" s="54"/>
      <c r="CR46" s="54"/>
      <c r="CS46" s="54"/>
      <c r="CT46" s="54"/>
      <c r="CU46" s="54"/>
      <c r="CV46" s="54"/>
      <c r="CW46" s="54"/>
      <c r="CX46" s="54"/>
      <c r="CY46" s="54"/>
      <c r="CZ46" s="54"/>
      <c r="DA46" s="54"/>
      <c r="DB46" s="54"/>
      <c r="DC46" s="54"/>
      <c r="DD46" s="54"/>
      <c r="DE46" s="54"/>
      <c r="DF46" s="54"/>
      <c r="DG46" s="54"/>
      <c r="DH46" s="54"/>
      <c r="DI46" s="54"/>
      <c r="DJ46" s="54"/>
      <c r="DK46" s="54"/>
      <c r="DL46" s="54"/>
      <c r="DM46" s="54"/>
      <c r="DN46" s="54"/>
      <c r="DO46" s="54"/>
      <c r="DP46" s="54"/>
      <c r="DQ46" s="54"/>
      <c r="DR46" s="54"/>
      <c r="DS46" s="54"/>
      <c r="DT46" s="54"/>
      <c r="DU46" s="54"/>
      <c r="DV46" s="54"/>
      <c r="DW46" s="54"/>
      <c r="DX46" s="54"/>
      <c r="DY46" s="54"/>
      <c r="DZ46" s="54"/>
      <c r="EA46" s="54"/>
      <c r="EB46" s="54"/>
      <c r="EC46" s="54"/>
      <c r="ED46" s="54"/>
      <c r="EE46" s="54"/>
      <c r="EF46" s="54"/>
      <c r="EG46" s="54"/>
      <c r="EH46" s="54"/>
      <c r="EI46" s="54"/>
      <c r="EJ46" s="54"/>
      <c r="EK46" s="54"/>
      <c r="EL46" s="54"/>
      <c r="EM46" s="54"/>
      <c r="EN46" s="54"/>
      <c r="EO46" s="54"/>
      <c r="EP46" s="54"/>
      <c r="EQ46" s="54"/>
      <c r="ER46" s="54"/>
      <c r="ES46" s="54"/>
      <c r="ET46" s="54"/>
      <c r="EU46" s="54"/>
      <c r="EV46" s="54"/>
      <c r="EW46" s="54"/>
      <c r="EX46" s="54"/>
      <c r="EY46" s="54"/>
      <c r="EZ46" s="54"/>
      <c r="FA46" s="54"/>
      <c r="FB46" s="54"/>
      <c r="FC46" s="54"/>
      <c r="FD46" s="54"/>
      <c r="FE46" s="54"/>
      <c r="FF46" s="54"/>
      <c r="FG46" s="54"/>
      <c r="FH46" s="54"/>
      <c r="FI46" s="54"/>
      <c r="FJ46" s="54"/>
      <c r="FK46" s="54"/>
      <c r="FL46" s="54"/>
      <c r="FM46" s="54"/>
      <c r="FN46" s="54"/>
      <c r="FO46" s="54"/>
      <c r="FP46" s="54"/>
      <c r="FQ46" s="54"/>
      <c r="FR46" s="54"/>
      <c r="FS46" s="54"/>
      <c r="FT46" s="54"/>
      <c r="FU46" s="54"/>
      <c r="FV46" s="54"/>
      <c r="FW46" s="54"/>
      <c r="FX46" s="54"/>
      <c r="FY46" s="54"/>
      <c r="FZ46" s="54"/>
      <c r="GA46" s="54"/>
      <c r="GB46" s="54"/>
      <c r="GC46" s="54"/>
      <c r="GD46" s="54"/>
      <c r="GE46" s="54"/>
      <c r="GF46" s="54"/>
      <c r="GG46" s="54"/>
      <c r="GH46" s="54"/>
      <c r="GI46" s="54"/>
      <c r="GJ46" s="54"/>
      <c r="GK46" s="54"/>
      <c r="GL46" s="54"/>
      <c r="GM46" s="54"/>
      <c r="GN46" s="54"/>
      <c r="GO46" s="54"/>
      <c r="GP46" s="54"/>
      <c r="GQ46" s="54"/>
      <c r="GR46" s="54"/>
      <c r="GS46" s="54"/>
      <c r="GT46" s="54"/>
      <c r="GU46" s="54"/>
      <c r="GV46" s="54"/>
      <c r="GW46" s="54"/>
      <c r="GX46" s="54"/>
      <c r="GY46" s="54"/>
      <c r="GZ46" s="54"/>
      <c r="HA46" s="54"/>
      <c r="HB46" s="54"/>
      <c r="HC46" s="54"/>
      <c r="HD46" s="54"/>
      <c r="HE46" s="54"/>
      <c r="HF46" s="54"/>
      <c r="HG46" s="54"/>
      <c r="HH46" s="54"/>
      <c r="HI46" s="54"/>
      <c r="HJ46" s="54"/>
      <c r="HK46" s="54"/>
      <c r="HL46" s="54"/>
      <c r="HM46" s="54"/>
      <c r="HN46" s="54"/>
      <c r="HO46" s="54"/>
      <c r="HP46" s="54"/>
      <c r="HQ46" s="54"/>
      <c r="HR46" s="54"/>
      <c r="HS46" s="54"/>
      <c r="HT46" s="54"/>
      <c r="HU46" s="54"/>
      <c r="HV46" s="54"/>
      <c r="HW46" s="54"/>
      <c r="HX46" s="54"/>
      <c r="HY46" s="54"/>
      <c r="HZ46" s="54"/>
      <c r="IA46" s="54"/>
    </row>
    <row r="47" s="33" customFormat="1" ht="130.5" customHeight="1" spans="2:235">
      <c r="B47" s="51" t="s">
        <v>205</v>
      </c>
      <c r="C47" s="25" t="s">
        <v>93</v>
      </c>
      <c r="D47" s="63" t="s">
        <v>94</v>
      </c>
      <c r="F47" s="64" t="s">
        <v>206</v>
      </c>
      <c r="G47" s="33" t="s">
        <v>96</v>
      </c>
      <c r="H47" s="33" t="s">
        <v>33</v>
      </c>
      <c r="I47" s="33" t="s">
        <v>58</v>
      </c>
      <c r="J47" s="33" t="s">
        <v>35</v>
      </c>
      <c r="K47" s="33" t="s">
        <v>50</v>
      </c>
      <c r="L47" s="33" t="s">
        <v>51</v>
      </c>
      <c r="M47" s="33" t="s">
        <v>97</v>
      </c>
      <c r="R47" s="33" t="s">
        <v>36</v>
      </c>
      <c r="S47" s="33"/>
      <c r="X47" s="33" t="s">
        <v>98</v>
      </c>
      <c r="Y47" s="33"/>
      <c r="Z47" s="25"/>
    </row>
    <row r="48" s="33" customFormat="1" ht="130.5" customHeight="1" spans="2:235">
      <c r="B48" s="51" t="s">
        <v>207</v>
      </c>
      <c r="C48" s="25" t="s">
        <v>100</v>
      </c>
      <c r="D48" s="63" t="s">
        <v>101</v>
      </c>
      <c r="F48" s="33" t="s">
        <v>32</v>
      </c>
      <c r="G48" s="33" t="s">
        <v>51</v>
      </c>
      <c r="H48" s="33" t="s">
        <v>33</v>
      </c>
      <c r="I48" s="33" t="s">
        <v>102</v>
      </c>
      <c r="J48" s="33" t="s">
        <v>35</v>
      </c>
      <c r="K48" s="33" t="s">
        <v>50</v>
      </c>
      <c r="L48" s="33" t="s">
        <v>51</v>
      </c>
      <c r="M48" s="33" t="s">
        <v>103</v>
      </c>
      <c r="R48" s="33" t="s">
        <v>36</v>
      </c>
      <c r="S48" s="33"/>
      <c r="X48" s="33" t="s">
        <v>104</v>
      </c>
      <c r="Y48" s="33" t="s">
        <v>105</v>
      </c>
      <c r="Z48" s="25"/>
    </row>
    <row r="49" s="33" customFormat="1" ht="130.5" customHeight="1" spans="2:26">
      <c r="B49" s="51" t="s">
        <v>208</v>
      </c>
      <c r="C49" s="25" t="s">
        <v>107</v>
      </c>
      <c r="D49" s="63" t="s">
        <v>108</v>
      </c>
      <c r="F49" s="33" t="s">
        <v>109</v>
      </c>
      <c r="G49" s="33" t="s">
        <v>51</v>
      </c>
      <c r="H49" s="33" t="s">
        <v>33</v>
      </c>
      <c r="I49" s="33" t="s">
        <v>102</v>
      </c>
      <c r="J49" s="33" t="s">
        <v>35</v>
      </c>
      <c r="K49" s="33" t="s">
        <v>50</v>
      </c>
      <c r="L49" s="33" t="s">
        <v>51</v>
      </c>
      <c r="M49" s="33" t="s">
        <v>110</v>
      </c>
      <c r="R49" s="33" t="s">
        <v>36</v>
      </c>
      <c r="S49" s="33"/>
      <c r="X49" s="33" t="s">
        <v>104</v>
      </c>
      <c r="Y49" s="33" t="s">
        <v>111</v>
      </c>
      <c r="Z49" s="25"/>
    </row>
    <row r="50" s="33" customFormat="1" ht="130.5" customHeight="1" spans="2:26">
      <c r="B50" s="51" t="s">
        <v>209</v>
      </c>
      <c r="C50" s="65" t="s">
        <v>113</v>
      </c>
      <c r="D50" s="66" t="s">
        <v>114</v>
      </c>
      <c r="E50" s="67"/>
      <c r="F50" s="68" t="s">
        <v>210</v>
      </c>
      <c r="G50" s="67" t="s">
        <v>73</v>
      </c>
      <c r="H50" s="67" t="s">
        <v>33</v>
      </c>
      <c r="I50" s="67" t="s">
        <v>74</v>
      </c>
      <c r="J50" s="67" t="s">
        <v>75</v>
      </c>
      <c r="K50" s="67" t="s">
        <v>50</v>
      </c>
      <c r="L50" s="67" t="s">
        <v>51</v>
      </c>
      <c r="M50" s="67" t="s">
        <v>116</v>
      </c>
      <c r="N50" s="67"/>
      <c r="O50" s="67"/>
      <c r="P50" s="67"/>
      <c r="Q50" s="67"/>
      <c r="R50" s="67" t="s">
        <v>36</v>
      </c>
      <c r="S50" s="67" t="s">
        <v>33</v>
      </c>
      <c r="T50" s="67"/>
      <c r="U50" s="67"/>
      <c r="V50" s="67"/>
      <c r="W50" s="67"/>
      <c r="X50" s="67" t="s">
        <v>117</v>
      </c>
      <c r="Y50" s="67" t="s">
        <v>192</v>
      </c>
      <c r="Z50" s="65"/>
    </row>
    <row r="51" s="33" customFormat="1" ht="130.5" customHeight="1" spans="2:26">
      <c r="B51" s="51" t="s">
        <v>211</v>
      </c>
      <c r="C51" s="65" t="s">
        <v>120</v>
      </c>
      <c r="D51" s="66" t="s">
        <v>121</v>
      </c>
      <c r="E51" s="67"/>
      <c r="F51" s="68" t="s">
        <v>212</v>
      </c>
      <c r="G51" s="67" t="s">
        <v>73</v>
      </c>
      <c r="H51" s="67" t="s">
        <v>33</v>
      </c>
      <c r="I51" s="67" t="s">
        <v>74</v>
      </c>
      <c r="J51" s="67" t="s">
        <v>75</v>
      </c>
      <c r="K51" s="67" t="s">
        <v>50</v>
      </c>
      <c r="L51" s="67" t="s">
        <v>51</v>
      </c>
      <c r="M51" s="67" t="s">
        <v>116</v>
      </c>
      <c r="N51" s="67"/>
      <c r="O51" s="67"/>
      <c r="P51" s="67"/>
      <c r="Q51" s="67"/>
      <c r="R51" s="67" t="s">
        <v>36</v>
      </c>
      <c r="S51" s="67" t="s">
        <v>32</v>
      </c>
      <c r="T51" s="67"/>
      <c r="U51" s="67"/>
      <c r="V51" s="67"/>
      <c r="W51" s="67"/>
      <c r="X51" s="67" t="s">
        <v>123</v>
      </c>
      <c r="Y51" s="67" t="s">
        <v>213</v>
      </c>
      <c r="Z51" s="65"/>
    </row>
    <row r="52" s="33" customFormat="1" ht="130.5" customHeight="1" spans="2:26">
      <c r="B52" s="51" t="s">
        <v>214</v>
      </c>
      <c r="C52" s="65" t="s">
        <v>126</v>
      </c>
      <c r="D52" s="66" t="s">
        <v>127</v>
      </c>
      <c r="E52" s="67"/>
      <c r="F52" s="68" t="s">
        <v>215</v>
      </c>
      <c r="G52" s="67" t="s">
        <v>73</v>
      </c>
      <c r="H52" s="67" t="s">
        <v>33</v>
      </c>
      <c r="I52" s="67" t="s">
        <v>74</v>
      </c>
      <c r="J52" s="67" t="s">
        <v>75</v>
      </c>
      <c r="K52" s="67" t="s">
        <v>50</v>
      </c>
      <c r="L52" s="67" t="s">
        <v>51</v>
      </c>
      <c r="M52" s="67" t="s">
        <v>116</v>
      </c>
      <c r="N52" s="67"/>
      <c r="O52" s="67"/>
      <c r="P52" s="67"/>
      <c r="Q52" s="67"/>
      <c r="R52" s="67" t="s">
        <v>36</v>
      </c>
      <c r="S52" s="67" t="s">
        <v>48</v>
      </c>
      <c r="T52" s="67"/>
      <c r="U52" s="67"/>
      <c r="V52" s="67"/>
      <c r="W52" s="67"/>
      <c r="X52" s="67" t="s">
        <v>129</v>
      </c>
      <c r="Y52" s="67" t="s">
        <v>216</v>
      </c>
      <c r="Z52" s="65"/>
    </row>
    <row r="53" s="33" customFormat="1" ht="130.5" customHeight="1" spans="2:26">
      <c r="B53" s="51" t="s">
        <v>217</v>
      </c>
      <c r="C53" s="65" t="s">
        <v>174</v>
      </c>
      <c r="D53" s="66" t="s">
        <v>175</v>
      </c>
      <c r="E53" s="67"/>
      <c r="F53" s="68" t="s">
        <v>218</v>
      </c>
      <c r="G53" s="67" t="s">
        <v>73</v>
      </c>
      <c r="H53" s="67" t="s">
        <v>33</v>
      </c>
      <c r="I53" s="67" t="s">
        <v>74</v>
      </c>
      <c r="J53" s="67" t="s">
        <v>75</v>
      </c>
      <c r="K53" s="67" t="s">
        <v>50</v>
      </c>
      <c r="L53" s="67" t="s">
        <v>51</v>
      </c>
      <c r="M53" s="67" t="s">
        <v>116</v>
      </c>
      <c r="N53" s="67"/>
      <c r="O53" s="67"/>
      <c r="P53" s="67"/>
      <c r="Q53" s="67"/>
      <c r="R53" s="67" t="s">
        <v>36</v>
      </c>
      <c r="S53" s="67" t="s">
        <v>65</v>
      </c>
      <c r="T53" s="67"/>
      <c r="U53" s="67"/>
      <c r="V53" s="67"/>
      <c r="W53" s="67"/>
      <c r="X53" s="67" t="s">
        <v>129</v>
      </c>
      <c r="Y53" s="67" t="s">
        <v>219</v>
      </c>
      <c r="Z53" s="65"/>
    </row>
    <row r="54" s="33" customFormat="1" ht="130.5" customHeight="1" spans="2:26">
      <c r="B54" s="51" t="s">
        <v>220</v>
      </c>
      <c r="C54" s="65" t="s">
        <v>179</v>
      </c>
      <c r="D54" s="66" t="s">
        <v>180</v>
      </c>
      <c r="E54" s="67"/>
      <c r="F54" s="68" t="s">
        <v>221</v>
      </c>
      <c r="G54" s="67" t="s">
        <v>73</v>
      </c>
      <c r="H54" s="67" t="s">
        <v>33</v>
      </c>
      <c r="I54" s="67" t="s">
        <v>74</v>
      </c>
      <c r="J54" s="67" t="s">
        <v>75</v>
      </c>
      <c r="K54" s="67" t="s">
        <v>50</v>
      </c>
      <c r="L54" s="67" t="s">
        <v>51</v>
      </c>
      <c r="M54" s="67" t="s">
        <v>116</v>
      </c>
      <c r="N54" s="67"/>
      <c r="O54" s="67"/>
      <c r="P54" s="67"/>
      <c r="Q54" s="67"/>
      <c r="R54" s="67" t="s">
        <v>36</v>
      </c>
      <c r="S54" s="67" t="s">
        <v>73</v>
      </c>
      <c r="T54" s="67"/>
      <c r="U54" s="67"/>
      <c r="V54" s="67"/>
      <c r="W54" s="67"/>
      <c r="X54" s="67" t="s">
        <v>129</v>
      </c>
      <c r="Y54" s="67" t="s">
        <v>222</v>
      </c>
      <c r="Z54" s="65"/>
    </row>
    <row r="55" s="34" customFormat="1" ht="130.5" customHeight="1" spans="2:26">
      <c r="B55" s="51" t="s">
        <v>223</v>
      </c>
      <c r="C55" s="49" t="s">
        <v>132</v>
      </c>
      <c r="D55" s="50" t="s">
        <v>133</v>
      </c>
      <c r="E55" s="48"/>
      <c r="F55" s="48" t="s">
        <v>33</v>
      </c>
      <c r="G55" s="48" t="s">
        <v>134</v>
      </c>
      <c r="H55" s="48" t="s">
        <v>33</v>
      </c>
      <c r="I55" s="48" t="s">
        <v>135</v>
      </c>
      <c r="J55" s="48" t="s">
        <v>35</v>
      </c>
      <c r="K55" s="48" t="s">
        <v>50</v>
      </c>
      <c r="L55" s="48" t="s">
        <v>51</v>
      </c>
      <c r="M55" s="48"/>
      <c r="N55" s="48"/>
      <c r="O55" s="48"/>
      <c r="P55" s="48"/>
      <c r="Q55" s="48"/>
      <c r="R55" s="48" t="s">
        <v>36</v>
      </c>
      <c r="S55" s="48"/>
      <c r="T55" s="48"/>
      <c r="U55" s="48"/>
      <c r="V55" s="48"/>
      <c r="W55" s="48"/>
      <c r="X55" s="48" t="s">
        <v>136</v>
      </c>
      <c r="Y55" s="48"/>
      <c r="Z55" s="49"/>
    </row>
    <row r="56" s="34" customFormat="1" ht="130.5" customHeight="1" spans="2:26">
      <c r="B56" s="51" t="s">
        <v>224</v>
      </c>
      <c r="C56" s="49" t="s">
        <v>138</v>
      </c>
      <c r="D56" s="50" t="s">
        <v>139</v>
      </c>
      <c r="E56" s="48"/>
      <c r="F56" s="48" t="s">
        <v>32</v>
      </c>
      <c r="G56" s="48" t="s">
        <v>134</v>
      </c>
      <c r="H56" s="48" t="s">
        <v>33</v>
      </c>
      <c r="I56" s="48" t="s">
        <v>135</v>
      </c>
      <c r="J56" s="48" t="s">
        <v>35</v>
      </c>
      <c r="K56" s="48" t="s">
        <v>50</v>
      </c>
      <c r="L56" s="48" t="s">
        <v>51</v>
      </c>
      <c r="M56" s="48"/>
      <c r="N56" s="48"/>
      <c r="O56" s="48"/>
      <c r="P56" s="48"/>
      <c r="Q56" s="48"/>
      <c r="R56" s="48" t="s">
        <v>36</v>
      </c>
      <c r="S56" s="48"/>
      <c r="T56" s="48"/>
      <c r="U56" s="48"/>
      <c r="V56" s="48"/>
      <c r="W56" s="48"/>
      <c r="X56" s="48" t="s">
        <v>140</v>
      </c>
      <c r="Y56" s="48"/>
      <c r="Z56" s="49"/>
    </row>
    <row r="57" s="34" customFormat="1" ht="130.5" customHeight="1" spans="2:26">
      <c r="B57" s="69" t="s">
        <v>225</v>
      </c>
      <c r="C57" s="15" t="s">
        <v>45</v>
      </c>
      <c r="D57" s="70" t="s">
        <v>46</v>
      </c>
      <c r="F57" s="69" t="s">
        <v>226</v>
      </c>
      <c r="G57" s="34" t="s">
        <v>48</v>
      </c>
      <c r="H57" s="34" t="s">
        <v>33</v>
      </c>
      <c r="I57" s="34" t="s">
        <v>49</v>
      </c>
      <c r="J57" s="34" t="s">
        <v>35</v>
      </c>
      <c r="K57" s="34" t="s">
        <v>50</v>
      </c>
      <c r="L57" s="34" t="s">
        <v>51</v>
      </c>
      <c r="M57" s="34" t="s">
        <v>52</v>
      </c>
      <c r="R57" s="34" t="s">
        <v>36</v>
      </c>
      <c r="X57" s="34" t="s">
        <v>53</v>
      </c>
      <c r="Y57" s="34"/>
      <c r="Z57" s="15"/>
    </row>
    <row r="58" s="34" customFormat="1" ht="130.5" customHeight="1" spans="2:26">
      <c r="B58" s="69" t="s">
        <v>227</v>
      </c>
      <c r="C58" s="15" t="s">
        <v>55</v>
      </c>
      <c r="D58" s="70" t="s">
        <v>56</v>
      </c>
      <c r="F58" s="69" t="s">
        <v>228</v>
      </c>
      <c r="G58" s="34" t="s">
        <v>48</v>
      </c>
      <c r="H58" s="34" t="s">
        <v>33</v>
      </c>
      <c r="I58" s="34" t="s">
        <v>58</v>
      </c>
      <c r="J58" s="34" t="s">
        <v>35</v>
      </c>
      <c r="K58" s="34" t="s">
        <v>50</v>
      </c>
      <c r="L58" s="34" t="s">
        <v>51</v>
      </c>
      <c r="M58" s="34" t="s">
        <v>59</v>
      </c>
      <c r="R58" s="34" t="s">
        <v>36</v>
      </c>
      <c r="X58" s="34" t="s">
        <v>60</v>
      </c>
      <c r="Y58" s="34"/>
      <c r="Z58" s="15"/>
    </row>
    <row r="59" s="34" customFormat="1" ht="130.5" customHeight="1" spans="2:26">
      <c r="B59" s="69" t="s">
        <v>229</v>
      </c>
      <c r="C59" s="15" t="s">
        <v>62</v>
      </c>
      <c r="D59" s="70" t="s">
        <v>63</v>
      </c>
      <c r="F59" s="34" t="s">
        <v>64</v>
      </c>
      <c r="G59" s="34" t="s">
        <v>65</v>
      </c>
      <c r="H59" s="34" t="s">
        <v>33</v>
      </c>
      <c r="I59" s="34" t="s">
        <v>66</v>
      </c>
      <c r="J59" s="34" t="s">
        <v>35</v>
      </c>
      <c r="K59" s="34" t="s">
        <v>66</v>
      </c>
      <c r="L59" s="34"/>
      <c r="M59" s="34" t="s">
        <v>67</v>
      </c>
      <c r="R59" s="34" t="s">
        <v>36</v>
      </c>
      <c r="S59" s="34"/>
      <c r="X59" s="34" t="s">
        <v>68</v>
      </c>
      <c r="Y59" s="34"/>
      <c r="Z59" s="15"/>
    </row>
    <row r="60" s="34" customFormat="1" ht="130.5" customHeight="1" spans="2:26">
      <c r="B60" s="69" t="s">
        <v>230</v>
      </c>
      <c r="C60" s="15" t="s">
        <v>70</v>
      </c>
      <c r="D60" s="70" t="s">
        <v>71</v>
      </c>
      <c r="F60" s="69" t="s">
        <v>231</v>
      </c>
      <c r="G60" s="34" t="s">
        <v>73</v>
      </c>
      <c r="H60" s="34" t="s">
        <v>33</v>
      </c>
      <c r="I60" s="34" t="s">
        <v>74</v>
      </c>
      <c r="J60" s="34" t="s">
        <v>75</v>
      </c>
      <c r="K60" s="34" t="s">
        <v>50</v>
      </c>
      <c r="L60" s="34" t="s">
        <v>51</v>
      </c>
      <c r="M60" s="34" t="s">
        <v>76</v>
      </c>
      <c r="R60" s="34" t="s">
        <v>36</v>
      </c>
      <c r="S60" s="34" t="s">
        <v>33</v>
      </c>
      <c r="X60" s="34" t="s">
        <v>77</v>
      </c>
      <c r="Y60" s="69" t="s">
        <v>232</v>
      </c>
      <c r="Z60" s="15"/>
    </row>
    <row r="61" s="34" customFormat="1" ht="130.5" customHeight="1" spans="2:26">
      <c r="B61" s="69" t="s">
        <v>233</v>
      </c>
      <c r="C61" s="15" t="s">
        <v>80</v>
      </c>
      <c r="D61" s="70" t="s">
        <v>81</v>
      </c>
      <c r="F61" s="69" t="s">
        <v>234</v>
      </c>
      <c r="G61" s="34" t="s">
        <v>73</v>
      </c>
      <c r="H61" s="34" t="s">
        <v>33</v>
      </c>
      <c r="I61" s="34" t="s">
        <v>74</v>
      </c>
      <c r="J61" s="34" t="s">
        <v>75</v>
      </c>
      <c r="K61" s="34" t="s">
        <v>50</v>
      </c>
      <c r="L61" s="34" t="s">
        <v>51</v>
      </c>
      <c r="M61" s="34" t="s">
        <v>83</v>
      </c>
      <c r="R61" s="34" t="s">
        <v>36</v>
      </c>
      <c r="S61" s="34" t="s">
        <v>32</v>
      </c>
      <c r="X61" s="34" t="s">
        <v>84</v>
      </c>
      <c r="Y61" s="69" t="s">
        <v>235</v>
      </c>
      <c r="Z61" s="15"/>
    </row>
    <row r="62" s="34" customFormat="1" ht="130.5" customHeight="1" spans="2:26">
      <c r="B62" s="69" t="s">
        <v>236</v>
      </c>
      <c r="C62" s="15" t="s">
        <v>87</v>
      </c>
      <c r="D62" s="70" t="s">
        <v>88</v>
      </c>
      <c r="F62" s="69" t="s">
        <v>237</v>
      </c>
      <c r="G62" s="34" t="s">
        <v>73</v>
      </c>
      <c r="H62" s="34" t="s">
        <v>33</v>
      </c>
      <c r="I62" s="34" t="s">
        <v>74</v>
      </c>
      <c r="J62" s="34" t="s">
        <v>75</v>
      </c>
      <c r="K62" s="34" t="s">
        <v>50</v>
      </c>
      <c r="L62" s="34" t="s">
        <v>51</v>
      </c>
      <c r="M62" s="34" t="s">
        <v>76</v>
      </c>
      <c r="R62" s="34" t="s">
        <v>36</v>
      </c>
      <c r="S62" s="34" t="s">
        <v>48</v>
      </c>
      <c r="X62" s="34" t="s">
        <v>90</v>
      </c>
      <c r="Y62" s="69" t="s">
        <v>238</v>
      </c>
      <c r="Z62" s="15"/>
    </row>
    <row r="63" s="34" customFormat="1" ht="130.5" customHeight="1" spans="2:26">
      <c r="B63" s="69" t="s">
        <v>239</v>
      </c>
      <c r="C63" s="15" t="s">
        <v>154</v>
      </c>
      <c r="D63" s="70" t="s">
        <v>155</v>
      </c>
      <c r="F63" s="69" t="s">
        <v>240</v>
      </c>
      <c r="G63" s="34" t="s">
        <v>73</v>
      </c>
      <c r="H63" s="34" t="s">
        <v>33</v>
      </c>
      <c r="I63" s="34" t="s">
        <v>74</v>
      </c>
      <c r="J63" s="34" t="s">
        <v>75</v>
      </c>
      <c r="K63" s="34" t="s">
        <v>50</v>
      </c>
      <c r="L63" s="34" t="s">
        <v>51</v>
      </c>
      <c r="M63" s="34" t="s">
        <v>76</v>
      </c>
      <c r="R63" s="34" t="s">
        <v>36</v>
      </c>
      <c r="S63" s="34" t="s">
        <v>65</v>
      </c>
      <c r="X63" s="34" t="s">
        <v>90</v>
      </c>
      <c r="Y63" s="69" t="s">
        <v>241</v>
      </c>
      <c r="Z63" s="15"/>
    </row>
    <row r="64" s="34" customFormat="1" ht="130.5" customHeight="1" spans="2:26">
      <c r="B64" s="69" t="s">
        <v>242</v>
      </c>
      <c r="C64" s="15" t="s">
        <v>159</v>
      </c>
      <c r="D64" s="70" t="s">
        <v>160</v>
      </c>
      <c r="F64" s="69" t="s">
        <v>243</v>
      </c>
      <c r="G64" s="34" t="s">
        <v>73</v>
      </c>
      <c r="H64" s="34" t="s">
        <v>33</v>
      </c>
      <c r="I64" s="34" t="s">
        <v>74</v>
      </c>
      <c r="J64" s="34" t="s">
        <v>75</v>
      </c>
      <c r="K64" s="34" t="s">
        <v>50</v>
      </c>
      <c r="L64" s="34" t="s">
        <v>51</v>
      </c>
      <c r="M64" s="34" t="s">
        <v>76</v>
      </c>
      <c r="R64" s="34" t="s">
        <v>36</v>
      </c>
      <c r="S64" s="34" t="s">
        <v>73</v>
      </c>
      <c r="X64" s="34" t="s">
        <v>90</v>
      </c>
      <c r="Y64" s="69" t="s">
        <v>244</v>
      </c>
      <c r="Z64" s="15"/>
    </row>
    <row r="65" s="34" customFormat="1" ht="130.5" customHeight="1" spans="2:26">
      <c r="B65" s="69" t="s">
        <v>245</v>
      </c>
      <c r="C65" s="15" t="s">
        <v>93</v>
      </c>
      <c r="D65" s="70" t="s">
        <v>94</v>
      </c>
      <c r="F65" s="69" t="s">
        <v>246</v>
      </c>
      <c r="G65" s="34" t="s">
        <v>96</v>
      </c>
      <c r="H65" s="34" t="s">
        <v>33</v>
      </c>
      <c r="I65" s="34" t="s">
        <v>58</v>
      </c>
      <c r="J65" s="34" t="s">
        <v>35</v>
      </c>
      <c r="K65" s="34" t="s">
        <v>50</v>
      </c>
      <c r="L65" s="34" t="s">
        <v>51</v>
      </c>
      <c r="M65" s="34" t="s">
        <v>97</v>
      </c>
      <c r="R65" s="34" t="s">
        <v>36</v>
      </c>
      <c r="S65" s="34"/>
      <c r="X65" s="34" t="s">
        <v>98</v>
      </c>
      <c r="Y65" s="34"/>
      <c r="Z65" s="15"/>
    </row>
    <row r="66" s="34" customFormat="1" ht="130.5" customHeight="1" spans="2:26">
      <c r="B66" s="69" t="s">
        <v>247</v>
      </c>
      <c r="C66" s="15" t="s">
        <v>100</v>
      </c>
      <c r="D66" s="70" t="s">
        <v>101</v>
      </c>
      <c r="F66" s="34" t="s">
        <v>32</v>
      </c>
      <c r="G66" s="34" t="s">
        <v>51</v>
      </c>
      <c r="H66" s="34" t="s">
        <v>33</v>
      </c>
      <c r="I66" s="34" t="s">
        <v>102</v>
      </c>
      <c r="J66" s="34" t="s">
        <v>35</v>
      </c>
      <c r="K66" s="34" t="s">
        <v>50</v>
      </c>
      <c r="L66" s="34" t="s">
        <v>51</v>
      </c>
      <c r="M66" s="34" t="s">
        <v>103</v>
      </c>
      <c r="R66" s="34" t="s">
        <v>36</v>
      </c>
      <c r="S66" s="34"/>
      <c r="X66" s="34" t="s">
        <v>104</v>
      </c>
      <c r="Y66" s="34" t="s">
        <v>105</v>
      </c>
      <c r="Z66" s="15"/>
    </row>
    <row r="67" s="34" customFormat="1" ht="130.5" customHeight="1" spans="2:26">
      <c r="B67" s="69" t="s">
        <v>248</v>
      </c>
      <c r="C67" s="15" t="s">
        <v>107</v>
      </c>
      <c r="D67" s="70" t="s">
        <v>108</v>
      </c>
      <c r="F67" s="34" t="s">
        <v>109</v>
      </c>
      <c r="G67" s="34" t="s">
        <v>51</v>
      </c>
      <c r="H67" s="34" t="s">
        <v>33</v>
      </c>
      <c r="I67" s="34" t="s">
        <v>102</v>
      </c>
      <c r="J67" s="34" t="s">
        <v>35</v>
      </c>
      <c r="K67" s="34" t="s">
        <v>50</v>
      </c>
      <c r="L67" s="34" t="s">
        <v>51</v>
      </c>
      <c r="M67" s="34" t="s">
        <v>110</v>
      </c>
      <c r="R67" s="34" t="s">
        <v>36</v>
      </c>
      <c r="S67" s="34"/>
      <c r="X67" s="34" t="s">
        <v>104</v>
      </c>
      <c r="Y67" s="34" t="s">
        <v>111</v>
      </c>
      <c r="Z67" s="15"/>
    </row>
    <row r="68" s="34" customFormat="1" ht="130.5" customHeight="1" spans="2:26">
      <c r="B68" s="69" t="s">
        <v>249</v>
      </c>
      <c r="C68" s="15" t="s">
        <v>113</v>
      </c>
      <c r="D68" s="70" t="s">
        <v>114</v>
      </c>
      <c r="F68" s="69" t="s">
        <v>250</v>
      </c>
      <c r="G68" s="34" t="s">
        <v>73</v>
      </c>
      <c r="H68" s="34" t="s">
        <v>33</v>
      </c>
      <c r="I68" s="34" t="s">
        <v>74</v>
      </c>
      <c r="J68" s="34" t="s">
        <v>75</v>
      </c>
      <c r="K68" s="34" t="s">
        <v>50</v>
      </c>
      <c r="L68" s="34" t="s">
        <v>51</v>
      </c>
      <c r="M68" s="34" t="s">
        <v>116</v>
      </c>
      <c r="R68" s="34" t="s">
        <v>36</v>
      </c>
      <c r="S68" s="34" t="s">
        <v>33</v>
      </c>
      <c r="X68" s="34" t="s">
        <v>117</v>
      </c>
      <c r="Y68" s="69" t="s">
        <v>251</v>
      </c>
      <c r="Z68" s="15"/>
    </row>
    <row r="69" s="34" customFormat="1" ht="130.5" customHeight="1" spans="2:26">
      <c r="B69" s="69" t="s">
        <v>252</v>
      </c>
      <c r="C69" s="15" t="s">
        <v>120</v>
      </c>
      <c r="D69" s="70" t="s">
        <v>121</v>
      </c>
      <c r="F69" s="69" t="s">
        <v>253</v>
      </c>
      <c r="G69" s="34" t="s">
        <v>73</v>
      </c>
      <c r="H69" s="34" t="s">
        <v>33</v>
      </c>
      <c r="I69" s="34" t="s">
        <v>74</v>
      </c>
      <c r="J69" s="34" t="s">
        <v>75</v>
      </c>
      <c r="K69" s="34" t="s">
        <v>50</v>
      </c>
      <c r="L69" s="34" t="s">
        <v>51</v>
      </c>
      <c r="M69" s="34" t="s">
        <v>116</v>
      </c>
      <c r="R69" s="34" t="s">
        <v>36</v>
      </c>
      <c r="S69" s="34" t="s">
        <v>32</v>
      </c>
      <c r="X69" s="34" t="s">
        <v>123</v>
      </c>
      <c r="Y69" s="69" t="s">
        <v>254</v>
      </c>
      <c r="Z69" s="15"/>
    </row>
    <row r="70" s="34" customFormat="1" ht="130.5" customHeight="1" spans="2:26">
      <c r="B70" s="69" t="s">
        <v>255</v>
      </c>
      <c r="C70" s="15" t="s">
        <v>126</v>
      </c>
      <c r="D70" s="70" t="s">
        <v>127</v>
      </c>
      <c r="F70" s="69" t="s">
        <v>256</v>
      </c>
      <c r="G70" s="34" t="s">
        <v>73</v>
      </c>
      <c r="H70" s="34" t="s">
        <v>33</v>
      </c>
      <c r="I70" s="34" t="s">
        <v>74</v>
      </c>
      <c r="J70" s="34" t="s">
        <v>75</v>
      </c>
      <c r="K70" s="34" t="s">
        <v>50</v>
      </c>
      <c r="L70" s="34" t="s">
        <v>51</v>
      </c>
      <c r="M70" s="34" t="s">
        <v>116</v>
      </c>
      <c r="R70" s="34" t="s">
        <v>36</v>
      </c>
      <c r="S70" s="34" t="s">
        <v>48</v>
      </c>
      <c r="X70" s="34" t="s">
        <v>129</v>
      </c>
      <c r="Y70" s="69" t="s">
        <v>257</v>
      </c>
      <c r="Z70" s="15"/>
    </row>
    <row r="71" s="34" customFormat="1" ht="130.5" customHeight="1" spans="2:26">
      <c r="B71" s="69" t="s">
        <v>258</v>
      </c>
      <c r="C71" s="15" t="s">
        <v>174</v>
      </c>
      <c r="D71" s="70" t="s">
        <v>175</v>
      </c>
      <c r="F71" s="69" t="s">
        <v>259</v>
      </c>
      <c r="G71" s="34" t="s">
        <v>73</v>
      </c>
      <c r="H71" s="34" t="s">
        <v>33</v>
      </c>
      <c r="I71" s="34" t="s">
        <v>74</v>
      </c>
      <c r="J71" s="34" t="s">
        <v>75</v>
      </c>
      <c r="K71" s="34" t="s">
        <v>50</v>
      </c>
      <c r="L71" s="34" t="s">
        <v>51</v>
      </c>
      <c r="M71" s="34" t="s">
        <v>116</v>
      </c>
      <c r="R71" s="34" t="s">
        <v>36</v>
      </c>
      <c r="S71" s="34" t="s">
        <v>65</v>
      </c>
      <c r="X71" s="34" t="s">
        <v>129</v>
      </c>
      <c r="Y71" s="69" t="s">
        <v>260</v>
      </c>
      <c r="Z71" s="15"/>
    </row>
    <row r="72" s="34" customFormat="1" ht="130.5" customHeight="1" spans="2:26">
      <c r="B72" s="69" t="s">
        <v>261</v>
      </c>
      <c r="C72" s="15" t="s">
        <v>179</v>
      </c>
      <c r="D72" s="70" t="s">
        <v>180</v>
      </c>
      <c r="F72" s="69" t="s">
        <v>262</v>
      </c>
      <c r="G72" s="34" t="s">
        <v>73</v>
      </c>
      <c r="H72" s="34" t="s">
        <v>33</v>
      </c>
      <c r="I72" s="34" t="s">
        <v>74</v>
      </c>
      <c r="J72" s="34" t="s">
        <v>75</v>
      </c>
      <c r="K72" s="34" t="s">
        <v>50</v>
      </c>
      <c r="L72" s="34" t="s">
        <v>51</v>
      </c>
      <c r="M72" s="34" t="s">
        <v>116</v>
      </c>
      <c r="R72" s="34" t="s">
        <v>36</v>
      </c>
      <c r="S72" s="34" t="s">
        <v>73</v>
      </c>
      <c r="X72" s="34" t="s">
        <v>129</v>
      </c>
      <c r="Y72" s="69" t="s">
        <v>263</v>
      </c>
      <c r="Z72" s="15"/>
    </row>
    <row r="73" s="35" customFormat="1" ht="130.5" customHeight="1" spans="2:26">
      <c r="B73" s="69" t="s">
        <v>264</v>
      </c>
      <c r="C73" s="15" t="s">
        <v>132</v>
      </c>
      <c r="D73" s="70" t="s">
        <v>133</v>
      </c>
      <c r="F73" s="34" t="s">
        <v>33</v>
      </c>
      <c r="G73" s="34" t="s">
        <v>134</v>
      </c>
      <c r="H73" s="34" t="s">
        <v>33</v>
      </c>
      <c r="I73" s="34" t="s">
        <v>135</v>
      </c>
      <c r="J73" s="34" t="s">
        <v>35</v>
      </c>
      <c r="K73" s="34" t="s">
        <v>50</v>
      </c>
      <c r="L73" s="34" t="s">
        <v>51</v>
      </c>
      <c r="M73" s="34"/>
      <c r="R73" s="34" t="s">
        <v>36</v>
      </c>
      <c r="S73" s="34"/>
      <c r="X73" s="34" t="s">
        <v>136</v>
      </c>
      <c r="Y73" s="34"/>
      <c r="Z73" s="15"/>
    </row>
    <row r="74" s="35" customFormat="1" ht="130.5" customHeight="1" spans="2:26">
      <c r="B74" s="69" t="s">
        <v>265</v>
      </c>
      <c r="C74" s="15" t="s">
        <v>138</v>
      </c>
      <c r="D74" s="70" t="s">
        <v>139</v>
      </c>
      <c r="F74" s="34" t="s">
        <v>32</v>
      </c>
      <c r="G74" s="34" t="s">
        <v>134</v>
      </c>
      <c r="H74" s="34" t="s">
        <v>33</v>
      </c>
      <c r="I74" s="34" t="s">
        <v>135</v>
      </c>
      <c r="J74" s="34" t="s">
        <v>35</v>
      </c>
      <c r="K74" s="34" t="s">
        <v>50</v>
      </c>
      <c r="L74" s="34" t="s">
        <v>51</v>
      </c>
      <c r="M74" s="34"/>
      <c r="R74" s="34" t="s">
        <v>36</v>
      </c>
      <c r="S74" s="34"/>
      <c r="X74" s="34" t="s">
        <v>140</v>
      </c>
      <c r="Y74" s="34"/>
      <c r="Z74" s="15"/>
    </row>
    <row r="75" s="35" customFormat="1" ht="130.5" customHeight="1" spans="2:26">
      <c r="B75" s="62" t="s">
        <v>266</v>
      </c>
      <c r="C75" s="60" t="s">
        <v>45</v>
      </c>
      <c r="D75" s="61" t="s">
        <v>46</v>
      </c>
      <c r="F75" s="62" t="s">
        <v>267</v>
      </c>
      <c r="G75" s="35" t="s">
        <v>48</v>
      </c>
      <c r="H75" s="35" t="s">
        <v>33</v>
      </c>
      <c r="I75" s="35" t="s">
        <v>49</v>
      </c>
      <c r="J75" s="35" t="s">
        <v>35</v>
      </c>
      <c r="K75" s="35" t="s">
        <v>50</v>
      </c>
      <c r="L75" s="35" t="s">
        <v>51</v>
      </c>
      <c r="M75" s="35" t="s">
        <v>52</v>
      </c>
      <c r="R75" s="35" t="s">
        <v>36</v>
      </c>
      <c r="X75" s="35" t="s">
        <v>53</v>
      </c>
      <c r="Y75" s="35"/>
      <c r="Z75" s="60"/>
    </row>
    <row r="76" s="35" customFormat="1" ht="130.5" customHeight="1" spans="2:26">
      <c r="B76" s="62" t="s">
        <v>268</v>
      </c>
      <c r="C76" s="60" t="s">
        <v>55</v>
      </c>
      <c r="D76" s="61" t="s">
        <v>56</v>
      </c>
      <c r="F76" s="62" t="s">
        <v>269</v>
      </c>
      <c r="G76" s="35" t="s">
        <v>48</v>
      </c>
      <c r="H76" s="35" t="s">
        <v>33</v>
      </c>
      <c r="I76" s="35" t="s">
        <v>58</v>
      </c>
      <c r="J76" s="35" t="s">
        <v>35</v>
      </c>
      <c r="K76" s="35" t="s">
        <v>50</v>
      </c>
      <c r="L76" s="35" t="s">
        <v>51</v>
      </c>
      <c r="M76" s="35" t="s">
        <v>59</v>
      </c>
      <c r="R76" s="35" t="s">
        <v>36</v>
      </c>
      <c r="X76" s="35" t="s">
        <v>60</v>
      </c>
      <c r="Y76" s="35"/>
      <c r="Z76" s="60"/>
    </row>
    <row r="77" s="35" customFormat="1" ht="130.5" customHeight="1" spans="2:26">
      <c r="B77" s="62" t="s">
        <v>270</v>
      </c>
      <c r="C77" s="60" t="s">
        <v>62</v>
      </c>
      <c r="D77" s="61" t="s">
        <v>63</v>
      </c>
      <c r="F77" s="35" t="s">
        <v>64</v>
      </c>
      <c r="G77" s="35" t="s">
        <v>65</v>
      </c>
      <c r="H77" s="35" t="s">
        <v>33</v>
      </c>
      <c r="I77" s="35" t="s">
        <v>66</v>
      </c>
      <c r="J77" s="35" t="s">
        <v>35</v>
      </c>
      <c r="K77" s="35" t="s">
        <v>66</v>
      </c>
      <c r="L77" s="35"/>
      <c r="M77" s="35" t="s">
        <v>67</v>
      </c>
      <c r="R77" s="35" t="s">
        <v>36</v>
      </c>
      <c r="S77" s="35"/>
      <c r="X77" s="35" t="s">
        <v>68</v>
      </c>
      <c r="Y77" s="35"/>
      <c r="Z77" s="60"/>
    </row>
    <row r="78" s="35" customFormat="1" ht="130.5" customHeight="1" spans="2:26">
      <c r="B78" s="62" t="s">
        <v>271</v>
      </c>
      <c r="C78" s="60" t="s">
        <v>70</v>
      </c>
      <c r="D78" s="61" t="s">
        <v>71</v>
      </c>
      <c r="F78" s="62" t="s">
        <v>272</v>
      </c>
      <c r="G78" s="35" t="s">
        <v>73</v>
      </c>
      <c r="H78" s="35" t="s">
        <v>33</v>
      </c>
      <c r="I78" s="35" t="s">
        <v>74</v>
      </c>
      <c r="J78" s="35" t="s">
        <v>75</v>
      </c>
      <c r="K78" s="35" t="s">
        <v>50</v>
      </c>
      <c r="L78" s="35" t="s">
        <v>51</v>
      </c>
      <c r="M78" s="35" t="s">
        <v>76</v>
      </c>
      <c r="R78" s="35" t="s">
        <v>36</v>
      </c>
      <c r="S78" s="35" t="s">
        <v>33</v>
      </c>
      <c r="X78" s="35" t="s">
        <v>77</v>
      </c>
      <c r="Y78" s="62" t="s">
        <v>273</v>
      </c>
      <c r="Z78" s="60"/>
    </row>
    <row r="79" s="35" customFormat="1" ht="130.5" customHeight="1" spans="2:26">
      <c r="B79" s="62" t="s">
        <v>274</v>
      </c>
      <c r="C79" s="60" t="s">
        <v>80</v>
      </c>
      <c r="D79" s="61" t="s">
        <v>81</v>
      </c>
      <c r="F79" s="62" t="s">
        <v>275</v>
      </c>
      <c r="G79" s="35" t="s">
        <v>73</v>
      </c>
      <c r="H79" s="35" t="s">
        <v>33</v>
      </c>
      <c r="I79" s="35" t="s">
        <v>74</v>
      </c>
      <c r="J79" s="35" t="s">
        <v>75</v>
      </c>
      <c r="K79" s="35" t="s">
        <v>50</v>
      </c>
      <c r="L79" s="35" t="s">
        <v>51</v>
      </c>
      <c r="M79" s="35" t="s">
        <v>83</v>
      </c>
      <c r="R79" s="35" t="s">
        <v>36</v>
      </c>
      <c r="S79" s="35" t="s">
        <v>32</v>
      </c>
      <c r="X79" s="35" t="s">
        <v>84</v>
      </c>
      <c r="Y79" s="62" t="s">
        <v>276</v>
      </c>
      <c r="Z79" s="60"/>
    </row>
    <row r="80" s="35" customFormat="1" ht="130.5" customHeight="1" spans="2:26">
      <c r="B80" s="62" t="s">
        <v>277</v>
      </c>
      <c r="C80" s="60" t="s">
        <v>87</v>
      </c>
      <c r="D80" s="61" t="s">
        <v>88</v>
      </c>
      <c r="F80" s="62" t="s">
        <v>278</v>
      </c>
      <c r="G80" s="35" t="s">
        <v>73</v>
      </c>
      <c r="H80" s="35" t="s">
        <v>33</v>
      </c>
      <c r="I80" s="35" t="s">
        <v>74</v>
      </c>
      <c r="J80" s="35" t="s">
        <v>75</v>
      </c>
      <c r="K80" s="35" t="s">
        <v>50</v>
      </c>
      <c r="L80" s="35" t="s">
        <v>51</v>
      </c>
      <c r="M80" s="35" t="s">
        <v>76</v>
      </c>
      <c r="R80" s="35" t="s">
        <v>36</v>
      </c>
      <c r="S80" s="35" t="s">
        <v>48</v>
      </c>
      <c r="X80" s="35" t="s">
        <v>90</v>
      </c>
      <c r="Y80" s="62" t="s">
        <v>279</v>
      </c>
      <c r="Z80" s="60"/>
    </row>
    <row r="81" s="35" customFormat="1" ht="130.5" customHeight="1" spans="2:26">
      <c r="B81" s="62" t="s">
        <v>280</v>
      </c>
      <c r="C81" s="60" t="s">
        <v>154</v>
      </c>
      <c r="D81" s="61" t="s">
        <v>155</v>
      </c>
      <c r="F81" s="62" t="s">
        <v>281</v>
      </c>
      <c r="G81" s="35" t="s">
        <v>73</v>
      </c>
      <c r="H81" s="35" t="s">
        <v>33</v>
      </c>
      <c r="I81" s="35" t="s">
        <v>74</v>
      </c>
      <c r="J81" s="35" t="s">
        <v>75</v>
      </c>
      <c r="K81" s="35" t="s">
        <v>50</v>
      </c>
      <c r="L81" s="35" t="s">
        <v>51</v>
      </c>
      <c r="M81" s="35" t="s">
        <v>76</v>
      </c>
      <c r="R81" s="35" t="s">
        <v>36</v>
      </c>
      <c r="S81" s="35" t="s">
        <v>65</v>
      </c>
      <c r="X81" s="35" t="s">
        <v>90</v>
      </c>
      <c r="Y81" s="62" t="s">
        <v>282</v>
      </c>
      <c r="Z81" s="60"/>
    </row>
    <row r="82" s="35" customFormat="1" ht="130.5" customHeight="1" spans="2:26">
      <c r="B82" s="62" t="s">
        <v>283</v>
      </c>
      <c r="C82" s="60" t="s">
        <v>159</v>
      </c>
      <c r="D82" s="61" t="s">
        <v>160</v>
      </c>
      <c r="F82" s="62" t="s">
        <v>284</v>
      </c>
      <c r="G82" s="35" t="s">
        <v>73</v>
      </c>
      <c r="H82" s="35" t="s">
        <v>33</v>
      </c>
      <c r="I82" s="35" t="s">
        <v>74</v>
      </c>
      <c r="J82" s="35" t="s">
        <v>75</v>
      </c>
      <c r="K82" s="35" t="s">
        <v>50</v>
      </c>
      <c r="L82" s="35" t="s">
        <v>51</v>
      </c>
      <c r="M82" s="35" t="s">
        <v>76</v>
      </c>
      <c r="R82" s="35" t="s">
        <v>36</v>
      </c>
      <c r="S82" s="35" t="s">
        <v>73</v>
      </c>
      <c r="X82" s="35" t="s">
        <v>90</v>
      </c>
      <c r="Y82" s="62" t="s">
        <v>285</v>
      </c>
      <c r="Z82" s="60"/>
    </row>
    <row r="83" s="35" customFormat="1" ht="130.5" customHeight="1" spans="2:26">
      <c r="B83" s="62" t="s">
        <v>286</v>
      </c>
      <c r="C83" s="60" t="s">
        <v>93</v>
      </c>
      <c r="D83" s="61" t="s">
        <v>94</v>
      </c>
      <c r="F83" s="62" t="s">
        <v>246</v>
      </c>
      <c r="G83" s="35" t="s">
        <v>96</v>
      </c>
      <c r="H83" s="35" t="s">
        <v>33</v>
      </c>
      <c r="I83" s="35" t="s">
        <v>58</v>
      </c>
      <c r="J83" s="35" t="s">
        <v>35</v>
      </c>
      <c r="K83" s="35" t="s">
        <v>50</v>
      </c>
      <c r="L83" s="35" t="s">
        <v>51</v>
      </c>
      <c r="M83" s="35" t="s">
        <v>97</v>
      </c>
      <c r="R83" s="35" t="s">
        <v>36</v>
      </c>
      <c r="S83" s="35"/>
      <c r="X83" s="35" t="s">
        <v>98</v>
      </c>
      <c r="Y83" s="35"/>
      <c r="Z83" s="60"/>
    </row>
    <row r="84" s="35" customFormat="1" ht="130.5" customHeight="1" spans="2:26">
      <c r="B84" s="62" t="s">
        <v>287</v>
      </c>
      <c r="C84" s="60" t="s">
        <v>100</v>
      </c>
      <c r="D84" s="61" t="s">
        <v>101</v>
      </c>
      <c r="F84" s="35" t="s">
        <v>32</v>
      </c>
      <c r="G84" s="35" t="s">
        <v>51</v>
      </c>
      <c r="H84" s="35" t="s">
        <v>33</v>
      </c>
      <c r="I84" s="35" t="s">
        <v>102</v>
      </c>
      <c r="J84" s="35" t="s">
        <v>35</v>
      </c>
      <c r="K84" s="35" t="s">
        <v>50</v>
      </c>
      <c r="L84" s="35" t="s">
        <v>51</v>
      </c>
      <c r="M84" s="35" t="s">
        <v>103</v>
      </c>
      <c r="R84" s="35" t="s">
        <v>36</v>
      </c>
      <c r="S84" s="35"/>
      <c r="X84" s="35" t="s">
        <v>104</v>
      </c>
      <c r="Y84" s="35" t="s">
        <v>105</v>
      </c>
      <c r="Z84" s="60"/>
    </row>
    <row r="85" s="35" customFormat="1" ht="130.5" customHeight="1" spans="2:26">
      <c r="B85" s="62" t="s">
        <v>288</v>
      </c>
      <c r="C85" s="60" t="s">
        <v>107</v>
      </c>
      <c r="D85" s="61" t="s">
        <v>108</v>
      </c>
      <c r="F85" s="35" t="s">
        <v>109</v>
      </c>
      <c r="G85" s="35" t="s">
        <v>51</v>
      </c>
      <c r="H85" s="35" t="s">
        <v>33</v>
      </c>
      <c r="I85" s="35" t="s">
        <v>102</v>
      </c>
      <c r="J85" s="35" t="s">
        <v>35</v>
      </c>
      <c r="K85" s="35" t="s">
        <v>50</v>
      </c>
      <c r="L85" s="35" t="s">
        <v>51</v>
      </c>
      <c r="M85" s="35" t="s">
        <v>110</v>
      </c>
      <c r="R85" s="35" t="s">
        <v>36</v>
      </c>
      <c r="S85" s="35"/>
      <c r="X85" s="35" t="s">
        <v>104</v>
      </c>
      <c r="Y85" s="35" t="s">
        <v>111</v>
      </c>
      <c r="Z85" s="60"/>
    </row>
    <row r="86" s="35" customFormat="1" ht="130.5" customHeight="1" spans="2:26">
      <c r="B86" s="62" t="s">
        <v>289</v>
      </c>
      <c r="C86" s="60" t="s">
        <v>113</v>
      </c>
      <c r="D86" s="61" t="s">
        <v>114</v>
      </c>
      <c r="F86" s="62" t="s">
        <v>290</v>
      </c>
      <c r="G86" s="35" t="s">
        <v>73</v>
      </c>
      <c r="H86" s="35" t="s">
        <v>33</v>
      </c>
      <c r="I86" s="35" t="s">
        <v>74</v>
      </c>
      <c r="J86" s="35" t="s">
        <v>75</v>
      </c>
      <c r="K86" s="35" t="s">
        <v>50</v>
      </c>
      <c r="L86" s="35" t="s">
        <v>51</v>
      </c>
      <c r="M86" s="35" t="s">
        <v>116</v>
      </c>
      <c r="R86" s="35" t="s">
        <v>36</v>
      </c>
      <c r="S86" s="35" t="s">
        <v>33</v>
      </c>
      <c r="X86" s="35" t="s">
        <v>117</v>
      </c>
      <c r="Y86" s="62" t="s">
        <v>273</v>
      </c>
      <c r="Z86" s="60"/>
    </row>
    <row r="87" s="35" customFormat="1" ht="130.5" customHeight="1" spans="2:26">
      <c r="B87" s="62" t="s">
        <v>291</v>
      </c>
      <c r="C87" s="60" t="s">
        <v>120</v>
      </c>
      <c r="D87" s="61" t="s">
        <v>121</v>
      </c>
      <c r="F87" s="62" t="s">
        <v>292</v>
      </c>
      <c r="G87" s="35" t="s">
        <v>73</v>
      </c>
      <c r="H87" s="35" t="s">
        <v>33</v>
      </c>
      <c r="I87" s="35" t="s">
        <v>74</v>
      </c>
      <c r="J87" s="35" t="s">
        <v>75</v>
      </c>
      <c r="K87" s="35" t="s">
        <v>50</v>
      </c>
      <c r="L87" s="35" t="s">
        <v>51</v>
      </c>
      <c r="M87" s="35" t="s">
        <v>116</v>
      </c>
      <c r="R87" s="35" t="s">
        <v>36</v>
      </c>
      <c r="S87" s="35" t="s">
        <v>32</v>
      </c>
      <c r="X87" s="35" t="s">
        <v>123</v>
      </c>
      <c r="Y87" s="62" t="s">
        <v>293</v>
      </c>
      <c r="Z87" s="60"/>
    </row>
    <row r="88" s="35" customFormat="1" ht="130.5" customHeight="1" spans="2:26">
      <c r="B88" s="62" t="s">
        <v>294</v>
      </c>
      <c r="C88" s="60" t="s">
        <v>126</v>
      </c>
      <c r="D88" s="61" t="s">
        <v>127</v>
      </c>
      <c r="F88" s="62" t="s">
        <v>295</v>
      </c>
      <c r="G88" s="35" t="s">
        <v>73</v>
      </c>
      <c r="H88" s="35" t="s">
        <v>33</v>
      </c>
      <c r="I88" s="35" t="s">
        <v>74</v>
      </c>
      <c r="J88" s="35" t="s">
        <v>75</v>
      </c>
      <c r="K88" s="35" t="s">
        <v>50</v>
      </c>
      <c r="L88" s="35" t="s">
        <v>51</v>
      </c>
      <c r="M88" s="35" t="s">
        <v>116</v>
      </c>
      <c r="R88" s="35" t="s">
        <v>36</v>
      </c>
      <c r="S88" s="35" t="s">
        <v>48</v>
      </c>
      <c r="X88" s="35" t="s">
        <v>129</v>
      </c>
      <c r="Y88" s="62" t="s">
        <v>296</v>
      </c>
      <c r="Z88" s="60"/>
    </row>
    <row r="89" s="35" customFormat="1" ht="130.5" customHeight="1" spans="2:26">
      <c r="B89" s="62" t="s">
        <v>297</v>
      </c>
      <c r="C89" s="60" t="s">
        <v>174</v>
      </c>
      <c r="D89" s="61" t="s">
        <v>175</v>
      </c>
      <c r="F89" s="62" t="s">
        <v>298</v>
      </c>
      <c r="G89" s="35" t="s">
        <v>73</v>
      </c>
      <c r="H89" s="35" t="s">
        <v>33</v>
      </c>
      <c r="I89" s="35" t="s">
        <v>74</v>
      </c>
      <c r="J89" s="35" t="s">
        <v>75</v>
      </c>
      <c r="K89" s="35" t="s">
        <v>50</v>
      </c>
      <c r="L89" s="35" t="s">
        <v>51</v>
      </c>
      <c r="M89" s="35" t="s">
        <v>116</v>
      </c>
      <c r="R89" s="35" t="s">
        <v>36</v>
      </c>
      <c r="S89" s="35" t="s">
        <v>65</v>
      </c>
      <c r="X89" s="35" t="s">
        <v>129</v>
      </c>
      <c r="Y89" s="62" t="s">
        <v>299</v>
      </c>
      <c r="Z89" s="60"/>
    </row>
    <row r="90" s="35" customFormat="1" ht="130.5" customHeight="1" spans="2:26">
      <c r="B90" s="62" t="s">
        <v>300</v>
      </c>
      <c r="C90" s="60" t="s">
        <v>179</v>
      </c>
      <c r="D90" s="61" t="s">
        <v>180</v>
      </c>
      <c r="F90" s="62" t="s">
        <v>301</v>
      </c>
      <c r="G90" s="35" t="s">
        <v>73</v>
      </c>
      <c r="H90" s="35" t="s">
        <v>33</v>
      </c>
      <c r="I90" s="35" t="s">
        <v>74</v>
      </c>
      <c r="J90" s="35" t="s">
        <v>75</v>
      </c>
      <c r="K90" s="35" t="s">
        <v>50</v>
      </c>
      <c r="L90" s="35" t="s">
        <v>51</v>
      </c>
      <c r="M90" s="35" t="s">
        <v>116</v>
      </c>
      <c r="R90" s="35" t="s">
        <v>36</v>
      </c>
      <c r="S90" s="35" t="s">
        <v>73</v>
      </c>
      <c r="X90" s="35" t="s">
        <v>129</v>
      </c>
      <c r="Y90" s="62" t="s">
        <v>302</v>
      </c>
      <c r="Z90" s="60"/>
    </row>
    <row r="91" ht="62.25" customHeight="1" spans="2:26">
      <c r="B91" s="62" t="s">
        <v>303</v>
      </c>
      <c r="C91" s="60" t="s">
        <v>132</v>
      </c>
      <c r="D91" s="61" t="s">
        <v>133</v>
      </c>
      <c r="F91" s="35" t="s">
        <v>33</v>
      </c>
      <c r="G91" s="35" t="s">
        <v>134</v>
      </c>
      <c r="H91" s="35" t="s">
        <v>33</v>
      </c>
      <c r="I91" s="35" t="s">
        <v>135</v>
      </c>
      <c r="J91" s="35" t="s">
        <v>35</v>
      </c>
      <c r="K91" s="35" t="s">
        <v>50</v>
      </c>
      <c r="L91" s="35" t="s">
        <v>51</v>
      </c>
      <c r="M91" s="35"/>
      <c r="R91" s="35" t="s">
        <v>36</v>
      </c>
      <c r="S91" s="35"/>
      <c r="X91" s="35" t="s">
        <v>136</v>
      </c>
      <c r="Y91" s="35"/>
      <c r="Z91" s="60"/>
    </row>
    <row r="92" ht="40.5" customHeight="1" spans="2:26">
      <c r="B92" s="62" t="s">
        <v>304</v>
      </c>
      <c r="C92" s="60" t="s">
        <v>138</v>
      </c>
      <c r="D92" s="61" t="s">
        <v>139</v>
      </c>
      <c r="F92" s="35" t="s">
        <v>32</v>
      </c>
      <c r="G92" s="35" t="s">
        <v>134</v>
      </c>
      <c r="H92" s="35" t="s">
        <v>33</v>
      </c>
      <c r="I92" s="35" t="s">
        <v>135</v>
      </c>
      <c r="J92" s="35" t="s">
        <v>35</v>
      </c>
      <c r="K92" s="35" t="s">
        <v>50</v>
      </c>
      <c r="L92" s="35" t="s">
        <v>51</v>
      </c>
      <c r="M92" s="35"/>
      <c r="R92" s="35" t="s">
        <v>36</v>
      </c>
      <c r="S92" s="35"/>
      <c r="X92" s="35" t="s">
        <v>140</v>
      </c>
      <c r="Y92" s="35"/>
      <c r="Z92" s="60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60"/>
  <sheetViews>
    <sheetView topLeftCell="A253" workbookViewId="0">
      <selection activeCell="J246" sqref="J246:J250"/>
    </sheetView>
  </sheetViews>
  <sheetFormatPr defaultColWidth="9" defaultRowHeight="13.5"/>
  <cols>
    <col min="3" max="3" width="12.625" style="2" customWidth="1"/>
    <col min="4" max="4" width="12.875" style="2" customWidth="1"/>
    <col min="8" max="8" width="8.75" style="2" customWidth="1"/>
    <col min="9" max="10" width="33" style="2" customWidth="1"/>
    <col min="11" max="11" width="50.625" style="2" customWidth="1"/>
    <col min="14" max="14" width="13.375" style="2" customWidth="1"/>
    <col min="15" max="15" width="29.625" style="2" customWidth="1"/>
    <col min="18" max="18" width="11.625" style="2" customWidth="1"/>
    <col min="19" max="19" width="32.625" style="2" customWidth="1"/>
    <col min="23" max="23" width="29" style="2" customWidth="1"/>
  </cols>
  <sheetData>
    <row r="1" spans="4:27">
      <c r="E1" t="s">
        <v>305</v>
      </c>
      <c r="G1" t="s">
        <v>306</v>
      </c>
      <c r="N1" s="3" t="s">
        <v>307</v>
      </c>
      <c r="O1" s="3"/>
      <c r="P1" s="3"/>
      <c r="Q1" s="3"/>
      <c r="R1" t="s">
        <v>308</v>
      </c>
      <c r="V1" t="s">
        <v>309</v>
      </c>
    </row>
    <row r="2" spans="4:27">
      <c r="E2">
        <v>10001</v>
      </c>
      <c r="G2">
        <v>81001</v>
      </c>
      <c r="H2">
        <v>82001</v>
      </c>
      <c r="I2">
        <v>83001</v>
      </c>
      <c r="N2" s="3" t="s">
        <v>310</v>
      </c>
      <c r="O2" s="3" t="s">
        <v>311</v>
      </c>
      <c r="P2" s="3" t="s">
        <v>312</v>
      </c>
      <c r="Q2" s="3"/>
      <c r="R2" s="3" t="s">
        <v>310</v>
      </c>
      <c r="S2" s="3" t="s">
        <v>311</v>
      </c>
      <c r="T2" s="3" t="s">
        <v>312</v>
      </c>
      <c r="V2" s="3" t="s">
        <v>310</v>
      </c>
      <c r="W2" s="3" t="s">
        <v>311</v>
      </c>
      <c r="X2" s="3" t="s">
        <v>312</v>
      </c>
    </row>
    <row r="3" spans="4:27">
      <c r="D3" t="s">
        <v>313</v>
      </c>
      <c r="N3" s="3">
        <v>10001</v>
      </c>
      <c r="O3" s="3">
        <v>10004</v>
      </c>
      <c r="P3" s="3">
        <v>10003</v>
      </c>
      <c r="Q3" s="3"/>
      <c r="R3" s="3">
        <v>10001</v>
      </c>
      <c r="S3" s="3">
        <v>10004</v>
      </c>
      <c r="T3" s="3">
        <v>10003</v>
      </c>
      <c r="V3" s="3">
        <v>10001</v>
      </c>
      <c r="W3" s="3">
        <v>10004</v>
      </c>
      <c r="X3" s="3">
        <v>10003</v>
      </c>
    </row>
    <row r="4" spans="4:27">
      <c r="E4" s="4">
        <v>439</v>
      </c>
      <c r="F4" s="4">
        <v>636</v>
      </c>
      <c r="G4" s="4">
        <v>1000</v>
      </c>
      <c r="H4" s="4">
        <v>1300</v>
      </c>
      <c r="I4" t="str">
        <f>$E$2&amp;"|"&amp;E4&amp;"|"&amp;F4&amp;"$"&amp;$G$2&amp;"|"&amp;G4&amp;"|"&amp;H4</f>
        <v>10001|439|636$81001|1000|1300</v>
      </c>
      <c r="J4" t="str">
        <f>$E$2&amp;"|"&amp;E4&amp;"|"&amp;F4&amp;"$"&amp;$H$2&amp;"|"&amp;G4&amp;"|"&amp;H4</f>
        <v>10001|439|636$82001|1000|1300</v>
      </c>
      <c r="K4" t="str">
        <f>$E$2&amp;"|"&amp;F4&amp;"|"&amp;G4&amp;"$"&amp;$I$2&amp;"|"&amp;G4&amp;"|"&amp;H4</f>
        <v>10001|636|1000$83001|1000|1300</v>
      </c>
      <c r="M4" s="5">
        <v>1</v>
      </c>
      <c r="N4">
        <v>600</v>
      </c>
      <c r="O4">
        <v>360</v>
      </c>
      <c r="P4">
        <v>360</v>
      </c>
      <c r="Q4" s="5" t="str">
        <f t="shared" ref="Q4:Q28" si="0">$K$99&amp;"|"&amp;N4&amp;"$"&amp;$L$99&amp;"|"&amp;O4&amp;"$"&amp;$M$99&amp;"|"&amp;P4</f>
        <v>10001|600$10004|360$10003|360</v>
      </c>
      <c r="R4" s="4">
        <v>1800</v>
      </c>
      <c r="S4" s="4">
        <v>360</v>
      </c>
      <c r="T4" s="4">
        <v>360</v>
      </c>
      <c r="U4" s="5" t="str">
        <f t="shared" ref="U4:U28" si="1">$K$99&amp;"|"&amp;R4&amp;"$"&amp;$L$99&amp;"|"&amp;S4&amp;"$"&amp;$M$99&amp;"|"&amp;T4</f>
        <v>10001|1800$10004|360$10003|360</v>
      </c>
      <c r="V4" s="4">
        <v>5400</v>
      </c>
      <c r="W4" s="4">
        <v>360</v>
      </c>
      <c r="X4" s="4">
        <v>360</v>
      </c>
      <c r="Y4" s="5" t="str">
        <f t="shared" ref="Y4:Y28" si="2">$K$99&amp;"|"&amp;V4&amp;"$"&amp;$L$99&amp;"|"&amp;W4&amp;"$"&amp;$M$99&amp;"|"&amp;X4</f>
        <v>10001|5400$10004|360$10003|360</v>
      </c>
      <c r="Z4" s="5"/>
      <c r="AA4" s="5"/>
    </row>
    <row r="5" spans="4:27">
      <c r="E5" s="4">
        <f>E4*1.2</f>
        <v>527</v>
      </c>
      <c r="F5" s="4">
        <f>F4*1.2</f>
        <v>763</v>
      </c>
      <c r="G5" s="4">
        <v>1300</v>
      </c>
      <c r="H5" s="4">
        <v>1600</v>
      </c>
      <c r="I5" t="str">
        <f>$E$2&amp;"|"&amp;E5&amp;"|"&amp;F5&amp;"$"&amp;$G$2&amp;"|"&amp;G5&amp;"|"&amp;H5</f>
        <v>10001|527|763$81001|1300|1600</v>
      </c>
      <c r="J5" t="str">
        <f>$E$2&amp;"|"&amp;E5&amp;"|"&amp;F5&amp;"$"&amp;$H$2&amp;"|"&amp;G5&amp;"|"&amp;H5</f>
        <v>10001|527|763$82001|1300|1600</v>
      </c>
      <c r="K5" t="str">
        <f>$E$2&amp;"|"&amp;F5&amp;"|"&amp;G5&amp;"$"&amp;$I$2&amp;"|"&amp;G5&amp;"|"&amp;H5</f>
        <v>10001|763|1300$83001|1300|1600</v>
      </c>
      <c r="M5" s="5">
        <v>2</v>
      </c>
      <c r="N5">
        <v>1200</v>
      </c>
      <c r="O5">
        <v>450</v>
      </c>
      <c r="P5">
        <v>450</v>
      </c>
      <c r="Q5" s="5" t="str">
        <f t="shared" si="0"/>
        <v>10001|1200$10004|450$10003|450</v>
      </c>
      <c r="R5" s="4">
        <v>3925</v>
      </c>
      <c r="S5" s="4">
        <v>450</v>
      </c>
      <c r="T5" s="4">
        <v>450</v>
      </c>
      <c r="U5" s="5" t="str">
        <f t="shared" si="1"/>
        <v>10001|3925$10004|450$10003|450</v>
      </c>
      <c r="V5" s="4">
        <v>10175</v>
      </c>
      <c r="W5" s="4">
        <v>450</v>
      </c>
      <c r="X5" s="4">
        <v>450</v>
      </c>
      <c r="Y5" s="5" t="str">
        <f t="shared" si="2"/>
        <v>10001|10175$10004|450$10003|450</v>
      </c>
      <c r="Z5" s="5"/>
      <c r="AA5" s="5"/>
    </row>
    <row r="6" spans="4:27">
      <c r="E6" s="4">
        <v>439</v>
      </c>
      <c r="F6" s="4">
        <v>636</v>
      </c>
      <c r="G6" s="4">
        <v>1600</v>
      </c>
      <c r="H6" s="4">
        <v>1900</v>
      </c>
      <c r="I6" t="str">
        <f>$E$2&amp;"|"&amp;E6&amp;"|"&amp;F6&amp;"$"&amp;$G$2&amp;"|"&amp;G6&amp;"|"&amp;H6</f>
        <v>10001|439|636$81001|1600|1900</v>
      </c>
      <c r="J6" t="str">
        <f>$E$2&amp;"|"&amp;E6&amp;"|"&amp;F6&amp;"$"&amp;$H$2&amp;"|"&amp;G6&amp;"|"&amp;H6</f>
        <v>10001|439|636$82001|1600|1900</v>
      </c>
      <c r="K6" t="str">
        <f>$E$2&amp;"|"&amp;F6&amp;"|"&amp;G6&amp;"$"&amp;$I$2&amp;"|"&amp;G6&amp;"|"&amp;H6</f>
        <v>10001|636|1600$83001|1600|1900</v>
      </c>
      <c r="M6" s="5">
        <v>3</v>
      </c>
      <c r="N6">
        <v>1800</v>
      </c>
      <c r="O6">
        <v>540</v>
      </c>
      <c r="P6">
        <v>540</v>
      </c>
      <c r="Q6" s="5" t="str">
        <f t="shared" si="0"/>
        <v>10001|1800$10004|540$10003|540</v>
      </c>
      <c r="R6" s="4">
        <v>6049</v>
      </c>
      <c r="S6" s="4">
        <v>540</v>
      </c>
      <c r="T6" s="4">
        <v>540</v>
      </c>
      <c r="U6" s="5" t="str">
        <f t="shared" si="1"/>
        <v>10001|6049$10004|540$10003|540</v>
      </c>
      <c r="V6" s="4">
        <v>14950</v>
      </c>
      <c r="W6" s="4">
        <v>540</v>
      </c>
      <c r="X6" s="4">
        <v>540</v>
      </c>
      <c r="Y6" s="5" t="str">
        <f t="shared" si="2"/>
        <v>10001|14950$10004|540$10003|540</v>
      </c>
      <c r="Z6" s="5"/>
      <c r="AA6" s="5"/>
    </row>
    <row r="7" spans="4:27">
      <c r="E7" s="4">
        <f>E6*1.2</f>
        <v>527</v>
      </c>
      <c r="F7" s="4">
        <f>F6*1.2</f>
        <v>763</v>
      </c>
      <c r="G7" s="4">
        <v>1900</v>
      </c>
      <c r="H7" s="4">
        <v>2100</v>
      </c>
      <c r="I7" t="str">
        <f>$E$2&amp;"|"&amp;E7&amp;"|"&amp;F7&amp;"$"&amp;$G$2&amp;"|"&amp;G7&amp;"|"&amp;H7</f>
        <v>10001|527|763$81001|1900|2100</v>
      </c>
      <c r="J7" t="str">
        <f>$E$2&amp;"|"&amp;E7&amp;"|"&amp;F7&amp;"$"&amp;$H$2&amp;"|"&amp;G7&amp;"|"&amp;H7</f>
        <v>10001|527|763$82001|1900|2100</v>
      </c>
      <c r="K7" t="str">
        <f>$E$2&amp;"|"&amp;F7&amp;"|"&amp;G7&amp;"$"&amp;$I$2&amp;"|"&amp;G7&amp;"|"&amp;H7</f>
        <v>10001|763|1900$83001|1900|2100</v>
      </c>
      <c r="M7" s="5">
        <v>4</v>
      </c>
      <c r="N7">
        <v>2400</v>
      </c>
      <c r="O7">
        <v>630</v>
      </c>
      <c r="P7">
        <v>630</v>
      </c>
      <c r="Q7" s="5" t="str">
        <f t="shared" si="0"/>
        <v>10001|2400$10004|630$10003|630</v>
      </c>
      <c r="R7" s="4">
        <v>8174</v>
      </c>
      <c r="S7" s="4">
        <v>630</v>
      </c>
      <c r="T7" s="4">
        <v>630</v>
      </c>
      <c r="U7" s="5" t="str">
        <f t="shared" si="1"/>
        <v>10001|8174$10004|630$10003|630</v>
      </c>
      <c r="V7" s="4">
        <v>19724</v>
      </c>
      <c r="W7" s="4">
        <v>630</v>
      </c>
      <c r="X7" s="4">
        <v>630</v>
      </c>
      <c r="Y7" s="5" t="str">
        <f t="shared" si="2"/>
        <v>10001|19724$10004|630$10003|630</v>
      </c>
      <c r="Z7" s="5"/>
      <c r="AA7" s="5"/>
    </row>
    <row r="8" spans="4:27">
      <c r="E8" s="4">
        <f>E7*1.2</f>
        <v>632</v>
      </c>
      <c r="F8" s="4">
        <f>F7*1.2</f>
        <v>916</v>
      </c>
      <c r="G8" s="4">
        <v>2100</v>
      </c>
      <c r="H8" s="4">
        <v>2400</v>
      </c>
      <c r="I8" t="str">
        <f>$E$2&amp;"|"&amp;E8&amp;"|"&amp;F8&amp;"$"&amp;$G$2&amp;"|"&amp;G8&amp;"|"&amp;H8</f>
        <v>10001|632|916$81001|2100|2400</v>
      </c>
      <c r="J8" t="str">
        <f>$E$2&amp;"|"&amp;E8&amp;"|"&amp;F8&amp;"$"&amp;$H$2&amp;"|"&amp;G8&amp;"|"&amp;H8</f>
        <v>10001|632|916$82001|2100|2400</v>
      </c>
      <c r="K8" t="str">
        <f>$E$2&amp;"|"&amp;F8&amp;"|"&amp;G8&amp;"$"&amp;$I$2&amp;"|"&amp;G8&amp;"|"&amp;H8</f>
        <v>10001|916|2100$83001|2100|2400</v>
      </c>
      <c r="M8" s="5">
        <v>5</v>
      </c>
      <c r="N8">
        <v>3000</v>
      </c>
      <c r="O8">
        <v>720</v>
      </c>
      <c r="P8">
        <v>720</v>
      </c>
      <c r="Q8" s="5" t="str">
        <f t="shared" si="0"/>
        <v>10001|3000$10004|720$10003|720</v>
      </c>
      <c r="R8" s="4">
        <v>10298</v>
      </c>
      <c r="S8" s="4">
        <v>720</v>
      </c>
      <c r="T8" s="4">
        <v>720</v>
      </c>
      <c r="U8" s="5" t="str">
        <f t="shared" si="1"/>
        <v>10001|10298$10004|720$10003|720</v>
      </c>
      <c r="V8" s="4">
        <v>24499</v>
      </c>
      <c r="W8" s="4">
        <v>720</v>
      </c>
      <c r="X8" s="4">
        <v>720</v>
      </c>
      <c r="Y8" s="5" t="str">
        <f t="shared" si="2"/>
        <v>10001|24499$10004|720$10003|720</v>
      </c>
      <c r="Z8" s="5"/>
      <c r="AA8" s="5"/>
    </row>
    <row r="9" spans="4:27">
      <c r="E9" s="4"/>
      <c r="F9" s="4"/>
      <c r="G9" s="4"/>
      <c r="H9" s="4"/>
      <c r="M9" s="6">
        <v>6</v>
      </c>
      <c r="N9">
        <v>3600</v>
      </c>
      <c r="O9">
        <v>810</v>
      </c>
      <c r="P9">
        <v>810</v>
      </c>
      <c r="Q9" s="6" t="str">
        <f t="shared" si="0"/>
        <v>10001|3600$10004|810$10003|810</v>
      </c>
      <c r="R9" s="4">
        <v>12423</v>
      </c>
      <c r="S9" s="4">
        <v>810</v>
      </c>
      <c r="T9" s="4">
        <v>810</v>
      </c>
      <c r="U9" s="6" t="str">
        <f t="shared" si="1"/>
        <v>10001|12423$10004|810$10003|810</v>
      </c>
      <c r="V9" s="4">
        <v>29274</v>
      </c>
      <c r="W9" s="4">
        <v>810</v>
      </c>
      <c r="X9" s="4">
        <v>810</v>
      </c>
      <c r="Y9" s="6" t="str">
        <f t="shared" si="2"/>
        <v>10001|29274$10004|810$10003|810</v>
      </c>
      <c r="Z9" s="6"/>
      <c r="AA9" s="6"/>
    </row>
    <row r="10" spans="4:27">
      <c r="E10" s="4"/>
      <c r="F10" s="4"/>
      <c r="G10" s="4"/>
      <c r="H10" s="4"/>
      <c r="M10" s="6">
        <v>7</v>
      </c>
      <c r="N10">
        <v>4200</v>
      </c>
      <c r="O10">
        <v>900</v>
      </c>
      <c r="P10">
        <v>900</v>
      </c>
      <c r="Q10" s="6" t="str">
        <f t="shared" si="0"/>
        <v>10001|4200$10004|900$10003|900</v>
      </c>
      <c r="R10" s="4">
        <v>14548</v>
      </c>
      <c r="S10" s="4">
        <v>900</v>
      </c>
      <c r="T10" s="4">
        <v>900</v>
      </c>
      <c r="U10" s="6" t="str">
        <f t="shared" si="1"/>
        <v>10001|14548$10004|900$10003|900</v>
      </c>
      <c r="V10" s="4">
        <v>34049</v>
      </c>
      <c r="W10" s="4">
        <v>900</v>
      </c>
      <c r="X10" s="4">
        <v>900</v>
      </c>
      <c r="Y10" s="6" t="str">
        <f t="shared" si="2"/>
        <v>10001|34049$10004|900$10003|900</v>
      </c>
      <c r="Z10" s="6"/>
      <c r="AA10" s="6"/>
    </row>
    <row r="11" spans="4:27">
      <c r="E11" s="4"/>
      <c r="F11" s="4"/>
      <c r="G11" s="4"/>
      <c r="H11" s="4"/>
      <c r="M11" s="6">
        <v>8</v>
      </c>
      <c r="N11">
        <v>4800</v>
      </c>
      <c r="O11">
        <v>990</v>
      </c>
      <c r="P11">
        <v>990</v>
      </c>
      <c r="Q11" s="6" t="str">
        <f t="shared" si="0"/>
        <v>10001|4800$10004|990$10003|990</v>
      </c>
      <c r="R11" s="4">
        <v>16672</v>
      </c>
      <c r="S11" s="4">
        <v>990</v>
      </c>
      <c r="T11" s="4">
        <v>990</v>
      </c>
      <c r="U11" s="6" t="str">
        <f t="shared" si="1"/>
        <v>10001|16672$10004|990$10003|990</v>
      </c>
      <c r="V11" s="4">
        <v>38824</v>
      </c>
      <c r="W11" s="4">
        <v>990</v>
      </c>
      <c r="X11" s="4">
        <v>990</v>
      </c>
      <c r="Y11" s="6" t="str">
        <f t="shared" si="2"/>
        <v>10001|38824$10004|990$10003|990</v>
      </c>
      <c r="Z11" s="6"/>
      <c r="AA11" s="6"/>
    </row>
    <row r="12" spans="4:27">
      <c r="E12" s="4"/>
      <c r="F12" s="4"/>
      <c r="G12" s="4"/>
      <c r="H12" s="4"/>
      <c r="M12" s="6">
        <v>9</v>
      </c>
      <c r="N12">
        <v>5400</v>
      </c>
      <c r="O12">
        <v>1080</v>
      </c>
      <c r="P12">
        <v>1080</v>
      </c>
      <c r="Q12" s="6" t="str">
        <f t="shared" si="0"/>
        <v>10001|5400$10004|1080$10003|1080</v>
      </c>
      <c r="R12" s="4">
        <v>18797</v>
      </c>
      <c r="S12" s="4">
        <v>1080</v>
      </c>
      <c r="T12" s="4">
        <v>1080</v>
      </c>
      <c r="U12" s="6" t="str">
        <f t="shared" si="1"/>
        <v>10001|18797$10004|1080$10003|1080</v>
      </c>
      <c r="V12" s="4">
        <v>43598</v>
      </c>
      <c r="W12" s="4">
        <v>1080</v>
      </c>
      <c r="X12" s="4">
        <v>1080</v>
      </c>
      <c r="Y12" s="6" t="str">
        <f t="shared" si="2"/>
        <v>10001|43598$10004|1080$10003|1080</v>
      </c>
      <c r="Z12" s="6"/>
      <c r="AA12" s="6"/>
    </row>
    <row r="13" spans="4:27">
      <c r="E13" s="4"/>
      <c r="F13" s="4"/>
      <c r="G13" s="4"/>
      <c r="H13" s="4"/>
      <c r="M13" s="6">
        <v>10</v>
      </c>
      <c r="N13">
        <v>6000</v>
      </c>
      <c r="O13">
        <v>1170</v>
      </c>
      <c r="P13">
        <v>1170</v>
      </c>
      <c r="Q13" s="6" t="str">
        <f t="shared" si="0"/>
        <v>10001|6000$10004|1170$10003|1170</v>
      </c>
      <c r="R13" s="4">
        <v>20921</v>
      </c>
      <c r="S13" s="4">
        <v>1170</v>
      </c>
      <c r="T13" s="4">
        <v>1170</v>
      </c>
      <c r="U13" s="6" t="str">
        <f t="shared" si="1"/>
        <v>10001|20921$10004|1170$10003|1170</v>
      </c>
      <c r="V13" s="4">
        <v>48373</v>
      </c>
      <c r="W13" s="4">
        <v>1170</v>
      </c>
      <c r="X13" s="4">
        <v>1170</v>
      </c>
      <c r="Y13" s="6" t="str">
        <f t="shared" si="2"/>
        <v>10001|48373$10004|1170$10003|1170</v>
      </c>
      <c r="Z13" s="6"/>
      <c r="AA13" s="6"/>
    </row>
    <row r="14" spans="4:27">
      <c r="E14" s="4"/>
      <c r="F14" s="4"/>
      <c r="G14" s="4"/>
      <c r="H14" s="4"/>
      <c r="M14">
        <v>11</v>
      </c>
      <c r="N14">
        <v>7700</v>
      </c>
      <c r="O14">
        <v>1470</v>
      </c>
      <c r="P14">
        <v>1470</v>
      </c>
      <c r="Q14" t="str">
        <f t="shared" si="0"/>
        <v>10001|7700$10004|1470$10003|1470</v>
      </c>
      <c r="R14" s="4">
        <v>26887</v>
      </c>
      <c r="S14" s="4">
        <v>1470</v>
      </c>
      <c r="T14" s="4">
        <v>1470</v>
      </c>
      <c r="U14" t="str">
        <f t="shared" si="1"/>
        <v>10001|26887$10004|1470$10003|1470</v>
      </c>
      <c r="V14" s="4">
        <v>62006</v>
      </c>
      <c r="W14" s="4">
        <v>1470</v>
      </c>
      <c r="X14" s="4">
        <v>1470</v>
      </c>
      <c r="Y14" t="str">
        <f t="shared" si="2"/>
        <v>10001|62006$10004|1470$10003|1470</v>
      </c>
    </row>
    <row r="15" spans="4:27">
      <c r="E15" s="4"/>
      <c r="F15" s="4"/>
      <c r="G15" s="4"/>
      <c r="H15" s="4"/>
      <c r="M15">
        <v>12</v>
      </c>
      <c r="N15">
        <v>8400</v>
      </c>
      <c r="O15">
        <v>1575</v>
      </c>
      <c r="P15">
        <v>1575</v>
      </c>
      <c r="Q15" t="str">
        <f t="shared" si="0"/>
        <v>10001|8400$10004|1575$10003|1575</v>
      </c>
      <c r="R15" s="4">
        <v>29366</v>
      </c>
      <c r="S15" s="4">
        <v>1575</v>
      </c>
      <c r="T15" s="4">
        <v>1575</v>
      </c>
      <c r="U15" t="str">
        <f t="shared" si="1"/>
        <v>10001|29366$10004|1575$10003|1575</v>
      </c>
      <c r="V15" s="4">
        <v>67577</v>
      </c>
      <c r="W15" s="4">
        <v>1575</v>
      </c>
      <c r="X15" s="4">
        <v>1575</v>
      </c>
      <c r="Y15" t="str">
        <f t="shared" si="2"/>
        <v>10001|67577$10004|1575$10003|1575</v>
      </c>
    </row>
    <row r="16" spans="4:27">
      <c r="E16" s="4"/>
      <c r="F16" s="4"/>
      <c r="G16" s="4"/>
      <c r="H16" s="4"/>
      <c r="M16">
        <v>13</v>
      </c>
      <c r="N16">
        <v>9100</v>
      </c>
      <c r="O16">
        <v>1680</v>
      </c>
      <c r="P16">
        <v>1680</v>
      </c>
      <c r="Q16" t="str">
        <f t="shared" si="0"/>
        <v>10001|9100$10004|1680$10003|1680</v>
      </c>
      <c r="R16" s="4">
        <v>31844</v>
      </c>
      <c r="S16" s="4">
        <v>1680</v>
      </c>
      <c r="T16" s="4">
        <v>1680</v>
      </c>
      <c r="U16" t="str">
        <f t="shared" si="1"/>
        <v>10001|31844$10004|1680$10003|1680</v>
      </c>
      <c r="V16" s="4">
        <v>73147</v>
      </c>
      <c r="W16" s="4">
        <v>1680</v>
      </c>
      <c r="X16" s="4">
        <v>1680</v>
      </c>
      <c r="Y16" t="str">
        <f t="shared" si="2"/>
        <v>10001|73147$10004|1680$10003|1680</v>
      </c>
    </row>
    <row r="17" spans="5:25">
      <c r="E17" s="4"/>
      <c r="F17" s="4"/>
      <c r="G17" s="4"/>
      <c r="H17" s="4"/>
      <c r="M17">
        <v>14</v>
      </c>
      <c r="N17">
        <v>9800</v>
      </c>
      <c r="O17">
        <v>1785</v>
      </c>
      <c r="P17">
        <v>1785</v>
      </c>
      <c r="Q17" t="str">
        <f t="shared" si="0"/>
        <v>10001|9800$10004|1785$10003|1785</v>
      </c>
      <c r="R17" s="4">
        <v>34323</v>
      </c>
      <c r="S17" s="4">
        <v>1785</v>
      </c>
      <c r="T17" s="4">
        <v>1785</v>
      </c>
      <c r="U17" t="str">
        <f t="shared" si="1"/>
        <v>10001|34323$10004|1785$10003|1785</v>
      </c>
      <c r="V17" s="4">
        <v>78718</v>
      </c>
      <c r="W17" s="4">
        <v>1785</v>
      </c>
      <c r="X17" s="4">
        <v>1785</v>
      </c>
      <c r="Y17" t="str">
        <f t="shared" si="2"/>
        <v>10001|78718$10004|1785$10003|1785</v>
      </c>
    </row>
    <row r="18" spans="5:25">
      <c r="E18" s="4"/>
      <c r="F18" s="4"/>
      <c r="G18" s="4"/>
      <c r="H18" s="4"/>
      <c r="M18">
        <v>15</v>
      </c>
      <c r="N18">
        <v>10500</v>
      </c>
      <c r="O18">
        <v>1890</v>
      </c>
      <c r="P18">
        <v>1890</v>
      </c>
      <c r="Q18" t="str">
        <f t="shared" si="0"/>
        <v>10001|10500$10004|1890$10003|1890</v>
      </c>
      <c r="R18" s="4">
        <v>36802</v>
      </c>
      <c r="S18" s="4">
        <v>1890</v>
      </c>
      <c r="T18" s="4">
        <v>1890</v>
      </c>
      <c r="U18" t="str">
        <f t="shared" si="1"/>
        <v>10001|36802$10004|1890$10003|1890</v>
      </c>
      <c r="V18" s="4">
        <v>84288</v>
      </c>
      <c r="W18" s="4">
        <v>1890</v>
      </c>
      <c r="X18" s="4">
        <v>1890</v>
      </c>
      <c r="Y18" t="str">
        <f t="shared" si="2"/>
        <v>10001|84288$10004|1890$10003|1890</v>
      </c>
    </row>
    <row r="19" spans="5:25">
      <c r="E19" s="4"/>
      <c r="F19" s="4"/>
      <c r="G19" s="4"/>
      <c r="H19" s="4"/>
      <c r="M19">
        <v>16</v>
      </c>
      <c r="N19" s="7">
        <v>16000</v>
      </c>
      <c r="O19" s="7">
        <v>2850</v>
      </c>
      <c r="P19" s="7">
        <v>2850</v>
      </c>
      <c r="Q19" t="str">
        <f t="shared" si="0"/>
        <v>10001|16000$10004|2850$10003|2850</v>
      </c>
      <c r="R19" s="7">
        <v>56115</v>
      </c>
      <c r="S19" s="7">
        <v>2850</v>
      </c>
      <c r="T19" s="7">
        <v>2850</v>
      </c>
      <c r="U19" t="str">
        <f t="shared" si="1"/>
        <v>10001|56115$10004|2850$10003|2850</v>
      </c>
      <c r="V19" s="7">
        <v>128370</v>
      </c>
      <c r="W19" s="7">
        <v>2850</v>
      </c>
      <c r="X19" s="7">
        <v>2850</v>
      </c>
      <c r="Y19" t="str">
        <f t="shared" si="2"/>
        <v>10001|128370$10004|2850$10003|2850</v>
      </c>
    </row>
    <row r="20" spans="5:25">
      <c r="E20" s="4"/>
      <c r="F20" s="4"/>
      <c r="G20" s="4"/>
      <c r="H20" s="4"/>
      <c r="M20">
        <v>17</v>
      </c>
      <c r="N20" s="7">
        <v>17000</v>
      </c>
      <c r="O20" s="7">
        <v>3000</v>
      </c>
      <c r="P20" s="7">
        <v>3000</v>
      </c>
      <c r="Q20" t="str">
        <f t="shared" si="0"/>
        <v>10001|17000$10004|3000$10003|3000</v>
      </c>
      <c r="R20" s="7">
        <v>59656</v>
      </c>
      <c r="S20" s="7">
        <v>3000</v>
      </c>
      <c r="T20" s="7">
        <v>3000</v>
      </c>
      <c r="U20" t="str">
        <f t="shared" si="1"/>
        <v>10001|59656$10004|3000$10003|3000</v>
      </c>
      <c r="V20" s="7">
        <v>136328</v>
      </c>
      <c r="W20" s="7">
        <v>3000</v>
      </c>
      <c r="X20" s="7">
        <v>3000</v>
      </c>
      <c r="Y20" t="str">
        <f t="shared" si="2"/>
        <v>10001|136328$10004|3000$10003|3000</v>
      </c>
    </row>
    <row r="21" spans="5:25">
      <c r="E21" s="4"/>
      <c r="F21" s="4"/>
      <c r="G21" s="4"/>
      <c r="H21" s="4"/>
      <c r="M21">
        <v>18</v>
      </c>
      <c r="N21" s="7">
        <v>18000</v>
      </c>
      <c r="O21" s="7">
        <v>3150</v>
      </c>
      <c r="P21" s="7">
        <v>3150</v>
      </c>
      <c r="Q21" t="str">
        <f t="shared" si="0"/>
        <v>10001|18000$10004|3150$10003|3150</v>
      </c>
      <c r="R21" s="7">
        <v>63197</v>
      </c>
      <c r="S21" s="7">
        <v>3150</v>
      </c>
      <c r="T21" s="7">
        <v>3150</v>
      </c>
      <c r="U21" t="str">
        <f t="shared" si="1"/>
        <v>10001|63197$10004|3150$10003|3150</v>
      </c>
      <c r="V21" s="7">
        <v>144286</v>
      </c>
      <c r="W21" s="7">
        <v>3150</v>
      </c>
      <c r="X21" s="7">
        <v>3150</v>
      </c>
      <c r="Y21" t="str">
        <f t="shared" si="2"/>
        <v>10001|144286$10004|3150$10003|3150</v>
      </c>
    </row>
    <row r="22" spans="5:25">
      <c r="E22" s="4"/>
      <c r="F22" s="4"/>
      <c r="G22" s="4"/>
      <c r="H22" s="4"/>
      <c r="M22">
        <v>19</v>
      </c>
      <c r="N22" s="7">
        <v>19000</v>
      </c>
      <c r="O22" s="7">
        <v>3300</v>
      </c>
      <c r="P22" s="7">
        <v>3300</v>
      </c>
      <c r="Q22" t="str">
        <f t="shared" si="0"/>
        <v>10001|19000$10004|3300$10003|3300</v>
      </c>
      <c r="R22" s="7">
        <v>66738</v>
      </c>
      <c r="S22" s="7">
        <v>3300</v>
      </c>
      <c r="T22" s="7">
        <v>3300</v>
      </c>
      <c r="U22" t="str">
        <f t="shared" si="1"/>
        <v>10001|66738$10004|3300$10003|3300</v>
      </c>
      <c r="V22" s="7">
        <v>152244</v>
      </c>
      <c r="W22" s="7">
        <v>3300</v>
      </c>
      <c r="X22" s="7">
        <v>3300</v>
      </c>
      <c r="Y22" t="str">
        <f t="shared" si="2"/>
        <v>10001|152244$10004|3300$10003|3300</v>
      </c>
    </row>
    <row r="23" spans="5:25">
      <c r="E23" s="4"/>
      <c r="F23" s="4"/>
      <c r="G23" s="4"/>
      <c r="H23" s="4"/>
      <c r="M23">
        <v>20</v>
      </c>
      <c r="N23" s="7">
        <v>20000</v>
      </c>
      <c r="O23" s="7">
        <v>3450</v>
      </c>
      <c r="P23" s="7">
        <v>3450</v>
      </c>
      <c r="Q23" t="str">
        <f t="shared" si="0"/>
        <v>10001|20000$10004|3450$10003|3450</v>
      </c>
      <c r="R23" s="7">
        <v>70279</v>
      </c>
      <c r="S23" s="7">
        <v>3450</v>
      </c>
      <c r="T23" s="7">
        <v>3450</v>
      </c>
      <c r="U23" t="str">
        <f t="shared" si="1"/>
        <v>10001|70279$10004|3450$10003|3450</v>
      </c>
      <c r="V23" s="7">
        <v>160202</v>
      </c>
      <c r="W23" s="7">
        <v>3450</v>
      </c>
      <c r="X23" s="7">
        <v>3450</v>
      </c>
      <c r="Y23" t="str">
        <f t="shared" si="2"/>
        <v>10001|160202$10004|3450$10003|3450</v>
      </c>
    </row>
    <row r="24" spans="5:25">
      <c r="E24" s="4"/>
      <c r="F24" s="4"/>
      <c r="G24" s="4"/>
      <c r="H24" s="4"/>
      <c r="M24">
        <v>21</v>
      </c>
      <c r="N24" s="7">
        <v>21000</v>
      </c>
      <c r="O24" s="7">
        <v>3600</v>
      </c>
      <c r="P24" s="7">
        <v>3600</v>
      </c>
      <c r="Q24" t="str">
        <f t="shared" si="0"/>
        <v>10001|21000$10004|3600$10003|3600</v>
      </c>
      <c r="R24" s="7">
        <v>73820</v>
      </c>
      <c r="S24" s="7">
        <v>3600</v>
      </c>
      <c r="T24" s="7">
        <v>3600</v>
      </c>
      <c r="U24" t="str">
        <f t="shared" si="1"/>
        <v>10001|73820$10004|3600$10003|3600</v>
      </c>
      <c r="V24" s="7">
        <v>168160</v>
      </c>
      <c r="W24" s="7">
        <v>3600</v>
      </c>
      <c r="X24" s="7">
        <v>3600</v>
      </c>
      <c r="Y24" t="str">
        <f t="shared" si="2"/>
        <v>10001|168160$10004|3600$10003|3600</v>
      </c>
    </row>
    <row r="25" spans="5:25">
      <c r="E25" s="4"/>
      <c r="F25" s="4"/>
      <c r="G25" s="4"/>
      <c r="H25" s="4"/>
      <c r="M25">
        <v>22</v>
      </c>
      <c r="N25" s="7">
        <v>22000</v>
      </c>
      <c r="O25" s="7">
        <v>3750</v>
      </c>
      <c r="P25" s="7">
        <v>3750</v>
      </c>
      <c r="Q25" t="str">
        <f t="shared" si="0"/>
        <v>10001|22000$10004|3750$10003|3750</v>
      </c>
      <c r="R25" s="7">
        <v>77361</v>
      </c>
      <c r="S25" s="7">
        <v>3750</v>
      </c>
      <c r="T25" s="7">
        <v>3750</v>
      </c>
      <c r="U25" t="str">
        <f t="shared" si="1"/>
        <v>10001|77361$10004|3750$10003|3750</v>
      </c>
      <c r="V25" s="7">
        <v>176118</v>
      </c>
      <c r="W25" s="7">
        <v>3750</v>
      </c>
      <c r="X25" s="7">
        <v>3750</v>
      </c>
      <c r="Y25" t="str">
        <f t="shared" si="2"/>
        <v>10001|176118$10004|3750$10003|3750</v>
      </c>
    </row>
    <row r="26" spans="5:25">
      <c r="E26" s="4"/>
      <c r="F26" s="4"/>
      <c r="G26" s="4"/>
      <c r="H26" s="4"/>
      <c r="M26">
        <v>23</v>
      </c>
      <c r="N26" s="7">
        <v>23000</v>
      </c>
      <c r="O26" s="7">
        <v>3900</v>
      </c>
      <c r="P26" s="7">
        <v>3900</v>
      </c>
      <c r="Q26" t="str">
        <f t="shared" si="0"/>
        <v>10001|23000$10004|3900$10003|3900</v>
      </c>
      <c r="R26" s="7">
        <v>80902</v>
      </c>
      <c r="S26" s="7">
        <v>3900</v>
      </c>
      <c r="T26" s="7">
        <v>3900</v>
      </c>
      <c r="U26" t="str">
        <f t="shared" si="1"/>
        <v>10001|80902$10004|3900$10003|3900</v>
      </c>
      <c r="V26" s="7">
        <v>184076</v>
      </c>
      <c r="W26" s="7">
        <v>3900</v>
      </c>
      <c r="X26" s="7">
        <v>3900</v>
      </c>
      <c r="Y26" t="str">
        <f t="shared" si="2"/>
        <v>10001|184076$10004|3900$10003|3900</v>
      </c>
    </row>
    <row r="27" spans="5:25">
      <c r="E27" s="4"/>
      <c r="F27" s="4"/>
      <c r="G27" s="4"/>
      <c r="H27" s="4"/>
      <c r="M27">
        <v>24</v>
      </c>
      <c r="N27" s="7">
        <v>24000</v>
      </c>
      <c r="O27" s="7">
        <v>4050</v>
      </c>
      <c r="P27" s="7">
        <v>4050</v>
      </c>
      <c r="Q27" t="str">
        <f t="shared" si="0"/>
        <v>10001|24000$10004|4050$10003|4050</v>
      </c>
      <c r="R27" s="7">
        <v>84443</v>
      </c>
      <c r="S27" s="7">
        <v>4050</v>
      </c>
      <c r="T27" s="7">
        <v>4050</v>
      </c>
      <c r="U27" t="str">
        <f t="shared" si="1"/>
        <v>10001|84443$10004|4050$10003|4050</v>
      </c>
      <c r="V27" s="7">
        <v>192034</v>
      </c>
      <c r="W27" s="7">
        <v>4050</v>
      </c>
      <c r="X27" s="7">
        <v>4050</v>
      </c>
      <c r="Y27" t="str">
        <f t="shared" si="2"/>
        <v>10001|192034$10004|4050$10003|4050</v>
      </c>
    </row>
    <row r="28" spans="5:25">
      <c r="E28" s="4"/>
      <c r="F28" s="4"/>
      <c r="G28" s="4"/>
      <c r="H28" s="4"/>
      <c r="M28">
        <v>25</v>
      </c>
      <c r="N28" s="7">
        <v>25000</v>
      </c>
      <c r="O28" s="7">
        <v>4200</v>
      </c>
      <c r="P28" s="7">
        <v>4200</v>
      </c>
      <c r="Q28" t="str">
        <f t="shared" si="0"/>
        <v>10001|25000$10004|4200$10003|4200</v>
      </c>
      <c r="R28" s="7">
        <v>87984</v>
      </c>
      <c r="S28" s="7">
        <v>4200</v>
      </c>
      <c r="T28" s="7">
        <v>4200</v>
      </c>
      <c r="U28" t="str">
        <f t="shared" si="1"/>
        <v>10001|87984$10004|4200$10003|4200</v>
      </c>
      <c r="V28" s="7">
        <v>199992</v>
      </c>
      <c r="W28" s="7">
        <v>4200</v>
      </c>
      <c r="X28" s="7">
        <v>4200</v>
      </c>
      <c r="Y28" t="str">
        <f t="shared" si="2"/>
        <v>10001|199992$10004|4200$10003|4200</v>
      </c>
    </row>
    <row r="29" spans="5:25">
      <c r="E29" s="4"/>
      <c r="F29" s="4"/>
      <c r="G29" s="4"/>
      <c r="H29" s="4"/>
      <c r="K29" s="8"/>
      <c r="L29" s="8"/>
      <c r="M29" s="8"/>
      <c r="N29">
        <v>0.6</v>
      </c>
      <c r="O29">
        <v>0.7</v>
      </c>
    </row>
    <row r="30" spans="5:25">
      <c r="E30" s="4"/>
      <c r="F30" s="4"/>
      <c r="G30" s="4"/>
      <c r="H30" s="4"/>
      <c r="K30" s="8"/>
      <c r="L30" s="8"/>
      <c r="M30" s="8"/>
    </row>
    <row r="31" spans="5:25">
      <c r="E31" s="4"/>
      <c r="F31" s="4"/>
      <c r="G31" s="4"/>
      <c r="H31" s="4"/>
      <c r="K31" s="9"/>
      <c r="L31" s="9"/>
      <c r="M31" s="9"/>
    </row>
    <row r="32" spans="5:25">
      <c r="E32" s="4"/>
      <c r="F32" s="4"/>
      <c r="G32" s="4"/>
      <c r="H32" s="4"/>
      <c r="K32" s="9"/>
      <c r="L32" s="9"/>
      <c r="M32" s="9"/>
    </row>
    <row r="33" spans="5:13">
      <c r="E33" s="4"/>
      <c r="F33" s="4"/>
      <c r="G33" s="4"/>
      <c r="H33" s="4"/>
      <c r="K33" s="9"/>
      <c r="L33" s="9"/>
      <c r="M33" s="9"/>
    </row>
    <row r="34" spans="5:13">
      <c r="E34" s="4"/>
      <c r="F34" s="4"/>
      <c r="G34" s="4"/>
      <c r="H34" s="4"/>
      <c r="K34" s="10"/>
      <c r="L34" s="10"/>
      <c r="M34" s="10"/>
    </row>
    <row r="35" spans="5:13">
      <c r="E35" s="4"/>
      <c r="F35" s="4"/>
      <c r="G35" s="4"/>
      <c r="H35" s="4"/>
      <c r="K35" s="10"/>
      <c r="L35" s="10"/>
      <c r="M35" s="10"/>
    </row>
    <row r="36" spans="5:13">
      <c r="E36" s="4"/>
      <c r="F36" s="4"/>
      <c r="G36" s="4"/>
      <c r="H36" s="4"/>
      <c r="K36" s="10"/>
      <c r="L36" s="10"/>
      <c r="M36" s="10"/>
    </row>
    <row r="37" spans="5:13">
      <c r="E37" s="4"/>
      <c r="F37" s="4"/>
      <c r="G37" s="4"/>
      <c r="H37" s="4"/>
      <c r="K37" s="10"/>
      <c r="L37" s="10"/>
      <c r="M37" s="10"/>
    </row>
    <row r="38" spans="5:13">
      <c r="E38" s="4"/>
      <c r="F38" s="4"/>
      <c r="G38" s="4"/>
      <c r="H38" s="4"/>
      <c r="K38" s="10"/>
      <c r="L38" s="10"/>
      <c r="M38" s="10"/>
    </row>
    <row r="39" spans="5:13">
      <c r="E39" s="4"/>
      <c r="F39" s="4"/>
      <c r="G39" s="4"/>
      <c r="H39" s="4"/>
      <c r="K39" s="10"/>
      <c r="L39" s="10"/>
      <c r="M39" s="10"/>
    </row>
    <row r="40" spans="5:13">
      <c r="E40" s="4"/>
      <c r="F40" s="4"/>
      <c r="G40" s="4"/>
      <c r="H40" s="4"/>
      <c r="K40" s="10"/>
      <c r="L40" s="10"/>
      <c r="M40" s="10"/>
    </row>
    <row r="41" spans="5:13">
      <c r="E41" s="4"/>
      <c r="F41" s="4"/>
      <c r="G41" s="4"/>
      <c r="H41" s="4"/>
      <c r="K41" s="10"/>
      <c r="L41" s="10"/>
      <c r="M41" s="10"/>
    </row>
    <row r="42" spans="5:13">
      <c r="E42" s="4"/>
      <c r="F42" s="4"/>
      <c r="G42" s="4"/>
      <c r="H42" s="4"/>
      <c r="K42" s="10"/>
      <c r="L42" s="10"/>
      <c r="M42" s="10"/>
    </row>
    <row r="43" spans="5:13">
      <c r="E43" s="4"/>
      <c r="F43" s="4"/>
      <c r="G43" s="4"/>
      <c r="H43" s="4"/>
      <c r="K43" s="10"/>
      <c r="L43" s="10"/>
      <c r="M43" s="10"/>
    </row>
    <row r="44" spans="5:13">
      <c r="E44" s="4"/>
      <c r="F44" s="4"/>
      <c r="G44" s="4"/>
      <c r="H44" s="4"/>
      <c r="K44" s="10"/>
      <c r="L44" s="10"/>
      <c r="M44" s="10"/>
    </row>
    <row r="45" spans="5:13">
      <c r="E45" s="4"/>
      <c r="F45" s="4"/>
      <c r="G45" s="4"/>
      <c r="H45" s="4"/>
      <c r="K45" s="10"/>
      <c r="L45" s="10"/>
      <c r="M45" s="10"/>
    </row>
    <row r="46" spans="5:13">
      <c r="E46" s="4"/>
      <c r="F46" s="4"/>
      <c r="G46" s="4"/>
      <c r="H46" s="4"/>
      <c r="K46" s="10"/>
      <c r="L46" s="10"/>
      <c r="M46" s="10"/>
    </row>
    <row r="47" spans="5:13">
      <c r="E47" s="4"/>
      <c r="F47" s="4"/>
      <c r="G47" s="4"/>
      <c r="H47" s="4"/>
      <c r="K47" s="10"/>
      <c r="L47" s="10"/>
      <c r="M47" s="10"/>
    </row>
    <row r="48" spans="5:13">
      <c r="E48" s="4"/>
      <c r="F48" s="4"/>
      <c r="G48" s="4"/>
      <c r="H48" s="4"/>
      <c r="K48" s="10"/>
      <c r="L48" s="10"/>
      <c r="M48" s="10"/>
    </row>
    <row r="49" spans="5:13">
      <c r="E49" s="4"/>
      <c r="F49" s="4"/>
      <c r="G49" s="4"/>
      <c r="H49" s="4"/>
      <c r="K49" s="10"/>
      <c r="L49" s="10"/>
      <c r="M49" s="10"/>
    </row>
    <row r="50" spans="5:13">
      <c r="E50" s="4"/>
      <c r="F50" s="4"/>
      <c r="G50" s="4"/>
      <c r="H50" s="4"/>
      <c r="K50" s="10"/>
      <c r="L50" s="10"/>
      <c r="M50" s="10"/>
    </row>
    <row r="51" spans="5:13">
      <c r="E51" s="4"/>
      <c r="F51" s="4"/>
      <c r="G51" s="4"/>
      <c r="H51" s="4"/>
      <c r="K51" s="10"/>
      <c r="L51" s="10"/>
      <c r="M51" s="10"/>
    </row>
    <row r="52" spans="5:13">
      <c r="E52" s="4"/>
      <c r="F52" s="4"/>
      <c r="G52" s="4"/>
      <c r="H52" s="4"/>
      <c r="K52" s="10"/>
      <c r="L52" s="10"/>
      <c r="M52" s="10"/>
    </row>
    <row r="53" spans="5:13">
      <c r="E53" s="4"/>
      <c r="F53" s="4"/>
      <c r="G53" s="4"/>
      <c r="H53" s="4"/>
      <c r="K53" s="10"/>
      <c r="L53" s="10"/>
      <c r="M53" s="10"/>
    </row>
    <row r="54" spans="5:13">
      <c r="E54" s="4"/>
      <c r="F54" s="4"/>
      <c r="G54" s="4"/>
      <c r="H54" s="4"/>
      <c r="K54" s="10"/>
      <c r="L54" s="10"/>
      <c r="M54" s="10"/>
    </row>
    <row r="55" spans="5:13">
      <c r="E55" s="4"/>
      <c r="F55" s="4"/>
      <c r="G55" s="4"/>
      <c r="H55" s="4"/>
      <c r="K55" s="10"/>
      <c r="L55" s="10"/>
      <c r="M55" s="10"/>
    </row>
    <row r="56" spans="5:13">
      <c r="E56" s="4"/>
      <c r="F56" s="4"/>
      <c r="G56" s="4"/>
      <c r="H56" s="4"/>
      <c r="K56" s="10"/>
      <c r="L56" s="10"/>
      <c r="M56" s="10"/>
    </row>
    <row r="57" spans="5:13">
      <c r="E57" s="4"/>
      <c r="F57" s="4"/>
      <c r="G57" s="4"/>
      <c r="H57" s="4"/>
      <c r="K57" s="10"/>
      <c r="L57" s="10"/>
      <c r="M57" s="10"/>
    </row>
    <row r="58" spans="5:13">
      <c r="E58" s="4"/>
      <c r="F58" s="4"/>
      <c r="G58" s="4"/>
      <c r="H58" s="4"/>
      <c r="K58" s="10"/>
      <c r="L58" s="10"/>
      <c r="M58" s="10"/>
    </row>
    <row r="59" spans="5:13">
      <c r="E59" s="4"/>
      <c r="F59" s="4"/>
      <c r="G59" s="4"/>
      <c r="H59" s="4"/>
      <c r="K59" s="10"/>
      <c r="L59" s="10"/>
      <c r="M59" s="10"/>
    </row>
    <row r="60" spans="5:13">
      <c r="E60" s="4"/>
      <c r="F60" s="4"/>
      <c r="G60" s="4"/>
      <c r="H60" s="4"/>
      <c r="K60" s="10"/>
      <c r="L60" s="10"/>
      <c r="M60" s="10"/>
    </row>
    <row r="61" spans="5:13">
      <c r="E61" s="4"/>
      <c r="F61" s="4"/>
      <c r="G61" s="4"/>
      <c r="H61" s="4"/>
      <c r="K61" s="10"/>
      <c r="L61" s="10"/>
      <c r="M61" s="10"/>
    </row>
    <row r="62" spans="5:13">
      <c r="E62" s="4"/>
      <c r="F62" s="4"/>
      <c r="G62" s="4"/>
      <c r="H62" s="4"/>
      <c r="K62" s="10"/>
      <c r="L62" s="10"/>
      <c r="M62" s="10"/>
    </row>
    <row r="63" spans="5:13">
      <c r="E63" s="4"/>
      <c r="F63" s="4"/>
      <c r="G63" s="4"/>
      <c r="H63" s="4"/>
      <c r="K63" s="10"/>
      <c r="L63" s="10"/>
      <c r="M63" s="10"/>
    </row>
    <row r="64" spans="5:13">
      <c r="E64" s="4"/>
      <c r="F64" s="4"/>
      <c r="G64" s="4"/>
      <c r="H64" s="4"/>
      <c r="K64" s="10"/>
      <c r="L64" s="10"/>
      <c r="M64" s="10"/>
    </row>
    <row r="65" spans="5:13">
      <c r="E65" s="4"/>
      <c r="F65" s="4"/>
      <c r="G65" s="4"/>
      <c r="H65" s="4"/>
      <c r="K65" s="10"/>
      <c r="L65" s="10"/>
      <c r="M65" s="10"/>
    </row>
    <row r="66" spans="5:13">
      <c r="E66" s="4"/>
      <c r="F66" s="4"/>
      <c r="G66" s="4"/>
      <c r="H66" s="4"/>
      <c r="K66" s="10"/>
      <c r="L66" s="10"/>
      <c r="M66" s="10"/>
    </row>
    <row r="67" spans="5:13">
      <c r="E67" s="4"/>
      <c r="F67" s="4"/>
      <c r="G67" s="4"/>
      <c r="H67" s="4"/>
      <c r="K67" s="10"/>
      <c r="L67" s="10"/>
      <c r="M67" s="10"/>
    </row>
    <row r="68" spans="5:13">
      <c r="E68" s="4"/>
      <c r="F68" s="4"/>
      <c r="G68" s="4"/>
      <c r="H68" s="4"/>
      <c r="K68" s="10"/>
      <c r="L68" s="10"/>
      <c r="M68" s="10"/>
    </row>
    <row r="69" spans="5:13">
      <c r="E69" s="4"/>
      <c r="F69" s="4"/>
      <c r="G69" s="4"/>
      <c r="H69" s="4"/>
      <c r="K69" s="10"/>
      <c r="L69" s="10"/>
      <c r="M69" s="10"/>
    </row>
    <row r="70" spans="5:13">
      <c r="E70" s="4"/>
      <c r="F70" s="4"/>
      <c r="G70" s="4"/>
      <c r="H70" s="4"/>
      <c r="K70" s="10"/>
      <c r="L70" s="10"/>
      <c r="M70" s="10"/>
    </row>
    <row r="71" spans="5:13">
      <c r="E71" s="4"/>
      <c r="F71" s="4"/>
      <c r="G71" s="4"/>
      <c r="H71" s="4"/>
      <c r="K71" s="10"/>
      <c r="L71" s="10"/>
      <c r="M71" s="10"/>
    </row>
    <row r="72" spans="5:13">
      <c r="E72" s="4"/>
      <c r="F72" s="4"/>
      <c r="G72" s="4"/>
      <c r="H72" s="4"/>
      <c r="K72" s="10"/>
      <c r="L72" s="10"/>
      <c r="M72" s="10"/>
    </row>
    <row r="73" spans="5:13">
      <c r="E73" s="4"/>
      <c r="F73" s="4"/>
      <c r="G73" s="4"/>
      <c r="H73" s="4"/>
      <c r="K73" s="10"/>
      <c r="L73" s="10"/>
      <c r="M73" s="10"/>
    </row>
    <row r="74" spans="5:13">
      <c r="E74" s="4"/>
      <c r="F74" s="4"/>
      <c r="G74" s="4"/>
      <c r="H74" s="4"/>
      <c r="K74" s="10"/>
      <c r="L74" s="10"/>
      <c r="M74" s="10"/>
    </row>
    <row r="75" spans="5:13">
      <c r="E75" s="4"/>
      <c r="F75" s="4"/>
      <c r="G75" s="4"/>
      <c r="H75" s="4"/>
      <c r="K75" s="10"/>
      <c r="L75" s="10"/>
      <c r="M75" s="10"/>
    </row>
    <row r="76" spans="5:13">
      <c r="E76" s="4"/>
      <c r="F76" s="4"/>
      <c r="G76" s="4"/>
      <c r="H76" s="4"/>
      <c r="K76" s="10"/>
      <c r="L76" s="10"/>
      <c r="M76" s="10"/>
    </row>
    <row r="77" spans="5:13">
      <c r="E77" s="4"/>
      <c r="F77" s="4"/>
      <c r="G77" s="4"/>
      <c r="H77" s="4"/>
      <c r="K77" s="10"/>
      <c r="L77" s="10"/>
      <c r="M77" s="10"/>
    </row>
    <row r="78" spans="5:13">
      <c r="E78" s="4"/>
      <c r="F78" s="4"/>
      <c r="G78" s="4"/>
      <c r="H78" s="4"/>
      <c r="K78" s="10"/>
      <c r="L78" s="10"/>
      <c r="M78" s="10"/>
    </row>
    <row r="79" spans="5:13">
      <c r="E79" s="4"/>
      <c r="F79" s="4"/>
      <c r="G79" s="4"/>
      <c r="H79" s="4"/>
      <c r="K79" s="10"/>
      <c r="L79" s="10"/>
      <c r="M79" s="10"/>
    </row>
    <row r="80" spans="5:13">
      <c r="E80" s="4"/>
      <c r="F80" s="4"/>
      <c r="G80" s="4"/>
      <c r="H80" s="4"/>
      <c r="K80" s="10"/>
      <c r="L80" s="10"/>
      <c r="M80" s="10"/>
    </row>
    <row r="81" spans="5:13">
      <c r="E81" s="4"/>
      <c r="F81" s="4"/>
      <c r="G81" s="4"/>
      <c r="H81" s="4"/>
      <c r="K81" s="10"/>
      <c r="L81" s="10"/>
      <c r="M81" s="10"/>
    </row>
    <row r="82" spans="5:13">
      <c r="E82" s="4"/>
      <c r="F82" s="4"/>
      <c r="G82" s="4"/>
      <c r="H82" s="4"/>
      <c r="K82" s="10"/>
      <c r="L82" s="10"/>
      <c r="M82" s="10"/>
    </row>
    <row r="83" spans="5:13">
      <c r="E83" s="4"/>
      <c r="F83" s="4"/>
      <c r="G83" s="4"/>
      <c r="H83" s="4"/>
      <c r="K83" s="10"/>
      <c r="L83" s="10"/>
      <c r="M83" s="10"/>
    </row>
    <row r="84" spans="5:13">
      <c r="E84" s="4"/>
      <c r="F84" s="4"/>
      <c r="G84" s="4"/>
      <c r="H84" s="4"/>
      <c r="K84" s="10"/>
      <c r="L84" s="10"/>
      <c r="M84" s="10"/>
    </row>
    <row r="85" spans="5:13">
      <c r="E85" s="4"/>
      <c r="F85" s="4"/>
      <c r="G85" s="4"/>
      <c r="H85" s="4"/>
      <c r="K85" s="10"/>
      <c r="L85" s="10"/>
      <c r="M85" s="10"/>
    </row>
    <row r="86" spans="5:13">
      <c r="E86" s="4"/>
      <c r="F86" s="4"/>
      <c r="G86" s="4"/>
      <c r="H86" s="4"/>
      <c r="K86" s="10"/>
      <c r="L86" s="10"/>
      <c r="M86" s="10"/>
    </row>
    <row r="87" spans="5:13">
      <c r="E87" s="4"/>
      <c r="F87" s="4"/>
      <c r="G87" s="4"/>
      <c r="H87" s="4"/>
      <c r="K87" s="10"/>
      <c r="L87" s="10"/>
      <c r="M87" s="10"/>
    </row>
    <row r="88" spans="5:13">
      <c r="E88" s="4"/>
      <c r="F88" s="4"/>
      <c r="G88" s="4"/>
      <c r="H88" s="4"/>
      <c r="K88" s="10"/>
      <c r="L88" s="10"/>
      <c r="M88" s="10"/>
    </row>
    <row r="89" spans="5:13">
      <c r="E89" s="4"/>
      <c r="F89" s="4"/>
      <c r="G89" s="4"/>
      <c r="H89" s="4"/>
      <c r="K89" s="10"/>
      <c r="L89" s="10"/>
      <c r="M89" s="10"/>
    </row>
    <row r="90" spans="5:13">
      <c r="E90" s="4"/>
      <c r="F90" s="4"/>
      <c r="G90" s="4"/>
      <c r="H90" s="4"/>
      <c r="K90" s="10"/>
      <c r="L90" s="10"/>
      <c r="M90" s="10"/>
    </row>
    <row r="91" spans="5:13">
      <c r="E91" s="4"/>
      <c r="F91" s="4"/>
      <c r="G91" s="4"/>
      <c r="H91" s="4"/>
      <c r="K91" s="10"/>
      <c r="L91" s="10"/>
      <c r="M91" s="10"/>
    </row>
    <row r="92" spans="5:13">
      <c r="E92" s="4"/>
      <c r="F92" s="4"/>
      <c r="G92" s="4"/>
      <c r="H92" s="4"/>
      <c r="K92" s="10"/>
      <c r="L92" s="10"/>
      <c r="M92" s="10"/>
    </row>
    <row r="93" spans="5:13">
      <c r="E93" s="4"/>
      <c r="F93" s="4"/>
      <c r="G93" s="4"/>
      <c r="H93" s="4"/>
      <c r="K93" s="10"/>
      <c r="L93" s="10"/>
      <c r="M93" s="10"/>
    </row>
    <row r="94" spans="5:13">
      <c r="E94" s="4"/>
      <c r="F94" s="4"/>
      <c r="G94" s="4"/>
      <c r="H94" s="4"/>
      <c r="K94" s="10"/>
      <c r="L94" s="10"/>
      <c r="M94" s="10"/>
    </row>
    <row r="95" spans="5:13">
      <c r="E95" s="4"/>
      <c r="F95" s="4"/>
      <c r="G95" s="4"/>
      <c r="H95" s="4"/>
      <c r="K95" s="10"/>
      <c r="L95" s="10"/>
      <c r="M95" s="10"/>
    </row>
    <row r="96" spans="5:13">
      <c r="E96" s="4"/>
      <c r="F96" s="4"/>
      <c r="G96" s="4"/>
      <c r="H96" s="4"/>
      <c r="K96" s="10"/>
      <c r="L96" s="10"/>
      <c r="M96" s="10"/>
    </row>
    <row r="97" spans="4:15">
      <c r="E97" s="4"/>
      <c r="F97" s="4"/>
      <c r="G97" s="4"/>
      <c r="H97" s="4"/>
      <c r="K97" s="3"/>
      <c r="L97" s="3"/>
      <c r="M97" s="3"/>
      <c r="N97" s="3"/>
    </row>
    <row r="98" spans="4:15">
      <c r="K98" t="s">
        <v>310</v>
      </c>
      <c r="L98" t="s">
        <v>311</v>
      </c>
      <c r="M98" t="s">
        <v>312</v>
      </c>
      <c r="N98">
        <v>0.6</v>
      </c>
      <c r="O98">
        <v>0.7</v>
      </c>
    </row>
    <row r="99" spans="4:15">
      <c r="D99" t="s">
        <v>314</v>
      </c>
      <c r="G99" t="s">
        <v>315</v>
      </c>
      <c r="H99" t="s">
        <v>316</v>
      </c>
      <c r="J99" t="s">
        <v>317</v>
      </c>
      <c r="K99">
        <v>10001</v>
      </c>
      <c r="L99">
        <v>10004</v>
      </c>
      <c r="M99">
        <v>10003</v>
      </c>
    </row>
    <row r="100" spans="4:15">
      <c r="E100" s="11" t="s">
        <v>318</v>
      </c>
      <c r="F100">
        <v>131101</v>
      </c>
      <c r="G100">
        <v>131201</v>
      </c>
      <c r="H100" s="12" t="s">
        <v>319</v>
      </c>
      <c r="I100" s="12" t="str">
        <f>$E$100&amp;"|"&amp;H100&amp;"$"&amp;$F$100&amp;"|"&amp;H100&amp;"$"&amp;$G$100&amp;"|"&amp;H100</f>
        <v>131001|0|15$131101|0|15$131201|0|15</v>
      </c>
      <c r="J100" s="12">
        <v>1</v>
      </c>
      <c r="K100" s="4">
        <v>3600</v>
      </c>
      <c r="L100" s="4">
        <v>300</v>
      </c>
      <c r="M100" s="4">
        <v>300</v>
      </c>
      <c r="N100" t="str">
        <f t="shared" ref="N100:N124" si="3">$K$99&amp;"|"&amp;K100&amp;"$"&amp;$L$99&amp;"|"&amp;L100&amp;"$"&amp;$M$99&amp;"|"&amp;M100</f>
        <v>10001|3600$10004|300$10003|300</v>
      </c>
    </row>
    <row r="101" spans="4:15">
      <c r="E101" s="11" t="s">
        <v>320</v>
      </c>
      <c r="F101">
        <v>132101</v>
      </c>
      <c r="G101">
        <v>132201</v>
      </c>
      <c r="H101" s="12" t="s">
        <v>321</v>
      </c>
      <c r="I101" s="12" t="str">
        <f>$E$100&amp;"|"&amp;H101&amp;"$"&amp;$F$100&amp;"|"&amp;H101&amp;"$"&amp;$G$100&amp;"|"&amp;H101</f>
        <v>131001|15|30$131101|15|30$131201|15|30</v>
      </c>
      <c r="J101" s="12">
        <v>2</v>
      </c>
      <c r="K101" s="4">
        <v>7450</v>
      </c>
      <c r="L101" s="4">
        <v>367</v>
      </c>
      <c r="M101" s="4">
        <v>367</v>
      </c>
      <c r="N101" t="str">
        <f t="shared" si="3"/>
        <v>10001|7450$10004|367$10003|367</v>
      </c>
    </row>
    <row r="102" spans="4:15">
      <c r="E102" s="11" t="s">
        <v>322</v>
      </c>
      <c r="F102">
        <v>133101</v>
      </c>
      <c r="G102">
        <v>133201</v>
      </c>
      <c r="H102" s="12" t="s">
        <v>323</v>
      </c>
      <c r="I102" s="12" t="str">
        <f>$E$100&amp;"|"&amp;H102&amp;"$"&amp;$F$100&amp;"|"&amp;H102&amp;"$"&amp;$G$100&amp;"|"&amp;H102</f>
        <v>131001|30|45$131101|30|45$131201|30|45</v>
      </c>
      <c r="J102" s="12">
        <v>3</v>
      </c>
      <c r="K102" s="4">
        <v>11299</v>
      </c>
      <c r="L102" s="4">
        <v>434</v>
      </c>
      <c r="M102" s="4">
        <v>434</v>
      </c>
      <c r="N102" t="str">
        <f t="shared" si="3"/>
        <v>10001|11299$10004|434$10003|434</v>
      </c>
    </row>
    <row r="103" spans="4:15">
      <c r="E103" s="11" t="s">
        <v>324</v>
      </c>
      <c r="F103">
        <v>134101</v>
      </c>
      <c r="G103">
        <v>134201</v>
      </c>
      <c r="H103" s="12" t="s">
        <v>325</v>
      </c>
      <c r="I103" s="12" t="str">
        <f>$E$100&amp;"|"&amp;H103&amp;"$"&amp;$F$100&amp;"|"&amp;H103&amp;"$"&amp;$G$100&amp;"|"&amp;H103</f>
        <v>131001|45|60$131101|45|60$131201|45|60</v>
      </c>
      <c r="J103" s="12">
        <v>4</v>
      </c>
      <c r="K103" s="4">
        <v>15149</v>
      </c>
      <c r="L103" s="4">
        <v>502</v>
      </c>
      <c r="M103" s="4">
        <v>502</v>
      </c>
      <c r="N103" t="str">
        <f t="shared" si="3"/>
        <v>10001|15149$10004|502$10003|502</v>
      </c>
    </row>
    <row r="104" spans="4:15">
      <c r="E104" s="11" t="s">
        <v>326</v>
      </c>
      <c r="F104">
        <v>135101</v>
      </c>
      <c r="G104">
        <v>135201</v>
      </c>
      <c r="H104" s="12" t="s">
        <v>327</v>
      </c>
      <c r="I104" s="12" t="str">
        <f>$E$100&amp;"|"&amp;H104&amp;"$"&amp;$F$100&amp;"|"&amp;H104&amp;"$"&amp;$G$100&amp;"|"&amp;H104</f>
        <v>131001|65|80$131101|65|80$131201|65|80</v>
      </c>
      <c r="J104" s="12">
        <v>5</v>
      </c>
      <c r="K104" s="4">
        <v>18998</v>
      </c>
      <c r="L104" s="4">
        <v>569</v>
      </c>
      <c r="M104" s="4">
        <v>569</v>
      </c>
      <c r="N104" t="str">
        <f t="shared" si="3"/>
        <v>10001|18998$10004|569$10003|569</v>
      </c>
    </row>
    <row r="105" spans="4:15">
      <c r="H105" s="13" t="s">
        <v>319</v>
      </c>
      <c r="I105" s="13" t="str">
        <f>$E$101&amp;"|"&amp;H105&amp;"$"&amp;$F$101&amp;"|"&amp;H105&amp;"$"&amp;$G$101&amp;"|"&amp;H105</f>
        <v>132001|0|15$132101|0|15$132201|0|15</v>
      </c>
      <c r="J105" s="13">
        <v>6</v>
      </c>
      <c r="K105" s="4">
        <v>22848</v>
      </c>
      <c r="L105" s="4">
        <v>636</v>
      </c>
      <c r="M105" s="4">
        <v>636</v>
      </c>
      <c r="N105" t="str">
        <f t="shared" si="3"/>
        <v>10001|22848$10004|636$10003|636</v>
      </c>
    </row>
    <row r="106" spans="4:15">
      <c r="H106" s="13" t="s">
        <v>321</v>
      </c>
      <c r="I106" s="13" t="str">
        <f>$E$101&amp;"|"&amp;H106&amp;"$"&amp;$F$101&amp;"|"&amp;H106&amp;"$"&amp;$G$101&amp;"|"&amp;H106</f>
        <v>132001|15|30$132101|15|30$132201|15|30</v>
      </c>
      <c r="J106" s="13">
        <v>7</v>
      </c>
      <c r="K106" s="4">
        <v>26698</v>
      </c>
      <c r="L106" s="4">
        <v>703</v>
      </c>
      <c r="M106" s="4">
        <v>703</v>
      </c>
      <c r="N106" t="str">
        <f t="shared" si="3"/>
        <v>10001|26698$10004|703$10003|703</v>
      </c>
    </row>
    <row r="107" spans="4:15">
      <c r="H107" s="13" t="s">
        <v>323</v>
      </c>
      <c r="I107" s="13" t="str">
        <f>$E$101&amp;"|"&amp;H107&amp;"$"&amp;$F$101&amp;"|"&amp;H107&amp;"$"&amp;$G$101&amp;"|"&amp;H107</f>
        <v>132001|30|45$132101|30|45$132201|30|45</v>
      </c>
      <c r="J107" s="13">
        <v>8</v>
      </c>
      <c r="K107" s="4">
        <v>30547</v>
      </c>
      <c r="L107" s="4">
        <v>770</v>
      </c>
      <c r="M107" s="4">
        <v>770</v>
      </c>
      <c r="N107" t="str">
        <f t="shared" si="3"/>
        <v>10001|30547$10004|770$10003|770</v>
      </c>
    </row>
    <row r="108" spans="4:15">
      <c r="H108" s="13" t="s">
        <v>325</v>
      </c>
      <c r="I108" s="13" t="str">
        <f>$E$101&amp;"|"&amp;H108&amp;"$"&amp;$F$101&amp;"|"&amp;H108&amp;"$"&amp;$G$101&amp;"|"&amp;H108</f>
        <v>132001|45|60$132101|45|60$132201|45|60</v>
      </c>
      <c r="J108" s="13">
        <v>9</v>
      </c>
      <c r="K108" s="4">
        <v>34397</v>
      </c>
      <c r="L108" s="4">
        <v>838</v>
      </c>
      <c r="M108" s="4">
        <v>838</v>
      </c>
      <c r="N108" t="str">
        <f t="shared" si="3"/>
        <v>10001|34397$10004|838$10003|838</v>
      </c>
    </row>
    <row r="109" spans="4:15">
      <c r="H109" s="13" t="s">
        <v>327</v>
      </c>
      <c r="I109" s="13" t="str">
        <f>$E$101&amp;"|"&amp;H109&amp;"$"&amp;$F$101&amp;"|"&amp;H109&amp;"$"&amp;$G$101&amp;"|"&amp;H109</f>
        <v>132001|65|80$132101|65|80$132201|65|80</v>
      </c>
      <c r="J109" s="13">
        <v>10</v>
      </c>
      <c r="K109" s="4">
        <v>38246</v>
      </c>
      <c r="L109" s="4">
        <v>905</v>
      </c>
      <c r="M109" s="4">
        <v>905</v>
      </c>
      <c r="N109" t="str">
        <f t="shared" si="3"/>
        <v>10001|38246$10004|905$10003|905</v>
      </c>
    </row>
    <row r="110" spans="4:15">
      <c r="H110" s="6" t="s">
        <v>319</v>
      </c>
      <c r="I110" s="6" t="str">
        <f>$E$102&amp;"|"&amp;H110&amp;"$"&amp;$F$102&amp;"|"&amp;H110&amp;"$"&amp;$G$102&amp;"|"&amp;H110</f>
        <v>133001|0|15$133101|0|15$133201|0|15</v>
      </c>
      <c r="J110" s="6">
        <v>11</v>
      </c>
      <c r="K110" s="4">
        <v>49112</v>
      </c>
      <c r="L110" s="4">
        <v>1134</v>
      </c>
      <c r="M110" s="4">
        <v>1134</v>
      </c>
      <c r="N110" t="str">
        <f t="shared" si="3"/>
        <v>10001|49112$10004|1134$10003|1134</v>
      </c>
    </row>
    <row r="111" spans="4:15">
      <c r="H111" s="6" t="s">
        <v>321</v>
      </c>
      <c r="I111" s="6" t="str">
        <f>$E$102&amp;"|"&amp;H111&amp;"$"&amp;$F$102&amp;"|"&amp;H111&amp;"$"&amp;$G$102&amp;"|"&amp;H111</f>
        <v>133001|15|30$133101|15|30$133201|15|30</v>
      </c>
      <c r="J111" s="6">
        <v>12</v>
      </c>
      <c r="K111" s="4">
        <v>53603</v>
      </c>
      <c r="L111" s="4">
        <v>1212</v>
      </c>
      <c r="M111" s="4">
        <v>1212</v>
      </c>
      <c r="N111" t="str">
        <f t="shared" si="3"/>
        <v>10001|53603$10004|1212$10003|1212</v>
      </c>
    </row>
    <row r="112" spans="4:15">
      <c r="H112" s="6" t="s">
        <v>323</v>
      </c>
      <c r="I112" s="6" t="str">
        <f>$E$102&amp;"|"&amp;H112&amp;"$"&amp;$F$102&amp;"|"&amp;H112&amp;"$"&amp;$G$102&amp;"|"&amp;H112</f>
        <v>133001|30|45$133101|30|45$133201|30|45</v>
      </c>
      <c r="J112" s="6">
        <v>13</v>
      </c>
      <c r="K112" s="4">
        <v>58094</v>
      </c>
      <c r="L112" s="4">
        <v>1291</v>
      </c>
      <c r="M112" s="4">
        <v>1291</v>
      </c>
      <c r="N112" t="str">
        <f t="shared" si="3"/>
        <v>10001|58094$10004|1291$10003|1291</v>
      </c>
    </row>
    <row r="113" spans="4:14">
      <c r="H113" s="6" t="s">
        <v>325</v>
      </c>
      <c r="I113" s="6" t="str">
        <f>$E$102&amp;"|"&amp;H113&amp;"$"&amp;$F$102&amp;"|"&amp;H113&amp;"$"&amp;$G$102&amp;"|"&amp;H113</f>
        <v>133001|45|60$133101|45|60$133201|45|60</v>
      </c>
      <c r="J113" s="6">
        <v>14</v>
      </c>
      <c r="K113" s="4">
        <v>62586</v>
      </c>
      <c r="L113" s="4">
        <v>1369</v>
      </c>
      <c r="M113" s="4">
        <v>1369</v>
      </c>
      <c r="N113" t="str">
        <f t="shared" si="3"/>
        <v>10001|62586$10004|1369$10003|1369</v>
      </c>
    </row>
    <row r="114" spans="4:14">
      <c r="H114" s="6" t="s">
        <v>327</v>
      </c>
      <c r="I114" s="6" t="str">
        <f>$E$102&amp;"|"&amp;H114&amp;"$"&amp;$F$102&amp;"|"&amp;H114&amp;"$"&amp;$G$102&amp;"|"&amp;H114</f>
        <v>133001|65|80$133101|65|80$133201|65|80</v>
      </c>
      <c r="J114" s="6">
        <v>15</v>
      </c>
      <c r="K114" s="4">
        <v>67077</v>
      </c>
      <c r="L114" s="4">
        <v>1448</v>
      </c>
      <c r="M114" s="4">
        <v>1448</v>
      </c>
      <c r="N114" t="str">
        <f t="shared" si="3"/>
        <v>10001|67077$10004|1448$10003|1448</v>
      </c>
    </row>
    <row r="115" spans="4:14">
      <c r="H115" s="14" t="s">
        <v>319</v>
      </c>
      <c r="I115" s="14" t="str">
        <f>$E$103&amp;"|"&amp;H115&amp;"$"&amp;$F$103&amp;"|"&amp;H115&amp;"$"&amp;$G$103&amp;"|"&amp;H115</f>
        <v>134001|0|15$134101|0|15$134201|0|15</v>
      </c>
      <c r="J115" s="14">
        <v>16</v>
      </c>
      <c r="K115" s="12">
        <v>102240</v>
      </c>
      <c r="L115" s="12">
        <v>2180</v>
      </c>
      <c r="M115" s="12">
        <v>2180</v>
      </c>
      <c r="N115" t="str">
        <f t="shared" si="3"/>
        <v>10001|102240$10004|2180$10003|2180</v>
      </c>
    </row>
    <row r="116" spans="4:14">
      <c r="H116" s="14" t="s">
        <v>321</v>
      </c>
      <c r="I116" s="14" t="str">
        <f>$E$103&amp;"|"&amp;H116&amp;"$"&amp;$F$103&amp;"|"&amp;H116&amp;"$"&amp;$G$103&amp;"|"&amp;H116</f>
        <v>134001|15|30$134101|15|30$134201|15|30</v>
      </c>
      <c r="J116" s="14">
        <v>17</v>
      </c>
      <c r="K116" s="12">
        <v>108656</v>
      </c>
      <c r="L116" s="12">
        <v>2292</v>
      </c>
      <c r="M116" s="12">
        <v>2292</v>
      </c>
      <c r="N116" t="str">
        <f t="shared" si="3"/>
        <v>10001|108656$10004|2292$10003|2292</v>
      </c>
    </row>
    <row r="117" spans="4:14">
      <c r="H117" s="14" t="s">
        <v>323</v>
      </c>
      <c r="I117" s="14" t="str">
        <f>$E$103&amp;"|"&amp;H117&amp;"$"&amp;$F$103&amp;"|"&amp;H117&amp;"$"&amp;$G$103&amp;"|"&amp;H117</f>
        <v>134001|30|45$134101|30|45$134201|30|45</v>
      </c>
      <c r="J117" s="14">
        <v>18</v>
      </c>
      <c r="K117" s="12">
        <v>115072</v>
      </c>
      <c r="L117" s="12">
        <v>2404</v>
      </c>
      <c r="M117" s="12">
        <v>2404</v>
      </c>
      <c r="N117" t="str">
        <f t="shared" si="3"/>
        <v>10001|115072$10004|2404$10003|2404</v>
      </c>
    </row>
    <row r="118" spans="4:14">
      <c r="H118" s="14" t="s">
        <v>325</v>
      </c>
      <c r="I118" s="14" t="str">
        <f>$E$103&amp;"|"&amp;H118&amp;"$"&amp;$F$103&amp;"|"&amp;H118&amp;"$"&amp;$G$103&amp;"|"&amp;H118</f>
        <v>134001|45|60$134101|45|60$134201|45|60</v>
      </c>
      <c r="J118" s="14">
        <v>19</v>
      </c>
      <c r="K118" s="12">
        <v>121488</v>
      </c>
      <c r="L118" s="12">
        <v>2516</v>
      </c>
      <c r="M118" s="12">
        <v>2516</v>
      </c>
      <c r="N118" t="str">
        <f t="shared" si="3"/>
        <v>10001|121488$10004|2516$10003|2516</v>
      </c>
    </row>
    <row r="119" spans="4:14">
      <c r="H119" s="14" t="s">
        <v>327</v>
      </c>
      <c r="I119" s="14" t="str">
        <f>$E$103&amp;"|"&amp;H119&amp;"$"&amp;$F$103&amp;"|"&amp;H119&amp;"$"&amp;$G$103&amp;"|"&amp;H119</f>
        <v>134001|65|80$134101|65|80$134201|65|80</v>
      </c>
      <c r="J119" s="14">
        <v>20</v>
      </c>
      <c r="K119" s="12">
        <v>127904</v>
      </c>
      <c r="L119" s="12">
        <v>2628</v>
      </c>
      <c r="M119" s="12">
        <v>2628</v>
      </c>
      <c r="N119" t="str">
        <f t="shared" si="3"/>
        <v>10001|127904$10004|2628$10003|2628</v>
      </c>
    </row>
    <row r="120" spans="4:14">
      <c r="H120" s="15" t="s">
        <v>319</v>
      </c>
      <c r="I120" s="15" t="str">
        <f>$E$104&amp;"|"&amp;H120&amp;"$"&amp;$F$104&amp;"|"&amp;H120&amp;"$"&amp;$G$104&amp;"|"&amp;H120</f>
        <v>135001|0|15$135101|0|15$135201|0|15</v>
      </c>
      <c r="J120" s="15">
        <v>21</v>
      </c>
      <c r="K120" s="12">
        <v>134320</v>
      </c>
      <c r="L120" s="12">
        <v>2740</v>
      </c>
      <c r="M120" s="12">
        <v>2740</v>
      </c>
      <c r="N120" t="str">
        <f t="shared" si="3"/>
        <v>10001|134320$10004|2740$10003|2740</v>
      </c>
    </row>
    <row r="121" spans="4:14">
      <c r="H121" s="15" t="s">
        <v>321</v>
      </c>
      <c r="I121" s="15" t="str">
        <f>$E$104&amp;"|"&amp;H121&amp;"$"&amp;$F$104&amp;"|"&amp;H121&amp;"$"&amp;$G$104&amp;"|"&amp;H121</f>
        <v>135001|15|30$135101|15|30$135201|15|30</v>
      </c>
      <c r="J121" s="15">
        <v>22</v>
      </c>
      <c r="K121" s="12">
        <v>140736</v>
      </c>
      <c r="L121" s="12">
        <v>2852</v>
      </c>
      <c r="M121" s="12">
        <v>2852</v>
      </c>
      <c r="N121" t="str">
        <f t="shared" si="3"/>
        <v>10001|140736$10004|2852$10003|2852</v>
      </c>
    </row>
    <row r="122" spans="4:14">
      <c r="H122" s="15" t="s">
        <v>323</v>
      </c>
      <c r="I122" s="15" t="str">
        <f>$E$104&amp;"|"&amp;H122&amp;"$"&amp;$F$104&amp;"|"&amp;H122&amp;"$"&amp;$G$104&amp;"|"&amp;H122</f>
        <v>135001|30|45$135101|30|45$135201|30|45</v>
      </c>
      <c r="J122" s="15">
        <v>23</v>
      </c>
      <c r="K122" s="12">
        <v>147152</v>
      </c>
      <c r="L122" s="12">
        <v>2964</v>
      </c>
      <c r="M122" s="12">
        <v>2964</v>
      </c>
      <c r="N122" t="str">
        <f t="shared" si="3"/>
        <v>10001|147152$10004|2964$10003|2964</v>
      </c>
    </row>
    <row r="123" spans="4:14">
      <c r="H123" s="15" t="s">
        <v>325</v>
      </c>
      <c r="I123" s="15" t="str">
        <f>$E$104&amp;"|"&amp;H123&amp;"$"&amp;$F$104&amp;"|"&amp;H123&amp;"$"&amp;$G$104&amp;"|"&amp;H123</f>
        <v>135001|45|60$135101|45|60$135201|45|60</v>
      </c>
      <c r="J123" s="15">
        <v>24</v>
      </c>
      <c r="K123" s="12">
        <v>153568</v>
      </c>
      <c r="L123" s="12">
        <v>3076</v>
      </c>
      <c r="M123" s="12">
        <v>3076</v>
      </c>
      <c r="N123" t="str">
        <f t="shared" si="3"/>
        <v>10001|153568$10004|3076$10003|3076</v>
      </c>
    </row>
    <row r="124" spans="4:14">
      <c r="H124" s="15" t="s">
        <v>327</v>
      </c>
      <c r="I124" s="15" t="str">
        <f>$E$104&amp;"|"&amp;H124&amp;"$"&amp;$F$104&amp;"|"&amp;H124&amp;"$"&amp;$G$104&amp;"|"&amp;H124</f>
        <v>135001|65|80$135101|65|80$135201|65|80</v>
      </c>
      <c r="J124" s="15">
        <v>25</v>
      </c>
      <c r="K124" s="12">
        <v>159984</v>
      </c>
      <c r="L124" s="12">
        <v>3188</v>
      </c>
      <c r="M124" s="12">
        <v>3188</v>
      </c>
      <c r="N124" t="str">
        <f t="shared" si="3"/>
        <v>10001|159984$10004|3188$10003|3188</v>
      </c>
    </row>
    <row r="126" spans="4:14">
      <c r="D126" t="s">
        <v>328</v>
      </c>
    </row>
    <row r="127" spans="4:14">
      <c r="E127" s="11" t="s">
        <v>329</v>
      </c>
      <c r="F127">
        <v>131401</v>
      </c>
      <c r="G127">
        <v>131501</v>
      </c>
      <c r="H127" s="12" t="s">
        <v>319</v>
      </c>
      <c r="I127" s="12" t="str">
        <f>$E$127&amp;"|"&amp;H127&amp;"$"&amp;$F$127&amp;"|"&amp;H127&amp;"$"&amp;$G$127&amp;"|"&amp;H127</f>
        <v>131301|0|15$131401|0|15$131501|0|15</v>
      </c>
      <c r="J127" s="12">
        <v>1</v>
      </c>
      <c r="K127" s="12">
        <v>6000</v>
      </c>
      <c r="L127" s="12">
        <v>500</v>
      </c>
      <c r="M127" s="12">
        <v>500</v>
      </c>
      <c r="N127" t="str">
        <f t="shared" ref="N127:N151" si="4">$K$99&amp;"|"&amp;K127&amp;"$"&amp;$L$99&amp;"|"&amp;L127&amp;"$"&amp;$M$99&amp;"|"&amp;M127</f>
        <v>10001|6000$10004|500$10003|500</v>
      </c>
    </row>
    <row r="128" spans="4:14">
      <c r="E128" s="11" t="s">
        <v>330</v>
      </c>
      <c r="F128">
        <v>132401</v>
      </c>
      <c r="G128">
        <v>132501</v>
      </c>
      <c r="H128" s="12" t="s">
        <v>321</v>
      </c>
      <c r="I128" s="12" t="str">
        <f>$E$127&amp;"|"&amp;H128&amp;"$"&amp;$F$127&amp;"|"&amp;H128&amp;"$"&amp;$G$127&amp;"|"&amp;H128</f>
        <v>131301|15|30$131401|15|30$131501|15|30</v>
      </c>
      <c r="J128" s="12">
        <v>2</v>
      </c>
      <c r="K128" s="12">
        <f t="shared" ref="K128:K151" si="5">K127+6416</f>
        <v>12416</v>
      </c>
      <c r="L128" s="12">
        <f t="shared" ref="L128:L151" si="6">L127+112</f>
        <v>612</v>
      </c>
      <c r="M128" s="12">
        <f t="shared" ref="M128:M151" si="7">M127+112</f>
        <v>612</v>
      </c>
      <c r="N128" t="str">
        <f t="shared" si="4"/>
        <v>10001|12416$10004|612$10003|612</v>
      </c>
    </row>
    <row r="129" spans="5:14">
      <c r="E129" s="11" t="s">
        <v>331</v>
      </c>
      <c r="F129">
        <v>133401</v>
      </c>
      <c r="G129">
        <v>133501</v>
      </c>
      <c r="H129" s="12" t="s">
        <v>323</v>
      </c>
      <c r="I129" s="12" t="str">
        <f>$E$127&amp;"|"&amp;H129&amp;"$"&amp;$F$127&amp;"|"&amp;H129&amp;"$"&amp;$G$127&amp;"|"&amp;H129</f>
        <v>131301|30|45$131401|30|45$131501|30|45</v>
      </c>
      <c r="J129" s="12">
        <v>3</v>
      </c>
      <c r="K129" s="12">
        <f t="shared" si="5"/>
        <v>18832</v>
      </c>
      <c r="L129" s="12">
        <f t="shared" si="6"/>
        <v>724</v>
      </c>
      <c r="M129" s="12">
        <f t="shared" si="7"/>
        <v>724</v>
      </c>
      <c r="N129" t="str">
        <f t="shared" si="4"/>
        <v>10001|18832$10004|724$10003|724</v>
      </c>
    </row>
    <row r="130" spans="5:14">
      <c r="E130" s="11" t="s">
        <v>332</v>
      </c>
      <c r="F130">
        <v>134401</v>
      </c>
      <c r="G130">
        <v>134501</v>
      </c>
      <c r="H130" s="12" t="s">
        <v>325</v>
      </c>
      <c r="I130" s="12" t="str">
        <f>$E$127&amp;"|"&amp;H130&amp;"$"&amp;$F$127&amp;"|"&amp;H130&amp;"$"&amp;$G$127&amp;"|"&amp;H130</f>
        <v>131301|45|60$131401|45|60$131501|45|60</v>
      </c>
      <c r="J130" s="12">
        <v>4</v>
      </c>
      <c r="K130" s="12">
        <f t="shared" si="5"/>
        <v>25248</v>
      </c>
      <c r="L130" s="12">
        <f t="shared" si="6"/>
        <v>836</v>
      </c>
      <c r="M130" s="12">
        <f t="shared" si="7"/>
        <v>836</v>
      </c>
      <c r="N130" t="str">
        <f t="shared" si="4"/>
        <v>10001|25248$10004|836$10003|836</v>
      </c>
    </row>
    <row r="131" spans="5:14">
      <c r="E131" s="11" t="s">
        <v>333</v>
      </c>
      <c r="F131">
        <v>135401</v>
      </c>
      <c r="G131">
        <v>135501</v>
      </c>
      <c r="H131" s="12" t="s">
        <v>327</v>
      </c>
      <c r="I131" s="12" t="str">
        <f>$E$127&amp;"|"&amp;H131&amp;"$"&amp;$F$127&amp;"|"&amp;H131&amp;"$"&amp;$G$127&amp;"|"&amp;H131</f>
        <v>131301|65|80$131401|65|80$131501|65|80</v>
      </c>
      <c r="J131" s="12">
        <v>5</v>
      </c>
      <c r="K131" s="12">
        <f t="shared" si="5"/>
        <v>31664</v>
      </c>
      <c r="L131" s="12">
        <f t="shared" si="6"/>
        <v>948</v>
      </c>
      <c r="M131" s="12">
        <f t="shared" si="7"/>
        <v>948</v>
      </c>
      <c r="N131" t="str">
        <f t="shared" si="4"/>
        <v>10001|31664$10004|948$10003|948</v>
      </c>
    </row>
    <row r="132" spans="5:14">
      <c r="H132" s="13" t="s">
        <v>319</v>
      </c>
      <c r="I132" s="13" t="str">
        <f>$E$128&amp;"|"&amp;H132&amp;"$"&amp;$F$128&amp;"|"&amp;H132&amp;"$"&amp;$G$128&amp;"|"&amp;H132</f>
        <v>132301|0|15$132401|0|15$132501|0|15</v>
      </c>
      <c r="J132" s="13">
        <v>6</v>
      </c>
      <c r="K132" s="12">
        <f t="shared" si="5"/>
        <v>38080</v>
      </c>
      <c r="L132" s="12">
        <f t="shared" si="6"/>
        <v>1060</v>
      </c>
      <c r="M132" s="12">
        <f t="shared" si="7"/>
        <v>1060</v>
      </c>
      <c r="N132" t="str">
        <f t="shared" si="4"/>
        <v>10001|38080$10004|1060$10003|1060</v>
      </c>
    </row>
    <row r="133" spans="5:14">
      <c r="H133" s="13" t="s">
        <v>321</v>
      </c>
      <c r="I133" s="13" t="str">
        <f>$E$128&amp;"|"&amp;H133&amp;"$"&amp;$F$128&amp;"|"&amp;H133&amp;"$"&amp;$G$128&amp;"|"&amp;H133</f>
        <v>132301|15|30$132401|15|30$132501|15|30</v>
      </c>
      <c r="J133" s="13">
        <v>7</v>
      </c>
      <c r="K133" s="12">
        <f t="shared" si="5"/>
        <v>44496</v>
      </c>
      <c r="L133" s="12">
        <f t="shared" si="6"/>
        <v>1172</v>
      </c>
      <c r="M133" s="12">
        <f t="shared" si="7"/>
        <v>1172</v>
      </c>
      <c r="N133" t="str">
        <f t="shared" si="4"/>
        <v>10001|44496$10004|1172$10003|1172</v>
      </c>
    </row>
    <row r="134" spans="5:14">
      <c r="H134" s="13" t="s">
        <v>323</v>
      </c>
      <c r="I134" s="13" t="str">
        <f>$E$128&amp;"|"&amp;H134&amp;"$"&amp;$F$128&amp;"|"&amp;H134&amp;"$"&amp;$G$128&amp;"|"&amp;H134</f>
        <v>132301|30|45$132401|30|45$132501|30|45</v>
      </c>
      <c r="J134" s="13">
        <v>8</v>
      </c>
      <c r="K134" s="12">
        <f t="shared" si="5"/>
        <v>50912</v>
      </c>
      <c r="L134" s="12">
        <f t="shared" si="6"/>
        <v>1284</v>
      </c>
      <c r="M134" s="12">
        <f t="shared" si="7"/>
        <v>1284</v>
      </c>
      <c r="N134" t="str">
        <f t="shared" si="4"/>
        <v>10001|50912$10004|1284$10003|1284</v>
      </c>
    </row>
    <row r="135" spans="5:14">
      <c r="H135" s="13" t="s">
        <v>325</v>
      </c>
      <c r="I135" s="13" t="str">
        <f>$E$128&amp;"|"&amp;H135&amp;"$"&amp;$F$128&amp;"|"&amp;H135&amp;"$"&amp;$G$128&amp;"|"&amp;H135</f>
        <v>132301|45|60$132401|45|60$132501|45|60</v>
      </c>
      <c r="J135" s="13">
        <v>9</v>
      </c>
      <c r="K135" s="12">
        <f t="shared" si="5"/>
        <v>57328</v>
      </c>
      <c r="L135" s="12">
        <f t="shared" si="6"/>
        <v>1396</v>
      </c>
      <c r="M135" s="12">
        <f t="shared" si="7"/>
        <v>1396</v>
      </c>
      <c r="N135" t="str">
        <f t="shared" si="4"/>
        <v>10001|57328$10004|1396$10003|1396</v>
      </c>
    </row>
    <row r="136" spans="5:14">
      <c r="H136" s="13" t="s">
        <v>327</v>
      </c>
      <c r="I136" s="13" t="str">
        <f>$E$128&amp;"|"&amp;H136&amp;"$"&amp;$F$128&amp;"|"&amp;H136&amp;"$"&amp;$G$128&amp;"|"&amp;H136</f>
        <v>132301|65|80$132401|65|80$132501|65|80</v>
      </c>
      <c r="J136" s="13">
        <v>10</v>
      </c>
      <c r="K136" s="12">
        <f t="shared" si="5"/>
        <v>63744</v>
      </c>
      <c r="L136" s="12">
        <f t="shared" si="6"/>
        <v>1508</v>
      </c>
      <c r="M136" s="12">
        <f t="shared" si="7"/>
        <v>1508</v>
      </c>
      <c r="N136" t="str">
        <f t="shared" si="4"/>
        <v>10001|63744$10004|1508$10003|1508</v>
      </c>
    </row>
    <row r="137" spans="5:14">
      <c r="H137" s="6" t="s">
        <v>319</v>
      </c>
      <c r="I137" s="6" t="str">
        <f>$E$129&amp;"|"&amp;H137&amp;"$"&amp;$F$129&amp;"|"&amp;H137&amp;"$"&amp;$G$129&amp;"|"&amp;H137</f>
        <v>133301|0|15$133401|0|15$133501|0|15</v>
      </c>
      <c r="J137" s="6">
        <v>11</v>
      </c>
      <c r="K137" s="12">
        <f t="shared" si="5"/>
        <v>70160</v>
      </c>
      <c r="L137" s="12">
        <f t="shared" si="6"/>
        <v>1620</v>
      </c>
      <c r="M137" s="12">
        <f t="shared" si="7"/>
        <v>1620</v>
      </c>
      <c r="N137" t="str">
        <f t="shared" si="4"/>
        <v>10001|70160$10004|1620$10003|1620</v>
      </c>
    </row>
    <row r="138" spans="5:14">
      <c r="H138" s="6" t="s">
        <v>321</v>
      </c>
      <c r="I138" s="6" t="str">
        <f>$E$129&amp;"|"&amp;H138&amp;"$"&amp;$F$129&amp;"|"&amp;H138&amp;"$"&amp;$G$129&amp;"|"&amp;H138</f>
        <v>133301|15|30$133401|15|30$133501|15|30</v>
      </c>
      <c r="J138" s="6">
        <v>12</v>
      </c>
      <c r="K138" s="12">
        <f t="shared" si="5"/>
        <v>76576</v>
      </c>
      <c r="L138" s="12">
        <f t="shared" si="6"/>
        <v>1732</v>
      </c>
      <c r="M138" s="12">
        <f t="shared" si="7"/>
        <v>1732</v>
      </c>
      <c r="N138" t="str">
        <f t="shared" si="4"/>
        <v>10001|76576$10004|1732$10003|1732</v>
      </c>
    </row>
    <row r="139" spans="5:14">
      <c r="H139" s="6" t="s">
        <v>323</v>
      </c>
      <c r="I139" s="6" t="str">
        <f>$E$129&amp;"|"&amp;H139&amp;"$"&amp;$F$129&amp;"|"&amp;H139&amp;"$"&amp;$G$129&amp;"|"&amp;H139</f>
        <v>133301|30|45$133401|30|45$133501|30|45</v>
      </c>
      <c r="J139" s="6">
        <v>13</v>
      </c>
      <c r="K139" s="12">
        <f t="shared" si="5"/>
        <v>82992</v>
      </c>
      <c r="L139" s="12">
        <f t="shared" si="6"/>
        <v>1844</v>
      </c>
      <c r="M139" s="12">
        <f t="shared" si="7"/>
        <v>1844</v>
      </c>
      <c r="N139" t="str">
        <f t="shared" si="4"/>
        <v>10001|82992$10004|1844$10003|1844</v>
      </c>
    </row>
    <row r="140" spans="5:14">
      <c r="H140" s="6" t="s">
        <v>325</v>
      </c>
      <c r="I140" s="6" t="str">
        <f>$E$129&amp;"|"&amp;H140&amp;"$"&amp;$F$129&amp;"|"&amp;H140&amp;"$"&amp;$G$129&amp;"|"&amp;H140</f>
        <v>133301|45|60$133401|45|60$133501|45|60</v>
      </c>
      <c r="J140" s="6">
        <v>14</v>
      </c>
      <c r="K140" s="12">
        <f t="shared" si="5"/>
        <v>89408</v>
      </c>
      <c r="L140" s="12">
        <f t="shared" si="6"/>
        <v>1956</v>
      </c>
      <c r="M140" s="12">
        <f t="shared" si="7"/>
        <v>1956</v>
      </c>
      <c r="N140" t="str">
        <f t="shared" si="4"/>
        <v>10001|89408$10004|1956$10003|1956</v>
      </c>
    </row>
    <row r="141" spans="5:14">
      <c r="H141" s="6" t="s">
        <v>327</v>
      </c>
      <c r="I141" s="6" t="str">
        <f>$E$129&amp;"|"&amp;H141&amp;"$"&amp;$F$129&amp;"|"&amp;H141&amp;"$"&amp;$G$129&amp;"|"&amp;H141</f>
        <v>133301|65|80$133401|65|80$133501|65|80</v>
      </c>
      <c r="J141" s="6">
        <v>15</v>
      </c>
      <c r="K141" s="12">
        <f t="shared" si="5"/>
        <v>95824</v>
      </c>
      <c r="L141" s="12">
        <f t="shared" si="6"/>
        <v>2068</v>
      </c>
      <c r="M141" s="12">
        <f t="shared" si="7"/>
        <v>2068</v>
      </c>
      <c r="N141" t="str">
        <f t="shared" si="4"/>
        <v>10001|95824$10004|2068$10003|2068</v>
      </c>
    </row>
    <row r="142" spans="5:14">
      <c r="H142" s="14" t="s">
        <v>319</v>
      </c>
      <c r="I142" s="14" t="str">
        <f>$E$130&amp;"|"&amp;H142&amp;"$"&amp;$F$130&amp;"|"&amp;H142&amp;"$"&amp;$G$130&amp;"|"&amp;H142</f>
        <v>134301|0|15$134401|0|15$134501|0|15</v>
      </c>
      <c r="J142" s="14">
        <v>16</v>
      </c>
      <c r="K142" s="12">
        <f t="shared" si="5"/>
        <v>102240</v>
      </c>
      <c r="L142" s="12">
        <f t="shared" si="6"/>
        <v>2180</v>
      </c>
      <c r="M142" s="12">
        <f t="shared" si="7"/>
        <v>2180</v>
      </c>
      <c r="N142" t="str">
        <f t="shared" si="4"/>
        <v>10001|102240$10004|2180$10003|2180</v>
      </c>
    </row>
    <row r="143" spans="5:14">
      <c r="H143" s="14" t="s">
        <v>321</v>
      </c>
      <c r="I143" s="14" t="str">
        <f>$E$130&amp;"|"&amp;H143&amp;"$"&amp;$F$130&amp;"|"&amp;H143&amp;"$"&amp;$G$130&amp;"|"&amp;H143</f>
        <v>134301|15|30$134401|15|30$134501|15|30</v>
      </c>
      <c r="J143" s="14">
        <v>17</v>
      </c>
      <c r="K143" s="12">
        <f t="shared" si="5"/>
        <v>108656</v>
      </c>
      <c r="L143" s="12">
        <f t="shared" si="6"/>
        <v>2292</v>
      </c>
      <c r="M143" s="12">
        <f t="shared" si="7"/>
        <v>2292</v>
      </c>
      <c r="N143" t="str">
        <f t="shared" si="4"/>
        <v>10001|108656$10004|2292$10003|2292</v>
      </c>
    </row>
    <row r="144" spans="5:14">
      <c r="H144" s="14" t="s">
        <v>323</v>
      </c>
      <c r="I144" s="14" t="str">
        <f>$E$130&amp;"|"&amp;H144&amp;"$"&amp;$F$130&amp;"|"&amp;H144&amp;"$"&amp;$G$130&amp;"|"&amp;H144</f>
        <v>134301|30|45$134401|30|45$134501|30|45</v>
      </c>
      <c r="J144" s="14">
        <v>18</v>
      </c>
      <c r="K144" s="12">
        <f t="shared" si="5"/>
        <v>115072</v>
      </c>
      <c r="L144" s="12">
        <f t="shared" si="6"/>
        <v>2404</v>
      </c>
      <c r="M144" s="12">
        <f t="shared" si="7"/>
        <v>2404</v>
      </c>
      <c r="N144" t="str">
        <f t="shared" si="4"/>
        <v>10001|115072$10004|2404$10003|2404</v>
      </c>
    </row>
    <row r="145" spans="4:14">
      <c r="H145" s="14" t="s">
        <v>325</v>
      </c>
      <c r="I145" s="14" t="str">
        <f>$E$130&amp;"|"&amp;H145&amp;"$"&amp;$F$130&amp;"|"&amp;H145&amp;"$"&amp;$G$130&amp;"|"&amp;H145</f>
        <v>134301|45|60$134401|45|60$134501|45|60</v>
      </c>
      <c r="J145" s="14">
        <v>19</v>
      </c>
      <c r="K145" s="12">
        <f t="shared" si="5"/>
        <v>121488</v>
      </c>
      <c r="L145" s="12">
        <f t="shared" si="6"/>
        <v>2516</v>
      </c>
      <c r="M145" s="12">
        <f t="shared" si="7"/>
        <v>2516</v>
      </c>
      <c r="N145" t="str">
        <f t="shared" si="4"/>
        <v>10001|121488$10004|2516$10003|2516</v>
      </c>
    </row>
    <row r="146" spans="4:14">
      <c r="H146" s="14" t="s">
        <v>327</v>
      </c>
      <c r="I146" s="14" t="str">
        <f>$E$130&amp;"|"&amp;H146&amp;"$"&amp;$F$130&amp;"|"&amp;H146&amp;"$"&amp;$G$130&amp;"|"&amp;H146</f>
        <v>134301|65|80$134401|65|80$134501|65|80</v>
      </c>
      <c r="J146" s="14">
        <v>20</v>
      </c>
      <c r="K146" s="12">
        <f t="shared" si="5"/>
        <v>127904</v>
      </c>
      <c r="L146" s="12">
        <f t="shared" si="6"/>
        <v>2628</v>
      </c>
      <c r="M146" s="12">
        <f t="shared" si="7"/>
        <v>2628</v>
      </c>
      <c r="N146" t="str">
        <f t="shared" si="4"/>
        <v>10001|127904$10004|2628$10003|2628</v>
      </c>
    </row>
    <row r="147" spans="4:14">
      <c r="H147" s="15" t="s">
        <v>319</v>
      </c>
      <c r="I147" s="15" t="str">
        <f>$E$131&amp;"|"&amp;H147&amp;"$"&amp;$F$131&amp;"|"&amp;H147&amp;"$"&amp;$G$131&amp;"|"&amp;H147</f>
        <v>135301|0|15$135401|0|15$135501|0|15</v>
      </c>
      <c r="J147" s="15">
        <v>21</v>
      </c>
      <c r="K147" s="12">
        <f t="shared" si="5"/>
        <v>134320</v>
      </c>
      <c r="L147" s="12">
        <f t="shared" si="6"/>
        <v>2740</v>
      </c>
      <c r="M147" s="12">
        <f t="shared" si="7"/>
        <v>2740</v>
      </c>
      <c r="N147" t="str">
        <f t="shared" si="4"/>
        <v>10001|134320$10004|2740$10003|2740</v>
      </c>
    </row>
    <row r="148" spans="4:14">
      <c r="H148" s="15" t="s">
        <v>321</v>
      </c>
      <c r="I148" s="15" t="str">
        <f>$E$131&amp;"|"&amp;H148&amp;"$"&amp;$F$131&amp;"|"&amp;H148&amp;"$"&amp;$G$131&amp;"|"&amp;H148</f>
        <v>135301|15|30$135401|15|30$135501|15|30</v>
      </c>
      <c r="J148" s="15">
        <v>22</v>
      </c>
      <c r="K148" s="12">
        <f t="shared" si="5"/>
        <v>140736</v>
      </c>
      <c r="L148" s="12">
        <f t="shared" si="6"/>
        <v>2852</v>
      </c>
      <c r="M148" s="12">
        <f t="shared" si="7"/>
        <v>2852</v>
      </c>
      <c r="N148" t="str">
        <f t="shared" si="4"/>
        <v>10001|140736$10004|2852$10003|2852</v>
      </c>
    </row>
    <row r="149" spans="4:14">
      <c r="H149" s="15" t="s">
        <v>323</v>
      </c>
      <c r="I149" s="15" t="str">
        <f>$E$131&amp;"|"&amp;H149&amp;"$"&amp;$F$131&amp;"|"&amp;H149&amp;"$"&amp;$G$131&amp;"|"&amp;H149</f>
        <v>135301|30|45$135401|30|45$135501|30|45</v>
      </c>
      <c r="J149" s="15">
        <v>23</v>
      </c>
      <c r="K149" s="12">
        <f t="shared" si="5"/>
        <v>147152</v>
      </c>
      <c r="L149" s="12">
        <f t="shared" si="6"/>
        <v>2964</v>
      </c>
      <c r="M149" s="12">
        <f t="shared" si="7"/>
        <v>2964</v>
      </c>
      <c r="N149" t="str">
        <f t="shared" si="4"/>
        <v>10001|147152$10004|2964$10003|2964</v>
      </c>
    </row>
    <row r="150" spans="4:14">
      <c r="H150" s="15" t="s">
        <v>325</v>
      </c>
      <c r="I150" s="15" t="str">
        <f>$E$131&amp;"|"&amp;H150&amp;"$"&amp;$F$131&amp;"|"&amp;H150&amp;"$"&amp;$G$131&amp;"|"&amp;H150</f>
        <v>135301|45|60$135401|45|60$135501|45|60</v>
      </c>
      <c r="J150" s="15">
        <v>24</v>
      </c>
      <c r="K150" s="12">
        <f t="shared" si="5"/>
        <v>153568</v>
      </c>
      <c r="L150" s="12">
        <f t="shared" si="6"/>
        <v>3076</v>
      </c>
      <c r="M150" s="12">
        <f t="shared" si="7"/>
        <v>3076</v>
      </c>
      <c r="N150" t="str">
        <f t="shared" si="4"/>
        <v>10001|153568$10004|3076$10003|3076</v>
      </c>
    </row>
    <row r="151" spans="4:14">
      <c r="H151" s="15" t="s">
        <v>327</v>
      </c>
      <c r="I151" s="15" t="str">
        <f>$E$131&amp;"|"&amp;H151&amp;"$"&amp;$F$131&amp;"|"&amp;H151&amp;"$"&amp;$G$131&amp;"|"&amp;H151</f>
        <v>135301|65|80$135401|65|80$135501|65|80</v>
      </c>
      <c r="J151" s="15">
        <v>25</v>
      </c>
      <c r="K151" s="12">
        <f t="shared" si="5"/>
        <v>159984</v>
      </c>
      <c r="L151" s="12">
        <f t="shared" si="6"/>
        <v>3188</v>
      </c>
      <c r="M151" s="12">
        <f t="shared" si="7"/>
        <v>3188</v>
      </c>
      <c r="N151" t="str">
        <f t="shared" si="4"/>
        <v>10001|159984$10004|3188$10003|3188</v>
      </c>
    </row>
    <row r="153" spans="4:14">
      <c r="D153" t="s">
        <v>334</v>
      </c>
    </row>
    <row r="154" ht="27" customHeight="1" spans="4:14">
      <c r="E154" s="11"/>
      <c r="H154" s="12" t="s">
        <v>335</v>
      </c>
      <c r="I154" s="16" t="str">
        <f>$E$100&amp;"|"&amp;H154&amp;"$"&amp;$F$100&amp;"|"&amp;H154&amp;"$"&amp;$G$100&amp;"|"&amp;H154&amp;"$"&amp;$F$127&amp;"|"&amp;H154&amp;"$"&amp;$G$127&amp;"|"&amp;H154</f>
        <v>131001|0|30$131101|0|30$131201|0|30$131401|0|30$131501|0|30</v>
      </c>
      <c r="J154" s="12">
        <v>1</v>
      </c>
      <c r="K154" s="12">
        <v>6000</v>
      </c>
      <c r="L154" s="12">
        <v>500</v>
      </c>
      <c r="M154" s="12">
        <v>500</v>
      </c>
      <c r="N154" t="str">
        <f t="shared" ref="N154:N178" si="8">$K$99&amp;"|"&amp;K154&amp;"$"&amp;$L$99&amp;"|"&amp;L154&amp;"$"&amp;$M$99&amp;"|"&amp;M154</f>
        <v>10001|6000$10004|500$10003|500</v>
      </c>
    </row>
    <row r="155" ht="27" customHeight="1" spans="4:14">
      <c r="E155" s="11"/>
      <c r="H155" s="12" t="s">
        <v>336</v>
      </c>
      <c r="I155" s="16" t="str">
        <f>$E$100&amp;"|"&amp;H155&amp;"$"&amp;$F$100&amp;"|"&amp;H155&amp;"$"&amp;$G$100&amp;"|"&amp;H155&amp;"$"&amp;$F$127&amp;"|"&amp;H155&amp;"$"&amp;$G$127&amp;"|"&amp;H155</f>
        <v>131001|30|60$131101|30|60$131201|30|60$131401|30|60$131501|30|60</v>
      </c>
      <c r="J155" s="12">
        <v>2</v>
      </c>
      <c r="K155" s="12">
        <f t="shared" ref="K155:K178" si="9">K154+6416</f>
        <v>12416</v>
      </c>
      <c r="L155" s="12">
        <f t="shared" ref="L155:L178" si="10">L154+112</f>
        <v>612</v>
      </c>
      <c r="M155" s="12">
        <f t="shared" ref="M155:M178" si="11">M154+112</f>
        <v>612</v>
      </c>
      <c r="N155" t="str">
        <f t="shared" si="8"/>
        <v>10001|12416$10004|612$10003|612</v>
      </c>
    </row>
    <row r="156" ht="27" customHeight="1" spans="4:14">
      <c r="E156" s="11"/>
      <c r="H156" s="12" t="s">
        <v>337</v>
      </c>
      <c r="I156" s="16" t="str">
        <f>$E$100&amp;"|"&amp;H156&amp;"$"&amp;$F$100&amp;"|"&amp;H156&amp;"$"&amp;$G$100&amp;"|"&amp;H156&amp;"$"&amp;$F$127&amp;"|"&amp;H156&amp;"$"&amp;$G$127&amp;"|"&amp;H156</f>
        <v>131001|30|90$131101|30|90$131201|30|90$131401|30|90$131501|30|90</v>
      </c>
      <c r="J156" s="12">
        <v>3</v>
      </c>
      <c r="K156" s="12">
        <f t="shared" si="9"/>
        <v>18832</v>
      </c>
      <c r="L156" s="12">
        <f t="shared" si="10"/>
        <v>724</v>
      </c>
      <c r="M156" s="12">
        <f t="shared" si="11"/>
        <v>724</v>
      </c>
      <c r="N156" t="str">
        <f t="shared" si="8"/>
        <v>10001|18832$10004|724$10003|724</v>
      </c>
    </row>
    <row r="157" ht="40.5" customHeight="1" spans="4:14">
      <c r="E157" s="11"/>
      <c r="H157" s="12" t="s">
        <v>338</v>
      </c>
      <c r="I157" s="16" t="str">
        <f>$E$100&amp;"|"&amp;H157&amp;"$"&amp;$F$100&amp;"|"&amp;H157&amp;"$"&amp;$G$100&amp;"|"&amp;H157&amp;"$"&amp;$F$127&amp;"|"&amp;H157&amp;"$"&amp;$G$127&amp;"|"&amp;H157</f>
        <v>131001|90|120$131101|90|120$131201|90|120$131401|90|120$131501|90|120</v>
      </c>
      <c r="J157" s="12">
        <v>4</v>
      </c>
      <c r="K157" s="12">
        <f t="shared" si="9"/>
        <v>25248</v>
      </c>
      <c r="L157" s="12">
        <f t="shared" si="10"/>
        <v>836</v>
      </c>
      <c r="M157" s="12">
        <f t="shared" si="11"/>
        <v>836</v>
      </c>
      <c r="N157" t="str">
        <f t="shared" si="8"/>
        <v>10001|25248$10004|836$10003|836</v>
      </c>
    </row>
    <row r="158" ht="40.5" customHeight="1" spans="4:14">
      <c r="E158" s="11"/>
      <c r="H158" s="12" t="s">
        <v>339</v>
      </c>
      <c r="I158" s="16" t="str">
        <f>$E$100&amp;"|"&amp;H158&amp;"$"&amp;$F$100&amp;"|"&amp;H158&amp;"$"&amp;$G$100&amp;"|"&amp;H158&amp;"$"&amp;$F$127&amp;"|"&amp;H158&amp;"$"&amp;$G$127&amp;"|"&amp;H158</f>
        <v>131001|120|160$131101|120|160$131201|120|160$131401|120|160$131501|120|160</v>
      </c>
      <c r="J158" s="12">
        <v>5</v>
      </c>
      <c r="K158" s="12">
        <f t="shared" si="9"/>
        <v>31664</v>
      </c>
      <c r="L158" s="12">
        <f t="shared" si="10"/>
        <v>948</v>
      </c>
      <c r="M158" s="12">
        <f t="shared" si="11"/>
        <v>948</v>
      </c>
      <c r="N158" t="str">
        <f t="shared" si="8"/>
        <v>10001|31664$10004|948$10003|948</v>
      </c>
    </row>
    <row r="159" ht="40.5" customHeight="1" spans="4:14">
      <c r="H159" s="13" t="s">
        <v>335</v>
      </c>
      <c r="I159" s="17" t="str">
        <f>$E$101&amp;"|"&amp;H154&amp;"$"&amp;$F$101&amp;"|"&amp;H154&amp;"$"&amp;$G$101&amp;"|"&amp;H154&amp;"$"&amp;$E$128&amp;"|"&amp;H159&amp;"$"&amp;$F$128&amp;"|"&amp;H159&amp;"$"&amp;$G$128&amp;"|"&amp;H159</f>
        <v>132001|0|30$132101|0|30$132201|0|30$132301|0|30$132401|0|30$132501|0|30</v>
      </c>
      <c r="J159" s="13">
        <v>6</v>
      </c>
      <c r="K159" s="12">
        <f t="shared" si="9"/>
        <v>38080</v>
      </c>
      <c r="L159" s="12">
        <f t="shared" si="10"/>
        <v>1060</v>
      </c>
      <c r="M159" s="12">
        <f t="shared" si="11"/>
        <v>1060</v>
      </c>
      <c r="N159" t="str">
        <f t="shared" si="8"/>
        <v>10001|38080$10004|1060$10003|1060</v>
      </c>
    </row>
    <row r="160" ht="40.5" customHeight="1" spans="4:14">
      <c r="H160" s="13" t="s">
        <v>336</v>
      </c>
      <c r="I160" s="17" t="str">
        <f>$E$101&amp;"|"&amp;H155&amp;"$"&amp;$F$101&amp;"|"&amp;H155&amp;"$"&amp;$G$101&amp;"|"&amp;H155&amp;"$"&amp;$E$128&amp;"|"&amp;H160&amp;"$"&amp;$F$128&amp;"|"&amp;H160&amp;"$"&amp;$G$128&amp;"|"&amp;H160</f>
        <v>132001|30|60$132101|30|60$132201|30|60$132301|30|60$132401|30|60$132501|30|60</v>
      </c>
      <c r="J160" s="13">
        <v>7</v>
      </c>
      <c r="K160" s="12">
        <f t="shared" si="9"/>
        <v>44496</v>
      </c>
      <c r="L160" s="12">
        <f t="shared" si="10"/>
        <v>1172</v>
      </c>
      <c r="M160" s="12">
        <f t="shared" si="11"/>
        <v>1172</v>
      </c>
      <c r="N160" t="str">
        <f t="shared" si="8"/>
        <v>10001|44496$10004|1172$10003|1172</v>
      </c>
    </row>
    <row r="161" ht="40.5" customHeight="1" spans="8:14">
      <c r="H161" s="13" t="s">
        <v>337</v>
      </c>
      <c r="I161" s="17" t="str">
        <f>$E$101&amp;"|"&amp;H156&amp;"$"&amp;$F$101&amp;"|"&amp;H156&amp;"$"&amp;$G$101&amp;"|"&amp;H156&amp;"$"&amp;$E$128&amp;"|"&amp;H161&amp;"$"&amp;$F$128&amp;"|"&amp;H161&amp;"$"&amp;$G$128&amp;"|"&amp;H161</f>
        <v>132001|30|90$132101|30|90$132201|30|90$132301|30|90$132401|30|90$132501|30|90</v>
      </c>
      <c r="J161" s="13">
        <v>8</v>
      </c>
      <c r="K161" s="12">
        <f t="shared" si="9"/>
        <v>50912</v>
      </c>
      <c r="L161" s="12">
        <f t="shared" si="10"/>
        <v>1284</v>
      </c>
      <c r="M161" s="12">
        <f t="shared" si="11"/>
        <v>1284</v>
      </c>
      <c r="N161" t="str">
        <f t="shared" si="8"/>
        <v>10001|50912$10004|1284$10003|1284</v>
      </c>
    </row>
    <row r="162" ht="40.5" customHeight="1" spans="8:14">
      <c r="H162" s="13" t="s">
        <v>338</v>
      </c>
      <c r="I162" s="17" t="str">
        <f>$E$101&amp;"|"&amp;H157&amp;"$"&amp;$F$101&amp;"|"&amp;H157&amp;"$"&amp;$G$101&amp;"|"&amp;H157&amp;"$"&amp;$E$128&amp;"|"&amp;H162&amp;"$"&amp;$F$128&amp;"|"&amp;H162&amp;"$"&amp;$G$128&amp;"|"&amp;H162</f>
        <v>132001|90|120$132101|90|120$132201|90|120$132301|90|120$132401|90|120$132501|90|120</v>
      </c>
      <c r="J162" s="13">
        <v>9</v>
      </c>
      <c r="K162" s="12">
        <f t="shared" si="9"/>
        <v>57328</v>
      </c>
      <c r="L162" s="12">
        <f t="shared" si="10"/>
        <v>1396</v>
      </c>
      <c r="M162" s="12">
        <f t="shared" si="11"/>
        <v>1396</v>
      </c>
      <c r="N162" t="str">
        <f t="shared" si="8"/>
        <v>10001|57328$10004|1396$10003|1396</v>
      </c>
    </row>
    <row r="163" ht="40.5" customHeight="1" spans="8:14">
      <c r="H163" s="13" t="s">
        <v>339</v>
      </c>
      <c r="I163" s="17" t="str">
        <f>$E$101&amp;"|"&amp;H158&amp;"$"&amp;$F$101&amp;"|"&amp;H158&amp;"$"&amp;$G$101&amp;"|"&amp;H158&amp;"$"&amp;$E$128&amp;"|"&amp;H163&amp;"$"&amp;$F$128&amp;"|"&amp;H163&amp;"$"&amp;$G$128&amp;"|"&amp;H163</f>
        <v>132001|120|160$132101|120|160$132201|120|160$132301|120|160$132401|120|160$132501|120|160</v>
      </c>
      <c r="J163" s="13">
        <v>10</v>
      </c>
      <c r="K163" s="12">
        <f t="shared" si="9"/>
        <v>63744</v>
      </c>
      <c r="L163" s="12">
        <f t="shared" si="10"/>
        <v>1508</v>
      </c>
      <c r="M163" s="12">
        <f t="shared" si="11"/>
        <v>1508</v>
      </c>
      <c r="N163" t="str">
        <f t="shared" si="8"/>
        <v>10001|63744$10004|1508$10003|1508</v>
      </c>
    </row>
    <row r="164" ht="40.5" customHeight="1" spans="8:14">
      <c r="H164" s="6" t="s">
        <v>335</v>
      </c>
      <c r="I164" s="18" t="str">
        <f>$E$102&amp;"|"&amp;H154&amp;"$"&amp;$F$102&amp;"|"&amp;H154&amp;"$"&amp;$G$102&amp;"|"&amp;H154&amp;"$"&amp;$E$129&amp;"|"&amp;H164&amp;"$"&amp;$F$129&amp;"|"&amp;H164&amp;"$"&amp;$G$129&amp;"|"&amp;H164</f>
        <v>133001|0|30$133101|0|30$133201|0|30$133301|0|30$133401|0|30$133501|0|30</v>
      </c>
      <c r="J164" s="6">
        <v>11</v>
      </c>
      <c r="K164" s="12">
        <f t="shared" si="9"/>
        <v>70160</v>
      </c>
      <c r="L164" s="12">
        <f t="shared" si="10"/>
        <v>1620</v>
      </c>
      <c r="M164" s="12">
        <f t="shared" si="11"/>
        <v>1620</v>
      </c>
      <c r="N164" t="str">
        <f t="shared" si="8"/>
        <v>10001|70160$10004|1620$10003|1620</v>
      </c>
    </row>
    <row r="165" ht="40.5" customHeight="1" spans="8:14">
      <c r="H165" s="6" t="s">
        <v>336</v>
      </c>
      <c r="I165" s="18" t="str">
        <f>$E$102&amp;"|"&amp;H155&amp;"$"&amp;$F$102&amp;"|"&amp;H155&amp;"$"&amp;$G$102&amp;"|"&amp;H155&amp;"$"&amp;$E$129&amp;"|"&amp;H165&amp;"$"&amp;$F$129&amp;"|"&amp;H165&amp;"$"&amp;$G$129&amp;"|"&amp;H165</f>
        <v>133001|30|60$133101|30|60$133201|30|60$133301|30|60$133401|30|60$133501|30|60</v>
      </c>
      <c r="J165" s="6">
        <v>12</v>
      </c>
      <c r="K165" s="12">
        <f t="shared" si="9"/>
        <v>76576</v>
      </c>
      <c r="L165" s="12">
        <f t="shared" si="10"/>
        <v>1732</v>
      </c>
      <c r="M165" s="12">
        <f t="shared" si="11"/>
        <v>1732</v>
      </c>
      <c r="N165" t="str">
        <f t="shared" si="8"/>
        <v>10001|76576$10004|1732$10003|1732</v>
      </c>
    </row>
    <row r="166" ht="40.5" customHeight="1" spans="8:14">
      <c r="H166" s="6" t="s">
        <v>337</v>
      </c>
      <c r="I166" s="18" t="str">
        <f>$E$102&amp;"|"&amp;H156&amp;"$"&amp;$F$102&amp;"|"&amp;H156&amp;"$"&amp;$G$102&amp;"|"&amp;H156&amp;"$"&amp;$E$129&amp;"|"&amp;H166&amp;"$"&amp;$F$129&amp;"|"&amp;H166&amp;"$"&amp;$G$129&amp;"|"&amp;H166</f>
        <v>133001|30|90$133101|30|90$133201|30|90$133301|30|90$133401|30|90$133501|30|90</v>
      </c>
      <c r="J166" s="6">
        <v>13</v>
      </c>
      <c r="K166" s="12">
        <f t="shared" si="9"/>
        <v>82992</v>
      </c>
      <c r="L166" s="12">
        <f t="shared" si="10"/>
        <v>1844</v>
      </c>
      <c r="M166" s="12">
        <f t="shared" si="11"/>
        <v>1844</v>
      </c>
      <c r="N166" t="str">
        <f t="shared" si="8"/>
        <v>10001|82992$10004|1844$10003|1844</v>
      </c>
    </row>
    <row r="167" ht="40.5" customHeight="1" spans="8:14">
      <c r="H167" s="6" t="s">
        <v>338</v>
      </c>
      <c r="I167" s="18" t="str">
        <f>$E$102&amp;"|"&amp;H157&amp;"$"&amp;$F$102&amp;"|"&amp;H157&amp;"$"&amp;$G$102&amp;"|"&amp;H157&amp;"$"&amp;$E$129&amp;"|"&amp;H167&amp;"$"&amp;$F$129&amp;"|"&amp;H167&amp;"$"&amp;$G$129&amp;"|"&amp;H167</f>
        <v>133001|90|120$133101|90|120$133201|90|120$133301|90|120$133401|90|120$133501|90|120</v>
      </c>
      <c r="J167" s="6">
        <v>14</v>
      </c>
      <c r="K167" s="12">
        <f t="shared" si="9"/>
        <v>89408</v>
      </c>
      <c r="L167" s="12">
        <f t="shared" si="10"/>
        <v>1956</v>
      </c>
      <c r="M167" s="12">
        <f t="shared" si="11"/>
        <v>1956</v>
      </c>
      <c r="N167" t="str">
        <f t="shared" si="8"/>
        <v>10001|89408$10004|1956$10003|1956</v>
      </c>
    </row>
    <row r="168" ht="40.5" customHeight="1" spans="8:14">
      <c r="H168" s="6" t="s">
        <v>339</v>
      </c>
      <c r="I168" s="18" t="str">
        <f>$E$102&amp;"|"&amp;H158&amp;"$"&amp;$F$102&amp;"|"&amp;H158&amp;"$"&amp;$G$102&amp;"|"&amp;H158&amp;"$"&amp;$E$129&amp;"|"&amp;H168&amp;"$"&amp;$F$129&amp;"|"&amp;H168&amp;"$"&amp;$G$129&amp;"|"&amp;H168</f>
        <v>133001|120|160$133101|120|160$133201|120|160$133301|120|160$133401|120|160$133501|120|160</v>
      </c>
      <c r="J168" s="6">
        <v>15</v>
      </c>
      <c r="K168" s="12">
        <f t="shared" si="9"/>
        <v>95824</v>
      </c>
      <c r="L168" s="12">
        <f t="shared" si="10"/>
        <v>2068</v>
      </c>
      <c r="M168" s="12">
        <f t="shared" si="11"/>
        <v>2068</v>
      </c>
      <c r="N168" t="str">
        <f t="shared" si="8"/>
        <v>10001|95824$10004|2068$10003|2068</v>
      </c>
    </row>
    <row r="169" ht="40.5" customHeight="1" spans="8:14">
      <c r="H169" s="14" t="s">
        <v>335</v>
      </c>
      <c r="I169" s="19" t="str">
        <f>$E$103&amp;"|"&amp;H154&amp;"$"&amp;$F$103&amp;"|"&amp;H154&amp;"$"&amp;$G$103&amp;"|"&amp;H154&amp;"$"&amp;$E$130&amp;"|"&amp;H169&amp;"$"&amp;$F$130&amp;"|"&amp;H169&amp;"$"&amp;$G$130&amp;"|"&amp;H169</f>
        <v>134001|0|30$134101|0|30$134201|0|30$134301|0|30$134401|0|30$134501|0|30</v>
      </c>
      <c r="J169" s="14">
        <v>16</v>
      </c>
      <c r="K169" s="12">
        <f t="shared" si="9"/>
        <v>102240</v>
      </c>
      <c r="L169" s="12">
        <f t="shared" si="10"/>
        <v>2180</v>
      </c>
      <c r="M169" s="12">
        <f t="shared" si="11"/>
        <v>2180</v>
      </c>
      <c r="N169" t="str">
        <f t="shared" si="8"/>
        <v>10001|102240$10004|2180$10003|2180</v>
      </c>
    </row>
    <row r="170" ht="40.5" customHeight="1" spans="8:14">
      <c r="H170" s="14" t="s">
        <v>336</v>
      </c>
      <c r="I170" s="19" t="str">
        <f>$E$103&amp;"|"&amp;H155&amp;"$"&amp;$F$103&amp;"|"&amp;H155&amp;"$"&amp;$G$103&amp;"|"&amp;H155&amp;"$"&amp;$E$130&amp;"|"&amp;H170&amp;"$"&amp;$F$130&amp;"|"&amp;H170&amp;"$"&amp;$G$130&amp;"|"&amp;H170</f>
        <v>134001|30|60$134101|30|60$134201|30|60$134301|30|60$134401|30|60$134501|30|60</v>
      </c>
      <c r="J170" s="14">
        <v>17</v>
      </c>
      <c r="K170" s="12">
        <f t="shared" si="9"/>
        <v>108656</v>
      </c>
      <c r="L170" s="12">
        <f t="shared" si="10"/>
        <v>2292</v>
      </c>
      <c r="M170" s="12">
        <f t="shared" si="11"/>
        <v>2292</v>
      </c>
      <c r="N170" t="str">
        <f t="shared" si="8"/>
        <v>10001|108656$10004|2292$10003|2292</v>
      </c>
    </row>
    <row r="171" ht="40.5" customHeight="1" spans="8:14">
      <c r="H171" s="14" t="s">
        <v>337</v>
      </c>
      <c r="I171" s="19" t="str">
        <f>$E$103&amp;"|"&amp;H156&amp;"$"&amp;$F$103&amp;"|"&amp;H156&amp;"$"&amp;$G$103&amp;"|"&amp;H156&amp;"$"&amp;$E$130&amp;"|"&amp;H171&amp;"$"&amp;$F$130&amp;"|"&amp;H171&amp;"$"&amp;$G$130&amp;"|"&amp;H171</f>
        <v>134001|30|90$134101|30|90$134201|30|90$134301|30|90$134401|30|90$134501|30|90</v>
      </c>
      <c r="J171" s="14">
        <v>18</v>
      </c>
      <c r="K171" s="12">
        <f t="shared" si="9"/>
        <v>115072</v>
      </c>
      <c r="L171" s="12">
        <f t="shared" si="10"/>
        <v>2404</v>
      </c>
      <c r="M171" s="12">
        <f t="shared" si="11"/>
        <v>2404</v>
      </c>
      <c r="N171" t="str">
        <f t="shared" si="8"/>
        <v>10001|115072$10004|2404$10003|2404</v>
      </c>
    </row>
    <row r="172" ht="40.5" customHeight="1" spans="8:14">
      <c r="H172" s="14" t="s">
        <v>338</v>
      </c>
      <c r="I172" s="19" t="str">
        <f>$E$103&amp;"|"&amp;H157&amp;"$"&amp;$F$103&amp;"|"&amp;H157&amp;"$"&amp;$G$103&amp;"|"&amp;H157&amp;"$"&amp;$E$130&amp;"|"&amp;H172&amp;"$"&amp;$F$130&amp;"|"&amp;H172&amp;"$"&amp;$G$130&amp;"|"&amp;H172</f>
        <v>134001|90|120$134101|90|120$134201|90|120$134301|90|120$134401|90|120$134501|90|120</v>
      </c>
      <c r="J172" s="14">
        <v>19</v>
      </c>
      <c r="K172" s="12">
        <f t="shared" si="9"/>
        <v>121488</v>
      </c>
      <c r="L172" s="12">
        <f t="shared" si="10"/>
        <v>2516</v>
      </c>
      <c r="M172" s="12">
        <f t="shared" si="11"/>
        <v>2516</v>
      </c>
      <c r="N172" t="str">
        <f t="shared" si="8"/>
        <v>10001|121488$10004|2516$10003|2516</v>
      </c>
    </row>
    <row r="173" ht="40.5" customHeight="1" spans="8:14">
      <c r="H173" s="14" t="s">
        <v>339</v>
      </c>
      <c r="I173" s="19" t="str">
        <f>$E$103&amp;"|"&amp;H158&amp;"$"&amp;$F$103&amp;"|"&amp;H158&amp;"$"&amp;$G$103&amp;"|"&amp;H158&amp;"$"&amp;$E$130&amp;"|"&amp;H173&amp;"$"&amp;$F$130&amp;"|"&amp;H173&amp;"$"&amp;$G$130&amp;"|"&amp;H173</f>
        <v>134001|120|160$134101|120|160$134201|120|160$134301|120|160$134401|120|160$134501|120|160</v>
      </c>
      <c r="J173" s="14">
        <v>20</v>
      </c>
      <c r="K173" s="12">
        <f t="shared" si="9"/>
        <v>127904</v>
      </c>
      <c r="L173" s="12">
        <f t="shared" si="10"/>
        <v>2628</v>
      </c>
      <c r="M173" s="12">
        <f t="shared" si="11"/>
        <v>2628</v>
      </c>
      <c r="N173" t="str">
        <f t="shared" si="8"/>
        <v>10001|127904$10004|2628$10003|2628</v>
      </c>
    </row>
    <row r="174" ht="40.5" customHeight="1" spans="8:14">
      <c r="H174" s="15" t="s">
        <v>335</v>
      </c>
      <c r="I174" s="20" t="str">
        <f>$E$104&amp;"|"&amp;H154&amp;"$"&amp;$F$104&amp;"|"&amp;H154&amp;"$"&amp;$G$104&amp;"|"&amp;H154&amp;"$"&amp;$E$131&amp;"|"&amp;H174&amp;"$"&amp;$F$131&amp;"|"&amp;H174&amp;"$"&amp;$G$131&amp;"|"&amp;H174</f>
        <v>135001|0|30$135101|0|30$135201|0|30$135301|0|30$135401|0|30$135501|0|30</v>
      </c>
      <c r="J174" s="15">
        <v>21</v>
      </c>
      <c r="K174" s="12">
        <f t="shared" si="9"/>
        <v>134320</v>
      </c>
      <c r="L174" s="12">
        <f t="shared" si="10"/>
        <v>2740</v>
      </c>
      <c r="M174" s="12">
        <f t="shared" si="11"/>
        <v>2740</v>
      </c>
      <c r="N174" t="str">
        <f t="shared" si="8"/>
        <v>10001|134320$10004|2740$10003|2740</v>
      </c>
    </row>
    <row r="175" ht="40.5" customHeight="1" spans="8:14">
      <c r="H175" s="15" t="s">
        <v>336</v>
      </c>
      <c r="I175" s="20" t="str">
        <f>$E$104&amp;"|"&amp;H155&amp;"$"&amp;$F$104&amp;"|"&amp;H155&amp;"$"&amp;$G$104&amp;"|"&amp;H155&amp;"$"&amp;$E$131&amp;"|"&amp;H175&amp;"$"&amp;$F$131&amp;"|"&amp;H175&amp;"$"&amp;$G$131&amp;"|"&amp;H175</f>
        <v>135001|30|60$135101|30|60$135201|30|60$135301|30|60$135401|30|60$135501|30|60</v>
      </c>
      <c r="J175" s="15">
        <v>22</v>
      </c>
      <c r="K175" s="12">
        <f t="shared" si="9"/>
        <v>140736</v>
      </c>
      <c r="L175" s="12">
        <f t="shared" si="10"/>
        <v>2852</v>
      </c>
      <c r="M175" s="12">
        <f t="shared" si="11"/>
        <v>2852</v>
      </c>
      <c r="N175" t="str">
        <f t="shared" si="8"/>
        <v>10001|140736$10004|2852$10003|2852</v>
      </c>
    </row>
    <row r="176" ht="40.5" customHeight="1" spans="8:14">
      <c r="H176" s="15" t="s">
        <v>337</v>
      </c>
      <c r="I176" s="20" t="str">
        <f>$E$104&amp;"|"&amp;H156&amp;"$"&amp;$F$104&amp;"|"&amp;H156&amp;"$"&amp;$G$104&amp;"|"&amp;H156&amp;"$"&amp;$E$131&amp;"|"&amp;H176&amp;"$"&amp;$F$131&amp;"|"&amp;H176&amp;"$"&amp;$G$131&amp;"|"&amp;H176</f>
        <v>135001|30|90$135101|30|90$135201|30|90$135301|30|90$135401|30|90$135501|30|90</v>
      </c>
      <c r="J176" s="15">
        <v>23</v>
      </c>
      <c r="K176" s="12">
        <f t="shared" si="9"/>
        <v>147152</v>
      </c>
      <c r="L176" s="12">
        <f t="shared" si="10"/>
        <v>2964</v>
      </c>
      <c r="M176" s="12">
        <f t="shared" si="11"/>
        <v>2964</v>
      </c>
      <c r="N176" t="str">
        <f t="shared" si="8"/>
        <v>10001|147152$10004|2964$10003|2964</v>
      </c>
    </row>
    <row r="177" ht="40.5" customHeight="1" spans="1:19">
      <c r="H177" s="15" t="s">
        <v>338</v>
      </c>
      <c r="I177" s="20" t="str">
        <f>$E$104&amp;"|"&amp;H157&amp;"$"&amp;$F$104&amp;"|"&amp;H157&amp;"$"&amp;$G$104&amp;"|"&amp;H157&amp;"$"&amp;$E$131&amp;"|"&amp;H177&amp;"$"&amp;$F$131&amp;"|"&amp;H177&amp;"$"&amp;$G$131&amp;"|"&amp;H177</f>
        <v>135001|90|120$135101|90|120$135201|90|120$135301|90|120$135401|90|120$135501|90|120</v>
      </c>
      <c r="J177" s="15">
        <v>24</v>
      </c>
      <c r="K177" s="12">
        <f t="shared" si="9"/>
        <v>153568</v>
      </c>
      <c r="L177" s="12">
        <f t="shared" si="10"/>
        <v>3076</v>
      </c>
      <c r="M177" s="12">
        <f t="shared" si="11"/>
        <v>3076</v>
      </c>
      <c r="N177" t="str">
        <f t="shared" si="8"/>
        <v>10001|153568$10004|3076$10003|3076</v>
      </c>
    </row>
    <row r="178" ht="40.5" customHeight="1" spans="1:19">
      <c r="H178" s="15" t="s">
        <v>339</v>
      </c>
      <c r="I178" s="20" t="str">
        <f>$E$104&amp;"|"&amp;H158&amp;"$"&amp;$F$104&amp;"|"&amp;H158&amp;"$"&amp;$G$104&amp;"|"&amp;H158&amp;"$"&amp;$E$131&amp;"|"&amp;H178&amp;"$"&amp;$F$131&amp;"|"&amp;H178&amp;"$"&amp;$G$131&amp;"|"&amp;H178</f>
        <v>135001|120|160$135101|120|160$135201|120|160$135301|120|160$135401|120|160$135501|120|160</v>
      </c>
      <c r="J178" s="15">
        <v>25</v>
      </c>
      <c r="K178" s="12">
        <f t="shared" si="9"/>
        <v>159984</v>
      </c>
      <c r="L178" s="12">
        <f t="shared" si="10"/>
        <v>3188</v>
      </c>
      <c r="M178" s="12">
        <f t="shared" si="11"/>
        <v>3188</v>
      </c>
      <c r="N178" t="str">
        <f t="shared" si="8"/>
        <v>10001|159984$10004|3188$10003|3188</v>
      </c>
    </row>
    <row r="179" spans="1:19">
      <c r="R179">
        <v>0.6</v>
      </c>
      <c r="S179">
        <v>0.7</v>
      </c>
    </row>
    <row r="180" spans="1:19">
      <c r="F180" s="21"/>
      <c r="L180" t="s">
        <v>310</v>
      </c>
      <c r="M180" t="s">
        <v>311</v>
      </c>
      <c r="N180" t="s">
        <v>312</v>
      </c>
      <c r="P180" t="s">
        <v>310</v>
      </c>
      <c r="Q180" t="s">
        <v>311</v>
      </c>
      <c r="R180" t="s">
        <v>312</v>
      </c>
    </row>
    <row r="181" spans="1:19">
      <c r="D181" t="s">
        <v>340</v>
      </c>
      <c r="E181" s="22" t="s">
        <v>341</v>
      </c>
      <c r="F181">
        <v>121002</v>
      </c>
      <c r="G181">
        <v>121004</v>
      </c>
      <c r="H181">
        <v>121006</v>
      </c>
      <c r="I181">
        <v>121006</v>
      </c>
      <c r="L181">
        <v>10001</v>
      </c>
      <c r="M181">
        <v>10004</v>
      </c>
      <c r="N181">
        <v>10003</v>
      </c>
      <c r="P181">
        <v>10001</v>
      </c>
      <c r="Q181">
        <v>10004</v>
      </c>
      <c r="R181">
        <v>10003</v>
      </c>
    </row>
    <row r="182" spans="1:19">
      <c r="A182">
        <v>1</v>
      </c>
      <c r="B182">
        <v>70</v>
      </c>
      <c r="C182">
        <v>90</v>
      </c>
      <c r="D182" s="23"/>
      <c r="E182" s="23">
        <v>1</v>
      </c>
      <c r="F182" s="23">
        <v>122002</v>
      </c>
      <c r="G182" s="23">
        <v>122004</v>
      </c>
      <c r="H182" s="23">
        <v>122006</v>
      </c>
      <c r="I182" s="23">
        <v>122006</v>
      </c>
      <c r="J182" s="23" t="str">
        <f t="shared" ref="J182:J206" si="12">B182&amp;"|"&amp;C182</f>
        <v>70|90</v>
      </c>
      <c r="K182" s="24" t="str">
        <f>$E$181&amp;"|"&amp;0&amp;"|"&amp;E182&amp;"$"&amp;$F$181&amp;"|"&amp;J182&amp;"$"&amp;$G$181&amp;"|"&amp;J182&amp;"$"&amp;$H$181&amp;"|"&amp;J182</f>
        <v>990002|0|1$121002|70|90$121004|70|90$121006|70|90</v>
      </c>
      <c r="L182" s="4">
        <v>3600</v>
      </c>
      <c r="M182" s="4">
        <v>300</v>
      </c>
      <c r="N182" s="4">
        <v>300</v>
      </c>
      <c r="O182" s="25" t="str">
        <f t="shared" ref="O182:O206" si="13">$K$99&amp;"|"&amp;L182&amp;"$"&amp;$L$99&amp;"|"&amp;M182&amp;"$"&amp;$M$99&amp;"|"&amp;N182</f>
        <v>10001|3600$10004|300$10003|300</v>
      </c>
      <c r="P182" s="25">
        <f t="shared" ref="P182:P206" si="14">2500*E182+500</f>
        <v>3000</v>
      </c>
      <c r="Q182" s="25">
        <f t="shared" ref="Q182:Q206" si="15">45*E182+205</f>
        <v>250</v>
      </c>
      <c r="R182" s="25">
        <f t="shared" ref="R182:R206" si="16">42*E182+188</f>
        <v>230</v>
      </c>
      <c r="S182" s="25" t="str">
        <f t="shared" ref="S182:S206" si="17">$K$99&amp;"|"&amp;P182&amp;"$"&amp;$L$99&amp;"|"&amp;Q182&amp;"$"&amp;$M$99&amp;"|"&amp;R182</f>
        <v>10001|3000$10004|250$10003|230</v>
      </c>
    </row>
    <row r="183" ht="27" customHeight="1" spans="1:19">
      <c r="A183">
        <v>2</v>
      </c>
      <c r="B183">
        <f t="shared" ref="B183:B206" si="18">B182+76</f>
        <v>146</v>
      </c>
      <c r="C183">
        <f t="shared" ref="C183:C206" si="19">C182+77</f>
        <v>167</v>
      </c>
      <c r="D183" s="23"/>
      <c r="E183" s="23">
        <v>2</v>
      </c>
      <c r="F183" s="23">
        <v>123002</v>
      </c>
      <c r="G183" s="23">
        <v>123004</v>
      </c>
      <c r="H183" s="23">
        <v>123006</v>
      </c>
      <c r="I183" s="23">
        <v>123006</v>
      </c>
      <c r="J183" s="23" t="str">
        <f t="shared" si="12"/>
        <v>146|167</v>
      </c>
      <c r="K183" s="24" t="str">
        <f>$E$181&amp;"|"&amp;0&amp;"|"&amp;E183&amp;"$"&amp;$F$181&amp;"|"&amp;J183&amp;"$"&amp;$G$181&amp;"|"&amp;J183&amp;"$"&amp;$H$181&amp;"|"&amp;J183</f>
        <v>990002|0|2$121002|146|167$121004|146|167$121006|146|167</v>
      </c>
      <c r="L183" s="4">
        <v>7450</v>
      </c>
      <c r="M183" s="4">
        <v>367</v>
      </c>
      <c r="N183" s="4">
        <v>367</v>
      </c>
      <c r="O183" s="25" t="str">
        <f t="shared" si="13"/>
        <v>10001|7450$10004|367$10003|367</v>
      </c>
      <c r="P183" s="25">
        <f t="shared" si="14"/>
        <v>5500</v>
      </c>
      <c r="Q183" s="25">
        <f t="shared" si="15"/>
        <v>295</v>
      </c>
      <c r="R183" s="25">
        <f t="shared" si="16"/>
        <v>272</v>
      </c>
      <c r="S183" s="25" t="str">
        <f t="shared" si="17"/>
        <v>10001|5500$10004|295$10003|272</v>
      </c>
    </row>
    <row r="184" ht="27" customHeight="1" spans="1:19">
      <c r="A184">
        <v>3</v>
      </c>
      <c r="B184">
        <f t="shared" si="18"/>
        <v>222</v>
      </c>
      <c r="C184">
        <f t="shared" si="19"/>
        <v>244</v>
      </c>
      <c r="D184" s="23"/>
      <c r="E184" s="23">
        <v>3</v>
      </c>
      <c r="F184" s="23">
        <v>124002</v>
      </c>
      <c r="G184" s="23">
        <v>124004</v>
      </c>
      <c r="H184" s="23">
        <v>124006</v>
      </c>
      <c r="I184" s="23">
        <v>124006</v>
      </c>
      <c r="J184" s="23" t="str">
        <f t="shared" si="12"/>
        <v>222|244</v>
      </c>
      <c r="K184" s="24" t="str">
        <f>$E$181&amp;"|"&amp;0&amp;"|"&amp;E184&amp;"$"&amp;$F$181&amp;"|"&amp;J184&amp;"$"&amp;$G$181&amp;"|"&amp;J184&amp;"$"&amp;$H$181&amp;"|"&amp;J184</f>
        <v>990002|0|3$121002|222|244$121004|222|244$121006|222|244</v>
      </c>
      <c r="L184" s="4">
        <v>11299</v>
      </c>
      <c r="M184" s="4">
        <v>434</v>
      </c>
      <c r="N184" s="4">
        <v>434</v>
      </c>
      <c r="O184" s="25" t="str">
        <f t="shared" si="13"/>
        <v>10001|11299$10004|434$10003|434</v>
      </c>
      <c r="P184" s="25">
        <f t="shared" si="14"/>
        <v>8000</v>
      </c>
      <c r="Q184" s="25">
        <f t="shared" si="15"/>
        <v>340</v>
      </c>
      <c r="R184" s="25">
        <f t="shared" si="16"/>
        <v>314</v>
      </c>
      <c r="S184" s="25" t="str">
        <f t="shared" si="17"/>
        <v>10001|8000$10004|340$10003|314</v>
      </c>
    </row>
    <row r="185" ht="27" customHeight="1" spans="1:19">
      <c r="A185">
        <v>4</v>
      </c>
      <c r="B185">
        <f t="shared" si="18"/>
        <v>298</v>
      </c>
      <c r="C185">
        <f t="shared" si="19"/>
        <v>321</v>
      </c>
      <c r="D185" s="23"/>
      <c r="E185" s="23">
        <v>4</v>
      </c>
      <c r="F185" s="23">
        <v>125002</v>
      </c>
      <c r="G185" s="23">
        <v>125004</v>
      </c>
      <c r="H185" s="23">
        <v>125006</v>
      </c>
      <c r="I185" s="23">
        <v>125006</v>
      </c>
      <c r="J185" s="23" t="str">
        <f t="shared" si="12"/>
        <v>298|321</v>
      </c>
      <c r="K185" s="24" t="str">
        <f>$E$181&amp;"|"&amp;0&amp;"|"&amp;E185&amp;"$"&amp;$F$181&amp;"|"&amp;J185&amp;"$"&amp;$G$181&amp;"|"&amp;J185&amp;"$"&amp;$H$181&amp;"|"&amp;J185</f>
        <v>990002|0|4$121002|298|321$121004|298|321$121006|298|321</v>
      </c>
      <c r="L185" s="4">
        <v>15149</v>
      </c>
      <c r="M185" s="4">
        <v>502</v>
      </c>
      <c r="N185" s="4">
        <v>502</v>
      </c>
      <c r="O185" s="25" t="str">
        <f t="shared" si="13"/>
        <v>10001|15149$10004|502$10003|502</v>
      </c>
      <c r="P185" s="25">
        <f t="shared" si="14"/>
        <v>10500</v>
      </c>
      <c r="Q185" s="25">
        <f t="shared" si="15"/>
        <v>385</v>
      </c>
      <c r="R185" s="25">
        <f t="shared" si="16"/>
        <v>356</v>
      </c>
      <c r="S185" s="25" t="str">
        <f t="shared" si="17"/>
        <v>10001|10500$10004|385$10003|356</v>
      </c>
    </row>
    <row r="186" ht="27" customHeight="1" spans="1:19">
      <c r="A186">
        <v>5</v>
      </c>
      <c r="B186">
        <f t="shared" si="18"/>
        <v>374</v>
      </c>
      <c r="C186">
        <f t="shared" si="19"/>
        <v>398</v>
      </c>
      <c r="D186" s="23"/>
      <c r="E186" s="23">
        <v>5</v>
      </c>
      <c r="F186" s="23"/>
      <c r="G186" s="23"/>
      <c r="H186" s="23"/>
      <c r="J186" s="23" t="str">
        <f t="shared" si="12"/>
        <v>374|398</v>
      </c>
      <c r="K186" s="24" t="str">
        <f>$E$181&amp;"|"&amp;0&amp;"|"&amp;E186&amp;"$"&amp;$F$181&amp;"|"&amp;J186&amp;"$"&amp;$G$181&amp;"|"&amp;J186&amp;"$"&amp;$H$181&amp;"|"&amp;J186</f>
        <v>990002|0|5$121002|374|398$121004|374|398$121006|374|398</v>
      </c>
      <c r="L186" s="4">
        <v>18998</v>
      </c>
      <c r="M186" s="4">
        <v>569</v>
      </c>
      <c r="N186" s="4">
        <v>569</v>
      </c>
      <c r="O186" s="25" t="str">
        <f t="shared" si="13"/>
        <v>10001|18998$10004|569$10003|569</v>
      </c>
      <c r="P186" s="25">
        <f t="shared" si="14"/>
        <v>13000</v>
      </c>
      <c r="Q186" s="25">
        <f t="shared" si="15"/>
        <v>430</v>
      </c>
      <c r="R186" s="25">
        <f t="shared" si="16"/>
        <v>398</v>
      </c>
      <c r="S186" s="25" t="str">
        <f t="shared" si="17"/>
        <v>10001|13000$10004|430$10003|398</v>
      </c>
    </row>
    <row r="187" ht="34.5" customHeight="1" spans="1:19">
      <c r="A187">
        <v>6</v>
      </c>
      <c r="B187">
        <f t="shared" si="18"/>
        <v>450</v>
      </c>
      <c r="C187">
        <f t="shared" si="19"/>
        <v>475</v>
      </c>
      <c r="D187" s="26"/>
      <c r="E187" s="26">
        <v>6</v>
      </c>
      <c r="F187" s="26"/>
      <c r="G187" s="26"/>
      <c r="H187" s="26"/>
      <c r="J187" s="26" t="str">
        <f t="shared" si="12"/>
        <v>450|475</v>
      </c>
      <c r="K187" s="27" t="str">
        <f>$E$181&amp;"|"&amp;0&amp;"|"&amp;E187&amp;"$"&amp;$F$182&amp;"|"&amp;J187&amp;"$"&amp;$G$182&amp;"|"&amp;J187&amp;"$"&amp;$H$182&amp;"|"&amp;J187</f>
        <v>990002|0|6$122002|450|475$122004|450|475$122006|450|475</v>
      </c>
      <c r="L187" s="4">
        <v>22848</v>
      </c>
      <c r="M187" s="4">
        <v>636</v>
      </c>
      <c r="N187" s="4">
        <v>636</v>
      </c>
      <c r="O187" t="str">
        <f t="shared" si="13"/>
        <v>10001|22848$10004|636$10003|636</v>
      </c>
      <c r="P187">
        <f t="shared" si="14"/>
        <v>15500</v>
      </c>
      <c r="Q187">
        <f t="shared" si="15"/>
        <v>475</v>
      </c>
      <c r="R187">
        <f t="shared" si="16"/>
        <v>440</v>
      </c>
      <c r="S187" s="28" t="str">
        <f t="shared" si="17"/>
        <v>10001|15500$10004|475$10003|440</v>
      </c>
    </row>
    <row r="188" ht="27" customHeight="1" spans="1:19">
      <c r="A188">
        <v>7</v>
      </c>
      <c r="B188">
        <f t="shared" si="18"/>
        <v>526</v>
      </c>
      <c r="C188">
        <f t="shared" si="19"/>
        <v>552</v>
      </c>
      <c r="D188" s="26"/>
      <c r="E188" s="26">
        <v>7</v>
      </c>
      <c r="F188" s="26"/>
      <c r="G188" s="26"/>
      <c r="H188" s="26"/>
      <c r="J188" s="26" t="str">
        <f t="shared" si="12"/>
        <v>526|552</v>
      </c>
      <c r="K188" s="27" t="str">
        <f>$E$181&amp;"|"&amp;0&amp;"|"&amp;E188&amp;"$"&amp;$F$182&amp;"|"&amp;J188&amp;"$"&amp;$G$182&amp;"|"&amp;J188&amp;"$"&amp;$H$182&amp;"|"&amp;J188</f>
        <v>990002|0|7$122002|526|552$122004|526|552$122006|526|552</v>
      </c>
      <c r="L188" s="4">
        <v>26698</v>
      </c>
      <c r="M188" s="4">
        <v>703</v>
      </c>
      <c r="N188" s="4">
        <v>703</v>
      </c>
      <c r="O188" t="str">
        <f t="shared" si="13"/>
        <v>10001|26698$10004|703$10003|703</v>
      </c>
      <c r="P188">
        <f t="shared" si="14"/>
        <v>18000</v>
      </c>
      <c r="Q188">
        <f t="shared" si="15"/>
        <v>520</v>
      </c>
      <c r="R188">
        <f t="shared" si="16"/>
        <v>482</v>
      </c>
      <c r="S188" s="28" t="str">
        <f t="shared" si="17"/>
        <v>10001|18000$10004|520$10003|482</v>
      </c>
    </row>
    <row r="189" ht="27" customHeight="1" spans="1:19">
      <c r="A189">
        <v>8</v>
      </c>
      <c r="B189">
        <f t="shared" si="18"/>
        <v>602</v>
      </c>
      <c r="C189">
        <f t="shared" si="19"/>
        <v>629</v>
      </c>
      <c r="D189" s="26"/>
      <c r="E189" s="26">
        <v>8</v>
      </c>
      <c r="F189" s="26"/>
      <c r="G189" s="26"/>
      <c r="H189" s="26"/>
      <c r="J189" s="26" t="str">
        <f t="shared" si="12"/>
        <v>602|629</v>
      </c>
      <c r="K189" s="27" t="str">
        <f>$E$181&amp;"|"&amp;0&amp;"|"&amp;E189&amp;"$"&amp;$F$182&amp;"|"&amp;J189&amp;"$"&amp;$G$182&amp;"|"&amp;J189&amp;"$"&amp;$H$182&amp;"|"&amp;J189</f>
        <v>990002|0|8$122002|602|629$122004|602|629$122006|602|629</v>
      </c>
      <c r="L189" s="4">
        <v>30547</v>
      </c>
      <c r="M189" s="4">
        <v>770</v>
      </c>
      <c r="N189" s="4">
        <v>770</v>
      </c>
      <c r="O189" t="str">
        <f t="shared" si="13"/>
        <v>10001|30547$10004|770$10003|770</v>
      </c>
      <c r="P189">
        <f t="shared" si="14"/>
        <v>20500</v>
      </c>
      <c r="Q189">
        <f t="shared" si="15"/>
        <v>565</v>
      </c>
      <c r="R189">
        <f t="shared" si="16"/>
        <v>524</v>
      </c>
      <c r="S189" s="28" t="str">
        <f t="shared" si="17"/>
        <v>10001|20500$10004|565$10003|524</v>
      </c>
    </row>
    <row r="190" ht="27" customHeight="1" spans="1:19">
      <c r="A190">
        <v>9</v>
      </c>
      <c r="B190">
        <f t="shared" si="18"/>
        <v>678</v>
      </c>
      <c r="C190">
        <f t="shared" si="19"/>
        <v>706</v>
      </c>
      <c r="D190" s="26"/>
      <c r="E190" s="26">
        <v>9</v>
      </c>
      <c r="F190" s="26"/>
      <c r="G190" s="26"/>
      <c r="H190" s="26"/>
      <c r="J190" s="26" t="str">
        <f t="shared" si="12"/>
        <v>678|706</v>
      </c>
      <c r="K190" s="27" t="str">
        <f>$E$181&amp;"|"&amp;0&amp;"|"&amp;E190&amp;"$"&amp;$F$182&amp;"|"&amp;J190&amp;"$"&amp;$G$182&amp;"|"&amp;J190&amp;"$"&amp;$H$182&amp;"|"&amp;J190</f>
        <v>990002|0|9$122002|678|706$122004|678|706$122006|678|706</v>
      </c>
      <c r="L190" s="4">
        <v>34397</v>
      </c>
      <c r="M190" s="4">
        <v>838</v>
      </c>
      <c r="N190" s="4">
        <v>838</v>
      </c>
      <c r="O190" t="str">
        <f t="shared" si="13"/>
        <v>10001|34397$10004|838$10003|838</v>
      </c>
      <c r="P190">
        <f t="shared" si="14"/>
        <v>23000</v>
      </c>
      <c r="Q190">
        <f t="shared" si="15"/>
        <v>610</v>
      </c>
      <c r="R190">
        <f t="shared" si="16"/>
        <v>566</v>
      </c>
      <c r="S190" s="28" t="str">
        <f t="shared" si="17"/>
        <v>10001|23000$10004|610$10003|566</v>
      </c>
    </row>
    <row r="191" ht="27" customHeight="1" spans="1:19">
      <c r="A191">
        <v>10</v>
      </c>
      <c r="B191">
        <f t="shared" si="18"/>
        <v>754</v>
      </c>
      <c r="C191">
        <f t="shared" si="19"/>
        <v>783</v>
      </c>
      <c r="D191" s="26"/>
      <c r="E191" s="26">
        <v>10</v>
      </c>
      <c r="F191" s="26"/>
      <c r="G191" s="26"/>
      <c r="H191" s="26"/>
      <c r="J191" s="26" t="str">
        <f t="shared" si="12"/>
        <v>754|783</v>
      </c>
      <c r="K191" s="27" t="str">
        <f>$E$181&amp;"|"&amp;0&amp;"|"&amp;E191&amp;"$"&amp;$F$182&amp;"|"&amp;J191&amp;"$"&amp;$G$182&amp;"|"&amp;J191&amp;"$"&amp;$H$182&amp;"|"&amp;J191</f>
        <v>990002|0|10$122002|754|783$122004|754|783$122006|754|783</v>
      </c>
      <c r="L191" s="4">
        <v>38246</v>
      </c>
      <c r="M191" s="4">
        <v>905</v>
      </c>
      <c r="N191" s="4">
        <v>905</v>
      </c>
      <c r="O191" t="str">
        <f t="shared" si="13"/>
        <v>10001|38246$10004|905$10003|905</v>
      </c>
      <c r="P191">
        <f t="shared" si="14"/>
        <v>25500</v>
      </c>
      <c r="Q191">
        <f t="shared" si="15"/>
        <v>655</v>
      </c>
      <c r="R191">
        <f t="shared" si="16"/>
        <v>608</v>
      </c>
      <c r="S191" s="28" t="str">
        <f t="shared" si="17"/>
        <v>10001|25500$10004|655$10003|608</v>
      </c>
    </row>
    <row r="192" ht="27" customHeight="1" spans="1:19">
      <c r="A192">
        <v>11</v>
      </c>
      <c r="B192">
        <f t="shared" si="18"/>
        <v>830</v>
      </c>
      <c r="C192">
        <f t="shared" si="19"/>
        <v>860</v>
      </c>
      <c r="D192" s="23"/>
      <c r="E192" s="23">
        <v>11</v>
      </c>
      <c r="F192" s="23"/>
      <c r="G192" s="23"/>
      <c r="H192" s="23"/>
      <c r="J192" s="23" t="str">
        <f t="shared" si="12"/>
        <v>830|860</v>
      </c>
      <c r="K192" s="24" t="str">
        <f>$E$181&amp;"|"&amp;0&amp;"|"&amp;E192&amp;"$"&amp;$F$183&amp;"|"&amp;J192&amp;"$"&amp;$G$183&amp;"|"&amp;J192&amp;"$"&amp;$H$183&amp;"|"&amp;J192</f>
        <v>990002|0|11$123002|830|860$123004|830|860$123006|830|860</v>
      </c>
      <c r="L192" s="4">
        <v>49112</v>
      </c>
      <c r="M192" s="4">
        <v>1134</v>
      </c>
      <c r="N192" s="4">
        <v>1134</v>
      </c>
      <c r="O192" t="str">
        <f t="shared" si="13"/>
        <v>10001|49112$10004|1134$10003|1134</v>
      </c>
      <c r="P192">
        <f t="shared" si="14"/>
        <v>28000</v>
      </c>
      <c r="Q192">
        <f t="shared" si="15"/>
        <v>700</v>
      </c>
      <c r="R192">
        <f t="shared" si="16"/>
        <v>650</v>
      </c>
      <c r="S192" t="str">
        <f t="shared" si="17"/>
        <v>10001|28000$10004|700$10003|650</v>
      </c>
    </row>
    <row r="193" ht="27" customHeight="1" spans="1:19">
      <c r="A193">
        <v>12</v>
      </c>
      <c r="B193">
        <f t="shared" si="18"/>
        <v>906</v>
      </c>
      <c r="C193">
        <f t="shared" si="19"/>
        <v>937</v>
      </c>
      <c r="D193" s="23"/>
      <c r="E193" s="23">
        <v>12</v>
      </c>
      <c r="F193" s="23"/>
      <c r="G193" s="23"/>
      <c r="H193" s="23"/>
      <c r="J193" s="23" t="str">
        <f t="shared" si="12"/>
        <v>906|937</v>
      </c>
      <c r="K193" s="24" t="str">
        <f>$E$181&amp;"|"&amp;0&amp;"|"&amp;E193&amp;"$"&amp;$F$183&amp;"|"&amp;J193&amp;"$"&amp;$G$183&amp;"|"&amp;J193&amp;"$"&amp;$H$183&amp;"|"&amp;J193</f>
        <v>990002|0|12$123002|906|937$123004|906|937$123006|906|937</v>
      </c>
      <c r="L193" s="4">
        <v>53603</v>
      </c>
      <c r="M193" s="4">
        <v>1212</v>
      </c>
      <c r="N193" s="4">
        <v>1212</v>
      </c>
      <c r="O193" t="str">
        <f t="shared" si="13"/>
        <v>10001|53603$10004|1212$10003|1212</v>
      </c>
      <c r="P193">
        <f t="shared" si="14"/>
        <v>30500</v>
      </c>
      <c r="Q193">
        <f t="shared" si="15"/>
        <v>745</v>
      </c>
      <c r="R193">
        <f t="shared" si="16"/>
        <v>692</v>
      </c>
      <c r="S193" t="str">
        <f t="shared" si="17"/>
        <v>10001|30500$10004|745$10003|692</v>
      </c>
    </row>
    <row r="194" ht="27" customHeight="1" spans="1:19">
      <c r="A194">
        <v>13</v>
      </c>
      <c r="B194">
        <f t="shared" si="18"/>
        <v>982</v>
      </c>
      <c r="C194">
        <f t="shared" si="19"/>
        <v>1014</v>
      </c>
      <c r="D194" s="23"/>
      <c r="E194" s="23">
        <v>13</v>
      </c>
      <c r="F194" s="23"/>
      <c r="G194" s="23"/>
      <c r="H194" s="23"/>
      <c r="J194" s="23" t="str">
        <f t="shared" si="12"/>
        <v>982|1014</v>
      </c>
      <c r="K194" s="24" t="str">
        <f>$E$181&amp;"|"&amp;0&amp;"|"&amp;E194&amp;"$"&amp;$F$183&amp;"|"&amp;J194&amp;"$"&amp;$G$183&amp;"|"&amp;J194&amp;"$"&amp;$H$183&amp;"|"&amp;J194</f>
        <v>990002|0|13$123002|982|1014$123004|982|1014$123006|982|1014</v>
      </c>
      <c r="L194" s="4">
        <v>58094</v>
      </c>
      <c r="M194" s="4">
        <v>1291</v>
      </c>
      <c r="N194" s="4">
        <v>1291</v>
      </c>
      <c r="O194" t="str">
        <f t="shared" si="13"/>
        <v>10001|58094$10004|1291$10003|1291</v>
      </c>
      <c r="P194">
        <f t="shared" si="14"/>
        <v>33000</v>
      </c>
      <c r="Q194">
        <f t="shared" si="15"/>
        <v>790</v>
      </c>
      <c r="R194">
        <f t="shared" si="16"/>
        <v>734</v>
      </c>
      <c r="S194" t="str">
        <f t="shared" si="17"/>
        <v>10001|33000$10004|790$10003|734</v>
      </c>
    </row>
    <row r="195" ht="27" customHeight="1" spans="1:19">
      <c r="A195">
        <v>14</v>
      </c>
      <c r="B195">
        <f t="shared" si="18"/>
        <v>1058</v>
      </c>
      <c r="C195">
        <f t="shared" si="19"/>
        <v>1091</v>
      </c>
      <c r="D195" s="23"/>
      <c r="E195" s="23">
        <v>14</v>
      </c>
      <c r="F195" s="23"/>
      <c r="G195" s="23"/>
      <c r="H195" s="23"/>
      <c r="J195" s="23" t="str">
        <f t="shared" si="12"/>
        <v>1058|1091</v>
      </c>
      <c r="K195" s="24" t="str">
        <f>$E$181&amp;"|"&amp;0&amp;"|"&amp;E195&amp;"$"&amp;$F$183&amp;"|"&amp;J195&amp;"$"&amp;$G$183&amp;"|"&amp;J195&amp;"$"&amp;$H$183&amp;"|"&amp;J195</f>
        <v>990002|0|14$123002|1058|1091$123004|1058|1091$123006|1058|1091</v>
      </c>
      <c r="L195" s="4">
        <v>62586</v>
      </c>
      <c r="M195" s="4">
        <v>1369</v>
      </c>
      <c r="N195" s="4">
        <v>1369</v>
      </c>
      <c r="O195" t="str">
        <f t="shared" si="13"/>
        <v>10001|62586$10004|1369$10003|1369</v>
      </c>
      <c r="P195">
        <f t="shared" si="14"/>
        <v>35500</v>
      </c>
      <c r="Q195">
        <f t="shared" si="15"/>
        <v>835</v>
      </c>
      <c r="R195">
        <f t="shared" si="16"/>
        <v>776</v>
      </c>
      <c r="S195" t="str">
        <f t="shared" si="17"/>
        <v>10001|35500$10004|835$10003|776</v>
      </c>
    </row>
    <row r="196" ht="27" customHeight="1" spans="1:19">
      <c r="A196">
        <v>15</v>
      </c>
      <c r="B196">
        <f t="shared" si="18"/>
        <v>1134</v>
      </c>
      <c r="C196">
        <f t="shared" si="19"/>
        <v>1168</v>
      </c>
      <c r="D196" s="23"/>
      <c r="E196" s="23">
        <v>15</v>
      </c>
      <c r="F196" s="23"/>
      <c r="G196" s="23"/>
      <c r="H196" s="23"/>
      <c r="J196" s="23" t="str">
        <f t="shared" si="12"/>
        <v>1134|1168</v>
      </c>
      <c r="K196" s="24" t="str">
        <f>$E$181&amp;"|"&amp;0&amp;"|"&amp;E196&amp;"$"&amp;$F$183&amp;"|"&amp;J196&amp;"$"&amp;$G$183&amp;"|"&amp;J196&amp;"$"&amp;$H$183&amp;"|"&amp;J196</f>
        <v>990002|0|15$123002|1134|1168$123004|1134|1168$123006|1134|1168</v>
      </c>
      <c r="L196" s="4">
        <v>67077</v>
      </c>
      <c r="M196" s="4">
        <v>1448</v>
      </c>
      <c r="N196" s="4">
        <v>1448</v>
      </c>
      <c r="O196" t="str">
        <f t="shared" si="13"/>
        <v>10001|67077$10004|1448$10003|1448</v>
      </c>
      <c r="P196">
        <f t="shared" si="14"/>
        <v>38000</v>
      </c>
      <c r="Q196">
        <f t="shared" si="15"/>
        <v>880</v>
      </c>
      <c r="R196">
        <f t="shared" si="16"/>
        <v>818</v>
      </c>
      <c r="S196" t="str">
        <f t="shared" si="17"/>
        <v>10001|38000$10004|880$10003|818</v>
      </c>
    </row>
    <row r="197" ht="27" customHeight="1" spans="1:19">
      <c r="A197">
        <v>16</v>
      </c>
      <c r="B197">
        <f t="shared" si="18"/>
        <v>1210</v>
      </c>
      <c r="C197">
        <f t="shared" si="19"/>
        <v>1245</v>
      </c>
      <c r="D197" s="6"/>
      <c r="E197" s="6">
        <v>16</v>
      </c>
      <c r="F197" s="6"/>
      <c r="G197" s="6"/>
      <c r="H197" s="6"/>
      <c r="J197" s="6" t="str">
        <f t="shared" si="12"/>
        <v>1210|1245</v>
      </c>
      <c r="K197" s="18" t="str">
        <f>$E$181&amp;"|"&amp;0&amp;"|"&amp;E197&amp;"$"&amp;$F$184&amp;"|"&amp;J197&amp;"$"&amp;$G$184&amp;"|"&amp;J197&amp;"$"&amp;$H$184&amp;"|"&amp;J197</f>
        <v>990002|0|16$124002|1210|1245$124004|1210|1245$124006|1210|1245</v>
      </c>
      <c r="L197" s="12">
        <v>102240</v>
      </c>
      <c r="M197" s="12">
        <v>2180</v>
      </c>
      <c r="N197" s="12">
        <v>2180</v>
      </c>
      <c r="O197" t="str">
        <f t="shared" si="13"/>
        <v>10001|102240$10004|2180$10003|2180</v>
      </c>
      <c r="P197">
        <f t="shared" si="14"/>
        <v>40500</v>
      </c>
      <c r="Q197">
        <f t="shared" si="15"/>
        <v>925</v>
      </c>
      <c r="R197">
        <f t="shared" si="16"/>
        <v>860</v>
      </c>
      <c r="S197" t="str">
        <f t="shared" si="17"/>
        <v>10001|40500$10004|925$10003|860</v>
      </c>
    </row>
    <row r="198" ht="27" customHeight="1" spans="1:19">
      <c r="A198">
        <v>17</v>
      </c>
      <c r="B198">
        <f t="shared" si="18"/>
        <v>1286</v>
      </c>
      <c r="C198">
        <f t="shared" si="19"/>
        <v>1322</v>
      </c>
      <c r="D198" s="6"/>
      <c r="E198" s="6">
        <v>17</v>
      </c>
      <c r="F198" s="6"/>
      <c r="G198" s="6"/>
      <c r="H198" s="6"/>
      <c r="J198" s="6" t="str">
        <f t="shared" si="12"/>
        <v>1286|1322</v>
      </c>
      <c r="K198" s="18" t="str">
        <f>$E$181&amp;"|"&amp;0&amp;"|"&amp;E198&amp;"$"&amp;$F$184&amp;"|"&amp;J198&amp;"$"&amp;$G$184&amp;"|"&amp;J198&amp;"$"&amp;$H$184&amp;"|"&amp;J198</f>
        <v>990002|0|17$124002|1286|1322$124004|1286|1322$124006|1286|1322</v>
      </c>
      <c r="L198" s="12">
        <v>108656</v>
      </c>
      <c r="M198" s="12">
        <v>2292</v>
      </c>
      <c r="N198" s="12">
        <v>2292</v>
      </c>
      <c r="O198" t="str">
        <f t="shared" si="13"/>
        <v>10001|108656$10004|2292$10003|2292</v>
      </c>
      <c r="P198">
        <f t="shared" si="14"/>
        <v>43000</v>
      </c>
      <c r="Q198">
        <f t="shared" si="15"/>
        <v>970</v>
      </c>
      <c r="R198">
        <f t="shared" si="16"/>
        <v>902</v>
      </c>
      <c r="S198" t="str">
        <f t="shared" si="17"/>
        <v>10001|43000$10004|970$10003|902</v>
      </c>
    </row>
    <row r="199" ht="27" customHeight="1" spans="1:19">
      <c r="A199">
        <v>18</v>
      </c>
      <c r="B199">
        <f t="shared" si="18"/>
        <v>1362</v>
      </c>
      <c r="C199">
        <f t="shared" si="19"/>
        <v>1399</v>
      </c>
      <c r="D199" s="6"/>
      <c r="E199" s="6">
        <v>18</v>
      </c>
      <c r="F199" s="6"/>
      <c r="G199" s="6"/>
      <c r="H199" s="6"/>
      <c r="J199" s="6" t="str">
        <f t="shared" si="12"/>
        <v>1362|1399</v>
      </c>
      <c r="K199" s="18" t="str">
        <f>$E$181&amp;"|"&amp;0&amp;"|"&amp;E199&amp;"$"&amp;$F$184&amp;"|"&amp;J199&amp;"$"&amp;$G$184&amp;"|"&amp;J199&amp;"$"&amp;$H$184&amp;"|"&amp;J199</f>
        <v>990002|0|18$124002|1362|1399$124004|1362|1399$124006|1362|1399</v>
      </c>
      <c r="L199" s="12">
        <v>115072</v>
      </c>
      <c r="M199" s="12">
        <v>2404</v>
      </c>
      <c r="N199" s="12">
        <v>2404</v>
      </c>
      <c r="O199" t="str">
        <f t="shared" si="13"/>
        <v>10001|115072$10004|2404$10003|2404</v>
      </c>
      <c r="P199">
        <f t="shared" si="14"/>
        <v>45500</v>
      </c>
      <c r="Q199">
        <f t="shared" si="15"/>
        <v>1015</v>
      </c>
      <c r="R199">
        <f t="shared" si="16"/>
        <v>944</v>
      </c>
      <c r="S199" t="str">
        <f t="shared" si="17"/>
        <v>10001|45500$10004|1015$10003|944</v>
      </c>
    </row>
    <row r="200" ht="27" customHeight="1" spans="1:19">
      <c r="A200">
        <v>19</v>
      </c>
      <c r="B200">
        <f t="shared" si="18"/>
        <v>1438</v>
      </c>
      <c r="C200">
        <f t="shared" si="19"/>
        <v>1476</v>
      </c>
      <c r="D200" s="6"/>
      <c r="E200" s="6">
        <v>19</v>
      </c>
      <c r="F200" s="6"/>
      <c r="G200" s="6"/>
      <c r="H200" s="6"/>
      <c r="J200" s="6" t="str">
        <f t="shared" si="12"/>
        <v>1438|1476</v>
      </c>
      <c r="K200" s="18" t="str">
        <f>$E$181&amp;"|"&amp;0&amp;"|"&amp;E200&amp;"$"&amp;$F$184&amp;"|"&amp;J200&amp;"$"&amp;$G$184&amp;"|"&amp;J200&amp;"$"&amp;$H$184&amp;"|"&amp;J200</f>
        <v>990002|0|19$124002|1438|1476$124004|1438|1476$124006|1438|1476</v>
      </c>
      <c r="L200" s="12">
        <v>121488</v>
      </c>
      <c r="M200" s="12">
        <v>2516</v>
      </c>
      <c r="N200" s="12">
        <v>2516</v>
      </c>
      <c r="O200" t="str">
        <f t="shared" si="13"/>
        <v>10001|121488$10004|2516$10003|2516</v>
      </c>
      <c r="P200">
        <f t="shared" si="14"/>
        <v>48000</v>
      </c>
      <c r="Q200">
        <f t="shared" si="15"/>
        <v>1060</v>
      </c>
      <c r="R200">
        <f t="shared" si="16"/>
        <v>986</v>
      </c>
      <c r="S200" t="str">
        <f t="shared" si="17"/>
        <v>10001|48000$10004|1060$10003|986</v>
      </c>
    </row>
    <row r="201" ht="27" customHeight="1" spans="1:19">
      <c r="A201">
        <v>20</v>
      </c>
      <c r="B201">
        <f t="shared" si="18"/>
        <v>1514</v>
      </c>
      <c r="C201">
        <f t="shared" si="19"/>
        <v>1553</v>
      </c>
      <c r="D201" s="6"/>
      <c r="E201" s="6">
        <v>20</v>
      </c>
      <c r="F201" s="6"/>
      <c r="G201" s="6"/>
      <c r="H201" s="6"/>
      <c r="J201" s="6" t="str">
        <f t="shared" si="12"/>
        <v>1514|1553</v>
      </c>
      <c r="K201" s="18" t="str">
        <f>$E$181&amp;"|"&amp;0&amp;"|"&amp;E201&amp;"$"&amp;$F$184&amp;"|"&amp;J201&amp;"$"&amp;$G$184&amp;"|"&amp;J201&amp;"$"&amp;$H$184&amp;"|"&amp;J201</f>
        <v>990002|0|20$124002|1514|1553$124004|1514|1553$124006|1514|1553</v>
      </c>
      <c r="L201" s="12">
        <v>127904</v>
      </c>
      <c r="M201" s="12">
        <v>2628</v>
      </c>
      <c r="N201" s="12">
        <v>2628</v>
      </c>
      <c r="O201" t="str">
        <f t="shared" si="13"/>
        <v>10001|127904$10004|2628$10003|2628</v>
      </c>
      <c r="P201">
        <f t="shared" si="14"/>
        <v>50500</v>
      </c>
      <c r="Q201">
        <f t="shared" si="15"/>
        <v>1105</v>
      </c>
      <c r="R201">
        <f t="shared" si="16"/>
        <v>1028</v>
      </c>
      <c r="S201" t="str">
        <f t="shared" si="17"/>
        <v>10001|50500$10004|1105$10003|1028</v>
      </c>
    </row>
    <row r="202" ht="27" customHeight="1" spans="1:19">
      <c r="A202">
        <v>21</v>
      </c>
      <c r="B202">
        <f t="shared" si="18"/>
        <v>1590</v>
      </c>
      <c r="C202">
        <f t="shared" si="19"/>
        <v>1630</v>
      </c>
      <c r="D202" s="14"/>
      <c r="E202" s="14">
        <v>21</v>
      </c>
      <c r="F202" s="14"/>
      <c r="G202" s="14"/>
      <c r="H202" s="14"/>
      <c r="J202" s="14" t="str">
        <f t="shared" si="12"/>
        <v>1590|1630</v>
      </c>
      <c r="K202" s="19" t="str">
        <f>$E$181&amp;"|"&amp;0&amp;"|"&amp;E202&amp;"$"&amp;$F$185&amp;"|"&amp;J202&amp;"$"&amp;$G$185&amp;"|"&amp;J202&amp;"$"&amp;$H$185&amp;"|"&amp;J202</f>
        <v>990002|0|21$125002|1590|1630$125004|1590|1630$125006|1590|1630</v>
      </c>
      <c r="L202" s="12">
        <v>134320</v>
      </c>
      <c r="M202" s="12">
        <v>2740</v>
      </c>
      <c r="N202" s="12">
        <v>2740</v>
      </c>
      <c r="O202" t="str">
        <f t="shared" si="13"/>
        <v>10001|134320$10004|2740$10003|2740</v>
      </c>
      <c r="P202">
        <f t="shared" si="14"/>
        <v>53000</v>
      </c>
      <c r="Q202">
        <f t="shared" si="15"/>
        <v>1150</v>
      </c>
      <c r="R202">
        <f t="shared" si="16"/>
        <v>1070</v>
      </c>
      <c r="S202" t="str">
        <f t="shared" si="17"/>
        <v>10001|53000$10004|1150$10003|1070</v>
      </c>
    </row>
    <row r="203" ht="27" customHeight="1" spans="1:19">
      <c r="A203">
        <v>22</v>
      </c>
      <c r="B203">
        <f t="shared" si="18"/>
        <v>1666</v>
      </c>
      <c r="C203">
        <f t="shared" si="19"/>
        <v>1707</v>
      </c>
      <c r="D203" s="14"/>
      <c r="E203" s="14">
        <v>22</v>
      </c>
      <c r="F203" s="14"/>
      <c r="G203" s="14"/>
      <c r="H203" s="14"/>
      <c r="J203" s="14" t="str">
        <f t="shared" si="12"/>
        <v>1666|1707</v>
      </c>
      <c r="K203" s="19" t="str">
        <f>$E$181&amp;"|"&amp;0&amp;"|"&amp;E203&amp;"$"&amp;$F$185&amp;"|"&amp;J203&amp;"$"&amp;$G$185&amp;"|"&amp;J203&amp;"$"&amp;$H$185&amp;"|"&amp;J203</f>
        <v>990002|0|22$125002|1666|1707$125004|1666|1707$125006|1666|1707</v>
      </c>
      <c r="L203" s="12">
        <v>140736</v>
      </c>
      <c r="M203" s="12">
        <v>2852</v>
      </c>
      <c r="N203" s="12">
        <v>2852</v>
      </c>
      <c r="O203" t="str">
        <f t="shared" si="13"/>
        <v>10001|140736$10004|2852$10003|2852</v>
      </c>
      <c r="P203">
        <f t="shared" si="14"/>
        <v>55500</v>
      </c>
      <c r="Q203">
        <f t="shared" si="15"/>
        <v>1195</v>
      </c>
      <c r="R203">
        <f t="shared" si="16"/>
        <v>1112</v>
      </c>
      <c r="S203" t="str">
        <f t="shared" si="17"/>
        <v>10001|55500$10004|1195$10003|1112</v>
      </c>
    </row>
    <row r="204" ht="27" customHeight="1" spans="1:19">
      <c r="A204">
        <v>23</v>
      </c>
      <c r="B204">
        <f t="shared" si="18"/>
        <v>1742</v>
      </c>
      <c r="C204">
        <f t="shared" si="19"/>
        <v>1784</v>
      </c>
      <c r="D204" s="14"/>
      <c r="E204" s="14">
        <v>23</v>
      </c>
      <c r="F204" s="14"/>
      <c r="G204" s="14"/>
      <c r="H204" s="14"/>
      <c r="J204" s="14" t="str">
        <f t="shared" si="12"/>
        <v>1742|1784</v>
      </c>
      <c r="K204" s="19" t="str">
        <f>$E$181&amp;"|"&amp;0&amp;"|"&amp;E204&amp;"$"&amp;$F$185&amp;"|"&amp;J204&amp;"$"&amp;$G$185&amp;"|"&amp;J204&amp;"$"&amp;$H$185&amp;"|"&amp;J204</f>
        <v>990002|0|23$125002|1742|1784$125004|1742|1784$125006|1742|1784</v>
      </c>
      <c r="L204" s="12">
        <v>147152</v>
      </c>
      <c r="M204" s="12">
        <v>2964</v>
      </c>
      <c r="N204" s="12">
        <v>2964</v>
      </c>
      <c r="O204" t="str">
        <f t="shared" si="13"/>
        <v>10001|147152$10004|2964$10003|2964</v>
      </c>
      <c r="P204">
        <f t="shared" si="14"/>
        <v>58000</v>
      </c>
      <c r="Q204">
        <f t="shared" si="15"/>
        <v>1240</v>
      </c>
      <c r="R204">
        <f t="shared" si="16"/>
        <v>1154</v>
      </c>
      <c r="S204" t="str">
        <f t="shared" si="17"/>
        <v>10001|58000$10004|1240$10003|1154</v>
      </c>
    </row>
    <row r="205" ht="27" customHeight="1" spans="1:19">
      <c r="A205">
        <v>24</v>
      </c>
      <c r="B205">
        <f t="shared" si="18"/>
        <v>1818</v>
      </c>
      <c r="C205">
        <f t="shared" si="19"/>
        <v>1861</v>
      </c>
      <c r="D205" s="14"/>
      <c r="E205" s="14">
        <v>24</v>
      </c>
      <c r="F205" s="14"/>
      <c r="G205" s="14"/>
      <c r="H205" s="14"/>
      <c r="J205" s="14" t="str">
        <f t="shared" si="12"/>
        <v>1818|1861</v>
      </c>
      <c r="K205" s="19" t="str">
        <f>$E$181&amp;"|"&amp;0&amp;"|"&amp;E205&amp;"$"&amp;$F$185&amp;"|"&amp;J205&amp;"$"&amp;$G$185&amp;"|"&amp;J205&amp;"$"&amp;$H$185&amp;"|"&amp;J205</f>
        <v>990002|0|24$125002|1818|1861$125004|1818|1861$125006|1818|1861</v>
      </c>
      <c r="L205" s="12">
        <v>153568</v>
      </c>
      <c r="M205" s="12">
        <v>3076</v>
      </c>
      <c r="N205" s="12">
        <v>3076</v>
      </c>
      <c r="O205" t="str">
        <f t="shared" si="13"/>
        <v>10001|153568$10004|3076$10003|3076</v>
      </c>
      <c r="P205">
        <f t="shared" si="14"/>
        <v>60500</v>
      </c>
      <c r="Q205">
        <f t="shared" si="15"/>
        <v>1285</v>
      </c>
      <c r="R205">
        <f t="shared" si="16"/>
        <v>1196</v>
      </c>
      <c r="S205" t="str">
        <f t="shared" si="17"/>
        <v>10001|60500$10004|1285$10003|1196</v>
      </c>
    </row>
    <row r="206" ht="27" customHeight="1" spans="1:19">
      <c r="A206">
        <v>25</v>
      </c>
      <c r="B206">
        <f t="shared" si="18"/>
        <v>1894</v>
      </c>
      <c r="C206">
        <f t="shared" si="19"/>
        <v>1938</v>
      </c>
      <c r="D206" s="14"/>
      <c r="E206" s="14">
        <v>25</v>
      </c>
      <c r="F206" s="14"/>
      <c r="G206" s="14"/>
      <c r="H206" s="14"/>
      <c r="J206" s="14" t="str">
        <f t="shared" si="12"/>
        <v>1894|1938</v>
      </c>
      <c r="K206" s="19" t="str">
        <f>$E$181&amp;"|"&amp;0&amp;"|"&amp;E206&amp;"$"&amp;$F$185&amp;"|"&amp;J206&amp;"$"&amp;$G$185&amp;"|"&amp;J206&amp;"$"&amp;$H$185&amp;"|"&amp;J206</f>
        <v>990002|0|25$125002|1894|1938$125004|1894|1938$125006|1894|1938</v>
      </c>
      <c r="L206" s="12">
        <v>159984</v>
      </c>
      <c r="M206" s="12">
        <v>3188</v>
      </c>
      <c r="N206" s="12">
        <v>3188</v>
      </c>
      <c r="O206" t="str">
        <f t="shared" si="13"/>
        <v>10001|159984$10004|3188$10003|3188</v>
      </c>
      <c r="P206">
        <f t="shared" si="14"/>
        <v>63000</v>
      </c>
      <c r="Q206">
        <f t="shared" si="15"/>
        <v>1330</v>
      </c>
      <c r="R206">
        <f t="shared" si="16"/>
        <v>1238</v>
      </c>
      <c r="S206" t="str">
        <f t="shared" si="17"/>
        <v>10001|63000$10004|1330$10003|1238</v>
      </c>
    </row>
    <row r="207" ht="54" customHeight="1" spans="1:19">
      <c r="F207" s="21" t="s">
        <v>342</v>
      </c>
    </row>
    <row r="208" spans="1:19">
      <c r="D208" t="s">
        <v>343</v>
      </c>
      <c r="E208" s="22" t="s">
        <v>344</v>
      </c>
      <c r="F208">
        <v>121003</v>
      </c>
      <c r="G208">
        <v>121005</v>
      </c>
      <c r="H208">
        <v>121007</v>
      </c>
      <c r="I208">
        <v>121008</v>
      </c>
    </row>
    <row r="209" spans="1:11">
      <c r="A209">
        <v>1</v>
      </c>
      <c r="B209">
        <v>70</v>
      </c>
      <c r="C209">
        <v>90</v>
      </c>
      <c r="D209" s="23"/>
      <c r="E209" s="23">
        <v>1</v>
      </c>
      <c r="F209" s="23">
        <v>122003</v>
      </c>
      <c r="G209" s="23">
        <v>122005</v>
      </c>
      <c r="H209" s="23">
        <v>122007</v>
      </c>
      <c r="I209">
        <v>122008</v>
      </c>
      <c r="J209" s="23" t="str">
        <f t="shared" ref="J209:J233" si="20">B209&amp;"|"&amp;C209</f>
        <v>70|90</v>
      </c>
      <c r="K209" s="24" t="str">
        <f>$E$208&amp;"|"&amp;0&amp;"|"&amp;E209&amp;"$"&amp;$F$208&amp;"|"&amp;J209&amp;"$"&amp;$G$208&amp;"|"&amp;J209&amp;"$"&amp;$H$208&amp;"|"&amp;J209</f>
        <v>990003|0|1$121003|70|90$121005|70|90$121007|70|90</v>
      </c>
    </row>
    <row r="210" ht="27" customHeight="1" spans="1:11">
      <c r="A210">
        <v>2</v>
      </c>
      <c r="B210">
        <f t="shared" ref="B210:B233" si="21">B209+76</f>
        <v>146</v>
      </c>
      <c r="C210">
        <f t="shared" ref="C210:C233" si="22">C209+77</f>
        <v>167</v>
      </c>
      <c r="D210" s="23"/>
      <c r="E210" s="23">
        <v>2</v>
      </c>
      <c r="F210" s="23">
        <v>123003</v>
      </c>
      <c r="G210" s="23">
        <v>123005</v>
      </c>
      <c r="H210" s="23">
        <v>123007</v>
      </c>
      <c r="I210">
        <v>123008</v>
      </c>
      <c r="J210" s="23" t="str">
        <f t="shared" si="20"/>
        <v>146|167</v>
      </c>
      <c r="K210" s="24" t="str">
        <f>$E$208&amp;"|"&amp;0&amp;"|"&amp;E210&amp;"$"&amp;$F$208&amp;"|"&amp;J210&amp;"$"&amp;$G$208&amp;"|"&amp;J210&amp;"$"&amp;$H$208&amp;"|"&amp;J210</f>
        <v>990003|0|2$121003|146|167$121005|146|167$121007|146|167</v>
      </c>
    </row>
    <row r="211" ht="27" customHeight="1" spans="1:11">
      <c r="A211">
        <v>3</v>
      </c>
      <c r="B211">
        <f t="shared" si="21"/>
        <v>222</v>
      </c>
      <c r="C211">
        <f t="shared" si="22"/>
        <v>244</v>
      </c>
      <c r="D211" s="23"/>
      <c r="E211" s="23">
        <v>3</v>
      </c>
      <c r="F211" s="23">
        <v>124003</v>
      </c>
      <c r="G211" s="23">
        <v>124005</v>
      </c>
      <c r="H211" s="23">
        <v>124007</v>
      </c>
      <c r="I211">
        <v>124008</v>
      </c>
      <c r="J211" s="23" t="str">
        <f t="shared" si="20"/>
        <v>222|244</v>
      </c>
      <c r="K211" s="24" t="str">
        <f>$E$208&amp;"|"&amp;0&amp;"|"&amp;E211&amp;"$"&amp;$F$208&amp;"|"&amp;J211&amp;"$"&amp;$G$208&amp;"|"&amp;J211&amp;"$"&amp;$H$208&amp;"|"&amp;J211</f>
        <v>990003|0|3$121003|222|244$121005|222|244$121007|222|244</v>
      </c>
    </row>
    <row r="212" ht="27" customHeight="1" spans="1:11">
      <c r="A212">
        <v>4</v>
      </c>
      <c r="B212">
        <f t="shared" si="21"/>
        <v>298</v>
      </c>
      <c r="C212">
        <f t="shared" si="22"/>
        <v>321</v>
      </c>
      <c r="D212" s="23"/>
      <c r="E212" s="23">
        <v>4</v>
      </c>
      <c r="F212" s="23">
        <v>125003</v>
      </c>
      <c r="G212" s="23">
        <v>125005</v>
      </c>
      <c r="H212" s="23">
        <v>125007</v>
      </c>
      <c r="I212">
        <v>125008</v>
      </c>
      <c r="J212" s="23" t="str">
        <f t="shared" si="20"/>
        <v>298|321</v>
      </c>
      <c r="K212" s="24" t="str">
        <f>$E$208&amp;"|"&amp;0&amp;"|"&amp;E212&amp;"$"&amp;$F$208&amp;"|"&amp;J212&amp;"$"&amp;$G$208&amp;"|"&amp;J212&amp;"$"&amp;$H$208&amp;"|"&amp;J212</f>
        <v>990003|0|4$121003|298|321$121005|298|321$121007|298|321</v>
      </c>
    </row>
    <row r="213" ht="27" customHeight="1" spans="1:11">
      <c r="A213">
        <v>5</v>
      </c>
      <c r="B213">
        <f t="shared" si="21"/>
        <v>374</v>
      </c>
      <c r="C213">
        <f t="shared" si="22"/>
        <v>398</v>
      </c>
      <c r="D213" s="23"/>
      <c r="E213" s="23">
        <v>5</v>
      </c>
      <c r="F213" s="23"/>
      <c r="G213" s="23"/>
      <c r="H213" s="23"/>
      <c r="J213" s="23" t="str">
        <f t="shared" si="20"/>
        <v>374|398</v>
      </c>
      <c r="K213" s="24" t="str">
        <f>$E$208&amp;"|"&amp;0&amp;"|"&amp;E213&amp;"$"&amp;$F$208&amp;"|"&amp;J213&amp;"$"&amp;$G$208&amp;"|"&amp;J213&amp;"$"&amp;$H$208&amp;"|"&amp;J213</f>
        <v>990003|0|5$121003|374|398$121005|374|398$121007|374|398</v>
      </c>
    </row>
    <row r="214" ht="27" customHeight="1" spans="1:11">
      <c r="A214">
        <v>6</v>
      </c>
      <c r="B214">
        <f t="shared" si="21"/>
        <v>450</v>
      </c>
      <c r="C214">
        <f t="shared" si="22"/>
        <v>475</v>
      </c>
      <c r="D214" s="26"/>
      <c r="E214" s="26">
        <v>6</v>
      </c>
      <c r="F214" s="26"/>
      <c r="G214" s="26"/>
      <c r="H214" s="26"/>
      <c r="J214" s="26" t="str">
        <f t="shared" si="20"/>
        <v>450|475</v>
      </c>
      <c r="K214" s="27" t="str">
        <f>$E$208&amp;"|"&amp;0&amp;"|"&amp;E214&amp;"$"&amp;$F$209&amp;"|"&amp;J214&amp;"$"&amp;$G$209&amp;"|"&amp;J214&amp;"$"&amp;$H$209&amp;"|"&amp;J214</f>
        <v>990003|0|6$122003|450|475$122005|450|475$122007|450|475</v>
      </c>
    </row>
    <row r="215" ht="27" customHeight="1" spans="1:11">
      <c r="A215">
        <v>7</v>
      </c>
      <c r="B215">
        <f t="shared" si="21"/>
        <v>526</v>
      </c>
      <c r="C215">
        <f t="shared" si="22"/>
        <v>552</v>
      </c>
      <c r="D215" s="26"/>
      <c r="E215" s="26">
        <v>7</v>
      </c>
      <c r="F215" s="26"/>
      <c r="G215" s="26"/>
      <c r="H215" s="26"/>
      <c r="J215" s="26" t="str">
        <f t="shared" si="20"/>
        <v>526|552</v>
      </c>
      <c r="K215" s="27" t="str">
        <f>$E$208&amp;"|"&amp;0&amp;"|"&amp;E215&amp;"$"&amp;$F$209&amp;"|"&amp;J215&amp;"$"&amp;$G$209&amp;"|"&amp;J215&amp;"$"&amp;$H$209&amp;"|"&amp;J215</f>
        <v>990003|0|7$122003|526|552$122005|526|552$122007|526|552</v>
      </c>
    </row>
    <row r="216" ht="27" customHeight="1" spans="1:11">
      <c r="A216">
        <v>8</v>
      </c>
      <c r="B216">
        <f t="shared" si="21"/>
        <v>602</v>
      </c>
      <c r="C216">
        <f t="shared" si="22"/>
        <v>629</v>
      </c>
      <c r="D216" s="26"/>
      <c r="E216" s="26">
        <v>8</v>
      </c>
      <c r="F216" s="26"/>
      <c r="G216" s="26"/>
      <c r="H216" s="26"/>
      <c r="J216" s="26" t="str">
        <f t="shared" si="20"/>
        <v>602|629</v>
      </c>
      <c r="K216" s="27" t="str">
        <f>$E$208&amp;"|"&amp;0&amp;"|"&amp;E216&amp;"$"&amp;$F$209&amp;"|"&amp;J216&amp;"$"&amp;$G$209&amp;"|"&amp;J216&amp;"$"&amp;$H$209&amp;"|"&amp;J216</f>
        <v>990003|0|8$122003|602|629$122005|602|629$122007|602|629</v>
      </c>
    </row>
    <row r="217" ht="27" customHeight="1" spans="1:11">
      <c r="A217">
        <v>9</v>
      </c>
      <c r="B217">
        <f t="shared" si="21"/>
        <v>678</v>
      </c>
      <c r="C217">
        <f t="shared" si="22"/>
        <v>706</v>
      </c>
      <c r="D217" s="26"/>
      <c r="E217" s="26">
        <v>9</v>
      </c>
      <c r="F217" s="26"/>
      <c r="G217" s="26"/>
      <c r="H217" s="26"/>
      <c r="J217" s="26" t="str">
        <f t="shared" si="20"/>
        <v>678|706</v>
      </c>
      <c r="K217" s="27" t="str">
        <f>$E$208&amp;"|"&amp;0&amp;"|"&amp;E217&amp;"$"&amp;$F$209&amp;"|"&amp;J217&amp;"$"&amp;$G$209&amp;"|"&amp;J217&amp;"$"&amp;$H$209&amp;"|"&amp;J217</f>
        <v>990003|0|9$122003|678|706$122005|678|706$122007|678|706</v>
      </c>
    </row>
    <row r="218" ht="27" customHeight="1" spans="1:11">
      <c r="A218">
        <v>10</v>
      </c>
      <c r="B218">
        <f t="shared" si="21"/>
        <v>754</v>
      </c>
      <c r="C218">
        <f t="shared" si="22"/>
        <v>783</v>
      </c>
      <c r="D218" s="26"/>
      <c r="E218" s="26">
        <v>10</v>
      </c>
      <c r="F218" s="26"/>
      <c r="G218" s="26"/>
      <c r="H218" s="26"/>
      <c r="J218" s="26" t="str">
        <f t="shared" si="20"/>
        <v>754|783</v>
      </c>
      <c r="K218" s="27" t="str">
        <f>$E$208&amp;"|"&amp;0&amp;"|"&amp;E218&amp;"$"&amp;$F$209&amp;"|"&amp;J218&amp;"$"&amp;$G$209&amp;"|"&amp;J218&amp;"$"&amp;$H$209&amp;"|"&amp;J218</f>
        <v>990003|0|10$122003|754|783$122005|754|783$122007|754|783</v>
      </c>
    </row>
    <row r="219" ht="27" customHeight="1" spans="1:11">
      <c r="A219">
        <v>11</v>
      </c>
      <c r="B219">
        <f t="shared" si="21"/>
        <v>830</v>
      </c>
      <c r="C219">
        <f t="shared" si="22"/>
        <v>860</v>
      </c>
      <c r="D219" s="23"/>
      <c r="E219" s="23">
        <v>11</v>
      </c>
      <c r="F219" s="23"/>
      <c r="G219" s="23"/>
      <c r="H219" s="23"/>
      <c r="J219" s="23" t="str">
        <f t="shared" si="20"/>
        <v>830|860</v>
      </c>
      <c r="K219" s="29" t="str">
        <f>$E$208&amp;"|"&amp;0&amp;"|"&amp;E219&amp;"$"&amp;$F$210&amp;"|"&amp;J219&amp;"$"&amp;$G$210&amp;"|"&amp;J219&amp;"$"&amp;$H$210&amp;"|"&amp;J219</f>
        <v>990003|0|11$123003|830|860$123005|830|860$123007|830|860</v>
      </c>
    </row>
    <row r="220" ht="27" customHeight="1" spans="1:11">
      <c r="A220">
        <v>12</v>
      </c>
      <c r="B220">
        <f t="shared" si="21"/>
        <v>906</v>
      </c>
      <c r="C220">
        <f t="shared" si="22"/>
        <v>937</v>
      </c>
      <c r="D220" s="23"/>
      <c r="E220" s="23">
        <v>12</v>
      </c>
      <c r="F220" s="23"/>
      <c r="G220" s="23"/>
      <c r="H220" s="23"/>
      <c r="J220" s="23" t="str">
        <f t="shared" si="20"/>
        <v>906|937</v>
      </c>
      <c r="K220" s="29" t="str">
        <f>$E$208&amp;"|"&amp;0&amp;"|"&amp;E220&amp;"$"&amp;$F$210&amp;"|"&amp;J220&amp;"$"&amp;$G$210&amp;"|"&amp;J220&amp;"$"&amp;$H$210&amp;"|"&amp;J220</f>
        <v>990003|0|12$123003|906|937$123005|906|937$123007|906|937</v>
      </c>
    </row>
    <row r="221" ht="27" customHeight="1" spans="1:11">
      <c r="A221">
        <v>13</v>
      </c>
      <c r="B221">
        <f t="shared" si="21"/>
        <v>982</v>
      </c>
      <c r="C221">
        <f t="shared" si="22"/>
        <v>1014</v>
      </c>
      <c r="D221" s="23"/>
      <c r="E221" s="23">
        <v>13</v>
      </c>
      <c r="F221" s="23"/>
      <c r="G221" s="23"/>
      <c r="H221" s="23"/>
      <c r="J221" s="23" t="str">
        <f t="shared" si="20"/>
        <v>982|1014</v>
      </c>
      <c r="K221" s="29" t="str">
        <f>$E$208&amp;"|"&amp;0&amp;"|"&amp;E221&amp;"$"&amp;$F$210&amp;"|"&amp;J221&amp;"$"&amp;$G$210&amp;"|"&amp;J221&amp;"$"&amp;$H$210&amp;"|"&amp;J221</f>
        <v>990003|0|13$123003|982|1014$123005|982|1014$123007|982|1014</v>
      </c>
    </row>
    <row r="222" ht="27" customHeight="1" spans="1:11">
      <c r="A222">
        <v>14</v>
      </c>
      <c r="B222">
        <f t="shared" si="21"/>
        <v>1058</v>
      </c>
      <c r="C222">
        <f t="shared" si="22"/>
        <v>1091</v>
      </c>
      <c r="D222" s="23"/>
      <c r="E222" s="23">
        <v>14</v>
      </c>
      <c r="F222" s="23"/>
      <c r="G222" s="23"/>
      <c r="H222" s="23"/>
      <c r="J222" s="23" t="str">
        <f t="shared" si="20"/>
        <v>1058|1091</v>
      </c>
      <c r="K222" s="29" t="str">
        <f>$E$208&amp;"|"&amp;0&amp;"|"&amp;E222&amp;"$"&amp;$F$210&amp;"|"&amp;J222&amp;"$"&amp;$G$210&amp;"|"&amp;J222&amp;"$"&amp;$H$210&amp;"|"&amp;J222</f>
        <v>990003|0|14$123003|1058|1091$123005|1058|1091$123007|1058|1091</v>
      </c>
    </row>
    <row r="223" ht="27" customHeight="1" spans="1:11">
      <c r="A223">
        <v>15</v>
      </c>
      <c r="B223">
        <f t="shared" si="21"/>
        <v>1134</v>
      </c>
      <c r="C223">
        <f t="shared" si="22"/>
        <v>1168</v>
      </c>
      <c r="D223" s="23"/>
      <c r="E223" s="23">
        <v>15</v>
      </c>
      <c r="F223" s="23"/>
      <c r="G223" s="23"/>
      <c r="H223" s="23"/>
      <c r="J223" s="23" t="str">
        <f t="shared" si="20"/>
        <v>1134|1168</v>
      </c>
      <c r="K223" s="29" t="str">
        <f>$E$208&amp;"|"&amp;0&amp;"|"&amp;E223&amp;"$"&amp;$F$210&amp;"|"&amp;J223&amp;"$"&amp;$G$210&amp;"|"&amp;J223&amp;"$"&amp;$H$210&amp;"|"&amp;J223</f>
        <v>990003|0|15$123003|1134|1168$123005|1134|1168$123007|1134|1168</v>
      </c>
    </row>
    <row r="224" ht="27" customHeight="1" spans="1:11">
      <c r="A224">
        <v>16</v>
      </c>
      <c r="B224">
        <f t="shared" si="21"/>
        <v>1210</v>
      </c>
      <c r="C224">
        <f t="shared" si="22"/>
        <v>1245</v>
      </c>
      <c r="D224" s="6"/>
      <c r="E224" s="6">
        <v>16</v>
      </c>
      <c r="F224" s="6"/>
      <c r="G224" s="6"/>
      <c r="H224" s="6"/>
      <c r="J224" s="6" t="str">
        <f t="shared" si="20"/>
        <v>1210|1245</v>
      </c>
      <c r="K224" s="18" t="str">
        <f>$E$208&amp;"|"&amp;0&amp;"|"&amp;E224&amp;"$"&amp;$F$211&amp;"|"&amp;J224&amp;"$"&amp;$G$211&amp;"|"&amp;J224&amp;"$"&amp;$H$211&amp;"|"&amp;J224</f>
        <v>990003|0|16$124003|1210|1245$124005|1210|1245$124007|1210|1245</v>
      </c>
    </row>
    <row r="225" ht="27" customHeight="1" spans="1:11">
      <c r="A225">
        <v>17</v>
      </c>
      <c r="B225">
        <f t="shared" si="21"/>
        <v>1286</v>
      </c>
      <c r="C225">
        <f t="shared" si="22"/>
        <v>1322</v>
      </c>
      <c r="D225" s="6"/>
      <c r="E225" s="6">
        <v>17</v>
      </c>
      <c r="F225" s="6"/>
      <c r="G225" s="6"/>
      <c r="H225" s="6"/>
      <c r="J225" s="6" t="str">
        <f t="shared" si="20"/>
        <v>1286|1322</v>
      </c>
      <c r="K225" s="18" t="str">
        <f>$E$208&amp;"|"&amp;0&amp;"|"&amp;E225&amp;"$"&amp;$F$211&amp;"|"&amp;J225&amp;"$"&amp;$G$211&amp;"|"&amp;J225&amp;"$"&amp;$H$211&amp;"|"&amp;J225</f>
        <v>990003|0|17$124003|1286|1322$124005|1286|1322$124007|1286|1322</v>
      </c>
    </row>
    <row r="226" ht="27" customHeight="1" spans="1:11">
      <c r="A226">
        <v>18</v>
      </c>
      <c r="B226">
        <f t="shared" si="21"/>
        <v>1362</v>
      </c>
      <c r="C226">
        <f t="shared" si="22"/>
        <v>1399</v>
      </c>
      <c r="D226" s="6"/>
      <c r="E226" s="6">
        <v>18</v>
      </c>
      <c r="F226" s="6"/>
      <c r="G226" s="6"/>
      <c r="H226" s="6"/>
      <c r="J226" s="6" t="str">
        <f t="shared" si="20"/>
        <v>1362|1399</v>
      </c>
      <c r="K226" s="18" t="str">
        <f>$E$208&amp;"|"&amp;0&amp;"|"&amp;E226&amp;"$"&amp;$F$211&amp;"|"&amp;J226&amp;"$"&amp;$G$211&amp;"|"&amp;J226&amp;"$"&amp;$H$211&amp;"|"&amp;J226</f>
        <v>990003|0|18$124003|1362|1399$124005|1362|1399$124007|1362|1399</v>
      </c>
    </row>
    <row r="227" ht="27" customHeight="1" spans="1:11">
      <c r="A227">
        <v>19</v>
      </c>
      <c r="B227">
        <f t="shared" si="21"/>
        <v>1438</v>
      </c>
      <c r="C227">
        <f t="shared" si="22"/>
        <v>1476</v>
      </c>
      <c r="D227" s="6"/>
      <c r="E227" s="6">
        <v>19</v>
      </c>
      <c r="F227" s="6"/>
      <c r="G227" s="6"/>
      <c r="H227" s="6"/>
      <c r="J227" s="6" t="str">
        <f t="shared" si="20"/>
        <v>1438|1476</v>
      </c>
      <c r="K227" s="18" t="str">
        <f>$E$208&amp;"|"&amp;0&amp;"|"&amp;E227&amp;"$"&amp;$F$211&amp;"|"&amp;J227&amp;"$"&amp;$G$211&amp;"|"&amp;J227&amp;"$"&amp;$H$211&amp;"|"&amp;J227</f>
        <v>990003|0|19$124003|1438|1476$124005|1438|1476$124007|1438|1476</v>
      </c>
    </row>
    <row r="228" ht="27" customHeight="1" spans="1:11">
      <c r="A228">
        <v>20</v>
      </c>
      <c r="B228">
        <f t="shared" si="21"/>
        <v>1514</v>
      </c>
      <c r="C228">
        <f t="shared" si="22"/>
        <v>1553</v>
      </c>
      <c r="D228" s="6"/>
      <c r="E228" s="6">
        <v>20</v>
      </c>
      <c r="F228" s="6"/>
      <c r="G228" s="6"/>
      <c r="H228" s="6"/>
      <c r="J228" s="6" t="str">
        <f t="shared" si="20"/>
        <v>1514|1553</v>
      </c>
      <c r="K228" s="18" t="str">
        <f>$E$208&amp;"|"&amp;0&amp;"|"&amp;E228&amp;"$"&amp;$F$211&amp;"|"&amp;J228&amp;"$"&amp;$G$211&amp;"|"&amp;J228&amp;"$"&amp;$H$211&amp;"|"&amp;J228</f>
        <v>990003|0|20$124003|1514|1553$124005|1514|1553$124007|1514|1553</v>
      </c>
    </row>
    <row r="229" ht="27" customHeight="1" spans="1:11">
      <c r="A229">
        <v>21</v>
      </c>
      <c r="B229">
        <f t="shared" si="21"/>
        <v>1590</v>
      </c>
      <c r="C229">
        <f t="shared" si="22"/>
        <v>1630</v>
      </c>
      <c r="D229" s="14"/>
      <c r="E229" s="14">
        <v>21</v>
      </c>
      <c r="F229" s="14"/>
      <c r="G229" s="14"/>
      <c r="H229" s="14"/>
      <c r="J229" s="14" t="str">
        <f t="shared" si="20"/>
        <v>1590|1630</v>
      </c>
      <c r="K229" s="19" t="str">
        <f>$E$208&amp;"|"&amp;0&amp;"|"&amp;E229&amp;"$"&amp;$F$212&amp;"|"&amp;J229&amp;"$"&amp;$G$212&amp;"|"&amp;J229&amp;"$"&amp;$H$212&amp;"|"&amp;J229</f>
        <v>990003|0|21$125003|1590|1630$125005|1590|1630$125007|1590|1630</v>
      </c>
    </row>
    <row r="230" ht="27" customHeight="1" spans="1:11">
      <c r="A230">
        <v>22</v>
      </c>
      <c r="B230">
        <f t="shared" si="21"/>
        <v>1666</v>
      </c>
      <c r="C230">
        <f t="shared" si="22"/>
        <v>1707</v>
      </c>
      <c r="D230" s="14"/>
      <c r="E230" s="14">
        <v>22</v>
      </c>
      <c r="F230" s="14"/>
      <c r="G230" s="14"/>
      <c r="H230" s="14"/>
      <c r="J230" s="14" t="str">
        <f t="shared" si="20"/>
        <v>1666|1707</v>
      </c>
      <c r="K230" s="19" t="str">
        <f>$E$208&amp;"|"&amp;0&amp;"|"&amp;E230&amp;"$"&amp;$F$212&amp;"|"&amp;J230&amp;"$"&amp;$G$212&amp;"|"&amp;J230&amp;"$"&amp;$H$212&amp;"|"&amp;J230</f>
        <v>990003|0|22$125003|1666|1707$125005|1666|1707$125007|1666|1707</v>
      </c>
    </row>
    <row r="231" ht="27" customHeight="1" spans="1:11">
      <c r="A231">
        <v>23</v>
      </c>
      <c r="B231">
        <f t="shared" si="21"/>
        <v>1742</v>
      </c>
      <c r="C231">
        <f t="shared" si="22"/>
        <v>1784</v>
      </c>
      <c r="D231" s="14"/>
      <c r="E231" s="14">
        <v>23</v>
      </c>
      <c r="F231" s="14"/>
      <c r="G231" s="14"/>
      <c r="H231" s="14"/>
      <c r="J231" s="14" t="str">
        <f t="shared" si="20"/>
        <v>1742|1784</v>
      </c>
      <c r="K231" s="19" t="str">
        <f>$E$208&amp;"|"&amp;0&amp;"|"&amp;E231&amp;"$"&amp;$F$212&amp;"|"&amp;J231&amp;"$"&amp;$G$212&amp;"|"&amp;J231&amp;"$"&amp;$H$212&amp;"|"&amp;J231</f>
        <v>990003|0|23$125003|1742|1784$125005|1742|1784$125007|1742|1784</v>
      </c>
    </row>
    <row r="232" ht="27" customHeight="1" spans="1:11">
      <c r="A232">
        <v>24</v>
      </c>
      <c r="B232">
        <f t="shared" si="21"/>
        <v>1818</v>
      </c>
      <c r="C232">
        <f t="shared" si="22"/>
        <v>1861</v>
      </c>
      <c r="D232" s="14"/>
      <c r="E232" s="14">
        <v>24</v>
      </c>
      <c r="F232" s="14"/>
      <c r="G232" s="14"/>
      <c r="H232" s="14"/>
      <c r="J232" s="14" t="str">
        <f t="shared" si="20"/>
        <v>1818|1861</v>
      </c>
      <c r="K232" s="19" t="str">
        <f>$E$208&amp;"|"&amp;0&amp;"|"&amp;E232&amp;"$"&amp;$F$212&amp;"|"&amp;J232&amp;"$"&amp;$G$212&amp;"|"&amp;J232&amp;"$"&amp;$H$212&amp;"|"&amp;J232</f>
        <v>990003|0|24$125003|1818|1861$125005|1818|1861$125007|1818|1861</v>
      </c>
    </row>
    <row r="233" ht="27" customHeight="1" spans="1:11">
      <c r="A233">
        <v>25</v>
      </c>
      <c r="B233">
        <f t="shared" si="21"/>
        <v>1894</v>
      </c>
      <c r="C233">
        <f t="shared" si="22"/>
        <v>1938</v>
      </c>
      <c r="D233" s="14"/>
      <c r="E233" s="14">
        <v>25</v>
      </c>
      <c r="F233" s="14"/>
      <c r="G233" s="14"/>
      <c r="H233" s="14"/>
      <c r="J233" s="14" t="str">
        <f t="shared" si="20"/>
        <v>1894|1938</v>
      </c>
      <c r="K233" s="19" t="str">
        <f>$E$208&amp;"|"&amp;0&amp;"|"&amp;E233&amp;"$"&amp;$F$212&amp;"|"&amp;J233&amp;"$"&amp;$G$212&amp;"|"&amp;J233&amp;"$"&amp;$H$212&amp;"|"&amp;J233</f>
        <v>990003|0|25$125003|1894|1938$125005|1894|1938$125007|1894|1938</v>
      </c>
    </row>
    <row r="235" spans="1:11">
      <c r="D235" t="s">
        <v>345</v>
      </c>
      <c r="E235" s="22" t="s">
        <v>346</v>
      </c>
      <c r="F235">
        <v>121002</v>
      </c>
      <c r="G235">
        <v>121005</v>
      </c>
      <c r="H235">
        <v>121007</v>
      </c>
    </row>
    <row r="236" ht="40.5" customHeight="1" spans="1:11">
      <c r="A236">
        <v>1</v>
      </c>
      <c r="B236">
        <v>70</v>
      </c>
      <c r="C236">
        <v>90</v>
      </c>
      <c r="D236" s="23"/>
      <c r="E236" s="23">
        <v>1</v>
      </c>
      <c r="F236" s="23">
        <v>122002</v>
      </c>
      <c r="G236" s="23">
        <v>122005</v>
      </c>
      <c r="H236" s="23">
        <v>122007</v>
      </c>
      <c r="I236" s="23" t="str">
        <f t="shared" ref="I236:I260" si="23">B236&amp;"|"&amp;C236</f>
        <v>70|90</v>
      </c>
      <c r="J236" s="24" t="str">
        <f>$E$235&amp;"|"&amp;0&amp;"|"&amp;E236&amp;"$"&amp;$F$181&amp;"|"&amp;I236&amp;"$"&amp;$G$181&amp;"|"&amp;I236&amp;"$"&amp;$H$181&amp;"|"&amp;I236&amp;"$"&amp;$F$208&amp;"|"&amp;J209&amp;"$"&amp;$G$208&amp;"|"&amp;J209&amp;"$"&amp;$H$208&amp;"|"&amp;J209</f>
        <v>990001|0|1$121002|70|90$121004|70|90$121006|70|90$121003|70|90$121005|70|90$121007|70|90</v>
      </c>
    </row>
    <row r="237" ht="54" customHeight="1" spans="1:11">
      <c r="A237">
        <v>2</v>
      </c>
      <c r="B237">
        <f t="shared" ref="B237:B260" si="24">B236+76</f>
        <v>146</v>
      </c>
      <c r="C237">
        <f t="shared" ref="C237:C260" si="25">C236+77</f>
        <v>167</v>
      </c>
      <c r="D237" s="23"/>
      <c r="E237" s="23">
        <v>2</v>
      </c>
      <c r="F237" s="23">
        <v>123002</v>
      </c>
      <c r="G237" s="23">
        <v>123005</v>
      </c>
      <c r="H237" s="23">
        <v>123007</v>
      </c>
      <c r="I237" s="23" t="str">
        <f t="shared" si="23"/>
        <v>146|167</v>
      </c>
      <c r="J237" s="24" t="str">
        <f>$E$235&amp;"|"&amp;0&amp;"|"&amp;E237&amp;"$"&amp;$F$181&amp;"|"&amp;I237&amp;"$"&amp;$G$181&amp;"|"&amp;I237&amp;"$"&amp;$H$181&amp;"|"&amp;I237&amp;"$"&amp;$F$208&amp;"|"&amp;J210&amp;"$"&amp;$G$208&amp;"|"&amp;J210&amp;"$"&amp;$H$208&amp;"|"&amp;J210</f>
        <v>990001|0|2$121002|146|167$121004|146|167$121006|146|167$121003|146|167$121005|146|167$121007|146|167</v>
      </c>
    </row>
    <row r="238" ht="54" customHeight="1" spans="1:11">
      <c r="A238">
        <v>3</v>
      </c>
      <c r="B238">
        <f t="shared" si="24"/>
        <v>222</v>
      </c>
      <c r="C238">
        <f t="shared" si="25"/>
        <v>244</v>
      </c>
      <c r="D238" s="23"/>
      <c r="E238" s="23">
        <v>3</v>
      </c>
      <c r="F238" s="23">
        <v>124002</v>
      </c>
      <c r="G238" s="23">
        <v>124005</v>
      </c>
      <c r="H238" s="23">
        <v>124007</v>
      </c>
      <c r="I238" s="23" t="str">
        <f t="shared" si="23"/>
        <v>222|244</v>
      </c>
      <c r="J238" s="24" t="str">
        <f>$E$235&amp;"|"&amp;0&amp;"|"&amp;E238&amp;"$"&amp;$F$181&amp;"|"&amp;I238&amp;"$"&amp;$G$181&amp;"|"&amp;I238&amp;"$"&amp;$H$181&amp;"|"&amp;I238&amp;"$"&amp;$F$208&amp;"|"&amp;J211&amp;"$"&amp;$G$208&amp;"|"&amp;J211&amp;"$"&amp;$H$208&amp;"|"&amp;J211</f>
        <v>990001|0|3$121002|222|244$121004|222|244$121006|222|244$121003|222|244$121005|222|244$121007|222|244</v>
      </c>
    </row>
    <row r="239" ht="54" customHeight="1" spans="1:11">
      <c r="A239">
        <v>4</v>
      </c>
      <c r="B239">
        <f t="shared" si="24"/>
        <v>298</v>
      </c>
      <c r="C239">
        <f t="shared" si="25"/>
        <v>321</v>
      </c>
      <c r="D239" s="23"/>
      <c r="E239" s="23">
        <v>4</v>
      </c>
      <c r="F239" s="23">
        <v>125002</v>
      </c>
      <c r="G239" s="23">
        <v>125005</v>
      </c>
      <c r="H239" s="23">
        <v>125007</v>
      </c>
      <c r="I239" s="23" t="str">
        <f t="shared" si="23"/>
        <v>298|321</v>
      </c>
      <c r="J239" s="24" t="str">
        <f>$E$235&amp;"|"&amp;0&amp;"|"&amp;E239&amp;"$"&amp;$F$181&amp;"|"&amp;I239&amp;"$"&amp;$G$181&amp;"|"&amp;I239&amp;"$"&amp;$H$181&amp;"|"&amp;I239&amp;"$"&amp;$F$208&amp;"|"&amp;J212&amp;"$"&amp;$G$208&amp;"|"&amp;J212&amp;"$"&amp;$H$208&amp;"|"&amp;J212</f>
        <v>990001|0|4$121002|298|321$121004|298|321$121006|298|321$121003|298|321$121005|298|321$121007|298|321</v>
      </c>
    </row>
    <row r="240" ht="42" customHeight="1" spans="1:11">
      <c r="A240">
        <v>5</v>
      </c>
      <c r="B240">
        <f t="shared" si="24"/>
        <v>374</v>
      </c>
      <c r="C240">
        <f t="shared" si="25"/>
        <v>398</v>
      </c>
      <c r="D240" s="23"/>
      <c r="E240" s="23">
        <v>5</v>
      </c>
      <c r="F240" s="23"/>
      <c r="G240" s="23"/>
      <c r="H240" s="23"/>
      <c r="I240" s="23" t="str">
        <f t="shared" si="23"/>
        <v>374|398</v>
      </c>
      <c r="J240" s="24" t="str">
        <f>$E$235&amp;"|"&amp;0&amp;"|"&amp;E240&amp;"$"&amp;$F$181&amp;"|"&amp;I240&amp;"$"&amp;$G$181&amp;"|"&amp;I240&amp;"$"&amp;$H$181&amp;"|"&amp;I240&amp;"$"&amp;$F$208&amp;"|"&amp;J213&amp;"$"&amp;$G$208&amp;"|"&amp;J213&amp;"$"&amp;$H$208&amp;"|"&amp;J213</f>
        <v>990001|0|5$121002|374|398$121004|374|398$121006|374|398$121003|374|398$121005|374|398$121007|374|398</v>
      </c>
    </row>
    <row r="241" ht="54" customHeight="1" spans="1:10">
      <c r="A241">
        <v>6</v>
      </c>
      <c r="B241">
        <f t="shared" si="24"/>
        <v>450</v>
      </c>
      <c r="C241">
        <f t="shared" si="25"/>
        <v>475</v>
      </c>
      <c r="D241" s="26"/>
      <c r="E241" s="26">
        <v>6</v>
      </c>
      <c r="F241" s="26"/>
      <c r="G241" s="26"/>
      <c r="H241" s="26"/>
      <c r="I241" s="26" t="str">
        <f t="shared" si="23"/>
        <v>450|475</v>
      </c>
      <c r="J241" s="30" t="str">
        <f>$E$235&amp;"|"&amp;0&amp;"|"&amp;E241&amp;"$"&amp;$F$182&amp;"|"&amp;I241&amp;"$"&amp;$G$182&amp;"|"&amp;I241&amp;"$"&amp;$H$182&amp;"|"&amp;I241&amp;"$"&amp;$F$209&amp;"|"&amp;J214&amp;"$"&amp;$G$209&amp;"|"&amp;J214&amp;"$"&amp;$H$209&amp;"|"&amp;J214</f>
        <v>990001|0|6$122002|450|475$122004|450|475$122006|450|475$122003|450|475$122005|450|475$122007|450|475</v>
      </c>
    </row>
    <row r="242" ht="54" customHeight="1" spans="1:10">
      <c r="A242">
        <v>7</v>
      </c>
      <c r="B242">
        <f t="shared" si="24"/>
        <v>526</v>
      </c>
      <c r="C242">
        <f t="shared" si="25"/>
        <v>552</v>
      </c>
      <c r="D242" s="26"/>
      <c r="E242" s="26">
        <v>7</v>
      </c>
      <c r="F242" s="26"/>
      <c r="G242" s="26"/>
      <c r="H242" s="26"/>
      <c r="I242" s="26" t="str">
        <f t="shared" si="23"/>
        <v>526|552</v>
      </c>
      <c r="J242" s="30" t="str">
        <f>$E$235&amp;"|"&amp;0&amp;"|"&amp;E242&amp;"$"&amp;$F$182&amp;"|"&amp;I242&amp;"$"&amp;$G$182&amp;"|"&amp;I242&amp;"$"&amp;$H$182&amp;"|"&amp;I242&amp;"$"&amp;$F$209&amp;"|"&amp;J215&amp;"$"&amp;$G$209&amp;"|"&amp;J215&amp;"$"&amp;$H$209&amp;"|"&amp;J215</f>
        <v>990001|0|7$122002|526|552$122004|526|552$122006|526|552$122003|526|552$122005|526|552$122007|526|552</v>
      </c>
    </row>
    <row r="243" ht="54" customHeight="1" spans="1:10">
      <c r="A243">
        <v>8</v>
      </c>
      <c r="B243">
        <f t="shared" si="24"/>
        <v>602</v>
      </c>
      <c r="C243">
        <f t="shared" si="25"/>
        <v>629</v>
      </c>
      <c r="D243" s="26"/>
      <c r="E243" s="26">
        <v>8</v>
      </c>
      <c r="F243" s="26"/>
      <c r="G243" s="26"/>
      <c r="H243" s="26"/>
      <c r="I243" s="26" t="str">
        <f t="shared" si="23"/>
        <v>602|629</v>
      </c>
      <c r="J243" s="30" t="str">
        <f>$E$235&amp;"|"&amp;0&amp;"|"&amp;E243&amp;"$"&amp;$F$182&amp;"|"&amp;I243&amp;"$"&amp;$G$182&amp;"|"&amp;I243&amp;"$"&amp;$H$182&amp;"|"&amp;I243&amp;"$"&amp;$F$209&amp;"|"&amp;J216&amp;"$"&amp;$G$209&amp;"|"&amp;J216&amp;"$"&amp;$H$209&amp;"|"&amp;J216</f>
        <v>990001|0|8$122002|602|629$122004|602|629$122006|602|629$122003|602|629$122005|602|629$122007|602|629</v>
      </c>
    </row>
    <row r="244" ht="54" customHeight="1" spans="1:10">
      <c r="A244">
        <v>9</v>
      </c>
      <c r="B244">
        <f t="shared" si="24"/>
        <v>678</v>
      </c>
      <c r="C244">
        <f t="shared" si="25"/>
        <v>706</v>
      </c>
      <c r="D244" s="26"/>
      <c r="E244" s="26">
        <v>9</v>
      </c>
      <c r="F244" s="26"/>
      <c r="G244" s="26"/>
      <c r="H244" s="26"/>
      <c r="I244" s="26" t="str">
        <f t="shared" si="23"/>
        <v>678|706</v>
      </c>
      <c r="J244" s="30" t="str">
        <f>$E$235&amp;"|"&amp;0&amp;"|"&amp;E244&amp;"$"&amp;$F$182&amp;"|"&amp;I244&amp;"$"&amp;$G$182&amp;"|"&amp;I244&amp;"$"&amp;$H$182&amp;"|"&amp;I244&amp;"$"&amp;$F$209&amp;"|"&amp;J217&amp;"$"&amp;$G$209&amp;"|"&amp;J217&amp;"$"&amp;$H$209&amp;"|"&amp;J217</f>
        <v>990001|0|9$122002|678|706$122004|678|706$122006|678|706$122003|678|706$122005|678|706$122007|678|706</v>
      </c>
    </row>
    <row r="245" ht="54" customHeight="1" spans="1:10">
      <c r="A245">
        <v>10</v>
      </c>
      <c r="B245">
        <f t="shared" si="24"/>
        <v>754</v>
      </c>
      <c r="C245">
        <f t="shared" si="25"/>
        <v>783</v>
      </c>
      <c r="D245" s="26"/>
      <c r="E245" s="26">
        <v>10</v>
      </c>
      <c r="F245" s="26"/>
      <c r="G245" s="26"/>
      <c r="H245" s="26"/>
      <c r="I245" s="26" t="str">
        <f t="shared" si="23"/>
        <v>754|783</v>
      </c>
      <c r="J245" s="30" t="str">
        <f>$E$235&amp;"|"&amp;0&amp;"|"&amp;E245&amp;"$"&amp;$F$182&amp;"|"&amp;I245&amp;"$"&amp;$G$182&amp;"|"&amp;I245&amp;"$"&amp;$H$182&amp;"|"&amp;I245&amp;"$"&amp;$F$209&amp;"|"&amp;J218&amp;"$"&amp;$G$209&amp;"|"&amp;J218&amp;"$"&amp;$H$209&amp;"|"&amp;J218</f>
        <v>990001|0|10$122002|754|783$122004|754|783$122006|754|783$122003|754|783$122005|754|783$122007|754|783</v>
      </c>
    </row>
    <row r="246" ht="54" customHeight="1" spans="1:10">
      <c r="A246">
        <v>11</v>
      </c>
      <c r="B246">
        <f t="shared" si="24"/>
        <v>830</v>
      </c>
      <c r="C246">
        <f t="shared" si="25"/>
        <v>860</v>
      </c>
      <c r="D246" s="23"/>
      <c r="E246" s="23">
        <v>11</v>
      </c>
      <c r="F246" s="23"/>
      <c r="G246" s="23"/>
      <c r="H246" s="23"/>
      <c r="I246" s="23" t="str">
        <f t="shared" si="23"/>
        <v>830|860</v>
      </c>
      <c r="J246" s="24" t="str">
        <f>$E$235&amp;"|"&amp;0&amp;"|"&amp;E246&amp;"$"&amp;$F$183&amp;"|"&amp;I246&amp;"$"&amp;$G$183&amp;"|"&amp;I246&amp;"$"&amp;$H$183&amp;"|"&amp;I246&amp;"$"&amp;$F$210&amp;"|"&amp;J219&amp;"$"&amp;$G$210&amp;"|"&amp;J219&amp;"$"&amp;$H$210&amp;"|"&amp;J219</f>
        <v>990001|0|11$123002|830|860$123004|830|860$123006|830|860$123003|830|860$123005|830|860$123007|830|860</v>
      </c>
    </row>
    <row r="247" ht="54" customHeight="1" spans="1:10">
      <c r="A247">
        <v>12</v>
      </c>
      <c r="B247">
        <f t="shared" si="24"/>
        <v>906</v>
      </c>
      <c r="C247">
        <f t="shared" si="25"/>
        <v>937</v>
      </c>
      <c r="D247" s="23"/>
      <c r="E247" s="23">
        <v>12</v>
      </c>
      <c r="F247" s="23"/>
      <c r="G247" s="23"/>
      <c r="H247" s="23"/>
      <c r="I247" s="23" t="str">
        <f t="shared" si="23"/>
        <v>906|937</v>
      </c>
      <c r="J247" s="24" t="str">
        <f>$E$235&amp;"|"&amp;0&amp;"|"&amp;E247&amp;"$"&amp;$F$183&amp;"|"&amp;I247&amp;"$"&amp;$G$183&amp;"|"&amp;I247&amp;"$"&amp;$H$183&amp;"|"&amp;I247&amp;"$"&amp;$F$210&amp;"|"&amp;J220&amp;"$"&amp;$G$210&amp;"|"&amp;J220&amp;"$"&amp;$H$210&amp;"|"&amp;J220</f>
        <v>990001|0|12$123002|906|937$123004|906|937$123006|906|937$123003|906|937$123005|906|937$123007|906|937</v>
      </c>
    </row>
    <row r="248" ht="54" customHeight="1" spans="1:10">
      <c r="A248">
        <v>13</v>
      </c>
      <c r="B248">
        <f t="shared" si="24"/>
        <v>982</v>
      </c>
      <c r="C248">
        <f t="shared" si="25"/>
        <v>1014</v>
      </c>
      <c r="D248" s="23"/>
      <c r="E248" s="23">
        <v>13</v>
      </c>
      <c r="F248" s="23"/>
      <c r="G248" s="23"/>
      <c r="H248" s="23"/>
      <c r="I248" s="23" t="str">
        <f t="shared" si="23"/>
        <v>982|1014</v>
      </c>
      <c r="J248" s="24" t="str">
        <f>$E$235&amp;"|"&amp;0&amp;"|"&amp;E248&amp;"$"&amp;$F$183&amp;"|"&amp;I248&amp;"$"&amp;$G$183&amp;"|"&amp;I248&amp;"$"&amp;$H$183&amp;"|"&amp;I248&amp;"$"&amp;$F$210&amp;"|"&amp;J221&amp;"$"&amp;$G$210&amp;"|"&amp;J221&amp;"$"&amp;$H$210&amp;"|"&amp;J221</f>
        <v>990001|0|13$123002|982|1014$123004|982|1014$123006|982|1014$123003|982|1014$123005|982|1014$123007|982|1014</v>
      </c>
    </row>
    <row r="249" ht="54" customHeight="1" spans="1:10">
      <c r="A249">
        <v>14</v>
      </c>
      <c r="B249">
        <f t="shared" si="24"/>
        <v>1058</v>
      </c>
      <c r="C249">
        <f t="shared" si="25"/>
        <v>1091</v>
      </c>
      <c r="D249" s="23"/>
      <c r="E249" s="23">
        <v>14</v>
      </c>
      <c r="F249" s="23"/>
      <c r="G249" s="23"/>
      <c r="H249" s="23"/>
      <c r="I249" s="23" t="str">
        <f t="shared" si="23"/>
        <v>1058|1091</v>
      </c>
      <c r="J249" s="24" t="str">
        <f>$E$235&amp;"|"&amp;0&amp;"|"&amp;E249&amp;"$"&amp;$F$183&amp;"|"&amp;I249&amp;"$"&amp;$G$183&amp;"|"&amp;I249&amp;"$"&amp;$H$183&amp;"|"&amp;I249&amp;"$"&amp;$F$210&amp;"|"&amp;J222&amp;"$"&amp;$G$210&amp;"|"&amp;J222&amp;"$"&amp;$H$210&amp;"|"&amp;J222</f>
        <v>990001|0|14$123002|1058|1091$123004|1058|1091$123006|1058|1091$123003|1058|1091$123005|1058|1091$123007|1058|1091</v>
      </c>
    </row>
    <row r="250" ht="54" customHeight="1" spans="1:10">
      <c r="A250">
        <v>15</v>
      </c>
      <c r="B250">
        <f t="shared" si="24"/>
        <v>1134</v>
      </c>
      <c r="C250">
        <f t="shared" si="25"/>
        <v>1168</v>
      </c>
      <c r="D250" s="23"/>
      <c r="E250" s="23">
        <v>15</v>
      </c>
      <c r="F250" s="23"/>
      <c r="G250" s="23"/>
      <c r="H250" s="23"/>
      <c r="I250" s="23" t="str">
        <f t="shared" si="23"/>
        <v>1134|1168</v>
      </c>
      <c r="J250" s="24" t="str">
        <f>$E$235&amp;"|"&amp;0&amp;"|"&amp;E250&amp;"$"&amp;$F$183&amp;"|"&amp;I250&amp;"$"&amp;$G$183&amp;"|"&amp;I250&amp;"$"&amp;$H$183&amp;"|"&amp;I250&amp;"$"&amp;$F$210&amp;"|"&amp;J223&amp;"$"&amp;$G$210&amp;"|"&amp;J223&amp;"$"&amp;$H$210&amp;"|"&amp;J223</f>
        <v>990001|0|15$123002|1134|1168$123004|1134|1168$123006|1134|1168$123003|1134|1168$123005|1134|1168$123007|1134|1168</v>
      </c>
    </row>
    <row r="251" ht="54" customHeight="1" spans="1:10">
      <c r="A251">
        <v>16</v>
      </c>
      <c r="B251">
        <f t="shared" si="24"/>
        <v>1210</v>
      </c>
      <c r="C251">
        <f t="shared" si="25"/>
        <v>1245</v>
      </c>
      <c r="D251" s="6"/>
      <c r="E251" s="6">
        <v>16</v>
      </c>
      <c r="F251" s="6"/>
      <c r="G251" s="6"/>
      <c r="H251" s="6"/>
      <c r="I251" s="6" t="str">
        <f t="shared" si="23"/>
        <v>1210|1245</v>
      </c>
      <c r="J251" s="31" t="str">
        <f>$E$235&amp;"|"&amp;0&amp;"|"&amp;E251&amp;"$"&amp;$F$184&amp;"|"&amp;I251&amp;"$"&amp;$G$184&amp;"|"&amp;I251&amp;"$"&amp;$H$184&amp;"|"&amp;I251&amp;"$"&amp;$F$211&amp;"|"&amp;J224&amp;"$"&amp;$G$211&amp;"|"&amp;J224&amp;"$"&amp;$H$211&amp;"|"&amp;J224</f>
        <v>990001|0|16$124002|1210|1245$124004|1210|1245$124006|1210|1245$124003|1210|1245$124005|1210|1245$124007|1210|1245</v>
      </c>
    </row>
    <row r="252" ht="54" customHeight="1" spans="1:10">
      <c r="A252">
        <v>17</v>
      </c>
      <c r="B252">
        <f t="shared" si="24"/>
        <v>1286</v>
      </c>
      <c r="C252">
        <f t="shared" si="25"/>
        <v>1322</v>
      </c>
      <c r="D252" s="6"/>
      <c r="E252" s="6">
        <v>17</v>
      </c>
      <c r="F252" s="6"/>
      <c r="G252" s="6"/>
      <c r="H252" s="6"/>
      <c r="I252" s="6" t="str">
        <f t="shared" si="23"/>
        <v>1286|1322</v>
      </c>
      <c r="J252" s="31" t="str">
        <f>$E$235&amp;"|"&amp;0&amp;"|"&amp;E252&amp;"$"&amp;$F$184&amp;"|"&amp;I252&amp;"$"&amp;$G$184&amp;"|"&amp;I252&amp;"$"&amp;$H$184&amp;"|"&amp;I252&amp;"$"&amp;$F$211&amp;"|"&amp;J225&amp;"$"&amp;$G$211&amp;"|"&amp;J225&amp;"$"&amp;$H$211&amp;"|"&amp;J225</f>
        <v>990001|0|17$124002|1286|1322$124004|1286|1322$124006|1286|1322$124003|1286|1322$124005|1286|1322$124007|1286|1322</v>
      </c>
    </row>
    <row r="253" ht="54" customHeight="1" spans="1:10">
      <c r="A253">
        <v>18</v>
      </c>
      <c r="B253">
        <f t="shared" si="24"/>
        <v>1362</v>
      </c>
      <c r="C253">
        <f t="shared" si="25"/>
        <v>1399</v>
      </c>
      <c r="D253" s="6"/>
      <c r="E253" s="6">
        <v>18</v>
      </c>
      <c r="F253" s="6"/>
      <c r="G253" s="6"/>
      <c r="H253" s="6"/>
      <c r="I253" s="6" t="str">
        <f t="shared" si="23"/>
        <v>1362|1399</v>
      </c>
      <c r="J253" s="31" t="str">
        <f>$E$235&amp;"|"&amp;0&amp;"|"&amp;E253&amp;"$"&amp;$F$184&amp;"|"&amp;I253&amp;"$"&amp;$G$184&amp;"|"&amp;I253&amp;"$"&amp;$H$184&amp;"|"&amp;I253&amp;"$"&amp;$F$211&amp;"|"&amp;J226&amp;"$"&amp;$G$211&amp;"|"&amp;J226&amp;"$"&amp;$H$211&amp;"|"&amp;J226</f>
        <v>990001|0|18$124002|1362|1399$124004|1362|1399$124006|1362|1399$124003|1362|1399$124005|1362|1399$124007|1362|1399</v>
      </c>
    </row>
    <row r="254" ht="54" customHeight="1" spans="1:10">
      <c r="A254">
        <v>19</v>
      </c>
      <c r="B254">
        <f t="shared" si="24"/>
        <v>1438</v>
      </c>
      <c r="C254">
        <f t="shared" si="25"/>
        <v>1476</v>
      </c>
      <c r="D254" s="6"/>
      <c r="E254" s="6">
        <v>19</v>
      </c>
      <c r="F254" s="6"/>
      <c r="G254" s="6"/>
      <c r="H254" s="6"/>
      <c r="I254" s="6" t="str">
        <f t="shared" si="23"/>
        <v>1438|1476</v>
      </c>
      <c r="J254" s="31" t="str">
        <f>$E$235&amp;"|"&amp;0&amp;"|"&amp;E254&amp;"$"&amp;$F$184&amp;"|"&amp;I254&amp;"$"&amp;$G$184&amp;"|"&amp;I254&amp;"$"&amp;$H$184&amp;"|"&amp;I254&amp;"$"&amp;$F$211&amp;"|"&amp;J227&amp;"$"&amp;$G$211&amp;"|"&amp;J227&amp;"$"&amp;$H$211&amp;"|"&amp;J227</f>
        <v>990001|0|19$124002|1438|1476$124004|1438|1476$124006|1438|1476$124003|1438|1476$124005|1438|1476$124007|1438|1476</v>
      </c>
    </row>
    <row r="255" ht="54" customHeight="1" spans="1:10">
      <c r="A255">
        <v>20</v>
      </c>
      <c r="B255">
        <f t="shared" si="24"/>
        <v>1514</v>
      </c>
      <c r="C255">
        <f t="shared" si="25"/>
        <v>1553</v>
      </c>
      <c r="D255" s="6"/>
      <c r="E255" s="6">
        <v>20</v>
      </c>
      <c r="F255" s="6"/>
      <c r="G255" s="6"/>
      <c r="H255" s="6"/>
      <c r="I255" s="6" t="str">
        <f t="shared" si="23"/>
        <v>1514|1553</v>
      </c>
      <c r="J255" s="31" t="str">
        <f>$E$235&amp;"|"&amp;0&amp;"|"&amp;E255&amp;"$"&amp;$F$184&amp;"|"&amp;I255&amp;"$"&amp;$G$184&amp;"|"&amp;I255&amp;"$"&amp;$H$184&amp;"|"&amp;I255&amp;"$"&amp;$F$211&amp;"|"&amp;J228&amp;"$"&amp;$G$211&amp;"|"&amp;J228&amp;"$"&amp;$H$211&amp;"|"&amp;J228</f>
        <v>990001|0|20$124002|1514|1553$124004|1514|1553$124006|1514|1553$124003|1514|1553$124005|1514|1553$124007|1514|1553</v>
      </c>
    </row>
    <row r="256" ht="54" customHeight="1" spans="1:10">
      <c r="A256">
        <v>21</v>
      </c>
      <c r="B256">
        <f t="shared" si="24"/>
        <v>1590</v>
      </c>
      <c r="C256">
        <f t="shared" si="25"/>
        <v>1630</v>
      </c>
      <c r="D256" s="14"/>
      <c r="E256" s="14">
        <v>21</v>
      </c>
      <c r="F256" s="14"/>
      <c r="G256" s="14"/>
      <c r="H256" s="14"/>
      <c r="I256" s="14" t="str">
        <f t="shared" si="23"/>
        <v>1590|1630</v>
      </c>
      <c r="J256" s="32" t="str">
        <f>$E$235&amp;"|"&amp;0&amp;"|"&amp;E256&amp;"$"&amp;$F$185&amp;"|"&amp;I256&amp;"$"&amp;$G$185&amp;"|"&amp;I256&amp;"$"&amp;$H$185&amp;"|"&amp;I256&amp;"$"&amp;$F$212&amp;"|"&amp;J229&amp;"$"&amp;$G$212&amp;"|"&amp;J229&amp;"$"&amp;$H$212&amp;"|"&amp;J229</f>
        <v>990001|0|21$125002|1590|1630$125004|1590|1630$125006|1590|1630$125003|1590|1630$125005|1590|1630$125007|1590|1630</v>
      </c>
    </row>
    <row r="257" ht="54" customHeight="1" spans="1:10">
      <c r="A257">
        <v>22</v>
      </c>
      <c r="B257">
        <f t="shared" si="24"/>
        <v>1666</v>
      </c>
      <c r="C257">
        <f t="shared" si="25"/>
        <v>1707</v>
      </c>
      <c r="D257" s="14"/>
      <c r="E257" s="14">
        <v>22</v>
      </c>
      <c r="F257" s="14"/>
      <c r="G257" s="14"/>
      <c r="H257" s="14"/>
      <c r="I257" s="14" t="str">
        <f t="shared" si="23"/>
        <v>1666|1707</v>
      </c>
      <c r="J257" s="32" t="str">
        <f>$E$235&amp;"|"&amp;0&amp;"|"&amp;E257&amp;"$"&amp;$F$185&amp;"|"&amp;I257&amp;"$"&amp;$G$185&amp;"|"&amp;I257&amp;"$"&amp;$H$185&amp;"|"&amp;I257&amp;"$"&amp;$F$212&amp;"|"&amp;J230&amp;"$"&amp;$G$212&amp;"|"&amp;J230&amp;"$"&amp;$H$212&amp;"|"&amp;J230</f>
        <v>990001|0|22$125002|1666|1707$125004|1666|1707$125006|1666|1707$125003|1666|1707$125005|1666|1707$125007|1666|1707</v>
      </c>
    </row>
    <row r="258" ht="54" customHeight="1" spans="1:10">
      <c r="A258">
        <v>23</v>
      </c>
      <c r="B258">
        <f t="shared" si="24"/>
        <v>1742</v>
      </c>
      <c r="C258">
        <f t="shared" si="25"/>
        <v>1784</v>
      </c>
      <c r="D258" s="14"/>
      <c r="E258" s="14">
        <v>23</v>
      </c>
      <c r="F258" s="14"/>
      <c r="G258" s="14"/>
      <c r="H258" s="14"/>
      <c r="I258" s="14" t="str">
        <f t="shared" si="23"/>
        <v>1742|1784</v>
      </c>
      <c r="J258" s="32" t="str">
        <f>$E$235&amp;"|"&amp;0&amp;"|"&amp;E258&amp;"$"&amp;$F$185&amp;"|"&amp;I258&amp;"$"&amp;$G$185&amp;"|"&amp;I258&amp;"$"&amp;$H$185&amp;"|"&amp;I258&amp;"$"&amp;$F$212&amp;"|"&amp;J231&amp;"$"&amp;$G$212&amp;"|"&amp;J231&amp;"$"&amp;$H$212&amp;"|"&amp;J231</f>
        <v>990001|0|23$125002|1742|1784$125004|1742|1784$125006|1742|1784$125003|1742|1784$125005|1742|1784$125007|1742|1784</v>
      </c>
    </row>
    <row r="259" ht="54" customHeight="1" spans="1:10">
      <c r="A259">
        <v>24</v>
      </c>
      <c r="B259">
        <f t="shared" si="24"/>
        <v>1818</v>
      </c>
      <c r="C259">
        <f t="shared" si="25"/>
        <v>1861</v>
      </c>
      <c r="D259" s="14"/>
      <c r="E259" s="14">
        <v>24</v>
      </c>
      <c r="F259" s="14"/>
      <c r="G259" s="14"/>
      <c r="H259" s="14"/>
      <c r="I259" s="14" t="str">
        <f t="shared" si="23"/>
        <v>1818|1861</v>
      </c>
      <c r="J259" s="32" t="str">
        <f>$E$235&amp;"|"&amp;0&amp;"|"&amp;E259&amp;"$"&amp;$F$185&amp;"|"&amp;I259&amp;"$"&amp;$G$185&amp;"|"&amp;I259&amp;"$"&amp;$H$185&amp;"|"&amp;I259&amp;"$"&amp;$F$212&amp;"|"&amp;J232&amp;"$"&amp;$G$212&amp;"|"&amp;J232&amp;"$"&amp;$H$212&amp;"|"&amp;J232</f>
        <v>990001|0|24$125002|1818|1861$125004|1818|1861$125006|1818|1861$125003|1818|1861$125005|1818|1861$125007|1818|1861</v>
      </c>
    </row>
    <row r="260" ht="54" customHeight="1" spans="1:10">
      <c r="A260">
        <v>25</v>
      </c>
      <c r="B260">
        <f t="shared" si="24"/>
        <v>1894</v>
      </c>
      <c r="C260">
        <f t="shared" si="25"/>
        <v>1938</v>
      </c>
      <c r="D260" s="14"/>
      <c r="E260" s="14">
        <v>25</v>
      </c>
      <c r="F260" s="14"/>
      <c r="G260" s="14"/>
      <c r="H260" s="14"/>
      <c r="I260" s="14" t="str">
        <f t="shared" si="23"/>
        <v>1894|1938</v>
      </c>
      <c r="J260" s="32" t="str">
        <f>$E$235&amp;"|"&amp;0&amp;"|"&amp;E260&amp;"$"&amp;$F$185&amp;"|"&amp;I260&amp;"$"&amp;$G$185&amp;"|"&amp;I260&amp;"$"&amp;$H$185&amp;"|"&amp;I260&amp;"$"&amp;$F$212&amp;"|"&amp;J233&amp;"$"&amp;$G$212&amp;"|"&amp;J233&amp;"$"&amp;$H$212&amp;"|"&amp;J233</f>
        <v>990001|0|25$125002|1894|1938$125004|1894|1938$125006|1894|1938$125003|1894|1938$125005|1894|1938$125007|1894|1938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3" sqref="B3"/>
    </sheetView>
  </sheetViews>
  <sheetFormatPr defaultColWidth="9" defaultRowHeight="13.5" outlineLevelRow="4" outlineLevelCol="1"/>
  <sheetData>
    <row r="1" ht="27" customHeight="1" spans="1:2">
      <c r="A1" s="1" t="s">
        <v>347</v>
      </c>
      <c r="B1" s="1" t="s">
        <v>348</v>
      </c>
    </row>
    <row r="2" ht="27" customHeight="1" spans="1:2">
      <c r="A2" s="1" t="s">
        <v>349</v>
      </c>
      <c r="B2" s="1" t="s">
        <v>350</v>
      </c>
    </row>
    <row r="3" ht="135" customHeight="1" spans="1:2">
      <c r="A3" s="1" t="s">
        <v>351</v>
      </c>
      <c r="B3" s="1" t="s">
        <v>352</v>
      </c>
    </row>
    <row r="4" ht="40.5" customHeight="1" spans="1:2">
      <c r="A4" s="1" t="s">
        <v>353</v>
      </c>
      <c r="B4" s="1" t="s">
        <v>354</v>
      </c>
    </row>
    <row r="5" ht="54" customHeight="1" spans="1:2">
      <c r="A5" s="1" t="s">
        <v>355</v>
      </c>
      <c r="B5" s="1" t="s">
        <v>356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毛绒绒</cp:lastModifiedBy>
  <dcterms:created xsi:type="dcterms:W3CDTF">2021-10-20T13:57:00Z</dcterms:created>
  <dcterms:modified xsi:type="dcterms:W3CDTF">2026-01-21T09:49:16Z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E4E1EDFAD14E4BC2A06A6076A43B34B1_12</vt:lpwstr>
  </property>
  <property fmtid="{D5CDD505-2E9C-101B-9397-08002B2CF9AE}" pid="4" name="CalculationRule">
    <vt:i4>0</vt:i4>
  </property>
</Properties>
</file>