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0605"/>
  </bookViews>
  <sheets>
    <sheet name="Sheet2" sheetId="1" r:id="rId1"/>
    <sheet name="主线怪物属性" sheetId="2" r:id="rId2"/>
    <sheet name="秘境怪物属性" sheetId="3" r:id="rId3"/>
    <sheet name="参赛敌人属性" sheetId="4" r:id="rId4"/>
    <sheet name="其它宗门jjc" sheetId="5" r:id="rId5"/>
    <sheet name="Sheet1" sheetId="6" r:id="rId6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<sst xmlns="http://schemas.openxmlformats.org/spreadsheetml/2006/main" count="3411" uniqueCount="1234">
  <si>
    <t>##var</t>
  </si>
  <si>
    <t>id</t>
  </si>
  <si>
    <t>name</t>
  </si>
  <si>
    <t>type</t>
  </si>
  <si>
    <t>level</t>
  </si>
  <si>
    <t>yuanSu</t>
  </si>
  <si>
    <t>gender</t>
  </si>
  <si>
    <t>specialPortrait</t>
  </si>
  <si>
    <t>ske</t>
  </si>
  <si>
    <t/>
  </si>
  <si>
    <t>des</t>
  </si>
  <si>
    <t>place</t>
  </si>
  <si>
    <t>award</t>
  </si>
  <si>
    <t>property</t>
  </si>
  <si>
    <t>skill</t>
  </si>
  <si>
    <t>phase</t>
  </si>
  <si>
    <t>phase2Pro</t>
  </si>
  <si>
    <t>phase2Skill</t>
  </si>
  <si>
    <t>phase3Pro</t>
  </si>
  <si>
    <t>phase3Skill</t>
  </si>
  <si>
    <t>uiName</t>
  </si>
  <si>
    <t>initAddBuff</t>
  </si>
  <si>
    <t>##type</t>
  </si>
  <si>
    <t>string</t>
  </si>
  <si>
    <t>##</t>
  </si>
  <si>
    <t>30008</t>
  </si>
  <si>
    <t>哥布林</t>
  </si>
  <si>
    <t>1</t>
  </si>
  <si>
    <t>img_santoushe</t>
  </si>
  <si>
    <t>santoushe_1_SkeletonData</t>
  </si>
  <si>
    <t>山下野蛇</t>
  </si>
  <si>
    <t>10001|300$10004|50$10003|150</t>
  </si>
  <si>
    <t>30009</t>
  </si>
  <si>
    <t>2</t>
  </si>
  <si>
    <t>10001|350$10004|60$10003|160</t>
  </si>
  <si>
    <t>30010</t>
  </si>
  <si>
    <t>3</t>
  </si>
  <si>
    <t>10001|400$10004|70$10003|170</t>
  </si>
  <si>
    <t>30011</t>
  </si>
  <si>
    <t>6</t>
  </si>
  <si>
    <t>云海宗噬灵蛇1</t>
  </si>
  <si>
    <t>云海宗噬灵蛇</t>
  </si>
  <si>
    <t>10001|504$10004|252$10003|307</t>
  </si>
  <si>
    <t>2|1</t>
  </si>
  <si>
    <t>30012</t>
  </si>
  <si>
    <t>santoushe_2_SkeletonData</t>
  </si>
  <si>
    <t>云海宗精英噬灵蛇1</t>
  </si>
  <si>
    <t>10001|1344$10004|336$10003|410</t>
  </si>
  <si>
    <t>2|1$770001|1</t>
  </si>
  <si>
    <t>30013</t>
  </si>
  <si>
    <t>santoushe_3_SkeletonData</t>
  </si>
  <si>
    <t>云海宗精英boss噬灵蛇1</t>
  </si>
  <si>
    <t>10001|2520$10004|252$10003|307</t>
  </si>
  <si>
    <t>30035</t>
  </si>
  <si>
    <t>9</t>
  </si>
  <si>
    <t>img_kuntou</t>
  </si>
  <si>
    <t>kun_SkeletonData</t>
  </si>
  <si>
    <t>季狸国鲲1</t>
  </si>
  <si>
    <t>10001|41303$10004|1957$10003|1542$10006|30</t>
  </si>
  <si>
    <t>2|4$110002|8</t>
  </si>
  <si>
    <t>2|4$880001|8</t>
  </si>
  <si>
    <t>2|4$440001|8</t>
  </si>
  <si>
    <t>30036</t>
  </si>
  <si>
    <t>30037</t>
  </si>
  <si>
    <t>30050</t>
  </si>
  <si>
    <t>img_yunhuntou</t>
  </si>
  <si>
    <t>yunhun_SkeletonData</t>
  </si>
  <si>
    <t>季狸国仙陨魂1</t>
  </si>
  <si>
    <t>2|4$110003|8</t>
  </si>
  <si>
    <t>2|4$770001|8</t>
  </si>
  <si>
    <t>2|4$660002|8</t>
  </si>
  <si>
    <t>30051</t>
  </si>
  <si>
    <t>季狸国魔陨魂1</t>
  </si>
  <si>
    <t>30052</t>
  </si>
  <si>
    <t>季狸国神陨魂1</t>
  </si>
  <si>
    <t>24001</t>
  </si>
  <si>
    <t>dadijingwei_SkeletonData</t>
  </si>
  <si>
    <t>大帝近卫小怪</t>
  </si>
  <si>
    <t>10001|2479$10004|470$10003|235$10006|30</t>
  </si>
  <si>
    <t>5|9$990012|9</t>
  </si>
  <si>
    <t>24002</t>
  </si>
  <si>
    <t>4|9$990012|9</t>
  </si>
  <si>
    <t>24003</t>
  </si>
  <si>
    <t>4</t>
  </si>
  <si>
    <t>7|9$990012|9</t>
  </si>
  <si>
    <t>24004</t>
  </si>
  <si>
    <t>dadiyitui_SkeletonData</t>
  </si>
  <si>
    <t>大帝boss</t>
  </si>
  <si>
    <t>10001|7437$10004|470$10003|235$10006|30$10017|50</t>
  </si>
  <si>
    <t>5|9$990013|9</t>
  </si>
  <si>
    <t>24005</t>
  </si>
  <si>
    <t>qingyueyaobing_SkeletonData</t>
  </si>
  <si>
    <t>2|9$990012|9</t>
  </si>
  <si>
    <t>10063</t>
  </si>
  <si>
    <t>24006</t>
  </si>
  <si>
    <t>6|9$990012|9</t>
  </si>
  <si>
    <t>24007</t>
  </si>
  <si>
    <t>24008</t>
  </si>
  <si>
    <t>qingyueyaoshen_SkeletonData</t>
  </si>
  <si>
    <t>boss</t>
  </si>
  <si>
    <t>10001|7437$10004|470$10003|235$10006|30</t>
  </si>
  <si>
    <t>7|9$990014|9</t>
  </si>
  <si>
    <t>24009</t>
  </si>
  <si>
    <t>5</t>
  </si>
  <si>
    <t>longxuanshahun_SkeletonData</t>
  </si>
  <si>
    <t>211010|9$990012|9</t>
  </si>
  <si>
    <t>10068</t>
  </si>
  <si>
    <t>24010</t>
  </si>
  <si>
    <t>24011</t>
  </si>
  <si>
    <t>24012</t>
  </si>
  <si>
    <t>longxuanshenshou_SkeletonData</t>
  </si>
  <si>
    <t>10001|7437$10004|470$10003|235$10006|50</t>
  </si>
  <si>
    <t>7|9$990015|9</t>
  </si>
  <si>
    <t>10064|10065|10066</t>
  </si>
  <si>
    <t>24013</t>
  </si>
  <si>
    <t>feiyunyaohua_SkeletonData</t>
  </si>
  <si>
    <t>10069</t>
  </si>
  <si>
    <t>24014</t>
  </si>
  <si>
    <t>24015</t>
  </si>
  <si>
    <t>24016</t>
  </si>
  <si>
    <t>shenfengjianhun_SkeletonData</t>
  </si>
  <si>
    <t>4|9$990015|9</t>
  </si>
  <si>
    <t>10070|10070|10070</t>
  </si>
  <si>
    <t>24017</t>
  </si>
  <si>
    <t>huangyuanshenshi_SkeletonData</t>
  </si>
  <si>
    <t>10071|10072</t>
  </si>
  <si>
    <t>24018</t>
  </si>
  <si>
    <t>24019</t>
  </si>
  <si>
    <t>24020</t>
  </si>
  <si>
    <t>huangyuanshenzun_SkeletonData</t>
  </si>
  <si>
    <t>5|9$990017|9</t>
  </si>
  <si>
    <t>11101</t>
  </si>
  <si>
    <t>21</t>
  </si>
  <si>
    <t>季狸国暗面</t>
  </si>
  <si>
    <t>季狸国暗面第1关</t>
  </si>
  <si>
    <t>10001|3441$10004|1957$10003|978$10006|30</t>
  </si>
  <si>
    <t>2|20$770001|6</t>
  </si>
  <si>
    <t>11102</t>
  </si>
  <si>
    <t>季狸国暗面第2关</t>
  </si>
  <si>
    <t>7|20$110008|6</t>
  </si>
  <si>
    <t>11103</t>
  </si>
  <si>
    <t>4|20$110003|6</t>
  </si>
  <si>
    <t>11104</t>
  </si>
  <si>
    <t>季狸国暗面第3关</t>
  </si>
  <si>
    <t>10001|10325$10004|1957$10003|978$10006|30</t>
  </si>
  <si>
    <t>11105</t>
  </si>
  <si>
    <t>6|20$141001|6</t>
  </si>
  <si>
    <t>11106</t>
  </si>
  <si>
    <t>22</t>
  </si>
  <si>
    <t>4|20$110003|7</t>
  </si>
  <si>
    <t>11107</t>
  </si>
  <si>
    <t>季狸国暗面第4关</t>
  </si>
  <si>
    <t>7|20$110008|7</t>
  </si>
  <si>
    <t>11108</t>
  </si>
  <si>
    <t>6|20$141001|7</t>
  </si>
  <si>
    <t>11109</t>
  </si>
  <si>
    <t>11110</t>
  </si>
  <si>
    <t>11211</t>
  </si>
  <si>
    <t>23</t>
  </si>
  <si>
    <t>季狸国暗面第6关 第五为恢复关</t>
  </si>
  <si>
    <t>10001|20651$10004|1957$10003|1272$10006|30</t>
  </si>
  <si>
    <t>2|20$770001|7</t>
  </si>
  <si>
    <t>11112</t>
  </si>
  <si>
    <t>季狸国暗面第7关</t>
  </si>
  <si>
    <t>211010|21$211011|8</t>
  </si>
  <si>
    <t>11113</t>
  </si>
  <si>
    <t>季狸国暗面第8关</t>
  </si>
  <si>
    <t>7|21$110008|8</t>
  </si>
  <si>
    <t>11114</t>
  </si>
  <si>
    <t>5|21$110007|8</t>
  </si>
  <si>
    <t>11115</t>
  </si>
  <si>
    <t>季狸国暗面第9关</t>
  </si>
  <si>
    <t>5|22$110001|8</t>
  </si>
  <si>
    <t>11116</t>
  </si>
  <si>
    <t>24</t>
  </si>
  <si>
    <t>6|20$141001|8</t>
  </si>
  <si>
    <t>11117</t>
  </si>
  <si>
    <t>季狸国暗面第11关 第10为恢复关</t>
  </si>
  <si>
    <t>5|23$110007|8</t>
  </si>
  <si>
    <t>11118</t>
  </si>
  <si>
    <t>7|23$110008|8</t>
  </si>
  <si>
    <t>11219</t>
  </si>
  <si>
    <t>季狸国暗面第12关</t>
  </si>
  <si>
    <t>4|23$110003|8</t>
  </si>
  <si>
    <t>11120</t>
  </si>
  <si>
    <t>季狸国暗面第13关</t>
  </si>
  <si>
    <t>11121</t>
  </si>
  <si>
    <t>25</t>
  </si>
  <si>
    <t>季狸国暗面第14关</t>
  </si>
  <si>
    <t>11122</t>
  </si>
  <si>
    <t>11123</t>
  </si>
  <si>
    <t>季狸国暗面第16关 第15为恢复关</t>
  </si>
  <si>
    <t>2|23$110004|8</t>
  </si>
  <si>
    <t>11124</t>
  </si>
  <si>
    <t>2|23$110002|8</t>
  </si>
  <si>
    <t>11125</t>
  </si>
  <si>
    <t xml:space="preserve">季狸国暗面第17关 </t>
  </si>
  <si>
    <t>211010|23$211011|8</t>
  </si>
  <si>
    <t>11126</t>
  </si>
  <si>
    <t>26</t>
  </si>
  <si>
    <t>11227</t>
  </si>
  <si>
    <t>季狸国暗面第18关</t>
  </si>
  <si>
    <t>2|23$440001|1</t>
  </si>
  <si>
    <t>11128</t>
  </si>
  <si>
    <t>季狸国暗面第19关</t>
  </si>
  <si>
    <t>11129</t>
  </si>
  <si>
    <t>季狸国暗面第21关 第20为恢复关</t>
  </si>
  <si>
    <t>6|24$141001|8</t>
  </si>
  <si>
    <t>11130</t>
  </si>
  <si>
    <t>季狸国暗面第22关</t>
  </si>
  <si>
    <t>11131</t>
  </si>
  <si>
    <t>27</t>
  </si>
  <si>
    <t>11132</t>
  </si>
  <si>
    <t>季狸国暗面第23关</t>
  </si>
  <si>
    <t>4|24$110003|8</t>
  </si>
  <si>
    <t>11133</t>
  </si>
  <si>
    <t>4|24$110003|9</t>
  </si>
  <si>
    <t>11234</t>
  </si>
  <si>
    <t>季狸国暗面第24关</t>
  </si>
  <si>
    <t>2|24$110004|9</t>
  </si>
  <si>
    <t>11135</t>
  </si>
  <si>
    <t>季狸国暗面第26关 第25为恢复关</t>
  </si>
  <si>
    <t>11136</t>
  </si>
  <si>
    <t>28</t>
  </si>
  <si>
    <t>7|23$110008|9</t>
  </si>
  <si>
    <t>11137</t>
  </si>
  <si>
    <t>季狸国暗面3个</t>
  </si>
  <si>
    <t>季狸国暗面第27关</t>
  </si>
  <si>
    <t>4|25$110003|9</t>
  </si>
  <si>
    <t>11138</t>
  </si>
  <si>
    <t>5|25$110007|9</t>
  </si>
  <si>
    <t>11139</t>
  </si>
  <si>
    <t>5|25$110001|9</t>
  </si>
  <si>
    <t>11140</t>
  </si>
  <si>
    <t>季狸国暗面第28关</t>
  </si>
  <si>
    <t>11141</t>
  </si>
  <si>
    <t>29</t>
  </si>
  <si>
    <t>11142</t>
  </si>
  <si>
    <t>11143</t>
  </si>
  <si>
    <t>6|25$141001|9</t>
  </si>
  <si>
    <t>11144</t>
  </si>
  <si>
    <t>11301</t>
  </si>
  <si>
    <t>img_limaotou</t>
  </si>
  <si>
    <t>limao_3_SkeletonData</t>
  </si>
  <si>
    <t>季狸国暗面第30关 第29为恢复关</t>
  </si>
  <si>
    <t>10001|41303$10004|1957$10003|1742$10006|30</t>
  </si>
  <si>
    <t>2|25$880001|10</t>
  </si>
  <si>
    <t>2|25$660002|1</t>
  </si>
  <si>
    <t>10001|20589$10004|1957$10003|1742$10006|30</t>
  </si>
  <si>
    <t>110006|25</t>
  </si>
  <si>
    <t>12101</t>
  </si>
  <si>
    <t>45</t>
  </si>
  <si>
    <t>餍火国暗面1个</t>
  </si>
  <si>
    <t>餍火国暗面第1关</t>
  </si>
  <si>
    <t>5|15$110007|15</t>
  </si>
  <si>
    <t>12102</t>
  </si>
  <si>
    <t>餍火国暗面</t>
  </si>
  <si>
    <t>餍火国暗面第2关</t>
  </si>
  <si>
    <t>7|16$110008|15</t>
  </si>
  <si>
    <t>12103</t>
  </si>
  <si>
    <t>46</t>
  </si>
  <si>
    <t>5|16$110001|15</t>
  </si>
  <si>
    <t>12104</t>
  </si>
  <si>
    <t>餍火国暗面2个</t>
  </si>
  <si>
    <t>餍火国暗面第3关</t>
  </si>
  <si>
    <t>5|17$110007|15</t>
  </si>
  <si>
    <t>12105</t>
  </si>
  <si>
    <t>47</t>
  </si>
  <si>
    <t>7|17$110008|15</t>
  </si>
  <si>
    <t>12206</t>
  </si>
  <si>
    <t xml:space="preserve">餍火国暗面第4关 </t>
  </si>
  <si>
    <t>10001|18357$10004|870$10003|870$10006|30</t>
  </si>
  <si>
    <t>5|17$110001|16</t>
  </si>
  <si>
    <t>12107</t>
  </si>
  <si>
    <t>48</t>
  </si>
  <si>
    <t>餍火国暗面第6关 第5关为中转站</t>
  </si>
  <si>
    <t>5|18$110007|16</t>
  </si>
  <si>
    <t>12108</t>
  </si>
  <si>
    <t>餍火国暗面第7关</t>
  </si>
  <si>
    <t>5|19$110001|16</t>
  </si>
  <si>
    <t>12109</t>
  </si>
  <si>
    <t>49</t>
  </si>
  <si>
    <t>6|19$141001|16</t>
  </si>
  <si>
    <t>12110</t>
  </si>
  <si>
    <t>餍火国暗面第8关</t>
  </si>
  <si>
    <t>6|20$141001|16</t>
  </si>
  <si>
    <t>12111</t>
  </si>
  <si>
    <t>50</t>
  </si>
  <si>
    <t>5|20$110001|17</t>
  </si>
  <si>
    <t>12212</t>
  </si>
  <si>
    <t>img_renwujueseyouxiangkuang</t>
  </si>
  <si>
    <t>餍火国暗面第9关</t>
  </si>
  <si>
    <t>5|20$110007|17</t>
  </si>
  <si>
    <t>12113</t>
  </si>
  <si>
    <t>51</t>
  </si>
  <si>
    <t>餍火国暗面第11关 第10关为中转站</t>
  </si>
  <si>
    <t>7|21$110008|17</t>
  </si>
  <si>
    <t>12114</t>
  </si>
  <si>
    <t>餍火国暗面第12关</t>
  </si>
  <si>
    <t>6|22$141001|17</t>
  </si>
  <si>
    <t>12115</t>
  </si>
  <si>
    <t>52</t>
  </si>
  <si>
    <t>5|22$110001|17</t>
  </si>
  <si>
    <t>12116</t>
  </si>
  <si>
    <t>餍火国暗面第13关</t>
  </si>
  <si>
    <t>6|23$141001|18</t>
  </si>
  <si>
    <t>12117</t>
  </si>
  <si>
    <t>53</t>
  </si>
  <si>
    <t>7|23$110008|18</t>
  </si>
  <si>
    <t>12218</t>
  </si>
  <si>
    <t>餍火国暗面第14关</t>
  </si>
  <si>
    <t>5|23$110001|18</t>
  </si>
  <si>
    <t>12119</t>
  </si>
  <si>
    <t>54</t>
  </si>
  <si>
    <t>餍火国暗面第16关 第15关为中转站</t>
  </si>
  <si>
    <t>5|23$110007|18</t>
  </si>
  <si>
    <t>12120</t>
  </si>
  <si>
    <t>餍火国暗面第17关</t>
  </si>
  <si>
    <t>12121</t>
  </si>
  <si>
    <t>55</t>
  </si>
  <si>
    <t>5|23$110007|19</t>
  </si>
  <si>
    <t>12122</t>
  </si>
  <si>
    <t>餍火国暗面第18关</t>
  </si>
  <si>
    <t>4|23$110003|19</t>
  </si>
  <si>
    <t>12123</t>
  </si>
  <si>
    <t>56</t>
  </si>
  <si>
    <t>5|23$110001|19</t>
  </si>
  <si>
    <t>12224</t>
  </si>
  <si>
    <t>餍火国暗面第19关</t>
  </si>
  <si>
    <t>12125</t>
  </si>
  <si>
    <t>57</t>
  </si>
  <si>
    <t>餍火国暗面第21关 第20关为中转站</t>
  </si>
  <si>
    <t>12126</t>
  </si>
  <si>
    <t>餍火国暗面第22关</t>
  </si>
  <si>
    <t>7|23$110008|19</t>
  </si>
  <si>
    <t>12127</t>
  </si>
  <si>
    <t>58</t>
  </si>
  <si>
    <t>12128</t>
  </si>
  <si>
    <t>餍火国暗面第23关</t>
  </si>
  <si>
    <t>12129</t>
  </si>
  <si>
    <t>59</t>
  </si>
  <si>
    <t>12230</t>
  </si>
  <si>
    <t>餍火国暗面第24关</t>
  </si>
  <si>
    <t>12131</t>
  </si>
  <si>
    <t>60</t>
  </si>
  <si>
    <t>餍火国暗面3个</t>
  </si>
  <si>
    <t>餍火国暗面第26关 第25关为中转站</t>
  </si>
  <si>
    <t>12132</t>
  </si>
  <si>
    <t>12133</t>
  </si>
  <si>
    <t>12134</t>
  </si>
  <si>
    <t>餍火国暗面第27关</t>
  </si>
  <si>
    <t>4|24$110003|19</t>
  </si>
  <si>
    <t>12135</t>
  </si>
  <si>
    <t>5|24$110001|19</t>
  </si>
  <si>
    <t>12136</t>
  </si>
  <si>
    <t>5|24$110007|19</t>
  </si>
  <si>
    <t>12137</t>
  </si>
  <si>
    <t>餍火国暗面4个</t>
  </si>
  <si>
    <t>餍火国暗面第28关</t>
  </si>
  <si>
    <t>5|25$110001|20</t>
  </si>
  <si>
    <t>12138</t>
  </si>
  <si>
    <t>6|25$141001|20</t>
  </si>
  <si>
    <t>12139</t>
  </si>
  <si>
    <t>5|25$110007|20</t>
  </si>
  <si>
    <t>12140</t>
  </si>
  <si>
    <t>4|25$110003|20</t>
  </si>
  <si>
    <t>12341</t>
  </si>
  <si>
    <t>img_yingzi</t>
  </si>
  <si>
    <t>餍火国暗面第30关 第29关为中转站</t>
  </si>
  <si>
    <t>10001|41303$10004|1957$10003|1957$10006|30</t>
  </si>
  <si>
    <t>5|25$110007|20$110001|20$660003|1</t>
  </si>
  <si>
    <t>13201</t>
  </si>
  <si>
    <t>77</t>
  </si>
  <si>
    <t>白民国裂隙1</t>
  </si>
  <si>
    <t>5|14$110001|26</t>
  </si>
  <si>
    <t>13202</t>
  </si>
  <si>
    <t>白民国裂隙2</t>
  </si>
  <si>
    <t>5|14$110007|26</t>
  </si>
  <si>
    <t>13203</t>
  </si>
  <si>
    <t>78</t>
  </si>
  <si>
    <t>4|14$110003|26</t>
  </si>
  <si>
    <t>13204</t>
  </si>
  <si>
    <t>白民国裂隙3</t>
  </si>
  <si>
    <t>7|14$110008|26</t>
  </si>
  <si>
    <t>13205</t>
  </si>
  <si>
    <t>79</t>
  </si>
  <si>
    <t>13206</t>
  </si>
  <si>
    <t>白民国裂隙4</t>
  </si>
  <si>
    <t>211010|14$110009|26</t>
  </si>
  <si>
    <t>13207</t>
  </si>
  <si>
    <t>白民国裂隙6 5为中转站</t>
  </si>
  <si>
    <t>4|17$110003|27</t>
  </si>
  <si>
    <t>13208</t>
  </si>
  <si>
    <t>80</t>
  </si>
  <si>
    <t>白民国裂隙7</t>
  </si>
  <si>
    <t>13209</t>
  </si>
  <si>
    <t>5|17$110001|27</t>
  </si>
  <si>
    <t>13210</t>
  </si>
  <si>
    <t>81</t>
  </si>
  <si>
    <t>白民国裂隙8</t>
  </si>
  <si>
    <t>5|17$110007|27</t>
  </si>
  <si>
    <t>13211</t>
  </si>
  <si>
    <t>6|17$141001|27</t>
  </si>
  <si>
    <t>13212</t>
  </si>
  <si>
    <t>82</t>
  </si>
  <si>
    <t>白民国裂隙9</t>
  </si>
  <si>
    <t>211010|17$110009|27</t>
  </si>
  <si>
    <t>13213</t>
  </si>
  <si>
    <t>白民国裂隙11 10为中转站</t>
  </si>
  <si>
    <t>4|19$110003|27</t>
  </si>
  <si>
    <t>13214</t>
  </si>
  <si>
    <t>白民国裂隙12</t>
  </si>
  <si>
    <t>5|19$110001|27</t>
  </si>
  <si>
    <t>13215</t>
  </si>
  <si>
    <t>83</t>
  </si>
  <si>
    <t>7|19$110008|27</t>
  </si>
  <si>
    <t>13216</t>
  </si>
  <si>
    <t>白民国裂隙13</t>
  </si>
  <si>
    <t>13217</t>
  </si>
  <si>
    <t>84</t>
  </si>
  <si>
    <t>13218</t>
  </si>
  <si>
    <t>白民国裂隙14</t>
  </si>
  <si>
    <t>211010|19$213001|27</t>
  </si>
  <si>
    <t>13219</t>
  </si>
  <si>
    <t>85</t>
  </si>
  <si>
    <t>白民国裂隙16 15为中转站</t>
  </si>
  <si>
    <t>4|21$110003|28</t>
  </si>
  <si>
    <t>13220</t>
  </si>
  <si>
    <t>白民国裂隙17</t>
  </si>
  <si>
    <t>6|21$141001|28</t>
  </si>
  <si>
    <t>13221</t>
  </si>
  <si>
    <t>7|21$110008|28</t>
  </si>
  <si>
    <t>13222</t>
  </si>
  <si>
    <t>86</t>
  </si>
  <si>
    <t>白民国裂隙18</t>
  </si>
  <si>
    <t>13223</t>
  </si>
  <si>
    <t>13224</t>
  </si>
  <si>
    <t>87</t>
  </si>
  <si>
    <t>白民国裂隙19</t>
  </si>
  <si>
    <t>211010|21$110009|28</t>
  </si>
  <si>
    <t>13225</t>
  </si>
  <si>
    <t>白民国裂隙21 20为中转站</t>
  </si>
  <si>
    <t>5|23$110007|28</t>
  </si>
  <si>
    <t>13226</t>
  </si>
  <si>
    <t>88</t>
  </si>
  <si>
    <t>白民国裂隙22</t>
  </si>
  <si>
    <t>4|23$110003|28</t>
  </si>
  <si>
    <t>13227</t>
  </si>
  <si>
    <t>6|23$141001|28</t>
  </si>
  <si>
    <t>13228</t>
  </si>
  <si>
    <t>白民国裂隙23</t>
  </si>
  <si>
    <t>13229</t>
  </si>
  <si>
    <t>89</t>
  </si>
  <si>
    <t>5|23$110001|28</t>
  </si>
  <si>
    <t>13230</t>
  </si>
  <si>
    <t>白民国裂隙24</t>
  </si>
  <si>
    <t>211010|23$213001|28</t>
  </si>
  <si>
    <t>13231</t>
  </si>
  <si>
    <t>白民国裂隙26 25为中转站</t>
  </si>
  <si>
    <t>5|24$110001|29</t>
  </si>
  <si>
    <t>13232</t>
  </si>
  <si>
    <t>白民国裂隙27</t>
  </si>
  <si>
    <t>4|24$110003|29</t>
  </si>
  <si>
    <t>13233</t>
  </si>
  <si>
    <t>6|24$141001|29</t>
  </si>
  <si>
    <t>13234</t>
  </si>
  <si>
    <t>13235</t>
  </si>
  <si>
    <t>白民国裂隙28</t>
  </si>
  <si>
    <t>211010|24$110009|29</t>
  </si>
  <si>
    <t>13336</t>
  </si>
  <si>
    <t>90</t>
  </si>
  <si>
    <t>白民国裂隙30 29为中转站</t>
  </si>
  <si>
    <t>211010|25$213001|30$660004|30$660005|1</t>
  </si>
  <si>
    <t>14101</t>
  </si>
  <si>
    <t>106</t>
  </si>
  <si>
    <t>羽民国裂隙</t>
  </si>
  <si>
    <t>7|34$880001|34</t>
  </si>
  <si>
    <t>14102</t>
  </si>
  <si>
    <t>4|34$110003|34</t>
  </si>
  <si>
    <t>14103</t>
  </si>
  <si>
    <t>6|35$141001|35</t>
  </si>
  <si>
    <t>14104</t>
  </si>
  <si>
    <t>2|33$770001|33</t>
  </si>
  <si>
    <t>14105</t>
  </si>
  <si>
    <t>14106</t>
  </si>
  <si>
    <t>5|31$110001|32</t>
  </si>
  <si>
    <t>14107</t>
  </si>
  <si>
    <t>211010|33$330001|33</t>
  </si>
  <si>
    <t>14108</t>
  </si>
  <si>
    <t>141091</t>
  </si>
  <si>
    <t>向往自由的高傲生物，对敌人毫不留情</t>
  </si>
  <si>
    <t>6|33$990018|33</t>
  </si>
  <si>
    <t>14202</t>
  </si>
  <si>
    <t>精湛的战斗力和冷静的头脑，令任何见到它的人都畏惧三分</t>
  </si>
  <si>
    <t>10001|15694$10004|1180$10003|1770</t>
  </si>
  <si>
    <t>14109</t>
  </si>
  <si>
    <t>10001|4720$10004|1180$10003|1180</t>
  </si>
  <si>
    <t>14110</t>
  </si>
  <si>
    <t>10001|4760$10004|1190$10003|1190</t>
  </si>
  <si>
    <t>14111</t>
  </si>
  <si>
    <t>10001|4800$10004|1200$10003|1200</t>
  </si>
  <si>
    <t>14112</t>
  </si>
  <si>
    <t>10001|4840$10004|1210$10003|1210</t>
  </si>
  <si>
    <t>14203</t>
  </si>
  <si>
    <t>10001|16226$10004|1220$10003|1830</t>
  </si>
  <si>
    <t>14113</t>
  </si>
  <si>
    <t>10001|4880$10004|1220$10003|1220</t>
  </si>
  <si>
    <t>14114</t>
  </si>
  <si>
    <t>10001|4920$10004|1230$10003|1230</t>
  </si>
  <si>
    <t>14115</t>
  </si>
  <si>
    <t>10001|4960$10004|1240$10003|1240</t>
  </si>
  <si>
    <t>14116</t>
  </si>
  <si>
    <t>10001|5000$10004|1250$10003|1250</t>
  </si>
  <si>
    <t>14204</t>
  </si>
  <si>
    <t>10001|16758$10004|1260$10003|1890</t>
  </si>
  <si>
    <t>14117</t>
  </si>
  <si>
    <t>10001|5040$10004|1260$10003|1260</t>
  </si>
  <si>
    <t>14118</t>
  </si>
  <si>
    <t>10001|5080$10004|1270$10003|1270</t>
  </si>
  <si>
    <t>14119</t>
  </si>
  <si>
    <t>10001|5120$10004|1280$10003|1280</t>
  </si>
  <si>
    <t>14120</t>
  </si>
  <si>
    <t>10001|5160$10004|1290$10003|1290</t>
  </si>
  <si>
    <t>14205</t>
  </si>
  <si>
    <t>10001|17290$10004|1300$10003|1950</t>
  </si>
  <si>
    <t>14121</t>
  </si>
  <si>
    <t>10001|5200$10004|1300$10003|1300</t>
  </si>
  <si>
    <t>14122</t>
  </si>
  <si>
    <t>10001|5240$10004|1310$10003|1310</t>
  </si>
  <si>
    <t>14123</t>
  </si>
  <si>
    <t>10001|5280$10004|1320$10003|1320</t>
  </si>
  <si>
    <t>14124</t>
  </si>
  <si>
    <t>10001|5320$10004|1330$10003|1330</t>
  </si>
  <si>
    <t>14206</t>
  </si>
  <si>
    <t>10001|17822$10004|1340$10003|2010</t>
  </si>
  <si>
    <t>14125</t>
  </si>
  <si>
    <t>10001|5360$10004|1340$10003|1340</t>
  </si>
  <si>
    <t>14126</t>
  </si>
  <si>
    <t>10001|5440$10004|1360$10003|1360</t>
  </si>
  <si>
    <t>14127</t>
  </si>
  <si>
    <t>10001|5520$10004|1380$10003|1380</t>
  </si>
  <si>
    <t>14128</t>
  </si>
  <si>
    <t>10001|5560$10004|1390$10003|1390</t>
  </si>
  <si>
    <t>14301</t>
  </si>
  <si>
    <t>羽人王浑身散发王者的无上威压。据说进入它的宫殿的人，要么成为它的奴仆，要么就再也没回来过。</t>
  </si>
  <si>
    <t>10001|41700$10004|3475$10003|1390</t>
  </si>
  <si>
    <t>15101</t>
  </si>
  <si>
    <t>骁勇而热情的部落子民，万界最擅战的种族。</t>
  </si>
  <si>
    <t>10001|5600$10004|1400$10003|1400</t>
  </si>
  <si>
    <t>15102</t>
  </si>
  <si>
    <t>10001|5640$10004|1410$10003|1410</t>
  </si>
  <si>
    <t>15103</t>
  </si>
  <si>
    <t>10001|5680$10004|1420$10003|1420</t>
  </si>
  <si>
    <t>15104</t>
  </si>
  <si>
    <t>10001|5720$10004|1430$10003|1430</t>
  </si>
  <si>
    <t>15201</t>
  </si>
  <si>
    <t>万里挑一的三苗人，兼具力量以及非凡的领导力。</t>
  </si>
  <si>
    <t>10001|19152$10004|1440$10003|2160</t>
  </si>
  <si>
    <t>15105</t>
  </si>
  <si>
    <t>10001|5760$10004|1440$10003|1440</t>
  </si>
  <si>
    <t>15106</t>
  </si>
  <si>
    <t>10001|5800$10004|1450$10003|1450</t>
  </si>
  <si>
    <t>15107</t>
  </si>
  <si>
    <t>10001|5840$10004|1460$10003|1460</t>
  </si>
  <si>
    <t>15108</t>
  </si>
  <si>
    <t>10001|5880$10004|1470$10003|1470</t>
  </si>
  <si>
    <t>15202</t>
  </si>
  <si>
    <t>10001|19684$10004|1480$10003|2220</t>
  </si>
  <si>
    <t>15109</t>
  </si>
  <si>
    <t>10001|5920$10004|1480$10003|1480</t>
  </si>
  <si>
    <t>15110</t>
  </si>
  <si>
    <t>10001|5960$10004|1490$10003|1490</t>
  </si>
  <si>
    <t>15111</t>
  </si>
  <si>
    <t>10001|6000$10004|1500$10003|1500</t>
  </si>
  <si>
    <t>15112</t>
  </si>
  <si>
    <t>10001|6040$10004|1510$10003|1510</t>
  </si>
  <si>
    <t>15203</t>
  </si>
  <si>
    <t>10001|20216$10004|1520$10003|2280</t>
  </si>
  <si>
    <t>15113</t>
  </si>
  <si>
    <t>10001|6080$10004|1520$10003|1520</t>
  </si>
  <si>
    <t>15114</t>
  </si>
  <si>
    <t>10001|6120$10004|1530$10003|1530</t>
  </si>
  <si>
    <t>15115</t>
  </si>
  <si>
    <t>10001|6160$10004|1540$10003|1540</t>
  </si>
  <si>
    <t>15116</t>
  </si>
  <si>
    <t>10001|6200$10004|1550$10003|1550</t>
  </si>
  <si>
    <t>15204</t>
  </si>
  <si>
    <t>10001|20748$10004|1560$10003|2340</t>
  </si>
  <si>
    <t>15117</t>
  </si>
  <si>
    <t>10001|6240$10004|1560$10003|1560</t>
  </si>
  <si>
    <t>15118</t>
  </si>
  <si>
    <t>10001|6280$10004|1570$10003|1570</t>
  </si>
  <si>
    <t>15119</t>
  </si>
  <si>
    <t>10001|6320$10004|1580$10003|1580</t>
  </si>
  <si>
    <t>15120</t>
  </si>
  <si>
    <t>10001|6360$10004|1590$10003|1590</t>
  </si>
  <si>
    <t>15205</t>
  </si>
  <si>
    <t>10001|21280$10004|1600$10003|2400</t>
  </si>
  <si>
    <t>15121</t>
  </si>
  <si>
    <t>10001|6400$10004|1600$10003|1600</t>
  </si>
  <si>
    <t>15122</t>
  </si>
  <si>
    <t>10001|6440$10004|1610$10003|1610</t>
  </si>
  <si>
    <t>15123</t>
  </si>
  <si>
    <t>10001|6480$10004|1620$10003|1620</t>
  </si>
  <si>
    <t>15124</t>
  </si>
  <si>
    <t>10001|6520$10004|1630$10003|1630</t>
  </si>
  <si>
    <t>15206</t>
  </si>
  <si>
    <t>10001|21812$10004|1640$10003|2460</t>
  </si>
  <si>
    <t>15125</t>
  </si>
  <si>
    <t>10001|6560$10004|1640$10003|1640</t>
  </si>
  <si>
    <t>15126</t>
  </si>
  <si>
    <t>10001|6600$10004|1650$10003|1650</t>
  </si>
  <si>
    <t>15127</t>
  </si>
  <si>
    <t>10001|6640$10004|1660$10003|1660</t>
  </si>
  <si>
    <t>15128</t>
  </si>
  <si>
    <t>10001|6680$10004|1670$10003|1670</t>
  </si>
  <si>
    <t>15207</t>
  </si>
  <si>
    <t>10001|22344$10004|1680$10003|2520</t>
  </si>
  <si>
    <t>15129</t>
  </si>
  <si>
    <t>10001|6720$10004|1680$10003|1680</t>
  </si>
  <si>
    <t>15130</t>
  </si>
  <si>
    <t>10001|6760$10004|1690$10003|1690</t>
  </si>
  <si>
    <t>15131</t>
  </si>
  <si>
    <t>15132</t>
  </si>
  <si>
    <t>15301</t>
  </si>
  <si>
    <t>山苗人首领，拥有毁天灭地的实力，鲜有人知晓它的真实面目，甚至提及它的名字就能令万界胆寒</t>
  </si>
  <si>
    <t>10001|50700$10004|4225$10003|1690</t>
  </si>
  <si>
    <t>50101</t>
  </si>
  <si>
    <t>云海宗主线怪</t>
  </si>
  <si>
    <t>云海宗喽啰</t>
  </si>
  <si>
    <t>10001|1512$10004|302$10003|604</t>
  </si>
  <si>
    <t>50104</t>
  </si>
  <si>
    <t>50107</t>
  </si>
  <si>
    <t>50301</t>
  </si>
  <si>
    <t>img_yunhaizongzhangm1_1</t>
  </si>
  <si>
    <t>云海宗掌门</t>
  </si>
  <si>
    <t>10001|4589$10004|435$10003|282</t>
  </si>
  <si>
    <t>211010|1</t>
  </si>
  <si>
    <t>50302</t>
  </si>
  <si>
    <t>狸猫人</t>
  </si>
  <si>
    <t>2|1$212011|1</t>
  </si>
  <si>
    <t>50110</t>
  </si>
  <si>
    <t>7</t>
  </si>
  <si>
    <t>云海宗裂隙怪</t>
  </si>
  <si>
    <t>妖变的云海宗喽啰</t>
  </si>
  <si>
    <t>7|1$110008|1</t>
  </si>
  <si>
    <t>50111</t>
  </si>
  <si>
    <t>7|2$110008|1</t>
  </si>
  <si>
    <t>50112</t>
  </si>
  <si>
    <t>8</t>
  </si>
  <si>
    <t>7|3$110008|1</t>
  </si>
  <si>
    <t>50113</t>
  </si>
  <si>
    <t>2|4$110002|1</t>
  </si>
  <si>
    <t>50214</t>
  </si>
  <si>
    <t>妖变的精英云海宗喽啰</t>
  </si>
  <si>
    <t>50116</t>
  </si>
  <si>
    <t>50117</t>
  </si>
  <si>
    <t>50318</t>
  </si>
  <si>
    <t>10</t>
  </si>
  <si>
    <t>妖变的云海宗掌门</t>
  </si>
  <si>
    <t>2|4$110002|2$770001|2</t>
  </si>
  <si>
    <t>51101</t>
  </si>
  <si>
    <t>11</t>
  </si>
  <si>
    <t>季狸国主线怪</t>
  </si>
  <si>
    <t>季狸国主线第1关</t>
  </si>
  <si>
    <t>6|2</t>
  </si>
  <si>
    <t>51102</t>
  </si>
  <si>
    <t>季狸国主线第1关和第二关</t>
  </si>
  <si>
    <t>4|2</t>
  </si>
  <si>
    <t>51103</t>
  </si>
  <si>
    <t>季狸国主线第3关</t>
  </si>
  <si>
    <t>6|4</t>
  </si>
  <si>
    <t>51104</t>
  </si>
  <si>
    <t>4|4</t>
  </si>
  <si>
    <t>51105</t>
  </si>
  <si>
    <t>12</t>
  </si>
  <si>
    <t>季狸国主线第4关</t>
  </si>
  <si>
    <t>6|5</t>
  </si>
  <si>
    <t>51106</t>
  </si>
  <si>
    <t>4|5</t>
  </si>
  <si>
    <t>51107</t>
  </si>
  <si>
    <t>7|5</t>
  </si>
  <si>
    <t>51108</t>
  </si>
  <si>
    <t>季狸国主线第5关</t>
  </si>
  <si>
    <t>51109</t>
  </si>
  <si>
    <t>13</t>
  </si>
  <si>
    <t>51210</t>
  </si>
  <si>
    <t>4|8$110003|3</t>
  </si>
  <si>
    <t>51111</t>
  </si>
  <si>
    <t>季狸国主线第6关</t>
  </si>
  <si>
    <t>2|8</t>
  </si>
  <si>
    <t>51112</t>
  </si>
  <si>
    <t>季狸国主线第7关</t>
  </si>
  <si>
    <t>2|9</t>
  </si>
  <si>
    <t>51113</t>
  </si>
  <si>
    <t>14</t>
  </si>
  <si>
    <t>季狸国主线第8关</t>
  </si>
  <si>
    <t>51214</t>
  </si>
  <si>
    <t>季狸国主线第9关</t>
  </si>
  <si>
    <t>2|10$110004|3</t>
  </si>
  <si>
    <t>51215</t>
  </si>
  <si>
    <t>guaiwu_2_SkeletonData</t>
  </si>
  <si>
    <t>季狸国主线第10关</t>
  </si>
  <si>
    <t>2|10$110002|3</t>
  </si>
  <si>
    <t>51116</t>
  </si>
  <si>
    <t>季狸国主线第11关</t>
  </si>
  <si>
    <t>7|10</t>
  </si>
  <si>
    <t>51117</t>
  </si>
  <si>
    <t>15</t>
  </si>
  <si>
    <t>季狸国主线第12关</t>
  </si>
  <si>
    <t>51118</t>
  </si>
  <si>
    <t>6|10</t>
  </si>
  <si>
    <t>51119</t>
  </si>
  <si>
    <t>季狸国主线第13关</t>
  </si>
  <si>
    <t>7|11</t>
  </si>
  <si>
    <t>51120</t>
  </si>
  <si>
    <t>6|12</t>
  </si>
  <si>
    <t>51121</t>
  </si>
  <si>
    <t>4|13</t>
  </si>
  <si>
    <t>51122</t>
  </si>
  <si>
    <t>16</t>
  </si>
  <si>
    <t>季狸国主线第14关</t>
  </si>
  <si>
    <t>7|14</t>
  </si>
  <si>
    <t>51123</t>
  </si>
  <si>
    <t>6|15</t>
  </si>
  <si>
    <t>51124</t>
  </si>
  <si>
    <t>4|15</t>
  </si>
  <si>
    <t>51125</t>
  </si>
  <si>
    <t>7|15</t>
  </si>
  <si>
    <t>51226</t>
  </si>
  <si>
    <t>17</t>
  </si>
  <si>
    <t>季狸国主线第15关</t>
  </si>
  <si>
    <t>7|15$440001|1</t>
  </si>
  <si>
    <t>51127</t>
  </si>
  <si>
    <t>季狸国主线第16关</t>
  </si>
  <si>
    <t>51128</t>
  </si>
  <si>
    <t>5|15</t>
  </si>
  <si>
    <t>51129</t>
  </si>
  <si>
    <t>51130</t>
  </si>
  <si>
    <t>18</t>
  </si>
  <si>
    <t>季狸国主线第17关</t>
  </si>
  <si>
    <t>51131</t>
  </si>
  <si>
    <t>51132</t>
  </si>
  <si>
    <t>51133</t>
  </si>
  <si>
    <t>季狸国主线第18关</t>
  </si>
  <si>
    <t>51134</t>
  </si>
  <si>
    <t>19</t>
  </si>
  <si>
    <t>51135</t>
  </si>
  <si>
    <t>51136</t>
  </si>
  <si>
    <t>季狸国主线怪3个</t>
  </si>
  <si>
    <t>季狸国主线第19关</t>
  </si>
  <si>
    <t>211010|15</t>
  </si>
  <si>
    <t>51237</t>
  </si>
  <si>
    <t>limao_2_SkeletonData</t>
  </si>
  <si>
    <t>季狸国主线第20关</t>
  </si>
  <si>
    <t>2|15$770001|5</t>
  </si>
  <si>
    <t>51138</t>
  </si>
  <si>
    <t>季狸国主线第21关</t>
  </si>
  <si>
    <t>51139</t>
  </si>
  <si>
    <t>季狸国主线第22关</t>
  </si>
  <si>
    <t>51140</t>
  </si>
  <si>
    <t>51141</t>
  </si>
  <si>
    <t>51142</t>
  </si>
  <si>
    <t>季狸国主线第23关</t>
  </si>
  <si>
    <t>51143</t>
  </si>
  <si>
    <t>51144</t>
  </si>
  <si>
    <t>51345</t>
  </si>
  <si>
    <t>img_sumenglan1_1</t>
  </si>
  <si>
    <t>季狸国主线第24关</t>
  </si>
  <si>
    <t>2|18$440001|1$440002|1$110005|6</t>
  </si>
  <si>
    <t>52101</t>
  </si>
  <si>
    <t>31</t>
  </si>
  <si>
    <t>餍火国主线怪</t>
  </si>
  <si>
    <t>餍火国主线第1关</t>
  </si>
  <si>
    <t>5|1$110007|11</t>
  </si>
  <si>
    <t>52102</t>
  </si>
  <si>
    <t>餍火国主线怪2个</t>
  </si>
  <si>
    <t>餍火国主线第2关</t>
  </si>
  <si>
    <t>5|2$110007|11</t>
  </si>
  <si>
    <t>52103</t>
  </si>
  <si>
    <t>32</t>
  </si>
  <si>
    <t>餍火国主线怪3个</t>
  </si>
  <si>
    <t>餍火国主线第3关</t>
  </si>
  <si>
    <t>5|3$110007|11</t>
  </si>
  <si>
    <t>52204</t>
  </si>
  <si>
    <t>餍火国主线第4关</t>
  </si>
  <si>
    <t>5|3$110001|11</t>
  </si>
  <si>
    <t>52105</t>
  </si>
  <si>
    <t>33</t>
  </si>
  <si>
    <t>餍火国主线第5关</t>
  </si>
  <si>
    <t>7|3$110008|11</t>
  </si>
  <si>
    <t>52106</t>
  </si>
  <si>
    <t>餍火国主线第6关</t>
  </si>
  <si>
    <t>5|4$110007|11</t>
  </si>
  <si>
    <t>52107</t>
  </si>
  <si>
    <t>34</t>
  </si>
  <si>
    <t>餍火国主线第7关</t>
  </si>
  <si>
    <t>6|4$141001|11</t>
  </si>
  <si>
    <t>52208</t>
  </si>
  <si>
    <t>餍火国主线第8关</t>
  </si>
  <si>
    <t>52109</t>
  </si>
  <si>
    <t>35</t>
  </si>
  <si>
    <t>餍火国主线第9关</t>
  </si>
  <si>
    <t>5|5$110001|11</t>
  </si>
  <si>
    <t>52110</t>
  </si>
  <si>
    <t>餍火国主线第10关</t>
  </si>
  <si>
    <t>6|5$141001|11</t>
  </si>
  <si>
    <t>52111</t>
  </si>
  <si>
    <t>36</t>
  </si>
  <si>
    <t>餍火国主线第11关</t>
  </si>
  <si>
    <t>5|6$110001|11</t>
  </si>
  <si>
    <t>52112</t>
  </si>
  <si>
    <t>餍火国主线第12关</t>
  </si>
  <si>
    <t>5|6$110007|12</t>
  </si>
  <si>
    <t>52113</t>
  </si>
  <si>
    <t>37</t>
  </si>
  <si>
    <t>餍火国主线第13关</t>
  </si>
  <si>
    <t>6|7$141001|12</t>
  </si>
  <si>
    <t>52114</t>
  </si>
  <si>
    <t>餍火国主线第14关</t>
  </si>
  <si>
    <t>5|7$110007|12</t>
  </si>
  <si>
    <t>52215</t>
  </si>
  <si>
    <t>38</t>
  </si>
  <si>
    <t>餍火国主线第15关</t>
  </si>
  <si>
    <t>5|8$110007|12</t>
  </si>
  <si>
    <t>52116</t>
  </si>
  <si>
    <t>餍火国主线第16关</t>
  </si>
  <si>
    <t>4|8$110003|12</t>
  </si>
  <si>
    <t>52117</t>
  </si>
  <si>
    <t>39</t>
  </si>
  <si>
    <t>餍火国主线第17关</t>
  </si>
  <si>
    <t>6|8$141001|12</t>
  </si>
  <si>
    <t>52218</t>
  </si>
  <si>
    <t>餍火国主线第18关</t>
  </si>
  <si>
    <t>52119</t>
  </si>
  <si>
    <t>40</t>
  </si>
  <si>
    <t>餍火国主线第19关</t>
  </si>
  <si>
    <t>4|9$110003|12</t>
  </si>
  <si>
    <t>52120</t>
  </si>
  <si>
    <t>餍火国主线第20关</t>
  </si>
  <si>
    <t>5|9$110007|12</t>
  </si>
  <si>
    <t>52121</t>
  </si>
  <si>
    <t>41</t>
  </si>
  <si>
    <t>餍火国主线第21关</t>
  </si>
  <si>
    <t>5|10$110007|12</t>
  </si>
  <si>
    <t>52122</t>
  </si>
  <si>
    <t>餍火国主线第22关</t>
  </si>
  <si>
    <t>6|11$141001|13</t>
  </si>
  <si>
    <t>52123</t>
  </si>
  <si>
    <t>42</t>
  </si>
  <si>
    <t>餍火国主线第23关</t>
  </si>
  <si>
    <t>7|12$110008|13</t>
  </si>
  <si>
    <t>52224</t>
  </si>
  <si>
    <t>餍火国主线第24关</t>
  </si>
  <si>
    <t>5|12$110007|13</t>
  </si>
  <si>
    <t>52125</t>
  </si>
  <si>
    <t>43</t>
  </si>
  <si>
    <t>餍火国主线第25关</t>
  </si>
  <si>
    <t>5|12$110001|13</t>
  </si>
  <si>
    <t>52126</t>
  </si>
  <si>
    <t>餍火国主线第26关</t>
  </si>
  <si>
    <t>6|13$141001|13</t>
  </si>
  <si>
    <t>52127</t>
  </si>
  <si>
    <t>44</t>
  </si>
  <si>
    <t>餍火国主线第27关</t>
  </si>
  <si>
    <t>5|14$110001|14</t>
  </si>
  <si>
    <t>52128</t>
  </si>
  <si>
    <t>餍火国主线第28关</t>
  </si>
  <si>
    <t>5|14$110007|14</t>
  </si>
  <si>
    <t>52229</t>
  </si>
  <si>
    <t>餍火国主线第29关</t>
  </si>
  <si>
    <t>52330</t>
  </si>
  <si>
    <t>餍火国主线第30关</t>
  </si>
  <si>
    <t>5|15$110007|15$110001|15</t>
  </si>
  <si>
    <t>110001</t>
  </si>
  <si>
    <t>img_zhujue1</t>
  </si>
  <si>
    <t>新手引导元素帝姝</t>
  </si>
  <si>
    <t>10001|2000$10004|9999$10003|150</t>
  </si>
  <si>
    <t>53101</t>
  </si>
  <si>
    <t>61</t>
  </si>
  <si>
    <t>白民国主线怪</t>
  </si>
  <si>
    <t>白民国主线第1关</t>
  </si>
  <si>
    <t>211010|10</t>
  </si>
  <si>
    <t>53102</t>
  </si>
  <si>
    <t>白民国主线第2关</t>
  </si>
  <si>
    <t>5|10</t>
  </si>
  <si>
    <t>53103</t>
  </si>
  <si>
    <t>4|10</t>
  </si>
  <si>
    <t>53104</t>
  </si>
  <si>
    <t>白民国主线第3关</t>
  </si>
  <si>
    <t>53105</t>
  </si>
  <si>
    <t>53106</t>
  </si>
  <si>
    <t>53207</t>
  </si>
  <si>
    <t>62</t>
  </si>
  <si>
    <t>白民国主线第4关</t>
  </si>
  <si>
    <t>211010|10$213001|21</t>
  </si>
  <si>
    <t>53108</t>
  </si>
  <si>
    <t>白民国主线第5关</t>
  </si>
  <si>
    <t>2|12</t>
  </si>
  <si>
    <t>53109</t>
  </si>
  <si>
    <t>白民国主线第6关</t>
  </si>
  <si>
    <t>4|12</t>
  </si>
  <si>
    <t>53110</t>
  </si>
  <si>
    <t>7|12</t>
  </si>
  <si>
    <t>53111</t>
  </si>
  <si>
    <t>白民国主线第7关</t>
  </si>
  <si>
    <t>53112</t>
  </si>
  <si>
    <t>63</t>
  </si>
  <si>
    <t>7|13</t>
  </si>
  <si>
    <t>53113</t>
  </si>
  <si>
    <t>5|13</t>
  </si>
  <si>
    <t>53214</t>
  </si>
  <si>
    <t>白民国主线第8关</t>
  </si>
  <si>
    <t>211010|13$213001|21</t>
  </si>
  <si>
    <t>53115</t>
  </si>
  <si>
    <t>白民国主线第9关</t>
  </si>
  <si>
    <t>53116</t>
  </si>
  <si>
    <t>白民国主线第10关</t>
  </si>
  <si>
    <t>5|14</t>
  </si>
  <si>
    <t>53117</t>
  </si>
  <si>
    <t>64</t>
  </si>
  <si>
    <t>6|14</t>
  </si>
  <si>
    <t>53118</t>
  </si>
  <si>
    <t>白民国主线第11关</t>
  </si>
  <si>
    <t>53119</t>
  </si>
  <si>
    <t>53120</t>
  </si>
  <si>
    <t>53221</t>
  </si>
  <si>
    <t>白民国主线第12关</t>
  </si>
  <si>
    <t>211010|15$110010|22</t>
  </si>
  <si>
    <t>53122</t>
  </si>
  <si>
    <t>65</t>
  </si>
  <si>
    <t>白民国主线第13关</t>
  </si>
  <si>
    <t>53123</t>
  </si>
  <si>
    <t>白民国主线第14关</t>
  </si>
  <si>
    <t>53124</t>
  </si>
  <si>
    <t>53125</t>
  </si>
  <si>
    <t>白民国主线第15关</t>
  </si>
  <si>
    <t>53126</t>
  </si>
  <si>
    <t>53127</t>
  </si>
  <si>
    <t>66</t>
  </si>
  <si>
    <t>53228</t>
  </si>
  <si>
    <t>白民国主线第16关</t>
  </si>
  <si>
    <t>211010|6$110010|22</t>
  </si>
  <si>
    <t>53129</t>
  </si>
  <si>
    <t>白民国主线第17关</t>
  </si>
  <si>
    <t>2|15</t>
  </si>
  <si>
    <t>53130</t>
  </si>
  <si>
    <t>白民国主线第18关</t>
  </si>
  <si>
    <t>53131</t>
  </si>
  <si>
    <t>53132</t>
  </si>
  <si>
    <t>67</t>
  </si>
  <si>
    <t>白民国主线第19关</t>
  </si>
  <si>
    <t>53133</t>
  </si>
  <si>
    <t>53134</t>
  </si>
  <si>
    <t>53235</t>
  </si>
  <si>
    <t>白民国主线第20关</t>
  </si>
  <si>
    <t>211010|15$213001|23</t>
  </si>
  <si>
    <t>53136</t>
  </si>
  <si>
    <t>白民国主线第21关</t>
  </si>
  <si>
    <t>53137</t>
  </si>
  <si>
    <t>68</t>
  </si>
  <si>
    <t>白民国主线第22关</t>
  </si>
  <si>
    <t>53138</t>
  </si>
  <si>
    <t>53239</t>
  </si>
  <si>
    <t>白民国主线第23关</t>
  </si>
  <si>
    <t>53140</t>
  </si>
  <si>
    <t>白民国主线第24关</t>
  </si>
  <si>
    <t>53141</t>
  </si>
  <si>
    <t>白民国主线第25关</t>
  </si>
  <si>
    <t>53142</t>
  </si>
  <si>
    <t>69</t>
  </si>
  <si>
    <t>53143</t>
  </si>
  <si>
    <t>白民国主线第26关</t>
  </si>
  <si>
    <t>53144</t>
  </si>
  <si>
    <t>53145</t>
  </si>
  <si>
    <t>53246</t>
  </si>
  <si>
    <t>白民国主线第27关</t>
  </si>
  <si>
    <t>211010|15$110009|24</t>
  </si>
  <si>
    <t>53147</t>
  </si>
  <si>
    <t>白民国主线第28关</t>
  </si>
  <si>
    <t>53148</t>
  </si>
  <si>
    <t>70</t>
  </si>
  <si>
    <t>白民国主线第29关</t>
  </si>
  <si>
    <t>53149</t>
  </si>
  <si>
    <t>53150</t>
  </si>
  <si>
    <t>白民国主线第30关</t>
  </si>
  <si>
    <t>53151</t>
  </si>
  <si>
    <t>53152</t>
  </si>
  <si>
    <t>53253</t>
  </si>
  <si>
    <t>71</t>
  </si>
  <si>
    <t>白民国主线第31关</t>
  </si>
  <si>
    <t>211010|15$213001|24</t>
  </si>
  <si>
    <t>53154</t>
  </si>
  <si>
    <t>白民国主线第32关</t>
  </si>
  <si>
    <t>53155</t>
  </si>
  <si>
    <t>白民国主线第33关</t>
  </si>
  <si>
    <t>53156</t>
  </si>
  <si>
    <t>53157</t>
  </si>
  <si>
    <t>白民国主线第34关</t>
  </si>
  <si>
    <t>53158</t>
  </si>
  <si>
    <t>72</t>
  </si>
  <si>
    <t>53159</t>
  </si>
  <si>
    <t>53260</t>
  </si>
  <si>
    <t>白民国主线第35关</t>
  </si>
  <si>
    <t>211010|15$110010|24</t>
  </si>
  <si>
    <t>53161</t>
  </si>
  <si>
    <t>白民国主线第36关</t>
  </si>
  <si>
    <t>53162</t>
  </si>
  <si>
    <t>白民国主线第37关</t>
  </si>
  <si>
    <t>53163</t>
  </si>
  <si>
    <t>73</t>
  </si>
  <si>
    <t>53164</t>
  </si>
  <si>
    <t>白民国主线第38关</t>
  </si>
  <si>
    <t>53165</t>
  </si>
  <si>
    <t>53166</t>
  </si>
  <si>
    <t>53267</t>
  </si>
  <si>
    <t>75</t>
  </si>
  <si>
    <t>白民国主线第39关</t>
  </si>
  <si>
    <t>211010|15$213001|25</t>
  </si>
  <si>
    <t>53368</t>
  </si>
  <si>
    <t>76</t>
  </si>
  <si>
    <t>白民国主线第40关</t>
  </si>
  <si>
    <t>211010|15$110010|25$660004|25$660005|25</t>
  </si>
  <si>
    <t>54101</t>
  </si>
  <si>
    <t>91</t>
  </si>
  <si>
    <t>羽民国主线怪</t>
  </si>
  <si>
    <t>1挑4Boss</t>
  </si>
  <si>
    <t>7|31</t>
  </si>
  <si>
    <t>54102</t>
  </si>
  <si>
    <t>1挑1Boss</t>
  </si>
  <si>
    <t>54103</t>
  </si>
  <si>
    <t>6|31</t>
  </si>
  <si>
    <t>54104</t>
  </si>
  <si>
    <t>54105</t>
  </si>
  <si>
    <t>92</t>
  </si>
  <si>
    <t>6|32$990018|32</t>
  </si>
  <si>
    <t>54106</t>
  </si>
  <si>
    <t>4|32$110003|32</t>
  </si>
  <si>
    <t>54107</t>
  </si>
  <si>
    <t>4|32</t>
  </si>
  <si>
    <t>54108</t>
  </si>
  <si>
    <t>6|32</t>
  </si>
  <si>
    <t>54109</t>
  </si>
  <si>
    <t>7|32</t>
  </si>
  <si>
    <t>54110</t>
  </si>
  <si>
    <t>93</t>
  </si>
  <si>
    <t>54111</t>
  </si>
  <si>
    <t>211010|33</t>
  </si>
  <si>
    <t>54112</t>
  </si>
  <si>
    <t>2|33$110002|33</t>
  </si>
  <si>
    <t>54113</t>
  </si>
  <si>
    <t>54114</t>
  </si>
  <si>
    <t>94</t>
  </si>
  <si>
    <t>54115</t>
  </si>
  <si>
    <t>95</t>
  </si>
  <si>
    <t>7|35$880001|34</t>
  </si>
  <si>
    <t>54116</t>
  </si>
  <si>
    <t>54117</t>
  </si>
  <si>
    <t>1挑2Boss</t>
  </si>
  <si>
    <t>4|35$110003|35</t>
  </si>
  <si>
    <t>54118</t>
  </si>
  <si>
    <t>54119</t>
  </si>
  <si>
    <t>96</t>
  </si>
  <si>
    <t>54120</t>
  </si>
  <si>
    <t>boss_dafeng_spine_SkeletonData</t>
  </si>
  <si>
    <t>6|35$990018|35$990019|35</t>
  </si>
  <si>
    <t>10083</t>
  </si>
  <si>
    <t>血</t>
  </si>
  <si>
    <t>防</t>
  </si>
  <si>
    <t>攻</t>
  </si>
  <si>
    <t>气量</t>
  </si>
  <si>
    <t>暴击</t>
  </si>
  <si>
    <t>爆伤</t>
  </si>
  <si>
    <t>集气速度</t>
  </si>
  <si>
    <t>暴击伤害统一30%</t>
  </si>
  <si>
    <t>第0关主线怪物</t>
  </si>
  <si>
    <t>第一关主线怪物（单个）</t>
  </si>
  <si>
    <t>第一关主线怪物（2个）</t>
  </si>
  <si>
    <t>第一关主线怪物（3个）</t>
  </si>
  <si>
    <t>第二关主线怪物</t>
  </si>
  <si>
    <t>第二关主线怪物改</t>
  </si>
  <si>
    <t>第3关主线怪物（单个）</t>
  </si>
  <si>
    <t>第3关主线怪物（2个）</t>
  </si>
  <si>
    <t>第3关主线怪物（3个）</t>
  </si>
  <si>
    <t>第四关主线怪物</t>
  </si>
  <si>
    <t>第五关主线怪物</t>
  </si>
  <si>
    <t>第0关裂隙怪物</t>
  </si>
  <si>
    <t>第1关裂隙怪物</t>
  </si>
  <si>
    <t>第2关裂隙怪物</t>
  </si>
  <si>
    <t>陨魂</t>
  </si>
  <si>
    <t>朱雀</t>
  </si>
  <si>
    <t>鲲</t>
  </si>
  <si>
    <t>描述</t>
  </si>
  <si>
    <t>飞升何其艰难，冲击飞升之人十有八九都陨落了，他们不甘的魂魄形成了陨魂。</t>
  </si>
  <si>
    <t>朱雀乃天地孕育而生，其羽毛朱红艳丽，尾羽摇曳着业火，所有不敬者，都将被它的业火燃烧殆尽。</t>
  </si>
  <si>
    <t>鲲游荡在星空深处，以星辰为食，常年累月的吞噬，使它的体内埋藏了无数珍宝。</t>
  </si>
  <si>
    <t>掉落</t>
  </si>
  <si>
    <t>均为三个阶段</t>
  </si>
  <si>
    <t>1段技能1</t>
  </si>
  <si>
    <t>1段技能2</t>
  </si>
  <si>
    <t>2段技能1</t>
  </si>
  <si>
    <t>2段技能2</t>
  </si>
  <si>
    <t>3段技能1</t>
  </si>
  <si>
    <t>3段技能2</t>
  </si>
  <si>
    <t>陨魂2段</t>
  </si>
  <si>
    <t>陨魂3段</t>
  </si>
  <si>
    <t>噬灵蝮蛇小</t>
  </si>
  <si>
    <t>噬灵蝮蛇中</t>
  </si>
  <si>
    <t>噬灵蝮蛇大</t>
  </si>
  <si>
    <t>880001</t>
  </si>
  <si>
    <t>440001</t>
  </si>
  <si>
    <t>770001</t>
  </si>
  <si>
    <t>660002</t>
  </si>
  <si>
    <t>技能</t>
  </si>
  <si>
    <t>乱斩：（特效用致幻光束）打出一套刀法连击，造成5段逐渐增强的伤害，一段伤害为普攻的30％，以一段伤害为基数，后面四段伤害为一段伤害的二倍到五倍。
神念攻击：打出一道缠绕黑光的细线击中玩家，玩家被击中造成一个易伤debuff【恶意】，持续3个回合，可驱散，如果没驱散，则存在该debuff【恶意】的时候，之后的三个回合的攻击都造成双倍伤害。
天音护盾：boss周身出现一个防御力x值的护罩，如果在5个回合内无法打破，boss接下来的5个回合，攻击力增强200％；如果打破了，boss接下来的5个回合陷入虚弱状态，攻击力跟防御力都降低50％。</t>
  </si>
  <si>
    <t>火焰之箭：射出无数尾羽着火的箭，造成300％的伤害
烈火焚天：boss召唤无数圆形红色火球，从玩家头顶击下，造成300％的伤害，同时会给玩家附上debuff【灼烧】，如果没驱散，该buff将一直持续。玩家身上存在【灼烧】debuff的情况下，boss的暴击概率将提高至100％。可驱散。
浴火重生：boss攻击力减弱50％，同时在周身形成一个火焰状的茧，茧的血量预设为当前玩家境界5次普通攻击+1次爆发大招的伤害总值，如果在6回合内未击破茧，boss将恢复总血量的10％血。</t>
  </si>
  <si>
    <t>迷幻雾瘴：打出一团紫黑色雾气笼罩玩家，造成1.5倍伤害
识海暴动：打出1圈震荡波，呈扩散状态，击中玩家造成3倍伤害，并使玩家下一回合定身且无法切换弟子。
天宝华镜：集气满时，召唤一面光镜在身前，持续3个回合，反弹招式伤害100％</t>
  </si>
  <si>
    <t>技能1等级</t>
  </si>
  <si>
    <t>技能2等级</t>
  </si>
  <si>
    <t>迷幻雾瘴</t>
  </si>
  <si>
    <t>识海暴动</t>
  </si>
  <si>
    <t>天宝华镜</t>
  </si>
  <si>
    <t>致幻光束</t>
  </si>
  <si>
    <t>神念攻击</t>
  </si>
  <si>
    <t>天音护盾</t>
  </si>
  <si>
    <t>炼气境</t>
  </si>
  <si>
    <t>炼气10阶
凡级法器4级
技能等级2级
弟子炼气1</t>
  </si>
  <si>
    <t>内腑境</t>
  </si>
  <si>
    <t>内腑10阶
凡级法器18级
技能等级6级
凡级宝石2
弟子内腑6
弟子内腑3</t>
  </si>
  <si>
    <t>筑基境</t>
  </si>
  <si>
    <t>筑基10阶
凡级法器25级
技能等级二脉10级
凡级宝石4
弟子筑基6
弟子筑基5</t>
  </si>
  <si>
    <t>旋照境</t>
  </si>
  <si>
    <t>旋照10阶
黄级法器10级
技能三脉 7级
黄级宝石1
凡级宝石3
弟子旋照5
弟子筑基9
弟子筑基6</t>
  </si>
  <si>
    <t>开光境</t>
  </si>
  <si>
    <t>开光10阶
黄级法器20级
技能三脉 14级
黄级宝石2
凡级宝石2
弟子开光5
弟子旋照7
弟子旋照4</t>
  </si>
  <si>
    <t>融合境</t>
  </si>
  <si>
    <t>融合10阶
黄级法器25级
技能三脉 20级
黄级宝石4
弟子融合3
弟子开光6
弟子开光3</t>
  </si>
  <si>
    <t>心动境</t>
  </si>
  <si>
    <t>心动10阶
玄法器8级
技能四脉 10级
玄级宝石1
黄级宝石3
弟子心动3
弟子融合5
弟子融合2
弟子内腑10</t>
  </si>
  <si>
    <t>灵寂境</t>
  </si>
  <si>
    <t>灵寂10阶
玄法器16级
技能四脉 20级
玄级宝石2
黄级宝石2
弟子灵寂3
弟子心动10
弟子心动6
弟子开光3</t>
  </si>
  <si>
    <t>金丹境</t>
  </si>
  <si>
    <t>金丹10阶
玄法器25级
技能四脉 30级
玄级宝石4
弟子金丹6
弟子金丹2
弟子灵寂9
弟子心动8</t>
  </si>
  <si>
    <t>元婴境</t>
  </si>
  <si>
    <t>元婴10阶
地级法器8级
技能五脉 13级
地级宝石1
玄级宝石3
弟子元婴3
弟子金丹7
弟子金丹4
弟子金丹1</t>
  </si>
  <si>
    <t>出窍境</t>
  </si>
  <si>
    <t>出窍10阶
地级法器16级
技能五脉 26级
地级宝石2
玄级宝石2
弟子元婴10
弟子元婴3
弟子元婴1
弟子金丹6</t>
  </si>
  <si>
    <t>分神境</t>
  </si>
  <si>
    <t>分神10阶
地级法器25级
技能五脉 40级
地级宝石4
弟子分神4
弟子出窍4
弟子出窍1
弟子元婴4</t>
  </si>
  <si>
    <t>合体境</t>
  </si>
  <si>
    <t>合体10阶
天级法器8级
技能六脉 15级
天级宝石1
地级宝石3
弟子合体2
弟子分神2
弟子出窍6
弟子出窍2</t>
  </si>
  <si>
    <t>渡劫境</t>
  </si>
  <si>
    <t>渡劫10阶
天级法器16级
技能六脉 31级
天级宝石2
地级宝石2
弟子渡劫3
弟子合体6
弟子分神7
弟子分神4</t>
  </si>
  <si>
    <t>大乘境</t>
  </si>
  <si>
    <t>大乘10阶
天级法器23级
技能六脉 46级
天级宝石3
地级宝石1
弟子大乘4
弟子大乘2
弟子大乘1
弟子渡劫9</t>
  </si>
  <si>
    <t>修改后</t>
  </si>
  <si>
    <t>技能等级</t>
  </si>
  <si>
    <t>第一轮赛事</t>
  </si>
  <si>
    <t>第2轮赛事</t>
  </si>
  <si>
    <t>第3轮赛事</t>
  </si>
  <si>
    <t>第4轮赛事</t>
  </si>
  <si>
    <t>第5轮赛事</t>
  </si>
  <si>
    <t>额外装备提供血</t>
  </si>
  <si>
    <t>额外装备提供防</t>
  </si>
  <si>
    <t>额外装备提供攻</t>
  </si>
  <si>
    <t>额外装备提供属性增伤</t>
  </si>
  <si>
    <t>新手保护参数</t>
  </si>
  <si>
    <t>额外宝石提供血</t>
  </si>
  <si>
    <t>额外宝石提供防</t>
  </si>
  <si>
    <t>额外宝石提供攻</t>
  </si>
  <si>
    <t>总血</t>
  </si>
  <si>
    <t>总防</t>
  </si>
  <si>
    <t>总攻</t>
  </si>
  <si>
    <t>暴击率</t>
  </si>
  <si>
    <t>集气效率</t>
  </si>
  <si>
    <t>技能倍率</t>
  </si>
  <si>
    <t>属性增伤</t>
  </si>
  <si>
    <t>同怪血</t>
  </si>
  <si>
    <t>同怪防</t>
  </si>
  <si>
    <t>同怪攻</t>
  </si>
  <si>
    <t>对怪造成伤害</t>
  </si>
  <si>
    <t>打怪回合</t>
  </si>
  <si>
    <t>怪对人造成伤害</t>
  </si>
  <si>
    <t>怪打人回合</t>
  </si>
  <si>
    <t>血量系数提取</t>
  </si>
  <si>
    <t>防御系数提取</t>
  </si>
  <si>
    <t>攻击系数提取</t>
  </si>
  <si>
    <t>小怪血</t>
  </si>
  <si>
    <t>小怪防</t>
  </si>
  <si>
    <t>小怪攻</t>
  </si>
  <si>
    <t>人打小怪回合</t>
  </si>
  <si>
    <t>怪物对人造成伤害</t>
  </si>
  <si>
    <t>小怪打人回合</t>
  </si>
  <si>
    <t>精英血</t>
  </si>
  <si>
    <t>精英防</t>
  </si>
  <si>
    <t>精英攻</t>
  </si>
  <si>
    <t>人打精英回合</t>
  </si>
  <si>
    <t>精英对人造成伤害</t>
  </si>
  <si>
    <t>精英打人回合</t>
  </si>
  <si>
    <t>Boss血</t>
  </si>
  <si>
    <t>boss防</t>
  </si>
  <si>
    <t>boss攻</t>
  </si>
  <si>
    <t>人打boss回合</t>
  </si>
  <si>
    <t>boss对人造成伤害</t>
  </si>
  <si>
    <t>Boss打人回合</t>
  </si>
  <si>
    <t>1挑4boss血</t>
  </si>
  <si>
    <t>1挑4boss防</t>
  </si>
  <si>
    <t>1挑4boss攻</t>
  </si>
  <si>
    <t>人打1挑4boss回合</t>
  </si>
  <si>
    <t>1挑4boss对人造成伤害</t>
  </si>
  <si>
    <t>1挑4boss打人回合</t>
  </si>
  <si>
    <t>3形态boss血</t>
  </si>
  <si>
    <t>3形态boss防</t>
  </si>
  <si>
    <t>3形态boss攻</t>
  </si>
  <si>
    <t>人打3形态boss回合</t>
  </si>
  <si>
    <t>3形态Boss对人造成伤害</t>
  </si>
  <si>
    <t>3形态Boss打人回合</t>
  </si>
  <si>
    <t>季狸国</t>
  </si>
  <si>
    <t>厌火国</t>
  </si>
  <si>
    <t>白民国</t>
  </si>
  <si>
    <t>羽民国</t>
  </si>
  <si>
    <t>三苗国</t>
  </si>
  <si>
    <t>精英消耗1/3个人</t>
  </si>
  <si>
    <t>小怪消耗1/10个人</t>
  </si>
  <si>
    <t>20231010调整：太容易了 提高 血防攻1.5倍</t>
  </si>
  <si>
    <t>20231011调整 还是容易 调成2倍</t>
  </si>
  <si>
    <t>20231012调整 还是容易 调成4倍</t>
  </si>
  <si>
    <t>20231014调整 还是容易 调成4.5倍</t>
  </si>
  <si>
    <t>总结：天极装备加的攻击= 额外装备提供攻+当前天级装备提供攻的属性</t>
  </si>
  <si>
    <t>天极装备加的防御=额外装备提供防御</t>
  </si>
  <si>
    <t>天极装备加的属性增伤=额外装备提供属性增伤</t>
  </si>
  <si>
    <t>最开始的大比属性</t>
  </si>
  <si>
    <t>改属性后的大比属性</t>
  </si>
  <si>
    <t>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</si>
</sst>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399914548173467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61546678060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3" borderId="4" applyNumberFormat="0" applyAlignment="0" applyProtection="0">
      <alignment vertical="center"/>
    </xf>
    <xf numFmtId="0" fontId="12" fillId="34" borderId="5" applyNumberFormat="0" applyAlignment="0" applyProtection="0">
      <alignment vertical="center"/>
    </xf>
    <xf numFmtId="0" fontId="13" fillId="34" borderId="4" applyNumberFormat="0" applyAlignment="0" applyProtection="0">
      <alignment vertical="center"/>
    </xf>
    <xf numFmtId="0" fontId="14" fillId="3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</cellStyleXfs>
  <cellXfs count="7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10" borderId="0" xfId="0" applyFont="1" applyFill="1" applyAlignment="1">
      <alignment horizontal="right" vertical="center" wrapText="1"/>
    </xf>
    <xf numFmtId="0" fontId="0" fillId="10" borderId="0" xfId="0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0" borderId="0" xfId="0" applyAlignment="1">
      <alignment horizontal="justify"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Font="1" applyAlignment="1">
      <alignment vertical="center" wrapText="1"/>
    </xf>
    <xf numFmtId="176" fontId="0" fillId="0" borderId="0" xfId="0" applyNumberFormat="1" applyAlignment="1">
      <alignment vertical="center" wrapText="1"/>
    </xf>
    <xf numFmtId="176" fontId="0" fillId="0" borderId="0" xfId="0" applyNumberFormat="1" applyAlignment="1">
      <alignment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/>
    </xf>
    <xf numFmtId="176" fontId="0" fillId="15" borderId="0" xfId="0" applyNumberFormat="1" applyFill="1" applyAlignment="1">
      <alignment vertical="center"/>
    </xf>
    <xf numFmtId="177" fontId="0" fillId="0" borderId="0" xfId="0" applyNumberFormat="1" applyAlignment="1">
      <alignment vertical="center"/>
    </xf>
    <xf numFmtId="0" fontId="0" fillId="15" borderId="0" xfId="0" applyFill="1" applyAlignment="1">
      <alignment vertical="center"/>
    </xf>
    <xf numFmtId="49" fontId="0" fillId="16" borderId="0" xfId="0" applyNumberFormat="1" applyFill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Font="1" applyAlignment="1">
      <alignment vertical="center"/>
    </xf>
    <xf numFmtId="49" fontId="0" fillId="0" borderId="0" xfId="0" applyNumberFormat="1" applyFont="1" applyAlignment="1">
      <alignment vertical="center" wrapText="1"/>
    </xf>
    <xf numFmtId="49" fontId="0" fillId="17" borderId="0" xfId="0" applyNumberFormat="1" applyFill="1" applyAlignment="1">
      <alignment vertical="center"/>
    </xf>
    <xf numFmtId="49" fontId="0" fillId="17" borderId="0" xfId="0" applyNumberFormat="1" applyFont="1" applyFill="1" applyAlignment="1">
      <alignment vertical="center"/>
    </xf>
    <xf numFmtId="49" fontId="0" fillId="10" borderId="0" xfId="0" applyNumberFormat="1" applyFill="1" applyAlignment="1">
      <alignment vertical="center"/>
    </xf>
    <xf numFmtId="49" fontId="0" fillId="11" borderId="0" xfId="0" applyNumberFormat="1" applyFill="1" applyAlignment="1">
      <alignment vertical="center" wrapText="1"/>
    </xf>
    <xf numFmtId="49" fontId="0" fillId="11" borderId="0" xfId="0" applyNumberFormat="1" applyFont="1" applyFill="1" applyAlignment="1">
      <alignment vertical="center" wrapText="1"/>
    </xf>
    <xf numFmtId="49" fontId="0" fillId="11" borderId="0" xfId="0" applyNumberFormat="1" applyFill="1" applyAlignment="1">
      <alignment vertical="center"/>
    </xf>
    <xf numFmtId="49" fontId="0" fillId="18" borderId="0" xfId="0" applyNumberFormat="1" applyFont="1" applyFill="1" applyAlignment="1">
      <alignment vertical="center"/>
    </xf>
    <xf numFmtId="49" fontId="0" fillId="19" borderId="0" xfId="0" applyNumberFormat="1" applyFill="1" applyAlignment="1">
      <alignment vertical="center" wrapText="1"/>
    </xf>
    <xf numFmtId="49" fontId="0" fillId="19" borderId="0" xfId="0" applyNumberFormat="1" applyFill="1" applyAlignment="1">
      <alignment vertical="center"/>
    </xf>
    <xf numFmtId="49" fontId="0" fillId="20" borderId="0" xfId="0" applyNumberFormat="1" applyFill="1" applyAlignment="1">
      <alignment vertical="center" wrapText="1"/>
    </xf>
    <xf numFmtId="49" fontId="0" fillId="20" borderId="0" xfId="0" applyNumberFormat="1" applyFill="1" applyAlignment="1">
      <alignment vertical="center"/>
    </xf>
    <xf numFmtId="49" fontId="0" fillId="4" borderId="0" xfId="0" applyNumberFormat="1" applyFill="1" applyAlignment="1">
      <alignment vertical="center"/>
    </xf>
    <xf numFmtId="49" fontId="0" fillId="4" borderId="0" xfId="0" applyNumberFormat="1" applyFill="1" applyAlignment="1">
      <alignment vertical="center" wrapText="1"/>
    </xf>
    <xf numFmtId="49" fontId="0" fillId="21" borderId="0" xfId="0" applyNumberFormat="1" applyFill="1" applyAlignment="1">
      <alignment vertical="center"/>
    </xf>
    <xf numFmtId="49" fontId="0" fillId="21" borderId="0" xfId="0" applyNumberFormat="1" applyFill="1" applyAlignment="1">
      <alignment vertical="center" wrapText="1"/>
    </xf>
    <xf numFmtId="49" fontId="0" fillId="16" borderId="0" xfId="0" applyNumberFormat="1" applyFill="1" applyAlignment="1">
      <alignment vertical="center" wrapText="1"/>
    </xf>
    <xf numFmtId="49" fontId="0" fillId="22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horizontal="justify" vertical="center"/>
    </xf>
    <xf numFmtId="49" fontId="0" fillId="4" borderId="0" xfId="0" applyNumberFormat="1" applyFont="1" applyFill="1" applyAlignment="1">
      <alignment vertical="center"/>
    </xf>
    <xf numFmtId="49" fontId="0" fillId="23" borderId="0" xfId="0" applyNumberFormat="1" applyFill="1" applyAlignment="1">
      <alignment vertical="center"/>
    </xf>
    <xf numFmtId="49" fontId="0" fillId="24" borderId="0" xfId="0" applyNumberFormat="1" applyFill="1" applyAlignment="1">
      <alignment vertical="center" wrapText="1"/>
    </xf>
    <xf numFmtId="49" fontId="0" fillId="24" borderId="0" xfId="0" applyNumberFormat="1" applyFont="1" applyFill="1" applyAlignment="1">
      <alignment vertical="center" wrapText="1"/>
    </xf>
    <xf numFmtId="49" fontId="0" fillId="25" borderId="0" xfId="0" applyNumberFormat="1" applyFont="1" applyFill="1" applyAlignment="1">
      <alignment vertical="center"/>
    </xf>
    <xf numFmtId="49" fontId="0" fillId="24" borderId="0" xfId="0" applyNumberFormat="1" applyFont="1" applyFill="1" applyAlignment="1">
      <alignment vertical="center"/>
    </xf>
    <xf numFmtId="49" fontId="0" fillId="0" borderId="0" xfId="0" applyNumberFormat="1" applyFont="1" applyAlignment="1">
      <alignment wrapText="1"/>
    </xf>
    <xf numFmtId="49" fontId="0" fillId="26" borderId="0" xfId="0" applyNumberFormat="1" applyFont="1" applyFill="1" applyAlignment="1">
      <alignment vertical="center"/>
    </xf>
    <xf numFmtId="49" fontId="0" fillId="27" borderId="0" xfId="0" applyNumberFormat="1" applyFont="1" applyFill="1" applyAlignment="1">
      <alignment vertical="center" wrapText="1"/>
    </xf>
    <xf numFmtId="49" fontId="0" fillId="10" borderId="0" xfId="0" applyNumberFormat="1" applyFont="1" applyFill="1" applyAlignment="1">
      <alignment vertical="center"/>
    </xf>
    <xf numFmtId="49" fontId="0" fillId="28" borderId="0" xfId="0" applyNumberFormat="1" applyFont="1" applyFill="1" applyAlignment="1">
      <alignment vertical="center"/>
    </xf>
    <xf numFmtId="49" fontId="0" fillId="28" borderId="0" xfId="0" applyNumberFormat="1" applyFill="1" applyAlignment="1">
      <alignment vertical="center"/>
    </xf>
    <xf numFmtId="49" fontId="0" fillId="15" borderId="0" xfId="0" applyNumberFormat="1" applyFont="1" applyFill="1" applyAlignment="1">
      <alignment vertical="center"/>
    </xf>
    <xf numFmtId="49" fontId="0" fillId="15" borderId="0" xfId="0" applyNumberFormat="1" applyFill="1" applyAlignment="1">
      <alignment vertical="center"/>
    </xf>
    <xf numFmtId="49" fontId="0" fillId="29" borderId="0" xfId="0" applyNumberFormat="1" applyFont="1" applyFill="1" applyAlignment="1">
      <alignment vertical="center" wrapText="1"/>
    </xf>
    <xf numFmtId="49" fontId="0" fillId="30" borderId="0" xfId="0" applyNumberFormat="1" applyFont="1" applyFill="1" applyAlignment="1">
      <alignment vertical="center"/>
    </xf>
    <xf numFmtId="49" fontId="0" fillId="30" borderId="0" xfId="0" applyNumberFormat="1" applyFill="1" applyAlignment="1">
      <alignment vertical="center"/>
    </xf>
    <xf numFmtId="49" fontId="0" fillId="10" borderId="0" xfId="0" applyNumberFormat="1" applyFont="1" applyFill="1" applyAlignment="1">
      <alignment vertical="center" wrapText="1"/>
    </xf>
    <xf numFmtId="49" fontId="0" fillId="6" borderId="0" xfId="0" applyNumberFormat="1" applyFill="1" applyAlignment="1">
      <alignment vertical="center"/>
    </xf>
    <xf numFmtId="49" fontId="0" fillId="6" borderId="0" xfId="0" applyNumberFormat="1" applyFont="1" applyFill="1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right" vertical="center"/>
    </xf>
    <xf numFmtId="49" fontId="0" fillId="31" borderId="0" xfId="0" applyNumberFormat="1" applyFill="1" applyAlignment="1">
      <alignment vertical="center"/>
    </xf>
    <xf numFmtId="49" fontId="0" fillId="31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221</xdr:row>
      <xdr:rowOff>142875</xdr:rowOff>
    </xdr:from>
    <xdr:to>
      <xdr:col>4</xdr:col>
      <xdr:colOff>1294886</xdr:colOff>
      <xdr:row>244</xdr:row>
      <xdr:rowOff>37620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38033325"/>
          <a:ext cx="4114165" cy="38379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9"/>
  <sheetViews>
    <sheetView tabSelected="1" workbookViewId="0">
      <pane ySplit="1" topLeftCell="A2" activePane="bottomLeft" state="frozen"/>
      <selection/>
      <selection pane="bottomLeft" activeCell="H5" sqref="H5"/>
    </sheetView>
  </sheetViews>
  <sheetFormatPr defaultColWidth="9" defaultRowHeight="13.5"/>
  <cols>
    <col min="1" max="1" width="8.875" style="31" customWidth="1"/>
    <col min="2" max="2" width="19.375" style="31" customWidth="1"/>
    <col min="3" max="3" width="13.875" style="31" customWidth="1"/>
    <col min="4" max="4" width="7.5" style="31" customWidth="1"/>
    <col min="5" max="5" width="12.125" style="31" customWidth="1"/>
    <col min="6" max="6" width="10.25" style="31" customWidth="1"/>
    <col min="7" max="7" width="15" style="31" customWidth="1"/>
    <col min="8" max="8" width="15.5" style="31" customWidth="1"/>
    <col min="9" max="9" width="28.375" style="31" customWidth="1"/>
    <col min="10" max="10" width="31.75" style="31" customWidth="1"/>
    <col min="11" max="11" width="63.375" style="31" customWidth="1"/>
    <col min="12" max="12" width="13.875" style="31" customWidth="1"/>
    <col min="13" max="13" width="45.375" style="31" customWidth="1"/>
    <col min="14" max="14" width="26.875" style="31" customWidth="1"/>
    <col min="15" max="15" width="15.5" style="31" customWidth="1"/>
    <col min="16" max="16" width="45.625" style="31" customWidth="1"/>
    <col min="17" max="17" width="25.75" style="31" customWidth="1"/>
    <col min="18" max="18" width="40.625" style="31" customWidth="1"/>
    <col min="19" max="19" width="14.75" style="31" customWidth="1"/>
    <col min="20" max="20" width="9" style="31" customWidth="1"/>
    <col min="21" max="21" width="16.375" style="31" customWidth="1"/>
    <col min="22" max="16384" width="9" style="3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9</v>
      </c>
    </row>
    <row r="2" spans="1:23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</row>
    <row r="3" spans="1:23">
      <c r="A3" t="s">
        <v>24</v>
      </c>
      <c r="B3" s="31" t="s">
        <v>1</v>
      </c>
      <c r="C3" s="31" t="s">
        <v>2</v>
      </c>
      <c r="D3" s="32" t="s">
        <v>3</v>
      </c>
      <c r="E3" s="32" t="s">
        <v>4</v>
      </c>
      <c r="F3" s="32" t="s">
        <v>5</v>
      </c>
      <c r="G3" s="32" t="s">
        <v>6</v>
      </c>
      <c r="H3" s="32" t="s">
        <v>7</v>
      </c>
      <c r="I3" s="31" t="s">
        <v>8</v>
      </c>
      <c r="J3" t="s">
        <v>9</v>
      </c>
      <c r="K3" s="31" t="s">
        <v>10</v>
      </c>
      <c r="L3" s="31" t="s">
        <v>11</v>
      </c>
      <c r="M3" s="31" t="s">
        <v>12</v>
      </c>
      <c r="N3" s="31" t="s">
        <v>13</v>
      </c>
      <c r="O3" s="31" t="s">
        <v>14</v>
      </c>
      <c r="P3" s="31" t="s">
        <v>15</v>
      </c>
      <c r="Q3" s="31" t="s">
        <v>16</v>
      </c>
      <c r="R3" s="31" t="s">
        <v>17</v>
      </c>
      <c r="S3" s="31" t="s">
        <v>18</v>
      </c>
      <c r="T3" s="31" t="s">
        <v>19</v>
      </c>
      <c r="U3" s="31" t="s">
        <v>20</v>
      </c>
      <c r="V3" s="32" t="s">
        <v>21</v>
      </c>
      <c r="W3" t="s">
        <v>9</v>
      </c>
    </row>
    <row r="4" ht="27" customHeight="1" spans="1:23">
      <c r="B4" s="31" t="s">
        <v>25</v>
      </c>
      <c r="C4" s="20" t="s">
        <v>26</v>
      </c>
      <c r="D4" s="20"/>
      <c r="E4" s="33" t="s">
        <v>27</v>
      </c>
      <c r="F4" s="33" t="s">
        <v>27</v>
      </c>
      <c r="G4" s="20"/>
      <c r="H4" s="20" t="s">
        <v>28</v>
      </c>
      <c r="I4" s="33" t="s">
        <v>29</v>
      </c>
      <c r="J4" s="31" t="s">
        <v>30</v>
      </c>
      <c r="N4" s="34" t="s">
        <v>31</v>
      </c>
    </row>
    <row r="5" ht="27" customHeight="1" spans="1:23">
      <c r="B5" s="31" t="s">
        <v>32</v>
      </c>
      <c r="C5" s="20" t="s">
        <v>26</v>
      </c>
      <c r="D5" s="20"/>
      <c r="E5" s="33" t="s">
        <v>27</v>
      </c>
      <c r="F5" s="33" t="s">
        <v>33</v>
      </c>
      <c r="G5" s="20"/>
      <c r="H5" s="20" t="s">
        <v>28</v>
      </c>
      <c r="I5" s="20" t="s">
        <v>29</v>
      </c>
      <c r="J5" s="31" t="s">
        <v>30</v>
      </c>
      <c r="N5" s="34" t="s">
        <v>34</v>
      </c>
    </row>
    <row r="6" ht="27" customHeight="1" spans="1:23">
      <c r="B6" s="31" t="s">
        <v>35</v>
      </c>
      <c r="C6" s="20" t="s">
        <v>26</v>
      </c>
      <c r="D6" s="20"/>
      <c r="E6" s="33" t="s">
        <v>27</v>
      </c>
      <c r="F6" s="33" t="s">
        <v>36</v>
      </c>
      <c r="G6" s="20"/>
      <c r="H6" s="20" t="s">
        <v>28</v>
      </c>
      <c r="I6" s="20" t="s">
        <v>29</v>
      </c>
      <c r="J6" s="31" t="s">
        <v>30</v>
      </c>
      <c r="N6" s="34" t="s">
        <v>37</v>
      </c>
    </row>
    <row r="7" ht="27" customHeight="1" spans="1:23">
      <c r="B7" s="31" t="s">
        <v>38</v>
      </c>
      <c r="C7" s="20" t="s">
        <v>26</v>
      </c>
      <c r="D7" s="20"/>
      <c r="E7" s="33" t="s">
        <v>27</v>
      </c>
      <c r="F7" s="33" t="s">
        <v>39</v>
      </c>
      <c r="G7" s="20"/>
      <c r="H7" s="20" t="s">
        <v>28</v>
      </c>
      <c r="I7" s="20" t="s">
        <v>29</v>
      </c>
      <c r="J7" s="20" t="s">
        <v>40</v>
      </c>
      <c r="K7" s="20" t="s">
        <v>41</v>
      </c>
      <c r="N7" s="35" t="s">
        <v>42</v>
      </c>
      <c r="O7" s="31" t="s">
        <v>43</v>
      </c>
    </row>
    <row r="8" ht="29.25" customHeight="1" spans="1:23">
      <c r="B8" s="31" t="s">
        <v>44</v>
      </c>
      <c r="C8" s="20" t="s">
        <v>26</v>
      </c>
      <c r="D8" s="20"/>
      <c r="E8" s="33" t="s">
        <v>27</v>
      </c>
      <c r="F8" s="33" t="s">
        <v>39</v>
      </c>
      <c r="G8" s="20"/>
      <c r="H8" s="20" t="s">
        <v>28</v>
      </c>
      <c r="I8" s="20" t="s">
        <v>45</v>
      </c>
      <c r="J8" s="20" t="s">
        <v>46</v>
      </c>
      <c r="K8" s="20" t="s">
        <v>41</v>
      </c>
      <c r="N8" s="35" t="s">
        <v>47</v>
      </c>
      <c r="O8" s="31" t="s">
        <v>48</v>
      </c>
    </row>
    <row r="9" ht="27" customHeight="1" spans="1:23">
      <c r="B9" s="31" t="s">
        <v>49</v>
      </c>
      <c r="C9" s="20" t="s">
        <v>26</v>
      </c>
      <c r="D9" s="20"/>
      <c r="E9" s="33" t="s">
        <v>27</v>
      </c>
      <c r="F9" s="33" t="s">
        <v>39</v>
      </c>
      <c r="G9" s="20"/>
      <c r="H9" s="20" t="s">
        <v>28</v>
      </c>
      <c r="I9" s="20" t="s">
        <v>50</v>
      </c>
      <c r="J9" s="20" t="s">
        <v>51</v>
      </c>
      <c r="K9" s="20" t="s">
        <v>41</v>
      </c>
      <c r="N9" s="35" t="s">
        <v>52</v>
      </c>
      <c r="O9" s="31" t="s">
        <v>48</v>
      </c>
    </row>
    <row r="10" ht="27" customHeight="1" spans="1:23">
      <c r="B10" s="36" t="s">
        <v>53</v>
      </c>
      <c r="C10" s="20" t="s">
        <v>26</v>
      </c>
      <c r="D10" s="37"/>
      <c r="E10" s="38" t="s">
        <v>54</v>
      </c>
      <c r="F10" s="38" t="s">
        <v>39</v>
      </c>
      <c r="G10" s="37"/>
      <c r="H10" s="37" t="s">
        <v>55</v>
      </c>
      <c r="I10" s="37" t="s">
        <v>56</v>
      </c>
      <c r="J10" s="37" t="s">
        <v>57</v>
      </c>
      <c r="K10" s="37"/>
      <c r="L10" s="39"/>
      <c r="M10" s="39"/>
      <c r="N10" s="40" t="s">
        <v>58</v>
      </c>
      <c r="O10" s="39" t="s">
        <v>59</v>
      </c>
      <c r="P10" s="39" t="s">
        <v>36</v>
      </c>
      <c r="Q10" s="40" t="s">
        <v>58</v>
      </c>
      <c r="R10" s="31" t="s">
        <v>60</v>
      </c>
      <c r="S10" s="40" t="s">
        <v>58</v>
      </c>
      <c r="T10" s="32" t="s">
        <v>61</v>
      </c>
    </row>
    <row r="11" spans="1:23">
      <c r="B11" s="36" t="s">
        <v>62</v>
      </c>
      <c r="C11" s="20" t="s">
        <v>26</v>
      </c>
      <c r="D11" s="41"/>
      <c r="E11" s="38" t="s">
        <v>54</v>
      </c>
      <c r="F11" s="38" t="s">
        <v>39</v>
      </c>
      <c r="G11" s="41"/>
      <c r="H11" s="37" t="s">
        <v>55</v>
      </c>
      <c r="I11" s="37" t="s">
        <v>56</v>
      </c>
      <c r="J11" s="41" t="s">
        <v>57</v>
      </c>
      <c r="K11" s="41"/>
      <c r="L11" s="42"/>
      <c r="M11" s="42"/>
      <c r="N11" s="40" t="s">
        <v>58</v>
      </c>
      <c r="O11" s="42" t="s">
        <v>59</v>
      </c>
      <c r="P11" s="42" t="s">
        <v>36</v>
      </c>
      <c r="Q11" s="40" t="s">
        <v>58</v>
      </c>
      <c r="R11" s="42" t="s">
        <v>60</v>
      </c>
      <c r="S11" s="40" t="s">
        <v>58</v>
      </c>
      <c r="T11" s="32" t="s">
        <v>61</v>
      </c>
    </row>
    <row r="12" ht="27" spans="1:23">
      <c r="B12" s="36" t="s">
        <v>63</v>
      </c>
      <c r="C12" s="20" t="s">
        <v>26</v>
      </c>
      <c r="D12" s="43"/>
      <c r="E12" s="38" t="s">
        <v>54</v>
      </c>
      <c r="F12" s="38" t="s">
        <v>39</v>
      </c>
      <c r="G12" s="43"/>
      <c r="H12" s="37" t="s">
        <v>55</v>
      </c>
      <c r="I12" s="37" t="s">
        <v>56</v>
      </c>
      <c r="J12" s="43" t="s">
        <v>57</v>
      </c>
      <c r="K12" s="43"/>
      <c r="L12" s="44"/>
      <c r="M12" s="44"/>
      <c r="N12" s="40" t="s">
        <v>58</v>
      </c>
      <c r="O12" s="44" t="s">
        <v>59</v>
      </c>
      <c r="P12" s="44" t="s">
        <v>36</v>
      </c>
      <c r="Q12" s="40" t="s">
        <v>58</v>
      </c>
      <c r="R12" s="44" t="s">
        <v>60</v>
      </c>
      <c r="S12" s="40" t="s">
        <v>58</v>
      </c>
      <c r="T12" s="32" t="s">
        <v>61</v>
      </c>
    </row>
    <row r="13" s="30" customFormat="1" ht="40.5" spans="1:23">
      <c r="B13" s="36" t="s">
        <v>64</v>
      </c>
      <c r="C13" s="20" t="s">
        <v>26</v>
      </c>
      <c r="D13" s="45"/>
      <c r="E13" s="38" t="s">
        <v>54</v>
      </c>
      <c r="F13" s="38" t="s">
        <v>39</v>
      </c>
      <c r="G13" s="45"/>
      <c r="H13" s="45" t="s">
        <v>65</v>
      </c>
      <c r="I13" s="45" t="s">
        <v>66</v>
      </c>
      <c r="J13" s="46" t="s">
        <v>67</v>
      </c>
      <c r="K13" s="46"/>
      <c r="L13" s="45"/>
      <c r="M13" s="45"/>
      <c r="N13" s="40" t="s">
        <v>58</v>
      </c>
      <c r="O13" s="31" t="s">
        <v>68</v>
      </c>
      <c r="P13" s="45" t="s">
        <v>36</v>
      </c>
      <c r="Q13" s="40" t="s">
        <v>58</v>
      </c>
      <c r="R13" s="31" t="s">
        <v>69</v>
      </c>
      <c r="S13" s="40" t="s">
        <v>58</v>
      </c>
      <c r="T13" s="31" t="s">
        <v>70</v>
      </c>
    </row>
    <row r="14" ht="27" customHeight="1" spans="1:23">
      <c r="B14" s="36" t="s">
        <v>71</v>
      </c>
      <c r="C14" s="20" t="s">
        <v>26</v>
      </c>
      <c r="D14" s="47"/>
      <c r="E14" s="38" t="s">
        <v>54</v>
      </c>
      <c r="F14" s="38" t="s">
        <v>39</v>
      </c>
      <c r="G14" s="47"/>
      <c r="H14" s="45" t="s">
        <v>65</v>
      </c>
      <c r="I14" s="45" t="s">
        <v>66</v>
      </c>
      <c r="J14" s="48" t="s">
        <v>72</v>
      </c>
      <c r="K14" s="48"/>
      <c r="L14" s="47"/>
      <c r="M14" s="47"/>
      <c r="N14" s="40" t="s">
        <v>58</v>
      </c>
      <c r="O14" s="47" t="s">
        <v>68</v>
      </c>
      <c r="P14" s="47" t="s">
        <v>36</v>
      </c>
      <c r="Q14" s="40" t="s">
        <v>58</v>
      </c>
      <c r="R14" s="47" t="s">
        <v>69</v>
      </c>
      <c r="S14" s="40" t="s">
        <v>58</v>
      </c>
      <c r="T14" s="47" t="s">
        <v>70</v>
      </c>
      <c r="U14" s="47"/>
      <c r="V14" s="47"/>
      <c r="W14" s="47"/>
    </row>
    <row r="15" ht="27" customHeight="1" spans="1:23">
      <c r="B15" s="36" t="s">
        <v>73</v>
      </c>
      <c r="C15" s="20" t="s">
        <v>26</v>
      </c>
      <c r="E15" s="38" t="s">
        <v>54</v>
      </c>
      <c r="F15" s="38" t="s">
        <v>39</v>
      </c>
      <c r="H15" s="45" t="s">
        <v>65</v>
      </c>
      <c r="I15" s="45" t="s">
        <v>66</v>
      </c>
      <c r="J15" s="49" t="s">
        <v>74</v>
      </c>
      <c r="K15" s="49"/>
      <c r="M15" s="30"/>
      <c r="N15" s="40" t="s">
        <v>58</v>
      </c>
      <c r="O15" s="30" t="s">
        <v>68</v>
      </c>
      <c r="P15" s="30" t="s">
        <v>36</v>
      </c>
      <c r="Q15" s="40" t="s">
        <v>58</v>
      </c>
      <c r="R15" s="30" t="s">
        <v>69</v>
      </c>
      <c r="S15" s="40" t="s">
        <v>58</v>
      </c>
      <c r="T15" s="30" t="s">
        <v>70</v>
      </c>
    </row>
    <row r="16" ht="27" customHeight="1" spans="1:23">
      <c r="B16" s="50" t="s">
        <v>75</v>
      </c>
      <c r="C16" s="20" t="s">
        <v>26</v>
      </c>
      <c r="D16" s="51">
        <v>1</v>
      </c>
      <c r="E16" s="52" t="s">
        <v>54</v>
      </c>
      <c r="F16" s="50" t="s">
        <v>33</v>
      </c>
      <c r="G16" s="53"/>
      <c r="H16" s="54" t="s">
        <v>28</v>
      </c>
      <c r="I16" s="55" t="s">
        <v>76</v>
      </c>
      <c r="J16" s="53"/>
      <c r="K16" s="56" t="s">
        <v>77</v>
      </c>
      <c r="L16" s="53"/>
      <c r="M16" s="53"/>
      <c r="N16" s="50" t="s">
        <v>78</v>
      </c>
      <c r="O16" s="57" t="s">
        <v>79</v>
      </c>
    </row>
    <row r="17" ht="27" customHeight="1" spans="2:22">
      <c r="B17" s="50" t="s">
        <v>80</v>
      </c>
      <c r="C17" s="20" t="s">
        <v>26</v>
      </c>
      <c r="D17" s="51">
        <v>1</v>
      </c>
      <c r="E17" s="52" t="s">
        <v>54</v>
      </c>
      <c r="F17" s="50" t="s">
        <v>27</v>
      </c>
      <c r="G17" s="53"/>
      <c r="H17" s="54" t="s">
        <v>28</v>
      </c>
      <c r="I17" s="54" t="s">
        <v>76</v>
      </c>
      <c r="J17" s="53"/>
      <c r="K17" s="56" t="s">
        <v>77</v>
      </c>
      <c r="L17" s="53"/>
      <c r="M17" s="53"/>
      <c r="N17" s="50" t="s">
        <v>78</v>
      </c>
      <c r="O17" s="57" t="s">
        <v>81</v>
      </c>
    </row>
    <row r="18" ht="27" customHeight="1" spans="2:22">
      <c r="B18" s="50" t="s">
        <v>82</v>
      </c>
      <c r="C18" s="20" t="s">
        <v>26</v>
      </c>
      <c r="D18" s="51">
        <v>1</v>
      </c>
      <c r="E18" s="52" t="s">
        <v>54</v>
      </c>
      <c r="F18" s="50" t="s">
        <v>83</v>
      </c>
      <c r="G18" s="53"/>
      <c r="H18" s="54" t="s">
        <v>28</v>
      </c>
      <c r="I18" s="54" t="s">
        <v>76</v>
      </c>
      <c r="J18" s="53"/>
      <c r="K18" s="56" t="s">
        <v>77</v>
      </c>
      <c r="L18" s="53"/>
      <c r="M18" s="53"/>
      <c r="N18" s="50" t="s">
        <v>78</v>
      </c>
      <c r="O18" s="57" t="s">
        <v>84</v>
      </c>
    </row>
    <row r="19" ht="27" customHeight="1" spans="2:22">
      <c r="B19" s="50" t="s">
        <v>85</v>
      </c>
      <c r="C19" s="20" t="s">
        <v>26</v>
      </c>
      <c r="D19" s="50" t="s">
        <v>27</v>
      </c>
      <c r="E19" s="52" t="s">
        <v>54</v>
      </c>
      <c r="F19" s="50" t="s">
        <v>83</v>
      </c>
      <c r="G19" s="53"/>
      <c r="H19" s="54" t="s">
        <v>28</v>
      </c>
      <c r="I19" s="54" t="s">
        <v>86</v>
      </c>
      <c r="J19" s="53"/>
      <c r="K19" s="56" t="s">
        <v>87</v>
      </c>
      <c r="L19" s="53"/>
      <c r="M19" s="53"/>
      <c r="N19" s="52" t="s">
        <v>88</v>
      </c>
      <c r="O19" s="57" t="s">
        <v>89</v>
      </c>
    </row>
    <row r="20" ht="27" customHeight="1" spans="2:22">
      <c r="B20" s="50" t="s">
        <v>90</v>
      </c>
      <c r="C20" s="20" t="s">
        <v>26</v>
      </c>
      <c r="D20" s="50" t="s">
        <v>27</v>
      </c>
      <c r="E20" s="52" t="s">
        <v>54</v>
      </c>
      <c r="F20" s="50" t="s">
        <v>39</v>
      </c>
      <c r="G20" s="53"/>
      <c r="H20" s="54" t="s">
        <v>28</v>
      </c>
      <c r="I20" s="54" t="s">
        <v>91</v>
      </c>
      <c r="J20" s="53"/>
      <c r="K20" s="56"/>
      <c r="L20" s="53"/>
      <c r="M20" s="53"/>
      <c r="N20" s="50" t="s">
        <v>78</v>
      </c>
      <c r="O20" s="57" t="s">
        <v>92</v>
      </c>
      <c r="V20" s="32" t="s">
        <v>93</v>
      </c>
    </row>
    <row r="21" ht="27" customHeight="1" spans="2:22">
      <c r="B21" s="50" t="s">
        <v>94</v>
      </c>
      <c r="C21" s="20" t="s">
        <v>26</v>
      </c>
      <c r="D21" s="50" t="s">
        <v>27</v>
      </c>
      <c r="E21" s="52" t="s">
        <v>54</v>
      </c>
      <c r="F21" s="50" t="s">
        <v>36</v>
      </c>
      <c r="G21" s="53"/>
      <c r="H21" s="54" t="s">
        <v>28</v>
      </c>
      <c r="I21" s="54" t="s">
        <v>91</v>
      </c>
      <c r="J21" s="53"/>
      <c r="K21" s="56"/>
      <c r="L21" s="53"/>
      <c r="M21" s="53"/>
      <c r="N21" s="50" t="s">
        <v>78</v>
      </c>
      <c r="O21" s="57" t="s">
        <v>95</v>
      </c>
      <c r="V21" s="32" t="s">
        <v>93</v>
      </c>
    </row>
    <row r="22" ht="27" customHeight="1" spans="2:22">
      <c r="B22" s="50" t="s">
        <v>96</v>
      </c>
      <c r="C22" s="20" t="s">
        <v>26</v>
      </c>
      <c r="D22" s="50" t="s">
        <v>27</v>
      </c>
      <c r="E22" s="52" t="s">
        <v>54</v>
      </c>
      <c r="F22" s="50" t="s">
        <v>27</v>
      </c>
      <c r="G22" s="53"/>
      <c r="H22" s="54" t="s">
        <v>28</v>
      </c>
      <c r="I22" s="54" t="s">
        <v>91</v>
      </c>
      <c r="J22" s="53"/>
      <c r="K22" s="56"/>
      <c r="L22" s="53"/>
      <c r="M22" s="53"/>
      <c r="N22" s="50" t="s">
        <v>78</v>
      </c>
      <c r="O22" s="57" t="s">
        <v>81</v>
      </c>
      <c r="V22" s="32" t="s">
        <v>93</v>
      </c>
    </row>
    <row r="23" ht="27" customHeight="1" spans="2:22">
      <c r="B23" s="50" t="s">
        <v>97</v>
      </c>
      <c r="C23" s="20" t="s">
        <v>26</v>
      </c>
      <c r="D23" s="50" t="s">
        <v>27</v>
      </c>
      <c r="E23" s="52" t="s">
        <v>54</v>
      </c>
      <c r="F23" s="50" t="s">
        <v>83</v>
      </c>
      <c r="G23" s="53"/>
      <c r="H23" s="54" t="s">
        <v>28</v>
      </c>
      <c r="I23" s="54" t="s">
        <v>98</v>
      </c>
      <c r="J23" s="53"/>
      <c r="K23" s="56" t="s">
        <v>99</v>
      </c>
      <c r="L23" s="53"/>
      <c r="M23" s="53"/>
      <c r="N23" s="52" t="s">
        <v>100</v>
      </c>
      <c r="O23" s="57" t="s">
        <v>101</v>
      </c>
      <c r="V23" s="32" t="s">
        <v>93</v>
      </c>
    </row>
    <row r="24" ht="27" customHeight="1" spans="2:22">
      <c r="B24" s="50" t="s">
        <v>102</v>
      </c>
      <c r="C24" s="20" t="s">
        <v>26</v>
      </c>
      <c r="D24" s="50" t="s">
        <v>27</v>
      </c>
      <c r="E24" s="52" t="s">
        <v>54</v>
      </c>
      <c r="F24" s="50" t="s">
        <v>103</v>
      </c>
      <c r="G24" s="53"/>
      <c r="H24" s="54" t="s">
        <v>28</v>
      </c>
      <c r="I24" s="54" t="s">
        <v>104</v>
      </c>
      <c r="J24" s="53"/>
      <c r="K24" s="56"/>
      <c r="L24" s="53"/>
      <c r="M24" s="53"/>
      <c r="N24" s="50" t="s">
        <v>78</v>
      </c>
      <c r="O24" s="57" t="s">
        <v>105</v>
      </c>
      <c r="V24" s="32" t="s">
        <v>106</v>
      </c>
    </row>
    <row r="25" ht="40.5" customHeight="1" spans="2:22">
      <c r="B25" s="50" t="s">
        <v>107</v>
      </c>
      <c r="C25" s="20" t="s">
        <v>26</v>
      </c>
      <c r="D25" s="50" t="s">
        <v>27</v>
      </c>
      <c r="E25" s="52" t="s">
        <v>54</v>
      </c>
      <c r="F25" s="50" t="s">
        <v>83</v>
      </c>
      <c r="G25" s="53"/>
      <c r="H25" s="54" t="s">
        <v>28</v>
      </c>
      <c r="I25" s="54" t="s">
        <v>104</v>
      </c>
      <c r="J25" s="53"/>
      <c r="K25" s="56"/>
      <c r="L25" s="53"/>
      <c r="M25" s="53"/>
      <c r="N25" s="50" t="s">
        <v>78</v>
      </c>
      <c r="O25" s="57" t="s">
        <v>84</v>
      </c>
      <c r="V25" s="32" t="s">
        <v>106</v>
      </c>
    </row>
    <row r="26" ht="27" customHeight="1" spans="2:22">
      <c r="B26" s="50" t="s">
        <v>108</v>
      </c>
      <c r="C26" s="20" t="s">
        <v>26</v>
      </c>
      <c r="D26" s="50" t="s">
        <v>27</v>
      </c>
      <c r="E26" s="52" t="s">
        <v>54</v>
      </c>
      <c r="F26" s="50" t="s">
        <v>33</v>
      </c>
      <c r="G26" s="53"/>
      <c r="H26" s="54" t="s">
        <v>28</v>
      </c>
      <c r="I26" s="54" t="s">
        <v>104</v>
      </c>
      <c r="J26" s="53"/>
      <c r="K26" s="56"/>
      <c r="L26" s="53"/>
      <c r="M26" s="53"/>
      <c r="N26" s="50" t="s">
        <v>78</v>
      </c>
      <c r="O26" s="57" t="s">
        <v>79</v>
      </c>
      <c r="V26" s="32" t="s">
        <v>106</v>
      </c>
    </row>
    <row r="27" ht="27" customHeight="1" spans="2:22">
      <c r="B27" s="50" t="s">
        <v>109</v>
      </c>
      <c r="C27" s="20" t="s">
        <v>26</v>
      </c>
      <c r="D27" s="50" t="s">
        <v>27</v>
      </c>
      <c r="E27" s="52" t="s">
        <v>54</v>
      </c>
      <c r="F27" s="50" t="s">
        <v>36</v>
      </c>
      <c r="G27" s="53"/>
      <c r="H27" s="54" t="s">
        <v>28</v>
      </c>
      <c r="I27" s="54" t="s">
        <v>110</v>
      </c>
      <c r="J27" s="53"/>
      <c r="K27" s="56"/>
      <c r="L27" s="53"/>
      <c r="M27" s="53"/>
      <c r="N27" s="52" t="s">
        <v>111</v>
      </c>
      <c r="O27" s="57" t="s">
        <v>112</v>
      </c>
      <c r="V27" s="32" t="s">
        <v>113</v>
      </c>
    </row>
    <row r="28" ht="27" customHeight="1" spans="2:22">
      <c r="B28" s="50" t="s">
        <v>114</v>
      </c>
      <c r="C28" s="20" t="s">
        <v>26</v>
      </c>
      <c r="D28" s="50" t="s">
        <v>27</v>
      </c>
      <c r="E28" s="52" t="s">
        <v>54</v>
      </c>
      <c r="F28" s="50" t="s">
        <v>27</v>
      </c>
      <c r="G28" s="53"/>
      <c r="H28" s="54" t="s">
        <v>28</v>
      </c>
      <c r="I28" s="54" t="s">
        <v>115</v>
      </c>
      <c r="J28" s="53"/>
      <c r="K28" s="56"/>
      <c r="L28" s="53"/>
      <c r="M28" s="53"/>
      <c r="N28" s="50" t="s">
        <v>78</v>
      </c>
      <c r="O28" s="57" t="s">
        <v>81</v>
      </c>
      <c r="V28" s="58" t="s">
        <v>116</v>
      </c>
    </row>
    <row r="29" ht="29.25" customHeight="1" spans="2:22">
      <c r="B29" s="50" t="s">
        <v>117</v>
      </c>
      <c r="C29" s="20" t="s">
        <v>26</v>
      </c>
      <c r="D29" s="50" t="s">
        <v>27</v>
      </c>
      <c r="E29" s="52" t="s">
        <v>54</v>
      </c>
      <c r="F29" s="50" t="s">
        <v>36</v>
      </c>
      <c r="G29" s="53"/>
      <c r="H29" s="54" t="s">
        <v>28</v>
      </c>
      <c r="I29" s="54" t="s">
        <v>115</v>
      </c>
      <c r="J29" s="53"/>
      <c r="K29" s="56"/>
      <c r="L29" s="53"/>
      <c r="M29" s="53"/>
      <c r="N29" s="50" t="s">
        <v>78</v>
      </c>
      <c r="O29" s="57" t="s">
        <v>95</v>
      </c>
      <c r="V29" s="58" t="s">
        <v>116</v>
      </c>
    </row>
    <row r="30" ht="18.75" customHeight="1" spans="2:22">
      <c r="B30" s="50" t="s">
        <v>118</v>
      </c>
      <c r="C30" s="20" t="s">
        <v>26</v>
      </c>
      <c r="D30" s="50" t="s">
        <v>27</v>
      </c>
      <c r="E30" s="52" t="s">
        <v>54</v>
      </c>
      <c r="F30" s="50" t="s">
        <v>83</v>
      </c>
      <c r="G30" s="53"/>
      <c r="H30" s="54" t="s">
        <v>28</v>
      </c>
      <c r="I30" s="54" t="s">
        <v>115</v>
      </c>
      <c r="J30" s="53"/>
      <c r="K30" s="56"/>
      <c r="L30" s="53"/>
      <c r="M30" s="53"/>
      <c r="N30" s="50" t="s">
        <v>78</v>
      </c>
      <c r="O30" s="57" t="s">
        <v>84</v>
      </c>
      <c r="V30" s="58" t="s">
        <v>116</v>
      </c>
    </row>
    <row r="31" ht="40.5" customHeight="1" spans="2:22">
      <c r="B31" s="50" t="s">
        <v>119</v>
      </c>
      <c r="C31" s="20" t="s">
        <v>26</v>
      </c>
      <c r="D31" s="50" t="s">
        <v>27</v>
      </c>
      <c r="E31" s="52" t="s">
        <v>54</v>
      </c>
      <c r="F31" s="50" t="s">
        <v>27</v>
      </c>
      <c r="G31" s="53"/>
      <c r="H31" s="54" t="s">
        <v>28</v>
      </c>
      <c r="I31" s="54" t="s">
        <v>120</v>
      </c>
      <c r="J31" s="53"/>
      <c r="K31" s="56"/>
      <c r="L31" s="53"/>
      <c r="M31" s="53"/>
      <c r="N31" s="52" t="s">
        <v>111</v>
      </c>
      <c r="O31" s="57" t="s">
        <v>121</v>
      </c>
      <c r="V31" s="58" t="s">
        <v>122</v>
      </c>
    </row>
    <row r="32" ht="40.5" customHeight="1" spans="2:22">
      <c r="B32" s="50" t="s">
        <v>123</v>
      </c>
      <c r="C32" s="20" t="s">
        <v>26</v>
      </c>
      <c r="D32" s="50" t="s">
        <v>27</v>
      </c>
      <c r="E32" s="52" t="s">
        <v>54</v>
      </c>
      <c r="F32" s="50" t="s">
        <v>39</v>
      </c>
      <c r="G32" s="53"/>
      <c r="H32" s="54" t="s">
        <v>28</v>
      </c>
      <c r="I32" s="55" t="s">
        <v>124</v>
      </c>
      <c r="J32" s="53"/>
      <c r="K32" s="56"/>
      <c r="L32" s="53"/>
      <c r="M32" s="53"/>
      <c r="N32" s="50" t="s">
        <v>78</v>
      </c>
      <c r="O32" s="57" t="s">
        <v>92</v>
      </c>
      <c r="V32" s="58" t="s">
        <v>125</v>
      </c>
    </row>
    <row r="33" ht="40.5" customHeight="1" spans="2:22">
      <c r="B33" s="50" t="s">
        <v>126</v>
      </c>
      <c r="C33" s="20" t="s">
        <v>26</v>
      </c>
      <c r="D33" s="50" t="s">
        <v>27</v>
      </c>
      <c r="E33" s="52" t="s">
        <v>54</v>
      </c>
      <c r="F33" s="50" t="s">
        <v>103</v>
      </c>
      <c r="G33" s="53"/>
      <c r="H33" s="54" t="s">
        <v>28</v>
      </c>
      <c r="I33" s="55" t="s">
        <v>124</v>
      </c>
      <c r="J33" s="53"/>
      <c r="K33" s="56"/>
      <c r="L33" s="53"/>
      <c r="M33" s="53"/>
      <c r="N33" s="50" t="s">
        <v>78</v>
      </c>
      <c r="O33" s="57" t="s">
        <v>105</v>
      </c>
      <c r="V33" s="58" t="s">
        <v>125</v>
      </c>
    </row>
    <row r="34" ht="40.5" spans="2:22">
      <c r="B34" s="50" t="s">
        <v>127</v>
      </c>
      <c r="C34" s="20" t="s">
        <v>26</v>
      </c>
      <c r="D34" s="50" t="s">
        <v>27</v>
      </c>
      <c r="E34" s="52" t="s">
        <v>54</v>
      </c>
      <c r="F34" s="50" t="s">
        <v>33</v>
      </c>
      <c r="G34" s="53"/>
      <c r="H34" s="54" t="s">
        <v>28</v>
      </c>
      <c r="I34" s="54" t="s">
        <v>124</v>
      </c>
      <c r="J34" s="53"/>
      <c r="K34" s="56"/>
      <c r="L34" s="53"/>
      <c r="M34" s="53"/>
      <c r="N34" s="50" t="s">
        <v>78</v>
      </c>
      <c r="O34" s="57" t="s">
        <v>79</v>
      </c>
      <c r="V34" s="58" t="s">
        <v>125</v>
      </c>
    </row>
    <row r="35" ht="40.5" spans="2:22">
      <c r="B35" s="50" t="s">
        <v>128</v>
      </c>
      <c r="C35" s="20" t="s">
        <v>26</v>
      </c>
      <c r="D35" s="50" t="s">
        <v>27</v>
      </c>
      <c r="E35" s="52" t="s">
        <v>54</v>
      </c>
      <c r="F35" s="50" t="s">
        <v>33</v>
      </c>
      <c r="G35" s="53"/>
      <c r="H35" s="54" t="s">
        <v>28</v>
      </c>
      <c r="I35" s="55" t="s">
        <v>129</v>
      </c>
      <c r="J35" s="53"/>
      <c r="K35" s="56"/>
      <c r="L35" s="53"/>
      <c r="M35" s="53"/>
      <c r="N35" s="52" t="s">
        <v>111</v>
      </c>
      <c r="O35" s="57" t="s">
        <v>130</v>
      </c>
      <c r="V35" s="58"/>
    </row>
    <row r="36" spans="2:22">
      <c r="B36" s="45" t="s">
        <v>131</v>
      </c>
      <c r="C36" s="20" t="s">
        <v>26</v>
      </c>
      <c r="D36" s="45"/>
      <c r="E36" s="52" t="s">
        <v>132</v>
      </c>
      <c r="F36" s="52" t="s">
        <v>39</v>
      </c>
      <c r="G36" s="45"/>
      <c r="H36" s="45"/>
      <c r="I36" s="45"/>
      <c r="J36" s="45" t="s">
        <v>133</v>
      </c>
      <c r="K36" s="45" t="s">
        <v>134</v>
      </c>
      <c r="L36" s="45"/>
      <c r="N36" s="57" t="s">
        <v>135</v>
      </c>
      <c r="O36" s="32" t="s">
        <v>136</v>
      </c>
    </row>
    <row r="37" spans="2:22">
      <c r="B37" s="45" t="s">
        <v>137</v>
      </c>
      <c r="C37" s="20" t="s">
        <v>26</v>
      </c>
      <c r="D37" s="45"/>
      <c r="E37" s="52" t="s">
        <v>132</v>
      </c>
      <c r="F37" s="52" t="s">
        <v>83</v>
      </c>
      <c r="G37" s="45"/>
      <c r="H37" s="45"/>
      <c r="I37" s="45"/>
      <c r="J37" s="52" t="s">
        <v>133</v>
      </c>
      <c r="K37" s="45" t="s">
        <v>138</v>
      </c>
      <c r="L37" s="45"/>
      <c r="N37" s="57" t="s">
        <v>135</v>
      </c>
      <c r="O37" s="32" t="s">
        <v>139</v>
      </c>
    </row>
    <row r="38" spans="2:22">
      <c r="B38" s="45" t="s">
        <v>140</v>
      </c>
      <c r="C38" s="20" t="s">
        <v>26</v>
      </c>
      <c r="D38" s="45"/>
      <c r="E38" s="52" t="s">
        <v>132</v>
      </c>
      <c r="F38" s="52" t="s">
        <v>27</v>
      </c>
      <c r="G38" s="45"/>
      <c r="H38" s="45"/>
      <c r="I38" s="45"/>
      <c r="J38" s="52" t="s">
        <v>133</v>
      </c>
      <c r="K38" s="45" t="s">
        <v>138</v>
      </c>
      <c r="L38" s="45"/>
      <c r="N38" s="57" t="s">
        <v>135</v>
      </c>
      <c r="O38" s="32" t="s">
        <v>141</v>
      </c>
    </row>
    <row r="39" spans="2:22">
      <c r="B39" s="45" t="s">
        <v>142</v>
      </c>
      <c r="C39" s="20" t="s">
        <v>26</v>
      </c>
      <c r="D39" s="45"/>
      <c r="E39" s="52" t="s">
        <v>132</v>
      </c>
      <c r="F39" s="52" t="s">
        <v>83</v>
      </c>
      <c r="G39" s="45"/>
      <c r="H39" s="45"/>
      <c r="I39" s="45"/>
      <c r="J39" s="52" t="s">
        <v>133</v>
      </c>
      <c r="K39" s="45" t="s">
        <v>143</v>
      </c>
      <c r="L39" s="45"/>
      <c r="N39" s="59" t="s">
        <v>144</v>
      </c>
      <c r="O39" s="32" t="s">
        <v>139</v>
      </c>
    </row>
    <row r="40" spans="2:22">
      <c r="B40" s="45" t="s">
        <v>145</v>
      </c>
      <c r="C40" s="20" t="s">
        <v>26</v>
      </c>
      <c r="D40" s="45"/>
      <c r="E40" s="52" t="s">
        <v>132</v>
      </c>
      <c r="F40" s="52" t="s">
        <v>36</v>
      </c>
      <c r="G40" s="45"/>
      <c r="H40" s="45"/>
      <c r="I40" s="45"/>
      <c r="J40" s="52" t="s">
        <v>133</v>
      </c>
      <c r="K40" s="45" t="s">
        <v>143</v>
      </c>
      <c r="L40" s="45"/>
      <c r="N40" s="59" t="s">
        <v>144</v>
      </c>
      <c r="O40" s="32" t="s">
        <v>146</v>
      </c>
    </row>
    <row r="41" spans="2:22">
      <c r="B41" s="45" t="s">
        <v>147</v>
      </c>
      <c r="C41" s="20" t="s">
        <v>26</v>
      </c>
      <c r="D41" s="45"/>
      <c r="E41" s="52" t="s">
        <v>148</v>
      </c>
      <c r="F41" s="52" t="s">
        <v>27</v>
      </c>
      <c r="G41" s="45"/>
      <c r="H41" s="45"/>
      <c r="I41" s="45"/>
      <c r="J41" s="52" t="s">
        <v>133</v>
      </c>
      <c r="K41" s="45" t="s">
        <v>143</v>
      </c>
      <c r="L41" s="45"/>
      <c r="N41" s="59" t="s">
        <v>144</v>
      </c>
      <c r="O41" s="32" t="s">
        <v>149</v>
      </c>
    </row>
    <row r="42" spans="2:22">
      <c r="B42" s="45" t="s">
        <v>150</v>
      </c>
      <c r="C42" s="20" t="s">
        <v>26</v>
      </c>
      <c r="D42" s="45"/>
      <c r="E42" s="52" t="s">
        <v>148</v>
      </c>
      <c r="F42" s="52" t="s">
        <v>83</v>
      </c>
      <c r="G42" s="45"/>
      <c r="H42" s="45"/>
      <c r="I42" s="45"/>
      <c r="J42" s="52" t="s">
        <v>133</v>
      </c>
      <c r="K42" s="45" t="s">
        <v>151</v>
      </c>
      <c r="L42" s="45"/>
      <c r="N42" s="59" t="s">
        <v>144</v>
      </c>
      <c r="O42" s="32" t="s">
        <v>152</v>
      </c>
    </row>
    <row r="43" spans="2:22">
      <c r="B43" s="45" t="s">
        <v>153</v>
      </c>
      <c r="C43" s="20" t="s">
        <v>26</v>
      </c>
      <c r="D43" s="45"/>
      <c r="E43" s="52" t="s">
        <v>148</v>
      </c>
      <c r="F43" s="52" t="s">
        <v>36</v>
      </c>
      <c r="G43" s="45"/>
      <c r="H43" s="45"/>
      <c r="I43" s="45"/>
      <c r="J43" s="52" t="s">
        <v>133</v>
      </c>
      <c r="K43" s="45" t="s">
        <v>151</v>
      </c>
      <c r="L43" s="45"/>
      <c r="N43" s="59" t="s">
        <v>144</v>
      </c>
      <c r="O43" s="32" t="s">
        <v>154</v>
      </c>
    </row>
    <row r="44" spans="2:22">
      <c r="B44" s="45" t="s">
        <v>155</v>
      </c>
      <c r="C44" s="20" t="s">
        <v>26</v>
      </c>
      <c r="D44" s="45"/>
      <c r="E44" s="52" t="s">
        <v>148</v>
      </c>
      <c r="F44" s="52" t="s">
        <v>27</v>
      </c>
      <c r="G44" s="45"/>
      <c r="H44" s="45"/>
      <c r="I44" s="45"/>
      <c r="J44" s="52" t="s">
        <v>133</v>
      </c>
      <c r="K44" s="45" t="s">
        <v>151</v>
      </c>
      <c r="L44" s="45"/>
      <c r="N44" s="59" t="s">
        <v>144</v>
      </c>
      <c r="O44" s="32" t="s">
        <v>149</v>
      </c>
    </row>
    <row r="45" spans="2:22">
      <c r="B45" s="45" t="s">
        <v>156</v>
      </c>
      <c r="C45" s="20" t="s">
        <v>26</v>
      </c>
      <c r="D45" s="45"/>
      <c r="E45" s="52" t="s">
        <v>148</v>
      </c>
      <c r="F45" s="52" t="s">
        <v>83</v>
      </c>
      <c r="G45" s="45"/>
      <c r="H45" s="45"/>
      <c r="I45" s="45"/>
      <c r="J45" s="52" t="s">
        <v>133</v>
      </c>
      <c r="K45" s="45" t="s">
        <v>151</v>
      </c>
      <c r="L45" s="45"/>
      <c r="N45" s="59" t="s">
        <v>144</v>
      </c>
      <c r="O45" s="32" t="s">
        <v>152</v>
      </c>
    </row>
    <row r="46" ht="27" spans="2:22">
      <c r="B46" s="52" t="s">
        <v>157</v>
      </c>
      <c r="C46" s="20" t="s">
        <v>26</v>
      </c>
      <c r="D46" s="45"/>
      <c r="E46" s="52" t="s">
        <v>158</v>
      </c>
      <c r="F46" s="52" t="s">
        <v>39</v>
      </c>
      <c r="G46" s="45"/>
      <c r="H46" s="45"/>
      <c r="I46" s="45"/>
      <c r="J46" s="45" t="s">
        <v>133</v>
      </c>
      <c r="K46" s="45" t="s">
        <v>159</v>
      </c>
      <c r="L46" s="45"/>
      <c r="N46" s="60" t="s">
        <v>160</v>
      </c>
      <c r="O46" s="31" t="s">
        <v>161</v>
      </c>
    </row>
    <row r="47" ht="27" spans="2:22">
      <c r="B47" s="52" t="s">
        <v>162</v>
      </c>
      <c r="C47" s="20" t="s">
        <v>26</v>
      </c>
      <c r="D47" s="45"/>
      <c r="E47" s="52" t="s">
        <v>158</v>
      </c>
      <c r="F47" s="52" t="s">
        <v>103</v>
      </c>
      <c r="G47" s="45"/>
      <c r="H47" s="45"/>
      <c r="I47" s="45"/>
      <c r="J47" s="45" t="s">
        <v>133</v>
      </c>
      <c r="K47" s="45" t="s">
        <v>163</v>
      </c>
      <c r="L47" s="45"/>
      <c r="N47" s="59" t="s">
        <v>144</v>
      </c>
      <c r="O47" s="33" t="s">
        <v>164</v>
      </c>
    </row>
    <row r="48" spans="2:22">
      <c r="B48" s="52" t="s">
        <v>165</v>
      </c>
      <c r="C48" s="20" t="s">
        <v>26</v>
      </c>
      <c r="D48" s="45"/>
      <c r="E48" s="52" t="s">
        <v>158</v>
      </c>
      <c r="F48" s="52" t="s">
        <v>83</v>
      </c>
      <c r="G48" s="45"/>
      <c r="H48" s="45"/>
      <c r="I48" s="45"/>
      <c r="J48" s="52" t="s">
        <v>133</v>
      </c>
      <c r="K48" s="45" t="s">
        <v>166</v>
      </c>
      <c r="L48" s="45"/>
      <c r="N48" s="59" t="s">
        <v>144</v>
      </c>
      <c r="O48" s="32" t="s">
        <v>167</v>
      </c>
    </row>
    <row r="49" spans="2:15">
      <c r="B49" s="52" t="s">
        <v>168</v>
      </c>
      <c r="C49" s="20" t="s">
        <v>26</v>
      </c>
      <c r="D49" s="45"/>
      <c r="E49" s="52" t="s">
        <v>158</v>
      </c>
      <c r="F49" s="52" t="s">
        <v>33</v>
      </c>
      <c r="G49" s="45"/>
      <c r="H49" s="45"/>
      <c r="I49" s="45"/>
      <c r="J49" s="52" t="s">
        <v>133</v>
      </c>
      <c r="K49" s="45" t="s">
        <v>166</v>
      </c>
      <c r="L49" s="45"/>
      <c r="N49" s="59" t="s">
        <v>144</v>
      </c>
      <c r="O49" s="32" t="s">
        <v>169</v>
      </c>
    </row>
    <row r="50" spans="2:15">
      <c r="B50" s="52" t="s">
        <v>170</v>
      </c>
      <c r="C50" s="20" t="s">
        <v>26</v>
      </c>
      <c r="D50" s="45"/>
      <c r="E50" s="52" t="s">
        <v>158</v>
      </c>
      <c r="F50" s="52" t="s">
        <v>33</v>
      </c>
      <c r="G50" s="45"/>
      <c r="H50" s="45"/>
      <c r="I50" s="45"/>
      <c r="J50" s="52" t="s">
        <v>133</v>
      </c>
      <c r="K50" s="45" t="s">
        <v>171</v>
      </c>
      <c r="L50" s="45"/>
      <c r="N50" s="59" t="s">
        <v>144</v>
      </c>
      <c r="O50" s="32" t="s">
        <v>172</v>
      </c>
    </row>
    <row r="51" spans="2:15">
      <c r="B51" s="52" t="s">
        <v>173</v>
      </c>
      <c r="C51" s="20" t="s">
        <v>26</v>
      </c>
      <c r="D51" s="45"/>
      <c r="E51" s="52" t="s">
        <v>174</v>
      </c>
      <c r="F51" s="52" t="s">
        <v>36</v>
      </c>
      <c r="G51" s="45"/>
      <c r="H51" s="45"/>
      <c r="I51" s="45"/>
      <c r="J51" s="52" t="s">
        <v>133</v>
      </c>
      <c r="K51" s="45" t="s">
        <v>171</v>
      </c>
      <c r="L51" s="45"/>
      <c r="N51" s="59" t="s">
        <v>144</v>
      </c>
      <c r="O51" s="32" t="s">
        <v>175</v>
      </c>
    </row>
    <row r="52" spans="2:15">
      <c r="B52" s="52" t="s">
        <v>176</v>
      </c>
      <c r="C52" s="20" t="s">
        <v>26</v>
      </c>
      <c r="D52" s="45"/>
      <c r="E52" s="52" t="s">
        <v>174</v>
      </c>
      <c r="F52" s="52" t="s">
        <v>33</v>
      </c>
      <c r="G52" s="45"/>
      <c r="H52" s="45"/>
      <c r="I52" s="45"/>
      <c r="J52" s="52" t="s">
        <v>133</v>
      </c>
      <c r="K52" s="45" t="s">
        <v>177</v>
      </c>
      <c r="L52" s="45"/>
      <c r="N52" s="59" t="s">
        <v>144</v>
      </c>
      <c r="O52" s="32" t="s">
        <v>178</v>
      </c>
    </row>
    <row r="53" spans="2:15">
      <c r="B53" s="52" t="s">
        <v>179</v>
      </c>
      <c r="C53" s="20" t="s">
        <v>26</v>
      </c>
      <c r="D53" s="45"/>
      <c r="E53" s="52" t="s">
        <v>174</v>
      </c>
      <c r="F53" s="52" t="s">
        <v>83</v>
      </c>
      <c r="G53" s="45"/>
      <c r="H53" s="45"/>
      <c r="I53" s="45"/>
      <c r="J53" s="52" t="s">
        <v>133</v>
      </c>
      <c r="K53" s="45" t="s">
        <v>177</v>
      </c>
      <c r="L53" s="45"/>
      <c r="N53" s="59" t="s">
        <v>144</v>
      </c>
      <c r="O53" s="32" t="s">
        <v>180</v>
      </c>
    </row>
    <row r="54" ht="27" spans="2:15">
      <c r="B54" s="52" t="s">
        <v>181</v>
      </c>
      <c r="C54" s="20" t="s">
        <v>26</v>
      </c>
      <c r="D54" s="45"/>
      <c r="E54" s="52" t="s">
        <v>174</v>
      </c>
      <c r="F54" s="52" t="s">
        <v>27</v>
      </c>
      <c r="G54" s="45"/>
      <c r="H54" s="45"/>
      <c r="I54" s="45"/>
      <c r="J54" s="45" t="s">
        <v>133</v>
      </c>
      <c r="K54" s="45" t="s">
        <v>182</v>
      </c>
      <c r="L54" s="45"/>
      <c r="N54" s="60" t="s">
        <v>160</v>
      </c>
      <c r="O54" s="32" t="s">
        <v>183</v>
      </c>
    </row>
    <row r="55" ht="27" spans="2:15">
      <c r="B55" s="52" t="s">
        <v>184</v>
      </c>
      <c r="C55" s="20" t="s">
        <v>26</v>
      </c>
      <c r="D55" s="45"/>
      <c r="E55" s="52" t="s">
        <v>174</v>
      </c>
      <c r="F55" s="52" t="s">
        <v>27</v>
      </c>
      <c r="G55" s="45"/>
      <c r="H55" s="45"/>
      <c r="I55" s="45"/>
      <c r="J55" s="45" t="s">
        <v>133</v>
      </c>
      <c r="K55" s="45" t="s">
        <v>185</v>
      </c>
      <c r="L55" s="45"/>
      <c r="N55" s="60" t="s">
        <v>160</v>
      </c>
      <c r="O55" s="32" t="s">
        <v>183</v>
      </c>
    </row>
    <row r="56" spans="2:15">
      <c r="B56" s="52" t="s">
        <v>186</v>
      </c>
      <c r="C56" s="20" t="s">
        <v>26</v>
      </c>
      <c r="D56" s="45"/>
      <c r="E56" s="52" t="s">
        <v>187</v>
      </c>
      <c r="F56" s="52" t="s">
        <v>83</v>
      </c>
      <c r="G56" s="45"/>
      <c r="H56" s="45"/>
      <c r="I56" s="45"/>
      <c r="J56" s="52" t="s">
        <v>133</v>
      </c>
      <c r="K56" s="45" t="s">
        <v>188</v>
      </c>
      <c r="L56" s="45"/>
      <c r="N56" s="59" t="s">
        <v>144</v>
      </c>
      <c r="O56" s="32" t="s">
        <v>180</v>
      </c>
    </row>
    <row r="57" ht="27" spans="2:15">
      <c r="B57" s="52" t="s">
        <v>189</v>
      </c>
      <c r="C57" s="20" t="s">
        <v>26</v>
      </c>
      <c r="D57" s="45"/>
      <c r="E57" s="52" t="s">
        <v>187</v>
      </c>
      <c r="F57" s="52" t="s">
        <v>27</v>
      </c>
      <c r="G57" s="45"/>
      <c r="H57" s="45"/>
      <c r="I57" s="45"/>
      <c r="J57" s="52" t="s">
        <v>133</v>
      </c>
      <c r="K57" s="45" t="s">
        <v>188</v>
      </c>
      <c r="L57" s="45"/>
      <c r="N57" s="60" t="s">
        <v>160</v>
      </c>
      <c r="O57" s="32" t="s">
        <v>183</v>
      </c>
    </row>
    <row r="58" spans="2:15">
      <c r="B58" s="52" t="s">
        <v>190</v>
      </c>
      <c r="C58" s="20" t="s">
        <v>26</v>
      </c>
      <c r="D58" s="45"/>
      <c r="E58" s="52" t="s">
        <v>187</v>
      </c>
      <c r="F58" s="52" t="s">
        <v>39</v>
      </c>
      <c r="G58" s="45"/>
      <c r="H58" s="45"/>
      <c r="I58" s="45"/>
      <c r="J58" s="52" t="s">
        <v>133</v>
      </c>
      <c r="K58" s="45" t="s">
        <v>191</v>
      </c>
      <c r="L58" s="45"/>
      <c r="N58" s="59" t="s">
        <v>144</v>
      </c>
      <c r="O58" s="32" t="s">
        <v>192</v>
      </c>
    </row>
    <row r="59" spans="2:15">
      <c r="B59" s="52" t="s">
        <v>193</v>
      </c>
      <c r="C59" s="20" t="s">
        <v>26</v>
      </c>
      <c r="D59" s="45"/>
      <c r="E59" s="52" t="s">
        <v>187</v>
      </c>
      <c r="F59" s="52" t="s">
        <v>39</v>
      </c>
      <c r="G59" s="45"/>
      <c r="H59" s="45"/>
      <c r="I59" s="45"/>
      <c r="J59" s="52" t="s">
        <v>133</v>
      </c>
      <c r="K59" s="45" t="s">
        <v>191</v>
      </c>
      <c r="L59" s="45"/>
      <c r="N59" s="59" t="s">
        <v>144</v>
      </c>
      <c r="O59" s="32" t="s">
        <v>194</v>
      </c>
    </row>
    <row r="60" ht="27" spans="2:15">
      <c r="B60" s="52" t="s">
        <v>195</v>
      </c>
      <c r="C60" s="20" t="s">
        <v>26</v>
      </c>
      <c r="D60" s="45"/>
      <c r="E60" s="52" t="s">
        <v>187</v>
      </c>
      <c r="F60" s="52" t="s">
        <v>103</v>
      </c>
      <c r="G60" s="45"/>
      <c r="H60" s="45"/>
      <c r="I60" s="45"/>
      <c r="J60" s="52" t="s">
        <v>133</v>
      </c>
      <c r="K60" s="45" t="s">
        <v>196</v>
      </c>
      <c r="L60" s="45"/>
      <c r="N60" s="59" t="s">
        <v>144</v>
      </c>
      <c r="O60" s="33" t="s">
        <v>197</v>
      </c>
    </row>
    <row r="61" ht="27" spans="2:15">
      <c r="B61" s="52" t="s">
        <v>198</v>
      </c>
      <c r="C61" s="20" t="s">
        <v>26</v>
      </c>
      <c r="D61" s="45"/>
      <c r="E61" s="52" t="s">
        <v>199</v>
      </c>
      <c r="F61" s="52" t="s">
        <v>103</v>
      </c>
      <c r="G61" s="45"/>
      <c r="H61" s="45"/>
      <c r="I61" s="45"/>
      <c r="J61" s="52" t="s">
        <v>133</v>
      </c>
      <c r="K61" s="45" t="s">
        <v>196</v>
      </c>
      <c r="L61" s="45"/>
      <c r="N61" s="59" t="s">
        <v>144</v>
      </c>
      <c r="O61" s="33" t="s">
        <v>197</v>
      </c>
    </row>
    <row r="62" ht="27" spans="2:15">
      <c r="B62" s="52" t="s">
        <v>200</v>
      </c>
      <c r="C62" s="20" t="s">
        <v>26</v>
      </c>
      <c r="D62" s="45"/>
      <c r="E62" s="52" t="s">
        <v>199</v>
      </c>
      <c r="F62" s="52" t="s">
        <v>39</v>
      </c>
      <c r="G62" s="45"/>
      <c r="H62" s="45"/>
      <c r="I62" s="45"/>
      <c r="J62" s="45" t="s">
        <v>133</v>
      </c>
      <c r="K62" s="45" t="s">
        <v>201</v>
      </c>
      <c r="L62" s="45"/>
      <c r="N62" s="60" t="s">
        <v>160</v>
      </c>
      <c r="O62" s="32" t="s">
        <v>202</v>
      </c>
    </row>
    <row r="63" ht="27" spans="2:15">
      <c r="B63" s="52" t="s">
        <v>203</v>
      </c>
      <c r="C63" s="20" t="s">
        <v>26</v>
      </c>
      <c r="D63" s="45"/>
      <c r="E63" s="52" t="s">
        <v>199</v>
      </c>
      <c r="F63" s="52" t="s">
        <v>103</v>
      </c>
      <c r="G63" s="45"/>
      <c r="H63" s="45"/>
      <c r="I63" s="45"/>
      <c r="J63" s="45" t="s">
        <v>133</v>
      </c>
      <c r="K63" s="45" t="s">
        <v>204</v>
      </c>
      <c r="L63" s="45"/>
      <c r="N63" s="60" t="s">
        <v>160</v>
      </c>
      <c r="O63" s="32" t="s">
        <v>194</v>
      </c>
    </row>
    <row r="64" ht="27" spans="2:15">
      <c r="B64" s="52" t="s">
        <v>205</v>
      </c>
      <c r="C64" s="20" t="s">
        <v>26</v>
      </c>
      <c r="D64" s="45"/>
      <c r="E64" s="52" t="s">
        <v>199</v>
      </c>
      <c r="F64" s="52" t="s">
        <v>36</v>
      </c>
      <c r="G64" s="45"/>
      <c r="H64" s="45"/>
      <c r="I64" s="45"/>
      <c r="J64" s="45" t="s">
        <v>133</v>
      </c>
      <c r="K64" s="45" t="s">
        <v>206</v>
      </c>
      <c r="L64" s="45"/>
      <c r="N64" s="60" t="s">
        <v>160</v>
      </c>
      <c r="O64" s="32" t="s">
        <v>207</v>
      </c>
    </row>
    <row r="65" spans="2:20">
      <c r="B65" s="52" t="s">
        <v>208</v>
      </c>
      <c r="C65" s="20" t="s">
        <v>26</v>
      </c>
      <c r="D65" s="45"/>
      <c r="E65" s="52" t="s">
        <v>199</v>
      </c>
      <c r="F65" s="52" t="s">
        <v>36</v>
      </c>
      <c r="G65" s="45"/>
      <c r="H65" s="45"/>
      <c r="I65" s="45"/>
      <c r="J65" s="52" t="s">
        <v>133</v>
      </c>
      <c r="K65" s="45" t="s">
        <v>209</v>
      </c>
      <c r="L65" s="45"/>
      <c r="N65" s="59" t="s">
        <v>144</v>
      </c>
      <c r="O65" s="32" t="s">
        <v>207</v>
      </c>
    </row>
    <row r="66" spans="2:20">
      <c r="B66" s="52" t="s">
        <v>210</v>
      </c>
      <c r="C66" s="20" t="s">
        <v>26</v>
      </c>
      <c r="D66" s="45"/>
      <c r="E66" s="52" t="s">
        <v>211</v>
      </c>
      <c r="F66" s="52" t="s">
        <v>36</v>
      </c>
      <c r="G66" s="45"/>
      <c r="H66" s="45"/>
      <c r="I66" s="45"/>
      <c r="J66" s="52" t="s">
        <v>133</v>
      </c>
      <c r="K66" s="45" t="s">
        <v>209</v>
      </c>
      <c r="L66" s="45"/>
      <c r="N66" s="59" t="s">
        <v>144</v>
      </c>
      <c r="O66" s="32" t="s">
        <v>207</v>
      </c>
    </row>
    <row r="67" spans="2:20">
      <c r="B67" s="52" t="s">
        <v>212</v>
      </c>
      <c r="C67" s="20" t="s">
        <v>26</v>
      </c>
      <c r="D67" s="52"/>
      <c r="E67" s="52" t="s">
        <v>211</v>
      </c>
      <c r="F67" s="52" t="s">
        <v>27</v>
      </c>
      <c r="G67" s="45"/>
      <c r="H67" s="45"/>
      <c r="I67" s="45"/>
      <c r="J67" s="52" t="s">
        <v>133</v>
      </c>
      <c r="K67" s="45" t="s">
        <v>213</v>
      </c>
      <c r="L67" s="45"/>
      <c r="N67" s="59" t="s">
        <v>144</v>
      </c>
      <c r="O67" s="32" t="s">
        <v>214</v>
      </c>
    </row>
    <row r="68" spans="2:20">
      <c r="B68" s="52" t="s">
        <v>215</v>
      </c>
      <c r="C68" s="20" t="s">
        <v>26</v>
      </c>
      <c r="D68" s="52"/>
      <c r="E68" s="52" t="s">
        <v>211</v>
      </c>
      <c r="F68" s="52" t="s">
        <v>27</v>
      </c>
      <c r="G68" s="45"/>
      <c r="H68" s="45"/>
      <c r="I68" s="45"/>
      <c r="J68" s="52" t="s">
        <v>133</v>
      </c>
      <c r="K68" s="45" t="s">
        <v>213</v>
      </c>
      <c r="L68" s="45"/>
      <c r="N68" s="59" t="s">
        <v>144</v>
      </c>
      <c r="O68" s="32" t="s">
        <v>216</v>
      </c>
    </row>
    <row r="69" ht="27" spans="2:20">
      <c r="B69" s="52" t="s">
        <v>217</v>
      </c>
      <c r="C69" s="20" t="s">
        <v>26</v>
      </c>
      <c r="D69" s="45"/>
      <c r="E69" s="52" t="s">
        <v>211</v>
      </c>
      <c r="F69" s="52" t="s">
        <v>39</v>
      </c>
      <c r="G69" s="45"/>
      <c r="H69" s="45"/>
      <c r="I69" s="45"/>
      <c r="J69" s="45" t="s">
        <v>133</v>
      </c>
      <c r="K69" s="45" t="s">
        <v>218</v>
      </c>
      <c r="L69" s="45"/>
      <c r="N69" s="60" t="s">
        <v>160</v>
      </c>
      <c r="O69" s="32" t="s">
        <v>219</v>
      </c>
    </row>
    <row r="70" spans="2:20">
      <c r="B70" s="52" t="s">
        <v>220</v>
      </c>
      <c r="C70" s="20" t="s">
        <v>26</v>
      </c>
      <c r="D70" s="45"/>
      <c r="E70" s="52" t="s">
        <v>211</v>
      </c>
      <c r="F70" s="52" t="s">
        <v>27</v>
      </c>
      <c r="G70" s="45"/>
      <c r="H70" s="45"/>
      <c r="I70" s="45"/>
      <c r="J70" s="52" t="s">
        <v>133</v>
      </c>
      <c r="K70" s="45" t="s">
        <v>221</v>
      </c>
      <c r="L70" s="45"/>
      <c r="N70" s="59" t="s">
        <v>144</v>
      </c>
      <c r="O70" s="32" t="s">
        <v>216</v>
      </c>
    </row>
    <row r="71" spans="2:20">
      <c r="B71" s="52" t="s">
        <v>222</v>
      </c>
      <c r="C71" s="20" t="s">
        <v>26</v>
      </c>
      <c r="D71" s="45"/>
      <c r="E71" s="52" t="s">
        <v>223</v>
      </c>
      <c r="F71" s="52" t="s">
        <v>83</v>
      </c>
      <c r="G71" s="45"/>
      <c r="H71" s="45"/>
      <c r="I71" s="45"/>
      <c r="J71" s="52" t="s">
        <v>133</v>
      </c>
      <c r="K71" s="45" t="s">
        <v>221</v>
      </c>
      <c r="L71" s="45"/>
      <c r="N71" s="59" t="s">
        <v>144</v>
      </c>
      <c r="O71" s="32" t="s">
        <v>224</v>
      </c>
    </row>
    <row r="72" spans="2:20">
      <c r="B72" s="52" t="s">
        <v>225</v>
      </c>
      <c r="C72" s="20" t="s">
        <v>26</v>
      </c>
      <c r="D72" s="45"/>
      <c r="E72" s="52" t="s">
        <v>223</v>
      </c>
      <c r="F72" s="52" t="s">
        <v>27</v>
      </c>
      <c r="G72" s="45"/>
      <c r="H72" s="45"/>
      <c r="I72" s="45"/>
      <c r="J72" s="45" t="s">
        <v>226</v>
      </c>
      <c r="K72" s="45" t="s">
        <v>227</v>
      </c>
      <c r="L72" s="45"/>
      <c r="N72" s="59" t="s">
        <v>144</v>
      </c>
      <c r="O72" s="32" t="s">
        <v>228</v>
      </c>
    </row>
    <row r="73" spans="2:20">
      <c r="B73" s="52" t="s">
        <v>229</v>
      </c>
      <c r="C73" s="20" t="s">
        <v>26</v>
      </c>
      <c r="D73" s="45"/>
      <c r="E73" s="52" t="s">
        <v>223</v>
      </c>
      <c r="F73" s="52" t="s">
        <v>33</v>
      </c>
      <c r="G73" s="45"/>
      <c r="H73" s="45"/>
      <c r="I73" s="45"/>
      <c r="J73" s="45" t="s">
        <v>226</v>
      </c>
      <c r="K73" s="45" t="s">
        <v>227</v>
      </c>
      <c r="L73" s="45"/>
      <c r="N73" s="59" t="s">
        <v>144</v>
      </c>
      <c r="O73" s="32" t="s">
        <v>230</v>
      </c>
    </row>
    <row r="74" spans="2:20">
      <c r="B74" s="52" t="s">
        <v>231</v>
      </c>
      <c r="C74" s="20" t="s">
        <v>26</v>
      </c>
      <c r="D74" s="45"/>
      <c r="E74" s="52" t="s">
        <v>223</v>
      </c>
      <c r="F74" s="52" t="s">
        <v>33</v>
      </c>
      <c r="G74" s="45"/>
      <c r="H74" s="45"/>
      <c r="I74" s="45"/>
      <c r="J74" s="45" t="s">
        <v>226</v>
      </c>
      <c r="K74" s="45" t="s">
        <v>227</v>
      </c>
      <c r="L74" s="45"/>
      <c r="N74" s="59" t="s">
        <v>144</v>
      </c>
      <c r="O74" s="32" t="s">
        <v>232</v>
      </c>
    </row>
    <row r="75" spans="2:20">
      <c r="B75" s="52" t="s">
        <v>233</v>
      </c>
      <c r="C75" s="20" t="s">
        <v>26</v>
      </c>
      <c r="D75" s="45"/>
      <c r="E75" s="52" t="s">
        <v>223</v>
      </c>
      <c r="F75" s="52" t="s">
        <v>27</v>
      </c>
      <c r="G75" s="45"/>
      <c r="H75" s="45"/>
      <c r="I75" s="45"/>
      <c r="J75" s="52" t="s">
        <v>133</v>
      </c>
      <c r="K75" s="45" t="s">
        <v>234</v>
      </c>
      <c r="L75" s="45"/>
      <c r="N75" s="59" t="s">
        <v>144</v>
      </c>
      <c r="O75" s="32" t="s">
        <v>228</v>
      </c>
    </row>
    <row r="76" spans="2:20">
      <c r="B76" s="52" t="s">
        <v>235</v>
      </c>
      <c r="C76" s="20" t="s">
        <v>26</v>
      </c>
      <c r="D76" s="45"/>
      <c r="E76" s="52" t="s">
        <v>236</v>
      </c>
      <c r="F76" s="52" t="s">
        <v>33</v>
      </c>
      <c r="G76" s="45"/>
      <c r="H76" s="45"/>
      <c r="I76" s="45"/>
      <c r="J76" s="52" t="s">
        <v>133</v>
      </c>
      <c r="K76" s="45" t="s">
        <v>234</v>
      </c>
      <c r="L76" s="45"/>
      <c r="N76" s="59" t="s">
        <v>144</v>
      </c>
      <c r="O76" s="32" t="s">
        <v>230</v>
      </c>
    </row>
    <row r="77" spans="2:20">
      <c r="B77" s="52" t="s">
        <v>237</v>
      </c>
      <c r="C77" s="20" t="s">
        <v>26</v>
      </c>
      <c r="D77" s="45"/>
      <c r="E77" s="52" t="s">
        <v>236</v>
      </c>
      <c r="F77" s="52" t="s">
        <v>33</v>
      </c>
      <c r="G77" s="45"/>
      <c r="H77" s="45"/>
      <c r="I77" s="45"/>
      <c r="J77" s="52" t="s">
        <v>133</v>
      </c>
      <c r="K77" s="45" t="s">
        <v>234</v>
      </c>
      <c r="L77" s="45"/>
      <c r="N77" s="59" t="s">
        <v>144</v>
      </c>
      <c r="O77" s="32" t="s">
        <v>232</v>
      </c>
    </row>
    <row r="78" spans="2:20">
      <c r="B78" s="52" t="s">
        <v>238</v>
      </c>
      <c r="C78" s="20" t="s">
        <v>26</v>
      </c>
      <c r="D78" s="45"/>
      <c r="E78" s="52" t="s">
        <v>236</v>
      </c>
      <c r="F78" s="52" t="s">
        <v>36</v>
      </c>
      <c r="G78" s="45"/>
      <c r="H78" s="45"/>
      <c r="I78" s="45"/>
      <c r="J78" s="52" t="s">
        <v>133</v>
      </c>
      <c r="K78" s="45" t="s">
        <v>234</v>
      </c>
      <c r="L78" s="45"/>
      <c r="N78" s="59" t="s">
        <v>144</v>
      </c>
      <c r="O78" s="32" t="s">
        <v>239</v>
      </c>
    </row>
    <row r="79" ht="27" spans="2:20">
      <c r="B79" s="52" t="s">
        <v>240</v>
      </c>
      <c r="C79" s="20" t="s">
        <v>26</v>
      </c>
      <c r="D79" s="45"/>
      <c r="E79" s="52" t="s">
        <v>236</v>
      </c>
      <c r="F79" s="52" t="s">
        <v>27</v>
      </c>
      <c r="G79" s="45"/>
      <c r="H79" s="45"/>
      <c r="I79" s="45"/>
      <c r="J79" s="52" t="s">
        <v>133</v>
      </c>
      <c r="K79" s="45" t="s">
        <v>234</v>
      </c>
      <c r="L79" s="45"/>
      <c r="N79" s="60" t="s">
        <v>160</v>
      </c>
      <c r="O79" s="32" t="s">
        <v>228</v>
      </c>
    </row>
    <row r="80" spans="2:20">
      <c r="B80" s="45" t="s">
        <v>241</v>
      </c>
      <c r="C80" s="20" t="s">
        <v>26</v>
      </c>
      <c r="D80" s="45"/>
      <c r="E80" s="52" t="s">
        <v>236</v>
      </c>
      <c r="F80" s="52" t="s">
        <v>39</v>
      </c>
      <c r="G80" s="45"/>
      <c r="H80" s="52" t="s">
        <v>242</v>
      </c>
      <c r="I80" s="45" t="s">
        <v>243</v>
      </c>
      <c r="J80" s="45" t="s">
        <v>133</v>
      </c>
      <c r="K80" s="45" t="s">
        <v>244</v>
      </c>
      <c r="L80" s="45"/>
      <c r="N80" s="61" t="s">
        <v>245</v>
      </c>
      <c r="O80" s="31" t="s">
        <v>246</v>
      </c>
      <c r="P80" s="31" t="s">
        <v>36</v>
      </c>
      <c r="Q80" s="61" t="s">
        <v>245</v>
      </c>
      <c r="R80" s="32" t="s">
        <v>247</v>
      </c>
      <c r="S80" s="32" t="s">
        <v>248</v>
      </c>
      <c r="T80" s="31" t="s">
        <v>249</v>
      </c>
    </row>
    <row r="81" spans="2:15">
      <c r="B81" s="62" t="s">
        <v>250</v>
      </c>
      <c r="C81" s="20" t="s">
        <v>26</v>
      </c>
      <c r="D81" s="63"/>
      <c r="E81" s="62" t="s">
        <v>251</v>
      </c>
      <c r="F81" s="63" t="s">
        <v>33</v>
      </c>
      <c r="G81" s="63"/>
      <c r="H81" s="63"/>
      <c r="I81" s="63"/>
      <c r="J81" s="52" t="s">
        <v>252</v>
      </c>
      <c r="K81" s="62" t="s">
        <v>253</v>
      </c>
      <c r="L81" s="63"/>
      <c r="N81" s="59" t="s">
        <v>144</v>
      </c>
      <c r="O81" s="32" t="s">
        <v>254</v>
      </c>
    </row>
    <row r="82" spans="2:15">
      <c r="B82" s="63" t="s">
        <v>255</v>
      </c>
      <c r="C82" s="20" t="s">
        <v>26</v>
      </c>
      <c r="D82" s="63"/>
      <c r="E82" s="62" t="s">
        <v>251</v>
      </c>
      <c r="F82" s="62" t="s">
        <v>83</v>
      </c>
      <c r="G82" s="63"/>
      <c r="H82" s="63"/>
      <c r="I82" s="63"/>
      <c r="J82" s="52" t="s">
        <v>256</v>
      </c>
      <c r="K82" s="62" t="s">
        <v>257</v>
      </c>
      <c r="L82" s="63"/>
      <c r="N82" s="59" t="s">
        <v>144</v>
      </c>
      <c r="O82" s="32" t="s">
        <v>258</v>
      </c>
    </row>
    <row r="83" spans="2:15">
      <c r="B83" s="63" t="s">
        <v>259</v>
      </c>
      <c r="C83" s="20" t="s">
        <v>26</v>
      </c>
      <c r="D83" s="63"/>
      <c r="E83" s="62" t="s">
        <v>260</v>
      </c>
      <c r="F83" s="62" t="s">
        <v>33</v>
      </c>
      <c r="G83" s="63"/>
      <c r="H83" s="63"/>
      <c r="I83" s="63"/>
      <c r="J83" s="52" t="s">
        <v>256</v>
      </c>
      <c r="K83" s="62" t="s">
        <v>257</v>
      </c>
      <c r="L83" s="63"/>
      <c r="N83" s="59" t="s">
        <v>144</v>
      </c>
      <c r="O83" s="32" t="s">
        <v>261</v>
      </c>
    </row>
    <row r="84" spans="2:15">
      <c r="B84" s="63" t="s">
        <v>262</v>
      </c>
      <c r="C84" s="20" t="s">
        <v>26</v>
      </c>
      <c r="D84" s="63"/>
      <c r="E84" s="62" t="s">
        <v>260</v>
      </c>
      <c r="F84" s="62" t="s">
        <v>33</v>
      </c>
      <c r="G84" s="63"/>
      <c r="H84" s="63"/>
      <c r="I84" s="63"/>
      <c r="J84" s="52" t="s">
        <v>263</v>
      </c>
      <c r="K84" s="62" t="s">
        <v>264</v>
      </c>
      <c r="L84" s="63"/>
      <c r="N84" s="59" t="s">
        <v>144</v>
      </c>
      <c r="O84" s="32" t="s">
        <v>265</v>
      </c>
    </row>
    <row r="85" spans="2:15">
      <c r="B85" s="63" t="s">
        <v>266</v>
      </c>
      <c r="C85" s="20" t="s">
        <v>26</v>
      </c>
      <c r="D85" s="63"/>
      <c r="E85" s="62" t="s">
        <v>267</v>
      </c>
      <c r="F85" s="62" t="s">
        <v>83</v>
      </c>
      <c r="G85" s="63"/>
      <c r="H85" s="63"/>
      <c r="I85" s="63"/>
      <c r="J85" s="52" t="s">
        <v>263</v>
      </c>
      <c r="K85" s="62" t="s">
        <v>264</v>
      </c>
      <c r="L85" s="63"/>
      <c r="N85" s="59" t="s">
        <v>144</v>
      </c>
      <c r="O85" s="32" t="s">
        <v>268</v>
      </c>
    </row>
    <row r="86" ht="27" spans="2:15">
      <c r="B86" s="62" t="s">
        <v>269</v>
      </c>
      <c r="C86" s="20" t="s">
        <v>26</v>
      </c>
      <c r="D86" s="62"/>
      <c r="E86" s="62" t="s">
        <v>267</v>
      </c>
      <c r="F86" s="62" t="s">
        <v>33</v>
      </c>
      <c r="G86" s="62"/>
      <c r="H86" s="62"/>
      <c r="I86" s="63"/>
      <c r="J86" s="63" t="s">
        <v>256</v>
      </c>
      <c r="K86" s="62" t="s">
        <v>270</v>
      </c>
      <c r="L86" s="63"/>
      <c r="N86" s="60" t="s">
        <v>271</v>
      </c>
      <c r="O86" s="32" t="s">
        <v>272</v>
      </c>
    </row>
    <row r="87" spans="2:15">
      <c r="B87" s="62" t="s">
        <v>273</v>
      </c>
      <c r="C87" s="20" t="s">
        <v>26</v>
      </c>
      <c r="D87" s="63"/>
      <c r="E87" s="62" t="s">
        <v>274</v>
      </c>
      <c r="F87" s="62" t="s">
        <v>33</v>
      </c>
      <c r="G87" s="63"/>
      <c r="H87" s="63"/>
      <c r="I87" s="63"/>
      <c r="J87" s="63" t="s">
        <v>256</v>
      </c>
      <c r="K87" s="62" t="s">
        <v>275</v>
      </c>
      <c r="L87" s="63"/>
      <c r="N87" s="59" t="s">
        <v>144</v>
      </c>
      <c r="O87" s="32" t="s">
        <v>276</v>
      </c>
    </row>
    <row r="88" spans="2:15">
      <c r="B88" s="62" t="s">
        <v>277</v>
      </c>
      <c r="C88" s="20" t="s">
        <v>26</v>
      </c>
      <c r="D88" s="63"/>
      <c r="E88" s="62" t="s">
        <v>274</v>
      </c>
      <c r="F88" s="62" t="s">
        <v>33</v>
      </c>
      <c r="G88" s="63"/>
      <c r="H88" s="63"/>
      <c r="I88" s="63"/>
      <c r="J88" s="62" t="s">
        <v>256</v>
      </c>
      <c r="K88" s="62" t="s">
        <v>278</v>
      </c>
      <c r="L88" s="63"/>
      <c r="N88" s="59" t="s">
        <v>144</v>
      </c>
      <c r="O88" s="32" t="s">
        <v>279</v>
      </c>
    </row>
    <row r="89" spans="2:15">
      <c r="B89" s="62" t="s">
        <v>280</v>
      </c>
      <c r="C89" s="20" t="s">
        <v>26</v>
      </c>
      <c r="D89" s="63"/>
      <c r="E89" s="62" t="s">
        <v>281</v>
      </c>
      <c r="F89" s="62" t="s">
        <v>36</v>
      </c>
      <c r="G89" s="63"/>
      <c r="H89" s="63"/>
      <c r="I89" s="63"/>
      <c r="J89" s="62" t="s">
        <v>256</v>
      </c>
      <c r="K89" s="62" t="s">
        <v>278</v>
      </c>
      <c r="L89" s="63"/>
      <c r="N89" s="59" t="s">
        <v>144</v>
      </c>
      <c r="O89" s="32" t="s">
        <v>282</v>
      </c>
    </row>
    <row r="90" spans="2:15">
      <c r="B90" s="62" t="s">
        <v>283</v>
      </c>
      <c r="C90" s="20" t="s">
        <v>26</v>
      </c>
      <c r="D90" s="63"/>
      <c r="E90" s="62" t="s">
        <v>281</v>
      </c>
      <c r="F90" s="62" t="s">
        <v>36</v>
      </c>
      <c r="G90" s="63"/>
      <c r="H90" s="63"/>
      <c r="I90" s="63"/>
      <c r="J90" s="62" t="s">
        <v>263</v>
      </c>
      <c r="K90" s="62" t="s">
        <v>284</v>
      </c>
      <c r="L90" s="63"/>
      <c r="N90" s="59" t="s">
        <v>144</v>
      </c>
      <c r="O90" s="32" t="s">
        <v>285</v>
      </c>
    </row>
    <row r="91" spans="2:15">
      <c r="B91" s="62" t="s">
        <v>286</v>
      </c>
      <c r="C91" s="20" t="s">
        <v>26</v>
      </c>
      <c r="D91" s="63"/>
      <c r="E91" s="62" t="s">
        <v>287</v>
      </c>
      <c r="F91" s="62" t="s">
        <v>33</v>
      </c>
      <c r="G91" s="63"/>
      <c r="H91" s="63"/>
      <c r="I91" s="63"/>
      <c r="J91" s="62" t="s">
        <v>263</v>
      </c>
      <c r="K91" s="62" t="s">
        <v>284</v>
      </c>
      <c r="L91" s="63"/>
      <c r="N91" s="59" t="s">
        <v>144</v>
      </c>
      <c r="O91" s="32" t="s">
        <v>288</v>
      </c>
    </row>
    <row r="92" ht="27" spans="2:15">
      <c r="B92" s="62" t="s">
        <v>289</v>
      </c>
      <c r="C92" s="20" t="s">
        <v>26</v>
      </c>
      <c r="D92" s="62"/>
      <c r="E92" s="62" t="s">
        <v>287</v>
      </c>
      <c r="F92" s="62" t="s">
        <v>33</v>
      </c>
      <c r="G92" s="62" t="s">
        <v>27</v>
      </c>
      <c r="H92" s="62" t="s">
        <v>290</v>
      </c>
      <c r="I92" s="63"/>
      <c r="J92" s="63" t="s">
        <v>256</v>
      </c>
      <c r="K92" s="62" t="s">
        <v>291</v>
      </c>
      <c r="L92" s="63"/>
      <c r="N92" s="60" t="s">
        <v>271</v>
      </c>
      <c r="O92" s="32" t="s">
        <v>292</v>
      </c>
    </row>
    <row r="93" spans="2:15">
      <c r="B93" s="62" t="s">
        <v>293</v>
      </c>
      <c r="C93" s="20" t="s">
        <v>26</v>
      </c>
      <c r="D93" s="63"/>
      <c r="E93" s="62" t="s">
        <v>294</v>
      </c>
      <c r="F93" s="62" t="s">
        <v>83</v>
      </c>
      <c r="G93" s="63"/>
      <c r="H93" s="63"/>
      <c r="I93" s="63"/>
      <c r="J93" s="63" t="s">
        <v>256</v>
      </c>
      <c r="K93" s="62" t="s">
        <v>295</v>
      </c>
      <c r="L93" s="63"/>
      <c r="N93" s="59" t="s">
        <v>144</v>
      </c>
      <c r="O93" s="32" t="s">
        <v>296</v>
      </c>
    </row>
    <row r="94" spans="2:15">
      <c r="B94" s="62" t="s">
        <v>297</v>
      </c>
      <c r="C94" s="20" t="s">
        <v>26</v>
      </c>
      <c r="D94" s="63"/>
      <c r="E94" s="62" t="s">
        <v>294</v>
      </c>
      <c r="F94" s="62" t="s">
        <v>36</v>
      </c>
      <c r="G94" s="63"/>
      <c r="H94" s="63"/>
      <c r="I94" s="63"/>
      <c r="J94" s="63" t="s">
        <v>256</v>
      </c>
      <c r="K94" s="62" t="s">
        <v>298</v>
      </c>
      <c r="L94" s="63"/>
      <c r="N94" s="59" t="s">
        <v>144</v>
      </c>
      <c r="O94" s="32" t="s">
        <v>299</v>
      </c>
    </row>
    <row r="95" spans="2:15">
      <c r="B95" s="62" t="s">
        <v>300</v>
      </c>
      <c r="C95" s="20" t="s">
        <v>26</v>
      </c>
      <c r="D95" s="63"/>
      <c r="E95" s="62" t="s">
        <v>301</v>
      </c>
      <c r="F95" s="62" t="s">
        <v>33</v>
      </c>
      <c r="G95" s="63"/>
      <c r="H95" s="63"/>
      <c r="I95" s="63"/>
      <c r="J95" s="63" t="s">
        <v>256</v>
      </c>
      <c r="K95" s="62" t="s">
        <v>298</v>
      </c>
      <c r="L95" s="63"/>
      <c r="N95" s="59" t="s">
        <v>144</v>
      </c>
      <c r="O95" s="32" t="s">
        <v>302</v>
      </c>
    </row>
    <row r="96" spans="2:15">
      <c r="B96" s="62" t="s">
        <v>303</v>
      </c>
      <c r="C96" s="20" t="s">
        <v>26</v>
      </c>
      <c r="D96" s="63"/>
      <c r="E96" s="62" t="s">
        <v>301</v>
      </c>
      <c r="F96" s="62" t="s">
        <v>36</v>
      </c>
      <c r="G96" s="63"/>
      <c r="H96" s="63"/>
      <c r="I96" s="63"/>
      <c r="J96" s="62" t="s">
        <v>263</v>
      </c>
      <c r="K96" s="62" t="s">
        <v>304</v>
      </c>
      <c r="L96" s="63"/>
      <c r="N96" s="59" t="s">
        <v>144</v>
      </c>
      <c r="O96" s="32" t="s">
        <v>305</v>
      </c>
    </row>
    <row r="97" spans="2:15">
      <c r="B97" s="62" t="s">
        <v>306</v>
      </c>
      <c r="C97" s="20" t="s">
        <v>26</v>
      </c>
      <c r="D97" s="63"/>
      <c r="E97" s="62" t="s">
        <v>307</v>
      </c>
      <c r="F97" s="62" t="s">
        <v>83</v>
      </c>
      <c r="G97" s="63"/>
      <c r="H97" s="63"/>
      <c r="I97" s="63"/>
      <c r="J97" s="62" t="s">
        <v>263</v>
      </c>
      <c r="K97" s="62" t="s">
        <v>304</v>
      </c>
      <c r="L97" s="63"/>
      <c r="N97" s="59" t="s">
        <v>144</v>
      </c>
      <c r="O97" s="32" t="s">
        <v>308</v>
      </c>
    </row>
    <row r="98" ht="27" spans="2:15">
      <c r="B98" s="64" t="s">
        <v>309</v>
      </c>
      <c r="C98" s="20" t="s">
        <v>26</v>
      </c>
      <c r="D98" s="64"/>
      <c r="E98" s="64" t="s">
        <v>307</v>
      </c>
      <c r="F98" s="64" t="s">
        <v>33</v>
      </c>
      <c r="G98" s="64"/>
      <c r="H98" s="64"/>
      <c r="I98" s="65"/>
      <c r="J98" s="65" t="s">
        <v>256</v>
      </c>
      <c r="K98" s="64" t="s">
        <v>310</v>
      </c>
      <c r="L98" s="65"/>
      <c r="M98" s="65"/>
      <c r="N98" s="60" t="s">
        <v>271</v>
      </c>
      <c r="O98" s="32" t="s">
        <v>311</v>
      </c>
    </row>
    <row r="99" spans="2:15">
      <c r="B99" s="62" t="s">
        <v>312</v>
      </c>
      <c r="C99" s="20" t="s">
        <v>26</v>
      </c>
      <c r="D99" s="63"/>
      <c r="E99" s="62" t="s">
        <v>313</v>
      </c>
      <c r="F99" s="62" t="s">
        <v>33</v>
      </c>
      <c r="G99" s="63"/>
      <c r="H99" s="63"/>
      <c r="I99" s="63"/>
      <c r="J99" s="63" t="s">
        <v>256</v>
      </c>
      <c r="K99" s="62" t="s">
        <v>314</v>
      </c>
      <c r="L99" s="63"/>
      <c r="N99" s="59" t="s">
        <v>144</v>
      </c>
      <c r="O99" s="32" t="s">
        <v>315</v>
      </c>
    </row>
    <row r="100" spans="2:15">
      <c r="B100" s="62" t="s">
        <v>316</v>
      </c>
      <c r="C100" s="20" t="s">
        <v>26</v>
      </c>
      <c r="D100" s="63"/>
      <c r="E100" s="62" t="s">
        <v>313</v>
      </c>
      <c r="F100" s="62" t="s">
        <v>33</v>
      </c>
      <c r="G100" s="63"/>
      <c r="H100" s="63"/>
      <c r="I100" s="63"/>
      <c r="J100" s="62" t="s">
        <v>263</v>
      </c>
      <c r="K100" s="62" t="s">
        <v>317</v>
      </c>
      <c r="L100" s="63"/>
      <c r="N100" s="59" t="s">
        <v>144</v>
      </c>
      <c r="O100" s="32" t="s">
        <v>311</v>
      </c>
    </row>
    <row r="101" spans="2:15">
      <c r="B101" s="62" t="s">
        <v>318</v>
      </c>
      <c r="C101" s="20" t="s">
        <v>26</v>
      </c>
      <c r="D101" s="63"/>
      <c r="E101" s="62" t="s">
        <v>319</v>
      </c>
      <c r="F101" s="62" t="s">
        <v>33</v>
      </c>
      <c r="G101" s="63"/>
      <c r="H101" s="63"/>
      <c r="I101" s="63"/>
      <c r="J101" s="62" t="s">
        <v>263</v>
      </c>
      <c r="K101" s="62" t="s">
        <v>317</v>
      </c>
      <c r="L101" s="63"/>
      <c r="N101" s="59" t="s">
        <v>144</v>
      </c>
      <c r="O101" s="32" t="s">
        <v>320</v>
      </c>
    </row>
    <row r="102" spans="2:15">
      <c r="B102" s="62" t="s">
        <v>321</v>
      </c>
      <c r="C102" s="20" t="s">
        <v>26</v>
      </c>
      <c r="D102" s="63"/>
      <c r="E102" s="62" t="s">
        <v>319</v>
      </c>
      <c r="F102" s="62" t="s">
        <v>27</v>
      </c>
      <c r="G102" s="63"/>
      <c r="H102" s="63"/>
      <c r="I102" s="63"/>
      <c r="J102" s="62" t="s">
        <v>263</v>
      </c>
      <c r="K102" s="62" t="s">
        <v>322</v>
      </c>
      <c r="L102" s="63"/>
      <c r="N102" s="59" t="s">
        <v>144</v>
      </c>
      <c r="O102" s="32" t="s">
        <v>323</v>
      </c>
    </row>
    <row r="103" spans="2:15">
      <c r="B103" s="62" t="s">
        <v>324</v>
      </c>
      <c r="C103" s="20" t="s">
        <v>26</v>
      </c>
      <c r="D103" s="63"/>
      <c r="E103" s="62" t="s">
        <v>325</v>
      </c>
      <c r="F103" s="62" t="s">
        <v>33</v>
      </c>
      <c r="G103" s="63"/>
      <c r="H103" s="63"/>
      <c r="I103" s="63"/>
      <c r="J103" s="62" t="s">
        <v>263</v>
      </c>
      <c r="K103" s="62" t="s">
        <v>322</v>
      </c>
      <c r="L103" s="63"/>
      <c r="N103" s="59" t="s">
        <v>144</v>
      </c>
      <c r="O103" s="32" t="s">
        <v>326</v>
      </c>
    </row>
    <row r="104" ht="27" spans="2:15">
      <c r="B104" s="64" t="s">
        <v>327</v>
      </c>
      <c r="C104" s="20" t="s">
        <v>26</v>
      </c>
      <c r="D104" s="64"/>
      <c r="E104" s="64" t="s">
        <v>325</v>
      </c>
      <c r="F104" s="64" t="s">
        <v>33</v>
      </c>
      <c r="G104" s="64" t="s">
        <v>27</v>
      </c>
      <c r="H104" s="64" t="s">
        <v>290</v>
      </c>
      <c r="I104" s="65"/>
      <c r="J104" s="65" t="s">
        <v>256</v>
      </c>
      <c r="K104" s="64" t="s">
        <v>328</v>
      </c>
      <c r="L104" s="65"/>
      <c r="M104" s="65"/>
      <c r="N104" s="60" t="s">
        <v>271</v>
      </c>
      <c r="O104" s="32" t="s">
        <v>320</v>
      </c>
    </row>
    <row r="105" spans="2:15">
      <c r="B105" s="62" t="s">
        <v>329</v>
      </c>
      <c r="C105" s="20" t="s">
        <v>26</v>
      </c>
      <c r="D105" s="63"/>
      <c r="E105" s="62" t="s">
        <v>330</v>
      </c>
      <c r="F105" s="62" t="s">
        <v>27</v>
      </c>
      <c r="G105" s="63"/>
      <c r="H105" s="63"/>
      <c r="I105" s="63"/>
      <c r="J105" s="63" t="s">
        <v>256</v>
      </c>
      <c r="K105" s="62" t="s">
        <v>331</v>
      </c>
      <c r="L105" s="63"/>
      <c r="N105" s="59" t="s">
        <v>144</v>
      </c>
      <c r="O105" s="32" t="s">
        <v>323</v>
      </c>
    </row>
    <row r="106" spans="2:15">
      <c r="B106" s="62" t="s">
        <v>332</v>
      </c>
      <c r="C106" s="20" t="s">
        <v>26</v>
      </c>
      <c r="D106" s="63"/>
      <c r="E106" s="62" t="s">
        <v>330</v>
      </c>
      <c r="F106" s="62" t="s">
        <v>83</v>
      </c>
      <c r="G106" s="63"/>
      <c r="H106" s="63"/>
      <c r="I106" s="63"/>
      <c r="J106" s="62" t="s">
        <v>263</v>
      </c>
      <c r="K106" s="62" t="s">
        <v>333</v>
      </c>
      <c r="L106" s="63"/>
      <c r="N106" s="59" t="s">
        <v>144</v>
      </c>
      <c r="O106" s="32" t="s">
        <v>334</v>
      </c>
    </row>
    <row r="107" spans="2:15">
      <c r="B107" s="62" t="s">
        <v>335</v>
      </c>
      <c r="C107" s="20" t="s">
        <v>26</v>
      </c>
      <c r="D107" s="63"/>
      <c r="E107" s="62" t="s">
        <v>336</v>
      </c>
      <c r="F107" s="62" t="s">
        <v>33</v>
      </c>
      <c r="G107" s="63"/>
      <c r="H107" s="63"/>
      <c r="I107" s="63"/>
      <c r="J107" s="62" t="s">
        <v>263</v>
      </c>
      <c r="K107" s="62" t="s">
        <v>333</v>
      </c>
      <c r="L107" s="63"/>
      <c r="N107" s="59" t="s">
        <v>144</v>
      </c>
      <c r="O107" s="32" t="s">
        <v>320</v>
      </c>
    </row>
    <row r="108" spans="2:15">
      <c r="B108" s="62" t="s">
        <v>337</v>
      </c>
      <c r="C108" s="20" t="s">
        <v>26</v>
      </c>
      <c r="D108" s="63"/>
      <c r="E108" s="62" t="s">
        <v>336</v>
      </c>
      <c r="F108" s="62" t="s">
        <v>33</v>
      </c>
      <c r="G108" s="63"/>
      <c r="H108" s="63"/>
      <c r="I108" s="63"/>
      <c r="J108" s="62" t="s">
        <v>263</v>
      </c>
      <c r="K108" s="62" t="s">
        <v>338</v>
      </c>
      <c r="L108" s="63"/>
      <c r="N108" s="59" t="s">
        <v>144</v>
      </c>
      <c r="O108" s="32" t="s">
        <v>326</v>
      </c>
    </row>
    <row r="109" spans="2:15">
      <c r="B109" s="62" t="s">
        <v>339</v>
      </c>
      <c r="C109" s="20" t="s">
        <v>26</v>
      </c>
      <c r="D109" s="63"/>
      <c r="E109" s="62" t="s">
        <v>340</v>
      </c>
      <c r="F109" s="62" t="s">
        <v>27</v>
      </c>
      <c r="G109" s="63"/>
      <c r="H109" s="63"/>
      <c r="I109" s="63"/>
      <c r="J109" s="62" t="s">
        <v>263</v>
      </c>
      <c r="K109" s="62" t="s">
        <v>338</v>
      </c>
      <c r="L109" s="63"/>
      <c r="N109" s="59" t="s">
        <v>144</v>
      </c>
      <c r="O109" s="32" t="s">
        <v>323</v>
      </c>
    </row>
    <row r="110" ht="27" spans="2:15">
      <c r="B110" s="64" t="s">
        <v>341</v>
      </c>
      <c r="C110" s="20" t="s">
        <v>26</v>
      </c>
      <c r="D110" s="64"/>
      <c r="E110" s="64" t="s">
        <v>340</v>
      </c>
      <c r="F110" s="64" t="s">
        <v>33</v>
      </c>
      <c r="G110" s="64"/>
      <c r="H110" s="64"/>
      <c r="I110" s="65"/>
      <c r="J110" s="65" t="s">
        <v>256</v>
      </c>
      <c r="K110" s="64" t="s">
        <v>342</v>
      </c>
      <c r="L110" s="65"/>
      <c r="M110" s="65"/>
      <c r="N110" s="60" t="s">
        <v>271</v>
      </c>
      <c r="O110" s="32" t="s">
        <v>326</v>
      </c>
    </row>
    <row r="111" spans="2:15">
      <c r="B111" s="62" t="s">
        <v>343</v>
      </c>
      <c r="C111" s="20" t="s">
        <v>26</v>
      </c>
      <c r="D111" s="62"/>
      <c r="E111" s="62" t="s">
        <v>344</v>
      </c>
      <c r="F111" s="62" t="s">
        <v>27</v>
      </c>
      <c r="G111" s="62"/>
      <c r="H111" s="62"/>
      <c r="I111" s="63"/>
      <c r="J111" s="62" t="s">
        <v>345</v>
      </c>
      <c r="K111" s="62" t="s">
        <v>346</v>
      </c>
      <c r="L111" s="63"/>
      <c r="N111" s="59" t="s">
        <v>144</v>
      </c>
      <c r="O111" s="32" t="s">
        <v>323</v>
      </c>
    </row>
    <row r="112" spans="2:15">
      <c r="B112" s="62" t="s">
        <v>347</v>
      </c>
      <c r="C112" s="20" t="s">
        <v>26</v>
      </c>
      <c r="D112" s="62"/>
      <c r="E112" s="62" t="s">
        <v>344</v>
      </c>
      <c r="F112" s="62" t="s">
        <v>27</v>
      </c>
      <c r="G112" s="62"/>
      <c r="H112" s="62"/>
      <c r="I112" s="63"/>
      <c r="J112" s="62" t="s">
        <v>345</v>
      </c>
      <c r="K112" s="62" t="s">
        <v>346</v>
      </c>
      <c r="L112" s="63"/>
      <c r="N112" s="59" t="s">
        <v>144</v>
      </c>
      <c r="O112" s="32" t="s">
        <v>326</v>
      </c>
    </row>
    <row r="113" spans="2:15">
      <c r="B113" s="62" t="s">
        <v>348</v>
      </c>
      <c r="C113" s="20" t="s">
        <v>26</v>
      </c>
      <c r="D113" s="62"/>
      <c r="E113" s="62" t="s">
        <v>344</v>
      </c>
      <c r="F113" s="62" t="s">
        <v>27</v>
      </c>
      <c r="G113" s="62"/>
      <c r="H113" s="62"/>
      <c r="I113" s="63"/>
      <c r="J113" s="62" t="s">
        <v>345</v>
      </c>
      <c r="K113" s="62" t="s">
        <v>346</v>
      </c>
      <c r="L113" s="63"/>
      <c r="N113" s="59" t="s">
        <v>144</v>
      </c>
      <c r="O113" s="32" t="s">
        <v>320</v>
      </c>
    </row>
    <row r="114" spans="2:15">
      <c r="B114" s="62" t="s">
        <v>349</v>
      </c>
      <c r="C114" s="20" t="s">
        <v>26</v>
      </c>
      <c r="D114" s="62"/>
      <c r="E114" s="62" t="s">
        <v>344</v>
      </c>
      <c r="F114" s="62" t="s">
        <v>27</v>
      </c>
      <c r="G114" s="62"/>
      <c r="H114" s="62"/>
      <c r="I114" s="63"/>
      <c r="J114" s="62" t="s">
        <v>345</v>
      </c>
      <c r="K114" s="62" t="s">
        <v>350</v>
      </c>
      <c r="L114" s="63"/>
      <c r="N114" s="59" t="s">
        <v>144</v>
      </c>
      <c r="O114" s="32" t="s">
        <v>351</v>
      </c>
    </row>
    <row r="115" spans="2:15">
      <c r="B115" s="62" t="s">
        <v>352</v>
      </c>
      <c r="C115" s="20" t="s">
        <v>26</v>
      </c>
      <c r="D115" s="62"/>
      <c r="E115" s="62" t="s">
        <v>344</v>
      </c>
      <c r="F115" s="62" t="s">
        <v>33</v>
      </c>
      <c r="G115" s="62"/>
      <c r="H115" s="62"/>
      <c r="I115" s="63"/>
      <c r="J115" s="62" t="s">
        <v>345</v>
      </c>
      <c r="K115" s="62" t="s">
        <v>350</v>
      </c>
      <c r="L115" s="63"/>
      <c r="N115" s="59" t="s">
        <v>144</v>
      </c>
      <c r="O115" s="32" t="s">
        <v>353</v>
      </c>
    </row>
    <row r="116" spans="2:15">
      <c r="B116" s="62" t="s">
        <v>354</v>
      </c>
      <c r="C116" s="20" t="s">
        <v>26</v>
      </c>
      <c r="D116" s="62"/>
      <c r="E116" s="62" t="s">
        <v>344</v>
      </c>
      <c r="F116" s="62" t="s">
        <v>33</v>
      </c>
      <c r="G116" s="62"/>
      <c r="H116" s="62"/>
      <c r="I116" s="63"/>
      <c r="J116" s="62" t="s">
        <v>345</v>
      </c>
      <c r="K116" s="62" t="s">
        <v>350</v>
      </c>
      <c r="L116" s="63"/>
      <c r="N116" s="59" t="s">
        <v>144</v>
      </c>
      <c r="O116" s="32" t="s">
        <v>355</v>
      </c>
    </row>
    <row r="117" spans="2:15">
      <c r="B117" s="62" t="s">
        <v>356</v>
      </c>
      <c r="C117" s="20" t="s">
        <v>26</v>
      </c>
      <c r="D117" s="62"/>
      <c r="E117" s="62" t="s">
        <v>344</v>
      </c>
      <c r="F117" s="62" t="s">
        <v>33</v>
      </c>
      <c r="G117" s="62"/>
      <c r="H117" s="62"/>
      <c r="I117" s="63"/>
      <c r="J117" s="62" t="s">
        <v>357</v>
      </c>
      <c r="K117" s="62" t="s">
        <v>358</v>
      </c>
      <c r="L117" s="63"/>
      <c r="N117" s="57" t="s">
        <v>135</v>
      </c>
      <c r="O117" s="32" t="s">
        <v>359</v>
      </c>
    </row>
    <row r="118" spans="2:15">
      <c r="B118" s="62" t="s">
        <v>360</v>
      </c>
      <c r="C118" s="20" t="s">
        <v>26</v>
      </c>
      <c r="D118" s="62"/>
      <c r="E118" s="62" t="s">
        <v>344</v>
      </c>
      <c r="F118" s="62" t="s">
        <v>36</v>
      </c>
      <c r="G118" s="62"/>
      <c r="H118" s="62"/>
      <c r="I118" s="63"/>
      <c r="J118" s="62" t="s">
        <v>357</v>
      </c>
      <c r="K118" s="62" t="s">
        <v>358</v>
      </c>
      <c r="L118" s="63"/>
      <c r="N118" s="57" t="s">
        <v>135</v>
      </c>
      <c r="O118" s="32" t="s">
        <v>361</v>
      </c>
    </row>
    <row r="119" spans="2:15">
      <c r="B119" s="62" t="s">
        <v>362</v>
      </c>
      <c r="C119" s="20" t="s">
        <v>26</v>
      </c>
      <c r="D119" s="62"/>
      <c r="E119" s="62" t="s">
        <v>344</v>
      </c>
      <c r="F119" s="62" t="s">
        <v>33</v>
      </c>
      <c r="G119" s="62"/>
      <c r="H119" s="62"/>
      <c r="I119" s="63"/>
      <c r="J119" s="62" t="s">
        <v>357</v>
      </c>
      <c r="K119" s="62" t="s">
        <v>358</v>
      </c>
      <c r="L119" s="63"/>
      <c r="N119" s="57" t="s">
        <v>135</v>
      </c>
      <c r="O119" s="32" t="s">
        <v>363</v>
      </c>
    </row>
    <row r="120" spans="2:15">
      <c r="B120" s="62" t="s">
        <v>364</v>
      </c>
      <c r="C120" s="20" t="s">
        <v>26</v>
      </c>
      <c r="D120" s="62"/>
      <c r="E120" s="62" t="s">
        <v>344</v>
      </c>
      <c r="F120" s="62" t="s">
        <v>27</v>
      </c>
      <c r="G120" s="62"/>
      <c r="H120" s="62"/>
      <c r="I120" s="63"/>
      <c r="J120" s="62" t="s">
        <v>357</v>
      </c>
      <c r="K120" s="62" t="s">
        <v>358</v>
      </c>
      <c r="L120" s="63"/>
      <c r="N120" s="59" t="s">
        <v>144</v>
      </c>
      <c r="O120" s="32" t="s">
        <v>365</v>
      </c>
    </row>
    <row r="121" ht="27" spans="2:15">
      <c r="B121" s="64" t="s">
        <v>366</v>
      </c>
      <c r="C121" s="20" t="s">
        <v>26</v>
      </c>
      <c r="D121" s="65"/>
      <c r="E121" s="62" t="s">
        <v>344</v>
      </c>
      <c r="F121" s="64" t="s">
        <v>33</v>
      </c>
      <c r="G121" s="64" t="s">
        <v>27</v>
      </c>
      <c r="H121" s="65" t="s">
        <v>367</v>
      </c>
      <c r="I121" s="65"/>
      <c r="J121" s="64" t="s">
        <v>256</v>
      </c>
      <c r="K121" s="64" t="s">
        <v>368</v>
      </c>
      <c r="L121" s="65"/>
      <c r="M121" s="65"/>
      <c r="N121" s="66" t="s">
        <v>369</v>
      </c>
      <c r="O121" s="32" t="s">
        <v>370</v>
      </c>
    </row>
    <row r="122" spans="2:15">
      <c r="B122" s="67" t="s">
        <v>371</v>
      </c>
      <c r="C122" s="20" t="s">
        <v>26</v>
      </c>
      <c r="D122" s="68"/>
      <c r="E122" s="67" t="s">
        <v>372</v>
      </c>
      <c r="F122" s="67" t="s">
        <v>33</v>
      </c>
      <c r="G122" s="68"/>
      <c r="H122" s="68"/>
      <c r="I122" s="68"/>
      <c r="J122" s="68"/>
      <c r="K122" s="67" t="s">
        <v>373</v>
      </c>
      <c r="L122" s="68"/>
      <c r="N122" s="59" t="s">
        <v>144</v>
      </c>
      <c r="O122" s="32" t="s">
        <v>374</v>
      </c>
    </row>
    <row r="123" spans="2:15">
      <c r="B123" s="67" t="s">
        <v>375</v>
      </c>
      <c r="C123" s="20" t="s">
        <v>26</v>
      </c>
      <c r="D123" s="68"/>
      <c r="E123" s="67" t="s">
        <v>372</v>
      </c>
      <c r="F123" s="67" t="s">
        <v>33</v>
      </c>
      <c r="G123" s="68"/>
      <c r="H123" s="68"/>
      <c r="I123" s="68"/>
      <c r="J123" s="68"/>
      <c r="K123" s="67" t="s">
        <v>376</v>
      </c>
      <c r="L123" s="68"/>
      <c r="N123" s="59" t="s">
        <v>144</v>
      </c>
      <c r="O123" s="32" t="s">
        <v>377</v>
      </c>
    </row>
    <row r="124" spans="2:15">
      <c r="B124" s="67" t="s">
        <v>378</v>
      </c>
      <c r="C124" s="20" t="s">
        <v>26</v>
      </c>
      <c r="D124" s="68"/>
      <c r="E124" s="67" t="s">
        <v>379</v>
      </c>
      <c r="F124" s="67" t="s">
        <v>27</v>
      </c>
      <c r="G124" s="68"/>
      <c r="H124" s="68"/>
      <c r="I124" s="68"/>
      <c r="J124" s="68"/>
      <c r="K124" s="67" t="s">
        <v>376</v>
      </c>
      <c r="L124" s="68"/>
      <c r="N124" s="59" t="s">
        <v>144</v>
      </c>
      <c r="O124" s="32" t="s">
        <v>380</v>
      </c>
    </row>
    <row r="125" spans="2:15">
      <c r="B125" s="67" t="s">
        <v>381</v>
      </c>
      <c r="C125" s="20" t="s">
        <v>26</v>
      </c>
      <c r="D125" s="68"/>
      <c r="E125" s="67" t="s">
        <v>379</v>
      </c>
      <c r="F125" s="67" t="s">
        <v>83</v>
      </c>
      <c r="G125" s="68"/>
      <c r="H125" s="68"/>
      <c r="I125" s="68"/>
      <c r="J125" s="68"/>
      <c r="K125" s="67" t="s">
        <v>382</v>
      </c>
      <c r="L125" s="68"/>
      <c r="N125" s="59" t="s">
        <v>144</v>
      </c>
      <c r="O125" s="32" t="s">
        <v>383</v>
      </c>
    </row>
    <row r="126" spans="2:15">
      <c r="B126" s="67" t="s">
        <v>384</v>
      </c>
      <c r="C126" s="20" t="s">
        <v>26</v>
      </c>
      <c r="D126" s="68"/>
      <c r="E126" s="67" t="s">
        <v>385</v>
      </c>
      <c r="F126" s="67" t="s">
        <v>33</v>
      </c>
      <c r="G126" s="68"/>
      <c r="H126" s="68"/>
      <c r="I126" s="68"/>
      <c r="J126" s="68"/>
      <c r="K126" s="67" t="s">
        <v>382</v>
      </c>
      <c r="L126" s="68"/>
      <c r="N126" s="59" t="s">
        <v>144</v>
      </c>
      <c r="O126" s="32" t="s">
        <v>374</v>
      </c>
    </row>
    <row r="127" ht="27" spans="2:15">
      <c r="B127" s="67" t="s">
        <v>386</v>
      </c>
      <c r="C127" s="20" t="s">
        <v>26</v>
      </c>
      <c r="D127" s="68"/>
      <c r="E127" s="67" t="s">
        <v>385</v>
      </c>
      <c r="F127" s="67" t="s">
        <v>103</v>
      </c>
      <c r="G127" s="68"/>
      <c r="H127" s="68"/>
      <c r="I127" s="68"/>
      <c r="J127" s="68"/>
      <c r="K127" s="67" t="s">
        <v>387</v>
      </c>
      <c r="L127" s="68"/>
      <c r="N127" s="60" t="s">
        <v>271</v>
      </c>
      <c r="O127" s="32" t="s">
        <v>388</v>
      </c>
    </row>
    <row r="128" spans="2:15">
      <c r="B128" s="67" t="s">
        <v>389</v>
      </c>
      <c r="C128" s="20" t="s">
        <v>26</v>
      </c>
      <c r="D128" s="68"/>
      <c r="E128" s="67" t="s">
        <v>385</v>
      </c>
      <c r="F128" s="67" t="s">
        <v>27</v>
      </c>
      <c r="G128" s="68"/>
      <c r="H128" s="68"/>
      <c r="I128" s="68"/>
      <c r="J128" s="68"/>
      <c r="K128" s="67" t="s">
        <v>390</v>
      </c>
      <c r="L128" s="68"/>
      <c r="N128" s="59" t="s">
        <v>144</v>
      </c>
      <c r="O128" s="32" t="s">
        <v>391</v>
      </c>
    </row>
    <row r="129" spans="2:15">
      <c r="B129" s="67" t="s">
        <v>392</v>
      </c>
      <c r="C129" s="20" t="s">
        <v>26</v>
      </c>
      <c r="D129" s="68"/>
      <c r="E129" s="67" t="s">
        <v>393</v>
      </c>
      <c r="F129" s="67" t="s">
        <v>27</v>
      </c>
      <c r="G129" s="68"/>
      <c r="H129" s="68"/>
      <c r="I129" s="68"/>
      <c r="J129" s="68"/>
      <c r="K129" s="67" t="s">
        <v>394</v>
      </c>
      <c r="L129" s="68"/>
      <c r="N129" s="59" t="s">
        <v>144</v>
      </c>
      <c r="O129" s="32" t="s">
        <v>391</v>
      </c>
    </row>
    <row r="130" spans="2:15">
      <c r="B130" s="67" t="s">
        <v>395</v>
      </c>
      <c r="C130" s="20" t="s">
        <v>26</v>
      </c>
      <c r="D130" s="68"/>
      <c r="E130" s="67" t="s">
        <v>393</v>
      </c>
      <c r="F130" s="67" t="s">
        <v>33</v>
      </c>
      <c r="G130" s="68"/>
      <c r="H130" s="68"/>
      <c r="I130" s="68"/>
      <c r="J130" s="68"/>
      <c r="K130" s="67" t="s">
        <v>394</v>
      </c>
      <c r="L130" s="68"/>
      <c r="N130" s="59" t="s">
        <v>144</v>
      </c>
      <c r="O130" s="32" t="s">
        <v>396</v>
      </c>
    </row>
    <row r="131" spans="2:15">
      <c r="B131" s="67" t="s">
        <v>397</v>
      </c>
      <c r="C131" s="20" t="s">
        <v>26</v>
      </c>
      <c r="D131" s="68"/>
      <c r="E131" s="67" t="s">
        <v>398</v>
      </c>
      <c r="F131" s="67" t="s">
        <v>33</v>
      </c>
      <c r="G131" s="68"/>
      <c r="H131" s="68"/>
      <c r="I131" s="68"/>
      <c r="J131" s="68"/>
      <c r="K131" s="67" t="s">
        <v>399</v>
      </c>
      <c r="L131" s="68"/>
      <c r="N131" s="59" t="s">
        <v>144</v>
      </c>
      <c r="O131" s="32" t="s">
        <v>400</v>
      </c>
    </row>
    <row r="132" spans="2:15">
      <c r="B132" s="67" t="s">
        <v>401</v>
      </c>
      <c r="C132" s="20" t="s">
        <v>26</v>
      </c>
      <c r="D132" s="68"/>
      <c r="E132" s="67" t="s">
        <v>398</v>
      </c>
      <c r="F132" s="67" t="s">
        <v>36</v>
      </c>
      <c r="G132" s="68"/>
      <c r="H132" s="68"/>
      <c r="I132" s="68"/>
      <c r="J132" s="68"/>
      <c r="K132" s="67" t="s">
        <v>399</v>
      </c>
      <c r="L132" s="68"/>
      <c r="N132" s="59" t="s">
        <v>144</v>
      </c>
      <c r="O132" s="32" t="s">
        <v>402</v>
      </c>
    </row>
    <row r="133" ht="27" spans="2:15">
      <c r="B133" s="67" t="s">
        <v>403</v>
      </c>
      <c r="C133" s="20" t="s">
        <v>26</v>
      </c>
      <c r="D133" s="68"/>
      <c r="E133" s="67" t="s">
        <v>404</v>
      </c>
      <c r="F133" s="67" t="s">
        <v>103</v>
      </c>
      <c r="G133" s="68"/>
      <c r="H133" s="68"/>
      <c r="I133" s="68"/>
      <c r="J133" s="68"/>
      <c r="K133" s="67" t="s">
        <v>405</v>
      </c>
      <c r="L133" s="68"/>
      <c r="N133" s="60" t="s">
        <v>271</v>
      </c>
      <c r="O133" s="32" t="s">
        <v>406</v>
      </c>
    </row>
    <row r="134" spans="2:15">
      <c r="B134" s="67" t="s">
        <v>407</v>
      </c>
      <c r="C134" s="20" t="s">
        <v>26</v>
      </c>
      <c r="D134" s="68"/>
      <c r="E134" s="67" t="s">
        <v>404</v>
      </c>
      <c r="F134" s="67" t="s">
        <v>27</v>
      </c>
      <c r="G134" s="68"/>
      <c r="H134" s="68"/>
      <c r="I134" s="68"/>
      <c r="J134" s="68"/>
      <c r="K134" s="67" t="s">
        <v>408</v>
      </c>
      <c r="L134" s="68"/>
      <c r="N134" s="59" t="s">
        <v>144</v>
      </c>
      <c r="O134" s="32" t="s">
        <v>409</v>
      </c>
    </row>
    <row r="135" spans="2:15">
      <c r="B135" s="67" t="s">
        <v>410</v>
      </c>
      <c r="C135" s="20" t="s">
        <v>26</v>
      </c>
      <c r="D135" s="68"/>
      <c r="E135" s="67" t="s">
        <v>404</v>
      </c>
      <c r="F135" s="67" t="s">
        <v>33</v>
      </c>
      <c r="G135" s="68"/>
      <c r="H135" s="68"/>
      <c r="I135" s="68"/>
      <c r="J135" s="68"/>
      <c r="K135" s="67" t="s">
        <v>411</v>
      </c>
      <c r="L135" s="68"/>
      <c r="N135" s="59" t="s">
        <v>144</v>
      </c>
      <c r="O135" s="32" t="s">
        <v>412</v>
      </c>
    </row>
    <row r="136" spans="2:15">
      <c r="B136" s="67" t="s">
        <v>413</v>
      </c>
      <c r="C136" s="20" t="s">
        <v>26</v>
      </c>
      <c r="D136" s="68"/>
      <c r="E136" s="67" t="s">
        <v>414</v>
      </c>
      <c r="F136" s="67" t="s">
        <v>83</v>
      </c>
      <c r="G136" s="68"/>
      <c r="H136" s="68"/>
      <c r="I136" s="68"/>
      <c r="J136" s="68"/>
      <c r="K136" s="67" t="s">
        <v>411</v>
      </c>
      <c r="L136" s="68"/>
      <c r="N136" s="59" t="s">
        <v>144</v>
      </c>
      <c r="O136" s="32" t="s">
        <v>415</v>
      </c>
    </row>
    <row r="137" spans="2:15">
      <c r="B137" s="67" t="s">
        <v>416</v>
      </c>
      <c r="C137" s="20" t="s">
        <v>26</v>
      </c>
      <c r="D137" s="68"/>
      <c r="E137" s="67" t="s">
        <v>414</v>
      </c>
      <c r="F137" s="67" t="s">
        <v>83</v>
      </c>
      <c r="G137" s="68"/>
      <c r="H137" s="68"/>
      <c r="I137" s="68"/>
      <c r="J137" s="68"/>
      <c r="K137" s="67" t="s">
        <v>417</v>
      </c>
      <c r="L137" s="68"/>
      <c r="N137" s="59" t="s">
        <v>144</v>
      </c>
      <c r="O137" s="32" t="s">
        <v>415</v>
      </c>
    </row>
    <row r="138" spans="2:15">
      <c r="B138" s="67" t="s">
        <v>418</v>
      </c>
      <c r="C138" s="20" t="s">
        <v>26</v>
      </c>
      <c r="D138" s="68"/>
      <c r="E138" s="67" t="s">
        <v>419</v>
      </c>
      <c r="F138" s="67" t="s">
        <v>27</v>
      </c>
      <c r="G138" s="68"/>
      <c r="H138" s="68"/>
      <c r="I138" s="68"/>
      <c r="J138" s="68"/>
      <c r="K138" s="67" t="s">
        <v>417</v>
      </c>
      <c r="L138" s="68"/>
      <c r="N138" s="59" t="s">
        <v>144</v>
      </c>
      <c r="O138" s="32" t="s">
        <v>409</v>
      </c>
    </row>
    <row r="139" ht="27" spans="2:15">
      <c r="B139" s="67" t="s">
        <v>420</v>
      </c>
      <c r="C139" s="20" t="s">
        <v>26</v>
      </c>
      <c r="D139" s="68"/>
      <c r="E139" s="67" t="s">
        <v>419</v>
      </c>
      <c r="F139" s="67" t="s">
        <v>103</v>
      </c>
      <c r="G139" s="68"/>
      <c r="H139" s="68"/>
      <c r="I139" s="68"/>
      <c r="J139" s="68"/>
      <c r="K139" s="67" t="s">
        <v>421</v>
      </c>
      <c r="L139" s="68"/>
      <c r="N139" s="60" t="s">
        <v>271</v>
      </c>
      <c r="O139" s="32" t="s">
        <v>422</v>
      </c>
    </row>
    <row r="140" spans="2:15">
      <c r="B140" s="67" t="s">
        <v>423</v>
      </c>
      <c r="C140" s="20" t="s">
        <v>26</v>
      </c>
      <c r="D140" s="68"/>
      <c r="E140" s="67" t="s">
        <v>424</v>
      </c>
      <c r="F140" s="67" t="s">
        <v>27</v>
      </c>
      <c r="G140" s="68"/>
      <c r="H140" s="68"/>
      <c r="I140" s="68"/>
      <c r="J140" s="68"/>
      <c r="K140" s="67" t="s">
        <v>425</v>
      </c>
      <c r="L140" s="68"/>
      <c r="N140" s="59" t="s">
        <v>144</v>
      </c>
      <c r="O140" s="32" t="s">
        <v>426</v>
      </c>
    </row>
    <row r="141" spans="2:15">
      <c r="B141" s="67" t="s">
        <v>427</v>
      </c>
      <c r="C141" s="20" t="s">
        <v>26</v>
      </c>
      <c r="D141" s="68"/>
      <c r="E141" s="67" t="s">
        <v>424</v>
      </c>
      <c r="F141" s="67" t="s">
        <v>36</v>
      </c>
      <c r="G141" s="68"/>
      <c r="H141" s="68"/>
      <c r="I141" s="68"/>
      <c r="J141" s="68"/>
      <c r="K141" s="67" t="s">
        <v>428</v>
      </c>
      <c r="L141" s="68"/>
      <c r="N141" s="59" t="s">
        <v>144</v>
      </c>
      <c r="O141" s="32" t="s">
        <v>429</v>
      </c>
    </row>
    <row r="142" spans="2:15">
      <c r="B142" s="67" t="s">
        <v>430</v>
      </c>
      <c r="C142" s="20" t="s">
        <v>26</v>
      </c>
      <c r="D142" s="68"/>
      <c r="E142" s="67" t="s">
        <v>424</v>
      </c>
      <c r="F142" s="67" t="s">
        <v>83</v>
      </c>
      <c r="G142" s="68"/>
      <c r="H142" s="68"/>
      <c r="I142" s="68"/>
      <c r="J142" s="68"/>
      <c r="K142" s="67" t="s">
        <v>428</v>
      </c>
      <c r="L142" s="68"/>
      <c r="N142" s="59" t="s">
        <v>144</v>
      </c>
      <c r="O142" s="32" t="s">
        <v>431</v>
      </c>
    </row>
    <row r="143" spans="2:15">
      <c r="B143" s="67" t="s">
        <v>432</v>
      </c>
      <c r="C143" s="20" t="s">
        <v>26</v>
      </c>
      <c r="D143" s="68"/>
      <c r="E143" s="67" t="s">
        <v>433</v>
      </c>
      <c r="F143" s="67" t="s">
        <v>83</v>
      </c>
      <c r="G143" s="68"/>
      <c r="H143" s="68"/>
      <c r="I143" s="68"/>
      <c r="J143" s="68"/>
      <c r="K143" s="67" t="s">
        <v>434</v>
      </c>
      <c r="L143" s="68"/>
      <c r="N143" s="59" t="s">
        <v>144</v>
      </c>
      <c r="O143" s="32" t="s">
        <v>431</v>
      </c>
    </row>
    <row r="144" spans="2:15">
      <c r="B144" s="67" t="s">
        <v>435</v>
      </c>
      <c r="C144" s="20" t="s">
        <v>26</v>
      </c>
      <c r="D144" s="68"/>
      <c r="E144" s="67" t="s">
        <v>433</v>
      </c>
      <c r="F144" s="67" t="s">
        <v>36</v>
      </c>
      <c r="G144" s="68"/>
      <c r="H144" s="68"/>
      <c r="I144" s="68"/>
      <c r="J144" s="68"/>
      <c r="K144" s="67" t="s">
        <v>434</v>
      </c>
      <c r="L144" s="68"/>
      <c r="N144" s="59" t="s">
        <v>144</v>
      </c>
      <c r="O144" s="32" t="s">
        <v>429</v>
      </c>
    </row>
    <row r="145" ht="27" spans="2:15">
      <c r="B145" s="67" t="s">
        <v>436</v>
      </c>
      <c r="C145" s="20" t="s">
        <v>26</v>
      </c>
      <c r="D145" s="68"/>
      <c r="E145" s="67" t="s">
        <v>437</v>
      </c>
      <c r="F145" s="67" t="s">
        <v>103</v>
      </c>
      <c r="G145" s="68"/>
      <c r="H145" s="68"/>
      <c r="I145" s="68"/>
      <c r="J145" s="68"/>
      <c r="K145" s="67" t="s">
        <v>438</v>
      </c>
      <c r="L145" s="68"/>
      <c r="N145" s="60" t="s">
        <v>271</v>
      </c>
      <c r="O145" s="32" t="s">
        <v>439</v>
      </c>
    </row>
    <row r="146" spans="2:15">
      <c r="B146" s="67" t="s">
        <v>440</v>
      </c>
      <c r="C146" s="20" t="s">
        <v>26</v>
      </c>
      <c r="D146" s="68"/>
      <c r="E146" s="67" t="s">
        <v>437</v>
      </c>
      <c r="F146" s="67" t="s">
        <v>33</v>
      </c>
      <c r="G146" s="68"/>
      <c r="H146" s="68"/>
      <c r="I146" s="68"/>
      <c r="J146" s="68"/>
      <c r="K146" s="67" t="s">
        <v>441</v>
      </c>
      <c r="L146" s="68"/>
      <c r="N146" s="59" t="s">
        <v>144</v>
      </c>
      <c r="O146" s="32" t="s">
        <v>442</v>
      </c>
    </row>
    <row r="147" spans="2:15">
      <c r="B147" s="67" t="s">
        <v>443</v>
      </c>
      <c r="C147" s="20" t="s">
        <v>26</v>
      </c>
      <c r="D147" s="68"/>
      <c r="E147" s="67" t="s">
        <v>444</v>
      </c>
      <c r="F147" s="67" t="s">
        <v>27</v>
      </c>
      <c r="G147" s="68"/>
      <c r="H147" s="68"/>
      <c r="I147" s="68"/>
      <c r="J147" s="68"/>
      <c r="K147" s="67" t="s">
        <v>445</v>
      </c>
      <c r="L147" s="68"/>
      <c r="N147" s="59" t="s">
        <v>144</v>
      </c>
      <c r="O147" s="32" t="s">
        <v>446</v>
      </c>
    </row>
    <row r="148" spans="2:15">
      <c r="B148" s="67" t="s">
        <v>447</v>
      </c>
      <c r="C148" s="20" t="s">
        <v>26</v>
      </c>
      <c r="D148" s="68"/>
      <c r="E148" s="67" t="s">
        <v>444</v>
      </c>
      <c r="F148" s="67" t="s">
        <v>36</v>
      </c>
      <c r="G148" s="68"/>
      <c r="H148" s="68"/>
      <c r="I148" s="68"/>
      <c r="J148" s="68"/>
      <c r="K148" s="67" t="s">
        <v>445</v>
      </c>
      <c r="L148" s="68"/>
      <c r="N148" s="59" t="s">
        <v>144</v>
      </c>
      <c r="O148" s="32" t="s">
        <v>448</v>
      </c>
    </row>
    <row r="149" spans="2:15">
      <c r="B149" s="67" t="s">
        <v>449</v>
      </c>
      <c r="C149" s="20" t="s">
        <v>26</v>
      </c>
      <c r="D149" s="68"/>
      <c r="E149" s="67" t="s">
        <v>444</v>
      </c>
      <c r="F149" s="67" t="s">
        <v>27</v>
      </c>
      <c r="G149" s="68"/>
      <c r="H149" s="68"/>
      <c r="I149" s="68"/>
      <c r="J149" s="68"/>
      <c r="K149" s="67" t="s">
        <v>450</v>
      </c>
      <c r="L149" s="68"/>
      <c r="N149" s="59" t="s">
        <v>144</v>
      </c>
      <c r="O149" s="32" t="s">
        <v>446</v>
      </c>
    </row>
    <row r="150" spans="2:15">
      <c r="B150" s="67" t="s">
        <v>451</v>
      </c>
      <c r="C150" s="20" t="s">
        <v>26</v>
      </c>
      <c r="D150" s="68"/>
      <c r="E150" s="67" t="s">
        <v>452</v>
      </c>
      <c r="F150" s="67" t="s">
        <v>33</v>
      </c>
      <c r="G150" s="68"/>
      <c r="H150" s="68"/>
      <c r="I150" s="68"/>
      <c r="J150" s="68"/>
      <c r="K150" s="67" t="s">
        <v>450</v>
      </c>
      <c r="L150" s="68"/>
      <c r="N150" s="59" t="s">
        <v>144</v>
      </c>
      <c r="O150" s="32" t="s">
        <v>453</v>
      </c>
    </row>
    <row r="151" ht="27" spans="2:15">
      <c r="B151" s="67" t="s">
        <v>454</v>
      </c>
      <c r="C151" s="20" t="s">
        <v>26</v>
      </c>
      <c r="D151" s="68"/>
      <c r="E151" s="67" t="s">
        <v>452</v>
      </c>
      <c r="F151" s="67" t="s">
        <v>103</v>
      </c>
      <c r="G151" s="68"/>
      <c r="H151" s="68"/>
      <c r="I151" s="68"/>
      <c r="J151" s="68"/>
      <c r="K151" s="67" t="s">
        <v>455</v>
      </c>
      <c r="L151" s="68"/>
      <c r="N151" s="60" t="s">
        <v>271</v>
      </c>
      <c r="O151" s="32" t="s">
        <v>456</v>
      </c>
    </row>
    <row r="152" spans="2:15">
      <c r="B152" s="67" t="s">
        <v>457</v>
      </c>
      <c r="C152" s="20" t="s">
        <v>26</v>
      </c>
      <c r="D152" s="68"/>
      <c r="E152" s="67" t="s">
        <v>452</v>
      </c>
      <c r="F152" s="67" t="s">
        <v>33</v>
      </c>
      <c r="G152" s="68"/>
      <c r="H152" s="68"/>
      <c r="I152" s="68"/>
      <c r="J152" s="68"/>
      <c r="K152" s="67" t="s">
        <v>458</v>
      </c>
      <c r="L152" s="68"/>
      <c r="N152" s="59" t="s">
        <v>144</v>
      </c>
      <c r="O152" s="32" t="s">
        <v>459</v>
      </c>
    </row>
    <row r="153" spans="2:15">
      <c r="B153" s="67" t="s">
        <v>460</v>
      </c>
      <c r="C153" s="20" t="s">
        <v>26</v>
      </c>
      <c r="D153" s="68"/>
      <c r="E153" s="67" t="s">
        <v>452</v>
      </c>
      <c r="F153" s="67" t="s">
        <v>27</v>
      </c>
      <c r="G153" s="68"/>
      <c r="H153" s="68"/>
      <c r="I153" s="68"/>
      <c r="J153" s="68"/>
      <c r="K153" s="67" t="s">
        <v>461</v>
      </c>
      <c r="L153" s="68"/>
      <c r="N153" s="59" t="s">
        <v>144</v>
      </c>
      <c r="O153" s="32" t="s">
        <v>462</v>
      </c>
    </row>
    <row r="154" spans="2:15">
      <c r="B154" s="67" t="s">
        <v>463</v>
      </c>
      <c r="C154" s="20" t="s">
        <v>26</v>
      </c>
      <c r="D154" s="68"/>
      <c r="E154" s="67" t="s">
        <v>452</v>
      </c>
      <c r="F154" s="67" t="s">
        <v>36</v>
      </c>
      <c r="G154" s="68"/>
      <c r="H154" s="68"/>
      <c r="I154" s="68"/>
      <c r="J154" s="68"/>
      <c r="K154" s="67" t="s">
        <v>461</v>
      </c>
      <c r="L154" s="68"/>
      <c r="N154" s="59" t="s">
        <v>144</v>
      </c>
      <c r="O154" s="32" t="s">
        <v>464</v>
      </c>
    </row>
    <row r="155" spans="2:15">
      <c r="B155" s="67" t="s">
        <v>465</v>
      </c>
      <c r="C155" s="20" t="s">
        <v>26</v>
      </c>
      <c r="D155" s="68"/>
      <c r="E155" s="67" t="s">
        <v>452</v>
      </c>
      <c r="F155" s="67" t="s">
        <v>33</v>
      </c>
      <c r="G155" s="68"/>
      <c r="H155" s="68"/>
      <c r="I155" s="68"/>
      <c r="J155" s="68"/>
      <c r="K155" s="67" t="s">
        <v>461</v>
      </c>
      <c r="L155" s="68"/>
      <c r="N155" s="59" t="s">
        <v>144</v>
      </c>
      <c r="O155" s="32" t="s">
        <v>459</v>
      </c>
    </row>
    <row r="156" spans="2:15">
      <c r="B156" s="67" t="s">
        <v>466</v>
      </c>
      <c r="C156" s="20" t="s">
        <v>26</v>
      </c>
      <c r="D156" s="68"/>
      <c r="E156" s="67" t="s">
        <v>452</v>
      </c>
      <c r="F156" s="67" t="s">
        <v>103</v>
      </c>
      <c r="G156" s="68"/>
      <c r="H156" s="68"/>
      <c r="I156" s="68"/>
      <c r="J156" s="68"/>
      <c r="K156" s="67" t="s">
        <v>467</v>
      </c>
      <c r="L156" s="68"/>
      <c r="N156" s="59" t="s">
        <v>144</v>
      </c>
      <c r="O156" s="32" t="s">
        <v>468</v>
      </c>
    </row>
    <row r="157" ht="27" spans="2:15">
      <c r="B157" s="67" t="s">
        <v>469</v>
      </c>
      <c r="C157" s="20" t="s">
        <v>26</v>
      </c>
      <c r="D157" s="68"/>
      <c r="E157" s="67" t="s">
        <v>470</v>
      </c>
      <c r="F157" s="67" t="s">
        <v>103</v>
      </c>
      <c r="G157" s="68"/>
      <c r="H157" s="68"/>
      <c r="I157" s="68"/>
      <c r="J157" s="68"/>
      <c r="K157" s="67" t="s">
        <v>471</v>
      </c>
      <c r="L157" s="68"/>
      <c r="N157" s="66" t="s">
        <v>369</v>
      </c>
      <c r="O157" s="32" t="s">
        <v>472</v>
      </c>
    </row>
    <row r="158" spans="2:15">
      <c r="B158" s="45" t="s">
        <v>473</v>
      </c>
      <c r="C158" s="20" t="s">
        <v>26</v>
      </c>
      <c r="D158" s="45"/>
      <c r="E158" s="52" t="s">
        <v>474</v>
      </c>
      <c r="F158" s="52" t="s">
        <v>83</v>
      </c>
      <c r="G158" s="45"/>
      <c r="H158" s="45"/>
      <c r="I158" s="45"/>
      <c r="J158" s="45"/>
      <c r="K158" s="52" t="s">
        <v>475</v>
      </c>
      <c r="L158" s="45"/>
      <c r="M158" s="45"/>
      <c r="N158" s="59" t="s">
        <v>144</v>
      </c>
      <c r="O158" s="32" t="s">
        <v>476</v>
      </c>
    </row>
    <row r="159" spans="2:15">
      <c r="B159" s="45" t="s">
        <v>477</v>
      </c>
      <c r="C159" s="20" t="s">
        <v>26</v>
      </c>
      <c r="D159" s="45"/>
      <c r="E159" s="52" t="s">
        <v>474</v>
      </c>
      <c r="F159" s="52" t="s">
        <v>27</v>
      </c>
      <c r="G159" s="45"/>
      <c r="H159" s="45"/>
      <c r="I159" s="45"/>
      <c r="J159" s="45"/>
      <c r="K159" s="52" t="s">
        <v>475</v>
      </c>
      <c r="L159" s="45"/>
      <c r="M159" s="45"/>
      <c r="N159" s="59" t="s">
        <v>144</v>
      </c>
      <c r="O159" s="32" t="s">
        <v>478</v>
      </c>
    </row>
    <row r="160" spans="2:15">
      <c r="B160" s="45" t="s">
        <v>479</v>
      </c>
      <c r="C160" s="20" t="s">
        <v>26</v>
      </c>
      <c r="D160" s="45"/>
      <c r="E160" s="52" t="s">
        <v>474</v>
      </c>
      <c r="F160" s="52" t="s">
        <v>36</v>
      </c>
      <c r="G160" s="45"/>
      <c r="H160" s="45"/>
      <c r="I160" s="45"/>
      <c r="J160" s="45"/>
      <c r="K160" s="52" t="s">
        <v>475</v>
      </c>
      <c r="L160" s="45"/>
      <c r="M160" s="45"/>
      <c r="N160" s="59" t="s">
        <v>144</v>
      </c>
      <c r="O160" s="32" t="s">
        <v>480</v>
      </c>
    </row>
    <row r="161" ht="27" spans="2:15">
      <c r="B161" s="52" t="s">
        <v>481</v>
      </c>
      <c r="C161" s="20" t="s">
        <v>26</v>
      </c>
      <c r="D161" s="45"/>
      <c r="E161" s="52" t="s">
        <v>474</v>
      </c>
      <c r="F161" s="52" t="s">
        <v>39</v>
      </c>
      <c r="G161" s="45"/>
      <c r="H161" s="45"/>
      <c r="I161" s="45"/>
      <c r="J161" s="45"/>
      <c r="K161" s="52" t="s">
        <v>475</v>
      </c>
      <c r="L161" s="45"/>
      <c r="M161" s="45"/>
      <c r="N161" s="60" t="s">
        <v>271</v>
      </c>
      <c r="O161" s="32" t="s">
        <v>482</v>
      </c>
    </row>
    <row r="162" spans="2:15">
      <c r="B162" s="52" t="s">
        <v>483</v>
      </c>
      <c r="C162" s="20" t="s">
        <v>26</v>
      </c>
      <c r="D162" s="45"/>
      <c r="E162" s="52" t="s">
        <v>474</v>
      </c>
      <c r="F162" s="52" t="s">
        <v>39</v>
      </c>
      <c r="G162" s="45"/>
      <c r="H162" s="45"/>
      <c r="I162" s="45"/>
      <c r="J162" s="45"/>
      <c r="K162" s="52" t="s">
        <v>475</v>
      </c>
      <c r="L162" s="45"/>
      <c r="M162" s="45"/>
      <c r="N162" s="59" t="s">
        <v>144</v>
      </c>
      <c r="O162" s="32" t="s">
        <v>482</v>
      </c>
    </row>
    <row r="163" spans="2:15">
      <c r="B163" s="52" t="s">
        <v>484</v>
      </c>
      <c r="C163" s="20" t="s">
        <v>26</v>
      </c>
      <c r="D163" s="45"/>
      <c r="E163" s="52" t="s">
        <v>474</v>
      </c>
      <c r="F163" s="52" t="s">
        <v>33</v>
      </c>
      <c r="G163" s="45"/>
      <c r="H163" s="45"/>
      <c r="I163" s="45"/>
      <c r="J163" s="45"/>
      <c r="K163" s="52" t="s">
        <v>475</v>
      </c>
      <c r="L163" s="45"/>
      <c r="M163" s="45"/>
      <c r="N163" s="59" t="s">
        <v>144</v>
      </c>
      <c r="O163" s="32" t="s">
        <v>485</v>
      </c>
    </row>
    <row r="164" ht="27" spans="2:15">
      <c r="B164" s="52" t="s">
        <v>486</v>
      </c>
      <c r="C164" s="20" t="s">
        <v>26</v>
      </c>
      <c r="D164" s="45"/>
      <c r="E164" s="52" t="s">
        <v>474</v>
      </c>
      <c r="F164" s="52" t="s">
        <v>103</v>
      </c>
      <c r="G164" s="45"/>
      <c r="H164" s="45"/>
      <c r="I164" s="45"/>
      <c r="J164" s="45"/>
      <c r="K164" s="52" t="s">
        <v>475</v>
      </c>
      <c r="L164" s="45"/>
      <c r="M164" s="45"/>
      <c r="N164" s="60" t="s">
        <v>271</v>
      </c>
      <c r="O164" s="32" t="s">
        <v>487</v>
      </c>
    </row>
    <row r="165" spans="2:15">
      <c r="B165" s="52" t="s">
        <v>488</v>
      </c>
      <c r="C165" s="20" t="s">
        <v>26</v>
      </c>
      <c r="D165" s="45"/>
      <c r="E165" s="52" t="s">
        <v>474</v>
      </c>
      <c r="F165" s="52" t="s">
        <v>103</v>
      </c>
      <c r="G165" s="45"/>
      <c r="H165" s="45"/>
      <c r="I165" s="45"/>
      <c r="J165" s="45"/>
      <c r="K165" s="52" t="s">
        <v>475</v>
      </c>
      <c r="L165" s="45"/>
      <c r="M165" s="45"/>
      <c r="N165" s="59" t="s">
        <v>144</v>
      </c>
      <c r="O165" s="32" t="s">
        <v>487</v>
      </c>
    </row>
    <row r="166" ht="27" spans="2:15">
      <c r="B166" s="52" t="s">
        <v>489</v>
      </c>
      <c r="C166" s="20" t="s">
        <v>26</v>
      </c>
      <c r="D166" s="45"/>
      <c r="E166" s="52" t="s">
        <v>474</v>
      </c>
      <c r="F166" s="52" t="s">
        <v>36</v>
      </c>
      <c r="G166" s="45"/>
      <c r="H166" s="45"/>
      <c r="I166" s="45"/>
      <c r="J166" s="45"/>
      <c r="K166" s="45" t="s">
        <v>490</v>
      </c>
      <c r="L166" s="45"/>
      <c r="M166" s="45"/>
      <c r="N166" s="60" t="s">
        <v>271</v>
      </c>
      <c r="O166" s="32" t="s">
        <v>491</v>
      </c>
    </row>
    <row r="167" spans="2:15">
      <c r="B167" s="45" t="s">
        <v>492</v>
      </c>
      <c r="C167" s="20" t="s">
        <v>26</v>
      </c>
      <c r="D167" s="45"/>
      <c r="E167" s="45"/>
      <c r="F167" s="45"/>
      <c r="G167" s="45"/>
      <c r="H167" s="45"/>
      <c r="I167" s="45"/>
      <c r="J167" s="45"/>
      <c r="K167" s="45" t="s">
        <v>493</v>
      </c>
      <c r="L167" s="45"/>
      <c r="M167" s="45"/>
      <c r="N167" s="45" t="s">
        <v>494</v>
      </c>
    </row>
    <row r="168" spans="2:15">
      <c r="B168" s="45" t="s">
        <v>495</v>
      </c>
      <c r="C168" s="20" t="s">
        <v>26</v>
      </c>
      <c r="D168" s="45"/>
      <c r="E168" s="45"/>
      <c r="F168" s="45"/>
      <c r="G168" s="45"/>
      <c r="H168" s="45"/>
      <c r="I168" s="45"/>
      <c r="J168" s="45"/>
      <c r="K168" s="45" t="s">
        <v>490</v>
      </c>
      <c r="L168" s="45"/>
      <c r="M168" s="45"/>
      <c r="N168" s="45" t="s">
        <v>496</v>
      </c>
    </row>
    <row r="169" spans="2:15">
      <c r="B169" s="45" t="s">
        <v>497</v>
      </c>
      <c r="C169" s="20" t="s">
        <v>26</v>
      </c>
      <c r="D169" s="45"/>
      <c r="E169" s="45"/>
      <c r="F169" s="45"/>
      <c r="G169" s="45"/>
      <c r="H169" s="45"/>
      <c r="I169" s="45"/>
      <c r="J169" s="45"/>
      <c r="K169" s="45" t="s">
        <v>490</v>
      </c>
      <c r="L169" s="45"/>
      <c r="M169" s="45"/>
      <c r="N169" s="45" t="s">
        <v>498</v>
      </c>
    </row>
    <row r="170" spans="2:15">
      <c r="B170" s="45" t="s">
        <v>499</v>
      </c>
      <c r="C170" s="20" t="s">
        <v>26</v>
      </c>
      <c r="D170" s="45"/>
      <c r="E170" s="45"/>
      <c r="F170" s="45"/>
      <c r="G170" s="45"/>
      <c r="H170" s="45"/>
      <c r="I170" s="45"/>
      <c r="J170" s="45"/>
      <c r="K170" s="45" t="s">
        <v>490</v>
      </c>
      <c r="L170" s="45"/>
      <c r="M170" s="45"/>
      <c r="N170" s="45" t="s">
        <v>500</v>
      </c>
    </row>
    <row r="171" spans="2:15">
      <c r="B171" s="45" t="s">
        <v>501</v>
      </c>
      <c r="C171" s="20" t="s">
        <v>26</v>
      </c>
      <c r="D171" s="45"/>
      <c r="E171" s="45"/>
      <c r="F171" s="45"/>
      <c r="G171" s="45"/>
      <c r="H171" s="45"/>
      <c r="I171" s="45"/>
      <c r="J171" s="45"/>
      <c r="K171" s="45" t="s">
        <v>490</v>
      </c>
      <c r="L171" s="45"/>
      <c r="M171" s="45"/>
      <c r="N171" s="45" t="s">
        <v>502</v>
      </c>
    </row>
    <row r="172" spans="2:15">
      <c r="B172" s="45" t="s">
        <v>503</v>
      </c>
      <c r="C172" s="20" t="s">
        <v>26</v>
      </c>
      <c r="D172" s="45"/>
      <c r="E172" s="45"/>
      <c r="F172" s="45"/>
      <c r="G172" s="45"/>
      <c r="H172" s="45"/>
      <c r="I172" s="45"/>
      <c r="J172" s="45"/>
      <c r="K172" s="45" t="s">
        <v>493</v>
      </c>
      <c r="L172" s="45"/>
      <c r="M172" s="45"/>
      <c r="N172" s="45" t="s">
        <v>504</v>
      </c>
    </row>
    <row r="173" spans="2:15">
      <c r="B173" s="45" t="s">
        <v>505</v>
      </c>
      <c r="C173" s="20" t="s">
        <v>26</v>
      </c>
      <c r="D173" s="45"/>
      <c r="E173" s="45"/>
      <c r="F173" s="45"/>
      <c r="G173" s="45"/>
      <c r="H173" s="45"/>
      <c r="I173" s="45"/>
      <c r="J173" s="45"/>
      <c r="K173" s="45" t="s">
        <v>490</v>
      </c>
      <c r="L173" s="45"/>
      <c r="M173" s="45"/>
      <c r="N173" s="45" t="s">
        <v>506</v>
      </c>
    </row>
    <row r="174" spans="2:15">
      <c r="B174" s="45" t="s">
        <v>507</v>
      </c>
      <c r="C174" s="20" t="s">
        <v>26</v>
      </c>
      <c r="D174" s="45"/>
      <c r="E174" s="45"/>
      <c r="F174" s="45"/>
      <c r="G174" s="45"/>
      <c r="H174" s="45"/>
      <c r="I174" s="45"/>
      <c r="J174" s="45"/>
      <c r="K174" s="45" t="s">
        <v>490</v>
      </c>
      <c r="L174" s="45"/>
      <c r="M174" s="45"/>
      <c r="N174" s="45" t="s">
        <v>508</v>
      </c>
    </row>
    <row r="175" spans="2:15">
      <c r="B175" s="45" t="s">
        <v>509</v>
      </c>
      <c r="C175" s="20" t="s">
        <v>26</v>
      </c>
      <c r="D175" s="45"/>
      <c r="E175" s="45"/>
      <c r="F175" s="45"/>
      <c r="G175" s="45"/>
      <c r="H175" s="45"/>
      <c r="I175" s="45"/>
      <c r="J175" s="45"/>
      <c r="K175" s="45" t="s">
        <v>490</v>
      </c>
      <c r="L175" s="45"/>
      <c r="M175" s="45"/>
      <c r="N175" s="45" t="s">
        <v>510</v>
      </c>
    </row>
    <row r="176" spans="2:15">
      <c r="B176" s="45" t="s">
        <v>511</v>
      </c>
      <c r="C176" s="20" t="s">
        <v>26</v>
      </c>
      <c r="D176" s="45"/>
      <c r="E176" s="45"/>
      <c r="F176" s="45"/>
      <c r="G176" s="45"/>
      <c r="H176" s="45"/>
      <c r="I176" s="45"/>
      <c r="J176" s="45"/>
      <c r="K176" s="45" t="s">
        <v>490</v>
      </c>
      <c r="L176" s="45"/>
      <c r="M176" s="45"/>
      <c r="N176" s="45" t="s">
        <v>512</v>
      </c>
    </row>
    <row r="177" spans="2:14">
      <c r="B177" s="45" t="s">
        <v>513</v>
      </c>
      <c r="C177" s="20" t="s">
        <v>26</v>
      </c>
      <c r="D177" s="45"/>
      <c r="E177" s="45"/>
      <c r="F177" s="45"/>
      <c r="G177" s="45"/>
      <c r="H177" s="45"/>
      <c r="I177" s="45"/>
      <c r="J177" s="45"/>
      <c r="K177" s="45" t="s">
        <v>493</v>
      </c>
      <c r="L177" s="45"/>
      <c r="M177" s="45"/>
      <c r="N177" s="45" t="s">
        <v>514</v>
      </c>
    </row>
    <row r="178" spans="2:14">
      <c r="B178" s="45" t="s">
        <v>515</v>
      </c>
      <c r="C178" s="20" t="s">
        <v>26</v>
      </c>
      <c r="D178" s="45"/>
      <c r="E178" s="45"/>
      <c r="F178" s="45"/>
      <c r="G178" s="45"/>
      <c r="H178" s="45"/>
      <c r="I178" s="45"/>
      <c r="J178" s="45"/>
      <c r="K178" s="45" t="s">
        <v>490</v>
      </c>
      <c r="L178" s="45"/>
      <c r="M178" s="45"/>
      <c r="N178" s="45" t="s">
        <v>516</v>
      </c>
    </row>
    <row r="179" spans="2:14">
      <c r="B179" s="45" t="s">
        <v>517</v>
      </c>
      <c r="C179" s="20" t="s">
        <v>26</v>
      </c>
      <c r="D179" s="45"/>
      <c r="E179" s="45"/>
      <c r="F179" s="45"/>
      <c r="G179" s="45"/>
      <c r="H179" s="45"/>
      <c r="I179" s="45"/>
      <c r="J179" s="45"/>
      <c r="K179" s="45" t="s">
        <v>490</v>
      </c>
      <c r="L179" s="45"/>
      <c r="M179" s="45"/>
      <c r="N179" s="45" t="s">
        <v>518</v>
      </c>
    </row>
    <row r="180" spans="2:14">
      <c r="B180" s="45" t="s">
        <v>519</v>
      </c>
      <c r="C180" s="20" t="s">
        <v>26</v>
      </c>
      <c r="D180" s="45"/>
      <c r="E180" s="45"/>
      <c r="F180" s="45"/>
      <c r="G180" s="45"/>
      <c r="H180" s="45"/>
      <c r="I180" s="45"/>
      <c r="J180" s="45"/>
      <c r="K180" s="45" t="s">
        <v>490</v>
      </c>
      <c r="L180" s="45"/>
      <c r="M180" s="45"/>
      <c r="N180" s="45" t="s">
        <v>520</v>
      </c>
    </row>
    <row r="181" spans="2:14">
      <c r="B181" s="45" t="s">
        <v>521</v>
      </c>
      <c r="C181" s="20" t="s">
        <v>26</v>
      </c>
      <c r="D181" s="45"/>
      <c r="E181" s="45"/>
      <c r="F181" s="45"/>
      <c r="G181" s="45"/>
      <c r="H181" s="45"/>
      <c r="I181" s="45"/>
      <c r="J181" s="45"/>
      <c r="K181" s="45" t="s">
        <v>490</v>
      </c>
      <c r="L181" s="45"/>
      <c r="M181" s="45"/>
      <c r="N181" s="45" t="s">
        <v>522</v>
      </c>
    </row>
    <row r="182" spans="2:14">
      <c r="B182" s="45" t="s">
        <v>523</v>
      </c>
      <c r="C182" s="20" t="s">
        <v>26</v>
      </c>
      <c r="D182" s="45"/>
      <c r="E182" s="45"/>
      <c r="F182" s="45"/>
      <c r="G182" s="45"/>
      <c r="H182" s="45"/>
      <c r="I182" s="45"/>
      <c r="J182" s="45"/>
      <c r="K182" s="45" t="s">
        <v>493</v>
      </c>
      <c r="L182" s="45"/>
      <c r="M182" s="45"/>
      <c r="N182" s="45" t="s">
        <v>524</v>
      </c>
    </row>
    <row r="183" spans="2:14">
      <c r="B183" s="45" t="s">
        <v>525</v>
      </c>
      <c r="C183" s="20" t="s">
        <v>26</v>
      </c>
      <c r="D183" s="45"/>
      <c r="E183" s="45"/>
      <c r="F183" s="45"/>
      <c r="G183" s="45"/>
      <c r="H183" s="45"/>
      <c r="I183" s="45"/>
      <c r="J183" s="45"/>
      <c r="K183" s="45" t="s">
        <v>490</v>
      </c>
      <c r="L183" s="45"/>
      <c r="M183" s="45"/>
      <c r="N183" s="45" t="s">
        <v>526</v>
      </c>
    </row>
    <row r="184" spans="2:14">
      <c r="B184" s="45" t="s">
        <v>527</v>
      </c>
      <c r="C184" s="20" t="s">
        <v>26</v>
      </c>
      <c r="D184" s="45"/>
      <c r="E184" s="45"/>
      <c r="F184" s="45"/>
      <c r="G184" s="45"/>
      <c r="H184" s="45"/>
      <c r="I184" s="45"/>
      <c r="J184" s="45"/>
      <c r="K184" s="45" t="s">
        <v>490</v>
      </c>
      <c r="L184" s="45"/>
      <c r="M184" s="45"/>
      <c r="N184" s="45" t="s">
        <v>528</v>
      </c>
    </row>
    <row r="185" ht="33.75" customHeight="1" spans="2:14">
      <c r="B185" s="45" t="s">
        <v>529</v>
      </c>
      <c r="C185" s="20" t="s">
        <v>26</v>
      </c>
      <c r="D185" s="45"/>
      <c r="E185" s="45"/>
      <c r="F185" s="45"/>
      <c r="G185" s="45"/>
      <c r="H185" s="45"/>
      <c r="I185" s="45"/>
      <c r="J185" s="45"/>
      <c r="K185" s="45" t="s">
        <v>490</v>
      </c>
      <c r="L185" s="45"/>
      <c r="M185" s="45"/>
      <c r="N185" s="45" t="s">
        <v>530</v>
      </c>
    </row>
    <row r="186" spans="2:14">
      <c r="B186" s="45" t="s">
        <v>531</v>
      </c>
      <c r="C186" s="20" t="s">
        <v>26</v>
      </c>
      <c r="D186" s="45"/>
      <c r="E186" s="45"/>
      <c r="F186" s="45"/>
      <c r="G186" s="45"/>
      <c r="H186" s="45"/>
      <c r="I186" s="45"/>
      <c r="J186" s="45"/>
      <c r="K186" s="45" t="s">
        <v>490</v>
      </c>
      <c r="L186" s="45"/>
      <c r="M186" s="45"/>
      <c r="N186" s="45" t="s">
        <v>532</v>
      </c>
    </row>
    <row r="187" spans="2:14">
      <c r="B187" s="45" t="s">
        <v>533</v>
      </c>
      <c r="C187" s="20" t="s">
        <v>26</v>
      </c>
      <c r="D187" s="45"/>
      <c r="E187" s="45"/>
      <c r="F187" s="45"/>
      <c r="G187" s="45"/>
      <c r="H187" s="45"/>
      <c r="I187" s="45"/>
      <c r="J187" s="45"/>
      <c r="K187" s="45" t="s">
        <v>493</v>
      </c>
      <c r="L187" s="45"/>
      <c r="M187" s="45"/>
      <c r="N187" s="45" t="s">
        <v>534</v>
      </c>
    </row>
    <row r="188" spans="2:14">
      <c r="B188" s="45" t="s">
        <v>535</v>
      </c>
      <c r="C188" s="20" t="s">
        <v>26</v>
      </c>
      <c r="D188" s="45"/>
      <c r="E188" s="45"/>
      <c r="F188" s="45"/>
      <c r="G188" s="45"/>
      <c r="H188" s="45"/>
      <c r="I188" s="45"/>
      <c r="J188" s="45"/>
      <c r="K188" s="45" t="s">
        <v>490</v>
      </c>
      <c r="L188" s="45"/>
      <c r="M188" s="45"/>
      <c r="N188" s="45" t="s">
        <v>536</v>
      </c>
    </row>
    <row r="189" spans="2:14">
      <c r="B189" s="45" t="s">
        <v>537</v>
      </c>
      <c r="C189" s="20" t="s">
        <v>26</v>
      </c>
      <c r="D189" s="45"/>
      <c r="E189" s="45"/>
      <c r="F189" s="45"/>
      <c r="G189" s="45"/>
      <c r="H189" s="45"/>
      <c r="I189" s="45"/>
      <c r="J189" s="45"/>
      <c r="K189" s="45" t="s">
        <v>490</v>
      </c>
      <c r="L189" s="45"/>
      <c r="M189" s="45"/>
      <c r="N189" s="45" t="s">
        <v>538</v>
      </c>
    </row>
    <row r="190" ht="202.5" customHeight="1" spans="2:14">
      <c r="B190" s="45" t="s">
        <v>539</v>
      </c>
      <c r="C190" s="20" t="s">
        <v>26</v>
      </c>
      <c r="D190" s="45"/>
      <c r="E190" s="45"/>
      <c r="F190" s="45"/>
      <c r="G190" s="45"/>
      <c r="H190" s="45"/>
      <c r="I190" s="45"/>
      <c r="J190" s="45"/>
      <c r="K190" s="45" t="s">
        <v>490</v>
      </c>
      <c r="L190" s="45"/>
      <c r="M190" s="45"/>
      <c r="N190" s="45" t="s">
        <v>540</v>
      </c>
    </row>
    <row r="191" spans="2:14">
      <c r="B191" s="45" t="s">
        <v>541</v>
      </c>
      <c r="C191" s="20" t="s">
        <v>26</v>
      </c>
      <c r="D191" s="45"/>
      <c r="E191" s="45"/>
      <c r="F191" s="45"/>
      <c r="G191" s="45"/>
      <c r="H191" s="45"/>
      <c r="I191" s="45"/>
      <c r="J191" s="45"/>
      <c r="K191" s="45" t="s">
        <v>490</v>
      </c>
      <c r="L191" s="45"/>
      <c r="M191" s="45"/>
      <c r="N191" s="45" t="s">
        <v>542</v>
      </c>
    </row>
    <row r="192" ht="202.5" spans="2:14">
      <c r="B192" s="45" t="s">
        <v>543</v>
      </c>
      <c r="C192" s="20" t="s">
        <v>26</v>
      </c>
      <c r="D192" s="45"/>
      <c r="E192" s="45"/>
      <c r="F192" s="45"/>
      <c r="G192" s="45"/>
      <c r="H192" s="45"/>
      <c r="I192" s="45"/>
      <c r="J192" s="45"/>
      <c r="K192" s="46" t="s">
        <v>544</v>
      </c>
      <c r="L192" s="45"/>
      <c r="M192" s="45"/>
      <c r="N192" s="45" t="s">
        <v>545</v>
      </c>
    </row>
    <row r="193" spans="2:14">
      <c r="B193" s="53" t="s">
        <v>546</v>
      </c>
      <c r="C193" s="20" t="s">
        <v>26</v>
      </c>
      <c r="D193" s="53"/>
      <c r="E193" s="53"/>
      <c r="F193" s="53"/>
      <c r="G193" s="53"/>
      <c r="H193" s="53"/>
      <c r="I193" s="53"/>
      <c r="J193" s="53"/>
      <c r="K193" s="53" t="s">
        <v>547</v>
      </c>
      <c r="L193" s="53"/>
      <c r="M193" s="53"/>
      <c r="N193" s="53" t="s">
        <v>548</v>
      </c>
    </row>
    <row r="194" spans="2:14">
      <c r="B194" s="53" t="s">
        <v>549</v>
      </c>
      <c r="C194" s="20" t="s">
        <v>26</v>
      </c>
      <c r="D194" s="53"/>
      <c r="E194" s="53"/>
      <c r="F194" s="53"/>
      <c r="G194" s="53"/>
      <c r="H194" s="53"/>
      <c r="I194" s="53"/>
      <c r="J194" s="53"/>
      <c r="K194" s="53" t="s">
        <v>547</v>
      </c>
      <c r="L194" s="53"/>
      <c r="M194" s="53"/>
      <c r="N194" s="53" t="s">
        <v>550</v>
      </c>
    </row>
    <row r="195" spans="2:14">
      <c r="B195" s="53" t="s">
        <v>551</v>
      </c>
      <c r="C195" s="20" t="s">
        <v>26</v>
      </c>
      <c r="D195" s="53"/>
      <c r="E195" s="53"/>
      <c r="F195" s="53"/>
      <c r="G195" s="53"/>
      <c r="H195" s="53"/>
      <c r="I195" s="53"/>
      <c r="J195" s="53"/>
      <c r="K195" s="53" t="s">
        <v>547</v>
      </c>
      <c r="L195" s="53"/>
      <c r="M195" s="53"/>
      <c r="N195" s="53" t="s">
        <v>552</v>
      </c>
    </row>
    <row r="196" spans="2:14">
      <c r="B196" s="53" t="s">
        <v>553</v>
      </c>
      <c r="C196" s="20" t="s">
        <v>26</v>
      </c>
      <c r="D196" s="53"/>
      <c r="E196" s="53"/>
      <c r="F196" s="53"/>
      <c r="G196" s="53"/>
      <c r="H196" s="53"/>
      <c r="I196" s="53"/>
      <c r="J196" s="53"/>
      <c r="K196" s="53" t="s">
        <v>547</v>
      </c>
      <c r="L196" s="53"/>
      <c r="M196" s="53"/>
      <c r="N196" s="53" t="s">
        <v>554</v>
      </c>
    </row>
    <row r="197" spans="2:14">
      <c r="B197" s="53" t="s">
        <v>555</v>
      </c>
      <c r="C197" s="20" t="s">
        <v>26</v>
      </c>
      <c r="D197" s="53"/>
      <c r="E197" s="53"/>
      <c r="F197" s="53"/>
      <c r="G197" s="53"/>
      <c r="H197" s="53"/>
      <c r="I197" s="53"/>
      <c r="J197" s="53"/>
      <c r="K197" s="53" t="s">
        <v>556</v>
      </c>
      <c r="L197" s="53"/>
      <c r="M197" s="53"/>
      <c r="N197" s="53" t="s">
        <v>557</v>
      </c>
    </row>
    <row r="198" spans="2:14">
      <c r="B198" s="53" t="s">
        <v>558</v>
      </c>
      <c r="C198" s="20" t="s">
        <v>26</v>
      </c>
      <c r="D198" s="53"/>
      <c r="E198" s="53"/>
      <c r="F198" s="53"/>
      <c r="G198" s="53"/>
      <c r="H198" s="53"/>
      <c r="I198" s="53"/>
      <c r="J198" s="53"/>
      <c r="K198" s="53" t="s">
        <v>547</v>
      </c>
      <c r="L198" s="53"/>
      <c r="M198" s="53"/>
      <c r="N198" s="53" t="s">
        <v>559</v>
      </c>
    </row>
    <row r="199" spans="2:14">
      <c r="B199" s="53" t="s">
        <v>560</v>
      </c>
      <c r="C199" s="20" t="s">
        <v>26</v>
      </c>
      <c r="D199" s="53"/>
      <c r="E199" s="53"/>
      <c r="F199" s="53"/>
      <c r="G199" s="53"/>
      <c r="H199" s="53"/>
      <c r="I199" s="53"/>
      <c r="J199" s="53"/>
      <c r="K199" s="53" t="s">
        <v>547</v>
      </c>
      <c r="L199" s="53"/>
      <c r="M199" s="53"/>
      <c r="N199" s="53" t="s">
        <v>561</v>
      </c>
    </row>
    <row r="200" spans="2:14">
      <c r="B200" s="53" t="s">
        <v>562</v>
      </c>
      <c r="C200" s="20" t="s">
        <v>26</v>
      </c>
      <c r="D200" s="53"/>
      <c r="E200" s="53"/>
      <c r="F200" s="53"/>
      <c r="G200" s="53"/>
      <c r="H200" s="53"/>
      <c r="I200" s="53"/>
      <c r="J200" s="53"/>
      <c r="K200" s="53" t="s">
        <v>547</v>
      </c>
      <c r="L200" s="53"/>
      <c r="M200" s="53"/>
      <c r="N200" s="53" t="s">
        <v>563</v>
      </c>
    </row>
    <row r="201" spans="2:14">
      <c r="B201" s="53" t="s">
        <v>564</v>
      </c>
      <c r="C201" s="20" t="s">
        <v>26</v>
      </c>
      <c r="D201" s="53"/>
      <c r="E201" s="53"/>
      <c r="F201" s="53"/>
      <c r="G201" s="53"/>
      <c r="H201" s="53"/>
      <c r="I201" s="53"/>
      <c r="J201" s="53"/>
      <c r="K201" s="53" t="s">
        <v>547</v>
      </c>
      <c r="L201" s="53"/>
      <c r="M201" s="53"/>
      <c r="N201" s="53" t="s">
        <v>565</v>
      </c>
    </row>
    <row r="202" spans="2:14">
      <c r="B202" s="53" t="s">
        <v>566</v>
      </c>
      <c r="C202" s="20" t="s">
        <v>26</v>
      </c>
      <c r="D202" s="53"/>
      <c r="E202" s="53"/>
      <c r="F202" s="53"/>
      <c r="G202" s="53"/>
      <c r="H202" s="53"/>
      <c r="I202" s="53"/>
      <c r="J202" s="53"/>
      <c r="K202" s="53" t="s">
        <v>556</v>
      </c>
      <c r="L202" s="53"/>
      <c r="M202" s="53"/>
      <c r="N202" s="53" t="s">
        <v>567</v>
      </c>
    </row>
    <row r="203" spans="2:14">
      <c r="B203" s="53" t="s">
        <v>568</v>
      </c>
      <c r="C203" s="20" t="s">
        <v>26</v>
      </c>
      <c r="D203" s="53"/>
      <c r="E203" s="53"/>
      <c r="F203" s="53"/>
      <c r="G203" s="53"/>
      <c r="H203" s="53"/>
      <c r="I203" s="53"/>
      <c r="J203" s="53"/>
      <c r="K203" s="53" t="s">
        <v>547</v>
      </c>
      <c r="L203" s="53"/>
      <c r="M203" s="53"/>
      <c r="N203" s="53" t="s">
        <v>569</v>
      </c>
    </row>
    <row r="204" spans="2:14">
      <c r="B204" s="53" t="s">
        <v>570</v>
      </c>
      <c r="C204" s="20" t="s">
        <v>26</v>
      </c>
      <c r="D204" s="53"/>
      <c r="E204" s="53"/>
      <c r="F204" s="53"/>
      <c r="G204" s="53"/>
      <c r="H204" s="53"/>
      <c r="I204" s="53"/>
      <c r="J204" s="53"/>
      <c r="K204" s="53" t="s">
        <v>547</v>
      </c>
      <c r="L204" s="53"/>
      <c r="M204" s="53"/>
      <c r="N204" s="53" t="s">
        <v>571</v>
      </c>
    </row>
    <row r="205" spans="2:14">
      <c r="B205" s="53" t="s">
        <v>572</v>
      </c>
      <c r="C205" s="20" t="s">
        <v>26</v>
      </c>
      <c r="D205" s="53"/>
      <c r="E205" s="53"/>
      <c r="F205" s="53"/>
      <c r="G205" s="53"/>
      <c r="H205" s="53"/>
      <c r="I205" s="53"/>
      <c r="J205" s="53"/>
      <c r="K205" s="53" t="s">
        <v>547</v>
      </c>
      <c r="L205" s="53"/>
      <c r="M205" s="53"/>
      <c r="N205" s="53" t="s">
        <v>573</v>
      </c>
    </row>
    <row r="206" spans="2:14">
      <c r="B206" s="53" t="s">
        <v>574</v>
      </c>
      <c r="C206" s="20" t="s">
        <v>26</v>
      </c>
      <c r="D206" s="53"/>
      <c r="E206" s="53"/>
      <c r="F206" s="53"/>
      <c r="G206" s="53"/>
      <c r="H206" s="53"/>
      <c r="I206" s="53"/>
      <c r="J206" s="53"/>
      <c r="K206" s="53" t="s">
        <v>547</v>
      </c>
      <c r="L206" s="53"/>
      <c r="M206" s="53"/>
      <c r="N206" s="53" t="s">
        <v>575</v>
      </c>
    </row>
    <row r="207" spans="2:14">
      <c r="B207" s="53" t="s">
        <v>576</v>
      </c>
      <c r="C207" s="20" t="s">
        <v>26</v>
      </c>
      <c r="D207" s="53"/>
      <c r="E207" s="53"/>
      <c r="F207" s="53"/>
      <c r="G207" s="53"/>
      <c r="H207" s="53"/>
      <c r="I207" s="53"/>
      <c r="J207" s="53"/>
      <c r="K207" s="53" t="s">
        <v>556</v>
      </c>
      <c r="L207" s="53"/>
      <c r="M207" s="53"/>
      <c r="N207" s="53" t="s">
        <v>577</v>
      </c>
    </row>
    <row r="208" spans="2:14">
      <c r="B208" s="53" t="s">
        <v>578</v>
      </c>
      <c r="C208" s="20" t="s">
        <v>26</v>
      </c>
      <c r="D208" s="53"/>
      <c r="E208" s="53"/>
      <c r="F208" s="53"/>
      <c r="G208" s="53"/>
      <c r="H208" s="53"/>
      <c r="I208" s="53"/>
      <c r="J208" s="53"/>
      <c r="K208" s="53" t="s">
        <v>547</v>
      </c>
      <c r="L208" s="53"/>
      <c r="M208" s="53"/>
      <c r="N208" s="53" t="s">
        <v>579</v>
      </c>
    </row>
    <row r="209" spans="2:14">
      <c r="B209" s="53" t="s">
        <v>580</v>
      </c>
      <c r="C209" s="20" t="s">
        <v>26</v>
      </c>
      <c r="D209" s="53"/>
      <c r="E209" s="53"/>
      <c r="F209" s="53"/>
      <c r="G209" s="53"/>
      <c r="H209" s="53"/>
      <c r="I209" s="53"/>
      <c r="J209" s="53"/>
      <c r="K209" s="53" t="s">
        <v>547</v>
      </c>
      <c r="L209" s="53"/>
      <c r="M209" s="53"/>
      <c r="N209" s="53" t="s">
        <v>581</v>
      </c>
    </row>
    <row r="210" spans="2:14">
      <c r="B210" s="53" t="s">
        <v>582</v>
      </c>
      <c r="C210" s="20" t="s">
        <v>26</v>
      </c>
      <c r="D210" s="53"/>
      <c r="E210" s="53"/>
      <c r="F210" s="53"/>
      <c r="G210" s="53"/>
      <c r="H210" s="53"/>
      <c r="I210" s="53"/>
      <c r="J210" s="53"/>
      <c r="K210" s="53" t="s">
        <v>547</v>
      </c>
      <c r="L210" s="53"/>
      <c r="M210" s="53"/>
      <c r="N210" s="53" t="s">
        <v>583</v>
      </c>
    </row>
    <row r="211" spans="2:14">
      <c r="B211" s="53" t="s">
        <v>584</v>
      </c>
      <c r="C211" s="20" t="s">
        <v>26</v>
      </c>
      <c r="D211" s="53"/>
      <c r="E211" s="53"/>
      <c r="F211" s="53"/>
      <c r="G211" s="53"/>
      <c r="H211" s="53"/>
      <c r="I211" s="53"/>
      <c r="J211" s="53"/>
      <c r="K211" s="53" t="s">
        <v>547</v>
      </c>
      <c r="L211" s="53"/>
      <c r="M211" s="53"/>
      <c r="N211" s="53" t="s">
        <v>585</v>
      </c>
    </row>
    <row r="212" spans="2:14">
      <c r="B212" s="53" t="s">
        <v>586</v>
      </c>
      <c r="C212" s="20" t="s">
        <v>26</v>
      </c>
      <c r="D212" s="53"/>
      <c r="E212" s="53"/>
      <c r="F212" s="53"/>
      <c r="G212" s="53"/>
      <c r="H212" s="53"/>
      <c r="I212" s="53"/>
      <c r="J212" s="53"/>
      <c r="K212" s="53" t="s">
        <v>556</v>
      </c>
      <c r="L212" s="53"/>
      <c r="M212" s="53"/>
      <c r="N212" s="53" t="s">
        <v>587</v>
      </c>
    </row>
    <row r="213" spans="2:14">
      <c r="B213" s="53" t="s">
        <v>588</v>
      </c>
      <c r="C213" s="20" t="s">
        <v>26</v>
      </c>
      <c r="D213" s="53"/>
      <c r="E213" s="53"/>
      <c r="F213" s="53"/>
      <c r="G213" s="53"/>
      <c r="H213" s="53"/>
      <c r="I213" s="53"/>
      <c r="J213" s="53"/>
      <c r="K213" s="53" t="s">
        <v>547</v>
      </c>
      <c r="L213" s="53"/>
      <c r="M213" s="53"/>
      <c r="N213" s="53" t="s">
        <v>589</v>
      </c>
    </row>
    <row r="214" spans="2:14">
      <c r="B214" s="53" t="s">
        <v>590</v>
      </c>
      <c r="C214" s="20" t="s">
        <v>26</v>
      </c>
      <c r="D214" s="53"/>
      <c r="E214" s="53"/>
      <c r="F214" s="53"/>
      <c r="G214" s="53"/>
      <c r="H214" s="53"/>
      <c r="I214" s="53"/>
      <c r="J214" s="53"/>
      <c r="K214" s="53" t="s">
        <v>547</v>
      </c>
      <c r="L214" s="53"/>
      <c r="M214" s="53"/>
      <c r="N214" s="53" t="s">
        <v>591</v>
      </c>
    </row>
    <row r="215" spans="2:14">
      <c r="B215" s="53" t="s">
        <v>592</v>
      </c>
      <c r="C215" s="20" t="s">
        <v>26</v>
      </c>
      <c r="D215" s="53"/>
      <c r="E215" s="53"/>
      <c r="F215" s="53"/>
      <c r="G215" s="53"/>
      <c r="H215" s="53"/>
      <c r="I215" s="53"/>
      <c r="J215" s="53"/>
      <c r="K215" s="53" t="s">
        <v>547</v>
      </c>
      <c r="L215" s="53"/>
      <c r="M215" s="53"/>
      <c r="N215" s="53" t="s">
        <v>593</v>
      </c>
    </row>
    <row r="216" spans="2:14">
      <c r="B216" s="53" t="s">
        <v>594</v>
      </c>
      <c r="C216" s="20" t="s">
        <v>26</v>
      </c>
      <c r="D216" s="53"/>
      <c r="E216" s="53"/>
      <c r="F216" s="53"/>
      <c r="G216" s="53"/>
      <c r="H216" s="53"/>
      <c r="I216" s="53"/>
      <c r="J216" s="53"/>
      <c r="K216" s="53" t="s">
        <v>547</v>
      </c>
      <c r="L216" s="53"/>
      <c r="M216" s="53"/>
      <c r="N216" s="53" t="s">
        <v>595</v>
      </c>
    </row>
    <row r="217" spans="2:14">
      <c r="B217" s="53" t="s">
        <v>596</v>
      </c>
      <c r="C217" s="20" t="s">
        <v>26</v>
      </c>
      <c r="D217" s="53"/>
      <c r="E217" s="53"/>
      <c r="F217" s="53"/>
      <c r="G217" s="53"/>
      <c r="H217" s="53"/>
      <c r="I217" s="53"/>
      <c r="J217" s="53"/>
      <c r="K217" s="53" t="s">
        <v>556</v>
      </c>
      <c r="L217" s="53"/>
      <c r="M217" s="53"/>
      <c r="N217" s="53" t="s">
        <v>597</v>
      </c>
    </row>
    <row r="218" spans="2:14">
      <c r="B218" s="53" t="s">
        <v>598</v>
      </c>
      <c r="C218" s="20" t="s">
        <v>26</v>
      </c>
      <c r="D218" s="53"/>
      <c r="E218" s="53"/>
      <c r="F218" s="53"/>
      <c r="G218" s="53"/>
      <c r="H218" s="53"/>
      <c r="I218" s="53"/>
      <c r="J218" s="53"/>
      <c r="K218" s="53" t="s">
        <v>547</v>
      </c>
      <c r="L218" s="53"/>
      <c r="M218" s="53"/>
      <c r="N218" s="53" t="s">
        <v>599</v>
      </c>
    </row>
    <row r="219" spans="2:14">
      <c r="B219" s="53" t="s">
        <v>600</v>
      </c>
      <c r="C219" s="20" t="s">
        <v>26</v>
      </c>
      <c r="D219" s="53"/>
      <c r="E219" s="53"/>
      <c r="F219" s="53"/>
      <c r="G219" s="53"/>
      <c r="H219" s="53"/>
      <c r="I219" s="53"/>
      <c r="J219" s="53"/>
      <c r="K219" s="53" t="s">
        <v>547</v>
      </c>
      <c r="L219" s="53"/>
      <c r="M219" s="53"/>
      <c r="N219" s="53" t="s">
        <v>601</v>
      </c>
    </row>
    <row r="220" spans="2:14">
      <c r="B220" s="53" t="s">
        <v>602</v>
      </c>
      <c r="C220" s="20" t="s">
        <v>26</v>
      </c>
      <c r="D220" s="53"/>
      <c r="E220" s="53"/>
      <c r="F220" s="53"/>
      <c r="G220" s="53"/>
      <c r="H220" s="53"/>
      <c r="I220" s="53"/>
      <c r="J220" s="53"/>
      <c r="K220" s="53" t="s">
        <v>547</v>
      </c>
      <c r="L220" s="53"/>
      <c r="M220" s="53"/>
      <c r="N220" s="53" t="s">
        <v>603</v>
      </c>
    </row>
    <row r="221" spans="2:14">
      <c r="B221" s="53" t="s">
        <v>604</v>
      </c>
      <c r="C221" s="20" t="s">
        <v>26</v>
      </c>
      <c r="D221" s="53"/>
      <c r="E221" s="53"/>
      <c r="F221" s="53"/>
      <c r="G221" s="53"/>
      <c r="H221" s="53"/>
      <c r="I221" s="53"/>
      <c r="J221" s="53"/>
      <c r="K221" s="53" t="s">
        <v>547</v>
      </c>
      <c r="L221" s="53"/>
      <c r="M221" s="53"/>
      <c r="N221" s="53" t="s">
        <v>605</v>
      </c>
    </row>
    <row r="222" spans="2:14">
      <c r="B222" s="53" t="s">
        <v>606</v>
      </c>
      <c r="C222" s="20" t="s">
        <v>26</v>
      </c>
      <c r="D222" s="53"/>
      <c r="E222" s="53"/>
      <c r="F222" s="53"/>
      <c r="G222" s="53"/>
      <c r="H222" s="53"/>
      <c r="I222" s="53"/>
      <c r="J222" s="53"/>
      <c r="K222" s="53" t="s">
        <v>556</v>
      </c>
      <c r="L222" s="53"/>
      <c r="M222" s="53"/>
      <c r="N222" s="53" t="s">
        <v>607</v>
      </c>
    </row>
    <row r="223" spans="2:14">
      <c r="B223" s="53" t="s">
        <v>608</v>
      </c>
      <c r="C223" s="20" t="s">
        <v>26</v>
      </c>
      <c r="D223" s="53"/>
      <c r="E223" s="53"/>
      <c r="F223" s="53"/>
      <c r="G223" s="53"/>
      <c r="H223" s="53"/>
      <c r="I223" s="53"/>
      <c r="J223" s="53"/>
      <c r="K223" s="53" t="s">
        <v>547</v>
      </c>
      <c r="L223" s="53"/>
      <c r="M223" s="53"/>
      <c r="N223" s="53" t="s">
        <v>609</v>
      </c>
    </row>
    <row r="224" spans="2:14">
      <c r="B224" s="53" t="s">
        <v>610</v>
      </c>
      <c r="C224" s="20" t="s">
        <v>26</v>
      </c>
      <c r="D224" s="53"/>
      <c r="E224" s="53"/>
      <c r="F224" s="53"/>
      <c r="G224" s="53"/>
      <c r="H224" s="53"/>
      <c r="I224" s="53"/>
      <c r="J224" s="53"/>
      <c r="K224" s="53" t="s">
        <v>547</v>
      </c>
      <c r="L224" s="53"/>
      <c r="M224" s="53"/>
      <c r="N224" s="53" t="s">
        <v>611</v>
      </c>
    </row>
    <row r="225" spans="2:15">
      <c r="B225" s="53" t="s">
        <v>612</v>
      </c>
      <c r="C225" s="20" t="s">
        <v>26</v>
      </c>
      <c r="D225" s="53"/>
      <c r="E225" s="53"/>
      <c r="F225" s="53"/>
      <c r="G225" s="53"/>
      <c r="H225" s="53"/>
      <c r="I225" s="53"/>
      <c r="J225" s="53"/>
      <c r="K225" s="53" t="s">
        <v>547</v>
      </c>
      <c r="L225" s="53"/>
      <c r="M225" s="53"/>
      <c r="N225" s="53" t="s">
        <v>613</v>
      </c>
    </row>
    <row r="226" spans="2:15">
      <c r="B226" s="53" t="s">
        <v>614</v>
      </c>
      <c r="C226" s="20" t="s">
        <v>26</v>
      </c>
      <c r="D226" s="53"/>
      <c r="E226" s="53"/>
      <c r="F226" s="53"/>
      <c r="G226" s="53"/>
      <c r="H226" s="53"/>
      <c r="I226" s="53"/>
      <c r="J226" s="53"/>
      <c r="K226" s="53" t="s">
        <v>547</v>
      </c>
      <c r="L226" s="53"/>
      <c r="M226" s="53"/>
      <c r="N226" s="53" t="s">
        <v>615</v>
      </c>
    </row>
    <row r="227" spans="2:15">
      <c r="B227" s="53" t="s">
        <v>616</v>
      </c>
      <c r="C227" s="20" t="s">
        <v>26</v>
      </c>
      <c r="D227" s="53"/>
      <c r="E227" s="53"/>
      <c r="F227" s="53"/>
      <c r="G227" s="53"/>
      <c r="H227" s="53"/>
      <c r="I227" s="53"/>
      <c r="J227" s="53"/>
      <c r="K227" s="53" t="s">
        <v>556</v>
      </c>
      <c r="L227" s="53"/>
      <c r="M227" s="53"/>
      <c r="N227" s="53" t="s">
        <v>617</v>
      </c>
    </row>
    <row r="228" spans="2:15">
      <c r="B228" s="53" t="s">
        <v>618</v>
      </c>
      <c r="C228" s="20" t="s">
        <v>26</v>
      </c>
      <c r="D228" s="53"/>
      <c r="E228" s="53"/>
      <c r="F228" s="53"/>
      <c r="G228" s="53"/>
      <c r="H228" s="53"/>
      <c r="I228" s="53"/>
      <c r="J228" s="53"/>
      <c r="K228" s="53" t="s">
        <v>547</v>
      </c>
      <c r="L228" s="53"/>
      <c r="M228" s="53"/>
      <c r="N228" s="53" t="s">
        <v>619</v>
      </c>
    </row>
    <row r="229" spans="2:15">
      <c r="B229" s="53" t="s">
        <v>620</v>
      </c>
      <c r="C229" s="20" t="s">
        <v>26</v>
      </c>
      <c r="D229" s="53"/>
      <c r="E229" s="53"/>
      <c r="F229" s="53"/>
      <c r="G229" s="53"/>
      <c r="H229" s="53"/>
      <c r="I229" s="53"/>
      <c r="J229" s="53"/>
      <c r="K229" s="53" t="s">
        <v>547</v>
      </c>
      <c r="L229" s="53"/>
      <c r="M229" s="53"/>
      <c r="N229" s="53" t="s">
        <v>621</v>
      </c>
    </row>
    <row r="230" spans="2:15">
      <c r="B230" s="53" t="s">
        <v>622</v>
      </c>
      <c r="C230" s="20" t="s">
        <v>26</v>
      </c>
      <c r="D230" s="53"/>
      <c r="E230" s="53"/>
      <c r="F230" s="53"/>
      <c r="G230" s="53"/>
      <c r="H230" s="53"/>
      <c r="I230" s="53"/>
      <c r="J230" s="53"/>
      <c r="K230" s="53" t="s">
        <v>547</v>
      </c>
      <c r="L230" s="53"/>
      <c r="M230" s="53"/>
      <c r="N230" s="53" t="s">
        <v>621</v>
      </c>
    </row>
    <row r="231" spans="2:15">
      <c r="B231" s="53" t="s">
        <v>623</v>
      </c>
      <c r="C231" s="20" t="s">
        <v>26</v>
      </c>
      <c r="D231" s="53"/>
      <c r="E231" s="53"/>
      <c r="F231" s="53"/>
      <c r="G231" s="53"/>
      <c r="H231" s="53"/>
      <c r="I231" s="53"/>
      <c r="J231" s="53"/>
      <c r="K231" s="53" t="s">
        <v>547</v>
      </c>
      <c r="L231" s="53"/>
      <c r="M231" s="53"/>
      <c r="N231" s="53" t="s">
        <v>621</v>
      </c>
    </row>
    <row r="232" spans="2:15">
      <c r="B232" s="53" t="s">
        <v>624</v>
      </c>
      <c r="C232" s="20" t="s">
        <v>26</v>
      </c>
      <c r="D232" s="53"/>
      <c r="E232" s="53"/>
      <c r="F232" s="53"/>
      <c r="G232" s="53"/>
      <c r="H232" s="53"/>
      <c r="I232" s="53"/>
      <c r="J232" s="53"/>
      <c r="K232" s="53" t="s">
        <v>625</v>
      </c>
      <c r="L232" s="53"/>
      <c r="M232" s="53"/>
      <c r="N232" s="53" t="s">
        <v>626</v>
      </c>
    </row>
    <row r="233" spans="2:15">
      <c r="B233" s="36" t="s">
        <v>627</v>
      </c>
      <c r="C233" s="20" t="s">
        <v>26</v>
      </c>
      <c r="D233" s="36"/>
      <c r="E233" s="61" t="s">
        <v>27</v>
      </c>
      <c r="F233" s="61" t="s">
        <v>27</v>
      </c>
      <c r="G233" s="36"/>
      <c r="H233" s="36"/>
      <c r="I233" s="36"/>
      <c r="J233" s="36" t="s">
        <v>628</v>
      </c>
      <c r="K233" s="36" t="s">
        <v>629</v>
      </c>
      <c r="L233" s="36"/>
      <c r="M233" s="36"/>
      <c r="N233" s="61" t="s">
        <v>630</v>
      </c>
    </row>
    <row r="234" spans="2:15">
      <c r="B234" s="36" t="s">
        <v>631</v>
      </c>
      <c r="C234" s="20" t="s">
        <v>26</v>
      </c>
      <c r="D234" s="36"/>
      <c r="E234" s="61" t="s">
        <v>36</v>
      </c>
      <c r="F234" s="61" t="s">
        <v>33</v>
      </c>
      <c r="G234" s="36"/>
      <c r="H234" s="36"/>
      <c r="I234" s="36"/>
      <c r="J234" s="36" t="s">
        <v>628</v>
      </c>
      <c r="K234" s="36" t="s">
        <v>629</v>
      </c>
      <c r="L234" s="36"/>
      <c r="M234" s="36"/>
      <c r="N234" s="61" t="s">
        <v>630</v>
      </c>
    </row>
    <row r="235" spans="2:15">
      <c r="B235" s="36" t="s">
        <v>632</v>
      </c>
      <c r="C235" s="20" t="s">
        <v>26</v>
      </c>
      <c r="D235" s="36"/>
      <c r="E235" s="61" t="s">
        <v>83</v>
      </c>
      <c r="F235" s="61" t="s">
        <v>36</v>
      </c>
      <c r="G235" s="36"/>
      <c r="H235" s="36"/>
      <c r="I235" s="36"/>
      <c r="J235" s="36" t="s">
        <v>628</v>
      </c>
      <c r="K235" s="36" t="s">
        <v>629</v>
      </c>
      <c r="L235" s="36"/>
      <c r="M235" s="36"/>
      <c r="N235" s="61" t="s">
        <v>630</v>
      </c>
    </row>
    <row r="236" ht="27" spans="2:15">
      <c r="B236" s="36" t="s">
        <v>633</v>
      </c>
      <c r="C236" s="20" t="s">
        <v>26</v>
      </c>
      <c r="D236" s="36"/>
      <c r="E236" s="61" t="s">
        <v>39</v>
      </c>
      <c r="F236" s="61" t="s">
        <v>103</v>
      </c>
      <c r="G236" s="61" t="s">
        <v>27</v>
      </c>
      <c r="H236" s="61" t="s">
        <v>634</v>
      </c>
      <c r="I236" s="36"/>
      <c r="J236" s="36" t="s">
        <v>628</v>
      </c>
      <c r="K236" s="36" t="s">
        <v>635</v>
      </c>
      <c r="L236" s="36"/>
      <c r="M236" s="36"/>
      <c r="N236" s="69" t="s">
        <v>636</v>
      </c>
      <c r="O236" s="32" t="s">
        <v>637</v>
      </c>
    </row>
    <row r="237" ht="27" spans="2:15">
      <c r="B237" s="36" t="s">
        <v>638</v>
      </c>
      <c r="C237" s="20" t="s">
        <v>26</v>
      </c>
      <c r="D237" s="36"/>
      <c r="E237" s="61" t="s">
        <v>39</v>
      </c>
      <c r="F237" s="61" t="s">
        <v>39</v>
      </c>
      <c r="G237" s="36"/>
      <c r="H237" s="36" t="s">
        <v>242</v>
      </c>
      <c r="I237" s="36" t="s">
        <v>243</v>
      </c>
      <c r="J237" s="36" t="s">
        <v>628</v>
      </c>
      <c r="K237" s="36" t="s">
        <v>639</v>
      </c>
      <c r="L237" s="36"/>
      <c r="M237" s="36"/>
      <c r="N237" s="69" t="s">
        <v>636</v>
      </c>
      <c r="O237" s="32" t="s">
        <v>640</v>
      </c>
    </row>
    <row r="238" spans="2:15">
      <c r="B238" s="70" t="s">
        <v>641</v>
      </c>
      <c r="C238" s="20" t="s">
        <v>26</v>
      </c>
      <c r="D238" s="70"/>
      <c r="E238" s="71" t="s">
        <v>642</v>
      </c>
      <c r="F238" s="71" t="s">
        <v>83</v>
      </c>
      <c r="G238" s="70"/>
      <c r="H238" s="70"/>
      <c r="I238" s="70"/>
      <c r="J238" s="70" t="s">
        <v>643</v>
      </c>
      <c r="K238" s="70" t="s">
        <v>644</v>
      </c>
      <c r="L238" s="70"/>
      <c r="M238" s="70"/>
      <c r="N238" s="59" t="s">
        <v>144</v>
      </c>
      <c r="O238" s="32" t="s">
        <v>645</v>
      </c>
    </row>
    <row r="239" spans="2:15">
      <c r="B239" s="70" t="s">
        <v>646</v>
      </c>
      <c r="C239" s="20" t="s">
        <v>26</v>
      </c>
      <c r="D239" s="70"/>
      <c r="E239" s="71" t="s">
        <v>642</v>
      </c>
      <c r="F239" s="71" t="s">
        <v>83</v>
      </c>
      <c r="G239" s="70"/>
      <c r="H239" s="70"/>
      <c r="I239" s="70"/>
      <c r="J239" s="70" t="s">
        <v>643</v>
      </c>
      <c r="K239" s="70" t="s">
        <v>644</v>
      </c>
      <c r="L239" s="70"/>
      <c r="M239" s="70"/>
      <c r="N239" s="59" t="s">
        <v>144</v>
      </c>
      <c r="O239" s="32" t="s">
        <v>647</v>
      </c>
    </row>
    <row r="240" spans="2:15">
      <c r="B240" s="70" t="s">
        <v>648</v>
      </c>
      <c r="C240" s="20" t="s">
        <v>26</v>
      </c>
      <c r="D240" s="70"/>
      <c r="E240" s="71" t="s">
        <v>649</v>
      </c>
      <c r="F240" s="71" t="s">
        <v>83</v>
      </c>
      <c r="G240" s="70"/>
      <c r="H240" s="70"/>
      <c r="I240" s="70"/>
      <c r="J240" s="70" t="s">
        <v>643</v>
      </c>
      <c r="K240" s="70" t="s">
        <v>644</v>
      </c>
      <c r="L240" s="70"/>
      <c r="M240" s="70"/>
      <c r="N240" s="59" t="s">
        <v>144</v>
      </c>
      <c r="O240" s="32" t="s">
        <v>650</v>
      </c>
    </row>
    <row r="241" spans="2:15">
      <c r="B241" s="70" t="s">
        <v>651</v>
      </c>
      <c r="C241" s="20" t="s">
        <v>26</v>
      </c>
      <c r="D241" s="70"/>
      <c r="E241" s="71" t="s">
        <v>649</v>
      </c>
      <c r="F241" s="71" t="s">
        <v>39</v>
      </c>
      <c r="G241" s="70"/>
      <c r="H241" s="70"/>
      <c r="I241" s="70"/>
      <c r="J241" s="70" t="s">
        <v>643</v>
      </c>
      <c r="K241" s="70" t="s">
        <v>644</v>
      </c>
      <c r="L241" s="70"/>
      <c r="M241" s="70"/>
      <c r="N241" s="59" t="s">
        <v>144</v>
      </c>
      <c r="O241" s="32" t="s">
        <v>652</v>
      </c>
    </row>
    <row r="242" ht="27" spans="2:15">
      <c r="B242" s="70" t="s">
        <v>653</v>
      </c>
      <c r="C242" s="20" t="s">
        <v>26</v>
      </c>
      <c r="D242" s="70"/>
      <c r="E242" s="71" t="s">
        <v>54</v>
      </c>
      <c r="F242" s="71" t="s">
        <v>39</v>
      </c>
      <c r="G242" s="70"/>
      <c r="H242" s="70"/>
      <c r="I242" s="70"/>
      <c r="J242" s="70" t="s">
        <v>643</v>
      </c>
      <c r="K242" s="70" t="s">
        <v>654</v>
      </c>
      <c r="L242" s="70"/>
      <c r="M242" s="70"/>
      <c r="N242" s="69" t="s">
        <v>636</v>
      </c>
      <c r="O242" s="32" t="s">
        <v>652</v>
      </c>
    </row>
    <row r="243" ht="27" spans="2:15">
      <c r="B243" s="70" t="s">
        <v>655</v>
      </c>
      <c r="C243" s="20" t="s">
        <v>26</v>
      </c>
      <c r="D243" s="70"/>
      <c r="E243" s="71" t="s">
        <v>54</v>
      </c>
      <c r="F243" s="71" t="s">
        <v>39</v>
      </c>
      <c r="G243" s="70"/>
      <c r="H243" s="70"/>
      <c r="I243" s="70"/>
      <c r="J243" s="70" t="s">
        <v>643</v>
      </c>
      <c r="K243" s="70" t="s">
        <v>644</v>
      </c>
      <c r="L243" s="70"/>
      <c r="M243" s="70"/>
      <c r="N243" s="69" t="s">
        <v>636</v>
      </c>
      <c r="O243" s="32" t="s">
        <v>652</v>
      </c>
    </row>
    <row r="244" ht="27" spans="2:15">
      <c r="B244" s="70" t="s">
        <v>656</v>
      </c>
      <c r="C244" s="20" t="s">
        <v>26</v>
      </c>
      <c r="D244" s="70"/>
      <c r="E244" s="71" t="s">
        <v>54</v>
      </c>
      <c r="F244" s="71" t="s">
        <v>39</v>
      </c>
      <c r="G244" s="70"/>
      <c r="H244" s="70"/>
      <c r="I244" s="70"/>
      <c r="J244" s="70" t="s">
        <v>643</v>
      </c>
      <c r="K244" s="70" t="s">
        <v>644</v>
      </c>
      <c r="L244" s="70"/>
      <c r="M244" s="70"/>
      <c r="N244" s="69" t="s">
        <v>636</v>
      </c>
      <c r="O244" s="32" t="s">
        <v>652</v>
      </c>
    </row>
    <row r="245" ht="27" spans="2:15">
      <c r="B245" s="70" t="s">
        <v>657</v>
      </c>
      <c r="C245" s="20" t="s">
        <v>26</v>
      </c>
      <c r="D245" s="70"/>
      <c r="E245" s="71" t="s">
        <v>658</v>
      </c>
      <c r="F245" s="71" t="s">
        <v>39</v>
      </c>
      <c r="G245" s="70"/>
      <c r="H245" s="70"/>
      <c r="I245" s="70" t="s">
        <v>243</v>
      </c>
      <c r="J245" s="70" t="s">
        <v>643</v>
      </c>
      <c r="K245" s="70" t="s">
        <v>659</v>
      </c>
      <c r="L245" s="70"/>
      <c r="M245" s="70"/>
      <c r="N245" s="60" t="s">
        <v>271</v>
      </c>
      <c r="O245" s="32" t="s">
        <v>660</v>
      </c>
    </row>
    <row r="246" ht="27" spans="2:15">
      <c r="B246" s="31" t="s">
        <v>661</v>
      </c>
      <c r="C246" s="20" t="s">
        <v>26</v>
      </c>
      <c r="D246" s="72"/>
      <c r="E246" s="73" t="s">
        <v>662</v>
      </c>
      <c r="F246" s="74">
        <v>3</v>
      </c>
      <c r="G246" s="74"/>
      <c r="H246" s="74"/>
      <c r="I246" s="74"/>
      <c r="J246" s="52" t="s">
        <v>663</v>
      </c>
      <c r="K246" s="72" t="s">
        <v>664</v>
      </c>
      <c r="N246" s="60" t="s">
        <v>271</v>
      </c>
      <c r="O246" s="32" t="s">
        <v>665</v>
      </c>
    </row>
    <row r="247" ht="27" spans="2:15">
      <c r="B247" s="31" t="s">
        <v>666</v>
      </c>
      <c r="C247" s="20" t="s">
        <v>26</v>
      </c>
      <c r="D247" s="72"/>
      <c r="E247" s="73" t="s">
        <v>662</v>
      </c>
      <c r="F247" s="74">
        <v>1</v>
      </c>
      <c r="G247" s="74"/>
      <c r="H247" s="74"/>
      <c r="I247" s="74"/>
      <c r="J247" s="52" t="s">
        <v>663</v>
      </c>
      <c r="K247" s="73" t="s">
        <v>667</v>
      </c>
      <c r="N247" s="60" t="s">
        <v>271</v>
      </c>
      <c r="O247" s="32" t="s">
        <v>668</v>
      </c>
    </row>
    <row r="248" ht="27" spans="2:15">
      <c r="B248" s="31" t="s">
        <v>669</v>
      </c>
      <c r="C248" s="20" t="s">
        <v>26</v>
      </c>
      <c r="E248" s="32" t="s">
        <v>662</v>
      </c>
      <c r="F248" s="32" t="s">
        <v>36</v>
      </c>
      <c r="J248" s="52" t="s">
        <v>663</v>
      </c>
      <c r="K248" s="73" t="s">
        <v>670</v>
      </c>
      <c r="N248" s="60" t="s">
        <v>271</v>
      </c>
      <c r="O248" s="32" t="s">
        <v>671</v>
      </c>
    </row>
    <row r="249" ht="27" spans="2:15">
      <c r="B249" s="31" t="s">
        <v>672</v>
      </c>
      <c r="C249" s="20" t="s">
        <v>26</v>
      </c>
      <c r="E249" s="32" t="s">
        <v>662</v>
      </c>
      <c r="F249" s="32" t="s">
        <v>27</v>
      </c>
      <c r="J249" s="52" t="s">
        <v>663</v>
      </c>
      <c r="K249" s="72" t="s">
        <v>670</v>
      </c>
      <c r="N249" s="60" t="s">
        <v>271</v>
      </c>
      <c r="O249" s="32" t="s">
        <v>673</v>
      </c>
    </row>
    <row r="250" ht="27" spans="2:15">
      <c r="B250" s="31" t="s">
        <v>674</v>
      </c>
      <c r="C250" s="20" t="s">
        <v>26</v>
      </c>
      <c r="E250" s="32" t="s">
        <v>675</v>
      </c>
      <c r="F250" s="32" t="s">
        <v>36</v>
      </c>
      <c r="J250" s="52" t="s">
        <v>663</v>
      </c>
      <c r="K250" s="72" t="s">
        <v>676</v>
      </c>
      <c r="N250" s="60" t="s">
        <v>271</v>
      </c>
      <c r="O250" s="32" t="s">
        <v>677</v>
      </c>
    </row>
    <row r="251" ht="27" spans="2:15">
      <c r="B251" s="31" t="s">
        <v>678</v>
      </c>
      <c r="C251" s="20" t="s">
        <v>26</v>
      </c>
      <c r="E251" s="32" t="s">
        <v>675</v>
      </c>
      <c r="F251" s="32" t="s">
        <v>27</v>
      </c>
      <c r="J251" s="52" t="s">
        <v>663</v>
      </c>
      <c r="K251" s="72" t="s">
        <v>676</v>
      </c>
      <c r="N251" s="60" t="s">
        <v>271</v>
      </c>
      <c r="O251" s="32" t="s">
        <v>679</v>
      </c>
    </row>
    <row r="252" ht="27" spans="2:15">
      <c r="B252" s="31" t="s">
        <v>680</v>
      </c>
      <c r="C252" s="20" t="s">
        <v>26</v>
      </c>
      <c r="E252" s="32" t="s">
        <v>675</v>
      </c>
      <c r="F252" s="32" t="s">
        <v>83</v>
      </c>
      <c r="J252" s="52" t="s">
        <v>663</v>
      </c>
      <c r="K252" s="72" t="s">
        <v>676</v>
      </c>
      <c r="N252" s="60" t="s">
        <v>271</v>
      </c>
      <c r="O252" s="32" t="s">
        <v>681</v>
      </c>
    </row>
    <row r="253" ht="27" spans="2:15">
      <c r="B253" s="31" t="s">
        <v>682</v>
      </c>
      <c r="C253" s="20" t="s">
        <v>26</v>
      </c>
      <c r="E253" s="32" t="s">
        <v>675</v>
      </c>
      <c r="F253" s="32" t="s">
        <v>36</v>
      </c>
      <c r="J253" s="52" t="s">
        <v>663</v>
      </c>
      <c r="K253" s="73" t="s">
        <v>683</v>
      </c>
      <c r="N253" s="60" t="s">
        <v>271</v>
      </c>
      <c r="O253" s="32" t="s">
        <v>677</v>
      </c>
    </row>
    <row r="254" ht="27" spans="2:15">
      <c r="B254" s="31" t="s">
        <v>684</v>
      </c>
      <c r="C254" s="20" t="s">
        <v>26</v>
      </c>
      <c r="E254" s="32" t="s">
        <v>685</v>
      </c>
      <c r="F254" s="32" t="s">
        <v>83</v>
      </c>
      <c r="J254" s="52" t="s">
        <v>663</v>
      </c>
      <c r="K254" s="73" t="s">
        <v>683</v>
      </c>
      <c r="N254" s="60" t="s">
        <v>271</v>
      </c>
      <c r="O254" s="32" t="s">
        <v>681</v>
      </c>
    </row>
    <row r="255" ht="27" spans="2:15">
      <c r="B255" s="32" t="s">
        <v>686</v>
      </c>
      <c r="C255" s="20" t="s">
        <v>26</v>
      </c>
      <c r="E255" s="32" t="s">
        <v>685</v>
      </c>
      <c r="F255" s="32" t="s">
        <v>27</v>
      </c>
      <c r="J255" s="45" t="s">
        <v>663</v>
      </c>
      <c r="K255" s="72" t="s">
        <v>683</v>
      </c>
      <c r="N255" s="60" t="s">
        <v>271</v>
      </c>
      <c r="O255" s="32" t="s">
        <v>687</v>
      </c>
    </row>
    <row r="256" ht="27" spans="2:15">
      <c r="B256" s="32" t="s">
        <v>688</v>
      </c>
      <c r="C256" s="20" t="s">
        <v>26</v>
      </c>
      <c r="E256" s="32" t="s">
        <v>685</v>
      </c>
      <c r="F256" s="32" t="s">
        <v>39</v>
      </c>
      <c r="J256" s="45" t="s">
        <v>663</v>
      </c>
      <c r="K256" s="72" t="s">
        <v>689</v>
      </c>
      <c r="N256" s="66" t="s">
        <v>369</v>
      </c>
      <c r="O256" s="32" t="s">
        <v>690</v>
      </c>
    </row>
    <row r="257" ht="27" spans="2:15">
      <c r="B257" s="32" t="s">
        <v>691</v>
      </c>
      <c r="C257" s="20" t="s">
        <v>26</v>
      </c>
      <c r="E257" s="32" t="s">
        <v>685</v>
      </c>
      <c r="F257" s="32" t="s">
        <v>39</v>
      </c>
      <c r="J257" s="52" t="s">
        <v>663</v>
      </c>
      <c r="K257" s="72" t="s">
        <v>692</v>
      </c>
      <c r="N257" s="60" t="s">
        <v>271</v>
      </c>
      <c r="O257" s="32" t="s">
        <v>693</v>
      </c>
    </row>
    <row r="258" ht="27" spans="2:15">
      <c r="B258" s="32" t="s">
        <v>694</v>
      </c>
      <c r="C258" s="20" t="s">
        <v>26</v>
      </c>
      <c r="E258" s="32" t="s">
        <v>695</v>
      </c>
      <c r="F258" s="32" t="s">
        <v>39</v>
      </c>
      <c r="J258" s="52" t="s">
        <v>663</v>
      </c>
      <c r="K258" s="72" t="s">
        <v>696</v>
      </c>
      <c r="N258" s="60" t="s">
        <v>271</v>
      </c>
      <c r="O258" s="32" t="s">
        <v>693</v>
      </c>
    </row>
    <row r="259" ht="27" spans="2:15">
      <c r="B259" s="32" t="s">
        <v>697</v>
      </c>
      <c r="C259" s="20" t="s">
        <v>26</v>
      </c>
      <c r="D259" s="32"/>
      <c r="E259" s="32" t="s">
        <v>695</v>
      </c>
      <c r="F259" s="32" t="s">
        <v>39</v>
      </c>
      <c r="J259" s="45" t="s">
        <v>663</v>
      </c>
      <c r="K259" s="72" t="s">
        <v>698</v>
      </c>
      <c r="N259" s="66" t="s">
        <v>369</v>
      </c>
      <c r="O259" s="32" t="s">
        <v>699</v>
      </c>
    </row>
    <row r="260" ht="27" spans="2:15">
      <c r="B260" s="32" t="s">
        <v>700</v>
      </c>
      <c r="C260" s="20" t="s">
        <v>26</v>
      </c>
      <c r="D260" s="32"/>
      <c r="E260" s="32" t="s">
        <v>695</v>
      </c>
      <c r="F260" s="32" t="s">
        <v>39</v>
      </c>
      <c r="H260" s="31" t="s">
        <v>242</v>
      </c>
      <c r="I260" s="31" t="s">
        <v>701</v>
      </c>
      <c r="J260" s="45" t="s">
        <v>663</v>
      </c>
      <c r="K260" s="72" t="s">
        <v>702</v>
      </c>
      <c r="N260" s="66" t="s">
        <v>369</v>
      </c>
      <c r="O260" s="32" t="s">
        <v>703</v>
      </c>
    </row>
    <row r="261" ht="27" spans="2:15">
      <c r="B261" s="32" t="s">
        <v>704</v>
      </c>
      <c r="C261" s="20" t="s">
        <v>26</v>
      </c>
      <c r="E261" s="32" t="s">
        <v>695</v>
      </c>
      <c r="F261" s="32" t="s">
        <v>83</v>
      </c>
      <c r="J261" s="45" t="s">
        <v>663</v>
      </c>
      <c r="K261" s="72" t="s">
        <v>705</v>
      </c>
      <c r="N261" s="60" t="s">
        <v>271</v>
      </c>
      <c r="O261" s="32" t="s">
        <v>706</v>
      </c>
    </row>
    <row r="262" ht="27" spans="2:15">
      <c r="B262" s="32" t="s">
        <v>707</v>
      </c>
      <c r="C262" s="20" t="s">
        <v>26</v>
      </c>
      <c r="E262" s="32" t="s">
        <v>708</v>
      </c>
      <c r="F262" s="32" t="s">
        <v>83</v>
      </c>
      <c r="J262" s="52" t="s">
        <v>663</v>
      </c>
      <c r="K262" s="72" t="s">
        <v>709</v>
      </c>
      <c r="N262" s="60" t="s">
        <v>271</v>
      </c>
      <c r="O262" s="32" t="s">
        <v>706</v>
      </c>
    </row>
    <row r="263" ht="27" spans="2:15">
      <c r="B263" s="32" t="s">
        <v>710</v>
      </c>
      <c r="C263" s="20" t="s">
        <v>26</v>
      </c>
      <c r="E263" s="32" t="s">
        <v>708</v>
      </c>
      <c r="F263" s="32" t="s">
        <v>36</v>
      </c>
      <c r="J263" s="52" t="s">
        <v>663</v>
      </c>
      <c r="K263" s="72" t="s">
        <v>709</v>
      </c>
      <c r="N263" s="60" t="s">
        <v>271</v>
      </c>
      <c r="O263" s="32" t="s">
        <v>711</v>
      </c>
    </row>
    <row r="264" ht="27" spans="2:15">
      <c r="B264" s="32" t="s">
        <v>712</v>
      </c>
      <c r="C264" s="20" t="s">
        <v>26</v>
      </c>
      <c r="E264" s="32" t="s">
        <v>708</v>
      </c>
      <c r="F264" s="32" t="s">
        <v>83</v>
      </c>
      <c r="J264" s="52" t="s">
        <v>663</v>
      </c>
      <c r="K264" s="72" t="s">
        <v>713</v>
      </c>
      <c r="N264" s="60" t="s">
        <v>271</v>
      </c>
      <c r="O264" s="32" t="s">
        <v>714</v>
      </c>
    </row>
    <row r="265" ht="27" spans="2:15">
      <c r="B265" s="32" t="s">
        <v>715</v>
      </c>
      <c r="C265" s="20" t="s">
        <v>26</v>
      </c>
      <c r="E265" s="32" t="s">
        <v>708</v>
      </c>
      <c r="F265" s="32" t="s">
        <v>36</v>
      </c>
      <c r="J265" s="52" t="s">
        <v>663</v>
      </c>
      <c r="K265" s="72" t="s">
        <v>713</v>
      </c>
      <c r="N265" s="60" t="s">
        <v>271</v>
      </c>
      <c r="O265" s="32" t="s">
        <v>716</v>
      </c>
    </row>
    <row r="266" ht="27" spans="2:15">
      <c r="B266" s="32" t="s">
        <v>717</v>
      </c>
      <c r="C266" s="20" t="s">
        <v>26</v>
      </c>
      <c r="E266" s="32" t="s">
        <v>708</v>
      </c>
      <c r="F266" s="32" t="s">
        <v>27</v>
      </c>
      <c r="J266" s="52" t="s">
        <v>663</v>
      </c>
      <c r="K266" s="72" t="s">
        <v>713</v>
      </c>
      <c r="N266" s="60" t="s">
        <v>271</v>
      </c>
      <c r="O266" s="32" t="s">
        <v>718</v>
      </c>
    </row>
    <row r="267" ht="27" spans="2:15">
      <c r="B267" s="32" t="s">
        <v>719</v>
      </c>
      <c r="C267" s="20" t="s">
        <v>26</v>
      </c>
      <c r="E267" s="32" t="s">
        <v>720</v>
      </c>
      <c r="F267" s="32" t="s">
        <v>83</v>
      </c>
      <c r="J267" s="52" t="s">
        <v>663</v>
      </c>
      <c r="K267" s="72" t="s">
        <v>721</v>
      </c>
      <c r="N267" s="60" t="s">
        <v>271</v>
      </c>
      <c r="O267" s="32" t="s">
        <v>722</v>
      </c>
    </row>
    <row r="268" ht="27" spans="2:15">
      <c r="B268" s="32" t="s">
        <v>723</v>
      </c>
      <c r="C268" s="20" t="s">
        <v>26</v>
      </c>
      <c r="E268" s="32" t="s">
        <v>720</v>
      </c>
      <c r="F268" s="32" t="s">
        <v>36</v>
      </c>
      <c r="J268" s="52" t="s">
        <v>663</v>
      </c>
      <c r="K268" s="72" t="s">
        <v>721</v>
      </c>
      <c r="N268" s="60" t="s">
        <v>271</v>
      </c>
      <c r="O268" s="32" t="s">
        <v>724</v>
      </c>
    </row>
    <row r="269" ht="27" spans="2:15">
      <c r="B269" s="32" t="s">
        <v>725</v>
      </c>
      <c r="C269" s="20" t="s">
        <v>26</v>
      </c>
      <c r="E269" s="32" t="s">
        <v>720</v>
      </c>
      <c r="F269" s="32" t="s">
        <v>27</v>
      </c>
      <c r="J269" s="52" t="s">
        <v>663</v>
      </c>
      <c r="K269" s="72" t="s">
        <v>721</v>
      </c>
      <c r="N269" s="60" t="s">
        <v>271</v>
      </c>
      <c r="O269" s="32" t="s">
        <v>726</v>
      </c>
    </row>
    <row r="270" ht="27" spans="2:15">
      <c r="B270" s="32" t="s">
        <v>727</v>
      </c>
      <c r="C270" s="20" t="s">
        <v>26</v>
      </c>
      <c r="E270" s="32" t="s">
        <v>720</v>
      </c>
      <c r="F270" s="32" t="s">
        <v>83</v>
      </c>
      <c r="J270" s="52" t="s">
        <v>663</v>
      </c>
      <c r="K270" s="72" t="s">
        <v>721</v>
      </c>
      <c r="N270" s="60" t="s">
        <v>271</v>
      </c>
      <c r="O270" s="32" t="s">
        <v>728</v>
      </c>
    </row>
    <row r="271" ht="27" spans="2:15">
      <c r="B271" s="32" t="s">
        <v>729</v>
      </c>
      <c r="C271" s="20" t="s">
        <v>26</v>
      </c>
      <c r="E271" s="32" t="s">
        <v>730</v>
      </c>
      <c r="F271" s="32" t="s">
        <v>83</v>
      </c>
      <c r="J271" s="45" t="s">
        <v>663</v>
      </c>
      <c r="K271" s="72" t="s">
        <v>731</v>
      </c>
      <c r="N271" s="66" t="s">
        <v>369</v>
      </c>
      <c r="O271" s="32" t="s">
        <v>732</v>
      </c>
    </row>
    <row r="272" ht="27" spans="2:15">
      <c r="B272" s="32" t="s">
        <v>733</v>
      </c>
      <c r="C272" s="20" t="s">
        <v>26</v>
      </c>
      <c r="E272" s="32" t="s">
        <v>730</v>
      </c>
      <c r="F272" s="32" t="s">
        <v>36</v>
      </c>
      <c r="J272" s="52" t="s">
        <v>663</v>
      </c>
      <c r="K272" s="72" t="s">
        <v>734</v>
      </c>
      <c r="N272" s="60" t="s">
        <v>271</v>
      </c>
      <c r="O272" s="32" t="s">
        <v>724</v>
      </c>
    </row>
    <row r="273" ht="27" spans="2:15">
      <c r="B273" s="32" t="s">
        <v>735</v>
      </c>
      <c r="C273" s="20" t="s">
        <v>26</v>
      </c>
      <c r="E273" s="32" t="s">
        <v>730</v>
      </c>
      <c r="F273" s="32" t="s">
        <v>33</v>
      </c>
      <c r="J273" s="52" t="s">
        <v>663</v>
      </c>
      <c r="K273" s="72" t="s">
        <v>734</v>
      </c>
      <c r="N273" s="60" t="s">
        <v>271</v>
      </c>
      <c r="O273" s="32" t="s">
        <v>736</v>
      </c>
    </row>
    <row r="274" ht="27" spans="2:15">
      <c r="B274" s="32" t="s">
        <v>737</v>
      </c>
      <c r="C274" s="20" t="s">
        <v>26</v>
      </c>
      <c r="E274" s="32" t="s">
        <v>730</v>
      </c>
      <c r="F274" s="32" t="s">
        <v>33</v>
      </c>
      <c r="J274" s="52" t="s">
        <v>663</v>
      </c>
      <c r="K274" s="72" t="s">
        <v>734</v>
      </c>
      <c r="N274" s="60" t="s">
        <v>271</v>
      </c>
      <c r="O274" s="32" t="s">
        <v>736</v>
      </c>
    </row>
    <row r="275" ht="27" spans="2:15">
      <c r="B275" s="32" t="s">
        <v>738</v>
      </c>
      <c r="C275" s="20" t="s">
        <v>26</v>
      </c>
      <c r="E275" s="32" t="s">
        <v>739</v>
      </c>
      <c r="F275" s="32" t="s">
        <v>36</v>
      </c>
      <c r="J275" s="52" t="s">
        <v>663</v>
      </c>
      <c r="K275" s="73" t="s">
        <v>740</v>
      </c>
      <c r="N275" s="60" t="s">
        <v>271</v>
      </c>
      <c r="O275" s="32" t="s">
        <v>724</v>
      </c>
    </row>
    <row r="276" ht="27" spans="2:15">
      <c r="B276" s="32" t="s">
        <v>741</v>
      </c>
      <c r="C276" s="20" t="s">
        <v>26</v>
      </c>
      <c r="E276" s="32" t="s">
        <v>739</v>
      </c>
      <c r="F276" s="32" t="s">
        <v>33</v>
      </c>
      <c r="J276" s="52" t="s">
        <v>663</v>
      </c>
      <c r="K276" s="73" t="s">
        <v>740</v>
      </c>
      <c r="N276" s="60" t="s">
        <v>271</v>
      </c>
      <c r="O276" s="32" t="s">
        <v>736</v>
      </c>
    </row>
    <row r="277" ht="27" spans="2:15">
      <c r="B277" s="32" t="s">
        <v>742</v>
      </c>
      <c r="C277" s="20" t="s">
        <v>26</v>
      </c>
      <c r="E277" s="32" t="s">
        <v>739</v>
      </c>
      <c r="F277" s="32" t="s">
        <v>33</v>
      </c>
      <c r="J277" s="52" t="s">
        <v>663</v>
      </c>
      <c r="K277" s="72" t="s">
        <v>740</v>
      </c>
      <c r="N277" s="60" t="s">
        <v>271</v>
      </c>
      <c r="O277" s="32" t="s">
        <v>736</v>
      </c>
    </row>
    <row r="278" ht="27" spans="2:15">
      <c r="B278" s="32" t="s">
        <v>743</v>
      </c>
      <c r="C278" s="20" t="s">
        <v>26</v>
      </c>
      <c r="E278" s="32" t="s">
        <v>739</v>
      </c>
      <c r="F278" s="32" t="s">
        <v>83</v>
      </c>
      <c r="J278" s="52" t="s">
        <v>663</v>
      </c>
      <c r="K278" s="72" t="s">
        <v>744</v>
      </c>
      <c r="N278" s="60" t="s">
        <v>271</v>
      </c>
      <c r="O278" s="32" t="s">
        <v>728</v>
      </c>
    </row>
    <row r="279" ht="27" spans="2:15">
      <c r="B279" s="32" t="s">
        <v>745</v>
      </c>
      <c r="C279" s="20" t="s">
        <v>26</v>
      </c>
      <c r="E279" s="32" t="s">
        <v>746</v>
      </c>
      <c r="F279" s="32" t="s">
        <v>36</v>
      </c>
      <c r="J279" s="52" t="s">
        <v>663</v>
      </c>
      <c r="K279" s="72" t="s">
        <v>744</v>
      </c>
      <c r="N279" s="60" t="s">
        <v>271</v>
      </c>
      <c r="O279" s="32" t="s">
        <v>724</v>
      </c>
    </row>
    <row r="280" ht="27" spans="2:15">
      <c r="B280" s="32" t="s">
        <v>747</v>
      </c>
      <c r="C280" s="20" t="s">
        <v>26</v>
      </c>
      <c r="E280" s="32" t="s">
        <v>746</v>
      </c>
      <c r="F280" s="32" t="s">
        <v>27</v>
      </c>
      <c r="J280" s="52" t="s">
        <v>663</v>
      </c>
      <c r="K280" s="72" t="s">
        <v>744</v>
      </c>
      <c r="N280" s="60" t="s">
        <v>271</v>
      </c>
      <c r="O280" s="32" t="s">
        <v>726</v>
      </c>
    </row>
    <row r="281" ht="27" spans="2:15">
      <c r="B281" s="32" t="s">
        <v>748</v>
      </c>
      <c r="C281" s="20" t="s">
        <v>26</v>
      </c>
      <c r="E281" s="32" t="s">
        <v>746</v>
      </c>
      <c r="F281" s="32" t="s">
        <v>103</v>
      </c>
      <c r="J281" s="52" t="s">
        <v>749</v>
      </c>
      <c r="K281" s="72" t="s">
        <v>750</v>
      </c>
      <c r="N281" s="60" t="s">
        <v>271</v>
      </c>
      <c r="O281" s="33" t="s">
        <v>751</v>
      </c>
    </row>
    <row r="282" ht="27" spans="2:15">
      <c r="B282" s="32" t="s">
        <v>752</v>
      </c>
      <c r="C282" s="20" t="s">
        <v>26</v>
      </c>
      <c r="E282" s="32" t="s">
        <v>746</v>
      </c>
      <c r="F282" s="32" t="s">
        <v>39</v>
      </c>
      <c r="H282" s="31" t="s">
        <v>242</v>
      </c>
      <c r="I282" s="31" t="s">
        <v>753</v>
      </c>
      <c r="J282" s="45" t="s">
        <v>663</v>
      </c>
      <c r="K282" s="72" t="s">
        <v>754</v>
      </c>
      <c r="N282" s="66" t="s">
        <v>369</v>
      </c>
      <c r="O282" s="32" t="s">
        <v>755</v>
      </c>
    </row>
    <row r="283" ht="27" spans="2:15">
      <c r="B283" s="32" t="s">
        <v>756</v>
      </c>
      <c r="C283" s="20" t="s">
        <v>26</v>
      </c>
      <c r="E283" s="32" t="s">
        <v>746</v>
      </c>
      <c r="F283" s="32" t="s">
        <v>27</v>
      </c>
      <c r="J283" s="45" t="s">
        <v>749</v>
      </c>
      <c r="K283" s="72" t="s">
        <v>757</v>
      </c>
      <c r="N283" s="60" t="s">
        <v>271</v>
      </c>
      <c r="O283" s="32" t="s">
        <v>726</v>
      </c>
    </row>
    <row r="284" ht="27" spans="2:15">
      <c r="B284" s="32" t="s">
        <v>758</v>
      </c>
      <c r="C284" s="20" t="s">
        <v>26</v>
      </c>
      <c r="E284" s="32" t="s">
        <v>746</v>
      </c>
      <c r="F284" s="32" t="s">
        <v>27</v>
      </c>
      <c r="J284" s="45" t="s">
        <v>749</v>
      </c>
      <c r="K284" s="72" t="s">
        <v>759</v>
      </c>
      <c r="N284" s="60" t="s">
        <v>271</v>
      </c>
      <c r="O284" s="32" t="s">
        <v>726</v>
      </c>
    </row>
    <row r="285" ht="27" spans="2:15">
      <c r="B285" s="32" t="s">
        <v>760</v>
      </c>
      <c r="C285" s="20" t="s">
        <v>26</v>
      </c>
      <c r="E285" s="32" t="s">
        <v>746</v>
      </c>
      <c r="F285" s="32" t="s">
        <v>33</v>
      </c>
      <c r="J285" s="45" t="s">
        <v>749</v>
      </c>
      <c r="K285" s="72" t="s">
        <v>759</v>
      </c>
      <c r="N285" s="60" t="s">
        <v>271</v>
      </c>
      <c r="O285" s="32" t="s">
        <v>736</v>
      </c>
    </row>
    <row r="286" ht="27" spans="2:15">
      <c r="B286" s="32" t="s">
        <v>761</v>
      </c>
      <c r="C286" s="20" t="s">
        <v>26</v>
      </c>
      <c r="E286" s="32" t="s">
        <v>746</v>
      </c>
      <c r="F286" s="32" t="s">
        <v>33</v>
      </c>
      <c r="J286" s="45" t="s">
        <v>749</v>
      </c>
      <c r="K286" s="72" t="s">
        <v>759</v>
      </c>
      <c r="N286" s="60" t="s">
        <v>271</v>
      </c>
      <c r="O286" s="32" t="s">
        <v>736</v>
      </c>
    </row>
    <row r="287" ht="27" spans="2:15">
      <c r="B287" s="32" t="s">
        <v>762</v>
      </c>
      <c r="C287" s="20" t="s">
        <v>26</v>
      </c>
      <c r="E287" s="32" t="s">
        <v>746</v>
      </c>
      <c r="F287" s="32" t="s">
        <v>27</v>
      </c>
      <c r="J287" s="52" t="s">
        <v>663</v>
      </c>
      <c r="K287" s="72" t="s">
        <v>763</v>
      </c>
      <c r="N287" s="60" t="s">
        <v>271</v>
      </c>
      <c r="O287" s="32" t="s">
        <v>726</v>
      </c>
    </row>
    <row r="288" ht="27" spans="2:15">
      <c r="B288" s="32" t="s">
        <v>764</v>
      </c>
      <c r="C288" s="20" t="s">
        <v>26</v>
      </c>
      <c r="E288" s="32" t="s">
        <v>746</v>
      </c>
      <c r="F288" s="32" t="s">
        <v>36</v>
      </c>
      <c r="J288" s="52" t="s">
        <v>663</v>
      </c>
      <c r="K288" s="72" t="s">
        <v>763</v>
      </c>
      <c r="N288" s="60" t="s">
        <v>271</v>
      </c>
      <c r="O288" s="32" t="s">
        <v>724</v>
      </c>
    </row>
    <row r="289" ht="27" spans="2:16">
      <c r="B289" s="32" t="s">
        <v>765</v>
      </c>
      <c r="C289" s="20" t="s">
        <v>26</v>
      </c>
      <c r="E289" s="32" t="s">
        <v>746</v>
      </c>
      <c r="F289" s="32" t="s">
        <v>33</v>
      </c>
      <c r="J289" s="52" t="s">
        <v>663</v>
      </c>
      <c r="K289" s="72" t="s">
        <v>763</v>
      </c>
      <c r="N289" s="60" t="s">
        <v>271</v>
      </c>
      <c r="O289" s="32" t="s">
        <v>736</v>
      </c>
    </row>
    <row r="290" ht="27" spans="2:16">
      <c r="B290" s="32" t="s">
        <v>766</v>
      </c>
      <c r="C290" s="20" t="s">
        <v>26</v>
      </c>
      <c r="D290" s="32"/>
      <c r="E290" s="32" t="s">
        <v>746</v>
      </c>
      <c r="F290" s="32" t="s">
        <v>39</v>
      </c>
      <c r="G290" s="32" t="s">
        <v>33</v>
      </c>
      <c r="H290" s="32" t="s">
        <v>767</v>
      </c>
      <c r="J290" s="45" t="s">
        <v>663</v>
      </c>
      <c r="K290" s="72" t="s">
        <v>768</v>
      </c>
      <c r="N290" s="66" t="s">
        <v>369</v>
      </c>
      <c r="O290" s="32" t="s">
        <v>769</v>
      </c>
    </row>
    <row r="291" ht="27" spans="2:16">
      <c r="B291" s="75" t="s">
        <v>770</v>
      </c>
      <c r="C291" s="20" t="s">
        <v>26</v>
      </c>
      <c r="D291" s="75"/>
      <c r="E291" s="76" t="s">
        <v>771</v>
      </c>
      <c r="F291" s="76" t="s">
        <v>33</v>
      </c>
      <c r="G291" s="75"/>
      <c r="H291" s="75"/>
      <c r="I291" s="75"/>
      <c r="J291" s="75" t="s">
        <v>772</v>
      </c>
      <c r="K291" s="75" t="s">
        <v>773</v>
      </c>
      <c r="L291" s="75"/>
      <c r="M291" s="75"/>
      <c r="N291" s="66" t="s">
        <v>369</v>
      </c>
      <c r="O291" s="32" t="s">
        <v>774</v>
      </c>
      <c r="P291" s="75"/>
    </row>
    <row r="292" ht="27" spans="2:16">
      <c r="B292" s="75" t="s">
        <v>775</v>
      </c>
      <c r="C292" s="20" t="s">
        <v>26</v>
      </c>
      <c r="D292" s="75"/>
      <c r="E292" s="76" t="s">
        <v>771</v>
      </c>
      <c r="F292" s="76" t="s">
        <v>33</v>
      </c>
      <c r="G292" s="75"/>
      <c r="H292" s="75"/>
      <c r="I292" s="75"/>
      <c r="J292" s="75" t="s">
        <v>776</v>
      </c>
      <c r="K292" s="75" t="s">
        <v>777</v>
      </c>
      <c r="L292" s="75"/>
      <c r="M292" s="75"/>
      <c r="N292" s="66" t="s">
        <v>369</v>
      </c>
      <c r="O292" s="32" t="s">
        <v>778</v>
      </c>
      <c r="P292" s="75"/>
    </row>
    <row r="293" ht="27" spans="2:16">
      <c r="B293" s="76" t="s">
        <v>779</v>
      </c>
      <c r="C293" s="20" t="s">
        <v>26</v>
      </c>
      <c r="D293" s="75"/>
      <c r="E293" s="76" t="s">
        <v>780</v>
      </c>
      <c r="F293" s="76" t="s">
        <v>33</v>
      </c>
      <c r="G293" s="75"/>
      <c r="H293" s="75"/>
      <c r="I293" s="75"/>
      <c r="J293" s="75" t="s">
        <v>781</v>
      </c>
      <c r="K293" s="75" t="s">
        <v>782</v>
      </c>
      <c r="L293" s="75"/>
      <c r="M293" s="75"/>
      <c r="N293" s="66" t="s">
        <v>369</v>
      </c>
      <c r="O293" s="32" t="s">
        <v>783</v>
      </c>
      <c r="P293" s="75"/>
    </row>
    <row r="294" ht="27" spans="2:16">
      <c r="B294" s="75" t="s">
        <v>784</v>
      </c>
      <c r="C294" s="20" t="s">
        <v>26</v>
      </c>
      <c r="D294" s="75"/>
      <c r="E294" s="76" t="s">
        <v>780</v>
      </c>
      <c r="F294" s="76" t="s">
        <v>33</v>
      </c>
      <c r="G294" s="76" t="s">
        <v>27</v>
      </c>
      <c r="H294" s="31" t="s">
        <v>242</v>
      </c>
      <c r="I294" s="75" t="s">
        <v>701</v>
      </c>
      <c r="J294" s="75" t="s">
        <v>772</v>
      </c>
      <c r="K294" s="75" t="s">
        <v>785</v>
      </c>
      <c r="L294" s="75"/>
      <c r="M294" s="75"/>
      <c r="N294" s="66" t="s">
        <v>369</v>
      </c>
      <c r="O294" s="76" t="s">
        <v>786</v>
      </c>
      <c r="P294" s="75"/>
    </row>
    <row r="295" ht="27" spans="2:16">
      <c r="B295" s="75" t="s">
        <v>787</v>
      </c>
      <c r="C295" s="20" t="s">
        <v>26</v>
      </c>
      <c r="D295" s="76"/>
      <c r="E295" s="76" t="s">
        <v>788</v>
      </c>
      <c r="F295" s="76" t="s">
        <v>83</v>
      </c>
      <c r="G295" s="75"/>
      <c r="H295" s="75"/>
      <c r="I295" s="75"/>
      <c r="J295" s="75" t="s">
        <v>772</v>
      </c>
      <c r="K295" s="75" t="s">
        <v>789</v>
      </c>
      <c r="L295" s="75"/>
      <c r="M295" s="75"/>
      <c r="N295" s="66" t="s">
        <v>369</v>
      </c>
      <c r="O295" s="32" t="s">
        <v>790</v>
      </c>
      <c r="P295" s="75"/>
    </row>
    <row r="296" ht="27" spans="2:16">
      <c r="B296" s="75" t="s">
        <v>791</v>
      </c>
      <c r="C296" s="20" t="s">
        <v>26</v>
      </c>
      <c r="D296" s="76"/>
      <c r="E296" s="76" t="s">
        <v>788</v>
      </c>
      <c r="F296" s="76" t="s">
        <v>33</v>
      </c>
      <c r="G296" s="75"/>
      <c r="H296" s="75"/>
      <c r="I296" s="75"/>
      <c r="J296" s="75" t="s">
        <v>776</v>
      </c>
      <c r="K296" s="75" t="s">
        <v>792</v>
      </c>
      <c r="L296" s="75"/>
      <c r="M296" s="75"/>
      <c r="N296" s="66" t="s">
        <v>369</v>
      </c>
      <c r="O296" s="32" t="s">
        <v>793</v>
      </c>
      <c r="P296" s="75"/>
    </row>
    <row r="297" ht="27" spans="2:16">
      <c r="B297" s="76" t="s">
        <v>794</v>
      </c>
      <c r="C297" s="20" t="s">
        <v>26</v>
      </c>
      <c r="D297" s="76"/>
      <c r="E297" s="76" t="s">
        <v>795</v>
      </c>
      <c r="F297" s="76" t="s">
        <v>36</v>
      </c>
      <c r="G297" s="75"/>
      <c r="H297" s="75"/>
      <c r="I297" s="75"/>
      <c r="J297" s="75" t="s">
        <v>781</v>
      </c>
      <c r="K297" s="75" t="s">
        <v>796</v>
      </c>
      <c r="L297" s="75"/>
      <c r="M297" s="75"/>
      <c r="N297" s="66" t="s">
        <v>369</v>
      </c>
      <c r="O297" s="32" t="s">
        <v>797</v>
      </c>
      <c r="P297" s="75"/>
    </row>
    <row r="298" ht="27" spans="2:16">
      <c r="B298" s="75" t="s">
        <v>798</v>
      </c>
      <c r="C298" s="20" t="s">
        <v>26</v>
      </c>
      <c r="D298" s="74"/>
      <c r="E298" s="76" t="s">
        <v>795</v>
      </c>
      <c r="F298" s="76" t="s">
        <v>36</v>
      </c>
      <c r="G298" s="76" t="s">
        <v>27</v>
      </c>
      <c r="H298" s="76"/>
      <c r="I298" s="75"/>
      <c r="J298" s="75" t="s">
        <v>772</v>
      </c>
      <c r="K298" s="75" t="s">
        <v>799</v>
      </c>
      <c r="L298" s="75"/>
      <c r="M298" s="75"/>
      <c r="N298" s="66" t="s">
        <v>369</v>
      </c>
      <c r="O298" s="76" t="s">
        <v>793</v>
      </c>
      <c r="P298" s="75"/>
    </row>
    <row r="299" ht="27" spans="2:16">
      <c r="B299" s="75" t="s">
        <v>800</v>
      </c>
      <c r="C299" s="20" t="s">
        <v>26</v>
      </c>
      <c r="D299" s="76"/>
      <c r="E299" s="76" t="s">
        <v>801</v>
      </c>
      <c r="F299" s="76" t="s">
        <v>36</v>
      </c>
      <c r="G299" s="75"/>
      <c r="H299" s="75"/>
      <c r="I299" s="75"/>
      <c r="J299" s="75" t="s">
        <v>781</v>
      </c>
      <c r="K299" s="75" t="s">
        <v>802</v>
      </c>
      <c r="L299" s="75"/>
      <c r="M299" s="75"/>
      <c r="N299" s="66" t="s">
        <v>369</v>
      </c>
      <c r="O299" s="76" t="s">
        <v>803</v>
      </c>
      <c r="P299" s="75"/>
    </row>
    <row r="300" ht="27" spans="2:16">
      <c r="B300" s="75" t="s">
        <v>804</v>
      </c>
      <c r="C300" s="20" t="s">
        <v>26</v>
      </c>
      <c r="D300" s="76"/>
      <c r="E300" s="76" t="s">
        <v>801</v>
      </c>
      <c r="F300" s="76" t="s">
        <v>103</v>
      </c>
      <c r="G300" s="75"/>
      <c r="H300" s="75"/>
      <c r="I300" s="75"/>
      <c r="J300" s="75" t="s">
        <v>781</v>
      </c>
      <c r="K300" s="75" t="s">
        <v>805</v>
      </c>
      <c r="L300" s="75"/>
      <c r="M300" s="75"/>
      <c r="N300" s="66" t="s">
        <v>369</v>
      </c>
      <c r="O300" s="32" t="s">
        <v>806</v>
      </c>
      <c r="P300" s="75"/>
    </row>
    <row r="301" ht="27" spans="2:16">
      <c r="B301" s="75" t="s">
        <v>807</v>
      </c>
      <c r="C301" s="20" t="s">
        <v>26</v>
      </c>
      <c r="D301" s="76"/>
      <c r="E301" s="76" t="s">
        <v>808</v>
      </c>
      <c r="F301" s="76" t="s">
        <v>33</v>
      </c>
      <c r="G301" s="75"/>
      <c r="H301" s="75"/>
      <c r="I301" s="75"/>
      <c r="J301" s="75" t="s">
        <v>781</v>
      </c>
      <c r="K301" s="75" t="s">
        <v>809</v>
      </c>
      <c r="L301" s="75"/>
      <c r="M301" s="75"/>
      <c r="N301" s="66" t="s">
        <v>369</v>
      </c>
      <c r="O301" s="76" t="s">
        <v>810</v>
      </c>
      <c r="P301" s="75"/>
    </row>
    <row r="302" ht="27" spans="2:16">
      <c r="B302" s="76" t="s">
        <v>811</v>
      </c>
      <c r="C302" s="20" t="s">
        <v>26</v>
      </c>
      <c r="D302" s="76"/>
      <c r="E302" s="76" t="s">
        <v>808</v>
      </c>
      <c r="F302" s="76" t="s">
        <v>33</v>
      </c>
      <c r="G302" s="75"/>
      <c r="H302" s="75"/>
      <c r="I302" s="75"/>
      <c r="J302" s="75" t="s">
        <v>772</v>
      </c>
      <c r="K302" s="75" t="s">
        <v>812</v>
      </c>
      <c r="L302" s="75"/>
      <c r="M302" s="75"/>
      <c r="N302" s="66" t="s">
        <v>369</v>
      </c>
      <c r="O302" s="76" t="s">
        <v>813</v>
      </c>
      <c r="P302" s="75"/>
    </row>
    <row r="303" ht="27" spans="2:16">
      <c r="B303" s="76" t="s">
        <v>814</v>
      </c>
      <c r="C303" s="20" t="s">
        <v>26</v>
      </c>
      <c r="D303" s="76"/>
      <c r="E303" s="76" t="s">
        <v>815</v>
      </c>
      <c r="F303" s="76" t="s">
        <v>36</v>
      </c>
      <c r="G303" s="75"/>
      <c r="H303" s="75"/>
      <c r="I303" s="75"/>
      <c r="J303" s="76" t="s">
        <v>776</v>
      </c>
      <c r="K303" s="75" t="s">
        <v>816</v>
      </c>
      <c r="L303" s="75"/>
      <c r="M303" s="75"/>
      <c r="N303" s="66" t="s">
        <v>369</v>
      </c>
      <c r="O303" s="32" t="s">
        <v>817</v>
      </c>
      <c r="P303" s="75"/>
    </row>
    <row r="304" ht="27" spans="2:16">
      <c r="B304" s="76" t="s">
        <v>818</v>
      </c>
      <c r="C304" s="20" t="s">
        <v>26</v>
      </c>
      <c r="D304" s="76"/>
      <c r="E304" s="76" t="s">
        <v>815</v>
      </c>
      <c r="F304" s="76" t="s">
        <v>33</v>
      </c>
      <c r="G304" s="75"/>
      <c r="H304" s="75"/>
      <c r="I304" s="75"/>
      <c r="J304" s="76" t="s">
        <v>781</v>
      </c>
      <c r="K304" s="75" t="s">
        <v>819</v>
      </c>
      <c r="L304" s="75"/>
      <c r="M304" s="75"/>
      <c r="N304" s="66" t="s">
        <v>369</v>
      </c>
      <c r="O304" s="76" t="s">
        <v>820</v>
      </c>
      <c r="P304" s="75"/>
    </row>
    <row r="305" ht="27" spans="2:16">
      <c r="B305" s="76" t="s">
        <v>821</v>
      </c>
      <c r="C305" s="20" t="s">
        <v>26</v>
      </c>
      <c r="D305" s="76"/>
      <c r="E305" s="76" t="s">
        <v>822</v>
      </c>
      <c r="F305" s="76" t="s">
        <v>33</v>
      </c>
      <c r="G305" s="76" t="s">
        <v>27</v>
      </c>
      <c r="H305" s="31" t="s">
        <v>242</v>
      </c>
      <c r="I305" s="75" t="s">
        <v>701</v>
      </c>
      <c r="J305" s="76" t="s">
        <v>772</v>
      </c>
      <c r="K305" s="75" t="s">
        <v>823</v>
      </c>
      <c r="L305" s="75"/>
      <c r="M305" s="75"/>
      <c r="N305" s="66" t="s">
        <v>369</v>
      </c>
      <c r="O305" s="76" t="s">
        <v>824</v>
      </c>
      <c r="P305" s="75"/>
    </row>
    <row r="306" ht="27" spans="2:16">
      <c r="B306" s="76" t="s">
        <v>825</v>
      </c>
      <c r="C306" s="20" t="s">
        <v>26</v>
      </c>
      <c r="D306" s="76"/>
      <c r="E306" s="76" t="s">
        <v>822</v>
      </c>
      <c r="F306" s="76" t="s">
        <v>27</v>
      </c>
      <c r="G306" s="76"/>
      <c r="H306" s="76"/>
      <c r="I306" s="75"/>
      <c r="J306" s="76" t="s">
        <v>772</v>
      </c>
      <c r="K306" s="75" t="s">
        <v>826</v>
      </c>
      <c r="L306" s="75"/>
      <c r="M306" s="75"/>
      <c r="N306" s="66" t="s">
        <v>369</v>
      </c>
      <c r="O306" s="32" t="s">
        <v>827</v>
      </c>
      <c r="P306" s="75"/>
    </row>
    <row r="307" ht="27" spans="2:16">
      <c r="B307" s="75" t="s">
        <v>828</v>
      </c>
      <c r="C307" s="20" t="s">
        <v>26</v>
      </c>
      <c r="D307" s="76"/>
      <c r="E307" s="76" t="s">
        <v>829</v>
      </c>
      <c r="F307" s="76" t="s">
        <v>36</v>
      </c>
      <c r="G307" s="76"/>
      <c r="H307" s="76"/>
      <c r="I307" s="75"/>
      <c r="J307" s="76" t="s">
        <v>781</v>
      </c>
      <c r="K307" s="75" t="s">
        <v>830</v>
      </c>
      <c r="L307" s="75"/>
      <c r="M307" s="75"/>
      <c r="N307" s="66" t="s">
        <v>369</v>
      </c>
      <c r="O307" s="32" t="s">
        <v>831</v>
      </c>
      <c r="P307" s="75"/>
    </row>
    <row r="308" ht="27" spans="2:16">
      <c r="B308" s="76" t="s">
        <v>832</v>
      </c>
      <c r="C308" s="20" t="s">
        <v>26</v>
      </c>
      <c r="D308" s="76"/>
      <c r="E308" s="76" t="s">
        <v>829</v>
      </c>
      <c r="F308" s="76" t="s">
        <v>33</v>
      </c>
      <c r="G308" s="76"/>
      <c r="H308" s="76"/>
      <c r="I308" s="75"/>
      <c r="J308" s="76" t="s">
        <v>772</v>
      </c>
      <c r="K308" s="75" t="s">
        <v>833</v>
      </c>
      <c r="L308" s="75"/>
      <c r="M308" s="75"/>
      <c r="N308" s="66" t="s">
        <v>369</v>
      </c>
      <c r="O308" s="76" t="s">
        <v>824</v>
      </c>
      <c r="P308" s="75"/>
    </row>
    <row r="309" ht="27" spans="2:16">
      <c r="B309" s="75" t="s">
        <v>834</v>
      </c>
      <c r="C309" s="20" t="s">
        <v>26</v>
      </c>
      <c r="D309" s="76"/>
      <c r="E309" s="76" t="s">
        <v>835</v>
      </c>
      <c r="F309" s="76" t="s">
        <v>27</v>
      </c>
      <c r="G309" s="76"/>
      <c r="H309" s="76"/>
      <c r="I309" s="75"/>
      <c r="J309" s="76" t="s">
        <v>781</v>
      </c>
      <c r="K309" s="75" t="s">
        <v>836</v>
      </c>
      <c r="L309" s="75"/>
      <c r="M309" s="75"/>
      <c r="N309" s="66" t="s">
        <v>369</v>
      </c>
      <c r="O309" s="32" t="s">
        <v>837</v>
      </c>
      <c r="P309" s="75"/>
    </row>
    <row r="310" ht="27" spans="2:16">
      <c r="B310" s="75" t="s">
        <v>838</v>
      </c>
      <c r="C310" s="20" t="s">
        <v>26</v>
      </c>
      <c r="D310" s="76"/>
      <c r="E310" s="76" t="s">
        <v>835</v>
      </c>
      <c r="F310" s="76" t="s">
        <v>33</v>
      </c>
      <c r="G310" s="75"/>
      <c r="H310" s="75"/>
      <c r="I310" s="75"/>
      <c r="J310" s="76" t="s">
        <v>781</v>
      </c>
      <c r="K310" s="75" t="s">
        <v>839</v>
      </c>
      <c r="L310" s="75"/>
      <c r="M310" s="75"/>
      <c r="N310" s="66" t="s">
        <v>369</v>
      </c>
      <c r="O310" s="76" t="s">
        <v>840</v>
      </c>
      <c r="P310" s="75"/>
    </row>
    <row r="311" ht="27" spans="2:16">
      <c r="B311" s="76" t="s">
        <v>841</v>
      </c>
      <c r="C311" s="20" t="s">
        <v>26</v>
      </c>
      <c r="D311" s="76"/>
      <c r="E311" s="76" t="s">
        <v>842</v>
      </c>
      <c r="F311" s="76" t="s">
        <v>33</v>
      </c>
      <c r="G311" s="75"/>
      <c r="H311" s="75"/>
      <c r="I311" s="75"/>
      <c r="J311" s="76" t="s">
        <v>776</v>
      </c>
      <c r="K311" s="76" t="s">
        <v>843</v>
      </c>
      <c r="L311" s="75"/>
      <c r="M311" s="75"/>
      <c r="N311" s="66" t="s">
        <v>369</v>
      </c>
      <c r="O311" s="76" t="s">
        <v>844</v>
      </c>
      <c r="P311" s="75"/>
    </row>
    <row r="312" ht="27" spans="2:16">
      <c r="B312" s="76" t="s">
        <v>845</v>
      </c>
      <c r="C312" s="20" t="s">
        <v>26</v>
      </c>
      <c r="D312" s="76"/>
      <c r="E312" s="76" t="s">
        <v>842</v>
      </c>
      <c r="F312" s="76" t="s">
        <v>36</v>
      </c>
      <c r="G312" s="75"/>
      <c r="H312" s="75"/>
      <c r="I312" s="75"/>
      <c r="J312" s="76" t="s">
        <v>776</v>
      </c>
      <c r="K312" s="76" t="s">
        <v>846</v>
      </c>
      <c r="L312" s="75"/>
      <c r="M312" s="75"/>
      <c r="N312" s="66" t="s">
        <v>369</v>
      </c>
      <c r="O312" s="32" t="s">
        <v>847</v>
      </c>
      <c r="P312" s="75"/>
    </row>
    <row r="313" ht="27" spans="2:16">
      <c r="B313" s="76" t="s">
        <v>848</v>
      </c>
      <c r="C313" s="20" t="s">
        <v>26</v>
      </c>
      <c r="D313" s="76"/>
      <c r="E313" s="76" t="s">
        <v>849</v>
      </c>
      <c r="F313" s="76" t="s">
        <v>83</v>
      </c>
      <c r="G313" s="75"/>
      <c r="H313" s="75"/>
      <c r="I313" s="75"/>
      <c r="J313" s="76" t="s">
        <v>781</v>
      </c>
      <c r="K313" s="76" t="s">
        <v>850</v>
      </c>
      <c r="L313" s="75"/>
      <c r="M313" s="75"/>
      <c r="N313" s="66" t="s">
        <v>369</v>
      </c>
      <c r="O313" s="32" t="s">
        <v>851</v>
      </c>
      <c r="P313" s="75"/>
    </row>
    <row r="314" ht="27" spans="2:16">
      <c r="B314" s="76" t="s">
        <v>852</v>
      </c>
      <c r="C314" s="20" t="s">
        <v>26</v>
      </c>
      <c r="D314" s="76"/>
      <c r="E314" s="76" t="s">
        <v>849</v>
      </c>
      <c r="F314" s="76" t="s">
        <v>33</v>
      </c>
      <c r="G314" s="76"/>
      <c r="H314" s="76"/>
      <c r="I314" s="75"/>
      <c r="J314" s="75" t="s">
        <v>772</v>
      </c>
      <c r="K314" s="76" t="s">
        <v>853</v>
      </c>
      <c r="L314" s="75"/>
      <c r="M314" s="75"/>
      <c r="N314" s="66" t="s">
        <v>369</v>
      </c>
      <c r="O314" s="76" t="s">
        <v>854</v>
      </c>
      <c r="P314" s="75"/>
    </row>
    <row r="315" ht="27" spans="2:16">
      <c r="B315" s="76" t="s">
        <v>855</v>
      </c>
      <c r="C315" s="20" t="s">
        <v>26</v>
      </c>
      <c r="D315" s="76"/>
      <c r="E315" s="76" t="s">
        <v>856</v>
      </c>
      <c r="F315" s="76" t="s">
        <v>33</v>
      </c>
      <c r="G315" s="76"/>
      <c r="H315" s="76"/>
      <c r="I315" s="75"/>
      <c r="J315" s="76" t="s">
        <v>781</v>
      </c>
      <c r="K315" s="76" t="s">
        <v>857</v>
      </c>
      <c r="L315" s="75"/>
      <c r="M315" s="75"/>
      <c r="N315" s="66" t="s">
        <v>369</v>
      </c>
      <c r="O315" s="76" t="s">
        <v>858</v>
      </c>
      <c r="P315" s="75"/>
    </row>
    <row r="316" ht="27" spans="2:16">
      <c r="B316" s="76" t="s">
        <v>859</v>
      </c>
      <c r="C316" s="20" t="s">
        <v>26</v>
      </c>
      <c r="D316" s="76"/>
      <c r="E316" s="76" t="s">
        <v>856</v>
      </c>
      <c r="F316" s="76" t="s">
        <v>36</v>
      </c>
      <c r="G316" s="76"/>
      <c r="H316" s="76"/>
      <c r="I316" s="75"/>
      <c r="J316" s="76" t="s">
        <v>781</v>
      </c>
      <c r="K316" s="76" t="s">
        <v>860</v>
      </c>
      <c r="L316" s="75"/>
      <c r="M316" s="75"/>
      <c r="N316" s="66" t="s">
        <v>369</v>
      </c>
      <c r="O316" s="32" t="s">
        <v>861</v>
      </c>
      <c r="P316" s="75"/>
    </row>
    <row r="317" ht="27" spans="2:16">
      <c r="B317" s="76" t="s">
        <v>862</v>
      </c>
      <c r="C317" s="20" t="s">
        <v>26</v>
      </c>
      <c r="D317" s="76"/>
      <c r="E317" s="76" t="s">
        <v>863</v>
      </c>
      <c r="F317" s="76" t="s">
        <v>33</v>
      </c>
      <c r="G317" s="76"/>
      <c r="H317" s="76"/>
      <c r="I317" s="75"/>
      <c r="J317" s="76" t="s">
        <v>781</v>
      </c>
      <c r="K317" s="76" t="s">
        <v>864</v>
      </c>
      <c r="L317" s="75"/>
      <c r="M317" s="75"/>
      <c r="N317" s="66" t="s">
        <v>369</v>
      </c>
      <c r="O317" s="76" t="s">
        <v>865</v>
      </c>
      <c r="P317" s="75"/>
    </row>
    <row r="318" ht="27" spans="2:16">
      <c r="B318" s="76" t="s">
        <v>866</v>
      </c>
      <c r="C318" s="20" t="s">
        <v>26</v>
      </c>
      <c r="D318" s="76"/>
      <c r="E318" s="76" t="s">
        <v>863</v>
      </c>
      <c r="F318" s="76" t="s">
        <v>33</v>
      </c>
      <c r="G318" s="76"/>
      <c r="H318" s="76"/>
      <c r="I318" s="75"/>
      <c r="J318" s="76" t="s">
        <v>781</v>
      </c>
      <c r="K318" s="76" t="s">
        <v>867</v>
      </c>
      <c r="L318" s="75"/>
      <c r="M318" s="75"/>
      <c r="N318" s="66" t="s">
        <v>369</v>
      </c>
      <c r="O318" s="76" t="s">
        <v>868</v>
      </c>
      <c r="P318" s="75"/>
    </row>
    <row r="319" ht="27" spans="2:16">
      <c r="B319" s="76" t="s">
        <v>869</v>
      </c>
      <c r="C319" s="20" t="s">
        <v>26</v>
      </c>
      <c r="D319" s="76"/>
      <c r="E319" s="76" t="s">
        <v>251</v>
      </c>
      <c r="F319" s="76" t="s">
        <v>33</v>
      </c>
      <c r="G319" s="76"/>
      <c r="H319" s="76"/>
      <c r="I319" s="75"/>
      <c r="J319" s="75" t="s">
        <v>772</v>
      </c>
      <c r="K319" s="76" t="s">
        <v>870</v>
      </c>
      <c r="L319" s="75"/>
      <c r="M319" s="75"/>
      <c r="N319" s="66" t="s">
        <v>369</v>
      </c>
      <c r="O319" s="76" t="s">
        <v>254</v>
      </c>
      <c r="P319" s="75"/>
    </row>
    <row r="320" ht="27" spans="2:16">
      <c r="B320" s="76" t="s">
        <v>871</v>
      </c>
      <c r="C320" s="20" t="s">
        <v>26</v>
      </c>
      <c r="D320" s="75"/>
      <c r="E320" s="76" t="s">
        <v>251</v>
      </c>
      <c r="F320" s="76" t="s">
        <v>33</v>
      </c>
      <c r="G320" s="76" t="s">
        <v>27</v>
      </c>
      <c r="H320" s="75" t="s">
        <v>367</v>
      </c>
      <c r="I320" s="75"/>
      <c r="J320" s="75" t="s">
        <v>772</v>
      </c>
      <c r="K320" s="76" t="s">
        <v>872</v>
      </c>
      <c r="L320" s="75"/>
      <c r="M320" s="75"/>
      <c r="N320" s="66" t="s">
        <v>369</v>
      </c>
      <c r="O320" s="76" t="s">
        <v>873</v>
      </c>
      <c r="P320" s="75"/>
    </row>
    <row r="321" spans="2:15">
      <c r="B321" s="32" t="s">
        <v>874</v>
      </c>
      <c r="C321" s="20" t="s">
        <v>26</v>
      </c>
      <c r="D321" s="32"/>
      <c r="E321" s="32" t="s">
        <v>27</v>
      </c>
      <c r="F321" s="32"/>
      <c r="G321" s="32" t="s">
        <v>33</v>
      </c>
      <c r="H321" s="52" t="s">
        <v>875</v>
      </c>
      <c r="J321" s="32" t="s">
        <v>876</v>
      </c>
      <c r="N321" s="32" t="s">
        <v>877</v>
      </c>
    </row>
    <row r="322" ht="27" spans="2:15">
      <c r="B322" s="32" t="s">
        <v>878</v>
      </c>
      <c r="C322" s="20" t="s">
        <v>26</v>
      </c>
      <c r="E322" s="32" t="s">
        <v>879</v>
      </c>
      <c r="F322" s="32" t="s">
        <v>103</v>
      </c>
      <c r="J322" s="32" t="s">
        <v>880</v>
      </c>
      <c r="K322" s="32" t="s">
        <v>881</v>
      </c>
      <c r="N322" s="66" t="s">
        <v>369</v>
      </c>
      <c r="O322" s="32" t="s">
        <v>882</v>
      </c>
    </row>
    <row r="323" ht="27" spans="2:15">
      <c r="B323" s="32" t="s">
        <v>883</v>
      </c>
      <c r="C323" s="20" t="s">
        <v>26</v>
      </c>
      <c r="E323" s="32" t="s">
        <v>879</v>
      </c>
      <c r="F323" s="32" t="s">
        <v>33</v>
      </c>
      <c r="J323" s="32" t="s">
        <v>880</v>
      </c>
      <c r="K323" s="32" t="s">
        <v>884</v>
      </c>
      <c r="N323" s="60" t="s">
        <v>271</v>
      </c>
      <c r="O323" s="76" t="s">
        <v>885</v>
      </c>
    </row>
    <row r="324" ht="27" spans="2:15">
      <c r="B324" s="32" t="s">
        <v>886</v>
      </c>
      <c r="C324" s="20" t="s">
        <v>26</v>
      </c>
      <c r="E324" s="32" t="s">
        <v>879</v>
      </c>
      <c r="F324" s="32" t="s">
        <v>27</v>
      </c>
      <c r="J324" s="32" t="s">
        <v>880</v>
      </c>
      <c r="K324" s="32" t="s">
        <v>884</v>
      </c>
      <c r="N324" s="60" t="s">
        <v>271</v>
      </c>
      <c r="O324" s="32" t="s">
        <v>887</v>
      </c>
    </row>
    <row r="325" ht="27" spans="2:15">
      <c r="B325" s="32" t="s">
        <v>888</v>
      </c>
      <c r="C325" s="20" t="s">
        <v>26</v>
      </c>
      <c r="E325" s="32" t="s">
        <v>879</v>
      </c>
      <c r="F325" s="32" t="s">
        <v>27</v>
      </c>
      <c r="J325" s="32" t="s">
        <v>880</v>
      </c>
      <c r="K325" s="32" t="s">
        <v>889</v>
      </c>
      <c r="N325" s="60" t="s">
        <v>271</v>
      </c>
      <c r="O325" s="32" t="s">
        <v>887</v>
      </c>
    </row>
    <row r="326" ht="27" spans="2:15">
      <c r="B326" s="32" t="s">
        <v>890</v>
      </c>
      <c r="C326" s="20" t="s">
        <v>26</v>
      </c>
      <c r="E326" s="32" t="s">
        <v>879</v>
      </c>
      <c r="F326" s="32" t="s">
        <v>33</v>
      </c>
      <c r="J326" s="32" t="s">
        <v>880</v>
      </c>
      <c r="K326" s="32" t="s">
        <v>889</v>
      </c>
      <c r="N326" s="60" t="s">
        <v>271</v>
      </c>
      <c r="O326" s="76" t="s">
        <v>885</v>
      </c>
    </row>
    <row r="327" ht="27" spans="2:15">
      <c r="B327" s="32" t="s">
        <v>891</v>
      </c>
      <c r="C327" s="20" t="s">
        <v>26</v>
      </c>
      <c r="E327" s="32" t="s">
        <v>879</v>
      </c>
      <c r="F327" s="32" t="s">
        <v>33</v>
      </c>
      <c r="J327" s="32" t="s">
        <v>880</v>
      </c>
      <c r="K327" s="32" t="s">
        <v>889</v>
      </c>
      <c r="N327" s="60" t="s">
        <v>271</v>
      </c>
      <c r="O327" s="76" t="s">
        <v>885</v>
      </c>
    </row>
    <row r="328" ht="27" spans="2:15">
      <c r="B328" s="32" t="s">
        <v>892</v>
      </c>
      <c r="C328" s="20" t="s">
        <v>26</v>
      </c>
      <c r="D328" s="32"/>
      <c r="E328" s="32" t="s">
        <v>893</v>
      </c>
      <c r="F328" s="32" t="s">
        <v>103</v>
      </c>
      <c r="J328" s="32" t="s">
        <v>880</v>
      </c>
      <c r="K328" s="32" t="s">
        <v>894</v>
      </c>
      <c r="N328" s="66" t="s">
        <v>369</v>
      </c>
      <c r="O328" s="32" t="s">
        <v>895</v>
      </c>
    </row>
    <row r="329" ht="27" spans="2:15">
      <c r="B329" s="32" t="s">
        <v>896</v>
      </c>
      <c r="C329" s="20" t="s">
        <v>26</v>
      </c>
      <c r="E329" s="32" t="s">
        <v>893</v>
      </c>
      <c r="F329" s="32" t="s">
        <v>39</v>
      </c>
      <c r="J329" s="32" t="s">
        <v>880</v>
      </c>
      <c r="K329" s="32" t="s">
        <v>897</v>
      </c>
      <c r="N329" s="60" t="s">
        <v>271</v>
      </c>
      <c r="O329" s="32" t="s">
        <v>898</v>
      </c>
    </row>
    <row r="330" ht="27" spans="2:15">
      <c r="B330" s="32" t="s">
        <v>899</v>
      </c>
      <c r="C330" s="20" t="s">
        <v>26</v>
      </c>
      <c r="E330" s="32" t="s">
        <v>893</v>
      </c>
      <c r="F330" s="32" t="s">
        <v>27</v>
      </c>
      <c r="J330" s="32" t="s">
        <v>880</v>
      </c>
      <c r="K330" s="32" t="s">
        <v>900</v>
      </c>
      <c r="N330" s="60" t="s">
        <v>271</v>
      </c>
      <c r="O330" s="32" t="s">
        <v>901</v>
      </c>
    </row>
    <row r="331" ht="27" spans="2:15">
      <c r="B331" s="32" t="s">
        <v>902</v>
      </c>
      <c r="C331" s="20" t="s">
        <v>26</v>
      </c>
      <c r="E331" s="32" t="s">
        <v>893</v>
      </c>
      <c r="F331" s="32" t="s">
        <v>83</v>
      </c>
      <c r="J331" s="32" t="s">
        <v>880</v>
      </c>
      <c r="K331" s="32" t="s">
        <v>900</v>
      </c>
      <c r="N331" s="60" t="s">
        <v>271</v>
      </c>
      <c r="O331" s="32" t="s">
        <v>903</v>
      </c>
    </row>
    <row r="332" ht="27" spans="2:15">
      <c r="B332" s="32" t="s">
        <v>904</v>
      </c>
      <c r="C332" s="20" t="s">
        <v>26</v>
      </c>
      <c r="E332" s="32" t="s">
        <v>893</v>
      </c>
      <c r="F332" s="32" t="s">
        <v>27</v>
      </c>
      <c r="J332" s="32" t="s">
        <v>880</v>
      </c>
      <c r="K332" s="32" t="s">
        <v>905</v>
      </c>
      <c r="N332" s="60" t="s">
        <v>271</v>
      </c>
      <c r="O332" s="32" t="s">
        <v>718</v>
      </c>
    </row>
    <row r="333" ht="27" spans="2:15">
      <c r="B333" s="32" t="s">
        <v>906</v>
      </c>
      <c r="C333" s="20" t="s">
        <v>26</v>
      </c>
      <c r="E333" s="32" t="s">
        <v>907</v>
      </c>
      <c r="F333" s="32" t="s">
        <v>83</v>
      </c>
      <c r="J333" s="32" t="s">
        <v>880</v>
      </c>
      <c r="K333" s="32" t="s">
        <v>905</v>
      </c>
      <c r="N333" s="60" t="s">
        <v>271</v>
      </c>
      <c r="O333" s="32" t="s">
        <v>908</v>
      </c>
    </row>
    <row r="334" ht="27" spans="2:15">
      <c r="B334" s="32" t="s">
        <v>909</v>
      </c>
      <c r="C334" s="20" t="s">
        <v>26</v>
      </c>
      <c r="E334" s="32" t="s">
        <v>907</v>
      </c>
      <c r="F334" s="32" t="s">
        <v>33</v>
      </c>
      <c r="J334" s="32" t="s">
        <v>880</v>
      </c>
      <c r="K334" s="32" t="s">
        <v>905</v>
      </c>
      <c r="N334" s="60" t="s">
        <v>271</v>
      </c>
      <c r="O334" s="76" t="s">
        <v>910</v>
      </c>
    </row>
    <row r="335" ht="27" spans="2:15">
      <c r="B335" s="32" t="s">
        <v>911</v>
      </c>
      <c r="C335" s="20" t="s">
        <v>26</v>
      </c>
      <c r="D335" s="32"/>
      <c r="E335" s="32" t="s">
        <v>907</v>
      </c>
      <c r="F335" s="32" t="s">
        <v>103</v>
      </c>
      <c r="J335" s="32" t="s">
        <v>880</v>
      </c>
      <c r="K335" s="32" t="s">
        <v>912</v>
      </c>
      <c r="N335" s="66" t="s">
        <v>369</v>
      </c>
      <c r="O335" s="32" t="s">
        <v>913</v>
      </c>
    </row>
    <row r="336" ht="27" spans="2:15">
      <c r="B336" s="32" t="s">
        <v>914</v>
      </c>
      <c r="C336" s="20" t="s">
        <v>26</v>
      </c>
      <c r="E336" s="32" t="s">
        <v>907</v>
      </c>
      <c r="F336" s="32" t="s">
        <v>27</v>
      </c>
      <c r="J336" s="32" t="s">
        <v>880</v>
      </c>
      <c r="K336" s="32" t="s">
        <v>915</v>
      </c>
      <c r="N336" s="60" t="s">
        <v>271</v>
      </c>
      <c r="O336" s="32" t="s">
        <v>718</v>
      </c>
    </row>
    <row r="337" ht="27" spans="2:15">
      <c r="B337" s="32" t="s">
        <v>916</v>
      </c>
      <c r="C337" s="20" t="s">
        <v>26</v>
      </c>
      <c r="E337" s="32" t="s">
        <v>907</v>
      </c>
      <c r="F337" s="32" t="s">
        <v>33</v>
      </c>
      <c r="J337" s="32" t="s">
        <v>880</v>
      </c>
      <c r="K337" s="32" t="s">
        <v>917</v>
      </c>
      <c r="N337" s="60" t="s">
        <v>271</v>
      </c>
      <c r="O337" s="76" t="s">
        <v>918</v>
      </c>
    </row>
    <row r="338" ht="27" spans="2:15">
      <c r="B338" s="32" t="s">
        <v>919</v>
      </c>
      <c r="C338" s="20" t="s">
        <v>26</v>
      </c>
      <c r="E338" s="32" t="s">
        <v>920</v>
      </c>
      <c r="F338" s="32" t="s">
        <v>36</v>
      </c>
      <c r="J338" s="32" t="s">
        <v>880</v>
      </c>
      <c r="K338" s="32" t="s">
        <v>917</v>
      </c>
      <c r="N338" s="60" t="s">
        <v>271</v>
      </c>
      <c r="O338" s="32" t="s">
        <v>921</v>
      </c>
    </row>
    <row r="339" ht="27" spans="2:15">
      <c r="B339" s="32" t="s">
        <v>922</v>
      </c>
      <c r="C339" s="20" t="s">
        <v>26</v>
      </c>
      <c r="E339" s="32" t="s">
        <v>920</v>
      </c>
      <c r="F339" s="32" t="s">
        <v>33</v>
      </c>
      <c r="J339" s="32" t="s">
        <v>880</v>
      </c>
      <c r="K339" s="32" t="s">
        <v>923</v>
      </c>
      <c r="N339" s="60" t="s">
        <v>271</v>
      </c>
      <c r="O339" s="76" t="s">
        <v>918</v>
      </c>
    </row>
    <row r="340" ht="27" spans="2:15">
      <c r="B340" s="32" t="s">
        <v>924</v>
      </c>
      <c r="C340" s="20" t="s">
        <v>26</v>
      </c>
      <c r="E340" s="32" t="s">
        <v>920</v>
      </c>
      <c r="F340" s="32" t="s">
        <v>27</v>
      </c>
      <c r="J340" s="32" t="s">
        <v>880</v>
      </c>
      <c r="K340" s="32" t="s">
        <v>923</v>
      </c>
      <c r="N340" s="60" t="s">
        <v>271</v>
      </c>
      <c r="O340" s="32" t="s">
        <v>726</v>
      </c>
    </row>
    <row r="341" ht="27" spans="2:15">
      <c r="B341" s="32" t="s">
        <v>925</v>
      </c>
      <c r="C341" s="20" t="s">
        <v>26</v>
      </c>
      <c r="E341" s="32" t="s">
        <v>920</v>
      </c>
      <c r="F341" s="32" t="s">
        <v>83</v>
      </c>
      <c r="J341" s="32" t="s">
        <v>880</v>
      </c>
      <c r="K341" s="32" t="s">
        <v>923</v>
      </c>
      <c r="N341" s="60" t="s">
        <v>271</v>
      </c>
      <c r="O341" s="32" t="s">
        <v>728</v>
      </c>
    </row>
    <row r="342" ht="27" spans="2:15">
      <c r="B342" s="32" t="s">
        <v>926</v>
      </c>
      <c r="C342" s="20" t="s">
        <v>26</v>
      </c>
      <c r="D342" s="32"/>
      <c r="E342" s="32" t="s">
        <v>920</v>
      </c>
      <c r="F342" s="32" t="s">
        <v>103</v>
      </c>
      <c r="J342" s="32" t="s">
        <v>880</v>
      </c>
      <c r="K342" s="32" t="s">
        <v>927</v>
      </c>
      <c r="N342" s="66" t="s">
        <v>369</v>
      </c>
      <c r="O342" s="32" t="s">
        <v>928</v>
      </c>
    </row>
    <row r="343" ht="27" spans="2:15">
      <c r="B343" s="32" t="s">
        <v>929</v>
      </c>
      <c r="C343" s="20" t="s">
        <v>26</v>
      </c>
      <c r="E343" s="32" t="s">
        <v>930</v>
      </c>
      <c r="F343" s="32" t="s">
        <v>27</v>
      </c>
      <c r="J343" s="32" t="s">
        <v>880</v>
      </c>
      <c r="K343" s="32" t="s">
        <v>931</v>
      </c>
      <c r="N343" s="60" t="s">
        <v>271</v>
      </c>
      <c r="O343" s="32" t="s">
        <v>726</v>
      </c>
    </row>
    <row r="344" ht="27" spans="2:15">
      <c r="B344" s="32" t="s">
        <v>932</v>
      </c>
      <c r="C344" s="20" t="s">
        <v>26</v>
      </c>
      <c r="E344" s="32" t="s">
        <v>930</v>
      </c>
      <c r="F344" s="32" t="s">
        <v>33</v>
      </c>
      <c r="J344" s="32" t="s">
        <v>880</v>
      </c>
      <c r="K344" s="32" t="s">
        <v>933</v>
      </c>
      <c r="N344" s="60" t="s">
        <v>271</v>
      </c>
      <c r="O344" s="76" t="s">
        <v>736</v>
      </c>
    </row>
    <row r="345" ht="27" spans="2:15">
      <c r="B345" s="32" t="s">
        <v>934</v>
      </c>
      <c r="C345" s="20" t="s">
        <v>26</v>
      </c>
      <c r="E345" s="32" t="s">
        <v>930</v>
      </c>
      <c r="F345" s="32" t="s">
        <v>36</v>
      </c>
      <c r="J345" s="32" t="s">
        <v>880</v>
      </c>
      <c r="K345" s="32" t="s">
        <v>933</v>
      </c>
      <c r="N345" s="60" t="s">
        <v>271</v>
      </c>
      <c r="O345" s="32" t="s">
        <v>724</v>
      </c>
    </row>
    <row r="346" ht="27" spans="2:15">
      <c r="B346" s="32" t="s">
        <v>935</v>
      </c>
      <c r="C346" s="20" t="s">
        <v>26</v>
      </c>
      <c r="E346" s="32" t="s">
        <v>930</v>
      </c>
      <c r="F346" s="32" t="s">
        <v>36</v>
      </c>
      <c r="J346" s="32" t="s">
        <v>880</v>
      </c>
      <c r="K346" s="32" t="s">
        <v>936</v>
      </c>
      <c r="N346" s="60" t="s">
        <v>271</v>
      </c>
      <c r="O346" s="32" t="s">
        <v>724</v>
      </c>
    </row>
    <row r="347" ht="27" spans="2:15">
      <c r="B347" s="32" t="s">
        <v>937</v>
      </c>
      <c r="C347" s="20" t="s">
        <v>26</v>
      </c>
      <c r="E347" s="32" t="s">
        <v>930</v>
      </c>
      <c r="F347" s="32" t="s">
        <v>27</v>
      </c>
      <c r="J347" s="32" t="s">
        <v>880</v>
      </c>
      <c r="K347" s="32" t="s">
        <v>936</v>
      </c>
      <c r="N347" s="60" t="s">
        <v>271</v>
      </c>
      <c r="O347" s="32" t="s">
        <v>726</v>
      </c>
    </row>
    <row r="348" ht="27" spans="2:15">
      <c r="B348" s="32" t="s">
        <v>938</v>
      </c>
      <c r="C348" s="20" t="s">
        <v>26</v>
      </c>
      <c r="E348" s="32" t="s">
        <v>939</v>
      </c>
      <c r="F348" s="32" t="s">
        <v>83</v>
      </c>
      <c r="J348" s="32" t="s">
        <v>880</v>
      </c>
      <c r="K348" s="32" t="s">
        <v>936</v>
      </c>
      <c r="N348" s="60" t="s">
        <v>271</v>
      </c>
      <c r="O348" s="32" t="s">
        <v>728</v>
      </c>
    </row>
    <row r="349" ht="27" spans="2:15">
      <c r="B349" s="32" t="s">
        <v>940</v>
      </c>
      <c r="C349" s="20" t="s">
        <v>26</v>
      </c>
      <c r="D349" s="32"/>
      <c r="E349" s="32" t="s">
        <v>939</v>
      </c>
      <c r="F349" s="32" t="s">
        <v>103</v>
      </c>
      <c r="J349" s="32" t="s">
        <v>880</v>
      </c>
      <c r="K349" s="32" t="s">
        <v>941</v>
      </c>
      <c r="N349" s="66" t="s">
        <v>369</v>
      </c>
      <c r="O349" s="32" t="s">
        <v>942</v>
      </c>
    </row>
    <row r="350" ht="27" spans="2:15">
      <c r="B350" s="32" t="s">
        <v>943</v>
      </c>
      <c r="C350" s="20" t="s">
        <v>26</v>
      </c>
      <c r="E350" s="32" t="s">
        <v>939</v>
      </c>
      <c r="F350" s="32" t="s">
        <v>39</v>
      </c>
      <c r="J350" s="32" t="s">
        <v>880</v>
      </c>
      <c r="K350" s="32" t="s">
        <v>944</v>
      </c>
      <c r="N350" s="60" t="s">
        <v>271</v>
      </c>
      <c r="O350" s="32" t="s">
        <v>945</v>
      </c>
    </row>
    <row r="351" ht="27" spans="2:15">
      <c r="B351" s="32" t="s">
        <v>946</v>
      </c>
      <c r="C351" s="20" t="s">
        <v>26</v>
      </c>
      <c r="E351" s="32" t="s">
        <v>939</v>
      </c>
      <c r="F351" s="32" t="s">
        <v>27</v>
      </c>
      <c r="J351" s="32" t="s">
        <v>880</v>
      </c>
      <c r="K351" s="32" t="s">
        <v>947</v>
      </c>
      <c r="N351" s="60" t="s">
        <v>271</v>
      </c>
      <c r="O351" s="32" t="s">
        <v>726</v>
      </c>
    </row>
    <row r="352" ht="27" spans="2:15">
      <c r="B352" s="32" t="s">
        <v>948</v>
      </c>
      <c r="C352" s="20" t="s">
        <v>26</v>
      </c>
      <c r="E352" s="32" t="s">
        <v>939</v>
      </c>
      <c r="F352" s="32" t="s">
        <v>33</v>
      </c>
      <c r="J352" s="32" t="s">
        <v>880</v>
      </c>
      <c r="K352" s="32" t="s">
        <v>947</v>
      </c>
      <c r="N352" s="60" t="s">
        <v>271</v>
      </c>
      <c r="O352" s="76" t="s">
        <v>736</v>
      </c>
    </row>
    <row r="353" ht="27" spans="2:15">
      <c r="B353" s="32" t="s">
        <v>949</v>
      </c>
      <c r="C353" s="20" t="s">
        <v>26</v>
      </c>
      <c r="E353" s="32" t="s">
        <v>950</v>
      </c>
      <c r="F353" s="32" t="s">
        <v>83</v>
      </c>
      <c r="J353" s="32" t="s">
        <v>880</v>
      </c>
      <c r="K353" s="32" t="s">
        <v>951</v>
      </c>
      <c r="N353" s="60" t="s">
        <v>271</v>
      </c>
      <c r="O353" s="32" t="s">
        <v>728</v>
      </c>
    </row>
    <row r="354" ht="27" spans="2:15">
      <c r="B354" s="32" t="s">
        <v>952</v>
      </c>
      <c r="C354" s="20" t="s">
        <v>26</v>
      </c>
      <c r="E354" s="32" t="s">
        <v>950</v>
      </c>
      <c r="F354" s="32" t="s">
        <v>36</v>
      </c>
      <c r="J354" s="32" t="s">
        <v>880</v>
      </c>
      <c r="K354" s="32" t="s">
        <v>951</v>
      </c>
      <c r="N354" s="60" t="s">
        <v>271</v>
      </c>
      <c r="O354" s="32" t="s">
        <v>724</v>
      </c>
    </row>
    <row r="355" ht="27" spans="2:15">
      <c r="B355" s="32" t="s">
        <v>953</v>
      </c>
      <c r="C355" s="20" t="s">
        <v>26</v>
      </c>
      <c r="E355" s="32" t="s">
        <v>950</v>
      </c>
      <c r="F355" s="32" t="s">
        <v>83</v>
      </c>
      <c r="J355" s="32" t="s">
        <v>880</v>
      </c>
      <c r="K355" s="32" t="s">
        <v>951</v>
      </c>
      <c r="N355" s="60" t="s">
        <v>271</v>
      </c>
      <c r="O355" s="32" t="s">
        <v>728</v>
      </c>
    </row>
    <row r="356" ht="27" spans="2:15">
      <c r="B356" s="32" t="s">
        <v>954</v>
      </c>
      <c r="C356" s="20" t="s">
        <v>26</v>
      </c>
      <c r="D356" s="32"/>
      <c r="E356" s="32" t="s">
        <v>950</v>
      </c>
      <c r="F356" s="32" t="s">
        <v>103</v>
      </c>
      <c r="J356" s="32" t="s">
        <v>880</v>
      </c>
      <c r="K356" s="32" t="s">
        <v>955</v>
      </c>
      <c r="N356" s="66" t="s">
        <v>369</v>
      </c>
      <c r="O356" s="32" t="s">
        <v>956</v>
      </c>
    </row>
    <row r="357" ht="27" spans="2:15">
      <c r="B357" s="32" t="s">
        <v>957</v>
      </c>
      <c r="C357" s="20" t="s">
        <v>26</v>
      </c>
      <c r="E357" s="32" t="s">
        <v>950</v>
      </c>
      <c r="F357" s="32" t="s">
        <v>33</v>
      </c>
      <c r="J357" s="32" t="s">
        <v>880</v>
      </c>
      <c r="K357" s="32" t="s">
        <v>958</v>
      </c>
      <c r="N357" s="60" t="s">
        <v>271</v>
      </c>
      <c r="O357" s="76" t="s">
        <v>736</v>
      </c>
    </row>
    <row r="358" ht="27" spans="2:15">
      <c r="B358" s="32" t="s">
        <v>959</v>
      </c>
      <c r="C358" s="20" t="s">
        <v>26</v>
      </c>
      <c r="E358" s="32" t="s">
        <v>960</v>
      </c>
      <c r="F358" s="32" t="s">
        <v>27</v>
      </c>
      <c r="J358" s="32" t="s">
        <v>880</v>
      </c>
      <c r="K358" s="32" t="s">
        <v>961</v>
      </c>
      <c r="N358" s="60" t="s">
        <v>271</v>
      </c>
      <c r="O358" s="32" t="s">
        <v>726</v>
      </c>
    </row>
    <row r="359" ht="27" spans="2:15">
      <c r="B359" s="32" t="s">
        <v>962</v>
      </c>
      <c r="C359" s="20" t="s">
        <v>26</v>
      </c>
      <c r="E359" s="32" t="s">
        <v>960</v>
      </c>
      <c r="F359" s="32" t="s">
        <v>36</v>
      </c>
      <c r="J359" s="32" t="s">
        <v>880</v>
      </c>
      <c r="K359" s="32" t="s">
        <v>961</v>
      </c>
      <c r="N359" s="60" t="s">
        <v>271</v>
      </c>
      <c r="O359" s="32" t="s">
        <v>724</v>
      </c>
    </row>
    <row r="360" ht="27" spans="2:15">
      <c r="B360" s="32" t="s">
        <v>963</v>
      </c>
      <c r="C360" s="20" t="s">
        <v>26</v>
      </c>
      <c r="D360" s="32"/>
      <c r="E360" s="32" t="s">
        <v>960</v>
      </c>
      <c r="F360" s="32" t="s">
        <v>103</v>
      </c>
      <c r="J360" s="32" t="s">
        <v>880</v>
      </c>
      <c r="K360" s="32" t="s">
        <v>964</v>
      </c>
      <c r="N360" s="66" t="s">
        <v>369</v>
      </c>
      <c r="O360" s="32" t="s">
        <v>956</v>
      </c>
    </row>
    <row r="361" ht="27" spans="2:15">
      <c r="B361" s="32" t="s">
        <v>965</v>
      </c>
      <c r="C361" s="20" t="s">
        <v>26</v>
      </c>
      <c r="E361" s="32" t="s">
        <v>960</v>
      </c>
      <c r="F361" s="32" t="s">
        <v>83</v>
      </c>
      <c r="J361" s="32" t="s">
        <v>880</v>
      </c>
      <c r="K361" s="32" t="s">
        <v>966</v>
      </c>
      <c r="N361" s="60" t="s">
        <v>271</v>
      </c>
      <c r="O361" s="32" t="s">
        <v>728</v>
      </c>
    </row>
    <row r="362" ht="27" spans="2:15">
      <c r="B362" s="32" t="s">
        <v>967</v>
      </c>
      <c r="C362" s="20" t="s">
        <v>26</v>
      </c>
      <c r="E362" s="32" t="s">
        <v>960</v>
      </c>
      <c r="F362" s="32" t="s">
        <v>83</v>
      </c>
      <c r="J362" s="32" t="s">
        <v>880</v>
      </c>
      <c r="K362" s="32" t="s">
        <v>968</v>
      </c>
      <c r="N362" s="60" t="s">
        <v>271</v>
      </c>
      <c r="O362" s="32" t="s">
        <v>728</v>
      </c>
    </row>
    <row r="363" ht="27" spans="2:15">
      <c r="B363" s="32" t="s">
        <v>969</v>
      </c>
      <c r="C363" s="20" t="s">
        <v>26</v>
      </c>
      <c r="E363" s="32" t="s">
        <v>970</v>
      </c>
      <c r="F363" s="32" t="s">
        <v>83</v>
      </c>
      <c r="J363" s="32" t="s">
        <v>880</v>
      </c>
      <c r="K363" s="32" t="s">
        <v>968</v>
      </c>
      <c r="N363" s="60" t="s">
        <v>271</v>
      </c>
      <c r="O363" s="32" t="s">
        <v>728</v>
      </c>
    </row>
    <row r="364" ht="27" spans="2:15">
      <c r="B364" s="32" t="s">
        <v>971</v>
      </c>
      <c r="C364" s="20" t="s">
        <v>26</v>
      </c>
      <c r="E364" s="32" t="s">
        <v>970</v>
      </c>
      <c r="F364" s="32" t="s">
        <v>36</v>
      </c>
      <c r="J364" s="32" t="s">
        <v>880</v>
      </c>
      <c r="K364" s="32" t="s">
        <v>972</v>
      </c>
      <c r="N364" s="60" t="s">
        <v>271</v>
      </c>
      <c r="O364" s="32" t="s">
        <v>724</v>
      </c>
    </row>
    <row r="365" ht="27" spans="2:15">
      <c r="B365" s="32" t="s">
        <v>973</v>
      </c>
      <c r="C365" s="20" t="s">
        <v>26</v>
      </c>
      <c r="E365" s="32" t="s">
        <v>970</v>
      </c>
      <c r="F365" s="32" t="s">
        <v>27</v>
      </c>
      <c r="J365" s="32" t="s">
        <v>880</v>
      </c>
      <c r="K365" s="32" t="s">
        <v>972</v>
      </c>
      <c r="N365" s="60" t="s">
        <v>271</v>
      </c>
      <c r="O365" s="32" t="s">
        <v>726</v>
      </c>
    </row>
    <row r="366" ht="27" spans="2:15">
      <c r="B366" s="32" t="s">
        <v>974</v>
      </c>
      <c r="C366" s="20" t="s">
        <v>26</v>
      </c>
      <c r="E366" s="32" t="s">
        <v>970</v>
      </c>
      <c r="F366" s="32" t="s">
        <v>83</v>
      </c>
      <c r="J366" s="32" t="s">
        <v>880</v>
      </c>
      <c r="K366" s="32" t="s">
        <v>972</v>
      </c>
      <c r="N366" s="60" t="s">
        <v>271</v>
      </c>
      <c r="O366" s="32" t="s">
        <v>728</v>
      </c>
    </row>
    <row r="367" ht="27" spans="2:15">
      <c r="B367" s="32" t="s">
        <v>975</v>
      </c>
      <c r="C367" s="20" t="s">
        <v>26</v>
      </c>
      <c r="D367" s="32"/>
      <c r="E367" s="32" t="s">
        <v>970</v>
      </c>
      <c r="F367" s="32" t="s">
        <v>103</v>
      </c>
      <c r="J367" s="32" t="s">
        <v>880</v>
      </c>
      <c r="K367" s="32" t="s">
        <v>976</v>
      </c>
      <c r="N367" s="66" t="s">
        <v>369</v>
      </c>
      <c r="O367" s="32" t="s">
        <v>977</v>
      </c>
    </row>
    <row r="368" ht="27" spans="2:15">
      <c r="B368" s="32" t="s">
        <v>978</v>
      </c>
      <c r="C368" s="20" t="s">
        <v>26</v>
      </c>
      <c r="E368" s="32" t="s">
        <v>970</v>
      </c>
      <c r="F368" s="32" t="s">
        <v>33</v>
      </c>
      <c r="J368" s="32" t="s">
        <v>880</v>
      </c>
      <c r="K368" s="32" t="s">
        <v>979</v>
      </c>
      <c r="N368" s="60" t="s">
        <v>271</v>
      </c>
      <c r="O368" s="76" t="s">
        <v>736</v>
      </c>
    </row>
    <row r="369" ht="27" spans="2:15">
      <c r="B369" s="32" t="s">
        <v>980</v>
      </c>
      <c r="C369" s="20" t="s">
        <v>26</v>
      </c>
      <c r="E369" s="32" t="s">
        <v>981</v>
      </c>
      <c r="F369" s="32" t="s">
        <v>36</v>
      </c>
      <c r="J369" s="32" t="s">
        <v>880</v>
      </c>
      <c r="K369" s="32" t="s">
        <v>982</v>
      </c>
      <c r="N369" s="60" t="s">
        <v>271</v>
      </c>
      <c r="O369" s="32" t="s">
        <v>724</v>
      </c>
    </row>
    <row r="370" ht="27" spans="2:15">
      <c r="B370" s="32" t="s">
        <v>983</v>
      </c>
      <c r="C370" s="20" t="s">
        <v>26</v>
      </c>
      <c r="E370" s="32" t="s">
        <v>981</v>
      </c>
      <c r="F370" s="32" t="s">
        <v>27</v>
      </c>
      <c r="J370" s="32" t="s">
        <v>880</v>
      </c>
      <c r="K370" s="32" t="s">
        <v>982</v>
      </c>
      <c r="N370" s="60" t="s">
        <v>271</v>
      </c>
      <c r="O370" s="32" t="s">
        <v>726</v>
      </c>
    </row>
    <row r="371" ht="27" spans="2:15">
      <c r="B371" s="32" t="s">
        <v>984</v>
      </c>
      <c r="C371" s="20" t="s">
        <v>26</v>
      </c>
      <c r="E371" s="32" t="s">
        <v>981</v>
      </c>
      <c r="F371" s="32" t="s">
        <v>33</v>
      </c>
      <c r="J371" s="32" t="s">
        <v>880</v>
      </c>
      <c r="K371" s="32" t="s">
        <v>985</v>
      </c>
      <c r="N371" s="60" t="s">
        <v>271</v>
      </c>
      <c r="O371" s="76" t="s">
        <v>736</v>
      </c>
    </row>
    <row r="372" ht="27" spans="2:15">
      <c r="B372" s="32" t="s">
        <v>986</v>
      </c>
      <c r="C372" s="20" t="s">
        <v>26</v>
      </c>
      <c r="E372" s="32" t="s">
        <v>981</v>
      </c>
      <c r="F372" s="32" t="s">
        <v>36</v>
      </c>
      <c r="J372" s="32" t="s">
        <v>880</v>
      </c>
      <c r="K372" s="32" t="s">
        <v>985</v>
      </c>
      <c r="N372" s="60" t="s">
        <v>271</v>
      </c>
      <c r="O372" s="32" t="s">
        <v>724</v>
      </c>
    </row>
    <row r="373" ht="27" spans="2:15">
      <c r="B373" s="32" t="s">
        <v>987</v>
      </c>
      <c r="C373" s="20" t="s">
        <v>26</v>
      </c>
      <c r="E373" s="32" t="s">
        <v>981</v>
      </c>
      <c r="F373" s="32" t="s">
        <v>33</v>
      </c>
      <c r="J373" s="32" t="s">
        <v>880</v>
      </c>
      <c r="K373" s="32" t="s">
        <v>985</v>
      </c>
      <c r="N373" s="60" t="s">
        <v>271</v>
      </c>
      <c r="O373" s="76" t="s">
        <v>736</v>
      </c>
    </row>
    <row r="374" ht="27" spans="2:15">
      <c r="B374" s="32" t="s">
        <v>988</v>
      </c>
      <c r="C374" s="20" t="s">
        <v>26</v>
      </c>
      <c r="D374" s="32"/>
      <c r="E374" s="32" t="s">
        <v>989</v>
      </c>
      <c r="F374" s="32" t="s">
        <v>103</v>
      </c>
      <c r="J374" s="32" t="s">
        <v>880</v>
      </c>
      <c r="K374" s="32" t="s">
        <v>990</v>
      </c>
      <c r="N374" s="66" t="s">
        <v>369</v>
      </c>
      <c r="O374" s="32" t="s">
        <v>991</v>
      </c>
    </row>
    <row r="375" ht="27" spans="2:15">
      <c r="B375" s="32" t="s">
        <v>992</v>
      </c>
      <c r="C375" s="20" t="s">
        <v>26</v>
      </c>
      <c r="E375" s="32" t="s">
        <v>989</v>
      </c>
      <c r="F375" s="32" t="s">
        <v>27</v>
      </c>
      <c r="J375" s="32" t="s">
        <v>880</v>
      </c>
      <c r="K375" s="32" t="s">
        <v>993</v>
      </c>
      <c r="N375" s="60" t="s">
        <v>271</v>
      </c>
      <c r="O375" s="32" t="s">
        <v>726</v>
      </c>
    </row>
    <row r="376" ht="27" spans="2:15">
      <c r="B376" s="32" t="s">
        <v>994</v>
      </c>
      <c r="C376" s="20" t="s">
        <v>26</v>
      </c>
      <c r="E376" s="32" t="s">
        <v>989</v>
      </c>
      <c r="F376" s="32" t="s">
        <v>33</v>
      </c>
      <c r="J376" s="32" t="s">
        <v>880</v>
      </c>
      <c r="K376" s="32" t="s">
        <v>995</v>
      </c>
      <c r="N376" s="60" t="s">
        <v>271</v>
      </c>
      <c r="O376" s="76" t="s">
        <v>736</v>
      </c>
    </row>
    <row r="377" ht="27" spans="2:15">
      <c r="B377" s="32" t="s">
        <v>996</v>
      </c>
      <c r="C377" s="20" t="s">
        <v>26</v>
      </c>
      <c r="E377" s="32" t="s">
        <v>989</v>
      </c>
      <c r="F377" s="32" t="s">
        <v>36</v>
      </c>
      <c r="J377" s="32" t="s">
        <v>880</v>
      </c>
      <c r="K377" s="32" t="s">
        <v>995</v>
      </c>
      <c r="N377" s="60" t="s">
        <v>271</v>
      </c>
      <c r="O377" s="32" t="s">
        <v>724</v>
      </c>
    </row>
    <row r="378" ht="27" spans="2:15">
      <c r="B378" s="32" t="s">
        <v>997</v>
      </c>
      <c r="C378" s="20" t="s">
        <v>26</v>
      </c>
      <c r="E378" s="32" t="s">
        <v>989</v>
      </c>
      <c r="F378" s="32" t="s">
        <v>27</v>
      </c>
      <c r="J378" s="32" t="s">
        <v>880</v>
      </c>
      <c r="K378" s="32" t="s">
        <v>998</v>
      </c>
      <c r="N378" s="60" t="s">
        <v>271</v>
      </c>
      <c r="O378" s="32" t="s">
        <v>726</v>
      </c>
    </row>
    <row r="379" ht="27" spans="2:15">
      <c r="B379" s="32" t="s">
        <v>999</v>
      </c>
      <c r="C379" s="20" t="s">
        <v>26</v>
      </c>
      <c r="E379" s="32" t="s">
        <v>1000</v>
      </c>
      <c r="F379" s="32" t="s">
        <v>33</v>
      </c>
      <c r="J379" s="32" t="s">
        <v>880</v>
      </c>
      <c r="K379" s="32" t="s">
        <v>998</v>
      </c>
      <c r="N379" s="60" t="s">
        <v>271</v>
      </c>
      <c r="O379" s="76" t="s">
        <v>736</v>
      </c>
    </row>
    <row r="380" ht="27" spans="2:15">
      <c r="B380" s="32" t="s">
        <v>1001</v>
      </c>
      <c r="C380" s="20" t="s">
        <v>26</v>
      </c>
      <c r="E380" s="32" t="s">
        <v>1000</v>
      </c>
      <c r="F380" s="32" t="s">
        <v>33</v>
      </c>
      <c r="J380" s="32" t="s">
        <v>880</v>
      </c>
      <c r="K380" s="32" t="s">
        <v>998</v>
      </c>
      <c r="N380" s="60" t="s">
        <v>271</v>
      </c>
      <c r="O380" s="76" t="s">
        <v>736</v>
      </c>
    </row>
    <row r="381" ht="27" spans="2:15">
      <c r="B381" s="32" t="s">
        <v>1002</v>
      </c>
      <c r="C381" s="20" t="s">
        <v>26</v>
      </c>
      <c r="D381" s="32"/>
      <c r="E381" s="32" t="s">
        <v>1000</v>
      </c>
      <c r="F381" s="32" t="s">
        <v>103</v>
      </c>
      <c r="J381" s="32" t="s">
        <v>880</v>
      </c>
      <c r="K381" s="32" t="s">
        <v>1003</v>
      </c>
      <c r="N381" s="66" t="s">
        <v>369</v>
      </c>
      <c r="O381" s="32" t="s">
        <v>1004</v>
      </c>
    </row>
    <row r="382" ht="27" spans="2:15">
      <c r="B382" s="32" t="s">
        <v>1005</v>
      </c>
      <c r="C382" s="20" t="s">
        <v>26</v>
      </c>
      <c r="E382" s="32" t="s">
        <v>1000</v>
      </c>
      <c r="F382" s="32" t="s">
        <v>33</v>
      </c>
      <c r="J382" s="32" t="s">
        <v>880</v>
      </c>
      <c r="K382" s="32" t="s">
        <v>1006</v>
      </c>
      <c r="N382" s="60" t="s">
        <v>271</v>
      </c>
      <c r="O382" s="76" t="s">
        <v>736</v>
      </c>
    </row>
    <row r="383" ht="27" spans="2:15">
      <c r="B383" s="32" t="s">
        <v>1007</v>
      </c>
      <c r="C383" s="20" t="s">
        <v>26</v>
      </c>
      <c r="E383" s="32" t="s">
        <v>1000</v>
      </c>
      <c r="F383" s="32" t="s">
        <v>27</v>
      </c>
      <c r="J383" s="32" t="s">
        <v>880</v>
      </c>
      <c r="K383" s="32" t="s">
        <v>1008</v>
      </c>
      <c r="N383" s="60" t="s">
        <v>271</v>
      </c>
      <c r="O383" s="32" t="s">
        <v>726</v>
      </c>
    </row>
    <row r="384" ht="27" spans="2:15">
      <c r="B384" s="32" t="s">
        <v>1009</v>
      </c>
      <c r="C384" s="20" t="s">
        <v>26</v>
      </c>
      <c r="E384" s="32" t="s">
        <v>1010</v>
      </c>
      <c r="F384" s="32" t="s">
        <v>33</v>
      </c>
      <c r="J384" s="32" t="s">
        <v>880</v>
      </c>
      <c r="K384" s="32" t="s">
        <v>1008</v>
      </c>
      <c r="N384" s="60" t="s">
        <v>271</v>
      </c>
      <c r="O384" s="76" t="s">
        <v>736</v>
      </c>
    </row>
    <row r="385" ht="27" spans="2:15">
      <c r="B385" s="32" t="s">
        <v>1011</v>
      </c>
      <c r="C385" s="20" t="s">
        <v>26</v>
      </c>
      <c r="E385" s="32" t="s">
        <v>1010</v>
      </c>
      <c r="F385" s="32" t="s">
        <v>36</v>
      </c>
      <c r="J385" s="32" t="s">
        <v>880</v>
      </c>
      <c r="K385" s="32" t="s">
        <v>1012</v>
      </c>
      <c r="N385" s="60" t="s">
        <v>271</v>
      </c>
      <c r="O385" s="32" t="s">
        <v>724</v>
      </c>
    </row>
    <row r="386" ht="27" spans="2:15">
      <c r="B386" s="32" t="s">
        <v>1013</v>
      </c>
      <c r="C386" s="20" t="s">
        <v>26</v>
      </c>
      <c r="E386" s="32" t="s">
        <v>1010</v>
      </c>
      <c r="F386" s="32" t="s">
        <v>33</v>
      </c>
      <c r="J386" s="32" t="s">
        <v>880</v>
      </c>
      <c r="K386" s="32" t="s">
        <v>1012</v>
      </c>
      <c r="N386" s="60" t="s">
        <v>271</v>
      </c>
      <c r="O386" s="76" t="s">
        <v>736</v>
      </c>
    </row>
    <row r="387" ht="27" spans="2:15">
      <c r="B387" s="32" t="s">
        <v>1014</v>
      </c>
      <c r="C387" s="20" t="s">
        <v>26</v>
      </c>
      <c r="E387" s="32" t="s">
        <v>1010</v>
      </c>
      <c r="F387" s="32" t="s">
        <v>27</v>
      </c>
      <c r="J387" s="32" t="s">
        <v>880</v>
      </c>
      <c r="K387" s="32" t="s">
        <v>1012</v>
      </c>
      <c r="N387" s="60" t="s">
        <v>271</v>
      </c>
      <c r="O387" s="32" t="s">
        <v>726</v>
      </c>
    </row>
    <row r="388" ht="27" spans="2:15">
      <c r="B388" s="32" t="s">
        <v>1015</v>
      </c>
      <c r="C388" s="20" t="s">
        <v>26</v>
      </c>
      <c r="D388" s="32"/>
      <c r="E388" s="32" t="s">
        <v>1016</v>
      </c>
      <c r="F388" s="32" t="s">
        <v>103</v>
      </c>
      <c r="J388" s="32" t="s">
        <v>880</v>
      </c>
      <c r="K388" s="32" t="s">
        <v>1017</v>
      </c>
      <c r="N388" s="66" t="s">
        <v>369</v>
      </c>
      <c r="O388" s="32" t="s">
        <v>1018</v>
      </c>
    </row>
    <row r="389" ht="27" spans="2:15">
      <c r="B389" s="32" t="s">
        <v>1019</v>
      </c>
      <c r="C389" s="20" t="s">
        <v>26</v>
      </c>
      <c r="D389" s="32"/>
      <c r="E389" s="32" t="s">
        <v>1020</v>
      </c>
      <c r="F389" s="32" t="s">
        <v>103</v>
      </c>
      <c r="J389" s="32" t="s">
        <v>880</v>
      </c>
      <c r="K389" s="32" t="s">
        <v>1021</v>
      </c>
      <c r="N389" s="66" t="s">
        <v>369</v>
      </c>
      <c r="O389" s="32" t="s">
        <v>1022</v>
      </c>
    </row>
    <row r="390" ht="27" spans="2:15">
      <c r="B390" s="32" t="s">
        <v>1023</v>
      </c>
      <c r="C390" s="20" t="s">
        <v>26</v>
      </c>
      <c r="E390" s="32" t="s">
        <v>1024</v>
      </c>
      <c r="F390" s="32" t="s">
        <v>83</v>
      </c>
      <c r="J390" s="32" t="s">
        <v>1025</v>
      </c>
      <c r="K390" s="32" t="s">
        <v>1026</v>
      </c>
      <c r="N390" s="66" t="s">
        <v>369</v>
      </c>
      <c r="O390" s="32" t="s">
        <v>1027</v>
      </c>
    </row>
    <row r="391" ht="27" spans="2:15">
      <c r="B391" s="32" t="s">
        <v>1028</v>
      </c>
      <c r="C391" s="20" t="s">
        <v>26</v>
      </c>
      <c r="E391" s="32" t="s">
        <v>1024</v>
      </c>
      <c r="F391" s="32" t="s">
        <v>83</v>
      </c>
      <c r="J391" s="32" t="s">
        <v>1025</v>
      </c>
      <c r="K391" s="32" t="s">
        <v>1029</v>
      </c>
      <c r="N391" s="60" t="s">
        <v>271</v>
      </c>
      <c r="O391" s="32" t="s">
        <v>1027</v>
      </c>
    </row>
    <row r="392" ht="27" spans="2:15">
      <c r="B392" s="32" t="s">
        <v>1030</v>
      </c>
      <c r="C392" s="20" t="s">
        <v>26</v>
      </c>
      <c r="E392" s="32" t="s">
        <v>1024</v>
      </c>
      <c r="F392" s="32" t="s">
        <v>36</v>
      </c>
      <c r="J392" s="32" t="s">
        <v>1025</v>
      </c>
      <c r="K392" s="32" t="s">
        <v>1029</v>
      </c>
      <c r="N392" s="60" t="s">
        <v>271</v>
      </c>
      <c r="O392" s="32" t="s">
        <v>1031</v>
      </c>
    </row>
    <row r="393" ht="27" spans="2:15">
      <c r="B393" s="32" t="s">
        <v>1032</v>
      </c>
      <c r="C393" s="20" t="s">
        <v>26</v>
      </c>
      <c r="E393" s="32" t="s">
        <v>1024</v>
      </c>
      <c r="F393" s="32" t="s">
        <v>33</v>
      </c>
      <c r="J393" s="32" t="s">
        <v>1025</v>
      </c>
      <c r="K393" s="32" t="s">
        <v>1029</v>
      </c>
      <c r="N393" s="60" t="s">
        <v>271</v>
      </c>
      <c r="O393" s="32" t="s">
        <v>485</v>
      </c>
    </row>
    <row r="394" ht="27" spans="2:15">
      <c r="B394" s="32" t="s">
        <v>1033</v>
      </c>
      <c r="C394" s="20" t="s">
        <v>26</v>
      </c>
      <c r="E394" s="32" t="s">
        <v>1034</v>
      </c>
      <c r="F394" s="32" t="s">
        <v>36</v>
      </c>
      <c r="J394" s="32" t="s">
        <v>1025</v>
      </c>
      <c r="K394" s="32" t="s">
        <v>1026</v>
      </c>
      <c r="N394" s="66" t="s">
        <v>369</v>
      </c>
      <c r="O394" s="32" t="s">
        <v>1035</v>
      </c>
    </row>
    <row r="395" ht="27" spans="2:15">
      <c r="B395" s="32" t="s">
        <v>1036</v>
      </c>
      <c r="C395" s="20" t="s">
        <v>26</v>
      </c>
      <c r="E395" s="32" t="s">
        <v>1034</v>
      </c>
      <c r="F395" s="32" t="s">
        <v>27</v>
      </c>
      <c r="J395" s="32" t="s">
        <v>1025</v>
      </c>
      <c r="K395" s="32" t="s">
        <v>1026</v>
      </c>
      <c r="N395" s="66" t="s">
        <v>369</v>
      </c>
      <c r="O395" s="32" t="s">
        <v>1037</v>
      </c>
    </row>
    <row r="396" ht="27" spans="2:15">
      <c r="B396" s="32" t="s">
        <v>1038</v>
      </c>
      <c r="C396" s="20" t="s">
        <v>26</v>
      </c>
      <c r="E396" s="32" t="s">
        <v>1034</v>
      </c>
      <c r="F396" s="32" t="s">
        <v>27</v>
      </c>
      <c r="J396" s="32" t="s">
        <v>1025</v>
      </c>
      <c r="K396" s="32" t="s">
        <v>1029</v>
      </c>
      <c r="N396" s="60" t="s">
        <v>271</v>
      </c>
      <c r="O396" s="32" t="s">
        <v>1039</v>
      </c>
    </row>
    <row r="397" ht="27" spans="2:15">
      <c r="B397" s="32" t="s">
        <v>1040</v>
      </c>
      <c r="C397" s="20" t="s">
        <v>26</v>
      </c>
      <c r="E397" s="32" t="s">
        <v>1034</v>
      </c>
      <c r="F397" s="32" t="s">
        <v>36</v>
      </c>
      <c r="J397" s="32" t="s">
        <v>1025</v>
      </c>
      <c r="K397" s="32" t="s">
        <v>1029</v>
      </c>
      <c r="N397" s="60" t="s">
        <v>271</v>
      </c>
      <c r="O397" s="32" t="s">
        <v>1041</v>
      </c>
    </row>
    <row r="398" ht="27" spans="2:15">
      <c r="B398" s="32" t="s">
        <v>1042</v>
      </c>
      <c r="C398" s="20" t="s">
        <v>26</v>
      </c>
      <c r="E398" s="32" t="s">
        <v>1034</v>
      </c>
      <c r="F398" s="32" t="s">
        <v>83</v>
      </c>
      <c r="J398" s="32" t="s">
        <v>1025</v>
      </c>
      <c r="K398" s="32" t="s">
        <v>1029</v>
      </c>
      <c r="N398" s="60" t="s">
        <v>271</v>
      </c>
      <c r="O398" s="32" t="s">
        <v>1043</v>
      </c>
    </row>
    <row r="399" ht="27" spans="2:15">
      <c r="B399" s="32" t="s">
        <v>1044</v>
      </c>
      <c r="C399" s="20" t="s">
        <v>26</v>
      </c>
      <c r="E399" s="32" t="s">
        <v>1045</v>
      </c>
      <c r="F399" s="32" t="s">
        <v>36</v>
      </c>
      <c r="J399" s="32" t="s">
        <v>1025</v>
      </c>
      <c r="K399" s="32" t="s">
        <v>1026</v>
      </c>
      <c r="N399" s="66" t="s">
        <v>369</v>
      </c>
      <c r="O399" s="32" t="s">
        <v>491</v>
      </c>
    </row>
    <row r="400" ht="27" spans="2:15">
      <c r="B400" s="32" t="s">
        <v>1046</v>
      </c>
      <c r="C400" s="20" t="s">
        <v>26</v>
      </c>
      <c r="E400" s="32" t="s">
        <v>1045</v>
      </c>
      <c r="F400" s="32" t="s">
        <v>103</v>
      </c>
      <c r="J400" s="32" t="s">
        <v>1025</v>
      </c>
      <c r="K400" s="32" t="s">
        <v>1026</v>
      </c>
      <c r="N400" s="66" t="s">
        <v>369</v>
      </c>
      <c r="O400" s="32" t="s">
        <v>1047</v>
      </c>
    </row>
    <row r="401" ht="27" spans="2:22">
      <c r="B401" s="32" t="s">
        <v>1048</v>
      </c>
      <c r="C401" s="20" t="s">
        <v>26</v>
      </c>
      <c r="E401" s="32" t="s">
        <v>1045</v>
      </c>
      <c r="F401" s="32" t="s">
        <v>39</v>
      </c>
      <c r="J401" s="32" t="s">
        <v>1025</v>
      </c>
      <c r="K401" s="32" t="s">
        <v>1029</v>
      </c>
      <c r="N401" s="60" t="s">
        <v>271</v>
      </c>
      <c r="O401" s="32" t="s">
        <v>1049</v>
      </c>
    </row>
    <row r="402" ht="27" spans="2:22">
      <c r="B402" s="32" t="s">
        <v>1050</v>
      </c>
      <c r="C402" s="20" t="s">
        <v>26</v>
      </c>
      <c r="E402" s="32" t="s">
        <v>1045</v>
      </c>
      <c r="F402" s="32" t="s">
        <v>103</v>
      </c>
      <c r="J402" s="32" t="s">
        <v>1025</v>
      </c>
      <c r="K402" s="32" t="s">
        <v>1029</v>
      </c>
      <c r="N402" s="60" t="s">
        <v>271</v>
      </c>
      <c r="O402" s="32" t="s">
        <v>487</v>
      </c>
    </row>
    <row r="403" ht="27" spans="2:22">
      <c r="B403" s="32" t="s">
        <v>1051</v>
      </c>
      <c r="C403" s="20" t="s">
        <v>26</v>
      </c>
      <c r="E403" s="32" t="s">
        <v>1052</v>
      </c>
      <c r="F403" s="32" t="s">
        <v>83</v>
      </c>
      <c r="J403" s="32" t="s">
        <v>1025</v>
      </c>
      <c r="K403" s="32" t="s">
        <v>1026</v>
      </c>
      <c r="N403" s="66" t="s">
        <v>369</v>
      </c>
      <c r="O403" s="32" t="s">
        <v>476</v>
      </c>
    </row>
    <row r="404" ht="27" spans="2:22">
      <c r="B404" s="32" t="s">
        <v>1053</v>
      </c>
      <c r="C404" s="20" t="s">
        <v>26</v>
      </c>
      <c r="E404" s="32" t="s">
        <v>1054</v>
      </c>
      <c r="F404" s="32" t="s">
        <v>83</v>
      </c>
      <c r="J404" s="32" t="s">
        <v>1025</v>
      </c>
      <c r="K404" s="32" t="s">
        <v>1029</v>
      </c>
      <c r="N404" s="60" t="s">
        <v>271</v>
      </c>
      <c r="O404" s="32" t="s">
        <v>1055</v>
      </c>
    </row>
    <row r="405" ht="27" spans="2:22">
      <c r="B405" s="32" t="s">
        <v>1056</v>
      </c>
      <c r="C405" s="20" t="s">
        <v>26</v>
      </c>
      <c r="E405" s="32" t="s">
        <v>1054</v>
      </c>
      <c r="F405" s="32" t="s">
        <v>36</v>
      </c>
      <c r="J405" s="32" t="s">
        <v>1025</v>
      </c>
      <c r="K405" s="32" t="s">
        <v>1029</v>
      </c>
      <c r="N405" s="60" t="s">
        <v>271</v>
      </c>
      <c r="O405" s="32" t="s">
        <v>480</v>
      </c>
    </row>
    <row r="406" ht="27" spans="2:22">
      <c r="B406" s="32" t="s">
        <v>1057</v>
      </c>
      <c r="C406" s="20" t="s">
        <v>26</v>
      </c>
      <c r="E406" s="32" t="s">
        <v>1054</v>
      </c>
      <c r="F406" s="32" t="s">
        <v>27</v>
      </c>
      <c r="J406" s="32" t="s">
        <v>1025</v>
      </c>
      <c r="K406" s="32" t="s">
        <v>1058</v>
      </c>
      <c r="N406" s="60" t="s">
        <v>271</v>
      </c>
      <c r="O406" s="32" t="s">
        <v>1059</v>
      </c>
    </row>
    <row r="407" ht="27" spans="2:22">
      <c r="B407" s="32" t="s">
        <v>1060</v>
      </c>
      <c r="C407" s="20" t="s">
        <v>26</v>
      </c>
      <c r="E407" s="32" t="s">
        <v>1054</v>
      </c>
      <c r="F407" s="32" t="s">
        <v>36</v>
      </c>
      <c r="J407" s="32" t="s">
        <v>1025</v>
      </c>
      <c r="K407" s="32" t="s">
        <v>1026</v>
      </c>
      <c r="N407" s="66" t="s">
        <v>369</v>
      </c>
      <c r="O407" s="32" t="s">
        <v>480</v>
      </c>
    </row>
    <row r="408" ht="27" spans="2:22">
      <c r="B408" s="32" t="s">
        <v>1061</v>
      </c>
      <c r="C408" s="20" t="s">
        <v>26</v>
      </c>
      <c r="E408" s="32" t="s">
        <v>1062</v>
      </c>
      <c r="F408" s="32" t="s">
        <v>39</v>
      </c>
      <c r="J408" s="32" t="s">
        <v>1025</v>
      </c>
      <c r="K408" s="32" t="s">
        <v>1026</v>
      </c>
      <c r="N408" s="66" t="s">
        <v>369</v>
      </c>
      <c r="O408" s="32" t="s">
        <v>482</v>
      </c>
    </row>
    <row r="409" ht="27" spans="2:22">
      <c r="B409" s="32" t="s">
        <v>1063</v>
      </c>
      <c r="C409" s="20" t="s">
        <v>26</v>
      </c>
      <c r="E409" s="32" t="s">
        <v>474</v>
      </c>
      <c r="F409" s="32" t="s">
        <v>36</v>
      </c>
      <c r="I409" s="31" t="s">
        <v>1064</v>
      </c>
      <c r="J409" s="32" t="s">
        <v>1025</v>
      </c>
      <c r="K409" s="32" t="s">
        <v>1026</v>
      </c>
      <c r="N409" s="66" t="s">
        <v>369</v>
      </c>
      <c r="O409" s="32" t="s">
        <v>1065</v>
      </c>
      <c r="V409" s="58" t="s">
        <v>1066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68"/>
  <sheetViews>
    <sheetView topLeftCell="F1" workbookViewId="0">
      <selection activeCell="P11" sqref="P11"/>
    </sheetView>
  </sheetViews>
  <sheetFormatPr defaultColWidth="9" defaultRowHeight="13.5"/>
  <cols>
    <col min="1" max="1" width="13.75" style="2" customWidth="1"/>
    <col min="5" max="5" width="36.75" style="2" customWidth="1"/>
    <col min="6" max="6" width="22" style="2" customWidth="1"/>
    <col min="10" max="10" width="54" style="2" customWidth="1"/>
    <col min="11" max="11" width="16.75" style="2" customWidth="1"/>
    <col min="12" max="12" width="10.125" style="2" customWidth="1"/>
    <col min="13" max="13" width="10.25" style="2" customWidth="1"/>
    <col min="14" max="14" width="10.5" style="2" customWidth="1"/>
    <col min="15" max="15" width="48.125" style="2" customWidth="1"/>
    <col min="16" max="19" width="10.5" style="2" customWidth="1"/>
    <col min="20" max="20" width="27.875" style="2" customWidth="1"/>
    <col min="21" max="21" width="25.25" style="2" customWidth="1"/>
    <col min="22" max="22" width="15.375" style="2" customWidth="1"/>
    <col min="26" max="26" width="34.75" style="2" customWidth="1"/>
    <col min="27" max="27" width="15.375" style="2" customWidth="1"/>
    <col min="28" max="28" width="11.375" style="2" customWidth="1"/>
    <col min="29" max="29" width="12.5" style="2" customWidth="1"/>
    <col min="30" max="30" width="9.125" style="2" customWidth="1"/>
    <col min="31" max="31" width="49.125" style="2" customWidth="1"/>
    <col min="32" max="32" width="20.875" style="2" customWidth="1"/>
    <col min="33" max="33" width="11.25" style="2" customWidth="1"/>
    <col min="34" max="34" width="9.25" style="2" customWidth="1"/>
    <col min="35" max="35" width="8.25" style="2" customWidth="1"/>
    <col min="36" max="36" width="49.125" style="2" customWidth="1"/>
    <col min="37" max="37" width="23.625" style="2" customWidth="1"/>
    <col min="38" max="40" width="14.875" style="2" customWidth="1"/>
    <col min="41" max="41" width="42.875" style="2" customWidth="1"/>
    <col min="42" max="42" width="18.625" style="2" customWidth="1"/>
    <col min="43" max="45" width="12.625" style="2" customWidth="1"/>
    <col min="46" max="46" width="44" style="2" customWidth="1"/>
    <col min="47" max="49" width="12.625" style="2" customWidth="1"/>
    <col min="50" max="50" width="17.25" style="2" customWidth="1"/>
    <col min="51" max="51" width="14.375" style="2" customWidth="1"/>
    <col min="55" max="55" width="35.375" style="2" customWidth="1"/>
    <col min="56" max="56" width="16" style="2" customWidth="1"/>
    <col min="60" max="60" width="14.75" style="2" customWidth="1"/>
    <col min="63" max="63" width="16.125" style="2" customWidth="1"/>
  </cols>
  <sheetData>
    <row r="1" spans="1:67">
      <c r="G1" t="s">
        <v>1067</v>
      </c>
      <c r="H1" t="s">
        <v>1068</v>
      </c>
      <c r="I1" t="s">
        <v>1069</v>
      </c>
      <c r="J1" t="s">
        <v>1070</v>
      </c>
      <c r="K1"/>
      <c r="L1"/>
      <c r="M1"/>
      <c r="N1"/>
      <c r="O1"/>
      <c r="P1"/>
      <c r="Q1"/>
      <c r="R1"/>
      <c r="S1"/>
      <c r="T1"/>
      <c r="U1"/>
      <c r="V1" t="s">
        <v>1071</v>
      </c>
      <c r="W1" t="s">
        <v>1072</v>
      </c>
      <c r="X1" t="s">
        <v>1073</v>
      </c>
      <c r="AY1" s="5" t="s">
        <v>1074</v>
      </c>
    </row>
    <row r="2" spans="1:67">
      <c r="G2">
        <v>10001</v>
      </c>
      <c r="H2">
        <v>10004</v>
      </c>
      <c r="I2">
        <v>10003</v>
      </c>
      <c r="J2">
        <v>10007</v>
      </c>
      <c r="V2">
        <v>10005</v>
      </c>
      <c r="W2">
        <v>10006</v>
      </c>
      <c r="X2">
        <v>10002</v>
      </c>
      <c r="AG2">
        <v>10001</v>
      </c>
      <c r="AH2">
        <v>10004</v>
      </c>
      <c r="AI2">
        <v>10003</v>
      </c>
      <c r="AL2">
        <v>10001</v>
      </c>
      <c r="AM2">
        <v>10004</v>
      </c>
      <c r="AN2">
        <v>10003</v>
      </c>
      <c r="AQ2">
        <v>10001</v>
      </c>
      <c r="AR2">
        <v>10004</v>
      </c>
      <c r="AS2">
        <v>10003</v>
      </c>
    </row>
    <row r="3" spans="1:67">
      <c r="A3" t="s">
        <v>1075</v>
      </c>
      <c r="F3" s="5" t="s">
        <v>1076</v>
      </c>
      <c r="K3" s="5" t="s">
        <v>1077</v>
      </c>
      <c r="P3" s="5" t="s">
        <v>1078</v>
      </c>
      <c r="V3" t="s">
        <v>1079</v>
      </c>
      <c r="AA3" s="5" t="s">
        <v>1080</v>
      </c>
      <c r="AF3" s="5" t="s">
        <v>1081</v>
      </c>
      <c r="AK3" s="5" t="s">
        <v>1082</v>
      </c>
      <c r="AP3" s="5" t="s">
        <v>1083</v>
      </c>
      <c r="AY3">
        <v>10006</v>
      </c>
      <c r="BD3" t="s">
        <v>1084</v>
      </c>
      <c r="BK3" t="s">
        <v>1085</v>
      </c>
    </row>
    <row r="4" spans="1:67">
      <c r="A4">
        <v>1</v>
      </c>
      <c r="B4">
        <v>900</v>
      </c>
      <c r="C4">
        <v>180</v>
      </c>
      <c r="D4" s="23">
        <v>360</v>
      </c>
      <c r="E4" t="str">
        <f t="shared" ref="E4:E14" si="0">$G$2&amp;"|"&amp;B4&amp;"$"&amp;$H$2&amp;"|"&amp;C4&amp;"$"&amp;$I$2&amp;"|"&amp;D4</f>
        <v>10001|900$10004|180$10003|360</v>
      </c>
      <c r="F4">
        <v>1</v>
      </c>
      <c r="G4">
        <v>5000</v>
      </c>
      <c r="H4">
        <v>750</v>
      </c>
      <c r="I4">
        <v>375</v>
      </c>
      <c r="J4" t="str">
        <f t="shared" ref="J4:J27" si="1">$G$2&amp;"|"&amp;G4&amp;"$"&amp;$H$2&amp;"|"&amp;H4&amp;"$"&amp;$I$2&amp;"|"&amp;I4&amp;"$"&amp;$AY$3&amp;"|"&amp;AY4</f>
        <v>10001|5000$10004|750$10003|375$10006|30</v>
      </c>
      <c r="K4" s="23">
        <v>1</v>
      </c>
      <c r="L4" s="23">
        <v>7000</v>
      </c>
      <c r="M4" s="23">
        <v>1200</v>
      </c>
      <c r="N4" s="23">
        <v>600</v>
      </c>
      <c r="O4" t="str">
        <f t="shared" ref="O4:O27" si="2">$G$2&amp;"|"&amp;L4&amp;"$"&amp;$H$2&amp;"|"&amp;M4&amp;"$"&amp;$I$2&amp;"|"&amp;N4&amp;"$"&amp;$AY$3&amp;"|"&amp;AY4</f>
        <v>10001|7000$10004|1200$10003|600$10006|30</v>
      </c>
      <c r="P4" s="23">
        <v>1</v>
      </c>
      <c r="Q4" s="23">
        <v>5000</v>
      </c>
      <c r="R4" s="23">
        <v>1500</v>
      </c>
      <c r="S4" s="23">
        <v>750</v>
      </c>
      <c r="T4" t="str">
        <f t="shared" ref="T4:T27" si="3">$G$2&amp;"|"&amp;Q4&amp;"$"&amp;$H$2&amp;"|"&amp;R4&amp;"$"&amp;$I$2&amp;"|"&amp;S4&amp;"$"&amp;$AY$3&amp;"|"&amp;AY4</f>
        <v>10001|5000$10004|1500$10003|750$10006|30</v>
      </c>
      <c r="V4">
        <v>1</v>
      </c>
      <c r="W4" s="23">
        <v>1271</v>
      </c>
      <c r="X4" s="23">
        <v>318</v>
      </c>
      <c r="Y4" s="23">
        <v>318</v>
      </c>
      <c r="Z4" t="str">
        <f t="shared" ref="Z4:Z18" si="4">$G$2&amp;"|"&amp;W4&amp;"$"&amp;$H$2&amp;"|"&amp;X4&amp;"$"&amp;$I$2&amp;"|"&amp;Y4</f>
        <v>10001|1271$10004|318$10003|318</v>
      </c>
      <c r="AA4">
        <v>1</v>
      </c>
      <c r="AB4" s="23">
        <v>40000</v>
      </c>
      <c r="AC4" s="23">
        <v>2100</v>
      </c>
      <c r="AD4" s="23">
        <v>1050</v>
      </c>
      <c r="AE4" t="str">
        <f t="shared" ref="AE4:AE33" si="5">$G$2&amp;"|"&amp;AB4&amp;"$"&amp;$H$2&amp;"|"&amp;AC4&amp;"$"&amp;$I$2&amp;"|"&amp;AD4&amp;"$"&amp;$AY$3&amp;"|"&amp;AY4</f>
        <v>10001|40000$10004|2100$10003|1050$10006|30</v>
      </c>
      <c r="AF4">
        <v>1</v>
      </c>
      <c r="AG4" s="23">
        <v>120000</v>
      </c>
      <c r="AH4" s="23">
        <v>2700</v>
      </c>
      <c r="AI4" s="23">
        <v>1400</v>
      </c>
      <c r="AJ4" t="str">
        <f t="shared" ref="AJ4:AJ43" si="6">$G$2&amp;"|"&amp;AG4&amp;"$"&amp;$H$2&amp;"|"&amp;AH4&amp;"$"&amp;$I$2&amp;"|"&amp;AI4&amp;"$"&amp;$AY$3&amp;"|"&amp;AY4</f>
        <v>10001|120000$10004|2700$10003|1400$10006|30</v>
      </c>
      <c r="AK4">
        <v>1</v>
      </c>
      <c r="AL4" s="23">
        <v>80000</v>
      </c>
      <c r="AM4" s="23">
        <v>2000</v>
      </c>
      <c r="AN4" s="23">
        <v>1100</v>
      </c>
      <c r="AO4" t="str">
        <f t="shared" ref="AO4:AO43" si="7">$G$2&amp;"|"&amp;AL4&amp;"$"&amp;$H$2&amp;"|"&amp;AM4&amp;"$"&amp;$I$2&amp;"|"&amp;AN4&amp;"$"&amp;$AY$3&amp;"|"&amp;AY4</f>
        <v>10001|80000$10004|2000$10003|1100$10006|30</v>
      </c>
      <c r="AP4">
        <v>1</v>
      </c>
      <c r="AQ4" s="23">
        <v>60000</v>
      </c>
      <c r="AR4" s="23">
        <v>1800</v>
      </c>
      <c r="AS4" s="23">
        <v>900</v>
      </c>
      <c r="AT4" t="str">
        <f t="shared" ref="AT4:AT43" si="8">$G$2&amp;"|"&amp;AQ4&amp;"$"&amp;$H$2&amp;"|"&amp;AR4&amp;"$"&amp;$I$2&amp;"|"&amp;AS4&amp;"$"&amp;$AY$3&amp;"|"&amp;AY4</f>
        <v>10001|60000$10004|1800$10003|900$10006|30</v>
      </c>
      <c r="AY4">
        <v>30</v>
      </c>
      <c r="AZ4">
        <v>3200</v>
      </c>
      <c r="BA4">
        <v>800</v>
      </c>
      <c r="BB4">
        <v>800</v>
      </c>
      <c r="BC4" t="str">
        <f t="shared" ref="BC4:BC33" si="9">$G$2&amp;"|"&amp;AZ4&amp;"$"&amp;$H$2&amp;"|"&amp;BA4&amp;"$"&amp;$I$2&amp;"|"&amp;BB4</f>
        <v>10001|3200$10004|800$10003|800</v>
      </c>
      <c r="BD4">
        <v>1</v>
      </c>
      <c r="BE4">
        <v>4400</v>
      </c>
      <c r="BF4">
        <v>1100</v>
      </c>
      <c r="BG4">
        <v>1100</v>
      </c>
      <c r="BH4" t="str">
        <f t="shared" ref="BH4:BH38" si="10">$G$2&amp;"|"&amp;BE4&amp;"$"&amp;$H$2&amp;"|"&amp;BF4&amp;"$"&amp;$I$2&amp;"|"&amp;BG4</f>
        <v>10001|4400$10004|1100$10003|1100</v>
      </c>
      <c r="BK4">
        <v>1</v>
      </c>
      <c r="BL4">
        <v>5600</v>
      </c>
      <c r="BM4">
        <v>1400</v>
      </c>
      <c r="BN4">
        <v>1400</v>
      </c>
      <c r="BO4" t="str">
        <f t="shared" ref="BO4:BO43" si="11">$G$2&amp;"|"&amp;BL4&amp;"$"&amp;$H$2&amp;"|"&amp;BM4&amp;"$"&amp;$I$2&amp;"|"&amp;BN4</f>
        <v>10001|5600$10004|1400$10003|1400</v>
      </c>
    </row>
    <row r="5" spans="1:67">
      <c r="A5">
        <v>2</v>
      </c>
      <c r="B5">
        <v>990</v>
      </c>
      <c r="C5">
        <v>198</v>
      </c>
      <c r="D5" s="23">
        <v>380</v>
      </c>
      <c r="E5" t="str">
        <f t="shared" si="0"/>
        <v>10001|990$10004|198$10003|380</v>
      </c>
      <c r="F5">
        <v>2</v>
      </c>
      <c r="G5">
        <v>5217</v>
      </c>
      <c r="H5">
        <v>752</v>
      </c>
      <c r="I5">
        <v>376</v>
      </c>
      <c r="J5" t="str">
        <f t="shared" si="1"/>
        <v>10001|5217$10004|752$10003|376$10006|30</v>
      </c>
      <c r="K5">
        <v>2</v>
      </c>
      <c r="L5" s="23">
        <f t="shared" ref="L5:L27" si="12">L4+304</f>
        <v>7304</v>
      </c>
      <c r="M5" s="23">
        <f t="shared" ref="M5:M27" si="13">M4+4</f>
        <v>1204</v>
      </c>
      <c r="N5" s="23">
        <f t="shared" ref="N5:N27" si="14">N4+2</f>
        <v>602</v>
      </c>
      <c r="O5" t="str">
        <f t="shared" si="2"/>
        <v>10001|7304$10004|1204$10003|602$10006|30</v>
      </c>
      <c r="P5">
        <v>2</v>
      </c>
      <c r="Q5" s="23">
        <f t="shared" ref="Q5:Q27" si="15">Q4+217</f>
        <v>5217</v>
      </c>
      <c r="R5" s="23">
        <f t="shared" ref="R5:R27" si="16">R4+0</f>
        <v>1500</v>
      </c>
      <c r="S5" s="23">
        <f t="shared" ref="S5:S27" si="17">S4+0</f>
        <v>750</v>
      </c>
      <c r="T5" t="str">
        <f t="shared" si="3"/>
        <v>10001|5217$10004|1500$10003|750$10006|30</v>
      </c>
      <c r="V5">
        <v>2</v>
      </c>
      <c r="W5" s="23">
        <v>1271</v>
      </c>
      <c r="X5" s="23">
        <v>318</v>
      </c>
      <c r="Y5" s="23">
        <v>318</v>
      </c>
      <c r="Z5" t="str">
        <f t="shared" si="4"/>
        <v>10001|1271$10004|318$10003|318</v>
      </c>
      <c r="AA5">
        <v>2</v>
      </c>
      <c r="AB5" s="23">
        <f t="shared" ref="AB5:AB32" si="18">AB4+320</f>
        <v>40320</v>
      </c>
      <c r="AC5" s="23">
        <f t="shared" ref="AC5:AC33" si="19">AC4+10.3</f>
        <v>2110</v>
      </c>
      <c r="AD5" s="23">
        <f t="shared" ref="AD5:AD33" si="20">AD4+4.83</f>
        <v>1055</v>
      </c>
      <c r="AE5" t="str">
        <f t="shared" si="5"/>
        <v>10001|40320$10004|2110$10003|1055$10006|30</v>
      </c>
      <c r="AF5">
        <v>2</v>
      </c>
      <c r="AG5" s="23">
        <f t="shared" ref="AG5:AG43" si="21">AG4+512</f>
        <v>120512</v>
      </c>
      <c r="AH5" s="23">
        <f t="shared" ref="AH5:AH43" si="22">AH4+7.7</f>
        <v>2708</v>
      </c>
      <c r="AI5" s="23">
        <f t="shared" ref="AI5:AI43" si="23">AI4+5</f>
        <v>1405</v>
      </c>
      <c r="AJ5" t="str">
        <f t="shared" si="6"/>
        <v>10001|120512$10004|2708$10003|1405$10006|30</v>
      </c>
      <c r="AK5">
        <v>2</v>
      </c>
      <c r="AL5" s="23">
        <f t="shared" ref="AL5:AL43" si="24">AL4+512</f>
        <v>80512</v>
      </c>
      <c r="AM5" s="23">
        <f t="shared" ref="AM5:AM43" si="25">AM4+12.8</f>
        <v>2013</v>
      </c>
      <c r="AN5" s="23">
        <f t="shared" ref="AN5:AN43" si="26">AN4+5</f>
        <v>1105</v>
      </c>
      <c r="AO5" t="str">
        <f t="shared" si="7"/>
        <v>10001|80512$10004|2013$10003|1105$10006|30</v>
      </c>
      <c r="AP5">
        <v>2</v>
      </c>
      <c r="AQ5" s="23">
        <f t="shared" ref="AQ5:AQ43" si="27">AQ4+512</f>
        <v>60512</v>
      </c>
      <c r="AR5" s="23">
        <f t="shared" ref="AR5:AR43" si="28">AR4+10.2</f>
        <v>1810</v>
      </c>
      <c r="AS5" s="23">
        <f t="shared" ref="AS5:AS43" si="29">AS4+5</f>
        <v>905</v>
      </c>
      <c r="AT5" t="str">
        <f t="shared" si="8"/>
        <v>10001|60512$10004|1810$10003|905$10006|30</v>
      </c>
      <c r="AY5">
        <v>30</v>
      </c>
      <c r="AZ5">
        <v>3240</v>
      </c>
      <c r="BA5">
        <v>810</v>
      </c>
      <c r="BB5">
        <v>810</v>
      </c>
      <c r="BC5" t="str">
        <f t="shared" si="9"/>
        <v>10001|3240$10004|810$10003|810</v>
      </c>
      <c r="BD5">
        <v>2</v>
      </c>
      <c r="BE5">
        <v>4440</v>
      </c>
      <c r="BF5">
        <v>1110</v>
      </c>
      <c r="BG5">
        <v>1110</v>
      </c>
      <c r="BH5" t="str">
        <f t="shared" si="10"/>
        <v>10001|4440$10004|1110$10003|1110</v>
      </c>
      <c r="BK5">
        <v>2</v>
      </c>
      <c r="BL5">
        <v>5640</v>
      </c>
      <c r="BM5">
        <v>1410</v>
      </c>
      <c r="BN5">
        <v>1410</v>
      </c>
      <c r="BO5" t="str">
        <f t="shared" si="11"/>
        <v>10001|5640$10004|1410$10003|1410</v>
      </c>
    </row>
    <row r="6" spans="1:67">
      <c r="A6">
        <v>3</v>
      </c>
      <c r="B6">
        <v>1080</v>
      </c>
      <c r="C6">
        <v>216</v>
      </c>
      <c r="D6" s="23">
        <v>399</v>
      </c>
      <c r="E6" t="str">
        <f t="shared" si="0"/>
        <v>10001|1080$10004|216$10003|399</v>
      </c>
      <c r="F6">
        <v>3</v>
      </c>
      <c r="G6">
        <v>5434</v>
      </c>
      <c r="H6">
        <v>754</v>
      </c>
      <c r="I6">
        <v>377</v>
      </c>
      <c r="J6" t="str">
        <f t="shared" si="1"/>
        <v>10001|5434$10004|754$10003|377$10006|30</v>
      </c>
      <c r="K6" s="23">
        <v>3</v>
      </c>
      <c r="L6" s="23">
        <f t="shared" si="12"/>
        <v>7608</v>
      </c>
      <c r="M6" s="23">
        <f t="shared" si="13"/>
        <v>1208</v>
      </c>
      <c r="N6" s="23">
        <f t="shared" si="14"/>
        <v>604</v>
      </c>
      <c r="O6" t="str">
        <f t="shared" si="2"/>
        <v>10001|7608$10004|1208$10003|604$10006|30</v>
      </c>
      <c r="P6" s="23">
        <v>3</v>
      </c>
      <c r="Q6" s="23">
        <f t="shared" si="15"/>
        <v>5434</v>
      </c>
      <c r="R6" s="23">
        <f t="shared" si="16"/>
        <v>1500</v>
      </c>
      <c r="S6" s="23">
        <f t="shared" si="17"/>
        <v>750</v>
      </c>
      <c r="T6" t="str">
        <f t="shared" si="3"/>
        <v>10001|5434$10004|1500$10003|750$10006|30</v>
      </c>
      <c r="V6">
        <v>3</v>
      </c>
      <c r="W6" s="23">
        <v>1296</v>
      </c>
      <c r="X6" s="23">
        <v>324</v>
      </c>
      <c r="Y6" s="23">
        <v>324</v>
      </c>
      <c r="Z6" t="str">
        <f t="shared" si="4"/>
        <v>10001|1296$10004|324$10003|324</v>
      </c>
      <c r="AA6">
        <v>3</v>
      </c>
      <c r="AB6" s="23">
        <f t="shared" si="18"/>
        <v>40640</v>
      </c>
      <c r="AC6" s="23">
        <f t="shared" si="19"/>
        <v>2120</v>
      </c>
      <c r="AD6" s="23">
        <f t="shared" si="20"/>
        <v>1060</v>
      </c>
      <c r="AE6" t="str">
        <f t="shared" si="5"/>
        <v>10001|40640$10004|2120$10003|1060$10006|30</v>
      </c>
      <c r="AF6">
        <v>3</v>
      </c>
      <c r="AG6" s="23">
        <f t="shared" si="21"/>
        <v>121024</v>
      </c>
      <c r="AH6" s="23">
        <f t="shared" si="22"/>
        <v>2716</v>
      </c>
      <c r="AI6" s="23">
        <f t="shared" si="23"/>
        <v>1410</v>
      </c>
      <c r="AJ6" t="str">
        <f t="shared" si="6"/>
        <v>10001|121024$10004|2716$10003|1410$10006|30</v>
      </c>
      <c r="AK6">
        <v>3</v>
      </c>
      <c r="AL6" s="23">
        <f t="shared" si="24"/>
        <v>81024</v>
      </c>
      <c r="AM6" s="23">
        <f t="shared" si="25"/>
        <v>2026</v>
      </c>
      <c r="AN6" s="23">
        <f t="shared" si="26"/>
        <v>1110</v>
      </c>
      <c r="AO6" t="str">
        <f t="shared" si="7"/>
        <v>10001|81024$10004|2026$10003|1110$10006|30</v>
      </c>
      <c r="AP6">
        <v>3</v>
      </c>
      <c r="AQ6" s="23">
        <f t="shared" si="27"/>
        <v>61024</v>
      </c>
      <c r="AR6" s="23">
        <f t="shared" si="28"/>
        <v>1820</v>
      </c>
      <c r="AS6" s="23">
        <f t="shared" si="29"/>
        <v>910</v>
      </c>
      <c r="AT6" t="str">
        <f t="shared" si="8"/>
        <v>10001|61024$10004|1820$10003|910$10006|30</v>
      </c>
      <c r="AY6">
        <v>30</v>
      </c>
      <c r="AZ6">
        <v>3280</v>
      </c>
      <c r="BA6">
        <v>820</v>
      </c>
      <c r="BB6">
        <v>820</v>
      </c>
      <c r="BC6" t="str">
        <f t="shared" si="9"/>
        <v>10001|3280$10004|820$10003|820</v>
      </c>
      <c r="BD6">
        <v>3</v>
      </c>
      <c r="BE6">
        <v>4480</v>
      </c>
      <c r="BF6">
        <v>1120</v>
      </c>
      <c r="BG6">
        <v>1120</v>
      </c>
      <c r="BH6" t="str">
        <f t="shared" si="10"/>
        <v>10001|4480$10004|1120$10003|1120</v>
      </c>
      <c r="BK6">
        <v>3</v>
      </c>
      <c r="BL6">
        <v>5680</v>
      </c>
      <c r="BM6">
        <v>1420</v>
      </c>
      <c r="BN6">
        <v>1420</v>
      </c>
      <c r="BO6" t="str">
        <f t="shared" si="11"/>
        <v>10001|5680$10004|1420$10003|1420</v>
      </c>
    </row>
    <row r="7" spans="1:67">
      <c r="A7">
        <v>4</v>
      </c>
      <c r="B7">
        <v>1170</v>
      </c>
      <c r="C7">
        <v>234</v>
      </c>
      <c r="D7" s="23">
        <v>420</v>
      </c>
      <c r="E7" t="str">
        <f t="shared" si="0"/>
        <v>10001|1170$10004|234$10003|420</v>
      </c>
      <c r="F7">
        <v>4</v>
      </c>
      <c r="G7">
        <v>5651</v>
      </c>
      <c r="H7">
        <v>756</v>
      </c>
      <c r="I7">
        <v>378</v>
      </c>
      <c r="J7" t="str">
        <f t="shared" si="1"/>
        <v>10001|5651$10004|756$10003|378$10006|30</v>
      </c>
      <c r="K7">
        <v>4</v>
      </c>
      <c r="L7" s="23">
        <f t="shared" si="12"/>
        <v>7912</v>
      </c>
      <c r="M7" s="23">
        <f t="shared" si="13"/>
        <v>1212</v>
      </c>
      <c r="N7" s="23">
        <f t="shared" si="14"/>
        <v>606</v>
      </c>
      <c r="O7" t="str">
        <f t="shared" si="2"/>
        <v>10001|7912$10004|1212$10003|606$10006|30</v>
      </c>
      <c r="P7">
        <v>4</v>
      </c>
      <c r="Q7" s="23">
        <f t="shared" si="15"/>
        <v>5651</v>
      </c>
      <c r="R7" s="23">
        <f t="shared" si="16"/>
        <v>1500</v>
      </c>
      <c r="S7" s="23">
        <f t="shared" si="17"/>
        <v>750</v>
      </c>
      <c r="T7" t="str">
        <f t="shared" si="3"/>
        <v>10001|5651$10004|1500$10003|750$10006|30</v>
      </c>
      <c r="V7">
        <v>4</v>
      </c>
      <c r="W7" s="23">
        <v>5086</v>
      </c>
      <c r="X7" s="23">
        <v>635</v>
      </c>
      <c r="Y7" s="23">
        <v>699</v>
      </c>
      <c r="Z7" t="str">
        <f t="shared" si="4"/>
        <v>10001|5086$10004|635$10003|699</v>
      </c>
      <c r="AA7">
        <v>4</v>
      </c>
      <c r="AB7" s="23">
        <f t="shared" si="18"/>
        <v>40960</v>
      </c>
      <c r="AC7" s="23">
        <f t="shared" si="19"/>
        <v>2130</v>
      </c>
      <c r="AD7" s="23">
        <f t="shared" si="20"/>
        <v>1065</v>
      </c>
      <c r="AE7" t="str">
        <f t="shared" si="5"/>
        <v>10001|40960$10004|2130$10003|1065$10006|30</v>
      </c>
      <c r="AF7">
        <v>4</v>
      </c>
      <c r="AG7" s="23">
        <f t="shared" si="21"/>
        <v>121536</v>
      </c>
      <c r="AH7" s="23">
        <f t="shared" si="22"/>
        <v>2724</v>
      </c>
      <c r="AI7" s="23">
        <f t="shared" si="23"/>
        <v>1415</v>
      </c>
      <c r="AJ7" t="str">
        <f t="shared" si="6"/>
        <v>10001|121536$10004|2724$10003|1415$10006|30</v>
      </c>
      <c r="AK7">
        <v>4</v>
      </c>
      <c r="AL7" s="23">
        <f t="shared" si="24"/>
        <v>81536</v>
      </c>
      <c r="AM7" s="23">
        <f t="shared" si="25"/>
        <v>2039</v>
      </c>
      <c r="AN7" s="23">
        <f t="shared" si="26"/>
        <v>1115</v>
      </c>
      <c r="AO7" t="str">
        <f t="shared" si="7"/>
        <v>10001|81536$10004|2039$10003|1115$10006|30</v>
      </c>
      <c r="AP7">
        <v>4</v>
      </c>
      <c r="AQ7" s="23">
        <f t="shared" si="27"/>
        <v>61536</v>
      </c>
      <c r="AR7" s="23">
        <f t="shared" si="28"/>
        <v>1830</v>
      </c>
      <c r="AS7" s="23">
        <f t="shared" si="29"/>
        <v>915</v>
      </c>
      <c r="AT7" t="str">
        <f t="shared" si="8"/>
        <v>10001|61536$10004|1830$10003|915$10006|30</v>
      </c>
      <c r="AY7">
        <v>30</v>
      </c>
      <c r="AZ7">
        <v>3320</v>
      </c>
      <c r="BA7">
        <v>830</v>
      </c>
      <c r="BB7">
        <v>830</v>
      </c>
      <c r="BC7" t="str">
        <f t="shared" si="9"/>
        <v>10001|3320$10004|830$10003|830</v>
      </c>
      <c r="BD7">
        <v>4</v>
      </c>
      <c r="BE7">
        <v>4520</v>
      </c>
      <c r="BF7">
        <v>1130</v>
      </c>
      <c r="BG7">
        <v>1130</v>
      </c>
      <c r="BH7" t="str">
        <f t="shared" si="10"/>
        <v>10001|4520$10004|1130$10003|1130</v>
      </c>
      <c r="BK7">
        <v>4</v>
      </c>
      <c r="BL7">
        <v>5720</v>
      </c>
      <c r="BM7">
        <v>1430</v>
      </c>
      <c r="BN7">
        <v>1430</v>
      </c>
      <c r="BO7" t="str">
        <f t="shared" si="11"/>
        <v>10001|5720$10004|1430$10003|1430</v>
      </c>
    </row>
    <row r="8" spans="1:67">
      <c r="A8" s="24">
        <v>5</v>
      </c>
      <c r="B8">
        <v>1170</v>
      </c>
      <c r="C8">
        <v>234</v>
      </c>
      <c r="D8" s="23">
        <v>420</v>
      </c>
      <c r="E8" t="str">
        <f t="shared" si="0"/>
        <v>10001|1170$10004|234$10003|420</v>
      </c>
      <c r="F8" s="24">
        <v>5</v>
      </c>
      <c r="G8">
        <v>5868</v>
      </c>
      <c r="H8">
        <v>758</v>
      </c>
      <c r="I8">
        <v>379</v>
      </c>
      <c r="J8" t="str">
        <f t="shared" si="1"/>
        <v>10001|5868$10004|758$10003|379$10006|30</v>
      </c>
      <c r="K8" s="23">
        <v>5</v>
      </c>
      <c r="L8" s="23">
        <f t="shared" si="12"/>
        <v>8216</v>
      </c>
      <c r="M8" s="23">
        <f t="shared" si="13"/>
        <v>1216</v>
      </c>
      <c r="N8" s="23">
        <f t="shared" si="14"/>
        <v>608</v>
      </c>
      <c r="O8" t="str">
        <f t="shared" si="2"/>
        <v>10001|8216$10004|1216$10003|608$10006|30</v>
      </c>
      <c r="P8" s="23">
        <v>5</v>
      </c>
      <c r="Q8" s="23">
        <f t="shared" si="15"/>
        <v>5868</v>
      </c>
      <c r="R8" s="23">
        <f t="shared" si="16"/>
        <v>1500</v>
      </c>
      <c r="S8" s="23">
        <f t="shared" si="17"/>
        <v>750</v>
      </c>
      <c r="T8" t="str">
        <f t="shared" si="3"/>
        <v>10001|5868$10004|1500$10003|750$10006|30</v>
      </c>
      <c r="V8" s="24">
        <v>5</v>
      </c>
      <c r="W8" s="23">
        <v>1323</v>
      </c>
      <c r="X8" s="23">
        <v>331</v>
      </c>
      <c r="Y8" s="23">
        <v>331</v>
      </c>
      <c r="Z8" t="str">
        <f t="shared" si="4"/>
        <v>10001|1323$10004|331$10003|331</v>
      </c>
      <c r="AA8" s="24">
        <v>5</v>
      </c>
      <c r="AB8" s="23">
        <f t="shared" si="18"/>
        <v>41280</v>
      </c>
      <c r="AC8" s="23">
        <f t="shared" si="19"/>
        <v>2140</v>
      </c>
      <c r="AD8" s="23">
        <f t="shared" si="20"/>
        <v>1070</v>
      </c>
      <c r="AE8" t="str">
        <f t="shared" si="5"/>
        <v>10001|41280$10004|2140$10003|1070$10006|30</v>
      </c>
      <c r="AF8" s="24">
        <v>5</v>
      </c>
      <c r="AG8" s="23">
        <f t="shared" si="21"/>
        <v>122048</v>
      </c>
      <c r="AH8" s="23">
        <f t="shared" si="22"/>
        <v>2732</v>
      </c>
      <c r="AI8" s="23">
        <f t="shared" si="23"/>
        <v>1420</v>
      </c>
      <c r="AJ8" t="str">
        <f t="shared" si="6"/>
        <v>10001|122048$10004|2732$10003|1420$10006|30</v>
      </c>
      <c r="AK8" s="24">
        <v>5</v>
      </c>
      <c r="AL8" s="23">
        <f t="shared" si="24"/>
        <v>82048</v>
      </c>
      <c r="AM8" s="23">
        <f t="shared" si="25"/>
        <v>2052</v>
      </c>
      <c r="AN8" s="23">
        <f t="shared" si="26"/>
        <v>1120</v>
      </c>
      <c r="AO8" t="str">
        <f t="shared" si="7"/>
        <v>10001|82048$10004|2052$10003|1120$10006|30</v>
      </c>
      <c r="AP8" s="24">
        <v>5</v>
      </c>
      <c r="AQ8" s="23">
        <f t="shared" si="27"/>
        <v>62048</v>
      </c>
      <c r="AR8" s="23">
        <f t="shared" si="28"/>
        <v>1840</v>
      </c>
      <c r="AS8" s="23">
        <f t="shared" si="29"/>
        <v>920</v>
      </c>
      <c r="AT8" t="str">
        <f t="shared" si="8"/>
        <v>10001|62048$10004|1840$10003|920$10006|30</v>
      </c>
      <c r="AY8">
        <v>30</v>
      </c>
      <c r="AZ8">
        <v>11305</v>
      </c>
      <c r="BA8">
        <v>850</v>
      </c>
      <c r="BB8">
        <v>1275</v>
      </c>
      <c r="BC8" t="str">
        <f t="shared" si="9"/>
        <v>10001|11305$10004|850$10003|1275</v>
      </c>
      <c r="BD8" s="24">
        <v>5</v>
      </c>
      <c r="BE8">
        <v>15162</v>
      </c>
      <c r="BF8">
        <v>1140</v>
      </c>
      <c r="BG8">
        <v>1710</v>
      </c>
      <c r="BH8" t="str">
        <f t="shared" si="10"/>
        <v>10001|15162$10004|1140$10003|1710</v>
      </c>
      <c r="BK8" s="24">
        <v>5</v>
      </c>
      <c r="BL8">
        <v>19152</v>
      </c>
      <c r="BM8">
        <v>1440</v>
      </c>
      <c r="BN8">
        <v>2160</v>
      </c>
      <c r="BO8" t="str">
        <f t="shared" si="11"/>
        <v>10001|19152$10004|1440$10003|2160</v>
      </c>
    </row>
    <row r="9" spans="1:67">
      <c r="A9">
        <v>6</v>
      </c>
      <c r="B9">
        <v>1170</v>
      </c>
      <c r="C9">
        <v>234</v>
      </c>
      <c r="D9" s="23">
        <v>420</v>
      </c>
      <c r="E9" t="str">
        <f t="shared" si="0"/>
        <v>10001|1170$10004|234$10003|420</v>
      </c>
      <c r="F9">
        <v>6</v>
      </c>
      <c r="G9">
        <v>6085</v>
      </c>
      <c r="H9">
        <v>760</v>
      </c>
      <c r="I9">
        <v>380</v>
      </c>
      <c r="J9" t="str">
        <f t="shared" si="1"/>
        <v>10001|6085$10004|760$10003|380$10006|30</v>
      </c>
      <c r="K9">
        <v>6</v>
      </c>
      <c r="L9" s="23">
        <f t="shared" si="12"/>
        <v>8520</v>
      </c>
      <c r="M9" s="23">
        <f t="shared" si="13"/>
        <v>1220</v>
      </c>
      <c r="N9" s="23">
        <f t="shared" si="14"/>
        <v>610</v>
      </c>
      <c r="O9" t="str">
        <f t="shared" si="2"/>
        <v>10001|8520$10004|1220$10003|610$10006|30</v>
      </c>
      <c r="P9">
        <v>6</v>
      </c>
      <c r="Q9" s="23">
        <f t="shared" si="15"/>
        <v>6085</v>
      </c>
      <c r="R9" s="23">
        <f t="shared" si="16"/>
        <v>1500</v>
      </c>
      <c r="S9" s="23">
        <f t="shared" si="17"/>
        <v>750</v>
      </c>
      <c r="T9" t="str">
        <f t="shared" si="3"/>
        <v>10001|6085$10004|1500$10003|750$10006|30</v>
      </c>
      <c r="V9">
        <v>6</v>
      </c>
      <c r="W9" s="23">
        <v>1323</v>
      </c>
      <c r="X9" s="23">
        <v>331</v>
      </c>
      <c r="Y9" s="23">
        <v>331</v>
      </c>
      <c r="Z9" t="str">
        <f t="shared" si="4"/>
        <v>10001|1323$10004|331$10003|331</v>
      </c>
      <c r="AA9">
        <v>6</v>
      </c>
      <c r="AB9" s="23">
        <f t="shared" si="18"/>
        <v>41600</v>
      </c>
      <c r="AC9" s="23">
        <f t="shared" si="19"/>
        <v>2150</v>
      </c>
      <c r="AD9" s="23">
        <f t="shared" si="20"/>
        <v>1075</v>
      </c>
      <c r="AE9" t="str">
        <f t="shared" si="5"/>
        <v>10001|41600$10004|2150$10003|1075$10006|30</v>
      </c>
      <c r="AF9">
        <v>6</v>
      </c>
      <c r="AG9" s="23">
        <f t="shared" si="21"/>
        <v>122560</v>
      </c>
      <c r="AH9" s="23">
        <f t="shared" si="22"/>
        <v>2740</v>
      </c>
      <c r="AI9" s="23">
        <f t="shared" si="23"/>
        <v>1425</v>
      </c>
      <c r="AJ9" t="str">
        <f t="shared" si="6"/>
        <v>10001|122560$10004|2740$10003|1425$10006|30</v>
      </c>
      <c r="AK9">
        <v>6</v>
      </c>
      <c r="AL9" s="23">
        <f t="shared" si="24"/>
        <v>82560</v>
      </c>
      <c r="AM9" s="23">
        <f t="shared" si="25"/>
        <v>2065</v>
      </c>
      <c r="AN9" s="23">
        <f t="shared" si="26"/>
        <v>1125</v>
      </c>
      <c r="AO9" t="str">
        <f t="shared" si="7"/>
        <v>10001|82560$10004|2065$10003|1125$10006|30</v>
      </c>
      <c r="AP9">
        <v>6</v>
      </c>
      <c r="AQ9" s="23">
        <f t="shared" si="27"/>
        <v>62560</v>
      </c>
      <c r="AR9" s="23">
        <f t="shared" si="28"/>
        <v>1850</v>
      </c>
      <c r="AS9" s="23">
        <f t="shared" si="29"/>
        <v>925</v>
      </c>
      <c r="AT9" t="str">
        <f t="shared" si="8"/>
        <v>10001|62560$10004|1850$10003|925$10006|30</v>
      </c>
      <c r="AY9">
        <v>30</v>
      </c>
      <c r="AZ9">
        <v>3400</v>
      </c>
      <c r="BA9">
        <v>850</v>
      </c>
      <c r="BB9">
        <v>850</v>
      </c>
      <c r="BC9" t="str">
        <f t="shared" si="9"/>
        <v>10001|3400$10004|850$10003|850</v>
      </c>
      <c r="BD9">
        <v>6</v>
      </c>
      <c r="BE9">
        <v>4560</v>
      </c>
      <c r="BF9">
        <v>1140</v>
      </c>
      <c r="BG9">
        <v>1140</v>
      </c>
      <c r="BH9" t="str">
        <f t="shared" si="10"/>
        <v>10001|4560$10004|1140$10003|1140</v>
      </c>
      <c r="BK9">
        <v>6</v>
      </c>
      <c r="BL9">
        <v>5760</v>
      </c>
      <c r="BM9">
        <v>1440</v>
      </c>
      <c r="BN9">
        <v>1440</v>
      </c>
      <c r="BO9" t="str">
        <f t="shared" si="11"/>
        <v>10001|5760$10004|1440$10003|1440</v>
      </c>
    </row>
    <row r="10" spans="1:67">
      <c r="A10">
        <v>7</v>
      </c>
      <c r="B10">
        <v>1170</v>
      </c>
      <c r="C10">
        <v>234</v>
      </c>
      <c r="D10" s="23">
        <v>420</v>
      </c>
      <c r="E10" t="str">
        <f t="shared" si="0"/>
        <v>10001|1170$10004|234$10003|420</v>
      </c>
      <c r="F10">
        <v>7</v>
      </c>
      <c r="G10">
        <v>6302</v>
      </c>
      <c r="H10">
        <v>762</v>
      </c>
      <c r="I10">
        <v>381</v>
      </c>
      <c r="J10" t="str">
        <f t="shared" si="1"/>
        <v>10001|6302$10004|762$10003|381$10006|30</v>
      </c>
      <c r="K10" s="23">
        <v>7</v>
      </c>
      <c r="L10" s="23">
        <f t="shared" si="12"/>
        <v>8824</v>
      </c>
      <c r="M10" s="23">
        <f t="shared" si="13"/>
        <v>1224</v>
      </c>
      <c r="N10" s="23">
        <f t="shared" si="14"/>
        <v>612</v>
      </c>
      <c r="O10" t="str">
        <f t="shared" si="2"/>
        <v>10001|8824$10004|1224$10003|612$10006|30</v>
      </c>
      <c r="P10" s="23">
        <v>7</v>
      </c>
      <c r="Q10" s="23">
        <f t="shared" si="15"/>
        <v>6302</v>
      </c>
      <c r="R10" s="23">
        <f t="shared" si="16"/>
        <v>1500</v>
      </c>
      <c r="S10" s="23">
        <f t="shared" si="17"/>
        <v>750</v>
      </c>
      <c r="T10" t="str">
        <f t="shared" si="3"/>
        <v>10001|6302$10004|1500$10003|750$10006|30</v>
      </c>
      <c r="V10">
        <v>7</v>
      </c>
      <c r="W10" s="23">
        <v>1348</v>
      </c>
      <c r="X10" s="23">
        <v>337</v>
      </c>
      <c r="Y10" s="23">
        <v>337</v>
      </c>
      <c r="Z10" t="str">
        <f t="shared" si="4"/>
        <v>10001|1348$10004|337$10003|337</v>
      </c>
      <c r="AA10">
        <v>7</v>
      </c>
      <c r="AB10" s="23">
        <f t="shared" si="18"/>
        <v>41920</v>
      </c>
      <c r="AC10" s="23">
        <f t="shared" si="19"/>
        <v>2160</v>
      </c>
      <c r="AD10" s="23">
        <f t="shared" si="20"/>
        <v>1080</v>
      </c>
      <c r="AE10" t="str">
        <f t="shared" si="5"/>
        <v>10001|41920$10004|2160$10003|1080$10006|30</v>
      </c>
      <c r="AF10">
        <v>7</v>
      </c>
      <c r="AG10" s="23">
        <f t="shared" si="21"/>
        <v>123072</v>
      </c>
      <c r="AH10" s="23">
        <f t="shared" si="22"/>
        <v>2748</v>
      </c>
      <c r="AI10" s="23">
        <f t="shared" si="23"/>
        <v>1430</v>
      </c>
      <c r="AJ10" t="str">
        <f t="shared" si="6"/>
        <v>10001|123072$10004|2748$10003|1430$10006|30</v>
      </c>
      <c r="AK10">
        <v>7</v>
      </c>
      <c r="AL10" s="23">
        <f t="shared" si="24"/>
        <v>83072</v>
      </c>
      <c r="AM10" s="23">
        <f t="shared" si="25"/>
        <v>2078</v>
      </c>
      <c r="AN10" s="23">
        <f t="shared" si="26"/>
        <v>1130</v>
      </c>
      <c r="AO10" t="str">
        <f t="shared" si="7"/>
        <v>10001|83072$10004|2078$10003|1130$10006|30</v>
      </c>
      <c r="AP10">
        <v>7</v>
      </c>
      <c r="AQ10" s="23">
        <f t="shared" si="27"/>
        <v>63072</v>
      </c>
      <c r="AR10" s="23">
        <f t="shared" si="28"/>
        <v>1860</v>
      </c>
      <c r="AS10" s="23">
        <f t="shared" si="29"/>
        <v>930</v>
      </c>
      <c r="AT10" t="str">
        <f t="shared" si="8"/>
        <v>10001|63072$10004|1860$10003|930$10006|30</v>
      </c>
      <c r="AY10">
        <v>30</v>
      </c>
      <c r="AZ10">
        <v>3440</v>
      </c>
      <c r="BA10">
        <v>860</v>
      </c>
      <c r="BB10">
        <v>860</v>
      </c>
      <c r="BC10" t="str">
        <f t="shared" si="9"/>
        <v>10001|3440$10004|860$10003|860</v>
      </c>
      <c r="BD10">
        <v>7</v>
      </c>
      <c r="BE10">
        <v>4600</v>
      </c>
      <c r="BF10">
        <v>1150</v>
      </c>
      <c r="BG10">
        <v>1150</v>
      </c>
      <c r="BH10" t="str">
        <f t="shared" si="10"/>
        <v>10001|4600$10004|1150$10003|1150</v>
      </c>
      <c r="BK10">
        <v>7</v>
      </c>
      <c r="BL10">
        <v>5800</v>
      </c>
      <c r="BM10">
        <v>1450</v>
      </c>
      <c r="BN10">
        <v>1450</v>
      </c>
      <c r="BO10" t="str">
        <f t="shared" si="11"/>
        <v>10001|5800$10004|1450$10003|1450</v>
      </c>
    </row>
    <row r="11" spans="1:67">
      <c r="A11">
        <v>8</v>
      </c>
      <c r="B11">
        <v>1170</v>
      </c>
      <c r="C11">
        <v>234</v>
      </c>
      <c r="D11" s="23">
        <v>420</v>
      </c>
      <c r="E11" t="str">
        <f t="shared" si="0"/>
        <v>10001|1170$10004|234$10003|420</v>
      </c>
      <c r="F11">
        <v>8</v>
      </c>
      <c r="G11">
        <v>6519</v>
      </c>
      <c r="H11">
        <v>764</v>
      </c>
      <c r="I11">
        <v>382</v>
      </c>
      <c r="J11" t="str">
        <f t="shared" si="1"/>
        <v>10001|6519$10004|764$10003|382$10006|30</v>
      </c>
      <c r="K11">
        <v>8</v>
      </c>
      <c r="L11" s="23">
        <f t="shared" si="12"/>
        <v>9128</v>
      </c>
      <c r="M11" s="23">
        <f t="shared" si="13"/>
        <v>1228</v>
      </c>
      <c r="N11" s="23">
        <f t="shared" si="14"/>
        <v>614</v>
      </c>
      <c r="O11" t="str">
        <f t="shared" si="2"/>
        <v>10001|9128$10004|1228$10003|614$10006|30</v>
      </c>
      <c r="P11">
        <v>8</v>
      </c>
      <c r="Q11" s="23">
        <f t="shared" si="15"/>
        <v>6519</v>
      </c>
      <c r="R11" s="23">
        <f t="shared" si="16"/>
        <v>1500</v>
      </c>
      <c r="S11" s="23">
        <f t="shared" si="17"/>
        <v>750</v>
      </c>
      <c r="T11" t="str">
        <f t="shared" si="3"/>
        <v>10001|6519$10004|1500$10003|750$10006|30</v>
      </c>
      <c r="V11" s="24">
        <v>8</v>
      </c>
      <c r="W11" s="23">
        <v>6994</v>
      </c>
      <c r="X11" s="23">
        <v>763</v>
      </c>
      <c r="Y11" s="23">
        <v>890</v>
      </c>
      <c r="Z11" t="str">
        <f t="shared" si="4"/>
        <v>10001|6994$10004|763$10003|890</v>
      </c>
      <c r="AA11" s="24">
        <v>8</v>
      </c>
      <c r="AB11" s="23">
        <f t="shared" si="18"/>
        <v>42240</v>
      </c>
      <c r="AC11" s="23">
        <f t="shared" si="19"/>
        <v>2170</v>
      </c>
      <c r="AD11" s="23">
        <f t="shared" si="20"/>
        <v>1085</v>
      </c>
      <c r="AE11" t="str">
        <f t="shared" si="5"/>
        <v>10001|42240$10004|2170$10003|1085$10006|30</v>
      </c>
      <c r="AF11">
        <v>8</v>
      </c>
      <c r="AG11" s="23">
        <f t="shared" si="21"/>
        <v>123584</v>
      </c>
      <c r="AH11" s="23">
        <f t="shared" si="22"/>
        <v>2756</v>
      </c>
      <c r="AI11" s="23">
        <f t="shared" si="23"/>
        <v>1435</v>
      </c>
      <c r="AJ11" t="str">
        <f t="shared" si="6"/>
        <v>10001|123584$10004|2756$10003|1435$10006|30</v>
      </c>
      <c r="AK11">
        <v>8</v>
      </c>
      <c r="AL11" s="23">
        <f t="shared" si="24"/>
        <v>83584</v>
      </c>
      <c r="AM11" s="23">
        <f t="shared" si="25"/>
        <v>2091</v>
      </c>
      <c r="AN11" s="23">
        <f t="shared" si="26"/>
        <v>1135</v>
      </c>
      <c r="AO11" t="str">
        <f t="shared" si="7"/>
        <v>10001|83584$10004|2091$10003|1135$10006|30</v>
      </c>
      <c r="AP11">
        <v>8</v>
      </c>
      <c r="AQ11" s="23">
        <f t="shared" si="27"/>
        <v>63584</v>
      </c>
      <c r="AR11" s="23">
        <f t="shared" si="28"/>
        <v>1870</v>
      </c>
      <c r="AS11" s="23">
        <f t="shared" si="29"/>
        <v>935</v>
      </c>
      <c r="AT11" t="str">
        <f t="shared" si="8"/>
        <v>10001|63584$10004|1870$10003|935$10006|30</v>
      </c>
      <c r="AY11">
        <v>30</v>
      </c>
      <c r="AZ11">
        <v>3480</v>
      </c>
      <c r="BA11">
        <v>870</v>
      </c>
      <c r="BB11">
        <v>870</v>
      </c>
      <c r="BC11" t="str">
        <f t="shared" si="9"/>
        <v>10001|3480$10004|870$10003|870</v>
      </c>
      <c r="BD11">
        <v>8</v>
      </c>
      <c r="BE11">
        <v>4640</v>
      </c>
      <c r="BF11">
        <v>1160</v>
      </c>
      <c r="BG11">
        <v>1160</v>
      </c>
      <c r="BH11" t="str">
        <f t="shared" si="10"/>
        <v>10001|4640$10004|1160$10003|1160</v>
      </c>
      <c r="BK11">
        <v>8</v>
      </c>
      <c r="BL11">
        <v>5840</v>
      </c>
      <c r="BM11">
        <v>1460</v>
      </c>
      <c r="BN11">
        <v>1460</v>
      </c>
      <c r="BO11" t="str">
        <f t="shared" si="11"/>
        <v>10001|5840$10004|1460$10003|1460</v>
      </c>
    </row>
    <row r="12" spans="1:67">
      <c r="A12">
        <v>9</v>
      </c>
      <c r="B12">
        <v>1170</v>
      </c>
      <c r="C12">
        <v>234</v>
      </c>
      <c r="D12" s="23">
        <v>420</v>
      </c>
      <c r="E12" t="str">
        <f t="shared" si="0"/>
        <v>10001|1170$10004|234$10003|420</v>
      </c>
      <c r="F12">
        <v>9</v>
      </c>
      <c r="G12">
        <v>6736</v>
      </c>
      <c r="H12">
        <v>766</v>
      </c>
      <c r="I12">
        <v>383</v>
      </c>
      <c r="J12" t="str">
        <f t="shared" si="1"/>
        <v>10001|6736$10004|766$10003|383$10006|30</v>
      </c>
      <c r="K12" s="23">
        <v>9</v>
      </c>
      <c r="L12" s="23">
        <f t="shared" si="12"/>
        <v>9432</v>
      </c>
      <c r="M12" s="23">
        <f t="shared" si="13"/>
        <v>1232</v>
      </c>
      <c r="N12" s="23">
        <f t="shared" si="14"/>
        <v>616</v>
      </c>
      <c r="O12" t="str">
        <f t="shared" si="2"/>
        <v>10001|9432$10004|1232$10003|616$10006|30</v>
      </c>
      <c r="P12" s="23">
        <v>9</v>
      </c>
      <c r="Q12" s="23">
        <f t="shared" si="15"/>
        <v>6736</v>
      </c>
      <c r="R12" s="23">
        <f t="shared" si="16"/>
        <v>1500</v>
      </c>
      <c r="S12" s="23">
        <f t="shared" si="17"/>
        <v>750</v>
      </c>
      <c r="T12" t="str">
        <f t="shared" si="3"/>
        <v>10001|6736$10004|1500$10003|750$10006|30</v>
      </c>
      <c r="V12">
        <v>9</v>
      </c>
      <c r="W12" s="23">
        <v>1374</v>
      </c>
      <c r="X12" s="23">
        <v>343</v>
      </c>
      <c r="Y12" s="23">
        <v>343</v>
      </c>
      <c r="Z12" t="str">
        <f t="shared" si="4"/>
        <v>10001|1374$10004|343$10003|343</v>
      </c>
      <c r="AA12">
        <v>9</v>
      </c>
      <c r="AB12" s="23">
        <f t="shared" si="18"/>
        <v>42560</v>
      </c>
      <c r="AC12" s="23">
        <f t="shared" si="19"/>
        <v>2180</v>
      </c>
      <c r="AD12" s="23">
        <f t="shared" si="20"/>
        <v>1090</v>
      </c>
      <c r="AE12" t="str">
        <f t="shared" si="5"/>
        <v>10001|42560$10004|2180$10003|1090$10006|30</v>
      </c>
      <c r="AF12">
        <v>9</v>
      </c>
      <c r="AG12" s="23">
        <f t="shared" si="21"/>
        <v>124096</v>
      </c>
      <c r="AH12" s="23">
        <f t="shared" si="22"/>
        <v>2764</v>
      </c>
      <c r="AI12" s="23">
        <f t="shared" si="23"/>
        <v>1440</v>
      </c>
      <c r="AJ12" t="str">
        <f t="shared" si="6"/>
        <v>10001|124096$10004|2764$10003|1440$10006|30</v>
      </c>
      <c r="AK12">
        <v>9</v>
      </c>
      <c r="AL12" s="23">
        <f t="shared" si="24"/>
        <v>84096</v>
      </c>
      <c r="AM12" s="23">
        <f t="shared" si="25"/>
        <v>2104</v>
      </c>
      <c r="AN12" s="23">
        <f t="shared" si="26"/>
        <v>1140</v>
      </c>
      <c r="AO12" t="str">
        <f t="shared" si="7"/>
        <v>10001|84096$10004|2104$10003|1140$10006|30</v>
      </c>
      <c r="AP12">
        <v>9</v>
      </c>
      <c r="AQ12" s="23">
        <f t="shared" si="27"/>
        <v>64096</v>
      </c>
      <c r="AR12" s="23">
        <f t="shared" si="28"/>
        <v>1880</v>
      </c>
      <c r="AS12" s="23">
        <f t="shared" si="29"/>
        <v>940</v>
      </c>
      <c r="AT12" t="str">
        <f t="shared" si="8"/>
        <v>10001|64096$10004|1880$10003|940$10006|30</v>
      </c>
      <c r="AY12">
        <v>30</v>
      </c>
      <c r="AZ12">
        <v>3520</v>
      </c>
      <c r="BA12">
        <v>880</v>
      </c>
      <c r="BB12">
        <v>880</v>
      </c>
      <c r="BC12" t="str">
        <f t="shared" si="9"/>
        <v>10001|3520$10004|880$10003|880</v>
      </c>
      <c r="BD12">
        <v>9</v>
      </c>
      <c r="BE12">
        <v>4680</v>
      </c>
      <c r="BF12">
        <v>1170</v>
      </c>
      <c r="BG12">
        <v>1170</v>
      </c>
      <c r="BH12" t="str">
        <f t="shared" si="10"/>
        <v>10001|4680$10004|1170$10003|1170</v>
      </c>
      <c r="BK12">
        <v>9</v>
      </c>
      <c r="BL12">
        <v>5880</v>
      </c>
      <c r="BM12">
        <v>1470</v>
      </c>
      <c r="BN12">
        <v>1470</v>
      </c>
      <c r="BO12" t="str">
        <f t="shared" si="11"/>
        <v>10001|5880$10004|1470$10003|1470</v>
      </c>
    </row>
    <row r="13" spans="1:67">
      <c r="A13" s="24">
        <v>10</v>
      </c>
      <c r="B13">
        <v>3573</v>
      </c>
      <c r="C13">
        <v>450</v>
      </c>
      <c r="D13" s="23">
        <v>315</v>
      </c>
      <c r="E13" t="str">
        <f t="shared" si="0"/>
        <v>10001|3573$10004|450$10003|315</v>
      </c>
      <c r="F13" s="24">
        <v>10</v>
      </c>
      <c r="G13">
        <v>6953</v>
      </c>
      <c r="H13">
        <v>768</v>
      </c>
      <c r="I13">
        <v>384</v>
      </c>
      <c r="J13" t="str">
        <f t="shared" si="1"/>
        <v>10001|6953$10004|768$10003|384$10006|30</v>
      </c>
      <c r="K13">
        <v>10</v>
      </c>
      <c r="L13" s="23">
        <f t="shared" si="12"/>
        <v>9736</v>
      </c>
      <c r="M13" s="23">
        <f t="shared" si="13"/>
        <v>1236</v>
      </c>
      <c r="N13" s="23">
        <f t="shared" si="14"/>
        <v>618</v>
      </c>
      <c r="O13" t="str">
        <f t="shared" si="2"/>
        <v>10001|9736$10004|1236$10003|618$10006|30</v>
      </c>
      <c r="P13">
        <v>10</v>
      </c>
      <c r="Q13" s="23">
        <f t="shared" si="15"/>
        <v>6953</v>
      </c>
      <c r="R13" s="23">
        <f t="shared" si="16"/>
        <v>1500</v>
      </c>
      <c r="S13" s="23">
        <f t="shared" si="17"/>
        <v>750</v>
      </c>
      <c r="T13" t="str">
        <f t="shared" si="3"/>
        <v>10001|6953$10004|1500$10003|750$10006|30</v>
      </c>
      <c r="V13" s="25">
        <v>10</v>
      </c>
      <c r="W13" s="23">
        <v>1374</v>
      </c>
      <c r="X13" s="23">
        <v>343</v>
      </c>
      <c r="Y13" s="23">
        <v>343</v>
      </c>
      <c r="Z13" t="str">
        <f t="shared" si="4"/>
        <v>10001|1374$10004|343$10003|343</v>
      </c>
      <c r="AA13" s="25">
        <v>10</v>
      </c>
      <c r="AB13" s="23">
        <f t="shared" si="18"/>
        <v>42880</v>
      </c>
      <c r="AC13" s="23">
        <f t="shared" si="19"/>
        <v>2190</v>
      </c>
      <c r="AD13" s="23">
        <f t="shared" si="20"/>
        <v>1095</v>
      </c>
      <c r="AE13" t="str">
        <f t="shared" si="5"/>
        <v>10001|42880$10004|2190$10003|1095$10006|30</v>
      </c>
      <c r="AF13" s="24">
        <v>10</v>
      </c>
      <c r="AG13" s="23">
        <f t="shared" si="21"/>
        <v>124608</v>
      </c>
      <c r="AH13" s="23">
        <f t="shared" si="22"/>
        <v>2772</v>
      </c>
      <c r="AI13" s="23">
        <f t="shared" si="23"/>
        <v>1445</v>
      </c>
      <c r="AJ13" t="str">
        <f t="shared" si="6"/>
        <v>10001|124608$10004|2772$10003|1445$10006|30</v>
      </c>
      <c r="AK13" s="24">
        <v>10</v>
      </c>
      <c r="AL13" s="23">
        <f t="shared" si="24"/>
        <v>84608</v>
      </c>
      <c r="AM13" s="23">
        <f t="shared" si="25"/>
        <v>2117</v>
      </c>
      <c r="AN13" s="23">
        <f t="shared" si="26"/>
        <v>1145</v>
      </c>
      <c r="AO13" t="str">
        <f t="shared" si="7"/>
        <v>10001|84608$10004|2117$10003|1145$10006|30</v>
      </c>
      <c r="AP13" s="24">
        <v>10</v>
      </c>
      <c r="AQ13" s="23">
        <f t="shared" si="27"/>
        <v>64608</v>
      </c>
      <c r="AR13" s="23">
        <f t="shared" si="28"/>
        <v>1890</v>
      </c>
      <c r="AS13" s="23">
        <f t="shared" si="29"/>
        <v>945</v>
      </c>
      <c r="AT13" t="str">
        <f t="shared" si="8"/>
        <v>10001|64608$10004|1890$10003|945$10006|30</v>
      </c>
      <c r="AY13">
        <v>30</v>
      </c>
      <c r="AZ13">
        <v>11970</v>
      </c>
      <c r="BA13">
        <v>900</v>
      </c>
      <c r="BB13">
        <v>1350</v>
      </c>
      <c r="BC13" t="str">
        <f t="shared" si="9"/>
        <v>10001|11970$10004|900$10003|1350</v>
      </c>
      <c r="BD13" s="24">
        <v>10</v>
      </c>
      <c r="BE13">
        <v>15694</v>
      </c>
      <c r="BF13">
        <v>1180</v>
      </c>
      <c r="BG13">
        <v>1770</v>
      </c>
      <c r="BH13" t="str">
        <f t="shared" si="10"/>
        <v>10001|15694$10004|1180$10003|1770</v>
      </c>
      <c r="BK13" s="24">
        <v>10</v>
      </c>
      <c r="BL13">
        <v>19684</v>
      </c>
      <c r="BM13">
        <v>1480</v>
      </c>
      <c r="BN13">
        <v>2220</v>
      </c>
      <c r="BO13" t="str">
        <f t="shared" si="11"/>
        <v>10001|19684$10004|1480$10003|2220</v>
      </c>
    </row>
    <row r="14" spans="1:67">
      <c r="A14" s="24">
        <v>11</v>
      </c>
      <c r="B14">
        <v>4473</v>
      </c>
      <c r="C14">
        <v>486</v>
      </c>
      <c r="D14" s="23">
        <v>353</v>
      </c>
      <c r="E14" t="str">
        <f t="shared" si="0"/>
        <v>10001|4473$10004|486$10003|353</v>
      </c>
      <c r="F14">
        <v>11</v>
      </c>
      <c r="G14">
        <v>7170</v>
      </c>
      <c r="H14">
        <v>770</v>
      </c>
      <c r="I14">
        <v>385</v>
      </c>
      <c r="J14" t="str">
        <f t="shared" si="1"/>
        <v>10001|7170$10004|770$10003|385$10006|30</v>
      </c>
      <c r="K14" s="23">
        <v>11</v>
      </c>
      <c r="L14" s="23">
        <f t="shared" si="12"/>
        <v>10040</v>
      </c>
      <c r="M14" s="23">
        <f t="shared" si="13"/>
        <v>1240</v>
      </c>
      <c r="N14" s="23">
        <f t="shared" si="14"/>
        <v>620</v>
      </c>
      <c r="O14" t="str">
        <f t="shared" si="2"/>
        <v>10001|10040$10004|1240$10003|620$10006|30</v>
      </c>
      <c r="P14" s="23">
        <v>11</v>
      </c>
      <c r="Q14" s="23">
        <f t="shared" si="15"/>
        <v>7170</v>
      </c>
      <c r="R14" s="23">
        <f t="shared" si="16"/>
        <v>1500</v>
      </c>
      <c r="S14" s="23">
        <f t="shared" si="17"/>
        <v>750</v>
      </c>
      <c r="T14" t="str">
        <f t="shared" si="3"/>
        <v>10001|7170$10004|1500$10003|750$10006|30</v>
      </c>
      <c r="V14">
        <v>11</v>
      </c>
      <c r="W14" s="23">
        <v>1398</v>
      </c>
      <c r="X14" s="23">
        <v>350</v>
      </c>
      <c r="Y14" s="23">
        <v>350</v>
      </c>
      <c r="Z14" t="str">
        <f t="shared" si="4"/>
        <v>10001|1398$10004|350$10003|350</v>
      </c>
      <c r="AA14">
        <v>11</v>
      </c>
      <c r="AB14" s="23">
        <f t="shared" si="18"/>
        <v>43200</v>
      </c>
      <c r="AC14" s="23">
        <f t="shared" si="19"/>
        <v>2200</v>
      </c>
      <c r="AD14" s="23">
        <f t="shared" si="20"/>
        <v>1100</v>
      </c>
      <c r="AE14" t="str">
        <f t="shared" si="5"/>
        <v>10001|43200$10004|2200$10003|1100$10006|30</v>
      </c>
      <c r="AF14">
        <v>11</v>
      </c>
      <c r="AG14" s="23">
        <f t="shared" si="21"/>
        <v>125120</v>
      </c>
      <c r="AH14" s="23">
        <f t="shared" si="22"/>
        <v>2780</v>
      </c>
      <c r="AI14" s="23">
        <f t="shared" si="23"/>
        <v>1450</v>
      </c>
      <c r="AJ14" t="str">
        <f t="shared" si="6"/>
        <v>10001|125120$10004|2780$10003|1450$10006|30</v>
      </c>
      <c r="AK14">
        <v>11</v>
      </c>
      <c r="AL14" s="23">
        <f t="shared" si="24"/>
        <v>85120</v>
      </c>
      <c r="AM14" s="23">
        <f t="shared" si="25"/>
        <v>2130</v>
      </c>
      <c r="AN14" s="23">
        <f t="shared" si="26"/>
        <v>1150</v>
      </c>
      <c r="AO14" t="str">
        <f t="shared" si="7"/>
        <v>10001|85120$10004|2130$10003|1150$10006|30</v>
      </c>
      <c r="AP14">
        <v>11</v>
      </c>
      <c r="AQ14" s="23">
        <f t="shared" si="27"/>
        <v>65120</v>
      </c>
      <c r="AR14" s="23">
        <f t="shared" si="28"/>
        <v>1900</v>
      </c>
      <c r="AS14" s="23">
        <f t="shared" si="29"/>
        <v>950</v>
      </c>
      <c r="AT14" t="str">
        <f t="shared" si="8"/>
        <v>10001|65120$10004|1900$10003|950$10006|30</v>
      </c>
      <c r="AY14">
        <v>30</v>
      </c>
      <c r="AZ14">
        <v>3600</v>
      </c>
      <c r="BA14">
        <v>900</v>
      </c>
      <c r="BB14">
        <v>900</v>
      </c>
      <c r="BC14" t="str">
        <f t="shared" si="9"/>
        <v>10001|3600$10004|900$10003|900</v>
      </c>
      <c r="BD14">
        <v>11</v>
      </c>
      <c r="BE14">
        <v>4720</v>
      </c>
      <c r="BF14">
        <v>1180</v>
      </c>
      <c r="BG14">
        <v>1180</v>
      </c>
      <c r="BH14" t="str">
        <f t="shared" si="10"/>
        <v>10001|4720$10004|1180$10003|1180</v>
      </c>
      <c r="BK14">
        <v>11</v>
      </c>
      <c r="BL14">
        <v>5920</v>
      </c>
      <c r="BM14">
        <v>1480</v>
      </c>
      <c r="BN14">
        <v>1480</v>
      </c>
      <c r="BO14" t="str">
        <f t="shared" si="11"/>
        <v>10001|5920$10004|1480$10003|1480</v>
      </c>
    </row>
    <row r="15" spans="1:67">
      <c r="F15">
        <v>12</v>
      </c>
      <c r="G15">
        <v>7387</v>
      </c>
      <c r="H15">
        <v>772</v>
      </c>
      <c r="I15">
        <v>386</v>
      </c>
      <c r="J15" t="str">
        <f t="shared" si="1"/>
        <v>10001|7387$10004|772$10003|386$10006|30</v>
      </c>
      <c r="K15">
        <v>12</v>
      </c>
      <c r="L15" s="23">
        <f t="shared" si="12"/>
        <v>10344</v>
      </c>
      <c r="M15" s="23">
        <f t="shared" si="13"/>
        <v>1244</v>
      </c>
      <c r="N15" s="23">
        <f t="shared" si="14"/>
        <v>622</v>
      </c>
      <c r="O15" t="str">
        <f t="shared" si="2"/>
        <v>10001|10344$10004|1244$10003|622$10006|30</v>
      </c>
      <c r="P15">
        <v>12</v>
      </c>
      <c r="Q15" s="23">
        <f t="shared" si="15"/>
        <v>7387</v>
      </c>
      <c r="R15" s="23">
        <f t="shared" si="16"/>
        <v>1500</v>
      </c>
      <c r="S15" s="23">
        <f t="shared" si="17"/>
        <v>750</v>
      </c>
      <c r="T15" t="str">
        <f t="shared" si="3"/>
        <v>10001|7387$10004|1500$10003|750$10006|30</v>
      </c>
      <c r="V15">
        <v>12</v>
      </c>
      <c r="W15" s="23">
        <v>1424</v>
      </c>
      <c r="X15" s="23">
        <v>356</v>
      </c>
      <c r="Y15" s="23">
        <v>356</v>
      </c>
      <c r="Z15" t="str">
        <f t="shared" si="4"/>
        <v>10001|1424$10004|356$10003|356</v>
      </c>
      <c r="AA15">
        <v>12</v>
      </c>
      <c r="AB15" s="23">
        <f t="shared" si="18"/>
        <v>43520</v>
      </c>
      <c r="AC15" s="23">
        <f t="shared" si="19"/>
        <v>2210</v>
      </c>
      <c r="AD15" s="23">
        <f t="shared" si="20"/>
        <v>1105</v>
      </c>
      <c r="AE15" t="str">
        <f t="shared" si="5"/>
        <v>10001|43520$10004|2210$10003|1105$10006|30</v>
      </c>
      <c r="AF15">
        <v>12</v>
      </c>
      <c r="AG15" s="23">
        <f t="shared" si="21"/>
        <v>125632</v>
      </c>
      <c r="AH15" s="23">
        <f t="shared" si="22"/>
        <v>2788</v>
      </c>
      <c r="AI15" s="23">
        <f t="shared" si="23"/>
        <v>1455</v>
      </c>
      <c r="AJ15" t="str">
        <f t="shared" si="6"/>
        <v>10001|125632$10004|2788$10003|1455$10006|30</v>
      </c>
      <c r="AK15">
        <v>12</v>
      </c>
      <c r="AL15" s="23">
        <f t="shared" si="24"/>
        <v>85632</v>
      </c>
      <c r="AM15" s="23">
        <f t="shared" si="25"/>
        <v>2143</v>
      </c>
      <c r="AN15" s="23">
        <f t="shared" si="26"/>
        <v>1155</v>
      </c>
      <c r="AO15" t="str">
        <f t="shared" si="7"/>
        <v>10001|85632$10004|2143$10003|1155$10006|30</v>
      </c>
      <c r="AP15">
        <v>12</v>
      </c>
      <c r="AQ15" s="23">
        <f t="shared" si="27"/>
        <v>65632</v>
      </c>
      <c r="AR15" s="23">
        <f t="shared" si="28"/>
        <v>1910</v>
      </c>
      <c r="AS15" s="23">
        <f t="shared" si="29"/>
        <v>955</v>
      </c>
      <c r="AT15" t="str">
        <f t="shared" si="8"/>
        <v>10001|65632$10004|1910$10003|955$10006|30</v>
      </c>
      <c r="AY15">
        <v>30</v>
      </c>
      <c r="AZ15">
        <v>3640</v>
      </c>
      <c r="BA15">
        <v>910</v>
      </c>
      <c r="BB15">
        <v>910</v>
      </c>
      <c r="BC15" t="str">
        <f t="shared" si="9"/>
        <v>10001|3640$10004|910$10003|910</v>
      </c>
      <c r="BD15">
        <v>12</v>
      </c>
      <c r="BE15">
        <v>4760</v>
      </c>
      <c r="BF15">
        <v>1190</v>
      </c>
      <c r="BG15">
        <v>1190</v>
      </c>
      <c r="BH15" t="str">
        <f t="shared" si="10"/>
        <v>10001|4760$10004|1190$10003|1190</v>
      </c>
      <c r="BK15">
        <v>12</v>
      </c>
      <c r="BL15">
        <v>5960</v>
      </c>
      <c r="BM15">
        <v>1490</v>
      </c>
      <c r="BN15">
        <v>1490</v>
      </c>
      <c r="BO15" t="str">
        <f t="shared" si="11"/>
        <v>10001|5960$10004|1490$10003|1490</v>
      </c>
    </row>
    <row r="16" spans="1:67">
      <c r="F16">
        <v>13</v>
      </c>
      <c r="G16">
        <v>7604</v>
      </c>
      <c r="H16">
        <v>774</v>
      </c>
      <c r="I16">
        <v>387</v>
      </c>
      <c r="J16" t="str">
        <f t="shared" si="1"/>
        <v>10001|7604$10004|774$10003|387$10006|30</v>
      </c>
      <c r="K16" s="23">
        <v>13</v>
      </c>
      <c r="L16" s="23">
        <f t="shared" si="12"/>
        <v>10648</v>
      </c>
      <c r="M16" s="23">
        <f t="shared" si="13"/>
        <v>1248</v>
      </c>
      <c r="N16" s="23">
        <f t="shared" si="14"/>
        <v>624</v>
      </c>
      <c r="O16" t="str">
        <f t="shared" si="2"/>
        <v>10001|10648$10004|1248$10003|624$10006|30</v>
      </c>
      <c r="P16" s="23">
        <v>13</v>
      </c>
      <c r="Q16" s="23">
        <f t="shared" si="15"/>
        <v>7604</v>
      </c>
      <c r="R16" s="23">
        <f t="shared" si="16"/>
        <v>1500</v>
      </c>
      <c r="S16" s="23">
        <f t="shared" si="17"/>
        <v>750</v>
      </c>
      <c r="T16" t="str">
        <f t="shared" si="3"/>
        <v>10001|7604$10004|1500$10003|750$10006|30</v>
      </c>
      <c r="V16">
        <v>13</v>
      </c>
      <c r="W16" s="23">
        <v>1424</v>
      </c>
      <c r="X16" s="23">
        <v>356</v>
      </c>
      <c r="Y16" s="23">
        <v>356</v>
      </c>
      <c r="Z16" t="str">
        <f t="shared" si="4"/>
        <v>10001|1424$10004|356$10003|356</v>
      </c>
      <c r="AA16">
        <v>13</v>
      </c>
      <c r="AB16" s="23">
        <f t="shared" si="18"/>
        <v>43840</v>
      </c>
      <c r="AC16" s="23">
        <f t="shared" si="19"/>
        <v>2220</v>
      </c>
      <c r="AD16" s="23">
        <f t="shared" si="20"/>
        <v>1110</v>
      </c>
      <c r="AE16" t="str">
        <f t="shared" si="5"/>
        <v>10001|43840$10004|2220$10003|1110$10006|30</v>
      </c>
      <c r="AF16">
        <v>13</v>
      </c>
      <c r="AG16" s="23">
        <f t="shared" si="21"/>
        <v>126144</v>
      </c>
      <c r="AH16" s="23">
        <f t="shared" si="22"/>
        <v>2796</v>
      </c>
      <c r="AI16" s="23">
        <f t="shared" si="23"/>
        <v>1460</v>
      </c>
      <c r="AJ16" t="str">
        <f t="shared" si="6"/>
        <v>10001|126144$10004|2796$10003|1460$10006|30</v>
      </c>
      <c r="AK16">
        <v>13</v>
      </c>
      <c r="AL16" s="23">
        <f t="shared" si="24"/>
        <v>86144</v>
      </c>
      <c r="AM16" s="23">
        <f t="shared" si="25"/>
        <v>2156</v>
      </c>
      <c r="AN16" s="23">
        <f t="shared" si="26"/>
        <v>1160</v>
      </c>
      <c r="AO16" t="str">
        <f t="shared" si="7"/>
        <v>10001|86144$10004|2156$10003|1160$10006|30</v>
      </c>
      <c r="AP16">
        <v>13</v>
      </c>
      <c r="AQ16" s="23">
        <f t="shared" si="27"/>
        <v>66144</v>
      </c>
      <c r="AR16" s="23">
        <f t="shared" si="28"/>
        <v>1920</v>
      </c>
      <c r="AS16" s="23">
        <f t="shared" si="29"/>
        <v>960</v>
      </c>
      <c r="AT16" t="str">
        <f t="shared" si="8"/>
        <v>10001|66144$10004|1920$10003|960$10006|30</v>
      </c>
      <c r="AY16">
        <v>30</v>
      </c>
      <c r="AZ16">
        <v>3680</v>
      </c>
      <c r="BA16">
        <v>920</v>
      </c>
      <c r="BB16">
        <v>920</v>
      </c>
      <c r="BC16" t="str">
        <f t="shared" si="9"/>
        <v>10001|3680$10004|920$10003|920</v>
      </c>
      <c r="BD16">
        <v>13</v>
      </c>
      <c r="BE16">
        <v>4800</v>
      </c>
      <c r="BF16">
        <v>1200</v>
      </c>
      <c r="BG16">
        <v>1200</v>
      </c>
      <c r="BH16" t="str">
        <f t="shared" si="10"/>
        <v>10001|4800$10004|1200$10003|1200</v>
      </c>
      <c r="BK16">
        <v>13</v>
      </c>
      <c r="BL16">
        <v>6000</v>
      </c>
      <c r="BM16">
        <v>1500</v>
      </c>
      <c r="BN16">
        <v>1500</v>
      </c>
      <c r="BO16" t="str">
        <f t="shared" si="11"/>
        <v>10001|6000$10004|1500$10003|1500</v>
      </c>
    </row>
    <row r="17" spans="1:67">
      <c r="F17">
        <v>14</v>
      </c>
      <c r="G17">
        <v>7821</v>
      </c>
      <c r="H17">
        <v>776</v>
      </c>
      <c r="I17">
        <v>388</v>
      </c>
      <c r="J17" t="str">
        <f t="shared" si="1"/>
        <v>10001|7821$10004|776$10003|388$10006|30</v>
      </c>
      <c r="K17">
        <v>14</v>
      </c>
      <c r="L17" s="23">
        <f t="shared" si="12"/>
        <v>10952</v>
      </c>
      <c r="M17" s="23">
        <f t="shared" si="13"/>
        <v>1252</v>
      </c>
      <c r="N17" s="23">
        <f t="shared" si="14"/>
        <v>626</v>
      </c>
      <c r="O17" t="str">
        <f t="shared" si="2"/>
        <v>10001|10952$10004|1252$10003|626$10006|30</v>
      </c>
      <c r="P17">
        <v>14</v>
      </c>
      <c r="Q17" s="23">
        <f t="shared" si="15"/>
        <v>7821</v>
      </c>
      <c r="R17" s="23">
        <f t="shared" si="16"/>
        <v>1500</v>
      </c>
      <c r="S17" s="23">
        <f t="shared" si="17"/>
        <v>750</v>
      </c>
      <c r="T17" t="str">
        <f t="shared" si="3"/>
        <v>10001|7821$10004|1500$10003|750$10006|30</v>
      </c>
      <c r="V17">
        <v>14</v>
      </c>
      <c r="W17" s="23">
        <v>1424</v>
      </c>
      <c r="X17" s="23">
        <v>356</v>
      </c>
      <c r="Y17" s="23">
        <v>356</v>
      </c>
      <c r="Z17" t="str">
        <f t="shared" si="4"/>
        <v>10001|1424$10004|356$10003|356</v>
      </c>
      <c r="AA17">
        <v>14</v>
      </c>
      <c r="AB17" s="23">
        <f t="shared" si="18"/>
        <v>44160</v>
      </c>
      <c r="AC17" s="23">
        <f t="shared" si="19"/>
        <v>2230</v>
      </c>
      <c r="AD17" s="23">
        <f t="shared" si="20"/>
        <v>1115</v>
      </c>
      <c r="AE17" t="str">
        <f t="shared" si="5"/>
        <v>10001|44160$10004|2230$10003|1115$10006|30</v>
      </c>
      <c r="AF17">
        <v>14</v>
      </c>
      <c r="AG17" s="23">
        <f t="shared" si="21"/>
        <v>126656</v>
      </c>
      <c r="AH17" s="23">
        <f t="shared" si="22"/>
        <v>2804</v>
      </c>
      <c r="AI17" s="23">
        <f t="shared" si="23"/>
        <v>1465</v>
      </c>
      <c r="AJ17" t="str">
        <f t="shared" si="6"/>
        <v>10001|126656$10004|2804$10003|1465$10006|30</v>
      </c>
      <c r="AK17">
        <v>14</v>
      </c>
      <c r="AL17" s="23">
        <f t="shared" si="24"/>
        <v>86656</v>
      </c>
      <c r="AM17" s="23">
        <f t="shared" si="25"/>
        <v>2169</v>
      </c>
      <c r="AN17" s="23">
        <f t="shared" si="26"/>
        <v>1165</v>
      </c>
      <c r="AO17" t="str">
        <f t="shared" si="7"/>
        <v>10001|86656$10004|2169$10003|1165$10006|30</v>
      </c>
      <c r="AP17">
        <v>14</v>
      </c>
      <c r="AQ17" s="23">
        <f t="shared" si="27"/>
        <v>66656</v>
      </c>
      <c r="AR17" s="23">
        <f t="shared" si="28"/>
        <v>1930</v>
      </c>
      <c r="AS17" s="23">
        <f t="shared" si="29"/>
        <v>965</v>
      </c>
      <c r="AT17" t="str">
        <f t="shared" si="8"/>
        <v>10001|66656$10004|1930$10003|965$10006|30</v>
      </c>
      <c r="AY17">
        <v>30</v>
      </c>
      <c r="AZ17">
        <v>3720</v>
      </c>
      <c r="BA17">
        <v>930</v>
      </c>
      <c r="BB17">
        <v>930</v>
      </c>
      <c r="BC17" t="str">
        <f t="shared" si="9"/>
        <v>10001|3720$10004|930$10003|930</v>
      </c>
      <c r="BD17">
        <v>14</v>
      </c>
      <c r="BE17">
        <v>4840</v>
      </c>
      <c r="BF17">
        <v>1210</v>
      </c>
      <c r="BG17">
        <v>1210</v>
      </c>
      <c r="BH17" t="str">
        <f t="shared" si="10"/>
        <v>10001|4840$10004|1210$10003|1210</v>
      </c>
      <c r="BK17">
        <v>14</v>
      </c>
      <c r="BL17">
        <v>6040</v>
      </c>
      <c r="BM17">
        <v>1510</v>
      </c>
      <c r="BN17">
        <v>1510</v>
      </c>
      <c r="BO17" t="str">
        <f t="shared" si="11"/>
        <v>10001|6040$10004|1510$10003|1510</v>
      </c>
    </row>
    <row r="18" spans="1:67">
      <c r="A18" s="24"/>
      <c r="F18" s="24">
        <v>15</v>
      </c>
      <c r="G18">
        <v>8038</v>
      </c>
      <c r="H18">
        <v>778</v>
      </c>
      <c r="I18">
        <v>389</v>
      </c>
      <c r="J18" t="str">
        <f t="shared" si="1"/>
        <v>10001|8038$10004|778$10003|389$10006|30</v>
      </c>
      <c r="K18" s="23">
        <v>15</v>
      </c>
      <c r="L18" s="23">
        <f t="shared" si="12"/>
        <v>11256</v>
      </c>
      <c r="M18" s="23">
        <f t="shared" si="13"/>
        <v>1256</v>
      </c>
      <c r="N18" s="23">
        <f t="shared" si="14"/>
        <v>628</v>
      </c>
      <c r="O18" t="str">
        <f t="shared" si="2"/>
        <v>10001|11256$10004|1256$10003|628$10006|30</v>
      </c>
      <c r="P18" s="23">
        <v>15</v>
      </c>
      <c r="Q18" s="23">
        <f t="shared" si="15"/>
        <v>8038</v>
      </c>
      <c r="R18" s="23">
        <f t="shared" si="16"/>
        <v>1500</v>
      </c>
      <c r="S18" s="23">
        <f t="shared" si="17"/>
        <v>750</v>
      </c>
      <c r="T18" t="str">
        <f t="shared" si="3"/>
        <v>10001|8038$10004|1500$10003|750$10006|30</v>
      </c>
      <c r="V18" s="24">
        <v>15</v>
      </c>
      <c r="W18" s="23">
        <v>8900</v>
      </c>
      <c r="X18" s="23">
        <v>890</v>
      </c>
      <c r="Y18" s="23">
        <v>954</v>
      </c>
      <c r="Z18" t="str">
        <f t="shared" si="4"/>
        <v>10001|8900$10004|890$10003|954</v>
      </c>
      <c r="AA18" s="24">
        <v>15</v>
      </c>
      <c r="AB18" s="23">
        <f t="shared" si="18"/>
        <v>44480</v>
      </c>
      <c r="AC18" s="23">
        <f t="shared" si="19"/>
        <v>2240</v>
      </c>
      <c r="AD18" s="23">
        <f t="shared" si="20"/>
        <v>1120</v>
      </c>
      <c r="AE18" t="str">
        <f t="shared" si="5"/>
        <v>10001|44480$10004|2240$10003|1120$10006|30</v>
      </c>
      <c r="AF18" s="24">
        <v>15</v>
      </c>
      <c r="AG18" s="23">
        <f t="shared" si="21"/>
        <v>127168</v>
      </c>
      <c r="AH18" s="23">
        <f t="shared" si="22"/>
        <v>2812</v>
      </c>
      <c r="AI18" s="23">
        <f t="shared" si="23"/>
        <v>1470</v>
      </c>
      <c r="AJ18" t="str">
        <f t="shared" si="6"/>
        <v>10001|127168$10004|2812$10003|1470$10006|30</v>
      </c>
      <c r="AK18" s="24">
        <v>15</v>
      </c>
      <c r="AL18" s="23">
        <f t="shared" si="24"/>
        <v>87168</v>
      </c>
      <c r="AM18" s="23">
        <f t="shared" si="25"/>
        <v>2182</v>
      </c>
      <c r="AN18" s="23">
        <f t="shared" si="26"/>
        <v>1170</v>
      </c>
      <c r="AO18" t="str">
        <f t="shared" si="7"/>
        <v>10001|87168$10004|2182$10003|1170$10006|30</v>
      </c>
      <c r="AP18" s="24">
        <v>15</v>
      </c>
      <c r="AQ18" s="23">
        <f t="shared" si="27"/>
        <v>67168</v>
      </c>
      <c r="AR18" s="23">
        <f t="shared" si="28"/>
        <v>1940</v>
      </c>
      <c r="AS18" s="23">
        <f t="shared" si="29"/>
        <v>970</v>
      </c>
      <c r="AT18" t="str">
        <f t="shared" si="8"/>
        <v>10001|67168$10004|1940$10003|970$10006|30</v>
      </c>
      <c r="AY18">
        <v>30</v>
      </c>
      <c r="AZ18">
        <v>12635</v>
      </c>
      <c r="BA18">
        <v>950</v>
      </c>
      <c r="BB18">
        <v>1425</v>
      </c>
      <c r="BC18" t="str">
        <f t="shared" si="9"/>
        <v>10001|12635$10004|950$10003|1425</v>
      </c>
      <c r="BD18" s="24">
        <v>15</v>
      </c>
      <c r="BE18">
        <v>16226</v>
      </c>
      <c r="BF18">
        <v>1220</v>
      </c>
      <c r="BG18">
        <v>1830</v>
      </c>
      <c r="BH18" t="str">
        <f t="shared" si="10"/>
        <v>10001|16226$10004|1220$10003|1830</v>
      </c>
      <c r="BK18" s="24">
        <v>15</v>
      </c>
      <c r="BL18">
        <v>20216</v>
      </c>
      <c r="BM18">
        <v>1520</v>
      </c>
      <c r="BN18">
        <v>2280</v>
      </c>
      <c r="BO18" t="str">
        <f t="shared" si="11"/>
        <v>10001|20216$10004|1520$10003|2280</v>
      </c>
    </row>
    <row r="19" spans="1:67">
      <c r="F19">
        <v>16</v>
      </c>
      <c r="G19">
        <v>8255</v>
      </c>
      <c r="H19">
        <v>780</v>
      </c>
      <c r="I19">
        <v>390</v>
      </c>
      <c r="J19" t="str">
        <f t="shared" si="1"/>
        <v>10001|8255$10004|780$10003|390$10006|30</v>
      </c>
      <c r="K19">
        <v>16</v>
      </c>
      <c r="L19" s="23">
        <f t="shared" si="12"/>
        <v>11560</v>
      </c>
      <c r="M19" s="23">
        <f t="shared" si="13"/>
        <v>1260</v>
      </c>
      <c r="N19" s="23">
        <f t="shared" si="14"/>
        <v>630</v>
      </c>
      <c r="O19" t="str">
        <f t="shared" si="2"/>
        <v>10001|11560$10004|1260$10003|630$10006|30</v>
      </c>
      <c r="P19">
        <v>16</v>
      </c>
      <c r="Q19" s="23">
        <f t="shared" si="15"/>
        <v>8255</v>
      </c>
      <c r="R19" s="23">
        <f t="shared" si="16"/>
        <v>1500</v>
      </c>
      <c r="S19" s="23">
        <f t="shared" si="17"/>
        <v>750</v>
      </c>
      <c r="T19" t="str">
        <f t="shared" si="3"/>
        <v>10001|8255$10004|1500$10003|750$10006|30</v>
      </c>
      <c r="V19">
        <v>16</v>
      </c>
      <c r="W19" s="23">
        <v>1475</v>
      </c>
      <c r="X19" s="23">
        <v>368</v>
      </c>
      <c r="Y19" s="23">
        <v>368</v>
      </c>
      <c r="Z19" t="str">
        <f>$G$2&amp;"|"&amp;W21&amp;"$"&amp;$H$2&amp;"|"&amp;X21&amp;"$"&amp;$I$2&amp;"|"&amp;Y21</f>
        <v>10001|9535$10004|922$10003|985</v>
      </c>
      <c r="AA19">
        <v>16</v>
      </c>
      <c r="AB19" s="23">
        <f t="shared" si="18"/>
        <v>44800</v>
      </c>
      <c r="AC19" s="23">
        <f t="shared" si="19"/>
        <v>2250</v>
      </c>
      <c r="AD19" s="23">
        <f t="shared" si="20"/>
        <v>1125</v>
      </c>
      <c r="AE19" t="str">
        <f t="shared" si="5"/>
        <v>10001|44800$10004|2250$10003|1125$10006|30</v>
      </c>
      <c r="AF19">
        <v>16</v>
      </c>
      <c r="AG19" s="23">
        <f t="shared" si="21"/>
        <v>127680</v>
      </c>
      <c r="AH19" s="23">
        <f t="shared" si="22"/>
        <v>2820</v>
      </c>
      <c r="AI19" s="23">
        <f t="shared" si="23"/>
        <v>1475</v>
      </c>
      <c r="AJ19" t="str">
        <f t="shared" si="6"/>
        <v>10001|127680$10004|2820$10003|1475$10006|30</v>
      </c>
      <c r="AK19">
        <v>16</v>
      </c>
      <c r="AL19" s="23">
        <f t="shared" si="24"/>
        <v>87680</v>
      </c>
      <c r="AM19" s="23">
        <f t="shared" si="25"/>
        <v>2195</v>
      </c>
      <c r="AN19" s="23">
        <f t="shared" si="26"/>
        <v>1175</v>
      </c>
      <c r="AO19" t="str">
        <f t="shared" si="7"/>
        <v>10001|87680$10004|2195$10003|1175$10006|30</v>
      </c>
      <c r="AP19">
        <v>16</v>
      </c>
      <c r="AQ19" s="23">
        <f t="shared" si="27"/>
        <v>67680</v>
      </c>
      <c r="AR19" s="23">
        <f t="shared" si="28"/>
        <v>1950</v>
      </c>
      <c r="AS19" s="23">
        <f t="shared" si="29"/>
        <v>975</v>
      </c>
      <c r="AT19" t="str">
        <f t="shared" si="8"/>
        <v>10001|67680$10004|1950$10003|975$10006|30</v>
      </c>
      <c r="AY19">
        <v>30</v>
      </c>
      <c r="AZ19">
        <v>3800</v>
      </c>
      <c r="BA19">
        <v>950</v>
      </c>
      <c r="BB19">
        <v>950</v>
      </c>
      <c r="BC19" t="str">
        <f t="shared" si="9"/>
        <v>10001|3800$10004|950$10003|950</v>
      </c>
      <c r="BD19">
        <v>16</v>
      </c>
      <c r="BE19">
        <v>4880</v>
      </c>
      <c r="BF19">
        <v>1220</v>
      </c>
      <c r="BG19">
        <v>1220</v>
      </c>
      <c r="BH19" t="str">
        <f t="shared" si="10"/>
        <v>10001|4880$10004|1220$10003|1220</v>
      </c>
      <c r="BK19">
        <v>16</v>
      </c>
      <c r="BL19">
        <v>6080</v>
      </c>
      <c r="BM19">
        <v>1520</v>
      </c>
      <c r="BN19">
        <v>1520</v>
      </c>
      <c r="BO19" t="str">
        <f t="shared" si="11"/>
        <v>10001|6080$10004|1520$10003|1520</v>
      </c>
    </row>
    <row r="20" spans="1:67">
      <c r="B20">
        <v>1.5</v>
      </c>
      <c r="F20">
        <v>17</v>
      </c>
      <c r="G20">
        <v>8472</v>
      </c>
      <c r="H20">
        <v>782</v>
      </c>
      <c r="I20">
        <v>391</v>
      </c>
      <c r="J20" t="str">
        <f t="shared" si="1"/>
        <v>10001|8472$10004|782$10003|391$10006|30</v>
      </c>
      <c r="K20" s="23">
        <v>17</v>
      </c>
      <c r="L20" s="23">
        <f t="shared" si="12"/>
        <v>11864</v>
      </c>
      <c r="M20" s="23">
        <f t="shared" si="13"/>
        <v>1264</v>
      </c>
      <c r="N20" s="23">
        <f t="shared" si="14"/>
        <v>632</v>
      </c>
      <c r="O20" t="str">
        <f t="shared" si="2"/>
        <v>10001|11864$10004|1264$10003|632$10006|30</v>
      </c>
      <c r="P20" s="23">
        <v>17</v>
      </c>
      <c r="Q20" s="23">
        <f t="shared" si="15"/>
        <v>8472</v>
      </c>
      <c r="R20" s="23">
        <f t="shared" si="16"/>
        <v>1500</v>
      </c>
      <c r="S20" s="23">
        <f t="shared" si="17"/>
        <v>750</v>
      </c>
      <c r="T20" t="str">
        <f t="shared" si="3"/>
        <v>10001|8472$10004|1500$10003|750$10006|30</v>
      </c>
      <c r="V20">
        <v>17</v>
      </c>
      <c r="W20" s="23">
        <v>1475</v>
      </c>
      <c r="X20" s="23">
        <v>368</v>
      </c>
      <c r="Y20" s="23">
        <v>368</v>
      </c>
      <c r="Z20" t="str">
        <f t="shared" ref="Z20:Z33" si="30">$G$2&amp;"|"&amp;W20&amp;"$"&amp;$H$2&amp;"|"&amp;X20&amp;"$"&amp;$I$2&amp;"|"&amp;Y20</f>
        <v>10001|1475$10004|368$10003|368</v>
      </c>
      <c r="AA20">
        <v>17</v>
      </c>
      <c r="AB20" s="23">
        <f t="shared" si="18"/>
        <v>45120</v>
      </c>
      <c r="AC20" s="23">
        <f t="shared" si="19"/>
        <v>2260</v>
      </c>
      <c r="AD20" s="23">
        <f t="shared" si="20"/>
        <v>1130</v>
      </c>
      <c r="AE20" t="str">
        <f t="shared" si="5"/>
        <v>10001|45120$10004|2260$10003|1130$10006|30</v>
      </c>
      <c r="AF20">
        <v>17</v>
      </c>
      <c r="AG20" s="23">
        <f t="shared" si="21"/>
        <v>128192</v>
      </c>
      <c r="AH20" s="23">
        <f t="shared" si="22"/>
        <v>2828</v>
      </c>
      <c r="AI20" s="23">
        <f t="shared" si="23"/>
        <v>1480</v>
      </c>
      <c r="AJ20" t="str">
        <f t="shared" si="6"/>
        <v>10001|128192$10004|2828$10003|1480$10006|30</v>
      </c>
      <c r="AK20">
        <v>17</v>
      </c>
      <c r="AL20" s="23">
        <f t="shared" si="24"/>
        <v>88192</v>
      </c>
      <c r="AM20" s="23">
        <f t="shared" si="25"/>
        <v>2208</v>
      </c>
      <c r="AN20" s="23">
        <f t="shared" si="26"/>
        <v>1180</v>
      </c>
      <c r="AO20" t="str">
        <f t="shared" si="7"/>
        <v>10001|88192$10004|2208$10003|1180$10006|30</v>
      </c>
      <c r="AP20">
        <v>17</v>
      </c>
      <c r="AQ20" s="23">
        <f t="shared" si="27"/>
        <v>68192</v>
      </c>
      <c r="AR20" s="23">
        <f t="shared" si="28"/>
        <v>1960</v>
      </c>
      <c r="AS20" s="23">
        <f t="shared" si="29"/>
        <v>980</v>
      </c>
      <c r="AT20" t="str">
        <f t="shared" si="8"/>
        <v>10001|68192$10004|1960$10003|980$10006|30</v>
      </c>
      <c r="AY20">
        <v>30</v>
      </c>
      <c r="AZ20">
        <v>3840</v>
      </c>
      <c r="BA20">
        <v>960</v>
      </c>
      <c r="BB20">
        <v>960</v>
      </c>
      <c r="BC20" t="str">
        <f t="shared" si="9"/>
        <v>10001|3840$10004|960$10003|960</v>
      </c>
      <c r="BD20">
        <v>17</v>
      </c>
      <c r="BE20">
        <v>4920</v>
      </c>
      <c r="BF20">
        <v>1230</v>
      </c>
      <c r="BG20">
        <v>1230</v>
      </c>
      <c r="BH20" t="str">
        <f t="shared" si="10"/>
        <v>10001|4920$10004|1230$10003|1230</v>
      </c>
      <c r="BK20">
        <v>17</v>
      </c>
      <c r="BL20">
        <v>6120</v>
      </c>
      <c r="BM20">
        <v>1530</v>
      </c>
      <c r="BN20">
        <v>1530</v>
      </c>
      <c r="BO20" t="str">
        <f t="shared" si="11"/>
        <v>10001|6120$10004|1530$10003|1530</v>
      </c>
    </row>
    <row r="21" spans="1:67">
      <c r="F21">
        <v>18</v>
      </c>
      <c r="G21">
        <v>8689</v>
      </c>
      <c r="H21">
        <v>784</v>
      </c>
      <c r="I21">
        <v>392</v>
      </c>
      <c r="J21" t="str">
        <f t="shared" si="1"/>
        <v>10001|8689$10004|784$10003|392$10006|30</v>
      </c>
      <c r="K21">
        <v>18</v>
      </c>
      <c r="L21" s="23">
        <f t="shared" si="12"/>
        <v>12168</v>
      </c>
      <c r="M21" s="23">
        <f t="shared" si="13"/>
        <v>1268</v>
      </c>
      <c r="N21" s="23">
        <f t="shared" si="14"/>
        <v>634</v>
      </c>
      <c r="O21" t="str">
        <f t="shared" si="2"/>
        <v>10001|12168$10004|1268$10003|634$10006|30</v>
      </c>
      <c r="P21">
        <v>18</v>
      </c>
      <c r="Q21" s="23">
        <f t="shared" si="15"/>
        <v>8689</v>
      </c>
      <c r="R21" s="23">
        <f t="shared" si="16"/>
        <v>1500</v>
      </c>
      <c r="S21" s="23">
        <f t="shared" si="17"/>
        <v>750</v>
      </c>
      <c r="T21" t="str">
        <f t="shared" si="3"/>
        <v>10001|8689$10004|1500$10003|750$10006|30</v>
      </c>
      <c r="V21" s="16">
        <v>18</v>
      </c>
      <c r="W21" s="23">
        <v>9535</v>
      </c>
      <c r="X21" s="23">
        <v>922</v>
      </c>
      <c r="Y21" s="23">
        <v>985</v>
      </c>
      <c r="Z21" t="str">
        <f t="shared" si="30"/>
        <v>10001|9535$10004|922$10003|985</v>
      </c>
      <c r="AA21" s="16">
        <v>18</v>
      </c>
      <c r="AB21" s="23">
        <f t="shared" si="18"/>
        <v>45440</v>
      </c>
      <c r="AC21" s="23">
        <f t="shared" si="19"/>
        <v>2270</v>
      </c>
      <c r="AD21" s="23">
        <f t="shared" si="20"/>
        <v>1135</v>
      </c>
      <c r="AE21" t="str">
        <f t="shared" si="5"/>
        <v>10001|45440$10004|2270$10003|1135$10006|30</v>
      </c>
      <c r="AF21">
        <v>18</v>
      </c>
      <c r="AG21" s="23">
        <f t="shared" si="21"/>
        <v>128704</v>
      </c>
      <c r="AH21" s="23">
        <f t="shared" si="22"/>
        <v>2836</v>
      </c>
      <c r="AI21" s="23">
        <f t="shared" si="23"/>
        <v>1485</v>
      </c>
      <c r="AJ21" t="str">
        <f t="shared" si="6"/>
        <v>10001|128704$10004|2836$10003|1485$10006|30</v>
      </c>
      <c r="AK21">
        <v>18</v>
      </c>
      <c r="AL21" s="23">
        <f t="shared" si="24"/>
        <v>88704</v>
      </c>
      <c r="AM21" s="23">
        <f t="shared" si="25"/>
        <v>2221</v>
      </c>
      <c r="AN21" s="23">
        <f t="shared" si="26"/>
        <v>1185</v>
      </c>
      <c r="AO21" t="str">
        <f t="shared" si="7"/>
        <v>10001|88704$10004|2221$10003|1185$10006|30</v>
      </c>
      <c r="AP21">
        <v>18</v>
      </c>
      <c r="AQ21" s="23">
        <f t="shared" si="27"/>
        <v>68704</v>
      </c>
      <c r="AR21" s="23">
        <f t="shared" si="28"/>
        <v>1970</v>
      </c>
      <c r="AS21" s="23">
        <f t="shared" si="29"/>
        <v>985</v>
      </c>
      <c r="AT21" t="str">
        <f t="shared" si="8"/>
        <v>10001|68704$10004|1970$10003|985$10006|30</v>
      </c>
      <c r="AY21">
        <v>30</v>
      </c>
      <c r="AZ21">
        <v>3880</v>
      </c>
      <c r="BA21">
        <v>970</v>
      </c>
      <c r="BB21">
        <v>970</v>
      </c>
      <c r="BC21" t="str">
        <f t="shared" si="9"/>
        <v>10001|3880$10004|970$10003|970</v>
      </c>
      <c r="BD21">
        <v>18</v>
      </c>
      <c r="BE21">
        <v>4960</v>
      </c>
      <c r="BF21">
        <v>1240</v>
      </c>
      <c r="BG21">
        <v>1240</v>
      </c>
      <c r="BH21" t="str">
        <f t="shared" si="10"/>
        <v>10001|4960$10004|1240$10003|1240</v>
      </c>
      <c r="BK21">
        <v>18</v>
      </c>
      <c r="BL21">
        <v>6160</v>
      </c>
      <c r="BM21">
        <v>1540</v>
      </c>
      <c r="BN21">
        <v>1540</v>
      </c>
      <c r="BO21" t="str">
        <f t="shared" si="11"/>
        <v>10001|6160$10004|1540$10003|1540</v>
      </c>
    </row>
    <row r="22" spans="1:67">
      <c r="B22">
        <v>1.2</v>
      </c>
      <c r="F22">
        <v>19</v>
      </c>
      <c r="G22">
        <v>8906</v>
      </c>
      <c r="H22">
        <v>786</v>
      </c>
      <c r="I22">
        <v>393</v>
      </c>
      <c r="J22" t="str">
        <f t="shared" si="1"/>
        <v>10001|8906$10004|786$10003|393$10006|30</v>
      </c>
      <c r="K22" s="23">
        <v>19</v>
      </c>
      <c r="L22" s="23">
        <f t="shared" si="12"/>
        <v>12472</v>
      </c>
      <c r="M22" s="23">
        <f t="shared" si="13"/>
        <v>1272</v>
      </c>
      <c r="N22" s="23">
        <f t="shared" si="14"/>
        <v>636</v>
      </c>
      <c r="O22" t="str">
        <f t="shared" si="2"/>
        <v>10001|12472$10004|1272$10003|636$10006|30</v>
      </c>
      <c r="P22" s="23">
        <v>19</v>
      </c>
      <c r="Q22" s="23">
        <f t="shared" si="15"/>
        <v>8906</v>
      </c>
      <c r="R22" s="23">
        <f t="shared" si="16"/>
        <v>1500</v>
      </c>
      <c r="S22" s="23">
        <f t="shared" si="17"/>
        <v>750</v>
      </c>
      <c r="T22" t="str">
        <f t="shared" si="3"/>
        <v>10001|8906$10004|1500$10003|750$10006|30</v>
      </c>
      <c r="V22">
        <v>19</v>
      </c>
      <c r="W22" s="23">
        <v>1500</v>
      </c>
      <c r="X22" s="23">
        <v>375</v>
      </c>
      <c r="Y22" s="23">
        <v>375</v>
      </c>
      <c r="Z22" t="str">
        <f t="shared" si="30"/>
        <v>10001|1500$10004|375$10003|375</v>
      </c>
      <c r="AA22">
        <v>19</v>
      </c>
      <c r="AB22" s="23">
        <f t="shared" si="18"/>
        <v>45760</v>
      </c>
      <c r="AC22" s="23">
        <f t="shared" si="19"/>
        <v>2280</v>
      </c>
      <c r="AD22" s="23">
        <f t="shared" si="20"/>
        <v>1140</v>
      </c>
      <c r="AE22" t="str">
        <f t="shared" si="5"/>
        <v>10001|45760$10004|2280$10003|1140$10006|30</v>
      </c>
      <c r="AF22">
        <v>19</v>
      </c>
      <c r="AG22" s="23">
        <f t="shared" si="21"/>
        <v>129216</v>
      </c>
      <c r="AH22" s="23">
        <f t="shared" si="22"/>
        <v>2844</v>
      </c>
      <c r="AI22" s="23">
        <f t="shared" si="23"/>
        <v>1490</v>
      </c>
      <c r="AJ22" t="str">
        <f t="shared" si="6"/>
        <v>10001|129216$10004|2844$10003|1490$10006|30</v>
      </c>
      <c r="AK22">
        <v>19</v>
      </c>
      <c r="AL22" s="23">
        <f t="shared" si="24"/>
        <v>89216</v>
      </c>
      <c r="AM22" s="23">
        <f t="shared" si="25"/>
        <v>2234</v>
      </c>
      <c r="AN22" s="23">
        <f t="shared" si="26"/>
        <v>1190</v>
      </c>
      <c r="AO22" t="str">
        <f t="shared" si="7"/>
        <v>10001|89216$10004|2234$10003|1190$10006|30</v>
      </c>
      <c r="AP22">
        <v>19</v>
      </c>
      <c r="AQ22" s="23">
        <f t="shared" si="27"/>
        <v>69216</v>
      </c>
      <c r="AR22" s="23">
        <f t="shared" si="28"/>
        <v>1980</v>
      </c>
      <c r="AS22" s="23">
        <f t="shared" si="29"/>
        <v>990</v>
      </c>
      <c r="AT22" t="str">
        <f t="shared" si="8"/>
        <v>10001|69216$10004|1980$10003|990$10006|30</v>
      </c>
      <c r="AY22">
        <v>30</v>
      </c>
      <c r="AZ22">
        <v>3920</v>
      </c>
      <c r="BA22">
        <v>980</v>
      </c>
      <c r="BB22">
        <v>980</v>
      </c>
      <c r="BC22" t="str">
        <f t="shared" si="9"/>
        <v>10001|3920$10004|980$10003|980</v>
      </c>
      <c r="BD22">
        <v>19</v>
      </c>
      <c r="BE22">
        <v>5000</v>
      </c>
      <c r="BF22">
        <v>1250</v>
      </c>
      <c r="BG22">
        <v>1250</v>
      </c>
      <c r="BH22" t="str">
        <f t="shared" si="10"/>
        <v>10001|5000$10004|1250$10003|1250</v>
      </c>
      <c r="BK22">
        <v>19</v>
      </c>
      <c r="BL22">
        <v>6200</v>
      </c>
      <c r="BM22">
        <v>1550</v>
      </c>
      <c r="BN22">
        <v>1550</v>
      </c>
      <c r="BO22" t="str">
        <f t="shared" si="11"/>
        <v>10001|6200$10004|1550$10003|1550</v>
      </c>
    </row>
    <row r="23" spans="1:67">
      <c r="A23" s="26"/>
      <c r="F23" s="26">
        <v>20</v>
      </c>
      <c r="G23">
        <v>9123</v>
      </c>
      <c r="H23">
        <v>788</v>
      </c>
      <c r="I23">
        <v>394</v>
      </c>
      <c r="J23" t="str">
        <f t="shared" si="1"/>
        <v>10001|9123$10004|788$10003|394$10006|30</v>
      </c>
      <c r="K23">
        <v>20</v>
      </c>
      <c r="L23" s="23">
        <f t="shared" si="12"/>
        <v>12776</v>
      </c>
      <c r="M23" s="23">
        <f t="shared" si="13"/>
        <v>1276</v>
      </c>
      <c r="N23" s="23">
        <f t="shared" si="14"/>
        <v>638</v>
      </c>
      <c r="O23" t="str">
        <f t="shared" si="2"/>
        <v>10001|12776$10004|1276$10003|638$10006|30</v>
      </c>
      <c r="P23">
        <v>20</v>
      </c>
      <c r="Q23" s="23">
        <f t="shared" si="15"/>
        <v>9123</v>
      </c>
      <c r="R23" s="23">
        <f t="shared" si="16"/>
        <v>1500</v>
      </c>
      <c r="S23" s="23">
        <f t="shared" si="17"/>
        <v>750</v>
      </c>
      <c r="T23" t="str">
        <f t="shared" si="3"/>
        <v>10001|9123$10004|1500$10003|750$10006|30</v>
      </c>
      <c r="V23" s="24">
        <v>20</v>
      </c>
      <c r="W23" s="23">
        <v>1500</v>
      </c>
      <c r="X23" s="23">
        <v>375</v>
      </c>
      <c r="Y23" s="23">
        <v>375</v>
      </c>
      <c r="Z23" t="str">
        <f t="shared" si="30"/>
        <v>10001|1500$10004|375$10003|375</v>
      </c>
      <c r="AA23" s="24">
        <v>20</v>
      </c>
      <c r="AB23" s="23">
        <f t="shared" si="18"/>
        <v>46080</v>
      </c>
      <c r="AC23" s="23">
        <f t="shared" si="19"/>
        <v>2290</v>
      </c>
      <c r="AD23" s="23">
        <f t="shared" si="20"/>
        <v>1145</v>
      </c>
      <c r="AE23" t="str">
        <f t="shared" si="5"/>
        <v>10001|46080$10004|2290$10003|1145$10006|30</v>
      </c>
      <c r="AF23" s="26">
        <v>20</v>
      </c>
      <c r="AG23" s="23">
        <f t="shared" si="21"/>
        <v>129728</v>
      </c>
      <c r="AH23" s="23">
        <f t="shared" si="22"/>
        <v>2852</v>
      </c>
      <c r="AI23" s="23">
        <f t="shared" si="23"/>
        <v>1495</v>
      </c>
      <c r="AJ23" t="str">
        <f t="shared" si="6"/>
        <v>10001|129728$10004|2852$10003|1495$10006|30</v>
      </c>
      <c r="AK23" s="26">
        <v>20</v>
      </c>
      <c r="AL23" s="23">
        <f t="shared" si="24"/>
        <v>89728</v>
      </c>
      <c r="AM23" s="23">
        <f t="shared" si="25"/>
        <v>2247</v>
      </c>
      <c r="AN23" s="23">
        <f t="shared" si="26"/>
        <v>1195</v>
      </c>
      <c r="AO23" t="str">
        <f t="shared" si="7"/>
        <v>10001|89728$10004|2247$10003|1195$10006|30</v>
      </c>
      <c r="AP23" s="26">
        <v>20</v>
      </c>
      <c r="AQ23" s="23">
        <f t="shared" si="27"/>
        <v>69728</v>
      </c>
      <c r="AR23" s="23">
        <f t="shared" si="28"/>
        <v>1990</v>
      </c>
      <c r="AS23" s="23">
        <f t="shared" si="29"/>
        <v>995</v>
      </c>
      <c r="AT23" t="str">
        <f t="shared" si="8"/>
        <v>10001|69728$10004|1990$10003|995$10006|30</v>
      </c>
      <c r="AY23">
        <v>30</v>
      </c>
      <c r="AZ23">
        <v>13300</v>
      </c>
      <c r="BA23">
        <v>1000</v>
      </c>
      <c r="BB23">
        <v>1500</v>
      </c>
      <c r="BC23" t="str">
        <f t="shared" si="9"/>
        <v>10001|13300$10004|1000$10003|1500</v>
      </c>
      <c r="BD23" s="24">
        <v>20</v>
      </c>
      <c r="BE23">
        <v>16758</v>
      </c>
      <c r="BF23">
        <v>1260</v>
      </c>
      <c r="BG23">
        <v>1890</v>
      </c>
      <c r="BH23" t="str">
        <f t="shared" si="10"/>
        <v>10001|16758$10004|1260$10003|1890</v>
      </c>
      <c r="BK23" s="24">
        <v>20</v>
      </c>
      <c r="BL23">
        <v>20748</v>
      </c>
      <c r="BM23">
        <v>1560</v>
      </c>
      <c r="BN23">
        <v>2340</v>
      </c>
      <c r="BO23" t="str">
        <f t="shared" si="11"/>
        <v>10001|20748$10004|1560$10003|2340</v>
      </c>
    </row>
    <row r="24" spans="1:67">
      <c r="F24">
        <v>21</v>
      </c>
      <c r="G24">
        <v>9340</v>
      </c>
      <c r="H24">
        <v>790</v>
      </c>
      <c r="I24">
        <v>395</v>
      </c>
      <c r="J24" t="str">
        <f t="shared" si="1"/>
        <v>10001|9340$10004|790$10003|395$10006|30</v>
      </c>
      <c r="K24" s="23">
        <v>21</v>
      </c>
      <c r="L24" s="23">
        <f t="shared" si="12"/>
        <v>13080</v>
      </c>
      <c r="M24" s="23">
        <f t="shared" si="13"/>
        <v>1280</v>
      </c>
      <c r="N24" s="23">
        <f t="shared" si="14"/>
        <v>640</v>
      </c>
      <c r="O24" t="str">
        <f t="shared" si="2"/>
        <v>10001|13080$10004|1280$10003|640$10006|30</v>
      </c>
      <c r="P24" s="23">
        <v>21</v>
      </c>
      <c r="Q24" s="23">
        <f t="shared" si="15"/>
        <v>9340</v>
      </c>
      <c r="R24" s="23">
        <f t="shared" si="16"/>
        <v>1500</v>
      </c>
      <c r="S24" s="23">
        <f t="shared" si="17"/>
        <v>750</v>
      </c>
      <c r="T24" t="str">
        <f t="shared" si="3"/>
        <v>10001|9340$10004|1500$10003|750$10006|30</v>
      </c>
      <c r="V24">
        <v>21</v>
      </c>
      <c r="W24" s="23">
        <v>1525</v>
      </c>
      <c r="X24" s="23">
        <v>382</v>
      </c>
      <c r="Y24" s="23">
        <v>382</v>
      </c>
      <c r="Z24" t="str">
        <f t="shared" si="30"/>
        <v>10001|1525$10004|382$10003|382</v>
      </c>
      <c r="AA24">
        <v>21</v>
      </c>
      <c r="AB24" s="23">
        <f t="shared" si="18"/>
        <v>46400</v>
      </c>
      <c r="AC24" s="23">
        <f t="shared" si="19"/>
        <v>2300</v>
      </c>
      <c r="AD24" s="23">
        <f t="shared" si="20"/>
        <v>1150</v>
      </c>
      <c r="AE24" t="str">
        <f t="shared" si="5"/>
        <v>10001|46400$10004|2300$10003|1150$10006|30</v>
      </c>
      <c r="AF24">
        <v>21</v>
      </c>
      <c r="AG24" s="23">
        <f t="shared" si="21"/>
        <v>130240</v>
      </c>
      <c r="AH24" s="23">
        <f t="shared" si="22"/>
        <v>2860</v>
      </c>
      <c r="AI24" s="23">
        <f t="shared" si="23"/>
        <v>1500</v>
      </c>
      <c r="AJ24" t="str">
        <f t="shared" si="6"/>
        <v>10001|130240$10004|2860$10003|1500$10006|30</v>
      </c>
      <c r="AK24">
        <v>21</v>
      </c>
      <c r="AL24" s="23">
        <f t="shared" si="24"/>
        <v>90240</v>
      </c>
      <c r="AM24" s="23">
        <f t="shared" si="25"/>
        <v>2260</v>
      </c>
      <c r="AN24" s="23">
        <f t="shared" si="26"/>
        <v>1200</v>
      </c>
      <c r="AO24" t="str">
        <f t="shared" si="7"/>
        <v>10001|90240$10004|2260$10003|1200$10006|30</v>
      </c>
      <c r="AP24">
        <v>21</v>
      </c>
      <c r="AQ24" s="23">
        <f t="shared" si="27"/>
        <v>70240</v>
      </c>
      <c r="AR24" s="23">
        <f t="shared" si="28"/>
        <v>2000</v>
      </c>
      <c r="AS24" s="23">
        <f t="shared" si="29"/>
        <v>1000</v>
      </c>
      <c r="AT24" t="str">
        <f t="shared" si="8"/>
        <v>10001|70240$10004|2000$10003|1000$10006|30</v>
      </c>
      <c r="AY24">
        <v>30</v>
      </c>
      <c r="AZ24">
        <v>4000</v>
      </c>
      <c r="BA24">
        <v>1000</v>
      </c>
      <c r="BB24">
        <v>1000</v>
      </c>
      <c r="BC24" t="str">
        <f t="shared" si="9"/>
        <v>10001|4000$10004|1000$10003|1000</v>
      </c>
      <c r="BD24">
        <v>21</v>
      </c>
      <c r="BE24">
        <v>5040</v>
      </c>
      <c r="BF24">
        <v>1260</v>
      </c>
      <c r="BG24">
        <v>1260</v>
      </c>
      <c r="BH24" t="str">
        <f t="shared" si="10"/>
        <v>10001|5040$10004|1260$10003|1260</v>
      </c>
      <c r="BK24">
        <v>21</v>
      </c>
      <c r="BL24">
        <v>6240</v>
      </c>
      <c r="BM24">
        <v>1560</v>
      </c>
      <c r="BN24">
        <v>1560</v>
      </c>
      <c r="BO24" t="str">
        <f t="shared" si="11"/>
        <v>10001|6240$10004|1560$10003|1560</v>
      </c>
    </row>
    <row r="25" spans="1:67">
      <c r="F25" s="26">
        <v>22</v>
      </c>
      <c r="G25">
        <v>9557</v>
      </c>
      <c r="H25">
        <v>792</v>
      </c>
      <c r="I25">
        <v>396</v>
      </c>
      <c r="J25" t="str">
        <f t="shared" si="1"/>
        <v>10001|9557$10004|792$10003|396$10006|30</v>
      </c>
      <c r="K25">
        <v>22</v>
      </c>
      <c r="L25" s="23">
        <f t="shared" si="12"/>
        <v>13384</v>
      </c>
      <c r="M25" s="23">
        <f t="shared" si="13"/>
        <v>1284</v>
      </c>
      <c r="N25" s="23">
        <f t="shared" si="14"/>
        <v>642</v>
      </c>
      <c r="O25" t="str">
        <f t="shared" si="2"/>
        <v>10001|13384$10004|1284$10003|642$10006|30</v>
      </c>
      <c r="P25">
        <v>22</v>
      </c>
      <c r="Q25" s="23">
        <f t="shared" si="15"/>
        <v>9557</v>
      </c>
      <c r="R25" s="23">
        <f t="shared" si="16"/>
        <v>1500</v>
      </c>
      <c r="S25" s="23">
        <f t="shared" si="17"/>
        <v>750</v>
      </c>
      <c r="T25" t="str">
        <f t="shared" si="3"/>
        <v>10001|9557$10004|1500$10003|750$10006|30</v>
      </c>
      <c r="V25">
        <v>22</v>
      </c>
      <c r="W25" s="23">
        <v>1525</v>
      </c>
      <c r="X25" s="23">
        <v>382</v>
      </c>
      <c r="Y25" s="23">
        <v>382</v>
      </c>
      <c r="Z25" t="str">
        <f t="shared" si="30"/>
        <v>10001|1525$10004|382$10003|382</v>
      </c>
      <c r="AA25">
        <v>22</v>
      </c>
      <c r="AB25" s="23">
        <f t="shared" si="18"/>
        <v>46720</v>
      </c>
      <c r="AC25" s="23">
        <f t="shared" si="19"/>
        <v>2310</v>
      </c>
      <c r="AD25" s="23">
        <f t="shared" si="20"/>
        <v>1155</v>
      </c>
      <c r="AE25" t="str">
        <f t="shared" si="5"/>
        <v>10001|46720$10004|2310$10003|1155$10006|30</v>
      </c>
      <c r="AF25" s="26">
        <v>22</v>
      </c>
      <c r="AG25" s="23">
        <f t="shared" si="21"/>
        <v>130752</v>
      </c>
      <c r="AH25" s="23">
        <f t="shared" si="22"/>
        <v>2868</v>
      </c>
      <c r="AI25" s="23">
        <f t="shared" si="23"/>
        <v>1505</v>
      </c>
      <c r="AJ25" t="str">
        <f t="shared" si="6"/>
        <v>10001|130752$10004|2868$10003|1505$10006|30</v>
      </c>
      <c r="AK25" s="26">
        <v>22</v>
      </c>
      <c r="AL25" s="23">
        <f t="shared" si="24"/>
        <v>90752</v>
      </c>
      <c r="AM25" s="23">
        <f t="shared" si="25"/>
        <v>2273</v>
      </c>
      <c r="AN25" s="23">
        <f t="shared" si="26"/>
        <v>1205</v>
      </c>
      <c r="AO25" t="str">
        <f t="shared" si="7"/>
        <v>10001|90752$10004|2273$10003|1205$10006|30</v>
      </c>
      <c r="AP25" s="26">
        <v>22</v>
      </c>
      <c r="AQ25" s="23">
        <f t="shared" si="27"/>
        <v>70752</v>
      </c>
      <c r="AR25" s="23">
        <f t="shared" si="28"/>
        <v>2010</v>
      </c>
      <c r="AS25" s="23">
        <f t="shared" si="29"/>
        <v>1005</v>
      </c>
      <c r="AT25" t="str">
        <f t="shared" si="8"/>
        <v>10001|70752$10004|2010$10003|1005$10006|30</v>
      </c>
      <c r="AY25">
        <v>30</v>
      </c>
      <c r="AZ25">
        <v>4040</v>
      </c>
      <c r="BA25">
        <v>1010</v>
      </c>
      <c r="BB25">
        <v>1010</v>
      </c>
      <c r="BC25" t="str">
        <f t="shared" si="9"/>
        <v>10001|4040$10004|1010$10003|1010</v>
      </c>
      <c r="BD25">
        <v>22</v>
      </c>
      <c r="BE25">
        <v>5080</v>
      </c>
      <c r="BF25">
        <v>1270</v>
      </c>
      <c r="BG25">
        <v>1270</v>
      </c>
      <c r="BH25" t="str">
        <f t="shared" si="10"/>
        <v>10001|5080$10004|1270$10003|1270</v>
      </c>
      <c r="BK25">
        <v>22</v>
      </c>
      <c r="BL25">
        <v>6280</v>
      </c>
      <c r="BM25">
        <v>1570</v>
      </c>
      <c r="BN25">
        <v>1570</v>
      </c>
      <c r="BO25" t="str">
        <f t="shared" si="11"/>
        <v>10001|6280$10004|1570$10003|1570</v>
      </c>
    </row>
    <row r="26" spans="1:67">
      <c r="F26">
        <v>23</v>
      </c>
      <c r="G26">
        <v>9774</v>
      </c>
      <c r="H26">
        <v>794</v>
      </c>
      <c r="I26">
        <v>397</v>
      </c>
      <c r="J26" t="str">
        <f t="shared" si="1"/>
        <v>10001|9774$10004|794$10003|397$10006|30</v>
      </c>
      <c r="K26" s="23">
        <v>23</v>
      </c>
      <c r="L26" s="23">
        <f t="shared" si="12"/>
        <v>13688</v>
      </c>
      <c r="M26" s="23">
        <f t="shared" si="13"/>
        <v>1288</v>
      </c>
      <c r="N26" s="23">
        <f t="shared" si="14"/>
        <v>644</v>
      </c>
      <c r="O26" t="str">
        <f t="shared" si="2"/>
        <v>10001|13688$10004|1288$10003|644$10006|30</v>
      </c>
      <c r="P26" s="23">
        <v>23</v>
      </c>
      <c r="Q26" s="23">
        <f t="shared" si="15"/>
        <v>9774</v>
      </c>
      <c r="R26" s="23">
        <f t="shared" si="16"/>
        <v>1500</v>
      </c>
      <c r="S26" s="23">
        <f t="shared" si="17"/>
        <v>750</v>
      </c>
      <c r="T26" t="str">
        <f t="shared" si="3"/>
        <v>10001|9774$10004|1500$10003|750$10006|30</v>
      </c>
      <c r="V26">
        <v>23</v>
      </c>
      <c r="W26" s="23">
        <v>1525</v>
      </c>
      <c r="X26" s="23">
        <v>382</v>
      </c>
      <c r="Y26" s="23">
        <v>382</v>
      </c>
      <c r="Z26" t="str">
        <f t="shared" si="30"/>
        <v>10001|1525$10004|382$10003|382</v>
      </c>
      <c r="AA26">
        <v>23</v>
      </c>
      <c r="AB26" s="23">
        <f t="shared" si="18"/>
        <v>47040</v>
      </c>
      <c r="AC26" s="23">
        <f t="shared" si="19"/>
        <v>2320</v>
      </c>
      <c r="AD26" s="23">
        <f t="shared" si="20"/>
        <v>1160</v>
      </c>
      <c r="AE26" t="str">
        <f t="shared" si="5"/>
        <v>10001|47040$10004|2320$10003|1160$10006|30</v>
      </c>
      <c r="AF26">
        <v>23</v>
      </c>
      <c r="AG26" s="23">
        <f t="shared" si="21"/>
        <v>131264</v>
      </c>
      <c r="AH26" s="23">
        <f t="shared" si="22"/>
        <v>2876</v>
      </c>
      <c r="AI26" s="23">
        <f t="shared" si="23"/>
        <v>1510</v>
      </c>
      <c r="AJ26" t="str">
        <f t="shared" si="6"/>
        <v>10001|131264$10004|2876$10003|1510$10006|30</v>
      </c>
      <c r="AK26">
        <v>23</v>
      </c>
      <c r="AL26" s="23">
        <f t="shared" si="24"/>
        <v>91264</v>
      </c>
      <c r="AM26" s="23">
        <f t="shared" si="25"/>
        <v>2286</v>
      </c>
      <c r="AN26" s="23">
        <f t="shared" si="26"/>
        <v>1210</v>
      </c>
      <c r="AO26" t="str">
        <f t="shared" si="7"/>
        <v>10001|91264$10004|2286$10003|1210$10006|30</v>
      </c>
      <c r="AP26">
        <v>23</v>
      </c>
      <c r="AQ26" s="23">
        <f t="shared" si="27"/>
        <v>71264</v>
      </c>
      <c r="AR26" s="23">
        <f t="shared" si="28"/>
        <v>2020</v>
      </c>
      <c r="AS26" s="23">
        <f t="shared" si="29"/>
        <v>1010</v>
      </c>
      <c r="AT26" t="str">
        <f t="shared" si="8"/>
        <v>10001|71264$10004|2020$10003|1010$10006|30</v>
      </c>
      <c r="AY26">
        <v>30</v>
      </c>
      <c r="AZ26">
        <v>4080</v>
      </c>
      <c r="BA26">
        <v>1020</v>
      </c>
      <c r="BB26">
        <v>1020</v>
      </c>
      <c r="BC26" t="str">
        <f t="shared" si="9"/>
        <v>10001|4080$10004|1020$10003|1020</v>
      </c>
      <c r="BD26">
        <v>23</v>
      </c>
      <c r="BE26">
        <v>5120</v>
      </c>
      <c r="BF26">
        <v>1280</v>
      </c>
      <c r="BG26">
        <v>1280</v>
      </c>
      <c r="BH26" t="str">
        <f t="shared" si="10"/>
        <v>10001|5120$10004|1280$10003|1280</v>
      </c>
      <c r="BK26">
        <v>23</v>
      </c>
      <c r="BL26">
        <v>6320</v>
      </c>
      <c r="BM26">
        <v>1580</v>
      </c>
      <c r="BN26">
        <v>1580</v>
      </c>
      <c r="BO26" t="str">
        <f t="shared" si="11"/>
        <v>10001|6320$10004|1580$10003|1580</v>
      </c>
    </row>
    <row r="27" spans="1:67">
      <c r="F27" s="26">
        <v>24</v>
      </c>
      <c r="G27">
        <v>9991</v>
      </c>
      <c r="H27">
        <v>796</v>
      </c>
      <c r="I27">
        <v>398</v>
      </c>
      <c r="J27" t="str">
        <f t="shared" si="1"/>
        <v>10001|9991$10004|796$10003|398$10006|30</v>
      </c>
      <c r="K27">
        <v>24</v>
      </c>
      <c r="L27" s="23">
        <f t="shared" si="12"/>
        <v>13992</v>
      </c>
      <c r="M27" s="23">
        <f t="shared" si="13"/>
        <v>1292</v>
      </c>
      <c r="N27" s="23">
        <f t="shared" si="14"/>
        <v>646</v>
      </c>
      <c r="O27" t="str">
        <f t="shared" si="2"/>
        <v>10001|13992$10004|1292$10003|646$10006|30</v>
      </c>
      <c r="P27">
        <v>24</v>
      </c>
      <c r="Q27" s="23">
        <f t="shared" si="15"/>
        <v>9991</v>
      </c>
      <c r="R27" s="23">
        <f t="shared" si="16"/>
        <v>1500</v>
      </c>
      <c r="S27" s="23">
        <f t="shared" si="17"/>
        <v>750</v>
      </c>
      <c r="T27" t="str">
        <f t="shared" si="3"/>
        <v>10001|9991$10004|1500$10003|750$10006|30</v>
      </c>
      <c r="V27">
        <v>24</v>
      </c>
      <c r="W27" s="23">
        <v>9535</v>
      </c>
      <c r="X27" s="23">
        <v>922</v>
      </c>
      <c r="Y27" s="23">
        <v>985</v>
      </c>
      <c r="Z27" t="str">
        <f t="shared" si="30"/>
        <v>10001|9535$10004|922$10003|985</v>
      </c>
      <c r="AA27">
        <v>24</v>
      </c>
      <c r="AB27" s="23">
        <f t="shared" si="18"/>
        <v>47360</v>
      </c>
      <c r="AC27" s="23">
        <f t="shared" si="19"/>
        <v>2330</v>
      </c>
      <c r="AD27" s="23">
        <f t="shared" si="20"/>
        <v>1165</v>
      </c>
      <c r="AE27" t="str">
        <f t="shared" si="5"/>
        <v>10001|47360$10004|2330$10003|1165$10006|30</v>
      </c>
      <c r="AF27" s="26">
        <v>24</v>
      </c>
      <c r="AG27" s="23">
        <f t="shared" si="21"/>
        <v>131776</v>
      </c>
      <c r="AH27" s="23">
        <f t="shared" si="22"/>
        <v>2884</v>
      </c>
      <c r="AI27" s="23">
        <f t="shared" si="23"/>
        <v>1515</v>
      </c>
      <c r="AJ27" t="str">
        <f t="shared" si="6"/>
        <v>10001|131776$10004|2884$10003|1515$10006|30</v>
      </c>
      <c r="AK27" s="26">
        <v>24</v>
      </c>
      <c r="AL27" s="23">
        <f t="shared" si="24"/>
        <v>91776</v>
      </c>
      <c r="AM27" s="23">
        <f t="shared" si="25"/>
        <v>2299</v>
      </c>
      <c r="AN27" s="23">
        <f t="shared" si="26"/>
        <v>1215</v>
      </c>
      <c r="AO27" t="str">
        <f t="shared" si="7"/>
        <v>10001|91776$10004|2299$10003|1215$10006|30</v>
      </c>
      <c r="AP27" s="26">
        <v>24</v>
      </c>
      <c r="AQ27" s="23">
        <f t="shared" si="27"/>
        <v>71776</v>
      </c>
      <c r="AR27" s="23">
        <f t="shared" si="28"/>
        <v>2030</v>
      </c>
      <c r="AS27" s="23">
        <f t="shared" si="29"/>
        <v>1015</v>
      </c>
      <c r="AT27" t="str">
        <f t="shared" si="8"/>
        <v>10001|71776$10004|2030$10003|1015$10006|30</v>
      </c>
      <c r="AY27">
        <v>30</v>
      </c>
      <c r="AZ27">
        <v>4120</v>
      </c>
      <c r="BA27">
        <v>1030</v>
      </c>
      <c r="BB27">
        <v>1030</v>
      </c>
      <c r="BC27" t="str">
        <f t="shared" si="9"/>
        <v>10001|4120$10004|1030$10003|1030</v>
      </c>
      <c r="BD27">
        <v>24</v>
      </c>
      <c r="BE27">
        <v>5160</v>
      </c>
      <c r="BF27">
        <v>1290</v>
      </c>
      <c r="BG27">
        <v>1290</v>
      </c>
      <c r="BH27" t="str">
        <f t="shared" si="10"/>
        <v>10001|5160$10004|1290$10003|1290</v>
      </c>
      <c r="BK27">
        <v>24</v>
      </c>
      <c r="BL27">
        <v>6360</v>
      </c>
      <c r="BM27">
        <v>1590</v>
      </c>
      <c r="BN27">
        <v>1590</v>
      </c>
      <c r="BO27" t="str">
        <f t="shared" si="11"/>
        <v>10001|6360$10004|1590$10003|1590</v>
      </c>
    </row>
    <row r="28" spans="1:67">
      <c r="V28">
        <v>25</v>
      </c>
      <c r="W28" s="23">
        <v>1577</v>
      </c>
      <c r="X28" s="23">
        <v>395</v>
      </c>
      <c r="Y28" s="23">
        <v>395</v>
      </c>
      <c r="Z28" t="str">
        <f t="shared" si="30"/>
        <v>10001|1577$10004|395$10003|395</v>
      </c>
      <c r="AA28">
        <v>25</v>
      </c>
      <c r="AB28" s="23">
        <f t="shared" si="18"/>
        <v>47680</v>
      </c>
      <c r="AC28" s="23">
        <f t="shared" si="19"/>
        <v>2340</v>
      </c>
      <c r="AD28" s="23">
        <f t="shared" si="20"/>
        <v>1170</v>
      </c>
      <c r="AE28" t="str">
        <f t="shared" si="5"/>
        <v>10001|47680$10004|2340$10003|1170$10006|30</v>
      </c>
      <c r="AF28">
        <v>25</v>
      </c>
      <c r="AG28" s="23">
        <f t="shared" si="21"/>
        <v>132288</v>
      </c>
      <c r="AH28" s="23">
        <f t="shared" si="22"/>
        <v>2892</v>
      </c>
      <c r="AI28" s="23">
        <f t="shared" si="23"/>
        <v>1520</v>
      </c>
      <c r="AJ28" t="str">
        <f t="shared" si="6"/>
        <v>10001|132288$10004|2892$10003|1520$10006|30</v>
      </c>
      <c r="AK28">
        <v>25</v>
      </c>
      <c r="AL28" s="23">
        <f t="shared" si="24"/>
        <v>92288</v>
      </c>
      <c r="AM28" s="23">
        <f t="shared" si="25"/>
        <v>2312</v>
      </c>
      <c r="AN28" s="23">
        <f t="shared" si="26"/>
        <v>1220</v>
      </c>
      <c r="AO28" t="str">
        <f t="shared" si="7"/>
        <v>10001|92288$10004|2312$10003|1220$10006|30</v>
      </c>
      <c r="AP28">
        <v>25</v>
      </c>
      <c r="AQ28" s="23">
        <f t="shared" si="27"/>
        <v>72288</v>
      </c>
      <c r="AR28" s="23">
        <f t="shared" si="28"/>
        <v>2040</v>
      </c>
      <c r="AS28" s="23">
        <f t="shared" si="29"/>
        <v>1020</v>
      </c>
      <c r="AT28" t="str">
        <f t="shared" si="8"/>
        <v>10001|72288$10004|2040$10003|1020$10006|30</v>
      </c>
      <c r="AY28">
        <v>30</v>
      </c>
      <c r="AZ28">
        <v>13965</v>
      </c>
      <c r="BA28">
        <v>1050</v>
      </c>
      <c r="BB28">
        <v>1575</v>
      </c>
      <c r="BC28" t="str">
        <f t="shared" si="9"/>
        <v>10001|13965$10004|1050$10003|1575</v>
      </c>
      <c r="BD28" s="24">
        <v>25</v>
      </c>
      <c r="BE28">
        <v>17290</v>
      </c>
      <c r="BF28">
        <v>1300</v>
      </c>
      <c r="BG28">
        <v>1950</v>
      </c>
      <c r="BH28" t="str">
        <f t="shared" si="10"/>
        <v>10001|17290$10004|1300$10003|1950</v>
      </c>
      <c r="BK28" s="24">
        <v>25</v>
      </c>
      <c r="BL28">
        <v>21280</v>
      </c>
      <c r="BM28">
        <v>1600</v>
      </c>
      <c r="BN28">
        <v>2400</v>
      </c>
      <c r="BO28" t="str">
        <f t="shared" si="11"/>
        <v>10001|21280$10004|1600$10003|2400</v>
      </c>
    </row>
    <row r="29" spans="1:67">
      <c r="A29" t="s">
        <v>1086</v>
      </c>
      <c r="G29">
        <v>2</v>
      </c>
      <c r="V29">
        <v>26</v>
      </c>
      <c r="W29" s="23">
        <v>1577</v>
      </c>
      <c r="X29" s="23">
        <v>395</v>
      </c>
      <c r="Y29" s="23">
        <v>395</v>
      </c>
      <c r="Z29" t="str">
        <f t="shared" si="30"/>
        <v>10001|1577$10004|395$10003|395</v>
      </c>
      <c r="AA29">
        <v>26</v>
      </c>
      <c r="AB29" s="23">
        <f t="shared" si="18"/>
        <v>48000</v>
      </c>
      <c r="AC29" s="23">
        <f t="shared" si="19"/>
        <v>2350</v>
      </c>
      <c r="AD29" s="23">
        <f t="shared" si="20"/>
        <v>1175</v>
      </c>
      <c r="AE29" t="str">
        <f t="shared" si="5"/>
        <v>10001|48000$10004|2350$10003|1175$10006|30</v>
      </c>
      <c r="AF29" s="26">
        <v>26</v>
      </c>
      <c r="AG29" s="23">
        <f t="shared" si="21"/>
        <v>132800</v>
      </c>
      <c r="AH29" s="23">
        <f t="shared" si="22"/>
        <v>2900</v>
      </c>
      <c r="AI29" s="23">
        <f t="shared" si="23"/>
        <v>1525</v>
      </c>
      <c r="AJ29" t="str">
        <f t="shared" si="6"/>
        <v>10001|132800$10004|2900$10003|1525$10006|30</v>
      </c>
      <c r="AK29" s="26">
        <v>26</v>
      </c>
      <c r="AL29" s="23">
        <f t="shared" si="24"/>
        <v>92800</v>
      </c>
      <c r="AM29" s="23">
        <f t="shared" si="25"/>
        <v>2325</v>
      </c>
      <c r="AN29" s="23">
        <f t="shared" si="26"/>
        <v>1225</v>
      </c>
      <c r="AO29" t="str">
        <f t="shared" si="7"/>
        <v>10001|92800$10004|2325$10003|1225$10006|30</v>
      </c>
      <c r="AP29" s="26">
        <v>26</v>
      </c>
      <c r="AQ29" s="23">
        <f t="shared" si="27"/>
        <v>72800</v>
      </c>
      <c r="AR29" s="23">
        <f t="shared" si="28"/>
        <v>2050</v>
      </c>
      <c r="AS29" s="23">
        <f t="shared" si="29"/>
        <v>1025</v>
      </c>
      <c r="AT29" t="str">
        <f t="shared" si="8"/>
        <v>10001|72800$10004|2050$10003|1025$10006|30</v>
      </c>
      <c r="AY29">
        <v>30</v>
      </c>
      <c r="AZ29">
        <v>4200</v>
      </c>
      <c r="BA29">
        <v>1050</v>
      </c>
      <c r="BB29">
        <v>1050</v>
      </c>
      <c r="BC29" t="str">
        <f t="shared" si="9"/>
        <v>10001|4200$10004|1050$10003|1050</v>
      </c>
      <c r="BD29" s="25">
        <v>26</v>
      </c>
      <c r="BE29">
        <v>5200</v>
      </c>
      <c r="BF29">
        <v>1300</v>
      </c>
      <c r="BG29">
        <v>1300</v>
      </c>
      <c r="BH29" t="str">
        <f t="shared" si="10"/>
        <v>10001|5200$10004|1300$10003|1300</v>
      </c>
      <c r="BK29" s="25">
        <v>26</v>
      </c>
      <c r="BL29">
        <v>6400</v>
      </c>
      <c r="BM29">
        <v>1600</v>
      </c>
      <c r="BN29">
        <v>1600</v>
      </c>
      <c r="BO29" t="str">
        <f t="shared" si="11"/>
        <v>10001|6400$10004|1600$10003|1600</v>
      </c>
    </row>
    <row r="30" spans="1:67">
      <c r="A30">
        <v>1</v>
      </c>
      <c r="B30" s="23">
        <v>1008</v>
      </c>
      <c r="C30" s="23">
        <v>180</v>
      </c>
      <c r="D30" s="23">
        <v>180</v>
      </c>
      <c r="E30" t="str">
        <f t="shared" ref="E30:E37" si="31">$G$2&amp;"|"&amp;B30&amp;"$"&amp;$H$2&amp;"|"&amp;C30&amp;"$"&amp;$I$2&amp;"|"&amp;D30</f>
        <v>10001|1008$10004|180$10003|180</v>
      </c>
      <c r="F30" t="s">
        <v>1087</v>
      </c>
      <c r="V30">
        <v>27</v>
      </c>
      <c r="W30" s="23">
        <v>1577</v>
      </c>
      <c r="X30" s="23">
        <v>395</v>
      </c>
      <c r="Y30" s="23">
        <v>395</v>
      </c>
      <c r="Z30" t="str">
        <f t="shared" si="30"/>
        <v>10001|1577$10004|395$10003|395</v>
      </c>
      <c r="AA30">
        <v>27</v>
      </c>
      <c r="AB30" s="23">
        <f t="shared" si="18"/>
        <v>48320</v>
      </c>
      <c r="AC30" s="23">
        <f t="shared" si="19"/>
        <v>2360</v>
      </c>
      <c r="AD30" s="23">
        <f t="shared" si="20"/>
        <v>1180</v>
      </c>
      <c r="AE30" t="str">
        <f t="shared" si="5"/>
        <v>10001|48320$10004|2360$10003|1180$10006|30</v>
      </c>
      <c r="AF30">
        <v>27</v>
      </c>
      <c r="AG30" s="23">
        <f t="shared" si="21"/>
        <v>133312</v>
      </c>
      <c r="AH30" s="23">
        <f t="shared" si="22"/>
        <v>2908</v>
      </c>
      <c r="AI30" s="23">
        <f t="shared" si="23"/>
        <v>1530</v>
      </c>
      <c r="AJ30" t="str">
        <f t="shared" si="6"/>
        <v>10001|133312$10004|2908$10003|1530$10006|30</v>
      </c>
      <c r="AK30">
        <v>27</v>
      </c>
      <c r="AL30" s="23">
        <f t="shared" si="24"/>
        <v>93312</v>
      </c>
      <c r="AM30" s="23">
        <f t="shared" si="25"/>
        <v>2338</v>
      </c>
      <c r="AN30" s="23">
        <f t="shared" si="26"/>
        <v>1230</v>
      </c>
      <c r="AO30" t="str">
        <f t="shared" si="7"/>
        <v>10001|93312$10004|2338$10003|1230$10006|30</v>
      </c>
      <c r="AP30">
        <v>27</v>
      </c>
      <c r="AQ30" s="23">
        <f t="shared" si="27"/>
        <v>73312</v>
      </c>
      <c r="AR30" s="23">
        <f t="shared" si="28"/>
        <v>2060</v>
      </c>
      <c r="AS30" s="23">
        <f t="shared" si="29"/>
        <v>1030</v>
      </c>
      <c r="AT30" t="str">
        <f t="shared" si="8"/>
        <v>10001|73312$10004|2060$10003|1030$10006|30</v>
      </c>
      <c r="AY30">
        <v>30</v>
      </c>
      <c r="AZ30">
        <v>4240</v>
      </c>
      <c r="BA30">
        <v>1060</v>
      </c>
      <c r="BB30">
        <v>1060</v>
      </c>
      <c r="BC30" t="str">
        <f t="shared" si="9"/>
        <v>10001|4240$10004|1060$10003|1060</v>
      </c>
      <c r="BD30" s="25">
        <v>27</v>
      </c>
      <c r="BE30">
        <v>5240</v>
      </c>
      <c r="BF30">
        <v>1310</v>
      </c>
      <c r="BG30">
        <v>1310</v>
      </c>
      <c r="BH30" t="str">
        <f t="shared" si="10"/>
        <v>10001|5240$10004|1310$10003|1310</v>
      </c>
      <c r="BK30" s="25">
        <v>27</v>
      </c>
      <c r="BL30">
        <v>6440</v>
      </c>
      <c r="BM30">
        <v>1610</v>
      </c>
      <c r="BN30">
        <v>1610</v>
      </c>
      <c r="BO30" t="str">
        <f t="shared" si="11"/>
        <v>10001|6440$10004|1610$10003|1610</v>
      </c>
    </row>
    <row r="31" spans="1:67">
      <c r="A31">
        <v>2</v>
      </c>
      <c r="B31" s="23">
        <v>1008</v>
      </c>
      <c r="C31" s="23">
        <v>180</v>
      </c>
      <c r="D31" s="23">
        <v>180</v>
      </c>
      <c r="E31" t="str">
        <f t="shared" si="31"/>
        <v>10001|1008$10004|180$10003|180</v>
      </c>
      <c r="F31" s="23">
        <v>1</v>
      </c>
      <c r="G31" s="23">
        <v>1487</v>
      </c>
      <c r="H31" s="23">
        <v>304</v>
      </c>
      <c r="I31" s="23">
        <v>277</v>
      </c>
      <c r="J31" t="str">
        <f t="shared" ref="J31:J56" si="32">$G$2&amp;"|"&amp;G31&amp;"$"&amp;$H$2&amp;"|"&amp;H31&amp;"$"&amp;$I$2&amp;"|"&amp;I31</f>
        <v>10001|1487$10004|304$10003|277</v>
      </c>
      <c r="V31">
        <v>28</v>
      </c>
      <c r="W31" s="23">
        <v>1577</v>
      </c>
      <c r="X31" s="23">
        <v>395</v>
      </c>
      <c r="Y31" s="23">
        <v>395</v>
      </c>
      <c r="Z31" t="str">
        <f t="shared" si="30"/>
        <v>10001|1577$10004|395$10003|395</v>
      </c>
      <c r="AA31">
        <v>28</v>
      </c>
      <c r="AB31" s="23">
        <f t="shared" si="18"/>
        <v>48640</v>
      </c>
      <c r="AC31" s="23">
        <f t="shared" si="19"/>
        <v>2370</v>
      </c>
      <c r="AD31" s="23">
        <f t="shared" si="20"/>
        <v>1185</v>
      </c>
      <c r="AE31" t="str">
        <f t="shared" si="5"/>
        <v>10001|48640$10004|2370$10003|1185$10006|30</v>
      </c>
      <c r="AF31" s="26">
        <v>28</v>
      </c>
      <c r="AG31" s="23">
        <f t="shared" si="21"/>
        <v>133824</v>
      </c>
      <c r="AH31" s="23">
        <f t="shared" si="22"/>
        <v>2916</v>
      </c>
      <c r="AI31" s="23">
        <f t="shared" si="23"/>
        <v>1535</v>
      </c>
      <c r="AJ31" t="str">
        <f t="shared" si="6"/>
        <v>10001|133824$10004|2916$10003|1535$10006|30</v>
      </c>
      <c r="AK31" s="26">
        <v>28</v>
      </c>
      <c r="AL31" s="23">
        <f t="shared" si="24"/>
        <v>93824</v>
      </c>
      <c r="AM31" s="23">
        <f t="shared" si="25"/>
        <v>2351</v>
      </c>
      <c r="AN31" s="23">
        <f t="shared" si="26"/>
        <v>1235</v>
      </c>
      <c r="AO31" t="str">
        <f t="shared" si="7"/>
        <v>10001|93824$10004|2351$10003|1235$10006|30</v>
      </c>
      <c r="AP31" s="26">
        <v>28</v>
      </c>
      <c r="AQ31" s="23">
        <f t="shared" si="27"/>
        <v>73824</v>
      </c>
      <c r="AR31" s="23">
        <f t="shared" si="28"/>
        <v>2070</v>
      </c>
      <c r="AS31" s="23">
        <f t="shared" si="29"/>
        <v>1035</v>
      </c>
      <c r="AT31" t="str">
        <f t="shared" si="8"/>
        <v>10001|73824$10004|2070$10003|1035$10006|30</v>
      </c>
      <c r="AY31">
        <v>30</v>
      </c>
      <c r="AZ31">
        <v>4280</v>
      </c>
      <c r="BA31">
        <v>1070</v>
      </c>
      <c r="BB31">
        <v>1070</v>
      </c>
      <c r="BC31" t="str">
        <f t="shared" si="9"/>
        <v>10001|4280$10004|1070$10003|1070</v>
      </c>
      <c r="BD31" s="25">
        <v>28</v>
      </c>
      <c r="BE31">
        <v>5280</v>
      </c>
      <c r="BF31">
        <v>1320</v>
      </c>
      <c r="BG31">
        <v>1320</v>
      </c>
      <c r="BH31" t="str">
        <f t="shared" si="10"/>
        <v>10001|5280$10004|1320$10003|1320</v>
      </c>
      <c r="BK31" s="25">
        <v>28</v>
      </c>
      <c r="BL31">
        <v>6480</v>
      </c>
      <c r="BM31">
        <v>1620</v>
      </c>
      <c r="BN31">
        <v>1620</v>
      </c>
      <c r="BO31" t="str">
        <f t="shared" si="11"/>
        <v>10001|6480$10004|1620$10003|1620</v>
      </c>
    </row>
    <row r="32" spans="1:67">
      <c r="A32">
        <v>3</v>
      </c>
      <c r="B32" s="23">
        <v>1008</v>
      </c>
      <c r="C32" s="23">
        <v>180</v>
      </c>
      <c r="D32" s="23">
        <v>180</v>
      </c>
      <c r="E32" t="str">
        <f t="shared" si="31"/>
        <v>10001|1008$10004|180$10003|180</v>
      </c>
      <c r="F32" s="23">
        <v>2</v>
      </c>
      <c r="G32" s="23">
        <v>1537</v>
      </c>
      <c r="H32" s="23">
        <v>314</v>
      </c>
      <c r="I32" s="23">
        <v>287</v>
      </c>
      <c r="J32" t="str">
        <f t="shared" si="32"/>
        <v>10001|1537$10004|314$10003|287</v>
      </c>
      <c r="V32">
        <v>29</v>
      </c>
      <c r="W32" s="23">
        <v>10172</v>
      </c>
      <c r="X32" s="23">
        <v>985</v>
      </c>
      <c r="Y32" s="23">
        <v>1049</v>
      </c>
      <c r="Z32" t="str">
        <f t="shared" si="30"/>
        <v>10001|10172$10004|985$10003|1049</v>
      </c>
      <c r="AA32">
        <v>29</v>
      </c>
      <c r="AB32" s="23">
        <f t="shared" si="18"/>
        <v>48960</v>
      </c>
      <c r="AC32" s="23">
        <f t="shared" si="19"/>
        <v>2380</v>
      </c>
      <c r="AD32" s="23">
        <f t="shared" si="20"/>
        <v>1190</v>
      </c>
      <c r="AE32" t="str">
        <f t="shared" si="5"/>
        <v>10001|48960$10004|2380$10003|1190$10006|30</v>
      </c>
      <c r="AF32">
        <v>29</v>
      </c>
      <c r="AG32" s="23">
        <f t="shared" si="21"/>
        <v>134336</v>
      </c>
      <c r="AH32" s="23">
        <f t="shared" si="22"/>
        <v>2924</v>
      </c>
      <c r="AI32" s="23">
        <f t="shared" si="23"/>
        <v>1540</v>
      </c>
      <c r="AJ32" t="str">
        <f t="shared" si="6"/>
        <v>10001|134336$10004|2924$10003|1540$10006|30</v>
      </c>
      <c r="AK32">
        <v>29</v>
      </c>
      <c r="AL32" s="23">
        <f t="shared" si="24"/>
        <v>94336</v>
      </c>
      <c r="AM32" s="23">
        <f t="shared" si="25"/>
        <v>2364</v>
      </c>
      <c r="AN32" s="23">
        <f t="shared" si="26"/>
        <v>1240</v>
      </c>
      <c r="AO32" t="str">
        <f t="shared" si="7"/>
        <v>10001|94336$10004|2364$10003|1240$10006|30</v>
      </c>
      <c r="AP32">
        <v>29</v>
      </c>
      <c r="AQ32" s="23">
        <f t="shared" si="27"/>
        <v>74336</v>
      </c>
      <c r="AR32" s="23">
        <f t="shared" si="28"/>
        <v>2080</v>
      </c>
      <c r="AS32" s="23">
        <f t="shared" si="29"/>
        <v>1040</v>
      </c>
      <c r="AT32" t="str">
        <f t="shared" si="8"/>
        <v>10001|74336$10004|2080$10003|1040$10006|30</v>
      </c>
      <c r="AY32">
        <v>30</v>
      </c>
      <c r="AZ32">
        <v>4320</v>
      </c>
      <c r="BA32">
        <v>1080</v>
      </c>
      <c r="BB32">
        <v>1080</v>
      </c>
      <c r="BC32" t="str">
        <f t="shared" si="9"/>
        <v>10001|4320$10004|1080$10003|1080</v>
      </c>
      <c r="BD32" s="25">
        <v>29</v>
      </c>
      <c r="BE32">
        <v>5320</v>
      </c>
      <c r="BF32">
        <v>1330</v>
      </c>
      <c r="BG32">
        <v>1330</v>
      </c>
      <c r="BH32" t="str">
        <f t="shared" si="10"/>
        <v>10001|5320$10004|1330$10003|1330</v>
      </c>
      <c r="BK32" s="25">
        <v>29</v>
      </c>
      <c r="BL32">
        <v>6520</v>
      </c>
      <c r="BM32">
        <v>1630</v>
      </c>
      <c r="BN32">
        <v>1630</v>
      </c>
      <c r="BO32" t="str">
        <f t="shared" si="11"/>
        <v>10001|6520$10004|1630$10003|1630</v>
      </c>
    </row>
    <row r="33" spans="1:67">
      <c r="A33">
        <v>4</v>
      </c>
      <c r="B33" s="23">
        <v>1080</v>
      </c>
      <c r="C33" s="23">
        <v>234</v>
      </c>
      <c r="D33" s="23">
        <v>234</v>
      </c>
      <c r="E33" t="str">
        <f t="shared" si="31"/>
        <v>10001|1080$10004|234$10003|234</v>
      </c>
      <c r="F33" s="23">
        <v>3</v>
      </c>
      <c r="G33" s="23">
        <v>1646</v>
      </c>
      <c r="H33" s="23">
        <v>323</v>
      </c>
      <c r="I33" s="23">
        <v>297</v>
      </c>
      <c r="J33" t="str">
        <f t="shared" si="32"/>
        <v>10001|1646$10004|323$10003|297</v>
      </c>
      <c r="V33">
        <v>30</v>
      </c>
      <c r="W33" s="23">
        <v>16529</v>
      </c>
      <c r="X33" s="23">
        <v>890</v>
      </c>
      <c r="Y33" s="23">
        <v>954</v>
      </c>
      <c r="Z33" t="str">
        <f t="shared" si="30"/>
        <v>10001|16529$10004|890$10003|954</v>
      </c>
      <c r="AA33">
        <v>30</v>
      </c>
      <c r="AB33" s="23">
        <v>60000</v>
      </c>
      <c r="AC33" s="23">
        <f t="shared" si="19"/>
        <v>2390</v>
      </c>
      <c r="AD33" s="23">
        <f t="shared" si="20"/>
        <v>1195</v>
      </c>
      <c r="AE33" t="str">
        <f t="shared" si="5"/>
        <v>10001|60000$10004|2390$10003|1195$10006|30</v>
      </c>
      <c r="AF33" s="26">
        <v>30</v>
      </c>
      <c r="AG33" s="23">
        <f t="shared" si="21"/>
        <v>134848</v>
      </c>
      <c r="AH33" s="23">
        <f t="shared" si="22"/>
        <v>2932</v>
      </c>
      <c r="AI33" s="23">
        <f t="shared" si="23"/>
        <v>1545</v>
      </c>
      <c r="AJ33" t="str">
        <f t="shared" si="6"/>
        <v>10001|134848$10004|2932$10003|1545$10006|30</v>
      </c>
      <c r="AK33" s="26">
        <v>30</v>
      </c>
      <c r="AL33" s="23">
        <f t="shared" si="24"/>
        <v>94848</v>
      </c>
      <c r="AM33" s="23">
        <f t="shared" si="25"/>
        <v>2377</v>
      </c>
      <c r="AN33" s="23">
        <f t="shared" si="26"/>
        <v>1245</v>
      </c>
      <c r="AO33" t="str">
        <f t="shared" si="7"/>
        <v>10001|94848$10004|2377$10003|1245$10006|30</v>
      </c>
      <c r="AP33" s="26">
        <v>30</v>
      </c>
      <c r="AQ33" s="23">
        <f t="shared" si="27"/>
        <v>74848</v>
      </c>
      <c r="AR33" s="23">
        <f t="shared" si="28"/>
        <v>2090</v>
      </c>
      <c r="AS33" s="23">
        <f t="shared" si="29"/>
        <v>1045</v>
      </c>
      <c r="AT33" t="str">
        <f t="shared" si="8"/>
        <v>10001|74848$10004|2090$10003|1045$10006|30</v>
      </c>
      <c r="AY33">
        <v>30</v>
      </c>
      <c r="AZ33">
        <v>32700</v>
      </c>
      <c r="BA33">
        <v>2725</v>
      </c>
      <c r="BB33">
        <v>1090</v>
      </c>
      <c r="BC33" t="str">
        <f t="shared" si="9"/>
        <v>10001|32700$10004|2725$10003|1090</v>
      </c>
      <c r="BD33" s="24">
        <v>30</v>
      </c>
      <c r="BE33">
        <v>17822</v>
      </c>
      <c r="BF33">
        <v>1340</v>
      </c>
      <c r="BG33">
        <v>2010</v>
      </c>
      <c r="BH33" t="str">
        <f t="shared" si="10"/>
        <v>10001|17822$10004|1340$10003|2010</v>
      </c>
      <c r="BK33" s="24">
        <v>30</v>
      </c>
      <c r="BL33">
        <v>21812</v>
      </c>
      <c r="BM33">
        <v>1640</v>
      </c>
      <c r="BN33">
        <v>2460</v>
      </c>
      <c r="BO33" t="str">
        <f t="shared" si="11"/>
        <v>10001|21812$10004|1640$10003|2460</v>
      </c>
    </row>
    <row r="34" spans="1:67">
      <c r="A34">
        <v>5</v>
      </c>
      <c r="B34" s="23">
        <v>2865</v>
      </c>
      <c r="C34" s="23">
        <v>270</v>
      </c>
      <c r="D34" s="23">
        <v>306</v>
      </c>
      <c r="E34" t="str">
        <f t="shared" si="31"/>
        <v>10001|2865$10004|270$10003|306</v>
      </c>
      <c r="F34" s="23">
        <v>4</v>
      </c>
      <c r="G34" s="23">
        <v>1636</v>
      </c>
      <c r="H34" s="23">
        <v>333</v>
      </c>
      <c r="I34" s="23">
        <v>307</v>
      </c>
      <c r="J34" t="str">
        <f t="shared" si="32"/>
        <v>10001|1636$10004|333$10003|307</v>
      </c>
      <c r="Z34">
        <v>1.1</v>
      </c>
      <c r="AF34">
        <v>31</v>
      </c>
      <c r="AG34" s="23">
        <f t="shared" si="21"/>
        <v>135360</v>
      </c>
      <c r="AH34" s="23">
        <f t="shared" si="22"/>
        <v>2940</v>
      </c>
      <c r="AI34" s="23">
        <f t="shared" si="23"/>
        <v>1550</v>
      </c>
      <c r="AJ34" t="str">
        <f t="shared" si="6"/>
        <v>10001|135360$10004|2940$10003|1550$10006|30</v>
      </c>
      <c r="AK34">
        <v>31</v>
      </c>
      <c r="AL34" s="23">
        <f t="shared" si="24"/>
        <v>95360</v>
      </c>
      <c r="AM34" s="23">
        <f t="shared" si="25"/>
        <v>2390</v>
      </c>
      <c r="AN34" s="23">
        <f t="shared" si="26"/>
        <v>1250</v>
      </c>
      <c r="AO34" t="str">
        <f t="shared" si="7"/>
        <v>10001|95360$10004|2390$10003|1250$10006|30</v>
      </c>
      <c r="AP34">
        <v>31</v>
      </c>
      <c r="AQ34" s="23">
        <f t="shared" si="27"/>
        <v>75360</v>
      </c>
      <c r="AR34" s="23">
        <f t="shared" si="28"/>
        <v>2100</v>
      </c>
      <c r="AS34" s="23">
        <f t="shared" si="29"/>
        <v>1050</v>
      </c>
      <c r="AT34" t="str">
        <f t="shared" si="8"/>
        <v>10001|75360$10004|2100$10003|1050$10006|30</v>
      </c>
      <c r="AY34">
        <v>30</v>
      </c>
      <c r="BD34" s="25">
        <v>31</v>
      </c>
      <c r="BE34">
        <v>5360</v>
      </c>
      <c r="BF34">
        <v>1340</v>
      </c>
      <c r="BG34">
        <v>1340</v>
      </c>
      <c r="BH34" t="str">
        <f t="shared" si="10"/>
        <v>10001|5360$10004|1340$10003|1340</v>
      </c>
      <c r="BK34" s="25">
        <v>31</v>
      </c>
      <c r="BL34">
        <v>6560</v>
      </c>
      <c r="BM34">
        <v>1640</v>
      </c>
      <c r="BN34">
        <v>1640</v>
      </c>
      <c r="BO34" t="str">
        <f t="shared" si="11"/>
        <v>10001|6560$10004|1640$10003|1640</v>
      </c>
    </row>
    <row r="35" spans="1:67">
      <c r="A35">
        <v>6</v>
      </c>
      <c r="B35" s="23">
        <v>2955</v>
      </c>
      <c r="C35" s="23">
        <v>279</v>
      </c>
      <c r="D35" s="23">
        <v>315</v>
      </c>
      <c r="E35" t="str">
        <f t="shared" si="31"/>
        <v>10001|2955$10004|279$10003|315</v>
      </c>
      <c r="F35" s="23">
        <v>5</v>
      </c>
      <c r="G35" s="23">
        <v>6446</v>
      </c>
      <c r="H35" s="23">
        <v>304</v>
      </c>
      <c r="I35" s="23">
        <v>297</v>
      </c>
      <c r="J35" t="str">
        <f t="shared" si="32"/>
        <v>10001|6446$10004|304$10003|297</v>
      </c>
      <c r="AF35" s="26">
        <v>32</v>
      </c>
      <c r="AG35" s="23">
        <f t="shared" si="21"/>
        <v>135872</v>
      </c>
      <c r="AH35" s="23">
        <f t="shared" si="22"/>
        <v>2948</v>
      </c>
      <c r="AI35" s="23">
        <f t="shared" si="23"/>
        <v>1555</v>
      </c>
      <c r="AJ35" t="str">
        <f t="shared" si="6"/>
        <v>10001|135872$10004|2948$10003|1555$10006|30</v>
      </c>
      <c r="AK35" s="26">
        <v>32</v>
      </c>
      <c r="AL35" s="23">
        <f t="shared" si="24"/>
        <v>95872</v>
      </c>
      <c r="AM35" s="23">
        <f t="shared" si="25"/>
        <v>2403</v>
      </c>
      <c r="AN35" s="23">
        <f t="shared" si="26"/>
        <v>1255</v>
      </c>
      <c r="AO35" t="str">
        <f t="shared" si="7"/>
        <v>10001|95872$10004|2403$10003|1255$10006|30</v>
      </c>
      <c r="AP35" s="26">
        <v>32</v>
      </c>
      <c r="AQ35" s="23">
        <f t="shared" si="27"/>
        <v>75872</v>
      </c>
      <c r="AR35" s="23">
        <f t="shared" si="28"/>
        <v>2110</v>
      </c>
      <c r="AS35" s="23">
        <f t="shared" si="29"/>
        <v>1055</v>
      </c>
      <c r="AT35" t="str">
        <f t="shared" si="8"/>
        <v>10001|75872$10004|2110$10003|1055$10006|30</v>
      </c>
      <c r="AY35">
        <v>30</v>
      </c>
      <c r="BD35" s="25">
        <v>32</v>
      </c>
      <c r="BE35">
        <v>5440</v>
      </c>
      <c r="BF35">
        <v>1360</v>
      </c>
      <c r="BG35">
        <v>1360</v>
      </c>
      <c r="BH35" t="str">
        <f t="shared" si="10"/>
        <v>10001|5440$10004|1360$10003|1360</v>
      </c>
      <c r="BK35" s="25">
        <v>32</v>
      </c>
      <c r="BL35">
        <v>6600</v>
      </c>
      <c r="BM35">
        <v>1650</v>
      </c>
      <c r="BN35">
        <v>1650</v>
      </c>
      <c r="BO35" t="str">
        <f t="shared" si="11"/>
        <v>10001|6600$10004|1650$10003|1650</v>
      </c>
    </row>
    <row r="36" spans="1:67">
      <c r="A36">
        <v>7</v>
      </c>
      <c r="B36" s="23">
        <v>2016</v>
      </c>
      <c r="C36" s="23">
        <v>504</v>
      </c>
      <c r="D36" s="23">
        <v>504</v>
      </c>
      <c r="E36" t="str">
        <f t="shared" si="31"/>
        <v>10001|2016$10004|504$10003|504</v>
      </c>
      <c r="F36" s="23">
        <v>6</v>
      </c>
      <c r="G36" s="23">
        <v>1487</v>
      </c>
      <c r="H36" s="23">
        <v>304</v>
      </c>
      <c r="I36" s="23">
        <v>277</v>
      </c>
      <c r="J36" t="str">
        <f t="shared" si="32"/>
        <v>10001|1487$10004|304$10003|277</v>
      </c>
      <c r="Z36">
        <v>1.5</v>
      </c>
      <c r="AF36">
        <v>33</v>
      </c>
      <c r="AG36" s="23">
        <f t="shared" si="21"/>
        <v>136384</v>
      </c>
      <c r="AH36" s="23">
        <f t="shared" si="22"/>
        <v>2956</v>
      </c>
      <c r="AI36" s="23">
        <f t="shared" si="23"/>
        <v>1560</v>
      </c>
      <c r="AJ36" t="str">
        <f t="shared" si="6"/>
        <v>10001|136384$10004|2956$10003|1560$10006|30</v>
      </c>
      <c r="AK36">
        <v>33</v>
      </c>
      <c r="AL36" s="23">
        <f t="shared" si="24"/>
        <v>96384</v>
      </c>
      <c r="AM36" s="23">
        <f t="shared" si="25"/>
        <v>2416</v>
      </c>
      <c r="AN36" s="23">
        <f t="shared" si="26"/>
        <v>1260</v>
      </c>
      <c r="AO36" t="str">
        <f t="shared" si="7"/>
        <v>10001|96384$10004|2416$10003|1260$10006|30</v>
      </c>
      <c r="AP36">
        <v>33</v>
      </c>
      <c r="AQ36" s="23">
        <f t="shared" si="27"/>
        <v>76384</v>
      </c>
      <c r="AR36" s="23">
        <f t="shared" si="28"/>
        <v>2120</v>
      </c>
      <c r="AS36" s="23">
        <f t="shared" si="29"/>
        <v>1060</v>
      </c>
      <c r="AT36" t="str">
        <f t="shared" si="8"/>
        <v>10001|76384$10004|2120$10003|1060$10006|30</v>
      </c>
      <c r="AY36">
        <v>30</v>
      </c>
      <c r="BD36" s="25">
        <v>33</v>
      </c>
      <c r="BE36">
        <v>5520</v>
      </c>
      <c r="BF36">
        <v>1380</v>
      </c>
      <c r="BG36">
        <v>1380</v>
      </c>
      <c r="BH36" t="str">
        <f t="shared" si="10"/>
        <v>10001|5520$10004|1380$10003|1380</v>
      </c>
      <c r="BK36" s="25">
        <v>33</v>
      </c>
      <c r="BL36">
        <v>6640</v>
      </c>
      <c r="BM36">
        <v>1660</v>
      </c>
      <c r="BN36">
        <v>1660</v>
      </c>
      <c r="BO36" t="str">
        <f t="shared" si="11"/>
        <v>10001|6640$10004|1660$10003|1660</v>
      </c>
    </row>
    <row r="37" spans="1:67">
      <c r="A37">
        <v>8</v>
      </c>
      <c r="B37" s="23">
        <v>8886</v>
      </c>
      <c r="C37" s="23">
        <v>353</v>
      </c>
      <c r="D37" s="23">
        <v>342</v>
      </c>
      <c r="E37" t="str">
        <f t="shared" si="31"/>
        <v>10001|8886$10004|353$10003|342</v>
      </c>
      <c r="F37" s="23">
        <v>7</v>
      </c>
      <c r="G37" s="23">
        <v>1537</v>
      </c>
      <c r="H37" s="23">
        <v>314</v>
      </c>
      <c r="I37" s="23">
        <v>287</v>
      </c>
      <c r="J37" t="str">
        <f t="shared" si="32"/>
        <v>10001|1537$10004|314$10003|287</v>
      </c>
      <c r="AF37" s="26">
        <v>34</v>
      </c>
      <c r="AG37" s="23">
        <f t="shared" si="21"/>
        <v>136896</v>
      </c>
      <c r="AH37" s="23">
        <f t="shared" si="22"/>
        <v>2964</v>
      </c>
      <c r="AI37" s="23">
        <f t="shared" si="23"/>
        <v>1565</v>
      </c>
      <c r="AJ37" t="str">
        <f t="shared" si="6"/>
        <v>10001|136896$10004|2964$10003|1565$10006|30</v>
      </c>
      <c r="AK37" s="26">
        <v>34</v>
      </c>
      <c r="AL37" s="23">
        <f t="shared" si="24"/>
        <v>96896</v>
      </c>
      <c r="AM37" s="23">
        <f t="shared" si="25"/>
        <v>2429</v>
      </c>
      <c r="AN37" s="23">
        <f t="shared" si="26"/>
        <v>1265</v>
      </c>
      <c r="AO37" t="str">
        <f t="shared" si="7"/>
        <v>10001|96896$10004|2429$10003|1265$10006|30</v>
      </c>
      <c r="AP37" s="26">
        <v>34</v>
      </c>
      <c r="AQ37" s="23">
        <f t="shared" si="27"/>
        <v>76896</v>
      </c>
      <c r="AR37" s="23">
        <f t="shared" si="28"/>
        <v>2130</v>
      </c>
      <c r="AS37" s="23">
        <f t="shared" si="29"/>
        <v>1065</v>
      </c>
      <c r="AT37" t="str">
        <f t="shared" si="8"/>
        <v>10001|76896$10004|2130$10003|1065$10006|30</v>
      </c>
      <c r="AY37">
        <v>30</v>
      </c>
      <c r="BD37" s="25">
        <v>34</v>
      </c>
      <c r="BE37">
        <v>5560</v>
      </c>
      <c r="BF37">
        <v>1390</v>
      </c>
      <c r="BG37">
        <v>1390</v>
      </c>
      <c r="BH37" t="str">
        <f t="shared" si="10"/>
        <v>10001|5560$10004|1390$10003|1390</v>
      </c>
      <c r="BK37" s="25">
        <v>34</v>
      </c>
      <c r="BL37">
        <v>6680</v>
      </c>
      <c r="BM37">
        <v>1670</v>
      </c>
      <c r="BN37">
        <v>1670</v>
      </c>
      <c r="BO37" t="str">
        <f t="shared" si="11"/>
        <v>10001|6680$10004|1670$10003|1670</v>
      </c>
    </row>
    <row r="38" spans="1:67">
      <c r="F38" s="23">
        <v>8</v>
      </c>
      <c r="G38" s="23">
        <v>1586</v>
      </c>
      <c r="H38" s="23">
        <v>323</v>
      </c>
      <c r="I38" s="23">
        <v>287</v>
      </c>
      <c r="J38" t="str">
        <f t="shared" si="32"/>
        <v>10001|1586$10004|323$10003|287</v>
      </c>
      <c r="V38" s="5" t="s">
        <v>1088</v>
      </c>
      <c r="AF38">
        <v>35</v>
      </c>
      <c r="AG38" s="23">
        <f t="shared" si="21"/>
        <v>137408</v>
      </c>
      <c r="AH38" s="23">
        <f t="shared" si="22"/>
        <v>2972</v>
      </c>
      <c r="AI38" s="23">
        <f t="shared" si="23"/>
        <v>1570</v>
      </c>
      <c r="AJ38" t="str">
        <f t="shared" si="6"/>
        <v>10001|137408$10004|2972$10003|1570$10006|30</v>
      </c>
      <c r="AK38">
        <v>35</v>
      </c>
      <c r="AL38" s="23">
        <f t="shared" si="24"/>
        <v>97408</v>
      </c>
      <c r="AM38" s="23">
        <f t="shared" si="25"/>
        <v>2442</v>
      </c>
      <c r="AN38" s="23">
        <f t="shared" si="26"/>
        <v>1270</v>
      </c>
      <c r="AO38" t="str">
        <f t="shared" si="7"/>
        <v>10001|97408$10004|2442$10003|1270$10006|30</v>
      </c>
      <c r="AP38">
        <v>35</v>
      </c>
      <c r="AQ38" s="23">
        <f t="shared" si="27"/>
        <v>77408</v>
      </c>
      <c r="AR38" s="23">
        <f t="shared" si="28"/>
        <v>2140</v>
      </c>
      <c r="AS38" s="23">
        <f t="shared" si="29"/>
        <v>1070</v>
      </c>
      <c r="AT38" t="str">
        <f t="shared" si="8"/>
        <v>10001|77408$10004|2140$10003|1070$10006|30</v>
      </c>
      <c r="AY38">
        <v>30</v>
      </c>
      <c r="BD38" s="26">
        <v>35</v>
      </c>
      <c r="BE38">
        <v>41700</v>
      </c>
      <c r="BF38">
        <v>3475</v>
      </c>
      <c r="BG38">
        <v>1390</v>
      </c>
      <c r="BH38" t="str">
        <f t="shared" si="10"/>
        <v>10001|41700$10004|3475$10003|1390</v>
      </c>
      <c r="BK38" s="24">
        <v>35</v>
      </c>
      <c r="BL38">
        <v>22344</v>
      </c>
      <c r="BM38">
        <v>1680</v>
      </c>
      <c r="BN38">
        <v>2520</v>
      </c>
      <c r="BO38" t="str">
        <f t="shared" si="11"/>
        <v>10001|22344$10004|1680$10003|2520</v>
      </c>
    </row>
    <row r="39" spans="1:67">
      <c r="F39" s="23">
        <v>9</v>
      </c>
      <c r="G39" s="23">
        <v>1686</v>
      </c>
      <c r="H39" s="23">
        <v>333</v>
      </c>
      <c r="I39" s="23">
        <v>327</v>
      </c>
      <c r="J39" t="str">
        <f t="shared" si="32"/>
        <v>10001|1686$10004|333$10003|327</v>
      </c>
      <c r="V39" s="23">
        <v>1</v>
      </c>
      <c r="W39" s="23">
        <v>2818</v>
      </c>
      <c r="X39" s="23">
        <v>706</v>
      </c>
      <c r="Y39" s="23">
        <v>706</v>
      </c>
      <c r="Z39" t="str">
        <f t="shared" ref="Z39:Z62" si="33">$G$2&amp;"|"&amp;W39&amp;"$"&amp;$H$2&amp;"|"&amp;X39&amp;"$"&amp;$I$2&amp;"|"&amp;Y39&amp;"$"&amp;$AY$3&amp;"|"&amp;AY4</f>
        <v>10001|2818$10004|706$10003|706$10006|30</v>
      </c>
      <c r="AF39" s="26">
        <v>36</v>
      </c>
      <c r="AG39" s="23">
        <f t="shared" si="21"/>
        <v>137920</v>
      </c>
      <c r="AH39" s="23">
        <f t="shared" si="22"/>
        <v>2980</v>
      </c>
      <c r="AI39" s="23">
        <f t="shared" si="23"/>
        <v>1575</v>
      </c>
      <c r="AJ39" t="str">
        <f t="shared" si="6"/>
        <v>10001|137920$10004|2980$10003|1575$10006|30</v>
      </c>
      <c r="AK39" s="26">
        <v>36</v>
      </c>
      <c r="AL39" s="23">
        <f t="shared" si="24"/>
        <v>97920</v>
      </c>
      <c r="AM39" s="23">
        <f t="shared" si="25"/>
        <v>2455</v>
      </c>
      <c r="AN39" s="23">
        <f t="shared" si="26"/>
        <v>1275</v>
      </c>
      <c r="AO39" t="str">
        <f t="shared" si="7"/>
        <v>10001|97920$10004|2455$10003|1275$10006|30</v>
      </c>
      <c r="AP39" s="26">
        <v>36</v>
      </c>
      <c r="AQ39" s="23">
        <f t="shared" si="27"/>
        <v>77920</v>
      </c>
      <c r="AR39" s="23">
        <f t="shared" si="28"/>
        <v>2150</v>
      </c>
      <c r="AS39" s="23">
        <f t="shared" si="29"/>
        <v>1075</v>
      </c>
      <c r="AT39" t="str">
        <f t="shared" si="8"/>
        <v>10001|77920$10004|2150$10003|1075$10006|30</v>
      </c>
      <c r="AY39">
        <v>30</v>
      </c>
      <c r="BK39" s="25">
        <v>36</v>
      </c>
      <c r="BL39">
        <v>6720</v>
      </c>
      <c r="BM39">
        <v>1680</v>
      </c>
      <c r="BN39">
        <v>1680</v>
      </c>
      <c r="BO39" t="str">
        <f t="shared" si="11"/>
        <v>10001|6720$10004|1680$10003|1680</v>
      </c>
    </row>
    <row r="40" spans="1:67">
      <c r="F40" s="23">
        <v>10</v>
      </c>
      <c r="G40" s="23">
        <v>6942</v>
      </c>
      <c r="H40" s="23">
        <v>343</v>
      </c>
      <c r="I40" s="23">
        <v>337</v>
      </c>
      <c r="J40" t="str">
        <f t="shared" si="32"/>
        <v>10001|6942$10004|343$10003|337</v>
      </c>
      <c r="V40" s="23">
        <v>2</v>
      </c>
      <c r="W40" s="23">
        <v>2818</v>
      </c>
      <c r="X40" s="23">
        <v>706</v>
      </c>
      <c r="Y40" s="23">
        <v>706</v>
      </c>
      <c r="Z40" t="str">
        <f t="shared" si="33"/>
        <v>10001|2818$10004|706$10003|706$10006|30</v>
      </c>
      <c r="AF40">
        <v>37</v>
      </c>
      <c r="AG40" s="23">
        <f t="shared" si="21"/>
        <v>138432</v>
      </c>
      <c r="AH40" s="23">
        <f t="shared" si="22"/>
        <v>2988</v>
      </c>
      <c r="AI40" s="23">
        <f t="shared" si="23"/>
        <v>1580</v>
      </c>
      <c r="AJ40" t="str">
        <f t="shared" si="6"/>
        <v>10001|138432$10004|2988$10003|1580$10006|30</v>
      </c>
      <c r="AK40">
        <v>37</v>
      </c>
      <c r="AL40" s="23">
        <f t="shared" si="24"/>
        <v>98432</v>
      </c>
      <c r="AM40" s="23">
        <f t="shared" si="25"/>
        <v>2468</v>
      </c>
      <c r="AN40" s="23">
        <f t="shared" si="26"/>
        <v>1280</v>
      </c>
      <c r="AO40" t="str">
        <f t="shared" si="7"/>
        <v>10001|98432$10004|2468$10003|1280$10006|30</v>
      </c>
      <c r="AP40">
        <v>37</v>
      </c>
      <c r="AQ40" s="23">
        <f t="shared" si="27"/>
        <v>78432</v>
      </c>
      <c r="AR40" s="23">
        <f t="shared" si="28"/>
        <v>2160</v>
      </c>
      <c r="AS40" s="23">
        <f t="shared" si="29"/>
        <v>1080</v>
      </c>
      <c r="AT40" t="str">
        <f t="shared" si="8"/>
        <v>10001|78432$10004|2160$10003|1080$10006|30</v>
      </c>
      <c r="AY40">
        <v>30</v>
      </c>
      <c r="BK40" s="25">
        <v>37</v>
      </c>
      <c r="BL40">
        <v>6760</v>
      </c>
      <c r="BM40">
        <v>1690</v>
      </c>
      <c r="BN40">
        <v>1690</v>
      </c>
      <c r="BO40" t="str">
        <f t="shared" si="11"/>
        <v>10001|6760$10004|1690$10003|1690</v>
      </c>
    </row>
    <row r="41" spans="1:67">
      <c r="F41" s="23">
        <v>11</v>
      </c>
      <c r="G41" s="23">
        <v>2083</v>
      </c>
      <c r="H41" s="23">
        <v>383</v>
      </c>
      <c r="I41" s="23">
        <v>357</v>
      </c>
      <c r="J41" t="str">
        <f t="shared" si="32"/>
        <v>10001|2083$10004|383$10003|357</v>
      </c>
      <c r="V41" s="23">
        <v>3</v>
      </c>
      <c r="W41" s="23">
        <v>2818</v>
      </c>
      <c r="X41" s="23">
        <v>706</v>
      </c>
      <c r="Y41" s="23">
        <v>706</v>
      </c>
      <c r="Z41" t="str">
        <f t="shared" si="33"/>
        <v>10001|2818$10004|706$10003|706$10006|30</v>
      </c>
      <c r="AF41" s="26">
        <v>38</v>
      </c>
      <c r="AG41" s="23">
        <f t="shared" si="21"/>
        <v>138944</v>
      </c>
      <c r="AH41" s="23">
        <f t="shared" si="22"/>
        <v>2996</v>
      </c>
      <c r="AI41" s="23">
        <f t="shared" si="23"/>
        <v>1585</v>
      </c>
      <c r="AJ41" t="str">
        <f t="shared" si="6"/>
        <v>10001|138944$10004|2996$10003|1585$10006|30</v>
      </c>
      <c r="AK41" s="26">
        <v>38</v>
      </c>
      <c r="AL41" s="23">
        <f t="shared" si="24"/>
        <v>98944</v>
      </c>
      <c r="AM41" s="23">
        <f t="shared" si="25"/>
        <v>2481</v>
      </c>
      <c r="AN41" s="23">
        <f t="shared" si="26"/>
        <v>1285</v>
      </c>
      <c r="AO41" t="str">
        <f t="shared" si="7"/>
        <v>10001|98944$10004|2481$10003|1285$10006|30</v>
      </c>
      <c r="AP41" s="26">
        <v>38</v>
      </c>
      <c r="AQ41" s="23">
        <f t="shared" si="27"/>
        <v>78944</v>
      </c>
      <c r="AR41" s="23">
        <f t="shared" si="28"/>
        <v>2170</v>
      </c>
      <c r="AS41" s="23">
        <f t="shared" si="29"/>
        <v>1085</v>
      </c>
      <c r="AT41" t="str">
        <f t="shared" si="8"/>
        <v>10001|78944$10004|2170$10003|1085$10006|30</v>
      </c>
      <c r="AY41">
        <v>30</v>
      </c>
      <c r="BK41" s="25">
        <v>38</v>
      </c>
      <c r="BL41">
        <v>6760</v>
      </c>
      <c r="BM41">
        <v>1690</v>
      </c>
      <c r="BN41">
        <v>1690</v>
      </c>
      <c r="BO41" t="str">
        <f t="shared" si="11"/>
        <v>10001|6760$10004|1690$10003|1690</v>
      </c>
    </row>
    <row r="42" spans="1:67">
      <c r="F42" s="23">
        <v>12</v>
      </c>
      <c r="G42" s="23">
        <v>2083</v>
      </c>
      <c r="H42" s="23">
        <v>383</v>
      </c>
      <c r="I42" s="23">
        <v>357</v>
      </c>
      <c r="J42" t="str">
        <f t="shared" si="32"/>
        <v>10001|2083$10004|383$10003|357</v>
      </c>
      <c r="V42" s="27">
        <v>4</v>
      </c>
      <c r="W42" s="28">
        <v>14303</v>
      </c>
      <c r="X42" s="28">
        <v>1335</v>
      </c>
      <c r="Y42" s="28">
        <v>1431</v>
      </c>
      <c r="Z42" t="str">
        <f t="shared" si="33"/>
        <v>10001|14303$10004|1335$10003|1431$10006|30</v>
      </c>
      <c r="AF42">
        <v>39</v>
      </c>
      <c r="AG42" s="23">
        <f t="shared" si="21"/>
        <v>139456</v>
      </c>
      <c r="AH42" s="23">
        <f t="shared" si="22"/>
        <v>3004</v>
      </c>
      <c r="AI42" s="23">
        <f t="shared" si="23"/>
        <v>1590</v>
      </c>
      <c r="AJ42" t="str">
        <f t="shared" si="6"/>
        <v>10001|139456$10004|3004$10003|1590$10006|30</v>
      </c>
      <c r="AK42">
        <v>39</v>
      </c>
      <c r="AL42" s="23">
        <f t="shared" si="24"/>
        <v>99456</v>
      </c>
      <c r="AM42" s="23">
        <f t="shared" si="25"/>
        <v>2494</v>
      </c>
      <c r="AN42" s="23">
        <f t="shared" si="26"/>
        <v>1290</v>
      </c>
      <c r="AO42" t="str">
        <f t="shared" si="7"/>
        <v>10001|99456$10004|2494$10003|1290$10006|30</v>
      </c>
      <c r="AP42">
        <v>39</v>
      </c>
      <c r="AQ42" s="23">
        <f t="shared" si="27"/>
        <v>79456</v>
      </c>
      <c r="AR42" s="23">
        <f t="shared" si="28"/>
        <v>2180</v>
      </c>
      <c r="AS42" s="23">
        <f t="shared" si="29"/>
        <v>1090</v>
      </c>
      <c r="AT42" t="str">
        <f t="shared" si="8"/>
        <v>10001|79456$10004|2180$10003|1090$10006|30</v>
      </c>
      <c r="AY42">
        <v>30</v>
      </c>
      <c r="BK42" s="25">
        <v>39</v>
      </c>
      <c r="BL42">
        <v>6760</v>
      </c>
      <c r="BM42">
        <v>1690</v>
      </c>
      <c r="BN42">
        <v>1690</v>
      </c>
      <c r="BO42" t="str">
        <f t="shared" si="11"/>
        <v>10001|6760$10004|1690$10003|1690</v>
      </c>
    </row>
    <row r="43" spans="1:67">
      <c r="F43" s="23">
        <v>13</v>
      </c>
      <c r="G43" s="23">
        <v>2083</v>
      </c>
      <c r="H43" s="23">
        <v>383</v>
      </c>
      <c r="I43" s="23">
        <v>357</v>
      </c>
      <c r="J43" t="str">
        <f t="shared" si="32"/>
        <v>10001|2083$10004|383$10003|357</v>
      </c>
      <c r="V43" s="23">
        <v>5</v>
      </c>
      <c r="W43" s="23">
        <v>2907</v>
      </c>
      <c r="X43" s="23">
        <v>725</v>
      </c>
      <c r="Y43" s="23">
        <v>725</v>
      </c>
      <c r="Z43" t="str">
        <f t="shared" si="33"/>
        <v>10001|2907$10004|725$10003|725$10006|30</v>
      </c>
      <c r="AF43" s="26">
        <v>40</v>
      </c>
      <c r="AG43" s="23">
        <f t="shared" si="21"/>
        <v>139968</v>
      </c>
      <c r="AH43" s="23">
        <f t="shared" si="22"/>
        <v>3012</v>
      </c>
      <c r="AI43" s="23">
        <f t="shared" si="23"/>
        <v>1595</v>
      </c>
      <c r="AJ43" t="str">
        <f t="shared" si="6"/>
        <v>10001|139968$10004|3012$10003|1595$10006|30</v>
      </c>
      <c r="AK43" s="26">
        <v>40</v>
      </c>
      <c r="AL43" s="23">
        <f t="shared" si="24"/>
        <v>99968</v>
      </c>
      <c r="AM43" s="23">
        <f t="shared" si="25"/>
        <v>2507</v>
      </c>
      <c r="AN43" s="23">
        <f t="shared" si="26"/>
        <v>1295</v>
      </c>
      <c r="AO43" t="str">
        <f t="shared" si="7"/>
        <v>10001|99968$10004|2507$10003|1295$10006|30</v>
      </c>
      <c r="AP43" s="26">
        <v>40</v>
      </c>
      <c r="AQ43" s="23">
        <f t="shared" si="27"/>
        <v>79968</v>
      </c>
      <c r="AR43" s="23">
        <f t="shared" si="28"/>
        <v>2190</v>
      </c>
      <c r="AS43" s="23">
        <f t="shared" si="29"/>
        <v>1095</v>
      </c>
      <c r="AT43" t="str">
        <f t="shared" si="8"/>
        <v>10001|79968$10004|2190$10003|1095$10006|30</v>
      </c>
      <c r="AY43">
        <v>30</v>
      </c>
      <c r="BK43" s="26">
        <v>40</v>
      </c>
      <c r="BL43">
        <v>50700</v>
      </c>
      <c r="BM43">
        <v>4225</v>
      </c>
      <c r="BN43">
        <v>1690</v>
      </c>
      <c r="BO43" t="str">
        <f t="shared" si="11"/>
        <v>10001|50700$10004|4225$10003|1690</v>
      </c>
    </row>
    <row r="44" spans="1:67">
      <c r="F44" s="23">
        <v>14</v>
      </c>
      <c r="G44" s="23">
        <v>2083</v>
      </c>
      <c r="H44" s="23">
        <v>383</v>
      </c>
      <c r="I44" s="23">
        <v>357</v>
      </c>
      <c r="J44" t="str">
        <f t="shared" si="32"/>
        <v>10001|2083$10004|383$10003|357</v>
      </c>
      <c r="V44" s="23">
        <v>6</v>
      </c>
      <c r="W44" s="23">
        <v>2907</v>
      </c>
      <c r="X44" s="23">
        <v>725</v>
      </c>
      <c r="Y44" s="23">
        <v>725</v>
      </c>
      <c r="Z44" t="str">
        <f t="shared" si="33"/>
        <v>10001|2907$10004|725$10003|725$10006|30</v>
      </c>
      <c r="AY44">
        <v>30</v>
      </c>
    </row>
    <row r="45" spans="1:67">
      <c r="F45" s="23">
        <v>15</v>
      </c>
      <c r="G45" s="23">
        <v>8628</v>
      </c>
      <c r="H45" s="23">
        <v>396</v>
      </c>
      <c r="I45" s="23">
        <v>357</v>
      </c>
      <c r="J45" t="str">
        <f t="shared" si="32"/>
        <v>10001|8628$10004|396$10003|357</v>
      </c>
      <c r="V45" s="23">
        <v>7</v>
      </c>
      <c r="W45" s="23">
        <v>2907</v>
      </c>
      <c r="X45" s="23">
        <v>725</v>
      </c>
      <c r="Y45" s="23">
        <v>725</v>
      </c>
      <c r="Z45" t="str">
        <f t="shared" si="33"/>
        <v>10001|2907$10004|725$10003|725$10006|30</v>
      </c>
      <c r="AY45">
        <v>30</v>
      </c>
    </row>
    <row r="46" spans="1:67">
      <c r="F46" s="23">
        <v>16</v>
      </c>
      <c r="G46" s="23">
        <v>2083</v>
      </c>
      <c r="H46" s="23">
        <v>383</v>
      </c>
      <c r="I46" s="23">
        <v>357</v>
      </c>
      <c r="J46" t="str">
        <f t="shared" si="32"/>
        <v>10001|2083$10004|383$10003|357</v>
      </c>
      <c r="V46" s="27">
        <v>8</v>
      </c>
      <c r="W46" s="28">
        <v>16211</v>
      </c>
      <c r="X46" s="28">
        <v>1431</v>
      </c>
      <c r="Y46" s="28">
        <v>1526</v>
      </c>
      <c r="Z46" t="str">
        <f t="shared" si="33"/>
        <v>10001|16211$10004|1431$10003|1526$10006|30</v>
      </c>
    </row>
    <row r="47" spans="1:67">
      <c r="F47" s="23">
        <v>17</v>
      </c>
      <c r="G47" s="23">
        <v>2479</v>
      </c>
      <c r="H47" s="23">
        <v>413</v>
      </c>
      <c r="I47" s="23">
        <v>377</v>
      </c>
      <c r="J47" t="str">
        <f t="shared" si="32"/>
        <v>10001|2479$10004|413$10003|377</v>
      </c>
      <c r="V47" s="23">
        <v>9</v>
      </c>
      <c r="W47" s="23">
        <v>2907</v>
      </c>
      <c r="X47" s="23">
        <v>725</v>
      </c>
      <c r="Y47" s="23">
        <v>725</v>
      </c>
      <c r="Z47" t="str">
        <f t="shared" si="33"/>
        <v>10001|2907$10004|725$10003|725$10006|30</v>
      </c>
    </row>
    <row r="48" spans="1:67">
      <c r="F48" s="23">
        <v>18</v>
      </c>
      <c r="G48" s="23">
        <v>2479</v>
      </c>
      <c r="H48" s="23">
        <v>413</v>
      </c>
      <c r="I48" s="23">
        <v>377</v>
      </c>
      <c r="J48" t="str">
        <f t="shared" si="32"/>
        <v>10001|2479$10004|413$10003|377</v>
      </c>
      <c r="V48" s="23">
        <v>10</v>
      </c>
      <c r="W48" s="23">
        <v>2907</v>
      </c>
      <c r="X48" s="23">
        <v>725</v>
      </c>
      <c r="Y48" s="23">
        <v>725</v>
      </c>
      <c r="Z48" t="str">
        <f t="shared" si="33"/>
        <v>10001|2907$10004|725$10003|725$10006|30</v>
      </c>
    </row>
    <row r="49" spans="6:30">
      <c r="F49" s="23">
        <v>19</v>
      </c>
      <c r="G49" s="23">
        <v>2479</v>
      </c>
      <c r="H49" s="23">
        <v>413</v>
      </c>
      <c r="I49" s="23">
        <v>377</v>
      </c>
      <c r="J49" t="str">
        <f t="shared" si="32"/>
        <v>10001|2479$10004|413$10003|377</v>
      </c>
      <c r="V49" s="23">
        <v>11</v>
      </c>
      <c r="W49" s="23">
        <v>2907</v>
      </c>
      <c r="X49" s="23">
        <v>725</v>
      </c>
      <c r="Y49" s="23">
        <v>725</v>
      </c>
      <c r="Z49" t="str">
        <f t="shared" si="33"/>
        <v>10001|2907$10004|725$10003|725$10006|30</v>
      </c>
    </row>
    <row r="50" spans="6:30">
      <c r="F50" s="23">
        <v>20</v>
      </c>
      <c r="G50" s="23">
        <v>9620</v>
      </c>
      <c r="H50" s="23">
        <v>416</v>
      </c>
      <c r="I50" s="23">
        <v>416</v>
      </c>
      <c r="J50" t="str">
        <f t="shared" si="32"/>
        <v>10001|9620$10004|416$10003|416</v>
      </c>
      <c r="V50" s="23">
        <v>12</v>
      </c>
      <c r="W50" s="28">
        <v>16211</v>
      </c>
      <c r="X50" s="28">
        <v>1526</v>
      </c>
      <c r="Y50" s="28">
        <v>1622</v>
      </c>
      <c r="Z50" t="str">
        <f t="shared" si="33"/>
        <v>10001|16211$10004|1526$10003|1622$10006|30</v>
      </c>
      <c r="AA50" s="29"/>
      <c r="AB50" s="29"/>
      <c r="AC50" s="29"/>
      <c r="AD50" s="29"/>
    </row>
    <row r="51" spans="6:30">
      <c r="F51" s="23">
        <v>21</v>
      </c>
      <c r="G51" s="23">
        <v>2525</v>
      </c>
      <c r="H51" s="23">
        <v>411</v>
      </c>
      <c r="I51" s="23">
        <v>378</v>
      </c>
      <c r="J51" t="str">
        <f t="shared" si="32"/>
        <v>10001|2525$10004|411$10003|378</v>
      </c>
      <c r="V51" s="27">
        <v>13</v>
      </c>
      <c r="W51" s="23">
        <v>3122</v>
      </c>
      <c r="X51" s="23">
        <v>781</v>
      </c>
      <c r="Y51" s="23">
        <v>781</v>
      </c>
      <c r="Z51" t="str">
        <f t="shared" si="33"/>
        <v>10001|3122$10004|781$10003|781$10006|30</v>
      </c>
    </row>
    <row r="52" spans="6:30">
      <c r="F52" s="23">
        <v>22</v>
      </c>
      <c r="G52" s="23">
        <v>2525</v>
      </c>
      <c r="H52" s="23">
        <v>411</v>
      </c>
      <c r="I52" s="23">
        <v>378</v>
      </c>
      <c r="J52" t="str">
        <f t="shared" si="32"/>
        <v>10001|2525$10004|411$10003|378</v>
      </c>
      <c r="V52" s="23">
        <v>14</v>
      </c>
      <c r="W52" s="23">
        <v>3122</v>
      </c>
      <c r="X52" s="23">
        <v>781</v>
      </c>
      <c r="Y52" s="23">
        <v>781</v>
      </c>
      <c r="Z52" t="str">
        <f t="shared" si="33"/>
        <v>10001|3122$10004|781$10003|781$10006|30</v>
      </c>
    </row>
    <row r="53" spans="6:30">
      <c r="F53" s="23">
        <v>23</v>
      </c>
      <c r="G53" s="23">
        <v>2525</v>
      </c>
      <c r="H53" s="23">
        <v>411</v>
      </c>
      <c r="I53" s="23">
        <v>378</v>
      </c>
      <c r="J53" t="str">
        <f t="shared" si="32"/>
        <v>10001|2525$10004|411$10003|378</v>
      </c>
      <c r="V53" s="23">
        <v>15</v>
      </c>
      <c r="W53" s="23">
        <v>3122</v>
      </c>
      <c r="X53" s="23">
        <v>781</v>
      </c>
      <c r="Y53" s="23">
        <v>781</v>
      </c>
      <c r="Z53" t="str">
        <f t="shared" si="33"/>
        <v>10001|3122$10004|781$10003|781$10006|30</v>
      </c>
    </row>
    <row r="54" spans="6:30">
      <c r="F54" s="23">
        <v>24</v>
      </c>
      <c r="G54" s="23">
        <v>13524</v>
      </c>
      <c r="H54" s="23">
        <v>402</v>
      </c>
      <c r="I54" s="23">
        <v>244</v>
      </c>
      <c r="J54" t="str">
        <f t="shared" si="32"/>
        <v>10001|13524$10004|402$10003|244</v>
      </c>
      <c r="V54" s="23">
        <v>16</v>
      </c>
      <c r="W54" s="28">
        <v>16688</v>
      </c>
      <c r="X54" s="28">
        <v>1574</v>
      </c>
      <c r="Y54" s="28">
        <v>1670</v>
      </c>
      <c r="Z54" t="str">
        <f t="shared" si="33"/>
        <v>10001|16688$10004|1574$10003|1670$10006|30</v>
      </c>
      <c r="AA54" s="29"/>
      <c r="AB54" s="29"/>
      <c r="AC54" s="29"/>
      <c r="AD54" s="29"/>
    </row>
    <row r="55" spans="6:30">
      <c r="F55" s="23">
        <v>25</v>
      </c>
      <c r="G55" s="23">
        <v>10819</v>
      </c>
      <c r="H55" s="23">
        <v>402</v>
      </c>
      <c r="I55" s="23">
        <v>216</v>
      </c>
      <c r="J55" t="str">
        <f t="shared" si="32"/>
        <v>10001|10819$10004|402$10003|216</v>
      </c>
      <c r="V55" s="27">
        <v>17</v>
      </c>
      <c r="W55" s="23">
        <v>3252</v>
      </c>
      <c r="X55" s="23">
        <v>814</v>
      </c>
      <c r="Y55" s="23">
        <v>814</v>
      </c>
      <c r="Z55" t="str">
        <f t="shared" si="33"/>
        <v>10001|3252$10004|814$10003|814$10006|30</v>
      </c>
    </row>
    <row r="56" spans="6:30">
      <c r="F56" s="23">
        <v>26</v>
      </c>
      <c r="G56" s="23">
        <v>2705</v>
      </c>
      <c r="H56" s="23">
        <v>402</v>
      </c>
      <c r="I56" s="23">
        <v>216</v>
      </c>
      <c r="J56" t="str">
        <f t="shared" si="32"/>
        <v>10001|2705$10004|402$10003|216</v>
      </c>
      <c r="V56" s="23">
        <v>18</v>
      </c>
      <c r="W56" s="23">
        <v>3252</v>
      </c>
      <c r="X56" s="23">
        <v>814</v>
      </c>
      <c r="Y56" s="23">
        <v>814</v>
      </c>
      <c r="Z56" t="str">
        <f t="shared" si="33"/>
        <v>10001|3252$10004|814$10003|814$10006|30</v>
      </c>
    </row>
    <row r="57" spans="6:30">
      <c r="F57" s="23">
        <v>27</v>
      </c>
      <c r="V57" s="23">
        <v>19</v>
      </c>
      <c r="W57" s="23">
        <v>3252</v>
      </c>
      <c r="X57" s="23">
        <v>814</v>
      </c>
      <c r="Y57" s="23">
        <v>814</v>
      </c>
      <c r="Z57" t="str">
        <f t="shared" si="33"/>
        <v>10001|3252$10004|814$10003|814$10006|30</v>
      </c>
    </row>
    <row r="58" spans="6:30">
      <c r="F58" s="23">
        <v>28</v>
      </c>
      <c r="V58" s="23">
        <v>20</v>
      </c>
      <c r="W58" s="28">
        <v>17165</v>
      </c>
      <c r="X58" s="28">
        <v>1622</v>
      </c>
      <c r="Y58" s="28">
        <v>1718</v>
      </c>
      <c r="Z58" t="str">
        <f t="shared" si="33"/>
        <v>10001|17165$10004|1622$10003|1718$10006|30</v>
      </c>
      <c r="AA58" s="29"/>
      <c r="AB58" s="29"/>
      <c r="AC58" s="29"/>
      <c r="AD58" s="29"/>
    </row>
    <row r="59" spans="6:30">
      <c r="F59" s="23">
        <v>29</v>
      </c>
      <c r="V59" s="27">
        <v>21</v>
      </c>
      <c r="W59" s="23">
        <v>3382</v>
      </c>
      <c r="X59" s="23">
        <v>845</v>
      </c>
      <c r="Y59" s="23">
        <v>845</v>
      </c>
      <c r="Z59" t="str">
        <f t="shared" si="33"/>
        <v>10001|3382$10004|845$10003|845$10006|30</v>
      </c>
    </row>
    <row r="60" spans="6:30">
      <c r="F60" s="23">
        <v>30</v>
      </c>
      <c r="V60" s="23">
        <v>22</v>
      </c>
      <c r="W60" s="23">
        <v>3382</v>
      </c>
      <c r="X60" s="23">
        <v>845</v>
      </c>
      <c r="Y60" s="23">
        <v>845</v>
      </c>
      <c r="Z60" t="str">
        <f t="shared" si="33"/>
        <v>10001|3382$10004|845$10003|845$10006|30</v>
      </c>
    </row>
    <row r="61" spans="6:30">
      <c r="F61" s="23">
        <v>31</v>
      </c>
      <c r="V61" s="23">
        <v>23</v>
      </c>
      <c r="W61" s="23">
        <v>3382</v>
      </c>
      <c r="X61" s="23">
        <v>845</v>
      </c>
      <c r="Y61" s="23">
        <v>845</v>
      </c>
      <c r="Z61" t="str">
        <f t="shared" si="33"/>
        <v>10001|3382$10004|845$10003|845$10006|30</v>
      </c>
    </row>
    <row r="62" spans="6:30">
      <c r="F62" s="23">
        <v>32</v>
      </c>
      <c r="V62" s="23">
        <v>24</v>
      </c>
      <c r="W62" s="23">
        <v>30515</v>
      </c>
      <c r="X62" s="23">
        <v>1220</v>
      </c>
      <c r="Y62" s="23">
        <v>1297</v>
      </c>
      <c r="Z62" t="str">
        <f t="shared" si="33"/>
        <v>10001|30515$10004|1220$10003|1297$10006|30</v>
      </c>
    </row>
    <row r="63" spans="6:30">
      <c r="I63">
        <v>1.1</v>
      </c>
      <c r="V63" s="23">
        <v>25</v>
      </c>
    </row>
    <row r="64" spans="6:30">
      <c r="V64" s="23">
        <v>26</v>
      </c>
      <c r="W64" s="23"/>
      <c r="X64" s="23"/>
      <c r="Y64" s="23"/>
      <c r="Z64">
        <v>1.5</v>
      </c>
      <c r="AA64">
        <v>1.1</v>
      </c>
    </row>
    <row r="65" spans="22:27">
      <c r="V65" s="23">
        <v>27</v>
      </c>
      <c r="AA65">
        <v>1.2</v>
      </c>
    </row>
    <row r="66" spans="22:27">
      <c r="V66" s="23">
        <v>28</v>
      </c>
    </row>
    <row r="67" spans="22:27">
      <c r="V67" s="23">
        <v>29</v>
      </c>
    </row>
    <row r="68" spans="22:27">
      <c r="V68" s="23">
        <v>30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41"/>
  <sheetViews>
    <sheetView zoomScale="85" zoomScaleNormal="85" workbookViewId="0">
      <selection activeCell="D12" sqref="D12"/>
    </sheetView>
  </sheetViews>
  <sheetFormatPr defaultColWidth="9" defaultRowHeight="13.5"/>
  <cols>
    <col min="5" max="7" width="30.5" style="2" customWidth="1"/>
    <col min="11" max="11" width="28.625" style="2" customWidth="1"/>
    <col min="12" max="12" width="15.125" style="2" customWidth="1"/>
    <col min="14" max="14" width="16" style="2" customWidth="1"/>
    <col min="15" max="15" width="7.625" style="2" customWidth="1"/>
    <col min="16" max="16" width="15.75" style="2" customWidth="1"/>
    <col min="30" max="30" width="16.125" style="2" customWidth="1"/>
    <col min="32" max="32" width="13.125" style="2" customWidth="1"/>
    <col min="34" max="34" width="13.25" style="2" customWidth="1"/>
    <col min="37" max="37" width="10.625" style="2" customWidth="1"/>
    <col min="38" max="38" width="12.5" style="2" customWidth="1"/>
    <col min="50" max="50" width="11.875" style="2" customWidth="1"/>
  </cols>
  <sheetData>
    <row r="1" spans="1:49">
      <c r="A1" s="13"/>
      <c r="B1" s="13" t="s">
        <v>1089</v>
      </c>
      <c r="C1" s="13" t="s">
        <v>1090</v>
      </c>
      <c r="D1" s="13" t="s">
        <v>1091</v>
      </c>
      <c r="E1" s="13"/>
      <c r="F1" s="13"/>
      <c r="G1" s="13"/>
      <c r="H1" s="13"/>
      <c r="I1" s="13"/>
      <c r="J1" s="13"/>
      <c r="K1" s="1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8"/>
      <c r="Z1" s="13"/>
      <c r="AA1" s="13"/>
      <c r="AB1" s="13"/>
      <c r="AC1" s="13"/>
    </row>
    <row r="2" ht="148.5" customHeight="1" spans="1:49">
      <c r="A2" s="13" t="s">
        <v>1092</v>
      </c>
      <c r="B2" s="19" t="s">
        <v>1093</v>
      </c>
      <c r="C2" s="19" t="s">
        <v>1094</v>
      </c>
      <c r="D2" s="19" t="s">
        <v>1095</v>
      </c>
      <c r="E2" s="13"/>
      <c r="F2" s="13"/>
      <c r="G2" s="13"/>
      <c r="H2" s="13"/>
      <c r="I2" s="13"/>
      <c r="J2" s="13"/>
      <c r="K2" s="17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8"/>
      <c r="Z2" s="13"/>
      <c r="AA2" s="13"/>
      <c r="AB2" s="13"/>
      <c r="AC2" s="13"/>
    </row>
    <row r="3" spans="1:49">
      <c r="A3" s="13" t="s">
        <v>1096</v>
      </c>
      <c r="B3" s="19"/>
      <c r="C3" s="19"/>
      <c r="D3" s="19"/>
      <c r="E3" s="13"/>
      <c r="F3" s="13"/>
      <c r="G3" s="13"/>
      <c r="H3" s="13"/>
      <c r="I3" s="13"/>
      <c r="J3" s="13"/>
      <c r="K3" s="17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8"/>
      <c r="Z3" s="13"/>
      <c r="AA3" s="13"/>
      <c r="AB3" s="13"/>
      <c r="AC3" s="13"/>
    </row>
    <row r="4" ht="27" customHeight="1" spans="1:49">
      <c r="A4" s="13"/>
      <c r="B4" s="13" t="s">
        <v>1097</v>
      </c>
      <c r="C4" s="13"/>
      <c r="D4" s="13"/>
      <c r="E4" s="13"/>
      <c r="F4" s="13"/>
      <c r="G4" s="13"/>
      <c r="H4" s="13" t="s">
        <v>1091</v>
      </c>
      <c r="I4" s="13"/>
      <c r="J4" s="13"/>
      <c r="K4" s="17"/>
      <c r="L4" s="13" t="s">
        <v>1098</v>
      </c>
      <c r="M4" s="13" t="s">
        <v>1099</v>
      </c>
      <c r="N4" s="13" t="s">
        <v>1100</v>
      </c>
      <c r="O4" s="13" t="s">
        <v>1101</v>
      </c>
      <c r="P4" s="13" t="s">
        <v>1102</v>
      </c>
      <c r="Q4" s="13" t="s">
        <v>1103</v>
      </c>
      <c r="R4" s="13" t="s">
        <v>1089</v>
      </c>
      <c r="S4" s="13"/>
      <c r="T4" s="13"/>
      <c r="U4" s="13"/>
      <c r="V4" s="13" t="s">
        <v>1104</v>
      </c>
      <c r="W4" s="13"/>
      <c r="X4" s="13"/>
      <c r="Y4" s="18"/>
      <c r="Z4" s="17" t="s">
        <v>1105</v>
      </c>
      <c r="AA4" s="17"/>
      <c r="AB4" s="17"/>
      <c r="AC4" s="13"/>
      <c r="AD4" s="13" t="s">
        <v>1098</v>
      </c>
      <c r="AE4" s="13" t="s">
        <v>1099</v>
      </c>
      <c r="AF4" s="13" t="s">
        <v>1100</v>
      </c>
      <c r="AG4" s="13" t="s">
        <v>1101</v>
      </c>
      <c r="AH4" s="13" t="s">
        <v>1102</v>
      </c>
      <c r="AI4" s="13" t="s">
        <v>1103</v>
      </c>
      <c r="AL4" s="13" t="s">
        <v>1106</v>
      </c>
      <c r="AP4" s="13" t="s">
        <v>1107</v>
      </c>
      <c r="AT4" s="13" t="s">
        <v>1108</v>
      </c>
    </row>
    <row r="5" spans="1:49">
      <c r="A5" s="13"/>
      <c r="B5" s="13"/>
      <c r="C5" s="13"/>
      <c r="D5" s="13"/>
      <c r="E5" s="13"/>
      <c r="F5" s="13"/>
      <c r="G5" s="13"/>
      <c r="H5" s="13">
        <v>10001</v>
      </c>
      <c r="I5" s="13">
        <v>10004</v>
      </c>
      <c r="J5" s="13">
        <v>10003</v>
      </c>
      <c r="K5" s="17"/>
      <c r="L5" s="13">
        <v>2</v>
      </c>
      <c r="M5" s="13">
        <v>110002</v>
      </c>
      <c r="N5" s="13">
        <v>2</v>
      </c>
      <c r="O5" s="20" t="s">
        <v>1109</v>
      </c>
      <c r="P5" s="13">
        <v>2</v>
      </c>
      <c r="Q5" s="20" t="s">
        <v>1110</v>
      </c>
      <c r="R5" s="13">
        <v>10001</v>
      </c>
      <c r="S5" s="13">
        <v>10004</v>
      </c>
      <c r="T5" s="13">
        <v>10003</v>
      </c>
      <c r="U5" s="13"/>
      <c r="V5" s="13">
        <v>10001</v>
      </c>
      <c r="W5" s="13">
        <v>10004</v>
      </c>
      <c r="X5" s="13">
        <v>10003</v>
      </c>
      <c r="Y5" s="18"/>
      <c r="Z5" s="13">
        <v>10001</v>
      </c>
      <c r="AA5" s="13">
        <v>10004</v>
      </c>
      <c r="AB5" s="13">
        <v>10003</v>
      </c>
      <c r="AC5" s="13"/>
      <c r="AD5" s="13">
        <v>2</v>
      </c>
      <c r="AE5" s="13">
        <v>110003</v>
      </c>
      <c r="AF5" s="13">
        <v>2</v>
      </c>
      <c r="AG5" s="20" t="s">
        <v>1111</v>
      </c>
      <c r="AH5" s="13">
        <v>2</v>
      </c>
      <c r="AI5" s="20" t="s">
        <v>1112</v>
      </c>
      <c r="AL5">
        <v>10001</v>
      </c>
      <c r="AM5">
        <v>10004</v>
      </c>
      <c r="AN5">
        <v>10003</v>
      </c>
      <c r="AP5">
        <v>10001</v>
      </c>
      <c r="AQ5">
        <v>10004</v>
      </c>
      <c r="AR5">
        <v>10003</v>
      </c>
      <c r="AT5">
        <v>10001</v>
      </c>
      <c r="AU5">
        <v>10004</v>
      </c>
      <c r="AV5">
        <v>10003</v>
      </c>
    </row>
    <row r="6" ht="66" customHeight="1" spans="1:49">
      <c r="A6" s="13" t="s">
        <v>1113</v>
      </c>
      <c r="B6" s="13" t="s">
        <v>1114</v>
      </c>
      <c r="C6" s="13" t="s">
        <v>1115</v>
      </c>
      <c r="D6" s="13" t="s">
        <v>1116</v>
      </c>
      <c r="E6" s="13"/>
      <c r="F6" s="13" t="s">
        <v>1117</v>
      </c>
      <c r="G6" s="13" t="s">
        <v>1118</v>
      </c>
      <c r="H6" s="13" t="s">
        <v>1067</v>
      </c>
      <c r="I6" s="13" t="s">
        <v>1068</v>
      </c>
      <c r="J6" s="13" t="s">
        <v>1069</v>
      </c>
      <c r="K6" s="17"/>
      <c r="L6" s="13"/>
      <c r="M6" s="20" t="s">
        <v>1119</v>
      </c>
      <c r="O6" s="20" t="s">
        <v>1120</v>
      </c>
      <c r="Q6" s="20" t="s">
        <v>1121</v>
      </c>
      <c r="R6" s="13" t="s">
        <v>1067</v>
      </c>
      <c r="S6" s="13" t="s">
        <v>1068</v>
      </c>
      <c r="T6" s="13" t="s">
        <v>1069</v>
      </c>
      <c r="U6" s="13"/>
      <c r="V6" s="13" t="s">
        <v>1067</v>
      </c>
      <c r="W6" s="13" t="s">
        <v>1068</v>
      </c>
      <c r="X6" s="13" t="s">
        <v>1069</v>
      </c>
      <c r="Y6" s="18"/>
      <c r="Z6" s="17" t="s">
        <v>1067</v>
      </c>
      <c r="AA6" s="17" t="s">
        <v>1068</v>
      </c>
      <c r="AB6" s="17" t="s">
        <v>1069</v>
      </c>
      <c r="AC6" s="13"/>
      <c r="AD6" s="13"/>
      <c r="AE6" s="20" t="s">
        <v>1122</v>
      </c>
      <c r="AG6" s="20" t="s">
        <v>1123</v>
      </c>
      <c r="AI6" s="20" t="s">
        <v>1124</v>
      </c>
      <c r="AL6" t="s">
        <v>1067</v>
      </c>
      <c r="AM6" t="s">
        <v>1068</v>
      </c>
      <c r="AN6" t="s">
        <v>1069</v>
      </c>
      <c r="AP6" t="s">
        <v>1067</v>
      </c>
      <c r="AQ6" t="s">
        <v>1068</v>
      </c>
      <c r="AR6" t="s">
        <v>1069</v>
      </c>
      <c r="AT6" t="s">
        <v>1067</v>
      </c>
      <c r="AU6" t="s">
        <v>1068</v>
      </c>
      <c r="AV6" t="s">
        <v>1069</v>
      </c>
    </row>
    <row r="7" ht="62.1" customHeight="1" spans="1:49">
      <c r="A7" s="13" t="s">
        <v>1125</v>
      </c>
      <c r="B7" s="21" t="s">
        <v>1126</v>
      </c>
      <c r="C7" s="13"/>
      <c r="D7" s="13"/>
      <c r="E7" s="13">
        <v>1</v>
      </c>
      <c r="F7" s="22">
        <f t="shared" ref="F7:F21" si="0">1.7*E7-0.7</f>
        <v>1</v>
      </c>
      <c r="G7" s="22">
        <f t="shared" ref="G7:G21" si="1">3.5*E7-2.5</f>
        <v>1</v>
      </c>
      <c r="H7" s="13">
        <f t="shared" ref="H7:H21" si="2">4114*E7-1714</f>
        <v>2400</v>
      </c>
      <c r="I7" s="13">
        <f t="shared" ref="I7:I21" si="3">90*E7+150</f>
        <v>240</v>
      </c>
      <c r="J7" s="13">
        <f t="shared" ref="J7:J21" si="4">90*E7+150</f>
        <v>240</v>
      </c>
      <c r="K7" s="17" t="str">
        <f t="shared" ref="K7:K21" si="5">$H$5&amp;"|"&amp;H7&amp;"$"&amp;$I$5&amp;"|"&amp;I7&amp;"$"&amp;$J$5&amp;"|"&amp;J7</f>
        <v>10001|2400$10004|240$10003|240</v>
      </c>
      <c r="L7" s="13" t="str">
        <f t="shared" ref="L7:L21" si="6">$L$5&amp;"|"&amp;F7&amp;"$"&amp;$M$5&amp;"|"&amp;G7</f>
        <v>2|1$110002|1</v>
      </c>
      <c r="M7" s="13"/>
      <c r="N7" s="13" t="str">
        <f t="shared" ref="N7:N21" si="7">$N$5&amp;"|"&amp;F7&amp;"$"&amp;$O$5&amp;"|"&amp;G7</f>
        <v>2|1$880001|1</v>
      </c>
      <c r="O7" s="13"/>
      <c r="P7" s="13" t="str">
        <f t="shared" ref="P7:P21" si="8">$P$5&amp;"|"&amp;F7&amp;"$"&amp;$Q$5&amp;"|"&amp;G7</f>
        <v>2|1$440001|1</v>
      </c>
      <c r="Q7" s="13"/>
      <c r="R7" s="13">
        <f t="shared" ref="R7:R21" si="9">4114*E7-1714</f>
        <v>2400</v>
      </c>
      <c r="S7" s="13">
        <f t="shared" ref="S7:S21" si="10">90*E7+160</f>
        <v>250</v>
      </c>
      <c r="T7" s="13">
        <f t="shared" ref="T7:T21" si="11">90*E7+160</f>
        <v>250</v>
      </c>
      <c r="U7" s="17" t="str">
        <f t="shared" ref="U7:U21" si="12">$H$5&amp;"|"&amp;R7&amp;"$"&amp;$I$5&amp;"|"&amp;S7&amp;"$"&amp;$J$5&amp;"|"&amp;T7</f>
        <v>10001|2400$10004|250$10003|250</v>
      </c>
      <c r="V7" s="13">
        <v>2400</v>
      </c>
      <c r="W7" s="13">
        <v>250</v>
      </c>
      <c r="X7" s="13">
        <v>250</v>
      </c>
      <c r="Y7" s="17" t="str">
        <f t="shared" ref="Y7:Y21" si="13">$H$5&amp;"|"&amp;V7&amp;"$"&amp;$I$5&amp;"|"&amp;W7&amp;"$"&amp;$J$5&amp;"|"&amp;X7</f>
        <v>10001|2400$10004|250$10003|250</v>
      </c>
      <c r="Z7" s="13">
        <f t="shared" ref="Z7:Z21" si="14">5000*E7-2000</f>
        <v>3000</v>
      </c>
      <c r="AA7" s="13">
        <f t="shared" ref="AA7:AA21" si="15">103*E7+147</f>
        <v>250</v>
      </c>
      <c r="AB7" s="13">
        <f t="shared" ref="AB7:AB21" si="16">83*E7+147</f>
        <v>230</v>
      </c>
      <c r="AC7" s="17" t="str">
        <f t="shared" ref="AC7:AC21" si="17">$H$5&amp;"|"&amp;Z7&amp;"$"&amp;$I$5&amp;"|"&amp;AA7&amp;"$"&amp;$J$5&amp;"|"&amp;AB7</f>
        <v>10001|3000$10004|250$10003|230</v>
      </c>
      <c r="AD7" s="13" t="str">
        <f t="shared" ref="AD7:AD21" si="18">$AD$5&amp;"|"&amp;F7&amp;"$"&amp;$AE$5&amp;"|"&amp;G7</f>
        <v>2|1$110003|1</v>
      </c>
      <c r="AF7" s="13" t="str">
        <f t="shared" ref="AF7:AF21" si="19">$AF$5&amp;"|"&amp;F7&amp;"$"&amp;$AG$5&amp;"|"&amp;G7</f>
        <v>2|1$770001|1</v>
      </c>
      <c r="AH7" s="13" t="str">
        <f t="shared" ref="AH7:AH21" si="20">$AH$5&amp;"|"&amp;F7&amp;"$"&amp;$AI$5&amp;"|"&amp;G7</f>
        <v>2|1$660002|1</v>
      </c>
      <c r="AK7">
        <v>1</v>
      </c>
      <c r="AL7" s="13">
        <f t="shared" ref="AL7:AL21" si="21">712*AK7+8</f>
        <v>720</v>
      </c>
      <c r="AM7">
        <f t="shared" ref="AM7:AM21" si="22">71*AK7+49</f>
        <v>120</v>
      </c>
      <c r="AN7">
        <f t="shared" ref="AN7:AN21" si="23">71*AK7+49</f>
        <v>120</v>
      </c>
      <c r="AO7" s="17" t="str">
        <f>$H$5&amp;"|"&amp;AL7&amp;"$"&amp;$I$5&amp;"|"&amp;AM7&amp;"$"&amp;$J$5&amp;"|"&amp;AN7</f>
        <v>10001|720$10004|120$10003|120</v>
      </c>
      <c r="AP7">
        <f t="shared" ref="AP7:AP21" si="24">2844*AK7-444</f>
        <v>2400</v>
      </c>
      <c r="AQ7">
        <f t="shared" ref="AQ7:AQ21" si="25">146*AK7</f>
        <v>146</v>
      </c>
      <c r="AR7">
        <f t="shared" ref="AR7:AR21" si="26">175*AK7-35</f>
        <v>140</v>
      </c>
      <c r="AS7" s="17" t="str">
        <f>$H$5&amp;"|"&amp;AP7&amp;"$"&amp;$I$5&amp;"|"&amp;AQ7&amp;"$"&amp;$J$5&amp;"|"&amp;AR7</f>
        <v>10001|2400$10004|146$10003|140</v>
      </c>
      <c r="AT7">
        <f t="shared" ref="AT7:AT21" si="27">6185*AK7-2745</f>
        <v>3440</v>
      </c>
      <c r="AU7">
        <f t="shared" ref="AU7:AU21" si="28">277*AK7-157</f>
        <v>120</v>
      </c>
      <c r="AV7">
        <f t="shared" ref="AV7:AV21" si="29">147*AK7-27</f>
        <v>120</v>
      </c>
      <c r="AW7" s="17" t="str">
        <f>$H$5&amp;"|"&amp;AT7&amp;"$"&amp;$I$5&amp;"|"&amp;AU7&amp;"$"&amp;$J$5&amp;"|"&amp;AV7</f>
        <v>10001|3440$10004|120$10003|120</v>
      </c>
    </row>
    <row r="8" ht="38.25" customHeight="1" spans="1:49">
      <c r="A8" s="13" t="s">
        <v>1127</v>
      </c>
      <c r="B8" s="13" t="s">
        <v>1128</v>
      </c>
      <c r="C8" s="13"/>
      <c r="D8" s="13"/>
      <c r="E8" s="13">
        <v>2</v>
      </c>
      <c r="F8" s="22">
        <f t="shared" si="0"/>
        <v>3</v>
      </c>
      <c r="G8" s="22">
        <f t="shared" si="1"/>
        <v>5</v>
      </c>
      <c r="H8" s="13">
        <f t="shared" si="2"/>
        <v>6514</v>
      </c>
      <c r="I8" s="13">
        <f t="shared" si="3"/>
        <v>330</v>
      </c>
      <c r="J8" s="13">
        <f t="shared" si="4"/>
        <v>330</v>
      </c>
      <c r="K8" s="17" t="str">
        <f t="shared" si="5"/>
        <v>10001|6514$10004|330$10003|330</v>
      </c>
      <c r="L8" s="13" t="str">
        <f t="shared" si="6"/>
        <v>2|3$110002|5</v>
      </c>
      <c r="M8" s="13"/>
      <c r="N8" s="13" t="str">
        <f t="shared" si="7"/>
        <v>2|3$880001|5</v>
      </c>
      <c r="O8" s="13"/>
      <c r="P8" s="13" t="str">
        <f t="shared" si="8"/>
        <v>2|3$440001|5</v>
      </c>
      <c r="Q8" s="13"/>
      <c r="R8" s="13">
        <f t="shared" si="9"/>
        <v>6514</v>
      </c>
      <c r="S8" s="13">
        <f t="shared" si="10"/>
        <v>340</v>
      </c>
      <c r="T8" s="13">
        <f t="shared" si="11"/>
        <v>340</v>
      </c>
      <c r="U8" s="17" t="str">
        <f t="shared" si="12"/>
        <v>10001|6514$10004|340$10003|340</v>
      </c>
      <c r="V8" s="13">
        <v>6514</v>
      </c>
      <c r="W8" s="13">
        <v>340</v>
      </c>
      <c r="X8" s="13">
        <v>340</v>
      </c>
      <c r="Y8" s="17" t="str">
        <f t="shared" si="13"/>
        <v>10001|6514$10004|340$10003|340</v>
      </c>
      <c r="Z8" s="13">
        <f t="shared" si="14"/>
        <v>8000</v>
      </c>
      <c r="AA8" s="13">
        <f t="shared" si="15"/>
        <v>353</v>
      </c>
      <c r="AB8" s="13">
        <f t="shared" si="16"/>
        <v>313</v>
      </c>
      <c r="AC8" s="17" t="str">
        <f t="shared" si="17"/>
        <v>10001|8000$10004|353$10003|313</v>
      </c>
      <c r="AD8" s="13" t="str">
        <f t="shared" si="18"/>
        <v>2|3$110003|5</v>
      </c>
      <c r="AF8" s="13" t="str">
        <f t="shared" si="19"/>
        <v>2|3$770001|5</v>
      </c>
      <c r="AH8" s="13" t="str">
        <f t="shared" si="20"/>
        <v>2|3$660002|5</v>
      </c>
      <c r="AK8">
        <v>2</v>
      </c>
      <c r="AL8" s="13">
        <f t="shared" si="21"/>
        <v>1432</v>
      </c>
      <c r="AM8">
        <f t="shared" si="22"/>
        <v>191</v>
      </c>
      <c r="AN8">
        <f t="shared" si="23"/>
        <v>191</v>
      </c>
      <c r="AP8">
        <f t="shared" si="24"/>
        <v>5244</v>
      </c>
      <c r="AQ8">
        <f t="shared" si="25"/>
        <v>292</v>
      </c>
      <c r="AR8">
        <f t="shared" si="26"/>
        <v>315</v>
      </c>
      <c r="AT8">
        <f t="shared" si="27"/>
        <v>9625</v>
      </c>
      <c r="AU8">
        <f t="shared" si="28"/>
        <v>397</v>
      </c>
      <c r="AV8">
        <f t="shared" si="29"/>
        <v>267</v>
      </c>
    </row>
    <row r="9" ht="54.75" customHeight="1" spans="1:49">
      <c r="A9" s="13" t="s">
        <v>1129</v>
      </c>
      <c r="B9" s="13" t="s">
        <v>1130</v>
      </c>
      <c r="C9" s="13"/>
      <c r="D9" s="13"/>
      <c r="E9" s="13">
        <v>3</v>
      </c>
      <c r="F9" s="22">
        <f t="shared" si="0"/>
        <v>4</v>
      </c>
      <c r="G9" s="22">
        <f t="shared" si="1"/>
        <v>8</v>
      </c>
      <c r="H9" s="13">
        <f t="shared" si="2"/>
        <v>10628</v>
      </c>
      <c r="I9" s="13">
        <f t="shared" si="3"/>
        <v>420</v>
      </c>
      <c r="J9" s="13">
        <f t="shared" si="4"/>
        <v>420</v>
      </c>
      <c r="K9" s="17" t="str">
        <f t="shared" si="5"/>
        <v>10001|10628$10004|420$10003|420</v>
      </c>
      <c r="L9" s="13" t="str">
        <f t="shared" si="6"/>
        <v>2|4$110002|8</v>
      </c>
      <c r="M9" s="13"/>
      <c r="N9" s="13" t="str">
        <f t="shared" si="7"/>
        <v>2|4$880001|8</v>
      </c>
      <c r="O9" s="13"/>
      <c r="P9" s="13" t="str">
        <f t="shared" si="8"/>
        <v>2|4$440001|8</v>
      </c>
      <c r="Q9" s="13"/>
      <c r="R9" s="13">
        <f t="shared" si="9"/>
        <v>10628</v>
      </c>
      <c r="S9" s="13">
        <f t="shared" si="10"/>
        <v>430</v>
      </c>
      <c r="T9" s="13">
        <f t="shared" si="11"/>
        <v>430</v>
      </c>
      <c r="U9" s="17" t="str">
        <f t="shared" si="12"/>
        <v>10001|10628$10004|430$10003|430</v>
      </c>
      <c r="V9" s="13">
        <v>10628</v>
      </c>
      <c r="W9" s="13">
        <v>430</v>
      </c>
      <c r="X9" s="13">
        <v>430</v>
      </c>
      <c r="Y9" s="17" t="str">
        <f t="shared" si="13"/>
        <v>10001|10628$10004|430$10003|430</v>
      </c>
      <c r="Z9" s="13">
        <f t="shared" si="14"/>
        <v>13000</v>
      </c>
      <c r="AA9" s="13">
        <f t="shared" si="15"/>
        <v>456</v>
      </c>
      <c r="AB9" s="13">
        <f t="shared" si="16"/>
        <v>396</v>
      </c>
      <c r="AC9" s="17" t="str">
        <f t="shared" si="17"/>
        <v>10001|13000$10004|456$10003|396</v>
      </c>
      <c r="AD9" s="13" t="str">
        <f t="shared" si="18"/>
        <v>2|4$110003|8</v>
      </c>
      <c r="AF9" s="13" t="str">
        <f t="shared" si="19"/>
        <v>2|4$770001|8</v>
      </c>
      <c r="AH9" s="13" t="str">
        <f t="shared" si="20"/>
        <v>2|4$660002|8</v>
      </c>
      <c r="AK9">
        <v>3</v>
      </c>
      <c r="AL9" s="13">
        <f t="shared" si="21"/>
        <v>2144</v>
      </c>
      <c r="AM9">
        <f t="shared" si="22"/>
        <v>262</v>
      </c>
      <c r="AN9">
        <f t="shared" si="23"/>
        <v>262</v>
      </c>
      <c r="AP9">
        <f t="shared" si="24"/>
        <v>8088</v>
      </c>
      <c r="AQ9">
        <f t="shared" si="25"/>
        <v>438</v>
      </c>
      <c r="AR9">
        <f t="shared" si="26"/>
        <v>490</v>
      </c>
      <c r="AT9">
        <f t="shared" si="27"/>
        <v>15810</v>
      </c>
      <c r="AU9">
        <f t="shared" si="28"/>
        <v>674</v>
      </c>
      <c r="AV9">
        <f t="shared" si="29"/>
        <v>414</v>
      </c>
    </row>
    <row r="10" ht="41.25" customHeight="1" spans="1:49">
      <c r="A10" s="13" t="s">
        <v>1131</v>
      </c>
      <c r="B10" s="13" t="s">
        <v>1132</v>
      </c>
      <c r="C10" s="13"/>
      <c r="D10" s="13"/>
      <c r="E10" s="13">
        <v>4</v>
      </c>
      <c r="F10" s="22">
        <f t="shared" si="0"/>
        <v>6</v>
      </c>
      <c r="G10" s="22">
        <f t="shared" si="1"/>
        <v>12</v>
      </c>
      <c r="H10" s="13">
        <f t="shared" si="2"/>
        <v>14742</v>
      </c>
      <c r="I10" s="13">
        <f t="shared" si="3"/>
        <v>510</v>
      </c>
      <c r="J10" s="13">
        <f t="shared" si="4"/>
        <v>510</v>
      </c>
      <c r="K10" s="17" t="str">
        <f t="shared" si="5"/>
        <v>10001|14742$10004|510$10003|510</v>
      </c>
      <c r="L10" s="13" t="str">
        <f t="shared" si="6"/>
        <v>2|6$110002|12</v>
      </c>
      <c r="M10" s="13"/>
      <c r="N10" s="13" t="str">
        <f t="shared" si="7"/>
        <v>2|6$880001|12</v>
      </c>
      <c r="O10" s="13"/>
      <c r="P10" s="13" t="str">
        <f t="shared" si="8"/>
        <v>2|6$440001|12</v>
      </c>
      <c r="Q10" s="13"/>
      <c r="R10" s="13">
        <f t="shared" si="9"/>
        <v>14742</v>
      </c>
      <c r="S10" s="13">
        <f t="shared" si="10"/>
        <v>520</v>
      </c>
      <c r="T10" s="13">
        <f t="shared" si="11"/>
        <v>520</v>
      </c>
      <c r="U10" s="17" t="str">
        <f t="shared" si="12"/>
        <v>10001|14742$10004|520$10003|520</v>
      </c>
      <c r="V10" s="13">
        <v>14742</v>
      </c>
      <c r="W10" s="13">
        <v>520</v>
      </c>
      <c r="X10" s="13">
        <v>520</v>
      </c>
      <c r="Y10" s="17" t="str">
        <f t="shared" si="13"/>
        <v>10001|14742$10004|520$10003|520</v>
      </c>
      <c r="Z10" s="13">
        <f t="shared" si="14"/>
        <v>18000</v>
      </c>
      <c r="AA10" s="13">
        <f t="shared" si="15"/>
        <v>559</v>
      </c>
      <c r="AB10" s="13">
        <f t="shared" si="16"/>
        <v>479</v>
      </c>
      <c r="AC10" s="17" t="str">
        <f t="shared" si="17"/>
        <v>10001|18000$10004|559$10003|479</v>
      </c>
      <c r="AD10" s="13" t="str">
        <f t="shared" si="18"/>
        <v>2|6$110003|12</v>
      </c>
      <c r="AF10" s="13" t="str">
        <f t="shared" si="19"/>
        <v>2|6$770001|12</v>
      </c>
      <c r="AH10" s="13" t="str">
        <f t="shared" si="20"/>
        <v>2|6$660002|12</v>
      </c>
      <c r="AK10">
        <v>4</v>
      </c>
      <c r="AL10" s="13">
        <f t="shared" si="21"/>
        <v>2856</v>
      </c>
      <c r="AM10">
        <f t="shared" si="22"/>
        <v>333</v>
      </c>
      <c r="AN10">
        <f t="shared" si="23"/>
        <v>333</v>
      </c>
      <c r="AP10">
        <f t="shared" si="24"/>
        <v>10932</v>
      </c>
      <c r="AQ10">
        <f t="shared" si="25"/>
        <v>584</v>
      </c>
      <c r="AR10">
        <f t="shared" si="26"/>
        <v>665</v>
      </c>
      <c r="AT10">
        <f t="shared" si="27"/>
        <v>21995</v>
      </c>
      <c r="AU10">
        <f t="shared" si="28"/>
        <v>951</v>
      </c>
      <c r="AV10">
        <f t="shared" si="29"/>
        <v>561</v>
      </c>
    </row>
    <row r="11" ht="45" customHeight="1" spans="1:49">
      <c r="A11" s="13" t="s">
        <v>1133</v>
      </c>
      <c r="B11" s="13" t="s">
        <v>1134</v>
      </c>
      <c r="C11" s="13"/>
      <c r="D11" s="13"/>
      <c r="E11" s="13">
        <v>5</v>
      </c>
      <c r="F11" s="22">
        <f t="shared" si="0"/>
        <v>8</v>
      </c>
      <c r="G11" s="22">
        <f t="shared" si="1"/>
        <v>15</v>
      </c>
      <c r="H11" s="13">
        <f t="shared" si="2"/>
        <v>18856</v>
      </c>
      <c r="I11" s="13">
        <f t="shared" si="3"/>
        <v>600</v>
      </c>
      <c r="J11" s="13">
        <f t="shared" si="4"/>
        <v>600</v>
      </c>
      <c r="K11" s="17" t="str">
        <f t="shared" si="5"/>
        <v>10001|18856$10004|600$10003|600</v>
      </c>
      <c r="L11" s="13" t="str">
        <f t="shared" si="6"/>
        <v>2|8$110002|15</v>
      </c>
      <c r="M11" s="13"/>
      <c r="N11" s="13" t="str">
        <f t="shared" si="7"/>
        <v>2|8$880001|15</v>
      </c>
      <c r="O11" s="13"/>
      <c r="P11" s="13" t="str">
        <f t="shared" si="8"/>
        <v>2|8$440001|15</v>
      </c>
      <c r="Q11" s="13"/>
      <c r="R11" s="13">
        <f t="shared" si="9"/>
        <v>18856</v>
      </c>
      <c r="S11" s="13">
        <f t="shared" si="10"/>
        <v>610</v>
      </c>
      <c r="T11" s="13">
        <f t="shared" si="11"/>
        <v>610</v>
      </c>
      <c r="U11" s="17" t="str">
        <f t="shared" si="12"/>
        <v>10001|18856$10004|610$10003|610</v>
      </c>
      <c r="V11" s="13">
        <v>18856</v>
      </c>
      <c r="W11" s="13">
        <v>610</v>
      </c>
      <c r="X11" s="13">
        <v>610</v>
      </c>
      <c r="Y11" s="17" t="str">
        <f t="shared" si="13"/>
        <v>10001|18856$10004|610$10003|610</v>
      </c>
      <c r="Z11" s="13">
        <f t="shared" si="14"/>
        <v>23000</v>
      </c>
      <c r="AA11" s="13">
        <f t="shared" si="15"/>
        <v>662</v>
      </c>
      <c r="AB11" s="13">
        <f t="shared" si="16"/>
        <v>562</v>
      </c>
      <c r="AC11" s="17" t="str">
        <f t="shared" si="17"/>
        <v>10001|23000$10004|662$10003|562</v>
      </c>
      <c r="AD11" s="13" t="str">
        <f t="shared" si="18"/>
        <v>2|8$110003|15</v>
      </c>
      <c r="AF11" s="13" t="str">
        <f t="shared" si="19"/>
        <v>2|8$770001|15</v>
      </c>
      <c r="AH11" s="13" t="str">
        <f t="shared" si="20"/>
        <v>2|8$660002|15</v>
      </c>
      <c r="AK11">
        <v>5</v>
      </c>
      <c r="AL11" s="13">
        <f t="shared" si="21"/>
        <v>3568</v>
      </c>
      <c r="AM11">
        <f t="shared" si="22"/>
        <v>404</v>
      </c>
      <c r="AN11">
        <f t="shared" si="23"/>
        <v>404</v>
      </c>
      <c r="AP11">
        <f t="shared" si="24"/>
        <v>13776</v>
      </c>
      <c r="AQ11">
        <f t="shared" si="25"/>
        <v>730</v>
      </c>
      <c r="AR11">
        <f t="shared" si="26"/>
        <v>840</v>
      </c>
      <c r="AT11">
        <f t="shared" si="27"/>
        <v>28180</v>
      </c>
      <c r="AU11">
        <f t="shared" si="28"/>
        <v>1228</v>
      </c>
      <c r="AV11">
        <f t="shared" si="29"/>
        <v>708</v>
      </c>
    </row>
    <row r="12" ht="175.5" customHeight="1" spans="1:49">
      <c r="A12" s="13" t="s">
        <v>1135</v>
      </c>
      <c r="B12" s="13" t="s">
        <v>1136</v>
      </c>
      <c r="C12" s="13"/>
      <c r="D12" s="13"/>
      <c r="E12" s="13">
        <v>6</v>
      </c>
      <c r="F12" s="22">
        <f t="shared" si="0"/>
        <v>10</v>
      </c>
      <c r="G12" s="22">
        <f t="shared" si="1"/>
        <v>19</v>
      </c>
      <c r="H12" s="13">
        <f t="shared" si="2"/>
        <v>22970</v>
      </c>
      <c r="I12" s="13">
        <f t="shared" si="3"/>
        <v>690</v>
      </c>
      <c r="J12" s="13">
        <f t="shared" si="4"/>
        <v>690</v>
      </c>
      <c r="K12" s="17" t="str">
        <f t="shared" si="5"/>
        <v>10001|22970$10004|690$10003|690</v>
      </c>
      <c r="L12" s="13" t="str">
        <f t="shared" si="6"/>
        <v>2|10$110002|19</v>
      </c>
      <c r="M12" s="13"/>
      <c r="N12" s="13" t="str">
        <f t="shared" si="7"/>
        <v>2|10$880001|19</v>
      </c>
      <c r="O12" s="13"/>
      <c r="P12" s="13" t="str">
        <f t="shared" si="8"/>
        <v>2|10$440001|19</v>
      </c>
      <c r="Q12" s="13"/>
      <c r="R12" s="13">
        <f t="shared" si="9"/>
        <v>22970</v>
      </c>
      <c r="S12" s="13">
        <f t="shared" si="10"/>
        <v>700</v>
      </c>
      <c r="T12" s="13">
        <f t="shared" si="11"/>
        <v>700</v>
      </c>
      <c r="U12" s="17" t="str">
        <f t="shared" si="12"/>
        <v>10001|22970$10004|700$10003|700</v>
      </c>
      <c r="V12" s="13">
        <v>22970</v>
      </c>
      <c r="W12" s="13">
        <v>700</v>
      </c>
      <c r="X12" s="13">
        <v>700</v>
      </c>
      <c r="Y12" s="17" t="str">
        <f t="shared" si="13"/>
        <v>10001|22970$10004|700$10003|700</v>
      </c>
      <c r="Z12" s="13">
        <f t="shared" si="14"/>
        <v>28000</v>
      </c>
      <c r="AA12" s="13">
        <f t="shared" si="15"/>
        <v>765</v>
      </c>
      <c r="AB12" s="13">
        <f t="shared" si="16"/>
        <v>645</v>
      </c>
      <c r="AC12" s="17" t="str">
        <f t="shared" si="17"/>
        <v>10001|28000$10004|765$10003|645</v>
      </c>
      <c r="AD12" s="13" t="str">
        <f t="shared" si="18"/>
        <v>2|10$110003|19</v>
      </c>
      <c r="AF12" s="13" t="str">
        <f t="shared" si="19"/>
        <v>2|10$770001|19</v>
      </c>
      <c r="AH12" s="13" t="str">
        <f t="shared" si="20"/>
        <v>2|10$660002|19</v>
      </c>
      <c r="AK12">
        <v>6</v>
      </c>
      <c r="AL12" s="13">
        <f t="shared" si="21"/>
        <v>4280</v>
      </c>
      <c r="AM12">
        <f t="shared" si="22"/>
        <v>475</v>
      </c>
      <c r="AN12">
        <f t="shared" si="23"/>
        <v>475</v>
      </c>
      <c r="AP12">
        <f t="shared" si="24"/>
        <v>16620</v>
      </c>
      <c r="AQ12">
        <f t="shared" si="25"/>
        <v>876</v>
      </c>
      <c r="AR12">
        <f t="shared" si="26"/>
        <v>1015</v>
      </c>
      <c r="AT12">
        <f t="shared" si="27"/>
        <v>34365</v>
      </c>
      <c r="AU12">
        <f t="shared" si="28"/>
        <v>1505</v>
      </c>
      <c r="AV12">
        <f t="shared" si="29"/>
        <v>855</v>
      </c>
    </row>
    <row r="13" ht="229.5" customHeight="1" spans="1:49">
      <c r="A13" s="13" t="s">
        <v>1137</v>
      </c>
      <c r="B13" s="13" t="s">
        <v>1138</v>
      </c>
      <c r="C13" s="13"/>
      <c r="D13" s="13"/>
      <c r="E13" s="13">
        <v>7</v>
      </c>
      <c r="F13" s="22">
        <f t="shared" si="0"/>
        <v>11</v>
      </c>
      <c r="G13" s="22">
        <f t="shared" si="1"/>
        <v>22</v>
      </c>
      <c r="H13" s="13">
        <f t="shared" si="2"/>
        <v>27084</v>
      </c>
      <c r="I13" s="13">
        <f t="shared" si="3"/>
        <v>780</v>
      </c>
      <c r="J13" s="13">
        <f t="shared" si="4"/>
        <v>780</v>
      </c>
      <c r="K13" s="17" t="str">
        <f t="shared" si="5"/>
        <v>10001|27084$10004|780$10003|780</v>
      </c>
      <c r="L13" s="13" t="str">
        <f t="shared" si="6"/>
        <v>2|11$110002|22</v>
      </c>
      <c r="M13" s="13"/>
      <c r="N13" s="13" t="str">
        <f t="shared" si="7"/>
        <v>2|11$880001|22</v>
      </c>
      <c r="O13" s="13"/>
      <c r="P13" s="13" t="str">
        <f t="shared" si="8"/>
        <v>2|11$440001|22</v>
      </c>
      <c r="Q13" s="13"/>
      <c r="R13" s="13">
        <f t="shared" si="9"/>
        <v>27084</v>
      </c>
      <c r="S13" s="13">
        <f t="shared" si="10"/>
        <v>790</v>
      </c>
      <c r="T13" s="13">
        <f t="shared" si="11"/>
        <v>790</v>
      </c>
      <c r="U13" s="17" t="str">
        <f t="shared" si="12"/>
        <v>10001|27084$10004|790$10003|790</v>
      </c>
      <c r="V13" s="13">
        <v>27084</v>
      </c>
      <c r="W13" s="13">
        <v>790</v>
      </c>
      <c r="X13" s="13">
        <v>790</v>
      </c>
      <c r="Y13" s="17" t="str">
        <f t="shared" si="13"/>
        <v>10001|27084$10004|790$10003|790</v>
      </c>
      <c r="Z13" s="13">
        <f t="shared" si="14"/>
        <v>33000</v>
      </c>
      <c r="AA13" s="13">
        <f t="shared" si="15"/>
        <v>868</v>
      </c>
      <c r="AB13" s="13">
        <f t="shared" si="16"/>
        <v>728</v>
      </c>
      <c r="AC13" s="17" t="str">
        <f t="shared" si="17"/>
        <v>10001|33000$10004|868$10003|728</v>
      </c>
      <c r="AD13" s="13" t="str">
        <f t="shared" si="18"/>
        <v>2|11$110003|22</v>
      </c>
      <c r="AF13" s="13" t="str">
        <f t="shared" si="19"/>
        <v>2|11$770001|22</v>
      </c>
      <c r="AH13" s="13" t="str">
        <f t="shared" si="20"/>
        <v>2|11$660002|22</v>
      </c>
      <c r="AK13">
        <v>7</v>
      </c>
      <c r="AL13" s="13">
        <f t="shared" si="21"/>
        <v>4992</v>
      </c>
      <c r="AM13">
        <f t="shared" si="22"/>
        <v>546</v>
      </c>
      <c r="AN13">
        <f t="shared" si="23"/>
        <v>546</v>
      </c>
      <c r="AP13">
        <f t="shared" si="24"/>
        <v>19464</v>
      </c>
      <c r="AQ13">
        <f t="shared" si="25"/>
        <v>1022</v>
      </c>
      <c r="AR13">
        <f t="shared" si="26"/>
        <v>1190</v>
      </c>
      <c r="AT13">
        <f t="shared" si="27"/>
        <v>40550</v>
      </c>
      <c r="AU13">
        <f t="shared" si="28"/>
        <v>1782</v>
      </c>
      <c r="AV13">
        <f t="shared" si="29"/>
        <v>1002</v>
      </c>
    </row>
    <row r="14" ht="108.95" customHeight="1" spans="1:49">
      <c r="A14" s="13" t="s">
        <v>1139</v>
      </c>
      <c r="B14" s="13" t="s">
        <v>1140</v>
      </c>
      <c r="C14" s="13"/>
      <c r="D14" s="13"/>
      <c r="E14" s="13">
        <v>8</v>
      </c>
      <c r="F14" s="22">
        <f t="shared" si="0"/>
        <v>13</v>
      </c>
      <c r="G14" s="22">
        <f t="shared" si="1"/>
        <v>26</v>
      </c>
      <c r="H14" s="13">
        <f t="shared" si="2"/>
        <v>31198</v>
      </c>
      <c r="I14" s="13">
        <f t="shared" si="3"/>
        <v>870</v>
      </c>
      <c r="J14" s="13">
        <f t="shared" si="4"/>
        <v>870</v>
      </c>
      <c r="K14" s="17" t="str">
        <f t="shared" si="5"/>
        <v>10001|31198$10004|870$10003|870</v>
      </c>
      <c r="L14" s="13" t="str">
        <f t="shared" si="6"/>
        <v>2|13$110002|26</v>
      </c>
      <c r="M14" s="13"/>
      <c r="N14" s="13" t="str">
        <f t="shared" si="7"/>
        <v>2|13$880001|26</v>
      </c>
      <c r="O14" s="13"/>
      <c r="P14" s="13" t="str">
        <f t="shared" si="8"/>
        <v>2|13$440001|26</v>
      </c>
      <c r="Q14" s="13"/>
      <c r="R14" s="13">
        <f t="shared" si="9"/>
        <v>31198</v>
      </c>
      <c r="S14" s="13">
        <f t="shared" si="10"/>
        <v>880</v>
      </c>
      <c r="T14" s="13">
        <f t="shared" si="11"/>
        <v>880</v>
      </c>
      <c r="U14" s="17" t="str">
        <f t="shared" si="12"/>
        <v>10001|31198$10004|880$10003|880</v>
      </c>
      <c r="V14" s="13">
        <v>31198</v>
      </c>
      <c r="W14" s="13">
        <v>880</v>
      </c>
      <c r="X14" s="13">
        <v>880</v>
      </c>
      <c r="Y14" s="17" t="str">
        <f t="shared" si="13"/>
        <v>10001|31198$10004|880$10003|880</v>
      </c>
      <c r="Z14" s="13">
        <f t="shared" si="14"/>
        <v>38000</v>
      </c>
      <c r="AA14" s="13">
        <f t="shared" si="15"/>
        <v>971</v>
      </c>
      <c r="AB14" s="13">
        <f t="shared" si="16"/>
        <v>811</v>
      </c>
      <c r="AC14" s="17" t="str">
        <f t="shared" si="17"/>
        <v>10001|38000$10004|971$10003|811</v>
      </c>
      <c r="AD14" s="13" t="str">
        <f t="shared" si="18"/>
        <v>2|13$110003|26</v>
      </c>
      <c r="AF14" s="13" t="str">
        <f t="shared" si="19"/>
        <v>2|13$770001|26</v>
      </c>
      <c r="AH14" s="13" t="str">
        <f t="shared" si="20"/>
        <v>2|13$660002|26</v>
      </c>
      <c r="AK14">
        <v>8</v>
      </c>
      <c r="AL14" s="13">
        <f t="shared" si="21"/>
        <v>5704</v>
      </c>
      <c r="AM14">
        <f t="shared" si="22"/>
        <v>617</v>
      </c>
      <c r="AN14">
        <f t="shared" si="23"/>
        <v>617</v>
      </c>
      <c r="AP14">
        <f t="shared" si="24"/>
        <v>22308</v>
      </c>
      <c r="AQ14">
        <f t="shared" si="25"/>
        <v>1168</v>
      </c>
      <c r="AR14">
        <f t="shared" si="26"/>
        <v>1365</v>
      </c>
      <c r="AT14">
        <f t="shared" si="27"/>
        <v>46735</v>
      </c>
      <c r="AU14">
        <f t="shared" si="28"/>
        <v>2059</v>
      </c>
      <c r="AV14">
        <f t="shared" si="29"/>
        <v>1149</v>
      </c>
    </row>
    <row r="15" ht="62.1" customHeight="1" spans="1:49">
      <c r="A15" s="13" t="s">
        <v>1141</v>
      </c>
      <c r="B15" s="13" t="s">
        <v>1142</v>
      </c>
      <c r="C15" s="13"/>
      <c r="D15" s="13"/>
      <c r="E15" s="13">
        <v>9</v>
      </c>
      <c r="F15" s="22">
        <f t="shared" si="0"/>
        <v>15</v>
      </c>
      <c r="G15" s="22">
        <f t="shared" si="1"/>
        <v>29</v>
      </c>
      <c r="H15" s="13">
        <f t="shared" si="2"/>
        <v>35312</v>
      </c>
      <c r="I15" s="13">
        <f t="shared" si="3"/>
        <v>960</v>
      </c>
      <c r="J15" s="13">
        <f t="shared" si="4"/>
        <v>960</v>
      </c>
      <c r="K15" s="17" t="str">
        <f t="shared" si="5"/>
        <v>10001|35312$10004|960$10003|960</v>
      </c>
      <c r="L15" s="13" t="str">
        <f t="shared" si="6"/>
        <v>2|15$110002|29</v>
      </c>
      <c r="M15" s="13"/>
      <c r="N15" s="13" t="str">
        <f t="shared" si="7"/>
        <v>2|15$880001|29</v>
      </c>
      <c r="O15" s="13"/>
      <c r="P15" s="13" t="str">
        <f t="shared" si="8"/>
        <v>2|15$440001|29</v>
      </c>
      <c r="Q15" s="13"/>
      <c r="R15" s="13">
        <f t="shared" si="9"/>
        <v>35312</v>
      </c>
      <c r="S15" s="13">
        <f t="shared" si="10"/>
        <v>970</v>
      </c>
      <c r="T15" s="13">
        <f t="shared" si="11"/>
        <v>970</v>
      </c>
      <c r="U15" s="17" t="str">
        <f t="shared" si="12"/>
        <v>10001|35312$10004|970$10003|970</v>
      </c>
      <c r="V15" s="13">
        <v>35312</v>
      </c>
      <c r="W15" s="13">
        <v>970</v>
      </c>
      <c r="X15" s="13">
        <v>970</v>
      </c>
      <c r="Y15" s="17" t="str">
        <f t="shared" si="13"/>
        <v>10001|35312$10004|970$10003|970</v>
      </c>
      <c r="Z15" s="13">
        <f t="shared" si="14"/>
        <v>43000</v>
      </c>
      <c r="AA15" s="13">
        <f t="shared" si="15"/>
        <v>1074</v>
      </c>
      <c r="AB15" s="13">
        <f t="shared" si="16"/>
        <v>894</v>
      </c>
      <c r="AC15" s="17" t="str">
        <f t="shared" si="17"/>
        <v>10001|43000$10004|1074$10003|894</v>
      </c>
      <c r="AD15" s="13" t="str">
        <f t="shared" si="18"/>
        <v>2|15$110003|29</v>
      </c>
      <c r="AF15" s="13" t="str">
        <f t="shared" si="19"/>
        <v>2|15$770001|29</v>
      </c>
      <c r="AH15" s="13" t="str">
        <f t="shared" si="20"/>
        <v>2|15$660002|29</v>
      </c>
      <c r="AK15">
        <v>9</v>
      </c>
      <c r="AL15" s="13">
        <f t="shared" si="21"/>
        <v>6416</v>
      </c>
      <c r="AM15">
        <f t="shared" si="22"/>
        <v>688</v>
      </c>
      <c r="AN15">
        <f t="shared" si="23"/>
        <v>688</v>
      </c>
      <c r="AP15">
        <f t="shared" si="24"/>
        <v>25152</v>
      </c>
      <c r="AQ15">
        <f t="shared" si="25"/>
        <v>1314</v>
      </c>
      <c r="AR15">
        <f t="shared" si="26"/>
        <v>1540</v>
      </c>
      <c r="AT15">
        <f t="shared" si="27"/>
        <v>52920</v>
      </c>
      <c r="AU15">
        <f t="shared" si="28"/>
        <v>2336</v>
      </c>
      <c r="AV15">
        <f t="shared" si="29"/>
        <v>1296</v>
      </c>
    </row>
    <row r="16" ht="77.1" customHeight="1" spans="1:49">
      <c r="A16" s="13" t="s">
        <v>1143</v>
      </c>
      <c r="B16" s="13" t="s">
        <v>1144</v>
      </c>
      <c r="C16" s="13"/>
      <c r="D16" s="13"/>
      <c r="E16" s="13">
        <v>10</v>
      </c>
      <c r="F16" s="22">
        <f t="shared" si="0"/>
        <v>16</v>
      </c>
      <c r="G16" s="22">
        <f t="shared" si="1"/>
        <v>33</v>
      </c>
      <c r="H16" s="13">
        <f t="shared" si="2"/>
        <v>39426</v>
      </c>
      <c r="I16" s="13">
        <f t="shared" si="3"/>
        <v>1050</v>
      </c>
      <c r="J16" s="13">
        <f t="shared" si="4"/>
        <v>1050</v>
      </c>
      <c r="K16" s="17" t="str">
        <f t="shared" si="5"/>
        <v>10001|39426$10004|1050$10003|1050</v>
      </c>
      <c r="L16" s="13" t="str">
        <f t="shared" si="6"/>
        <v>2|16$110002|33</v>
      </c>
      <c r="M16" s="13"/>
      <c r="N16" s="13" t="str">
        <f t="shared" si="7"/>
        <v>2|16$880001|33</v>
      </c>
      <c r="O16" s="13"/>
      <c r="P16" s="13" t="str">
        <f t="shared" si="8"/>
        <v>2|16$440001|33</v>
      </c>
      <c r="Q16" s="13"/>
      <c r="R16" s="13">
        <f t="shared" si="9"/>
        <v>39426</v>
      </c>
      <c r="S16" s="13">
        <f t="shared" si="10"/>
        <v>1060</v>
      </c>
      <c r="T16" s="13">
        <f t="shared" si="11"/>
        <v>1060</v>
      </c>
      <c r="U16" s="17" t="str">
        <f t="shared" si="12"/>
        <v>10001|39426$10004|1060$10003|1060</v>
      </c>
      <c r="V16" s="13">
        <v>39426</v>
      </c>
      <c r="W16" s="13">
        <v>1060</v>
      </c>
      <c r="X16" s="13">
        <v>1060</v>
      </c>
      <c r="Y16" s="17" t="str">
        <f t="shared" si="13"/>
        <v>10001|39426$10004|1060$10003|1060</v>
      </c>
      <c r="Z16" s="13">
        <f t="shared" si="14"/>
        <v>48000</v>
      </c>
      <c r="AA16" s="13">
        <f t="shared" si="15"/>
        <v>1177</v>
      </c>
      <c r="AB16" s="13">
        <f t="shared" si="16"/>
        <v>977</v>
      </c>
      <c r="AC16" s="17" t="str">
        <f t="shared" si="17"/>
        <v>10001|48000$10004|1177$10003|977</v>
      </c>
      <c r="AD16" s="13" t="str">
        <f t="shared" si="18"/>
        <v>2|16$110003|33</v>
      </c>
      <c r="AF16" s="13" t="str">
        <f t="shared" si="19"/>
        <v>2|16$770001|33</v>
      </c>
      <c r="AH16" s="13" t="str">
        <f t="shared" si="20"/>
        <v>2|16$660002|33</v>
      </c>
      <c r="AK16">
        <v>10</v>
      </c>
      <c r="AL16" s="13">
        <f t="shared" si="21"/>
        <v>7128</v>
      </c>
      <c r="AM16">
        <f t="shared" si="22"/>
        <v>759</v>
      </c>
      <c r="AN16">
        <f t="shared" si="23"/>
        <v>759</v>
      </c>
      <c r="AP16">
        <f t="shared" si="24"/>
        <v>27996</v>
      </c>
      <c r="AQ16">
        <f t="shared" si="25"/>
        <v>1460</v>
      </c>
      <c r="AR16">
        <f t="shared" si="26"/>
        <v>1715</v>
      </c>
      <c r="AT16">
        <f t="shared" si="27"/>
        <v>59105</v>
      </c>
      <c r="AU16">
        <f t="shared" si="28"/>
        <v>2613</v>
      </c>
      <c r="AV16">
        <f t="shared" si="29"/>
        <v>1443</v>
      </c>
    </row>
    <row r="17" ht="65.1" customHeight="1" spans="1:50">
      <c r="A17" s="13" t="s">
        <v>1145</v>
      </c>
      <c r="B17" s="13" t="s">
        <v>1146</v>
      </c>
      <c r="C17" s="13"/>
      <c r="D17" s="13"/>
      <c r="E17" s="13">
        <v>11</v>
      </c>
      <c r="F17" s="22">
        <f t="shared" si="0"/>
        <v>18</v>
      </c>
      <c r="G17" s="22">
        <f t="shared" si="1"/>
        <v>36</v>
      </c>
      <c r="H17" s="13">
        <f t="shared" si="2"/>
        <v>43540</v>
      </c>
      <c r="I17" s="13">
        <f t="shared" si="3"/>
        <v>1140</v>
      </c>
      <c r="J17" s="13">
        <f t="shared" si="4"/>
        <v>1140</v>
      </c>
      <c r="K17" s="17" t="str">
        <f t="shared" si="5"/>
        <v>10001|43540$10004|1140$10003|1140</v>
      </c>
      <c r="L17" s="13" t="str">
        <f t="shared" si="6"/>
        <v>2|18$110002|36</v>
      </c>
      <c r="M17" s="13"/>
      <c r="N17" s="13" t="str">
        <f t="shared" si="7"/>
        <v>2|18$880001|36</v>
      </c>
      <c r="O17" s="13"/>
      <c r="P17" s="13" t="str">
        <f t="shared" si="8"/>
        <v>2|18$440001|36</v>
      </c>
      <c r="Q17" s="13"/>
      <c r="R17" s="13">
        <f t="shared" si="9"/>
        <v>43540</v>
      </c>
      <c r="S17" s="13">
        <f t="shared" si="10"/>
        <v>1150</v>
      </c>
      <c r="T17" s="13">
        <f t="shared" si="11"/>
        <v>1150</v>
      </c>
      <c r="U17" s="17" t="str">
        <f t="shared" si="12"/>
        <v>10001|43540$10004|1150$10003|1150</v>
      </c>
      <c r="V17" s="13">
        <v>43540</v>
      </c>
      <c r="W17" s="13">
        <v>1150</v>
      </c>
      <c r="X17" s="13">
        <v>1150</v>
      </c>
      <c r="Y17" s="17" t="str">
        <f t="shared" si="13"/>
        <v>10001|43540$10004|1150$10003|1150</v>
      </c>
      <c r="Z17" s="13">
        <f t="shared" si="14"/>
        <v>53000</v>
      </c>
      <c r="AA17" s="13">
        <f t="shared" si="15"/>
        <v>1280</v>
      </c>
      <c r="AB17" s="13">
        <f t="shared" si="16"/>
        <v>1060</v>
      </c>
      <c r="AC17" s="17" t="str">
        <f t="shared" si="17"/>
        <v>10001|53000$10004|1280$10003|1060</v>
      </c>
      <c r="AD17" s="13" t="str">
        <f t="shared" si="18"/>
        <v>2|18$110003|36</v>
      </c>
      <c r="AF17" s="13" t="str">
        <f t="shared" si="19"/>
        <v>2|18$770001|36</v>
      </c>
      <c r="AH17" s="13" t="str">
        <f t="shared" si="20"/>
        <v>2|18$660002|36</v>
      </c>
      <c r="AK17">
        <v>11</v>
      </c>
      <c r="AL17" s="13">
        <f t="shared" si="21"/>
        <v>7840</v>
      </c>
      <c r="AM17">
        <f t="shared" si="22"/>
        <v>830</v>
      </c>
      <c r="AN17">
        <f t="shared" si="23"/>
        <v>830</v>
      </c>
      <c r="AP17">
        <f t="shared" si="24"/>
        <v>30840</v>
      </c>
      <c r="AQ17">
        <f t="shared" si="25"/>
        <v>1606</v>
      </c>
      <c r="AR17">
        <f t="shared" si="26"/>
        <v>1890</v>
      </c>
      <c r="AT17">
        <f t="shared" si="27"/>
        <v>65290</v>
      </c>
      <c r="AU17">
        <f t="shared" si="28"/>
        <v>2890</v>
      </c>
      <c r="AV17">
        <f t="shared" si="29"/>
        <v>1590</v>
      </c>
    </row>
    <row r="18" ht="72" customHeight="1" spans="1:50">
      <c r="A18" s="13" t="s">
        <v>1147</v>
      </c>
      <c r="B18" s="13" t="s">
        <v>1148</v>
      </c>
      <c r="C18" s="13"/>
      <c r="D18" s="13"/>
      <c r="E18" s="13">
        <v>12</v>
      </c>
      <c r="F18" s="22">
        <f t="shared" si="0"/>
        <v>20</v>
      </c>
      <c r="G18" s="22">
        <f t="shared" si="1"/>
        <v>40</v>
      </c>
      <c r="H18" s="13">
        <f t="shared" si="2"/>
        <v>47654</v>
      </c>
      <c r="I18" s="13">
        <f t="shared" si="3"/>
        <v>1230</v>
      </c>
      <c r="J18" s="13">
        <f t="shared" si="4"/>
        <v>1230</v>
      </c>
      <c r="K18" s="17" t="str">
        <f t="shared" si="5"/>
        <v>10001|47654$10004|1230$10003|1230</v>
      </c>
      <c r="L18" s="13" t="str">
        <f t="shared" si="6"/>
        <v>2|20$110002|40</v>
      </c>
      <c r="M18" s="13"/>
      <c r="N18" s="13" t="str">
        <f t="shared" si="7"/>
        <v>2|20$880001|40</v>
      </c>
      <c r="O18" s="13"/>
      <c r="P18" s="13" t="str">
        <f t="shared" si="8"/>
        <v>2|20$440001|40</v>
      </c>
      <c r="Q18" s="13"/>
      <c r="R18" s="13">
        <f t="shared" si="9"/>
        <v>47654</v>
      </c>
      <c r="S18" s="13">
        <f t="shared" si="10"/>
        <v>1240</v>
      </c>
      <c r="T18" s="13">
        <f t="shared" si="11"/>
        <v>1240</v>
      </c>
      <c r="U18" s="17" t="str">
        <f t="shared" si="12"/>
        <v>10001|47654$10004|1240$10003|1240</v>
      </c>
      <c r="V18" s="13">
        <v>47654</v>
      </c>
      <c r="W18" s="13">
        <v>1240</v>
      </c>
      <c r="X18" s="13">
        <v>1240</v>
      </c>
      <c r="Y18" s="17" t="str">
        <f t="shared" si="13"/>
        <v>10001|47654$10004|1240$10003|1240</v>
      </c>
      <c r="Z18" s="13">
        <f t="shared" si="14"/>
        <v>58000</v>
      </c>
      <c r="AA18" s="13">
        <f t="shared" si="15"/>
        <v>1383</v>
      </c>
      <c r="AB18" s="13">
        <f t="shared" si="16"/>
        <v>1143</v>
      </c>
      <c r="AC18" s="17" t="str">
        <f t="shared" si="17"/>
        <v>10001|58000$10004|1383$10003|1143</v>
      </c>
      <c r="AD18" s="13" t="str">
        <f t="shared" si="18"/>
        <v>2|20$110003|40</v>
      </c>
      <c r="AF18" s="13" t="str">
        <f t="shared" si="19"/>
        <v>2|20$770001|40</v>
      </c>
      <c r="AH18" s="13" t="str">
        <f t="shared" si="20"/>
        <v>2|20$660002|40</v>
      </c>
      <c r="AK18">
        <v>12</v>
      </c>
      <c r="AL18" s="13">
        <f t="shared" si="21"/>
        <v>8552</v>
      </c>
      <c r="AM18">
        <f t="shared" si="22"/>
        <v>901</v>
      </c>
      <c r="AN18">
        <f t="shared" si="23"/>
        <v>901</v>
      </c>
      <c r="AP18">
        <f t="shared" si="24"/>
        <v>33684</v>
      </c>
      <c r="AQ18">
        <f t="shared" si="25"/>
        <v>1752</v>
      </c>
      <c r="AR18">
        <f t="shared" si="26"/>
        <v>2065</v>
      </c>
      <c r="AT18">
        <f t="shared" si="27"/>
        <v>71475</v>
      </c>
      <c r="AU18">
        <f t="shared" si="28"/>
        <v>3167</v>
      </c>
      <c r="AV18">
        <f t="shared" si="29"/>
        <v>1737</v>
      </c>
    </row>
    <row r="19" ht="66" customHeight="1" spans="1:50">
      <c r="A19" s="13" t="s">
        <v>1149</v>
      </c>
      <c r="B19" s="13" t="s">
        <v>1150</v>
      </c>
      <c r="C19" s="13"/>
      <c r="D19" s="13"/>
      <c r="E19" s="13">
        <v>13</v>
      </c>
      <c r="F19" s="22">
        <f t="shared" si="0"/>
        <v>21</v>
      </c>
      <c r="G19" s="22">
        <f t="shared" si="1"/>
        <v>43</v>
      </c>
      <c r="H19" s="13">
        <f t="shared" si="2"/>
        <v>51768</v>
      </c>
      <c r="I19" s="13">
        <f t="shared" si="3"/>
        <v>1320</v>
      </c>
      <c r="J19" s="13">
        <f t="shared" si="4"/>
        <v>1320</v>
      </c>
      <c r="K19" s="17" t="str">
        <f t="shared" si="5"/>
        <v>10001|51768$10004|1320$10003|1320</v>
      </c>
      <c r="L19" s="13" t="str">
        <f t="shared" si="6"/>
        <v>2|21$110002|43</v>
      </c>
      <c r="M19" s="13"/>
      <c r="N19" s="13" t="str">
        <f t="shared" si="7"/>
        <v>2|21$880001|43</v>
      </c>
      <c r="O19" s="13"/>
      <c r="P19" s="13" t="str">
        <f t="shared" si="8"/>
        <v>2|21$440001|43</v>
      </c>
      <c r="Q19" s="13"/>
      <c r="R19" s="13">
        <f t="shared" si="9"/>
        <v>51768</v>
      </c>
      <c r="S19" s="13">
        <f t="shared" si="10"/>
        <v>1330</v>
      </c>
      <c r="T19" s="13">
        <f t="shared" si="11"/>
        <v>1330</v>
      </c>
      <c r="U19" s="17" t="str">
        <f t="shared" si="12"/>
        <v>10001|51768$10004|1330$10003|1330</v>
      </c>
      <c r="V19" s="13">
        <v>51768</v>
      </c>
      <c r="W19" s="13">
        <v>1330</v>
      </c>
      <c r="X19" s="13">
        <v>1330</v>
      </c>
      <c r="Y19" s="17" t="str">
        <f t="shared" si="13"/>
        <v>10001|51768$10004|1330$10003|1330</v>
      </c>
      <c r="Z19" s="13">
        <f t="shared" si="14"/>
        <v>63000</v>
      </c>
      <c r="AA19" s="13">
        <f t="shared" si="15"/>
        <v>1486</v>
      </c>
      <c r="AB19" s="13">
        <f t="shared" si="16"/>
        <v>1226</v>
      </c>
      <c r="AC19" s="17" t="str">
        <f t="shared" si="17"/>
        <v>10001|63000$10004|1486$10003|1226</v>
      </c>
      <c r="AD19" s="13" t="str">
        <f t="shared" si="18"/>
        <v>2|21$110003|43</v>
      </c>
      <c r="AF19" s="13" t="str">
        <f t="shared" si="19"/>
        <v>2|21$770001|43</v>
      </c>
      <c r="AH19" s="13" t="str">
        <f t="shared" si="20"/>
        <v>2|21$660002|43</v>
      </c>
      <c r="AK19">
        <v>13</v>
      </c>
      <c r="AL19" s="13">
        <f t="shared" si="21"/>
        <v>9264</v>
      </c>
      <c r="AM19">
        <f t="shared" si="22"/>
        <v>972</v>
      </c>
      <c r="AN19">
        <f t="shared" si="23"/>
        <v>972</v>
      </c>
      <c r="AP19">
        <f t="shared" si="24"/>
        <v>36528</v>
      </c>
      <c r="AQ19">
        <f t="shared" si="25"/>
        <v>1898</v>
      </c>
      <c r="AR19">
        <f t="shared" si="26"/>
        <v>2240</v>
      </c>
      <c r="AT19">
        <f t="shared" si="27"/>
        <v>77660</v>
      </c>
      <c r="AU19">
        <f t="shared" si="28"/>
        <v>3444</v>
      </c>
      <c r="AV19">
        <f t="shared" si="29"/>
        <v>1884</v>
      </c>
    </row>
    <row r="20" ht="83.1" customHeight="1" spans="1:50">
      <c r="A20" s="13" t="s">
        <v>1151</v>
      </c>
      <c r="B20" s="13" t="s">
        <v>1152</v>
      </c>
      <c r="C20" s="13"/>
      <c r="D20" s="13"/>
      <c r="E20" s="13">
        <v>14</v>
      </c>
      <c r="F20" s="22">
        <f t="shared" si="0"/>
        <v>23</v>
      </c>
      <c r="G20" s="22">
        <f t="shared" si="1"/>
        <v>47</v>
      </c>
      <c r="H20" s="13">
        <f t="shared" si="2"/>
        <v>55882</v>
      </c>
      <c r="I20" s="13">
        <f t="shared" si="3"/>
        <v>1410</v>
      </c>
      <c r="J20" s="13">
        <f t="shared" si="4"/>
        <v>1410</v>
      </c>
      <c r="K20" s="17" t="str">
        <f t="shared" si="5"/>
        <v>10001|55882$10004|1410$10003|1410</v>
      </c>
      <c r="L20" s="13" t="str">
        <f t="shared" si="6"/>
        <v>2|23$110002|47</v>
      </c>
      <c r="M20" s="13"/>
      <c r="N20" s="13" t="str">
        <f t="shared" si="7"/>
        <v>2|23$880001|47</v>
      </c>
      <c r="O20" s="13"/>
      <c r="P20" s="13" t="str">
        <f t="shared" si="8"/>
        <v>2|23$440001|47</v>
      </c>
      <c r="Q20" s="13"/>
      <c r="R20" s="13">
        <f t="shared" si="9"/>
        <v>55882</v>
      </c>
      <c r="S20" s="13">
        <f t="shared" si="10"/>
        <v>1420</v>
      </c>
      <c r="T20" s="13">
        <f t="shared" si="11"/>
        <v>1420</v>
      </c>
      <c r="U20" s="17" t="str">
        <f t="shared" si="12"/>
        <v>10001|55882$10004|1420$10003|1420</v>
      </c>
      <c r="V20" s="13">
        <v>55882</v>
      </c>
      <c r="W20" s="13">
        <v>1420</v>
      </c>
      <c r="X20" s="13">
        <v>1420</v>
      </c>
      <c r="Y20" s="17" t="str">
        <f t="shared" si="13"/>
        <v>10001|55882$10004|1420$10003|1420</v>
      </c>
      <c r="Z20" s="13">
        <f t="shared" si="14"/>
        <v>68000</v>
      </c>
      <c r="AA20" s="13">
        <f t="shared" si="15"/>
        <v>1589</v>
      </c>
      <c r="AB20" s="13">
        <f t="shared" si="16"/>
        <v>1309</v>
      </c>
      <c r="AC20" s="17" t="str">
        <f t="shared" si="17"/>
        <v>10001|68000$10004|1589$10003|1309</v>
      </c>
      <c r="AD20" s="13" t="str">
        <f t="shared" si="18"/>
        <v>2|23$110003|47</v>
      </c>
      <c r="AF20" s="13" t="str">
        <f t="shared" si="19"/>
        <v>2|23$770001|47</v>
      </c>
      <c r="AH20" s="13" t="str">
        <f t="shared" si="20"/>
        <v>2|23$660002|47</v>
      </c>
      <c r="AK20">
        <v>14</v>
      </c>
      <c r="AL20" s="13">
        <f t="shared" si="21"/>
        <v>9976</v>
      </c>
      <c r="AM20">
        <f t="shared" si="22"/>
        <v>1043</v>
      </c>
      <c r="AN20">
        <f t="shared" si="23"/>
        <v>1043</v>
      </c>
      <c r="AP20">
        <f t="shared" si="24"/>
        <v>39372</v>
      </c>
      <c r="AQ20">
        <f t="shared" si="25"/>
        <v>2044</v>
      </c>
      <c r="AR20">
        <f t="shared" si="26"/>
        <v>2415</v>
      </c>
      <c r="AT20">
        <f t="shared" si="27"/>
        <v>83845</v>
      </c>
      <c r="AU20">
        <f t="shared" si="28"/>
        <v>3721</v>
      </c>
      <c r="AV20">
        <f t="shared" si="29"/>
        <v>2031</v>
      </c>
    </row>
    <row r="21" ht="54.95" customHeight="1" spans="1:50">
      <c r="A21" s="13" t="s">
        <v>1153</v>
      </c>
      <c r="B21" s="13" t="s">
        <v>1154</v>
      </c>
      <c r="C21" s="13"/>
      <c r="D21" s="13"/>
      <c r="E21" s="13">
        <v>15</v>
      </c>
      <c r="F21" s="22">
        <f t="shared" si="0"/>
        <v>25</v>
      </c>
      <c r="G21" s="22">
        <f t="shared" si="1"/>
        <v>50</v>
      </c>
      <c r="H21" s="13">
        <f t="shared" si="2"/>
        <v>59996</v>
      </c>
      <c r="I21" s="13">
        <f t="shared" si="3"/>
        <v>1500</v>
      </c>
      <c r="J21" s="13">
        <f t="shared" si="4"/>
        <v>1500</v>
      </c>
      <c r="K21" s="17" t="str">
        <f t="shared" si="5"/>
        <v>10001|59996$10004|1500$10003|1500</v>
      </c>
      <c r="L21" s="13" t="str">
        <f t="shared" si="6"/>
        <v>2|25$110002|50</v>
      </c>
      <c r="M21" s="13"/>
      <c r="N21" s="13" t="str">
        <f t="shared" si="7"/>
        <v>2|25$880001|50</v>
      </c>
      <c r="O21" s="13"/>
      <c r="P21" s="13" t="str">
        <f t="shared" si="8"/>
        <v>2|25$440001|50</v>
      </c>
      <c r="Q21" s="13"/>
      <c r="R21" s="13">
        <f t="shared" si="9"/>
        <v>59996</v>
      </c>
      <c r="S21" s="13">
        <f t="shared" si="10"/>
        <v>1510</v>
      </c>
      <c r="T21" s="13">
        <f t="shared" si="11"/>
        <v>1510</v>
      </c>
      <c r="U21" s="17" t="str">
        <f t="shared" si="12"/>
        <v>10001|59996$10004|1510$10003|1510</v>
      </c>
      <c r="V21" s="13">
        <v>59996</v>
      </c>
      <c r="W21" s="13">
        <v>1510</v>
      </c>
      <c r="X21" s="13">
        <v>1510</v>
      </c>
      <c r="Y21" s="17" t="str">
        <f t="shared" si="13"/>
        <v>10001|59996$10004|1510$10003|1510</v>
      </c>
      <c r="Z21" s="13">
        <f t="shared" si="14"/>
        <v>73000</v>
      </c>
      <c r="AA21" s="13">
        <f t="shared" si="15"/>
        <v>1692</v>
      </c>
      <c r="AB21" s="13">
        <f t="shared" si="16"/>
        <v>1392</v>
      </c>
      <c r="AC21" s="17" t="str">
        <f t="shared" si="17"/>
        <v>10001|73000$10004|1692$10003|1392</v>
      </c>
      <c r="AD21" s="13" t="str">
        <f t="shared" si="18"/>
        <v>2|25$110003|50</v>
      </c>
      <c r="AF21" s="13" t="str">
        <f t="shared" si="19"/>
        <v>2|25$770001|50</v>
      </c>
      <c r="AH21" s="13" t="str">
        <f t="shared" si="20"/>
        <v>2|25$660002|50</v>
      </c>
      <c r="AK21">
        <v>15</v>
      </c>
      <c r="AL21" s="13">
        <f t="shared" si="21"/>
        <v>10688</v>
      </c>
      <c r="AM21">
        <f t="shared" si="22"/>
        <v>1114</v>
      </c>
      <c r="AN21">
        <f t="shared" si="23"/>
        <v>1114</v>
      </c>
      <c r="AP21">
        <f t="shared" si="24"/>
        <v>42216</v>
      </c>
      <c r="AQ21">
        <f t="shared" si="25"/>
        <v>2190</v>
      </c>
      <c r="AR21">
        <f t="shared" si="26"/>
        <v>2590</v>
      </c>
      <c r="AT21">
        <f t="shared" si="27"/>
        <v>90030</v>
      </c>
      <c r="AU21">
        <f t="shared" si="28"/>
        <v>3998</v>
      </c>
      <c r="AV21">
        <f t="shared" si="29"/>
        <v>2178</v>
      </c>
    </row>
    <row r="22" s="16" customFormat="1" spans="1:50">
      <c r="A22" s="17" t="s">
        <v>1155</v>
      </c>
    </row>
    <row r="23" ht="27" customHeight="1" spans="1:50">
      <c r="A23" s="13"/>
      <c r="B23" s="13" t="s">
        <v>1097</v>
      </c>
      <c r="C23" s="13"/>
      <c r="D23" s="13"/>
      <c r="E23" s="13"/>
      <c r="F23" s="13"/>
      <c r="G23" s="13"/>
      <c r="H23" s="13" t="s">
        <v>1091</v>
      </c>
      <c r="I23" s="13"/>
      <c r="J23" s="13"/>
      <c r="K23" s="17"/>
      <c r="L23" s="13" t="s">
        <v>1098</v>
      </c>
      <c r="M23" s="13" t="s">
        <v>1099</v>
      </c>
      <c r="N23" s="13" t="s">
        <v>1100</v>
      </c>
      <c r="O23" s="13" t="s">
        <v>1101</v>
      </c>
      <c r="P23" s="13" t="s">
        <v>1102</v>
      </c>
      <c r="Q23" s="13" t="s">
        <v>1103</v>
      </c>
      <c r="R23" s="13" t="s">
        <v>1089</v>
      </c>
      <c r="S23" s="13"/>
      <c r="T23" s="13"/>
      <c r="U23" s="13"/>
      <c r="V23" s="13" t="s">
        <v>1104</v>
      </c>
      <c r="W23" s="13"/>
      <c r="X23" s="13"/>
      <c r="Y23" s="18"/>
      <c r="Z23" s="17" t="s">
        <v>1105</v>
      </c>
      <c r="AA23" s="17"/>
      <c r="AB23" s="17"/>
      <c r="AC23" s="13"/>
      <c r="AD23" s="13" t="s">
        <v>1098</v>
      </c>
      <c r="AE23" s="13" t="s">
        <v>1099</v>
      </c>
      <c r="AF23" s="13" t="s">
        <v>1100</v>
      </c>
      <c r="AG23" s="13" t="s">
        <v>1101</v>
      </c>
      <c r="AH23" s="13" t="s">
        <v>1102</v>
      </c>
      <c r="AI23" s="13" t="s">
        <v>1103</v>
      </c>
      <c r="AL23" s="13" t="s">
        <v>1106</v>
      </c>
      <c r="AP23" s="13" t="s">
        <v>1107</v>
      </c>
      <c r="AT23" s="13" t="s">
        <v>1108</v>
      </c>
      <c r="AX23" s="5" t="s">
        <v>1156</v>
      </c>
    </row>
    <row r="24" spans="1:50">
      <c r="A24" s="13"/>
      <c r="B24" s="13"/>
      <c r="C24" s="13"/>
      <c r="D24" s="13"/>
      <c r="E24" s="13"/>
      <c r="F24" s="13"/>
      <c r="G24" s="13"/>
      <c r="H24" s="13">
        <v>10001</v>
      </c>
      <c r="I24" s="13">
        <v>10004</v>
      </c>
      <c r="J24" s="13">
        <v>10003</v>
      </c>
      <c r="K24" s="17"/>
      <c r="L24" s="13">
        <v>2</v>
      </c>
      <c r="M24" s="13">
        <v>110002</v>
      </c>
      <c r="N24" s="13">
        <v>2</v>
      </c>
      <c r="O24" s="20" t="s">
        <v>1109</v>
      </c>
      <c r="P24" s="13">
        <v>2</v>
      </c>
      <c r="Q24" s="20" t="s">
        <v>1110</v>
      </c>
      <c r="R24" s="13">
        <v>10001</v>
      </c>
      <c r="S24" s="13">
        <v>10004</v>
      </c>
      <c r="T24" s="13">
        <v>10003</v>
      </c>
      <c r="U24" s="13"/>
      <c r="V24" s="13">
        <v>10001</v>
      </c>
      <c r="W24" s="13">
        <v>10004</v>
      </c>
      <c r="X24" s="13">
        <v>10003</v>
      </c>
      <c r="Y24" s="18"/>
      <c r="Z24" s="13">
        <v>10001</v>
      </c>
      <c r="AA24" s="13">
        <v>10004</v>
      </c>
      <c r="AB24" s="13">
        <v>10003</v>
      </c>
      <c r="AC24" s="13"/>
      <c r="AD24" s="13">
        <v>2</v>
      </c>
      <c r="AE24" s="13">
        <v>110003</v>
      </c>
      <c r="AF24" s="13">
        <v>2</v>
      </c>
      <c r="AG24" s="20" t="s">
        <v>1111</v>
      </c>
      <c r="AH24" s="13">
        <v>2</v>
      </c>
      <c r="AI24" s="20" t="s">
        <v>1112</v>
      </c>
      <c r="AL24">
        <v>10001</v>
      </c>
      <c r="AM24">
        <v>10004</v>
      </c>
      <c r="AN24">
        <v>10003</v>
      </c>
      <c r="AP24">
        <v>10001</v>
      </c>
      <c r="AQ24">
        <v>10004</v>
      </c>
      <c r="AR24">
        <v>10003</v>
      </c>
      <c r="AT24">
        <v>10001</v>
      </c>
      <c r="AU24">
        <v>10004</v>
      </c>
      <c r="AV24">
        <v>10003</v>
      </c>
    </row>
    <row r="25" ht="66" customHeight="1" spans="1:50">
      <c r="A25" s="13" t="s">
        <v>1113</v>
      </c>
      <c r="B25" s="13" t="s">
        <v>1114</v>
      </c>
      <c r="C25" s="13" t="s">
        <v>1115</v>
      </c>
      <c r="D25" s="13" t="s">
        <v>1116</v>
      </c>
      <c r="E25" s="13"/>
      <c r="F25" s="13" t="s">
        <v>1117</v>
      </c>
      <c r="G25" s="13" t="s">
        <v>1118</v>
      </c>
      <c r="H25" s="13" t="s">
        <v>1067</v>
      </c>
      <c r="I25" s="13" t="s">
        <v>1068</v>
      </c>
      <c r="J25" s="13" t="s">
        <v>1069</v>
      </c>
      <c r="K25" s="17"/>
      <c r="L25" s="13"/>
      <c r="M25" s="20" t="s">
        <v>1119</v>
      </c>
      <c r="O25" s="20" t="s">
        <v>1120</v>
      </c>
      <c r="Q25" s="20" t="s">
        <v>1121</v>
      </c>
      <c r="R25" s="13" t="s">
        <v>1067</v>
      </c>
      <c r="S25" s="13" t="s">
        <v>1068</v>
      </c>
      <c r="T25" s="13" t="s">
        <v>1069</v>
      </c>
      <c r="U25" s="13"/>
      <c r="V25" s="13" t="s">
        <v>1067</v>
      </c>
      <c r="W25" s="13" t="s">
        <v>1068</v>
      </c>
      <c r="X25" s="13" t="s">
        <v>1069</v>
      </c>
      <c r="Y25" s="18"/>
      <c r="Z25" s="17" t="s">
        <v>1067</v>
      </c>
      <c r="AA25" s="17" t="s">
        <v>1068</v>
      </c>
      <c r="AB25" s="17" t="s">
        <v>1069</v>
      </c>
      <c r="AC25" s="13"/>
      <c r="AD25" s="13"/>
      <c r="AE25" s="20" t="s">
        <v>1122</v>
      </c>
      <c r="AG25" s="20" t="s">
        <v>1123</v>
      </c>
      <c r="AI25" s="20" t="s">
        <v>1124</v>
      </c>
      <c r="AL25" t="s">
        <v>1067</v>
      </c>
      <c r="AM25" t="s">
        <v>1068</v>
      </c>
      <c r="AN25" t="s">
        <v>1069</v>
      </c>
      <c r="AP25" t="s">
        <v>1067</v>
      </c>
      <c r="AQ25" t="s">
        <v>1068</v>
      </c>
      <c r="AR25" t="s">
        <v>1069</v>
      </c>
      <c r="AT25" t="s">
        <v>1067</v>
      </c>
      <c r="AU25" t="s">
        <v>1068</v>
      </c>
      <c r="AV25" t="s">
        <v>1069</v>
      </c>
    </row>
    <row r="26" ht="62.1" customHeight="1" spans="1:50">
      <c r="A26" s="13" t="s">
        <v>1125</v>
      </c>
      <c r="B26" s="21" t="s">
        <v>1126</v>
      </c>
      <c r="C26" s="13"/>
      <c r="D26" s="13"/>
      <c r="E26" s="13">
        <v>1</v>
      </c>
      <c r="F26" s="22">
        <f t="shared" ref="F26:F40" si="30">1.7*E26-0.7</f>
        <v>1</v>
      </c>
      <c r="G26" s="22">
        <f t="shared" ref="G26:G40" si="31">3.5*E26-2.5</f>
        <v>1</v>
      </c>
      <c r="H26" s="13">
        <v>7000</v>
      </c>
      <c r="I26" s="13">
        <v>700</v>
      </c>
      <c r="J26" s="13">
        <v>700</v>
      </c>
      <c r="K26" s="17" t="str">
        <f t="shared" ref="K26:K40" si="32">$H$5&amp;"|"&amp;H26&amp;"$"&amp;$I$5&amp;"|"&amp;I26&amp;"$"&amp;$J$5&amp;"|"&amp;J26</f>
        <v>10001|7000$10004|700$10003|700</v>
      </c>
      <c r="L26" s="13" t="str">
        <f t="shared" ref="L26:L40" si="33">$L$5&amp;"|"&amp;F26&amp;"$"&amp;$M$5&amp;"|"&amp;G26</f>
        <v>2|1$110002|1</v>
      </c>
      <c r="M26" s="13"/>
      <c r="N26" s="13" t="str">
        <f t="shared" ref="N26:N40" si="34">$N$5&amp;"|"&amp;F26&amp;"$"&amp;$O$5&amp;"|"&amp;G26</f>
        <v>2|1$880001|1</v>
      </c>
      <c r="O26" s="13"/>
      <c r="P26" s="13" t="str">
        <f t="shared" ref="P26:P40" si="35">$P$5&amp;"|"&amp;F26&amp;"$"&amp;$Q$5&amp;"|"&amp;G26</f>
        <v>2|1$440001|1</v>
      </c>
      <c r="Q26" s="13"/>
      <c r="R26" s="13">
        <v>7000</v>
      </c>
      <c r="S26" s="13">
        <v>700</v>
      </c>
      <c r="T26" s="13">
        <v>700</v>
      </c>
      <c r="U26" s="17" t="str">
        <f t="shared" ref="U26:U40" si="36">$H$5&amp;"|"&amp;R26&amp;"$"&amp;$I$5&amp;"|"&amp;S26&amp;"$"&amp;$J$5&amp;"|"&amp;T26</f>
        <v>10001|7000$10004|700$10003|700</v>
      </c>
      <c r="V26" s="13">
        <v>7000</v>
      </c>
      <c r="W26" s="13">
        <v>700</v>
      </c>
      <c r="X26" s="13">
        <v>700</v>
      </c>
      <c r="Y26" s="17" t="str">
        <f t="shared" ref="Y26:Y40" si="37">$H$5&amp;"|"&amp;V26&amp;"$"&amp;$I$5&amp;"|"&amp;W26&amp;"$"&amp;$J$5&amp;"|"&amp;X26</f>
        <v>10001|7000$10004|700$10003|700</v>
      </c>
      <c r="Z26" s="13">
        <v>7000</v>
      </c>
      <c r="AA26" s="13">
        <v>700</v>
      </c>
      <c r="AB26" s="13">
        <v>700</v>
      </c>
      <c r="AC26" s="17" t="str">
        <f t="shared" ref="AC26:AC40" si="38">$H$5&amp;"|"&amp;Z26&amp;"$"&amp;$I$5&amp;"|"&amp;AA26&amp;"$"&amp;$J$5&amp;"|"&amp;AB26</f>
        <v>10001|7000$10004|700$10003|700</v>
      </c>
      <c r="AD26" s="13" t="str">
        <f t="shared" ref="AD26:AD40" si="39">$AD$5&amp;"|"&amp;F26&amp;"$"&amp;$AE$5&amp;"|"&amp;G26</f>
        <v>2|1$110003|1</v>
      </c>
      <c r="AF26" s="13" t="str">
        <f t="shared" ref="AF26:AF40" si="40">$AF$5&amp;"|"&amp;F26&amp;"$"&amp;$AG$5&amp;"|"&amp;G26</f>
        <v>2|1$770001|1</v>
      </c>
      <c r="AH26" s="13" t="str">
        <f t="shared" ref="AH26:AH40" si="41">$AH$5&amp;"|"&amp;F26&amp;"$"&amp;$AI$5&amp;"|"&amp;G26</f>
        <v>2|1$660002|1</v>
      </c>
      <c r="AK26">
        <v>1</v>
      </c>
      <c r="AL26" s="13">
        <v>1000</v>
      </c>
      <c r="AM26">
        <v>600</v>
      </c>
      <c r="AN26">
        <v>600</v>
      </c>
      <c r="AO26" s="17" t="str">
        <f>$H$5&amp;"|"&amp;AL26&amp;"$"&amp;$I$5&amp;"|"&amp;AM26&amp;"$"&amp;$J$5&amp;"|"&amp;AN26</f>
        <v>10001|1000$10004|600$10003|600</v>
      </c>
      <c r="AP26" s="13">
        <v>3000</v>
      </c>
      <c r="AQ26">
        <v>600</v>
      </c>
      <c r="AR26">
        <v>600</v>
      </c>
      <c r="AS26" s="17" t="str">
        <f>$H$5&amp;"|"&amp;AP26&amp;"$"&amp;$I$5&amp;"|"&amp;AQ26&amp;"$"&amp;$J$5&amp;"|"&amp;AR26</f>
        <v>10001|3000$10004|600$10003|600</v>
      </c>
      <c r="AT26">
        <v>9000</v>
      </c>
      <c r="AU26">
        <v>600</v>
      </c>
      <c r="AV26">
        <v>600</v>
      </c>
      <c r="AW26" s="17" t="str">
        <f>$H$5&amp;"|"&amp;AT26&amp;"$"&amp;$I$5&amp;"|"&amp;AU26&amp;"$"&amp;$J$5&amp;"|"&amp;AV26</f>
        <v>10001|9000$10004|600$10003|600</v>
      </c>
      <c r="AX26" s="13"/>
    </row>
    <row r="27" ht="38.25" customHeight="1" spans="1:50">
      <c r="A27" s="13" t="s">
        <v>1127</v>
      </c>
      <c r="B27" s="13" t="s">
        <v>1128</v>
      </c>
      <c r="C27" s="13"/>
      <c r="D27" s="13"/>
      <c r="E27" s="13">
        <v>2</v>
      </c>
      <c r="F27" s="22">
        <f t="shared" si="30"/>
        <v>3</v>
      </c>
      <c r="G27" s="22">
        <f t="shared" si="31"/>
        <v>5</v>
      </c>
      <c r="H27" s="13">
        <f t="shared" ref="H27:H40" si="42">H26+12357</f>
        <v>19357</v>
      </c>
      <c r="I27" s="13">
        <f t="shared" ref="I27:I40" si="43">I26+200</f>
        <v>900</v>
      </c>
      <c r="J27" s="13">
        <f t="shared" ref="J27:J40" si="44">J26+200</f>
        <v>900</v>
      </c>
      <c r="K27" s="17" t="str">
        <f t="shared" si="32"/>
        <v>10001|19357$10004|900$10003|900</v>
      </c>
      <c r="L27" s="13" t="str">
        <f t="shared" si="33"/>
        <v>2|3$110002|5</v>
      </c>
      <c r="M27" s="13"/>
      <c r="N27" s="13" t="str">
        <f t="shared" si="34"/>
        <v>2|3$880001|5</v>
      </c>
      <c r="O27" s="13"/>
      <c r="P27" s="13" t="str">
        <f t="shared" si="35"/>
        <v>2|3$440001|5</v>
      </c>
      <c r="Q27" s="13"/>
      <c r="R27" s="13">
        <f t="shared" ref="R27:R40" si="45">R26+12357</f>
        <v>19357</v>
      </c>
      <c r="S27" s="13">
        <f t="shared" ref="S27:S40" si="46">S26+200</f>
        <v>900</v>
      </c>
      <c r="T27" s="13">
        <f t="shared" ref="T27:T40" si="47">T26+200</f>
        <v>900</v>
      </c>
      <c r="U27" s="17" t="str">
        <f t="shared" si="36"/>
        <v>10001|19357$10004|900$10003|900</v>
      </c>
      <c r="V27" s="13">
        <f t="shared" ref="V27:V40" si="48">V26+12357</f>
        <v>19357</v>
      </c>
      <c r="W27" s="13">
        <f t="shared" ref="W27:W40" si="49">W26+200</f>
        <v>900</v>
      </c>
      <c r="X27" s="13">
        <f t="shared" ref="X27:X40" si="50">X26+200</f>
        <v>900</v>
      </c>
      <c r="Y27" s="17" t="str">
        <f t="shared" si="37"/>
        <v>10001|19357$10004|900$10003|900</v>
      </c>
      <c r="Z27" s="13">
        <f t="shared" ref="Z27:Z40" si="51">Z26+12357</f>
        <v>19357</v>
      </c>
      <c r="AA27" s="13">
        <f t="shared" ref="AA27:AA40" si="52">AA26+200</f>
        <v>900</v>
      </c>
      <c r="AB27" s="13">
        <f t="shared" ref="AB27:AB40" si="53">AB26+200</f>
        <v>900</v>
      </c>
      <c r="AC27" s="17" t="str">
        <f t="shared" si="38"/>
        <v>10001|19357$10004|900$10003|900</v>
      </c>
      <c r="AD27" s="13" t="str">
        <f t="shared" si="39"/>
        <v>2|3$110003|5</v>
      </c>
      <c r="AF27" s="13" t="str">
        <f t="shared" si="40"/>
        <v>2|3$770001|5</v>
      </c>
      <c r="AH27" s="13" t="str">
        <f t="shared" si="41"/>
        <v>2|3$660002|5</v>
      </c>
      <c r="AK27">
        <v>2</v>
      </c>
      <c r="AL27" s="13">
        <f t="shared" ref="AL27:AL40" si="54">AL26+1714</f>
        <v>2714</v>
      </c>
      <c r="AM27">
        <f t="shared" ref="AM27:AM40" si="55">AM26+257</f>
        <v>857</v>
      </c>
      <c r="AN27">
        <f t="shared" ref="AN27:AN40" si="56">AN26+257</f>
        <v>857</v>
      </c>
      <c r="AP27">
        <f t="shared" ref="AP27:AP40" si="57">AP26+6071</f>
        <v>9071</v>
      </c>
      <c r="AQ27">
        <f t="shared" ref="AQ27:AQ40" si="58">AQ26+257</f>
        <v>857</v>
      </c>
      <c r="AR27">
        <f t="shared" ref="AR27:AR40" si="59">AR26+257</f>
        <v>857</v>
      </c>
      <c r="AT27">
        <f t="shared" ref="AT27:AT40" si="60">AT26+13642</f>
        <v>22642</v>
      </c>
      <c r="AU27">
        <f t="shared" ref="AU27:AU40" si="61">AU26+257</f>
        <v>857</v>
      </c>
      <c r="AV27">
        <f t="shared" ref="AV27:AV40" si="62">AV26+257</f>
        <v>857</v>
      </c>
    </row>
    <row r="28" ht="54.75" customHeight="1" spans="1:50">
      <c r="A28" s="13" t="s">
        <v>1129</v>
      </c>
      <c r="B28" s="13" t="s">
        <v>1130</v>
      </c>
      <c r="C28" s="13"/>
      <c r="D28" s="13"/>
      <c r="E28" s="13">
        <v>3</v>
      </c>
      <c r="F28" s="22">
        <f t="shared" si="30"/>
        <v>4</v>
      </c>
      <c r="G28" s="22">
        <f t="shared" si="31"/>
        <v>8</v>
      </c>
      <c r="H28" s="13">
        <f t="shared" si="42"/>
        <v>31714</v>
      </c>
      <c r="I28" s="13">
        <f t="shared" si="43"/>
        <v>1100</v>
      </c>
      <c r="J28" s="13">
        <f t="shared" si="44"/>
        <v>1100</v>
      </c>
      <c r="K28" s="17" t="str">
        <f t="shared" si="32"/>
        <v>10001|31714$10004|1100$10003|1100</v>
      </c>
      <c r="L28" s="13" t="str">
        <f t="shared" si="33"/>
        <v>2|4$110002|8</v>
      </c>
      <c r="M28" s="13"/>
      <c r="N28" s="13" t="str">
        <f t="shared" si="34"/>
        <v>2|4$880001|8</v>
      </c>
      <c r="O28" s="13"/>
      <c r="P28" s="13" t="str">
        <f t="shared" si="35"/>
        <v>2|4$440001|8</v>
      </c>
      <c r="Q28" s="13"/>
      <c r="R28" s="13">
        <f t="shared" si="45"/>
        <v>31714</v>
      </c>
      <c r="S28" s="13">
        <f t="shared" si="46"/>
        <v>1100</v>
      </c>
      <c r="T28" s="13">
        <f t="shared" si="47"/>
        <v>1100</v>
      </c>
      <c r="U28" s="17" t="str">
        <f t="shared" si="36"/>
        <v>10001|31714$10004|1100$10003|1100</v>
      </c>
      <c r="V28" s="13">
        <f t="shared" si="48"/>
        <v>31714</v>
      </c>
      <c r="W28" s="13">
        <f t="shared" si="49"/>
        <v>1100</v>
      </c>
      <c r="X28" s="13">
        <f t="shared" si="50"/>
        <v>1100</v>
      </c>
      <c r="Y28" s="17" t="str">
        <f t="shared" si="37"/>
        <v>10001|31714$10004|1100$10003|1100</v>
      </c>
      <c r="Z28" s="13">
        <f t="shared" si="51"/>
        <v>31714</v>
      </c>
      <c r="AA28" s="13">
        <f t="shared" si="52"/>
        <v>1100</v>
      </c>
      <c r="AB28" s="13">
        <f t="shared" si="53"/>
        <v>1100</v>
      </c>
      <c r="AC28" s="17" t="str">
        <f t="shared" si="38"/>
        <v>10001|31714$10004|1100$10003|1100</v>
      </c>
      <c r="AD28" s="13" t="str">
        <f t="shared" si="39"/>
        <v>2|4$110003|8</v>
      </c>
      <c r="AF28" s="13" t="str">
        <f t="shared" si="40"/>
        <v>2|4$770001|8</v>
      </c>
      <c r="AH28" s="13" t="str">
        <f t="shared" si="41"/>
        <v>2|4$660002|8</v>
      </c>
      <c r="AK28">
        <v>3</v>
      </c>
      <c r="AL28" s="13">
        <f t="shared" si="54"/>
        <v>4428</v>
      </c>
      <c r="AM28">
        <f t="shared" si="55"/>
        <v>1114</v>
      </c>
      <c r="AN28">
        <f t="shared" si="56"/>
        <v>1114</v>
      </c>
      <c r="AP28">
        <f t="shared" si="57"/>
        <v>15142</v>
      </c>
      <c r="AQ28">
        <f t="shared" si="58"/>
        <v>1114</v>
      </c>
      <c r="AR28">
        <f t="shared" si="59"/>
        <v>1114</v>
      </c>
      <c r="AT28">
        <f t="shared" si="60"/>
        <v>36284</v>
      </c>
      <c r="AU28">
        <f t="shared" si="61"/>
        <v>1114</v>
      </c>
      <c r="AV28">
        <f t="shared" si="62"/>
        <v>1114</v>
      </c>
    </row>
    <row r="29" ht="41.25" customHeight="1" spans="1:50">
      <c r="A29" s="13" t="s">
        <v>1131</v>
      </c>
      <c r="B29" s="13" t="s">
        <v>1132</v>
      </c>
      <c r="C29" s="13"/>
      <c r="D29" s="13"/>
      <c r="E29" s="13">
        <v>4</v>
      </c>
      <c r="F29" s="22">
        <f t="shared" si="30"/>
        <v>6</v>
      </c>
      <c r="G29" s="22">
        <f t="shared" si="31"/>
        <v>12</v>
      </c>
      <c r="H29" s="13">
        <f t="shared" si="42"/>
        <v>44071</v>
      </c>
      <c r="I29" s="13">
        <f t="shared" si="43"/>
        <v>1300</v>
      </c>
      <c r="J29" s="13">
        <f t="shared" si="44"/>
        <v>1300</v>
      </c>
      <c r="K29" s="17" t="str">
        <f t="shared" si="32"/>
        <v>10001|44071$10004|1300$10003|1300</v>
      </c>
      <c r="L29" s="13" t="str">
        <f t="shared" si="33"/>
        <v>2|6$110002|12</v>
      </c>
      <c r="M29" s="13"/>
      <c r="N29" s="13" t="str">
        <f t="shared" si="34"/>
        <v>2|6$880001|12</v>
      </c>
      <c r="O29" s="13"/>
      <c r="P29" s="13" t="str">
        <f t="shared" si="35"/>
        <v>2|6$440001|12</v>
      </c>
      <c r="Q29" s="13"/>
      <c r="R29" s="13">
        <f t="shared" si="45"/>
        <v>44071</v>
      </c>
      <c r="S29" s="13">
        <f t="shared" si="46"/>
        <v>1300</v>
      </c>
      <c r="T29" s="13">
        <f t="shared" si="47"/>
        <v>1300</v>
      </c>
      <c r="U29" s="17" t="str">
        <f t="shared" si="36"/>
        <v>10001|44071$10004|1300$10003|1300</v>
      </c>
      <c r="V29" s="13">
        <f t="shared" si="48"/>
        <v>44071</v>
      </c>
      <c r="W29" s="13">
        <f t="shared" si="49"/>
        <v>1300</v>
      </c>
      <c r="X29" s="13">
        <f t="shared" si="50"/>
        <v>1300</v>
      </c>
      <c r="Y29" s="17" t="str">
        <f t="shared" si="37"/>
        <v>10001|44071$10004|1300$10003|1300</v>
      </c>
      <c r="Z29" s="13">
        <f t="shared" si="51"/>
        <v>44071</v>
      </c>
      <c r="AA29" s="13">
        <f t="shared" si="52"/>
        <v>1300</v>
      </c>
      <c r="AB29" s="13">
        <f t="shared" si="53"/>
        <v>1300</v>
      </c>
      <c r="AC29" s="17" t="str">
        <f t="shared" si="38"/>
        <v>10001|44071$10004|1300$10003|1300</v>
      </c>
      <c r="AD29" s="13" t="str">
        <f t="shared" si="39"/>
        <v>2|6$110003|12</v>
      </c>
      <c r="AF29" s="13" t="str">
        <f t="shared" si="40"/>
        <v>2|6$770001|12</v>
      </c>
      <c r="AH29" s="13" t="str">
        <f t="shared" si="41"/>
        <v>2|6$660002|12</v>
      </c>
      <c r="AK29">
        <v>4</v>
      </c>
      <c r="AL29" s="13">
        <f t="shared" si="54"/>
        <v>6142</v>
      </c>
      <c r="AM29">
        <f t="shared" si="55"/>
        <v>1371</v>
      </c>
      <c r="AN29">
        <f t="shared" si="56"/>
        <v>1371</v>
      </c>
      <c r="AP29">
        <f t="shared" si="57"/>
        <v>21213</v>
      </c>
      <c r="AQ29">
        <f t="shared" si="58"/>
        <v>1371</v>
      </c>
      <c r="AR29">
        <f t="shared" si="59"/>
        <v>1371</v>
      </c>
      <c r="AT29">
        <f t="shared" si="60"/>
        <v>49926</v>
      </c>
      <c r="AU29">
        <f t="shared" si="61"/>
        <v>1371</v>
      </c>
      <c r="AV29">
        <f t="shared" si="62"/>
        <v>1371</v>
      </c>
    </row>
    <row r="30" ht="45" customHeight="1" spans="1:50">
      <c r="A30" s="13" t="s">
        <v>1133</v>
      </c>
      <c r="B30" s="13" t="s">
        <v>1134</v>
      </c>
      <c r="C30" s="13"/>
      <c r="D30" s="13"/>
      <c r="E30" s="13">
        <v>5</v>
      </c>
      <c r="F30" s="22">
        <f t="shared" si="30"/>
        <v>8</v>
      </c>
      <c r="G30" s="22">
        <f t="shared" si="31"/>
        <v>15</v>
      </c>
      <c r="H30" s="13">
        <f t="shared" si="42"/>
        <v>56428</v>
      </c>
      <c r="I30" s="13">
        <f t="shared" si="43"/>
        <v>1500</v>
      </c>
      <c r="J30" s="13">
        <f t="shared" si="44"/>
        <v>1500</v>
      </c>
      <c r="K30" s="17" t="str">
        <f t="shared" si="32"/>
        <v>10001|56428$10004|1500$10003|1500</v>
      </c>
      <c r="L30" s="13" t="str">
        <f t="shared" si="33"/>
        <v>2|8$110002|15</v>
      </c>
      <c r="M30" s="13"/>
      <c r="N30" s="13" t="str">
        <f t="shared" si="34"/>
        <v>2|8$880001|15</v>
      </c>
      <c r="O30" s="13"/>
      <c r="P30" s="13" t="str">
        <f t="shared" si="35"/>
        <v>2|8$440001|15</v>
      </c>
      <c r="Q30" s="13"/>
      <c r="R30" s="13">
        <f t="shared" si="45"/>
        <v>56428</v>
      </c>
      <c r="S30" s="13">
        <f t="shared" si="46"/>
        <v>1500</v>
      </c>
      <c r="T30" s="13">
        <f t="shared" si="47"/>
        <v>1500</v>
      </c>
      <c r="U30" s="17" t="str">
        <f t="shared" si="36"/>
        <v>10001|56428$10004|1500$10003|1500</v>
      </c>
      <c r="V30" s="13">
        <f t="shared" si="48"/>
        <v>56428</v>
      </c>
      <c r="W30" s="13">
        <f t="shared" si="49"/>
        <v>1500</v>
      </c>
      <c r="X30" s="13">
        <f t="shared" si="50"/>
        <v>1500</v>
      </c>
      <c r="Y30" s="17" t="str">
        <f t="shared" si="37"/>
        <v>10001|56428$10004|1500$10003|1500</v>
      </c>
      <c r="Z30" s="13">
        <f t="shared" si="51"/>
        <v>56428</v>
      </c>
      <c r="AA30" s="13">
        <f t="shared" si="52"/>
        <v>1500</v>
      </c>
      <c r="AB30" s="13">
        <f t="shared" si="53"/>
        <v>1500</v>
      </c>
      <c r="AC30" s="17" t="str">
        <f t="shared" si="38"/>
        <v>10001|56428$10004|1500$10003|1500</v>
      </c>
      <c r="AD30" s="13" t="str">
        <f t="shared" si="39"/>
        <v>2|8$110003|15</v>
      </c>
      <c r="AF30" s="13" t="str">
        <f t="shared" si="40"/>
        <v>2|8$770001|15</v>
      </c>
      <c r="AH30" s="13" t="str">
        <f t="shared" si="41"/>
        <v>2|8$660002|15</v>
      </c>
      <c r="AK30">
        <v>5</v>
      </c>
      <c r="AL30" s="13">
        <f t="shared" si="54"/>
        <v>7856</v>
      </c>
      <c r="AM30">
        <f t="shared" si="55"/>
        <v>1628</v>
      </c>
      <c r="AN30">
        <f t="shared" si="56"/>
        <v>1628</v>
      </c>
      <c r="AP30">
        <f t="shared" si="57"/>
        <v>27284</v>
      </c>
      <c r="AQ30">
        <f t="shared" si="58"/>
        <v>1628</v>
      </c>
      <c r="AR30">
        <f t="shared" si="59"/>
        <v>1628</v>
      </c>
      <c r="AT30">
        <f t="shared" si="60"/>
        <v>63568</v>
      </c>
      <c r="AU30">
        <f t="shared" si="61"/>
        <v>1628</v>
      </c>
      <c r="AV30">
        <f t="shared" si="62"/>
        <v>1628</v>
      </c>
    </row>
    <row r="31" ht="175.5" customHeight="1" spans="1:50">
      <c r="A31" s="13" t="s">
        <v>1135</v>
      </c>
      <c r="B31" s="13" t="s">
        <v>1136</v>
      </c>
      <c r="C31" s="13"/>
      <c r="D31" s="13"/>
      <c r="E31" s="13">
        <v>6</v>
      </c>
      <c r="F31" s="22">
        <f t="shared" si="30"/>
        <v>10</v>
      </c>
      <c r="G31" s="22">
        <f t="shared" si="31"/>
        <v>19</v>
      </c>
      <c r="H31" s="13">
        <f t="shared" si="42"/>
        <v>68785</v>
      </c>
      <c r="I31" s="13">
        <f t="shared" si="43"/>
        <v>1700</v>
      </c>
      <c r="J31" s="13">
        <f t="shared" si="44"/>
        <v>1700</v>
      </c>
      <c r="K31" s="17" t="str">
        <f t="shared" si="32"/>
        <v>10001|68785$10004|1700$10003|1700</v>
      </c>
      <c r="L31" s="13" t="str">
        <f t="shared" si="33"/>
        <v>2|10$110002|19</v>
      </c>
      <c r="M31" s="13"/>
      <c r="N31" s="13" t="str">
        <f t="shared" si="34"/>
        <v>2|10$880001|19</v>
      </c>
      <c r="O31" s="13"/>
      <c r="P31" s="13" t="str">
        <f t="shared" si="35"/>
        <v>2|10$440001|19</v>
      </c>
      <c r="Q31" s="13"/>
      <c r="R31" s="13">
        <f t="shared" si="45"/>
        <v>68785</v>
      </c>
      <c r="S31" s="13">
        <f t="shared" si="46"/>
        <v>1700</v>
      </c>
      <c r="T31" s="13">
        <f t="shared" si="47"/>
        <v>1700</v>
      </c>
      <c r="U31" s="17" t="str">
        <f t="shared" si="36"/>
        <v>10001|68785$10004|1700$10003|1700</v>
      </c>
      <c r="V31" s="13">
        <f t="shared" si="48"/>
        <v>68785</v>
      </c>
      <c r="W31" s="13">
        <f t="shared" si="49"/>
        <v>1700</v>
      </c>
      <c r="X31" s="13">
        <f t="shared" si="50"/>
        <v>1700</v>
      </c>
      <c r="Y31" s="17" t="str">
        <f t="shared" si="37"/>
        <v>10001|68785$10004|1700$10003|1700</v>
      </c>
      <c r="Z31" s="13">
        <f t="shared" si="51"/>
        <v>68785</v>
      </c>
      <c r="AA31" s="13">
        <f t="shared" si="52"/>
        <v>1700</v>
      </c>
      <c r="AB31" s="13">
        <f t="shared" si="53"/>
        <v>1700</v>
      </c>
      <c r="AC31" s="17" t="str">
        <f t="shared" si="38"/>
        <v>10001|68785$10004|1700$10003|1700</v>
      </c>
      <c r="AD31" s="13" t="str">
        <f t="shared" si="39"/>
        <v>2|10$110003|19</v>
      </c>
      <c r="AF31" s="13" t="str">
        <f t="shared" si="40"/>
        <v>2|10$770001|19</v>
      </c>
      <c r="AH31" s="13" t="str">
        <f t="shared" si="41"/>
        <v>2|10$660002|19</v>
      </c>
      <c r="AK31">
        <v>6</v>
      </c>
      <c r="AL31" s="13">
        <f t="shared" si="54"/>
        <v>9570</v>
      </c>
      <c r="AM31">
        <f t="shared" si="55"/>
        <v>1885</v>
      </c>
      <c r="AN31">
        <f t="shared" si="56"/>
        <v>1885</v>
      </c>
      <c r="AP31">
        <f t="shared" si="57"/>
        <v>33355</v>
      </c>
      <c r="AQ31">
        <f t="shared" si="58"/>
        <v>1885</v>
      </c>
      <c r="AR31">
        <f t="shared" si="59"/>
        <v>1885</v>
      </c>
      <c r="AT31">
        <f t="shared" si="60"/>
        <v>77210</v>
      </c>
      <c r="AU31">
        <f t="shared" si="61"/>
        <v>1885</v>
      </c>
      <c r="AV31">
        <f t="shared" si="62"/>
        <v>1885</v>
      </c>
    </row>
    <row r="32" ht="229.5" customHeight="1" spans="1:50">
      <c r="A32" s="13" t="s">
        <v>1137</v>
      </c>
      <c r="B32" s="13" t="s">
        <v>1138</v>
      </c>
      <c r="C32" s="13"/>
      <c r="D32" s="13"/>
      <c r="E32" s="13">
        <v>7</v>
      </c>
      <c r="F32" s="22">
        <f t="shared" si="30"/>
        <v>11</v>
      </c>
      <c r="G32" s="22">
        <f t="shared" si="31"/>
        <v>22</v>
      </c>
      <c r="H32" s="13">
        <f t="shared" si="42"/>
        <v>81142</v>
      </c>
      <c r="I32" s="13">
        <f t="shared" si="43"/>
        <v>1900</v>
      </c>
      <c r="J32" s="13">
        <f t="shared" si="44"/>
        <v>1900</v>
      </c>
      <c r="K32" s="17" t="str">
        <f t="shared" si="32"/>
        <v>10001|81142$10004|1900$10003|1900</v>
      </c>
      <c r="L32" s="13" t="str">
        <f t="shared" si="33"/>
        <v>2|11$110002|22</v>
      </c>
      <c r="M32" s="13"/>
      <c r="N32" s="13" t="str">
        <f t="shared" si="34"/>
        <v>2|11$880001|22</v>
      </c>
      <c r="O32" s="13"/>
      <c r="P32" s="13" t="str">
        <f t="shared" si="35"/>
        <v>2|11$440001|22</v>
      </c>
      <c r="Q32" s="13"/>
      <c r="R32" s="13">
        <f t="shared" si="45"/>
        <v>81142</v>
      </c>
      <c r="S32" s="13">
        <f t="shared" si="46"/>
        <v>1900</v>
      </c>
      <c r="T32" s="13">
        <f t="shared" si="47"/>
        <v>1900</v>
      </c>
      <c r="U32" s="17" t="str">
        <f t="shared" si="36"/>
        <v>10001|81142$10004|1900$10003|1900</v>
      </c>
      <c r="V32" s="13">
        <f t="shared" si="48"/>
        <v>81142</v>
      </c>
      <c r="W32" s="13">
        <f t="shared" si="49"/>
        <v>1900</v>
      </c>
      <c r="X32" s="13">
        <f t="shared" si="50"/>
        <v>1900</v>
      </c>
      <c r="Y32" s="17" t="str">
        <f t="shared" si="37"/>
        <v>10001|81142$10004|1900$10003|1900</v>
      </c>
      <c r="Z32" s="13">
        <f t="shared" si="51"/>
        <v>81142</v>
      </c>
      <c r="AA32" s="13">
        <f t="shared" si="52"/>
        <v>1900</v>
      </c>
      <c r="AB32" s="13">
        <f t="shared" si="53"/>
        <v>1900</v>
      </c>
      <c r="AC32" s="17" t="str">
        <f t="shared" si="38"/>
        <v>10001|81142$10004|1900$10003|1900</v>
      </c>
      <c r="AD32" s="13" t="str">
        <f t="shared" si="39"/>
        <v>2|11$110003|22</v>
      </c>
      <c r="AF32" s="13" t="str">
        <f t="shared" si="40"/>
        <v>2|11$770001|22</v>
      </c>
      <c r="AH32" s="13" t="str">
        <f t="shared" si="41"/>
        <v>2|11$660002|22</v>
      </c>
      <c r="AK32">
        <v>7</v>
      </c>
      <c r="AL32" s="13">
        <f t="shared" si="54"/>
        <v>11284</v>
      </c>
      <c r="AM32">
        <f t="shared" si="55"/>
        <v>2142</v>
      </c>
      <c r="AN32">
        <f t="shared" si="56"/>
        <v>2142</v>
      </c>
      <c r="AP32">
        <f t="shared" si="57"/>
        <v>39426</v>
      </c>
      <c r="AQ32">
        <f t="shared" si="58"/>
        <v>2142</v>
      </c>
      <c r="AR32">
        <f t="shared" si="59"/>
        <v>2142</v>
      </c>
      <c r="AT32">
        <f t="shared" si="60"/>
        <v>90852</v>
      </c>
      <c r="AU32">
        <f t="shared" si="61"/>
        <v>2142</v>
      </c>
      <c r="AV32">
        <f t="shared" si="62"/>
        <v>2142</v>
      </c>
    </row>
    <row r="33" ht="108.95" customHeight="1" spans="1:48">
      <c r="A33" s="13" t="s">
        <v>1139</v>
      </c>
      <c r="B33" s="13" t="s">
        <v>1140</v>
      </c>
      <c r="C33" s="13"/>
      <c r="D33" s="13"/>
      <c r="E33" s="13">
        <v>8</v>
      </c>
      <c r="F33" s="22">
        <f t="shared" si="30"/>
        <v>13</v>
      </c>
      <c r="G33" s="22">
        <f t="shared" si="31"/>
        <v>26</v>
      </c>
      <c r="H33" s="13">
        <f t="shared" si="42"/>
        <v>93499</v>
      </c>
      <c r="I33" s="13">
        <f t="shared" si="43"/>
        <v>2100</v>
      </c>
      <c r="J33" s="13">
        <f t="shared" si="44"/>
        <v>2100</v>
      </c>
      <c r="K33" s="17" t="str">
        <f t="shared" si="32"/>
        <v>10001|93499$10004|2100$10003|2100</v>
      </c>
      <c r="L33" s="13" t="str">
        <f t="shared" si="33"/>
        <v>2|13$110002|26</v>
      </c>
      <c r="M33" s="13"/>
      <c r="N33" s="13" t="str">
        <f t="shared" si="34"/>
        <v>2|13$880001|26</v>
      </c>
      <c r="O33" s="13"/>
      <c r="P33" s="13" t="str">
        <f t="shared" si="35"/>
        <v>2|13$440001|26</v>
      </c>
      <c r="Q33" s="13"/>
      <c r="R33" s="13">
        <f t="shared" si="45"/>
        <v>93499</v>
      </c>
      <c r="S33" s="13">
        <f t="shared" si="46"/>
        <v>2100</v>
      </c>
      <c r="T33" s="13">
        <f t="shared" si="47"/>
        <v>2100</v>
      </c>
      <c r="U33" s="17" t="str">
        <f t="shared" si="36"/>
        <v>10001|93499$10004|2100$10003|2100</v>
      </c>
      <c r="V33" s="13">
        <f t="shared" si="48"/>
        <v>93499</v>
      </c>
      <c r="W33" s="13">
        <f t="shared" si="49"/>
        <v>2100</v>
      </c>
      <c r="X33" s="13">
        <f t="shared" si="50"/>
        <v>2100</v>
      </c>
      <c r="Y33" s="17" t="str">
        <f t="shared" si="37"/>
        <v>10001|93499$10004|2100$10003|2100</v>
      </c>
      <c r="Z33" s="13">
        <f t="shared" si="51"/>
        <v>93499</v>
      </c>
      <c r="AA33" s="13">
        <f t="shared" si="52"/>
        <v>2100</v>
      </c>
      <c r="AB33" s="13">
        <f t="shared" si="53"/>
        <v>2100</v>
      </c>
      <c r="AC33" s="17" t="str">
        <f t="shared" si="38"/>
        <v>10001|93499$10004|2100$10003|2100</v>
      </c>
      <c r="AD33" s="13" t="str">
        <f t="shared" si="39"/>
        <v>2|13$110003|26</v>
      </c>
      <c r="AF33" s="13" t="str">
        <f t="shared" si="40"/>
        <v>2|13$770001|26</v>
      </c>
      <c r="AH33" s="13" t="str">
        <f t="shared" si="41"/>
        <v>2|13$660002|26</v>
      </c>
      <c r="AK33">
        <v>8</v>
      </c>
      <c r="AL33" s="13">
        <f t="shared" si="54"/>
        <v>12998</v>
      </c>
      <c r="AM33">
        <f t="shared" si="55"/>
        <v>2399</v>
      </c>
      <c r="AN33">
        <f t="shared" si="56"/>
        <v>2399</v>
      </c>
      <c r="AP33">
        <f t="shared" si="57"/>
        <v>45497</v>
      </c>
      <c r="AQ33">
        <f t="shared" si="58"/>
        <v>2399</v>
      </c>
      <c r="AR33">
        <f t="shared" si="59"/>
        <v>2399</v>
      </c>
      <c r="AT33">
        <f t="shared" si="60"/>
        <v>104494</v>
      </c>
      <c r="AU33">
        <f t="shared" si="61"/>
        <v>2399</v>
      </c>
      <c r="AV33">
        <f t="shared" si="62"/>
        <v>2399</v>
      </c>
    </row>
    <row r="34" ht="62.1" customHeight="1" spans="1:48">
      <c r="A34" s="13" t="s">
        <v>1141</v>
      </c>
      <c r="B34" s="13" t="s">
        <v>1142</v>
      </c>
      <c r="C34" s="13"/>
      <c r="D34" s="13"/>
      <c r="E34" s="13">
        <v>9</v>
      </c>
      <c r="F34" s="22">
        <f t="shared" si="30"/>
        <v>15</v>
      </c>
      <c r="G34" s="22">
        <f t="shared" si="31"/>
        <v>29</v>
      </c>
      <c r="H34" s="13">
        <f t="shared" si="42"/>
        <v>105856</v>
      </c>
      <c r="I34" s="13">
        <f t="shared" si="43"/>
        <v>2300</v>
      </c>
      <c r="J34" s="13">
        <f t="shared" si="44"/>
        <v>2300</v>
      </c>
      <c r="K34" s="17" t="str">
        <f t="shared" si="32"/>
        <v>10001|105856$10004|2300$10003|2300</v>
      </c>
      <c r="L34" s="13" t="str">
        <f t="shared" si="33"/>
        <v>2|15$110002|29</v>
      </c>
      <c r="M34" s="13"/>
      <c r="N34" s="13" t="str">
        <f t="shared" si="34"/>
        <v>2|15$880001|29</v>
      </c>
      <c r="O34" s="13"/>
      <c r="P34" s="13" t="str">
        <f t="shared" si="35"/>
        <v>2|15$440001|29</v>
      </c>
      <c r="Q34" s="13"/>
      <c r="R34" s="13">
        <f t="shared" si="45"/>
        <v>105856</v>
      </c>
      <c r="S34" s="13">
        <f t="shared" si="46"/>
        <v>2300</v>
      </c>
      <c r="T34" s="13">
        <f t="shared" si="47"/>
        <v>2300</v>
      </c>
      <c r="U34" s="17" t="str">
        <f t="shared" si="36"/>
        <v>10001|105856$10004|2300$10003|2300</v>
      </c>
      <c r="V34" s="13">
        <f t="shared" si="48"/>
        <v>105856</v>
      </c>
      <c r="W34" s="13">
        <f t="shared" si="49"/>
        <v>2300</v>
      </c>
      <c r="X34" s="13">
        <f t="shared" si="50"/>
        <v>2300</v>
      </c>
      <c r="Y34" s="17" t="str">
        <f t="shared" si="37"/>
        <v>10001|105856$10004|2300$10003|2300</v>
      </c>
      <c r="Z34" s="13">
        <f t="shared" si="51"/>
        <v>105856</v>
      </c>
      <c r="AA34" s="13">
        <f t="shared" si="52"/>
        <v>2300</v>
      </c>
      <c r="AB34" s="13">
        <f t="shared" si="53"/>
        <v>2300</v>
      </c>
      <c r="AC34" s="17" t="str">
        <f t="shared" si="38"/>
        <v>10001|105856$10004|2300$10003|2300</v>
      </c>
      <c r="AD34" s="13" t="str">
        <f t="shared" si="39"/>
        <v>2|15$110003|29</v>
      </c>
      <c r="AF34" s="13" t="str">
        <f t="shared" si="40"/>
        <v>2|15$770001|29</v>
      </c>
      <c r="AH34" s="13" t="str">
        <f t="shared" si="41"/>
        <v>2|15$660002|29</v>
      </c>
      <c r="AK34">
        <v>9</v>
      </c>
      <c r="AL34" s="13">
        <f t="shared" si="54"/>
        <v>14712</v>
      </c>
      <c r="AM34">
        <f t="shared" si="55"/>
        <v>2656</v>
      </c>
      <c r="AN34">
        <f t="shared" si="56"/>
        <v>2656</v>
      </c>
      <c r="AP34">
        <f t="shared" si="57"/>
        <v>51568</v>
      </c>
      <c r="AQ34">
        <f t="shared" si="58"/>
        <v>2656</v>
      </c>
      <c r="AR34">
        <f t="shared" si="59"/>
        <v>2656</v>
      </c>
      <c r="AT34">
        <f t="shared" si="60"/>
        <v>118136</v>
      </c>
      <c r="AU34">
        <f t="shared" si="61"/>
        <v>2656</v>
      </c>
      <c r="AV34">
        <f t="shared" si="62"/>
        <v>2656</v>
      </c>
    </row>
    <row r="35" ht="77.1" customHeight="1" spans="1:48">
      <c r="A35" s="13" t="s">
        <v>1143</v>
      </c>
      <c r="B35" s="13" t="s">
        <v>1144</v>
      </c>
      <c r="C35" s="13"/>
      <c r="D35" s="13"/>
      <c r="E35" s="13">
        <v>10</v>
      </c>
      <c r="F35" s="22">
        <f t="shared" si="30"/>
        <v>16</v>
      </c>
      <c r="G35" s="22">
        <f t="shared" si="31"/>
        <v>33</v>
      </c>
      <c r="H35" s="13">
        <f t="shared" si="42"/>
        <v>118213</v>
      </c>
      <c r="I35" s="13">
        <f t="shared" si="43"/>
        <v>2500</v>
      </c>
      <c r="J35" s="13">
        <f t="shared" si="44"/>
        <v>2500</v>
      </c>
      <c r="K35" s="17" t="str">
        <f t="shared" si="32"/>
        <v>10001|118213$10004|2500$10003|2500</v>
      </c>
      <c r="L35" s="13" t="str">
        <f t="shared" si="33"/>
        <v>2|16$110002|33</v>
      </c>
      <c r="M35" s="13"/>
      <c r="N35" s="13" t="str">
        <f t="shared" si="34"/>
        <v>2|16$880001|33</v>
      </c>
      <c r="O35" s="13"/>
      <c r="P35" s="13" t="str">
        <f t="shared" si="35"/>
        <v>2|16$440001|33</v>
      </c>
      <c r="Q35" s="13"/>
      <c r="R35" s="13">
        <f t="shared" si="45"/>
        <v>118213</v>
      </c>
      <c r="S35" s="13">
        <f t="shared" si="46"/>
        <v>2500</v>
      </c>
      <c r="T35" s="13">
        <f t="shared" si="47"/>
        <v>2500</v>
      </c>
      <c r="U35" s="17" t="str">
        <f t="shared" si="36"/>
        <v>10001|118213$10004|2500$10003|2500</v>
      </c>
      <c r="V35" s="13">
        <f t="shared" si="48"/>
        <v>118213</v>
      </c>
      <c r="W35" s="13">
        <f t="shared" si="49"/>
        <v>2500</v>
      </c>
      <c r="X35" s="13">
        <f t="shared" si="50"/>
        <v>2500</v>
      </c>
      <c r="Y35" s="17" t="str">
        <f t="shared" si="37"/>
        <v>10001|118213$10004|2500$10003|2500</v>
      </c>
      <c r="Z35" s="13">
        <f t="shared" si="51"/>
        <v>118213</v>
      </c>
      <c r="AA35" s="13">
        <f t="shared" si="52"/>
        <v>2500</v>
      </c>
      <c r="AB35" s="13">
        <f t="shared" si="53"/>
        <v>2500</v>
      </c>
      <c r="AC35" s="17" t="str">
        <f t="shared" si="38"/>
        <v>10001|118213$10004|2500$10003|2500</v>
      </c>
      <c r="AD35" s="13" t="str">
        <f t="shared" si="39"/>
        <v>2|16$110003|33</v>
      </c>
      <c r="AF35" s="13" t="str">
        <f t="shared" si="40"/>
        <v>2|16$770001|33</v>
      </c>
      <c r="AH35" s="13" t="str">
        <f t="shared" si="41"/>
        <v>2|16$660002|33</v>
      </c>
      <c r="AK35">
        <v>10</v>
      </c>
      <c r="AL35" s="13">
        <f t="shared" si="54"/>
        <v>16426</v>
      </c>
      <c r="AM35">
        <f t="shared" si="55"/>
        <v>2913</v>
      </c>
      <c r="AN35">
        <f t="shared" si="56"/>
        <v>2913</v>
      </c>
      <c r="AP35">
        <f t="shared" si="57"/>
        <v>57639</v>
      </c>
      <c r="AQ35">
        <f t="shared" si="58"/>
        <v>2913</v>
      </c>
      <c r="AR35">
        <f t="shared" si="59"/>
        <v>2913</v>
      </c>
      <c r="AT35">
        <f t="shared" si="60"/>
        <v>131778</v>
      </c>
      <c r="AU35">
        <f t="shared" si="61"/>
        <v>2913</v>
      </c>
      <c r="AV35">
        <f t="shared" si="62"/>
        <v>2913</v>
      </c>
    </row>
    <row r="36" ht="65.1" customHeight="1" spans="1:48">
      <c r="A36" s="13" t="s">
        <v>1145</v>
      </c>
      <c r="B36" s="13" t="s">
        <v>1146</v>
      </c>
      <c r="C36" s="13"/>
      <c r="D36" s="13"/>
      <c r="E36" s="13">
        <v>11</v>
      </c>
      <c r="F36" s="22">
        <f t="shared" si="30"/>
        <v>18</v>
      </c>
      <c r="G36" s="22">
        <f t="shared" si="31"/>
        <v>36</v>
      </c>
      <c r="H36" s="13">
        <f t="shared" si="42"/>
        <v>130570</v>
      </c>
      <c r="I36" s="13">
        <f t="shared" si="43"/>
        <v>2700</v>
      </c>
      <c r="J36" s="13">
        <f t="shared" si="44"/>
        <v>2700</v>
      </c>
      <c r="K36" s="17" t="str">
        <f t="shared" si="32"/>
        <v>10001|130570$10004|2700$10003|2700</v>
      </c>
      <c r="L36" s="13" t="str">
        <f t="shared" si="33"/>
        <v>2|18$110002|36</v>
      </c>
      <c r="M36" s="13"/>
      <c r="N36" s="13" t="str">
        <f t="shared" si="34"/>
        <v>2|18$880001|36</v>
      </c>
      <c r="O36" s="13"/>
      <c r="P36" s="13" t="str">
        <f t="shared" si="35"/>
        <v>2|18$440001|36</v>
      </c>
      <c r="Q36" s="13"/>
      <c r="R36" s="13">
        <f t="shared" si="45"/>
        <v>130570</v>
      </c>
      <c r="S36" s="13">
        <f t="shared" si="46"/>
        <v>2700</v>
      </c>
      <c r="T36" s="13">
        <f t="shared" si="47"/>
        <v>2700</v>
      </c>
      <c r="U36" s="17" t="str">
        <f t="shared" si="36"/>
        <v>10001|130570$10004|2700$10003|2700</v>
      </c>
      <c r="V36" s="13">
        <f t="shared" si="48"/>
        <v>130570</v>
      </c>
      <c r="W36" s="13">
        <f t="shared" si="49"/>
        <v>2700</v>
      </c>
      <c r="X36" s="13">
        <f t="shared" si="50"/>
        <v>2700</v>
      </c>
      <c r="Y36" s="17" t="str">
        <f t="shared" si="37"/>
        <v>10001|130570$10004|2700$10003|2700</v>
      </c>
      <c r="Z36" s="13">
        <f t="shared" si="51"/>
        <v>130570</v>
      </c>
      <c r="AA36" s="13">
        <f t="shared" si="52"/>
        <v>2700</v>
      </c>
      <c r="AB36" s="13">
        <f t="shared" si="53"/>
        <v>2700</v>
      </c>
      <c r="AC36" s="17" t="str">
        <f t="shared" si="38"/>
        <v>10001|130570$10004|2700$10003|2700</v>
      </c>
      <c r="AD36" s="13" t="str">
        <f t="shared" si="39"/>
        <v>2|18$110003|36</v>
      </c>
      <c r="AF36" s="13" t="str">
        <f t="shared" si="40"/>
        <v>2|18$770001|36</v>
      </c>
      <c r="AH36" s="13" t="str">
        <f t="shared" si="41"/>
        <v>2|18$660002|36</v>
      </c>
      <c r="AK36">
        <v>11</v>
      </c>
      <c r="AL36" s="13">
        <f t="shared" si="54"/>
        <v>18140</v>
      </c>
      <c r="AM36">
        <f t="shared" si="55"/>
        <v>3170</v>
      </c>
      <c r="AN36">
        <f t="shared" si="56"/>
        <v>3170</v>
      </c>
      <c r="AP36">
        <f t="shared" si="57"/>
        <v>63710</v>
      </c>
      <c r="AQ36">
        <f t="shared" si="58"/>
        <v>3170</v>
      </c>
      <c r="AR36">
        <f t="shared" si="59"/>
        <v>3170</v>
      </c>
      <c r="AT36">
        <f t="shared" si="60"/>
        <v>145420</v>
      </c>
      <c r="AU36">
        <f t="shared" si="61"/>
        <v>3170</v>
      </c>
      <c r="AV36">
        <f t="shared" si="62"/>
        <v>3170</v>
      </c>
    </row>
    <row r="37" ht="72" customHeight="1" spans="1:48">
      <c r="A37" s="13" t="s">
        <v>1147</v>
      </c>
      <c r="B37" s="13" t="s">
        <v>1148</v>
      </c>
      <c r="C37" s="13"/>
      <c r="D37" s="13"/>
      <c r="E37" s="13">
        <v>12</v>
      </c>
      <c r="F37" s="22">
        <f t="shared" si="30"/>
        <v>20</v>
      </c>
      <c r="G37" s="22">
        <f t="shared" si="31"/>
        <v>40</v>
      </c>
      <c r="H37" s="13">
        <f t="shared" si="42"/>
        <v>142927</v>
      </c>
      <c r="I37" s="13">
        <f t="shared" si="43"/>
        <v>2900</v>
      </c>
      <c r="J37" s="13">
        <f t="shared" si="44"/>
        <v>2900</v>
      </c>
      <c r="K37" s="17" t="str">
        <f t="shared" si="32"/>
        <v>10001|142927$10004|2900$10003|2900</v>
      </c>
      <c r="L37" s="13" t="str">
        <f t="shared" si="33"/>
        <v>2|20$110002|40</v>
      </c>
      <c r="M37" s="13"/>
      <c r="N37" s="13" t="str">
        <f t="shared" si="34"/>
        <v>2|20$880001|40</v>
      </c>
      <c r="O37" s="13"/>
      <c r="P37" s="13" t="str">
        <f t="shared" si="35"/>
        <v>2|20$440001|40</v>
      </c>
      <c r="Q37" s="13"/>
      <c r="R37" s="13">
        <f t="shared" si="45"/>
        <v>142927</v>
      </c>
      <c r="S37" s="13">
        <f t="shared" si="46"/>
        <v>2900</v>
      </c>
      <c r="T37" s="13">
        <f t="shared" si="47"/>
        <v>2900</v>
      </c>
      <c r="U37" s="17" t="str">
        <f t="shared" si="36"/>
        <v>10001|142927$10004|2900$10003|2900</v>
      </c>
      <c r="V37" s="13">
        <f t="shared" si="48"/>
        <v>142927</v>
      </c>
      <c r="W37" s="13">
        <f t="shared" si="49"/>
        <v>2900</v>
      </c>
      <c r="X37" s="13">
        <f t="shared" si="50"/>
        <v>2900</v>
      </c>
      <c r="Y37" s="17" t="str">
        <f t="shared" si="37"/>
        <v>10001|142927$10004|2900$10003|2900</v>
      </c>
      <c r="Z37" s="13">
        <f t="shared" si="51"/>
        <v>142927</v>
      </c>
      <c r="AA37" s="13">
        <f t="shared" si="52"/>
        <v>2900</v>
      </c>
      <c r="AB37" s="13">
        <f t="shared" si="53"/>
        <v>2900</v>
      </c>
      <c r="AC37" s="17" t="str">
        <f t="shared" si="38"/>
        <v>10001|142927$10004|2900$10003|2900</v>
      </c>
      <c r="AD37" s="13" t="str">
        <f t="shared" si="39"/>
        <v>2|20$110003|40</v>
      </c>
      <c r="AF37" s="13" t="str">
        <f t="shared" si="40"/>
        <v>2|20$770001|40</v>
      </c>
      <c r="AH37" s="13" t="str">
        <f t="shared" si="41"/>
        <v>2|20$660002|40</v>
      </c>
      <c r="AK37">
        <v>12</v>
      </c>
      <c r="AL37" s="13">
        <f t="shared" si="54"/>
        <v>19854</v>
      </c>
      <c r="AM37">
        <f t="shared" si="55"/>
        <v>3427</v>
      </c>
      <c r="AN37">
        <f t="shared" si="56"/>
        <v>3427</v>
      </c>
      <c r="AP37">
        <f t="shared" si="57"/>
        <v>69781</v>
      </c>
      <c r="AQ37">
        <f t="shared" si="58"/>
        <v>3427</v>
      </c>
      <c r="AR37">
        <f t="shared" si="59"/>
        <v>3427</v>
      </c>
      <c r="AT37">
        <f t="shared" si="60"/>
        <v>159062</v>
      </c>
      <c r="AU37">
        <f t="shared" si="61"/>
        <v>3427</v>
      </c>
      <c r="AV37">
        <f t="shared" si="62"/>
        <v>3427</v>
      </c>
    </row>
    <row r="38" ht="66" customHeight="1" spans="1:48">
      <c r="A38" s="13" t="s">
        <v>1149</v>
      </c>
      <c r="B38" s="13" t="s">
        <v>1150</v>
      </c>
      <c r="C38" s="13"/>
      <c r="D38" s="13"/>
      <c r="E38" s="13">
        <v>13</v>
      </c>
      <c r="F38" s="22">
        <f t="shared" si="30"/>
        <v>21</v>
      </c>
      <c r="G38" s="22">
        <f t="shared" si="31"/>
        <v>43</v>
      </c>
      <c r="H38" s="13">
        <f t="shared" si="42"/>
        <v>155284</v>
      </c>
      <c r="I38" s="13">
        <f t="shared" si="43"/>
        <v>3100</v>
      </c>
      <c r="J38" s="13">
        <f t="shared" si="44"/>
        <v>3100</v>
      </c>
      <c r="K38" s="17" t="str">
        <f t="shared" si="32"/>
        <v>10001|155284$10004|3100$10003|3100</v>
      </c>
      <c r="L38" s="13" t="str">
        <f t="shared" si="33"/>
        <v>2|21$110002|43</v>
      </c>
      <c r="M38" s="13"/>
      <c r="N38" s="13" t="str">
        <f t="shared" si="34"/>
        <v>2|21$880001|43</v>
      </c>
      <c r="O38" s="13"/>
      <c r="P38" s="13" t="str">
        <f t="shared" si="35"/>
        <v>2|21$440001|43</v>
      </c>
      <c r="Q38" s="13"/>
      <c r="R38" s="13">
        <f t="shared" si="45"/>
        <v>155284</v>
      </c>
      <c r="S38" s="13">
        <f t="shared" si="46"/>
        <v>3100</v>
      </c>
      <c r="T38" s="13">
        <f t="shared" si="47"/>
        <v>3100</v>
      </c>
      <c r="U38" s="17" t="str">
        <f t="shared" si="36"/>
        <v>10001|155284$10004|3100$10003|3100</v>
      </c>
      <c r="V38" s="13">
        <f t="shared" si="48"/>
        <v>155284</v>
      </c>
      <c r="W38" s="13">
        <f t="shared" si="49"/>
        <v>3100</v>
      </c>
      <c r="X38" s="13">
        <f t="shared" si="50"/>
        <v>3100</v>
      </c>
      <c r="Y38" s="17" t="str">
        <f t="shared" si="37"/>
        <v>10001|155284$10004|3100$10003|3100</v>
      </c>
      <c r="Z38" s="13">
        <f t="shared" si="51"/>
        <v>155284</v>
      </c>
      <c r="AA38" s="13">
        <f t="shared" si="52"/>
        <v>3100</v>
      </c>
      <c r="AB38" s="13">
        <f t="shared" si="53"/>
        <v>3100</v>
      </c>
      <c r="AC38" s="17" t="str">
        <f t="shared" si="38"/>
        <v>10001|155284$10004|3100$10003|3100</v>
      </c>
      <c r="AD38" s="13" t="str">
        <f t="shared" si="39"/>
        <v>2|21$110003|43</v>
      </c>
      <c r="AF38" s="13" t="str">
        <f t="shared" si="40"/>
        <v>2|21$770001|43</v>
      </c>
      <c r="AH38" s="13" t="str">
        <f t="shared" si="41"/>
        <v>2|21$660002|43</v>
      </c>
      <c r="AK38">
        <v>13</v>
      </c>
      <c r="AL38" s="13">
        <f t="shared" si="54"/>
        <v>21568</v>
      </c>
      <c r="AM38">
        <f t="shared" si="55"/>
        <v>3684</v>
      </c>
      <c r="AN38">
        <f t="shared" si="56"/>
        <v>3684</v>
      </c>
      <c r="AP38">
        <f t="shared" si="57"/>
        <v>75852</v>
      </c>
      <c r="AQ38">
        <f t="shared" si="58"/>
        <v>3684</v>
      </c>
      <c r="AR38">
        <f t="shared" si="59"/>
        <v>3684</v>
      </c>
      <c r="AT38">
        <f t="shared" si="60"/>
        <v>172704</v>
      </c>
      <c r="AU38">
        <f t="shared" si="61"/>
        <v>3684</v>
      </c>
      <c r="AV38">
        <f t="shared" si="62"/>
        <v>3684</v>
      </c>
    </row>
    <row r="39" ht="83.1" customHeight="1" spans="1:48">
      <c r="A39" s="13" t="s">
        <v>1151</v>
      </c>
      <c r="B39" s="13" t="s">
        <v>1152</v>
      </c>
      <c r="C39" s="13"/>
      <c r="D39" s="13"/>
      <c r="E39" s="13">
        <v>14</v>
      </c>
      <c r="F39" s="22">
        <f t="shared" si="30"/>
        <v>23</v>
      </c>
      <c r="G39" s="22">
        <f t="shared" si="31"/>
        <v>47</v>
      </c>
      <c r="H39" s="13">
        <f t="shared" si="42"/>
        <v>167641</v>
      </c>
      <c r="I39" s="13">
        <f t="shared" si="43"/>
        <v>3300</v>
      </c>
      <c r="J39" s="13">
        <f t="shared" si="44"/>
        <v>3300</v>
      </c>
      <c r="K39" s="17" t="str">
        <f t="shared" si="32"/>
        <v>10001|167641$10004|3300$10003|3300</v>
      </c>
      <c r="L39" s="13" t="str">
        <f t="shared" si="33"/>
        <v>2|23$110002|47</v>
      </c>
      <c r="M39" s="13"/>
      <c r="N39" s="13" t="str">
        <f t="shared" si="34"/>
        <v>2|23$880001|47</v>
      </c>
      <c r="O39" s="13"/>
      <c r="P39" s="13" t="str">
        <f t="shared" si="35"/>
        <v>2|23$440001|47</v>
      </c>
      <c r="Q39" s="13"/>
      <c r="R39" s="13">
        <f t="shared" si="45"/>
        <v>167641</v>
      </c>
      <c r="S39" s="13">
        <f t="shared" si="46"/>
        <v>3300</v>
      </c>
      <c r="T39" s="13">
        <f t="shared" si="47"/>
        <v>3300</v>
      </c>
      <c r="U39" s="17" t="str">
        <f t="shared" si="36"/>
        <v>10001|167641$10004|3300$10003|3300</v>
      </c>
      <c r="V39" s="13">
        <f t="shared" si="48"/>
        <v>167641</v>
      </c>
      <c r="W39" s="13">
        <f t="shared" si="49"/>
        <v>3300</v>
      </c>
      <c r="X39" s="13">
        <f t="shared" si="50"/>
        <v>3300</v>
      </c>
      <c r="Y39" s="17" t="str">
        <f t="shared" si="37"/>
        <v>10001|167641$10004|3300$10003|3300</v>
      </c>
      <c r="Z39" s="13">
        <f t="shared" si="51"/>
        <v>167641</v>
      </c>
      <c r="AA39" s="13">
        <f t="shared" si="52"/>
        <v>3300</v>
      </c>
      <c r="AB39" s="13">
        <f t="shared" si="53"/>
        <v>3300</v>
      </c>
      <c r="AC39" s="17" t="str">
        <f t="shared" si="38"/>
        <v>10001|167641$10004|3300$10003|3300</v>
      </c>
      <c r="AD39" s="13" t="str">
        <f t="shared" si="39"/>
        <v>2|23$110003|47</v>
      </c>
      <c r="AF39" s="13" t="str">
        <f t="shared" si="40"/>
        <v>2|23$770001|47</v>
      </c>
      <c r="AH39" s="13" t="str">
        <f t="shared" si="41"/>
        <v>2|23$660002|47</v>
      </c>
      <c r="AK39">
        <v>14</v>
      </c>
      <c r="AL39" s="13">
        <f t="shared" si="54"/>
        <v>23282</v>
      </c>
      <c r="AM39">
        <f t="shared" si="55"/>
        <v>3941</v>
      </c>
      <c r="AN39">
        <f t="shared" si="56"/>
        <v>3941</v>
      </c>
      <c r="AP39">
        <f t="shared" si="57"/>
        <v>81923</v>
      </c>
      <c r="AQ39">
        <f t="shared" si="58"/>
        <v>3941</v>
      </c>
      <c r="AR39">
        <f t="shared" si="59"/>
        <v>3941</v>
      </c>
      <c r="AT39">
        <f t="shared" si="60"/>
        <v>186346</v>
      </c>
      <c r="AU39">
        <f t="shared" si="61"/>
        <v>3941</v>
      </c>
      <c r="AV39">
        <f t="shared" si="62"/>
        <v>3941</v>
      </c>
    </row>
    <row r="40" ht="54.95" customHeight="1" spans="1:48">
      <c r="A40" s="13" t="s">
        <v>1153</v>
      </c>
      <c r="B40" s="13" t="s">
        <v>1154</v>
      </c>
      <c r="C40" s="13"/>
      <c r="D40" s="13"/>
      <c r="E40" s="13">
        <v>15</v>
      </c>
      <c r="F40" s="22">
        <f t="shared" si="30"/>
        <v>25</v>
      </c>
      <c r="G40" s="22">
        <f t="shared" si="31"/>
        <v>50</v>
      </c>
      <c r="H40" s="13">
        <f t="shared" si="42"/>
        <v>179998</v>
      </c>
      <c r="I40" s="13">
        <f t="shared" si="43"/>
        <v>3500</v>
      </c>
      <c r="J40" s="13">
        <f t="shared" si="44"/>
        <v>3500</v>
      </c>
      <c r="K40" s="17" t="str">
        <f t="shared" si="32"/>
        <v>10001|179998$10004|3500$10003|3500</v>
      </c>
      <c r="L40" s="13" t="str">
        <f t="shared" si="33"/>
        <v>2|25$110002|50</v>
      </c>
      <c r="M40" s="13"/>
      <c r="N40" s="13" t="str">
        <f t="shared" si="34"/>
        <v>2|25$880001|50</v>
      </c>
      <c r="O40" s="13"/>
      <c r="P40" s="13" t="str">
        <f t="shared" si="35"/>
        <v>2|25$440001|50</v>
      </c>
      <c r="Q40" s="13"/>
      <c r="R40" s="13">
        <f t="shared" si="45"/>
        <v>179998</v>
      </c>
      <c r="S40" s="13">
        <f t="shared" si="46"/>
        <v>3500</v>
      </c>
      <c r="T40" s="13">
        <f t="shared" si="47"/>
        <v>3500</v>
      </c>
      <c r="U40" s="17" t="str">
        <f t="shared" si="36"/>
        <v>10001|179998$10004|3500$10003|3500</v>
      </c>
      <c r="V40" s="13">
        <f t="shared" si="48"/>
        <v>179998</v>
      </c>
      <c r="W40" s="13">
        <f t="shared" si="49"/>
        <v>3500</v>
      </c>
      <c r="X40" s="13">
        <f t="shared" si="50"/>
        <v>3500</v>
      </c>
      <c r="Y40" s="17" t="str">
        <f t="shared" si="37"/>
        <v>10001|179998$10004|3500$10003|3500</v>
      </c>
      <c r="Z40" s="13">
        <f t="shared" si="51"/>
        <v>179998</v>
      </c>
      <c r="AA40" s="13">
        <f t="shared" si="52"/>
        <v>3500</v>
      </c>
      <c r="AB40" s="13">
        <f t="shared" si="53"/>
        <v>3500</v>
      </c>
      <c r="AC40" s="17" t="str">
        <f t="shared" si="38"/>
        <v>10001|179998$10004|3500$10003|3500</v>
      </c>
      <c r="AD40" s="13" t="str">
        <f t="shared" si="39"/>
        <v>2|25$110003|50</v>
      </c>
      <c r="AF40" s="13" t="str">
        <f t="shared" si="40"/>
        <v>2|25$770001|50</v>
      </c>
      <c r="AH40" s="13" t="str">
        <f t="shared" si="41"/>
        <v>2|25$660002|50</v>
      </c>
      <c r="AK40">
        <v>15</v>
      </c>
      <c r="AL40" s="13">
        <f t="shared" si="54"/>
        <v>24996</v>
      </c>
      <c r="AM40">
        <f t="shared" si="55"/>
        <v>4198</v>
      </c>
      <c r="AN40">
        <f t="shared" si="56"/>
        <v>4198</v>
      </c>
      <c r="AP40">
        <f t="shared" si="57"/>
        <v>87994</v>
      </c>
      <c r="AQ40">
        <f t="shared" si="58"/>
        <v>4198</v>
      </c>
      <c r="AR40">
        <f t="shared" si="59"/>
        <v>4198</v>
      </c>
      <c r="AT40">
        <f t="shared" si="60"/>
        <v>199988</v>
      </c>
      <c r="AU40">
        <f t="shared" si="61"/>
        <v>4198</v>
      </c>
      <c r="AV40">
        <f t="shared" si="62"/>
        <v>4198</v>
      </c>
    </row>
    <row r="41" spans="1:48">
      <c r="H41">
        <v>0.6</v>
      </c>
    </row>
  </sheetData>
  <conditionalFormatting sqref="D1:D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workbookViewId="0">
      <selection activeCell="K6" sqref="K6"/>
    </sheetView>
  </sheetViews>
  <sheetFormatPr defaultColWidth="9" defaultRowHeight="13.5" outlineLevelRow="5"/>
  <cols>
    <col min="1" max="4" width="9" style="13" customWidth="1"/>
    <col min="5" max="5" width="34.125" style="13" customWidth="1"/>
    <col min="6" max="10" width="9" style="13" customWidth="1"/>
    <col min="11" max="11" width="10.625" style="13" customWidth="1"/>
    <col min="12" max="16384" width="9" style="13" customWidth="1"/>
  </cols>
  <sheetData>
    <row r="1" spans="1:25">
      <c r="B1" s="13" t="s">
        <v>1067</v>
      </c>
      <c r="C1" s="13" t="s">
        <v>1068</v>
      </c>
      <c r="D1" s="13" t="s">
        <v>1069</v>
      </c>
    </row>
    <row r="2" spans="1:25">
      <c r="B2" s="13">
        <v>10001</v>
      </c>
      <c r="C2" s="13">
        <v>10004</v>
      </c>
      <c r="D2" s="13">
        <v>10003</v>
      </c>
    </row>
    <row r="3" ht="27" customHeight="1" spans="1:25">
      <c r="A3" s="13" t="s">
        <v>1157</v>
      </c>
      <c r="F3" s="13" t="s">
        <v>1158</v>
      </c>
      <c r="K3" s="13" t="s">
        <v>1159</v>
      </c>
      <c r="P3" s="13" t="s">
        <v>1160</v>
      </c>
      <c r="U3" s="13" t="s">
        <v>1161</v>
      </c>
    </row>
    <row r="4" ht="67.5" customHeight="1" spans="1:25">
      <c r="A4" s="13">
        <v>1</v>
      </c>
      <c r="B4" s="14">
        <v>2900</v>
      </c>
      <c r="C4" s="14">
        <v>580</v>
      </c>
      <c r="D4" s="15">
        <v>580</v>
      </c>
      <c r="E4" s="13" t="str">
        <f>$B$2&amp;"|"&amp;B4&amp;"$"&amp;$C$2&amp;"|"&amp;C4&amp;"$"&amp;$D$2&amp;"|"&amp;D4</f>
        <v>10001|2900$10004|580$10003|580</v>
      </c>
      <c r="F4" s="13">
        <v>1</v>
      </c>
      <c r="G4" s="14">
        <v>5900</v>
      </c>
      <c r="H4" s="14">
        <v>1180</v>
      </c>
      <c r="I4" s="15">
        <v>1180</v>
      </c>
      <c r="J4" s="13" t="str">
        <f>$B$2&amp;"|"&amp;G4&amp;"$"&amp;$C$2&amp;"|"&amp;H4&amp;"$"&amp;$D$2&amp;"|"&amp;I4</f>
        <v>10001|5900$10004|1180$10003|1180</v>
      </c>
      <c r="K4" s="13">
        <v>1</v>
      </c>
      <c r="L4" s="14">
        <v>8900</v>
      </c>
      <c r="M4" s="14">
        <v>1780</v>
      </c>
      <c r="N4" s="15">
        <v>1780</v>
      </c>
      <c r="O4" s="13" t="str">
        <f>$B$2&amp;"|"&amp;L4&amp;"$"&amp;$C$2&amp;"|"&amp;M4&amp;"$"&amp;$D$2&amp;"|"&amp;N4</f>
        <v>10001|8900$10004|1780$10003|1780</v>
      </c>
      <c r="P4" s="13">
        <v>1</v>
      </c>
      <c r="Q4" s="14">
        <v>11900</v>
      </c>
      <c r="R4" s="14">
        <v>2380</v>
      </c>
      <c r="S4" s="15">
        <v>2380</v>
      </c>
      <c r="T4" s="13" t="str">
        <f>$B$2&amp;"|"&amp;Q4&amp;"$"&amp;$C$2&amp;"|"&amp;R4&amp;"$"&amp;$D$2&amp;"|"&amp;S4</f>
        <v>10001|11900$10004|2380$10003|2380</v>
      </c>
      <c r="U4" s="13">
        <v>1</v>
      </c>
      <c r="V4" s="14">
        <v>14900</v>
      </c>
      <c r="W4" s="14">
        <v>2980</v>
      </c>
      <c r="X4" s="15">
        <v>2980</v>
      </c>
      <c r="Y4" s="13" t="str">
        <f>$B$2&amp;"|"&amp;V4&amp;"$"&amp;$C$2&amp;"|"&amp;W4&amp;"$"&amp;$D$2&amp;"|"&amp;X4</f>
        <v>10001|14900$10004|2980$10003|2980</v>
      </c>
    </row>
    <row r="5" ht="67.5" customHeight="1" spans="1:25">
      <c r="A5" s="13">
        <v>2</v>
      </c>
      <c r="B5" s="13">
        <v>3900</v>
      </c>
      <c r="C5" s="13">
        <v>780</v>
      </c>
      <c r="D5" s="13">
        <v>780</v>
      </c>
      <c r="E5" s="13" t="str">
        <f>$B$2&amp;"|"&amp;B5&amp;"$"&amp;$C$2&amp;"|"&amp;C5&amp;"$"&amp;$D$2&amp;"|"&amp;D5</f>
        <v>10001|3900$10004|780$10003|780</v>
      </c>
      <c r="F5" s="13">
        <v>2</v>
      </c>
      <c r="G5" s="13">
        <v>6900</v>
      </c>
      <c r="H5" s="13">
        <v>1380</v>
      </c>
      <c r="I5" s="13">
        <v>1380</v>
      </c>
      <c r="J5" s="13" t="str">
        <f>$B$2&amp;"|"&amp;G5&amp;"$"&amp;$C$2&amp;"|"&amp;H5&amp;"$"&amp;$D$2&amp;"|"&amp;I5</f>
        <v>10001|6900$10004|1380$10003|1380</v>
      </c>
      <c r="K5" s="13">
        <v>2</v>
      </c>
      <c r="L5" s="13">
        <v>9900</v>
      </c>
      <c r="M5" s="13">
        <v>1980</v>
      </c>
      <c r="N5" s="13">
        <v>1980</v>
      </c>
      <c r="O5" s="13" t="str">
        <f>$B$2&amp;"|"&amp;L5&amp;"$"&amp;$C$2&amp;"|"&amp;M5&amp;"$"&amp;$D$2&amp;"|"&amp;N5</f>
        <v>10001|9900$10004|1980$10003|1980</v>
      </c>
      <c r="P5" s="13">
        <v>2</v>
      </c>
      <c r="Q5" s="13">
        <v>12900</v>
      </c>
      <c r="R5" s="13">
        <v>2580</v>
      </c>
      <c r="S5" s="13">
        <v>2580</v>
      </c>
      <c r="T5" s="13" t="str">
        <f>$B$2&amp;"|"&amp;Q5&amp;"$"&amp;$C$2&amp;"|"&amp;R5&amp;"$"&amp;$D$2&amp;"|"&amp;S5</f>
        <v>10001|12900$10004|2580$10003|2580</v>
      </c>
      <c r="U5" s="13">
        <v>2</v>
      </c>
      <c r="V5" s="13">
        <v>15900</v>
      </c>
      <c r="W5" s="13">
        <v>3180</v>
      </c>
      <c r="X5" s="13">
        <v>3180</v>
      </c>
      <c r="Y5" s="13" t="str">
        <f>$B$2&amp;"|"&amp;V5&amp;"$"&amp;$C$2&amp;"|"&amp;W5&amp;"$"&amp;$D$2&amp;"|"&amp;X5</f>
        <v>10001|15900$10004|3180$10003|3180</v>
      </c>
    </row>
    <row r="6" ht="67.5" customHeight="1" spans="1:25">
      <c r="A6" s="13">
        <v>3</v>
      </c>
      <c r="B6" s="13">
        <v>4900</v>
      </c>
      <c r="C6" s="13">
        <v>980</v>
      </c>
      <c r="D6" s="13">
        <v>980</v>
      </c>
      <c r="E6" s="13" t="str">
        <f>$B$2&amp;"|"&amp;B6&amp;"$"&amp;$C$2&amp;"|"&amp;C6&amp;"$"&amp;$D$2&amp;"|"&amp;D6</f>
        <v>10001|4900$10004|980$10003|980</v>
      </c>
      <c r="F6" s="13">
        <v>3</v>
      </c>
      <c r="G6" s="13">
        <v>7900</v>
      </c>
      <c r="H6" s="13">
        <v>1580</v>
      </c>
      <c r="I6" s="13">
        <v>1580</v>
      </c>
      <c r="J6" s="13" t="str">
        <f>$B$2&amp;"|"&amp;G6&amp;"$"&amp;$C$2&amp;"|"&amp;H6&amp;"$"&amp;$D$2&amp;"|"&amp;I6</f>
        <v>10001|7900$10004|1580$10003|1580</v>
      </c>
      <c r="K6" s="13">
        <v>3</v>
      </c>
      <c r="L6" s="13">
        <v>10900</v>
      </c>
      <c r="M6" s="13">
        <v>2180</v>
      </c>
      <c r="N6" s="13">
        <v>2180</v>
      </c>
      <c r="O6" s="13" t="str">
        <f>$B$2&amp;"|"&amp;L6&amp;"$"&amp;$C$2&amp;"|"&amp;M6&amp;"$"&amp;$D$2&amp;"|"&amp;N6</f>
        <v>10001|10900$10004|2180$10003|2180</v>
      </c>
      <c r="P6" s="13">
        <v>3</v>
      </c>
      <c r="Q6" s="13">
        <v>13900</v>
      </c>
      <c r="R6" s="13">
        <v>2780</v>
      </c>
      <c r="S6" s="13">
        <v>2780</v>
      </c>
      <c r="T6" s="13" t="str">
        <f>$B$2&amp;"|"&amp;Q6&amp;"$"&amp;$C$2&amp;"|"&amp;R6&amp;"$"&amp;$D$2&amp;"|"&amp;S6</f>
        <v>10001|13900$10004|2780$10003|2780</v>
      </c>
      <c r="U6" s="13">
        <v>3</v>
      </c>
      <c r="V6" s="13">
        <v>16900</v>
      </c>
      <c r="W6" s="13">
        <v>3380</v>
      </c>
      <c r="X6" s="13">
        <v>3380</v>
      </c>
      <c r="Y6" s="13" t="str">
        <f>$B$2&amp;"|"&amp;V6&amp;"$"&amp;$C$2&amp;"|"&amp;W6&amp;"$"&amp;$D$2&amp;"|"&amp;X6</f>
        <v>10001|16900$10004|3380$10003|3380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501"/>
  <sheetViews>
    <sheetView topLeftCell="AU1" workbookViewId="0">
      <selection activeCell="BG6" sqref="BG6"/>
    </sheetView>
  </sheetViews>
  <sheetFormatPr defaultColWidth="9" defaultRowHeight="13.5"/>
  <cols>
    <col min="1" max="1" width="10.125" style="2" customWidth="1"/>
    <col min="5" max="5" width="18.125" style="2" customWidth="1"/>
    <col min="6" max="6" width="15.75" style="2" customWidth="1"/>
    <col min="7" max="7" width="13.875" style="2" customWidth="1"/>
    <col min="8" max="8" width="10.25" style="2" customWidth="1"/>
    <col min="9" max="9" width="11.125" style="2" customWidth="1"/>
    <col min="10" max="11" width="14.75" style="2" customWidth="1"/>
    <col min="12" max="13" width="13.5" style="2" customWidth="1"/>
    <col min="14" max="14" width="9.375" style="2" customWidth="1"/>
    <col min="15" max="15" width="9.625" style="2" customWidth="1"/>
    <col min="16" max="16" width="10" style="2" customWidth="1"/>
    <col min="25" max="26" width="12" style="2" customWidth="1"/>
    <col min="27" max="27" width="14.625" style="2" customWidth="1"/>
    <col min="28" max="28" width="11.25" style="2" customWidth="1"/>
    <col min="29" max="29" width="11.875" style="2" customWidth="1"/>
    <col min="30" max="30" width="11.5" style="2" customWidth="1"/>
    <col min="31" max="34" width="12" style="2" customWidth="1"/>
    <col min="35" max="35" width="12.125" style="2" customWidth="1"/>
    <col min="36" max="36" width="11.625" style="2" customWidth="1"/>
    <col min="37" max="37" width="12.125" style="2" customWidth="1"/>
    <col min="38" max="38" width="16.125" style="2" customWidth="1"/>
    <col min="39" max="39" width="12.125" style="2" customWidth="1"/>
    <col min="40" max="40" width="10.625" style="2" customWidth="1"/>
    <col min="41" max="41" width="12.125" style="2" customWidth="1"/>
    <col min="42" max="42" width="16" style="2" customWidth="1"/>
    <col min="43" max="47" width="13" style="2" customWidth="1"/>
    <col min="48" max="48" width="18.125" style="2" customWidth="1"/>
    <col min="49" max="49" width="13" style="2" customWidth="1"/>
    <col min="50" max="52" width="13" style="3" customWidth="1"/>
    <col min="53" max="53" width="18.25" style="3" customWidth="1"/>
    <col min="54" max="54" width="17.625" style="3" customWidth="1"/>
    <col min="55" max="55" width="18.625" style="3" customWidth="1"/>
    <col min="56" max="61" width="18.625" style="4" customWidth="1"/>
    <col min="62" max="63" width="18.625" style="3" customWidth="1"/>
    <col min="93" max="93" width="9.375" style="2" customWidth="1"/>
  </cols>
  <sheetData>
    <row r="1" spans="1:98">
      <c r="B1" t="s">
        <v>1067</v>
      </c>
      <c r="C1" t="s">
        <v>1068</v>
      </c>
      <c r="D1" t="s">
        <v>1069</v>
      </c>
      <c r="E1" s="5" t="s">
        <v>1162</v>
      </c>
      <c r="F1" s="5" t="s">
        <v>1163</v>
      </c>
      <c r="G1" s="5" t="s">
        <v>1164</v>
      </c>
      <c r="H1" s="5" t="s">
        <v>1165</v>
      </c>
      <c r="I1" s="5" t="s">
        <v>1166</v>
      </c>
      <c r="J1" s="5" t="s">
        <v>1167</v>
      </c>
      <c r="K1" s="5" t="s">
        <v>1168</v>
      </c>
      <c r="L1" s="5" t="s">
        <v>1169</v>
      </c>
      <c r="M1" s="5" t="s">
        <v>1166</v>
      </c>
      <c r="N1" s="5" t="s">
        <v>1170</v>
      </c>
      <c r="O1" s="5" t="s">
        <v>1171</v>
      </c>
      <c r="P1" s="5" t="s">
        <v>1172</v>
      </c>
      <c r="Q1" t="s">
        <v>1173</v>
      </c>
      <c r="R1" t="s">
        <v>1072</v>
      </c>
      <c r="S1" t="s">
        <v>1174</v>
      </c>
      <c r="T1" s="5" t="s">
        <v>1175</v>
      </c>
      <c r="U1" s="5" t="s">
        <v>1176</v>
      </c>
      <c r="V1" s="5" t="s">
        <v>1177</v>
      </c>
      <c r="W1" s="5" t="s">
        <v>1178</v>
      </c>
      <c r="X1" s="5" t="s">
        <v>1179</v>
      </c>
      <c r="Y1" s="5" t="s">
        <v>1180</v>
      </c>
      <c r="Z1" s="5" t="s">
        <v>1181</v>
      </c>
      <c r="AA1" s="5" t="s">
        <v>1182</v>
      </c>
      <c r="AB1" s="5" t="s">
        <v>1183</v>
      </c>
      <c r="AC1" s="5" t="s">
        <v>1184</v>
      </c>
      <c r="AD1" s="5" t="s">
        <v>1185</v>
      </c>
      <c r="AE1" s="5" t="s">
        <v>1186</v>
      </c>
      <c r="AF1" s="5" t="s">
        <v>1187</v>
      </c>
      <c r="AG1" s="5" t="s">
        <v>1188</v>
      </c>
      <c r="AH1" s="5" t="s">
        <v>1189</v>
      </c>
      <c r="AI1" s="5" t="s">
        <v>1190</v>
      </c>
      <c r="AJ1" s="5" t="s">
        <v>1191</v>
      </c>
      <c r="AK1" s="5" t="s">
        <v>1192</v>
      </c>
      <c r="AL1" s="5" t="s">
        <v>1193</v>
      </c>
      <c r="AM1" s="5" t="s">
        <v>1194</v>
      </c>
      <c r="AN1" s="5" t="s">
        <v>1195</v>
      </c>
      <c r="AO1" s="5" t="s">
        <v>1196</v>
      </c>
      <c r="AP1" s="5" t="s">
        <v>1197</v>
      </c>
      <c r="AQ1" s="5" t="s">
        <v>1198</v>
      </c>
      <c r="AR1" s="5" t="s">
        <v>1199</v>
      </c>
      <c r="AS1" s="5" t="s">
        <v>1200</v>
      </c>
      <c r="AT1" s="5" t="s">
        <v>1201</v>
      </c>
      <c r="AU1" s="5" t="s">
        <v>1202</v>
      </c>
      <c r="AV1" s="5" t="s">
        <v>1203</v>
      </c>
      <c r="AW1" s="5" t="s">
        <v>1204</v>
      </c>
      <c r="AX1" s="6" t="s">
        <v>1205</v>
      </c>
      <c r="AY1" s="6" t="s">
        <v>1206</v>
      </c>
      <c r="AZ1" s="6" t="s">
        <v>1207</v>
      </c>
      <c r="BA1" s="6" t="s">
        <v>1208</v>
      </c>
      <c r="BB1" s="6" t="s">
        <v>1209</v>
      </c>
      <c r="BC1" s="6" t="s">
        <v>1210</v>
      </c>
      <c r="BD1" s="7" t="s">
        <v>1211</v>
      </c>
      <c r="BE1" s="7" t="s">
        <v>1212</v>
      </c>
      <c r="BF1" s="7" t="s">
        <v>1213</v>
      </c>
      <c r="BG1" s="7" t="s">
        <v>1214</v>
      </c>
      <c r="BH1" s="7" t="s">
        <v>1215</v>
      </c>
      <c r="BI1" s="7" t="s">
        <v>1216</v>
      </c>
      <c r="BJ1" s="6"/>
      <c r="BK1" s="6"/>
      <c r="BL1" t="s">
        <v>1217</v>
      </c>
      <c r="BT1" t="s">
        <v>1218</v>
      </c>
      <c r="BZ1" t="s">
        <v>1219</v>
      </c>
      <c r="CG1" t="s">
        <v>1220</v>
      </c>
      <c r="CN1" t="s">
        <v>1221</v>
      </c>
    </row>
    <row r="2" spans="1:98">
      <c r="A2" s="8">
        <v>1</v>
      </c>
      <c r="B2" s="8">
        <v>2000</v>
      </c>
      <c r="C2" s="8">
        <v>400</v>
      </c>
      <c r="D2" s="8">
        <v>400</v>
      </c>
      <c r="E2" s="8">
        <f t="shared" ref="E2:E65" si="0">(A2*100+250)*I2</f>
        <v>175</v>
      </c>
      <c r="F2" s="8">
        <f t="shared" ref="F2:F65" si="1">E2/5</f>
        <v>35</v>
      </c>
      <c r="G2" s="8">
        <f t="shared" ref="G2:G65" si="2">E2/5</f>
        <v>35</v>
      </c>
      <c r="H2" s="8"/>
      <c r="I2" s="8">
        <v>0.5</v>
      </c>
      <c r="J2" s="8">
        <f t="shared" ref="J2:J65" si="3">(0.54*B2)*M2</f>
        <v>0</v>
      </c>
      <c r="K2" s="8">
        <f t="shared" ref="K2:K65" si="4">J2/5</f>
        <v>0</v>
      </c>
      <c r="L2" s="8">
        <f t="shared" ref="L2:L65" si="5">J2/5</f>
        <v>0</v>
      </c>
      <c r="M2" s="8">
        <v>0</v>
      </c>
      <c r="N2" s="8">
        <f t="shared" ref="N2:N65" si="6">B2+E2+J2</f>
        <v>2175</v>
      </c>
      <c r="O2" s="8">
        <f t="shared" ref="O2:O65" si="7">C2+F2+K2</f>
        <v>435</v>
      </c>
      <c r="P2" s="8">
        <f t="shared" ref="P2:P65" si="8">D2+G2+L2</f>
        <v>435</v>
      </c>
      <c r="Q2" s="8">
        <v>5</v>
      </c>
      <c r="R2" s="8">
        <v>10</v>
      </c>
      <c r="S2" s="8">
        <v>0</v>
      </c>
      <c r="T2" s="8">
        <v>0</v>
      </c>
      <c r="U2" s="8">
        <v>0</v>
      </c>
      <c r="V2" s="8">
        <f t="shared" ref="V2:V65" si="9">N2*(1+U2)*(1+S2*0.01)*(1+T2*0.01)*(1+Q2*0.01*(1+R2*0.01))</f>
        <v>2294.625</v>
      </c>
      <c r="W2" s="8">
        <f t="shared" ref="W2:W65" si="10">O2</f>
        <v>435</v>
      </c>
      <c r="X2" s="8">
        <f t="shared" ref="X2:X65" si="11">P2</f>
        <v>435</v>
      </c>
      <c r="Y2" s="8">
        <f t="shared" ref="Y2:Y65" si="12">(P2*P2/(P2+W2))*(1+U2)*(1+S2*0.01)*(1+T2*0.01)*(1+Q2*0.01*(1+R2*0.01))</f>
        <v>229.4625</v>
      </c>
      <c r="Z2" s="8">
        <f t="shared" ref="Z2:Z65" si="13">V2/Y2</f>
        <v>10</v>
      </c>
      <c r="AA2">
        <f t="shared" ref="AA2:AA65" si="14">X2*X2/(X2+O2)</f>
        <v>217.5</v>
      </c>
      <c r="AB2">
        <f t="shared" ref="AB2:AB65" si="15">N2/AA2</f>
        <v>10</v>
      </c>
      <c r="AC2">
        <f t="shared" ref="AC2:AC65" si="16">V2/$V$2</f>
        <v>1</v>
      </c>
      <c r="AD2">
        <f t="shared" ref="AD2:AD65" si="17">W2/$W$2</f>
        <v>1</v>
      </c>
      <c r="AE2">
        <f t="shared" ref="AE2:AE65" si="18">X2/$X$2</f>
        <v>1</v>
      </c>
      <c r="AF2">
        <f>$AL17*V2/3</f>
        <v>3441.9375</v>
      </c>
      <c r="AG2">
        <f>$AL17*W2</f>
        <v>1957.5</v>
      </c>
      <c r="AH2">
        <f>$AL17*X2*0.5</f>
        <v>978.75</v>
      </c>
      <c r="AI2">
        <f t="shared" ref="AI2:AI65" si="19">AF2/Y2</f>
        <v>15</v>
      </c>
      <c r="AJ2">
        <f t="shared" ref="AJ2:AJ65" si="20">AH2*AH2/(AH2+O2)</f>
        <v>677.596153846154</v>
      </c>
      <c r="AK2">
        <f t="shared" ref="AK2:AK65" si="21">N2/AJ2</f>
        <v>3.20987654320988</v>
      </c>
      <c r="AL2">
        <f>V2</f>
        <v>2294.625</v>
      </c>
      <c r="AM2">
        <f>W2</f>
        <v>435</v>
      </c>
      <c r="AN2">
        <f>X2*0.5</f>
        <v>217.5</v>
      </c>
      <c r="AO2">
        <f>AL2/Y2</f>
        <v>10</v>
      </c>
      <c r="AP2">
        <f>AN2*AN2/(AN2+O2)</f>
        <v>72.5</v>
      </c>
      <c r="AQ2">
        <f>N2/AP2</f>
        <v>30</v>
      </c>
      <c r="AR2">
        <f>V2*2</f>
        <v>4589.25</v>
      </c>
      <c r="AS2">
        <f>W2</f>
        <v>435</v>
      </c>
      <c r="AT2">
        <f>X2*0.65</f>
        <v>282.75</v>
      </c>
      <c r="AU2">
        <f>AR2/Y2</f>
        <v>20</v>
      </c>
      <c r="AV2">
        <f>AT2*AT2/(AT2+O2)</f>
        <v>111.386363636364</v>
      </c>
      <c r="AW2">
        <f>N2/AV2</f>
        <v>19.5266272189348</v>
      </c>
      <c r="AX2" s="3">
        <f>V2*4</f>
        <v>9178.5</v>
      </c>
      <c r="AY2" s="3">
        <f>W2</f>
        <v>435</v>
      </c>
      <c r="AZ2" s="3">
        <f>X2</f>
        <v>435</v>
      </c>
      <c r="BA2" s="3">
        <f>AX2/Y2</f>
        <v>40</v>
      </c>
      <c r="BB2" s="3">
        <f>AZ2*AZ2/(AZ2+O2)</f>
        <v>217.5</v>
      </c>
      <c r="BC2" s="3">
        <f>N2/BB2</f>
        <v>10</v>
      </c>
      <c r="BD2" s="4">
        <f>V2*4</f>
        <v>9178.5</v>
      </c>
      <c r="BE2" s="4">
        <f>W2</f>
        <v>435</v>
      </c>
      <c r="BF2" s="4">
        <f>X2*0.89</f>
        <v>387.15</v>
      </c>
      <c r="BG2" s="4">
        <f>BD2/Y2</f>
        <v>40</v>
      </c>
      <c r="BH2" s="4">
        <f>BF2*BF2/(BF2+O2)</f>
        <v>182.30873015873</v>
      </c>
      <c r="BI2" s="4">
        <f>N2/BH2</f>
        <v>11.9303118293145</v>
      </c>
      <c r="BM2">
        <v>1</v>
      </c>
      <c r="BN2">
        <f t="shared" ref="BN2:BN65" si="22">29*BM2+1971</f>
        <v>2000</v>
      </c>
      <c r="BO2">
        <f t="shared" ref="BO2:BO65" si="23">5.8*BM2+394</f>
        <v>399.8</v>
      </c>
      <c r="BP2">
        <f>5.8*BM2+394</f>
        <v>399.8</v>
      </c>
      <c r="BQ2">
        <f t="shared" ref="BQ2:BQ65" si="24">0.1*BM2+4.9</f>
        <v>5</v>
      </c>
      <c r="BR2">
        <f t="shared" ref="BR2:BR65" si="25">0.2*BM2+9.8</f>
        <v>10</v>
      </c>
      <c r="BS2">
        <f t="shared" ref="BS2:BS65" si="26">0.18*BM2-0.18</f>
        <v>0</v>
      </c>
      <c r="BT2">
        <v>1</v>
      </c>
      <c r="BU2">
        <f t="shared" ref="BU2:BU65" si="27">14.6*BT2+4985</f>
        <v>4999.6</v>
      </c>
      <c r="BV2">
        <f t="shared" ref="BV2:BV65" si="28">2.92*BT2+997</f>
        <v>999.92</v>
      </c>
      <c r="BW2">
        <f>2.92*BT2+997</f>
        <v>999.92</v>
      </c>
      <c r="BX2">
        <f t="shared" ref="BX2:BX65" si="29">0.05*BT2+19.95</f>
        <v>20</v>
      </c>
      <c r="BY2">
        <f t="shared" ref="BY2:BY65" si="30">0.1*BT2+40</f>
        <v>40.1</v>
      </c>
      <c r="BZ2">
        <v>1</v>
      </c>
      <c r="CA2">
        <f t="shared" ref="CA2:CA65" si="31">9.3*BZ2+7990.7</f>
        <v>8000</v>
      </c>
      <c r="CB2">
        <f t="shared" ref="CB2:CB65" si="32">1.86*BZ2+1598</f>
        <v>1599.86</v>
      </c>
      <c r="CC2">
        <f>1.86*BZ2+1598</f>
        <v>1599.86</v>
      </c>
      <c r="CD2">
        <f t="shared" ref="CD2:CD65" si="33">0.033*BZ2+34.967</f>
        <v>35</v>
      </c>
      <c r="CE2">
        <f t="shared" ref="CE2:CE65" si="34">0.066*BZ2+70</f>
        <v>70.066</v>
      </c>
      <c r="CF2">
        <f t="shared" ref="CF2:CF65" si="35">0.06*BZ2+37.94</f>
        <v>38</v>
      </c>
      <c r="CG2">
        <v>1</v>
      </c>
      <c r="CH2">
        <f t="shared" ref="CH2:CH65" si="36">7*CG2+10993</f>
        <v>11000</v>
      </c>
      <c r="CI2">
        <f t="shared" ref="CI2:CI65" si="37">1.4*CG2+2198</f>
        <v>2199.4</v>
      </c>
      <c r="CJ2">
        <f>1.4*CG2+2198</f>
        <v>2199.4</v>
      </c>
      <c r="CK2">
        <f t="shared" ref="CK2:CK65" si="38">0.025*CG2+44.975</f>
        <v>45</v>
      </c>
      <c r="CL2">
        <f t="shared" ref="CL2:CL65" si="39">0.05*CG2+90</f>
        <v>90.05</v>
      </c>
      <c r="CM2">
        <f t="shared" ref="CM2:CM65" si="40">0.047*CG2+57.953</f>
        <v>58</v>
      </c>
      <c r="CN2">
        <v>1</v>
      </c>
      <c r="CO2">
        <f t="shared" ref="CO2:CO65" si="41">5.6*CN2+13994</f>
        <v>13999.6</v>
      </c>
      <c r="CP2">
        <f t="shared" ref="CP2:CP65" si="42">1.12*CN2+2800</f>
        <v>2801.12</v>
      </c>
      <c r="CQ2">
        <f>1.12*CN2+2800</f>
        <v>2801.12</v>
      </c>
      <c r="CR2">
        <f t="shared" ref="CR2:CR65" si="43">0.02*CN2+60</f>
        <v>60.02</v>
      </c>
      <c r="CS2">
        <f t="shared" ref="CS2:CS65" si="44">0.04*CN2+120</f>
        <v>120.04</v>
      </c>
      <c r="CT2">
        <f t="shared" ref="CT2:CT65" si="45">0.038*CN2+78</f>
        <v>78.038</v>
      </c>
    </row>
    <row r="3" spans="1:98">
      <c r="A3" s="8">
        <v>2</v>
      </c>
      <c r="B3" s="8">
        <v>2100</v>
      </c>
      <c r="C3" s="8">
        <v>420</v>
      </c>
      <c r="D3" s="8">
        <v>420</v>
      </c>
      <c r="E3" s="8">
        <f t="shared" si="0"/>
        <v>225</v>
      </c>
      <c r="F3" s="8">
        <f t="shared" si="1"/>
        <v>45</v>
      </c>
      <c r="G3" s="8">
        <f t="shared" si="2"/>
        <v>45</v>
      </c>
      <c r="H3" s="8"/>
      <c r="I3" s="8">
        <v>0.5</v>
      </c>
      <c r="J3" s="8">
        <f t="shared" si="3"/>
        <v>0</v>
      </c>
      <c r="K3" s="8">
        <f t="shared" si="4"/>
        <v>0</v>
      </c>
      <c r="L3" s="8">
        <f t="shared" si="5"/>
        <v>0</v>
      </c>
      <c r="M3" s="8">
        <v>0</v>
      </c>
      <c r="N3" s="8">
        <f t="shared" si="6"/>
        <v>2325</v>
      </c>
      <c r="O3" s="8">
        <f t="shared" si="7"/>
        <v>465</v>
      </c>
      <c r="P3" s="8">
        <f t="shared" si="8"/>
        <v>465</v>
      </c>
      <c r="Q3" s="8">
        <v>5</v>
      </c>
      <c r="R3" s="8">
        <v>10</v>
      </c>
      <c r="S3" s="8">
        <v>0</v>
      </c>
      <c r="T3" s="8">
        <v>0.08</v>
      </c>
      <c r="U3" s="8">
        <v>0.0028</v>
      </c>
      <c r="V3" s="8">
        <f t="shared" si="9"/>
        <v>2461.71084444</v>
      </c>
      <c r="W3" s="8">
        <f t="shared" si="10"/>
        <v>465</v>
      </c>
      <c r="X3" s="8">
        <f t="shared" si="11"/>
        <v>465</v>
      </c>
      <c r="Y3" s="8">
        <f t="shared" si="12"/>
        <v>246.171084444</v>
      </c>
      <c r="Z3" s="8">
        <f t="shared" si="13"/>
        <v>10</v>
      </c>
      <c r="AA3">
        <f t="shared" si="14"/>
        <v>232.5</v>
      </c>
      <c r="AB3">
        <f t="shared" si="15"/>
        <v>10</v>
      </c>
      <c r="AC3">
        <f t="shared" si="16"/>
        <v>1.07281618758621</v>
      </c>
      <c r="AD3">
        <f t="shared" si="17"/>
        <v>1.06896551724138</v>
      </c>
      <c r="AE3">
        <f t="shared" si="18"/>
        <v>1.06896551724138</v>
      </c>
      <c r="AF3">
        <f t="shared" ref="AF3:AF66" si="46">V3/3</f>
        <v>820.57028148</v>
      </c>
      <c r="AG3">
        <f t="shared" ref="AG3:AG66" si="47">W3</f>
        <v>465</v>
      </c>
      <c r="AH3">
        <f t="shared" ref="AH3:AH66" si="48">X3*0.5</f>
        <v>232.5</v>
      </c>
      <c r="AI3">
        <f t="shared" si="19"/>
        <v>3.33333333333333</v>
      </c>
      <c r="AJ3">
        <f t="shared" si="20"/>
        <v>77.5</v>
      </c>
      <c r="AK3">
        <f t="shared" si="21"/>
        <v>30</v>
      </c>
      <c r="AL3">
        <f>$AL11*AL2</f>
        <v>3441.9375</v>
      </c>
      <c r="AM3">
        <f>$AL11*AM2</f>
        <v>652.5</v>
      </c>
      <c r="AN3">
        <f>$AL11*AN2</f>
        <v>326.25</v>
      </c>
      <c r="AR3">
        <f>$AL11*AR2</f>
        <v>6883.875</v>
      </c>
      <c r="AS3">
        <f>$AL11*AS2</f>
        <v>652.5</v>
      </c>
      <c r="AT3">
        <f>$AL11*AT2</f>
        <v>424.125</v>
      </c>
      <c r="AX3">
        <f>$AL11*AX2</f>
        <v>13767.75</v>
      </c>
      <c r="AY3">
        <f>$AL11*AY2</f>
        <v>652.5</v>
      </c>
      <c r="AZ3">
        <f>$AL11*AZ2</f>
        <v>652.5</v>
      </c>
      <c r="BD3">
        <f>$AL11*BD2</f>
        <v>13767.75</v>
      </c>
      <c r="BE3">
        <f>$AL11*BE2</f>
        <v>652.5</v>
      </c>
      <c r="BF3">
        <f>$AL11*BF2</f>
        <v>580.725</v>
      </c>
      <c r="BM3">
        <v>2</v>
      </c>
      <c r="BN3">
        <f t="shared" si="22"/>
        <v>2029</v>
      </c>
      <c r="BO3">
        <f t="shared" si="23"/>
        <v>405.6</v>
      </c>
      <c r="BP3">
        <f>5.8*BM3+394</f>
        <v>405.6</v>
      </c>
      <c r="BQ3">
        <f t="shared" si="24"/>
        <v>5.1</v>
      </c>
      <c r="BR3">
        <f t="shared" si="25"/>
        <v>10.2</v>
      </c>
      <c r="BS3">
        <f t="shared" si="26"/>
        <v>0.18</v>
      </c>
      <c r="BT3">
        <v>2</v>
      </c>
      <c r="BU3">
        <f t="shared" si="27"/>
        <v>5014.2</v>
      </c>
      <c r="BV3">
        <f t="shared" si="28"/>
        <v>1002.84</v>
      </c>
      <c r="BX3">
        <f t="shared" si="29"/>
        <v>20.05</v>
      </c>
      <c r="BY3">
        <f t="shared" si="30"/>
        <v>40.2</v>
      </c>
      <c r="BZ3">
        <v>2</v>
      </c>
      <c r="CA3">
        <f t="shared" si="31"/>
        <v>8009.3</v>
      </c>
      <c r="CB3">
        <f t="shared" si="32"/>
        <v>1601.72</v>
      </c>
      <c r="CD3">
        <f t="shared" si="33"/>
        <v>35.033</v>
      </c>
      <c r="CE3">
        <f t="shared" si="34"/>
        <v>70.132</v>
      </c>
      <c r="CF3">
        <f t="shared" si="35"/>
        <v>38.06</v>
      </c>
      <c r="CG3">
        <v>2</v>
      </c>
      <c r="CH3">
        <f t="shared" si="36"/>
        <v>11007</v>
      </c>
      <c r="CI3">
        <f t="shared" si="37"/>
        <v>2200.8</v>
      </c>
      <c r="CK3">
        <f t="shared" si="38"/>
        <v>45.025</v>
      </c>
      <c r="CL3">
        <f t="shared" si="39"/>
        <v>90.1</v>
      </c>
      <c r="CM3">
        <f t="shared" si="40"/>
        <v>58.047</v>
      </c>
      <c r="CN3">
        <v>2</v>
      </c>
      <c r="CO3">
        <f t="shared" si="41"/>
        <v>14005.2</v>
      </c>
      <c r="CP3">
        <f t="shared" si="42"/>
        <v>2802.24</v>
      </c>
      <c r="CR3">
        <f t="shared" si="43"/>
        <v>60.04</v>
      </c>
      <c r="CS3">
        <f t="shared" si="44"/>
        <v>120.08</v>
      </c>
      <c r="CT3">
        <f t="shared" si="45"/>
        <v>78.076</v>
      </c>
    </row>
    <row r="4" spans="1:98">
      <c r="A4" s="8">
        <v>3</v>
      </c>
      <c r="B4" s="8">
        <v>2200</v>
      </c>
      <c r="C4" s="8">
        <v>440</v>
      </c>
      <c r="D4" s="8">
        <v>440</v>
      </c>
      <c r="E4" s="8">
        <f t="shared" si="0"/>
        <v>275</v>
      </c>
      <c r="F4" s="8">
        <f t="shared" si="1"/>
        <v>55</v>
      </c>
      <c r="G4" s="8">
        <f t="shared" si="2"/>
        <v>55</v>
      </c>
      <c r="H4" s="8"/>
      <c r="I4" s="8">
        <v>0.5</v>
      </c>
      <c r="J4" s="8">
        <f t="shared" si="3"/>
        <v>0</v>
      </c>
      <c r="K4" s="8">
        <f t="shared" si="4"/>
        <v>0</v>
      </c>
      <c r="L4" s="8">
        <f t="shared" si="5"/>
        <v>0</v>
      </c>
      <c r="M4" s="8">
        <v>0</v>
      </c>
      <c r="N4" s="8">
        <f t="shared" si="6"/>
        <v>2475</v>
      </c>
      <c r="O4" s="8">
        <f t="shared" si="7"/>
        <v>495</v>
      </c>
      <c r="P4" s="8">
        <f t="shared" si="8"/>
        <v>495</v>
      </c>
      <c r="Q4" s="8">
        <v>5</v>
      </c>
      <c r="R4" s="8">
        <v>10</v>
      </c>
      <c r="S4" s="8">
        <v>0</v>
      </c>
      <c r="T4" s="8">
        <v>0.16</v>
      </c>
      <c r="U4" s="8">
        <v>0.0056</v>
      </c>
      <c r="V4" s="8">
        <f t="shared" si="9"/>
        <v>2629.94849568</v>
      </c>
      <c r="W4" s="8">
        <f t="shared" si="10"/>
        <v>495</v>
      </c>
      <c r="X4" s="8">
        <f t="shared" si="11"/>
        <v>495</v>
      </c>
      <c r="Y4" s="8">
        <f t="shared" si="12"/>
        <v>262.994849568</v>
      </c>
      <c r="Z4" s="8">
        <f t="shared" si="13"/>
        <v>10</v>
      </c>
      <c r="AA4">
        <f t="shared" si="14"/>
        <v>247.5</v>
      </c>
      <c r="AB4">
        <f t="shared" si="15"/>
        <v>10</v>
      </c>
      <c r="AC4">
        <f t="shared" si="16"/>
        <v>1.1461343337931</v>
      </c>
      <c r="AD4">
        <f t="shared" si="17"/>
        <v>1.13793103448276</v>
      </c>
      <c r="AE4">
        <f t="shared" si="18"/>
        <v>1.13793103448276</v>
      </c>
      <c r="AF4">
        <f t="shared" si="46"/>
        <v>876.64949856</v>
      </c>
      <c r="AG4">
        <f t="shared" si="47"/>
        <v>495</v>
      </c>
      <c r="AH4">
        <f t="shared" si="48"/>
        <v>247.5</v>
      </c>
      <c r="AI4">
        <f t="shared" si="19"/>
        <v>3.33333333333333</v>
      </c>
      <c r="AJ4">
        <f t="shared" si="20"/>
        <v>82.5</v>
      </c>
      <c r="AK4">
        <f t="shared" si="21"/>
        <v>30</v>
      </c>
      <c r="AL4">
        <f>$AL13*AL2</f>
        <v>4589.25</v>
      </c>
      <c r="AM4">
        <f>$AL13*AM2</f>
        <v>870</v>
      </c>
      <c r="AN4">
        <f>$AL13*AN2</f>
        <v>435</v>
      </c>
      <c r="AR4">
        <f>$AL13*AR2</f>
        <v>9178.5</v>
      </c>
      <c r="AS4">
        <f>$AL13*AS2</f>
        <v>870</v>
      </c>
      <c r="AT4">
        <f>$AL13*AT2</f>
        <v>565.5</v>
      </c>
      <c r="AX4">
        <f>$AL13*AX2</f>
        <v>18357</v>
      </c>
      <c r="AY4">
        <f>$AL13*AY2</f>
        <v>870</v>
      </c>
      <c r="AZ4">
        <f>$AL13*AZ2</f>
        <v>870</v>
      </c>
      <c r="BD4">
        <f>$AL13*BD2</f>
        <v>18357</v>
      </c>
      <c r="BE4">
        <f>$AL13*BE2</f>
        <v>870</v>
      </c>
      <c r="BF4">
        <f>$AL13*BF2</f>
        <v>774.3</v>
      </c>
      <c r="BM4">
        <v>3</v>
      </c>
      <c r="BN4">
        <f t="shared" si="22"/>
        <v>2058</v>
      </c>
      <c r="BO4">
        <f t="shared" si="23"/>
        <v>411.4</v>
      </c>
      <c r="BQ4">
        <f t="shared" si="24"/>
        <v>5.2</v>
      </c>
      <c r="BR4">
        <f t="shared" si="25"/>
        <v>10.4</v>
      </c>
      <c r="BS4">
        <f t="shared" si="26"/>
        <v>0.36</v>
      </c>
      <c r="BT4">
        <v>3</v>
      </c>
      <c r="BU4">
        <f t="shared" si="27"/>
        <v>5028.8</v>
      </c>
      <c r="BV4">
        <f t="shared" si="28"/>
        <v>1005.76</v>
      </c>
      <c r="BX4">
        <f t="shared" si="29"/>
        <v>20.1</v>
      </c>
      <c r="BY4">
        <f t="shared" si="30"/>
        <v>40.3</v>
      </c>
      <c r="BZ4">
        <v>3</v>
      </c>
      <c r="CA4">
        <f t="shared" si="31"/>
        <v>8018.6</v>
      </c>
      <c r="CB4">
        <f t="shared" si="32"/>
        <v>1603.58</v>
      </c>
      <c r="CD4">
        <f t="shared" si="33"/>
        <v>35.066</v>
      </c>
      <c r="CE4">
        <f t="shared" si="34"/>
        <v>70.198</v>
      </c>
      <c r="CF4">
        <f t="shared" si="35"/>
        <v>38.12</v>
      </c>
      <c r="CG4">
        <v>3</v>
      </c>
      <c r="CH4">
        <f t="shared" si="36"/>
        <v>11014</v>
      </c>
      <c r="CI4">
        <f t="shared" si="37"/>
        <v>2202.2</v>
      </c>
      <c r="CK4">
        <f t="shared" si="38"/>
        <v>45.05</v>
      </c>
      <c r="CL4">
        <f t="shared" si="39"/>
        <v>90.15</v>
      </c>
      <c r="CM4">
        <f t="shared" si="40"/>
        <v>58.094</v>
      </c>
      <c r="CN4">
        <v>3</v>
      </c>
      <c r="CO4">
        <f t="shared" si="41"/>
        <v>14010.8</v>
      </c>
      <c r="CP4">
        <f t="shared" si="42"/>
        <v>2803.36</v>
      </c>
      <c r="CR4">
        <f t="shared" si="43"/>
        <v>60.06</v>
      </c>
      <c r="CS4">
        <f t="shared" si="44"/>
        <v>120.12</v>
      </c>
      <c r="CT4">
        <f t="shared" si="45"/>
        <v>78.114</v>
      </c>
    </row>
    <row r="5" spans="1:98">
      <c r="A5" s="8">
        <v>4</v>
      </c>
      <c r="B5" s="8">
        <v>2300</v>
      </c>
      <c r="C5" s="8">
        <v>460</v>
      </c>
      <c r="D5" s="8">
        <v>460</v>
      </c>
      <c r="E5" s="8">
        <f t="shared" si="0"/>
        <v>325</v>
      </c>
      <c r="F5" s="8">
        <f t="shared" si="1"/>
        <v>65</v>
      </c>
      <c r="G5" s="8">
        <f t="shared" si="2"/>
        <v>65</v>
      </c>
      <c r="H5" s="8"/>
      <c r="I5" s="8">
        <v>0.5</v>
      </c>
      <c r="J5" s="8">
        <f t="shared" si="3"/>
        <v>0</v>
      </c>
      <c r="K5" s="8">
        <f t="shared" si="4"/>
        <v>0</v>
      </c>
      <c r="L5" s="8">
        <f t="shared" si="5"/>
        <v>0</v>
      </c>
      <c r="M5" s="8">
        <v>0</v>
      </c>
      <c r="N5" s="8">
        <f t="shared" si="6"/>
        <v>2625</v>
      </c>
      <c r="O5" s="8">
        <f t="shared" si="7"/>
        <v>525</v>
      </c>
      <c r="P5" s="8">
        <f t="shared" si="8"/>
        <v>525</v>
      </c>
      <c r="Q5" s="8">
        <v>5</v>
      </c>
      <c r="R5" s="8">
        <v>10</v>
      </c>
      <c r="S5" s="8">
        <v>0.66</v>
      </c>
      <c r="T5" s="8">
        <v>0.24</v>
      </c>
      <c r="U5" s="8">
        <v>0.0084</v>
      </c>
      <c r="V5" s="8">
        <f t="shared" si="9"/>
        <v>2817.81572513196</v>
      </c>
      <c r="W5" s="8">
        <f t="shared" si="10"/>
        <v>525</v>
      </c>
      <c r="X5" s="8">
        <f t="shared" si="11"/>
        <v>525</v>
      </c>
      <c r="Y5" s="8">
        <f t="shared" si="12"/>
        <v>281.781572513196</v>
      </c>
      <c r="Z5" s="8">
        <f t="shared" si="13"/>
        <v>10</v>
      </c>
      <c r="AA5">
        <f t="shared" si="14"/>
        <v>262.5</v>
      </c>
      <c r="AB5">
        <f t="shared" si="15"/>
        <v>10</v>
      </c>
      <c r="AC5">
        <f t="shared" si="16"/>
        <v>1.22800707092966</v>
      </c>
      <c r="AD5">
        <f t="shared" si="17"/>
        <v>1.20689655172414</v>
      </c>
      <c r="AE5">
        <f t="shared" si="18"/>
        <v>1.20689655172414</v>
      </c>
      <c r="AF5">
        <f t="shared" si="46"/>
        <v>939.27190837732</v>
      </c>
      <c r="AG5">
        <f t="shared" si="47"/>
        <v>525</v>
      </c>
      <c r="AH5">
        <f t="shared" si="48"/>
        <v>262.5</v>
      </c>
      <c r="AI5">
        <f t="shared" si="19"/>
        <v>3.33333333333333</v>
      </c>
      <c r="AJ5">
        <f t="shared" si="20"/>
        <v>87.5</v>
      </c>
      <c r="AK5">
        <f t="shared" si="21"/>
        <v>30</v>
      </c>
      <c r="AL5">
        <f>$AL15*AL2</f>
        <v>9178.5</v>
      </c>
      <c r="AM5">
        <f>$AL15*AM2</f>
        <v>1740</v>
      </c>
      <c r="AN5">
        <f>$AL15*AN2</f>
        <v>870</v>
      </c>
      <c r="AR5">
        <f>$AL15*AR2</f>
        <v>18357</v>
      </c>
      <c r="AS5">
        <f>$AL15*AS2</f>
        <v>1740</v>
      </c>
      <c r="AT5">
        <f>$AL15*AT2</f>
        <v>1131</v>
      </c>
      <c r="AX5">
        <f>$AL15*AX2</f>
        <v>36714</v>
      </c>
      <c r="AY5">
        <f>$AL15*AY2</f>
        <v>1740</v>
      </c>
      <c r="AZ5">
        <f>$AL15*AZ2</f>
        <v>1740</v>
      </c>
      <c r="BD5">
        <f>$AL15*BD2</f>
        <v>36714</v>
      </c>
      <c r="BE5">
        <f>$AL15*BE2</f>
        <v>1740</v>
      </c>
      <c r="BF5">
        <f>$AL15*BF2</f>
        <v>1548.6</v>
      </c>
      <c r="BM5">
        <v>4</v>
      </c>
      <c r="BN5">
        <f t="shared" si="22"/>
        <v>2087</v>
      </c>
      <c r="BO5">
        <f t="shared" si="23"/>
        <v>417.2</v>
      </c>
      <c r="BQ5">
        <f t="shared" si="24"/>
        <v>5.3</v>
      </c>
      <c r="BR5">
        <f t="shared" si="25"/>
        <v>10.6</v>
      </c>
      <c r="BS5">
        <f t="shared" si="26"/>
        <v>0.54</v>
      </c>
      <c r="BT5">
        <v>4</v>
      </c>
      <c r="BU5">
        <f t="shared" si="27"/>
        <v>5043.4</v>
      </c>
      <c r="BV5">
        <f t="shared" si="28"/>
        <v>1008.68</v>
      </c>
      <c r="BX5">
        <f t="shared" si="29"/>
        <v>20.15</v>
      </c>
      <c r="BY5">
        <f t="shared" si="30"/>
        <v>40.4</v>
      </c>
      <c r="BZ5">
        <v>4</v>
      </c>
      <c r="CA5">
        <f t="shared" si="31"/>
        <v>8027.9</v>
      </c>
      <c r="CB5">
        <f t="shared" si="32"/>
        <v>1605.44</v>
      </c>
      <c r="CD5">
        <f t="shared" si="33"/>
        <v>35.099</v>
      </c>
      <c r="CE5">
        <f t="shared" si="34"/>
        <v>70.264</v>
      </c>
      <c r="CF5">
        <f t="shared" si="35"/>
        <v>38.18</v>
      </c>
      <c r="CG5">
        <v>4</v>
      </c>
      <c r="CH5">
        <f t="shared" si="36"/>
        <v>11021</v>
      </c>
      <c r="CI5">
        <f t="shared" si="37"/>
        <v>2203.6</v>
      </c>
      <c r="CK5">
        <f t="shared" si="38"/>
        <v>45.075</v>
      </c>
      <c r="CL5">
        <f t="shared" si="39"/>
        <v>90.2</v>
      </c>
      <c r="CM5">
        <f t="shared" si="40"/>
        <v>58.141</v>
      </c>
      <c r="CN5">
        <v>4</v>
      </c>
      <c r="CO5">
        <f t="shared" si="41"/>
        <v>14016.4</v>
      </c>
      <c r="CP5">
        <f t="shared" si="42"/>
        <v>2804.48</v>
      </c>
      <c r="CR5">
        <f t="shared" si="43"/>
        <v>60.08</v>
      </c>
      <c r="CS5">
        <f t="shared" si="44"/>
        <v>120.16</v>
      </c>
      <c r="CT5">
        <f t="shared" si="45"/>
        <v>78.152</v>
      </c>
    </row>
    <row r="6" spans="1:98">
      <c r="A6" s="8">
        <v>5</v>
      </c>
      <c r="B6" s="8">
        <v>2400</v>
      </c>
      <c r="C6" s="8">
        <v>480</v>
      </c>
      <c r="D6" s="8">
        <v>480</v>
      </c>
      <c r="E6" s="8">
        <f t="shared" si="0"/>
        <v>375</v>
      </c>
      <c r="F6" s="8">
        <f t="shared" si="1"/>
        <v>75</v>
      </c>
      <c r="G6" s="8">
        <f t="shared" si="2"/>
        <v>75</v>
      </c>
      <c r="H6" s="8"/>
      <c r="I6" s="8">
        <v>0.5</v>
      </c>
      <c r="J6" s="8">
        <f t="shared" si="3"/>
        <v>0</v>
      </c>
      <c r="K6" s="8">
        <f t="shared" si="4"/>
        <v>0</v>
      </c>
      <c r="L6" s="8">
        <f t="shared" si="5"/>
        <v>0</v>
      </c>
      <c r="M6" s="8">
        <v>0</v>
      </c>
      <c r="N6" s="8">
        <f t="shared" si="6"/>
        <v>2775</v>
      </c>
      <c r="O6" s="8">
        <f t="shared" si="7"/>
        <v>555</v>
      </c>
      <c r="P6" s="8">
        <f t="shared" si="8"/>
        <v>555</v>
      </c>
      <c r="Q6" s="8">
        <v>5</v>
      </c>
      <c r="R6" s="8">
        <v>10</v>
      </c>
      <c r="S6" s="8">
        <v>1.32</v>
      </c>
      <c r="T6" s="8">
        <v>0.32</v>
      </c>
      <c r="U6" s="8">
        <v>0.0112</v>
      </c>
      <c r="V6" s="8">
        <f t="shared" si="9"/>
        <v>3009.09024406426</v>
      </c>
      <c r="W6" s="8">
        <f t="shared" si="10"/>
        <v>555</v>
      </c>
      <c r="X6" s="8">
        <f t="shared" si="11"/>
        <v>555</v>
      </c>
      <c r="Y6" s="8">
        <f t="shared" si="12"/>
        <v>300.909024406426</v>
      </c>
      <c r="Z6" s="8">
        <f t="shared" si="13"/>
        <v>10</v>
      </c>
      <c r="AA6">
        <f t="shared" si="14"/>
        <v>277.5</v>
      </c>
      <c r="AB6">
        <f t="shared" si="15"/>
        <v>10</v>
      </c>
      <c r="AC6">
        <f t="shared" si="16"/>
        <v>1.31136470842262</v>
      </c>
      <c r="AD6">
        <f t="shared" si="17"/>
        <v>1.27586206896552</v>
      </c>
      <c r="AE6">
        <f t="shared" si="18"/>
        <v>1.27586206896552</v>
      </c>
      <c r="AF6">
        <f t="shared" si="46"/>
        <v>1003.03008135475</v>
      </c>
      <c r="AG6">
        <f t="shared" si="47"/>
        <v>555</v>
      </c>
      <c r="AH6">
        <f t="shared" si="48"/>
        <v>277.5</v>
      </c>
      <c r="AI6">
        <f t="shared" si="19"/>
        <v>3.33333333333332</v>
      </c>
      <c r="AJ6">
        <f t="shared" si="20"/>
        <v>92.5</v>
      </c>
      <c r="AK6">
        <f t="shared" si="21"/>
        <v>30</v>
      </c>
      <c r="AL6">
        <f>$AL17*AL2</f>
        <v>10325.8125</v>
      </c>
      <c r="AM6">
        <f>$AL17*AM2</f>
        <v>1957.5</v>
      </c>
      <c r="AN6">
        <f>$AL17*AN2</f>
        <v>978.75</v>
      </c>
      <c r="AR6">
        <f>$AL17*AR2</f>
        <v>20651.625</v>
      </c>
      <c r="AS6">
        <f>$AL17*AS2</f>
        <v>1957.5</v>
      </c>
      <c r="AT6">
        <f>$AL17*AT2</f>
        <v>1272.375</v>
      </c>
      <c r="AX6">
        <f>$AL17*AX2</f>
        <v>41303.25</v>
      </c>
      <c r="AY6">
        <f>$AL17*AY2</f>
        <v>1957.5</v>
      </c>
      <c r="AZ6">
        <f>$AL17*AZ2</f>
        <v>1957.5</v>
      </c>
      <c r="BD6">
        <f>$AL17*BD2</f>
        <v>41303.25</v>
      </c>
      <c r="BE6">
        <f>$AL17*BE2</f>
        <v>1957.5</v>
      </c>
      <c r="BF6">
        <f>$AL17*BF2</f>
        <v>1742.175</v>
      </c>
      <c r="BM6">
        <v>5</v>
      </c>
      <c r="BN6">
        <f t="shared" si="22"/>
        <v>2116</v>
      </c>
      <c r="BO6">
        <f t="shared" si="23"/>
        <v>423</v>
      </c>
      <c r="BQ6">
        <f t="shared" si="24"/>
        <v>5.4</v>
      </c>
      <c r="BR6">
        <f t="shared" si="25"/>
        <v>10.8</v>
      </c>
      <c r="BS6">
        <f t="shared" si="26"/>
        <v>0.72</v>
      </c>
      <c r="BT6">
        <v>5</v>
      </c>
      <c r="BU6">
        <f t="shared" si="27"/>
        <v>5058</v>
      </c>
      <c r="BV6">
        <f t="shared" si="28"/>
        <v>1011.6</v>
      </c>
      <c r="BX6">
        <f t="shared" si="29"/>
        <v>20.2</v>
      </c>
      <c r="BY6">
        <f t="shared" si="30"/>
        <v>40.5</v>
      </c>
      <c r="BZ6">
        <v>5</v>
      </c>
      <c r="CA6">
        <f t="shared" si="31"/>
        <v>8037.2</v>
      </c>
      <c r="CB6">
        <f t="shared" si="32"/>
        <v>1607.3</v>
      </c>
      <c r="CD6">
        <f t="shared" si="33"/>
        <v>35.132</v>
      </c>
      <c r="CE6">
        <f t="shared" si="34"/>
        <v>70.33</v>
      </c>
      <c r="CF6">
        <f t="shared" si="35"/>
        <v>38.24</v>
      </c>
      <c r="CG6">
        <v>5</v>
      </c>
      <c r="CH6">
        <f t="shared" si="36"/>
        <v>11028</v>
      </c>
      <c r="CI6">
        <f t="shared" si="37"/>
        <v>2205</v>
      </c>
      <c r="CK6">
        <f t="shared" si="38"/>
        <v>45.1</v>
      </c>
      <c r="CL6">
        <f t="shared" si="39"/>
        <v>90.25</v>
      </c>
      <c r="CM6">
        <f t="shared" si="40"/>
        <v>58.188</v>
      </c>
      <c r="CN6">
        <v>5</v>
      </c>
      <c r="CO6">
        <f t="shared" si="41"/>
        <v>14022</v>
      </c>
      <c r="CP6">
        <f t="shared" si="42"/>
        <v>2805.6</v>
      </c>
      <c r="CR6">
        <f t="shared" si="43"/>
        <v>60.1</v>
      </c>
      <c r="CS6">
        <f t="shared" si="44"/>
        <v>120.2</v>
      </c>
      <c r="CT6">
        <f t="shared" si="45"/>
        <v>78.19</v>
      </c>
    </row>
    <row r="7" spans="1:98">
      <c r="A7" s="8">
        <v>6</v>
      </c>
      <c r="B7" s="8">
        <v>2500</v>
      </c>
      <c r="C7" s="8">
        <v>500</v>
      </c>
      <c r="D7" s="8">
        <v>500</v>
      </c>
      <c r="E7" s="8">
        <f t="shared" si="0"/>
        <v>425</v>
      </c>
      <c r="F7" s="8">
        <f t="shared" si="1"/>
        <v>85</v>
      </c>
      <c r="G7" s="8">
        <f t="shared" si="2"/>
        <v>85</v>
      </c>
      <c r="H7" s="8"/>
      <c r="I7" s="8">
        <v>0.5</v>
      </c>
      <c r="J7" s="8">
        <f t="shared" si="3"/>
        <v>0</v>
      </c>
      <c r="K7" s="8">
        <f t="shared" si="4"/>
        <v>0</v>
      </c>
      <c r="L7" s="8">
        <f t="shared" si="5"/>
        <v>0</v>
      </c>
      <c r="M7" s="8">
        <v>0</v>
      </c>
      <c r="N7" s="8">
        <f t="shared" si="6"/>
        <v>2925</v>
      </c>
      <c r="O7" s="8">
        <f t="shared" si="7"/>
        <v>585</v>
      </c>
      <c r="P7" s="8">
        <f t="shared" si="8"/>
        <v>585</v>
      </c>
      <c r="Q7" s="8">
        <v>5</v>
      </c>
      <c r="R7" s="8">
        <v>10</v>
      </c>
      <c r="S7" s="8">
        <v>1.98</v>
      </c>
      <c r="T7" s="8">
        <v>0.4</v>
      </c>
      <c r="U7" s="8">
        <v>0.014</v>
      </c>
      <c r="V7" s="8">
        <f t="shared" si="9"/>
        <v>3203.7971114682</v>
      </c>
      <c r="W7" s="8">
        <f t="shared" si="10"/>
        <v>585</v>
      </c>
      <c r="X7" s="8">
        <f t="shared" si="11"/>
        <v>585</v>
      </c>
      <c r="Y7" s="8">
        <f t="shared" si="12"/>
        <v>320.37971114682</v>
      </c>
      <c r="Z7" s="8">
        <f t="shared" si="13"/>
        <v>10</v>
      </c>
      <c r="AA7">
        <f t="shared" si="14"/>
        <v>292.5</v>
      </c>
      <c r="AB7">
        <f t="shared" si="15"/>
        <v>10</v>
      </c>
      <c r="AC7">
        <f t="shared" si="16"/>
        <v>1.3962181670069</v>
      </c>
      <c r="AD7">
        <f t="shared" si="17"/>
        <v>1.3448275862069</v>
      </c>
      <c r="AE7">
        <f t="shared" si="18"/>
        <v>1.3448275862069</v>
      </c>
      <c r="AF7">
        <f t="shared" si="46"/>
        <v>1067.9323704894</v>
      </c>
      <c r="AG7">
        <f t="shared" si="47"/>
        <v>585</v>
      </c>
      <c r="AH7">
        <f t="shared" si="48"/>
        <v>292.5</v>
      </c>
      <c r="AI7">
        <f t="shared" si="19"/>
        <v>3.33333333333333</v>
      </c>
      <c r="AJ7">
        <f t="shared" si="20"/>
        <v>97.5</v>
      </c>
      <c r="AK7">
        <f t="shared" si="21"/>
        <v>30</v>
      </c>
      <c r="BM7">
        <v>6</v>
      </c>
      <c r="BN7">
        <f t="shared" si="22"/>
        <v>2145</v>
      </c>
      <c r="BO7">
        <f t="shared" si="23"/>
        <v>428.8</v>
      </c>
      <c r="BQ7">
        <f t="shared" si="24"/>
        <v>5.5</v>
      </c>
      <c r="BR7">
        <f t="shared" si="25"/>
        <v>11</v>
      </c>
      <c r="BS7">
        <f t="shared" si="26"/>
        <v>0.9</v>
      </c>
      <c r="BT7">
        <v>6</v>
      </c>
      <c r="BU7">
        <f t="shared" si="27"/>
        <v>5072.6</v>
      </c>
      <c r="BV7">
        <f t="shared" si="28"/>
        <v>1014.52</v>
      </c>
      <c r="BX7">
        <f t="shared" si="29"/>
        <v>20.25</v>
      </c>
      <c r="BY7">
        <f t="shared" si="30"/>
        <v>40.6</v>
      </c>
      <c r="BZ7">
        <v>6</v>
      </c>
      <c r="CA7">
        <f t="shared" si="31"/>
        <v>8046.5</v>
      </c>
      <c r="CB7">
        <f t="shared" si="32"/>
        <v>1609.16</v>
      </c>
      <c r="CD7">
        <f t="shared" si="33"/>
        <v>35.165</v>
      </c>
      <c r="CE7">
        <f t="shared" si="34"/>
        <v>70.396</v>
      </c>
      <c r="CF7">
        <f t="shared" si="35"/>
        <v>38.3</v>
      </c>
      <c r="CG7">
        <v>6</v>
      </c>
      <c r="CH7">
        <f t="shared" si="36"/>
        <v>11035</v>
      </c>
      <c r="CI7">
        <f t="shared" si="37"/>
        <v>2206.4</v>
      </c>
      <c r="CK7">
        <f t="shared" si="38"/>
        <v>45.125</v>
      </c>
      <c r="CL7">
        <f t="shared" si="39"/>
        <v>90.3</v>
      </c>
      <c r="CM7">
        <f t="shared" si="40"/>
        <v>58.235</v>
      </c>
      <c r="CN7">
        <v>6</v>
      </c>
      <c r="CO7">
        <f t="shared" si="41"/>
        <v>14027.6</v>
      </c>
      <c r="CP7">
        <f t="shared" si="42"/>
        <v>2806.72</v>
      </c>
      <c r="CR7">
        <f t="shared" si="43"/>
        <v>60.12</v>
      </c>
      <c r="CS7">
        <f t="shared" si="44"/>
        <v>120.24</v>
      </c>
      <c r="CT7">
        <f t="shared" si="45"/>
        <v>78.228</v>
      </c>
    </row>
    <row r="8" spans="1:98">
      <c r="A8" s="8">
        <v>7</v>
      </c>
      <c r="B8" s="8">
        <v>2600</v>
      </c>
      <c r="C8" s="8">
        <v>520</v>
      </c>
      <c r="D8" s="8">
        <v>520</v>
      </c>
      <c r="E8" s="8">
        <f t="shared" si="0"/>
        <v>475</v>
      </c>
      <c r="F8" s="8">
        <f t="shared" si="1"/>
        <v>95</v>
      </c>
      <c r="G8" s="8">
        <f t="shared" si="2"/>
        <v>95</v>
      </c>
      <c r="H8" s="8"/>
      <c r="I8" s="8">
        <v>0.5</v>
      </c>
      <c r="J8" s="8">
        <f t="shared" si="3"/>
        <v>0</v>
      </c>
      <c r="K8" s="8">
        <f t="shared" si="4"/>
        <v>0</v>
      </c>
      <c r="L8" s="8">
        <f t="shared" si="5"/>
        <v>0</v>
      </c>
      <c r="M8" s="8">
        <v>0</v>
      </c>
      <c r="N8" s="8">
        <f t="shared" si="6"/>
        <v>3075</v>
      </c>
      <c r="O8" s="8">
        <f t="shared" si="7"/>
        <v>615</v>
      </c>
      <c r="P8" s="8">
        <f t="shared" si="8"/>
        <v>615</v>
      </c>
      <c r="Q8" s="8">
        <v>5</v>
      </c>
      <c r="R8" s="8">
        <v>10</v>
      </c>
      <c r="S8" s="8">
        <v>2.64</v>
      </c>
      <c r="T8" s="8">
        <v>0.48</v>
      </c>
      <c r="U8" s="8">
        <v>0.0168</v>
      </c>
      <c r="V8" s="8">
        <f t="shared" si="9"/>
        <v>3401.96144248474</v>
      </c>
      <c r="W8" s="8">
        <f t="shared" si="10"/>
        <v>615</v>
      </c>
      <c r="X8" s="8">
        <f t="shared" si="11"/>
        <v>615</v>
      </c>
      <c r="Y8" s="8">
        <f t="shared" si="12"/>
        <v>340.196144248474</v>
      </c>
      <c r="Z8" s="8">
        <f t="shared" si="13"/>
        <v>10</v>
      </c>
      <c r="AA8">
        <f t="shared" si="14"/>
        <v>307.5</v>
      </c>
      <c r="AB8">
        <f t="shared" si="15"/>
        <v>10</v>
      </c>
      <c r="AC8">
        <f t="shared" si="16"/>
        <v>1.48257839188745</v>
      </c>
      <c r="AD8">
        <f t="shared" si="17"/>
        <v>1.41379310344828</v>
      </c>
      <c r="AE8">
        <f t="shared" si="18"/>
        <v>1.41379310344828</v>
      </c>
      <c r="AF8">
        <f t="shared" si="46"/>
        <v>1133.98714749491</v>
      </c>
      <c r="AG8">
        <f t="shared" si="47"/>
        <v>615</v>
      </c>
      <c r="AH8">
        <f t="shared" si="48"/>
        <v>307.5</v>
      </c>
      <c r="AI8">
        <f t="shared" si="19"/>
        <v>3.33333333333332</v>
      </c>
      <c r="AJ8">
        <f t="shared" si="20"/>
        <v>102.5</v>
      </c>
      <c r="AK8">
        <f t="shared" si="21"/>
        <v>30</v>
      </c>
      <c r="AL8" s="5" t="s">
        <v>1222</v>
      </c>
      <c r="BM8">
        <v>7</v>
      </c>
      <c r="BN8">
        <f t="shared" si="22"/>
        <v>2174</v>
      </c>
      <c r="BO8">
        <f t="shared" si="23"/>
        <v>434.6</v>
      </c>
      <c r="BQ8">
        <f t="shared" si="24"/>
        <v>5.6</v>
      </c>
      <c r="BR8">
        <f t="shared" si="25"/>
        <v>11.2</v>
      </c>
      <c r="BS8">
        <f t="shared" si="26"/>
        <v>1.08</v>
      </c>
      <c r="BT8">
        <v>7</v>
      </c>
      <c r="BU8">
        <f t="shared" si="27"/>
        <v>5087.2</v>
      </c>
      <c r="BV8">
        <f t="shared" si="28"/>
        <v>1017.44</v>
      </c>
      <c r="BX8">
        <f t="shared" si="29"/>
        <v>20.3</v>
      </c>
      <c r="BY8">
        <f t="shared" si="30"/>
        <v>40.7</v>
      </c>
      <c r="BZ8">
        <v>7</v>
      </c>
      <c r="CA8">
        <f t="shared" si="31"/>
        <v>8055.8</v>
      </c>
      <c r="CB8">
        <f t="shared" si="32"/>
        <v>1611.02</v>
      </c>
      <c r="CD8">
        <f t="shared" si="33"/>
        <v>35.198</v>
      </c>
      <c r="CE8">
        <f t="shared" si="34"/>
        <v>70.462</v>
      </c>
      <c r="CF8">
        <f t="shared" si="35"/>
        <v>38.36</v>
      </c>
      <c r="CG8">
        <v>7</v>
      </c>
      <c r="CH8">
        <f t="shared" si="36"/>
        <v>11042</v>
      </c>
      <c r="CI8">
        <f t="shared" si="37"/>
        <v>2207.8</v>
      </c>
      <c r="CK8">
        <f t="shared" si="38"/>
        <v>45.15</v>
      </c>
      <c r="CL8">
        <f t="shared" si="39"/>
        <v>90.35</v>
      </c>
      <c r="CM8">
        <f t="shared" si="40"/>
        <v>58.282</v>
      </c>
      <c r="CN8">
        <v>7</v>
      </c>
      <c r="CO8">
        <f t="shared" si="41"/>
        <v>14033.2</v>
      </c>
      <c r="CP8">
        <f t="shared" si="42"/>
        <v>2807.84</v>
      </c>
      <c r="CR8">
        <f t="shared" si="43"/>
        <v>60.14</v>
      </c>
      <c r="CS8">
        <f t="shared" si="44"/>
        <v>120.28</v>
      </c>
      <c r="CT8">
        <f t="shared" si="45"/>
        <v>78.266</v>
      </c>
    </row>
    <row r="9" spans="1:98">
      <c r="A9" s="8">
        <v>8</v>
      </c>
      <c r="B9" s="8">
        <v>2700</v>
      </c>
      <c r="C9" s="8">
        <v>540</v>
      </c>
      <c r="D9" s="8">
        <v>540</v>
      </c>
      <c r="E9" s="8">
        <f t="shared" si="0"/>
        <v>525</v>
      </c>
      <c r="F9" s="8">
        <f t="shared" si="1"/>
        <v>105</v>
      </c>
      <c r="G9" s="8">
        <f t="shared" si="2"/>
        <v>105</v>
      </c>
      <c r="H9" s="8"/>
      <c r="I9" s="8">
        <v>0.5</v>
      </c>
      <c r="J9" s="8">
        <f t="shared" si="3"/>
        <v>0</v>
      </c>
      <c r="K9" s="8">
        <f t="shared" si="4"/>
        <v>0</v>
      </c>
      <c r="L9" s="8">
        <f t="shared" si="5"/>
        <v>0</v>
      </c>
      <c r="M9" s="8">
        <v>0</v>
      </c>
      <c r="N9" s="8">
        <f t="shared" si="6"/>
        <v>3225</v>
      </c>
      <c r="O9" s="8">
        <f t="shared" si="7"/>
        <v>645</v>
      </c>
      <c r="P9" s="8">
        <f t="shared" si="8"/>
        <v>645</v>
      </c>
      <c r="Q9" s="8">
        <v>5</v>
      </c>
      <c r="R9" s="8">
        <v>10</v>
      </c>
      <c r="S9" s="8">
        <v>3.3</v>
      </c>
      <c r="T9" s="8">
        <v>0.56</v>
      </c>
      <c r="U9" s="8">
        <v>0.0196</v>
      </c>
      <c r="V9" s="8">
        <f t="shared" si="9"/>
        <v>3603.60840840444</v>
      </c>
      <c r="W9" s="8">
        <f t="shared" si="10"/>
        <v>645</v>
      </c>
      <c r="X9" s="8">
        <f t="shared" si="11"/>
        <v>645</v>
      </c>
      <c r="Y9" s="8">
        <f t="shared" si="12"/>
        <v>360.360840840444</v>
      </c>
      <c r="Z9" s="8">
        <f t="shared" si="13"/>
        <v>10</v>
      </c>
      <c r="AA9">
        <f t="shared" si="14"/>
        <v>322.5</v>
      </c>
      <c r="AB9">
        <f t="shared" si="15"/>
        <v>10</v>
      </c>
      <c r="AC9">
        <f t="shared" si="16"/>
        <v>1.57045635273931</v>
      </c>
      <c r="AD9">
        <f t="shared" si="17"/>
        <v>1.48275862068966</v>
      </c>
      <c r="AE9">
        <f t="shared" si="18"/>
        <v>1.48275862068966</v>
      </c>
      <c r="AF9">
        <f t="shared" si="46"/>
        <v>1201.20280280148</v>
      </c>
      <c r="AG9">
        <f t="shared" si="47"/>
        <v>645</v>
      </c>
      <c r="AH9">
        <f t="shared" si="48"/>
        <v>322.5</v>
      </c>
      <c r="AI9">
        <f t="shared" si="19"/>
        <v>3.33333333333333</v>
      </c>
      <c r="AJ9">
        <f t="shared" si="20"/>
        <v>107.5</v>
      </c>
      <c r="AK9">
        <f t="shared" si="21"/>
        <v>30</v>
      </c>
      <c r="AL9" s="5" t="s">
        <v>1223</v>
      </c>
      <c r="BM9">
        <v>8</v>
      </c>
      <c r="BN9">
        <f t="shared" si="22"/>
        <v>2203</v>
      </c>
      <c r="BO9">
        <f t="shared" si="23"/>
        <v>440.4</v>
      </c>
      <c r="BQ9">
        <f t="shared" si="24"/>
        <v>5.7</v>
      </c>
      <c r="BR9">
        <f t="shared" si="25"/>
        <v>11.4</v>
      </c>
      <c r="BS9">
        <f t="shared" si="26"/>
        <v>1.26</v>
      </c>
      <c r="BT9">
        <v>8</v>
      </c>
      <c r="BU9">
        <f t="shared" si="27"/>
        <v>5101.8</v>
      </c>
      <c r="BV9">
        <f t="shared" si="28"/>
        <v>1020.36</v>
      </c>
      <c r="BX9">
        <f t="shared" si="29"/>
        <v>20.35</v>
      </c>
      <c r="BY9">
        <f t="shared" si="30"/>
        <v>40.8</v>
      </c>
      <c r="BZ9">
        <v>8</v>
      </c>
      <c r="CA9">
        <f t="shared" si="31"/>
        <v>8065.1</v>
      </c>
      <c r="CB9">
        <f t="shared" si="32"/>
        <v>1612.88</v>
      </c>
      <c r="CD9">
        <f t="shared" si="33"/>
        <v>35.231</v>
      </c>
      <c r="CE9">
        <f t="shared" si="34"/>
        <v>70.528</v>
      </c>
      <c r="CF9">
        <f t="shared" si="35"/>
        <v>38.42</v>
      </c>
      <c r="CG9">
        <v>8</v>
      </c>
      <c r="CH9">
        <f t="shared" si="36"/>
        <v>11049</v>
      </c>
      <c r="CI9">
        <f t="shared" si="37"/>
        <v>2209.2</v>
      </c>
      <c r="CK9">
        <f t="shared" si="38"/>
        <v>45.175</v>
      </c>
      <c r="CL9">
        <f t="shared" si="39"/>
        <v>90.4</v>
      </c>
      <c r="CM9">
        <f t="shared" si="40"/>
        <v>58.329</v>
      </c>
      <c r="CN9">
        <v>8</v>
      </c>
      <c r="CO9">
        <f t="shared" si="41"/>
        <v>14038.8</v>
      </c>
      <c r="CP9">
        <f t="shared" si="42"/>
        <v>2808.96</v>
      </c>
      <c r="CR9">
        <f t="shared" si="43"/>
        <v>60.16</v>
      </c>
      <c r="CS9">
        <f t="shared" si="44"/>
        <v>120.32</v>
      </c>
      <c r="CT9">
        <f t="shared" si="45"/>
        <v>78.304</v>
      </c>
    </row>
    <row r="10" spans="1:98">
      <c r="A10" s="8">
        <v>9</v>
      </c>
      <c r="B10" s="8">
        <v>2800</v>
      </c>
      <c r="C10" s="8">
        <v>560</v>
      </c>
      <c r="D10" s="8">
        <v>560</v>
      </c>
      <c r="E10" s="8">
        <f t="shared" si="0"/>
        <v>575</v>
      </c>
      <c r="F10" s="8">
        <f t="shared" si="1"/>
        <v>115</v>
      </c>
      <c r="G10" s="8">
        <f t="shared" si="2"/>
        <v>115</v>
      </c>
      <c r="H10" s="8"/>
      <c r="I10" s="8">
        <v>0.5</v>
      </c>
      <c r="J10" s="8">
        <f t="shared" si="3"/>
        <v>0</v>
      </c>
      <c r="K10" s="8">
        <f t="shared" si="4"/>
        <v>0</v>
      </c>
      <c r="L10" s="8">
        <f t="shared" si="5"/>
        <v>0</v>
      </c>
      <c r="M10" s="8">
        <v>0</v>
      </c>
      <c r="N10" s="8">
        <f t="shared" si="6"/>
        <v>3375</v>
      </c>
      <c r="O10" s="8">
        <f t="shared" si="7"/>
        <v>675</v>
      </c>
      <c r="P10" s="8">
        <f t="shared" si="8"/>
        <v>675</v>
      </c>
      <c r="Q10" s="8">
        <v>5</v>
      </c>
      <c r="R10" s="8">
        <v>10</v>
      </c>
      <c r="S10" s="8">
        <v>3.96</v>
      </c>
      <c r="T10" s="8">
        <v>0.64</v>
      </c>
      <c r="U10" s="8">
        <v>0.0224</v>
      </c>
      <c r="V10" s="8">
        <f t="shared" si="9"/>
        <v>3808.76323666752</v>
      </c>
      <c r="W10" s="8">
        <f t="shared" si="10"/>
        <v>675</v>
      </c>
      <c r="X10" s="8">
        <f t="shared" si="11"/>
        <v>675</v>
      </c>
      <c r="Y10" s="8">
        <f t="shared" si="12"/>
        <v>380.876323666752</v>
      </c>
      <c r="Z10" s="8">
        <f t="shared" si="13"/>
        <v>10</v>
      </c>
      <c r="AA10">
        <f t="shared" si="14"/>
        <v>337.5</v>
      </c>
      <c r="AB10">
        <f t="shared" si="15"/>
        <v>10</v>
      </c>
      <c r="AC10">
        <f t="shared" si="16"/>
        <v>1.65986304370759</v>
      </c>
      <c r="AD10">
        <f t="shared" si="17"/>
        <v>1.55172413793103</v>
      </c>
      <c r="AE10">
        <f t="shared" si="18"/>
        <v>1.55172413793103</v>
      </c>
      <c r="AF10">
        <f t="shared" si="46"/>
        <v>1269.58774555584</v>
      </c>
      <c r="AG10">
        <f t="shared" si="47"/>
        <v>675</v>
      </c>
      <c r="AH10">
        <f t="shared" si="48"/>
        <v>337.5</v>
      </c>
      <c r="AI10">
        <f t="shared" si="19"/>
        <v>3.33333333333333</v>
      </c>
      <c r="AJ10">
        <f t="shared" si="20"/>
        <v>112.5</v>
      </c>
      <c r="AK10">
        <f t="shared" si="21"/>
        <v>30</v>
      </c>
      <c r="AL10" s="5" t="s">
        <v>1224</v>
      </c>
      <c r="BM10">
        <v>9</v>
      </c>
      <c r="BN10">
        <f t="shared" si="22"/>
        <v>2232</v>
      </c>
      <c r="BO10">
        <f t="shared" si="23"/>
        <v>446.2</v>
      </c>
      <c r="BQ10">
        <f t="shared" si="24"/>
        <v>5.8</v>
      </c>
      <c r="BR10">
        <f t="shared" si="25"/>
        <v>11.6</v>
      </c>
      <c r="BS10">
        <f t="shared" si="26"/>
        <v>1.44</v>
      </c>
      <c r="BT10">
        <v>9</v>
      </c>
      <c r="BU10">
        <f t="shared" si="27"/>
        <v>5116.4</v>
      </c>
      <c r="BV10">
        <f t="shared" si="28"/>
        <v>1023.28</v>
      </c>
      <c r="BX10">
        <f t="shared" si="29"/>
        <v>20.4</v>
      </c>
      <c r="BY10">
        <f t="shared" si="30"/>
        <v>40.9</v>
      </c>
      <c r="BZ10">
        <v>9</v>
      </c>
      <c r="CA10">
        <f t="shared" si="31"/>
        <v>8074.4</v>
      </c>
      <c r="CB10">
        <f t="shared" si="32"/>
        <v>1614.74</v>
      </c>
      <c r="CD10">
        <f t="shared" si="33"/>
        <v>35.264</v>
      </c>
      <c r="CE10">
        <f t="shared" si="34"/>
        <v>70.594</v>
      </c>
      <c r="CF10">
        <f t="shared" si="35"/>
        <v>38.48</v>
      </c>
      <c r="CG10">
        <v>9</v>
      </c>
      <c r="CH10">
        <f t="shared" si="36"/>
        <v>11056</v>
      </c>
      <c r="CI10">
        <f t="shared" si="37"/>
        <v>2210.6</v>
      </c>
      <c r="CK10">
        <f t="shared" si="38"/>
        <v>45.2</v>
      </c>
      <c r="CL10">
        <f t="shared" si="39"/>
        <v>90.45</v>
      </c>
      <c r="CM10">
        <f t="shared" si="40"/>
        <v>58.376</v>
      </c>
      <c r="CN10">
        <v>9</v>
      </c>
      <c r="CO10">
        <f t="shared" si="41"/>
        <v>14044.4</v>
      </c>
      <c r="CP10">
        <f t="shared" si="42"/>
        <v>2810.08</v>
      </c>
      <c r="CR10">
        <f t="shared" si="43"/>
        <v>60.18</v>
      </c>
      <c r="CS10">
        <f t="shared" si="44"/>
        <v>120.36</v>
      </c>
      <c r="CT10">
        <f t="shared" si="45"/>
        <v>78.342</v>
      </c>
    </row>
    <row r="11" spans="1:98">
      <c r="A11" s="8">
        <v>10</v>
      </c>
      <c r="B11" s="8">
        <v>2900</v>
      </c>
      <c r="C11" s="8">
        <v>580</v>
      </c>
      <c r="D11" s="8">
        <v>580</v>
      </c>
      <c r="E11" s="8">
        <f t="shared" si="0"/>
        <v>625</v>
      </c>
      <c r="F11" s="8">
        <f t="shared" si="1"/>
        <v>125</v>
      </c>
      <c r="G11" s="8">
        <f t="shared" si="2"/>
        <v>125</v>
      </c>
      <c r="H11" s="8"/>
      <c r="I11" s="8">
        <v>0.5</v>
      </c>
      <c r="J11" s="8">
        <f t="shared" si="3"/>
        <v>0</v>
      </c>
      <c r="K11" s="8">
        <f t="shared" si="4"/>
        <v>0</v>
      </c>
      <c r="L11" s="8">
        <f t="shared" si="5"/>
        <v>0</v>
      </c>
      <c r="M11" s="8">
        <v>0</v>
      </c>
      <c r="N11" s="8">
        <f t="shared" si="6"/>
        <v>3525</v>
      </c>
      <c r="O11" s="8">
        <f t="shared" si="7"/>
        <v>705</v>
      </c>
      <c r="P11" s="8">
        <f t="shared" si="8"/>
        <v>705</v>
      </c>
      <c r="Q11" s="8">
        <v>5</v>
      </c>
      <c r="R11" s="8">
        <v>10</v>
      </c>
      <c r="S11" s="8">
        <v>4.62</v>
      </c>
      <c r="T11" s="8">
        <v>0.72</v>
      </c>
      <c r="U11" s="8">
        <v>0.0252</v>
      </c>
      <c r="V11" s="8">
        <f t="shared" si="9"/>
        <v>4017.45121086382</v>
      </c>
      <c r="W11" s="8">
        <f t="shared" si="10"/>
        <v>705</v>
      </c>
      <c r="X11" s="8">
        <f t="shared" si="11"/>
        <v>705</v>
      </c>
      <c r="Y11" s="8">
        <f t="shared" si="12"/>
        <v>401.745121086382</v>
      </c>
      <c r="Z11" s="8">
        <f t="shared" si="13"/>
        <v>10</v>
      </c>
      <c r="AA11">
        <f t="shared" si="14"/>
        <v>352.5</v>
      </c>
      <c r="AB11">
        <f t="shared" si="15"/>
        <v>10</v>
      </c>
      <c r="AC11">
        <f t="shared" si="16"/>
        <v>1.75080948340745</v>
      </c>
      <c r="AD11">
        <f t="shared" si="17"/>
        <v>1.62068965517241</v>
      </c>
      <c r="AE11">
        <f t="shared" si="18"/>
        <v>1.62068965517241</v>
      </c>
      <c r="AF11">
        <f t="shared" si="46"/>
        <v>1339.15040362127</v>
      </c>
      <c r="AG11">
        <f t="shared" si="47"/>
        <v>705</v>
      </c>
      <c r="AH11">
        <f t="shared" si="48"/>
        <v>352.5</v>
      </c>
      <c r="AI11">
        <f t="shared" si="19"/>
        <v>3.33333333333333</v>
      </c>
      <c r="AJ11">
        <f t="shared" si="20"/>
        <v>117.5</v>
      </c>
      <c r="AK11">
        <f t="shared" si="21"/>
        <v>30</v>
      </c>
      <c r="AL11">
        <v>1.5</v>
      </c>
      <c r="BM11">
        <v>10</v>
      </c>
      <c r="BN11">
        <f t="shared" si="22"/>
        <v>2261</v>
      </c>
      <c r="BO11">
        <f t="shared" si="23"/>
        <v>452</v>
      </c>
      <c r="BQ11">
        <f t="shared" si="24"/>
        <v>5.9</v>
      </c>
      <c r="BR11">
        <f t="shared" si="25"/>
        <v>11.8</v>
      </c>
      <c r="BS11">
        <f t="shared" si="26"/>
        <v>1.62</v>
      </c>
      <c r="BT11">
        <v>10</v>
      </c>
      <c r="BU11">
        <f t="shared" si="27"/>
        <v>5131</v>
      </c>
      <c r="BV11">
        <f t="shared" si="28"/>
        <v>1026.2</v>
      </c>
      <c r="BX11">
        <f t="shared" si="29"/>
        <v>20.45</v>
      </c>
      <c r="BY11">
        <f t="shared" si="30"/>
        <v>41</v>
      </c>
      <c r="BZ11">
        <v>10</v>
      </c>
      <c r="CA11">
        <f t="shared" si="31"/>
        <v>8083.7</v>
      </c>
      <c r="CB11">
        <f t="shared" si="32"/>
        <v>1616.6</v>
      </c>
      <c r="CD11">
        <f t="shared" si="33"/>
        <v>35.297</v>
      </c>
      <c r="CE11">
        <f t="shared" si="34"/>
        <v>70.66</v>
      </c>
      <c r="CF11">
        <f t="shared" si="35"/>
        <v>38.54</v>
      </c>
      <c r="CG11">
        <v>10</v>
      </c>
      <c r="CH11">
        <f t="shared" si="36"/>
        <v>11063</v>
      </c>
      <c r="CI11">
        <f t="shared" si="37"/>
        <v>2212</v>
      </c>
      <c r="CK11">
        <f t="shared" si="38"/>
        <v>45.225</v>
      </c>
      <c r="CL11">
        <f t="shared" si="39"/>
        <v>90.5</v>
      </c>
      <c r="CM11">
        <f t="shared" si="40"/>
        <v>58.423</v>
      </c>
      <c r="CN11">
        <v>10</v>
      </c>
      <c r="CO11">
        <f t="shared" si="41"/>
        <v>14050</v>
      </c>
      <c r="CP11">
        <f t="shared" si="42"/>
        <v>2811.2</v>
      </c>
      <c r="CR11">
        <f t="shared" si="43"/>
        <v>60.2</v>
      </c>
      <c r="CS11">
        <f t="shared" si="44"/>
        <v>120.4</v>
      </c>
      <c r="CT11">
        <f t="shared" si="45"/>
        <v>78.38</v>
      </c>
    </row>
    <row r="12" spans="1:98">
      <c r="A12" s="8">
        <v>11</v>
      </c>
      <c r="B12" s="8">
        <v>3000</v>
      </c>
      <c r="C12" s="8">
        <v>600</v>
      </c>
      <c r="D12" s="8">
        <v>600</v>
      </c>
      <c r="E12" s="8">
        <f t="shared" si="0"/>
        <v>810</v>
      </c>
      <c r="F12" s="8">
        <f t="shared" si="1"/>
        <v>162</v>
      </c>
      <c r="G12" s="8">
        <f t="shared" si="2"/>
        <v>162</v>
      </c>
      <c r="H12" s="8"/>
      <c r="I12" s="8">
        <v>0.6</v>
      </c>
      <c r="J12" s="8">
        <f t="shared" si="3"/>
        <v>0</v>
      </c>
      <c r="K12" s="8">
        <f t="shared" si="4"/>
        <v>0</v>
      </c>
      <c r="L12" s="8">
        <f t="shared" si="5"/>
        <v>0</v>
      </c>
      <c r="M12" s="8">
        <v>0</v>
      </c>
      <c r="N12" s="8">
        <f t="shared" si="6"/>
        <v>3810</v>
      </c>
      <c r="O12" s="8">
        <f t="shared" si="7"/>
        <v>762</v>
      </c>
      <c r="P12" s="8">
        <f t="shared" si="8"/>
        <v>762</v>
      </c>
      <c r="Q12" s="8">
        <v>10</v>
      </c>
      <c r="R12" s="8">
        <v>20</v>
      </c>
      <c r="S12" s="8">
        <v>5.28</v>
      </c>
      <c r="T12" s="8">
        <v>0.8</v>
      </c>
      <c r="U12" s="8">
        <v>0.028</v>
      </c>
      <c r="V12" s="8">
        <f t="shared" si="9"/>
        <v>4655.24477558784</v>
      </c>
      <c r="W12" s="8">
        <f t="shared" si="10"/>
        <v>762</v>
      </c>
      <c r="X12" s="8">
        <f t="shared" si="11"/>
        <v>762</v>
      </c>
      <c r="Y12" s="8">
        <f t="shared" si="12"/>
        <v>465.524477558784</v>
      </c>
      <c r="Z12" s="8">
        <f t="shared" si="13"/>
        <v>10</v>
      </c>
      <c r="AA12">
        <f t="shared" si="14"/>
        <v>381</v>
      </c>
      <c r="AB12">
        <f t="shared" si="15"/>
        <v>10</v>
      </c>
      <c r="AC12">
        <f t="shared" si="16"/>
        <v>2.02876059294562</v>
      </c>
      <c r="AD12">
        <f t="shared" si="17"/>
        <v>1.75172413793103</v>
      </c>
      <c r="AE12">
        <f t="shared" si="18"/>
        <v>1.75172413793103</v>
      </c>
      <c r="AF12">
        <f t="shared" si="46"/>
        <v>1551.74825852928</v>
      </c>
      <c r="AG12">
        <f t="shared" si="47"/>
        <v>762</v>
      </c>
      <c r="AH12">
        <f t="shared" si="48"/>
        <v>381</v>
      </c>
      <c r="AI12">
        <f t="shared" si="19"/>
        <v>3.33333333333333</v>
      </c>
      <c r="AJ12">
        <f t="shared" si="20"/>
        <v>127</v>
      </c>
      <c r="AK12">
        <f t="shared" si="21"/>
        <v>30</v>
      </c>
      <c r="AL12" s="5" t="s">
        <v>1225</v>
      </c>
      <c r="BM12">
        <v>11</v>
      </c>
      <c r="BN12">
        <f t="shared" si="22"/>
        <v>2290</v>
      </c>
      <c r="BO12">
        <f t="shared" si="23"/>
        <v>457.8</v>
      </c>
      <c r="BQ12">
        <f t="shared" si="24"/>
        <v>6</v>
      </c>
      <c r="BR12">
        <f t="shared" si="25"/>
        <v>12</v>
      </c>
      <c r="BS12">
        <f t="shared" si="26"/>
        <v>1.8</v>
      </c>
      <c r="BT12">
        <v>11</v>
      </c>
      <c r="BU12">
        <f t="shared" si="27"/>
        <v>5145.6</v>
      </c>
      <c r="BV12">
        <f t="shared" si="28"/>
        <v>1029.12</v>
      </c>
      <c r="BX12">
        <f t="shared" si="29"/>
        <v>20.5</v>
      </c>
      <c r="BY12">
        <f t="shared" si="30"/>
        <v>41.1</v>
      </c>
      <c r="BZ12">
        <v>11</v>
      </c>
      <c r="CA12">
        <f t="shared" si="31"/>
        <v>8093</v>
      </c>
      <c r="CB12">
        <f t="shared" si="32"/>
        <v>1618.46</v>
      </c>
      <c r="CD12">
        <f t="shared" si="33"/>
        <v>35.33</v>
      </c>
      <c r="CE12">
        <f t="shared" si="34"/>
        <v>70.726</v>
      </c>
      <c r="CF12">
        <f t="shared" si="35"/>
        <v>38.6</v>
      </c>
      <c r="CG12">
        <v>11</v>
      </c>
      <c r="CH12">
        <f t="shared" si="36"/>
        <v>11070</v>
      </c>
      <c r="CI12">
        <f t="shared" si="37"/>
        <v>2213.4</v>
      </c>
      <c r="CK12">
        <f t="shared" si="38"/>
        <v>45.25</v>
      </c>
      <c r="CL12">
        <f t="shared" si="39"/>
        <v>90.55</v>
      </c>
      <c r="CM12">
        <f t="shared" si="40"/>
        <v>58.47</v>
      </c>
      <c r="CN12">
        <v>11</v>
      </c>
      <c r="CO12">
        <f t="shared" si="41"/>
        <v>14055.6</v>
      </c>
      <c r="CP12">
        <f t="shared" si="42"/>
        <v>2812.32</v>
      </c>
      <c r="CR12">
        <f t="shared" si="43"/>
        <v>60.22</v>
      </c>
      <c r="CS12">
        <f t="shared" si="44"/>
        <v>120.44</v>
      </c>
      <c r="CT12">
        <f t="shared" si="45"/>
        <v>78.418</v>
      </c>
    </row>
    <row r="13" spans="1:98">
      <c r="A13" s="8">
        <v>12</v>
      </c>
      <c r="B13" s="8">
        <v>3100</v>
      </c>
      <c r="C13" s="8">
        <v>620</v>
      </c>
      <c r="D13" s="8">
        <v>620</v>
      </c>
      <c r="E13" s="8">
        <f t="shared" si="0"/>
        <v>870</v>
      </c>
      <c r="F13" s="8">
        <f t="shared" si="1"/>
        <v>174</v>
      </c>
      <c r="G13" s="8">
        <f t="shared" si="2"/>
        <v>174</v>
      </c>
      <c r="H13" s="8"/>
      <c r="I13" s="8">
        <v>0.6</v>
      </c>
      <c r="J13" s="8">
        <f t="shared" si="3"/>
        <v>0</v>
      </c>
      <c r="K13" s="8">
        <f t="shared" si="4"/>
        <v>0</v>
      </c>
      <c r="L13" s="8">
        <f t="shared" si="5"/>
        <v>0</v>
      </c>
      <c r="M13" s="8">
        <v>0</v>
      </c>
      <c r="N13" s="8">
        <f t="shared" si="6"/>
        <v>3970</v>
      </c>
      <c r="O13" s="8">
        <f t="shared" si="7"/>
        <v>794</v>
      </c>
      <c r="P13" s="8">
        <f t="shared" si="8"/>
        <v>794</v>
      </c>
      <c r="Q13" s="8">
        <v>10</v>
      </c>
      <c r="R13" s="8">
        <v>20</v>
      </c>
      <c r="S13" s="8">
        <v>5.94</v>
      </c>
      <c r="T13" s="8">
        <v>0.88</v>
      </c>
      <c r="U13" s="8">
        <v>0.0308</v>
      </c>
      <c r="V13" s="8">
        <f t="shared" si="9"/>
        <v>4898.32933823601</v>
      </c>
      <c r="W13" s="8">
        <f t="shared" si="10"/>
        <v>794</v>
      </c>
      <c r="X13" s="8">
        <f t="shared" si="11"/>
        <v>794</v>
      </c>
      <c r="Y13" s="8">
        <f t="shared" si="12"/>
        <v>489.832933823601</v>
      </c>
      <c r="Z13" s="8">
        <f t="shared" si="13"/>
        <v>10</v>
      </c>
      <c r="AA13">
        <f t="shared" si="14"/>
        <v>397</v>
      </c>
      <c r="AB13">
        <f t="shared" si="15"/>
        <v>10</v>
      </c>
      <c r="AC13">
        <f t="shared" si="16"/>
        <v>2.13469710224373</v>
      </c>
      <c r="AD13">
        <f t="shared" si="17"/>
        <v>1.82528735632184</v>
      </c>
      <c r="AE13">
        <f t="shared" si="18"/>
        <v>1.82528735632184</v>
      </c>
      <c r="AF13">
        <f t="shared" si="46"/>
        <v>1632.77644607867</v>
      </c>
      <c r="AG13">
        <f t="shared" si="47"/>
        <v>794</v>
      </c>
      <c r="AH13">
        <f t="shared" si="48"/>
        <v>397</v>
      </c>
      <c r="AI13">
        <f t="shared" si="19"/>
        <v>3.33333333333333</v>
      </c>
      <c r="AJ13">
        <f t="shared" si="20"/>
        <v>132.333333333333</v>
      </c>
      <c r="AK13">
        <f t="shared" si="21"/>
        <v>30.0000000000001</v>
      </c>
      <c r="AL13" s="5">
        <v>2</v>
      </c>
      <c r="BM13">
        <v>12</v>
      </c>
      <c r="BN13">
        <f t="shared" si="22"/>
        <v>2319</v>
      </c>
      <c r="BO13">
        <f t="shared" si="23"/>
        <v>463.6</v>
      </c>
      <c r="BQ13">
        <f t="shared" si="24"/>
        <v>6.1</v>
      </c>
      <c r="BR13">
        <f t="shared" si="25"/>
        <v>12.2</v>
      </c>
      <c r="BS13">
        <f t="shared" si="26"/>
        <v>1.98</v>
      </c>
      <c r="BT13">
        <v>12</v>
      </c>
      <c r="BU13">
        <f t="shared" si="27"/>
        <v>5160.2</v>
      </c>
      <c r="BV13">
        <f t="shared" si="28"/>
        <v>1032.04</v>
      </c>
      <c r="BX13">
        <f t="shared" si="29"/>
        <v>20.55</v>
      </c>
      <c r="BY13">
        <f t="shared" si="30"/>
        <v>41.2</v>
      </c>
      <c r="BZ13">
        <v>12</v>
      </c>
      <c r="CA13">
        <f t="shared" si="31"/>
        <v>8102.3</v>
      </c>
      <c r="CB13">
        <f t="shared" si="32"/>
        <v>1620.32</v>
      </c>
      <c r="CD13">
        <f t="shared" si="33"/>
        <v>35.363</v>
      </c>
      <c r="CE13">
        <f t="shared" si="34"/>
        <v>70.792</v>
      </c>
      <c r="CF13">
        <f t="shared" si="35"/>
        <v>38.66</v>
      </c>
      <c r="CG13">
        <v>12</v>
      </c>
      <c r="CH13">
        <f t="shared" si="36"/>
        <v>11077</v>
      </c>
      <c r="CI13">
        <f t="shared" si="37"/>
        <v>2214.8</v>
      </c>
      <c r="CK13">
        <f t="shared" si="38"/>
        <v>45.275</v>
      </c>
      <c r="CL13">
        <f t="shared" si="39"/>
        <v>90.6</v>
      </c>
      <c r="CM13">
        <f t="shared" si="40"/>
        <v>58.517</v>
      </c>
      <c r="CN13">
        <v>12</v>
      </c>
      <c r="CO13">
        <f t="shared" si="41"/>
        <v>14061.2</v>
      </c>
      <c r="CP13">
        <f t="shared" si="42"/>
        <v>2813.44</v>
      </c>
      <c r="CR13">
        <f t="shared" si="43"/>
        <v>60.24</v>
      </c>
      <c r="CS13">
        <f t="shared" si="44"/>
        <v>120.48</v>
      </c>
      <c r="CT13">
        <f t="shared" si="45"/>
        <v>78.456</v>
      </c>
    </row>
    <row r="14" spans="1:98">
      <c r="A14" s="8">
        <v>13</v>
      </c>
      <c r="B14" s="8">
        <v>3200</v>
      </c>
      <c r="C14" s="8">
        <v>640</v>
      </c>
      <c r="D14" s="8">
        <v>640</v>
      </c>
      <c r="E14" s="8">
        <f t="shared" si="0"/>
        <v>930</v>
      </c>
      <c r="F14" s="8">
        <f t="shared" si="1"/>
        <v>186</v>
      </c>
      <c r="G14" s="8">
        <f t="shared" si="2"/>
        <v>186</v>
      </c>
      <c r="H14" s="8"/>
      <c r="I14" s="8">
        <v>0.6</v>
      </c>
      <c r="J14" s="8">
        <f t="shared" si="3"/>
        <v>0</v>
      </c>
      <c r="K14" s="8">
        <f t="shared" si="4"/>
        <v>0</v>
      </c>
      <c r="L14" s="8">
        <f t="shared" si="5"/>
        <v>0</v>
      </c>
      <c r="M14" s="8">
        <v>0</v>
      </c>
      <c r="N14" s="8">
        <f t="shared" si="6"/>
        <v>4130</v>
      </c>
      <c r="O14" s="8">
        <f t="shared" si="7"/>
        <v>826</v>
      </c>
      <c r="P14" s="8">
        <f t="shared" si="8"/>
        <v>826</v>
      </c>
      <c r="Q14" s="8">
        <v>10</v>
      </c>
      <c r="R14" s="8">
        <v>20</v>
      </c>
      <c r="S14" s="8">
        <v>6.6</v>
      </c>
      <c r="T14" s="8">
        <v>0.96</v>
      </c>
      <c r="U14" s="8">
        <v>0.0336</v>
      </c>
      <c r="V14" s="8">
        <f t="shared" si="9"/>
        <v>5145.49453846938</v>
      </c>
      <c r="W14" s="8">
        <f t="shared" si="10"/>
        <v>826</v>
      </c>
      <c r="X14" s="8">
        <f t="shared" si="11"/>
        <v>826</v>
      </c>
      <c r="Y14" s="8">
        <f t="shared" si="12"/>
        <v>514.549453846938</v>
      </c>
      <c r="Z14" s="8">
        <f t="shared" si="13"/>
        <v>10</v>
      </c>
      <c r="AA14">
        <f t="shared" si="14"/>
        <v>413</v>
      </c>
      <c r="AB14">
        <f t="shared" si="15"/>
        <v>10</v>
      </c>
      <c r="AC14">
        <f t="shared" si="16"/>
        <v>2.24241195771395</v>
      </c>
      <c r="AD14">
        <f t="shared" si="17"/>
        <v>1.89885057471264</v>
      </c>
      <c r="AE14">
        <f t="shared" si="18"/>
        <v>1.89885057471264</v>
      </c>
      <c r="AF14">
        <f t="shared" si="46"/>
        <v>1715.16484615646</v>
      </c>
      <c r="AG14">
        <f t="shared" si="47"/>
        <v>826</v>
      </c>
      <c r="AH14">
        <f t="shared" si="48"/>
        <v>413</v>
      </c>
      <c r="AI14">
        <f t="shared" si="19"/>
        <v>3.33333333333333</v>
      </c>
      <c r="AJ14">
        <f t="shared" si="20"/>
        <v>137.666666666667</v>
      </c>
      <c r="AK14">
        <f t="shared" si="21"/>
        <v>29.9999999999999</v>
      </c>
      <c r="AL14" s="5" t="s">
        <v>1226</v>
      </c>
      <c r="BM14">
        <v>13</v>
      </c>
      <c r="BN14">
        <f t="shared" si="22"/>
        <v>2348</v>
      </c>
      <c r="BO14">
        <f t="shared" si="23"/>
        <v>469.4</v>
      </c>
      <c r="BQ14">
        <f t="shared" si="24"/>
        <v>6.2</v>
      </c>
      <c r="BR14">
        <f t="shared" si="25"/>
        <v>12.4</v>
      </c>
      <c r="BS14">
        <f t="shared" si="26"/>
        <v>2.16</v>
      </c>
      <c r="BT14">
        <v>13</v>
      </c>
      <c r="BU14">
        <f t="shared" si="27"/>
        <v>5174.8</v>
      </c>
      <c r="BV14">
        <f t="shared" si="28"/>
        <v>1034.96</v>
      </c>
      <c r="BX14">
        <f t="shared" si="29"/>
        <v>20.6</v>
      </c>
      <c r="BY14">
        <f t="shared" si="30"/>
        <v>41.3</v>
      </c>
      <c r="BZ14">
        <v>13</v>
      </c>
      <c r="CA14">
        <f t="shared" si="31"/>
        <v>8111.6</v>
      </c>
      <c r="CB14">
        <f t="shared" si="32"/>
        <v>1622.18</v>
      </c>
      <c r="CD14">
        <f t="shared" si="33"/>
        <v>35.396</v>
      </c>
      <c r="CE14">
        <f t="shared" si="34"/>
        <v>70.858</v>
      </c>
      <c r="CF14">
        <f t="shared" si="35"/>
        <v>38.72</v>
      </c>
      <c r="CG14">
        <v>13</v>
      </c>
      <c r="CH14">
        <f t="shared" si="36"/>
        <v>11084</v>
      </c>
      <c r="CI14">
        <f t="shared" si="37"/>
        <v>2216.2</v>
      </c>
      <c r="CK14">
        <f t="shared" si="38"/>
        <v>45.3</v>
      </c>
      <c r="CL14">
        <f t="shared" si="39"/>
        <v>90.65</v>
      </c>
      <c r="CM14">
        <f t="shared" si="40"/>
        <v>58.564</v>
      </c>
      <c r="CN14">
        <v>13</v>
      </c>
      <c r="CO14">
        <f t="shared" si="41"/>
        <v>14066.8</v>
      </c>
      <c r="CP14">
        <f t="shared" si="42"/>
        <v>2814.56</v>
      </c>
      <c r="CR14">
        <f t="shared" si="43"/>
        <v>60.26</v>
      </c>
      <c r="CS14">
        <f t="shared" si="44"/>
        <v>120.52</v>
      </c>
      <c r="CT14">
        <f t="shared" si="45"/>
        <v>78.494</v>
      </c>
    </row>
    <row r="15" spans="1:98">
      <c r="A15" s="8">
        <v>14</v>
      </c>
      <c r="B15" s="8">
        <v>3300</v>
      </c>
      <c r="C15" s="8">
        <v>660</v>
      </c>
      <c r="D15" s="8">
        <v>660</v>
      </c>
      <c r="E15" s="8">
        <f t="shared" si="0"/>
        <v>990</v>
      </c>
      <c r="F15" s="8">
        <f t="shared" si="1"/>
        <v>198</v>
      </c>
      <c r="G15" s="8">
        <f t="shared" si="2"/>
        <v>198</v>
      </c>
      <c r="H15" s="8"/>
      <c r="I15" s="8">
        <v>0.6</v>
      </c>
      <c r="J15" s="8">
        <f t="shared" si="3"/>
        <v>0</v>
      </c>
      <c r="K15" s="8">
        <f t="shared" si="4"/>
        <v>0</v>
      </c>
      <c r="L15" s="8">
        <f t="shared" si="5"/>
        <v>0</v>
      </c>
      <c r="M15" s="8">
        <v>0</v>
      </c>
      <c r="N15" s="8">
        <f t="shared" si="6"/>
        <v>4290</v>
      </c>
      <c r="O15" s="8">
        <f t="shared" si="7"/>
        <v>858</v>
      </c>
      <c r="P15" s="8">
        <f t="shared" si="8"/>
        <v>858</v>
      </c>
      <c r="Q15" s="8">
        <v>10</v>
      </c>
      <c r="R15" s="8">
        <v>20</v>
      </c>
      <c r="S15" s="8">
        <v>7.26</v>
      </c>
      <c r="T15" s="8">
        <v>1.04</v>
      </c>
      <c r="U15" s="8">
        <v>0.0364</v>
      </c>
      <c r="V15" s="8">
        <f t="shared" si="9"/>
        <v>5396.76925046139</v>
      </c>
      <c r="W15" s="8">
        <f t="shared" si="10"/>
        <v>858</v>
      </c>
      <c r="X15" s="8">
        <f t="shared" si="11"/>
        <v>858</v>
      </c>
      <c r="Y15" s="8">
        <f t="shared" si="12"/>
        <v>539.676925046139</v>
      </c>
      <c r="Z15" s="8">
        <f t="shared" si="13"/>
        <v>10</v>
      </c>
      <c r="AA15">
        <f t="shared" si="14"/>
        <v>429</v>
      </c>
      <c r="AB15">
        <f t="shared" si="15"/>
        <v>10</v>
      </c>
      <c r="AC15">
        <f t="shared" si="16"/>
        <v>2.3519177427516</v>
      </c>
      <c r="AD15">
        <f t="shared" si="17"/>
        <v>1.97241379310345</v>
      </c>
      <c r="AE15">
        <f t="shared" si="18"/>
        <v>1.97241379310345</v>
      </c>
      <c r="AF15">
        <f t="shared" si="46"/>
        <v>1798.92308348713</v>
      </c>
      <c r="AG15">
        <f t="shared" si="47"/>
        <v>858</v>
      </c>
      <c r="AH15">
        <f t="shared" si="48"/>
        <v>429</v>
      </c>
      <c r="AI15">
        <f t="shared" si="19"/>
        <v>3.33333333333333</v>
      </c>
      <c r="AJ15">
        <f t="shared" si="20"/>
        <v>143</v>
      </c>
      <c r="AK15">
        <f t="shared" si="21"/>
        <v>30</v>
      </c>
      <c r="AL15">
        <v>4</v>
      </c>
      <c r="BM15">
        <v>14</v>
      </c>
      <c r="BN15">
        <f t="shared" si="22"/>
        <v>2377</v>
      </c>
      <c r="BO15">
        <f t="shared" si="23"/>
        <v>475.2</v>
      </c>
      <c r="BQ15">
        <f t="shared" si="24"/>
        <v>6.3</v>
      </c>
      <c r="BR15">
        <f t="shared" si="25"/>
        <v>12.6</v>
      </c>
      <c r="BS15">
        <f t="shared" si="26"/>
        <v>2.34</v>
      </c>
      <c r="BT15">
        <v>14</v>
      </c>
      <c r="BU15">
        <f t="shared" si="27"/>
        <v>5189.4</v>
      </c>
      <c r="BV15">
        <f t="shared" si="28"/>
        <v>1037.88</v>
      </c>
      <c r="BX15">
        <f t="shared" si="29"/>
        <v>20.65</v>
      </c>
      <c r="BY15">
        <f t="shared" si="30"/>
        <v>41.4</v>
      </c>
      <c r="BZ15">
        <v>14</v>
      </c>
      <c r="CA15">
        <f t="shared" si="31"/>
        <v>8120.9</v>
      </c>
      <c r="CB15">
        <f t="shared" si="32"/>
        <v>1624.04</v>
      </c>
      <c r="CD15">
        <f t="shared" si="33"/>
        <v>35.429</v>
      </c>
      <c r="CE15">
        <f t="shared" si="34"/>
        <v>70.924</v>
      </c>
      <c r="CF15">
        <f t="shared" si="35"/>
        <v>38.78</v>
      </c>
      <c r="CG15">
        <v>14</v>
      </c>
      <c r="CH15">
        <f t="shared" si="36"/>
        <v>11091</v>
      </c>
      <c r="CI15">
        <f t="shared" si="37"/>
        <v>2217.6</v>
      </c>
      <c r="CK15">
        <f t="shared" si="38"/>
        <v>45.325</v>
      </c>
      <c r="CL15">
        <f t="shared" si="39"/>
        <v>90.7</v>
      </c>
      <c r="CM15">
        <f t="shared" si="40"/>
        <v>58.611</v>
      </c>
      <c r="CN15">
        <v>14</v>
      </c>
      <c r="CO15">
        <f t="shared" si="41"/>
        <v>14072.4</v>
      </c>
      <c r="CP15">
        <f t="shared" si="42"/>
        <v>2815.68</v>
      </c>
      <c r="CR15">
        <f t="shared" si="43"/>
        <v>60.28</v>
      </c>
      <c r="CS15">
        <f t="shared" si="44"/>
        <v>120.56</v>
      </c>
      <c r="CT15">
        <f t="shared" si="45"/>
        <v>78.532</v>
      </c>
    </row>
    <row r="16" spans="1:98">
      <c r="A16" s="8">
        <v>15</v>
      </c>
      <c r="B16" s="8">
        <v>3400</v>
      </c>
      <c r="C16" s="8">
        <v>680</v>
      </c>
      <c r="D16" s="8">
        <v>680</v>
      </c>
      <c r="E16" s="8">
        <f t="shared" si="0"/>
        <v>1050</v>
      </c>
      <c r="F16" s="8">
        <f t="shared" si="1"/>
        <v>210</v>
      </c>
      <c r="G16" s="8">
        <f t="shared" si="2"/>
        <v>210</v>
      </c>
      <c r="H16" s="8"/>
      <c r="I16" s="8">
        <v>0.6</v>
      </c>
      <c r="J16" s="8">
        <f t="shared" si="3"/>
        <v>0</v>
      </c>
      <c r="K16" s="8">
        <f t="shared" si="4"/>
        <v>0</v>
      </c>
      <c r="L16" s="8">
        <f t="shared" si="5"/>
        <v>0</v>
      </c>
      <c r="M16" s="8">
        <v>0</v>
      </c>
      <c r="N16" s="8">
        <f t="shared" si="6"/>
        <v>4450</v>
      </c>
      <c r="O16" s="8">
        <f t="shared" si="7"/>
        <v>890</v>
      </c>
      <c r="P16" s="8">
        <f t="shared" si="8"/>
        <v>890</v>
      </c>
      <c r="Q16" s="8">
        <v>10</v>
      </c>
      <c r="R16" s="8">
        <v>20</v>
      </c>
      <c r="S16" s="8">
        <v>7.92</v>
      </c>
      <c r="T16" s="8">
        <v>1.12</v>
      </c>
      <c r="U16" s="8">
        <v>0.0392</v>
      </c>
      <c r="V16" s="8">
        <f t="shared" si="9"/>
        <v>5652.18241196851</v>
      </c>
      <c r="W16" s="8">
        <f t="shared" si="10"/>
        <v>890</v>
      </c>
      <c r="X16" s="8">
        <f t="shared" si="11"/>
        <v>890</v>
      </c>
      <c r="Y16" s="8">
        <f t="shared" si="12"/>
        <v>565.218241196851</v>
      </c>
      <c r="Z16" s="8">
        <f t="shared" si="13"/>
        <v>10</v>
      </c>
      <c r="AA16">
        <f t="shared" si="14"/>
        <v>445</v>
      </c>
      <c r="AB16">
        <f t="shared" si="15"/>
        <v>10</v>
      </c>
      <c r="AC16">
        <f t="shared" si="16"/>
        <v>2.46322706846152</v>
      </c>
      <c r="AD16">
        <f t="shared" si="17"/>
        <v>2.04597701149425</v>
      </c>
      <c r="AE16">
        <f t="shared" si="18"/>
        <v>2.04597701149425</v>
      </c>
      <c r="AF16">
        <f t="shared" si="46"/>
        <v>1884.0608039895</v>
      </c>
      <c r="AG16">
        <f t="shared" si="47"/>
        <v>890</v>
      </c>
      <c r="AH16">
        <f t="shared" si="48"/>
        <v>445</v>
      </c>
      <c r="AI16">
        <f t="shared" si="19"/>
        <v>3.33333333333333</v>
      </c>
      <c r="AJ16">
        <f t="shared" si="20"/>
        <v>148.333333333333</v>
      </c>
      <c r="AK16">
        <f t="shared" si="21"/>
        <v>30.0000000000001</v>
      </c>
      <c r="AL16" s="5" t="s">
        <v>1227</v>
      </c>
      <c r="BM16">
        <v>15</v>
      </c>
      <c r="BN16">
        <f t="shared" si="22"/>
        <v>2406</v>
      </c>
      <c r="BO16">
        <f t="shared" si="23"/>
        <v>481</v>
      </c>
      <c r="BQ16">
        <f t="shared" si="24"/>
        <v>6.4</v>
      </c>
      <c r="BR16">
        <f t="shared" si="25"/>
        <v>12.8</v>
      </c>
      <c r="BS16">
        <f t="shared" si="26"/>
        <v>2.52</v>
      </c>
      <c r="BT16">
        <v>15</v>
      </c>
      <c r="BU16">
        <f t="shared" si="27"/>
        <v>5204</v>
      </c>
      <c r="BV16">
        <f t="shared" si="28"/>
        <v>1040.8</v>
      </c>
      <c r="BX16">
        <f t="shared" si="29"/>
        <v>20.7</v>
      </c>
      <c r="BY16">
        <f t="shared" si="30"/>
        <v>41.5</v>
      </c>
      <c r="BZ16">
        <v>15</v>
      </c>
      <c r="CA16">
        <f t="shared" si="31"/>
        <v>8130.2</v>
      </c>
      <c r="CB16">
        <f t="shared" si="32"/>
        <v>1625.9</v>
      </c>
      <c r="CD16">
        <f t="shared" si="33"/>
        <v>35.462</v>
      </c>
      <c r="CE16">
        <f t="shared" si="34"/>
        <v>70.99</v>
      </c>
      <c r="CF16">
        <f t="shared" si="35"/>
        <v>38.84</v>
      </c>
      <c r="CG16">
        <v>15</v>
      </c>
      <c r="CH16">
        <f t="shared" si="36"/>
        <v>11098</v>
      </c>
      <c r="CI16">
        <f t="shared" si="37"/>
        <v>2219</v>
      </c>
      <c r="CK16">
        <f t="shared" si="38"/>
        <v>45.35</v>
      </c>
      <c r="CL16">
        <f t="shared" si="39"/>
        <v>90.75</v>
      </c>
      <c r="CM16">
        <f t="shared" si="40"/>
        <v>58.658</v>
      </c>
      <c r="CN16">
        <v>15</v>
      </c>
      <c r="CO16">
        <f t="shared" si="41"/>
        <v>14078</v>
      </c>
      <c r="CP16">
        <f t="shared" si="42"/>
        <v>2816.8</v>
      </c>
      <c r="CR16">
        <f t="shared" si="43"/>
        <v>60.3</v>
      </c>
      <c r="CS16">
        <f t="shared" si="44"/>
        <v>120.6</v>
      </c>
      <c r="CT16">
        <f t="shared" si="45"/>
        <v>78.57</v>
      </c>
    </row>
    <row r="17" spans="1:98">
      <c r="A17" s="8">
        <v>16</v>
      </c>
      <c r="B17" s="8">
        <v>3500</v>
      </c>
      <c r="C17" s="8">
        <v>700</v>
      </c>
      <c r="D17" s="8">
        <v>700</v>
      </c>
      <c r="E17" s="8">
        <f t="shared" si="0"/>
        <v>1110</v>
      </c>
      <c r="F17" s="8">
        <f t="shared" si="1"/>
        <v>222</v>
      </c>
      <c r="G17" s="8">
        <f t="shared" si="2"/>
        <v>222</v>
      </c>
      <c r="H17" s="8"/>
      <c r="I17" s="8">
        <v>0.6</v>
      </c>
      <c r="J17" s="8">
        <f t="shared" si="3"/>
        <v>0</v>
      </c>
      <c r="K17" s="8">
        <f t="shared" si="4"/>
        <v>0</v>
      </c>
      <c r="L17" s="8">
        <f t="shared" si="5"/>
        <v>0</v>
      </c>
      <c r="M17" s="8">
        <v>0</v>
      </c>
      <c r="N17" s="8">
        <f t="shared" si="6"/>
        <v>4610</v>
      </c>
      <c r="O17" s="8">
        <f t="shared" si="7"/>
        <v>922</v>
      </c>
      <c r="P17" s="8">
        <f t="shared" si="8"/>
        <v>922</v>
      </c>
      <c r="Q17" s="8">
        <v>10</v>
      </c>
      <c r="R17" s="8">
        <v>20</v>
      </c>
      <c r="S17" s="8">
        <v>8.58</v>
      </c>
      <c r="T17" s="8">
        <v>1.2</v>
      </c>
      <c r="U17" s="8">
        <v>0.042</v>
      </c>
      <c r="V17" s="8">
        <f t="shared" si="9"/>
        <v>5911.76302433024</v>
      </c>
      <c r="W17" s="8">
        <f t="shared" si="10"/>
        <v>922</v>
      </c>
      <c r="X17" s="8">
        <f t="shared" si="11"/>
        <v>922</v>
      </c>
      <c r="Y17" s="8">
        <f t="shared" si="12"/>
        <v>591.176302433024</v>
      </c>
      <c r="Z17" s="8">
        <f t="shared" si="13"/>
        <v>10</v>
      </c>
      <c r="AA17">
        <f t="shared" si="14"/>
        <v>461</v>
      </c>
      <c r="AB17">
        <f t="shared" si="15"/>
        <v>10</v>
      </c>
      <c r="AC17">
        <f t="shared" si="16"/>
        <v>2.57635257365811</v>
      </c>
      <c r="AD17">
        <f t="shared" si="17"/>
        <v>2.11954022988506</v>
      </c>
      <c r="AE17">
        <f t="shared" si="18"/>
        <v>2.11954022988506</v>
      </c>
      <c r="AF17">
        <f t="shared" si="46"/>
        <v>1970.58767477675</v>
      </c>
      <c r="AG17">
        <f t="shared" si="47"/>
        <v>922</v>
      </c>
      <c r="AH17">
        <f t="shared" si="48"/>
        <v>461</v>
      </c>
      <c r="AI17">
        <f t="shared" si="19"/>
        <v>3.33333333333334</v>
      </c>
      <c r="AJ17">
        <f t="shared" si="20"/>
        <v>153.666666666667</v>
      </c>
      <c r="AK17">
        <f t="shared" si="21"/>
        <v>29.9999999999999</v>
      </c>
      <c r="AL17">
        <v>4.5</v>
      </c>
      <c r="BM17">
        <v>16</v>
      </c>
      <c r="BN17">
        <f t="shared" si="22"/>
        <v>2435</v>
      </c>
      <c r="BO17">
        <f t="shared" si="23"/>
        <v>486.8</v>
      </c>
      <c r="BQ17">
        <f t="shared" si="24"/>
        <v>6.5</v>
      </c>
      <c r="BR17">
        <f t="shared" si="25"/>
        <v>13</v>
      </c>
      <c r="BS17">
        <f t="shared" si="26"/>
        <v>2.7</v>
      </c>
      <c r="BT17">
        <v>16</v>
      </c>
      <c r="BU17">
        <f t="shared" si="27"/>
        <v>5218.6</v>
      </c>
      <c r="BV17">
        <f t="shared" si="28"/>
        <v>1043.72</v>
      </c>
      <c r="BX17">
        <f t="shared" si="29"/>
        <v>20.75</v>
      </c>
      <c r="BY17">
        <f t="shared" si="30"/>
        <v>41.6</v>
      </c>
      <c r="BZ17">
        <v>16</v>
      </c>
      <c r="CA17">
        <f t="shared" si="31"/>
        <v>8139.5</v>
      </c>
      <c r="CB17">
        <f t="shared" si="32"/>
        <v>1627.76</v>
      </c>
      <c r="CD17">
        <f t="shared" si="33"/>
        <v>35.495</v>
      </c>
      <c r="CE17">
        <f t="shared" si="34"/>
        <v>71.056</v>
      </c>
      <c r="CF17">
        <f t="shared" si="35"/>
        <v>38.9</v>
      </c>
      <c r="CG17">
        <v>16</v>
      </c>
      <c r="CH17">
        <f t="shared" si="36"/>
        <v>11105</v>
      </c>
      <c r="CI17">
        <f t="shared" si="37"/>
        <v>2220.4</v>
      </c>
      <c r="CK17">
        <f t="shared" si="38"/>
        <v>45.375</v>
      </c>
      <c r="CL17">
        <f t="shared" si="39"/>
        <v>90.8</v>
      </c>
      <c r="CM17">
        <f t="shared" si="40"/>
        <v>58.705</v>
      </c>
      <c r="CN17">
        <v>16</v>
      </c>
      <c r="CO17">
        <f t="shared" si="41"/>
        <v>14083.6</v>
      </c>
      <c r="CP17">
        <f t="shared" si="42"/>
        <v>2817.92</v>
      </c>
      <c r="CR17">
        <f t="shared" si="43"/>
        <v>60.32</v>
      </c>
      <c r="CS17">
        <f t="shared" si="44"/>
        <v>120.64</v>
      </c>
      <c r="CT17">
        <f t="shared" si="45"/>
        <v>78.608</v>
      </c>
    </row>
    <row r="18" spans="1:98">
      <c r="A18" s="8">
        <v>17</v>
      </c>
      <c r="B18" s="8">
        <v>3600</v>
      </c>
      <c r="C18" s="8">
        <v>720</v>
      </c>
      <c r="D18" s="8">
        <v>720</v>
      </c>
      <c r="E18" s="8">
        <f t="shared" si="0"/>
        <v>1170</v>
      </c>
      <c r="F18" s="8">
        <f t="shared" si="1"/>
        <v>234</v>
      </c>
      <c r="G18" s="8">
        <f t="shared" si="2"/>
        <v>234</v>
      </c>
      <c r="H18" s="8"/>
      <c r="I18" s="8">
        <v>0.6</v>
      </c>
      <c r="J18" s="8">
        <f t="shared" si="3"/>
        <v>0</v>
      </c>
      <c r="K18" s="8">
        <f t="shared" si="4"/>
        <v>0</v>
      </c>
      <c r="L18" s="8">
        <f t="shared" si="5"/>
        <v>0</v>
      </c>
      <c r="M18" s="8">
        <v>0</v>
      </c>
      <c r="N18" s="8">
        <f t="shared" si="6"/>
        <v>4770</v>
      </c>
      <c r="O18" s="8">
        <f t="shared" si="7"/>
        <v>954</v>
      </c>
      <c r="P18" s="8">
        <f t="shared" si="8"/>
        <v>954</v>
      </c>
      <c r="Q18" s="8">
        <v>10</v>
      </c>
      <c r="R18" s="8">
        <v>20</v>
      </c>
      <c r="S18" s="8">
        <v>9.24</v>
      </c>
      <c r="T18" s="8">
        <v>1.28</v>
      </c>
      <c r="U18" s="8">
        <v>0.0448</v>
      </c>
      <c r="V18" s="8">
        <f t="shared" si="9"/>
        <v>6175.54015246909</v>
      </c>
      <c r="W18" s="8">
        <f t="shared" si="10"/>
        <v>954</v>
      </c>
      <c r="X18" s="8">
        <f t="shared" si="11"/>
        <v>954</v>
      </c>
      <c r="Y18" s="8">
        <f t="shared" si="12"/>
        <v>617.55401524691</v>
      </c>
      <c r="Z18" s="8">
        <f t="shared" si="13"/>
        <v>9.99999999999998</v>
      </c>
      <c r="AA18">
        <f t="shared" si="14"/>
        <v>477</v>
      </c>
      <c r="AB18">
        <f t="shared" si="15"/>
        <v>10</v>
      </c>
      <c r="AC18">
        <f t="shared" si="16"/>
        <v>2.69130692486532</v>
      </c>
      <c r="AD18">
        <f t="shared" si="17"/>
        <v>2.19310344827586</v>
      </c>
      <c r="AE18">
        <f t="shared" si="18"/>
        <v>2.19310344827586</v>
      </c>
      <c r="AF18">
        <f t="shared" si="46"/>
        <v>2058.51338415636</v>
      </c>
      <c r="AG18">
        <f t="shared" si="47"/>
        <v>954</v>
      </c>
      <c r="AH18">
        <f t="shared" si="48"/>
        <v>477</v>
      </c>
      <c r="AI18">
        <f t="shared" si="19"/>
        <v>3.33333333333332</v>
      </c>
      <c r="AJ18">
        <f t="shared" si="20"/>
        <v>159</v>
      </c>
      <c r="AK18">
        <f t="shared" si="21"/>
        <v>30</v>
      </c>
      <c r="BM18">
        <v>17</v>
      </c>
      <c r="BN18">
        <f t="shared" si="22"/>
        <v>2464</v>
      </c>
      <c r="BO18">
        <f t="shared" si="23"/>
        <v>492.6</v>
      </c>
      <c r="BQ18">
        <f t="shared" si="24"/>
        <v>6.6</v>
      </c>
      <c r="BR18">
        <f t="shared" si="25"/>
        <v>13.2</v>
      </c>
      <c r="BS18">
        <f t="shared" si="26"/>
        <v>2.88</v>
      </c>
      <c r="BT18">
        <v>17</v>
      </c>
      <c r="BU18">
        <f t="shared" si="27"/>
        <v>5233.2</v>
      </c>
      <c r="BV18">
        <f t="shared" si="28"/>
        <v>1046.64</v>
      </c>
      <c r="BX18">
        <f t="shared" si="29"/>
        <v>20.8</v>
      </c>
      <c r="BY18">
        <f t="shared" si="30"/>
        <v>41.7</v>
      </c>
      <c r="BZ18">
        <v>17</v>
      </c>
      <c r="CA18">
        <f t="shared" si="31"/>
        <v>8148.8</v>
      </c>
      <c r="CB18">
        <f t="shared" si="32"/>
        <v>1629.62</v>
      </c>
      <c r="CD18">
        <f t="shared" si="33"/>
        <v>35.528</v>
      </c>
      <c r="CE18">
        <f t="shared" si="34"/>
        <v>71.122</v>
      </c>
      <c r="CF18">
        <f t="shared" si="35"/>
        <v>38.96</v>
      </c>
      <c r="CG18">
        <v>17</v>
      </c>
      <c r="CH18">
        <f t="shared" si="36"/>
        <v>11112</v>
      </c>
      <c r="CI18">
        <f t="shared" si="37"/>
        <v>2221.8</v>
      </c>
      <c r="CK18">
        <f t="shared" si="38"/>
        <v>45.4</v>
      </c>
      <c r="CL18">
        <f t="shared" si="39"/>
        <v>90.85</v>
      </c>
      <c r="CM18">
        <f t="shared" si="40"/>
        <v>58.752</v>
      </c>
      <c r="CN18">
        <v>17</v>
      </c>
      <c r="CO18">
        <f t="shared" si="41"/>
        <v>14089.2</v>
      </c>
      <c r="CP18">
        <f t="shared" si="42"/>
        <v>2819.04</v>
      </c>
      <c r="CR18">
        <f t="shared" si="43"/>
        <v>60.34</v>
      </c>
      <c r="CS18">
        <f t="shared" si="44"/>
        <v>120.68</v>
      </c>
      <c r="CT18">
        <f t="shared" si="45"/>
        <v>78.646</v>
      </c>
    </row>
    <row r="19" spans="1:98">
      <c r="A19" s="8">
        <v>18</v>
      </c>
      <c r="B19" s="8">
        <v>3700</v>
      </c>
      <c r="C19" s="8">
        <v>740</v>
      </c>
      <c r="D19" s="8">
        <v>740</v>
      </c>
      <c r="E19" s="8">
        <f t="shared" si="0"/>
        <v>1230</v>
      </c>
      <c r="F19" s="8">
        <f t="shared" si="1"/>
        <v>246</v>
      </c>
      <c r="G19" s="8">
        <f t="shared" si="2"/>
        <v>246</v>
      </c>
      <c r="H19" s="8"/>
      <c r="I19" s="8">
        <v>0.6</v>
      </c>
      <c r="J19" s="8">
        <f t="shared" si="3"/>
        <v>0</v>
      </c>
      <c r="K19" s="8">
        <f t="shared" si="4"/>
        <v>0</v>
      </c>
      <c r="L19" s="8">
        <f t="shared" si="5"/>
        <v>0</v>
      </c>
      <c r="M19" s="8">
        <v>0</v>
      </c>
      <c r="N19" s="8">
        <f t="shared" si="6"/>
        <v>4930</v>
      </c>
      <c r="O19" s="8">
        <f t="shared" si="7"/>
        <v>986</v>
      </c>
      <c r="P19" s="8">
        <f t="shared" si="8"/>
        <v>986</v>
      </c>
      <c r="Q19" s="8">
        <v>10</v>
      </c>
      <c r="R19" s="8">
        <v>20</v>
      </c>
      <c r="S19" s="8">
        <v>9.9</v>
      </c>
      <c r="T19" s="8">
        <v>1.36</v>
      </c>
      <c r="U19" s="8">
        <v>0.0476</v>
      </c>
      <c r="V19" s="8">
        <f t="shared" si="9"/>
        <v>6443.54292489063</v>
      </c>
      <c r="W19" s="8">
        <f t="shared" si="10"/>
        <v>986</v>
      </c>
      <c r="X19" s="8">
        <f t="shared" si="11"/>
        <v>986</v>
      </c>
      <c r="Y19" s="8">
        <f t="shared" si="12"/>
        <v>644.354292489063</v>
      </c>
      <c r="Z19" s="8">
        <f t="shared" si="13"/>
        <v>10</v>
      </c>
      <c r="AA19">
        <f t="shared" si="14"/>
        <v>493</v>
      </c>
      <c r="AB19">
        <f t="shared" si="15"/>
        <v>10</v>
      </c>
      <c r="AC19">
        <f t="shared" si="16"/>
        <v>2.80810281631667</v>
      </c>
      <c r="AD19">
        <f t="shared" si="17"/>
        <v>2.26666666666667</v>
      </c>
      <c r="AE19">
        <f t="shared" si="18"/>
        <v>2.26666666666667</v>
      </c>
      <c r="AF19">
        <f t="shared" si="46"/>
        <v>2147.84764163021</v>
      </c>
      <c r="AG19">
        <f t="shared" si="47"/>
        <v>986</v>
      </c>
      <c r="AH19">
        <f t="shared" si="48"/>
        <v>493</v>
      </c>
      <c r="AI19">
        <f t="shared" si="19"/>
        <v>3.33333333333333</v>
      </c>
      <c r="AJ19">
        <f t="shared" si="20"/>
        <v>164.333333333333</v>
      </c>
      <c r="AK19">
        <f t="shared" si="21"/>
        <v>30.0000000000001</v>
      </c>
      <c r="BM19">
        <v>18</v>
      </c>
      <c r="BN19">
        <f t="shared" si="22"/>
        <v>2493</v>
      </c>
      <c r="BO19">
        <f t="shared" si="23"/>
        <v>498.4</v>
      </c>
      <c r="BQ19">
        <f t="shared" si="24"/>
        <v>6.7</v>
      </c>
      <c r="BR19">
        <f t="shared" si="25"/>
        <v>13.4</v>
      </c>
      <c r="BS19">
        <f t="shared" si="26"/>
        <v>3.06</v>
      </c>
      <c r="BT19">
        <v>18</v>
      </c>
      <c r="BU19">
        <f t="shared" si="27"/>
        <v>5247.8</v>
      </c>
      <c r="BV19">
        <f t="shared" si="28"/>
        <v>1049.56</v>
      </c>
      <c r="BX19">
        <f t="shared" si="29"/>
        <v>20.85</v>
      </c>
      <c r="BY19">
        <f t="shared" si="30"/>
        <v>41.8</v>
      </c>
      <c r="BZ19">
        <v>18</v>
      </c>
      <c r="CA19">
        <f t="shared" si="31"/>
        <v>8158.1</v>
      </c>
      <c r="CB19">
        <f t="shared" si="32"/>
        <v>1631.48</v>
      </c>
      <c r="CD19">
        <f t="shared" si="33"/>
        <v>35.561</v>
      </c>
      <c r="CE19">
        <f t="shared" si="34"/>
        <v>71.188</v>
      </c>
      <c r="CF19">
        <f t="shared" si="35"/>
        <v>39.02</v>
      </c>
      <c r="CG19">
        <v>18</v>
      </c>
      <c r="CH19">
        <f t="shared" si="36"/>
        <v>11119</v>
      </c>
      <c r="CI19">
        <f t="shared" si="37"/>
        <v>2223.2</v>
      </c>
      <c r="CK19">
        <f t="shared" si="38"/>
        <v>45.425</v>
      </c>
      <c r="CL19">
        <f t="shared" si="39"/>
        <v>90.9</v>
      </c>
      <c r="CM19">
        <f t="shared" si="40"/>
        <v>58.799</v>
      </c>
      <c r="CN19">
        <v>18</v>
      </c>
      <c r="CO19">
        <f t="shared" si="41"/>
        <v>14094.8</v>
      </c>
      <c r="CP19">
        <f t="shared" si="42"/>
        <v>2820.16</v>
      </c>
      <c r="CR19">
        <f t="shared" si="43"/>
        <v>60.36</v>
      </c>
      <c r="CS19">
        <f t="shared" si="44"/>
        <v>120.72</v>
      </c>
      <c r="CT19">
        <f t="shared" si="45"/>
        <v>78.684</v>
      </c>
    </row>
    <row r="20" spans="1:98">
      <c r="A20" s="8">
        <v>19</v>
      </c>
      <c r="B20" s="8">
        <v>3800</v>
      </c>
      <c r="C20" s="8">
        <v>760</v>
      </c>
      <c r="D20" s="8">
        <v>760</v>
      </c>
      <c r="E20" s="8">
        <f t="shared" si="0"/>
        <v>1290</v>
      </c>
      <c r="F20" s="8">
        <f t="shared" si="1"/>
        <v>258</v>
      </c>
      <c r="G20" s="8">
        <f t="shared" si="2"/>
        <v>258</v>
      </c>
      <c r="H20" s="8"/>
      <c r="I20" s="8">
        <v>0.6</v>
      </c>
      <c r="J20" s="8">
        <f t="shared" si="3"/>
        <v>0</v>
      </c>
      <c r="K20" s="8">
        <f t="shared" si="4"/>
        <v>0</v>
      </c>
      <c r="L20" s="8">
        <f t="shared" si="5"/>
        <v>0</v>
      </c>
      <c r="M20" s="8">
        <v>0</v>
      </c>
      <c r="N20" s="8">
        <f t="shared" si="6"/>
        <v>5090</v>
      </c>
      <c r="O20" s="8">
        <f t="shared" si="7"/>
        <v>1018</v>
      </c>
      <c r="P20" s="8">
        <f t="shared" si="8"/>
        <v>1018</v>
      </c>
      <c r="Q20" s="8">
        <v>10</v>
      </c>
      <c r="R20" s="8">
        <v>20</v>
      </c>
      <c r="S20" s="8">
        <v>10.56</v>
      </c>
      <c r="T20" s="8">
        <v>1.44</v>
      </c>
      <c r="U20" s="8">
        <v>0.0504</v>
      </c>
      <c r="V20" s="8">
        <f t="shared" si="9"/>
        <v>6715.80053368341</v>
      </c>
      <c r="W20" s="8">
        <f t="shared" si="10"/>
        <v>1018</v>
      </c>
      <c r="X20" s="8">
        <f t="shared" si="11"/>
        <v>1018</v>
      </c>
      <c r="Y20" s="8">
        <f t="shared" si="12"/>
        <v>671.580053368341</v>
      </c>
      <c r="Z20" s="8">
        <f t="shared" si="13"/>
        <v>10</v>
      </c>
      <c r="AA20">
        <f t="shared" si="14"/>
        <v>509</v>
      </c>
      <c r="AB20">
        <f t="shared" si="15"/>
        <v>10</v>
      </c>
      <c r="AC20">
        <f t="shared" si="16"/>
        <v>2.92675296995518</v>
      </c>
      <c r="AD20">
        <f t="shared" si="17"/>
        <v>2.34022988505747</v>
      </c>
      <c r="AE20">
        <f t="shared" si="18"/>
        <v>2.34022988505747</v>
      </c>
      <c r="AF20">
        <f t="shared" si="46"/>
        <v>2238.60017789447</v>
      </c>
      <c r="AG20">
        <f t="shared" si="47"/>
        <v>1018</v>
      </c>
      <c r="AH20">
        <f t="shared" si="48"/>
        <v>509</v>
      </c>
      <c r="AI20">
        <f t="shared" si="19"/>
        <v>3.33333333333333</v>
      </c>
      <c r="AJ20">
        <f t="shared" si="20"/>
        <v>169.666666666667</v>
      </c>
      <c r="AK20">
        <f t="shared" si="21"/>
        <v>29.9999999999999</v>
      </c>
      <c r="BM20">
        <v>19</v>
      </c>
      <c r="BN20">
        <f t="shared" si="22"/>
        <v>2522</v>
      </c>
      <c r="BO20">
        <f t="shared" si="23"/>
        <v>504.2</v>
      </c>
      <c r="BQ20">
        <f t="shared" si="24"/>
        <v>6.8</v>
      </c>
      <c r="BR20">
        <f t="shared" si="25"/>
        <v>13.6</v>
      </c>
      <c r="BS20">
        <f t="shared" si="26"/>
        <v>3.24</v>
      </c>
      <c r="BT20">
        <v>19</v>
      </c>
      <c r="BU20">
        <f t="shared" si="27"/>
        <v>5262.4</v>
      </c>
      <c r="BV20">
        <f t="shared" si="28"/>
        <v>1052.48</v>
      </c>
      <c r="BX20">
        <f t="shared" si="29"/>
        <v>20.9</v>
      </c>
      <c r="BY20">
        <f t="shared" si="30"/>
        <v>41.9</v>
      </c>
      <c r="BZ20">
        <v>19</v>
      </c>
      <c r="CA20">
        <f t="shared" si="31"/>
        <v>8167.4</v>
      </c>
      <c r="CB20">
        <f t="shared" si="32"/>
        <v>1633.34</v>
      </c>
      <c r="CD20">
        <f t="shared" si="33"/>
        <v>35.594</v>
      </c>
      <c r="CE20">
        <f t="shared" si="34"/>
        <v>71.254</v>
      </c>
      <c r="CF20">
        <f t="shared" si="35"/>
        <v>39.08</v>
      </c>
      <c r="CG20">
        <v>19</v>
      </c>
      <c r="CH20">
        <f t="shared" si="36"/>
        <v>11126</v>
      </c>
      <c r="CI20">
        <f t="shared" si="37"/>
        <v>2224.6</v>
      </c>
      <c r="CK20">
        <f t="shared" si="38"/>
        <v>45.45</v>
      </c>
      <c r="CL20">
        <f t="shared" si="39"/>
        <v>90.95</v>
      </c>
      <c r="CM20">
        <f t="shared" si="40"/>
        <v>58.846</v>
      </c>
      <c r="CN20">
        <v>19</v>
      </c>
      <c r="CO20">
        <f t="shared" si="41"/>
        <v>14100.4</v>
      </c>
      <c r="CP20">
        <f t="shared" si="42"/>
        <v>2821.28</v>
      </c>
      <c r="CR20">
        <f t="shared" si="43"/>
        <v>60.38</v>
      </c>
      <c r="CS20">
        <f t="shared" si="44"/>
        <v>120.76</v>
      </c>
      <c r="CT20">
        <f t="shared" si="45"/>
        <v>78.722</v>
      </c>
    </row>
    <row r="21" spans="1:98">
      <c r="A21" s="8">
        <v>20</v>
      </c>
      <c r="B21" s="8">
        <v>3900</v>
      </c>
      <c r="C21" s="8">
        <v>780</v>
      </c>
      <c r="D21" s="8">
        <v>780</v>
      </c>
      <c r="E21" s="8">
        <f t="shared" si="0"/>
        <v>1350</v>
      </c>
      <c r="F21" s="8">
        <f t="shared" si="1"/>
        <v>270</v>
      </c>
      <c r="G21" s="8">
        <f t="shared" si="2"/>
        <v>270</v>
      </c>
      <c r="H21" s="8"/>
      <c r="I21" s="8">
        <v>0.6</v>
      </c>
      <c r="J21" s="8">
        <f t="shared" si="3"/>
        <v>0</v>
      </c>
      <c r="K21" s="8">
        <f t="shared" si="4"/>
        <v>0</v>
      </c>
      <c r="L21" s="8">
        <f t="shared" si="5"/>
        <v>0</v>
      </c>
      <c r="M21" s="8">
        <v>0</v>
      </c>
      <c r="N21" s="8">
        <f t="shared" si="6"/>
        <v>5250</v>
      </c>
      <c r="O21" s="8">
        <f t="shared" si="7"/>
        <v>1050</v>
      </c>
      <c r="P21" s="8">
        <f t="shared" si="8"/>
        <v>1050</v>
      </c>
      <c r="Q21" s="8">
        <v>10</v>
      </c>
      <c r="R21" s="8">
        <v>20</v>
      </c>
      <c r="S21" s="8">
        <v>11.22</v>
      </c>
      <c r="T21" s="8">
        <v>1.52</v>
      </c>
      <c r="U21" s="8">
        <v>0.0532</v>
      </c>
      <c r="V21" s="8">
        <f t="shared" si="9"/>
        <v>6992.34223451904</v>
      </c>
      <c r="W21" s="8">
        <f t="shared" si="10"/>
        <v>1050</v>
      </c>
      <c r="X21" s="8">
        <f t="shared" si="11"/>
        <v>1050</v>
      </c>
      <c r="Y21" s="8">
        <f t="shared" si="12"/>
        <v>699.234223451904</v>
      </c>
      <c r="Z21" s="8">
        <f t="shared" si="13"/>
        <v>10</v>
      </c>
      <c r="AA21">
        <f t="shared" si="14"/>
        <v>525</v>
      </c>
      <c r="AB21">
        <f t="shared" si="15"/>
        <v>10</v>
      </c>
      <c r="AC21">
        <f t="shared" si="16"/>
        <v>3.04727013543348</v>
      </c>
      <c r="AD21">
        <f t="shared" si="17"/>
        <v>2.41379310344828</v>
      </c>
      <c r="AE21">
        <f t="shared" si="18"/>
        <v>2.41379310344828</v>
      </c>
      <c r="AF21">
        <f t="shared" si="46"/>
        <v>2330.78074483968</v>
      </c>
      <c r="AG21">
        <f t="shared" si="47"/>
        <v>1050</v>
      </c>
      <c r="AH21">
        <f t="shared" si="48"/>
        <v>525</v>
      </c>
      <c r="AI21">
        <f t="shared" si="19"/>
        <v>3.33333333333333</v>
      </c>
      <c r="AJ21">
        <f t="shared" si="20"/>
        <v>175</v>
      </c>
      <c r="AK21">
        <f t="shared" si="21"/>
        <v>30</v>
      </c>
      <c r="BM21">
        <v>20</v>
      </c>
      <c r="BN21">
        <f t="shared" si="22"/>
        <v>2551</v>
      </c>
      <c r="BO21">
        <f t="shared" si="23"/>
        <v>510</v>
      </c>
      <c r="BQ21">
        <f t="shared" si="24"/>
        <v>6.9</v>
      </c>
      <c r="BR21">
        <f t="shared" si="25"/>
        <v>13.8</v>
      </c>
      <c r="BS21">
        <f t="shared" si="26"/>
        <v>3.42</v>
      </c>
      <c r="BT21">
        <v>20</v>
      </c>
      <c r="BU21">
        <f t="shared" si="27"/>
        <v>5277</v>
      </c>
      <c r="BV21">
        <f t="shared" si="28"/>
        <v>1055.4</v>
      </c>
      <c r="BX21">
        <f t="shared" si="29"/>
        <v>20.95</v>
      </c>
      <c r="BY21">
        <f t="shared" si="30"/>
        <v>42</v>
      </c>
      <c r="BZ21">
        <v>20</v>
      </c>
      <c r="CA21">
        <f t="shared" si="31"/>
        <v>8176.7</v>
      </c>
      <c r="CB21">
        <f t="shared" si="32"/>
        <v>1635.2</v>
      </c>
      <c r="CD21">
        <f t="shared" si="33"/>
        <v>35.627</v>
      </c>
      <c r="CE21">
        <f t="shared" si="34"/>
        <v>71.32</v>
      </c>
      <c r="CF21">
        <f t="shared" si="35"/>
        <v>39.14</v>
      </c>
      <c r="CG21">
        <v>20</v>
      </c>
      <c r="CH21">
        <f t="shared" si="36"/>
        <v>11133</v>
      </c>
      <c r="CI21">
        <f t="shared" si="37"/>
        <v>2226</v>
      </c>
      <c r="CK21">
        <f t="shared" si="38"/>
        <v>45.475</v>
      </c>
      <c r="CL21">
        <f t="shared" si="39"/>
        <v>91</v>
      </c>
      <c r="CM21">
        <f t="shared" si="40"/>
        <v>58.893</v>
      </c>
      <c r="CN21">
        <v>20</v>
      </c>
      <c r="CO21">
        <f t="shared" si="41"/>
        <v>14106</v>
      </c>
      <c r="CP21">
        <f t="shared" si="42"/>
        <v>2822.4</v>
      </c>
      <c r="CR21">
        <f t="shared" si="43"/>
        <v>60.4</v>
      </c>
      <c r="CS21">
        <f t="shared" si="44"/>
        <v>120.8</v>
      </c>
      <c r="CT21">
        <f t="shared" si="45"/>
        <v>78.76</v>
      </c>
    </row>
    <row r="22" spans="1:98">
      <c r="A22" s="8">
        <v>21</v>
      </c>
      <c r="B22" s="8">
        <v>4000</v>
      </c>
      <c r="C22" s="8">
        <v>800</v>
      </c>
      <c r="D22" s="8">
        <v>800</v>
      </c>
      <c r="E22" s="8">
        <f t="shared" si="0"/>
        <v>1645</v>
      </c>
      <c r="F22" s="8">
        <f t="shared" si="1"/>
        <v>329</v>
      </c>
      <c r="G22" s="8">
        <f t="shared" si="2"/>
        <v>329</v>
      </c>
      <c r="H22" s="8"/>
      <c r="I22" s="8">
        <v>0.7</v>
      </c>
      <c r="J22" s="8">
        <f t="shared" si="3"/>
        <v>0</v>
      </c>
      <c r="K22" s="8">
        <f t="shared" si="4"/>
        <v>0</v>
      </c>
      <c r="L22" s="8">
        <f t="shared" si="5"/>
        <v>0</v>
      </c>
      <c r="M22" s="8">
        <v>0</v>
      </c>
      <c r="N22" s="8">
        <f t="shared" si="6"/>
        <v>5645</v>
      </c>
      <c r="O22" s="8">
        <f t="shared" si="7"/>
        <v>1129</v>
      </c>
      <c r="P22" s="8">
        <f t="shared" si="8"/>
        <v>1129</v>
      </c>
      <c r="Q22" s="8">
        <v>15</v>
      </c>
      <c r="R22" s="8">
        <v>30</v>
      </c>
      <c r="S22" s="8">
        <v>11.88</v>
      </c>
      <c r="T22" s="8">
        <v>1.6</v>
      </c>
      <c r="U22" s="8">
        <v>0.056</v>
      </c>
      <c r="V22" s="8">
        <f t="shared" si="9"/>
        <v>8097.33179811072</v>
      </c>
      <c r="W22" s="8">
        <f t="shared" si="10"/>
        <v>1129</v>
      </c>
      <c r="X22" s="8">
        <f t="shared" si="11"/>
        <v>1129</v>
      </c>
      <c r="Y22" s="8">
        <f t="shared" si="12"/>
        <v>809.733179811072</v>
      </c>
      <c r="Z22" s="8">
        <f t="shared" si="13"/>
        <v>10</v>
      </c>
      <c r="AA22">
        <f t="shared" si="14"/>
        <v>564.5</v>
      </c>
      <c r="AB22">
        <f t="shared" si="15"/>
        <v>10</v>
      </c>
      <c r="AC22">
        <f t="shared" si="16"/>
        <v>3.52882575501911</v>
      </c>
      <c r="AD22">
        <f t="shared" si="17"/>
        <v>2.59540229885057</v>
      </c>
      <c r="AE22">
        <f t="shared" si="18"/>
        <v>2.59540229885057</v>
      </c>
      <c r="AF22">
        <f t="shared" si="46"/>
        <v>2699.11059937024</v>
      </c>
      <c r="AG22">
        <f t="shared" si="47"/>
        <v>1129</v>
      </c>
      <c r="AH22">
        <f t="shared" si="48"/>
        <v>564.5</v>
      </c>
      <c r="AI22">
        <f t="shared" si="19"/>
        <v>3.33333333333333</v>
      </c>
      <c r="AJ22">
        <f t="shared" si="20"/>
        <v>188.166666666667</v>
      </c>
      <c r="AK22">
        <f t="shared" si="21"/>
        <v>29.9999999999999</v>
      </c>
      <c r="BM22">
        <v>21</v>
      </c>
      <c r="BN22">
        <f t="shared" si="22"/>
        <v>2580</v>
      </c>
      <c r="BO22">
        <f t="shared" si="23"/>
        <v>515.8</v>
      </c>
      <c r="BQ22">
        <f t="shared" si="24"/>
        <v>7</v>
      </c>
      <c r="BR22">
        <f t="shared" si="25"/>
        <v>14</v>
      </c>
      <c r="BS22">
        <f t="shared" si="26"/>
        <v>3.6</v>
      </c>
      <c r="BT22">
        <v>21</v>
      </c>
      <c r="BU22">
        <f t="shared" si="27"/>
        <v>5291.6</v>
      </c>
      <c r="BV22">
        <f t="shared" si="28"/>
        <v>1058.32</v>
      </c>
      <c r="BX22">
        <f t="shared" si="29"/>
        <v>21</v>
      </c>
      <c r="BY22">
        <f t="shared" si="30"/>
        <v>42.1</v>
      </c>
      <c r="BZ22">
        <v>21</v>
      </c>
      <c r="CA22">
        <f t="shared" si="31"/>
        <v>8186</v>
      </c>
      <c r="CB22">
        <f t="shared" si="32"/>
        <v>1637.06</v>
      </c>
      <c r="CD22">
        <f t="shared" si="33"/>
        <v>35.66</v>
      </c>
      <c r="CE22">
        <f t="shared" si="34"/>
        <v>71.386</v>
      </c>
      <c r="CF22">
        <f t="shared" si="35"/>
        <v>39.2</v>
      </c>
      <c r="CG22">
        <v>21</v>
      </c>
      <c r="CH22">
        <f t="shared" si="36"/>
        <v>11140</v>
      </c>
      <c r="CI22">
        <f t="shared" si="37"/>
        <v>2227.4</v>
      </c>
      <c r="CK22">
        <f t="shared" si="38"/>
        <v>45.5</v>
      </c>
      <c r="CL22">
        <f t="shared" si="39"/>
        <v>91.05</v>
      </c>
      <c r="CM22">
        <f t="shared" si="40"/>
        <v>58.94</v>
      </c>
      <c r="CN22">
        <v>21</v>
      </c>
      <c r="CO22">
        <f t="shared" si="41"/>
        <v>14111.6</v>
      </c>
      <c r="CP22">
        <f t="shared" si="42"/>
        <v>2823.52</v>
      </c>
      <c r="CR22">
        <f t="shared" si="43"/>
        <v>60.42</v>
      </c>
      <c r="CS22">
        <f t="shared" si="44"/>
        <v>120.84</v>
      </c>
      <c r="CT22">
        <f t="shared" si="45"/>
        <v>78.798</v>
      </c>
    </row>
    <row r="23" spans="1:98">
      <c r="A23" s="8">
        <v>22</v>
      </c>
      <c r="B23" s="8">
        <v>4100</v>
      </c>
      <c r="C23" s="8">
        <v>820</v>
      </c>
      <c r="D23" s="8">
        <v>820</v>
      </c>
      <c r="E23" s="8">
        <f t="shared" si="0"/>
        <v>1715</v>
      </c>
      <c r="F23" s="8">
        <f t="shared" si="1"/>
        <v>343</v>
      </c>
      <c r="G23" s="8">
        <f t="shared" si="2"/>
        <v>343</v>
      </c>
      <c r="H23" s="8"/>
      <c r="I23" s="8">
        <v>0.7</v>
      </c>
      <c r="J23" s="8">
        <f t="shared" si="3"/>
        <v>0</v>
      </c>
      <c r="K23" s="8">
        <f t="shared" si="4"/>
        <v>0</v>
      </c>
      <c r="L23" s="8">
        <f t="shared" si="5"/>
        <v>0</v>
      </c>
      <c r="M23" s="8">
        <v>0</v>
      </c>
      <c r="N23" s="8">
        <f t="shared" si="6"/>
        <v>5815</v>
      </c>
      <c r="O23" s="8">
        <f t="shared" si="7"/>
        <v>1163</v>
      </c>
      <c r="P23" s="8">
        <f t="shared" si="8"/>
        <v>1163</v>
      </c>
      <c r="Q23" s="8">
        <v>15</v>
      </c>
      <c r="R23" s="8">
        <v>30</v>
      </c>
      <c r="S23" s="8">
        <v>12.54</v>
      </c>
      <c r="T23" s="8">
        <v>1.68</v>
      </c>
      <c r="U23" s="8">
        <v>0.0588</v>
      </c>
      <c r="V23" s="8">
        <f t="shared" si="9"/>
        <v>8419.26162684343</v>
      </c>
      <c r="W23" s="8">
        <f t="shared" si="10"/>
        <v>1163</v>
      </c>
      <c r="X23" s="8">
        <f t="shared" si="11"/>
        <v>1163</v>
      </c>
      <c r="Y23" s="8">
        <f t="shared" si="12"/>
        <v>841.926162684343</v>
      </c>
      <c r="Z23" s="8">
        <f t="shared" si="13"/>
        <v>10</v>
      </c>
      <c r="AA23">
        <f t="shared" si="14"/>
        <v>581.5</v>
      </c>
      <c r="AB23">
        <f t="shared" si="15"/>
        <v>10</v>
      </c>
      <c r="AC23">
        <f t="shared" si="16"/>
        <v>3.66912311460192</v>
      </c>
      <c r="AD23">
        <f t="shared" si="17"/>
        <v>2.6735632183908</v>
      </c>
      <c r="AE23">
        <f t="shared" si="18"/>
        <v>2.6735632183908</v>
      </c>
      <c r="AF23">
        <f t="shared" si="46"/>
        <v>2806.42054228114</v>
      </c>
      <c r="AG23">
        <f t="shared" si="47"/>
        <v>1163</v>
      </c>
      <c r="AH23">
        <f t="shared" si="48"/>
        <v>581.5</v>
      </c>
      <c r="AI23">
        <f t="shared" si="19"/>
        <v>3.33333333333333</v>
      </c>
      <c r="AJ23">
        <f t="shared" si="20"/>
        <v>193.833333333333</v>
      </c>
      <c r="AK23">
        <f t="shared" si="21"/>
        <v>30.0000000000001</v>
      </c>
      <c r="BM23">
        <v>22</v>
      </c>
      <c r="BN23">
        <f t="shared" si="22"/>
        <v>2609</v>
      </c>
      <c r="BO23">
        <f t="shared" si="23"/>
        <v>521.6</v>
      </c>
      <c r="BQ23">
        <f t="shared" si="24"/>
        <v>7.1</v>
      </c>
      <c r="BR23">
        <f t="shared" si="25"/>
        <v>14.2</v>
      </c>
      <c r="BS23">
        <f t="shared" si="26"/>
        <v>3.78</v>
      </c>
      <c r="BT23">
        <v>22</v>
      </c>
      <c r="BU23">
        <f t="shared" si="27"/>
        <v>5306.2</v>
      </c>
      <c r="BV23">
        <f t="shared" si="28"/>
        <v>1061.24</v>
      </c>
      <c r="BX23">
        <f t="shared" si="29"/>
        <v>21.05</v>
      </c>
      <c r="BY23">
        <f t="shared" si="30"/>
        <v>42.2</v>
      </c>
      <c r="BZ23">
        <v>22</v>
      </c>
      <c r="CA23">
        <f t="shared" si="31"/>
        <v>8195.3</v>
      </c>
      <c r="CB23">
        <f t="shared" si="32"/>
        <v>1638.92</v>
      </c>
      <c r="CD23">
        <f t="shared" si="33"/>
        <v>35.693</v>
      </c>
      <c r="CE23">
        <f t="shared" si="34"/>
        <v>71.452</v>
      </c>
      <c r="CF23">
        <f t="shared" si="35"/>
        <v>39.26</v>
      </c>
      <c r="CG23">
        <v>22</v>
      </c>
      <c r="CH23">
        <f t="shared" si="36"/>
        <v>11147</v>
      </c>
      <c r="CI23">
        <f t="shared" si="37"/>
        <v>2228.8</v>
      </c>
      <c r="CK23">
        <f t="shared" si="38"/>
        <v>45.525</v>
      </c>
      <c r="CL23">
        <f t="shared" si="39"/>
        <v>91.1</v>
      </c>
      <c r="CM23">
        <f t="shared" si="40"/>
        <v>58.987</v>
      </c>
      <c r="CN23">
        <v>22</v>
      </c>
      <c r="CO23">
        <f t="shared" si="41"/>
        <v>14117.2</v>
      </c>
      <c r="CP23">
        <f t="shared" si="42"/>
        <v>2824.64</v>
      </c>
      <c r="CR23">
        <f t="shared" si="43"/>
        <v>60.44</v>
      </c>
      <c r="CS23">
        <f t="shared" si="44"/>
        <v>120.88</v>
      </c>
      <c r="CT23">
        <f t="shared" si="45"/>
        <v>78.836</v>
      </c>
    </row>
    <row r="24" spans="1:98">
      <c r="A24" s="8">
        <v>23</v>
      </c>
      <c r="B24" s="8">
        <v>4200</v>
      </c>
      <c r="C24" s="8">
        <v>840</v>
      </c>
      <c r="D24" s="8">
        <v>840</v>
      </c>
      <c r="E24" s="8">
        <f t="shared" si="0"/>
        <v>1785</v>
      </c>
      <c r="F24" s="8">
        <f t="shared" si="1"/>
        <v>357</v>
      </c>
      <c r="G24" s="8">
        <f t="shared" si="2"/>
        <v>357</v>
      </c>
      <c r="H24" s="8"/>
      <c r="I24" s="8">
        <v>0.7</v>
      </c>
      <c r="J24" s="8">
        <f t="shared" si="3"/>
        <v>0</v>
      </c>
      <c r="K24" s="8">
        <f t="shared" si="4"/>
        <v>0</v>
      </c>
      <c r="L24" s="8">
        <f t="shared" si="5"/>
        <v>0</v>
      </c>
      <c r="M24" s="8">
        <v>0</v>
      </c>
      <c r="N24" s="8">
        <f t="shared" si="6"/>
        <v>5985</v>
      </c>
      <c r="O24" s="8">
        <f t="shared" si="7"/>
        <v>1197</v>
      </c>
      <c r="P24" s="8">
        <f t="shared" si="8"/>
        <v>1197</v>
      </c>
      <c r="Q24" s="8">
        <v>15</v>
      </c>
      <c r="R24" s="8">
        <v>30</v>
      </c>
      <c r="S24" s="8">
        <v>13.2</v>
      </c>
      <c r="T24" s="8">
        <v>1.76</v>
      </c>
      <c r="U24" s="8">
        <v>0.0616</v>
      </c>
      <c r="V24" s="8">
        <f t="shared" si="9"/>
        <v>8746.14141367143</v>
      </c>
      <c r="W24" s="8">
        <f t="shared" si="10"/>
        <v>1197</v>
      </c>
      <c r="X24" s="8">
        <f t="shared" si="11"/>
        <v>1197</v>
      </c>
      <c r="Y24" s="8">
        <f t="shared" si="12"/>
        <v>874.614141367143</v>
      </c>
      <c r="Z24" s="8">
        <f t="shared" si="13"/>
        <v>10</v>
      </c>
      <c r="AA24">
        <f t="shared" si="14"/>
        <v>598.5</v>
      </c>
      <c r="AB24">
        <f t="shared" si="15"/>
        <v>10</v>
      </c>
      <c r="AC24">
        <f t="shared" si="16"/>
        <v>3.81157767115386</v>
      </c>
      <c r="AD24">
        <f t="shared" si="17"/>
        <v>2.75172413793103</v>
      </c>
      <c r="AE24">
        <f t="shared" si="18"/>
        <v>2.75172413793103</v>
      </c>
      <c r="AF24">
        <f t="shared" si="46"/>
        <v>2915.38047122381</v>
      </c>
      <c r="AG24">
        <f t="shared" si="47"/>
        <v>1197</v>
      </c>
      <c r="AH24">
        <f t="shared" si="48"/>
        <v>598.5</v>
      </c>
      <c r="AI24">
        <f t="shared" si="19"/>
        <v>3.33333333333333</v>
      </c>
      <c r="AJ24">
        <f t="shared" si="20"/>
        <v>199.5</v>
      </c>
      <c r="AK24">
        <f t="shared" si="21"/>
        <v>30</v>
      </c>
      <c r="BM24">
        <v>23</v>
      </c>
      <c r="BN24">
        <f t="shared" si="22"/>
        <v>2638</v>
      </c>
      <c r="BO24">
        <f t="shared" si="23"/>
        <v>527.4</v>
      </c>
      <c r="BQ24">
        <f t="shared" si="24"/>
        <v>7.2</v>
      </c>
      <c r="BR24">
        <f t="shared" si="25"/>
        <v>14.4</v>
      </c>
      <c r="BS24">
        <f t="shared" si="26"/>
        <v>3.96</v>
      </c>
      <c r="BT24">
        <v>23</v>
      </c>
      <c r="BU24">
        <f t="shared" si="27"/>
        <v>5320.8</v>
      </c>
      <c r="BV24">
        <f t="shared" si="28"/>
        <v>1064.16</v>
      </c>
      <c r="BX24">
        <f t="shared" si="29"/>
        <v>21.1</v>
      </c>
      <c r="BY24">
        <f t="shared" si="30"/>
        <v>42.3</v>
      </c>
      <c r="BZ24">
        <v>23</v>
      </c>
      <c r="CA24">
        <f t="shared" si="31"/>
        <v>8204.6</v>
      </c>
      <c r="CB24">
        <f t="shared" si="32"/>
        <v>1640.78</v>
      </c>
      <c r="CD24">
        <f t="shared" si="33"/>
        <v>35.726</v>
      </c>
      <c r="CE24">
        <f t="shared" si="34"/>
        <v>71.518</v>
      </c>
      <c r="CF24">
        <f t="shared" si="35"/>
        <v>39.32</v>
      </c>
      <c r="CG24">
        <v>23</v>
      </c>
      <c r="CH24">
        <f t="shared" si="36"/>
        <v>11154</v>
      </c>
      <c r="CI24">
        <f t="shared" si="37"/>
        <v>2230.2</v>
      </c>
      <c r="CK24">
        <f t="shared" si="38"/>
        <v>45.55</v>
      </c>
      <c r="CL24">
        <f t="shared" si="39"/>
        <v>91.15</v>
      </c>
      <c r="CM24">
        <f t="shared" si="40"/>
        <v>59.034</v>
      </c>
      <c r="CN24">
        <v>23</v>
      </c>
      <c r="CO24">
        <f t="shared" si="41"/>
        <v>14122.8</v>
      </c>
      <c r="CP24">
        <f t="shared" si="42"/>
        <v>2825.76</v>
      </c>
      <c r="CR24">
        <f t="shared" si="43"/>
        <v>60.46</v>
      </c>
      <c r="CS24">
        <f t="shared" si="44"/>
        <v>120.92</v>
      </c>
      <c r="CT24">
        <f t="shared" si="45"/>
        <v>78.874</v>
      </c>
    </row>
    <row r="25" spans="1:98">
      <c r="A25" s="8">
        <v>24</v>
      </c>
      <c r="B25" s="8">
        <v>4300</v>
      </c>
      <c r="C25" s="8">
        <v>860</v>
      </c>
      <c r="D25" s="8">
        <v>860</v>
      </c>
      <c r="E25" s="8">
        <f t="shared" si="0"/>
        <v>1855</v>
      </c>
      <c r="F25" s="8">
        <f t="shared" si="1"/>
        <v>371</v>
      </c>
      <c r="G25" s="8">
        <f t="shared" si="2"/>
        <v>371</v>
      </c>
      <c r="H25" s="8"/>
      <c r="I25" s="8">
        <v>0.7</v>
      </c>
      <c r="J25" s="8">
        <f t="shared" si="3"/>
        <v>0</v>
      </c>
      <c r="K25" s="8">
        <f t="shared" si="4"/>
        <v>0</v>
      </c>
      <c r="L25" s="8">
        <f t="shared" si="5"/>
        <v>0</v>
      </c>
      <c r="M25" s="8">
        <v>0</v>
      </c>
      <c r="N25" s="8">
        <f t="shared" si="6"/>
        <v>6155</v>
      </c>
      <c r="O25" s="8">
        <f t="shared" si="7"/>
        <v>1231</v>
      </c>
      <c r="P25" s="8">
        <f t="shared" si="8"/>
        <v>1231</v>
      </c>
      <c r="Q25" s="8">
        <v>15</v>
      </c>
      <c r="R25" s="8">
        <v>30</v>
      </c>
      <c r="S25" s="8">
        <v>13.86</v>
      </c>
      <c r="T25" s="8">
        <v>1.84</v>
      </c>
      <c r="U25" s="8">
        <v>0.0644</v>
      </c>
      <c r="V25" s="8">
        <f t="shared" si="9"/>
        <v>9078.00460166586</v>
      </c>
      <c r="W25" s="8">
        <f t="shared" si="10"/>
        <v>1231</v>
      </c>
      <c r="X25" s="8">
        <f t="shared" si="11"/>
        <v>1231</v>
      </c>
      <c r="Y25" s="8">
        <f t="shared" si="12"/>
        <v>907.800460166586</v>
      </c>
      <c r="Z25" s="8">
        <f t="shared" si="13"/>
        <v>10</v>
      </c>
      <c r="AA25">
        <f t="shared" si="14"/>
        <v>615.5</v>
      </c>
      <c r="AB25">
        <f t="shared" si="15"/>
        <v>10</v>
      </c>
      <c r="AC25">
        <f t="shared" si="16"/>
        <v>3.95620399920068</v>
      </c>
      <c r="AD25">
        <f t="shared" si="17"/>
        <v>2.82988505747126</v>
      </c>
      <c r="AE25">
        <f t="shared" si="18"/>
        <v>2.82988505747126</v>
      </c>
      <c r="AF25">
        <f t="shared" si="46"/>
        <v>3026.00153388862</v>
      </c>
      <c r="AG25">
        <f t="shared" si="47"/>
        <v>1231</v>
      </c>
      <c r="AH25">
        <f t="shared" si="48"/>
        <v>615.5</v>
      </c>
      <c r="AI25">
        <f t="shared" si="19"/>
        <v>3.33333333333333</v>
      </c>
      <c r="AJ25">
        <f t="shared" si="20"/>
        <v>205.166666666667</v>
      </c>
      <c r="AK25">
        <f t="shared" si="21"/>
        <v>30</v>
      </c>
      <c r="BM25">
        <v>24</v>
      </c>
      <c r="BN25">
        <f t="shared" si="22"/>
        <v>2667</v>
      </c>
      <c r="BO25">
        <f t="shared" si="23"/>
        <v>533.2</v>
      </c>
      <c r="BQ25">
        <f t="shared" si="24"/>
        <v>7.3</v>
      </c>
      <c r="BR25">
        <f t="shared" si="25"/>
        <v>14.6</v>
      </c>
      <c r="BS25">
        <f t="shared" si="26"/>
        <v>4.14</v>
      </c>
      <c r="BT25">
        <v>24</v>
      </c>
      <c r="BU25">
        <f t="shared" si="27"/>
        <v>5335.4</v>
      </c>
      <c r="BV25">
        <f t="shared" si="28"/>
        <v>1067.08</v>
      </c>
      <c r="BX25">
        <f t="shared" si="29"/>
        <v>21.15</v>
      </c>
      <c r="BY25">
        <f t="shared" si="30"/>
        <v>42.4</v>
      </c>
      <c r="BZ25">
        <v>24</v>
      </c>
      <c r="CA25">
        <f t="shared" si="31"/>
        <v>8213.9</v>
      </c>
      <c r="CB25">
        <f t="shared" si="32"/>
        <v>1642.64</v>
      </c>
      <c r="CD25">
        <f t="shared" si="33"/>
        <v>35.759</v>
      </c>
      <c r="CE25">
        <f t="shared" si="34"/>
        <v>71.584</v>
      </c>
      <c r="CF25">
        <f t="shared" si="35"/>
        <v>39.38</v>
      </c>
      <c r="CG25">
        <v>24</v>
      </c>
      <c r="CH25">
        <f t="shared" si="36"/>
        <v>11161</v>
      </c>
      <c r="CI25">
        <f t="shared" si="37"/>
        <v>2231.6</v>
      </c>
      <c r="CK25">
        <f t="shared" si="38"/>
        <v>45.575</v>
      </c>
      <c r="CL25">
        <f t="shared" si="39"/>
        <v>91.2</v>
      </c>
      <c r="CM25">
        <f t="shared" si="40"/>
        <v>59.081</v>
      </c>
      <c r="CN25">
        <v>24</v>
      </c>
      <c r="CO25">
        <f t="shared" si="41"/>
        <v>14128.4</v>
      </c>
      <c r="CP25">
        <f t="shared" si="42"/>
        <v>2826.88</v>
      </c>
      <c r="CR25">
        <f t="shared" si="43"/>
        <v>60.48</v>
      </c>
      <c r="CS25">
        <f t="shared" si="44"/>
        <v>120.96</v>
      </c>
      <c r="CT25">
        <f t="shared" si="45"/>
        <v>78.912</v>
      </c>
    </row>
    <row r="26" spans="1:98">
      <c r="A26" s="8">
        <v>25</v>
      </c>
      <c r="B26" s="8">
        <v>4400</v>
      </c>
      <c r="C26" s="8">
        <v>880</v>
      </c>
      <c r="D26" s="8">
        <v>880</v>
      </c>
      <c r="E26" s="8">
        <f t="shared" si="0"/>
        <v>1925</v>
      </c>
      <c r="F26" s="8">
        <f t="shared" si="1"/>
        <v>385</v>
      </c>
      <c r="G26" s="8">
        <f t="shared" si="2"/>
        <v>385</v>
      </c>
      <c r="H26" s="8"/>
      <c r="I26" s="8">
        <v>0.7</v>
      </c>
      <c r="J26" s="8">
        <f t="shared" si="3"/>
        <v>0</v>
      </c>
      <c r="K26" s="8">
        <f t="shared" si="4"/>
        <v>0</v>
      </c>
      <c r="L26" s="8">
        <f t="shared" si="5"/>
        <v>0</v>
      </c>
      <c r="M26" s="8">
        <v>0</v>
      </c>
      <c r="N26" s="8">
        <f t="shared" si="6"/>
        <v>6325</v>
      </c>
      <c r="O26" s="8">
        <f t="shared" si="7"/>
        <v>1265</v>
      </c>
      <c r="P26" s="8">
        <f t="shared" si="8"/>
        <v>1265</v>
      </c>
      <c r="Q26" s="8">
        <v>15</v>
      </c>
      <c r="R26" s="8">
        <v>30</v>
      </c>
      <c r="S26" s="8">
        <v>14.52</v>
      </c>
      <c r="T26" s="8">
        <v>1.92</v>
      </c>
      <c r="U26" s="8">
        <v>0.0672</v>
      </c>
      <c r="V26" s="8">
        <f t="shared" si="9"/>
        <v>9414.88470597875</v>
      </c>
      <c r="W26" s="8">
        <f t="shared" si="10"/>
        <v>1265</v>
      </c>
      <c r="X26" s="8">
        <f t="shared" si="11"/>
        <v>1265</v>
      </c>
      <c r="Y26" s="8">
        <f t="shared" si="12"/>
        <v>941.488470597875</v>
      </c>
      <c r="Z26" s="8">
        <f t="shared" si="13"/>
        <v>10</v>
      </c>
      <c r="AA26">
        <f t="shared" si="14"/>
        <v>632.5</v>
      </c>
      <c r="AB26">
        <f t="shared" si="15"/>
        <v>10</v>
      </c>
      <c r="AC26">
        <f t="shared" si="16"/>
        <v>4.10301670468105</v>
      </c>
      <c r="AD26">
        <f t="shared" si="17"/>
        <v>2.90804597701149</v>
      </c>
      <c r="AE26">
        <f t="shared" si="18"/>
        <v>2.90804597701149</v>
      </c>
      <c r="AF26">
        <f t="shared" si="46"/>
        <v>3138.29490199292</v>
      </c>
      <c r="AG26">
        <f t="shared" si="47"/>
        <v>1265</v>
      </c>
      <c r="AH26">
        <f t="shared" si="48"/>
        <v>632.5</v>
      </c>
      <c r="AI26">
        <f t="shared" si="19"/>
        <v>3.33333333333334</v>
      </c>
      <c r="AJ26">
        <f t="shared" si="20"/>
        <v>210.833333333333</v>
      </c>
      <c r="AK26">
        <f t="shared" si="21"/>
        <v>30</v>
      </c>
      <c r="BM26">
        <v>25</v>
      </c>
      <c r="BN26">
        <f t="shared" si="22"/>
        <v>2696</v>
      </c>
      <c r="BO26">
        <f t="shared" si="23"/>
        <v>539</v>
      </c>
      <c r="BQ26">
        <f t="shared" si="24"/>
        <v>7.4</v>
      </c>
      <c r="BR26">
        <f t="shared" si="25"/>
        <v>14.8</v>
      </c>
      <c r="BS26">
        <f t="shared" si="26"/>
        <v>4.32</v>
      </c>
      <c r="BT26">
        <v>25</v>
      </c>
      <c r="BU26">
        <f t="shared" si="27"/>
        <v>5350</v>
      </c>
      <c r="BV26">
        <f t="shared" si="28"/>
        <v>1070</v>
      </c>
      <c r="BX26">
        <f t="shared" si="29"/>
        <v>21.2</v>
      </c>
      <c r="BY26">
        <f t="shared" si="30"/>
        <v>42.5</v>
      </c>
      <c r="BZ26">
        <v>25</v>
      </c>
      <c r="CA26">
        <f t="shared" si="31"/>
        <v>8223.2</v>
      </c>
      <c r="CB26">
        <f t="shared" si="32"/>
        <v>1644.5</v>
      </c>
      <c r="CD26">
        <f t="shared" si="33"/>
        <v>35.792</v>
      </c>
      <c r="CE26">
        <f t="shared" si="34"/>
        <v>71.65</v>
      </c>
      <c r="CF26">
        <f t="shared" si="35"/>
        <v>39.44</v>
      </c>
      <c r="CG26">
        <v>25</v>
      </c>
      <c r="CH26">
        <f t="shared" si="36"/>
        <v>11168</v>
      </c>
      <c r="CI26">
        <f t="shared" si="37"/>
        <v>2233</v>
      </c>
      <c r="CK26">
        <f t="shared" si="38"/>
        <v>45.6</v>
      </c>
      <c r="CL26">
        <f t="shared" si="39"/>
        <v>91.25</v>
      </c>
      <c r="CM26">
        <f t="shared" si="40"/>
        <v>59.128</v>
      </c>
      <c r="CN26">
        <v>25</v>
      </c>
      <c r="CO26">
        <f t="shared" si="41"/>
        <v>14134</v>
      </c>
      <c r="CP26">
        <f t="shared" si="42"/>
        <v>2828</v>
      </c>
      <c r="CR26">
        <f t="shared" si="43"/>
        <v>60.5</v>
      </c>
      <c r="CS26">
        <f t="shared" si="44"/>
        <v>121</v>
      </c>
      <c r="CT26">
        <f t="shared" si="45"/>
        <v>78.95</v>
      </c>
    </row>
    <row r="27" spans="1:98">
      <c r="A27" s="8">
        <v>26</v>
      </c>
      <c r="B27" s="8">
        <v>4500</v>
      </c>
      <c r="C27" s="8">
        <v>900</v>
      </c>
      <c r="D27" s="8">
        <v>900</v>
      </c>
      <c r="E27" s="8">
        <f t="shared" si="0"/>
        <v>1995</v>
      </c>
      <c r="F27" s="8">
        <f t="shared" si="1"/>
        <v>399</v>
      </c>
      <c r="G27" s="8">
        <f t="shared" si="2"/>
        <v>399</v>
      </c>
      <c r="H27" s="8"/>
      <c r="I27" s="8">
        <v>0.7</v>
      </c>
      <c r="J27" s="8">
        <f t="shared" si="3"/>
        <v>0</v>
      </c>
      <c r="K27" s="8">
        <f t="shared" si="4"/>
        <v>0</v>
      </c>
      <c r="L27" s="8">
        <f t="shared" si="5"/>
        <v>0</v>
      </c>
      <c r="M27" s="8">
        <v>0</v>
      </c>
      <c r="N27" s="8">
        <f t="shared" si="6"/>
        <v>6495</v>
      </c>
      <c r="O27" s="8">
        <f t="shared" si="7"/>
        <v>1299</v>
      </c>
      <c r="P27" s="8">
        <f t="shared" si="8"/>
        <v>1299</v>
      </c>
      <c r="Q27" s="8">
        <v>15</v>
      </c>
      <c r="R27" s="8">
        <v>30</v>
      </c>
      <c r="S27" s="8">
        <v>15.18</v>
      </c>
      <c r="T27" s="8">
        <v>2</v>
      </c>
      <c r="U27" s="8">
        <v>0.07</v>
      </c>
      <c r="V27" s="8">
        <f t="shared" si="9"/>
        <v>9756.815313843</v>
      </c>
      <c r="W27" s="8">
        <f t="shared" si="10"/>
        <v>1299</v>
      </c>
      <c r="X27" s="8">
        <f t="shared" si="11"/>
        <v>1299</v>
      </c>
      <c r="Y27" s="8">
        <f t="shared" si="12"/>
        <v>975.6815313843</v>
      </c>
      <c r="Z27" s="8">
        <f t="shared" si="13"/>
        <v>10</v>
      </c>
      <c r="AA27">
        <f t="shared" si="14"/>
        <v>649.5</v>
      </c>
      <c r="AB27">
        <f t="shared" si="15"/>
        <v>10</v>
      </c>
      <c r="AC27">
        <f t="shared" si="16"/>
        <v>4.25203042494656</v>
      </c>
      <c r="AD27">
        <f t="shared" si="17"/>
        <v>2.98620689655172</v>
      </c>
      <c r="AE27">
        <f t="shared" si="18"/>
        <v>2.98620689655172</v>
      </c>
      <c r="AF27">
        <f t="shared" si="46"/>
        <v>3252.271771281</v>
      </c>
      <c r="AG27">
        <f t="shared" si="47"/>
        <v>1299</v>
      </c>
      <c r="AH27">
        <f t="shared" si="48"/>
        <v>649.5</v>
      </c>
      <c r="AI27">
        <f t="shared" si="19"/>
        <v>3.33333333333333</v>
      </c>
      <c r="AJ27">
        <f t="shared" si="20"/>
        <v>216.5</v>
      </c>
      <c r="AK27">
        <f t="shared" si="21"/>
        <v>30</v>
      </c>
      <c r="BM27">
        <v>26</v>
      </c>
      <c r="BN27">
        <f t="shared" si="22"/>
        <v>2725</v>
      </c>
      <c r="BO27">
        <f t="shared" si="23"/>
        <v>544.8</v>
      </c>
      <c r="BQ27">
        <f t="shared" si="24"/>
        <v>7.5</v>
      </c>
      <c r="BR27">
        <f t="shared" si="25"/>
        <v>15</v>
      </c>
      <c r="BS27">
        <f t="shared" si="26"/>
        <v>4.5</v>
      </c>
      <c r="BT27">
        <v>26</v>
      </c>
      <c r="BU27">
        <f t="shared" si="27"/>
        <v>5364.6</v>
      </c>
      <c r="BV27">
        <f t="shared" si="28"/>
        <v>1072.92</v>
      </c>
      <c r="BX27">
        <f t="shared" si="29"/>
        <v>21.25</v>
      </c>
      <c r="BY27">
        <f t="shared" si="30"/>
        <v>42.6</v>
      </c>
      <c r="BZ27">
        <v>26</v>
      </c>
      <c r="CA27">
        <f t="shared" si="31"/>
        <v>8232.5</v>
      </c>
      <c r="CB27">
        <f t="shared" si="32"/>
        <v>1646.36</v>
      </c>
      <c r="CD27">
        <f t="shared" si="33"/>
        <v>35.825</v>
      </c>
      <c r="CE27">
        <f t="shared" si="34"/>
        <v>71.716</v>
      </c>
      <c r="CF27">
        <f t="shared" si="35"/>
        <v>39.5</v>
      </c>
      <c r="CG27">
        <v>26</v>
      </c>
      <c r="CH27">
        <f t="shared" si="36"/>
        <v>11175</v>
      </c>
      <c r="CI27">
        <f t="shared" si="37"/>
        <v>2234.4</v>
      </c>
      <c r="CK27">
        <f t="shared" si="38"/>
        <v>45.625</v>
      </c>
      <c r="CL27">
        <f t="shared" si="39"/>
        <v>91.3</v>
      </c>
      <c r="CM27">
        <f t="shared" si="40"/>
        <v>59.175</v>
      </c>
      <c r="CN27">
        <v>26</v>
      </c>
      <c r="CO27">
        <f t="shared" si="41"/>
        <v>14139.6</v>
      </c>
      <c r="CP27">
        <f t="shared" si="42"/>
        <v>2829.12</v>
      </c>
      <c r="CR27">
        <f t="shared" si="43"/>
        <v>60.52</v>
      </c>
      <c r="CS27">
        <f t="shared" si="44"/>
        <v>121.04</v>
      </c>
      <c r="CT27">
        <f t="shared" si="45"/>
        <v>78.988</v>
      </c>
    </row>
    <row r="28" spans="1:98">
      <c r="A28" s="8">
        <v>27</v>
      </c>
      <c r="B28" s="8">
        <v>4600</v>
      </c>
      <c r="C28" s="8">
        <v>920</v>
      </c>
      <c r="D28" s="8">
        <v>920</v>
      </c>
      <c r="E28" s="8">
        <f t="shared" si="0"/>
        <v>2065</v>
      </c>
      <c r="F28" s="8">
        <f t="shared" si="1"/>
        <v>413</v>
      </c>
      <c r="G28" s="8">
        <f t="shared" si="2"/>
        <v>413</v>
      </c>
      <c r="H28" s="8"/>
      <c r="I28" s="8">
        <v>0.7</v>
      </c>
      <c r="J28" s="8">
        <f t="shared" si="3"/>
        <v>0</v>
      </c>
      <c r="K28" s="8">
        <f t="shared" si="4"/>
        <v>0</v>
      </c>
      <c r="L28" s="8">
        <f t="shared" si="5"/>
        <v>0</v>
      </c>
      <c r="M28" s="8">
        <v>0</v>
      </c>
      <c r="N28" s="8">
        <f t="shared" si="6"/>
        <v>6665</v>
      </c>
      <c r="O28" s="8">
        <f t="shared" si="7"/>
        <v>1333</v>
      </c>
      <c r="P28" s="8">
        <f t="shared" si="8"/>
        <v>1333</v>
      </c>
      <c r="Q28" s="8">
        <v>15</v>
      </c>
      <c r="R28" s="8">
        <v>30</v>
      </c>
      <c r="S28" s="8">
        <v>15.84</v>
      </c>
      <c r="T28" s="8">
        <v>2.08</v>
      </c>
      <c r="U28" s="8">
        <v>0.0728</v>
      </c>
      <c r="V28" s="8">
        <f t="shared" si="9"/>
        <v>10103.8300845724</v>
      </c>
      <c r="W28" s="8">
        <f t="shared" si="10"/>
        <v>1333</v>
      </c>
      <c r="X28" s="8">
        <f t="shared" si="11"/>
        <v>1333</v>
      </c>
      <c r="Y28" s="8">
        <f t="shared" si="12"/>
        <v>1010.38300845724</v>
      </c>
      <c r="Z28" s="8">
        <f t="shared" si="13"/>
        <v>10</v>
      </c>
      <c r="AA28">
        <f t="shared" si="14"/>
        <v>666.5</v>
      </c>
      <c r="AB28">
        <f t="shared" si="15"/>
        <v>10</v>
      </c>
      <c r="AC28">
        <f t="shared" si="16"/>
        <v>4.40325982876174</v>
      </c>
      <c r="AD28">
        <f t="shared" si="17"/>
        <v>3.06436781609195</v>
      </c>
      <c r="AE28">
        <f t="shared" si="18"/>
        <v>3.06436781609195</v>
      </c>
      <c r="AF28">
        <f t="shared" si="46"/>
        <v>3367.94336152413</v>
      </c>
      <c r="AG28">
        <f t="shared" si="47"/>
        <v>1333</v>
      </c>
      <c r="AH28">
        <f t="shared" si="48"/>
        <v>666.5</v>
      </c>
      <c r="AI28">
        <f t="shared" si="19"/>
        <v>3.33333333333333</v>
      </c>
      <c r="AJ28">
        <f t="shared" si="20"/>
        <v>222.166666666667</v>
      </c>
      <c r="AK28">
        <f t="shared" si="21"/>
        <v>30</v>
      </c>
      <c r="BM28">
        <v>27</v>
      </c>
      <c r="BN28">
        <f t="shared" si="22"/>
        <v>2754</v>
      </c>
      <c r="BO28">
        <f t="shared" si="23"/>
        <v>550.6</v>
      </c>
      <c r="BQ28">
        <f t="shared" si="24"/>
        <v>7.6</v>
      </c>
      <c r="BR28">
        <f t="shared" si="25"/>
        <v>15.2</v>
      </c>
      <c r="BS28">
        <f t="shared" si="26"/>
        <v>4.68</v>
      </c>
      <c r="BT28">
        <v>27</v>
      </c>
      <c r="BU28">
        <f t="shared" si="27"/>
        <v>5379.2</v>
      </c>
      <c r="BV28">
        <f t="shared" si="28"/>
        <v>1075.84</v>
      </c>
      <c r="BX28">
        <f t="shared" si="29"/>
        <v>21.3</v>
      </c>
      <c r="BY28">
        <f t="shared" si="30"/>
        <v>42.7</v>
      </c>
      <c r="BZ28">
        <v>27</v>
      </c>
      <c r="CA28">
        <f t="shared" si="31"/>
        <v>8241.8</v>
      </c>
      <c r="CB28">
        <f t="shared" si="32"/>
        <v>1648.22</v>
      </c>
      <c r="CD28">
        <f t="shared" si="33"/>
        <v>35.858</v>
      </c>
      <c r="CE28">
        <f t="shared" si="34"/>
        <v>71.782</v>
      </c>
      <c r="CF28">
        <f t="shared" si="35"/>
        <v>39.56</v>
      </c>
      <c r="CG28">
        <v>27</v>
      </c>
      <c r="CH28">
        <f t="shared" si="36"/>
        <v>11182</v>
      </c>
      <c r="CI28">
        <f t="shared" si="37"/>
        <v>2235.8</v>
      </c>
      <c r="CK28">
        <f t="shared" si="38"/>
        <v>45.65</v>
      </c>
      <c r="CL28">
        <f t="shared" si="39"/>
        <v>91.35</v>
      </c>
      <c r="CM28">
        <f t="shared" si="40"/>
        <v>59.222</v>
      </c>
      <c r="CN28">
        <v>27</v>
      </c>
      <c r="CO28">
        <f t="shared" si="41"/>
        <v>14145.2</v>
      </c>
      <c r="CP28">
        <f t="shared" si="42"/>
        <v>2830.24</v>
      </c>
      <c r="CR28">
        <f t="shared" si="43"/>
        <v>60.54</v>
      </c>
      <c r="CS28">
        <f t="shared" si="44"/>
        <v>121.08</v>
      </c>
      <c r="CT28">
        <f t="shared" si="45"/>
        <v>79.026</v>
      </c>
    </row>
    <row r="29" spans="1:98">
      <c r="A29" s="8">
        <v>28</v>
      </c>
      <c r="B29" s="8">
        <v>4700</v>
      </c>
      <c r="C29" s="8">
        <v>940</v>
      </c>
      <c r="D29" s="8">
        <v>940</v>
      </c>
      <c r="E29" s="8">
        <f t="shared" si="0"/>
        <v>2135</v>
      </c>
      <c r="F29" s="8">
        <f t="shared" si="1"/>
        <v>427</v>
      </c>
      <c r="G29" s="8">
        <f t="shared" si="2"/>
        <v>427</v>
      </c>
      <c r="H29" s="8"/>
      <c r="I29" s="8">
        <v>0.7</v>
      </c>
      <c r="J29" s="8">
        <f t="shared" si="3"/>
        <v>0</v>
      </c>
      <c r="K29" s="8">
        <f t="shared" si="4"/>
        <v>0</v>
      </c>
      <c r="L29" s="8">
        <f t="shared" si="5"/>
        <v>0</v>
      </c>
      <c r="M29" s="8">
        <v>0</v>
      </c>
      <c r="N29" s="8">
        <f t="shared" si="6"/>
        <v>6835</v>
      </c>
      <c r="O29" s="8">
        <f t="shared" si="7"/>
        <v>1367</v>
      </c>
      <c r="P29" s="8">
        <f t="shared" si="8"/>
        <v>1367</v>
      </c>
      <c r="Q29" s="8">
        <v>15</v>
      </c>
      <c r="R29" s="8">
        <v>30</v>
      </c>
      <c r="S29" s="8">
        <v>16.5</v>
      </c>
      <c r="T29" s="8">
        <v>2.16</v>
      </c>
      <c r="U29" s="8">
        <v>0.0756</v>
      </c>
      <c r="V29" s="8">
        <f t="shared" si="9"/>
        <v>10455.9627495615</v>
      </c>
      <c r="W29" s="8">
        <f t="shared" si="10"/>
        <v>1367</v>
      </c>
      <c r="X29" s="8">
        <f t="shared" si="11"/>
        <v>1367</v>
      </c>
      <c r="Y29" s="8">
        <f t="shared" si="12"/>
        <v>1045.59627495615</v>
      </c>
      <c r="Z29" s="8">
        <f t="shared" si="13"/>
        <v>10</v>
      </c>
      <c r="AA29">
        <f t="shared" si="14"/>
        <v>683.5</v>
      </c>
      <c r="AB29">
        <f t="shared" si="15"/>
        <v>10</v>
      </c>
      <c r="AC29">
        <f t="shared" si="16"/>
        <v>4.55671961630397</v>
      </c>
      <c r="AD29">
        <f t="shared" si="17"/>
        <v>3.14252873563218</v>
      </c>
      <c r="AE29">
        <f t="shared" si="18"/>
        <v>3.14252873563218</v>
      </c>
      <c r="AF29">
        <f t="shared" si="46"/>
        <v>3485.3209165205</v>
      </c>
      <c r="AG29">
        <f t="shared" si="47"/>
        <v>1367</v>
      </c>
      <c r="AH29">
        <f t="shared" si="48"/>
        <v>683.5</v>
      </c>
      <c r="AI29">
        <f t="shared" si="19"/>
        <v>3.33333333333333</v>
      </c>
      <c r="AJ29">
        <f t="shared" si="20"/>
        <v>227.833333333333</v>
      </c>
      <c r="AK29">
        <f t="shared" si="21"/>
        <v>30</v>
      </c>
      <c r="BM29">
        <v>28</v>
      </c>
      <c r="BN29">
        <f t="shared" si="22"/>
        <v>2783</v>
      </c>
      <c r="BO29">
        <f t="shared" si="23"/>
        <v>556.4</v>
      </c>
      <c r="BQ29">
        <f t="shared" si="24"/>
        <v>7.7</v>
      </c>
      <c r="BR29">
        <f t="shared" si="25"/>
        <v>15.4</v>
      </c>
      <c r="BS29">
        <f t="shared" si="26"/>
        <v>4.86</v>
      </c>
      <c r="BT29">
        <v>28</v>
      </c>
      <c r="BU29">
        <f t="shared" si="27"/>
        <v>5393.8</v>
      </c>
      <c r="BV29">
        <f t="shared" si="28"/>
        <v>1078.76</v>
      </c>
      <c r="BX29">
        <f t="shared" si="29"/>
        <v>21.35</v>
      </c>
      <c r="BY29">
        <f t="shared" si="30"/>
        <v>42.8</v>
      </c>
      <c r="BZ29">
        <v>28</v>
      </c>
      <c r="CA29">
        <f t="shared" si="31"/>
        <v>8251.1</v>
      </c>
      <c r="CB29">
        <f t="shared" si="32"/>
        <v>1650.08</v>
      </c>
      <c r="CD29">
        <f t="shared" si="33"/>
        <v>35.891</v>
      </c>
      <c r="CE29">
        <f t="shared" si="34"/>
        <v>71.848</v>
      </c>
      <c r="CF29">
        <f t="shared" si="35"/>
        <v>39.62</v>
      </c>
      <c r="CG29">
        <v>28</v>
      </c>
      <c r="CH29">
        <f t="shared" si="36"/>
        <v>11189</v>
      </c>
      <c r="CI29">
        <f t="shared" si="37"/>
        <v>2237.2</v>
      </c>
      <c r="CK29">
        <f t="shared" si="38"/>
        <v>45.675</v>
      </c>
      <c r="CL29">
        <f t="shared" si="39"/>
        <v>91.4</v>
      </c>
      <c r="CM29">
        <f t="shared" si="40"/>
        <v>59.269</v>
      </c>
      <c r="CN29">
        <v>28</v>
      </c>
      <c r="CO29">
        <f t="shared" si="41"/>
        <v>14150.8</v>
      </c>
      <c r="CP29">
        <f t="shared" si="42"/>
        <v>2831.36</v>
      </c>
      <c r="CR29">
        <f t="shared" si="43"/>
        <v>60.56</v>
      </c>
      <c r="CS29">
        <f t="shared" si="44"/>
        <v>121.12</v>
      </c>
      <c r="CT29">
        <f t="shared" si="45"/>
        <v>79.064</v>
      </c>
    </row>
    <row r="30" spans="1:98">
      <c r="A30" s="8">
        <v>29</v>
      </c>
      <c r="B30" s="8">
        <v>4800</v>
      </c>
      <c r="C30" s="8">
        <v>960</v>
      </c>
      <c r="D30" s="8">
        <v>960</v>
      </c>
      <c r="E30" s="8">
        <f t="shared" si="0"/>
        <v>2205</v>
      </c>
      <c r="F30" s="8">
        <f t="shared" si="1"/>
        <v>441</v>
      </c>
      <c r="G30" s="8">
        <f t="shared" si="2"/>
        <v>441</v>
      </c>
      <c r="H30" s="8"/>
      <c r="I30" s="8">
        <v>0.7</v>
      </c>
      <c r="J30" s="8">
        <f t="shared" si="3"/>
        <v>0</v>
      </c>
      <c r="K30" s="8">
        <f t="shared" si="4"/>
        <v>0</v>
      </c>
      <c r="L30" s="8">
        <f t="shared" si="5"/>
        <v>0</v>
      </c>
      <c r="M30" s="8">
        <v>0</v>
      </c>
      <c r="N30" s="8">
        <f t="shared" si="6"/>
        <v>7005</v>
      </c>
      <c r="O30" s="8">
        <f t="shared" si="7"/>
        <v>1401</v>
      </c>
      <c r="P30" s="8">
        <f t="shared" si="8"/>
        <v>1401</v>
      </c>
      <c r="Q30" s="8">
        <v>15</v>
      </c>
      <c r="R30" s="8">
        <v>30</v>
      </c>
      <c r="S30" s="8">
        <v>17.16</v>
      </c>
      <c r="T30" s="8">
        <v>2.24</v>
      </c>
      <c r="U30" s="8">
        <v>0.0784</v>
      </c>
      <c r="V30" s="8">
        <f t="shared" si="9"/>
        <v>10813.2471122858</v>
      </c>
      <c r="W30" s="8">
        <f t="shared" si="10"/>
        <v>1401</v>
      </c>
      <c r="X30" s="8">
        <f t="shared" si="11"/>
        <v>1401</v>
      </c>
      <c r="Y30" s="8">
        <f t="shared" si="12"/>
        <v>1081.32471122859</v>
      </c>
      <c r="Z30" s="8">
        <f t="shared" si="13"/>
        <v>9.99999999999991</v>
      </c>
      <c r="AA30">
        <f t="shared" si="14"/>
        <v>700.5</v>
      </c>
      <c r="AB30">
        <f t="shared" si="15"/>
        <v>10</v>
      </c>
      <c r="AC30">
        <f t="shared" si="16"/>
        <v>4.71242451916361</v>
      </c>
      <c r="AD30">
        <f t="shared" si="17"/>
        <v>3.22068965517241</v>
      </c>
      <c r="AE30">
        <f t="shared" si="18"/>
        <v>3.22068965517241</v>
      </c>
      <c r="AF30">
        <f t="shared" si="46"/>
        <v>3604.41570409527</v>
      </c>
      <c r="AG30">
        <f t="shared" si="47"/>
        <v>1401</v>
      </c>
      <c r="AH30">
        <f t="shared" si="48"/>
        <v>700.5</v>
      </c>
      <c r="AI30">
        <f t="shared" si="19"/>
        <v>3.33333333333331</v>
      </c>
      <c r="AJ30">
        <f t="shared" si="20"/>
        <v>233.5</v>
      </c>
      <c r="AK30">
        <f t="shared" si="21"/>
        <v>30</v>
      </c>
      <c r="BM30">
        <v>29</v>
      </c>
      <c r="BN30">
        <f t="shared" si="22"/>
        <v>2812</v>
      </c>
      <c r="BO30">
        <f t="shared" si="23"/>
        <v>562.2</v>
      </c>
      <c r="BQ30">
        <f t="shared" si="24"/>
        <v>7.8</v>
      </c>
      <c r="BR30">
        <f t="shared" si="25"/>
        <v>15.6</v>
      </c>
      <c r="BS30">
        <f t="shared" si="26"/>
        <v>5.04</v>
      </c>
      <c r="BT30">
        <v>29</v>
      </c>
      <c r="BU30">
        <f t="shared" si="27"/>
        <v>5408.4</v>
      </c>
      <c r="BV30">
        <f t="shared" si="28"/>
        <v>1081.68</v>
      </c>
      <c r="BX30">
        <f t="shared" si="29"/>
        <v>21.4</v>
      </c>
      <c r="BY30">
        <f t="shared" si="30"/>
        <v>42.9</v>
      </c>
      <c r="BZ30">
        <v>29</v>
      </c>
      <c r="CA30">
        <f t="shared" si="31"/>
        <v>8260.4</v>
      </c>
      <c r="CB30">
        <f t="shared" si="32"/>
        <v>1651.94</v>
      </c>
      <c r="CD30">
        <f t="shared" si="33"/>
        <v>35.924</v>
      </c>
      <c r="CE30">
        <f t="shared" si="34"/>
        <v>71.914</v>
      </c>
      <c r="CF30">
        <f t="shared" si="35"/>
        <v>39.68</v>
      </c>
      <c r="CG30">
        <v>29</v>
      </c>
      <c r="CH30">
        <f t="shared" si="36"/>
        <v>11196</v>
      </c>
      <c r="CI30">
        <f t="shared" si="37"/>
        <v>2238.6</v>
      </c>
      <c r="CK30">
        <f t="shared" si="38"/>
        <v>45.7</v>
      </c>
      <c r="CL30">
        <f t="shared" si="39"/>
        <v>91.45</v>
      </c>
      <c r="CM30">
        <f t="shared" si="40"/>
        <v>59.316</v>
      </c>
      <c r="CN30">
        <v>29</v>
      </c>
      <c r="CO30">
        <f t="shared" si="41"/>
        <v>14156.4</v>
      </c>
      <c r="CP30">
        <f t="shared" si="42"/>
        <v>2832.48</v>
      </c>
      <c r="CR30">
        <f t="shared" si="43"/>
        <v>60.58</v>
      </c>
      <c r="CS30">
        <f t="shared" si="44"/>
        <v>121.16</v>
      </c>
      <c r="CT30">
        <f t="shared" si="45"/>
        <v>79.102</v>
      </c>
    </row>
    <row r="31" spans="1:98">
      <c r="A31" s="8">
        <v>30</v>
      </c>
      <c r="B31" s="8">
        <v>4900</v>
      </c>
      <c r="C31" s="8">
        <v>980</v>
      </c>
      <c r="D31" s="8">
        <v>980</v>
      </c>
      <c r="E31" s="8">
        <f t="shared" si="0"/>
        <v>2275</v>
      </c>
      <c r="F31" s="8">
        <f t="shared" si="1"/>
        <v>455</v>
      </c>
      <c r="G31" s="8">
        <f t="shared" si="2"/>
        <v>455</v>
      </c>
      <c r="H31" s="8"/>
      <c r="I31" s="8">
        <v>0.7</v>
      </c>
      <c r="J31" s="8">
        <f t="shared" si="3"/>
        <v>0</v>
      </c>
      <c r="K31" s="8">
        <f t="shared" si="4"/>
        <v>0</v>
      </c>
      <c r="L31" s="8">
        <f t="shared" si="5"/>
        <v>0</v>
      </c>
      <c r="M31" s="8">
        <v>0</v>
      </c>
      <c r="N31" s="8">
        <f t="shared" si="6"/>
        <v>7175</v>
      </c>
      <c r="O31" s="8">
        <f t="shared" si="7"/>
        <v>1435</v>
      </c>
      <c r="P31" s="8">
        <f t="shared" si="8"/>
        <v>1435</v>
      </c>
      <c r="Q31" s="8">
        <v>15</v>
      </c>
      <c r="R31" s="8">
        <v>30</v>
      </c>
      <c r="S31" s="8">
        <v>17.82</v>
      </c>
      <c r="T31" s="8">
        <v>2.32</v>
      </c>
      <c r="U31" s="8">
        <v>0.0812</v>
      </c>
      <c r="V31" s="8">
        <f t="shared" si="9"/>
        <v>11175.7170483018</v>
      </c>
      <c r="W31" s="8">
        <f t="shared" si="10"/>
        <v>1435</v>
      </c>
      <c r="X31" s="8">
        <f t="shared" si="11"/>
        <v>1435</v>
      </c>
      <c r="Y31" s="8">
        <f t="shared" si="12"/>
        <v>1117.57170483018</v>
      </c>
      <c r="Z31" s="8">
        <f t="shared" si="13"/>
        <v>10</v>
      </c>
      <c r="AA31">
        <f t="shared" si="14"/>
        <v>717.5</v>
      </c>
      <c r="AB31">
        <f t="shared" si="15"/>
        <v>10</v>
      </c>
      <c r="AC31">
        <f t="shared" si="16"/>
        <v>4.87038930034398</v>
      </c>
      <c r="AD31">
        <f t="shared" si="17"/>
        <v>3.29885057471264</v>
      </c>
      <c r="AE31">
        <f t="shared" si="18"/>
        <v>3.29885057471264</v>
      </c>
      <c r="AF31">
        <f t="shared" si="46"/>
        <v>3725.2390161006</v>
      </c>
      <c r="AG31">
        <f t="shared" si="47"/>
        <v>1435</v>
      </c>
      <c r="AH31">
        <f t="shared" si="48"/>
        <v>717.5</v>
      </c>
      <c r="AI31">
        <f t="shared" si="19"/>
        <v>3.33333333333333</v>
      </c>
      <c r="AJ31">
        <f t="shared" si="20"/>
        <v>239.166666666667</v>
      </c>
      <c r="AK31">
        <f t="shared" si="21"/>
        <v>30</v>
      </c>
      <c r="BM31">
        <v>30</v>
      </c>
      <c r="BN31">
        <f t="shared" si="22"/>
        <v>2841</v>
      </c>
      <c r="BO31">
        <f t="shared" si="23"/>
        <v>568</v>
      </c>
      <c r="BQ31">
        <f t="shared" si="24"/>
        <v>7.9</v>
      </c>
      <c r="BR31">
        <f t="shared" si="25"/>
        <v>15.8</v>
      </c>
      <c r="BS31">
        <f t="shared" si="26"/>
        <v>5.22</v>
      </c>
      <c r="BT31">
        <v>30</v>
      </c>
      <c r="BU31">
        <f t="shared" si="27"/>
        <v>5423</v>
      </c>
      <c r="BV31">
        <f t="shared" si="28"/>
        <v>1084.6</v>
      </c>
      <c r="BX31">
        <f t="shared" si="29"/>
        <v>21.45</v>
      </c>
      <c r="BY31">
        <f t="shared" si="30"/>
        <v>43</v>
      </c>
      <c r="BZ31">
        <v>30</v>
      </c>
      <c r="CA31">
        <f t="shared" si="31"/>
        <v>8269.7</v>
      </c>
      <c r="CB31">
        <f t="shared" si="32"/>
        <v>1653.8</v>
      </c>
      <c r="CD31">
        <f t="shared" si="33"/>
        <v>35.957</v>
      </c>
      <c r="CE31">
        <f t="shared" si="34"/>
        <v>71.98</v>
      </c>
      <c r="CF31">
        <f t="shared" si="35"/>
        <v>39.74</v>
      </c>
      <c r="CG31">
        <v>30</v>
      </c>
      <c r="CH31">
        <f t="shared" si="36"/>
        <v>11203</v>
      </c>
      <c r="CI31">
        <f t="shared" si="37"/>
        <v>2240</v>
      </c>
      <c r="CK31">
        <f t="shared" si="38"/>
        <v>45.725</v>
      </c>
      <c r="CL31">
        <f t="shared" si="39"/>
        <v>91.5</v>
      </c>
      <c r="CM31">
        <f t="shared" si="40"/>
        <v>59.363</v>
      </c>
      <c r="CN31">
        <v>30</v>
      </c>
      <c r="CO31">
        <f t="shared" si="41"/>
        <v>14162</v>
      </c>
      <c r="CP31">
        <f t="shared" si="42"/>
        <v>2833.6</v>
      </c>
      <c r="CR31">
        <f t="shared" si="43"/>
        <v>60.6</v>
      </c>
      <c r="CS31">
        <f t="shared" si="44"/>
        <v>121.2</v>
      </c>
      <c r="CT31">
        <f t="shared" si="45"/>
        <v>79.14</v>
      </c>
    </row>
    <row r="32" spans="1:98">
      <c r="A32" s="9">
        <v>31</v>
      </c>
      <c r="B32" s="9">
        <v>5000</v>
      </c>
      <c r="C32" s="9">
        <v>1000</v>
      </c>
      <c r="D32" s="9">
        <v>1000</v>
      </c>
      <c r="E32" s="8">
        <f t="shared" si="0"/>
        <v>2680</v>
      </c>
      <c r="F32" s="8">
        <f t="shared" si="1"/>
        <v>536</v>
      </c>
      <c r="G32" s="8">
        <f t="shared" si="2"/>
        <v>536</v>
      </c>
      <c r="H32" s="9"/>
      <c r="I32" s="9">
        <v>0.8</v>
      </c>
      <c r="J32" s="8">
        <f t="shared" si="3"/>
        <v>540</v>
      </c>
      <c r="K32" s="8">
        <f t="shared" si="4"/>
        <v>108</v>
      </c>
      <c r="L32" s="8">
        <f t="shared" si="5"/>
        <v>108</v>
      </c>
      <c r="M32" s="8">
        <v>0.2</v>
      </c>
      <c r="N32" s="8">
        <f t="shared" si="6"/>
        <v>8220</v>
      </c>
      <c r="O32" s="8">
        <f t="shared" si="7"/>
        <v>1644</v>
      </c>
      <c r="P32" s="8">
        <f t="shared" si="8"/>
        <v>1644</v>
      </c>
      <c r="Q32" s="9">
        <v>20</v>
      </c>
      <c r="R32" s="9">
        <v>40</v>
      </c>
      <c r="S32" s="9">
        <v>18.48</v>
      </c>
      <c r="T32" s="8">
        <v>2.4</v>
      </c>
      <c r="U32" s="8">
        <v>0.084</v>
      </c>
      <c r="V32" s="8">
        <f t="shared" si="9"/>
        <v>13837.4502206669</v>
      </c>
      <c r="W32" s="8">
        <f t="shared" si="10"/>
        <v>1644</v>
      </c>
      <c r="X32" s="8">
        <f t="shared" si="11"/>
        <v>1644</v>
      </c>
      <c r="Y32" s="8">
        <f t="shared" si="12"/>
        <v>1383.74502206669</v>
      </c>
      <c r="Z32" s="8">
        <f t="shared" si="13"/>
        <v>10</v>
      </c>
      <c r="AA32">
        <f t="shared" si="14"/>
        <v>822</v>
      </c>
      <c r="AB32">
        <f t="shared" si="15"/>
        <v>10</v>
      </c>
      <c r="AC32">
        <f t="shared" si="16"/>
        <v>6.03037542982705</v>
      </c>
      <c r="AD32">
        <f t="shared" si="17"/>
        <v>3.77931034482759</v>
      </c>
      <c r="AE32">
        <f t="shared" si="18"/>
        <v>3.77931034482759</v>
      </c>
      <c r="AF32">
        <f t="shared" si="46"/>
        <v>4612.48340688897</v>
      </c>
      <c r="AG32">
        <f t="shared" si="47"/>
        <v>1644</v>
      </c>
      <c r="AH32">
        <f t="shared" si="48"/>
        <v>822</v>
      </c>
      <c r="AI32">
        <f t="shared" si="19"/>
        <v>3.33333333333334</v>
      </c>
      <c r="AJ32">
        <f t="shared" si="20"/>
        <v>274</v>
      </c>
      <c r="AK32">
        <f t="shared" si="21"/>
        <v>30</v>
      </c>
      <c r="BM32">
        <v>31</v>
      </c>
      <c r="BN32">
        <f t="shared" si="22"/>
        <v>2870</v>
      </c>
      <c r="BO32">
        <f t="shared" si="23"/>
        <v>573.8</v>
      </c>
      <c r="BQ32">
        <f t="shared" si="24"/>
        <v>8</v>
      </c>
      <c r="BR32">
        <f t="shared" si="25"/>
        <v>16</v>
      </c>
      <c r="BS32">
        <f t="shared" si="26"/>
        <v>5.4</v>
      </c>
      <c r="BT32">
        <v>31</v>
      </c>
      <c r="BU32">
        <f t="shared" si="27"/>
        <v>5437.6</v>
      </c>
      <c r="BV32">
        <f t="shared" si="28"/>
        <v>1087.52</v>
      </c>
      <c r="BX32">
        <f t="shared" si="29"/>
        <v>21.5</v>
      </c>
      <c r="BY32">
        <f t="shared" si="30"/>
        <v>43.1</v>
      </c>
      <c r="BZ32">
        <v>31</v>
      </c>
      <c r="CA32">
        <f t="shared" si="31"/>
        <v>8279</v>
      </c>
      <c r="CB32">
        <f t="shared" si="32"/>
        <v>1655.66</v>
      </c>
      <c r="CD32">
        <f t="shared" si="33"/>
        <v>35.99</v>
      </c>
      <c r="CE32">
        <f t="shared" si="34"/>
        <v>72.046</v>
      </c>
      <c r="CF32">
        <f t="shared" si="35"/>
        <v>39.8</v>
      </c>
      <c r="CG32">
        <v>31</v>
      </c>
      <c r="CH32">
        <f t="shared" si="36"/>
        <v>11210</v>
      </c>
      <c r="CI32">
        <f t="shared" si="37"/>
        <v>2241.4</v>
      </c>
      <c r="CK32">
        <f t="shared" si="38"/>
        <v>45.75</v>
      </c>
      <c r="CL32">
        <f t="shared" si="39"/>
        <v>91.55</v>
      </c>
      <c r="CM32">
        <f t="shared" si="40"/>
        <v>59.41</v>
      </c>
      <c r="CN32">
        <v>31</v>
      </c>
      <c r="CO32">
        <f t="shared" si="41"/>
        <v>14167.6</v>
      </c>
      <c r="CP32">
        <f t="shared" si="42"/>
        <v>2834.72</v>
      </c>
      <c r="CR32">
        <f t="shared" si="43"/>
        <v>60.62</v>
      </c>
      <c r="CS32">
        <f t="shared" si="44"/>
        <v>121.24</v>
      </c>
      <c r="CT32">
        <f t="shared" si="45"/>
        <v>79.178</v>
      </c>
    </row>
    <row r="33" spans="1:98">
      <c r="A33" s="9">
        <v>32</v>
      </c>
      <c r="B33" s="9">
        <v>5100</v>
      </c>
      <c r="C33" s="9">
        <v>1020</v>
      </c>
      <c r="D33" s="9">
        <v>1020</v>
      </c>
      <c r="E33" s="8">
        <f t="shared" si="0"/>
        <v>2760</v>
      </c>
      <c r="F33" s="8">
        <f t="shared" si="1"/>
        <v>552</v>
      </c>
      <c r="G33" s="8">
        <f t="shared" si="2"/>
        <v>552</v>
      </c>
      <c r="H33" s="9"/>
      <c r="I33" s="9">
        <v>0.8</v>
      </c>
      <c r="J33" s="8">
        <f t="shared" si="3"/>
        <v>550.8</v>
      </c>
      <c r="K33" s="8">
        <f t="shared" si="4"/>
        <v>110.16</v>
      </c>
      <c r="L33" s="8">
        <f t="shared" si="5"/>
        <v>110.16</v>
      </c>
      <c r="M33" s="8">
        <v>0.2</v>
      </c>
      <c r="N33" s="8">
        <f t="shared" si="6"/>
        <v>8410.8</v>
      </c>
      <c r="O33" s="8">
        <f t="shared" si="7"/>
        <v>1682.16</v>
      </c>
      <c r="P33" s="8">
        <f t="shared" si="8"/>
        <v>1682.16</v>
      </c>
      <c r="Q33" s="9">
        <v>20</v>
      </c>
      <c r="R33" s="9">
        <v>40</v>
      </c>
      <c r="S33" s="9">
        <v>19.14</v>
      </c>
      <c r="T33" s="8">
        <v>2.48</v>
      </c>
      <c r="U33" s="8">
        <v>0.0868</v>
      </c>
      <c r="V33" s="8">
        <f t="shared" si="9"/>
        <v>14285.4398839752</v>
      </c>
      <c r="W33" s="8">
        <f t="shared" si="10"/>
        <v>1682.16</v>
      </c>
      <c r="X33" s="8">
        <f t="shared" si="11"/>
        <v>1682.16</v>
      </c>
      <c r="Y33" s="8">
        <f t="shared" si="12"/>
        <v>1428.54398839752</v>
      </c>
      <c r="Z33" s="8">
        <f t="shared" si="13"/>
        <v>10</v>
      </c>
      <c r="AA33">
        <f t="shared" si="14"/>
        <v>841.08</v>
      </c>
      <c r="AB33">
        <f t="shared" si="15"/>
        <v>10</v>
      </c>
      <c r="AC33">
        <f t="shared" si="16"/>
        <v>6.22560979854015</v>
      </c>
      <c r="AD33">
        <f t="shared" si="17"/>
        <v>3.86703448275862</v>
      </c>
      <c r="AE33">
        <f t="shared" si="18"/>
        <v>3.86703448275862</v>
      </c>
      <c r="AF33">
        <f t="shared" si="46"/>
        <v>4761.8132946584</v>
      </c>
      <c r="AG33">
        <f t="shared" si="47"/>
        <v>1682.16</v>
      </c>
      <c r="AH33">
        <f t="shared" si="48"/>
        <v>841.08</v>
      </c>
      <c r="AI33">
        <f t="shared" si="19"/>
        <v>3.33333333333333</v>
      </c>
      <c r="AJ33">
        <f t="shared" si="20"/>
        <v>280.36</v>
      </c>
      <c r="AK33">
        <f t="shared" si="21"/>
        <v>30</v>
      </c>
      <c r="BM33">
        <v>32</v>
      </c>
      <c r="BN33">
        <f t="shared" si="22"/>
        <v>2899</v>
      </c>
      <c r="BO33">
        <f t="shared" si="23"/>
        <v>579.6</v>
      </c>
      <c r="BQ33">
        <f t="shared" si="24"/>
        <v>8.1</v>
      </c>
      <c r="BR33">
        <f t="shared" si="25"/>
        <v>16.2</v>
      </c>
      <c r="BS33">
        <f t="shared" si="26"/>
        <v>5.58</v>
      </c>
      <c r="BT33">
        <v>32</v>
      </c>
      <c r="BU33">
        <f t="shared" si="27"/>
        <v>5452.2</v>
      </c>
      <c r="BV33">
        <f t="shared" si="28"/>
        <v>1090.44</v>
      </c>
      <c r="BX33">
        <f t="shared" si="29"/>
        <v>21.55</v>
      </c>
      <c r="BY33">
        <f t="shared" si="30"/>
        <v>43.2</v>
      </c>
      <c r="BZ33">
        <v>32</v>
      </c>
      <c r="CA33">
        <f t="shared" si="31"/>
        <v>8288.3</v>
      </c>
      <c r="CB33">
        <f t="shared" si="32"/>
        <v>1657.52</v>
      </c>
      <c r="CD33">
        <f t="shared" si="33"/>
        <v>36.023</v>
      </c>
      <c r="CE33">
        <f t="shared" si="34"/>
        <v>72.112</v>
      </c>
      <c r="CF33">
        <f t="shared" si="35"/>
        <v>39.86</v>
      </c>
      <c r="CG33">
        <v>32</v>
      </c>
      <c r="CH33">
        <f t="shared" si="36"/>
        <v>11217</v>
      </c>
      <c r="CI33">
        <f t="shared" si="37"/>
        <v>2242.8</v>
      </c>
      <c r="CK33">
        <f t="shared" si="38"/>
        <v>45.775</v>
      </c>
      <c r="CL33">
        <f t="shared" si="39"/>
        <v>91.6</v>
      </c>
      <c r="CM33">
        <f t="shared" si="40"/>
        <v>59.457</v>
      </c>
      <c r="CN33">
        <v>32</v>
      </c>
      <c r="CO33">
        <f t="shared" si="41"/>
        <v>14173.2</v>
      </c>
      <c r="CP33">
        <f t="shared" si="42"/>
        <v>2835.84</v>
      </c>
      <c r="CR33">
        <f t="shared" si="43"/>
        <v>60.64</v>
      </c>
      <c r="CS33">
        <f t="shared" si="44"/>
        <v>121.28</v>
      </c>
      <c r="CT33">
        <f t="shared" si="45"/>
        <v>79.216</v>
      </c>
    </row>
    <row r="34" spans="1:98">
      <c r="A34" s="9">
        <v>33</v>
      </c>
      <c r="B34" s="9">
        <v>5200</v>
      </c>
      <c r="C34" s="9">
        <v>1040</v>
      </c>
      <c r="D34" s="9">
        <v>1040</v>
      </c>
      <c r="E34" s="8">
        <f t="shared" si="0"/>
        <v>2840</v>
      </c>
      <c r="F34" s="8">
        <f t="shared" si="1"/>
        <v>568</v>
      </c>
      <c r="G34" s="8">
        <f t="shared" si="2"/>
        <v>568</v>
      </c>
      <c r="H34" s="9"/>
      <c r="I34" s="9">
        <v>0.8</v>
      </c>
      <c r="J34" s="8">
        <f t="shared" si="3"/>
        <v>561.6</v>
      </c>
      <c r="K34" s="8">
        <f t="shared" si="4"/>
        <v>112.32</v>
      </c>
      <c r="L34" s="8">
        <f t="shared" si="5"/>
        <v>112.32</v>
      </c>
      <c r="M34" s="8">
        <v>0.2</v>
      </c>
      <c r="N34" s="8">
        <f t="shared" si="6"/>
        <v>8601.6</v>
      </c>
      <c r="O34" s="8">
        <f t="shared" si="7"/>
        <v>1720.32</v>
      </c>
      <c r="P34" s="8">
        <f t="shared" si="8"/>
        <v>1720.32</v>
      </c>
      <c r="Q34" s="9">
        <v>20</v>
      </c>
      <c r="R34" s="9">
        <v>40</v>
      </c>
      <c r="S34" s="9">
        <v>19.8</v>
      </c>
      <c r="T34" s="8">
        <v>2.56</v>
      </c>
      <c r="U34" s="8">
        <v>0.0896</v>
      </c>
      <c r="V34" s="8">
        <f t="shared" si="9"/>
        <v>14739.784604886</v>
      </c>
      <c r="W34" s="8">
        <f t="shared" si="10"/>
        <v>1720.32</v>
      </c>
      <c r="X34" s="8">
        <f t="shared" si="11"/>
        <v>1720.32</v>
      </c>
      <c r="Y34" s="8">
        <f t="shared" si="12"/>
        <v>1473.9784604886</v>
      </c>
      <c r="Z34" s="8">
        <f t="shared" si="13"/>
        <v>10</v>
      </c>
      <c r="AA34">
        <f t="shared" si="14"/>
        <v>860.16</v>
      </c>
      <c r="AB34">
        <f t="shared" si="15"/>
        <v>10</v>
      </c>
      <c r="AC34">
        <f t="shared" si="16"/>
        <v>6.42361370807256</v>
      </c>
      <c r="AD34">
        <f t="shared" si="17"/>
        <v>3.95475862068966</v>
      </c>
      <c r="AE34">
        <f t="shared" si="18"/>
        <v>3.95475862068966</v>
      </c>
      <c r="AF34">
        <f t="shared" si="46"/>
        <v>4913.261534962</v>
      </c>
      <c r="AG34">
        <f t="shared" si="47"/>
        <v>1720.32</v>
      </c>
      <c r="AH34">
        <f t="shared" si="48"/>
        <v>860.16</v>
      </c>
      <c r="AI34">
        <f t="shared" si="19"/>
        <v>3.33333333333333</v>
      </c>
      <c r="AJ34">
        <f t="shared" si="20"/>
        <v>286.72</v>
      </c>
      <c r="AK34">
        <f t="shared" si="21"/>
        <v>30</v>
      </c>
      <c r="BM34">
        <v>33</v>
      </c>
      <c r="BN34">
        <f t="shared" si="22"/>
        <v>2928</v>
      </c>
      <c r="BO34">
        <f t="shared" si="23"/>
        <v>585.4</v>
      </c>
      <c r="BQ34">
        <f t="shared" si="24"/>
        <v>8.2</v>
      </c>
      <c r="BR34">
        <f t="shared" si="25"/>
        <v>16.4</v>
      </c>
      <c r="BS34">
        <f t="shared" si="26"/>
        <v>5.76</v>
      </c>
      <c r="BT34">
        <v>33</v>
      </c>
      <c r="BU34">
        <f t="shared" si="27"/>
        <v>5466.8</v>
      </c>
      <c r="BV34">
        <f t="shared" si="28"/>
        <v>1093.36</v>
      </c>
      <c r="BX34">
        <f t="shared" si="29"/>
        <v>21.6</v>
      </c>
      <c r="BY34">
        <f t="shared" si="30"/>
        <v>43.3</v>
      </c>
      <c r="BZ34">
        <v>33</v>
      </c>
      <c r="CA34">
        <f t="shared" si="31"/>
        <v>8297.6</v>
      </c>
      <c r="CB34">
        <f t="shared" si="32"/>
        <v>1659.38</v>
      </c>
      <c r="CD34">
        <f t="shared" si="33"/>
        <v>36.056</v>
      </c>
      <c r="CE34">
        <f t="shared" si="34"/>
        <v>72.178</v>
      </c>
      <c r="CF34">
        <f t="shared" si="35"/>
        <v>39.92</v>
      </c>
      <c r="CG34">
        <v>33</v>
      </c>
      <c r="CH34">
        <f t="shared" si="36"/>
        <v>11224</v>
      </c>
      <c r="CI34">
        <f t="shared" si="37"/>
        <v>2244.2</v>
      </c>
      <c r="CK34">
        <f t="shared" si="38"/>
        <v>45.8</v>
      </c>
      <c r="CL34">
        <f t="shared" si="39"/>
        <v>91.65</v>
      </c>
      <c r="CM34">
        <f t="shared" si="40"/>
        <v>59.504</v>
      </c>
      <c r="CN34">
        <v>33</v>
      </c>
      <c r="CO34">
        <f t="shared" si="41"/>
        <v>14178.8</v>
      </c>
      <c r="CP34">
        <f t="shared" si="42"/>
        <v>2836.96</v>
      </c>
      <c r="CR34">
        <f t="shared" si="43"/>
        <v>60.66</v>
      </c>
      <c r="CS34">
        <f t="shared" si="44"/>
        <v>121.32</v>
      </c>
      <c r="CT34">
        <f t="shared" si="45"/>
        <v>79.254</v>
      </c>
    </row>
    <row r="35" spans="1:98">
      <c r="A35" s="9">
        <v>34</v>
      </c>
      <c r="B35" s="9">
        <v>5300</v>
      </c>
      <c r="C35" s="9">
        <v>1060</v>
      </c>
      <c r="D35" s="9">
        <v>1060</v>
      </c>
      <c r="E35" s="8">
        <f t="shared" si="0"/>
        <v>2920</v>
      </c>
      <c r="F35" s="8">
        <f t="shared" si="1"/>
        <v>584</v>
      </c>
      <c r="G35" s="8">
        <f t="shared" si="2"/>
        <v>584</v>
      </c>
      <c r="H35" s="9"/>
      <c r="I35" s="9">
        <v>0.8</v>
      </c>
      <c r="J35" s="8">
        <f t="shared" si="3"/>
        <v>572.4</v>
      </c>
      <c r="K35" s="8">
        <f t="shared" si="4"/>
        <v>114.48</v>
      </c>
      <c r="L35" s="8">
        <f t="shared" si="5"/>
        <v>114.48</v>
      </c>
      <c r="M35" s="8">
        <v>0.2</v>
      </c>
      <c r="N35" s="8">
        <f t="shared" si="6"/>
        <v>8792.4</v>
      </c>
      <c r="O35" s="8">
        <f t="shared" si="7"/>
        <v>1758.48</v>
      </c>
      <c r="P35" s="8">
        <f t="shared" si="8"/>
        <v>1758.48</v>
      </c>
      <c r="Q35" s="9">
        <v>20</v>
      </c>
      <c r="R35" s="9">
        <v>40</v>
      </c>
      <c r="S35" s="9">
        <v>20.46</v>
      </c>
      <c r="T35" s="8">
        <v>2.64</v>
      </c>
      <c r="U35" s="8">
        <v>0.0924</v>
      </c>
      <c r="V35" s="8">
        <f t="shared" si="9"/>
        <v>15200.525452034</v>
      </c>
      <c r="W35" s="8">
        <f t="shared" si="10"/>
        <v>1758.48</v>
      </c>
      <c r="X35" s="8">
        <f t="shared" si="11"/>
        <v>1758.48</v>
      </c>
      <c r="Y35" s="8">
        <f t="shared" si="12"/>
        <v>1520.0525452034</v>
      </c>
      <c r="Z35" s="8">
        <f t="shared" si="13"/>
        <v>10</v>
      </c>
      <c r="AA35">
        <f t="shared" si="14"/>
        <v>879.24</v>
      </c>
      <c r="AB35">
        <f t="shared" si="15"/>
        <v>10</v>
      </c>
      <c r="AC35">
        <f t="shared" si="16"/>
        <v>6.62440505617868</v>
      </c>
      <c r="AD35">
        <f t="shared" si="17"/>
        <v>4.04248275862069</v>
      </c>
      <c r="AE35">
        <f t="shared" si="18"/>
        <v>4.04248275862069</v>
      </c>
      <c r="AF35">
        <f t="shared" si="46"/>
        <v>5066.84181734467</v>
      </c>
      <c r="AG35">
        <f t="shared" si="47"/>
        <v>1758.48</v>
      </c>
      <c r="AH35">
        <f t="shared" si="48"/>
        <v>879.24</v>
      </c>
      <c r="AI35">
        <f t="shared" si="19"/>
        <v>3.33333333333334</v>
      </c>
      <c r="AJ35">
        <f t="shared" si="20"/>
        <v>293.08</v>
      </c>
      <c r="AK35">
        <f t="shared" si="21"/>
        <v>30</v>
      </c>
      <c r="BM35">
        <v>34</v>
      </c>
      <c r="BN35">
        <f t="shared" si="22"/>
        <v>2957</v>
      </c>
      <c r="BO35">
        <f t="shared" si="23"/>
        <v>591.2</v>
      </c>
      <c r="BQ35">
        <f t="shared" si="24"/>
        <v>8.3</v>
      </c>
      <c r="BR35">
        <f t="shared" si="25"/>
        <v>16.6</v>
      </c>
      <c r="BS35">
        <f t="shared" si="26"/>
        <v>5.94</v>
      </c>
      <c r="BT35">
        <v>34</v>
      </c>
      <c r="BU35">
        <f t="shared" si="27"/>
        <v>5481.4</v>
      </c>
      <c r="BV35">
        <f t="shared" si="28"/>
        <v>1096.28</v>
      </c>
      <c r="BX35">
        <f t="shared" si="29"/>
        <v>21.65</v>
      </c>
      <c r="BY35">
        <f t="shared" si="30"/>
        <v>43.4</v>
      </c>
      <c r="BZ35">
        <v>34</v>
      </c>
      <c r="CA35">
        <f t="shared" si="31"/>
        <v>8306.9</v>
      </c>
      <c r="CB35">
        <f t="shared" si="32"/>
        <v>1661.24</v>
      </c>
      <c r="CD35">
        <f t="shared" si="33"/>
        <v>36.089</v>
      </c>
      <c r="CE35">
        <f t="shared" si="34"/>
        <v>72.244</v>
      </c>
      <c r="CF35">
        <f t="shared" si="35"/>
        <v>39.98</v>
      </c>
      <c r="CG35">
        <v>34</v>
      </c>
      <c r="CH35">
        <f t="shared" si="36"/>
        <v>11231</v>
      </c>
      <c r="CI35">
        <f t="shared" si="37"/>
        <v>2245.6</v>
      </c>
      <c r="CK35">
        <f t="shared" si="38"/>
        <v>45.825</v>
      </c>
      <c r="CL35">
        <f t="shared" si="39"/>
        <v>91.7</v>
      </c>
      <c r="CM35">
        <f t="shared" si="40"/>
        <v>59.551</v>
      </c>
      <c r="CN35">
        <v>34</v>
      </c>
      <c r="CO35">
        <f t="shared" si="41"/>
        <v>14184.4</v>
      </c>
      <c r="CP35">
        <f t="shared" si="42"/>
        <v>2838.08</v>
      </c>
      <c r="CR35">
        <f t="shared" si="43"/>
        <v>60.68</v>
      </c>
      <c r="CS35">
        <f t="shared" si="44"/>
        <v>121.36</v>
      </c>
      <c r="CT35">
        <f t="shared" si="45"/>
        <v>79.292</v>
      </c>
    </row>
    <row r="36" spans="1:98">
      <c r="A36" s="9">
        <v>35</v>
      </c>
      <c r="B36" s="9">
        <v>5400</v>
      </c>
      <c r="C36" s="9">
        <v>1080</v>
      </c>
      <c r="D36" s="9">
        <v>1080</v>
      </c>
      <c r="E36" s="8">
        <f t="shared" si="0"/>
        <v>3000</v>
      </c>
      <c r="F36" s="8">
        <f t="shared" si="1"/>
        <v>600</v>
      </c>
      <c r="G36" s="8">
        <f t="shared" si="2"/>
        <v>600</v>
      </c>
      <c r="H36" s="9"/>
      <c r="I36" s="9">
        <v>0.8</v>
      </c>
      <c r="J36" s="8">
        <f t="shared" si="3"/>
        <v>583.2</v>
      </c>
      <c r="K36" s="8">
        <f t="shared" si="4"/>
        <v>116.64</v>
      </c>
      <c r="L36" s="8">
        <f t="shared" si="5"/>
        <v>116.64</v>
      </c>
      <c r="M36" s="8">
        <v>0.2</v>
      </c>
      <c r="N36" s="8">
        <f t="shared" si="6"/>
        <v>8983.2</v>
      </c>
      <c r="O36" s="8">
        <f t="shared" si="7"/>
        <v>1796.64</v>
      </c>
      <c r="P36" s="8">
        <f t="shared" si="8"/>
        <v>1796.64</v>
      </c>
      <c r="Q36" s="9">
        <v>20</v>
      </c>
      <c r="R36" s="9">
        <v>40</v>
      </c>
      <c r="S36" s="9">
        <v>21.12</v>
      </c>
      <c r="T36" s="8">
        <v>2.72</v>
      </c>
      <c r="U36" s="8">
        <v>0.0952</v>
      </c>
      <c r="V36" s="8">
        <f t="shared" si="9"/>
        <v>15667.7035807086</v>
      </c>
      <c r="W36" s="8">
        <f t="shared" si="10"/>
        <v>1796.64</v>
      </c>
      <c r="X36" s="8">
        <f t="shared" si="11"/>
        <v>1796.64</v>
      </c>
      <c r="Y36" s="8">
        <f t="shared" si="12"/>
        <v>1566.77035807086</v>
      </c>
      <c r="Z36" s="8">
        <f t="shared" si="13"/>
        <v>10</v>
      </c>
      <c r="AA36">
        <f t="shared" si="14"/>
        <v>898.32</v>
      </c>
      <c r="AB36">
        <f t="shared" si="15"/>
        <v>10</v>
      </c>
      <c r="AC36">
        <f t="shared" si="16"/>
        <v>6.82800177837712</v>
      </c>
      <c r="AD36">
        <f t="shared" si="17"/>
        <v>4.13020689655172</v>
      </c>
      <c r="AE36">
        <f t="shared" si="18"/>
        <v>4.13020689655172</v>
      </c>
      <c r="AF36">
        <f t="shared" si="46"/>
        <v>5222.5678602362</v>
      </c>
      <c r="AG36">
        <f t="shared" si="47"/>
        <v>1796.64</v>
      </c>
      <c r="AH36">
        <f t="shared" si="48"/>
        <v>898.32</v>
      </c>
      <c r="AI36">
        <f t="shared" si="19"/>
        <v>3.33333333333333</v>
      </c>
      <c r="AJ36">
        <f t="shared" si="20"/>
        <v>299.44</v>
      </c>
      <c r="AK36">
        <f t="shared" si="21"/>
        <v>30</v>
      </c>
      <c r="BM36">
        <v>35</v>
      </c>
      <c r="BN36">
        <f t="shared" si="22"/>
        <v>2986</v>
      </c>
      <c r="BO36">
        <f t="shared" si="23"/>
        <v>597</v>
      </c>
      <c r="BQ36">
        <f t="shared" si="24"/>
        <v>8.4</v>
      </c>
      <c r="BR36">
        <f t="shared" si="25"/>
        <v>16.8</v>
      </c>
      <c r="BS36">
        <f t="shared" si="26"/>
        <v>6.12</v>
      </c>
      <c r="BT36">
        <v>35</v>
      </c>
      <c r="BU36">
        <f t="shared" si="27"/>
        <v>5496</v>
      </c>
      <c r="BV36">
        <f t="shared" si="28"/>
        <v>1099.2</v>
      </c>
      <c r="BX36">
        <f t="shared" si="29"/>
        <v>21.7</v>
      </c>
      <c r="BY36">
        <f t="shared" si="30"/>
        <v>43.5</v>
      </c>
      <c r="BZ36">
        <v>35</v>
      </c>
      <c r="CA36">
        <f t="shared" si="31"/>
        <v>8316.2</v>
      </c>
      <c r="CB36">
        <f t="shared" si="32"/>
        <v>1663.1</v>
      </c>
      <c r="CD36">
        <f t="shared" si="33"/>
        <v>36.122</v>
      </c>
      <c r="CE36">
        <f t="shared" si="34"/>
        <v>72.31</v>
      </c>
      <c r="CF36">
        <f t="shared" si="35"/>
        <v>40.04</v>
      </c>
      <c r="CG36">
        <v>35</v>
      </c>
      <c r="CH36">
        <f t="shared" si="36"/>
        <v>11238</v>
      </c>
      <c r="CI36">
        <f t="shared" si="37"/>
        <v>2247</v>
      </c>
      <c r="CK36">
        <f t="shared" si="38"/>
        <v>45.85</v>
      </c>
      <c r="CL36">
        <f t="shared" si="39"/>
        <v>91.75</v>
      </c>
      <c r="CM36">
        <f t="shared" si="40"/>
        <v>59.598</v>
      </c>
      <c r="CN36">
        <v>35</v>
      </c>
      <c r="CO36">
        <f t="shared" si="41"/>
        <v>14190</v>
      </c>
      <c r="CP36">
        <f t="shared" si="42"/>
        <v>2839.2</v>
      </c>
      <c r="CR36">
        <f t="shared" si="43"/>
        <v>60.7</v>
      </c>
      <c r="CS36">
        <f t="shared" si="44"/>
        <v>121.4</v>
      </c>
      <c r="CT36">
        <f t="shared" si="45"/>
        <v>79.33</v>
      </c>
    </row>
    <row r="37" spans="1:98">
      <c r="A37" s="9">
        <v>36</v>
      </c>
      <c r="B37" s="9">
        <v>5500</v>
      </c>
      <c r="C37" s="9">
        <v>1100</v>
      </c>
      <c r="D37" s="9">
        <v>1100</v>
      </c>
      <c r="E37" s="8">
        <f t="shared" si="0"/>
        <v>3080</v>
      </c>
      <c r="F37" s="8">
        <f t="shared" si="1"/>
        <v>616</v>
      </c>
      <c r="G37" s="8">
        <f t="shared" si="2"/>
        <v>616</v>
      </c>
      <c r="H37" s="9"/>
      <c r="I37" s="9">
        <v>0.8</v>
      </c>
      <c r="J37" s="8">
        <f t="shared" si="3"/>
        <v>594</v>
      </c>
      <c r="K37" s="8">
        <f t="shared" si="4"/>
        <v>118.8</v>
      </c>
      <c r="L37" s="8">
        <f t="shared" si="5"/>
        <v>118.8</v>
      </c>
      <c r="M37" s="8">
        <v>0.2</v>
      </c>
      <c r="N37" s="8">
        <f t="shared" si="6"/>
        <v>9174</v>
      </c>
      <c r="O37" s="8">
        <f t="shared" si="7"/>
        <v>1834.8</v>
      </c>
      <c r="P37" s="8">
        <f t="shared" si="8"/>
        <v>1834.8</v>
      </c>
      <c r="Q37" s="9">
        <v>20</v>
      </c>
      <c r="R37" s="9">
        <v>40</v>
      </c>
      <c r="S37" s="9">
        <v>21.78</v>
      </c>
      <c r="T37" s="8">
        <v>2.8</v>
      </c>
      <c r="U37" s="8">
        <v>0.098</v>
      </c>
      <c r="V37" s="8">
        <f t="shared" si="9"/>
        <v>16141.3602328535</v>
      </c>
      <c r="W37" s="8">
        <f t="shared" si="10"/>
        <v>1834.8</v>
      </c>
      <c r="X37" s="8">
        <f t="shared" si="11"/>
        <v>1834.8</v>
      </c>
      <c r="Y37" s="8">
        <f t="shared" si="12"/>
        <v>1614.13602328535</v>
      </c>
      <c r="Z37" s="8">
        <f t="shared" si="13"/>
        <v>10</v>
      </c>
      <c r="AA37">
        <f t="shared" si="14"/>
        <v>917.4</v>
      </c>
      <c r="AB37">
        <f t="shared" si="15"/>
        <v>10</v>
      </c>
      <c r="AC37">
        <f t="shared" si="16"/>
        <v>7.03442184795054</v>
      </c>
      <c r="AD37">
        <f t="shared" si="17"/>
        <v>4.21793103448276</v>
      </c>
      <c r="AE37">
        <f t="shared" si="18"/>
        <v>4.21793103448276</v>
      </c>
      <c r="AF37">
        <f t="shared" si="46"/>
        <v>5380.45341095117</v>
      </c>
      <c r="AG37">
        <f t="shared" si="47"/>
        <v>1834.8</v>
      </c>
      <c r="AH37">
        <f t="shared" si="48"/>
        <v>917.4</v>
      </c>
      <c r="AI37">
        <f t="shared" si="19"/>
        <v>3.33333333333334</v>
      </c>
      <c r="AJ37">
        <f t="shared" si="20"/>
        <v>305.8</v>
      </c>
      <c r="AK37">
        <f t="shared" si="21"/>
        <v>30</v>
      </c>
      <c r="BM37">
        <v>36</v>
      </c>
      <c r="BN37">
        <f t="shared" si="22"/>
        <v>3015</v>
      </c>
      <c r="BO37">
        <f t="shared" si="23"/>
        <v>602.8</v>
      </c>
      <c r="BQ37">
        <f t="shared" si="24"/>
        <v>8.5</v>
      </c>
      <c r="BR37">
        <f t="shared" si="25"/>
        <v>17</v>
      </c>
      <c r="BS37">
        <f t="shared" si="26"/>
        <v>6.3</v>
      </c>
      <c r="BT37">
        <v>36</v>
      </c>
      <c r="BU37">
        <f t="shared" si="27"/>
        <v>5510.6</v>
      </c>
      <c r="BV37">
        <f t="shared" si="28"/>
        <v>1102.12</v>
      </c>
      <c r="BX37">
        <f t="shared" si="29"/>
        <v>21.75</v>
      </c>
      <c r="BY37">
        <f t="shared" si="30"/>
        <v>43.6</v>
      </c>
      <c r="BZ37">
        <v>36</v>
      </c>
      <c r="CA37">
        <f t="shared" si="31"/>
        <v>8325.5</v>
      </c>
      <c r="CB37">
        <f t="shared" si="32"/>
        <v>1664.96</v>
      </c>
      <c r="CD37">
        <f t="shared" si="33"/>
        <v>36.155</v>
      </c>
      <c r="CE37">
        <f t="shared" si="34"/>
        <v>72.376</v>
      </c>
      <c r="CF37">
        <f t="shared" si="35"/>
        <v>40.1</v>
      </c>
      <c r="CG37">
        <v>36</v>
      </c>
      <c r="CH37">
        <f t="shared" si="36"/>
        <v>11245</v>
      </c>
      <c r="CI37">
        <f t="shared" si="37"/>
        <v>2248.4</v>
      </c>
      <c r="CK37">
        <f t="shared" si="38"/>
        <v>45.875</v>
      </c>
      <c r="CL37">
        <f t="shared" si="39"/>
        <v>91.8</v>
      </c>
      <c r="CM37">
        <f t="shared" si="40"/>
        <v>59.645</v>
      </c>
      <c r="CN37">
        <v>36</v>
      </c>
      <c r="CO37">
        <f t="shared" si="41"/>
        <v>14195.6</v>
      </c>
      <c r="CP37">
        <f t="shared" si="42"/>
        <v>2840.32</v>
      </c>
      <c r="CR37">
        <f t="shared" si="43"/>
        <v>60.72</v>
      </c>
      <c r="CS37">
        <f t="shared" si="44"/>
        <v>121.44</v>
      </c>
      <c r="CT37">
        <f t="shared" si="45"/>
        <v>79.368</v>
      </c>
    </row>
    <row r="38" spans="1:98">
      <c r="A38" s="9">
        <v>37</v>
      </c>
      <c r="B38" s="9">
        <v>5600</v>
      </c>
      <c r="C38" s="9">
        <v>1120</v>
      </c>
      <c r="D38" s="9">
        <v>1120</v>
      </c>
      <c r="E38" s="8">
        <f t="shared" si="0"/>
        <v>3160</v>
      </c>
      <c r="F38" s="8">
        <f t="shared" si="1"/>
        <v>632</v>
      </c>
      <c r="G38" s="8">
        <f t="shared" si="2"/>
        <v>632</v>
      </c>
      <c r="H38" s="9"/>
      <c r="I38" s="9">
        <v>0.8</v>
      </c>
      <c r="J38" s="8">
        <f t="shared" si="3"/>
        <v>604.8</v>
      </c>
      <c r="K38" s="8">
        <f t="shared" si="4"/>
        <v>120.96</v>
      </c>
      <c r="L38" s="8">
        <f t="shared" si="5"/>
        <v>120.96</v>
      </c>
      <c r="M38" s="8">
        <v>0.2</v>
      </c>
      <c r="N38" s="8">
        <f t="shared" si="6"/>
        <v>9364.8</v>
      </c>
      <c r="O38" s="8">
        <f t="shared" si="7"/>
        <v>1872.96</v>
      </c>
      <c r="P38" s="8">
        <f t="shared" si="8"/>
        <v>1872.96</v>
      </c>
      <c r="Q38" s="9">
        <v>20</v>
      </c>
      <c r="R38" s="9">
        <v>40</v>
      </c>
      <c r="S38" s="9">
        <v>22.44</v>
      </c>
      <c r="T38" s="8">
        <v>2.88</v>
      </c>
      <c r="U38" s="8">
        <v>0.1008</v>
      </c>
      <c r="V38" s="8">
        <f t="shared" si="9"/>
        <v>16621.5367370673</v>
      </c>
      <c r="W38" s="8">
        <f t="shared" si="10"/>
        <v>1872.96</v>
      </c>
      <c r="X38" s="8">
        <f t="shared" si="11"/>
        <v>1872.96</v>
      </c>
      <c r="Y38" s="8">
        <f t="shared" si="12"/>
        <v>1662.15367370673</v>
      </c>
      <c r="Z38" s="8">
        <f t="shared" si="13"/>
        <v>10</v>
      </c>
      <c r="AA38">
        <f t="shared" si="14"/>
        <v>936.48</v>
      </c>
      <c r="AB38">
        <f t="shared" si="15"/>
        <v>10</v>
      </c>
      <c r="AC38">
        <f t="shared" si="16"/>
        <v>7.24368327594587</v>
      </c>
      <c r="AD38">
        <f t="shared" si="17"/>
        <v>4.30565517241379</v>
      </c>
      <c r="AE38">
        <f t="shared" si="18"/>
        <v>4.30565517241379</v>
      </c>
      <c r="AF38">
        <f t="shared" si="46"/>
        <v>5540.5122456891</v>
      </c>
      <c r="AG38">
        <f t="shared" si="47"/>
        <v>1872.96</v>
      </c>
      <c r="AH38">
        <f t="shared" si="48"/>
        <v>936.48</v>
      </c>
      <c r="AI38">
        <f t="shared" si="19"/>
        <v>3.33333333333333</v>
      </c>
      <c r="AJ38">
        <f t="shared" si="20"/>
        <v>312.16</v>
      </c>
      <c r="AK38">
        <f t="shared" si="21"/>
        <v>30</v>
      </c>
      <c r="BM38">
        <v>37</v>
      </c>
      <c r="BN38">
        <f t="shared" si="22"/>
        <v>3044</v>
      </c>
      <c r="BO38">
        <f t="shared" si="23"/>
        <v>608.6</v>
      </c>
      <c r="BQ38">
        <f t="shared" si="24"/>
        <v>8.6</v>
      </c>
      <c r="BR38">
        <f t="shared" si="25"/>
        <v>17.2</v>
      </c>
      <c r="BS38">
        <f t="shared" si="26"/>
        <v>6.48</v>
      </c>
      <c r="BT38">
        <v>37</v>
      </c>
      <c r="BU38">
        <f t="shared" si="27"/>
        <v>5525.2</v>
      </c>
      <c r="BV38">
        <f t="shared" si="28"/>
        <v>1105.04</v>
      </c>
      <c r="BX38">
        <f t="shared" si="29"/>
        <v>21.8</v>
      </c>
      <c r="BY38">
        <f t="shared" si="30"/>
        <v>43.7</v>
      </c>
      <c r="BZ38">
        <v>37</v>
      </c>
      <c r="CA38">
        <f t="shared" si="31"/>
        <v>8334.8</v>
      </c>
      <c r="CB38">
        <f t="shared" si="32"/>
        <v>1666.82</v>
      </c>
      <c r="CD38">
        <f t="shared" si="33"/>
        <v>36.188</v>
      </c>
      <c r="CE38">
        <f t="shared" si="34"/>
        <v>72.442</v>
      </c>
      <c r="CF38">
        <f t="shared" si="35"/>
        <v>40.16</v>
      </c>
      <c r="CG38">
        <v>37</v>
      </c>
      <c r="CH38">
        <f t="shared" si="36"/>
        <v>11252</v>
      </c>
      <c r="CI38">
        <f t="shared" si="37"/>
        <v>2249.8</v>
      </c>
      <c r="CK38">
        <f t="shared" si="38"/>
        <v>45.9</v>
      </c>
      <c r="CL38">
        <f t="shared" si="39"/>
        <v>91.85</v>
      </c>
      <c r="CM38">
        <f t="shared" si="40"/>
        <v>59.692</v>
      </c>
      <c r="CN38">
        <v>37</v>
      </c>
      <c r="CO38">
        <f t="shared" si="41"/>
        <v>14201.2</v>
      </c>
      <c r="CP38">
        <f t="shared" si="42"/>
        <v>2841.44</v>
      </c>
      <c r="CR38">
        <f t="shared" si="43"/>
        <v>60.74</v>
      </c>
      <c r="CS38">
        <f t="shared" si="44"/>
        <v>121.48</v>
      </c>
      <c r="CT38">
        <f t="shared" si="45"/>
        <v>79.406</v>
      </c>
    </row>
    <row r="39" spans="1:98">
      <c r="A39" s="9">
        <v>38</v>
      </c>
      <c r="B39" s="9">
        <v>5700</v>
      </c>
      <c r="C39" s="9">
        <v>1140</v>
      </c>
      <c r="D39" s="9">
        <v>1140</v>
      </c>
      <c r="E39" s="8">
        <f t="shared" si="0"/>
        <v>3240</v>
      </c>
      <c r="F39" s="8">
        <f t="shared" si="1"/>
        <v>648</v>
      </c>
      <c r="G39" s="8">
        <f t="shared" si="2"/>
        <v>648</v>
      </c>
      <c r="H39" s="9"/>
      <c r="I39" s="9">
        <v>0.8</v>
      </c>
      <c r="J39" s="8">
        <f t="shared" si="3"/>
        <v>615.6</v>
      </c>
      <c r="K39" s="8">
        <f t="shared" si="4"/>
        <v>123.12</v>
      </c>
      <c r="L39" s="8">
        <f t="shared" si="5"/>
        <v>123.12</v>
      </c>
      <c r="M39" s="8">
        <v>0.2</v>
      </c>
      <c r="N39" s="8">
        <f t="shared" si="6"/>
        <v>9555.6</v>
      </c>
      <c r="O39" s="8">
        <f t="shared" si="7"/>
        <v>1911.12</v>
      </c>
      <c r="P39" s="8">
        <f t="shared" si="8"/>
        <v>1911.12</v>
      </c>
      <c r="Q39" s="9">
        <v>20</v>
      </c>
      <c r="R39" s="9">
        <v>40</v>
      </c>
      <c r="S39" s="9">
        <v>23.1</v>
      </c>
      <c r="T39" s="8">
        <v>2.96</v>
      </c>
      <c r="U39" s="8">
        <v>0.1036</v>
      </c>
      <c r="V39" s="8">
        <f t="shared" si="9"/>
        <v>17108.2745086029</v>
      </c>
      <c r="W39" s="8">
        <f t="shared" si="10"/>
        <v>1911.12</v>
      </c>
      <c r="X39" s="8">
        <f t="shared" si="11"/>
        <v>1911.12</v>
      </c>
      <c r="Y39" s="8">
        <f t="shared" si="12"/>
        <v>1710.82745086029</v>
      </c>
      <c r="Z39" s="8">
        <f t="shared" si="13"/>
        <v>10</v>
      </c>
      <c r="AA39">
        <f t="shared" si="14"/>
        <v>955.56</v>
      </c>
      <c r="AB39">
        <f t="shared" si="15"/>
        <v>10</v>
      </c>
      <c r="AC39">
        <f t="shared" si="16"/>
        <v>7.45580411117411</v>
      </c>
      <c r="AD39">
        <f t="shared" si="17"/>
        <v>4.39337931034483</v>
      </c>
      <c r="AE39">
        <f t="shared" si="18"/>
        <v>4.39337931034483</v>
      </c>
      <c r="AF39">
        <f t="shared" si="46"/>
        <v>5702.7581695343</v>
      </c>
      <c r="AG39">
        <f t="shared" si="47"/>
        <v>1911.12</v>
      </c>
      <c r="AH39">
        <f t="shared" si="48"/>
        <v>955.56</v>
      </c>
      <c r="AI39">
        <f t="shared" si="19"/>
        <v>3.33333333333333</v>
      </c>
      <c r="AJ39">
        <f t="shared" si="20"/>
        <v>318.52</v>
      </c>
      <c r="AK39">
        <f t="shared" si="21"/>
        <v>30</v>
      </c>
      <c r="BM39">
        <v>38</v>
      </c>
      <c r="BN39">
        <f t="shared" si="22"/>
        <v>3073</v>
      </c>
      <c r="BO39">
        <f t="shared" si="23"/>
        <v>614.4</v>
      </c>
      <c r="BQ39">
        <f t="shared" si="24"/>
        <v>8.7</v>
      </c>
      <c r="BR39">
        <f t="shared" si="25"/>
        <v>17.4</v>
      </c>
      <c r="BS39">
        <f t="shared" si="26"/>
        <v>6.66</v>
      </c>
      <c r="BT39">
        <v>38</v>
      </c>
      <c r="BU39">
        <f t="shared" si="27"/>
        <v>5539.8</v>
      </c>
      <c r="BV39">
        <f t="shared" si="28"/>
        <v>1107.96</v>
      </c>
      <c r="BX39">
        <f t="shared" si="29"/>
        <v>21.85</v>
      </c>
      <c r="BY39">
        <f t="shared" si="30"/>
        <v>43.8</v>
      </c>
      <c r="BZ39">
        <v>38</v>
      </c>
      <c r="CA39">
        <f t="shared" si="31"/>
        <v>8344.1</v>
      </c>
      <c r="CB39">
        <f t="shared" si="32"/>
        <v>1668.68</v>
      </c>
      <c r="CD39">
        <f t="shared" si="33"/>
        <v>36.221</v>
      </c>
      <c r="CE39">
        <f t="shared" si="34"/>
        <v>72.508</v>
      </c>
      <c r="CF39">
        <f t="shared" si="35"/>
        <v>40.22</v>
      </c>
      <c r="CG39">
        <v>38</v>
      </c>
      <c r="CH39">
        <f t="shared" si="36"/>
        <v>11259</v>
      </c>
      <c r="CI39">
        <f t="shared" si="37"/>
        <v>2251.2</v>
      </c>
      <c r="CK39">
        <f t="shared" si="38"/>
        <v>45.925</v>
      </c>
      <c r="CL39">
        <f t="shared" si="39"/>
        <v>91.9</v>
      </c>
      <c r="CM39">
        <f t="shared" si="40"/>
        <v>59.739</v>
      </c>
      <c r="CN39">
        <v>38</v>
      </c>
      <c r="CO39">
        <f t="shared" si="41"/>
        <v>14206.8</v>
      </c>
      <c r="CP39">
        <f t="shared" si="42"/>
        <v>2842.56</v>
      </c>
      <c r="CR39">
        <f t="shared" si="43"/>
        <v>60.76</v>
      </c>
      <c r="CS39">
        <f t="shared" si="44"/>
        <v>121.52</v>
      </c>
      <c r="CT39">
        <f t="shared" si="45"/>
        <v>79.444</v>
      </c>
    </row>
    <row r="40" spans="1:98">
      <c r="A40" s="9">
        <v>39</v>
      </c>
      <c r="B40" s="9">
        <v>5800</v>
      </c>
      <c r="C40" s="9">
        <v>1160</v>
      </c>
      <c r="D40" s="9">
        <v>1160</v>
      </c>
      <c r="E40" s="8">
        <f t="shared" si="0"/>
        <v>3320</v>
      </c>
      <c r="F40" s="8">
        <f t="shared" si="1"/>
        <v>664</v>
      </c>
      <c r="G40" s="8">
        <f t="shared" si="2"/>
        <v>664</v>
      </c>
      <c r="H40" s="9"/>
      <c r="I40" s="9">
        <v>0.8</v>
      </c>
      <c r="J40" s="8">
        <f t="shared" si="3"/>
        <v>626.4</v>
      </c>
      <c r="K40" s="8">
        <f t="shared" si="4"/>
        <v>125.28</v>
      </c>
      <c r="L40" s="8">
        <f t="shared" si="5"/>
        <v>125.28</v>
      </c>
      <c r="M40" s="8">
        <v>0.2</v>
      </c>
      <c r="N40" s="8">
        <f t="shared" si="6"/>
        <v>9746.4</v>
      </c>
      <c r="O40" s="8">
        <f t="shared" si="7"/>
        <v>1949.28</v>
      </c>
      <c r="P40" s="8">
        <f t="shared" si="8"/>
        <v>1949.28</v>
      </c>
      <c r="Q40" s="9">
        <v>20</v>
      </c>
      <c r="R40" s="9">
        <v>40</v>
      </c>
      <c r="S40" s="9">
        <v>23.76</v>
      </c>
      <c r="T40" s="8">
        <v>3.04</v>
      </c>
      <c r="U40" s="8">
        <v>0.1064</v>
      </c>
      <c r="V40" s="8">
        <f t="shared" si="9"/>
        <v>17601.615049368</v>
      </c>
      <c r="W40" s="8">
        <f t="shared" si="10"/>
        <v>1949.28</v>
      </c>
      <c r="X40" s="8">
        <f t="shared" si="11"/>
        <v>1949.28</v>
      </c>
      <c r="Y40" s="8">
        <f t="shared" si="12"/>
        <v>1760.1615049368</v>
      </c>
      <c r="Z40" s="8">
        <f t="shared" si="13"/>
        <v>10</v>
      </c>
      <c r="AA40">
        <f t="shared" si="14"/>
        <v>974.64</v>
      </c>
      <c r="AB40">
        <f t="shared" si="15"/>
        <v>10</v>
      </c>
      <c r="AC40">
        <f t="shared" si="16"/>
        <v>7.67080244021049</v>
      </c>
      <c r="AD40">
        <f t="shared" si="17"/>
        <v>4.48110344827586</v>
      </c>
      <c r="AE40">
        <f t="shared" si="18"/>
        <v>4.48110344827586</v>
      </c>
      <c r="AF40">
        <f t="shared" si="46"/>
        <v>5867.205016456</v>
      </c>
      <c r="AG40">
        <f t="shared" si="47"/>
        <v>1949.28</v>
      </c>
      <c r="AH40">
        <f t="shared" si="48"/>
        <v>974.64</v>
      </c>
      <c r="AI40">
        <f t="shared" si="19"/>
        <v>3.33333333333333</v>
      </c>
      <c r="AJ40">
        <f t="shared" si="20"/>
        <v>324.88</v>
      </c>
      <c r="AK40">
        <f t="shared" si="21"/>
        <v>30</v>
      </c>
      <c r="BM40">
        <v>39</v>
      </c>
      <c r="BN40">
        <f t="shared" si="22"/>
        <v>3102</v>
      </c>
      <c r="BO40">
        <f t="shared" si="23"/>
        <v>620.2</v>
      </c>
      <c r="BQ40">
        <f t="shared" si="24"/>
        <v>8.8</v>
      </c>
      <c r="BR40">
        <f t="shared" si="25"/>
        <v>17.6</v>
      </c>
      <c r="BS40">
        <f t="shared" si="26"/>
        <v>6.84</v>
      </c>
      <c r="BT40">
        <v>39</v>
      </c>
      <c r="BU40">
        <f t="shared" si="27"/>
        <v>5554.4</v>
      </c>
      <c r="BV40">
        <f t="shared" si="28"/>
        <v>1110.88</v>
      </c>
      <c r="BX40">
        <f t="shared" si="29"/>
        <v>21.9</v>
      </c>
      <c r="BY40">
        <f t="shared" si="30"/>
        <v>43.9</v>
      </c>
      <c r="BZ40">
        <v>39</v>
      </c>
      <c r="CA40">
        <f t="shared" si="31"/>
        <v>8353.4</v>
      </c>
      <c r="CB40">
        <f t="shared" si="32"/>
        <v>1670.54</v>
      </c>
      <c r="CD40">
        <f t="shared" si="33"/>
        <v>36.254</v>
      </c>
      <c r="CE40">
        <f t="shared" si="34"/>
        <v>72.574</v>
      </c>
      <c r="CF40">
        <f t="shared" si="35"/>
        <v>40.28</v>
      </c>
      <c r="CG40">
        <v>39</v>
      </c>
      <c r="CH40">
        <f t="shared" si="36"/>
        <v>11266</v>
      </c>
      <c r="CI40">
        <f t="shared" si="37"/>
        <v>2252.6</v>
      </c>
      <c r="CK40">
        <f t="shared" si="38"/>
        <v>45.95</v>
      </c>
      <c r="CL40">
        <f t="shared" si="39"/>
        <v>91.95</v>
      </c>
      <c r="CM40">
        <f t="shared" si="40"/>
        <v>59.786</v>
      </c>
      <c r="CN40">
        <v>39</v>
      </c>
      <c r="CO40">
        <f t="shared" si="41"/>
        <v>14212.4</v>
      </c>
      <c r="CP40">
        <f t="shared" si="42"/>
        <v>2843.68</v>
      </c>
      <c r="CR40">
        <f t="shared" si="43"/>
        <v>60.78</v>
      </c>
      <c r="CS40">
        <f t="shared" si="44"/>
        <v>121.56</v>
      </c>
      <c r="CT40">
        <f t="shared" si="45"/>
        <v>79.482</v>
      </c>
    </row>
    <row r="41" s="1" customFormat="1" spans="1:98">
      <c r="A41" s="1">
        <v>40</v>
      </c>
      <c r="B41" s="1">
        <v>5900</v>
      </c>
      <c r="C41" s="1">
        <v>1180</v>
      </c>
      <c r="D41" s="1">
        <v>1180</v>
      </c>
      <c r="E41" s="1">
        <f t="shared" si="0"/>
        <v>3400</v>
      </c>
      <c r="F41" s="1">
        <f t="shared" si="1"/>
        <v>680</v>
      </c>
      <c r="G41" s="1">
        <f t="shared" si="2"/>
        <v>680</v>
      </c>
      <c r="I41" s="1">
        <v>0.8</v>
      </c>
      <c r="J41" s="1">
        <f t="shared" si="3"/>
        <v>637.2</v>
      </c>
      <c r="K41" s="1">
        <f t="shared" si="4"/>
        <v>127.44</v>
      </c>
      <c r="L41" s="1">
        <f t="shared" si="5"/>
        <v>127.44</v>
      </c>
      <c r="M41" s="8">
        <v>0.2</v>
      </c>
      <c r="N41" s="1">
        <f t="shared" si="6"/>
        <v>9937.2</v>
      </c>
      <c r="O41" s="1">
        <f t="shared" si="7"/>
        <v>1987.44</v>
      </c>
      <c r="P41" s="1">
        <f t="shared" si="8"/>
        <v>1987.44</v>
      </c>
      <c r="Q41" s="1">
        <v>20</v>
      </c>
      <c r="R41" s="1">
        <v>40</v>
      </c>
      <c r="S41" s="1">
        <v>24.42</v>
      </c>
      <c r="T41" s="1">
        <v>3.12</v>
      </c>
      <c r="U41" s="1">
        <v>0.1092</v>
      </c>
      <c r="V41" s="1">
        <f t="shared" si="9"/>
        <v>18101.5999479248</v>
      </c>
      <c r="W41" s="1">
        <f t="shared" si="10"/>
        <v>1987.44</v>
      </c>
      <c r="X41" s="1">
        <f t="shared" si="11"/>
        <v>1987.44</v>
      </c>
      <c r="Y41" s="1">
        <f t="shared" si="12"/>
        <v>1810.15999479248</v>
      </c>
      <c r="Z41" s="1">
        <f t="shared" si="13"/>
        <v>10</v>
      </c>
      <c r="AA41" s="1">
        <f t="shared" si="14"/>
        <v>993.72</v>
      </c>
      <c r="AB41" s="1">
        <f t="shared" si="15"/>
        <v>10</v>
      </c>
      <c r="AC41">
        <f t="shared" si="16"/>
        <v>7.88869638739437</v>
      </c>
      <c r="AD41">
        <f t="shared" si="17"/>
        <v>4.5688275862069</v>
      </c>
      <c r="AE41">
        <f t="shared" si="18"/>
        <v>4.5688275862069</v>
      </c>
      <c r="AF41" s="1">
        <f t="shared" si="46"/>
        <v>6033.86664930827</v>
      </c>
      <c r="AG41" s="1">
        <f t="shared" si="47"/>
        <v>1987.44</v>
      </c>
      <c r="AH41" s="1">
        <f t="shared" si="48"/>
        <v>993.72</v>
      </c>
      <c r="AI41" s="1">
        <f t="shared" si="19"/>
        <v>3.33333333333334</v>
      </c>
      <c r="AJ41" s="1">
        <f t="shared" si="20"/>
        <v>331.24</v>
      </c>
      <c r="AK41" s="1">
        <f t="shared" si="21"/>
        <v>30</v>
      </c>
      <c r="AX41" s="3"/>
      <c r="AY41" s="3"/>
      <c r="AZ41" s="3"/>
      <c r="BA41" s="3"/>
      <c r="BB41" s="3"/>
      <c r="BC41" s="3"/>
      <c r="BD41" s="4"/>
      <c r="BE41" s="4"/>
      <c r="BF41" s="4"/>
      <c r="BG41" s="4"/>
      <c r="BH41" s="4"/>
      <c r="BI41" s="4"/>
      <c r="BJ41" s="3"/>
      <c r="BK41" s="3"/>
      <c r="BM41" s="1">
        <v>40</v>
      </c>
      <c r="BN41" s="1">
        <f t="shared" si="22"/>
        <v>3131</v>
      </c>
      <c r="BO41" s="1">
        <f t="shared" si="23"/>
        <v>626</v>
      </c>
      <c r="BQ41" s="1">
        <f t="shared" si="24"/>
        <v>8.9</v>
      </c>
      <c r="BR41" s="1">
        <f t="shared" si="25"/>
        <v>17.8</v>
      </c>
      <c r="BS41" s="1">
        <f t="shared" si="26"/>
        <v>7.02</v>
      </c>
      <c r="BT41" s="1">
        <v>40</v>
      </c>
      <c r="BU41" s="1">
        <f t="shared" si="27"/>
        <v>5569</v>
      </c>
      <c r="BV41" s="1">
        <f t="shared" si="28"/>
        <v>1113.8</v>
      </c>
      <c r="BX41" s="1">
        <f t="shared" si="29"/>
        <v>21.95</v>
      </c>
      <c r="BY41" s="1">
        <f t="shared" si="30"/>
        <v>44</v>
      </c>
      <c r="BZ41" s="1">
        <v>40</v>
      </c>
      <c r="CA41" s="1">
        <f t="shared" si="31"/>
        <v>8362.7</v>
      </c>
      <c r="CB41" s="1">
        <f t="shared" si="32"/>
        <v>1672.4</v>
      </c>
      <c r="CD41" s="1">
        <f t="shared" si="33"/>
        <v>36.287</v>
      </c>
      <c r="CE41" s="1">
        <f t="shared" si="34"/>
        <v>72.64</v>
      </c>
      <c r="CF41" s="1">
        <f t="shared" si="35"/>
        <v>40.34</v>
      </c>
      <c r="CG41" s="1">
        <v>40</v>
      </c>
      <c r="CH41" s="1">
        <f t="shared" si="36"/>
        <v>11273</v>
      </c>
      <c r="CI41" s="1">
        <f t="shared" si="37"/>
        <v>2254</v>
      </c>
      <c r="CK41" s="1">
        <f t="shared" si="38"/>
        <v>45.975</v>
      </c>
      <c r="CL41" s="1">
        <f t="shared" si="39"/>
        <v>92</v>
      </c>
      <c r="CM41" s="1">
        <f t="shared" si="40"/>
        <v>59.833</v>
      </c>
      <c r="CN41" s="1">
        <v>40</v>
      </c>
      <c r="CO41" s="1">
        <f t="shared" si="41"/>
        <v>14218</v>
      </c>
      <c r="CP41" s="1">
        <f t="shared" si="42"/>
        <v>2844.8</v>
      </c>
      <c r="CR41" s="1">
        <f t="shared" si="43"/>
        <v>60.8</v>
      </c>
      <c r="CS41" s="1">
        <f t="shared" si="44"/>
        <v>121.6</v>
      </c>
      <c r="CT41" s="1">
        <f t="shared" si="45"/>
        <v>79.52</v>
      </c>
    </row>
    <row r="42" spans="1:98">
      <c r="A42" s="9">
        <v>41</v>
      </c>
      <c r="B42" s="9">
        <v>6000</v>
      </c>
      <c r="C42" s="9">
        <v>1200</v>
      </c>
      <c r="D42" s="9">
        <v>1200</v>
      </c>
      <c r="E42" s="8">
        <f t="shared" si="0"/>
        <v>3915</v>
      </c>
      <c r="F42" s="8">
        <f t="shared" si="1"/>
        <v>783</v>
      </c>
      <c r="G42" s="8">
        <f t="shared" si="2"/>
        <v>783</v>
      </c>
      <c r="H42" s="9"/>
      <c r="I42" s="9">
        <v>0.9</v>
      </c>
      <c r="J42" s="8">
        <f t="shared" si="3"/>
        <v>972</v>
      </c>
      <c r="K42" s="8">
        <f t="shared" si="4"/>
        <v>194.4</v>
      </c>
      <c r="L42" s="8">
        <f t="shared" si="5"/>
        <v>194.4</v>
      </c>
      <c r="M42" s="8">
        <v>0.3</v>
      </c>
      <c r="N42" s="8">
        <f t="shared" si="6"/>
        <v>10887</v>
      </c>
      <c r="O42" s="8">
        <f t="shared" si="7"/>
        <v>2177.4</v>
      </c>
      <c r="P42" s="8">
        <f t="shared" si="8"/>
        <v>2177.4</v>
      </c>
      <c r="Q42" s="9">
        <v>25</v>
      </c>
      <c r="R42" s="9">
        <v>50</v>
      </c>
      <c r="S42" s="9">
        <v>25.08</v>
      </c>
      <c r="T42" s="8">
        <v>3.2</v>
      </c>
      <c r="U42" s="8">
        <v>0.112</v>
      </c>
      <c r="V42" s="8">
        <f t="shared" si="9"/>
        <v>21487.3707917088</v>
      </c>
      <c r="W42" s="8">
        <f t="shared" si="10"/>
        <v>2177.4</v>
      </c>
      <c r="X42" s="8">
        <f t="shared" si="11"/>
        <v>2177.4</v>
      </c>
      <c r="Y42" s="8">
        <f t="shared" si="12"/>
        <v>2148.73707917088</v>
      </c>
      <c r="Z42" s="8">
        <f t="shared" si="13"/>
        <v>10</v>
      </c>
      <c r="AA42">
        <f t="shared" si="14"/>
        <v>1088.7</v>
      </c>
      <c r="AB42">
        <f t="shared" si="15"/>
        <v>10</v>
      </c>
      <c r="AC42">
        <f t="shared" si="16"/>
        <v>9.36421889925753</v>
      </c>
      <c r="AD42">
        <f t="shared" si="17"/>
        <v>5.00551724137931</v>
      </c>
      <c r="AE42">
        <f t="shared" si="18"/>
        <v>5.00551724137931</v>
      </c>
      <c r="AF42">
        <f t="shared" si="46"/>
        <v>7162.4569305696</v>
      </c>
      <c r="AG42">
        <f t="shared" si="47"/>
        <v>2177.4</v>
      </c>
      <c r="AH42">
        <f t="shared" si="48"/>
        <v>1088.7</v>
      </c>
      <c r="AI42">
        <f t="shared" si="19"/>
        <v>3.33333333333333</v>
      </c>
      <c r="AJ42">
        <f t="shared" si="20"/>
        <v>362.9</v>
      </c>
      <c r="AK42">
        <f t="shared" si="21"/>
        <v>30</v>
      </c>
      <c r="BM42">
        <v>41</v>
      </c>
      <c r="BN42">
        <f t="shared" si="22"/>
        <v>3160</v>
      </c>
      <c r="BO42">
        <f t="shared" si="23"/>
        <v>631.8</v>
      </c>
      <c r="BQ42">
        <f t="shared" si="24"/>
        <v>9</v>
      </c>
      <c r="BR42">
        <f t="shared" si="25"/>
        <v>18</v>
      </c>
      <c r="BS42">
        <f t="shared" si="26"/>
        <v>7.2</v>
      </c>
      <c r="BT42">
        <v>41</v>
      </c>
      <c r="BU42">
        <f t="shared" si="27"/>
        <v>5583.6</v>
      </c>
      <c r="BV42">
        <f t="shared" si="28"/>
        <v>1116.72</v>
      </c>
      <c r="BX42">
        <f t="shared" si="29"/>
        <v>22</v>
      </c>
      <c r="BY42">
        <f t="shared" si="30"/>
        <v>44.1</v>
      </c>
      <c r="BZ42">
        <v>41</v>
      </c>
      <c r="CA42">
        <f t="shared" si="31"/>
        <v>8372</v>
      </c>
      <c r="CB42">
        <f t="shared" si="32"/>
        <v>1674.26</v>
      </c>
      <c r="CD42">
        <f t="shared" si="33"/>
        <v>36.32</v>
      </c>
      <c r="CE42">
        <f t="shared" si="34"/>
        <v>72.706</v>
      </c>
      <c r="CF42">
        <f t="shared" si="35"/>
        <v>40.4</v>
      </c>
      <c r="CG42">
        <v>41</v>
      </c>
      <c r="CH42">
        <f t="shared" si="36"/>
        <v>11280</v>
      </c>
      <c r="CI42">
        <f t="shared" si="37"/>
        <v>2255.4</v>
      </c>
      <c r="CK42">
        <f t="shared" si="38"/>
        <v>46</v>
      </c>
      <c r="CL42">
        <f t="shared" si="39"/>
        <v>92.05</v>
      </c>
      <c r="CM42">
        <f t="shared" si="40"/>
        <v>59.88</v>
      </c>
      <c r="CN42">
        <v>41</v>
      </c>
      <c r="CO42">
        <f t="shared" si="41"/>
        <v>14223.6</v>
      </c>
      <c r="CP42">
        <f t="shared" si="42"/>
        <v>2845.92</v>
      </c>
      <c r="CR42">
        <f t="shared" si="43"/>
        <v>60.82</v>
      </c>
      <c r="CS42">
        <f t="shared" si="44"/>
        <v>121.64</v>
      </c>
      <c r="CT42">
        <f t="shared" si="45"/>
        <v>79.558</v>
      </c>
    </row>
    <row r="43" spans="1:98">
      <c r="A43" s="9">
        <v>42</v>
      </c>
      <c r="B43" s="9">
        <v>6100</v>
      </c>
      <c r="C43" s="9">
        <v>1220</v>
      </c>
      <c r="D43" s="9">
        <v>1220</v>
      </c>
      <c r="E43" s="8">
        <f t="shared" si="0"/>
        <v>4005</v>
      </c>
      <c r="F43" s="8">
        <f t="shared" si="1"/>
        <v>801</v>
      </c>
      <c r="G43" s="8">
        <f t="shared" si="2"/>
        <v>801</v>
      </c>
      <c r="H43" s="9"/>
      <c r="I43" s="9">
        <v>0.9</v>
      </c>
      <c r="J43" s="8">
        <f t="shared" si="3"/>
        <v>988.2</v>
      </c>
      <c r="K43" s="8">
        <f t="shared" si="4"/>
        <v>197.64</v>
      </c>
      <c r="L43" s="8">
        <f t="shared" si="5"/>
        <v>197.64</v>
      </c>
      <c r="M43" s="8">
        <v>0.3</v>
      </c>
      <c r="N43" s="8">
        <f t="shared" si="6"/>
        <v>11093.2</v>
      </c>
      <c r="O43" s="8">
        <f t="shared" si="7"/>
        <v>2218.64</v>
      </c>
      <c r="P43" s="8">
        <f t="shared" si="8"/>
        <v>2218.64</v>
      </c>
      <c r="Q43" s="9">
        <v>25</v>
      </c>
      <c r="R43" s="9">
        <v>50</v>
      </c>
      <c r="S43" s="9">
        <v>25.74</v>
      </c>
      <c r="T43" s="8">
        <v>3.28</v>
      </c>
      <c r="U43" s="8">
        <v>0.1148</v>
      </c>
      <c r="V43" s="8">
        <f t="shared" si="9"/>
        <v>22082.3956296524</v>
      </c>
      <c r="W43" s="8">
        <f t="shared" si="10"/>
        <v>2218.64</v>
      </c>
      <c r="X43" s="8">
        <f t="shared" si="11"/>
        <v>2218.64</v>
      </c>
      <c r="Y43" s="8">
        <f t="shared" si="12"/>
        <v>2208.23956296524</v>
      </c>
      <c r="Z43" s="8">
        <f t="shared" si="13"/>
        <v>10</v>
      </c>
      <c r="AA43">
        <f t="shared" si="14"/>
        <v>1109.32</v>
      </c>
      <c r="AB43">
        <f t="shared" si="15"/>
        <v>10</v>
      </c>
      <c r="AC43">
        <f t="shared" si="16"/>
        <v>9.62353135246605</v>
      </c>
      <c r="AD43">
        <f t="shared" si="17"/>
        <v>5.10032183908046</v>
      </c>
      <c r="AE43">
        <f t="shared" si="18"/>
        <v>5.10032183908046</v>
      </c>
      <c r="AF43">
        <f t="shared" si="46"/>
        <v>7360.79854321747</v>
      </c>
      <c r="AG43">
        <f t="shared" si="47"/>
        <v>2218.64</v>
      </c>
      <c r="AH43">
        <f t="shared" si="48"/>
        <v>1109.32</v>
      </c>
      <c r="AI43">
        <f t="shared" si="19"/>
        <v>3.33333333333334</v>
      </c>
      <c r="AJ43">
        <f t="shared" si="20"/>
        <v>369.773333333333</v>
      </c>
      <c r="AK43">
        <f t="shared" si="21"/>
        <v>30</v>
      </c>
      <c r="BM43">
        <v>42</v>
      </c>
      <c r="BN43">
        <f t="shared" si="22"/>
        <v>3189</v>
      </c>
      <c r="BO43">
        <f t="shared" si="23"/>
        <v>637.6</v>
      </c>
      <c r="BQ43">
        <f t="shared" si="24"/>
        <v>9.1</v>
      </c>
      <c r="BR43">
        <f t="shared" si="25"/>
        <v>18.2</v>
      </c>
      <c r="BS43">
        <f t="shared" si="26"/>
        <v>7.38</v>
      </c>
      <c r="BT43">
        <v>42</v>
      </c>
      <c r="BU43">
        <f t="shared" si="27"/>
        <v>5598.2</v>
      </c>
      <c r="BV43">
        <f t="shared" si="28"/>
        <v>1119.64</v>
      </c>
      <c r="BX43">
        <f t="shared" si="29"/>
        <v>22.05</v>
      </c>
      <c r="BY43">
        <f t="shared" si="30"/>
        <v>44.2</v>
      </c>
      <c r="BZ43">
        <v>42</v>
      </c>
      <c r="CA43">
        <f t="shared" si="31"/>
        <v>8381.3</v>
      </c>
      <c r="CB43">
        <f t="shared" si="32"/>
        <v>1676.12</v>
      </c>
      <c r="CD43">
        <f t="shared" si="33"/>
        <v>36.353</v>
      </c>
      <c r="CE43">
        <f t="shared" si="34"/>
        <v>72.772</v>
      </c>
      <c r="CF43">
        <f t="shared" si="35"/>
        <v>40.46</v>
      </c>
      <c r="CG43">
        <v>42</v>
      </c>
      <c r="CH43">
        <f t="shared" si="36"/>
        <v>11287</v>
      </c>
      <c r="CI43">
        <f t="shared" si="37"/>
        <v>2256.8</v>
      </c>
      <c r="CK43">
        <f t="shared" si="38"/>
        <v>46.025</v>
      </c>
      <c r="CL43">
        <f t="shared" si="39"/>
        <v>92.1</v>
      </c>
      <c r="CM43">
        <f t="shared" si="40"/>
        <v>59.927</v>
      </c>
      <c r="CN43">
        <v>42</v>
      </c>
      <c r="CO43">
        <f t="shared" si="41"/>
        <v>14229.2</v>
      </c>
      <c r="CP43">
        <f t="shared" si="42"/>
        <v>2847.04</v>
      </c>
      <c r="CR43">
        <f t="shared" si="43"/>
        <v>60.84</v>
      </c>
      <c r="CS43">
        <f t="shared" si="44"/>
        <v>121.68</v>
      </c>
      <c r="CT43">
        <f t="shared" si="45"/>
        <v>79.596</v>
      </c>
    </row>
    <row r="44" spans="1:98">
      <c r="A44" s="9">
        <v>43</v>
      </c>
      <c r="B44" s="9">
        <v>6200</v>
      </c>
      <c r="C44" s="9">
        <v>1240</v>
      </c>
      <c r="D44" s="9">
        <v>1240</v>
      </c>
      <c r="E44" s="8">
        <f t="shared" si="0"/>
        <v>4095</v>
      </c>
      <c r="F44" s="8">
        <f t="shared" si="1"/>
        <v>819</v>
      </c>
      <c r="G44" s="8">
        <f t="shared" si="2"/>
        <v>819</v>
      </c>
      <c r="H44" s="9"/>
      <c r="I44" s="9">
        <v>0.9</v>
      </c>
      <c r="J44" s="8">
        <f t="shared" si="3"/>
        <v>1004.4</v>
      </c>
      <c r="K44" s="8">
        <f t="shared" si="4"/>
        <v>200.88</v>
      </c>
      <c r="L44" s="8">
        <f t="shared" si="5"/>
        <v>200.88</v>
      </c>
      <c r="M44" s="8">
        <v>0.3</v>
      </c>
      <c r="N44" s="8">
        <f t="shared" si="6"/>
        <v>11299.4</v>
      </c>
      <c r="O44" s="8">
        <f t="shared" si="7"/>
        <v>2259.88</v>
      </c>
      <c r="P44" s="8">
        <f t="shared" si="8"/>
        <v>2259.88</v>
      </c>
      <c r="Q44" s="9">
        <v>25</v>
      </c>
      <c r="R44" s="9">
        <v>50</v>
      </c>
      <c r="S44" s="9">
        <v>26.4</v>
      </c>
      <c r="T44" s="8">
        <v>3.36</v>
      </c>
      <c r="U44" s="8">
        <v>0.1176</v>
      </c>
      <c r="V44" s="8">
        <f t="shared" si="9"/>
        <v>22685.2750277458</v>
      </c>
      <c r="W44" s="8">
        <f t="shared" si="10"/>
        <v>2259.88</v>
      </c>
      <c r="X44" s="8">
        <f t="shared" si="11"/>
        <v>2259.88</v>
      </c>
      <c r="Y44" s="8">
        <f t="shared" si="12"/>
        <v>2268.52750277458</v>
      </c>
      <c r="Z44" s="8">
        <f t="shared" si="13"/>
        <v>10</v>
      </c>
      <c r="AA44">
        <f t="shared" si="14"/>
        <v>1129.94</v>
      </c>
      <c r="AB44">
        <f t="shared" si="15"/>
        <v>10</v>
      </c>
      <c r="AC44">
        <f t="shared" si="16"/>
        <v>9.88626683128869</v>
      </c>
      <c r="AD44">
        <f t="shared" si="17"/>
        <v>5.19512643678161</v>
      </c>
      <c r="AE44">
        <f t="shared" si="18"/>
        <v>5.19512643678161</v>
      </c>
      <c r="AF44">
        <f t="shared" si="46"/>
        <v>7561.75834258193</v>
      </c>
      <c r="AG44">
        <f t="shared" si="47"/>
        <v>2259.88</v>
      </c>
      <c r="AH44">
        <f t="shared" si="48"/>
        <v>1129.94</v>
      </c>
      <c r="AI44">
        <f t="shared" si="19"/>
        <v>3.33333333333333</v>
      </c>
      <c r="AJ44">
        <f t="shared" si="20"/>
        <v>376.646666666667</v>
      </c>
      <c r="AK44">
        <f t="shared" si="21"/>
        <v>30</v>
      </c>
      <c r="BM44">
        <v>43</v>
      </c>
      <c r="BN44">
        <f t="shared" si="22"/>
        <v>3218</v>
      </c>
      <c r="BO44">
        <f t="shared" si="23"/>
        <v>643.4</v>
      </c>
      <c r="BQ44">
        <f t="shared" si="24"/>
        <v>9.2</v>
      </c>
      <c r="BR44">
        <f t="shared" si="25"/>
        <v>18.4</v>
      </c>
      <c r="BS44">
        <f t="shared" si="26"/>
        <v>7.56</v>
      </c>
      <c r="BT44">
        <v>43</v>
      </c>
      <c r="BU44">
        <f t="shared" si="27"/>
        <v>5612.8</v>
      </c>
      <c r="BV44">
        <f t="shared" si="28"/>
        <v>1122.56</v>
      </c>
      <c r="BX44">
        <f t="shared" si="29"/>
        <v>22.1</v>
      </c>
      <c r="BY44">
        <f t="shared" si="30"/>
        <v>44.3</v>
      </c>
      <c r="BZ44">
        <v>43</v>
      </c>
      <c r="CA44">
        <f t="shared" si="31"/>
        <v>8390.6</v>
      </c>
      <c r="CB44">
        <f t="shared" si="32"/>
        <v>1677.98</v>
      </c>
      <c r="CD44">
        <f t="shared" si="33"/>
        <v>36.386</v>
      </c>
      <c r="CE44">
        <f t="shared" si="34"/>
        <v>72.838</v>
      </c>
      <c r="CF44">
        <f t="shared" si="35"/>
        <v>40.52</v>
      </c>
      <c r="CG44">
        <v>43</v>
      </c>
      <c r="CH44">
        <f t="shared" si="36"/>
        <v>11294</v>
      </c>
      <c r="CI44">
        <f t="shared" si="37"/>
        <v>2258.2</v>
      </c>
      <c r="CK44">
        <f t="shared" si="38"/>
        <v>46.05</v>
      </c>
      <c r="CL44">
        <f t="shared" si="39"/>
        <v>92.15</v>
      </c>
      <c r="CM44">
        <f t="shared" si="40"/>
        <v>59.974</v>
      </c>
      <c r="CN44">
        <v>43</v>
      </c>
      <c r="CO44">
        <f t="shared" si="41"/>
        <v>14234.8</v>
      </c>
      <c r="CP44">
        <f t="shared" si="42"/>
        <v>2848.16</v>
      </c>
      <c r="CR44">
        <f t="shared" si="43"/>
        <v>60.86</v>
      </c>
      <c r="CS44">
        <f t="shared" si="44"/>
        <v>121.72</v>
      </c>
      <c r="CT44">
        <f t="shared" si="45"/>
        <v>79.634</v>
      </c>
    </row>
    <row r="45" spans="1:98">
      <c r="A45" s="9">
        <v>44</v>
      </c>
      <c r="B45" s="9">
        <v>6300</v>
      </c>
      <c r="C45" s="9">
        <v>1260</v>
      </c>
      <c r="D45" s="9">
        <v>1260</v>
      </c>
      <c r="E45" s="8">
        <f t="shared" si="0"/>
        <v>4185</v>
      </c>
      <c r="F45" s="8">
        <f t="shared" si="1"/>
        <v>837</v>
      </c>
      <c r="G45" s="8">
        <f t="shared" si="2"/>
        <v>837</v>
      </c>
      <c r="H45" s="9"/>
      <c r="I45" s="9">
        <v>0.9</v>
      </c>
      <c r="J45" s="8">
        <f t="shared" si="3"/>
        <v>1020.6</v>
      </c>
      <c r="K45" s="8">
        <f t="shared" si="4"/>
        <v>204.12</v>
      </c>
      <c r="L45" s="8">
        <f t="shared" si="5"/>
        <v>204.12</v>
      </c>
      <c r="M45" s="8">
        <v>0.3</v>
      </c>
      <c r="N45" s="8">
        <f t="shared" si="6"/>
        <v>11505.6</v>
      </c>
      <c r="O45" s="8">
        <f t="shared" si="7"/>
        <v>2301.12</v>
      </c>
      <c r="P45" s="8">
        <f t="shared" si="8"/>
        <v>2301.12</v>
      </c>
      <c r="Q45" s="9">
        <v>25</v>
      </c>
      <c r="R45" s="9">
        <v>50</v>
      </c>
      <c r="S45" s="9">
        <v>27.06</v>
      </c>
      <c r="T45" s="8">
        <v>3.44</v>
      </c>
      <c r="U45" s="8">
        <v>0.1204</v>
      </c>
      <c r="V45" s="8">
        <f t="shared" si="9"/>
        <v>23296.05766233</v>
      </c>
      <c r="W45" s="8">
        <f t="shared" si="10"/>
        <v>2301.12</v>
      </c>
      <c r="X45" s="8">
        <f t="shared" si="11"/>
        <v>2301.12</v>
      </c>
      <c r="Y45" s="8">
        <f t="shared" si="12"/>
        <v>2329.605766233</v>
      </c>
      <c r="Z45" s="8">
        <f t="shared" si="13"/>
        <v>10</v>
      </c>
      <c r="AA45">
        <f t="shared" si="14"/>
        <v>1150.56</v>
      </c>
      <c r="AB45">
        <f t="shared" si="15"/>
        <v>10</v>
      </c>
      <c r="AC45">
        <f t="shared" si="16"/>
        <v>10.1524465489263</v>
      </c>
      <c r="AD45">
        <f t="shared" si="17"/>
        <v>5.28993103448276</v>
      </c>
      <c r="AE45">
        <f t="shared" si="18"/>
        <v>5.28993103448276</v>
      </c>
      <c r="AF45">
        <f t="shared" si="46"/>
        <v>7765.35255411</v>
      </c>
      <c r="AG45">
        <f t="shared" si="47"/>
        <v>2301.12</v>
      </c>
      <c r="AH45">
        <f t="shared" si="48"/>
        <v>1150.56</v>
      </c>
      <c r="AI45">
        <f t="shared" si="19"/>
        <v>3.33333333333333</v>
      </c>
      <c r="AJ45">
        <f t="shared" si="20"/>
        <v>383.52</v>
      </c>
      <c r="AK45">
        <f t="shared" si="21"/>
        <v>30</v>
      </c>
      <c r="BM45">
        <v>44</v>
      </c>
      <c r="BN45">
        <f t="shared" si="22"/>
        <v>3247</v>
      </c>
      <c r="BO45">
        <f t="shared" si="23"/>
        <v>649.2</v>
      </c>
      <c r="BQ45">
        <f t="shared" si="24"/>
        <v>9.3</v>
      </c>
      <c r="BR45">
        <f t="shared" si="25"/>
        <v>18.6</v>
      </c>
      <c r="BS45">
        <f t="shared" si="26"/>
        <v>7.74</v>
      </c>
      <c r="BT45">
        <v>44</v>
      </c>
      <c r="BU45">
        <f t="shared" si="27"/>
        <v>5627.4</v>
      </c>
      <c r="BV45">
        <f t="shared" si="28"/>
        <v>1125.48</v>
      </c>
      <c r="BX45">
        <f t="shared" si="29"/>
        <v>22.15</v>
      </c>
      <c r="BY45">
        <f t="shared" si="30"/>
        <v>44.4</v>
      </c>
      <c r="BZ45">
        <v>44</v>
      </c>
      <c r="CA45">
        <f t="shared" si="31"/>
        <v>8399.9</v>
      </c>
      <c r="CB45">
        <f t="shared" si="32"/>
        <v>1679.84</v>
      </c>
      <c r="CD45">
        <f t="shared" si="33"/>
        <v>36.419</v>
      </c>
      <c r="CE45">
        <f t="shared" si="34"/>
        <v>72.904</v>
      </c>
      <c r="CF45">
        <f t="shared" si="35"/>
        <v>40.58</v>
      </c>
      <c r="CG45">
        <v>44</v>
      </c>
      <c r="CH45">
        <f t="shared" si="36"/>
        <v>11301</v>
      </c>
      <c r="CI45">
        <f t="shared" si="37"/>
        <v>2259.6</v>
      </c>
      <c r="CK45">
        <f t="shared" si="38"/>
        <v>46.075</v>
      </c>
      <c r="CL45">
        <f t="shared" si="39"/>
        <v>92.2</v>
      </c>
      <c r="CM45">
        <f t="shared" si="40"/>
        <v>60.021</v>
      </c>
      <c r="CN45">
        <v>44</v>
      </c>
      <c r="CO45">
        <f t="shared" si="41"/>
        <v>14240.4</v>
      </c>
      <c r="CP45">
        <f t="shared" si="42"/>
        <v>2849.28</v>
      </c>
      <c r="CR45">
        <f t="shared" si="43"/>
        <v>60.88</v>
      </c>
      <c r="CS45">
        <f t="shared" si="44"/>
        <v>121.76</v>
      </c>
      <c r="CT45">
        <f t="shared" si="45"/>
        <v>79.672</v>
      </c>
    </row>
    <row r="46" spans="1:98">
      <c r="A46" s="9">
        <v>45</v>
      </c>
      <c r="B46" s="9">
        <v>6400</v>
      </c>
      <c r="C46" s="9">
        <v>1280</v>
      </c>
      <c r="D46" s="9">
        <v>1280</v>
      </c>
      <c r="E46" s="8">
        <f t="shared" si="0"/>
        <v>4275</v>
      </c>
      <c r="F46" s="8">
        <f t="shared" si="1"/>
        <v>855</v>
      </c>
      <c r="G46" s="8">
        <f t="shared" si="2"/>
        <v>855</v>
      </c>
      <c r="H46" s="9"/>
      <c r="I46" s="9">
        <v>0.9</v>
      </c>
      <c r="J46" s="8">
        <f t="shared" si="3"/>
        <v>1036.8</v>
      </c>
      <c r="K46" s="8">
        <f t="shared" si="4"/>
        <v>207.36</v>
      </c>
      <c r="L46" s="8">
        <f t="shared" si="5"/>
        <v>207.36</v>
      </c>
      <c r="M46" s="8">
        <v>0.3</v>
      </c>
      <c r="N46" s="8">
        <f t="shared" si="6"/>
        <v>11711.8</v>
      </c>
      <c r="O46" s="8">
        <f t="shared" si="7"/>
        <v>2342.36</v>
      </c>
      <c r="P46" s="8">
        <f t="shared" si="8"/>
        <v>2342.36</v>
      </c>
      <c r="Q46" s="9">
        <v>25</v>
      </c>
      <c r="R46" s="9">
        <v>50</v>
      </c>
      <c r="S46" s="9">
        <v>27.72</v>
      </c>
      <c r="T46" s="8">
        <v>3.52</v>
      </c>
      <c r="U46" s="8">
        <v>0.1232</v>
      </c>
      <c r="V46" s="8">
        <f t="shared" si="9"/>
        <v>23914.7923103452</v>
      </c>
      <c r="W46" s="8">
        <f t="shared" si="10"/>
        <v>2342.36</v>
      </c>
      <c r="X46" s="8">
        <f t="shared" si="11"/>
        <v>2342.36</v>
      </c>
      <c r="Y46" s="8">
        <f t="shared" si="12"/>
        <v>2391.47923103452</v>
      </c>
      <c r="Z46" s="8">
        <f t="shared" si="13"/>
        <v>10</v>
      </c>
      <c r="AA46">
        <f t="shared" si="14"/>
        <v>1171.18</v>
      </c>
      <c r="AB46">
        <f t="shared" si="15"/>
        <v>10</v>
      </c>
      <c r="AC46">
        <f t="shared" si="16"/>
        <v>10.422091762421</v>
      </c>
      <c r="AD46">
        <f t="shared" si="17"/>
        <v>5.38473563218391</v>
      </c>
      <c r="AE46">
        <f t="shared" si="18"/>
        <v>5.38473563218391</v>
      </c>
      <c r="AF46">
        <f t="shared" si="46"/>
        <v>7971.59743678173</v>
      </c>
      <c r="AG46">
        <f t="shared" si="47"/>
        <v>2342.36</v>
      </c>
      <c r="AH46">
        <f t="shared" si="48"/>
        <v>1171.18</v>
      </c>
      <c r="AI46">
        <f t="shared" si="19"/>
        <v>3.33333333333333</v>
      </c>
      <c r="AJ46">
        <f t="shared" si="20"/>
        <v>390.393333333333</v>
      </c>
      <c r="AK46">
        <f t="shared" si="21"/>
        <v>30</v>
      </c>
      <c r="BM46">
        <v>45</v>
      </c>
      <c r="BN46">
        <f t="shared" si="22"/>
        <v>3276</v>
      </c>
      <c r="BO46">
        <f t="shared" si="23"/>
        <v>655</v>
      </c>
      <c r="BQ46">
        <f t="shared" si="24"/>
        <v>9.4</v>
      </c>
      <c r="BR46">
        <f t="shared" si="25"/>
        <v>18.8</v>
      </c>
      <c r="BS46">
        <f t="shared" si="26"/>
        <v>7.92</v>
      </c>
      <c r="BT46">
        <v>45</v>
      </c>
      <c r="BU46">
        <f t="shared" si="27"/>
        <v>5642</v>
      </c>
      <c r="BV46">
        <f t="shared" si="28"/>
        <v>1128.4</v>
      </c>
      <c r="BX46">
        <f t="shared" si="29"/>
        <v>22.2</v>
      </c>
      <c r="BY46">
        <f t="shared" si="30"/>
        <v>44.5</v>
      </c>
      <c r="BZ46">
        <v>45</v>
      </c>
      <c r="CA46">
        <f t="shared" si="31"/>
        <v>8409.2</v>
      </c>
      <c r="CB46">
        <f t="shared" si="32"/>
        <v>1681.7</v>
      </c>
      <c r="CD46">
        <f t="shared" si="33"/>
        <v>36.452</v>
      </c>
      <c r="CE46">
        <f t="shared" si="34"/>
        <v>72.97</v>
      </c>
      <c r="CF46">
        <f t="shared" si="35"/>
        <v>40.64</v>
      </c>
      <c r="CG46">
        <v>45</v>
      </c>
      <c r="CH46">
        <f t="shared" si="36"/>
        <v>11308</v>
      </c>
      <c r="CI46">
        <f t="shared" si="37"/>
        <v>2261</v>
      </c>
      <c r="CK46">
        <f t="shared" si="38"/>
        <v>46.1</v>
      </c>
      <c r="CL46">
        <f t="shared" si="39"/>
        <v>92.25</v>
      </c>
      <c r="CM46">
        <f t="shared" si="40"/>
        <v>60.068</v>
      </c>
      <c r="CN46">
        <v>45</v>
      </c>
      <c r="CO46">
        <f t="shared" si="41"/>
        <v>14246</v>
      </c>
      <c r="CP46">
        <f t="shared" si="42"/>
        <v>2850.4</v>
      </c>
      <c r="CR46">
        <f t="shared" si="43"/>
        <v>60.9</v>
      </c>
      <c r="CS46">
        <f t="shared" si="44"/>
        <v>121.8</v>
      </c>
      <c r="CT46">
        <f t="shared" si="45"/>
        <v>79.71</v>
      </c>
    </row>
    <row r="47" spans="1:98">
      <c r="A47" s="9">
        <v>46</v>
      </c>
      <c r="B47" s="9">
        <v>6500</v>
      </c>
      <c r="C47" s="9">
        <v>1300</v>
      </c>
      <c r="D47" s="9">
        <v>1300</v>
      </c>
      <c r="E47" s="8">
        <f t="shared" si="0"/>
        <v>4365</v>
      </c>
      <c r="F47" s="8">
        <f t="shared" si="1"/>
        <v>873</v>
      </c>
      <c r="G47" s="8">
        <f t="shared" si="2"/>
        <v>873</v>
      </c>
      <c r="H47" s="9"/>
      <c r="I47" s="9">
        <v>0.9</v>
      </c>
      <c r="J47" s="8">
        <f t="shared" si="3"/>
        <v>1053</v>
      </c>
      <c r="K47" s="8">
        <f t="shared" si="4"/>
        <v>210.6</v>
      </c>
      <c r="L47" s="8">
        <f t="shared" si="5"/>
        <v>210.6</v>
      </c>
      <c r="M47" s="8">
        <v>0.3</v>
      </c>
      <c r="N47" s="8">
        <f t="shared" si="6"/>
        <v>11918</v>
      </c>
      <c r="O47" s="8">
        <f t="shared" si="7"/>
        <v>2383.6</v>
      </c>
      <c r="P47" s="8">
        <f t="shared" si="8"/>
        <v>2383.6</v>
      </c>
      <c r="Q47" s="9">
        <v>25</v>
      </c>
      <c r="R47" s="9">
        <v>50</v>
      </c>
      <c r="S47" s="9">
        <v>28.38</v>
      </c>
      <c r="T47" s="8">
        <v>3.6</v>
      </c>
      <c r="U47" s="8">
        <v>0.126</v>
      </c>
      <c r="V47" s="8">
        <f t="shared" si="9"/>
        <v>24541.5278493308</v>
      </c>
      <c r="W47" s="8">
        <f t="shared" si="10"/>
        <v>2383.6</v>
      </c>
      <c r="X47" s="8">
        <f t="shared" si="11"/>
        <v>2383.6</v>
      </c>
      <c r="Y47" s="8">
        <f t="shared" si="12"/>
        <v>2454.15278493308</v>
      </c>
      <c r="Z47" s="8">
        <f t="shared" si="13"/>
        <v>10</v>
      </c>
      <c r="AA47">
        <f t="shared" si="14"/>
        <v>1191.8</v>
      </c>
      <c r="AB47">
        <f t="shared" si="15"/>
        <v>10</v>
      </c>
      <c r="AC47">
        <f t="shared" si="16"/>
        <v>10.695223772656</v>
      </c>
      <c r="AD47">
        <f t="shared" si="17"/>
        <v>5.47954022988506</v>
      </c>
      <c r="AE47">
        <f t="shared" si="18"/>
        <v>5.47954022988506</v>
      </c>
      <c r="AF47">
        <f t="shared" si="46"/>
        <v>8180.50928311027</v>
      </c>
      <c r="AG47">
        <f t="shared" si="47"/>
        <v>2383.6</v>
      </c>
      <c r="AH47">
        <f t="shared" si="48"/>
        <v>1191.8</v>
      </c>
      <c r="AI47">
        <f t="shared" si="19"/>
        <v>3.33333333333334</v>
      </c>
      <c r="AJ47">
        <f t="shared" si="20"/>
        <v>397.266666666667</v>
      </c>
      <c r="AK47">
        <f t="shared" si="21"/>
        <v>30</v>
      </c>
      <c r="BM47">
        <v>46</v>
      </c>
      <c r="BN47">
        <f t="shared" si="22"/>
        <v>3305</v>
      </c>
      <c r="BO47">
        <f t="shared" si="23"/>
        <v>660.8</v>
      </c>
      <c r="BQ47">
        <f t="shared" si="24"/>
        <v>9.5</v>
      </c>
      <c r="BR47">
        <f t="shared" si="25"/>
        <v>19</v>
      </c>
      <c r="BS47">
        <f t="shared" si="26"/>
        <v>8.1</v>
      </c>
      <c r="BT47">
        <v>46</v>
      </c>
      <c r="BU47">
        <f t="shared" si="27"/>
        <v>5656.6</v>
      </c>
      <c r="BV47">
        <f t="shared" si="28"/>
        <v>1131.32</v>
      </c>
      <c r="BX47">
        <f t="shared" si="29"/>
        <v>22.25</v>
      </c>
      <c r="BY47">
        <f t="shared" si="30"/>
        <v>44.6</v>
      </c>
      <c r="BZ47">
        <v>46</v>
      </c>
      <c r="CA47">
        <f t="shared" si="31"/>
        <v>8418.5</v>
      </c>
      <c r="CB47">
        <f t="shared" si="32"/>
        <v>1683.56</v>
      </c>
      <c r="CD47">
        <f t="shared" si="33"/>
        <v>36.485</v>
      </c>
      <c r="CE47">
        <f t="shared" si="34"/>
        <v>73.036</v>
      </c>
      <c r="CF47">
        <f t="shared" si="35"/>
        <v>40.7</v>
      </c>
      <c r="CG47">
        <v>46</v>
      </c>
      <c r="CH47">
        <f t="shared" si="36"/>
        <v>11315</v>
      </c>
      <c r="CI47">
        <f t="shared" si="37"/>
        <v>2262.4</v>
      </c>
      <c r="CK47">
        <f t="shared" si="38"/>
        <v>46.125</v>
      </c>
      <c r="CL47">
        <f t="shared" si="39"/>
        <v>92.3</v>
      </c>
      <c r="CM47">
        <f t="shared" si="40"/>
        <v>60.115</v>
      </c>
      <c r="CN47">
        <v>46</v>
      </c>
      <c r="CO47">
        <f t="shared" si="41"/>
        <v>14251.6</v>
      </c>
      <c r="CP47">
        <f t="shared" si="42"/>
        <v>2851.52</v>
      </c>
      <c r="CR47">
        <f t="shared" si="43"/>
        <v>60.92</v>
      </c>
      <c r="CS47">
        <f t="shared" si="44"/>
        <v>121.84</v>
      </c>
      <c r="CT47">
        <f t="shared" si="45"/>
        <v>79.748</v>
      </c>
    </row>
    <row r="48" spans="1:98">
      <c r="A48" s="9">
        <v>47</v>
      </c>
      <c r="B48" s="9">
        <v>6600</v>
      </c>
      <c r="C48" s="9">
        <v>1320</v>
      </c>
      <c r="D48" s="9">
        <v>1320</v>
      </c>
      <c r="E48" s="8">
        <f t="shared" si="0"/>
        <v>4455</v>
      </c>
      <c r="F48" s="8">
        <f t="shared" si="1"/>
        <v>891</v>
      </c>
      <c r="G48" s="8">
        <f t="shared" si="2"/>
        <v>891</v>
      </c>
      <c r="H48" s="9"/>
      <c r="I48" s="9">
        <v>0.9</v>
      </c>
      <c r="J48" s="8">
        <f t="shared" si="3"/>
        <v>1069.2</v>
      </c>
      <c r="K48" s="8">
        <f t="shared" si="4"/>
        <v>213.84</v>
      </c>
      <c r="L48" s="8">
        <f t="shared" si="5"/>
        <v>213.84</v>
      </c>
      <c r="M48" s="8">
        <v>0.3</v>
      </c>
      <c r="N48" s="8">
        <f t="shared" si="6"/>
        <v>12124.2</v>
      </c>
      <c r="O48" s="8">
        <f t="shared" si="7"/>
        <v>2424.84</v>
      </c>
      <c r="P48" s="8">
        <f t="shared" si="8"/>
        <v>2424.84</v>
      </c>
      <c r="Q48" s="9">
        <v>25</v>
      </c>
      <c r="R48" s="9">
        <v>50</v>
      </c>
      <c r="S48" s="9">
        <v>29.04</v>
      </c>
      <c r="T48" s="8">
        <v>3.68</v>
      </c>
      <c r="U48" s="8">
        <v>0.1288</v>
      </c>
      <c r="V48" s="8">
        <f t="shared" si="9"/>
        <v>25176.3132574255</v>
      </c>
      <c r="W48" s="8">
        <f t="shared" si="10"/>
        <v>2424.84</v>
      </c>
      <c r="X48" s="8">
        <f t="shared" si="11"/>
        <v>2424.84</v>
      </c>
      <c r="Y48" s="8">
        <f t="shared" si="12"/>
        <v>2517.63132574255</v>
      </c>
      <c r="Z48" s="8">
        <f t="shared" si="13"/>
        <v>10</v>
      </c>
      <c r="AA48">
        <f t="shared" si="14"/>
        <v>1212.42</v>
      </c>
      <c r="AB48">
        <f t="shared" si="15"/>
        <v>10</v>
      </c>
      <c r="AC48">
        <f t="shared" si="16"/>
        <v>10.971863924356</v>
      </c>
      <c r="AD48">
        <f t="shared" si="17"/>
        <v>5.57434482758621</v>
      </c>
      <c r="AE48">
        <f t="shared" si="18"/>
        <v>5.57434482758621</v>
      </c>
      <c r="AF48">
        <f t="shared" si="46"/>
        <v>8392.10441914183</v>
      </c>
      <c r="AG48">
        <f t="shared" si="47"/>
        <v>2424.84</v>
      </c>
      <c r="AH48">
        <f t="shared" si="48"/>
        <v>1212.42</v>
      </c>
      <c r="AI48">
        <f t="shared" si="19"/>
        <v>3.33333333333333</v>
      </c>
      <c r="AJ48">
        <f t="shared" si="20"/>
        <v>404.14</v>
      </c>
      <c r="AK48">
        <f t="shared" si="21"/>
        <v>30</v>
      </c>
      <c r="BM48">
        <v>47</v>
      </c>
      <c r="BN48">
        <f t="shared" si="22"/>
        <v>3334</v>
      </c>
      <c r="BO48">
        <f t="shared" si="23"/>
        <v>666.6</v>
      </c>
      <c r="BQ48">
        <f t="shared" si="24"/>
        <v>9.6</v>
      </c>
      <c r="BR48">
        <f t="shared" si="25"/>
        <v>19.2</v>
      </c>
      <c r="BS48">
        <f t="shared" si="26"/>
        <v>8.28</v>
      </c>
      <c r="BT48">
        <v>47</v>
      </c>
      <c r="BU48">
        <f t="shared" si="27"/>
        <v>5671.2</v>
      </c>
      <c r="BV48">
        <f t="shared" si="28"/>
        <v>1134.24</v>
      </c>
      <c r="BX48">
        <f t="shared" si="29"/>
        <v>22.3</v>
      </c>
      <c r="BY48">
        <f t="shared" si="30"/>
        <v>44.7</v>
      </c>
      <c r="BZ48">
        <v>47</v>
      </c>
      <c r="CA48">
        <f t="shared" si="31"/>
        <v>8427.8</v>
      </c>
      <c r="CB48">
        <f t="shared" si="32"/>
        <v>1685.42</v>
      </c>
      <c r="CD48">
        <f t="shared" si="33"/>
        <v>36.518</v>
      </c>
      <c r="CE48">
        <f t="shared" si="34"/>
        <v>73.102</v>
      </c>
      <c r="CF48">
        <f t="shared" si="35"/>
        <v>40.76</v>
      </c>
      <c r="CG48">
        <v>47</v>
      </c>
      <c r="CH48">
        <f t="shared" si="36"/>
        <v>11322</v>
      </c>
      <c r="CI48">
        <f t="shared" si="37"/>
        <v>2263.8</v>
      </c>
      <c r="CK48">
        <f t="shared" si="38"/>
        <v>46.15</v>
      </c>
      <c r="CL48">
        <f t="shared" si="39"/>
        <v>92.35</v>
      </c>
      <c r="CM48">
        <f t="shared" si="40"/>
        <v>60.162</v>
      </c>
      <c r="CN48">
        <v>47</v>
      </c>
      <c r="CO48">
        <f t="shared" si="41"/>
        <v>14257.2</v>
      </c>
      <c r="CP48">
        <f t="shared" si="42"/>
        <v>2852.64</v>
      </c>
      <c r="CR48">
        <f t="shared" si="43"/>
        <v>60.94</v>
      </c>
      <c r="CS48">
        <f t="shared" si="44"/>
        <v>121.88</v>
      </c>
      <c r="CT48">
        <f t="shared" si="45"/>
        <v>79.786</v>
      </c>
    </row>
    <row r="49" spans="1:98">
      <c r="A49" s="9">
        <v>48</v>
      </c>
      <c r="B49" s="9">
        <v>6700</v>
      </c>
      <c r="C49" s="9">
        <v>1340</v>
      </c>
      <c r="D49" s="9">
        <v>1340</v>
      </c>
      <c r="E49" s="8">
        <f t="shared" si="0"/>
        <v>4545</v>
      </c>
      <c r="F49" s="8">
        <f t="shared" si="1"/>
        <v>909</v>
      </c>
      <c r="G49" s="8">
        <f t="shared" si="2"/>
        <v>909</v>
      </c>
      <c r="H49" s="9"/>
      <c r="I49" s="9">
        <v>0.9</v>
      </c>
      <c r="J49" s="8">
        <f t="shared" si="3"/>
        <v>1085.4</v>
      </c>
      <c r="K49" s="8">
        <f t="shared" si="4"/>
        <v>217.08</v>
      </c>
      <c r="L49" s="8">
        <f t="shared" si="5"/>
        <v>217.08</v>
      </c>
      <c r="M49" s="8">
        <v>0.3</v>
      </c>
      <c r="N49" s="8">
        <f t="shared" si="6"/>
        <v>12330.4</v>
      </c>
      <c r="O49" s="8">
        <f t="shared" si="7"/>
        <v>2466.08</v>
      </c>
      <c r="P49" s="8">
        <f t="shared" si="8"/>
        <v>2466.08</v>
      </c>
      <c r="Q49" s="9">
        <v>25</v>
      </c>
      <c r="R49" s="9">
        <v>50</v>
      </c>
      <c r="S49" s="9">
        <v>29.7</v>
      </c>
      <c r="T49" s="8">
        <v>3.76</v>
      </c>
      <c r="U49" s="8">
        <v>0.1316</v>
      </c>
      <c r="V49" s="8">
        <f t="shared" si="9"/>
        <v>25819.1976133671</v>
      </c>
      <c r="W49" s="8">
        <f t="shared" si="10"/>
        <v>2466.08</v>
      </c>
      <c r="X49" s="8">
        <f t="shared" si="11"/>
        <v>2466.08</v>
      </c>
      <c r="Y49" s="8">
        <f t="shared" si="12"/>
        <v>2581.91976133671</v>
      </c>
      <c r="Z49" s="8">
        <f t="shared" si="13"/>
        <v>10</v>
      </c>
      <c r="AA49">
        <f t="shared" si="14"/>
        <v>1233.04</v>
      </c>
      <c r="AB49">
        <f t="shared" si="15"/>
        <v>10</v>
      </c>
      <c r="AC49">
        <f t="shared" si="16"/>
        <v>11.2520336060869</v>
      </c>
      <c r="AD49">
        <f t="shared" si="17"/>
        <v>5.66914942528736</v>
      </c>
      <c r="AE49">
        <f t="shared" si="18"/>
        <v>5.66914942528736</v>
      </c>
      <c r="AF49">
        <f t="shared" si="46"/>
        <v>8606.3992044557</v>
      </c>
      <c r="AG49">
        <f t="shared" si="47"/>
        <v>2466.08</v>
      </c>
      <c r="AH49">
        <f t="shared" si="48"/>
        <v>1233.04</v>
      </c>
      <c r="AI49">
        <f t="shared" si="19"/>
        <v>3.33333333333333</v>
      </c>
      <c r="AJ49">
        <f t="shared" si="20"/>
        <v>411.013333333333</v>
      </c>
      <c r="AK49">
        <f t="shared" si="21"/>
        <v>30</v>
      </c>
      <c r="BM49">
        <v>48</v>
      </c>
      <c r="BN49">
        <f t="shared" si="22"/>
        <v>3363</v>
      </c>
      <c r="BO49">
        <f t="shared" si="23"/>
        <v>672.4</v>
      </c>
      <c r="BQ49">
        <f t="shared" si="24"/>
        <v>9.7</v>
      </c>
      <c r="BR49">
        <f t="shared" si="25"/>
        <v>19.4</v>
      </c>
      <c r="BS49">
        <f t="shared" si="26"/>
        <v>8.46</v>
      </c>
      <c r="BT49">
        <v>48</v>
      </c>
      <c r="BU49">
        <f t="shared" si="27"/>
        <v>5685.8</v>
      </c>
      <c r="BV49">
        <f t="shared" si="28"/>
        <v>1137.16</v>
      </c>
      <c r="BX49">
        <f t="shared" si="29"/>
        <v>22.35</v>
      </c>
      <c r="BY49">
        <f t="shared" si="30"/>
        <v>44.8</v>
      </c>
      <c r="BZ49">
        <v>48</v>
      </c>
      <c r="CA49">
        <f t="shared" si="31"/>
        <v>8437.1</v>
      </c>
      <c r="CB49">
        <f t="shared" si="32"/>
        <v>1687.28</v>
      </c>
      <c r="CD49">
        <f t="shared" si="33"/>
        <v>36.551</v>
      </c>
      <c r="CE49">
        <f t="shared" si="34"/>
        <v>73.168</v>
      </c>
      <c r="CF49">
        <f t="shared" si="35"/>
        <v>40.82</v>
      </c>
      <c r="CG49">
        <v>48</v>
      </c>
      <c r="CH49">
        <f t="shared" si="36"/>
        <v>11329</v>
      </c>
      <c r="CI49">
        <f t="shared" si="37"/>
        <v>2265.2</v>
      </c>
      <c r="CK49">
        <f t="shared" si="38"/>
        <v>46.175</v>
      </c>
      <c r="CL49">
        <f t="shared" si="39"/>
        <v>92.4</v>
      </c>
      <c r="CM49">
        <f t="shared" si="40"/>
        <v>60.209</v>
      </c>
      <c r="CN49">
        <v>48</v>
      </c>
      <c r="CO49">
        <f t="shared" si="41"/>
        <v>14262.8</v>
      </c>
      <c r="CP49">
        <f t="shared" si="42"/>
        <v>2853.76</v>
      </c>
      <c r="CR49">
        <f t="shared" si="43"/>
        <v>60.96</v>
      </c>
      <c r="CS49">
        <f t="shared" si="44"/>
        <v>121.92</v>
      </c>
      <c r="CT49">
        <f t="shared" si="45"/>
        <v>79.824</v>
      </c>
    </row>
    <row r="50" spans="1:98">
      <c r="A50" s="9">
        <v>49</v>
      </c>
      <c r="B50" s="9">
        <v>6800</v>
      </c>
      <c r="C50" s="9">
        <v>1360</v>
      </c>
      <c r="D50" s="9">
        <v>1360</v>
      </c>
      <c r="E50" s="8">
        <f t="shared" si="0"/>
        <v>4635</v>
      </c>
      <c r="F50" s="8">
        <f t="shared" si="1"/>
        <v>927</v>
      </c>
      <c r="G50" s="8">
        <f t="shared" si="2"/>
        <v>927</v>
      </c>
      <c r="H50" s="9"/>
      <c r="I50" s="9">
        <v>0.9</v>
      </c>
      <c r="J50" s="8">
        <f t="shared" si="3"/>
        <v>1101.6</v>
      </c>
      <c r="K50" s="8">
        <f t="shared" si="4"/>
        <v>220.32</v>
      </c>
      <c r="L50" s="8">
        <f t="shared" si="5"/>
        <v>220.32</v>
      </c>
      <c r="M50" s="8">
        <v>0.3</v>
      </c>
      <c r="N50" s="8">
        <f t="shared" si="6"/>
        <v>12536.6</v>
      </c>
      <c r="O50" s="8">
        <f t="shared" si="7"/>
        <v>2507.32</v>
      </c>
      <c r="P50" s="8">
        <f t="shared" si="8"/>
        <v>2507.32</v>
      </c>
      <c r="Q50" s="9">
        <v>25</v>
      </c>
      <c r="R50" s="9">
        <v>50</v>
      </c>
      <c r="S50" s="9">
        <v>30.36</v>
      </c>
      <c r="T50" s="8">
        <v>3.84</v>
      </c>
      <c r="U50" s="8">
        <v>0.1344</v>
      </c>
      <c r="V50" s="8">
        <f t="shared" si="9"/>
        <v>26470.2300964927</v>
      </c>
      <c r="W50" s="8">
        <f t="shared" si="10"/>
        <v>2507.32</v>
      </c>
      <c r="X50" s="8">
        <f t="shared" si="11"/>
        <v>2507.32</v>
      </c>
      <c r="Y50" s="8">
        <f t="shared" si="12"/>
        <v>2647.02300964927</v>
      </c>
      <c r="Z50" s="8">
        <f t="shared" si="13"/>
        <v>10</v>
      </c>
      <c r="AA50">
        <f t="shared" si="14"/>
        <v>1253.66</v>
      </c>
      <c r="AB50">
        <f t="shared" si="15"/>
        <v>10</v>
      </c>
      <c r="AC50">
        <f t="shared" si="16"/>
        <v>11.5357542502556</v>
      </c>
      <c r="AD50">
        <f t="shared" si="17"/>
        <v>5.76395402298851</v>
      </c>
      <c r="AE50">
        <f t="shared" si="18"/>
        <v>5.76395402298851</v>
      </c>
      <c r="AF50">
        <f t="shared" si="46"/>
        <v>8823.41003216424</v>
      </c>
      <c r="AG50">
        <f t="shared" si="47"/>
        <v>2507.32</v>
      </c>
      <c r="AH50">
        <f t="shared" si="48"/>
        <v>1253.66</v>
      </c>
      <c r="AI50">
        <f t="shared" si="19"/>
        <v>3.33333333333334</v>
      </c>
      <c r="AJ50">
        <f t="shared" si="20"/>
        <v>417.886666666667</v>
      </c>
      <c r="AK50">
        <f t="shared" si="21"/>
        <v>30</v>
      </c>
      <c r="BM50">
        <v>49</v>
      </c>
      <c r="BN50">
        <f t="shared" si="22"/>
        <v>3392</v>
      </c>
      <c r="BO50">
        <f t="shared" si="23"/>
        <v>678.2</v>
      </c>
      <c r="BQ50">
        <f t="shared" si="24"/>
        <v>9.8</v>
      </c>
      <c r="BR50">
        <f t="shared" si="25"/>
        <v>19.6</v>
      </c>
      <c r="BS50">
        <f t="shared" si="26"/>
        <v>8.64</v>
      </c>
      <c r="BT50">
        <v>49</v>
      </c>
      <c r="BU50">
        <f t="shared" si="27"/>
        <v>5700.4</v>
      </c>
      <c r="BV50">
        <f t="shared" si="28"/>
        <v>1140.08</v>
      </c>
      <c r="BX50">
        <f t="shared" si="29"/>
        <v>22.4</v>
      </c>
      <c r="BY50">
        <f t="shared" si="30"/>
        <v>44.9</v>
      </c>
      <c r="BZ50">
        <v>49</v>
      </c>
      <c r="CA50">
        <f t="shared" si="31"/>
        <v>8446.4</v>
      </c>
      <c r="CB50">
        <f t="shared" si="32"/>
        <v>1689.14</v>
      </c>
      <c r="CD50">
        <f t="shared" si="33"/>
        <v>36.584</v>
      </c>
      <c r="CE50">
        <f t="shared" si="34"/>
        <v>73.234</v>
      </c>
      <c r="CF50">
        <f t="shared" si="35"/>
        <v>40.88</v>
      </c>
      <c r="CG50">
        <v>49</v>
      </c>
      <c r="CH50">
        <f t="shared" si="36"/>
        <v>11336</v>
      </c>
      <c r="CI50">
        <f t="shared" si="37"/>
        <v>2266.6</v>
      </c>
      <c r="CK50">
        <f t="shared" si="38"/>
        <v>46.2</v>
      </c>
      <c r="CL50">
        <f t="shared" si="39"/>
        <v>92.45</v>
      </c>
      <c r="CM50">
        <f t="shared" si="40"/>
        <v>60.256</v>
      </c>
      <c r="CN50">
        <v>49</v>
      </c>
      <c r="CO50">
        <f t="shared" si="41"/>
        <v>14268.4</v>
      </c>
      <c r="CP50">
        <f t="shared" si="42"/>
        <v>2854.88</v>
      </c>
      <c r="CR50">
        <f t="shared" si="43"/>
        <v>60.98</v>
      </c>
      <c r="CS50">
        <f t="shared" si="44"/>
        <v>121.96</v>
      </c>
      <c r="CT50">
        <f t="shared" si="45"/>
        <v>79.862</v>
      </c>
    </row>
    <row r="51" s="1" customFormat="1" spans="1:98">
      <c r="A51" s="1">
        <v>50</v>
      </c>
      <c r="B51" s="1">
        <v>6900</v>
      </c>
      <c r="C51" s="1">
        <v>1380</v>
      </c>
      <c r="D51" s="1">
        <v>1380</v>
      </c>
      <c r="E51" s="1">
        <f t="shared" si="0"/>
        <v>4725</v>
      </c>
      <c r="F51" s="1">
        <f t="shared" si="1"/>
        <v>945</v>
      </c>
      <c r="G51" s="1">
        <f t="shared" si="2"/>
        <v>945</v>
      </c>
      <c r="I51" s="1">
        <v>0.9</v>
      </c>
      <c r="J51" s="1">
        <f t="shared" si="3"/>
        <v>1117.8</v>
      </c>
      <c r="K51" s="1">
        <f t="shared" si="4"/>
        <v>223.56</v>
      </c>
      <c r="L51" s="1">
        <f t="shared" si="5"/>
        <v>223.56</v>
      </c>
      <c r="M51" s="8">
        <v>0.3</v>
      </c>
      <c r="N51" s="1">
        <f t="shared" si="6"/>
        <v>12742.8</v>
      </c>
      <c r="O51" s="1">
        <f t="shared" si="7"/>
        <v>2548.56</v>
      </c>
      <c r="P51" s="1">
        <f t="shared" si="8"/>
        <v>2548.56</v>
      </c>
      <c r="Q51" s="1">
        <v>25</v>
      </c>
      <c r="R51" s="1">
        <v>50</v>
      </c>
      <c r="S51" s="1">
        <v>31.02</v>
      </c>
      <c r="T51" s="1">
        <v>3.92</v>
      </c>
      <c r="U51" s="1">
        <v>0.1372</v>
      </c>
      <c r="V51" s="1">
        <f t="shared" si="9"/>
        <v>27129.4599867385</v>
      </c>
      <c r="W51" s="1">
        <f t="shared" si="10"/>
        <v>2548.56</v>
      </c>
      <c r="X51" s="1">
        <f t="shared" si="11"/>
        <v>2548.56</v>
      </c>
      <c r="Y51" s="1">
        <f t="shared" si="12"/>
        <v>2712.94599867385</v>
      </c>
      <c r="Z51" s="1">
        <f t="shared" si="13"/>
        <v>10</v>
      </c>
      <c r="AA51" s="1">
        <f t="shared" si="14"/>
        <v>1274.28</v>
      </c>
      <c r="AB51" s="1">
        <f t="shared" si="15"/>
        <v>10</v>
      </c>
      <c r="AC51">
        <f t="shared" si="16"/>
        <v>11.8230473331104</v>
      </c>
      <c r="AD51">
        <f t="shared" si="17"/>
        <v>5.85875862068966</v>
      </c>
      <c r="AE51">
        <f t="shared" si="18"/>
        <v>5.85875862068966</v>
      </c>
      <c r="AF51" s="1">
        <f t="shared" si="46"/>
        <v>9043.15332891283</v>
      </c>
      <c r="AG51" s="1">
        <f t="shared" si="47"/>
        <v>2548.56</v>
      </c>
      <c r="AH51" s="1">
        <f t="shared" si="48"/>
        <v>1274.28</v>
      </c>
      <c r="AI51" s="1">
        <f t="shared" si="19"/>
        <v>3.33333333333333</v>
      </c>
      <c r="AJ51" s="1">
        <f t="shared" si="20"/>
        <v>424.76</v>
      </c>
      <c r="AK51" s="1">
        <f t="shared" si="21"/>
        <v>30</v>
      </c>
      <c r="AX51" s="3"/>
      <c r="AY51" s="3"/>
      <c r="AZ51" s="3"/>
      <c r="BA51" s="3"/>
      <c r="BB51" s="3"/>
      <c r="BC51" s="3"/>
      <c r="BD51" s="4"/>
      <c r="BE51" s="4"/>
      <c r="BF51" s="4"/>
      <c r="BG51" s="4"/>
      <c r="BH51" s="4"/>
      <c r="BI51" s="4"/>
      <c r="BJ51" s="3"/>
      <c r="BK51" s="3"/>
      <c r="BM51" s="1">
        <v>50</v>
      </c>
      <c r="BN51" s="1">
        <f t="shared" si="22"/>
        <v>3421</v>
      </c>
      <c r="BO51" s="1">
        <f t="shared" si="23"/>
        <v>684</v>
      </c>
      <c r="BQ51" s="1">
        <f t="shared" si="24"/>
        <v>9.9</v>
      </c>
      <c r="BR51" s="1">
        <f t="shared" si="25"/>
        <v>19.8</v>
      </c>
      <c r="BS51" s="1">
        <f t="shared" si="26"/>
        <v>8.82</v>
      </c>
      <c r="BT51" s="1">
        <v>50</v>
      </c>
      <c r="BU51" s="1">
        <f t="shared" si="27"/>
        <v>5715</v>
      </c>
      <c r="BV51" s="1">
        <f t="shared" si="28"/>
        <v>1143</v>
      </c>
      <c r="BX51" s="1">
        <f t="shared" si="29"/>
        <v>22.45</v>
      </c>
      <c r="BY51" s="1">
        <f t="shared" si="30"/>
        <v>45</v>
      </c>
      <c r="BZ51" s="1">
        <v>50</v>
      </c>
      <c r="CA51" s="1">
        <f t="shared" si="31"/>
        <v>8455.7</v>
      </c>
      <c r="CB51" s="1">
        <f t="shared" si="32"/>
        <v>1691</v>
      </c>
      <c r="CD51" s="1">
        <f t="shared" si="33"/>
        <v>36.617</v>
      </c>
      <c r="CE51" s="1">
        <f t="shared" si="34"/>
        <v>73.3</v>
      </c>
      <c r="CF51" s="1">
        <f t="shared" si="35"/>
        <v>40.94</v>
      </c>
      <c r="CG51" s="1">
        <v>50</v>
      </c>
      <c r="CH51" s="1">
        <f t="shared" si="36"/>
        <v>11343</v>
      </c>
      <c r="CI51" s="1">
        <f t="shared" si="37"/>
        <v>2268</v>
      </c>
      <c r="CK51" s="1">
        <f t="shared" si="38"/>
        <v>46.225</v>
      </c>
      <c r="CL51" s="1">
        <f t="shared" si="39"/>
        <v>92.5</v>
      </c>
      <c r="CM51" s="1">
        <f t="shared" si="40"/>
        <v>60.303</v>
      </c>
      <c r="CN51" s="1">
        <v>50</v>
      </c>
      <c r="CO51" s="1">
        <f t="shared" si="41"/>
        <v>14274</v>
      </c>
      <c r="CP51" s="1">
        <f t="shared" si="42"/>
        <v>2856</v>
      </c>
      <c r="CR51" s="1">
        <f t="shared" si="43"/>
        <v>61</v>
      </c>
      <c r="CS51" s="1">
        <f t="shared" si="44"/>
        <v>122</v>
      </c>
      <c r="CT51" s="1">
        <f t="shared" si="45"/>
        <v>79.9</v>
      </c>
    </row>
    <row r="52" spans="1:98">
      <c r="A52" s="9">
        <v>51</v>
      </c>
      <c r="B52" s="9">
        <v>7000</v>
      </c>
      <c r="C52" s="9">
        <v>1400</v>
      </c>
      <c r="D52" s="9">
        <v>1400</v>
      </c>
      <c r="E52" s="8">
        <f t="shared" si="0"/>
        <v>5350</v>
      </c>
      <c r="F52" s="8">
        <f t="shared" si="1"/>
        <v>1070</v>
      </c>
      <c r="G52" s="8">
        <f t="shared" si="2"/>
        <v>1070</v>
      </c>
      <c r="H52" s="9"/>
      <c r="I52" s="9">
        <v>1</v>
      </c>
      <c r="J52" s="8">
        <f t="shared" si="3"/>
        <v>1512</v>
      </c>
      <c r="K52" s="8">
        <f t="shared" si="4"/>
        <v>302.4</v>
      </c>
      <c r="L52" s="8">
        <f t="shared" si="5"/>
        <v>302.4</v>
      </c>
      <c r="M52" s="8">
        <v>0.4</v>
      </c>
      <c r="N52" s="8">
        <f t="shared" si="6"/>
        <v>13862</v>
      </c>
      <c r="O52" s="8">
        <f t="shared" si="7"/>
        <v>2772.4</v>
      </c>
      <c r="P52" s="8">
        <f t="shared" si="8"/>
        <v>2772.4</v>
      </c>
      <c r="Q52" s="9">
        <v>30</v>
      </c>
      <c r="R52" s="9">
        <v>60</v>
      </c>
      <c r="S52" s="9">
        <v>31.68</v>
      </c>
      <c r="T52" s="8">
        <v>4</v>
      </c>
      <c r="U52" s="8">
        <v>0.14</v>
      </c>
      <c r="V52" s="8">
        <f t="shared" si="9"/>
        <v>32029.1651217408</v>
      </c>
      <c r="W52" s="8">
        <f t="shared" si="10"/>
        <v>2772.4</v>
      </c>
      <c r="X52" s="8">
        <f t="shared" si="11"/>
        <v>2772.4</v>
      </c>
      <c r="Y52" s="8">
        <f t="shared" si="12"/>
        <v>3202.91651217408</v>
      </c>
      <c r="Z52" s="8">
        <f t="shared" si="13"/>
        <v>10</v>
      </c>
      <c r="AA52">
        <f t="shared" si="14"/>
        <v>1386.2</v>
      </c>
      <c r="AB52">
        <f t="shared" si="15"/>
        <v>10</v>
      </c>
      <c r="AC52">
        <f t="shared" si="16"/>
        <v>13.9583440090389</v>
      </c>
      <c r="AD52">
        <f t="shared" si="17"/>
        <v>6.37333333333333</v>
      </c>
      <c r="AE52">
        <f t="shared" si="18"/>
        <v>6.37333333333333</v>
      </c>
      <c r="AF52">
        <f t="shared" si="46"/>
        <v>10676.3883739136</v>
      </c>
      <c r="AG52">
        <f t="shared" si="47"/>
        <v>2772.4</v>
      </c>
      <c r="AH52">
        <f t="shared" si="48"/>
        <v>1386.2</v>
      </c>
      <c r="AI52">
        <f t="shared" si="19"/>
        <v>3.33333333333333</v>
      </c>
      <c r="AJ52">
        <f t="shared" si="20"/>
        <v>462.066666666667</v>
      </c>
      <c r="AK52">
        <f t="shared" si="21"/>
        <v>30</v>
      </c>
      <c r="BM52">
        <v>51</v>
      </c>
      <c r="BN52">
        <f t="shared" si="22"/>
        <v>3450</v>
      </c>
      <c r="BO52">
        <f t="shared" si="23"/>
        <v>689.8</v>
      </c>
      <c r="BQ52">
        <f t="shared" si="24"/>
        <v>10</v>
      </c>
      <c r="BR52">
        <f t="shared" si="25"/>
        <v>20</v>
      </c>
      <c r="BS52">
        <f t="shared" si="26"/>
        <v>9</v>
      </c>
      <c r="BT52">
        <v>51</v>
      </c>
      <c r="BU52">
        <f t="shared" si="27"/>
        <v>5729.6</v>
      </c>
      <c r="BV52">
        <f t="shared" si="28"/>
        <v>1145.92</v>
      </c>
      <c r="BX52">
        <f t="shared" si="29"/>
        <v>22.5</v>
      </c>
      <c r="BY52">
        <f t="shared" si="30"/>
        <v>45.1</v>
      </c>
      <c r="BZ52">
        <v>51</v>
      </c>
      <c r="CA52">
        <f t="shared" si="31"/>
        <v>8465</v>
      </c>
      <c r="CB52">
        <f t="shared" si="32"/>
        <v>1692.86</v>
      </c>
      <c r="CD52">
        <f t="shared" si="33"/>
        <v>36.65</v>
      </c>
      <c r="CE52">
        <f t="shared" si="34"/>
        <v>73.366</v>
      </c>
      <c r="CF52">
        <f t="shared" si="35"/>
        <v>41</v>
      </c>
      <c r="CG52">
        <v>51</v>
      </c>
      <c r="CH52">
        <f t="shared" si="36"/>
        <v>11350</v>
      </c>
      <c r="CI52">
        <f t="shared" si="37"/>
        <v>2269.4</v>
      </c>
      <c r="CK52">
        <f t="shared" si="38"/>
        <v>46.25</v>
      </c>
      <c r="CL52">
        <f t="shared" si="39"/>
        <v>92.55</v>
      </c>
      <c r="CM52">
        <f t="shared" si="40"/>
        <v>60.35</v>
      </c>
      <c r="CN52">
        <v>51</v>
      </c>
      <c r="CO52">
        <f t="shared" si="41"/>
        <v>14279.6</v>
      </c>
      <c r="CP52">
        <f t="shared" si="42"/>
        <v>2857.12</v>
      </c>
      <c r="CR52">
        <f t="shared" si="43"/>
        <v>61.02</v>
      </c>
      <c r="CS52">
        <f t="shared" si="44"/>
        <v>122.04</v>
      </c>
      <c r="CT52">
        <f t="shared" si="45"/>
        <v>79.938</v>
      </c>
    </row>
    <row r="53" spans="1:98">
      <c r="A53" s="9">
        <v>52</v>
      </c>
      <c r="B53" s="9">
        <v>7100</v>
      </c>
      <c r="C53" s="9">
        <v>1420</v>
      </c>
      <c r="D53" s="9">
        <v>1420</v>
      </c>
      <c r="E53" s="8">
        <f t="shared" si="0"/>
        <v>5450</v>
      </c>
      <c r="F53" s="8">
        <f t="shared" si="1"/>
        <v>1090</v>
      </c>
      <c r="G53" s="8">
        <f t="shared" si="2"/>
        <v>1090</v>
      </c>
      <c r="H53" s="9"/>
      <c r="I53" s="9">
        <v>1</v>
      </c>
      <c r="J53" s="8">
        <f t="shared" si="3"/>
        <v>1533.6</v>
      </c>
      <c r="K53" s="8">
        <f t="shared" si="4"/>
        <v>306.72</v>
      </c>
      <c r="L53" s="8">
        <f t="shared" si="5"/>
        <v>306.72</v>
      </c>
      <c r="M53" s="8">
        <v>0.4</v>
      </c>
      <c r="N53" s="8">
        <f t="shared" si="6"/>
        <v>14083.6</v>
      </c>
      <c r="O53" s="8">
        <f t="shared" si="7"/>
        <v>2816.72</v>
      </c>
      <c r="P53" s="8">
        <f t="shared" si="8"/>
        <v>2816.72</v>
      </c>
      <c r="Q53" s="9">
        <v>30</v>
      </c>
      <c r="R53" s="9">
        <v>60</v>
      </c>
      <c r="S53" s="9">
        <v>32.34</v>
      </c>
      <c r="T53" s="8">
        <v>4.08</v>
      </c>
      <c r="U53" s="8">
        <v>0.1428</v>
      </c>
      <c r="V53" s="8">
        <f t="shared" si="9"/>
        <v>32809.8347317389</v>
      </c>
      <c r="W53" s="8">
        <f t="shared" si="10"/>
        <v>2816.72</v>
      </c>
      <c r="X53" s="8">
        <f t="shared" si="11"/>
        <v>2816.72</v>
      </c>
      <c r="Y53" s="8">
        <f t="shared" si="12"/>
        <v>3280.98347317389</v>
      </c>
      <c r="Z53" s="8">
        <f t="shared" si="13"/>
        <v>10</v>
      </c>
      <c r="AA53">
        <f t="shared" si="14"/>
        <v>1408.36</v>
      </c>
      <c r="AB53">
        <f t="shared" si="15"/>
        <v>10</v>
      </c>
      <c r="AC53">
        <f t="shared" si="16"/>
        <v>14.2985606501014</v>
      </c>
      <c r="AD53">
        <f t="shared" si="17"/>
        <v>6.4752183908046</v>
      </c>
      <c r="AE53">
        <f t="shared" si="18"/>
        <v>6.4752183908046</v>
      </c>
      <c r="AF53">
        <f t="shared" si="46"/>
        <v>10936.6115772463</v>
      </c>
      <c r="AG53">
        <f t="shared" si="47"/>
        <v>2816.72</v>
      </c>
      <c r="AH53">
        <f t="shared" si="48"/>
        <v>1408.36</v>
      </c>
      <c r="AI53">
        <f t="shared" si="19"/>
        <v>3.33333333333333</v>
      </c>
      <c r="AJ53">
        <f t="shared" si="20"/>
        <v>469.453333333333</v>
      </c>
      <c r="AK53">
        <f t="shared" si="21"/>
        <v>30</v>
      </c>
      <c r="BM53">
        <v>52</v>
      </c>
      <c r="BN53">
        <f t="shared" si="22"/>
        <v>3479</v>
      </c>
      <c r="BO53">
        <f t="shared" si="23"/>
        <v>695.6</v>
      </c>
      <c r="BQ53">
        <f t="shared" si="24"/>
        <v>10.1</v>
      </c>
      <c r="BR53">
        <f t="shared" si="25"/>
        <v>20.2</v>
      </c>
      <c r="BS53">
        <f t="shared" si="26"/>
        <v>9.18</v>
      </c>
      <c r="BT53">
        <v>52</v>
      </c>
      <c r="BU53">
        <f t="shared" si="27"/>
        <v>5744.2</v>
      </c>
      <c r="BV53">
        <f t="shared" si="28"/>
        <v>1148.84</v>
      </c>
      <c r="BX53">
        <f t="shared" si="29"/>
        <v>22.55</v>
      </c>
      <c r="BY53">
        <f t="shared" si="30"/>
        <v>45.2</v>
      </c>
      <c r="BZ53">
        <v>52</v>
      </c>
      <c r="CA53">
        <f t="shared" si="31"/>
        <v>8474.3</v>
      </c>
      <c r="CB53">
        <f t="shared" si="32"/>
        <v>1694.72</v>
      </c>
      <c r="CD53">
        <f t="shared" si="33"/>
        <v>36.683</v>
      </c>
      <c r="CE53">
        <f t="shared" si="34"/>
        <v>73.432</v>
      </c>
      <c r="CF53">
        <f t="shared" si="35"/>
        <v>41.06</v>
      </c>
      <c r="CG53">
        <v>52</v>
      </c>
      <c r="CH53">
        <f t="shared" si="36"/>
        <v>11357</v>
      </c>
      <c r="CI53">
        <f t="shared" si="37"/>
        <v>2270.8</v>
      </c>
      <c r="CK53">
        <f t="shared" si="38"/>
        <v>46.275</v>
      </c>
      <c r="CL53">
        <f t="shared" si="39"/>
        <v>92.6</v>
      </c>
      <c r="CM53">
        <f t="shared" si="40"/>
        <v>60.397</v>
      </c>
      <c r="CN53">
        <v>52</v>
      </c>
      <c r="CO53">
        <f t="shared" si="41"/>
        <v>14285.2</v>
      </c>
      <c r="CP53">
        <f t="shared" si="42"/>
        <v>2858.24</v>
      </c>
      <c r="CR53">
        <f t="shared" si="43"/>
        <v>61.04</v>
      </c>
      <c r="CS53">
        <f t="shared" si="44"/>
        <v>122.08</v>
      </c>
      <c r="CT53">
        <f t="shared" si="45"/>
        <v>79.976</v>
      </c>
    </row>
    <row r="54" spans="1:98">
      <c r="A54" s="9">
        <v>53</v>
      </c>
      <c r="B54" s="9">
        <v>7200</v>
      </c>
      <c r="C54" s="9">
        <v>1440</v>
      </c>
      <c r="D54" s="9">
        <v>1440</v>
      </c>
      <c r="E54" s="8">
        <f t="shared" si="0"/>
        <v>5550</v>
      </c>
      <c r="F54" s="8">
        <f t="shared" si="1"/>
        <v>1110</v>
      </c>
      <c r="G54" s="8">
        <f t="shared" si="2"/>
        <v>1110</v>
      </c>
      <c r="H54" s="9"/>
      <c r="I54" s="9">
        <v>1</v>
      </c>
      <c r="J54" s="8">
        <f t="shared" si="3"/>
        <v>1555.2</v>
      </c>
      <c r="K54" s="8">
        <f t="shared" si="4"/>
        <v>311.04</v>
      </c>
      <c r="L54" s="8">
        <f t="shared" si="5"/>
        <v>311.04</v>
      </c>
      <c r="M54" s="8">
        <v>0.4</v>
      </c>
      <c r="N54" s="8">
        <f t="shared" si="6"/>
        <v>14305.2</v>
      </c>
      <c r="O54" s="8">
        <f t="shared" si="7"/>
        <v>2861.04</v>
      </c>
      <c r="P54" s="8">
        <f t="shared" si="8"/>
        <v>2861.04</v>
      </c>
      <c r="Q54" s="9">
        <v>30</v>
      </c>
      <c r="R54" s="9">
        <v>60</v>
      </c>
      <c r="S54" s="9">
        <v>33</v>
      </c>
      <c r="T54" s="8">
        <v>4.16</v>
      </c>
      <c r="U54" s="8">
        <v>0.1456</v>
      </c>
      <c r="V54" s="8">
        <f t="shared" si="9"/>
        <v>33600.1538973155</v>
      </c>
      <c r="W54" s="8">
        <f t="shared" si="10"/>
        <v>2861.04</v>
      </c>
      <c r="X54" s="8">
        <f t="shared" si="11"/>
        <v>2861.04</v>
      </c>
      <c r="Y54" s="8">
        <f t="shared" si="12"/>
        <v>3360.01538973155</v>
      </c>
      <c r="Z54" s="8">
        <f t="shared" si="13"/>
        <v>10</v>
      </c>
      <c r="AA54">
        <f t="shared" si="14"/>
        <v>1430.52</v>
      </c>
      <c r="AB54">
        <f t="shared" si="15"/>
        <v>10</v>
      </c>
      <c r="AC54">
        <f t="shared" si="16"/>
        <v>14.6429825776828</v>
      </c>
      <c r="AD54">
        <f t="shared" si="17"/>
        <v>6.57710344827586</v>
      </c>
      <c r="AE54">
        <f t="shared" si="18"/>
        <v>6.57710344827586</v>
      </c>
      <c r="AF54">
        <f t="shared" si="46"/>
        <v>11200.0512991052</v>
      </c>
      <c r="AG54">
        <f t="shared" si="47"/>
        <v>2861.04</v>
      </c>
      <c r="AH54">
        <f t="shared" si="48"/>
        <v>1430.52</v>
      </c>
      <c r="AI54">
        <f t="shared" si="19"/>
        <v>3.33333333333334</v>
      </c>
      <c r="AJ54">
        <f t="shared" si="20"/>
        <v>476.84</v>
      </c>
      <c r="AK54">
        <f t="shared" si="21"/>
        <v>30</v>
      </c>
      <c r="BM54">
        <v>53</v>
      </c>
      <c r="BN54">
        <f t="shared" si="22"/>
        <v>3508</v>
      </c>
      <c r="BO54">
        <f t="shared" si="23"/>
        <v>701.4</v>
      </c>
      <c r="BQ54">
        <f t="shared" si="24"/>
        <v>10.2</v>
      </c>
      <c r="BR54">
        <f t="shared" si="25"/>
        <v>20.4</v>
      </c>
      <c r="BS54">
        <f t="shared" si="26"/>
        <v>9.36</v>
      </c>
      <c r="BT54">
        <v>53</v>
      </c>
      <c r="BU54">
        <f t="shared" si="27"/>
        <v>5758.8</v>
      </c>
      <c r="BV54">
        <f t="shared" si="28"/>
        <v>1151.76</v>
      </c>
      <c r="BX54">
        <f t="shared" si="29"/>
        <v>22.6</v>
      </c>
      <c r="BY54">
        <f t="shared" si="30"/>
        <v>45.3</v>
      </c>
      <c r="BZ54">
        <v>53</v>
      </c>
      <c r="CA54">
        <f t="shared" si="31"/>
        <v>8483.6</v>
      </c>
      <c r="CB54">
        <f t="shared" si="32"/>
        <v>1696.58</v>
      </c>
      <c r="CD54">
        <f t="shared" si="33"/>
        <v>36.716</v>
      </c>
      <c r="CE54">
        <f t="shared" si="34"/>
        <v>73.498</v>
      </c>
      <c r="CF54">
        <f t="shared" si="35"/>
        <v>41.12</v>
      </c>
      <c r="CG54">
        <v>53</v>
      </c>
      <c r="CH54">
        <f t="shared" si="36"/>
        <v>11364</v>
      </c>
      <c r="CI54">
        <f t="shared" si="37"/>
        <v>2272.2</v>
      </c>
      <c r="CK54">
        <f t="shared" si="38"/>
        <v>46.3</v>
      </c>
      <c r="CL54">
        <f t="shared" si="39"/>
        <v>92.65</v>
      </c>
      <c r="CM54">
        <f t="shared" si="40"/>
        <v>60.444</v>
      </c>
      <c r="CN54">
        <v>53</v>
      </c>
      <c r="CO54">
        <f t="shared" si="41"/>
        <v>14290.8</v>
      </c>
      <c r="CP54">
        <f t="shared" si="42"/>
        <v>2859.36</v>
      </c>
      <c r="CR54">
        <f t="shared" si="43"/>
        <v>61.06</v>
      </c>
      <c r="CS54">
        <f t="shared" si="44"/>
        <v>122.12</v>
      </c>
      <c r="CT54">
        <f t="shared" si="45"/>
        <v>80.014</v>
      </c>
    </row>
    <row r="55" spans="1:98">
      <c r="A55" s="9">
        <v>54</v>
      </c>
      <c r="B55" s="9">
        <v>7300</v>
      </c>
      <c r="C55" s="9">
        <v>1460</v>
      </c>
      <c r="D55" s="9">
        <v>1460</v>
      </c>
      <c r="E55" s="8">
        <f t="shared" si="0"/>
        <v>5650</v>
      </c>
      <c r="F55" s="8">
        <f t="shared" si="1"/>
        <v>1130</v>
      </c>
      <c r="G55" s="8">
        <f t="shared" si="2"/>
        <v>1130</v>
      </c>
      <c r="H55" s="9"/>
      <c r="I55" s="9">
        <v>1</v>
      </c>
      <c r="J55" s="8">
        <f t="shared" si="3"/>
        <v>1576.8</v>
      </c>
      <c r="K55" s="8">
        <f t="shared" si="4"/>
        <v>315.36</v>
      </c>
      <c r="L55" s="8">
        <f t="shared" si="5"/>
        <v>315.36</v>
      </c>
      <c r="M55" s="8">
        <v>0.4</v>
      </c>
      <c r="N55" s="8">
        <f t="shared" si="6"/>
        <v>14526.8</v>
      </c>
      <c r="O55" s="8">
        <f t="shared" si="7"/>
        <v>2905.36</v>
      </c>
      <c r="P55" s="8">
        <f t="shared" si="8"/>
        <v>2905.36</v>
      </c>
      <c r="Q55" s="9">
        <v>30</v>
      </c>
      <c r="R55" s="9">
        <v>60</v>
      </c>
      <c r="S55" s="9">
        <v>33.66</v>
      </c>
      <c r="T55" s="8">
        <v>4.24</v>
      </c>
      <c r="U55" s="8">
        <v>0.1484</v>
      </c>
      <c r="V55" s="8">
        <f t="shared" si="9"/>
        <v>34400.180081488</v>
      </c>
      <c r="W55" s="8">
        <f t="shared" si="10"/>
        <v>2905.36</v>
      </c>
      <c r="X55" s="8">
        <f t="shared" si="11"/>
        <v>2905.36</v>
      </c>
      <c r="Y55" s="8">
        <f t="shared" si="12"/>
        <v>3440.0180081488</v>
      </c>
      <c r="Z55" s="8">
        <f t="shared" si="13"/>
        <v>10</v>
      </c>
      <c r="AA55">
        <f t="shared" si="14"/>
        <v>1452.68</v>
      </c>
      <c r="AB55">
        <f t="shared" si="15"/>
        <v>10</v>
      </c>
      <c r="AC55">
        <f t="shared" si="16"/>
        <v>14.9916348342269</v>
      </c>
      <c r="AD55">
        <f t="shared" si="17"/>
        <v>6.67898850574713</v>
      </c>
      <c r="AE55">
        <f t="shared" si="18"/>
        <v>6.67898850574713</v>
      </c>
      <c r="AF55">
        <f t="shared" si="46"/>
        <v>11466.7266938293</v>
      </c>
      <c r="AG55">
        <f t="shared" si="47"/>
        <v>2905.36</v>
      </c>
      <c r="AH55">
        <f t="shared" si="48"/>
        <v>1452.68</v>
      </c>
      <c r="AI55">
        <f t="shared" si="19"/>
        <v>3.33333333333332</v>
      </c>
      <c r="AJ55">
        <f t="shared" si="20"/>
        <v>484.226666666667</v>
      </c>
      <c r="AK55">
        <f t="shared" si="21"/>
        <v>30</v>
      </c>
      <c r="BM55">
        <v>54</v>
      </c>
      <c r="BN55">
        <f t="shared" si="22"/>
        <v>3537</v>
      </c>
      <c r="BO55">
        <f t="shared" si="23"/>
        <v>707.2</v>
      </c>
      <c r="BQ55">
        <f t="shared" si="24"/>
        <v>10.3</v>
      </c>
      <c r="BR55">
        <f t="shared" si="25"/>
        <v>20.6</v>
      </c>
      <c r="BS55">
        <f t="shared" si="26"/>
        <v>9.54</v>
      </c>
      <c r="BT55">
        <v>54</v>
      </c>
      <c r="BU55">
        <f t="shared" si="27"/>
        <v>5773.4</v>
      </c>
      <c r="BV55">
        <f t="shared" si="28"/>
        <v>1154.68</v>
      </c>
      <c r="BX55">
        <f t="shared" si="29"/>
        <v>22.65</v>
      </c>
      <c r="BY55">
        <f t="shared" si="30"/>
        <v>45.4</v>
      </c>
      <c r="BZ55">
        <v>54</v>
      </c>
      <c r="CA55">
        <f t="shared" si="31"/>
        <v>8492.9</v>
      </c>
      <c r="CB55">
        <f t="shared" si="32"/>
        <v>1698.44</v>
      </c>
      <c r="CD55">
        <f t="shared" si="33"/>
        <v>36.749</v>
      </c>
      <c r="CE55">
        <f t="shared" si="34"/>
        <v>73.564</v>
      </c>
      <c r="CF55">
        <f t="shared" si="35"/>
        <v>41.18</v>
      </c>
      <c r="CG55">
        <v>54</v>
      </c>
      <c r="CH55">
        <f t="shared" si="36"/>
        <v>11371</v>
      </c>
      <c r="CI55">
        <f t="shared" si="37"/>
        <v>2273.6</v>
      </c>
      <c r="CK55">
        <f t="shared" si="38"/>
        <v>46.325</v>
      </c>
      <c r="CL55">
        <f t="shared" si="39"/>
        <v>92.7</v>
      </c>
      <c r="CM55">
        <f t="shared" si="40"/>
        <v>60.491</v>
      </c>
      <c r="CN55">
        <v>54</v>
      </c>
      <c r="CO55">
        <f t="shared" si="41"/>
        <v>14296.4</v>
      </c>
      <c r="CP55">
        <f t="shared" si="42"/>
        <v>2860.48</v>
      </c>
      <c r="CR55">
        <f t="shared" si="43"/>
        <v>61.08</v>
      </c>
      <c r="CS55">
        <f t="shared" si="44"/>
        <v>122.16</v>
      </c>
      <c r="CT55">
        <f t="shared" si="45"/>
        <v>80.052</v>
      </c>
    </row>
    <row r="56" spans="1:98">
      <c r="A56" s="9">
        <v>55</v>
      </c>
      <c r="B56" s="9">
        <v>7400</v>
      </c>
      <c r="C56" s="9">
        <v>1480</v>
      </c>
      <c r="D56" s="9">
        <v>1480</v>
      </c>
      <c r="E56" s="8">
        <f t="shared" si="0"/>
        <v>5750</v>
      </c>
      <c r="F56" s="8">
        <f t="shared" si="1"/>
        <v>1150</v>
      </c>
      <c r="G56" s="8">
        <f t="shared" si="2"/>
        <v>1150</v>
      </c>
      <c r="H56" s="9"/>
      <c r="I56" s="9">
        <v>1</v>
      </c>
      <c r="J56" s="8">
        <f t="shared" si="3"/>
        <v>1598.4</v>
      </c>
      <c r="K56" s="8">
        <f t="shared" si="4"/>
        <v>319.68</v>
      </c>
      <c r="L56" s="8">
        <f t="shared" si="5"/>
        <v>319.68</v>
      </c>
      <c r="M56" s="8">
        <v>0.4</v>
      </c>
      <c r="N56" s="8">
        <f t="shared" si="6"/>
        <v>14748.4</v>
      </c>
      <c r="O56" s="8">
        <f t="shared" si="7"/>
        <v>2949.68</v>
      </c>
      <c r="P56" s="8">
        <f t="shared" si="8"/>
        <v>2949.68</v>
      </c>
      <c r="Q56" s="9">
        <v>30</v>
      </c>
      <c r="R56" s="9">
        <v>60</v>
      </c>
      <c r="S56" s="9">
        <v>34.32</v>
      </c>
      <c r="T56" s="8">
        <v>4.32</v>
      </c>
      <c r="U56" s="8">
        <v>0.1512</v>
      </c>
      <c r="V56" s="8">
        <f t="shared" si="9"/>
        <v>35209.9708636418</v>
      </c>
      <c r="W56" s="8">
        <f t="shared" si="10"/>
        <v>2949.68</v>
      </c>
      <c r="X56" s="8">
        <f t="shared" si="11"/>
        <v>2949.68</v>
      </c>
      <c r="Y56" s="8">
        <f t="shared" si="12"/>
        <v>3520.99708636418</v>
      </c>
      <c r="Z56" s="8">
        <f t="shared" si="13"/>
        <v>10</v>
      </c>
      <c r="AA56">
        <f t="shared" si="14"/>
        <v>1474.84</v>
      </c>
      <c r="AB56">
        <f t="shared" si="15"/>
        <v>10</v>
      </c>
      <c r="AC56">
        <f t="shared" si="16"/>
        <v>15.3445425128907</v>
      </c>
      <c r="AD56">
        <f t="shared" si="17"/>
        <v>6.78087356321839</v>
      </c>
      <c r="AE56">
        <f t="shared" si="18"/>
        <v>6.78087356321839</v>
      </c>
      <c r="AF56">
        <f t="shared" si="46"/>
        <v>11736.6569545473</v>
      </c>
      <c r="AG56">
        <f t="shared" si="47"/>
        <v>2949.68</v>
      </c>
      <c r="AH56">
        <f t="shared" si="48"/>
        <v>1474.84</v>
      </c>
      <c r="AI56">
        <f t="shared" si="19"/>
        <v>3.33333333333334</v>
      </c>
      <c r="AJ56">
        <f t="shared" si="20"/>
        <v>491.613333333333</v>
      </c>
      <c r="AK56">
        <f t="shared" si="21"/>
        <v>30</v>
      </c>
      <c r="BM56">
        <v>55</v>
      </c>
      <c r="BN56">
        <f t="shared" si="22"/>
        <v>3566</v>
      </c>
      <c r="BO56">
        <f t="shared" si="23"/>
        <v>713</v>
      </c>
      <c r="BQ56">
        <f t="shared" si="24"/>
        <v>10.4</v>
      </c>
      <c r="BR56">
        <f t="shared" si="25"/>
        <v>20.8</v>
      </c>
      <c r="BS56">
        <f t="shared" si="26"/>
        <v>9.72</v>
      </c>
      <c r="BT56">
        <v>55</v>
      </c>
      <c r="BU56">
        <f t="shared" si="27"/>
        <v>5788</v>
      </c>
      <c r="BV56">
        <f t="shared" si="28"/>
        <v>1157.6</v>
      </c>
      <c r="BX56">
        <f t="shared" si="29"/>
        <v>22.7</v>
      </c>
      <c r="BY56">
        <f t="shared" si="30"/>
        <v>45.5</v>
      </c>
      <c r="BZ56">
        <v>55</v>
      </c>
      <c r="CA56">
        <f t="shared" si="31"/>
        <v>8502.2</v>
      </c>
      <c r="CB56">
        <f t="shared" si="32"/>
        <v>1700.3</v>
      </c>
      <c r="CD56">
        <f t="shared" si="33"/>
        <v>36.782</v>
      </c>
      <c r="CE56">
        <f t="shared" si="34"/>
        <v>73.63</v>
      </c>
      <c r="CF56">
        <f t="shared" si="35"/>
        <v>41.24</v>
      </c>
      <c r="CG56">
        <v>55</v>
      </c>
      <c r="CH56">
        <f t="shared" si="36"/>
        <v>11378</v>
      </c>
      <c r="CI56">
        <f t="shared" si="37"/>
        <v>2275</v>
      </c>
      <c r="CK56">
        <f t="shared" si="38"/>
        <v>46.35</v>
      </c>
      <c r="CL56">
        <f t="shared" si="39"/>
        <v>92.75</v>
      </c>
      <c r="CM56">
        <f t="shared" si="40"/>
        <v>60.538</v>
      </c>
      <c r="CN56">
        <v>55</v>
      </c>
      <c r="CO56">
        <f t="shared" si="41"/>
        <v>14302</v>
      </c>
      <c r="CP56">
        <f t="shared" si="42"/>
        <v>2861.6</v>
      </c>
      <c r="CR56">
        <f t="shared" si="43"/>
        <v>61.1</v>
      </c>
      <c r="CS56">
        <f t="shared" si="44"/>
        <v>122.2</v>
      </c>
      <c r="CT56">
        <f t="shared" si="45"/>
        <v>80.09</v>
      </c>
    </row>
    <row r="57" spans="1:98">
      <c r="A57" s="9">
        <v>56</v>
      </c>
      <c r="B57" s="9">
        <v>7500</v>
      </c>
      <c r="C57" s="9">
        <v>1500</v>
      </c>
      <c r="D57" s="9">
        <v>1500</v>
      </c>
      <c r="E57" s="8">
        <f t="shared" si="0"/>
        <v>5850</v>
      </c>
      <c r="F57" s="8">
        <f t="shared" si="1"/>
        <v>1170</v>
      </c>
      <c r="G57" s="8">
        <f t="shared" si="2"/>
        <v>1170</v>
      </c>
      <c r="H57" s="9"/>
      <c r="I57" s="9">
        <v>1</v>
      </c>
      <c r="J57" s="8">
        <f t="shared" si="3"/>
        <v>1620</v>
      </c>
      <c r="K57" s="8">
        <f t="shared" si="4"/>
        <v>324</v>
      </c>
      <c r="L57" s="8">
        <f t="shared" si="5"/>
        <v>324</v>
      </c>
      <c r="M57" s="8">
        <v>0.4</v>
      </c>
      <c r="N57" s="8">
        <f t="shared" si="6"/>
        <v>14970</v>
      </c>
      <c r="O57" s="8">
        <f t="shared" si="7"/>
        <v>2994</v>
      </c>
      <c r="P57" s="8">
        <f t="shared" si="8"/>
        <v>2994</v>
      </c>
      <c r="Q57" s="9">
        <v>30</v>
      </c>
      <c r="R57" s="9">
        <v>60</v>
      </c>
      <c r="S57" s="9">
        <v>34.98</v>
      </c>
      <c r="T57" s="8">
        <v>4.4</v>
      </c>
      <c r="U57" s="8">
        <v>0.154</v>
      </c>
      <c r="V57" s="8">
        <f t="shared" si="9"/>
        <v>36029.5839395309</v>
      </c>
      <c r="W57" s="8">
        <f t="shared" si="10"/>
        <v>2994</v>
      </c>
      <c r="X57" s="8">
        <f t="shared" si="11"/>
        <v>2994</v>
      </c>
      <c r="Y57" s="8">
        <f t="shared" si="12"/>
        <v>3602.95839395309</v>
      </c>
      <c r="Z57" s="8">
        <f t="shared" si="13"/>
        <v>10</v>
      </c>
      <c r="AA57">
        <f t="shared" si="14"/>
        <v>1497</v>
      </c>
      <c r="AB57">
        <f t="shared" si="15"/>
        <v>10</v>
      </c>
      <c r="AC57">
        <f t="shared" si="16"/>
        <v>15.7017307575447</v>
      </c>
      <c r="AD57">
        <f t="shared" si="17"/>
        <v>6.88275862068966</v>
      </c>
      <c r="AE57">
        <f t="shared" si="18"/>
        <v>6.88275862068966</v>
      </c>
      <c r="AF57">
        <f t="shared" si="46"/>
        <v>12009.861313177</v>
      </c>
      <c r="AG57">
        <f t="shared" si="47"/>
        <v>2994</v>
      </c>
      <c r="AH57">
        <f t="shared" si="48"/>
        <v>1497</v>
      </c>
      <c r="AI57">
        <f t="shared" si="19"/>
        <v>3.33333333333334</v>
      </c>
      <c r="AJ57">
        <f t="shared" si="20"/>
        <v>499</v>
      </c>
      <c r="AK57">
        <f t="shared" si="21"/>
        <v>30</v>
      </c>
      <c r="BM57">
        <v>56</v>
      </c>
      <c r="BN57">
        <f t="shared" si="22"/>
        <v>3595</v>
      </c>
      <c r="BO57">
        <f t="shared" si="23"/>
        <v>718.8</v>
      </c>
      <c r="BQ57">
        <f t="shared" si="24"/>
        <v>10.5</v>
      </c>
      <c r="BR57">
        <f t="shared" si="25"/>
        <v>21</v>
      </c>
      <c r="BS57">
        <f t="shared" si="26"/>
        <v>9.9</v>
      </c>
      <c r="BT57">
        <v>56</v>
      </c>
      <c r="BU57">
        <f t="shared" si="27"/>
        <v>5802.6</v>
      </c>
      <c r="BV57">
        <f t="shared" si="28"/>
        <v>1160.52</v>
      </c>
      <c r="BX57">
        <f t="shared" si="29"/>
        <v>22.75</v>
      </c>
      <c r="BY57">
        <f t="shared" si="30"/>
        <v>45.6</v>
      </c>
      <c r="BZ57">
        <v>56</v>
      </c>
      <c r="CA57">
        <f t="shared" si="31"/>
        <v>8511.5</v>
      </c>
      <c r="CB57">
        <f t="shared" si="32"/>
        <v>1702.16</v>
      </c>
      <c r="CD57">
        <f t="shared" si="33"/>
        <v>36.815</v>
      </c>
      <c r="CE57">
        <f t="shared" si="34"/>
        <v>73.696</v>
      </c>
      <c r="CF57">
        <f t="shared" si="35"/>
        <v>41.3</v>
      </c>
      <c r="CG57">
        <v>56</v>
      </c>
      <c r="CH57">
        <f t="shared" si="36"/>
        <v>11385</v>
      </c>
      <c r="CI57">
        <f t="shared" si="37"/>
        <v>2276.4</v>
      </c>
      <c r="CK57">
        <f t="shared" si="38"/>
        <v>46.375</v>
      </c>
      <c r="CL57">
        <f t="shared" si="39"/>
        <v>92.8</v>
      </c>
      <c r="CM57">
        <f t="shared" si="40"/>
        <v>60.585</v>
      </c>
      <c r="CN57">
        <v>56</v>
      </c>
      <c r="CO57">
        <f t="shared" si="41"/>
        <v>14307.6</v>
      </c>
      <c r="CP57">
        <f t="shared" si="42"/>
        <v>2862.72</v>
      </c>
      <c r="CR57">
        <f t="shared" si="43"/>
        <v>61.12</v>
      </c>
      <c r="CS57">
        <f t="shared" si="44"/>
        <v>122.24</v>
      </c>
      <c r="CT57">
        <f t="shared" si="45"/>
        <v>80.128</v>
      </c>
    </row>
    <row r="58" spans="1:98">
      <c r="A58" s="9">
        <v>57</v>
      </c>
      <c r="B58" s="9">
        <v>7600</v>
      </c>
      <c r="C58" s="9">
        <v>1520</v>
      </c>
      <c r="D58" s="9">
        <v>1520</v>
      </c>
      <c r="E58" s="8">
        <f t="shared" si="0"/>
        <v>5950</v>
      </c>
      <c r="F58" s="8">
        <f t="shared" si="1"/>
        <v>1190</v>
      </c>
      <c r="G58" s="8">
        <f t="shared" si="2"/>
        <v>1190</v>
      </c>
      <c r="H58" s="9"/>
      <c r="I58" s="9">
        <v>1</v>
      </c>
      <c r="J58" s="8">
        <f t="shared" si="3"/>
        <v>1641.6</v>
      </c>
      <c r="K58" s="8">
        <f t="shared" si="4"/>
        <v>328.32</v>
      </c>
      <c r="L58" s="8">
        <f t="shared" si="5"/>
        <v>328.32</v>
      </c>
      <c r="M58" s="8">
        <v>0.4</v>
      </c>
      <c r="N58" s="8">
        <f t="shared" si="6"/>
        <v>15191.6</v>
      </c>
      <c r="O58" s="8">
        <f t="shared" si="7"/>
        <v>3038.32</v>
      </c>
      <c r="P58" s="8">
        <f t="shared" si="8"/>
        <v>3038.32</v>
      </c>
      <c r="Q58" s="9">
        <v>30</v>
      </c>
      <c r="R58" s="9">
        <v>60</v>
      </c>
      <c r="S58" s="9">
        <v>35.64</v>
      </c>
      <c r="T58" s="8">
        <v>4.48</v>
      </c>
      <c r="U58" s="8">
        <v>0.1568</v>
      </c>
      <c r="V58" s="8">
        <f t="shared" si="9"/>
        <v>36859.0771212774</v>
      </c>
      <c r="W58" s="8">
        <f t="shared" si="10"/>
        <v>3038.32</v>
      </c>
      <c r="X58" s="8">
        <f t="shared" si="11"/>
        <v>3038.32</v>
      </c>
      <c r="Y58" s="8">
        <f t="shared" si="12"/>
        <v>3685.90771212774</v>
      </c>
      <c r="Z58" s="8">
        <f t="shared" si="13"/>
        <v>10</v>
      </c>
      <c r="AA58">
        <f t="shared" si="14"/>
        <v>1519.16</v>
      </c>
      <c r="AB58">
        <f t="shared" si="15"/>
        <v>10</v>
      </c>
      <c r="AC58">
        <f t="shared" si="16"/>
        <v>16.0632247627727</v>
      </c>
      <c r="AD58">
        <f t="shared" si="17"/>
        <v>6.98464367816092</v>
      </c>
      <c r="AE58">
        <f t="shared" si="18"/>
        <v>6.98464367816092</v>
      </c>
      <c r="AF58">
        <f t="shared" si="46"/>
        <v>12286.3590404258</v>
      </c>
      <c r="AG58">
        <f t="shared" si="47"/>
        <v>3038.32</v>
      </c>
      <c r="AH58">
        <f t="shared" si="48"/>
        <v>1519.16</v>
      </c>
      <c r="AI58">
        <f t="shared" si="19"/>
        <v>3.33333333333333</v>
      </c>
      <c r="AJ58">
        <f t="shared" si="20"/>
        <v>506.386666666667</v>
      </c>
      <c r="AK58">
        <f t="shared" si="21"/>
        <v>30</v>
      </c>
      <c r="BM58">
        <v>57</v>
      </c>
      <c r="BN58">
        <f t="shared" si="22"/>
        <v>3624</v>
      </c>
      <c r="BO58">
        <f t="shared" si="23"/>
        <v>724.6</v>
      </c>
      <c r="BQ58">
        <f t="shared" si="24"/>
        <v>10.6</v>
      </c>
      <c r="BR58">
        <f t="shared" si="25"/>
        <v>21.2</v>
      </c>
      <c r="BS58">
        <f t="shared" si="26"/>
        <v>10.08</v>
      </c>
      <c r="BT58">
        <v>57</v>
      </c>
      <c r="BU58">
        <f t="shared" si="27"/>
        <v>5817.2</v>
      </c>
      <c r="BV58">
        <f t="shared" si="28"/>
        <v>1163.44</v>
      </c>
      <c r="BX58">
        <f t="shared" si="29"/>
        <v>22.8</v>
      </c>
      <c r="BY58">
        <f t="shared" si="30"/>
        <v>45.7</v>
      </c>
      <c r="BZ58">
        <v>57</v>
      </c>
      <c r="CA58">
        <f t="shared" si="31"/>
        <v>8520.8</v>
      </c>
      <c r="CB58">
        <f t="shared" si="32"/>
        <v>1704.02</v>
      </c>
      <c r="CD58">
        <f t="shared" si="33"/>
        <v>36.848</v>
      </c>
      <c r="CE58">
        <f t="shared" si="34"/>
        <v>73.762</v>
      </c>
      <c r="CF58">
        <f t="shared" si="35"/>
        <v>41.36</v>
      </c>
      <c r="CG58">
        <v>57</v>
      </c>
      <c r="CH58">
        <f t="shared" si="36"/>
        <v>11392</v>
      </c>
      <c r="CI58">
        <f t="shared" si="37"/>
        <v>2277.8</v>
      </c>
      <c r="CK58">
        <f t="shared" si="38"/>
        <v>46.4</v>
      </c>
      <c r="CL58">
        <f t="shared" si="39"/>
        <v>92.85</v>
      </c>
      <c r="CM58">
        <f t="shared" si="40"/>
        <v>60.632</v>
      </c>
      <c r="CN58">
        <v>57</v>
      </c>
      <c r="CO58">
        <f t="shared" si="41"/>
        <v>14313.2</v>
      </c>
      <c r="CP58">
        <f t="shared" si="42"/>
        <v>2863.84</v>
      </c>
      <c r="CR58">
        <f t="shared" si="43"/>
        <v>61.14</v>
      </c>
      <c r="CS58">
        <f t="shared" si="44"/>
        <v>122.28</v>
      </c>
      <c r="CT58">
        <f t="shared" si="45"/>
        <v>80.166</v>
      </c>
    </row>
    <row r="59" spans="1:98">
      <c r="A59" s="9">
        <v>58</v>
      </c>
      <c r="B59" s="9">
        <v>7700</v>
      </c>
      <c r="C59" s="9">
        <v>1540</v>
      </c>
      <c r="D59" s="9">
        <v>1540</v>
      </c>
      <c r="E59" s="8">
        <f t="shared" si="0"/>
        <v>6050</v>
      </c>
      <c r="F59" s="8">
        <f t="shared" si="1"/>
        <v>1210</v>
      </c>
      <c r="G59" s="8">
        <f t="shared" si="2"/>
        <v>1210</v>
      </c>
      <c r="H59" s="9"/>
      <c r="I59" s="9">
        <v>1</v>
      </c>
      <c r="J59" s="8">
        <f t="shared" si="3"/>
        <v>1663.2</v>
      </c>
      <c r="K59" s="8">
        <f t="shared" si="4"/>
        <v>332.64</v>
      </c>
      <c r="L59" s="8">
        <f t="shared" si="5"/>
        <v>332.64</v>
      </c>
      <c r="M59" s="8">
        <v>0.4</v>
      </c>
      <c r="N59" s="8">
        <f t="shared" si="6"/>
        <v>15413.2</v>
      </c>
      <c r="O59" s="8">
        <f t="shared" si="7"/>
        <v>3082.64</v>
      </c>
      <c r="P59" s="8">
        <f t="shared" si="8"/>
        <v>3082.64</v>
      </c>
      <c r="Q59" s="9">
        <v>30</v>
      </c>
      <c r="R59" s="9">
        <v>60</v>
      </c>
      <c r="S59" s="9">
        <v>36.3</v>
      </c>
      <c r="T59" s="8">
        <v>4.56</v>
      </c>
      <c r="U59" s="8">
        <v>0.1596</v>
      </c>
      <c r="V59" s="8">
        <f t="shared" si="9"/>
        <v>37698.5083373719</v>
      </c>
      <c r="W59" s="8">
        <f t="shared" si="10"/>
        <v>3082.64</v>
      </c>
      <c r="X59" s="8">
        <f t="shared" si="11"/>
        <v>3082.64</v>
      </c>
      <c r="Y59" s="8">
        <f t="shared" si="12"/>
        <v>3769.85083373719</v>
      </c>
      <c r="Z59" s="8">
        <f t="shared" si="13"/>
        <v>10</v>
      </c>
      <c r="AA59">
        <f t="shared" si="14"/>
        <v>1541.32</v>
      </c>
      <c r="AB59">
        <f t="shared" si="15"/>
        <v>10</v>
      </c>
      <c r="AC59">
        <f t="shared" si="16"/>
        <v>16.4290497738724</v>
      </c>
      <c r="AD59">
        <f t="shared" si="17"/>
        <v>7.08652873563218</v>
      </c>
      <c r="AE59">
        <f t="shared" si="18"/>
        <v>7.08652873563218</v>
      </c>
      <c r="AF59">
        <f t="shared" si="46"/>
        <v>12566.1694457906</v>
      </c>
      <c r="AG59">
        <f t="shared" si="47"/>
        <v>3082.64</v>
      </c>
      <c r="AH59">
        <f t="shared" si="48"/>
        <v>1541.32</v>
      </c>
      <c r="AI59">
        <f t="shared" si="19"/>
        <v>3.33333333333332</v>
      </c>
      <c r="AJ59">
        <f t="shared" si="20"/>
        <v>513.773333333333</v>
      </c>
      <c r="AK59">
        <f t="shared" si="21"/>
        <v>30</v>
      </c>
      <c r="BM59">
        <v>58</v>
      </c>
      <c r="BN59">
        <f t="shared" si="22"/>
        <v>3653</v>
      </c>
      <c r="BO59">
        <f t="shared" si="23"/>
        <v>730.4</v>
      </c>
      <c r="BQ59">
        <f t="shared" si="24"/>
        <v>10.7</v>
      </c>
      <c r="BR59">
        <f t="shared" si="25"/>
        <v>21.4</v>
      </c>
      <c r="BS59">
        <f t="shared" si="26"/>
        <v>10.26</v>
      </c>
      <c r="BT59">
        <v>58</v>
      </c>
      <c r="BU59">
        <f t="shared" si="27"/>
        <v>5831.8</v>
      </c>
      <c r="BV59">
        <f t="shared" si="28"/>
        <v>1166.36</v>
      </c>
      <c r="BX59">
        <f t="shared" si="29"/>
        <v>22.85</v>
      </c>
      <c r="BY59">
        <f t="shared" si="30"/>
        <v>45.8</v>
      </c>
      <c r="BZ59">
        <v>58</v>
      </c>
      <c r="CA59">
        <f t="shared" si="31"/>
        <v>8530.1</v>
      </c>
      <c r="CB59">
        <f t="shared" si="32"/>
        <v>1705.88</v>
      </c>
      <c r="CD59">
        <f t="shared" si="33"/>
        <v>36.881</v>
      </c>
      <c r="CE59">
        <f t="shared" si="34"/>
        <v>73.828</v>
      </c>
      <c r="CF59">
        <f t="shared" si="35"/>
        <v>41.42</v>
      </c>
      <c r="CG59">
        <v>58</v>
      </c>
      <c r="CH59">
        <f t="shared" si="36"/>
        <v>11399</v>
      </c>
      <c r="CI59">
        <f t="shared" si="37"/>
        <v>2279.2</v>
      </c>
      <c r="CK59">
        <f t="shared" si="38"/>
        <v>46.425</v>
      </c>
      <c r="CL59">
        <f t="shared" si="39"/>
        <v>92.9</v>
      </c>
      <c r="CM59">
        <f t="shared" si="40"/>
        <v>60.679</v>
      </c>
      <c r="CN59">
        <v>58</v>
      </c>
      <c r="CO59">
        <f t="shared" si="41"/>
        <v>14318.8</v>
      </c>
      <c r="CP59">
        <f t="shared" si="42"/>
        <v>2864.96</v>
      </c>
      <c r="CR59">
        <f t="shared" si="43"/>
        <v>61.16</v>
      </c>
      <c r="CS59">
        <f t="shared" si="44"/>
        <v>122.32</v>
      </c>
      <c r="CT59">
        <f t="shared" si="45"/>
        <v>80.204</v>
      </c>
    </row>
    <row r="60" spans="1:98">
      <c r="A60" s="9">
        <v>59</v>
      </c>
      <c r="B60" s="9">
        <v>7800</v>
      </c>
      <c r="C60" s="9">
        <v>1560</v>
      </c>
      <c r="D60" s="9">
        <v>1560</v>
      </c>
      <c r="E60" s="8">
        <f t="shared" si="0"/>
        <v>6150</v>
      </c>
      <c r="F60" s="8">
        <f t="shared" si="1"/>
        <v>1230</v>
      </c>
      <c r="G60" s="8">
        <f t="shared" si="2"/>
        <v>1230</v>
      </c>
      <c r="H60" s="9"/>
      <c r="I60" s="9">
        <v>1</v>
      </c>
      <c r="J60" s="8">
        <f t="shared" si="3"/>
        <v>1684.8</v>
      </c>
      <c r="K60" s="8">
        <f t="shared" si="4"/>
        <v>336.96</v>
      </c>
      <c r="L60" s="8">
        <f t="shared" si="5"/>
        <v>336.96</v>
      </c>
      <c r="M60" s="8">
        <v>0.4</v>
      </c>
      <c r="N60" s="8">
        <f t="shared" si="6"/>
        <v>15634.8</v>
      </c>
      <c r="O60" s="8">
        <f t="shared" si="7"/>
        <v>3126.96</v>
      </c>
      <c r="P60" s="8">
        <f t="shared" si="8"/>
        <v>3126.96</v>
      </c>
      <c r="Q60" s="9">
        <v>30</v>
      </c>
      <c r="R60" s="9">
        <v>60</v>
      </c>
      <c r="S60" s="9">
        <v>36.96</v>
      </c>
      <c r="T60" s="8">
        <v>4.64</v>
      </c>
      <c r="U60" s="8">
        <v>0.1624</v>
      </c>
      <c r="V60" s="8">
        <f t="shared" si="9"/>
        <v>38547.9356326729</v>
      </c>
      <c r="W60" s="8">
        <f t="shared" si="10"/>
        <v>3126.96</v>
      </c>
      <c r="X60" s="8">
        <f t="shared" si="11"/>
        <v>3126.96</v>
      </c>
      <c r="Y60" s="8">
        <f t="shared" si="12"/>
        <v>3854.7935632673</v>
      </c>
      <c r="Z60" s="8">
        <f t="shared" si="13"/>
        <v>9.99999999999998</v>
      </c>
      <c r="AA60">
        <f t="shared" si="14"/>
        <v>1563.48</v>
      </c>
      <c r="AB60">
        <f t="shared" si="15"/>
        <v>10</v>
      </c>
      <c r="AC60">
        <f t="shared" si="16"/>
        <v>16.7992310868542</v>
      </c>
      <c r="AD60">
        <f t="shared" si="17"/>
        <v>7.18841379310345</v>
      </c>
      <c r="AE60">
        <f t="shared" si="18"/>
        <v>7.18841379310345</v>
      </c>
      <c r="AF60">
        <f t="shared" si="46"/>
        <v>12849.3118775576</v>
      </c>
      <c r="AG60">
        <f t="shared" si="47"/>
        <v>3126.96</v>
      </c>
      <c r="AH60">
        <f t="shared" si="48"/>
        <v>1563.48</v>
      </c>
      <c r="AI60">
        <f t="shared" si="19"/>
        <v>3.33333333333332</v>
      </c>
      <c r="AJ60">
        <f t="shared" si="20"/>
        <v>521.16</v>
      </c>
      <c r="AK60">
        <f t="shared" si="21"/>
        <v>30</v>
      </c>
      <c r="BM60">
        <v>59</v>
      </c>
      <c r="BN60">
        <f t="shared" si="22"/>
        <v>3682</v>
      </c>
      <c r="BO60">
        <f t="shared" si="23"/>
        <v>736.2</v>
      </c>
      <c r="BQ60">
        <f t="shared" si="24"/>
        <v>10.8</v>
      </c>
      <c r="BR60">
        <f t="shared" si="25"/>
        <v>21.6</v>
      </c>
      <c r="BS60">
        <f t="shared" si="26"/>
        <v>10.44</v>
      </c>
      <c r="BT60">
        <v>59</v>
      </c>
      <c r="BU60">
        <f t="shared" si="27"/>
        <v>5846.4</v>
      </c>
      <c r="BV60">
        <f t="shared" si="28"/>
        <v>1169.28</v>
      </c>
      <c r="BX60">
        <f t="shared" si="29"/>
        <v>22.9</v>
      </c>
      <c r="BY60">
        <f t="shared" si="30"/>
        <v>45.9</v>
      </c>
      <c r="BZ60">
        <v>59</v>
      </c>
      <c r="CA60">
        <f t="shared" si="31"/>
        <v>8539.4</v>
      </c>
      <c r="CB60">
        <f t="shared" si="32"/>
        <v>1707.74</v>
      </c>
      <c r="CD60">
        <f t="shared" si="33"/>
        <v>36.914</v>
      </c>
      <c r="CE60">
        <f t="shared" si="34"/>
        <v>73.894</v>
      </c>
      <c r="CF60">
        <f t="shared" si="35"/>
        <v>41.48</v>
      </c>
      <c r="CG60">
        <v>59</v>
      </c>
      <c r="CH60">
        <f t="shared" si="36"/>
        <v>11406</v>
      </c>
      <c r="CI60">
        <f t="shared" si="37"/>
        <v>2280.6</v>
      </c>
      <c r="CK60">
        <f t="shared" si="38"/>
        <v>46.45</v>
      </c>
      <c r="CL60">
        <f t="shared" si="39"/>
        <v>92.95</v>
      </c>
      <c r="CM60">
        <f t="shared" si="40"/>
        <v>60.726</v>
      </c>
      <c r="CN60">
        <v>59</v>
      </c>
      <c r="CO60">
        <f t="shared" si="41"/>
        <v>14324.4</v>
      </c>
      <c r="CP60">
        <f t="shared" si="42"/>
        <v>2866.08</v>
      </c>
      <c r="CR60">
        <f t="shared" si="43"/>
        <v>61.18</v>
      </c>
      <c r="CS60">
        <f t="shared" si="44"/>
        <v>122.36</v>
      </c>
      <c r="CT60">
        <f t="shared" si="45"/>
        <v>80.242</v>
      </c>
    </row>
    <row r="61" s="1" customFormat="1" spans="1:98">
      <c r="A61" s="1">
        <v>60</v>
      </c>
      <c r="B61" s="1">
        <v>7900</v>
      </c>
      <c r="C61" s="1">
        <v>1580</v>
      </c>
      <c r="D61" s="1">
        <v>1580</v>
      </c>
      <c r="E61" s="1">
        <f t="shared" si="0"/>
        <v>6250</v>
      </c>
      <c r="F61" s="1">
        <f t="shared" si="1"/>
        <v>1250</v>
      </c>
      <c r="G61" s="1">
        <f t="shared" si="2"/>
        <v>1250</v>
      </c>
      <c r="I61" s="1">
        <v>1</v>
      </c>
      <c r="J61" s="1">
        <f t="shared" si="3"/>
        <v>1706.4</v>
      </c>
      <c r="K61" s="1">
        <f t="shared" si="4"/>
        <v>341.28</v>
      </c>
      <c r="L61" s="1">
        <f t="shared" si="5"/>
        <v>341.28</v>
      </c>
      <c r="M61" s="8">
        <v>0.4</v>
      </c>
      <c r="N61" s="1">
        <f t="shared" si="6"/>
        <v>15856.4</v>
      </c>
      <c r="O61" s="1">
        <f t="shared" si="7"/>
        <v>3171.28</v>
      </c>
      <c r="P61" s="1">
        <f t="shared" si="8"/>
        <v>3171.28</v>
      </c>
      <c r="Q61" s="1">
        <v>30</v>
      </c>
      <c r="R61" s="1">
        <v>60</v>
      </c>
      <c r="S61" s="1">
        <v>37.62</v>
      </c>
      <c r="T61" s="1">
        <v>4.72</v>
      </c>
      <c r="U61" s="1">
        <v>0.1652</v>
      </c>
      <c r="V61" s="1">
        <f t="shared" si="9"/>
        <v>39407.4171684078</v>
      </c>
      <c r="W61" s="1">
        <f t="shared" si="10"/>
        <v>3171.28</v>
      </c>
      <c r="X61" s="1">
        <f t="shared" si="11"/>
        <v>3171.28</v>
      </c>
      <c r="Y61" s="1">
        <f t="shared" si="12"/>
        <v>3940.74171684078</v>
      </c>
      <c r="Z61" s="1">
        <f t="shared" si="13"/>
        <v>10</v>
      </c>
      <c r="AA61" s="1">
        <f t="shared" si="14"/>
        <v>1585.64</v>
      </c>
      <c r="AB61" s="1">
        <f t="shared" si="15"/>
        <v>10</v>
      </c>
      <c r="AC61">
        <f t="shared" si="16"/>
        <v>17.1737940484427</v>
      </c>
      <c r="AD61">
        <f t="shared" si="17"/>
        <v>7.29029885057471</v>
      </c>
      <c r="AE61">
        <f t="shared" si="18"/>
        <v>7.29029885057471</v>
      </c>
      <c r="AF61" s="1">
        <f t="shared" si="46"/>
        <v>13135.8057228026</v>
      </c>
      <c r="AG61" s="1">
        <f t="shared" si="47"/>
        <v>3171.28</v>
      </c>
      <c r="AH61" s="1">
        <f t="shared" si="48"/>
        <v>1585.64</v>
      </c>
      <c r="AI61" s="1">
        <f t="shared" si="19"/>
        <v>3.33333333333333</v>
      </c>
      <c r="AJ61" s="1">
        <f t="shared" si="20"/>
        <v>528.546666666667</v>
      </c>
      <c r="AK61" s="1">
        <f t="shared" si="21"/>
        <v>30</v>
      </c>
      <c r="AX61" s="3"/>
      <c r="AY61" s="3"/>
      <c r="AZ61" s="3"/>
      <c r="BA61" s="3"/>
      <c r="BB61" s="3"/>
      <c r="BC61" s="3"/>
      <c r="BD61" s="4"/>
      <c r="BE61" s="4"/>
      <c r="BF61" s="4"/>
      <c r="BG61" s="4"/>
      <c r="BH61" s="4"/>
      <c r="BI61" s="4"/>
      <c r="BJ61" s="3"/>
      <c r="BK61" s="3"/>
      <c r="BM61" s="1">
        <v>60</v>
      </c>
      <c r="BN61" s="1">
        <f t="shared" si="22"/>
        <v>3711</v>
      </c>
      <c r="BO61" s="1">
        <f t="shared" si="23"/>
        <v>742</v>
      </c>
      <c r="BQ61" s="1">
        <f t="shared" si="24"/>
        <v>10.9</v>
      </c>
      <c r="BR61" s="1">
        <f t="shared" si="25"/>
        <v>21.8</v>
      </c>
      <c r="BS61" s="1">
        <f t="shared" si="26"/>
        <v>10.62</v>
      </c>
      <c r="BT61" s="1">
        <v>60</v>
      </c>
      <c r="BU61" s="1">
        <f t="shared" si="27"/>
        <v>5861</v>
      </c>
      <c r="BV61" s="1">
        <f t="shared" si="28"/>
        <v>1172.2</v>
      </c>
      <c r="BX61" s="1">
        <f t="shared" si="29"/>
        <v>22.95</v>
      </c>
      <c r="BY61" s="1">
        <f t="shared" si="30"/>
        <v>46</v>
      </c>
      <c r="BZ61" s="1">
        <v>60</v>
      </c>
      <c r="CA61" s="1">
        <f t="shared" si="31"/>
        <v>8548.7</v>
      </c>
      <c r="CB61" s="1">
        <f t="shared" si="32"/>
        <v>1709.6</v>
      </c>
      <c r="CD61" s="1">
        <f t="shared" si="33"/>
        <v>36.947</v>
      </c>
      <c r="CE61" s="1">
        <f t="shared" si="34"/>
        <v>73.96</v>
      </c>
      <c r="CF61" s="1">
        <f t="shared" si="35"/>
        <v>41.54</v>
      </c>
      <c r="CG61" s="1">
        <v>60</v>
      </c>
      <c r="CH61" s="1">
        <f t="shared" si="36"/>
        <v>11413</v>
      </c>
      <c r="CI61" s="1">
        <f t="shared" si="37"/>
        <v>2282</v>
      </c>
      <c r="CK61" s="1">
        <f t="shared" si="38"/>
        <v>46.475</v>
      </c>
      <c r="CL61" s="1">
        <f t="shared" si="39"/>
        <v>93</v>
      </c>
      <c r="CM61" s="1">
        <f t="shared" si="40"/>
        <v>60.773</v>
      </c>
      <c r="CN61" s="1">
        <v>60</v>
      </c>
      <c r="CO61" s="1">
        <f t="shared" si="41"/>
        <v>14330</v>
      </c>
      <c r="CP61" s="1">
        <f t="shared" si="42"/>
        <v>2867.2</v>
      </c>
      <c r="CR61" s="1">
        <f t="shared" si="43"/>
        <v>61.2</v>
      </c>
      <c r="CS61" s="1">
        <f t="shared" si="44"/>
        <v>122.4</v>
      </c>
      <c r="CT61" s="1">
        <f t="shared" si="45"/>
        <v>80.28</v>
      </c>
    </row>
    <row r="62" spans="1:98">
      <c r="A62">
        <v>61</v>
      </c>
      <c r="B62" s="10">
        <v>8000</v>
      </c>
      <c r="C62" s="10">
        <v>1600</v>
      </c>
      <c r="D62" s="10">
        <v>1600</v>
      </c>
      <c r="E62" s="8">
        <f t="shared" si="0"/>
        <v>6350</v>
      </c>
      <c r="F62" s="8">
        <f t="shared" si="1"/>
        <v>1270</v>
      </c>
      <c r="G62" s="8">
        <f t="shared" si="2"/>
        <v>1270</v>
      </c>
      <c r="H62" s="10"/>
      <c r="I62" s="9">
        <v>1</v>
      </c>
      <c r="J62" s="8">
        <f t="shared" si="3"/>
        <v>2160</v>
      </c>
      <c r="K62" s="8">
        <f t="shared" si="4"/>
        <v>432</v>
      </c>
      <c r="L62" s="8">
        <f t="shared" si="5"/>
        <v>432</v>
      </c>
      <c r="M62" s="8">
        <v>0.5</v>
      </c>
      <c r="N62" s="8">
        <f t="shared" si="6"/>
        <v>16510</v>
      </c>
      <c r="O62" s="8">
        <f t="shared" si="7"/>
        <v>3302</v>
      </c>
      <c r="P62" s="8">
        <f t="shared" si="8"/>
        <v>3302</v>
      </c>
      <c r="Q62" s="10">
        <v>35</v>
      </c>
      <c r="R62" s="10">
        <v>70</v>
      </c>
      <c r="S62" s="10">
        <v>38.28</v>
      </c>
      <c r="T62" s="8">
        <v>4.8</v>
      </c>
      <c r="U62" s="8">
        <v>0.168</v>
      </c>
      <c r="V62" s="8">
        <f t="shared" si="9"/>
        <v>44572.9375530983</v>
      </c>
      <c r="W62" s="8">
        <f t="shared" si="10"/>
        <v>3302</v>
      </c>
      <c r="X62" s="8">
        <f t="shared" si="11"/>
        <v>3302</v>
      </c>
      <c r="Y62" s="8">
        <f t="shared" si="12"/>
        <v>4457.29375530982</v>
      </c>
      <c r="Z62" s="8">
        <f t="shared" si="13"/>
        <v>10</v>
      </c>
      <c r="AA62">
        <f t="shared" si="14"/>
        <v>1651</v>
      </c>
      <c r="AB62">
        <f t="shared" si="15"/>
        <v>10</v>
      </c>
      <c r="AC62">
        <f t="shared" si="16"/>
        <v>19.4249332911035</v>
      </c>
      <c r="AD62">
        <f t="shared" si="17"/>
        <v>7.59080459770115</v>
      </c>
      <c r="AE62">
        <f t="shared" si="18"/>
        <v>7.59080459770115</v>
      </c>
      <c r="AF62">
        <f t="shared" si="46"/>
        <v>14857.6458510328</v>
      </c>
      <c r="AG62">
        <f t="shared" si="47"/>
        <v>3302</v>
      </c>
      <c r="AH62">
        <f t="shared" si="48"/>
        <v>1651</v>
      </c>
      <c r="AI62">
        <f t="shared" si="19"/>
        <v>3.33333333333335</v>
      </c>
      <c r="AJ62">
        <f t="shared" si="20"/>
        <v>550.333333333333</v>
      </c>
      <c r="AK62">
        <f t="shared" si="21"/>
        <v>30</v>
      </c>
      <c r="BM62">
        <v>61</v>
      </c>
      <c r="BN62">
        <f t="shared" si="22"/>
        <v>3740</v>
      </c>
      <c r="BO62">
        <f t="shared" si="23"/>
        <v>747.8</v>
      </c>
      <c r="BQ62">
        <f t="shared" si="24"/>
        <v>11</v>
      </c>
      <c r="BR62">
        <f t="shared" si="25"/>
        <v>22</v>
      </c>
      <c r="BS62">
        <f t="shared" si="26"/>
        <v>10.8</v>
      </c>
      <c r="BT62">
        <v>61</v>
      </c>
      <c r="BU62">
        <f t="shared" si="27"/>
        <v>5875.6</v>
      </c>
      <c r="BV62">
        <f t="shared" si="28"/>
        <v>1175.12</v>
      </c>
      <c r="BX62">
        <f t="shared" si="29"/>
        <v>23</v>
      </c>
      <c r="BY62">
        <f t="shared" si="30"/>
        <v>46.1</v>
      </c>
      <c r="BZ62">
        <v>61</v>
      </c>
      <c r="CA62">
        <f t="shared" si="31"/>
        <v>8558</v>
      </c>
      <c r="CB62">
        <f t="shared" si="32"/>
        <v>1711.46</v>
      </c>
      <c r="CD62">
        <f t="shared" si="33"/>
        <v>36.98</v>
      </c>
      <c r="CE62">
        <f t="shared" si="34"/>
        <v>74.026</v>
      </c>
      <c r="CF62">
        <f t="shared" si="35"/>
        <v>41.6</v>
      </c>
      <c r="CG62">
        <v>61</v>
      </c>
      <c r="CH62">
        <f t="shared" si="36"/>
        <v>11420</v>
      </c>
      <c r="CI62">
        <f t="shared" si="37"/>
        <v>2283.4</v>
      </c>
      <c r="CK62">
        <f t="shared" si="38"/>
        <v>46.5</v>
      </c>
      <c r="CL62">
        <f t="shared" si="39"/>
        <v>93.05</v>
      </c>
      <c r="CM62">
        <f t="shared" si="40"/>
        <v>60.82</v>
      </c>
      <c r="CN62">
        <v>61</v>
      </c>
      <c r="CO62">
        <f t="shared" si="41"/>
        <v>14335.6</v>
      </c>
      <c r="CP62">
        <f t="shared" si="42"/>
        <v>2868.32</v>
      </c>
      <c r="CR62">
        <f t="shared" si="43"/>
        <v>61.22</v>
      </c>
      <c r="CS62">
        <f t="shared" si="44"/>
        <v>122.44</v>
      </c>
      <c r="CT62">
        <f t="shared" si="45"/>
        <v>80.318</v>
      </c>
    </row>
    <row r="63" spans="1:98">
      <c r="A63">
        <v>62</v>
      </c>
      <c r="B63" s="10">
        <v>8100</v>
      </c>
      <c r="C63" s="10">
        <v>1620</v>
      </c>
      <c r="D63" s="10">
        <v>1620</v>
      </c>
      <c r="E63" s="8">
        <f t="shared" si="0"/>
        <v>6450</v>
      </c>
      <c r="F63" s="8">
        <f t="shared" si="1"/>
        <v>1290</v>
      </c>
      <c r="G63" s="8">
        <f t="shared" si="2"/>
        <v>1290</v>
      </c>
      <c r="H63" s="10"/>
      <c r="I63" s="9">
        <v>1</v>
      </c>
      <c r="J63" s="8">
        <f t="shared" si="3"/>
        <v>2187</v>
      </c>
      <c r="K63" s="8">
        <f t="shared" si="4"/>
        <v>437.4</v>
      </c>
      <c r="L63" s="8">
        <f t="shared" si="5"/>
        <v>437.4</v>
      </c>
      <c r="M63" s="8">
        <v>0.5</v>
      </c>
      <c r="N63" s="8">
        <f t="shared" si="6"/>
        <v>16737</v>
      </c>
      <c r="O63" s="8">
        <f t="shared" si="7"/>
        <v>3347.4</v>
      </c>
      <c r="P63" s="8">
        <f t="shared" si="8"/>
        <v>3347.4</v>
      </c>
      <c r="Q63" s="10">
        <v>35</v>
      </c>
      <c r="R63" s="10">
        <v>70</v>
      </c>
      <c r="S63" s="10">
        <v>38.94</v>
      </c>
      <c r="T63" s="8">
        <v>4.88</v>
      </c>
      <c r="U63" s="8">
        <v>0.1708</v>
      </c>
      <c r="V63" s="8">
        <f t="shared" si="9"/>
        <v>45545.0297933228</v>
      </c>
      <c r="W63" s="8">
        <f t="shared" si="10"/>
        <v>3347.4</v>
      </c>
      <c r="X63" s="8">
        <f t="shared" si="11"/>
        <v>3347.4</v>
      </c>
      <c r="Y63" s="8">
        <f t="shared" si="12"/>
        <v>4554.50297933228</v>
      </c>
      <c r="Z63" s="8">
        <f t="shared" si="13"/>
        <v>10</v>
      </c>
      <c r="AA63">
        <f t="shared" si="14"/>
        <v>1673.7</v>
      </c>
      <c r="AB63">
        <f t="shared" si="15"/>
        <v>10</v>
      </c>
      <c r="AC63">
        <f t="shared" si="16"/>
        <v>19.8485721167175</v>
      </c>
      <c r="AD63">
        <f t="shared" si="17"/>
        <v>7.6951724137931</v>
      </c>
      <c r="AE63">
        <f t="shared" si="18"/>
        <v>7.6951724137931</v>
      </c>
      <c r="AF63">
        <f t="shared" si="46"/>
        <v>15181.6765977743</v>
      </c>
      <c r="AG63">
        <f t="shared" si="47"/>
        <v>3347.4</v>
      </c>
      <c r="AH63">
        <f t="shared" si="48"/>
        <v>1673.7</v>
      </c>
      <c r="AI63">
        <f t="shared" si="19"/>
        <v>3.33333333333334</v>
      </c>
      <c r="AJ63">
        <f t="shared" si="20"/>
        <v>557.9</v>
      </c>
      <c r="AK63">
        <f t="shared" si="21"/>
        <v>30</v>
      </c>
      <c r="BM63">
        <v>62</v>
      </c>
      <c r="BN63">
        <f t="shared" si="22"/>
        <v>3769</v>
      </c>
      <c r="BO63">
        <f t="shared" si="23"/>
        <v>753.6</v>
      </c>
      <c r="BQ63">
        <f t="shared" si="24"/>
        <v>11.1</v>
      </c>
      <c r="BR63">
        <f t="shared" si="25"/>
        <v>22.2</v>
      </c>
      <c r="BS63">
        <f t="shared" si="26"/>
        <v>10.98</v>
      </c>
      <c r="BT63">
        <v>62</v>
      </c>
      <c r="BU63">
        <f t="shared" si="27"/>
        <v>5890.2</v>
      </c>
      <c r="BV63">
        <f t="shared" si="28"/>
        <v>1178.04</v>
      </c>
      <c r="BX63">
        <f t="shared" si="29"/>
        <v>23.05</v>
      </c>
      <c r="BY63">
        <f t="shared" si="30"/>
        <v>46.2</v>
      </c>
      <c r="BZ63">
        <v>62</v>
      </c>
      <c r="CA63">
        <f t="shared" si="31"/>
        <v>8567.3</v>
      </c>
      <c r="CB63">
        <f t="shared" si="32"/>
        <v>1713.32</v>
      </c>
      <c r="CD63">
        <f t="shared" si="33"/>
        <v>37.013</v>
      </c>
      <c r="CE63">
        <f t="shared" si="34"/>
        <v>74.092</v>
      </c>
      <c r="CF63">
        <f t="shared" si="35"/>
        <v>41.66</v>
      </c>
      <c r="CG63">
        <v>62</v>
      </c>
      <c r="CH63">
        <f t="shared" si="36"/>
        <v>11427</v>
      </c>
      <c r="CI63">
        <f t="shared" si="37"/>
        <v>2284.8</v>
      </c>
      <c r="CK63">
        <f t="shared" si="38"/>
        <v>46.525</v>
      </c>
      <c r="CL63">
        <f t="shared" si="39"/>
        <v>93.1</v>
      </c>
      <c r="CM63">
        <f t="shared" si="40"/>
        <v>60.867</v>
      </c>
      <c r="CN63">
        <v>62</v>
      </c>
      <c r="CO63">
        <f t="shared" si="41"/>
        <v>14341.2</v>
      </c>
      <c r="CP63">
        <f t="shared" si="42"/>
        <v>2869.44</v>
      </c>
      <c r="CR63">
        <f t="shared" si="43"/>
        <v>61.24</v>
      </c>
      <c r="CS63">
        <f t="shared" si="44"/>
        <v>122.48</v>
      </c>
      <c r="CT63">
        <f t="shared" si="45"/>
        <v>80.356</v>
      </c>
    </row>
    <row r="64" spans="1:98">
      <c r="A64">
        <v>63</v>
      </c>
      <c r="B64" s="10">
        <v>8200</v>
      </c>
      <c r="C64" s="10">
        <v>1640</v>
      </c>
      <c r="D64" s="10">
        <v>1640</v>
      </c>
      <c r="E64" s="8">
        <f t="shared" si="0"/>
        <v>6550</v>
      </c>
      <c r="F64" s="8">
        <f t="shared" si="1"/>
        <v>1310</v>
      </c>
      <c r="G64" s="8">
        <f t="shared" si="2"/>
        <v>1310</v>
      </c>
      <c r="H64" s="10"/>
      <c r="I64" s="9">
        <v>1</v>
      </c>
      <c r="J64" s="8">
        <f t="shared" si="3"/>
        <v>2214</v>
      </c>
      <c r="K64" s="8">
        <f t="shared" si="4"/>
        <v>442.8</v>
      </c>
      <c r="L64" s="8">
        <f t="shared" si="5"/>
        <v>442.8</v>
      </c>
      <c r="M64" s="8">
        <v>0.5</v>
      </c>
      <c r="N64" s="8">
        <f t="shared" si="6"/>
        <v>16964</v>
      </c>
      <c r="O64" s="8">
        <f t="shared" si="7"/>
        <v>3392.8</v>
      </c>
      <c r="P64" s="8">
        <f t="shared" si="8"/>
        <v>3392.8</v>
      </c>
      <c r="Q64" s="10">
        <v>35</v>
      </c>
      <c r="R64" s="10">
        <v>70</v>
      </c>
      <c r="S64" s="10">
        <v>39.6</v>
      </c>
      <c r="T64" s="8">
        <v>4.96</v>
      </c>
      <c r="U64" s="8">
        <v>0.1736</v>
      </c>
      <c r="V64" s="8">
        <f t="shared" si="9"/>
        <v>46528.4186297745</v>
      </c>
      <c r="W64" s="8">
        <f t="shared" si="10"/>
        <v>3392.8</v>
      </c>
      <c r="X64" s="8">
        <f t="shared" si="11"/>
        <v>3392.8</v>
      </c>
      <c r="Y64" s="8">
        <f t="shared" si="12"/>
        <v>4652.84186297746</v>
      </c>
      <c r="Z64" s="8">
        <f t="shared" si="13"/>
        <v>9.99999999999998</v>
      </c>
      <c r="AA64">
        <f t="shared" si="14"/>
        <v>1696.4</v>
      </c>
      <c r="AB64">
        <f t="shared" si="15"/>
        <v>10</v>
      </c>
      <c r="AC64">
        <f t="shared" si="16"/>
        <v>20.2771340109057</v>
      </c>
      <c r="AD64">
        <f t="shared" si="17"/>
        <v>7.79954022988506</v>
      </c>
      <c r="AE64">
        <f t="shared" si="18"/>
        <v>7.79954022988506</v>
      </c>
      <c r="AF64">
        <f t="shared" si="46"/>
        <v>15509.4728765915</v>
      </c>
      <c r="AG64">
        <f t="shared" si="47"/>
        <v>3392.8</v>
      </c>
      <c r="AH64">
        <f t="shared" si="48"/>
        <v>1696.4</v>
      </c>
      <c r="AI64">
        <f t="shared" si="19"/>
        <v>3.33333333333333</v>
      </c>
      <c r="AJ64">
        <f t="shared" si="20"/>
        <v>565.466666666667</v>
      </c>
      <c r="AK64">
        <f t="shared" si="21"/>
        <v>30</v>
      </c>
      <c r="BM64">
        <v>63</v>
      </c>
      <c r="BN64">
        <f t="shared" si="22"/>
        <v>3798</v>
      </c>
      <c r="BO64">
        <f t="shared" si="23"/>
        <v>759.4</v>
      </c>
      <c r="BQ64">
        <f t="shared" si="24"/>
        <v>11.2</v>
      </c>
      <c r="BR64">
        <f t="shared" si="25"/>
        <v>22.4</v>
      </c>
      <c r="BS64">
        <f t="shared" si="26"/>
        <v>11.16</v>
      </c>
      <c r="BT64">
        <v>63</v>
      </c>
      <c r="BU64">
        <f t="shared" si="27"/>
        <v>5904.8</v>
      </c>
      <c r="BV64">
        <f t="shared" si="28"/>
        <v>1180.96</v>
      </c>
      <c r="BX64">
        <f t="shared" si="29"/>
        <v>23.1</v>
      </c>
      <c r="BY64">
        <f t="shared" si="30"/>
        <v>46.3</v>
      </c>
      <c r="BZ64">
        <v>63</v>
      </c>
      <c r="CA64">
        <f t="shared" si="31"/>
        <v>8576.6</v>
      </c>
      <c r="CB64">
        <f t="shared" si="32"/>
        <v>1715.18</v>
      </c>
      <c r="CD64">
        <f t="shared" si="33"/>
        <v>37.046</v>
      </c>
      <c r="CE64">
        <f t="shared" si="34"/>
        <v>74.158</v>
      </c>
      <c r="CF64">
        <f t="shared" si="35"/>
        <v>41.72</v>
      </c>
      <c r="CG64">
        <v>63</v>
      </c>
      <c r="CH64">
        <f t="shared" si="36"/>
        <v>11434</v>
      </c>
      <c r="CI64">
        <f t="shared" si="37"/>
        <v>2286.2</v>
      </c>
      <c r="CK64">
        <f t="shared" si="38"/>
        <v>46.55</v>
      </c>
      <c r="CL64">
        <f t="shared" si="39"/>
        <v>93.15</v>
      </c>
      <c r="CM64">
        <f t="shared" si="40"/>
        <v>60.914</v>
      </c>
      <c r="CN64">
        <v>63</v>
      </c>
      <c r="CO64">
        <f t="shared" si="41"/>
        <v>14346.8</v>
      </c>
      <c r="CP64">
        <f t="shared" si="42"/>
        <v>2870.56</v>
      </c>
      <c r="CR64">
        <f t="shared" si="43"/>
        <v>61.26</v>
      </c>
      <c r="CS64">
        <f t="shared" si="44"/>
        <v>122.52</v>
      </c>
      <c r="CT64">
        <f t="shared" si="45"/>
        <v>80.394</v>
      </c>
    </row>
    <row r="65" spans="1:98">
      <c r="A65">
        <v>64</v>
      </c>
      <c r="B65" s="10">
        <v>8300</v>
      </c>
      <c r="C65" s="10">
        <v>1660</v>
      </c>
      <c r="D65" s="10">
        <v>1660</v>
      </c>
      <c r="E65" s="8">
        <f t="shared" si="0"/>
        <v>6650</v>
      </c>
      <c r="F65" s="8">
        <f t="shared" si="1"/>
        <v>1330</v>
      </c>
      <c r="G65" s="8">
        <f t="shared" si="2"/>
        <v>1330</v>
      </c>
      <c r="H65" s="10"/>
      <c r="I65" s="9">
        <v>1</v>
      </c>
      <c r="J65" s="8">
        <f t="shared" si="3"/>
        <v>2241</v>
      </c>
      <c r="K65" s="8">
        <f t="shared" si="4"/>
        <v>448.2</v>
      </c>
      <c r="L65" s="8">
        <f t="shared" si="5"/>
        <v>448.2</v>
      </c>
      <c r="M65" s="8">
        <v>0.5</v>
      </c>
      <c r="N65" s="8">
        <f t="shared" si="6"/>
        <v>17191</v>
      </c>
      <c r="O65" s="8">
        <f t="shared" si="7"/>
        <v>3438.2</v>
      </c>
      <c r="P65" s="8">
        <f t="shared" si="8"/>
        <v>3438.2</v>
      </c>
      <c r="Q65" s="10">
        <v>35</v>
      </c>
      <c r="R65" s="10">
        <v>70</v>
      </c>
      <c r="S65" s="10">
        <v>40.26</v>
      </c>
      <c r="T65" s="8">
        <v>5.04</v>
      </c>
      <c r="U65" s="8">
        <v>0.1764</v>
      </c>
      <c r="V65" s="8">
        <f t="shared" si="9"/>
        <v>47523.1687899328</v>
      </c>
      <c r="W65" s="8">
        <f t="shared" si="10"/>
        <v>3438.2</v>
      </c>
      <c r="X65" s="8">
        <f t="shared" si="11"/>
        <v>3438.2</v>
      </c>
      <c r="Y65" s="8">
        <f t="shared" si="12"/>
        <v>4752.31687899328</v>
      </c>
      <c r="Z65" s="8">
        <f t="shared" si="13"/>
        <v>10</v>
      </c>
      <c r="AA65">
        <f t="shared" si="14"/>
        <v>1719.1</v>
      </c>
      <c r="AB65">
        <f t="shared" si="15"/>
        <v>10</v>
      </c>
      <c r="AC65">
        <f t="shared" si="16"/>
        <v>20.7106471819721</v>
      </c>
      <c r="AD65">
        <f t="shared" si="17"/>
        <v>7.90390804597701</v>
      </c>
      <c r="AE65">
        <f t="shared" si="18"/>
        <v>7.90390804597701</v>
      </c>
      <c r="AF65">
        <f t="shared" si="46"/>
        <v>15841.0562633109</v>
      </c>
      <c r="AG65">
        <f t="shared" si="47"/>
        <v>3438.2</v>
      </c>
      <c r="AH65">
        <f t="shared" si="48"/>
        <v>1719.1</v>
      </c>
      <c r="AI65">
        <f t="shared" si="19"/>
        <v>3.33333333333333</v>
      </c>
      <c r="AJ65">
        <f t="shared" si="20"/>
        <v>573.033333333333</v>
      </c>
      <c r="AK65">
        <f t="shared" si="21"/>
        <v>30</v>
      </c>
      <c r="BM65">
        <v>64</v>
      </c>
      <c r="BN65">
        <f t="shared" si="22"/>
        <v>3827</v>
      </c>
      <c r="BO65">
        <f t="shared" si="23"/>
        <v>765.2</v>
      </c>
      <c r="BQ65">
        <f t="shared" si="24"/>
        <v>11.3</v>
      </c>
      <c r="BR65">
        <f t="shared" si="25"/>
        <v>22.6</v>
      </c>
      <c r="BS65">
        <f t="shared" si="26"/>
        <v>11.34</v>
      </c>
      <c r="BT65">
        <v>64</v>
      </c>
      <c r="BU65">
        <f t="shared" si="27"/>
        <v>5919.4</v>
      </c>
      <c r="BV65">
        <f t="shared" si="28"/>
        <v>1183.88</v>
      </c>
      <c r="BX65">
        <f t="shared" si="29"/>
        <v>23.15</v>
      </c>
      <c r="BY65">
        <f t="shared" si="30"/>
        <v>46.4</v>
      </c>
      <c r="BZ65">
        <v>64</v>
      </c>
      <c r="CA65">
        <f t="shared" si="31"/>
        <v>8585.9</v>
      </c>
      <c r="CB65">
        <f t="shared" si="32"/>
        <v>1717.04</v>
      </c>
      <c r="CD65">
        <f t="shared" si="33"/>
        <v>37.079</v>
      </c>
      <c r="CE65">
        <f t="shared" si="34"/>
        <v>74.224</v>
      </c>
      <c r="CF65">
        <f t="shared" si="35"/>
        <v>41.78</v>
      </c>
      <c r="CG65">
        <v>64</v>
      </c>
      <c r="CH65">
        <f t="shared" si="36"/>
        <v>11441</v>
      </c>
      <c r="CI65">
        <f t="shared" si="37"/>
        <v>2287.6</v>
      </c>
      <c r="CK65">
        <f t="shared" si="38"/>
        <v>46.575</v>
      </c>
      <c r="CL65">
        <f t="shared" si="39"/>
        <v>93.2</v>
      </c>
      <c r="CM65">
        <f t="shared" si="40"/>
        <v>60.961</v>
      </c>
      <c r="CN65">
        <v>64</v>
      </c>
      <c r="CO65">
        <f t="shared" si="41"/>
        <v>14352.4</v>
      </c>
      <c r="CP65">
        <f t="shared" si="42"/>
        <v>2871.68</v>
      </c>
      <c r="CR65">
        <f t="shared" si="43"/>
        <v>61.28</v>
      </c>
      <c r="CS65">
        <f t="shared" si="44"/>
        <v>122.56</v>
      </c>
      <c r="CT65">
        <f t="shared" si="45"/>
        <v>80.432</v>
      </c>
    </row>
    <row r="66" spans="1:98">
      <c r="A66">
        <v>65</v>
      </c>
      <c r="B66" s="10">
        <v>8400</v>
      </c>
      <c r="C66" s="10">
        <v>1680</v>
      </c>
      <c r="D66" s="10">
        <v>1680</v>
      </c>
      <c r="E66" s="8">
        <f t="shared" ref="E66:E129" si="49">(A66*100+250)*I66</f>
        <v>6750</v>
      </c>
      <c r="F66" s="8">
        <f t="shared" ref="F66:F129" si="50">E66/5</f>
        <v>1350</v>
      </c>
      <c r="G66" s="8">
        <f t="shared" ref="G66:G129" si="51">E66/5</f>
        <v>1350</v>
      </c>
      <c r="H66" s="10"/>
      <c r="I66" s="9">
        <v>1</v>
      </c>
      <c r="J66" s="8">
        <f t="shared" ref="J66:J129" si="52">(0.54*B66)*M66</f>
        <v>2268</v>
      </c>
      <c r="K66" s="8">
        <f t="shared" ref="K66:K129" si="53">J66/5</f>
        <v>453.6</v>
      </c>
      <c r="L66" s="8">
        <f t="shared" ref="L66:L129" si="54">J66/5</f>
        <v>453.6</v>
      </c>
      <c r="M66" s="8">
        <v>0.5</v>
      </c>
      <c r="N66" s="8">
        <f t="shared" ref="N66:N129" si="55">B66+E66+J66</f>
        <v>17418</v>
      </c>
      <c r="O66" s="8">
        <f t="shared" ref="O66:O129" si="56">C66+F66+K66</f>
        <v>3483.6</v>
      </c>
      <c r="P66" s="8">
        <f t="shared" ref="P66:P129" si="57">D66+G66+L66</f>
        <v>3483.6</v>
      </c>
      <c r="Q66" s="10">
        <v>35</v>
      </c>
      <c r="R66" s="10">
        <v>70</v>
      </c>
      <c r="S66" s="10">
        <v>40.92</v>
      </c>
      <c r="T66" s="8">
        <v>5.12</v>
      </c>
      <c r="U66" s="8">
        <v>0.1792</v>
      </c>
      <c r="V66" s="8">
        <f t="shared" ref="V66:V129" si="58">N66*(1+U66)*(1+S66*0.01)*(1+T66*0.01)*(1+Q66*0.01*(1+R66*0.01))</f>
        <v>48529.3451297433</v>
      </c>
      <c r="W66" s="8">
        <f t="shared" ref="W66:W129" si="59">O66</f>
        <v>3483.6</v>
      </c>
      <c r="X66" s="8">
        <f t="shared" ref="X66:X129" si="60">P66</f>
        <v>3483.6</v>
      </c>
      <c r="Y66" s="8">
        <f t="shared" ref="Y66:Y129" si="61">(P66*P66/(P66+W66))*(1+U66)*(1+S66*0.01)*(1+T66*0.01)*(1+Q66*0.01*(1+R66*0.01))</f>
        <v>4852.93451297433</v>
      </c>
      <c r="Z66" s="8">
        <f t="shared" ref="Z66:Z129" si="62">V66/Y66</f>
        <v>10</v>
      </c>
      <c r="AA66">
        <f t="shared" ref="AA66:AA129" si="63">X66*X66/(X66+O66)</f>
        <v>1741.8</v>
      </c>
      <c r="AB66">
        <f t="shared" ref="AB66:AB129" si="64">N66/AA66</f>
        <v>10</v>
      </c>
      <c r="AC66">
        <f t="shared" ref="AC66:AC129" si="65">V66/$V$2</f>
        <v>21.1491398942064</v>
      </c>
      <c r="AD66">
        <f t="shared" ref="AD66:AD129" si="66">W66/$W$2</f>
        <v>8.00827586206897</v>
      </c>
      <c r="AE66">
        <f t="shared" ref="AE66:AE129" si="67">X66/$X$2</f>
        <v>8.00827586206897</v>
      </c>
      <c r="AF66">
        <f t="shared" si="46"/>
        <v>16176.4483765811</v>
      </c>
      <c r="AG66">
        <f t="shared" si="47"/>
        <v>3483.6</v>
      </c>
      <c r="AH66">
        <f t="shared" si="48"/>
        <v>1741.8</v>
      </c>
      <c r="AI66">
        <f t="shared" ref="AI66:AI129" si="68">AF66/Y66</f>
        <v>3.33333333333333</v>
      </c>
      <c r="AJ66">
        <f t="shared" ref="AJ66:AJ129" si="69">AH66*AH66/(AH66+O66)</f>
        <v>580.6</v>
      </c>
      <c r="AK66">
        <f t="shared" ref="AK66:AK129" si="70">N66/AJ66</f>
        <v>30</v>
      </c>
      <c r="BM66">
        <v>65</v>
      </c>
      <c r="BN66">
        <f t="shared" ref="BN66:BN101" si="71">29*BM66+1971</f>
        <v>3856</v>
      </c>
      <c r="BO66">
        <f t="shared" ref="BO66:BO101" si="72">5.8*BM66+394</f>
        <v>771</v>
      </c>
      <c r="BQ66">
        <f t="shared" ref="BQ66:BQ101" si="73">0.1*BM66+4.9</f>
        <v>11.4</v>
      </c>
      <c r="BR66">
        <f t="shared" ref="BR66:BR101" si="74">0.2*BM66+9.8</f>
        <v>22.8</v>
      </c>
      <c r="BS66">
        <f t="shared" ref="BS66:BS101" si="75">0.18*BM66-0.18</f>
        <v>11.52</v>
      </c>
      <c r="BT66">
        <v>65</v>
      </c>
      <c r="BU66">
        <f t="shared" ref="BU66:BU129" si="76">14.6*BT66+4985</f>
        <v>5934</v>
      </c>
      <c r="BV66">
        <f t="shared" ref="BV66:BV129" si="77">2.92*BT66+997</f>
        <v>1186.8</v>
      </c>
      <c r="BX66">
        <f t="shared" ref="BX66:BX129" si="78">0.05*BT66+19.95</f>
        <v>23.2</v>
      </c>
      <c r="BY66">
        <f t="shared" ref="BY66:BY129" si="79">0.1*BT66+40</f>
        <v>46.5</v>
      </c>
      <c r="BZ66">
        <v>65</v>
      </c>
      <c r="CA66">
        <f t="shared" ref="CA66:CA129" si="80">9.3*BZ66+7990.7</f>
        <v>8595.2</v>
      </c>
      <c r="CB66">
        <f t="shared" ref="CB66:CB129" si="81">1.86*BZ66+1598</f>
        <v>1718.9</v>
      </c>
      <c r="CD66">
        <f t="shared" ref="CD66:CD129" si="82">0.033*BZ66+34.967</f>
        <v>37.112</v>
      </c>
      <c r="CE66">
        <f t="shared" ref="CE66:CE129" si="83">0.066*BZ66+70</f>
        <v>74.29</v>
      </c>
      <c r="CF66">
        <f t="shared" ref="CF66:CF129" si="84">0.06*BZ66+37.94</f>
        <v>41.84</v>
      </c>
      <c r="CG66">
        <v>65</v>
      </c>
      <c r="CH66">
        <f t="shared" ref="CH66:CH129" si="85">7*CG66+10993</f>
        <v>11448</v>
      </c>
      <c r="CI66">
        <f t="shared" ref="CI66:CI129" si="86">1.4*CG66+2198</f>
        <v>2289</v>
      </c>
      <c r="CK66">
        <f t="shared" ref="CK66:CK129" si="87">0.025*CG66+44.975</f>
        <v>46.6</v>
      </c>
      <c r="CL66">
        <f t="shared" ref="CL66:CL129" si="88">0.05*CG66+90</f>
        <v>93.25</v>
      </c>
      <c r="CM66">
        <f t="shared" ref="CM66:CM129" si="89">0.047*CG66+57.953</f>
        <v>61.008</v>
      </c>
      <c r="CN66">
        <v>65</v>
      </c>
      <c r="CO66">
        <f t="shared" ref="CO66:CO129" si="90">5.6*CN66+13994</f>
        <v>14358</v>
      </c>
      <c r="CP66">
        <f t="shared" ref="CP66:CP129" si="91">1.12*CN66+2800</f>
        <v>2872.8</v>
      </c>
      <c r="CR66">
        <f t="shared" ref="CR66:CR129" si="92">0.02*CN66+60</f>
        <v>61.3</v>
      </c>
      <c r="CS66">
        <f t="shared" ref="CS66:CS129" si="93">0.04*CN66+120</f>
        <v>122.6</v>
      </c>
      <c r="CT66">
        <f t="shared" ref="CT66:CT129" si="94">0.038*CN66+78</f>
        <v>80.47</v>
      </c>
    </row>
    <row r="67" spans="1:98">
      <c r="A67">
        <v>66</v>
      </c>
      <c r="B67" s="10">
        <v>8500</v>
      </c>
      <c r="C67" s="10">
        <v>1700</v>
      </c>
      <c r="D67" s="10">
        <v>1700</v>
      </c>
      <c r="E67" s="8">
        <f t="shared" si="49"/>
        <v>6850</v>
      </c>
      <c r="F67" s="8">
        <f t="shared" si="50"/>
        <v>1370</v>
      </c>
      <c r="G67" s="8">
        <f t="shared" si="51"/>
        <v>1370</v>
      </c>
      <c r="H67" s="10"/>
      <c r="I67" s="9">
        <v>1</v>
      </c>
      <c r="J67" s="8">
        <f t="shared" si="52"/>
        <v>2295</v>
      </c>
      <c r="K67" s="8">
        <f t="shared" si="53"/>
        <v>459</v>
      </c>
      <c r="L67" s="8">
        <f t="shared" si="54"/>
        <v>459</v>
      </c>
      <c r="M67" s="8">
        <v>0.5</v>
      </c>
      <c r="N67" s="8">
        <f t="shared" si="55"/>
        <v>17645</v>
      </c>
      <c r="O67" s="8">
        <f t="shared" si="56"/>
        <v>3529</v>
      </c>
      <c r="P67" s="8">
        <f t="shared" si="57"/>
        <v>3529</v>
      </c>
      <c r="Q67" s="10">
        <v>35</v>
      </c>
      <c r="R67" s="10">
        <v>70</v>
      </c>
      <c r="S67" s="10">
        <v>41.58</v>
      </c>
      <c r="T67" s="8">
        <v>5.2</v>
      </c>
      <c r="U67" s="8">
        <v>0.182</v>
      </c>
      <c r="V67" s="8">
        <f t="shared" si="58"/>
        <v>49547.0126336183</v>
      </c>
      <c r="W67" s="8">
        <f t="shared" si="59"/>
        <v>3529</v>
      </c>
      <c r="X67" s="8">
        <f t="shared" si="60"/>
        <v>3529</v>
      </c>
      <c r="Y67" s="8">
        <f t="shared" si="61"/>
        <v>4954.70126336183</v>
      </c>
      <c r="Z67" s="8">
        <f t="shared" si="62"/>
        <v>10</v>
      </c>
      <c r="AA67">
        <f t="shared" si="63"/>
        <v>1764.5</v>
      </c>
      <c r="AB67">
        <f t="shared" si="64"/>
        <v>10</v>
      </c>
      <c r="AC67">
        <f t="shared" si="65"/>
        <v>21.592640467884</v>
      </c>
      <c r="AD67">
        <f t="shared" si="66"/>
        <v>8.11264367816092</v>
      </c>
      <c r="AE67">
        <f t="shared" si="67"/>
        <v>8.11264367816092</v>
      </c>
      <c r="AF67">
        <f t="shared" ref="AF67:AF130" si="95">V67/3</f>
        <v>16515.6708778728</v>
      </c>
      <c r="AG67">
        <f t="shared" ref="AG67:AG130" si="96">W67</f>
        <v>3529</v>
      </c>
      <c r="AH67">
        <f t="shared" ref="AH67:AH130" si="97">X67*0.5</f>
        <v>1764.5</v>
      </c>
      <c r="AI67">
        <f t="shared" si="68"/>
        <v>3.33333333333334</v>
      </c>
      <c r="AJ67">
        <f t="shared" si="69"/>
        <v>588.166666666667</v>
      </c>
      <c r="AK67">
        <f t="shared" si="70"/>
        <v>30</v>
      </c>
      <c r="BM67">
        <v>66</v>
      </c>
      <c r="BN67">
        <f t="shared" si="71"/>
        <v>3885</v>
      </c>
      <c r="BO67">
        <f t="shared" si="72"/>
        <v>776.8</v>
      </c>
      <c r="BQ67">
        <f t="shared" si="73"/>
        <v>11.5</v>
      </c>
      <c r="BR67">
        <f t="shared" si="74"/>
        <v>23</v>
      </c>
      <c r="BS67">
        <f t="shared" si="75"/>
        <v>11.7</v>
      </c>
      <c r="BT67">
        <v>66</v>
      </c>
      <c r="BU67">
        <f t="shared" si="76"/>
        <v>5948.6</v>
      </c>
      <c r="BV67">
        <f t="shared" si="77"/>
        <v>1189.72</v>
      </c>
      <c r="BX67">
        <f t="shared" si="78"/>
        <v>23.25</v>
      </c>
      <c r="BY67">
        <f t="shared" si="79"/>
        <v>46.6</v>
      </c>
      <c r="BZ67">
        <v>66</v>
      </c>
      <c r="CA67">
        <f t="shared" si="80"/>
        <v>8604.5</v>
      </c>
      <c r="CB67">
        <f t="shared" si="81"/>
        <v>1720.76</v>
      </c>
      <c r="CD67">
        <f t="shared" si="82"/>
        <v>37.145</v>
      </c>
      <c r="CE67">
        <f t="shared" si="83"/>
        <v>74.356</v>
      </c>
      <c r="CF67">
        <f t="shared" si="84"/>
        <v>41.9</v>
      </c>
      <c r="CG67">
        <v>66</v>
      </c>
      <c r="CH67">
        <f t="shared" si="85"/>
        <v>11455</v>
      </c>
      <c r="CI67">
        <f t="shared" si="86"/>
        <v>2290.4</v>
      </c>
      <c r="CK67">
        <f t="shared" si="87"/>
        <v>46.625</v>
      </c>
      <c r="CL67">
        <f t="shared" si="88"/>
        <v>93.3</v>
      </c>
      <c r="CM67">
        <f t="shared" si="89"/>
        <v>61.055</v>
      </c>
      <c r="CN67">
        <v>66</v>
      </c>
      <c r="CO67">
        <f t="shared" si="90"/>
        <v>14363.6</v>
      </c>
      <c r="CP67">
        <f t="shared" si="91"/>
        <v>2873.92</v>
      </c>
      <c r="CR67">
        <f t="shared" si="92"/>
        <v>61.32</v>
      </c>
      <c r="CS67">
        <f t="shared" si="93"/>
        <v>122.64</v>
      </c>
      <c r="CT67">
        <f t="shared" si="94"/>
        <v>80.508</v>
      </c>
    </row>
    <row r="68" spans="1:98">
      <c r="A68">
        <v>67</v>
      </c>
      <c r="B68" s="10">
        <v>8600</v>
      </c>
      <c r="C68" s="10">
        <v>1720</v>
      </c>
      <c r="D68" s="10">
        <v>1720</v>
      </c>
      <c r="E68" s="8">
        <f t="shared" si="49"/>
        <v>6950</v>
      </c>
      <c r="F68" s="8">
        <f t="shared" si="50"/>
        <v>1390</v>
      </c>
      <c r="G68" s="8">
        <f t="shared" si="51"/>
        <v>1390</v>
      </c>
      <c r="H68" s="10"/>
      <c r="I68" s="9">
        <v>1</v>
      </c>
      <c r="J68" s="8">
        <f t="shared" si="52"/>
        <v>2322</v>
      </c>
      <c r="K68" s="8">
        <f t="shared" si="53"/>
        <v>464.4</v>
      </c>
      <c r="L68" s="8">
        <f t="shared" si="54"/>
        <v>464.4</v>
      </c>
      <c r="M68" s="8">
        <v>0.5</v>
      </c>
      <c r="N68" s="8">
        <f t="shared" si="55"/>
        <v>17872</v>
      </c>
      <c r="O68" s="8">
        <f t="shared" si="56"/>
        <v>3574.4</v>
      </c>
      <c r="P68" s="8">
        <f t="shared" si="57"/>
        <v>3574.4</v>
      </c>
      <c r="Q68" s="10">
        <v>35</v>
      </c>
      <c r="R68" s="10">
        <v>70</v>
      </c>
      <c r="S68" s="10">
        <v>42.24</v>
      </c>
      <c r="T68" s="8">
        <v>5.28</v>
      </c>
      <c r="U68" s="8">
        <v>0.1848</v>
      </c>
      <c r="V68" s="8">
        <f t="shared" si="58"/>
        <v>50576.2364144363</v>
      </c>
      <c r="W68" s="8">
        <f t="shared" si="59"/>
        <v>3574.4</v>
      </c>
      <c r="X68" s="8">
        <f t="shared" si="60"/>
        <v>3574.4</v>
      </c>
      <c r="Y68" s="8">
        <f t="shared" si="61"/>
        <v>5057.62364144363</v>
      </c>
      <c r="Z68" s="8">
        <f t="shared" si="62"/>
        <v>10</v>
      </c>
      <c r="AA68">
        <f t="shared" si="63"/>
        <v>1787.2</v>
      </c>
      <c r="AB68">
        <f t="shared" si="64"/>
        <v>10</v>
      </c>
      <c r="AC68">
        <f t="shared" si="65"/>
        <v>22.0411772792662</v>
      </c>
      <c r="AD68">
        <f t="shared" si="66"/>
        <v>8.21701149425288</v>
      </c>
      <c r="AE68">
        <f t="shared" si="67"/>
        <v>8.21701149425288</v>
      </c>
      <c r="AF68">
        <f t="shared" si="95"/>
        <v>16858.7454714788</v>
      </c>
      <c r="AG68">
        <f t="shared" si="96"/>
        <v>3574.4</v>
      </c>
      <c r="AH68">
        <f t="shared" si="97"/>
        <v>1787.2</v>
      </c>
      <c r="AI68">
        <f t="shared" si="68"/>
        <v>3.33333333333334</v>
      </c>
      <c r="AJ68">
        <f t="shared" si="69"/>
        <v>595.733333333333</v>
      </c>
      <c r="AK68">
        <f t="shared" si="70"/>
        <v>30</v>
      </c>
      <c r="BM68">
        <v>67</v>
      </c>
      <c r="BN68">
        <f t="shared" si="71"/>
        <v>3914</v>
      </c>
      <c r="BO68">
        <f t="shared" si="72"/>
        <v>782.6</v>
      </c>
      <c r="BQ68">
        <f t="shared" si="73"/>
        <v>11.6</v>
      </c>
      <c r="BR68">
        <f t="shared" si="74"/>
        <v>23.2</v>
      </c>
      <c r="BS68">
        <f t="shared" si="75"/>
        <v>11.88</v>
      </c>
      <c r="BT68">
        <v>67</v>
      </c>
      <c r="BU68">
        <f t="shared" si="76"/>
        <v>5963.2</v>
      </c>
      <c r="BV68">
        <f t="shared" si="77"/>
        <v>1192.64</v>
      </c>
      <c r="BX68">
        <f t="shared" si="78"/>
        <v>23.3</v>
      </c>
      <c r="BY68">
        <f t="shared" si="79"/>
        <v>46.7</v>
      </c>
      <c r="BZ68">
        <v>67</v>
      </c>
      <c r="CA68">
        <f t="shared" si="80"/>
        <v>8613.8</v>
      </c>
      <c r="CB68">
        <f t="shared" si="81"/>
        <v>1722.62</v>
      </c>
      <c r="CD68">
        <f t="shared" si="82"/>
        <v>37.178</v>
      </c>
      <c r="CE68">
        <f t="shared" si="83"/>
        <v>74.422</v>
      </c>
      <c r="CF68">
        <f t="shared" si="84"/>
        <v>41.96</v>
      </c>
      <c r="CG68">
        <v>67</v>
      </c>
      <c r="CH68">
        <f t="shared" si="85"/>
        <v>11462</v>
      </c>
      <c r="CI68">
        <f t="shared" si="86"/>
        <v>2291.8</v>
      </c>
      <c r="CK68">
        <f t="shared" si="87"/>
        <v>46.65</v>
      </c>
      <c r="CL68">
        <f t="shared" si="88"/>
        <v>93.35</v>
      </c>
      <c r="CM68">
        <f t="shared" si="89"/>
        <v>61.102</v>
      </c>
      <c r="CN68">
        <v>67</v>
      </c>
      <c r="CO68">
        <f t="shared" si="90"/>
        <v>14369.2</v>
      </c>
      <c r="CP68">
        <f t="shared" si="91"/>
        <v>2875.04</v>
      </c>
      <c r="CR68">
        <f t="shared" si="92"/>
        <v>61.34</v>
      </c>
      <c r="CS68">
        <f t="shared" si="93"/>
        <v>122.68</v>
      </c>
      <c r="CT68">
        <f t="shared" si="94"/>
        <v>80.546</v>
      </c>
    </row>
    <row r="69" spans="1:98">
      <c r="A69">
        <v>68</v>
      </c>
      <c r="B69" s="10">
        <v>8700</v>
      </c>
      <c r="C69" s="10">
        <v>1740</v>
      </c>
      <c r="D69" s="10">
        <v>1740</v>
      </c>
      <c r="E69" s="8">
        <f t="shared" si="49"/>
        <v>7050</v>
      </c>
      <c r="F69" s="8">
        <f t="shared" si="50"/>
        <v>1410</v>
      </c>
      <c r="G69" s="8">
        <f t="shared" si="51"/>
        <v>1410</v>
      </c>
      <c r="H69" s="10"/>
      <c r="I69" s="9">
        <v>1</v>
      </c>
      <c r="J69" s="8">
        <f t="shared" si="52"/>
        <v>2349</v>
      </c>
      <c r="K69" s="8">
        <f t="shared" si="53"/>
        <v>469.8</v>
      </c>
      <c r="L69" s="8">
        <f t="shared" si="54"/>
        <v>469.8</v>
      </c>
      <c r="M69" s="8">
        <v>0.5</v>
      </c>
      <c r="N69" s="8">
        <f t="shared" si="55"/>
        <v>18099</v>
      </c>
      <c r="O69" s="8">
        <f t="shared" si="56"/>
        <v>3619.8</v>
      </c>
      <c r="P69" s="8">
        <f t="shared" si="57"/>
        <v>3619.8</v>
      </c>
      <c r="Q69" s="10">
        <v>35</v>
      </c>
      <c r="R69" s="10">
        <v>70</v>
      </c>
      <c r="S69" s="10">
        <v>42.9</v>
      </c>
      <c r="T69" s="8">
        <v>5.36</v>
      </c>
      <c r="U69" s="8">
        <v>0.1876</v>
      </c>
      <c r="V69" s="8">
        <f t="shared" si="58"/>
        <v>51617.0817135425</v>
      </c>
      <c r="W69" s="8">
        <f t="shared" si="59"/>
        <v>3619.8</v>
      </c>
      <c r="X69" s="8">
        <f t="shared" si="60"/>
        <v>3619.8</v>
      </c>
      <c r="Y69" s="8">
        <f t="shared" si="61"/>
        <v>5161.70817135425</v>
      </c>
      <c r="Z69" s="8">
        <f t="shared" si="62"/>
        <v>10</v>
      </c>
      <c r="AA69">
        <f t="shared" si="63"/>
        <v>1809.9</v>
      </c>
      <c r="AB69">
        <f t="shared" si="64"/>
        <v>10</v>
      </c>
      <c r="AC69">
        <f t="shared" si="65"/>
        <v>22.4947787606003</v>
      </c>
      <c r="AD69">
        <f t="shared" si="66"/>
        <v>8.32137931034483</v>
      </c>
      <c r="AE69">
        <f t="shared" si="67"/>
        <v>8.32137931034483</v>
      </c>
      <c r="AF69">
        <f t="shared" si="95"/>
        <v>17205.6939045142</v>
      </c>
      <c r="AG69">
        <f t="shared" si="96"/>
        <v>3619.8</v>
      </c>
      <c r="AH69">
        <f t="shared" si="97"/>
        <v>1809.9</v>
      </c>
      <c r="AI69">
        <f t="shared" si="68"/>
        <v>3.33333333333334</v>
      </c>
      <c r="AJ69">
        <f t="shared" si="69"/>
        <v>603.3</v>
      </c>
      <c r="AK69">
        <f t="shared" si="70"/>
        <v>30</v>
      </c>
      <c r="BM69">
        <v>68</v>
      </c>
      <c r="BN69">
        <f t="shared" si="71"/>
        <v>3943</v>
      </c>
      <c r="BO69">
        <f t="shared" si="72"/>
        <v>788.4</v>
      </c>
      <c r="BQ69">
        <f t="shared" si="73"/>
        <v>11.7</v>
      </c>
      <c r="BR69">
        <f t="shared" si="74"/>
        <v>23.4</v>
      </c>
      <c r="BS69">
        <f t="shared" si="75"/>
        <v>12.06</v>
      </c>
      <c r="BT69">
        <v>68</v>
      </c>
      <c r="BU69">
        <f t="shared" si="76"/>
        <v>5977.8</v>
      </c>
      <c r="BV69">
        <f t="shared" si="77"/>
        <v>1195.56</v>
      </c>
      <c r="BX69">
        <f t="shared" si="78"/>
        <v>23.35</v>
      </c>
      <c r="BY69">
        <f t="shared" si="79"/>
        <v>46.8</v>
      </c>
      <c r="BZ69">
        <v>68</v>
      </c>
      <c r="CA69">
        <f t="shared" si="80"/>
        <v>8623.1</v>
      </c>
      <c r="CB69">
        <f t="shared" si="81"/>
        <v>1724.48</v>
      </c>
      <c r="CD69">
        <f t="shared" si="82"/>
        <v>37.211</v>
      </c>
      <c r="CE69">
        <f t="shared" si="83"/>
        <v>74.488</v>
      </c>
      <c r="CF69">
        <f t="shared" si="84"/>
        <v>42.02</v>
      </c>
      <c r="CG69">
        <v>68</v>
      </c>
      <c r="CH69">
        <f t="shared" si="85"/>
        <v>11469</v>
      </c>
      <c r="CI69">
        <f t="shared" si="86"/>
        <v>2293.2</v>
      </c>
      <c r="CK69">
        <f t="shared" si="87"/>
        <v>46.675</v>
      </c>
      <c r="CL69">
        <f t="shared" si="88"/>
        <v>93.4</v>
      </c>
      <c r="CM69">
        <f t="shared" si="89"/>
        <v>61.149</v>
      </c>
      <c r="CN69">
        <v>68</v>
      </c>
      <c r="CO69">
        <f t="shared" si="90"/>
        <v>14374.8</v>
      </c>
      <c r="CP69">
        <f t="shared" si="91"/>
        <v>2876.16</v>
      </c>
      <c r="CR69">
        <f t="shared" si="92"/>
        <v>61.36</v>
      </c>
      <c r="CS69">
        <f t="shared" si="93"/>
        <v>122.72</v>
      </c>
      <c r="CT69">
        <f t="shared" si="94"/>
        <v>80.584</v>
      </c>
    </row>
    <row r="70" spans="1:98">
      <c r="A70">
        <v>69</v>
      </c>
      <c r="B70" s="10">
        <v>8800</v>
      </c>
      <c r="C70" s="10">
        <v>1760</v>
      </c>
      <c r="D70" s="10">
        <v>1760</v>
      </c>
      <c r="E70" s="8">
        <f t="shared" si="49"/>
        <v>7150</v>
      </c>
      <c r="F70" s="8">
        <f t="shared" si="50"/>
        <v>1430</v>
      </c>
      <c r="G70" s="8">
        <f t="shared" si="51"/>
        <v>1430</v>
      </c>
      <c r="H70" s="10"/>
      <c r="I70" s="9">
        <v>1</v>
      </c>
      <c r="J70" s="8">
        <f t="shared" si="52"/>
        <v>2376</v>
      </c>
      <c r="K70" s="8">
        <f t="shared" si="53"/>
        <v>475.2</v>
      </c>
      <c r="L70" s="8">
        <f t="shared" si="54"/>
        <v>475.2</v>
      </c>
      <c r="M70" s="8">
        <v>0.5</v>
      </c>
      <c r="N70" s="8">
        <f t="shared" si="55"/>
        <v>18326</v>
      </c>
      <c r="O70" s="8">
        <f t="shared" si="56"/>
        <v>3665.2</v>
      </c>
      <c r="P70" s="8">
        <f t="shared" si="57"/>
        <v>3665.2</v>
      </c>
      <c r="Q70" s="10">
        <v>35</v>
      </c>
      <c r="R70" s="10">
        <v>70</v>
      </c>
      <c r="S70" s="10">
        <v>43.56</v>
      </c>
      <c r="T70" s="8">
        <v>5.44</v>
      </c>
      <c r="U70" s="8">
        <v>0.1904</v>
      </c>
      <c r="V70" s="8">
        <f t="shared" si="58"/>
        <v>52669.6139007485</v>
      </c>
      <c r="W70" s="8">
        <f t="shared" si="59"/>
        <v>3665.2</v>
      </c>
      <c r="X70" s="8">
        <f t="shared" si="60"/>
        <v>3665.2</v>
      </c>
      <c r="Y70" s="8">
        <f t="shared" si="61"/>
        <v>5266.96139007485</v>
      </c>
      <c r="Z70" s="8">
        <f t="shared" si="62"/>
        <v>10</v>
      </c>
      <c r="AA70">
        <f t="shared" si="63"/>
        <v>1832.6</v>
      </c>
      <c r="AB70">
        <f t="shared" si="64"/>
        <v>10</v>
      </c>
      <c r="AC70">
        <f t="shared" si="65"/>
        <v>22.9534734001192</v>
      </c>
      <c r="AD70">
        <f t="shared" si="66"/>
        <v>8.42574712643678</v>
      </c>
      <c r="AE70">
        <f t="shared" si="67"/>
        <v>8.42574712643678</v>
      </c>
      <c r="AF70">
        <f t="shared" si="95"/>
        <v>17556.5379669162</v>
      </c>
      <c r="AG70">
        <f t="shared" si="96"/>
        <v>3665.2</v>
      </c>
      <c r="AH70">
        <f t="shared" si="97"/>
        <v>1832.6</v>
      </c>
      <c r="AI70">
        <f t="shared" si="68"/>
        <v>3.33333333333334</v>
      </c>
      <c r="AJ70">
        <f t="shared" si="69"/>
        <v>610.866666666667</v>
      </c>
      <c r="AK70">
        <f t="shared" si="70"/>
        <v>30</v>
      </c>
      <c r="BM70">
        <v>69</v>
      </c>
      <c r="BN70">
        <f t="shared" si="71"/>
        <v>3972</v>
      </c>
      <c r="BO70">
        <f t="shared" si="72"/>
        <v>794.2</v>
      </c>
      <c r="BQ70">
        <f t="shared" si="73"/>
        <v>11.8</v>
      </c>
      <c r="BR70">
        <f t="shared" si="74"/>
        <v>23.6</v>
      </c>
      <c r="BS70">
        <f t="shared" si="75"/>
        <v>12.24</v>
      </c>
      <c r="BT70">
        <v>69</v>
      </c>
      <c r="BU70">
        <f t="shared" si="76"/>
        <v>5992.4</v>
      </c>
      <c r="BV70">
        <f t="shared" si="77"/>
        <v>1198.48</v>
      </c>
      <c r="BX70">
        <f t="shared" si="78"/>
        <v>23.4</v>
      </c>
      <c r="BY70">
        <f t="shared" si="79"/>
        <v>46.9</v>
      </c>
      <c r="BZ70">
        <v>69</v>
      </c>
      <c r="CA70">
        <f t="shared" si="80"/>
        <v>8632.4</v>
      </c>
      <c r="CB70">
        <f t="shared" si="81"/>
        <v>1726.34</v>
      </c>
      <c r="CD70">
        <f t="shared" si="82"/>
        <v>37.244</v>
      </c>
      <c r="CE70">
        <f t="shared" si="83"/>
        <v>74.554</v>
      </c>
      <c r="CF70">
        <f t="shared" si="84"/>
        <v>42.08</v>
      </c>
      <c r="CG70">
        <v>69</v>
      </c>
      <c r="CH70">
        <f t="shared" si="85"/>
        <v>11476</v>
      </c>
      <c r="CI70">
        <f t="shared" si="86"/>
        <v>2294.6</v>
      </c>
      <c r="CK70">
        <f t="shared" si="87"/>
        <v>46.7</v>
      </c>
      <c r="CL70">
        <f t="shared" si="88"/>
        <v>93.45</v>
      </c>
      <c r="CM70">
        <f t="shared" si="89"/>
        <v>61.196</v>
      </c>
      <c r="CN70">
        <v>69</v>
      </c>
      <c r="CO70">
        <f t="shared" si="90"/>
        <v>14380.4</v>
      </c>
      <c r="CP70">
        <f t="shared" si="91"/>
        <v>2877.28</v>
      </c>
      <c r="CR70">
        <f t="shared" si="92"/>
        <v>61.38</v>
      </c>
      <c r="CS70">
        <f t="shared" si="93"/>
        <v>122.76</v>
      </c>
      <c r="CT70">
        <f t="shared" si="94"/>
        <v>80.622</v>
      </c>
    </row>
    <row r="71" s="1" customFormat="1" spans="1:98">
      <c r="A71" s="1">
        <v>70</v>
      </c>
      <c r="B71" s="1">
        <v>8900</v>
      </c>
      <c r="C71" s="1">
        <v>1780</v>
      </c>
      <c r="D71" s="1">
        <v>1780</v>
      </c>
      <c r="E71" s="1">
        <f t="shared" si="49"/>
        <v>7250</v>
      </c>
      <c r="F71" s="1">
        <f t="shared" si="50"/>
        <v>1450</v>
      </c>
      <c r="G71" s="1">
        <f t="shared" si="51"/>
        <v>1450</v>
      </c>
      <c r="I71" s="1">
        <v>1</v>
      </c>
      <c r="J71" s="1">
        <f t="shared" si="52"/>
        <v>2403</v>
      </c>
      <c r="K71" s="1">
        <f t="shared" si="53"/>
        <v>480.6</v>
      </c>
      <c r="L71" s="1">
        <f t="shared" si="54"/>
        <v>480.6</v>
      </c>
      <c r="M71" s="8">
        <v>0.5</v>
      </c>
      <c r="N71" s="1">
        <f t="shared" si="55"/>
        <v>18553</v>
      </c>
      <c r="O71" s="1">
        <f t="shared" si="56"/>
        <v>3710.6</v>
      </c>
      <c r="P71" s="1">
        <f t="shared" si="57"/>
        <v>3710.6</v>
      </c>
      <c r="Q71" s="1">
        <v>35</v>
      </c>
      <c r="R71" s="1">
        <v>70</v>
      </c>
      <c r="S71" s="1">
        <v>44.22</v>
      </c>
      <c r="T71" s="1">
        <v>5.52</v>
      </c>
      <c r="U71" s="1">
        <v>0.1932</v>
      </c>
      <c r="V71" s="1">
        <f t="shared" si="58"/>
        <v>53733.8984743322</v>
      </c>
      <c r="W71" s="1">
        <f t="shared" si="59"/>
        <v>3710.6</v>
      </c>
      <c r="X71" s="1">
        <f t="shared" si="60"/>
        <v>3710.6</v>
      </c>
      <c r="Y71" s="1">
        <f t="shared" si="61"/>
        <v>5373.38984743322</v>
      </c>
      <c r="Z71" s="1">
        <f t="shared" si="62"/>
        <v>10</v>
      </c>
      <c r="AA71" s="1">
        <f t="shared" si="63"/>
        <v>1855.3</v>
      </c>
      <c r="AB71" s="1">
        <f t="shared" si="64"/>
        <v>10</v>
      </c>
      <c r="AC71">
        <f t="shared" si="65"/>
        <v>23.4172897420416</v>
      </c>
      <c r="AD71">
        <f t="shared" si="66"/>
        <v>8.53011494252874</v>
      </c>
      <c r="AE71">
        <f t="shared" si="67"/>
        <v>8.53011494252874</v>
      </c>
      <c r="AF71" s="1">
        <f t="shared" si="95"/>
        <v>17911.2994914441</v>
      </c>
      <c r="AG71" s="1">
        <f t="shared" si="96"/>
        <v>3710.6</v>
      </c>
      <c r="AH71" s="1">
        <f t="shared" si="97"/>
        <v>1855.3</v>
      </c>
      <c r="AI71" s="1">
        <f t="shared" si="68"/>
        <v>3.33333333333334</v>
      </c>
      <c r="AJ71" s="1">
        <f t="shared" si="69"/>
        <v>618.433333333333</v>
      </c>
      <c r="AK71" s="1">
        <f t="shared" si="70"/>
        <v>30</v>
      </c>
      <c r="AX71" s="3"/>
      <c r="AY71" s="3"/>
      <c r="AZ71" s="3"/>
      <c r="BA71" s="3"/>
      <c r="BB71" s="3"/>
      <c r="BC71" s="3"/>
      <c r="BD71" s="4"/>
      <c r="BE71" s="4"/>
      <c r="BF71" s="4"/>
      <c r="BG71" s="4"/>
      <c r="BH71" s="4"/>
      <c r="BI71" s="4"/>
      <c r="BJ71" s="3"/>
      <c r="BK71" s="3"/>
      <c r="BM71" s="1">
        <v>70</v>
      </c>
      <c r="BN71" s="1">
        <f t="shared" si="71"/>
        <v>4001</v>
      </c>
      <c r="BO71" s="1">
        <f t="shared" si="72"/>
        <v>800</v>
      </c>
      <c r="BQ71" s="1">
        <f t="shared" si="73"/>
        <v>11.9</v>
      </c>
      <c r="BR71" s="1">
        <f t="shared" si="74"/>
        <v>23.8</v>
      </c>
      <c r="BS71" s="1">
        <f t="shared" si="75"/>
        <v>12.42</v>
      </c>
      <c r="BT71" s="1">
        <v>70</v>
      </c>
      <c r="BU71" s="1">
        <f t="shared" si="76"/>
        <v>6007</v>
      </c>
      <c r="BV71" s="1">
        <f t="shared" si="77"/>
        <v>1201.4</v>
      </c>
      <c r="BX71" s="1">
        <f t="shared" si="78"/>
        <v>23.45</v>
      </c>
      <c r="BY71" s="1">
        <f t="shared" si="79"/>
        <v>47</v>
      </c>
      <c r="BZ71" s="1">
        <v>70</v>
      </c>
      <c r="CA71" s="1">
        <f t="shared" si="80"/>
        <v>8641.7</v>
      </c>
      <c r="CB71" s="1">
        <f t="shared" si="81"/>
        <v>1728.2</v>
      </c>
      <c r="CD71" s="1">
        <f t="shared" si="82"/>
        <v>37.277</v>
      </c>
      <c r="CE71" s="1">
        <f t="shared" si="83"/>
        <v>74.62</v>
      </c>
      <c r="CF71" s="1">
        <f t="shared" si="84"/>
        <v>42.14</v>
      </c>
      <c r="CG71" s="1">
        <v>70</v>
      </c>
      <c r="CH71" s="1">
        <f t="shared" si="85"/>
        <v>11483</v>
      </c>
      <c r="CI71" s="1">
        <f t="shared" si="86"/>
        <v>2296</v>
      </c>
      <c r="CK71" s="1">
        <f t="shared" si="87"/>
        <v>46.725</v>
      </c>
      <c r="CL71" s="1">
        <f t="shared" si="88"/>
        <v>93.5</v>
      </c>
      <c r="CM71" s="1">
        <f t="shared" si="89"/>
        <v>61.243</v>
      </c>
      <c r="CN71" s="1">
        <v>70</v>
      </c>
      <c r="CO71" s="1">
        <f t="shared" si="90"/>
        <v>14386</v>
      </c>
      <c r="CP71" s="1">
        <f t="shared" si="91"/>
        <v>2878.4</v>
      </c>
      <c r="CR71" s="1">
        <f t="shared" si="92"/>
        <v>61.4</v>
      </c>
      <c r="CS71" s="1">
        <f t="shared" si="93"/>
        <v>122.8</v>
      </c>
      <c r="CT71" s="1">
        <f t="shared" si="94"/>
        <v>80.66</v>
      </c>
    </row>
    <row r="72" spans="1:98">
      <c r="A72">
        <v>71</v>
      </c>
      <c r="B72" s="10">
        <v>9000</v>
      </c>
      <c r="C72" s="10">
        <v>1800</v>
      </c>
      <c r="D72" s="10">
        <v>1800</v>
      </c>
      <c r="E72" s="8">
        <f t="shared" si="49"/>
        <v>7350</v>
      </c>
      <c r="F72" s="8">
        <f t="shared" si="50"/>
        <v>1470</v>
      </c>
      <c r="G72" s="8">
        <f t="shared" si="51"/>
        <v>1470</v>
      </c>
      <c r="H72" s="10"/>
      <c r="I72" s="9">
        <v>1</v>
      </c>
      <c r="J72" s="8">
        <f t="shared" si="52"/>
        <v>2916</v>
      </c>
      <c r="K72" s="8">
        <f t="shared" si="53"/>
        <v>583.2</v>
      </c>
      <c r="L72" s="8">
        <f t="shared" si="54"/>
        <v>583.2</v>
      </c>
      <c r="M72" s="8">
        <v>0.6</v>
      </c>
      <c r="N72" s="8">
        <f t="shared" si="55"/>
        <v>19266</v>
      </c>
      <c r="O72" s="8">
        <f t="shared" si="56"/>
        <v>3853.2</v>
      </c>
      <c r="P72" s="8">
        <f t="shared" si="57"/>
        <v>3853.2</v>
      </c>
      <c r="Q72" s="10">
        <v>40</v>
      </c>
      <c r="R72" s="10">
        <v>80</v>
      </c>
      <c r="S72" s="10">
        <v>44.88</v>
      </c>
      <c r="T72" s="8">
        <v>5.6</v>
      </c>
      <c r="U72" s="8">
        <v>0.196</v>
      </c>
      <c r="V72" s="8">
        <f t="shared" si="58"/>
        <v>60635.0217953526</v>
      </c>
      <c r="W72" s="8">
        <f t="shared" si="59"/>
        <v>3853.2</v>
      </c>
      <c r="X72" s="8">
        <f t="shared" si="60"/>
        <v>3853.2</v>
      </c>
      <c r="Y72" s="8">
        <f t="shared" si="61"/>
        <v>6063.50217953526</v>
      </c>
      <c r="Z72" s="8">
        <f t="shared" si="62"/>
        <v>10</v>
      </c>
      <c r="AA72">
        <f t="shared" si="63"/>
        <v>1926.6</v>
      </c>
      <c r="AB72">
        <f t="shared" si="64"/>
        <v>10</v>
      </c>
      <c r="AC72">
        <f t="shared" si="65"/>
        <v>26.4248065785706</v>
      </c>
      <c r="AD72">
        <f t="shared" si="66"/>
        <v>8.85793103448276</v>
      </c>
      <c r="AE72">
        <f t="shared" si="67"/>
        <v>8.85793103448276</v>
      </c>
      <c r="AF72">
        <f t="shared" si="95"/>
        <v>20211.6739317842</v>
      </c>
      <c r="AG72">
        <f t="shared" si="96"/>
        <v>3853.2</v>
      </c>
      <c r="AH72">
        <f t="shared" si="97"/>
        <v>1926.6</v>
      </c>
      <c r="AI72">
        <f t="shared" si="68"/>
        <v>3.33333333333333</v>
      </c>
      <c r="AJ72">
        <f t="shared" si="69"/>
        <v>642.2</v>
      </c>
      <c r="AK72">
        <f t="shared" si="70"/>
        <v>30</v>
      </c>
      <c r="BM72">
        <v>71</v>
      </c>
      <c r="BN72">
        <f t="shared" si="71"/>
        <v>4030</v>
      </c>
      <c r="BO72">
        <f t="shared" si="72"/>
        <v>805.8</v>
      </c>
      <c r="BQ72">
        <f t="shared" si="73"/>
        <v>12</v>
      </c>
      <c r="BR72">
        <f t="shared" si="74"/>
        <v>24</v>
      </c>
      <c r="BS72">
        <f t="shared" si="75"/>
        <v>12.6</v>
      </c>
      <c r="BT72">
        <v>71</v>
      </c>
      <c r="BU72">
        <f t="shared" si="76"/>
        <v>6021.6</v>
      </c>
      <c r="BV72">
        <f t="shared" si="77"/>
        <v>1204.32</v>
      </c>
      <c r="BX72">
        <f t="shared" si="78"/>
        <v>23.5</v>
      </c>
      <c r="BY72">
        <f t="shared" si="79"/>
        <v>47.1</v>
      </c>
      <c r="BZ72">
        <v>71</v>
      </c>
      <c r="CA72">
        <f t="shared" si="80"/>
        <v>8651</v>
      </c>
      <c r="CB72">
        <f t="shared" si="81"/>
        <v>1730.06</v>
      </c>
      <c r="CD72">
        <f t="shared" si="82"/>
        <v>37.31</v>
      </c>
      <c r="CE72">
        <f t="shared" si="83"/>
        <v>74.686</v>
      </c>
      <c r="CF72">
        <f t="shared" si="84"/>
        <v>42.2</v>
      </c>
      <c r="CG72">
        <v>71</v>
      </c>
      <c r="CH72">
        <f t="shared" si="85"/>
        <v>11490</v>
      </c>
      <c r="CI72">
        <f t="shared" si="86"/>
        <v>2297.4</v>
      </c>
      <c r="CK72">
        <f t="shared" si="87"/>
        <v>46.75</v>
      </c>
      <c r="CL72">
        <f t="shared" si="88"/>
        <v>93.55</v>
      </c>
      <c r="CM72">
        <f t="shared" si="89"/>
        <v>61.29</v>
      </c>
      <c r="CN72">
        <v>71</v>
      </c>
      <c r="CO72">
        <f t="shared" si="90"/>
        <v>14391.6</v>
      </c>
      <c r="CP72">
        <f t="shared" si="91"/>
        <v>2879.52</v>
      </c>
      <c r="CR72">
        <f t="shared" si="92"/>
        <v>61.42</v>
      </c>
      <c r="CS72">
        <f t="shared" si="93"/>
        <v>122.84</v>
      </c>
      <c r="CT72">
        <f t="shared" si="94"/>
        <v>80.698</v>
      </c>
    </row>
    <row r="73" spans="1:98">
      <c r="A73">
        <v>72</v>
      </c>
      <c r="B73" s="10">
        <v>9100</v>
      </c>
      <c r="C73" s="10">
        <v>1820</v>
      </c>
      <c r="D73" s="10">
        <v>1820</v>
      </c>
      <c r="E73" s="8">
        <f t="shared" si="49"/>
        <v>7450</v>
      </c>
      <c r="F73" s="8">
        <f t="shared" si="50"/>
        <v>1490</v>
      </c>
      <c r="G73" s="8">
        <f t="shared" si="51"/>
        <v>1490</v>
      </c>
      <c r="H73" s="10"/>
      <c r="I73" s="9">
        <v>1</v>
      </c>
      <c r="J73" s="8">
        <f t="shared" si="52"/>
        <v>2948.4</v>
      </c>
      <c r="K73" s="8">
        <f t="shared" si="53"/>
        <v>589.68</v>
      </c>
      <c r="L73" s="8">
        <f t="shared" si="54"/>
        <v>589.68</v>
      </c>
      <c r="M73" s="8">
        <v>0.6</v>
      </c>
      <c r="N73" s="8">
        <f t="shared" si="55"/>
        <v>19498.4</v>
      </c>
      <c r="O73" s="8">
        <f t="shared" si="56"/>
        <v>3899.68</v>
      </c>
      <c r="P73" s="8">
        <f t="shared" si="57"/>
        <v>3899.68</v>
      </c>
      <c r="Q73" s="10">
        <v>40</v>
      </c>
      <c r="R73" s="10">
        <v>80</v>
      </c>
      <c r="S73" s="10">
        <v>45.54</v>
      </c>
      <c r="T73" s="8">
        <v>5.68</v>
      </c>
      <c r="U73" s="8">
        <v>0.1988</v>
      </c>
      <c r="V73" s="8">
        <f t="shared" si="58"/>
        <v>61837.1310049889</v>
      </c>
      <c r="W73" s="8">
        <f t="shared" si="59"/>
        <v>3899.68</v>
      </c>
      <c r="X73" s="8">
        <f t="shared" si="60"/>
        <v>3899.68</v>
      </c>
      <c r="Y73" s="8">
        <f t="shared" si="61"/>
        <v>6183.71310049889</v>
      </c>
      <c r="Z73" s="8">
        <f t="shared" si="62"/>
        <v>10</v>
      </c>
      <c r="AA73">
        <f t="shared" si="63"/>
        <v>1949.84</v>
      </c>
      <c r="AB73">
        <f t="shared" si="64"/>
        <v>10</v>
      </c>
      <c r="AC73">
        <f t="shared" si="65"/>
        <v>26.9486870425402</v>
      </c>
      <c r="AD73">
        <f t="shared" si="66"/>
        <v>8.9647816091954</v>
      </c>
      <c r="AE73">
        <f t="shared" si="67"/>
        <v>8.9647816091954</v>
      </c>
      <c r="AF73">
        <f t="shared" si="95"/>
        <v>20612.377001663</v>
      </c>
      <c r="AG73">
        <f t="shared" si="96"/>
        <v>3899.68</v>
      </c>
      <c r="AH73">
        <f t="shared" si="97"/>
        <v>1949.84</v>
      </c>
      <c r="AI73">
        <f t="shared" si="68"/>
        <v>3.33333333333334</v>
      </c>
      <c r="AJ73">
        <f t="shared" si="69"/>
        <v>649.946666666667</v>
      </c>
      <c r="AK73">
        <f t="shared" si="70"/>
        <v>30</v>
      </c>
      <c r="BM73">
        <v>72</v>
      </c>
      <c r="BN73">
        <f t="shared" si="71"/>
        <v>4059</v>
      </c>
      <c r="BO73">
        <f t="shared" si="72"/>
        <v>811.6</v>
      </c>
      <c r="BQ73">
        <f t="shared" si="73"/>
        <v>12.1</v>
      </c>
      <c r="BR73">
        <f t="shared" si="74"/>
        <v>24.2</v>
      </c>
      <c r="BS73">
        <f t="shared" si="75"/>
        <v>12.78</v>
      </c>
      <c r="BT73">
        <v>72</v>
      </c>
      <c r="BU73">
        <f t="shared" si="76"/>
        <v>6036.2</v>
      </c>
      <c r="BV73">
        <f t="shared" si="77"/>
        <v>1207.24</v>
      </c>
      <c r="BX73">
        <f t="shared" si="78"/>
        <v>23.55</v>
      </c>
      <c r="BY73">
        <f t="shared" si="79"/>
        <v>47.2</v>
      </c>
      <c r="BZ73">
        <v>72</v>
      </c>
      <c r="CA73">
        <f t="shared" si="80"/>
        <v>8660.3</v>
      </c>
      <c r="CB73">
        <f t="shared" si="81"/>
        <v>1731.92</v>
      </c>
      <c r="CD73">
        <f t="shared" si="82"/>
        <v>37.343</v>
      </c>
      <c r="CE73">
        <f t="shared" si="83"/>
        <v>74.752</v>
      </c>
      <c r="CF73">
        <f t="shared" si="84"/>
        <v>42.26</v>
      </c>
      <c r="CG73">
        <v>72</v>
      </c>
      <c r="CH73">
        <f t="shared" si="85"/>
        <v>11497</v>
      </c>
      <c r="CI73">
        <f t="shared" si="86"/>
        <v>2298.8</v>
      </c>
      <c r="CK73">
        <f t="shared" si="87"/>
        <v>46.775</v>
      </c>
      <c r="CL73">
        <f t="shared" si="88"/>
        <v>93.6</v>
      </c>
      <c r="CM73">
        <f t="shared" si="89"/>
        <v>61.337</v>
      </c>
      <c r="CN73">
        <v>72</v>
      </c>
      <c r="CO73">
        <f t="shared" si="90"/>
        <v>14397.2</v>
      </c>
      <c r="CP73">
        <f t="shared" si="91"/>
        <v>2880.64</v>
      </c>
      <c r="CR73">
        <f t="shared" si="92"/>
        <v>61.44</v>
      </c>
      <c r="CS73">
        <f t="shared" si="93"/>
        <v>122.88</v>
      </c>
      <c r="CT73">
        <f t="shared" si="94"/>
        <v>80.736</v>
      </c>
    </row>
    <row r="74" spans="1:98">
      <c r="A74">
        <v>73</v>
      </c>
      <c r="B74" s="10">
        <v>9200</v>
      </c>
      <c r="C74" s="10">
        <v>1840</v>
      </c>
      <c r="D74" s="10">
        <v>1840</v>
      </c>
      <c r="E74" s="8">
        <f t="shared" si="49"/>
        <v>7550</v>
      </c>
      <c r="F74" s="8">
        <f t="shared" si="50"/>
        <v>1510</v>
      </c>
      <c r="G74" s="8">
        <f t="shared" si="51"/>
        <v>1510</v>
      </c>
      <c r="H74" s="10"/>
      <c r="I74" s="9">
        <v>1</v>
      </c>
      <c r="J74" s="8">
        <f t="shared" si="52"/>
        <v>2980.8</v>
      </c>
      <c r="K74" s="8">
        <f t="shared" si="53"/>
        <v>596.16</v>
      </c>
      <c r="L74" s="8">
        <f t="shared" si="54"/>
        <v>596.16</v>
      </c>
      <c r="M74" s="8">
        <v>0.6</v>
      </c>
      <c r="N74" s="8">
        <f t="shared" si="55"/>
        <v>19730.8</v>
      </c>
      <c r="O74" s="8">
        <f t="shared" si="56"/>
        <v>3946.16</v>
      </c>
      <c r="P74" s="8">
        <f t="shared" si="57"/>
        <v>3946.16</v>
      </c>
      <c r="Q74" s="10">
        <v>40</v>
      </c>
      <c r="R74" s="10">
        <v>80</v>
      </c>
      <c r="S74" s="10">
        <v>46.2</v>
      </c>
      <c r="T74" s="8">
        <v>5.76</v>
      </c>
      <c r="U74" s="8">
        <v>0.2016</v>
      </c>
      <c r="V74" s="8">
        <f t="shared" si="58"/>
        <v>63052.436834214</v>
      </c>
      <c r="W74" s="8">
        <f t="shared" si="59"/>
        <v>3946.16</v>
      </c>
      <c r="X74" s="8">
        <f t="shared" si="60"/>
        <v>3946.16</v>
      </c>
      <c r="Y74" s="8">
        <f t="shared" si="61"/>
        <v>6305.2436834214</v>
      </c>
      <c r="Z74" s="8">
        <f t="shared" si="62"/>
        <v>10</v>
      </c>
      <c r="AA74">
        <f t="shared" si="63"/>
        <v>1973.08</v>
      </c>
      <c r="AB74">
        <f t="shared" si="64"/>
        <v>10</v>
      </c>
      <c r="AC74">
        <f t="shared" si="65"/>
        <v>27.4783186072731</v>
      </c>
      <c r="AD74">
        <f t="shared" si="66"/>
        <v>9.07163218390805</v>
      </c>
      <c r="AE74">
        <f t="shared" si="67"/>
        <v>9.07163218390805</v>
      </c>
      <c r="AF74">
        <f t="shared" si="95"/>
        <v>21017.478944738</v>
      </c>
      <c r="AG74">
        <f t="shared" si="96"/>
        <v>3946.16</v>
      </c>
      <c r="AH74">
        <f t="shared" si="97"/>
        <v>1973.08</v>
      </c>
      <c r="AI74">
        <f t="shared" si="68"/>
        <v>3.33333333333333</v>
      </c>
      <c r="AJ74">
        <f t="shared" si="69"/>
        <v>657.693333333333</v>
      </c>
      <c r="AK74">
        <f t="shared" si="70"/>
        <v>30</v>
      </c>
      <c r="BM74">
        <v>73</v>
      </c>
      <c r="BN74">
        <f t="shared" si="71"/>
        <v>4088</v>
      </c>
      <c r="BO74">
        <f t="shared" si="72"/>
        <v>817.4</v>
      </c>
      <c r="BQ74">
        <f t="shared" si="73"/>
        <v>12.2</v>
      </c>
      <c r="BR74">
        <f t="shared" si="74"/>
        <v>24.4</v>
      </c>
      <c r="BS74">
        <f t="shared" si="75"/>
        <v>12.96</v>
      </c>
      <c r="BT74">
        <v>73</v>
      </c>
      <c r="BU74">
        <f t="shared" si="76"/>
        <v>6050.8</v>
      </c>
      <c r="BV74">
        <f t="shared" si="77"/>
        <v>1210.16</v>
      </c>
      <c r="BX74">
        <f t="shared" si="78"/>
        <v>23.6</v>
      </c>
      <c r="BY74">
        <f t="shared" si="79"/>
        <v>47.3</v>
      </c>
      <c r="BZ74">
        <v>73</v>
      </c>
      <c r="CA74">
        <f t="shared" si="80"/>
        <v>8669.6</v>
      </c>
      <c r="CB74">
        <f t="shared" si="81"/>
        <v>1733.78</v>
      </c>
      <c r="CD74">
        <f t="shared" si="82"/>
        <v>37.376</v>
      </c>
      <c r="CE74">
        <f t="shared" si="83"/>
        <v>74.818</v>
      </c>
      <c r="CF74">
        <f t="shared" si="84"/>
        <v>42.32</v>
      </c>
      <c r="CG74">
        <v>73</v>
      </c>
      <c r="CH74">
        <f t="shared" si="85"/>
        <v>11504</v>
      </c>
      <c r="CI74">
        <f t="shared" si="86"/>
        <v>2300.2</v>
      </c>
      <c r="CK74">
        <f t="shared" si="87"/>
        <v>46.8</v>
      </c>
      <c r="CL74">
        <f t="shared" si="88"/>
        <v>93.65</v>
      </c>
      <c r="CM74">
        <f t="shared" si="89"/>
        <v>61.384</v>
      </c>
      <c r="CN74">
        <v>73</v>
      </c>
      <c r="CO74">
        <f t="shared" si="90"/>
        <v>14402.8</v>
      </c>
      <c r="CP74">
        <f t="shared" si="91"/>
        <v>2881.76</v>
      </c>
      <c r="CR74">
        <f t="shared" si="92"/>
        <v>61.46</v>
      </c>
      <c r="CS74">
        <f t="shared" si="93"/>
        <v>122.92</v>
      </c>
      <c r="CT74">
        <f t="shared" si="94"/>
        <v>80.774</v>
      </c>
    </row>
    <row r="75" spans="1:98">
      <c r="A75">
        <v>74</v>
      </c>
      <c r="B75" s="10">
        <v>9300</v>
      </c>
      <c r="C75" s="10">
        <v>1860</v>
      </c>
      <c r="D75" s="10">
        <v>1860</v>
      </c>
      <c r="E75" s="8">
        <f t="shared" si="49"/>
        <v>7650</v>
      </c>
      <c r="F75" s="8">
        <f t="shared" si="50"/>
        <v>1530</v>
      </c>
      <c r="G75" s="8">
        <f t="shared" si="51"/>
        <v>1530</v>
      </c>
      <c r="H75" s="10"/>
      <c r="I75" s="9">
        <v>1</v>
      </c>
      <c r="J75" s="8">
        <f t="shared" si="52"/>
        <v>3013.2</v>
      </c>
      <c r="K75" s="8">
        <f t="shared" si="53"/>
        <v>602.64</v>
      </c>
      <c r="L75" s="8">
        <f t="shared" si="54"/>
        <v>602.64</v>
      </c>
      <c r="M75" s="8">
        <v>0.6</v>
      </c>
      <c r="N75" s="8">
        <f t="shared" si="55"/>
        <v>19963.2</v>
      </c>
      <c r="O75" s="8">
        <f t="shared" si="56"/>
        <v>3992.64</v>
      </c>
      <c r="P75" s="8">
        <f t="shared" si="57"/>
        <v>3992.64</v>
      </c>
      <c r="Q75" s="10">
        <v>40</v>
      </c>
      <c r="R75" s="10">
        <v>80</v>
      </c>
      <c r="S75" s="10">
        <v>46.86</v>
      </c>
      <c r="T75" s="8">
        <v>5.84</v>
      </c>
      <c r="U75" s="8">
        <v>0.2044</v>
      </c>
      <c r="V75" s="8">
        <f t="shared" si="58"/>
        <v>64281.0121679256</v>
      </c>
      <c r="W75" s="8">
        <f t="shared" si="59"/>
        <v>3992.64</v>
      </c>
      <c r="X75" s="8">
        <f t="shared" si="60"/>
        <v>3992.64</v>
      </c>
      <c r="Y75" s="8">
        <f t="shared" si="61"/>
        <v>6428.10121679256</v>
      </c>
      <c r="Z75" s="8">
        <f t="shared" si="62"/>
        <v>10</v>
      </c>
      <c r="AA75">
        <f t="shared" si="63"/>
        <v>1996.32</v>
      </c>
      <c r="AB75">
        <f t="shared" si="64"/>
        <v>10</v>
      </c>
      <c r="AC75">
        <f t="shared" si="65"/>
        <v>28.0137330360846</v>
      </c>
      <c r="AD75">
        <f t="shared" si="66"/>
        <v>9.17848275862069</v>
      </c>
      <c r="AE75">
        <f t="shared" si="67"/>
        <v>9.17848275862069</v>
      </c>
      <c r="AF75">
        <f t="shared" si="95"/>
        <v>21427.0040559752</v>
      </c>
      <c r="AG75">
        <f t="shared" si="96"/>
        <v>3992.64</v>
      </c>
      <c r="AH75">
        <f t="shared" si="97"/>
        <v>1996.32</v>
      </c>
      <c r="AI75">
        <f t="shared" si="68"/>
        <v>3.33333333333333</v>
      </c>
      <c r="AJ75">
        <f t="shared" si="69"/>
        <v>665.44</v>
      </c>
      <c r="AK75">
        <f t="shared" si="70"/>
        <v>30</v>
      </c>
      <c r="BM75">
        <v>74</v>
      </c>
      <c r="BN75">
        <f t="shared" si="71"/>
        <v>4117</v>
      </c>
      <c r="BO75">
        <f t="shared" si="72"/>
        <v>823.2</v>
      </c>
      <c r="BQ75">
        <f t="shared" si="73"/>
        <v>12.3</v>
      </c>
      <c r="BR75">
        <f t="shared" si="74"/>
        <v>24.6</v>
      </c>
      <c r="BS75">
        <f t="shared" si="75"/>
        <v>13.14</v>
      </c>
      <c r="BT75">
        <v>74</v>
      </c>
      <c r="BU75">
        <f t="shared" si="76"/>
        <v>6065.4</v>
      </c>
      <c r="BV75">
        <f t="shared" si="77"/>
        <v>1213.08</v>
      </c>
      <c r="BX75">
        <f t="shared" si="78"/>
        <v>23.65</v>
      </c>
      <c r="BY75">
        <f t="shared" si="79"/>
        <v>47.4</v>
      </c>
      <c r="BZ75">
        <v>74</v>
      </c>
      <c r="CA75">
        <f t="shared" si="80"/>
        <v>8678.9</v>
      </c>
      <c r="CB75">
        <f t="shared" si="81"/>
        <v>1735.64</v>
      </c>
      <c r="CD75">
        <f t="shared" si="82"/>
        <v>37.409</v>
      </c>
      <c r="CE75">
        <f t="shared" si="83"/>
        <v>74.884</v>
      </c>
      <c r="CF75">
        <f t="shared" si="84"/>
        <v>42.38</v>
      </c>
      <c r="CG75">
        <v>74</v>
      </c>
      <c r="CH75">
        <f t="shared" si="85"/>
        <v>11511</v>
      </c>
      <c r="CI75">
        <f t="shared" si="86"/>
        <v>2301.6</v>
      </c>
      <c r="CK75">
        <f t="shared" si="87"/>
        <v>46.825</v>
      </c>
      <c r="CL75">
        <f t="shared" si="88"/>
        <v>93.7</v>
      </c>
      <c r="CM75">
        <f t="shared" si="89"/>
        <v>61.431</v>
      </c>
      <c r="CN75">
        <v>74</v>
      </c>
      <c r="CO75">
        <f t="shared" si="90"/>
        <v>14408.4</v>
      </c>
      <c r="CP75">
        <f t="shared" si="91"/>
        <v>2882.88</v>
      </c>
      <c r="CR75">
        <f t="shared" si="92"/>
        <v>61.48</v>
      </c>
      <c r="CS75">
        <f t="shared" si="93"/>
        <v>122.96</v>
      </c>
      <c r="CT75">
        <f t="shared" si="94"/>
        <v>80.812</v>
      </c>
    </row>
    <row r="76" spans="1:98">
      <c r="A76">
        <v>75</v>
      </c>
      <c r="B76" s="10">
        <v>9400</v>
      </c>
      <c r="C76" s="10">
        <v>1880</v>
      </c>
      <c r="D76" s="10">
        <v>1880</v>
      </c>
      <c r="E76" s="8">
        <f t="shared" si="49"/>
        <v>7750</v>
      </c>
      <c r="F76" s="8">
        <f t="shared" si="50"/>
        <v>1550</v>
      </c>
      <c r="G76" s="8">
        <f t="shared" si="51"/>
        <v>1550</v>
      </c>
      <c r="H76" s="10"/>
      <c r="I76" s="9">
        <v>1</v>
      </c>
      <c r="J76" s="8">
        <f t="shared" si="52"/>
        <v>3045.6</v>
      </c>
      <c r="K76" s="8">
        <f t="shared" si="53"/>
        <v>609.12</v>
      </c>
      <c r="L76" s="8">
        <f t="shared" si="54"/>
        <v>609.12</v>
      </c>
      <c r="M76" s="8">
        <v>0.6</v>
      </c>
      <c r="N76" s="8">
        <f t="shared" si="55"/>
        <v>20195.6</v>
      </c>
      <c r="O76" s="8">
        <f t="shared" si="56"/>
        <v>4039.12</v>
      </c>
      <c r="P76" s="8">
        <f t="shared" si="57"/>
        <v>4039.12</v>
      </c>
      <c r="Q76" s="10">
        <v>40</v>
      </c>
      <c r="R76" s="10">
        <v>80</v>
      </c>
      <c r="S76" s="10">
        <v>47.52</v>
      </c>
      <c r="T76" s="8">
        <v>5.92</v>
      </c>
      <c r="U76" s="8">
        <v>0.2072</v>
      </c>
      <c r="V76" s="8">
        <f t="shared" si="58"/>
        <v>65522.9300328514</v>
      </c>
      <c r="W76" s="8">
        <f t="shared" si="59"/>
        <v>4039.12</v>
      </c>
      <c r="X76" s="8">
        <f t="shared" si="60"/>
        <v>4039.12</v>
      </c>
      <c r="Y76" s="8">
        <f t="shared" si="61"/>
        <v>6552.29300328514</v>
      </c>
      <c r="Z76" s="8">
        <f t="shared" si="62"/>
        <v>10</v>
      </c>
      <c r="AA76">
        <f t="shared" si="63"/>
        <v>2019.56</v>
      </c>
      <c r="AB76">
        <f t="shared" si="64"/>
        <v>10</v>
      </c>
      <c r="AC76">
        <f t="shared" si="65"/>
        <v>28.5549621540999</v>
      </c>
      <c r="AD76">
        <f t="shared" si="66"/>
        <v>9.28533333333333</v>
      </c>
      <c r="AE76">
        <f t="shared" si="67"/>
        <v>9.28533333333333</v>
      </c>
      <c r="AF76">
        <f t="shared" si="95"/>
        <v>21840.9766776171</v>
      </c>
      <c r="AG76">
        <f t="shared" si="96"/>
        <v>4039.12</v>
      </c>
      <c r="AH76">
        <f t="shared" si="97"/>
        <v>2019.56</v>
      </c>
      <c r="AI76">
        <f t="shared" si="68"/>
        <v>3.33333333333333</v>
      </c>
      <c r="AJ76">
        <f t="shared" si="69"/>
        <v>673.186666666667</v>
      </c>
      <c r="AK76">
        <f t="shared" si="70"/>
        <v>30</v>
      </c>
      <c r="BM76">
        <v>75</v>
      </c>
      <c r="BN76">
        <f t="shared" si="71"/>
        <v>4146</v>
      </c>
      <c r="BO76">
        <f t="shared" si="72"/>
        <v>829</v>
      </c>
      <c r="BQ76">
        <f t="shared" si="73"/>
        <v>12.4</v>
      </c>
      <c r="BR76">
        <f t="shared" si="74"/>
        <v>24.8</v>
      </c>
      <c r="BS76">
        <f t="shared" si="75"/>
        <v>13.32</v>
      </c>
      <c r="BT76">
        <v>75</v>
      </c>
      <c r="BU76">
        <f t="shared" si="76"/>
        <v>6080</v>
      </c>
      <c r="BV76">
        <f t="shared" si="77"/>
        <v>1216</v>
      </c>
      <c r="BX76">
        <f t="shared" si="78"/>
        <v>23.7</v>
      </c>
      <c r="BY76">
        <f t="shared" si="79"/>
        <v>47.5</v>
      </c>
      <c r="BZ76">
        <v>75</v>
      </c>
      <c r="CA76">
        <f t="shared" si="80"/>
        <v>8688.2</v>
      </c>
      <c r="CB76">
        <f t="shared" si="81"/>
        <v>1737.5</v>
      </c>
      <c r="CD76">
        <f t="shared" si="82"/>
        <v>37.442</v>
      </c>
      <c r="CE76">
        <f t="shared" si="83"/>
        <v>74.95</v>
      </c>
      <c r="CF76">
        <f t="shared" si="84"/>
        <v>42.44</v>
      </c>
      <c r="CG76">
        <v>75</v>
      </c>
      <c r="CH76">
        <f t="shared" si="85"/>
        <v>11518</v>
      </c>
      <c r="CI76">
        <f t="shared" si="86"/>
        <v>2303</v>
      </c>
      <c r="CK76">
        <f t="shared" si="87"/>
        <v>46.85</v>
      </c>
      <c r="CL76">
        <f t="shared" si="88"/>
        <v>93.75</v>
      </c>
      <c r="CM76">
        <f t="shared" si="89"/>
        <v>61.478</v>
      </c>
      <c r="CN76">
        <v>75</v>
      </c>
      <c r="CO76">
        <f t="shared" si="90"/>
        <v>14414</v>
      </c>
      <c r="CP76">
        <f t="shared" si="91"/>
        <v>2884</v>
      </c>
      <c r="CR76">
        <f t="shared" si="92"/>
        <v>61.5</v>
      </c>
      <c r="CS76">
        <f t="shared" si="93"/>
        <v>123</v>
      </c>
      <c r="CT76">
        <f t="shared" si="94"/>
        <v>80.85</v>
      </c>
    </row>
    <row r="77" spans="1:98">
      <c r="A77">
        <v>76</v>
      </c>
      <c r="B77" s="10">
        <v>9500</v>
      </c>
      <c r="C77" s="10">
        <v>1900</v>
      </c>
      <c r="D77" s="10">
        <v>1900</v>
      </c>
      <c r="E77" s="8">
        <f t="shared" si="49"/>
        <v>7850</v>
      </c>
      <c r="F77" s="8">
        <f t="shared" si="50"/>
        <v>1570</v>
      </c>
      <c r="G77" s="8">
        <f t="shared" si="51"/>
        <v>1570</v>
      </c>
      <c r="H77" s="10"/>
      <c r="I77" s="9">
        <v>1</v>
      </c>
      <c r="J77" s="8">
        <f t="shared" si="52"/>
        <v>3078</v>
      </c>
      <c r="K77" s="8">
        <f t="shared" si="53"/>
        <v>615.6</v>
      </c>
      <c r="L77" s="8">
        <f t="shared" si="54"/>
        <v>615.6</v>
      </c>
      <c r="M77" s="8">
        <v>0.6</v>
      </c>
      <c r="N77" s="8">
        <f t="shared" si="55"/>
        <v>20428</v>
      </c>
      <c r="O77" s="8">
        <f t="shared" si="56"/>
        <v>4085.6</v>
      </c>
      <c r="P77" s="8">
        <f t="shared" si="57"/>
        <v>4085.6</v>
      </c>
      <c r="Q77" s="10">
        <v>40</v>
      </c>
      <c r="R77" s="10">
        <v>80</v>
      </c>
      <c r="S77" s="10">
        <v>48.18</v>
      </c>
      <c r="T77" s="8">
        <v>6</v>
      </c>
      <c r="U77" s="8">
        <v>0.21</v>
      </c>
      <c r="V77" s="8">
        <f t="shared" si="58"/>
        <v>66778.2635975488</v>
      </c>
      <c r="W77" s="8">
        <f t="shared" si="59"/>
        <v>4085.6</v>
      </c>
      <c r="X77" s="8">
        <f t="shared" si="60"/>
        <v>4085.6</v>
      </c>
      <c r="Y77" s="8">
        <f t="shared" si="61"/>
        <v>6677.82635975488</v>
      </c>
      <c r="Z77" s="8">
        <f t="shared" si="62"/>
        <v>10</v>
      </c>
      <c r="AA77">
        <f t="shared" si="63"/>
        <v>2042.8</v>
      </c>
      <c r="AB77">
        <f t="shared" si="64"/>
        <v>10</v>
      </c>
      <c r="AC77">
        <f t="shared" si="65"/>
        <v>29.1020378482535</v>
      </c>
      <c r="AD77">
        <f t="shared" si="66"/>
        <v>9.39218390804598</v>
      </c>
      <c r="AE77">
        <f t="shared" si="67"/>
        <v>9.39218390804598</v>
      </c>
      <c r="AF77">
        <f t="shared" si="95"/>
        <v>22259.4211991829</v>
      </c>
      <c r="AG77">
        <f t="shared" si="96"/>
        <v>4085.6</v>
      </c>
      <c r="AH77">
        <f t="shared" si="97"/>
        <v>2042.8</v>
      </c>
      <c r="AI77">
        <f t="shared" si="68"/>
        <v>3.33333333333333</v>
      </c>
      <c r="AJ77">
        <f t="shared" si="69"/>
        <v>680.933333333333</v>
      </c>
      <c r="AK77">
        <f t="shared" si="70"/>
        <v>30</v>
      </c>
      <c r="BM77">
        <v>76</v>
      </c>
      <c r="BN77">
        <f t="shared" si="71"/>
        <v>4175</v>
      </c>
      <c r="BO77">
        <f t="shared" si="72"/>
        <v>834.8</v>
      </c>
      <c r="BQ77">
        <f t="shared" si="73"/>
        <v>12.5</v>
      </c>
      <c r="BR77">
        <f t="shared" si="74"/>
        <v>25</v>
      </c>
      <c r="BS77">
        <f t="shared" si="75"/>
        <v>13.5</v>
      </c>
      <c r="BT77">
        <v>76</v>
      </c>
      <c r="BU77">
        <f t="shared" si="76"/>
        <v>6094.6</v>
      </c>
      <c r="BV77">
        <f t="shared" si="77"/>
        <v>1218.92</v>
      </c>
      <c r="BX77">
        <f t="shared" si="78"/>
        <v>23.75</v>
      </c>
      <c r="BY77">
        <f t="shared" si="79"/>
        <v>47.6</v>
      </c>
      <c r="BZ77">
        <v>76</v>
      </c>
      <c r="CA77">
        <f t="shared" si="80"/>
        <v>8697.5</v>
      </c>
      <c r="CB77">
        <f t="shared" si="81"/>
        <v>1739.36</v>
      </c>
      <c r="CD77">
        <f t="shared" si="82"/>
        <v>37.475</v>
      </c>
      <c r="CE77">
        <f t="shared" si="83"/>
        <v>75.016</v>
      </c>
      <c r="CF77">
        <f t="shared" si="84"/>
        <v>42.5</v>
      </c>
      <c r="CG77">
        <v>76</v>
      </c>
      <c r="CH77">
        <f t="shared" si="85"/>
        <v>11525</v>
      </c>
      <c r="CI77">
        <f t="shared" si="86"/>
        <v>2304.4</v>
      </c>
      <c r="CK77">
        <f t="shared" si="87"/>
        <v>46.875</v>
      </c>
      <c r="CL77">
        <f t="shared" si="88"/>
        <v>93.8</v>
      </c>
      <c r="CM77">
        <f t="shared" si="89"/>
        <v>61.525</v>
      </c>
      <c r="CN77">
        <v>76</v>
      </c>
      <c r="CO77">
        <f t="shared" si="90"/>
        <v>14419.6</v>
      </c>
      <c r="CP77">
        <f t="shared" si="91"/>
        <v>2885.12</v>
      </c>
      <c r="CR77">
        <f t="shared" si="92"/>
        <v>61.52</v>
      </c>
      <c r="CS77">
        <f t="shared" si="93"/>
        <v>123.04</v>
      </c>
      <c r="CT77">
        <f t="shared" si="94"/>
        <v>80.888</v>
      </c>
    </row>
    <row r="78" spans="1:98">
      <c r="A78">
        <v>77</v>
      </c>
      <c r="B78" s="10">
        <v>9600</v>
      </c>
      <c r="C78" s="10">
        <v>1920</v>
      </c>
      <c r="D78" s="10">
        <v>1920</v>
      </c>
      <c r="E78" s="8">
        <f t="shared" si="49"/>
        <v>7950</v>
      </c>
      <c r="F78" s="8">
        <f t="shared" si="50"/>
        <v>1590</v>
      </c>
      <c r="G78" s="8">
        <f t="shared" si="51"/>
        <v>1590</v>
      </c>
      <c r="H78" s="10"/>
      <c r="I78" s="9">
        <v>1</v>
      </c>
      <c r="J78" s="8">
        <f t="shared" si="52"/>
        <v>3110.4</v>
      </c>
      <c r="K78" s="8">
        <f t="shared" si="53"/>
        <v>622.08</v>
      </c>
      <c r="L78" s="8">
        <f t="shared" si="54"/>
        <v>622.08</v>
      </c>
      <c r="M78" s="8">
        <v>0.6</v>
      </c>
      <c r="N78" s="8">
        <f t="shared" si="55"/>
        <v>20660.4</v>
      </c>
      <c r="O78" s="8">
        <f t="shared" si="56"/>
        <v>4132.08</v>
      </c>
      <c r="P78" s="8">
        <f t="shared" si="57"/>
        <v>4132.08</v>
      </c>
      <c r="Q78" s="10">
        <v>40</v>
      </c>
      <c r="R78" s="10">
        <v>80</v>
      </c>
      <c r="S78" s="10">
        <v>48.84</v>
      </c>
      <c r="T78" s="8">
        <v>6.08</v>
      </c>
      <c r="U78" s="8">
        <v>0.2128</v>
      </c>
      <c r="V78" s="8">
        <f t="shared" si="58"/>
        <v>68047.0861724052</v>
      </c>
      <c r="W78" s="8">
        <f t="shared" si="59"/>
        <v>4132.08</v>
      </c>
      <c r="X78" s="8">
        <f t="shared" si="60"/>
        <v>4132.08</v>
      </c>
      <c r="Y78" s="8">
        <f t="shared" si="61"/>
        <v>6804.70861724052</v>
      </c>
      <c r="Z78" s="8">
        <f t="shared" si="62"/>
        <v>10</v>
      </c>
      <c r="AA78">
        <f t="shared" si="63"/>
        <v>2066.04</v>
      </c>
      <c r="AB78">
        <f t="shared" si="64"/>
        <v>10</v>
      </c>
      <c r="AC78">
        <f t="shared" si="65"/>
        <v>29.6549920672899</v>
      </c>
      <c r="AD78">
        <f t="shared" si="66"/>
        <v>9.49903448275862</v>
      </c>
      <c r="AE78">
        <f t="shared" si="67"/>
        <v>9.49903448275862</v>
      </c>
      <c r="AF78">
        <f t="shared" si="95"/>
        <v>22682.3620574684</v>
      </c>
      <c r="AG78">
        <f t="shared" si="96"/>
        <v>4132.08</v>
      </c>
      <c r="AH78">
        <f t="shared" si="97"/>
        <v>2066.04</v>
      </c>
      <c r="AI78">
        <f t="shared" si="68"/>
        <v>3.33333333333333</v>
      </c>
      <c r="AJ78">
        <f t="shared" si="69"/>
        <v>688.68</v>
      </c>
      <c r="AK78">
        <f t="shared" si="70"/>
        <v>30</v>
      </c>
      <c r="BM78">
        <v>77</v>
      </c>
      <c r="BN78">
        <f t="shared" si="71"/>
        <v>4204</v>
      </c>
      <c r="BO78">
        <f t="shared" si="72"/>
        <v>840.6</v>
      </c>
      <c r="BQ78">
        <f t="shared" si="73"/>
        <v>12.6</v>
      </c>
      <c r="BR78">
        <f t="shared" si="74"/>
        <v>25.2</v>
      </c>
      <c r="BS78">
        <f t="shared" si="75"/>
        <v>13.68</v>
      </c>
      <c r="BT78">
        <v>77</v>
      </c>
      <c r="BU78">
        <f t="shared" si="76"/>
        <v>6109.2</v>
      </c>
      <c r="BV78">
        <f t="shared" si="77"/>
        <v>1221.84</v>
      </c>
      <c r="BX78">
        <f t="shared" si="78"/>
        <v>23.8</v>
      </c>
      <c r="BY78">
        <f t="shared" si="79"/>
        <v>47.7</v>
      </c>
      <c r="BZ78">
        <v>77</v>
      </c>
      <c r="CA78">
        <f t="shared" si="80"/>
        <v>8706.8</v>
      </c>
      <c r="CB78">
        <f t="shared" si="81"/>
        <v>1741.22</v>
      </c>
      <c r="CD78">
        <f t="shared" si="82"/>
        <v>37.508</v>
      </c>
      <c r="CE78">
        <f t="shared" si="83"/>
        <v>75.082</v>
      </c>
      <c r="CF78">
        <f t="shared" si="84"/>
        <v>42.56</v>
      </c>
      <c r="CG78">
        <v>77</v>
      </c>
      <c r="CH78">
        <f t="shared" si="85"/>
        <v>11532</v>
      </c>
      <c r="CI78">
        <f t="shared" si="86"/>
        <v>2305.8</v>
      </c>
      <c r="CK78">
        <f t="shared" si="87"/>
        <v>46.9</v>
      </c>
      <c r="CL78">
        <f t="shared" si="88"/>
        <v>93.85</v>
      </c>
      <c r="CM78">
        <f t="shared" si="89"/>
        <v>61.572</v>
      </c>
      <c r="CN78">
        <v>77</v>
      </c>
      <c r="CO78">
        <f t="shared" si="90"/>
        <v>14425.2</v>
      </c>
      <c r="CP78">
        <f t="shared" si="91"/>
        <v>2886.24</v>
      </c>
      <c r="CR78">
        <f t="shared" si="92"/>
        <v>61.54</v>
      </c>
      <c r="CS78">
        <f t="shared" si="93"/>
        <v>123.08</v>
      </c>
      <c r="CT78">
        <f t="shared" si="94"/>
        <v>80.926</v>
      </c>
    </row>
    <row r="79" spans="1:98">
      <c r="A79">
        <v>78</v>
      </c>
      <c r="B79" s="10">
        <v>9700</v>
      </c>
      <c r="C79" s="10">
        <v>1940</v>
      </c>
      <c r="D79" s="10">
        <v>1940</v>
      </c>
      <c r="E79" s="8">
        <f t="shared" si="49"/>
        <v>8050</v>
      </c>
      <c r="F79" s="8">
        <f t="shared" si="50"/>
        <v>1610</v>
      </c>
      <c r="G79" s="8">
        <f t="shared" si="51"/>
        <v>1610</v>
      </c>
      <c r="H79" s="10"/>
      <c r="I79" s="9">
        <v>1</v>
      </c>
      <c r="J79" s="8">
        <f t="shared" si="52"/>
        <v>3142.8</v>
      </c>
      <c r="K79" s="8">
        <f t="shared" si="53"/>
        <v>628.56</v>
      </c>
      <c r="L79" s="8">
        <f t="shared" si="54"/>
        <v>628.56</v>
      </c>
      <c r="M79" s="8">
        <v>0.6</v>
      </c>
      <c r="N79" s="8">
        <f t="shared" si="55"/>
        <v>20892.8</v>
      </c>
      <c r="O79" s="8">
        <f t="shared" si="56"/>
        <v>4178.56</v>
      </c>
      <c r="P79" s="8">
        <f t="shared" si="57"/>
        <v>4178.56</v>
      </c>
      <c r="Q79" s="10">
        <v>40</v>
      </c>
      <c r="R79" s="10">
        <v>80</v>
      </c>
      <c r="S79" s="10">
        <v>49.5</v>
      </c>
      <c r="T79" s="8">
        <v>6.16</v>
      </c>
      <c r="U79" s="8">
        <v>0.2156</v>
      </c>
      <c r="V79" s="8">
        <f t="shared" si="58"/>
        <v>69329.4712096377</v>
      </c>
      <c r="W79" s="8">
        <f t="shared" si="59"/>
        <v>4178.56</v>
      </c>
      <c r="X79" s="8">
        <f t="shared" si="60"/>
        <v>4178.56</v>
      </c>
      <c r="Y79" s="8">
        <f t="shared" si="61"/>
        <v>6932.94712096377</v>
      </c>
      <c r="Z79" s="8">
        <f t="shared" si="62"/>
        <v>10</v>
      </c>
      <c r="AA79">
        <f t="shared" si="63"/>
        <v>2089.28</v>
      </c>
      <c r="AB79">
        <f t="shared" si="64"/>
        <v>10</v>
      </c>
      <c r="AC79">
        <f t="shared" si="65"/>
        <v>30.2138568217629</v>
      </c>
      <c r="AD79">
        <f t="shared" si="66"/>
        <v>9.60588505747127</v>
      </c>
      <c r="AE79">
        <f t="shared" si="67"/>
        <v>9.60588505747127</v>
      </c>
      <c r="AF79">
        <f t="shared" si="95"/>
        <v>23109.8237365459</v>
      </c>
      <c r="AG79">
        <f t="shared" si="96"/>
        <v>4178.56</v>
      </c>
      <c r="AH79">
        <f t="shared" si="97"/>
        <v>2089.28</v>
      </c>
      <c r="AI79">
        <f t="shared" si="68"/>
        <v>3.33333333333333</v>
      </c>
      <c r="AJ79">
        <f t="shared" si="69"/>
        <v>696.426666666667</v>
      </c>
      <c r="AK79">
        <f t="shared" si="70"/>
        <v>30</v>
      </c>
      <c r="BM79">
        <v>78</v>
      </c>
      <c r="BN79">
        <f t="shared" si="71"/>
        <v>4233</v>
      </c>
      <c r="BO79">
        <f t="shared" si="72"/>
        <v>846.4</v>
      </c>
      <c r="BQ79">
        <f t="shared" si="73"/>
        <v>12.7</v>
      </c>
      <c r="BR79">
        <f t="shared" si="74"/>
        <v>25.4</v>
      </c>
      <c r="BS79">
        <f t="shared" si="75"/>
        <v>13.86</v>
      </c>
      <c r="BT79">
        <v>78</v>
      </c>
      <c r="BU79">
        <f t="shared" si="76"/>
        <v>6123.8</v>
      </c>
      <c r="BV79">
        <f t="shared" si="77"/>
        <v>1224.76</v>
      </c>
      <c r="BX79">
        <f t="shared" si="78"/>
        <v>23.85</v>
      </c>
      <c r="BY79">
        <f t="shared" si="79"/>
        <v>47.8</v>
      </c>
      <c r="BZ79">
        <v>78</v>
      </c>
      <c r="CA79">
        <f t="shared" si="80"/>
        <v>8716.1</v>
      </c>
      <c r="CB79">
        <f t="shared" si="81"/>
        <v>1743.08</v>
      </c>
      <c r="CD79">
        <f t="shared" si="82"/>
        <v>37.541</v>
      </c>
      <c r="CE79">
        <f t="shared" si="83"/>
        <v>75.148</v>
      </c>
      <c r="CF79">
        <f t="shared" si="84"/>
        <v>42.62</v>
      </c>
      <c r="CG79">
        <v>78</v>
      </c>
      <c r="CH79">
        <f t="shared" si="85"/>
        <v>11539</v>
      </c>
      <c r="CI79">
        <f t="shared" si="86"/>
        <v>2307.2</v>
      </c>
      <c r="CK79">
        <f t="shared" si="87"/>
        <v>46.925</v>
      </c>
      <c r="CL79">
        <f t="shared" si="88"/>
        <v>93.9</v>
      </c>
      <c r="CM79">
        <f t="shared" si="89"/>
        <v>61.619</v>
      </c>
      <c r="CN79">
        <v>78</v>
      </c>
      <c r="CO79">
        <f t="shared" si="90"/>
        <v>14430.8</v>
      </c>
      <c r="CP79">
        <f t="shared" si="91"/>
        <v>2887.36</v>
      </c>
      <c r="CR79">
        <f t="shared" si="92"/>
        <v>61.56</v>
      </c>
      <c r="CS79">
        <f t="shared" si="93"/>
        <v>123.12</v>
      </c>
      <c r="CT79">
        <f t="shared" si="94"/>
        <v>80.964</v>
      </c>
    </row>
    <row r="80" spans="1:98">
      <c r="A80">
        <v>79</v>
      </c>
      <c r="B80" s="10">
        <v>9800</v>
      </c>
      <c r="C80" s="10">
        <v>1960</v>
      </c>
      <c r="D80" s="10">
        <v>1960</v>
      </c>
      <c r="E80" s="8">
        <f t="shared" si="49"/>
        <v>8150</v>
      </c>
      <c r="F80" s="8">
        <f t="shared" si="50"/>
        <v>1630</v>
      </c>
      <c r="G80" s="8">
        <f t="shared" si="51"/>
        <v>1630</v>
      </c>
      <c r="H80" s="10"/>
      <c r="I80" s="9">
        <v>1</v>
      </c>
      <c r="J80" s="8">
        <f t="shared" si="52"/>
        <v>3175.2</v>
      </c>
      <c r="K80" s="8">
        <f t="shared" si="53"/>
        <v>635.04</v>
      </c>
      <c r="L80" s="8">
        <f t="shared" si="54"/>
        <v>635.04</v>
      </c>
      <c r="M80" s="8">
        <v>0.6</v>
      </c>
      <c r="N80" s="8">
        <f t="shared" si="55"/>
        <v>21125.2</v>
      </c>
      <c r="O80" s="8">
        <f t="shared" si="56"/>
        <v>4225.04</v>
      </c>
      <c r="P80" s="8">
        <f t="shared" si="57"/>
        <v>4225.04</v>
      </c>
      <c r="Q80" s="10">
        <v>40</v>
      </c>
      <c r="R80" s="10">
        <v>80</v>
      </c>
      <c r="S80" s="10">
        <v>50.16</v>
      </c>
      <c r="T80" s="8">
        <v>6.24</v>
      </c>
      <c r="U80" s="8">
        <v>0.2184</v>
      </c>
      <c r="V80" s="8">
        <f t="shared" si="58"/>
        <v>70625.4923032936</v>
      </c>
      <c r="W80" s="8">
        <f t="shared" si="59"/>
        <v>4225.04</v>
      </c>
      <c r="X80" s="8">
        <f t="shared" si="60"/>
        <v>4225.04</v>
      </c>
      <c r="Y80" s="8">
        <f t="shared" si="61"/>
        <v>7062.54923032936</v>
      </c>
      <c r="Z80" s="8">
        <f t="shared" si="62"/>
        <v>10</v>
      </c>
      <c r="AA80">
        <f t="shared" si="63"/>
        <v>2112.52</v>
      </c>
      <c r="AB80">
        <f t="shared" si="64"/>
        <v>10</v>
      </c>
      <c r="AC80">
        <f t="shared" si="65"/>
        <v>30.778664184036</v>
      </c>
      <c r="AD80">
        <f t="shared" si="66"/>
        <v>9.71273563218391</v>
      </c>
      <c r="AE80">
        <f t="shared" si="67"/>
        <v>9.71273563218391</v>
      </c>
      <c r="AF80">
        <f t="shared" si="95"/>
        <v>23541.8307677645</v>
      </c>
      <c r="AG80">
        <f t="shared" si="96"/>
        <v>4225.04</v>
      </c>
      <c r="AH80">
        <f t="shared" si="97"/>
        <v>2112.52</v>
      </c>
      <c r="AI80">
        <f t="shared" si="68"/>
        <v>3.33333333333333</v>
      </c>
      <c r="AJ80">
        <f t="shared" si="69"/>
        <v>704.173333333333</v>
      </c>
      <c r="AK80">
        <f t="shared" si="70"/>
        <v>30</v>
      </c>
      <c r="BM80">
        <v>79</v>
      </c>
      <c r="BN80">
        <f t="shared" si="71"/>
        <v>4262</v>
      </c>
      <c r="BO80">
        <f t="shared" si="72"/>
        <v>852.2</v>
      </c>
      <c r="BQ80">
        <f t="shared" si="73"/>
        <v>12.8</v>
      </c>
      <c r="BR80">
        <f t="shared" si="74"/>
        <v>25.6</v>
      </c>
      <c r="BS80">
        <f t="shared" si="75"/>
        <v>14.04</v>
      </c>
      <c r="BT80">
        <v>79</v>
      </c>
      <c r="BU80">
        <f t="shared" si="76"/>
        <v>6138.4</v>
      </c>
      <c r="BV80">
        <f t="shared" si="77"/>
        <v>1227.68</v>
      </c>
      <c r="BX80">
        <f t="shared" si="78"/>
        <v>23.9</v>
      </c>
      <c r="BY80">
        <f t="shared" si="79"/>
        <v>47.9</v>
      </c>
      <c r="BZ80">
        <v>79</v>
      </c>
      <c r="CA80">
        <f t="shared" si="80"/>
        <v>8725.4</v>
      </c>
      <c r="CB80">
        <f t="shared" si="81"/>
        <v>1744.94</v>
      </c>
      <c r="CD80">
        <f t="shared" si="82"/>
        <v>37.574</v>
      </c>
      <c r="CE80">
        <f t="shared" si="83"/>
        <v>75.214</v>
      </c>
      <c r="CF80">
        <f t="shared" si="84"/>
        <v>42.68</v>
      </c>
      <c r="CG80">
        <v>79</v>
      </c>
      <c r="CH80">
        <f t="shared" si="85"/>
        <v>11546</v>
      </c>
      <c r="CI80">
        <f t="shared" si="86"/>
        <v>2308.6</v>
      </c>
      <c r="CK80">
        <f t="shared" si="87"/>
        <v>46.95</v>
      </c>
      <c r="CL80">
        <f t="shared" si="88"/>
        <v>93.95</v>
      </c>
      <c r="CM80">
        <f t="shared" si="89"/>
        <v>61.666</v>
      </c>
      <c r="CN80">
        <v>79</v>
      </c>
      <c r="CO80">
        <f t="shared" si="90"/>
        <v>14436.4</v>
      </c>
      <c r="CP80">
        <f t="shared" si="91"/>
        <v>2888.48</v>
      </c>
      <c r="CR80">
        <f t="shared" si="92"/>
        <v>61.58</v>
      </c>
      <c r="CS80">
        <f t="shared" si="93"/>
        <v>123.16</v>
      </c>
      <c r="CT80">
        <f t="shared" si="94"/>
        <v>81.002</v>
      </c>
    </row>
    <row r="81" s="1" customFormat="1" spans="1:98">
      <c r="A81" s="1">
        <v>80</v>
      </c>
      <c r="B81" s="1">
        <v>9900</v>
      </c>
      <c r="C81" s="1">
        <v>1980</v>
      </c>
      <c r="D81" s="1">
        <v>1980</v>
      </c>
      <c r="E81" s="1">
        <f t="shared" si="49"/>
        <v>8250</v>
      </c>
      <c r="F81" s="1">
        <f t="shared" si="50"/>
        <v>1650</v>
      </c>
      <c r="G81" s="1">
        <f t="shared" si="51"/>
        <v>1650</v>
      </c>
      <c r="I81" s="1">
        <v>1</v>
      </c>
      <c r="J81" s="1">
        <f t="shared" si="52"/>
        <v>3207.6</v>
      </c>
      <c r="K81" s="1">
        <f t="shared" si="53"/>
        <v>641.52</v>
      </c>
      <c r="L81" s="1">
        <f t="shared" si="54"/>
        <v>641.52</v>
      </c>
      <c r="M81" s="8">
        <v>0.6</v>
      </c>
      <c r="N81" s="1">
        <f t="shared" si="55"/>
        <v>21357.6</v>
      </c>
      <c r="O81" s="1">
        <f t="shared" si="56"/>
        <v>4271.52</v>
      </c>
      <c r="P81" s="1">
        <f t="shared" si="57"/>
        <v>4271.52</v>
      </c>
      <c r="Q81" s="1">
        <v>40</v>
      </c>
      <c r="R81" s="1">
        <v>80</v>
      </c>
      <c r="S81" s="1">
        <v>50.82</v>
      </c>
      <c r="T81" s="1">
        <v>6.32</v>
      </c>
      <c r="U81" s="1">
        <v>0.2212</v>
      </c>
      <c r="V81" s="1">
        <f t="shared" si="58"/>
        <v>71935.2231892499</v>
      </c>
      <c r="W81" s="1">
        <f t="shared" si="59"/>
        <v>4271.52</v>
      </c>
      <c r="X81" s="1">
        <f t="shared" si="60"/>
        <v>4271.52</v>
      </c>
      <c r="Y81" s="1">
        <f t="shared" si="61"/>
        <v>7193.52231892499</v>
      </c>
      <c r="Z81" s="1">
        <f t="shared" si="62"/>
        <v>10</v>
      </c>
      <c r="AA81" s="1">
        <f t="shared" si="63"/>
        <v>2135.76</v>
      </c>
      <c r="AB81" s="1">
        <f t="shared" si="64"/>
        <v>10</v>
      </c>
      <c r="AC81">
        <f t="shared" si="65"/>
        <v>31.3494462882824</v>
      </c>
      <c r="AD81">
        <f t="shared" si="66"/>
        <v>9.81958620689655</v>
      </c>
      <c r="AE81">
        <f t="shared" si="67"/>
        <v>9.81958620689655</v>
      </c>
      <c r="AF81" s="1">
        <f t="shared" si="95"/>
        <v>23978.40772975</v>
      </c>
      <c r="AG81" s="1">
        <f t="shared" si="96"/>
        <v>4271.52</v>
      </c>
      <c r="AH81" s="1">
        <f t="shared" si="97"/>
        <v>2135.76</v>
      </c>
      <c r="AI81" s="1">
        <f t="shared" si="68"/>
        <v>3.33333333333334</v>
      </c>
      <c r="AJ81" s="1">
        <f t="shared" si="69"/>
        <v>711.92</v>
      </c>
      <c r="AK81" s="1">
        <f t="shared" si="70"/>
        <v>30</v>
      </c>
      <c r="AX81" s="3"/>
      <c r="AY81" s="3"/>
      <c r="AZ81" s="3"/>
      <c r="BA81" s="3"/>
      <c r="BB81" s="3"/>
      <c r="BC81" s="3"/>
      <c r="BD81" s="4"/>
      <c r="BE81" s="4"/>
      <c r="BF81" s="4"/>
      <c r="BG81" s="4"/>
      <c r="BH81" s="4"/>
      <c r="BI81" s="4"/>
      <c r="BJ81" s="3"/>
      <c r="BK81" s="3"/>
      <c r="BM81" s="1">
        <v>80</v>
      </c>
      <c r="BN81" s="1">
        <f t="shared" si="71"/>
        <v>4291</v>
      </c>
      <c r="BO81" s="1">
        <f t="shared" si="72"/>
        <v>858</v>
      </c>
      <c r="BQ81" s="1">
        <f t="shared" si="73"/>
        <v>12.9</v>
      </c>
      <c r="BR81" s="1">
        <f t="shared" si="74"/>
        <v>25.8</v>
      </c>
      <c r="BS81" s="1">
        <f t="shared" si="75"/>
        <v>14.22</v>
      </c>
      <c r="BT81" s="1">
        <v>80</v>
      </c>
      <c r="BU81" s="1">
        <f t="shared" si="76"/>
        <v>6153</v>
      </c>
      <c r="BV81" s="1">
        <f t="shared" si="77"/>
        <v>1230.6</v>
      </c>
      <c r="BX81" s="1">
        <f t="shared" si="78"/>
        <v>23.95</v>
      </c>
      <c r="BY81" s="1">
        <f t="shared" si="79"/>
        <v>48</v>
      </c>
      <c r="BZ81" s="1">
        <v>80</v>
      </c>
      <c r="CA81" s="1">
        <f t="shared" si="80"/>
        <v>8734.7</v>
      </c>
      <c r="CB81" s="1">
        <f t="shared" si="81"/>
        <v>1746.8</v>
      </c>
      <c r="CD81" s="1">
        <f t="shared" si="82"/>
        <v>37.607</v>
      </c>
      <c r="CE81" s="1">
        <f t="shared" si="83"/>
        <v>75.28</v>
      </c>
      <c r="CF81" s="1">
        <f t="shared" si="84"/>
        <v>42.74</v>
      </c>
      <c r="CG81" s="1">
        <v>80</v>
      </c>
      <c r="CH81" s="1">
        <f t="shared" si="85"/>
        <v>11553</v>
      </c>
      <c r="CI81" s="1">
        <f t="shared" si="86"/>
        <v>2310</v>
      </c>
      <c r="CK81" s="1">
        <f t="shared" si="87"/>
        <v>46.975</v>
      </c>
      <c r="CL81" s="1">
        <f t="shared" si="88"/>
        <v>94</v>
      </c>
      <c r="CM81" s="1">
        <f t="shared" si="89"/>
        <v>61.713</v>
      </c>
      <c r="CN81" s="1">
        <v>80</v>
      </c>
      <c r="CO81" s="1">
        <f t="shared" si="90"/>
        <v>14442</v>
      </c>
      <c r="CP81" s="1">
        <f t="shared" si="91"/>
        <v>2889.6</v>
      </c>
      <c r="CR81" s="1">
        <f t="shared" si="92"/>
        <v>61.6</v>
      </c>
      <c r="CS81" s="1">
        <f t="shared" si="93"/>
        <v>123.2</v>
      </c>
      <c r="CT81" s="1">
        <f t="shared" si="94"/>
        <v>81.04</v>
      </c>
    </row>
    <row r="82" spans="1:98">
      <c r="A82">
        <v>81</v>
      </c>
      <c r="B82" s="10">
        <v>10000</v>
      </c>
      <c r="C82" s="10">
        <v>2000</v>
      </c>
      <c r="D82" s="10">
        <v>2000</v>
      </c>
      <c r="E82" s="8">
        <f t="shared" si="49"/>
        <v>8350</v>
      </c>
      <c r="F82" s="8">
        <f t="shared" si="50"/>
        <v>1670</v>
      </c>
      <c r="G82" s="8">
        <f t="shared" si="51"/>
        <v>1670</v>
      </c>
      <c r="H82" s="10"/>
      <c r="I82" s="9">
        <v>1</v>
      </c>
      <c r="J82" s="8">
        <f t="shared" si="52"/>
        <v>3780</v>
      </c>
      <c r="K82" s="8">
        <f t="shared" si="53"/>
        <v>756</v>
      </c>
      <c r="L82" s="8">
        <f t="shared" si="54"/>
        <v>756</v>
      </c>
      <c r="M82" s="8">
        <v>0.7</v>
      </c>
      <c r="N82" s="8">
        <f t="shared" si="55"/>
        <v>22130</v>
      </c>
      <c r="O82" s="8">
        <f t="shared" si="56"/>
        <v>4426</v>
      </c>
      <c r="P82" s="8">
        <f t="shared" si="57"/>
        <v>4426</v>
      </c>
      <c r="Q82" s="10">
        <v>45</v>
      </c>
      <c r="R82" s="10">
        <v>90</v>
      </c>
      <c r="S82" s="10">
        <v>51.48</v>
      </c>
      <c r="T82" s="8">
        <v>6.4</v>
      </c>
      <c r="U82" s="8">
        <v>0.224</v>
      </c>
      <c r="V82" s="8">
        <f t="shared" si="58"/>
        <v>80984.8291087987</v>
      </c>
      <c r="W82" s="8">
        <f t="shared" si="59"/>
        <v>4426</v>
      </c>
      <c r="X82" s="8">
        <f t="shared" si="60"/>
        <v>4426</v>
      </c>
      <c r="Y82" s="8">
        <f t="shared" si="61"/>
        <v>8098.48291087987</v>
      </c>
      <c r="Z82" s="8">
        <f t="shared" si="62"/>
        <v>10</v>
      </c>
      <c r="AA82">
        <f t="shared" si="63"/>
        <v>2213</v>
      </c>
      <c r="AB82">
        <f t="shared" si="64"/>
        <v>10</v>
      </c>
      <c r="AC82">
        <f t="shared" si="65"/>
        <v>35.2932741118042</v>
      </c>
      <c r="AD82">
        <f t="shared" si="66"/>
        <v>10.1747126436782</v>
      </c>
      <c r="AE82">
        <f t="shared" si="67"/>
        <v>10.1747126436782</v>
      </c>
      <c r="AF82">
        <f t="shared" si="95"/>
        <v>26994.9430362662</v>
      </c>
      <c r="AG82">
        <f t="shared" si="96"/>
        <v>4426</v>
      </c>
      <c r="AH82">
        <f t="shared" si="97"/>
        <v>2213</v>
      </c>
      <c r="AI82">
        <f t="shared" si="68"/>
        <v>3.33333333333333</v>
      </c>
      <c r="AJ82">
        <f t="shared" si="69"/>
        <v>737.666666666667</v>
      </c>
      <c r="AK82">
        <f t="shared" si="70"/>
        <v>30</v>
      </c>
      <c r="BM82">
        <v>81</v>
      </c>
      <c r="BN82">
        <f t="shared" si="71"/>
        <v>4320</v>
      </c>
      <c r="BO82">
        <f t="shared" si="72"/>
        <v>863.8</v>
      </c>
      <c r="BQ82">
        <f t="shared" si="73"/>
        <v>13</v>
      </c>
      <c r="BR82">
        <f t="shared" si="74"/>
        <v>26</v>
      </c>
      <c r="BS82">
        <f t="shared" si="75"/>
        <v>14.4</v>
      </c>
      <c r="BT82">
        <v>81</v>
      </c>
      <c r="BU82">
        <f t="shared" si="76"/>
        <v>6167.6</v>
      </c>
      <c r="BV82">
        <f t="shared" si="77"/>
        <v>1233.52</v>
      </c>
      <c r="BX82">
        <f t="shared" si="78"/>
        <v>24</v>
      </c>
      <c r="BY82">
        <f t="shared" si="79"/>
        <v>48.1</v>
      </c>
      <c r="BZ82">
        <v>81</v>
      </c>
      <c r="CA82">
        <f t="shared" si="80"/>
        <v>8744</v>
      </c>
      <c r="CB82">
        <f t="shared" si="81"/>
        <v>1748.66</v>
      </c>
      <c r="CD82">
        <f t="shared" si="82"/>
        <v>37.64</v>
      </c>
      <c r="CE82">
        <f t="shared" si="83"/>
        <v>75.346</v>
      </c>
      <c r="CF82">
        <f t="shared" si="84"/>
        <v>42.8</v>
      </c>
      <c r="CG82">
        <v>81</v>
      </c>
      <c r="CH82">
        <f t="shared" si="85"/>
        <v>11560</v>
      </c>
      <c r="CI82">
        <f t="shared" si="86"/>
        <v>2311.4</v>
      </c>
      <c r="CK82">
        <f t="shared" si="87"/>
        <v>47</v>
      </c>
      <c r="CL82">
        <f t="shared" si="88"/>
        <v>94.05</v>
      </c>
      <c r="CM82">
        <f t="shared" si="89"/>
        <v>61.76</v>
      </c>
      <c r="CN82">
        <v>81</v>
      </c>
      <c r="CO82">
        <f t="shared" si="90"/>
        <v>14447.6</v>
      </c>
      <c r="CP82">
        <f t="shared" si="91"/>
        <v>2890.72</v>
      </c>
      <c r="CR82">
        <f t="shared" si="92"/>
        <v>61.62</v>
      </c>
      <c r="CS82">
        <f t="shared" si="93"/>
        <v>123.24</v>
      </c>
      <c r="CT82">
        <f t="shared" si="94"/>
        <v>81.078</v>
      </c>
    </row>
    <row r="83" spans="1:98">
      <c r="A83">
        <v>82</v>
      </c>
      <c r="B83" s="10">
        <v>10100</v>
      </c>
      <c r="C83" s="10">
        <v>2020</v>
      </c>
      <c r="D83" s="10">
        <v>2020</v>
      </c>
      <c r="E83" s="8">
        <f t="shared" si="49"/>
        <v>8450</v>
      </c>
      <c r="F83" s="8">
        <f t="shared" si="50"/>
        <v>1690</v>
      </c>
      <c r="G83" s="8">
        <f t="shared" si="51"/>
        <v>1690</v>
      </c>
      <c r="H83" s="10"/>
      <c r="I83" s="9">
        <v>1</v>
      </c>
      <c r="J83" s="8">
        <f t="shared" si="52"/>
        <v>3817.8</v>
      </c>
      <c r="K83" s="8">
        <f t="shared" si="53"/>
        <v>763.56</v>
      </c>
      <c r="L83" s="8">
        <f t="shared" si="54"/>
        <v>763.56</v>
      </c>
      <c r="M83" s="8">
        <v>0.7</v>
      </c>
      <c r="N83" s="8">
        <f t="shared" si="55"/>
        <v>22367.8</v>
      </c>
      <c r="O83" s="8">
        <f t="shared" si="56"/>
        <v>4473.56</v>
      </c>
      <c r="P83" s="8">
        <f t="shared" si="57"/>
        <v>4473.56</v>
      </c>
      <c r="Q83" s="10">
        <v>45</v>
      </c>
      <c r="R83" s="10">
        <v>90</v>
      </c>
      <c r="S83" s="10">
        <v>52.14</v>
      </c>
      <c r="T83" s="8">
        <v>6.48</v>
      </c>
      <c r="U83" s="8">
        <v>0.2268</v>
      </c>
      <c r="V83" s="8">
        <f t="shared" si="58"/>
        <v>82461.7232988407</v>
      </c>
      <c r="W83" s="8">
        <f t="shared" si="59"/>
        <v>4473.56</v>
      </c>
      <c r="X83" s="8">
        <f t="shared" si="60"/>
        <v>4473.56</v>
      </c>
      <c r="Y83" s="8">
        <f t="shared" si="61"/>
        <v>8246.17232988407</v>
      </c>
      <c r="Z83" s="8">
        <f t="shared" si="62"/>
        <v>10</v>
      </c>
      <c r="AA83">
        <f t="shared" si="63"/>
        <v>2236.78</v>
      </c>
      <c r="AB83">
        <f t="shared" si="64"/>
        <v>10</v>
      </c>
      <c r="AC83">
        <f t="shared" si="65"/>
        <v>35.9369061606322</v>
      </c>
      <c r="AD83">
        <f t="shared" si="66"/>
        <v>10.2840459770115</v>
      </c>
      <c r="AE83">
        <f t="shared" si="67"/>
        <v>10.2840459770115</v>
      </c>
      <c r="AF83">
        <f t="shared" si="95"/>
        <v>27487.2410996136</v>
      </c>
      <c r="AG83">
        <f t="shared" si="96"/>
        <v>4473.56</v>
      </c>
      <c r="AH83">
        <f t="shared" si="97"/>
        <v>2236.78</v>
      </c>
      <c r="AI83">
        <f t="shared" si="68"/>
        <v>3.33333333333334</v>
      </c>
      <c r="AJ83">
        <f t="shared" si="69"/>
        <v>745.593333333334</v>
      </c>
      <c r="AK83">
        <f t="shared" si="70"/>
        <v>30</v>
      </c>
      <c r="BM83">
        <v>82</v>
      </c>
      <c r="BN83">
        <f t="shared" si="71"/>
        <v>4349</v>
      </c>
      <c r="BO83">
        <f t="shared" si="72"/>
        <v>869.6</v>
      </c>
      <c r="BQ83">
        <f t="shared" si="73"/>
        <v>13.1</v>
      </c>
      <c r="BR83">
        <f t="shared" si="74"/>
        <v>26.2</v>
      </c>
      <c r="BS83">
        <f t="shared" si="75"/>
        <v>14.58</v>
      </c>
      <c r="BT83">
        <v>82</v>
      </c>
      <c r="BU83">
        <f t="shared" si="76"/>
        <v>6182.2</v>
      </c>
      <c r="BV83">
        <f t="shared" si="77"/>
        <v>1236.44</v>
      </c>
      <c r="BX83">
        <f t="shared" si="78"/>
        <v>24.05</v>
      </c>
      <c r="BY83">
        <f t="shared" si="79"/>
        <v>48.2</v>
      </c>
      <c r="BZ83">
        <v>82</v>
      </c>
      <c r="CA83">
        <f t="shared" si="80"/>
        <v>8753.3</v>
      </c>
      <c r="CB83">
        <f t="shared" si="81"/>
        <v>1750.52</v>
      </c>
      <c r="CD83">
        <f t="shared" si="82"/>
        <v>37.673</v>
      </c>
      <c r="CE83">
        <f t="shared" si="83"/>
        <v>75.412</v>
      </c>
      <c r="CF83">
        <f t="shared" si="84"/>
        <v>42.86</v>
      </c>
      <c r="CG83">
        <v>82</v>
      </c>
      <c r="CH83">
        <f t="shared" si="85"/>
        <v>11567</v>
      </c>
      <c r="CI83">
        <f t="shared" si="86"/>
        <v>2312.8</v>
      </c>
      <c r="CK83">
        <f t="shared" si="87"/>
        <v>47.025</v>
      </c>
      <c r="CL83">
        <f t="shared" si="88"/>
        <v>94.1</v>
      </c>
      <c r="CM83">
        <f t="shared" si="89"/>
        <v>61.807</v>
      </c>
      <c r="CN83">
        <v>82</v>
      </c>
      <c r="CO83">
        <f t="shared" si="90"/>
        <v>14453.2</v>
      </c>
      <c r="CP83">
        <f t="shared" si="91"/>
        <v>2891.84</v>
      </c>
      <c r="CR83">
        <f t="shared" si="92"/>
        <v>61.64</v>
      </c>
      <c r="CS83">
        <f t="shared" si="93"/>
        <v>123.28</v>
      </c>
      <c r="CT83">
        <f t="shared" si="94"/>
        <v>81.116</v>
      </c>
    </row>
    <row r="84" spans="1:98">
      <c r="A84">
        <v>83</v>
      </c>
      <c r="B84" s="10">
        <v>10200</v>
      </c>
      <c r="C84" s="10">
        <v>2040</v>
      </c>
      <c r="D84" s="10">
        <v>2040</v>
      </c>
      <c r="E84" s="8">
        <f t="shared" si="49"/>
        <v>8550</v>
      </c>
      <c r="F84" s="8">
        <f t="shared" si="50"/>
        <v>1710</v>
      </c>
      <c r="G84" s="8">
        <f t="shared" si="51"/>
        <v>1710</v>
      </c>
      <c r="H84" s="10"/>
      <c r="I84" s="9">
        <v>1</v>
      </c>
      <c r="J84" s="8">
        <f t="shared" si="52"/>
        <v>3855.6</v>
      </c>
      <c r="K84" s="8">
        <f t="shared" si="53"/>
        <v>771.12</v>
      </c>
      <c r="L84" s="8">
        <f t="shared" si="54"/>
        <v>771.12</v>
      </c>
      <c r="M84" s="8">
        <v>0.7</v>
      </c>
      <c r="N84" s="8">
        <f t="shared" si="55"/>
        <v>22605.6</v>
      </c>
      <c r="O84" s="8">
        <f t="shared" si="56"/>
        <v>4521.12</v>
      </c>
      <c r="P84" s="8">
        <f t="shared" si="57"/>
        <v>4521.12</v>
      </c>
      <c r="Q84" s="10">
        <v>45</v>
      </c>
      <c r="R84" s="10">
        <v>90</v>
      </c>
      <c r="S84" s="10">
        <v>52.8</v>
      </c>
      <c r="T84" s="8">
        <v>6.56</v>
      </c>
      <c r="U84" s="8">
        <v>0.2296</v>
      </c>
      <c r="V84" s="8">
        <f t="shared" si="58"/>
        <v>83953.9961588463</v>
      </c>
      <c r="W84" s="8">
        <f t="shared" si="59"/>
        <v>4521.12</v>
      </c>
      <c r="X84" s="8">
        <f t="shared" si="60"/>
        <v>4521.12</v>
      </c>
      <c r="Y84" s="8">
        <f t="shared" si="61"/>
        <v>8395.39961588463</v>
      </c>
      <c r="Z84" s="8">
        <f t="shared" si="62"/>
        <v>10</v>
      </c>
      <c r="AA84">
        <f t="shared" si="63"/>
        <v>2260.56</v>
      </c>
      <c r="AB84">
        <f t="shared" si="64"/>
        <v>10</v>
      </c>
      <c r="AC84">
        <f t="shared" si="65"/>
        <v>36.5872402500828</v>
      </c>
      <c r="AD84">
        <f t="shared" si="66"/>
        <v>10.3933793103448</v>
      </c>
      <c r="AE84">
        <f t="shared" si="67"/>
        <v>10.3933793103448</v>
      </c>
      <c r="AF84">
        <f t="shared" si="95"/>
        <v>27984.6653862821</v>
      </c>
      <c r="AG84">
        <f t="shared" si="96"/>
        <v>4521.12</v>
      </c>
      <c r="AH84">
        <f t="shared" si="97"/>
        <v>2260.56</v>
      </c>
      <c r="AI84">
        <f t="shared" si="68"/>
        <v>3.33333333333333</v>
      </c>
      <c r="AJ84">
        <f t="shared" si="69"/>
        <v>753.52</v>
      </c>
      <c r="AK84">
        <f t="shared" si="70"/>
        <v>30</v>
      </c>
      <c r="BM84">
        <v>83</v>
      </c>
      <c r="BN84">
        <f t="shared" si="71"/>
        <v>4378</v>
      </c>
      <c r="BO84">
        <f t="shared" si="72"/>
        <v>875.4</v>
      </c>
      <c r="BQ84">
        <f t="shared" si="73"/>
        <v>13.2</v>
      </c>
      <c r="BR84">
        <f t="shared" si="74"/>
        <v>26.4</v>
      </c>
      <c r="BS84">
        <f t="shared" si="75"/>
        <v>14.76</v>
      </c>
      <c r="BT84">
        <v>83</v>
      </c>
      <c r="BU84">
        <f t="shared" si="76"/>
        <v>6196.8</v>
      </c>
      <c r="BV84">
        <f t="shared" si="77"/>
        <v>1239.36</v>
      </c>
      <c r="BX84">
        <f t="shared" si="78"/>
        <v>24.1</v>
      </c>
      <c r="BY84">
        <f t="shared" si="79"/>
        <v>48.3</v>
      </c>
      <c r="BZ84">
        <v>83</v>
      </c>
      <c r="CA84">
        <f t="shared" si="80"/>
        <v>8762.6</v>
      </c>
      <c r="CB84">
        <f t="shared" si="81"/>
        <v>1752.38</v>
      </c>
      <c r="CD84">
        <f t="shared" si="82"/>
        <v>37.706</v>
      </c>
      <c r="CE84">
        <f t="shared" si="83"/>
        <v>75.478</v>
      </c>
      <c r="CF84">
        <f t="shared" si="84"/>
        <v>42.92</v>
      </c>
      <c r="CG84">
        <v>83</v>
      </c>
      <c r="CH84">
        <f t="shared" si="85"/>
        <v>11574</v>
      </c>
      <c r="CI84">
        <f t="shared" si="86"/>
        <v>2314.2</v>
      </c>
      <c r="CK84">
        <f t="shared" si="87"/>
        <v>47.05</v>
      </c>
      <c r="CL84">
        <f t="shared" si="88"/>
        <v>94.15</v>
      </c>
      <c r="CM84">
        <f t="shared" si="89"/>
        <v>61.854</v>
      </c>
      <c r="CN84">
        <v>83</v>
      </c>
      <c r="CO84">
        <f t="shared" si="90"/>
        <v>14458.8</v>
      </c>
      <c r="CP84">
        <f t="shared" si="91"/>
        <v>2892.96</v>
      </c>
      <c r="CR84">
        <f t="shared" si="92"/>
        <v>61.66</v>
      </c>
      <c r="CS84">
        <f t="shared" si="93"/>
        <v>123.32</v>
      </c>
      <c r="CT84">
        <f t="shared" si="94"/>
        <v>81.154</v>
      </c>
    </row>
    <row r="85" spans="1:98">
      <c r="A85">
        <v>84</v>
      </c>
      <c r="B85" s="10">
        <v>10300</v>
      </c>
      <c r="C85" s="10">
        <v>2060</v>
      </c>
      <c r="D85" s="10">
        <v>2060</v>
      </c>
      <c r="E85" s="8">
        <f t="shared" si="49"/>
        <v>8650</v>
      </c>
      <c r="F85" s="8">
        <f t="shared" si="50"/>
        <v>1730</v>
      </c>
      <c r="G85" s="8">
        <f t="shared" si="51"/>
        <v>1730</v>
      </c>
      <c r="H85" s="10"/>
      <c r="I85" s="9">
        <v>1</v>
      </c>
      <c r="J85" s="8">
        <f t="shared" si="52"/>
        <v>3893.4</v>
      </c>
      <c r="K85" s="8">
        <f t="shared" si="53"/>
        <v>778.68</v>
      </c>
      <c r="L85" s="8">
        <f t="shared" si="54"/>
        <v>778.68</v>
      </c>
      <c r="M85" s="8">
        <v>0.7</v>
      </c>
      <c r="N85" s="8">
        <f t="shared" si="55"/>
        <v>22843.4</v>
      </c>
      <c r="O85" s="8">
        <f t="shared" si="56"/>
        <v>4568.68</v>
      </c>
      <c r="P85" s="8">
        <f t="shared" si="57"/>
        <v>4568.68</v>
      </c>
      <c r="Q85" s="10">
        <v>45</v>
      </c>
      <c r="R85" s="10">
        <v>90</v>
      </c>
      <c r="S85" s="10">
        <v>53.46</v>
      </c>
      <c r="T85" s="8">
        <v>6.64</v>
      </c>
      <c r="U85" s="8">
        <v>0.2324</v>
      </c>
      <c r="V85" s="8">
        <f t="shared" si="58"/>
        <v>85461.7296922616</v>
      </c>
      <c r="W85" s="8">
        <f t="shared" si="59"/>
        <v>4568.68</v>
      </c>
      <c r="X85" s="8">
        <f t="shared" si="60"/>
        <v>4568.68</v>
      </c>
      <c r="Y85" s="8">
        <f t="shared" si="61"/>
        <v>8546.17296922616</v>
      </c>
      <c r="Z85" s="8">
        <f t="shared" si="62"/>
        <v>10</v>
      </c>
      <c r="AA85">
        <f t="shared" si="63"/>
        <v>2284.34</v>
      </c>
      <c r="AB85">
        <f t="shared" si="64"/>
        <v>10</v>
      </c>
      <c r="AC85">
        <f t="shared" si="65"/>
        <v>37.2443121173445</v>
      </c>
      <c r="AD85">
        <f t="shared" si="66"/>
        <v>10.5027126436782</v>
      </c>
      <c r="AE85">
        <f t="shared" si="67"/>
        <v>10.5027126436782</v>
      </c>
      <c r="AF85">
        <f t="shared" si="95"/>
        <v>28487.2432307539</v>
      </c>
      <c r="AG85">
        <f t="shared" si="96"/>
        <v>4568.68</v>
      </c>
      <c r="AH85">
        <f t="shared" si="97"/>
        <v>2284.34</v>
      </c>
      <c r="AI85">
        <f t="shared" si="68"/>
        <v>3.33333333333334</v>
      </c>
      <c r="AJ85">
        <f t="shared" si="69"/>
        <v>761.446666666667</v>
      </c>
      <c r="AK85">
        <f t="shared" si="70"/>
        <v>30</v>
      </c>
      <c r="BM85">
        <v>84</v>
      </c>
      <c r="BN85">
        <f t="shared" si="71"/>
        <v>4407</v>
      </c>
      <c r="BO85">
        <f t="shared" si="72"/>
        <v>881.2</v>
      </c>
      <c r="BQ85">
        <f t="shared" si="73"/>
        <v>13.3</v>
      </c>
      <c r="BR85">
        <f t="shared" si="74"/>
        <v>26.6</v>
      </c>
      <c r="BS85">
        <f t="shared" si="75"/>
        <v>14.94</v>
      </c>
      <c r="BT85">
        <v>84</v>
      </c>
      <c r="BU85">
        <f t="shared" si="76"/>
        <v>6211.4</v>
      </c>
      <c r="BV85">
        <f t="shared" si="77"/>
        <v>1242.28</v>
      </c>
      <c r="BX85">
        <f t="shared" si="78"/>
        <v>24.15</v>
      </c>
      <c r="BY85">
        <f t="shared" si="79"/>
        <v>48.4</v>
      </c>
      <c r="BZ85">
        <v>84</v>
      </c>
      <c r="CA85">
        <f t="shared" si="80"/>
        <v>8771.9</v>
      </c>
      <c r="CB85">
        <f t="shared" si="81"/>
        <v>1754.24</v>
      </c>
      <c r="CD85">
        <f t="shared" si="82"/>
        <v>37.739</v>
      </c>
      <c r="CE85">
        <f t="shared" si="83"/>
        <v>75.544</v>
      </c>
      <c r="CF85">
        <f t="shared" si="84"/>
        <v>42.98</v>
      </c>
      <c r="CG85">
        <v>84</v>
      </c>
      <c r="CH85">
        <f t="shared" si="85"/>
        <v>11581</v>
      </c>
      <c r="CI85">
        <f t="shared" si="86"/>
        <v>2315.6</v>
      </c>
      <c r="CK85">
        <f t="shared" si="87"/>
        <v>47.075</v>
      </c>
      <c r="CL85">
        <f t="shared" si="88"/>
        <v>94.2</v>
      </c>
      <c r="CM85">
        <f t="shared" si="89"/>
        <v>61.901</v>
      </c>
      <c r="CN85">
        <v>84</v>
      </c>
      <c r="CO85">
        <f t="shared" si="90"/>
        <v>14464.4</v>
      </c>
      <c r="CP85">
        <f t="shared" si="91"/>
        <v>2894.08</v>
      </c>
      <c r="CR85">
        <f t="shared" si="92"/>
        <v>61.68</v>
      </c>
      <c r="CS85">
        <f t="shared" si="93"/>
        <v>123.36</v>
      </c>
      <c r="CT85">
        <f t="shared" si="94"/>
        <v>81.192</v>
      </c>
    </row>
    <row r="86" spans="1:98">
      <c r="A86">
        <v>85</v>
      </c>
      <c r="B86" s="10">
        <v>10400</v>
      </c>
      <c r="C86" s="10">
        <v>2080</v>
      </c>
      <c r="D86" s="10">
        <v>2080</v>
      </c>
      <c r="E86" s="8">
        <f t="shared" si="49"/>
        <v>8750</v>
      </c>
      <c r="F86" s="8">
        <f t="shared" si="50"/>
        <v>1750</v>
      </c>
      <c r="G86" s="8">
        <f t="shared" si="51"/>
        <v>1750</v>
      </c>
      <c r="H86" s="10"/>
      <c r="I86" s="9">
        <v>1</v>
      </c>
      <c r="J86" s="8">
        <f t="shared" si="52"/>
        <v>3931.2</v>
      </c>
      <c r="K86" s="8">
        <f t="shared" si="53"/>
        <v>786.24</v>
      </c>
      <c r="L86" s="8">
        <f t="shared" si="54"/>
        <v>786.24</v>
      </c>
      <c r="M86" s="8">
        <v>0.7</v>
      </c>
      <c r="N86" s="8">
        <f t="shared" si="55"/>
        <v>23081.2</v>
      </c>
      <c r="O86" s="8">
        <f t="shared" si="56"/>
        <v>4616.24</v>
      </c>
      <c r="P86" s="8">
        <f t="shared" si="57"/>
        <v>4616.24</v>
      </c>
      <c r="Q86" s="10">
        <v>45</v>
      </c>
      <c r="R86" s="10">
        <v>90</v>
      </c>
      <c r="S86" s="10">
        <v>54.12</v>
      </c>
      <c r="T86" s="8">
        <v>6.72</v>
      </c>
      <c r="U86" s="8">
        <v>0.2352</v>
      </c>
      <c r="V86" s="8">
        <f t="shared" si="58"/>
        <v>86985.0060590486</v>
      </c>
      <c r="W86" s="8">
        <f t="shared" si="59"/>
        <v>4616.24</v>
      </c>
      <c r="X86" s="8">
        <f t="shared" si="60"/>
        <v>4616.24</v>
      </c>
      <c r="Y86" s="8">
        <f t="shared" si="61"/>
        <v>8698.50060590486</v>
      </c>
      <c r="Z86" s="8">
        <f t="shared" si="62"/>
        <v>10</v>
      </c>
      <c r="AA86">
        <f t="shared" si="63"/>
        <v>2308.12</v>
      </c>
      <c r="AB86">
        <f t="shared" si="64"/>
        <v>10</v>
      </c>
      <c r="AC86">
        <f t="shared" si="65"/>
        <v>37.9081575678155</v>
      </c>
      <c r="AD86">
        <f t="shared" si="66"/>
        <v>10.6120459770115</v>
      </c>
      <c r="AE86">
        <f t="shared" si="67"/>
        <v>10.6120459770115</v>
      </c>
      <c r="AF86">
        <f t="shared" si="95"/>
        <v>28995.0020196829</v>
      </c>
      <c r="AG86">
        <f t="shared" si="96"/>
        <v>4616.24</v>
      </c>
      <c r="AH86">
        <f t="shared" si="97"/>
        <v>2308.12</v>
      </c>
      <c r="AI86">
        <f t="shared" si="68"/>
        <v>3.33333333333334</v>
      </c>
      <c r="AJ86">
        <f t="shared" si="69"/>
        <v>769.373333333333</v>
      </c>
      <c r="AK86">
        <f t="shared" si="70"/>
        <v>30</v>
      </c>
      <c r="BM86">
        <v>85</v>
      </c>
      <c r="BN86">
        <f t="shared" si="71"/>
        <v>4436</v>
      </c>
      <c r="BO86">
        <f t="shared" si="72"/>
        <v>887</v>
      </c>
      <c r="BQ86">
        <f t="shared" si="73"/>
        <v>13.4</v>
      </c>
      <c r="BR86">
        <f t="shared" si="74"/>
        <v>26.8</v>
      </c>
      <c r="BS86">
        <f t="shared" si="75"/>
        <v>15.12</v>
      </c>
      <c r="BT86">
        <v>85</v>
      </c>
      <c r="BU86">
        <f t="shared" si="76"/>
        <v>6226</v>
      </c>
      <c r="BV86">
        <f t="shared" si="77"/>
        <v>1245.2</v>
      </c>
      <c r="BX86">
        <f t="shared" si="78"/>
        <v>24.2</v>
      </c>
      <c r="BY86">
        <f t="shared" si="79"/>
        <v>48.5</v>
      </c>
      <c r="BZ86">
        <v>85</v>
      </c>
      <c r="CA86">
        <f t="shared" si="80"/>
        <v>8781.2</v>
      </c>
      <c r="CB86">
        <f t="shared" si="81"/>
        <v>1756.1</v>
      </c>
      <c r="CD86">
        <f t="shared" si="82"/>
        <v>37.772</v>
      </c>
      <c r="CE86">
        <f t="shared" si="83"/>
        <v>75.61</v>
      </c>
      <c r="CF86">
        <f t="shared" si="84"/>
        <v>43.04</v>
      </c>
      <c r="CG86">
        <v>85</v>
      </c>
      <c r="CH86">
        <f t="shared" si="85"/>
        <v>11588</v>
      </c>
      <c r="CI86">
        <f t="shared" si="86"/>
        <v>2317</v>
      </c>
      <c r="CK86">
        <f t="shared" si="87"/>
        <v>47.1</v>
      </c>
      <c r="CL86">
        <f t="shared" si="88"/>
        <v>94.25</v>
      </c>
      <c r="CM86">
        <f t="shared" si="89"/>
        <v>61.948</v>
      </c>
      <c r="CN86">
        <v>85</v>
      </c>
      <c r="CO86">
        <f t="shared" si="90"/>
        <v>14470</v>
      </c>
      <c r="CP86">
        <f t="shared" si="91"/>
        <v>2895.2</v>
      </c>
      <c r="CR86">
        <f t="shared" si="92"/>
        <v>61.7</v>
      </c>
      <c r="CS86">
        <f t="shared" si="93"/>
        <v>123.4</v>
      </c>
      <c r="CT86">
        <f t="shared" si="94"/>
        <v>81.23</v>
      </c>
    </row>
    <row r="87" spans="1:98">
      <c r="A87">
        <v>86</v>
      </c>
      <c r="B87" s="10">
        <v>10500</v>
      </c>
      <c r="C87" s="10">
        <v>2100</v>
      </c>
      <c r="D87" s="10">
        <v>2100</v>
      </c>
      <c r="E87" s="8">
        <f t="shared" si="49"/>
        <v>8850</v>
      </c>
      <c r="F87" s="8">
        <f t="shared" si="50"/>
        <v>1770</v>
      </c>
      <c r="G87" s="8">
        <f t="shared" si="51"/>
        <v>1770</v>
      </c>
      <c r="H87" s="10"/>
      <c r="I87" s="9">
        <v>1</v>
      </c>
      <c r="J87" s="8">
        <f t="shared" si="52"/>
        <v>3969</v>
      </c>
      <c r="K87" s="8">
        <f t="shared" si="53"/>
        <v>793.8</v>
      </c>
      <c r="L87" s="8">
        <f t="shared" si="54"/>
        <v>793.8</v>
      </c>
      <c r="M87" s="8">
        <v>0.7</v>
      </c>
      <c r="N87" s="8">
        <f t="shared" si="55"/>
        <v>23319</v>
      </c>
      <c r="O87" s="8">
        <f t="shared" si="56"/>
        <v>4663.8</v>
      </c>
      <c r="P87" s="8">
        <f t="shared" si="57"/>
        <v>4663.8</v>
      </c>
      <c r="Q87" s="10">
        <v>45</v>
      </c>
      <c r="R87" s="10">
        <v>90</v>
      </c>
      <c r="S87" s="10">
        <v>54.78</v>
      </c>
      <c r="T87" s="8">
        <v>6.8</v>
      </c>
      <c r="U87" s="8">
        <v>0.238</v>
      </c>
      <c r="V87" s="8">
        <f t="shared" si="58"/>
        <v>88523.9075756856</v>
      </c>
      <c r="W87" s="8">
        <f t="shared" si="59"/>
        <v>4663.8</v>
      </c>
      <c r="X87" s="8">
        <f t="shared" si="60"/>
        <v>4663.8</v>
      </c>
      <c r="Y87" s="8">
        <f t="shared" si="61"/>
        <v>8852.39075756856</v>
      </c>
      <c r="Z87" s="8">
        <f t="shared" si="62"/>
        <v>10</v>
      </c>
      <c r="AA87">
        <f t="shared" si="63"/>
        <v>2331.9</v>
      </c>
      <c r="AB87">
        <f t="shared" si="64"/>
        <v>10</v>
      </c>
      <c r="AC87">
        <f t="shared" si="65"/>
        <v>38.578812475104</v>
      </c>
      <c r="AD87">
        <f t="shared" si="66"/>
        <v>10.7213793103448</v>
      </c>
      <c r="AE87">
        <f t="shared" si="67"/>
        <v>10.7213793103448</v>
      </c>
      <c r="AF87">
        <f t="shared" si="95"/>
        <v>29507.9691918952</v>
      </c>
      <c r="AG87">
        <f t="shared" si="96"/>
        <v>4663.8</v>
      </c>
      <c r="AH87">
        <f t="shared" si="97"/>
        <v>2331.9</v>
      </c>
      <c r="AI87">
        <f t="shared" si="68"/>
        <v>3.33333333333333</v>
      </c>
      <c r="AJ87">
        <f t="shared" si="69"/>
        <v>777.3</v>
      </c>
      <c r="AK87">
        <f t="shared" si="70"/>
        <v>30</v>
      </c>
      <c r="BM87">
        <v>86</v>
      </c>
      <c r="BN87">
        <f t="shared" si="71"/>
        <v>4465</v>
      </c>
      <c r="BO87">
        <f t="shared" si="72"/>
        <v>892.8</v>
      </c>
      <c r="BQ87">
        <f t="shared" si="73"/>
        <v>13.5</v>
      </c>
      <c r="BR87">
        <f t="shared" si="74"/>
        <v>27</v>
      </c>
      <c r="BS87">
        <f t="shared" si="75"/>
        <v>15.3</v>
      </c>
      <c r="BT87">
        <v>86</v>
      </c>
      <c r="BU87">
        <f t="shared" si="76"/>
        <v>6240.6</v>
      </c>
      <c r="BV87">
        <f t="shared" si="77"/>
        <v>1248.12</v>
      </c>
      <c r="BX87">
        <f t="shared" si="78"/>
        <v>24.25</v>
      </c>
      <c r="BY87">
        <f t="shared" si="79"/>
        <v>48.6</v>
      </c>
      <c r="BZ87">
        <v>86</v>
      </c>
      <c r="CA87">
        <f t="shared" si="80"/>
        <v>8790.5</v>
      </c>
      <c r="CB87">
        <f t="shared" si="81"/>
        <v>1757.96</v>
      </c>
      <c r="CD87">
        <f t="shared" si="82"/>
        <v>37.805</v>
      </c>
      <c r="CE87">
        <f t="shared" si="83"/>
        <v>75.676</v>
      </c>
      <c r="CF87">
        <f t="shared" si="84"/>
        <v>43.1</v>
      </c>
      <c r="CG87">
        <v>86</v>
      </c>
      <c r="CH87">
        <f t="shared" si="85"/>
        <v>11595</v>
      </c>
      <c r="CI87">
        <f t="shared" si="86"/>
        <v>2318.4</v>
      </c>
      <c r="CK87">
        <f t="shared" si="87"/>
        <v>47.125</v>
      </c>
      <c r="CL87">
        <f t="shared" si="88"/>
        <v>94.3</v>
      </c>
      <c r="CM87">
        <f t="shared" si="89"/>
        <v>61.995</v>
      </c>
      <c r="CN87">
        <v>86</v>
      </c>
      <c r="CO87">
        <f t="shared" si="90"/>
        <v>14475.6</v>
      </c>
      <c r="CP87">
        <f t="shared" si="91"/>
        <v>2896.32</v>
      </c>
      <c r="CR87">
        <f t="shared" si="92"/>
        <v>61.72</v>
      </c>
      <c r="CS87">
        <f t="shared" si="93"/>
        <v>123.44</v>
      </c>
      <c r="CT87">
        <f t="shared" si="94"/>
        <v>81.268</v>
      </c>
    </row>
    <row r="88" spans="1:98">
      <c r="A88">
        <v>87</v>
      </c>
      <c r="B88" s="10">
        <v>10600</v>
      </c>
      <c r="C88" s="10">
        <v>2120</v>
      </c>
      <c r="D88" s="10">
        <v>2120</v>
      </c>
      <c r="E88" s="8">
        <f t="shared" si="49"/>
        <v>8950</v>
      </c>
      <c r="F88" s="8">
        <f t="shared" si="50"/>
        <v>1790</v>
      </c>
      <c r="G88" s="8">
        <f t="shared" si="51"/>
        <v>1790</v>
      </c>
      <c r="H88" s="10"/>
      <c r="I88" s="9">
        <v>1</v>
      </c>
      <c r="J88" s="8">
        <f t="shared" si="52"/>
        <v>4006.8</v>
      </c>
      <c r="K88" s="8">
        <f t="shared" si="53"/>
        <v>801.36</v>
      </c>
      <c r="L88" s="8">
        <f t="shared" si="54"/>
        <v>801.36</v>
      </c>
      <c r="M88" s="8">
        <v>0.7</v>
      </c>
      <c r="N88" s="8">
        <f t="shared" si="55"/>
        <v>23556.8</v>
      </c>
      <c r="O88" s="8">
        <f t="shared" si="56"/>
        <v>4711.36</v>
      </c>
      <c r="P88" s="8">
        <f t="shared" si="57"/>
        <v>4711.36</v>
      </c>
      <c r="Q88" s="10">
        <v>45</v>
      </c>
      <c r="R88" s="10">
        <v>90</v>
      </c>
      <c r="S88" s="10">
        <v>55.44</v>
      </c>
      <c r="T88" s="8">
        <v>6.88</v>
      </c>
      <c r="U88" s="8">
        <v>0.2408</v>
      </c>
      <c r="V88" s="8">
        <f t="shared" si="58"/>
        <v>90078.5167151668</v>
      </c>
      <c r="W88" s="8">
        <f t="shared" si="59"/>
        <v>4711.36</v>
      </c>
      <c r="X88" s="8">
        <f t="shared" si="60"/>
        <v>4711.36</v>
      </c>
      <c r="Y88" s="8">
        <f t="shared" si="61"/>
        <v>9007.85167151668</v>
      </c>
      <c r="Z88" s="8">
        <f t="shared" si="62"/>
        <v>10</v>
      </c>
      <c r="AA88">
        <f t="shared" si="63"/>
        <v>2355.68</v>
      </c>
      <c r="AB88">
        <f t="shared" si="64"/>
        <v>10</v>
      </c>
      <c r="AC88">
        <f t="shared" si="65"/>
        <v>39.2563127810282</v>
      </c>
      <c r="AD88">
        <f t="shared" si="66"/>
        <v>10.8307126436782</v>
      </c>
      <c r="AE88">
        <f t="shared" si="67"/>
        <v>10.8307126436782</v>
      </c>
      <c r="AF88">
        <f t="shared" si="95"/>
        <v>30026.1722383889</v>
      </c>
      <c r="AG88">
        <f t="shared" si="96"/>
        <v>4711.36</v>
      </c>
      <c r="AH88">
        <f t="shared" si="97"/>
        <v>2355.68</v>
      </c>
      <c r="AI88">
        <f t="shared" si="68"/>
        <v>3.33333333333333</v>
      </c>
      <c r="AJ88">
        <f t="shared" si="69"/>
        <v>785.226666666667</v>
      </c>
      <c r="AK88">
        <f t="shared" si="70"/>
        <v>30</v>
      </c>
      <c r="BM88">
        <v>87</v>
      </c>
      <c r="BN88">
        <f t="shared" si="71"/>
        <v>4494</v>
      </c>
      <c r="BO88">
        <f t="shared" si="72"/>
        <v>898.6</v>
      </c>
      <c r="BQ88">
        <f t="shared" si="73"/>
        <v>13.6</v>
      </c>
      <c r="BR88">
        <f t="shared" si="74"/>
        <v>27.2</v>
      </c>
      <c r="BS88">
        <f t="shared" si="75"/>
        <v>15.48</v>
      </c>
      <c r="BT88">
        <v>87</v>
      </c>
      <c r="BU88">
        <f t="shared" si="76"/>
        <v>6255.2</v>
      </c>
      <c r="BV88">
        <f t="shared" si="77"/>
        <v>1251.04</v>
      </c>
      <c r="BX88">
        <f t="shared" si="78"/>
        <v>24.3</v>
      </c>
      <c r="BY88">
        <f t="shared" si="79"/>
        <v>48.7</v>
      </c>
      <c r="BZ88">
        <v>87</v>
      </c>
      <c r="CA88">
        <f t="shared" si="80"/>
        <v>8799.8</v>
      </c>
      <c r="CB88">
        <f t="shared" si="81"/>
        <v>1759.82</v>
      </c>
      <c r="CD88">
        <f t="shared" si="82"/>
        <v>37.838</v>
      </c>
      <c r="CE88">
        <f t="shared" si="83"/>
        <v>75.742</v>
      </c>
      <c r="CF88">
        <f t="shared" si="84"/>
        <v>43.16</v>
      </c>
      <c r="CG88">
        <v>87</v>
      </c>
      <c r="CH88">
        <f t="shared" si="85"/>
        <v>11602</v>
      </c>
      <c r="CI88">
        <f t="shared" si="86"/>
        <v>2319.8</v>
      </c>
      <c r="CK88">
        <f t="shared" si="87"/>
        <v>47.15</v>
      </c>
      <c r="CL88">
        <f t="shared" si="88"/>
        <v>94.35</v>
      </c>
      <c r="CM88">
        <f t="shared" si="89"/>
        <v>62.042</v>
      </c>
      <c r="CN88">
        <v>87</v>
      </c>
      <c r="CO88">
        <f t="shared" si="90"/>
        <v>14481.2</v>
      </c>
      <c r="CP88">
        <f t="shared" si="91"/>
        <v>2897.44</v>
      </c>
      <c r="CR88">
        <f t="shared" si="92"/>
        <v>61.74</v>
      </c>
      <c r="CS88">
        <f t="shared" si="93"/>
        <v>123.48</v>
      </c>
      <c r="CT88">
        <f t="shared" si="94"/>
        <v>81.306</v>
      </c>
    </row>
    <row r="89" spans="1:98">
      <c r="A89">
        <v>88</v>
      </c>
      <c r="B89" s="10">
        <v>10700</v>
      </c>
      <c r="C89" s="10">
        <v>2140</v>
      </c>
      <c r="D89" s="10">
        <v>2140</v>
      </c>
      <c r="E89" s="8">
        <f t="shared" si="49"/>
        <v>9050</v>
      </c>
      <c r="F89" s="8">
        <f t="shared" si="50"/>
        <v>1810</v>
      </c>
      <c r="G89" s="8">
        <f t="shared" si="51"/>
        <v>1810</v>
      </c>
      <c r="H89" s="10"/>
      <c r="I89" s="9">
        <v>1</v>
      </c>
      <c r="J89" s="8">
        <f t="shared" si="52"/>
        <v>4044.6</v>
      </c>
      <c r="K89" s="8">
        <f t="shared" si="53"/>
        <v>808.92</v>
      </c>
      <c r="L89" s="8">
        <f t="shared" si="54"/>
        <v>808.92</v>
      </c>
      <c r="M89" s="8">
        <v>0.7</v>
      </c>
      <c r="N89" s="8">
        <f t="shared" si="55"/>
        <v>23794.6</v>
      </c>
      <c r="O89" s="8">
        <f t="shared" si="56"/>
        <v>4758.92</v>
      </c>
      <c r="P89" s="8">
        <f t="shared" si="57"/>
        <v>4758.92</v>
      </c>
      <c r="Q89" s="10">
        <v>45</v>
      </c>
      <c r="R89" s="10">
        <v>90</v>
      </c>
      <c r="S89" s="10">
        <v>56.1</v>
      </c>
      <c r="T89" s="8">
        <v>6.96</v>
      </c>
      <c r="U89" s="8">
        <v>0.2436</v>
      </c>
      <c r="V89" s="8">
        <f t="shared" si="58"/>
        <v>91648.9161070027</v>
      </c>
      <c r="W89" s="8">
        <f t="shared" si="59"/>
        <v>4758.92</v>
      </c>
      <c r="X89" s="8">
        <f t="shared" si="60"/>
        <v>4758.92</v>
      </c>
      <c r="Y89" s="8">
        <f t="shared" si="61"/>
        <v>9164.89161070027</v>
      </c>
      <c r="Z89" s="8">
        <f t="shared" si="62"/>
        <v>10</v>
      </c>
      <c r="AA89">
        <f t="shared" si="63"/>
        <v>2379.46</v>
      </c>
      <c r="AB89">
        <f t="shared" si="64"/>
        <v>10</v>
      </c>
      <c r="AC89">
        <f t="shared" si="65"/>
        <v>39.9406944956159</v>
      </c>
      <c r="AD89">
        <f t="shared" si="66"/>
        <v>10.9400459770115</v>
      </c>
      <c r="AE89">
        <f t="shared" si="67"/>
        <v>10.9400459770115</v>
      </c>
      <c r="AF89">
        <f t="shared" si="95"/>
        <v>30549.6387023342</v>
      </c>
      <c r="AG89">
        <f t="shared" si="96"/>
        <v>4758.92</v>
      </c>
      <c r="AH89">
        <f t="shared" si="97"/>
        <v>2379.46</v>
      </c>
      <c r="AI89">
        <f t="shared" si="68"/>
        <v>3.33333333333333</v>
      </c>
      <c r="AJ89">
        <f t="shared" si="69"/>
        <v>793.153333333333</v>
      </c>
      <c r="AK89">
        <f t="shared" si="70"/>
        <v>30</v>
      </c>
      <c r="BM89">
        <v>88</v>
      </c>
      <c r="BN89">
        <f t="shared" si="71"/>
        <v>4523</v>
      </c>
      <c r="BO89">
        <f t="shared" si="72"/>
        <v>904.4</v>
      </c>
      <c r="BQ89">
        <f t="shared" si="73"/>
        <v>13.7</v>
      </c>
      <c r="BR89">
        <f t="shared" si="74"/>
        <v>27.4</v>
      </c>
      <c r="BS89">
        <f t="shared" si="75"/>
        <v>15.66</v>
      </c>
      <c r="BT89">
        <v>88</v>
      </c>
      <c r="BU89">
        <f t="shared" si="76"/>
        <v>6269.8</v>
      </c>
      <c r="BV89">
        <f t="shared" si="77"/>
        <v>1253.96</v>
      </c>
      <c r="BX89">
        <f t="shared" si="78"/>
        <v>24.35</v>
      </c>
      <c r="BY89">
        <f t="shared" si="79"/>
        <v>48.8</v>
      </c>
      <c r="BZ89">
        <v>88</v>
      </c>
      <c r="CA89">
        <f t="shared" si="80"/>
        <v>8809.1</v>
      </c>
      <c r="CB89">
        <f t="shared" si="81"/>
        <v>1761.68</v>
      </c>
      <c r="CD89">
        <f t="shared" si="82"/>
        <v>37.871</v>
      </c>
      <c r="CE89">
        <f t="shared" si="83"/>
        <v>75.808</v>
      </c>
      <c r="CF89">
        <f t="shared" si="84"/>
        <v>43.22</v>
      </c>
      <c r="CG89">
        <v>88</v>
      </c>
      <c r="CH89">
        <f t="shared" si="85"/>
        <v>11609</v>
      </c>
      <c r="CI89">
        <f t="shared" si="86"/>
        <v>2321.2</v>
      </c>
      <c r="CK89">
        <f t="shared" si="87"/>
        <v>47.175</v>
      </c>
      <c r="CL89">
        <f t="shared" si="88"/>
        <v>94.4</v>
      </c>
      <c r="CM89">
        <f t="shared" si="89"/>
        <v>62.089</v>
      </c>
      <c r="CN89">
        <v>88</v>
      </c>
      <c r="CO89">
        <f t="shared" si="90"/>
        <v>14486.8</v>
      </c>
      <c r="CP89">
        <f t="shared" si="91"/>
        <v>2898.56</v>
      </c>
      <c r="CR89">
        <f t="shared" si="92"/>
        <v>61.76</v>
      </c>
      <c r="CS89">
        <f t="shared" si="93"/>
        <v>123.52</v>
      </c>
      <c r="CT89">
        <f t="shared" si="94"/>
        <v>81.344</v>
      </c>
    </row>
    <row r="90" spans="1:98">
      <c r="A90">
        <v>89</v>
      </c>
      <c r="B90" s="10">
        <v>10800</v>
      </c>
      <c r="C90" s="10">
        <v>2160</v>
      </c>
      <c r="D90" s="10">
        <v>2160</v>
      </c>
      <c r="E90" s="8">
        <f t="shared" si="49"/>
        <v>9150</v>
      </c>
      <c r="F90" s="8">
        <f t="shared" si="50"/>
        <v>1830</v>
      </c>
      <c r="G90" s="8">
        <f t="shared" si="51"/>
        <v>1830</v>
      </c>
      <c r="H90" s="10"/>
      <c r="I90" s="9">
        <v>1</v>
      </c>
      <c r="J90" s="8">
        <f t="shared" si="52"/>
        <v>4082.4</v>
      </c>
      <c r="K90" s="8">
        <f t="shared" si="53"/>
        <v>816.48</v>
      </c>
      <c r="L90" s="8">
        <f t="shared" si="54"/>
        <v>816.48</v>
      </c>
      <c r="M90" s="8">
        <v>0.7</v>
      </c>
      <c r="N90" s="8">
        <f t="shared" si="55"/>
        <v>24032.4</v>
      </c>
      <c r="O90" s="8">
        <f t="shared" si="56"/>
        <v>4806.48</v>
      </c>
      <c r="P90" s="8">
        <f t="shared" si="57"/>
        <v>4806.48</v>
      </c>
      <c r="Q90" s="10">
        <v>45</v>
      </c>
      <c r="R90" s="10">
        <v>90</v>
      </c>
      <c r="S90" s="10">
        <v>56.76</v>
      </c>
      <c r="T90" s="8">
        <v>7.04</v>
      </c>
      <c r="U90" s="8">
        <v>0.2464</v>
      </c>
      <c r="V90" s="8">
        <f t="shared" si="58"/>
        <v>93235.1885372195</v>
      </c>
      <c r="W90" s="8">
        <f t="shared" si="59"/>
        <v>4806.48</v>
      </c>
      <c r="X90" s="8">
        <f t="shared" si="60"/>
        <v>4806.48</v>
      </c>
      <c r="Y90" s="8">
        <f t="shared" si="61"/>
        <v>9323.51885372195</v>
      </c>
      <c r="Z90" s="8">
        <f t="shared" si="62"/>
        <v>10</v>
      </c>
      <c r="AA90">
        <f t="shared" si="63"/>
        <v>2403.24</v>
      </c>
      <c r="AB90">
        <f t="shared" si="64"/>
        <v>10</v>
      </c>
      <c r="AC90">
        <f t="shared" si="65"/>
        <v>40.631993697105</v>
      </c>
      <c r="AD90">
        <f t="shared" si="66"/>
        <v>11.0493793103448</v>
      </c>
      <c r="AE90">
        <f t="shared" si="67"/>
        <v>11.0493793103448</v>
      </c>
      <c r="AF90">
        <f t="shared" si="95"/>
        <v>31078.3961790732</v>
      </c>
      <c r="AG90">
        <f t="shared" si="96"/>
        <v>4806.48</v>
      </c>
      <c r="AH90">
        <f t="shared" si="97"/>
        <v>2403.24</v>
      </c>
      <c r="AI90">
        <f t="shared" si="68"/>
        <v>3.33333333333334</v>
      </c>
      <c r="AJ90">
        <f t="shared" si="69"/>
        <v>801.08</v>
      </c>
      <c r="AK90">
        <f t="shared" si="70"/>
        <v>30</v>
      </c>
      <c r="BM90">
        <v>89</v>
      </c>
      <c r="BN90">
        <f t="shared" si="71"/>
        <v>4552</v>
      </c>
      <c r="BO90">
        <f t="shared" si="72"/>
        <v>910.2</v>
      </c>
      <c r="BQ90">
        <f t="shared" si="73"/>
        <v>13.8</v>
      </c>
      <c r="BR90">
        <f t="shared" si="74"/>
        <v>27.6</v>
      </c>
      <c r="BS90">
        <f t="shared" si="75"/>
        <v>15.84</v>
      </c>
      <c r="BT90">
        <v>89</v>
      </c>
      <c r="BU90">
        <f t="shared" si="76"/>
        <v>6284.4</v>
      </c>
      <c r="BV90">
        <f t="shared" si="77"/>
        <v>1256.88</v>
      </c>
      <c r="BX90">
        <f t="shared" si="78"/>
        <v>24.4</v>
      </c>
      <c r="BY90">
        <f t="shared" si="79"/>
        <v>48.9</v>
      </c>
      <c r="BZ90">
        <v>89</v>
      </c>
      <c r="CA90">
        <f t="shared" si="80"/>
        <v>8818.4</v>
      </c>
      <c r="CB90">
        <f t="shared" si="81"/>
        <v>1763.54</v>
      </c>
      <c r="CD90">
        <f t="shared" si="82"/>
        <v>37.904</v>
      </c>
      <c r="CE90">
        <f t="shared" si="83"/>
        <v>75.874</v>
      </c>
      <c r="CF90">
        <f t="shared" si="84"/>
        <v>43.28</v>
      </c>
      <c r="CG90">
        <v>89</v>
      </c>
      <c r="CH90">
        <f t="shared" si="85"/>
        <v>11616</v>
      </c>
      <c r="CI90">
        <f t="shared" si="86"/>
        <v>2322.6</v>
      </c>
      <c r="CK90">
        <f t="shared" si="87"/>
        <v>47.2</v>
      </c>
      <c r="CL90">
        <f t="shared" si="88"/>
        <v>94.45</v>
      </c>
      <c r="CM90">
        <f t="shared" si="89"/>
        <v>62.136</v>
      </c>
      <c r="CN90">
        <v>89</v>
      </c>
      <c r="CO90">
        <f t="shared" si="90"/>
        <v>14492.4</v>
      </c>
      <c r="CP90">
        <f t="shared" si="91"/>
        <v>2899.68</v>
      </c>
      <c r="CR90">
        <f t="shared" si="92"/>
        <v>61.78</v>
      </c>
      <c r="CS90">
        <f t="shared" si="93"/>
        <v>123.56</v>
      </c>
      <c r="CT90">
        <f t="shared" si="94"/>
        <v>81.382</v>
      </c>
    </row>
    <row r="91" s="1" customFormat="1" spans="1:98">
      <c r="A91" s="1">
        <v>90</v>
      </c>
      <c r="B91" s="1">
        <v>10900</v>
      </c>
      <c r="C91" s="1">
        <v>2180</v>
      </c>
      <c r="D91" s="1">
        <v>2180</v>
      </c>
      <c r="E91" s="1">
        <f t="shared" si="49"/>
        <v>9250</v>
      </c>
      <c r="F91" s="1">
        <f t="shared" si="50"/>
        <v>1850</v>
      </c>
      <c r="G91" s="1">
        <f t="shared" si="51"/>
        <v>1850</v>
      </c>
      <c r="I91" s="1">
        <v>1</v>
      </c>
      <c r="J91" s="1">
        <f t="shared" si="52"/>
        <v>4120.2</v>
      </c>
      <c r="K91" s="1">
        <f t="shared" si="53"/>
        <v>824.04</v>
      </c>
      <c r="L91" s="1">
        <f t="shared" si="54"/>
        <v>824.04</v>
      </c>
      <c r="M91" s="8">
        <v>0.7</v>
      </c>
      <c r="N91" s="1">
        <f t="shared" si="55"/>
        <v>24270.2</v>
      </c>
      <c r="O91" s="1">
        <f t="shared" si="56"/>
        <v>4854.04</v>
      </c>
      <c r="P91" s="1">
        <f t="shared" si="57"/>
        <v>4854.04</v>
      </c>
      <c r="Q91" s="1">
        <v>45</v>
      </c>
      <c r="R91" s="1">
        <v>90</v>
      </c>
      <c r="S91" s="1">
        <v>57.42</v>
      </c>
      <c r="T91" s="1">
        <v>7.12</v>
      </c>
      <c r="U91" s="1">
        <v>0.2492</v>
      </c>
      <c r="V91" s="1">
        <f t="shared" si="58"/>
        <v>94837.4169483599</v>
      </c>
      <c r="W91" s="1">
        <f t="shared" si="59"/>
        <v>4854.04</v>
      </c>
      <c r="X91" s="1">
        <f t="shared" si="60"/>
        <v>4854.04</v>
      </c>
      <c r="Y91" s="1">
        <f t="shared" si="61"/>
        <v>9483.74169483599</v>
      </c>
      <c r="Z91" s="1">
        <f t="shared" si="62"/>
        <v>10</v>
      </c>
      <c r="AA91" s="1">
        <f t="shared" si="63"/>
        <v>2427.02</v>
      </c>
      <c r="AB91" s="1">
        <f t="shared" si="64"/>
        <v>10</v>
      </c>
      <c r="AC91">
        <f t="shared" si="65"/>
        <v>41.3302465319431</v>
      </c>
      <c r="AD91">
        <f t="shared" si="66"/>
        <v>11.1587126436782</v>
      </c>
      <c r="AE91">
        <f t="shared" si="67"/>
        <v>11.1587126436782</v>
      </c>
      <c r="AF91" s="1">
        <f t="shared" si="95"/>
        <v>31612.47231612</v>
      </c>
      <c r="AG91" s="1">
        <f t="shared" si="96"/>
        <v>4854.04</v>
      </c>
      <c r="AH91" s="1">
        <f t="shared" si="97"/>
        <v>2427.02</v>
      </c>
      <c r="AI91" s="1">
        <f t="shared" si="68"/>
        <v>3.33333333333334</v>
      </c>
      <c r="AJ91" s="1">
        <f t="shared" si="69"/>
        <v>809.006666666667</v>
      </c>
      <c r="AK91" s="1">
        <f t="shared" si="70"/>
        <v>30</v>
      </c>
      <c r="AX91" s="3"/>
      <c r="AY91" s="3"/>
      <c r="AZ91" s="3"/>
      <c r="BA91" s="3"/>
      <c r="BB91" s="3"/>
      <c r="BC91" s="3"/>
      <c r="BD91" s="4"/>
      <c r="BE91" s="4"/>
      <c r="BF91" s="4"/>
      <c r="BG91" s="4"/>
      <c r="BH91" s="4"/>
      <c r="BI91" s="4"/>
      <c r="BJ91" s="3"/>
      <c r="BK91" s="3"/>
      <c r="BM91" s="1">
        <v>90</v>
      </c>
      <c r="BN91" s="1">
        <f t="shared" si="71"/>
        <v>4581</v>
      </c>
      <c r="BO91" s="1">
        <f t="shared" si="72"/>
        <v>916</v>
      </c>
      <c r="BQ91" s="1">
        <f t="shared" si="73"/>
        <v>13.9</v>
      </c>
      <c r="BR91" s="1">
        <f t="shared" si="74"/>
        <v>27.8</v>
      </c>
      <c r="BS91" s="1">
        <f t="shared" si="75"/>
        <v>16.02</v>
      </c>
      <c r="BT91" s="1">
        <v>90</v>
      </c>
      <c r="BU91" s="1">
        <f t="shared" si="76"/>
        <v>6299</v>
      </c>
      <c r="BV91" s="1">
        <f t="shared" si="77"/>
        <v>1259.8</v>
      </c>
      <c r="BX91" s="1">
        <f t="shared" si="78"/>
        <v>24.45</v>
      </c>
      <c r="BY91" s="1">
        <f t="shared" si="79"/>
        <v>49</v>
      </c>
      <c r="BZ91" s="1">
        <v>90</v>
      </c>
      <c r="CA91" s="1">
        <f t="shared" si="80"/>
        <v>8827.7</v>
      </c>
      <c r="CB91" s="1">
        <f t="shared" si="81"/>
        <v>1765.4</v>
      </c>
      <c r="CD91" s="1">
        <f t="shared" si="82"/>
        <v>37.937</v>
      </c>
      <c r="CE91" s="1">
        <f t="shared" si="83"/>
        <v>75.94</v>
      </c>
      <c r="CF91" s="1">
        <f t="shared" si="84"/>
        <v>43.34</v>
      </c>
      <c r="CG91" s="1">
        <v>90</v>
      </c>
      <c r="CH91" s="1">
        <f t="shared" si="85"/>
        <v>11623</v>
      </c>
      <c r="CI91" s="1">
        <f t="shared" si="86"/>
        <v>2324</v>
      </c>
      <c r="CK91" s="1">
        <f t="shared" si="87"/>
        <v>47.225</v>
      </c>
      <c r="CL91" s="1">
        <f t="shared" si="88"/>
        <v>94.5</v>
      </c>
      <c r="CM91" s="1">
        <f t="shared" si="89"/>
        <v>62.183</v>
      </c>
      <c r="CN91" s="1">
        <v>90</v>
      </c>
      <c r="CO91" s="1">
        <f t="shared" si="90"/>
        <v>14498</v>
      </c>
      <c r="CP91" s="1">
        <f t="shared" si="91"/>
        <v>2900.8</v>
      </c>
      <c r="CR91" s="1">
        <f t="shared" si="92"/>
        <v>61.8</v>
      </c>
      <c r="CS91" s="1">
        <f t="shared" si="93"/>
        <v>123.6</v>
      </c>
      <c r="CT91" s="1">
        <f t="shared" si="94"/>
        <v>81.42</v>
      </c>
    </row>
    <row r="92" spans="1:98">
      <c r="A92">
        <v>91</v>
      </c>
      <c r="B92" s="11">
        <v>11000</v>
      </c>
      <c r="C92" s="11">
        <v>2200</v>
      </c>
      <c r="D92" s="11">
        <v>2200</v>
      </c>
      <c r="E92" s="8">
        <f t="shared" si="49"/>
        <v>9350</v>
      </c>
      <c r="F92" s="8">
        <f t="shared" si="50"/>
        <v>1870</v>
      </c>
      <c r="G92" s="8">
        <f t="shared" si="51"/>
        <v>1870</v>
      </c>
      <c r="H92" s="11"/>
      <c r="I92" s="9">
        <v>1</v>
      </c>
      <c r="J92" s="8">
        <f t="shared" si="52"/>
        <v>4752</v>
      </c>
      <c r="K92" s="8">
        <f t="shared" si="53"/>
        <v>950.4</v>
      </c>
      <c r="L92" s="8">
        <f t="shared" si="54"/>
        <v>950.4</v>
      </c>
      <c r="M92" s="8">
        <v>0.8</v>
      </c>
      <c r="N92" s="8">
        <f t="shared" si="55"/>
        <v>25102</v>
      </c>
      <c r="O92" s="8">
        <f t="shared" si="56"/>
        <v>5020.4</v>
      </c>
      <c r="P92" s="8">
        <f t="shared" si="57"/>
        <v>5020.4</v>
      </c>
      <c r="Q92" s="11">
        <v>50</v>
      </c>
      <c r="R92" s="11">
        <v>100</v>
      </c>
      <c r="S92" s="11">
        <v>58.08</v>
      </c>
      <c r="T92" s="8">
        <v>7.2</v>
      </c>
      <c r="U92" s="8">
        <v>0.252</v>
      </c>
      <c r="V92" s="8">
        <f t="shared" si="58"/>
        <v>106515.880651981</v>
      </c>
      <c r="W92" s="8">
        <f t="shared" si="59"/>
        <v>5020.4</v>
      </c>
      <c r="X92" s="8">
        <f t="shared" si="60"/>
        <v>5020.4</v>
      </c>
      <c r="Y92" s="8">
        <f t="shared" si="61"/>
        <v>10651.5880651981</v>
      </c>
      <c r="Z92" s="8">
        <f t="shared" si="62"/>
        <v>10</v>
      </c>
      <c r="AA92">
        <f t="shared" si="63"/>
        <v>2510.2</v>
      </c>
      <c r="AB92">
        <f t="shared" si="64"/>
        <v>10</v>
      </c>
      <c r="AC92">
        <f t="shared" si="65"/>
        <v>46.4197333559867</v>
      </c>
      <c r="AD92">
        <f t="shared" si="66"/>
        <v>11.5411494252874</v>
      </c>
      <c r="AE92">
        <f t="shared" si="67"/>
        <v>11.5411494252874</v>
      </c>
      <c r="AF92">
        <f t="shared" si="95"/>
        <v>35505.2935506603</v>
      </c>
      <c r="AG92">
        <f t="shared" si="96"/>
        <v>5020.4</v>
      </c>
      <c r="AH92">
        <f t="shared" si="97"/>
        <v>2510.2</v>
      </c>
      <c r="AI92">
        <f t="shared" si="68"/>
        <v>3.33333333333333</v>
      </c>
      <c r="AJ92">
        <f t="shared" si="69"/>
        <v>836.733333333333</v>
      </c>
      <c r="AK92">
        <f t="shared" si="70"/>
        <v>30</v>
      </c>
      <c r="BM92">
        <v>91</v>
      </c>
      <c r="BN92">
        <f t="shared" si="71"/>
        <v>4610</v>
      </c>
      <c r="BO92">
        <f t="shared" si="72"/>
        <v>921.8</v>
      </c>
      <c r="BQ92">
        <f t="shared" si="73"/>
        <v>14</v>
      </c>
      <c r="BR92">
        <f t="shared" si="74"/>
        <v>28</v>
      </c>
      <c r="BS92">
        <f t="shared" si="75"/>
        <v>16.2</v>
      </c>
      <c r="BT92">
        <v>91</v>
      </c>
      <c r="BU92">
        <f t="shared" si="76"/>
        <v>6313.6</v>
      </c>
      <c r="BV92">
        <f t="shared" si="77"/>
        <v>1262.72</v>
      </c>
      <c r="BX92">
        <f t="shared" si="78"/>
        <v>24.5</v>
      </c>
      <c r="BY92">
        <f t="shared" si="79"/>
        <v>49.1</v>
      </c>
      <c r="BZ92">
        <v>91</v>
      </c>
      <c r="CA92">
        <f t="shared" si="80"/>
        <v>8837</v>
      </c>
      <c r="CB92">
        <f t="shared" si="81"/>
        <v>1767.26</v>
      </c>
      <c r="CD92">
        <f t="shared" si="82"/>
        <v>37.97</v>
      </c>
      <c r="CE92">
        <f t="shared" si="83"/>
        <v>76.006</v>
      </c>
      <c r="CF92">
        <f t="shared" si="84"/>
        <v>43.4</v>
      </c>
      <c r="CG92">
        <v>91</v>
      </c>
      <c r="CH92">
        <f t="shared" si="85"/>
        <v>11630</v>
      </c>
      <c r="CI92">
        <f t="shared" si="86"/>
        <v>2325.4</v>
      </c>
      <c r="CK92">
        <f t="shared" si="87"/>
        <v>47.25</v>
      </c>
      <c r="CL92">
        <f t="shared" si="88"/>
        <v>94.55</v>
      </c>
      <c r="CM92">
        <f t="shared" si="89"/>
        <v>62.23</v>
      </c>
      <c r="CN92">
        <v>91</v>
      </c>
      <c r="CO92">
        <f t="shared" si="90"/>
        <v>14503.6</v>
      </c>
      <c r="CP92">
        <f t="shared" si="91"/>
        <v>2901.92</v>
      </c>
      <c r="CR92">
        <f t="shared" si="92"/>
        <v>61.82</v>
      </c>
      <c r="CS92">
        <f t="shared" si="93"/>
        <v>123.64</v>
      </c>
      <c r="CT92">
        <f t="shared" si="94"/>
        <v>81.458</v>
      </c>
    </row>
    <row r="93" spans="1:98">
      <c r="A93">
        <v>92</v>
      </c>
      <c r="B93" s="11">
        <v>11100</v>
      </c>
      <c r="C93" s="11">
        <v>2220</v>
      </c>
      <c r="D93" s="11">
        <v>2220</v>
      </c>
      <c r="E93" s="8">
        <f t="shared" si="49"/>
        <v>9450</v>
      </c>
      <c r="F93" s="8">
        <f t="shared" si="50"/>
        <v>1890</v>
      </c>
      <c r="G93" s="8">
        <f t="shared" si="51"/>
        <v>1890</v>
      </c>
      <c r="H93" s="11"/>
      <c r="I93" s="9">
        <v>1</v>
      </c>
      <c r="J93" s="8">
        <f t="shared" si="52"/>
        <v>4795.2</v>
      </c>
      <c r="K93" s="8">
        <f t="shared" si="53"/>
        <v>959.04</v>
      </c>
      <c r="L93" s="8">
        <f t="shared" si="54"/>
        <v>959.04</v>
      </c>
      <c r="M93" s="8">
        <v>0.8</v>
      </c>
      <c r="N93" s="8">
        <f t="shared" si="55"/>
        <v>25345.2</v>
      </c>
      <c r="O93" s="8">
        <f t="shared" si="56"/>
        <v>5069.04</v>
      </c>
      <c r="P93" s="8">
        <f t="shared" si="57"/>
        <v>5069.04</v>
      </c>
      <c r="Q93" s="11">
        <v>50</v>
      </c>
      <c r="R93" s="11">
        <v>100</v>
      </c>
      <c r="S93" s="11">
        <v>58.74</v>
      </c>
      <c r="T93" s="8">
        <v>7.28</v>
      </c>
      <c r="U93" s="8">
        <v>0.2548</v>
      </c>
      <c r="V93" s="8">
        <f t="shared" si="58"/>
        <v>108319.181362377</v>
      </c>
      <c r="W93" s="8">
        <f t="shared" si="59"/>
        <v>5069.04</v>
      </c>
      <c r="X93" s="8">
        <f t="shared" si="60"/>
        <v>5069.04</v>
      </c>
      <c r="Y93" s="8">
        <f t="shared" si="61"/>
        <v>10831.9181362377</v>
      </c>
      <c r="Z93" s="8">
        <f t="shared" si="62"/>
        <v>10</v>
      </c>
      <c r="AA93">
        <f t="shared" si="63"/>
        <v>2534.52</v>
      </c>
      <c r="AB93">
        <f t="shared" si="64"/>
        <v>10</v>
      </c>
      <c r="AC93">
        <f t="shared" si="65"/>
        <v>47.2056137113371</v>
      </c>
      <c r="AD93">
        <f t="shared" si="66"/>
        <v>11.6529655172414</v>
      </c>
      <c r="AE93">
        <f t="shared" si="67"/>
        <v>11.6529655172414</v>
      </c>
      <c r="AF93">
        <f t="shared" si="95"/>
        <v>36106.393787459</v>
      </c>
      <c r="AG93">
        <f t="shared" si="96"/>
        <v>5069.04</v>
      </c>
      <c r="AH93">
        <f t="shared" si="97"/>
        <v>2534.52</v>
      </c>
      <c r="AI93">
        <f t="shared" si="68"/>
        <v>3.33333333333333</v>
      </c>
      <c r="AJ93">
        <f t="shared" si="69"/>
        <v>844.84</v>
      </c>
      <c r="AK93">
        <f t="shared" si="70"/>
        <v>30</v>
      </c>
      <c r="BM93">
        <v>92</v>
      </c>
      <c r="BN93">
        <f t="shared" si="71"/>
        <v>4639</v>
      </c>
      <c r="BO93">
        <f t="shared" si="72"/>
        <v>927.6</v>
      </c>
      <c r="BQ93">
        <f t="shared" si="73"/>
        <v>14.1</v>
      </c>
      <c r="BR93">
        <f t="shared" si="74"/>
        <v>28.2</v>
      </c>
      <c r="BS93">
        <f t="shared" si="75"/>
        <v>16.38</v>
      </c>
      <c r="BT93">
        <v>92</v>
      </c>
      <c r="BU93">
        <f t="shared" si="76"/>
        <v>6328.2</v>
      </c>
      <c r="BV93">
        <f t="shared" si="77"/>
        <v>1265.64</v>
      </c>
      <c r="BX93">
        <f t="shared" si="78"/>
        <v>24.55</v>
      </c>
      <c r="BY93">
        <f t="shared" si="79"/>
        <v>49.2</v>
      </c>
      <c r="BZ93">
        <v>92</v>
      </c>
      <c r="CA93">
        <f t="shared" si="80"/>
        <v>8846.3</v>
      </c>
      <c r="CB93">
        <f t="shared" si="81"/>
        <v>1769.12</v>
      </c>
      <c r="CD93">
        <f t="shared" si="82"/>
        <v>38.003</v>
      </c>
      <c r="CE93">
        <f t="shared" si="83"/>
        <v>76.072</v>
      </c>
      <c r="CF93">
        <f t="shared" si="84"/>
        <v>43.46</v>
      </c>
      <c r="CG93">
        <v>92</v>
      </c>
      <c r="CH93">
        <f t="shared" si="85"/>
        <v>11637</v>
      </c>
      <c r="CI93">
        <f t="shared" si="86"/>
        <v>2326.8</v>
      </c>
      <c r="CK93">
        <f t="shared" si="87"/>
        <v>47.275</v>
      </c>
      <c r="CL93">
        <f t="shared" si="88"/>
        <v>94.6</v>
      </c>
      <c r="CM93">
        <f t="shared" si="89"/>
        <v>62.277</v>
      </c>
      <c r="CN93">
        <v>92</v>
      </c>
      <c r="CO93">
        <f t="shared" si="90"/>
        <v>14509.2</v>
      </c>
      <c r="CP93">
        <f t="shared" si="91"/>
        <v>2903.04</v>
      </c>
      <c r="CR93">
        <f t="shared" si="92"/>
        <v>61.84</v>
      </c>
      <c r="CS93">
        <f t="shared" si="93"/>
        <v>123.68</v>
      </c>
      <c r="CT93">
        <f t="shared" si="94"/>
        <v>81.496</v>
      </c>
    </row>
    <row r="94" spans="1:98">
      <c r="A94">
        <v>93</v>
      </c>
      <c r="B94" s="11">
        <v>11200</v>
      </c>
      <c r="C94" s="11">
        <v>2240</v>
      </c>
      <c r="D94" s="11">
        <v>2240</v>
      </c>
      <c r="E94" s="8">
        <f t="shared" si="49"/>
        <v>9550</v>
      </c>
      <c r="F94" s="8">
        <f t="shared" si="50"/>
        <v>1910</v>
      </c>
      <c r="G94" s="8">
        <f t="shared" si="51"/>
        <v>1910</v>
      </c>
      <c r="H94" s="11"/>
      <c r="I94" s="9">
        <v>1</v>
      </c>
      <c r="J94" s="8">
        <f t="shared" si="52"/>
        <v>4838.4</v>
      </c>
      <c r="K94" s="8">
        <f t="shared" si="53"/>
        <v>967.68</v>
      </c>
      <c r="L94" s="8">
        <f t="shared" si="54"/>
        <v>967.68</v>
      </c>
      <c r="M94" s="8">
        <v>0.8</v>
      </c>
      <c r="N94" s="8">
        <f t="shared" si="55"/>
        <v>25588.4</v>
      </c>
      <c r="O94" s="8">
        <f t="shared" si="56"/>
        <v>5117.68</v>
      </c>
      <c r="P94" s="8">
        <f t="shared" si="57"/>
        <v>5117.68</v>
      </c>
      <c r="Q94" s="11">
        <v>50</v>
      </c>
      <c r="R94" s="11">
        <v>100</v>
      </c>
      <c r="S94" s="11">
        <v>59.4</v>
      </c>
      <c r="T94" s="8">
        <v>7.36</v>
      </c>
      <c r="U94" s="8">
        <v>0.2576</v>
      </c>
      <c r="V94" s="8">
        <f t="shared" si="58"/>
        <v>110140.355842548</v>
      </c>
      <c r="W94" s="8">
        <f t="shared" si="59"/>
        <v>5117.68</v>
      </c>
      <c r="X94" s="8">
        <f t="shared" si="60"/>
        <v>5117.68</v>
      </c>
      <c r="Y94" s="8">
        <f t="shared" si="61"/>
        <v>11014.0355842548</v>
      </c>
      <c r="Z94" s="8">
        <f t="shared" si="62"/>
        <v>10</v>
      </c>
      <c r="AA94">
        <f t="shared" si="63"/>
        <v>2558.84</v>
      </c>
      <c r="AB94">
        <f t="shared" si="64"/>
        <v>10</v>
      </c>
      <c r="AC94">
        <f t="shared" si="65"/>
        <v>47.9992834744448</v>
      </c>
      <c r="AD94">
        <f t="shared" si="66"/>
        <v>11.7647816091954</v>
      </c>
      <c r="AE94">
        <f t="shared" si="67"/>
        <v>11.7647816091954</v>
      </c>
      <c r="AF94">
        <f t="shared" si="95"/>
        <v>36713.451947516</v>
      </c>
      <c r="AG94">
        <f t="shared" si="96"/>
        <v>5117.68</v>
      </c>
      <c r="AH94">
        <f t="shared" si="97"/>
        <v>2558.84</v>
      </c>
      <c r="AI94">
        <f t="shared" si="68"/>
        <v>3.33333333333333</v>
      </c>
      <c r="AJ94">
        <f t="shared" si="69"/>
        <v>852.946666666667</v>
      </c>
      <c r="AK94">
        <f t="shared" si="70"/>
        <v>30</v>
      </c>
      <c r="BM94">
        <v>93</v>
      </c>
      <c r="BN94">
        <f t="shared" si="71"/>
        <v>4668</v>
      </c>
      <c r="BO94">
        <f t="shared" si="72"/>
        <v>933.4</v>
      </c>
      <c r="BQ94">
        <f t="shared" si="73"/>
        <v>14.2</v>
      </c>
      <c r="BR94">
        <f t="shared" si="74"/>
        <v>28.4</v>
      </c>
      <c r="BS94">
        <f t="shared" si="75"/>
        <v>16.56</v>
      </c>
      <c r="BT94">
        <v>93</v>
      </c>
      <c r="BU94">
        <f t="shared" si="76"/>
        <v>6342.8</v>
      </c>
      <c r="BV94">
        <f t="shared" si="77"/>
        <v>1268.56</v>
      </c>
      <c r="BX94">
        <f t="shared" si="78"/>
        <v>24.6</v>
      </c>
      <c r="BY94">
        <f t="shared" si="79"/>
        <v>49.3</v>
      </c>
      <c r="BZ94">
        <v>93</v>
      </c>
      <c r="CA94">
        <f t="shared" si="80"/>
        <v>8855.6</v>
      </c>
      <c r="CB94">
        <f t="shared" si="81"/>
        <v>1770.98</v>
      </c>
      <c r="CD94">
        <f t="shared" si="82"/>
        <v>38.036</v>
      </c>
      <c r="CE94">
        <f t="shared" si="83"/>
        <v>76.138</v>
      </c>
      <c r="CF94">
        <f t="shared" si="84"/>
        <v>43.52</v>
      </c>
      <c r="CG94">
        <v>93</v>
      </c>
      <c r="CH94">
        <f t="shared" si="85"/>
        <v>11644</v>
      </c>
      <c r="CI94">
        <f t="shared" si="86"/>
        <v>2328.2</v>
      </c>
      <c r="CK94">
        <f t="shared" si="87"/>
        <v>47.3</v>
      </c>
      <c r="CL94">
        <f t="shared" si="88"/>
        <v>94.65</v>
      </c>
      <c r="CM94">
        <f t="shared" si="89"/>
        <v>62.324</v>
      </c>
      <c r="CN94">
        <v>93</v>
      </c>
      <c r="CO94">
        <f t="shared" si="90"/>
        <v>14514.8</v>
      </c>
      <c r="CP94">
        <f t="shared" si="91"/>
        <v>2904.16</v>
      </c>
      <c r="CR94">
        <f t="shared" si="92"/>
        <v>61.86</v>
      </c>
      <c r="CS94">
        <f t="shared" si="93"/>
        <v>123.72</v>
      </c>
      <c r="CT94">
        <f t="shared" si="94"/>
        <v>81.534</v>
      </c>
    </row>
    <row r="95" spans="1:98">
      <c r="A95">
        <v>94</v>
      </c>
      <c r="B95" s="11">
        <v>11300</v>
      </c>
      <c r="C95" s="11">
        <v>2260</v>
      </c>
      <c r="D95" s="11">
        <v>2260</v>
      </c>
      <c r="E95" s="8">
        <f t="shared" si="49"/>
        <v>9650</v>
      </c>
      <c r="F95" s="8">
        <f t="shared" si="50"/>
        <v>1930</v>
      </c>
      <c r="G95" s="8">
        <f t="shared" si="51"/>
        <v>1930</v>
      </c>
      <c r="H95" s="11"/>
      <c r="I95" s="9">
        <v>1</v>
      </c>
      <c r="J95" s="8">
        <f t="shared" si="52"/>
        <v>4881.6</v>
      </c>
      <c r="K95" s="8">
        <f t="shared" si="53"/>
        <v>976.32</v>
      </c>
      <c r="L95" s="8">
        <f t="shared" si="54"/>
        <v>976.32</v>
      </c>
      <c r="M95" s="8">
        <v>0.8</v>
      </c>
      <c r="N95" s="8">
        <f t="shared" si="55"/>
        <v>25831.6</v>
      </c>
      <c r="O95" s="8">
        <f t="shared" si="56"/>
        <v>5166.32</v>
      </c>
      <c r="P95" s="8">
        <f t="shared" si="57"/>
        <v>5166.32</v>
      </c>
      <c r="Q95" s="11">
        <v>50</v>
      </c>
      <c r="R95" s="11">
        <v>100</v>
      </c>
      <c r="S95" s="11">
        <v>60.06</v>
      </c>
      <c r="T95" s="8">
        <v>7.44</v>
      </c>
      <c r="U95" s="8">
        <v>0.2604</v>
      </c>
      <c r="V95" s="8">
        <f t="shared" si="58"/>
        <v>111979.49624609</v>
      </c>
      <c r="W95" s="8">
        <f t="shared" si="59"/>
        <v>5166.32</v>
      </c>
      <c r="X95" s="8">
        <f t="shared" si="60"/>
        <v>5166.32</v>
      </c>
      <c r="Y95" s="8">
        <f t="shared" si="61"/>
        <v>11197.949624609</v>
      </c>
      <c r="Z95" s="8">
        <f t="shared" si="62"/>
        <v>10</v>
      </c>
      <c r="AA95">
        <f t="shared" si="63"/>
        <v>2583.16</v>
      </c>
      <c r="AB95">
        <f t="shared" si="64"/>
        <v>10</v>
      </c>
      <c r="AC95">
        <f t="shared" si="65"/>
        <v>48.8007828059443</v>
      </c>
      <c r="AD95">
        <f t="shared" si="66"/>
        <v>11.8765977011494</v>
      </c>
      <c r="AE95">
        <f t="shared" si="67"/>
        <v>11.8765977011494</v>
      </c>
      <c r="AF95">
        <f t="shared" si="95"/>
        <v>37326.4987486967</v>
      </c>
      <c r="AG95">
        <f t="shared" si="96"/>
        <v>5166.32</v>
      </c>
      <c r="AH95">
        <f t="shared" si="97"/>
        <v>2583.16</v>
      </c>
      <c r="AI95">
        <f t="shared" si="68"/>
        <v>3.33333333333334</v>
      </c>
      <c r="AJ95">
        <f t="shared" si="69"/>
        <v>861.053333333333</v>
      </c>
      <c r="AK95">
        <f t="shared" si="70"/>
        <v>30</v>
      </c>
      <c r="BM95">
        <v>94</v>
      </c>
      <c r="BN95">
        <f t="shared" si="71"/>
        <v>4697</v>
      </c>
      <c r="BO95">
        <f t="shared" si="72"/>
        <v>939.2</v>
      </c>
      <c r="BQ95">
        <f t="shared" si="73"/>
        <v>14.3</v>
      </c>
      <c r="BR95">
        <f t="shared" si="74"/>
        <v>28.6</v>
      </c>
      <c r="BS95">
        <f t="shared" si="75"/>
        <v>16.74</v>
      </c>
      <c r="BT95">
        <v>94</v>
      </c>
      <c r="BU95">
        <f t="shared" si="76"/>
        <v>6357.4</v>
      </c>
      <c r="BV95">
        <f t="shared" si="77"/>
        <v>1271.48</v>
      </c>
      <c r="BX95">
        <f t="shared" si="78"/>
        <v>24.65</v>
      </c>
      <c r="BY95">
        <f t="shared" si="79"/>
        <v>49.4</v>
      </c>
      <c r="BZ95">
        <v>94</v>
      </c>
      <c r="CA95">
        <f t="shared" si="80"/>
        <v>8864.9</v>
      </c>
      <c r="CB95">
        <f t="shared" si="81"/>
        <v>1772.84</v>
      </c>
      <c r="CD95">
        <f t="shared" si="82"/>
        <v>38.069</v>
      </c>
      <c r="CE95">
        <f t="shared" si="83"/>
        <v>76.204</v>
      </c>
      <c r="CF95">
        <f t="shared" si="84"/>
        <v>43.58</v>
      </c>
      <c r="CG95">
        <v>94</v>
      </c>
      <c r="CH95">
        <f t="shared" si="85"/>
        <v>11651</v>
      </c>
      <c r="CI95">
        <f t="shared" si="86"/>
        <v>2329.6</v>
      </c>
      <c r="CK95">
        <f t="shared" si="87"/>
        <v>47.325</v>
      </c>
      <c r="CL95">
        <f t="shared" si="88"/>
        <v>94.7</v>
      </c>
      <c r="CM95">
        <f t="shared" si="89"/>
        <v>62.371</v>
      </c>
      <c r="CN95">
        <v>94</v>
      </c>
      <c r="CO95">
        <f t="shared" si="90"/>
        <v>14520.4</v>
      </c>
      <c r="CP95">
        <f t="shared" si="91"/>
        <v>2905.28</v>
      </c>
      <c r="CR95">
        <f t="shared" si="92"/>
        <v>61.88</v>
      </c>
      <c r="CS95">
        <f t="shared" si="93"/>
        <v>123.76</v>
      </c>
      <c r="CT95">
        <f t="shared" si="94"/>
        <v>81.572</v>
      </c>
    </row>
    <row r="96" spans="1:98">
      <c r="A96">
        <v>95</v>
      </c>
      <c r="B96" s="11">
        <v>11400</v>
      </c>
      <c r="C96" s="11">
        <v>2280</v>
      </c>
      <c r="D96" s="11">
        <v>2280</v>
      </c>
      <c r="E96" s="8">
        <f t="shared" si="49"/>
        <v>9750</v>
      </c>
      <c r="F96" s="8">
        <f t="shared" si="50"/>
        <v>1950</v>
      </c>
      <c r="G96" s="8">
        <f t="shared" si="51"/>
        <v>1950</v>
      </c>
      <c r="H96" s="11"/>
      <c r="I96" s="9">
        <v>1</v>
      </c>
      <c r="J96" s="8">
        <f t="shared" si="52"/>
        <v>4924.8</v>
      </c>
      <c r="K96" s="8">
        <f t="shared" si="53"/>
        <v>984.96</v>
      </c>
      <c r="L96" s="8">
        <f t="shared" si="54"/>
        <v>984.96</v>
      </c>
      <c r="M96" s="8">
        <v>0.8</v>
      </c>
      <c r="N96" s="8">
        <f t="shared" si="55"/>
        <v>26074.8</v>
      </c>
      <c r="O96" s="8">
        <f t="shared" si="56"/>
        <v>5214.96</v>
      </c>
      <c r="P96" s="8">
        <f t="shared" si="57"/>
        <v>5214.96</v>
      </c>
      <c r="Q96" s="11">
        <v>50</v>
      </c>
      <c r="R96" s="11">
        <v>100</v>
      </c>
      <c r="S96" s="11">
        <v>60.72</v>
      </c>
      <c r="T96" s="8">
        <v>7.52</v>
      </c>
      <c r="U96" s="8">
        <v>0.2632</v>
      </c>
      <c r="V96" s="8">
        <f t="shared" si="58"/>
        <v>113836.694899183</v>
      </c>
      <c r="W96" s="8">
        <f t="shared" si="59"/>
        <v>5214.96</v>
      </c>
      <c r="X96" s="8">
        <f t="shared" si="60"/>
        <v>5214.96</v>
      </c>
      <c r="Y96" s="8">
        <f t="shared" si="61"/>
        <v>11383.6694899183</v>
      </c>
      <c r="Z96" s="8">
        <f t="shared" si="62"/>
        <v>10</v>
      </c>
      <c r="AA96">
        <f t="shared" si="63"/>
        <v>2607.48</v>
      </c>
      <c r="AB96">
        <f t="shared" si="64"/>
        <v>10</v>
      </c>
      <c r="AC96">
        <f t="shared" si="65"/>
        <v>49.6101519416824</v>
      </c>
      <c r="AD96">
        <f t="shared" si="66"/>
        <v>11.9884137931034</v>
      </c>
      <c r="AE96">
        <f t="shared" si="67"/>
        <v>11.9884137931034</v>
      </c>
      <c r="AF96">
        <f t="shared" si="95"/>
        <v>37945.5649663943</v>
      </c>
      <c r="AG96">
        <f t="shared" si="96"/>
        <v>5214.96</v>
      </c>
      <c r="AH96">
        <f t="shared" si="97"/>
        <v>2607.48</v>
      </c>
      <c r="AI96">
        <f t="shared" si="68"/>
        <v>3.33333333333333</v>
      </c>
      <c r="AJ96">
        <f t="shared" si="69"/>
        <v>869.16</v>
      </c>
      <c r="AK96">
        <f t="shared" si="70"/>
        <v>30</v>
      </c>
      <c r="BM96">
        <v>95</v>
      </c>
      <c r="BN96">
        <f t="shared" si="71"/>
        <v>4726</v>
      </c>
      <c r="BO96">
        <f t="shared" si="72"/>
        <v>945</v>
      </c>
      <c r="BQ96">
        <f t="shared" si="73"/>
        <v>14.4</v>
      </c>
      <c r="BR96">
        <f t="shared" si="74"/>
        <v>28.8</v>
      </c>
      <c r="BS96">
        <f t="shared" si="75"/>
        <v>16.92</v>
      </c>
      <c r="BT96">
        <v>95</v>
      </c>
      <c r="BU96">
        <f t="shared" si="76"/>
        <v>6372</v>
      </c>
      <c r="BV96">
        <f t="shared" si="77"/>
        <v>1274.4</v>
      </c>
      <c r="BX96">
        <f t="shared" si="78"/>
        <v>24.7</v>
      </c>
      <c r="BY96">
        <f t="shared" si="79"/>
        <v>49.5</v>
      </c>
      <c r="BZ96">
        <v>95</v>
      </c>
      <c r="CA96">
        <f t="shared" si="80"/>
        <v>8874.2</v>
      </c>
      <c r="CB96">
        <f t="shared" si="81"/>
        <v>1774.7</v>
      </c>
      <c r="CD96">
        <f t="shared" si="82"/>
        <v>38.102</v>
      </c>
      <c r="CE96">
        <f t="shared" si="83"/>
        <v>76.27</v>
      </c>
      <c r="CF96">
        <f t="shared" si="84"/>
        <v>43.64</v>
      </c>
      <c r="CG96">
        <v>95</v>
      </c>
      <c r="CH96">
        <f t="shared" si="85"/>
        <v>11658</v>
      </c>
      <c r="CI96">
        <f t="shared" si="86"/>
        <v>2331</v>
      </c>
      <c r="CK96">
        <f t="shared" si="87"/>
        <v>47.35</v>
      </c>
      <c r="CL96">
        <f t="shared" si="88"/>
        <v>94.75</v>
      </c>
      <c r="CM96">
        <f t="shared" si="89"/>
        <v>62.418</v>
      </c>
      <c r="CN96">
        <v>95</v>
      </c>
      <c r="CO96">
        <f t="shared" si="90"/>
        <v>14526</v>
      </c>
      <c r="CP96">
        <f t="shared" si="91"/>
        <v>2906.4</v>
      </c>
      <c r="CR96">
        <f t="shared" si="92"/>
        <v>61.9</v>
      </c>
      <c r="CS96">
        <f t="shared" si="93"/>
        <v>123.8</v>
      </c>
      <c r="CT96">
        <f t="shared" si="94"/>
        <v>81.61</v>
      </c>
    </row>
    <row r="97" spans="1:98">
      <c r="A97">
        <v>96</v>
      </c>
      <c r="B97" s="11">
        <v>11500</v>
      </c>
      <c r="C97" s="11">
        <v>2300</v>
      </c>
      <c r="D97" s="11">
        <v>2300</v>
      </c>
      <c r="E97" s="8">
        <f t="shared" si="49"/>
        <v>9850</v>
      </c>
      <c r="F97" s="8">
        <f t="shared" si="50"/>
        <v>1970</v>
      </c>
      <c r="G97" s="8">
        <f t="shared" si="51"/>
        <v>1970</v>
      </c>
      <c r="H97" s="11"/>
      <c r="I97" s="9">
        <v>1</v>
      </c>
      <c r="J97" s="8">
        <f t="shared" si="52"/>
        <v>4968</v>
      </c>
      <c r="K97" s="8">
        <f t="shared" si="53"/>
        <v>993.6</v>
      </c>
      <c r="L97" s="8">
        <f t="shared" si="54"/>
        <v>993.6</v>
      </c>
      <c r="M97" s="8">
        <v>0.8</v>
      </c>
      <c r="N97" s="8">
        <f t="shared" si="55"/>
        <v>26318</v>
      </c>
      <c r="O97" s="8">
        <f t="shared" si="56"/>
        <v>5263.6</v>
      </c>
      <c r="P97" s="8">
        <f t="shared" si="57"/>
        <v>5263.6</v>
      </c>
      <c r="Q97" s="11">
        <v>50</v>
      </c>
      <c r="R97" s="11">
        <v>100</v>
      </c>
      <c r="S97" s="11">
        <v>61.38</v>
      </c>
      <c r="T97" s="8">
        <v>7.6</v>
      </c>
      <c r="U97" s="8">
        <v>0.266</v>
      </c>
      <c r="V97" s="8">
        <f t="shared" si="58"/>
        <v>115712.044300589</v>
      </c>
      <c r="W97" s="8">
        <f t="shared" si="59"/>
        <v>5263.6</v>
      </c>
      <c r="X97" s="8">
        <f t="shared" si="60"/>
        <v>5263.6</v>
      </c>
      <c r="Y97" s="8">
        <f t="shared" si="61"/>
        <v>11571.2044300589</v>
      </c>
      <c r="Z97" s="8">
        <f t="shared" si="62"/>
        <v>10</v>
      </c>
      <c r="AA97">
        <f t="shared" si="63"/>
        <v>2631.8</v>
      </c>
      <c r="AB97">
        <f t="shared" si="64"/>
        <v>10</v>
      </c>
      <c r="AC97">
        <f t="shared" si="65"/>
        <v>50.4274311927173</v>
      </c>
      <c r="AD97">
        <f t="shared" si="66"/>
        <v>12.1002298850575</v>
      </c>
      <c r="AE97">
        <f t="shared" si="67"/>
        <v>12.1002298850575</v>
      </c>
      <c r="AF97">
        <f t="shared" si="95"/>
        <v>38570.6814335297</v>
      </c>
      <c r="AG97">
        <f t="shared" si="96"/>
        <v>5263.6</v>
      </c>
      <c r="AH97">
        <f t="shared" si="97"/>
        <v>2631.8</v>
      </c>
      <c r="AI97">
        <f t="shared" si="68"/>
        <v>3.33333333333334</v>
      </c>
      <c r="AJ97">
        <f t="shared" si="69"/>
        <v>877.266666666667</v>
      </c>
      <c r="AK97">
        <f t="shared" si="70"/>
        <v>30</v>
      </c>
      <c r="BM97">
        <v>96</v>
      </c>
      <c r="BN97">
        <f t="shared" si="71"/>
        <v>4755</v>
      </c>
      <c r="BO97">
        <f t="shared" si="72"/>
        <v>950.8</v>
      </c>
      <c r="BQ97">
        <f t="shared" si="73"/>
        <v>14.5</v>
      </c>
      <c r="BR97">
        <f t="shared" si="74"/>
        <v>29</v>
      </c>
      <c r="BS97">
        <f t="shared" si="75"/>
        <v>17.1</v>
      </c>
      <c r="BT97">
        <v>96</v>
      </c>
      <c r="BU97">
        <f t="shared" si="76"/>
        <v>6386.6</v>
      </c>
      <c r="BV97">
        <f t="shared" si="77"/>
        <v>1277.32</v>
      </c>
      <c r="BX97">
        <f t="shared" si="78"/>
        <v>24.75</v>
      </c>
      <c r="BY97">
        <f t="shared" si="79"/>
        <v>49.6</v>
      </c>
      <c r="BZ97">
        <v>96</v>
      </c>
      <c r="CA97">
        <f t="shared" si="80"/>
        <v>8883.5</v>
      </c>
      <c r="CB97">
        <f t="shared" si="81"/>
        <v>1776.56</v>
      </c>
      <c r="CD97">
        <f t="shared" si="82"/>
        <v>38.135</v>
      </c>
      <c r="CE97">
        <f t="shared" si="83"/>
        <v>76.336</v>
      </c>
      <c r="CF97">
        <f t="shared" si="84"/>
        <v>43.7</v>
      </c>
      <c r="CG97">
        <v>96</v>
      </c>
      <c r="CH97">
        <f t="shared" si="85"/>
        <v>11665</v>
      </c>
      <c r="CI97">
        <f t="shared" si="86"/>
        <v>2332.4</v>
      </c>
      <c r="CK97">
        <f t="shared" si="87"/>
        <v>47.375</v>
      </c>
      <c r="CL97">
        <f t="shared" si="88"/>
        <v>94.8</v>
      </c>
      <c r="CM97">
        <f t="shared" si="89"/>
        <v>62.465</v>
      </c>
      <c r="CN97">
        <v>96</v>
      </c>
      <c r="CO97">
        <f t="shared" si="90"/>
        <v>14531.6</v>
      </c>
      <c r="CP97">
        <f t="shared" si="91"/>
        <v>2907.52</v>
      </c>
      <c r="CR97">
        <f t="shared" si="92"/>
        <v>61.92</v>
      </c>
      <c r="CS97">
        <f t="shared" si="93"/>
        <v>123.84</v>
      </c>
      <c r="CT97">
        <f t="shared" si="94"/>
        <v>81.648</v>
      </c>
    </row>
    <row r="98" spans="1:98">
      <c r="A98">
        <v>97</v>
      </c>
      <c r="B98" s="11">
        <v>11600</v>
      </c>
      <c r="C98" s="11">
        <v>2320</v>
      </c>
      <c r="D98" s="11">
        <v>2320</v>
      </c>
      <c r="E98" s="8">
        <f t="shared" si="49"/>
        <v>9950</v>
      </c>
      <c r="F98" s="8">
        <f t="shared" si="50"/>
        <v>1990</v>
      </c>
      <c r="G98" s="8">
        <f t="shared" si="51"/>
        <v>1990</v>
      </c>
      <c r="H98" s="11"/>
      <c r="I98" s="9">
        <v>1</v>
      </c>
      <c r="J98" s="8">
        <f t="shared" si="52"/>
        <v>5011.2</v>
      </c>
      <c r="K98" s="8">
        <f t="shared" si="53"/>
        <v>1002.24</v>
      </c>
      <c r="L98" s="8">
        <f t="shared" si="54"/>
        <v>1002.24</v>
      </c>
      <c r="M98" s="8">
        <v>0.8</v>
      </c>
      <c r="N98" s="8">
        <f t="shared" si="55"/>
        <v>26561.2</v>
      </c>
      <c r="O98" s="8">
        <f t="shared" si="56"/>
        <v>5312.24</v>
      </c>
      <c r="P98" s="8">
        <f t="shared" si="57"/>
        <v>5312.24</v>
      </c>
      <c r="Q98" s="11">
        <v>50</v>
      </c>
      <c r="R98" s="11">
        <v>100</v>
      </c>
      <c r="S98" s="11">
        <v>62.04</v>
      </c>
      <c r="T98" s="8">
        <v>7.68</v>
      </c>
      <c r="U98" s="8">
        <v>0.2688</v>
      </c>
      <c r="V98" s="8">
        <f t="shared" si="58"/>
        <v>117605.637121652</v>
      </c>
      <c r="W98" s="8">
        <f t="shared" si="59"/>
        <v>5312.24</v>
      </c>
      <c r="X98" s="8">
        <f t="shared" si="60"/>
        <v>5312.24</v>
      </c>
      <c r="Y98" s="8">
        <f t="shared" si="61"/>
        <v>11760.5637121652</v>
      </c>
      <c r="Z98" s="8">
        <f t="shared" si="62"/>
        <v>10</v>
      </c>
      <c r="AA98">
        <f t="shared" si="63"/>
        <v>2656.12</v>
      </c>
      <c r="AB98">
        <f t="shared" si="64"/>
        <v>10</v>
      </c>
      <c r="AC98">
        <f t="shared" si="65"/>
        <v>51.2526609453187</v>
      </c>
      <c r="AD98">
        <f t="shared" si="66"/>
        <v>12.2120459770115</v>
      </c>
      <c r="AE98">
        <f t="shared" si="67"/>
        <v>12.2120459770115</v>
      </c>
      <c r="AF98">
        <f t="shared" si="95"/>
        <v>39201.8790405507</v>
      </c>
      <c r="AG98">
        <f t="shared" si="96"/>
        <v>5312.24</v>
      </c>
      <c r="AH98">
        <f t="shared" si="97"/>
        <v>2656.12</v>
      </c>
      <c r="AI98">
        <f t="shared" si="68"/>
        <v>3.33333333333334</v>
      </c>
      <c r="AJ98">
        <f t="shared" si="69"/>
        <v>885.373333333333</v>
      </c>
      <c r="AK98">
        <f t="shared" si="70"/>
        <v>30</v>
      </c>
      <c r="BM98">
        <v>97</v>
      </c>
      <c r="BN98">
        <f t="shared" si="71"/>
        <v>4784</v>
      </c>
      <c r="BO98">
        <f t="shared" si="72"/>
        <v>956.6</v>
      </c>
      <c r="BQ98">
        <f t="shared" si="73"/>
        <v>14.6</v>
      </c>
      <c r="BR98">
        <f t="shared" si="74"/>
        <v>29.2</v>
      </c>
      <c r="BS98">
        <f t="shared" si="75"/>
        <v>17.28</v>
      </c>
      <c r="BT98">
        <v>97</v>
      </c>
      <c r="BU98">
        <f t="shared" si="76"/>
        <v>6401.2</v>
      </c>
      <c r="BV98">
        <f t="shared" si="77"/>
        <v>1280.24</v>
      </c>
      <c r="BX98">
        <f t="shared" si="78"/>
        <v>24.8</v>
      </c>
      <c r="BY98">
        <f t="shared" si="79"/>
        <v>49.7</v>
      </c>
      <c r="BZ98">
        <v>97</v>
      </c>
      <c r="CA98">
        <f t="shared" si="80"/>
        <v>8892.8</v>
      </c>
      <c r="CB98">
        <f t="shared" si="81"/>
        <v>1778.42</v>
      </c>
      <c r="CD98">
        <f t="shared" si="82"/>
        <v>38.168</v>
      </c>
      <c r="CE98">
        <f t="shared" si="83"/>
        <v>76.402</v>
      </c>
      <c r="CF98">
        <f t="shared" si="84"/>
        <v>43.76</v>
      </c>
      <c r="CG98">
        <v>97</v>
      </c>
      <c r="CH98">
        <f t="shared" si="85"/>
        <v>11672</v>
      </c>
      <c r="CI98">
        <f t="shared" si="86"/>
        <v>2333.8</v>
      </c>
      <c r="CK98">
        <f t="shared" si="87"/>
        <v>47.4</v>
      </c>
      <c r="CL98">
        <f t="shared" si="88"/>
        <v>94.85</v>
      </c>
      <c r="CM98">
        <f t="shared" si="89"/>
        <v>62.512</v>
      </c>
      <c r="CN98">
        <v>97</v>
      </c>
      <c r="CO98">
        <f t="shared" si="90"/>
        <v>14537.2</v>
      </c>
      <c r="CP98">
        <f t="shared" si="91"/>
        <v>2908.64</v>
      </c>
      <c r="CR98">
        <f t="shared" si="92"/>
        <v>61.94</v>
      </c>
      <c r="CS98">
        <f t="shared" si="93"/>
        <v>123.88</v>
      </c>
      <c r="CT98">
        <f t="shared" si="94"/>
        <v>81.686</v>
      </c>
    </row>
    <row r="99" spans="1:98">
      <c r="A99">
        <v>98</v>
      </c>
      <c r="B99" s="11">
        <v>11700</v>
      </c>
      <c r="C99" s="11">
        <v>2340</v>
      </c>
      <c r="D99" s="11">
        <v>2340</v>
      </c>
      <c r="E99" s="8">
        <f t="shared" si="49"/>
        <v>10050</v>
      </c>
      <c r="F99" s="8">
        <f t="shared" si="50"/>
        <v>2010</v>
      </c>
      <c r="G99" s="8">
        <f t="shared" si="51"/>
        <v>2010</v>
      </c>
      <c r="H99" s="11"/>
      <c r="I99" s="9">
        <v>1</v>
      </c>
      <c r="J99" s="8">
        <f t="shared" si="52"/>
        <v>5054.4</v>
      </c>
      <c r="K99" s="8">
        <f t="shared" si="53"/>
        <v>1010.88</v>
      </c>
      <c r="L99" s="8">
        <f t="shared" si="54"/>
        <v>1010.88</v>
      </c>
      <c r="M99" s="8">
        <v>0.8</v>
      </c>
      <c r="N99" s="8">
        <f t="shared" si="55"/>
        <v>26804.4</v>
      </c>
      <c r="O99" s="8">
        <f t="shared" si="56"/>
        <v>5360.88</v>
      </c>
      <c r="P99" s="8">
        <f t="shared" si="57"/>
        <v>5360.88</v>
      </c>
      <c r="Q99" s="11">
        <v>50</v>
      </c>
      <c r="R99" s="11">
        <v>100</v>
      </c>
      <c r="S99" s="11">
        <v>62.7</v>
      </c>
      <c r="T99" s="8">
        <v>7.76</v>
      </c>
      <c r="U99" s="8">
        <v>0.2716</v>
      </c>
      <c r="V99" s="8">
        <f t="shared" si="58"/>
        <v>119517.5662063</v>
      </c>
      <c r="W99" s="8">
        <f t="shared" si="59"/>
        <v>5360.88</v>
      </c>
      <c r="X99" s="8">
        <f t="shared" si="60"/>
        <v>5360.88</v>
      </c>
      <c r="Y99" s="8">
        <f t="shared" si="61"/>
        <v>11951.75662063</v>
      </c>
      <c r="Z99" s="8">
        <f t="shared" si="62"/>
        <v>10</v>
      </c>
      <c r="AA99">
        <f t="shared" si="63"/>
        <v>2680.44</v>
      </c>
      <c r="AB99">
        <f t="shared" si="64"/>
        <v>10</v>
      </c>
      <c r="AC99">
        <f t="shared" si="65"/>
        <v>52.0858816609686</v>
      </c>
      <c r="AD99">
        <f t="shared" si="66"/>
        <v>12.3238620689655</v>
      </c>
      <c r="AE99">
        <f t="shared" si="67"/>
        <v>12.3238620689655</v>
      </c>
      <c r="AF99">
        <f t="shared" si="95"/>
        <v>39839.1887354333</v>
      </c>
      <c r="AG99">
        <f t="shared" si="96"/>
        <v>5360.88</v>
      </c>
      <c r="AH99">
        <f t="shared" si="97"/>
        <v>2680.44</v>
      </c>
      <c r="AI99">
        <f t="shared" si="68"/>
        <v>3.33333333333333</v>
      </c>
      <c r="AJ99">
        <f t="shared" si="69"/>
        <v>893.48</v>
      </c>
      <c r="AK99">
        <f t="shared" si="70"/>
        <v>30</v>
      </c>
      <c r="BM99">
        <v>98</v>
      </c>
      <c r="BN99">
        <f t="shared" si="71"/>
        <v>4813</v>
      </c>
      <c r="BO99">
        <f t="shared" si="72"/>
        <v>962.4</v>
      </c>
      <c r="BQ99">
        <f t="shared" si="73"/>
        <v>14.7</v>
      </c>
      <c r="BR99">
        <f t="shared" si="74"/>
        <v>29.4</v>
      </c>
      <c r="BS99">
        <f t="shared" si="75"/>
        <v>17.46</v>
      </c>
      <c r="BT99">
        <v>98</v>
      </c>
      <c r="BU99">
        <f t="shared" si="76"/>
        <v>6415.8</v>
      </c>
      <c r="BV99">
        <f t="shared" si="77"/>
        <v>1283.16</v>
      </c>
      <c r="BX99">
        <f t="shared" si="78"/>
        <v>24.85</v>
      </c>
      <c r="BY99">
        <f t="shared" si="79"/>
        <v>49.8</v>
      </c>
      <c r="BZ99">
        <v>98</v>
      </c>
      <c r="CA99">
        <f t="shared" si="80"/>
        <v>8902.1</v>
      </c>
      <c r="CB99">
        <f t="shared" si="81"/>
        <v>1780.28</v>
      </c>
      <c r="CD99">
        <f t="shared" si="82"/>
        <v>38.201</v>
      </c>
      <c r="CE99">
        <f t="shared" si="83"/>
        <v>76.468</v>
      </c>
      <c r="CF99">
        <f t="shared" si="84"/>
        <v>43.82</v>
      </c>
      <c r="CG99">
        <v>98</v>
      </c>
      <c r="CH99">
        <f t="shared" si="85"/>
        <v>11679</v>
      </c>
      <c r="CI99">
        <f t="shared" si="86"/>
        <v>2335.2</v>
      </c>
      <c r="CK99">
        <f t="shared" si="87"/>
        <v>47.425</v>
      </c>
      <c r="CL99">
        <f t="shared" si="88"/>
        <v>94.9</v>
      </c>
      <c r="CM99">
        <f t="shared" si="89"/>
        <v>62.559</v>
      </c>
      <c r="CN99">
        <v>98</v>
      </c>
      <c r="CO99">
        <f t="shared" si="90"/>
        <v>14542.8</v>
      </c>
      <c r="CP99">
        <f t="shared" si="91"/>
        <v>2909.76</v>
      </c>
      <c r="CR99">
        <f t="shared" si="92"/>
        <v>61.96</v>
      </c>
      <c r="CS99">
        <f t="shared" si="93"/>
        <v>123.92</v>
      </c>
      <c r="CT99">
        <f t="shared" si="94"/>
        <v>81.724</v>
      </c>
    </row>
    <row r="100" spans="1:98">
      <c r="A100">
        <v>99</v>
      </c>
      <c r="B100" s="11">
        <v>11800</v>
      </c>
      <c r="C100" s="11">
        <v>2360</v>
      </c>
      <c r="D100" s="11">
        <v>2360</v>
      </c>
      <c r="E100" s="8">
        <f t="shared" si="49"/>
        <v>10150</v>
      </c>
      <c r="F100" s="8">
        <f t="shared" si="50"/>
        <v>2030</v>
      </c>
      <c r="G100" s="8">
        <f t="shared" si="51"/>
        <v>2030</v>
      </c>
      <c r="H100" s="11"/>
      <c r="I100" s="9">
        <v>1</v>
      </c>
      <c r="J100" s="8">
        <f t="shared" si="52"/>
        <v>5097.6</v>
      </c>
      <c r="K100" s="8">
        <f t="shared" si="53"/>
        <v>1019.52</v>
      </c>
      <c r="L100" s="8">
        <f t="shared" si="54"/>
        <v>1019.52</v>
      </c>
      <c r="M100" s="8">
        <v>0.8</v>
      </c>
      <c r="N100" s="8">
        <f t="shared" si="55"/>
        <v>27047.6</v>
      </c>
      <c r="O100" s="8">
        <f t="shared" si="56"/>
        <v>5409.52</v>
      </c>
      <c r="P100" s="8">
        <f t="shared" si="57"/>
        <v>5409.52</v>
      </c>
      <c r="Q100" s="11">
        <v>50</v>
      </c>
      <c r="R100" s="11">
        <v>100</v>
      </c>
      <c r="S100" s="11">
        <v>63.36</v>
      </c>
      <c r="T100" s="8">
        <v>7.84</v>
      </c>
      <c r="U100" s="8">
        <v>0.2744</v>
      </c>
      <c r="V100" s="8">
        <f t="shared" si="58"/>
        <v>121447.924571043</v>
      </c>
      <c r="W100" s="8">
        <f t="shared" si="59"/>
        <v>5409.52</v>
      </c>
      <c r="X100" s="8">
        <f t="shared" si="60"/>
        <v>5409.52</v>
      </c>
      <c r="Y100" s="8">
        <f t="shared" si="61"/>
        <v>12144.7924571043</v>
      </c>
      <c r="Z100" s="8">
        <f t="shared" si="62"/>
        <v>10</v>
      </c>
      <c r="AA100">
        <f t="shared" si="63"/>
        <v>2704.76</v>
      </c>
      <c r="AB100">
        <f t="shared" si="64"/>
        <v>10</v>
      </c>
      <c r="AC100">
        <f t="shared" si="65"/>
        <v>52.9271338763602</v>
      </c>
      <c r="AD100">
        <f t="shared" si="66"/>
        <v>12.4356781609195</v>
      </c>
      <c r="AE100">
        <f t="shared" si="67"/>
        <v>12.4356781609195</v>
      </c>
      <c r="AF100">
        <f t="shared" si="95"/>
        <v>40482.641523681</v>
      </c>
      <c r="AG100">
        <f t="shared" si="96"/>
        <v>5409.52</v>
      </c>
      <c r="AH100">
        <f t="shared" si="97"/>
        <v>2704.76</v>
      </c>
      <c r="AI100">
        <f t="shared" si="68"/>
        <v>3.33333333333333</v>
      </c>
      <c r="AJ100">
        <f t="shared" si="69"/>
        <v>901.586666666667</v>
      </c>
      <c r="AK100">
        <f t="shared" si="70"/>
        <v>30</v>
      </c>
      <c r="BM100">
        <v>99</v>
      </c>
      <c r="BN100">
        <f t="shared" si="71"/>
        <v>4842</v>
      </c>
      <c r="BO100">
        <f t="shared" si="72"/>
        <v>968.2</v>
      </c>
      <c r="BQ100">
        <f t="shared" si="73"/>
        <v>14.8</v>
      </c>
      <c r="BR100">
        <f t="shared" si="74"/>
        <v>29.6</v>
      </c>
      <c r="BS100">
        <f t="shared" si="75"/>
        <v>17.64</v>
      </c>
      <c r="BT100">
        <v>99</v>
      </c>
      <c r="BU100">
        <f t="shared" si="76"/>
        <v>6430.4</v>
      </c>
      <c r="BV100">
        <f t="shared" si="77"/>
        <v>1286.08</v>
      </c>
      <c r="BX100">
        <f t="shared" si="78"/>
        <v>24.9</v>
      </c>
      <c r="BY100">
        <f t="shared" si="79"/>
        <v>49.9</v>
      </c>
      <c r="BZ100">
        <v>99</v>
      </c>
      <c r="CA100">
        <f t="shared" si="80"/>
        <v>8911.4</v>
      </c>
      <c r="CB100">
        <f t="shared" si="81"/>
        <v>1782.14</v>
      </c>
      <c r="CD100">
        <f t="shared" si="82"/>
        <v>38.234</v>
      </c>
      <c r="CE100">
        <f t="shared" si="83"/>
        <v>76.534</v>
      </c>
      <c r="CF100">
        <f t="shared" si="84"/>
        <v>43.88</v>
      </c>
      <c r="CG100">
        <v>99</v>
      </c>
      <c r="CH100">
        <f t="shared" si="85"/>
        <v>11686</v>
      </c>
      <c r="CI100">
        <f t="shared" si="86"/>
        <v>2336.6</v>
      </c>
      <c r="CK100">
        <f t="shared" si="87"/>
        <v>47.45</v>
      </c>
      <c r="CL100">
        <f t="shared" si="88"/>
        <v>94.95</v>
      </c>
      <c r="CM100">
        <f t="shared" si="89"/>
        <v>62.606</v>
      </c>
      <c r="CN100">
        <v>99</v>
      </c>
      <c r="CO100">
        <f t="shared" si="90"/>
        <v>14548.4</v>
      </c>
      <c r="CP100">
        <f t="shared" si="91"/>
        <v>2910.88</v>
      </c>
      <c r="CR100">
        <f t="shared" si="92"/>
        <v>61.98</v>
      </c>
      <c r="CS100">
        <f t="shared" si="93"/>
        <v>123.96</v>
      </c>
      <c r="CT100">
        <f t="shared" si="94"/>
        <v>81.762</v>
      </c>
    </row>
    <row r="101" s="1" customFormat="1" spans="1:98">
      <c r="A101" s="1">
        <v>100</v>
      </c>
      <c r="B101" s="1">
        <v>11900</v>
      </c>
      <c r="C101" s="1">
        <v>2380</v>
      </c>
      <c r="D101" s="1">
        <v>2380</v>
      </c>
      <c r="E101" s="1">
        <f t="shared" si="49"/>
        <v>10250</v>
      </c>
      <c r="F101" s="1">
        <f t="shared" si="50"/>
        <v>2050</v>
      </c>
      <c r="G101" s="1">
        <f t="shared" si="51"/>
        <v>2050</v>
      </c>
      <c r="I101" s="1">
        <v>1</v>
      </c>
      <c r="J101" s="1">
        <f t="shared" si="52"/>
        <v>5140.8</v>
      </c>
      <c r="K101" s="1">
        <f t="shared" si="53"/>
        <v>1028.16</v>
      </c>
      <c r="L101" s="1">
        <f t="shared" si="54"/>
        <v>1028.16</v>
      </c>
      <c r="M101" s="8">
        <v>0.8</v>
      </c>
      <c r="N101" s="1">
        <f t="shared" si="55"/>
        <v>27290.8</v>
      </c>
      <c r="O101" s="1">
        <f t="shared" si="56"/>
        <v>5458.16</v>
      </c>
      <c r="P101" s="1">
        <f t="shared" si="57"/>
        <v>5458.16</v>
      </c>
      <c r="Q101" s="1">
        <v>50</v>
      </c>
      <c r="R101" s="1">
        <v>100</v>
      </c>
      <c r="S101" s="1">
        <v>64.02</v>
      </c>
      <c r="T101" s="1">
        <v>7.92</v>
      </c>
      <c r="U101" s="1">
        <v>0.2772</v>
      </c>
      <c r="V101" s="1">
        <f t="shared" si="58"/>
        <v>123396.805404971</v>
      </c>
      <c r="W101" s="1">
        <f t="shared" si="59"/>
        <v>5458.16</v>
      </c>
      <c r="X101" s="1">
        <f t="shared" si="60"/>
        <v>5458.16</v>
      </c>
      <c r="Y101" s="1">
        <f t="shared" si="61"/>
        <v>12339.6805404971</v>
      </c>
      <c r="Z101" s="1">
        <f t="shared" si="62"/>
        <v>10</v>
      </c>
      <c r="AA101" s="1">
        <f t="shared" si="63"/>
        <v>2729.08</v>
      </c>
      <c r="AB101" s="1">
        <f t="shared" si="64"/>
        <v>10</v>
      </c>
      <c r="AC101">
        <f t="shared" si="65"/>
        <v>53.7764582033975</v>
      </c>
      <c r="AD101">
        <f t="shared" si="66"/>
        <v>12.5474942528736</v>
      </c>
      <c r="AE101">
        <f t="shared" si="67"/>
        <v>12.5474942528736</v>
      </c>
      <c r="AF101" s="1">
        <f t="shared" si="95"/>
        <v>41132.2684683237</v>
      </c>
      <c r="AG101" s="1">
        <f t="shared" si="96"/>
        <v>5458.16</v>
      </c>
      <c r="AH101" s="1">
        <f t="shared" si="97"/>
        <v>2729.08</v>
      </c>
      <c r="AI101" s="1">
        <f t="shared" si="68"/>
        <v>3.33333333333334</v>
      </c>
      <c r="AJ101" s="1">
        <f t="shared" si="69"/>
        <v>909.693333333333</v>
      </c>
      <c r="AK101" s="1">
        <f t="shared" si="70"/>
        <v>30</v>
      </c>
      <c r="AX101" s="3"/>
      <c r="AY101" s="3"/>
      <c r="AZ101" s="3"/>
      <c r="BA101" s="3"/>
      <c r="BB101" s="3"/>
      <c r="BC101" s="3"/>
      <c r="BD101" s="4"/>
      <c r="BE101" s="4"/>
      <c r="BF101" s="4"/>
      <c r="BG101" s="4"/>
      <c r="BH101" s="4"/>
      <c r="BI101" s="4"/>
      <c r="BJ101" s="3"/>
      <c r="BK101" s="3"/>
      <c r="BM101" s="1">
        <v>100</v>
      </c>
      <c r="BN101" s="1">
        <f t="shared" si="71"/>
        <v>4871</v>
      </c>
      <c r="BO101" s="1">
        <f t="shared" si="72"/>
        <v>974</v>
      </c>
      <c r="BQ101" s="1">
        <f t="shared" si="73"/>
        <v>14.9</v>
      </c>
      <c r="BR101" s="1">
        <f t="shared" si="74"/>
        <v>29.8</v>
      </c>
      <c r="BS101" s="1">
        <f t="shared" si="75"/>
        <v>17.82</v>
      </c>
      <c r="BT101" s="1">
        <v>100</v>
      </c>
      <c r="BU101" s="1">
        <f t="shared" si="76"/>
        <v>6445</v>
      </c>
      <c r="BV101" s="1">
        <f t="shared" si="77"/>
        <v>1289</v>
      </c>
      <c r="BX101" s="1">
        <f t="shared" si="78"/>
        <v>24.95</v>
      </c>
      <c r="BY101" s="1">
        <f t="shared" si="79"/>
        <v>50</v>
      </c>
      <c r="BZ101" s="1">
        <v>100</v>
      </c>
      <c r="CA101" s="1">
        <f t="shared" si="80"/>
        <v>8920.7</v>
      </c>
      <c r="CB101" s="1">
        <f t="shared" si="81"/>
        <v>1784</v>
      </c>
      <c r="CD101" s="1">
        <f t="shared" si="82"/>
        <v>38.267</v>
      </c>
      <c r="CE101" s="1">
        <f t="shared" si="83"/>
        <v>76.6</v>
      </c>
      <c r="CF101" s="1">
        <f t="shared" si="84"/>
        <v>43.94</v>
      </c>
      <c r="CG101" s="1">
        <v>100</v>
      </c>
      <c r="CH101" s="1">
        <f t="shared" si="85"/>
        <v>11693</v>
      </c>
      <c r="CI101" s="1">
        <f t="shared" si="86"/>
        <v>2338</v>
      </c>
      <c r="CK101" s="1">
        <f t="shared" si="87"/>
        <v>47.475</v>
      </c>
      <c r="CL101" s="1">
        <f t="shared" si="88"/>
        <v>95</v>
      </c>
      <c r="CM101" s="1">
        <f t="shared" si="89"/>
        <v>62.653</v>
      </c>
      <c r="CN101" s="1">
        <v>100</v>
      </c>
      <c r="CO101" s="1">
        <f t="shared" si="90"/>
        <v>14554</v>
      </c>
      <c r="CP101" s="1">
        <f t="shared" si="91"/>
        <v>2912</v>
      </c>
      <c r="CR101" s="1">
        <f t="shared" si="92"/>
        <v>62</v>
      </c>
      <c r="CS101" s="1">
        <f t="shared" si="93"/>
        <v>124</v>
      </c>
      <c r="CT101" s="1">
        <f t="shared" si="94"/>
        <v>81.8</v>
      </c>
    </row>
    <row r="102" spans="1:98">
      <c r="A102">
        <v>101</v>
      </c>
      <c r="B102" s="11">
        <v>12000</v>
      </c>
      <c r="C102" s="11">
        <v>2400</v>
      </c>
      <c r="D102" s="11">
        <v>2400</v>
      </c>
      <c r="E102" s="8">
        <f t="shared" si="49"/>
        <v>10350</v>
      </c>
      <c r="F102" s="8">
        <f t="shared" si="50"/>
        <v>2070</v>
      </c>
      <c r="G102" s="8">
        <f t="shared" si="51"/>
        <v>2070</v>
      </c>
      <c r="H102" s="11"/>
      <c r="I102" s="9">
        <v>1</v>
      </c>
      <c r="J102" s="8">
        <f t="shared" si="52"/>
        <v>5832</v>
      </c>
      <c r="K102" s="8">
        <f t="shared" si="53"/>
        <v>1166.4</v>
      </c>
      <c r="L102" s="8">
        <f t="shared" si="54"/>
        <v>1166.4</v>
      </c>
      <c r="M102" s="8">
        <v>0.9</v>
      </c>
      <c r="N102" s="8">
        <f t="shared" si="55"/>
        <v>28182</v>
      </c>
      <c r="O102" s="8">
        <f t="shared" si="56"/>
        <v>5636.4</v>
      </c>
      <c r="P102" s="8">
        <f t="shared" si="57"/>
        <v>5636.4</v>
      </c>
      <c r="Q102" s="11">
        <v>55</v>
      </c>
      <c r="R102" s="11">
        <v>110</v>
      </c>
      <c r="S102" s="11">
        <v>64.68</v>
      </c>
      <c r="T102" s="8">
        <v>8</v>
      </c>
      <c r="U102" s="8">
        <v>0.28</v>
      </c>
      <c r="V102" s="8">
        <f t="shared" si="58"/>
        <v>138259.081858867</v>
      </c>
      <c r="W102" s="8">
        <f t="shared" si="59"/>
        <v>5636.4</v>
      </c>
      <c r="X102" s="8">
        <f t="shared" si="60"/>
        <v>5636.4</v>
      </c>
      <c r="Y102" s="8">
        <f t="shared" si="61"/>
        <v>13825.9081858867</v>
      </c>
      <c r="Z102" s="8">
        <f t="shared" si="62"/>
        <v>10</v>
      </c>
      <c r="AA102">
        <f t="shared" si="63"/>
        <v>2818.2</v>
      </c>
      <c r="AB102">
        <f t="shared" si="64"/>
        <v>10</v>
      </c>
      <c r="AC102">
        <f t="shared" si="65"/>
        <v>60.2534539887202</v>
      </c>
      <c r="AD102">
        <f t="shared" si="66"/>
        <v>12.9572413793103</v>
      </c>
      <c r="AE102">
        <f t="shared" si="67"/>
        <v>12.9572413793103</v>
      </c>
      <c r="AF102">
        <f t="shared" si="95"/>
        <v>46086.3606196223</v>
      </c>
      <c r="AG102">
        <f t="shared" si="96"/>
        <v>5636.4</v>
      </c>
      <c r="AH102">
        <f t="shared" si="97"/>
        <v>2818.2</v>
      </c>
      <c r="AI102">
        <f t="shared" si="68"/>
        <v>3.33333333333333</v>
      </c>
      <c r="AJ102">
        <f t="shared" si="69"/>
        <v>939.4</v>
      </c>
      <c r="AK102">
        <f t="shared" si="70"/>
        <v>30</v>
      </c>
      <c r="BT102">
        <v>101</v>
      </c>
      <c r="BU102">
        <f t="shared" si="76"/>
        <v>6459.6</v>
      </c>
      <c r="BV102">
        <f t="shared" si="77"/>
        <v>1291.92</v>
      </c>
      <c r="BX102">
        <f t="shared" si="78"/>
        <v>25</v>
      </c>
      <c r="BY102">
        <f t="shared" si="79"/>
        <v>50.1</v>
      </c>
      <c r="BZ102">
        <v>101</v>
      </c>
      <c r="CA102">
        <f t="shared" si="80"/>
        <v>8930</v>
      </c>
      <c r="CB102">
        <f t="shared" si="81"/>
        <v>1785.86</v>
      </c>
      <c r="CD102">
        <f t="shared" si="82"/>
        <v>38.3</v>
      </c>
      <c r="CE102">
        <f t="shared" si="83"/>
        <v>76.666</v>
      </c>
      <c r="CF102">
        <f t="shared" si="84"/>
        <v>44</v>
      </c>
      <c r="CG102">
        <v>101</v>
      </c>
      <c r="CH102">
        <f t="shared" si="85"/>
        <v>11700</v>
      </c>
      <c r="CI102">
        <f t="shared" si="86"/>
        <v>2339.4</v>
      </c>
      <c r="CK102">
        <f t="shared" si="87"/>
        <v>47.5</v>
      </c>
      <c r="CL102">
        <f t="shared" si="88"/>
        <v>95.05</v>
      </c>
      <c r="CM102">
        <f t="shared" si="89"/>
        <v>62.7</v>
      </c>
      <c r="CN102">
        <v>101</v>
      </c>
      <c r="CO102">
        <f t="shared" si="90"/>
        <v>14559.6</v>
      </c>
      <c r="CP102">
        <f t="shared" si="91"/>
        <v>2913.12</v>
      </c>
      <c r="CR102">
        <f t="shared" si="92"/>
        <v>62.02</v>
      </c>
      <c r="CS102">
        <f t="shared" si="93"/>
        <v>124.04</v>
      </c>
      <c r="CT102">
        <f t="shared" si="94"/>
        <v>81.838</v>
      </c>
    </row>
    <row r="103" spans="1:98">
      <c r="A103">
        <v>102</v>
      </c>
      <c r="B103" s="11">
        <v>12100</v>
      </c>
      <c r="C103" s="11">
        <v>2420</v>
      </c>
      <c r="D103" s="11">
        <v>2420</v>
      </c>
      <c r="E103" s="8">
        <f t="shared" si="49"/>
        <v>10450</v>
      </c>
      <c r="F103" s="8">
        <f t="shared" si="50"/>
        <v>2090</v>
      </c>
      <c r="G103" s="8">
        <f t="shared" si="51"/>
        <v>2090</v>
      </c>
      <c r="H103" s="11"/>
      <c r="I103" s="9">
        <v>1</v>
      </c>
      <c r="J103" s="8">
        <f t="shared" si="52"/>
        <v>5880.6</v>
      </c>
      <c r="K103" s="8">
        <f t="shared" si="53"/>
        <v>1176.12</v>
      </c>
      <c r="L103" s="8">
        <f t="shared" si="54"/>
        <v>1176.12</v>
      </c>
      <c r="M103" s="8">
        <v>0.9</v>
      </c>
      <c r="N103" s="8">
        <f t="shared" si="55"/>
        <v>28430.6</v>
      </c>
      <c r="O103" s="8">
        <f t="shared" si="56"/>
        <v>5686.12</v>
      </c>
      <c r="P103" s="8">
        <f t="shared" si="57"/>
        <v>5686.12</v>
      </c>
      <c r="Q103" s="11">
        <v>55</v>
      </c>
      <c r="R103" s="11">
        <v>110</v>
      </c>
      <c r="S103" s="11">
        <v>65.34</v>
      </c>
      <c r="T103" s="8">
        <v>8.08</v>
      </c>
      <c r="U103" s="8">
        <v>0.2828</v>
      </c>
      <c r="V103" s="8">
        <f t="shared" si="58"/>
        <v>140447.987401024</v>
      </c>
      <c r="W103" s="8">
        <f t="shared" si="59"/>
        <v>5686.12</v>
      </c>
      <c r="X103" s="8">
        <f t="shared" si="60"/>
        <v>5686.12</v>
      </c>
      <c r="Y103" s="8">
        <f t="shared" si="61"/>
        <v>14044.7987401024</v>
      </c>
      <c r="Z103" s="8">
        <f t="shared" si="62"/>
        <v>10</v>
      </c>
      <c r="AA103">
        <f t="shared" si="63"/>
        <v>2843.06</v>
      </c>
      <c r="AB103">
        <f t="shared" si="64"/>
        <v>10</v>
      </c>
      <c r="AC103">
        <f t="shared" si="65"/>
        <v>61.207381337266</v>
      </c>
      <c r="AD103">
        <f t="shared" si="66"/>
        <v>13.0715402298851</v>
      </c>
      <c r="AE103">
        <f t="shared" si="67"/>
        <v>13.0715402298851</v>
      </c>
      <c r="AF103">
        <f t="shared" si="95"/>
        <v>46815.9958003413</v>
      </c>
      <c r="AG103">
        <f t="shared" si="96"/>
        <v>5686.12</v>
      </c>
      <c r="AH103">
        <f t="shared" si="97"/>
        <v>2843.06</v>
      </c>
      <c r="AI103">
        <f t="shared" si="68"/>
        <v>3.33333333333333</v>
      </c>
      <c r="AJ103">
        <f t="shared" si="69"/>
        <v>947.686666666667</v>
      </c>
      <c r="AK103">
        <f t="shared" si="70"/>
        <v>30</v>
      </c>
      <c r="BT103">
        <v>102</v>
      </c>
      <c r="BU103">
        <f t="shared" si="76"/>
        <v>6474.2</v>
      </c>
      <c r="BV103">
        <f t="shared" si="77"/>
        <v>1294.84</v>
      </c>
      <c r="BX103">
        <f t="shared" si="78"/>
        <v>25.05</v>
      </c>
      <c r="BY103">
        <f t="shared" si="79"/>
        <v>50.2</v>
      </c>
      <c r="BZ103">
        <v>102</v>
      </c>
      <c r="CA103">
        <f t="shared" si="80"/>
        <v>8939.3</v>
      </c>
      <c r="CB103">
        <f t="shared" si="81"/>
        <v>1787.72</v>
      </c>
      <c r="CD103">
        <f t="shared" si="82"/>
        <v>38.333</v>
      </c>
      <c r="CE103">
        <f t="shared" si="83"/>
        <v>76.732</v>
      </c>
      <c r="CF103">
        <f t="shared" si="84"/>
        <v>44.06</v>
      </c>
      <c r="CG103">
        <v>102</v>
      </c>
      <c r="CH103">
        <f t="shared" si="85"/>
        <v>11707</v>
      </c>
      <c r="CI103">
        <f t="shared" si="86"/>
        <v>2340.8</v>
      </c>
      <c r="CK103">
        <f t="shared" si="87"/>
        <v>47.525</v>
      </c>
      <c r="CL103">
        <f t="shared" si="88"/>
        <v>95.1</v>
      </c>
      <c r="CM103">
        <f t="shared" si="89"/>
        <v>62.747</v>
      </c>
      <c r="CN103">
        <v>102</v>
      </c>
      <c r="CO103">
        <f t="shared" si="90"/>
        <v>14565.2</v>
      </c>
      <c r="CP103">
        <f t="shared" si="91"/>
        <v>2914.24</v>
      </c>
      <c r="CR103">
        <f t="shared" si="92"/>
        <v>62.04</v>
      </c>
      <c r="CS103">
        <f t="shared" si="93"/>
        <v>124.08</v>
      </c>
      <c r="CT103">
        <f t="shared" si="94"/>
        <v>81.876</v>
      </c>
    </row>
    <row r="104" spans="1:98">
      <c r="A104">
        <v>103</v>
      </c>
      <c r="B104" s="11">
        <v>12200</v>
      </c>
      <c r="C104" s="11">
        <v>2440</v>
      </c>
      <c r="D104" s="11">
        <v>2440</v>
      </c>
      <c r="E104" s="8">
        <f t="shared" si="49"/>
        <v>10550</v>
      </c>
      <c r="F104" s="8">
        <f t="shared" si="50"/>
        <v>2110</v>
      </c>
      <c r="G104" s="8">
        <f t="shared" si="51"/>
        <v>2110</v>
      </c>
      <c r="H104" s="11"/>
      <c r="I104" s="9">
        <v>1</v>
      </c>
      <c r="J104" s="8">
        <f t="shared" si="52"/>
        <v>5929.2</v>
      </c>
      <c r="K104" s="8">
        <f t="shared" si="53"/>
        <v>1185.84</v>
      </c>
      <c r="L104" s="8">
        <f t="shared" si="54"/>
        <v>1185.84</v>
      </c>
      <c r="M104" s="8">
        <v>0.9</v>
      </c>
      <c r="N104" s="8">
        <f t="shared" si="55"/>
        <v>28679.2</v>
      </c>
      <c r="O104" s="8">
        <f t="shared" si="56"/>
        <v>5735.84</v>
      </c>
      <c r="P104" s="8">
        <f t="shared" si="57"/>
        <v>5735.84</v>
      </c>
      <c r="Q104" s="11">
        <v>55</v>
      </c>
      <c r="R104" s="11">
        <v>110</v>
      </c>
      <c r="S104" s="11">
        <v>66</v>
      </c>
      <c r="T104" s="8">
        <v>8.16</v>
      </c>
      <c r="U104" s="8">
        <v>0.2856</v>
      </c>
      <c r="V104" s="8">
        <f t="shared" si="58"/>
        <v>142657.607920227</v>
      </c>
      <c r="W104" s="8">
        <f t="shared" si="59"/>
        <v>5735.84</v>
      </c>
      <c r="X104" s="8">
        <f t="shared" si="60"/>
        <v>5735.84</v>
      </c>
      <c r="Y104" s="8">
        <f t="shared" si="61"/>
        <v>14265.7607920227</v>
      </c>
      <c r="Z104" s="8">
        <f t="shared" si="62"/>
        <v>10</v>
      </c>
      <c r="AA104">
        <f t="shared" si="63"/>
        <v>2867.92</v>
      </c>
      <c r="AB104">
        <f t="shared" si="64"/>
        <v>10</v>
      </c>
      <c r="AC104">
        <f t="shared" si="65"/>
        <v>62.1703362947004</v>
      </c>
      <c r="AD104">
        <f t="shared" si="66"/>
        <v>13.1858390804598</v>
      </c>
      <c r="AE104">
        <f t="shared" si="67"/>
        <v>13.1858390804598</v>
      </c>
      <c r="AF104">
        <f t="shared" si="95"/>
        <v>47552.535973409</v>
      </c>
      <c r="AG104">
        <f t="shared" si="96"/>
        <v>5735.84</v>
      </c>
      <c r="AH104">
        <f t="shared" si="97"/>
        <v>2867.92</v>
      </c>
      <c r="AI104">
        <f t="shared" si="68"/>
        <v>3.33333333333333</v>
      </c>
      <c r="AJ104">
        <f t="shared" si="69"/>
        <v>955.973333333333</v>
      </c>
      <c r="AK104">
        <f t="shared" si="70"/>
        <v>30</v>
      </c>
      <c r="BT104">
        <v>103</v>
      </c>
      <c r="BU104">
        <f t="shared" si="76"/>
        <v>6488.8</v>
      </c>
      <c r="BV104">
        <f t="shared" si="77"/>
        <v>1297.76</v>
      </c>
      <c r="BX104">
        <f t="shared" si="78"/>
        <v>25.1</v>
      </c>
      <c r="BY104">
        <f t="shared" si="79"/>
        <v>50.3</v>
      </c>
      <c r="BZ104">
        <v>103</v>
      </c>
      <c r="CA104">
        <f t="shared" si="80"/>
        <v>8948.6</v>
      </c>
      <c r="CB104">
        <f t="shared" si="81"/>
        <v>1789.58</v>
      </c>
      <c r="CD104">
        <f t="shared" si="82"/>
        <v>38.366</v>
      </c>
      <c r="CE104">
        <f t="shared" si="83"/>
        <v>76.798</v>
      </c>
      <c r="CF104">
        <f t="shared" si="84"/>
        <v>44.12</v>
      </c>
      <c r="CG104">
        <v>103</v>
      </c>
      <c r="CH104">
        <f t="shared" si="85"/>
        <v>11714</v>
      </c>
      <c r="CI104">
        <f t="shared" si="86"/>
        <v>2342.2</v>
      </c>
      <c r="CK104">
        <f t="shared" si="87"/>
        <v>47.55</v>
      </c>
      <c r="CL104">
        <f t="shared" si="88"/>
        <v>95.15</v>
      </c>
      <c r="CM104">
        <f t="shared" si="89"/>
        <v>62.794</v>
      </c>
      <c r="CN104">
        <v>103</v>
      </c>
      <c r="CO104">
        <f t="shared" si="90"/>
        <v>14570.8</v>
      </c>
      <c r="CP104">
        <f t="shared" si="91"/>
        <v>2915.36</v>
      </c>
      <c r="CR104">
        <f t="shared" si="92"/>
        <v>62.06</v>
      </c>
      <c r="CS104">
        <f t="shared" si="93"/>
        <v>124.12</v>
      </c>
      <c r="CT104">
        <f t="shared" si="94"/>
        <v>81.914</v>
      </c>
    </row>
    <row r="105" spans="1:98">
      <c r="A105">
        <v>104</v>
      </c>
      <c r="B105" s="11">
        <v>12300</v>
      </c>
      <c r="C105" s="11">
        <v>2460</v>
      </c>
      <c r="D105" s="11">
        <v>2460</v>
      </c>
      <c r="E105" s="8">
        <f t="shared" si="49"/>
        <v>10650</v>
      </c>
      <c r="F105" s="8">
        <f t="shared" si="50"/>
        <v>2130</v>
      </c>
      <c r="G105" s="8">
        <f t="shared" si="51"/>
        <v>2130</v>
      </c>
      <c r="H105" s="11"/>
      <c r="I105" s="9">
        <v>1</v>
      </c>
      <c r="J105" s="8">
        <f t="shared" si="52"/>
        <v>5977.8</v>
      </c>
      <c r="K105" s="8">
        <f t="shared" si="53"/>
        <v>1195.56</v>
      </c>
      <c r="L105" s="8">
        <f t="shared" si="54"/>
        <v>1195.56</v>
      </c>
      <c r="M105" s="8">
        <v>0.9</v>
      </c>
      <c r="N105" s="8">
        <f t="shared" si="55"/>
        <v>28927.8</v>
      </c>
      <c r="O105" s="8">
        <f t="shared" si="56"/>
        <v>5785.56</v>
      </c>
      <c r="P105" s="8">
        <f t="shared" si="57"/>
        <v>5785.56</v>
      </c>
      <c r="Q105" s="11">
        <v>55</v>
      </c>
      <c r="R105" s="11">
        <v>110</v>
      </c>
      <c r="S105" s="11">
        <v>66.66</v>
      </c>
      <c r="T105" s="8">
        <v>8.24</v>
      </c>
      <c r="U105" s="8">
        <v>0.2884</v>
      </c>
      <c r="V105" s="8">
        <f t="shared" si="58"/>
        <v>144888.046824599</v>
      </c>
      <c r="W105" s="8">
        <f t="shared" si="59"/>
        <v>5785.56</v>
      </c>
      <c r="X105" s="8">
        <f t="shared" si="60"/>
        <v>5785.56</v>
      </c>
      <c r="Y105" s="8">
        <f t="shared" si="61"/>
        <v>14488.8046824599</v>
      </c>
      <c r="Z105" s="8">
        <f t="shared" si="62"/>
        <v>10</v>
      </c>
      <c r="AA105">
        <f t="shared" si="63"/>
        <v>2892.78</v>
      </c>
      <c r="AB105">
        <f t="shared" si="64"/>
        <v>10</v>
      </c>
      <c r="AC105">
        <f t="shared" si="65"/>
        <v>63.1423639263928</v>
      </c>
      <c r="AD105">
        <f t="shared" si="66"/>
        <v>13.3001379310345</v>
      </c>
      <c r="AE105">
        <f t="shared" si="67"/>
        <v>13.3001379310345</v>
      </c>
      <c r="AF105">
        <f t="shared" si="95"/>
        <v>48296.0156081997</v>
      </c>
      <c r="AG105">
        <f t="shared" si="96"/>
        <v>5785.56</v>
      </c>
      <c r="AH105">
        <f t="shared" si="97"/>
        <v>2892.78</v>
      </c>
      <c r="AI105">
        <f t="shared" si="68"/>
        <v>3.33333333333334</v>
      </c>
      <c r="AJ105">
        <f t="shared" si="69"/>
        <v>964.26</v>
      </c>
      <c r="AK105">
        <f t="shared" si="70"/>
        <v>30</v>
      </c>
      <c r="BT105">
        <v>104</v>
      </c>
      <c r="BU105">
        <f t="shared" si="76"/>
        <v>6503.4</v>
      </c>
      <c r="BV105">
        <f t="shared" si="77"/>
        <v>1300.68</v>
      </c>
      <c r="BX105">
        <f t="shared" si="78"/>
        <v>25.15</v>
      </c>
      <c r="BY105">
        <f t="shared" si="79"/>
        <v>50.4</v>
      </c>
      <c r="BZ105">
        <v>104</v>
      </c>
      <c r="CA105">
        <f t="shared" si="80"/>
        <v>8957.9</v>
      </c>
      <c r="CB105">
        <f t="shared" si="81"/>
        <v>1791.44</v>
      </c>
      <c r="CD105">
        <f t="shared" si="82"/>
        <v>38.399</v>
      </c>
      <c r="CE105">
        <f t="shared" si="83"/>
        <v>76.864</v>
      </c>
      <c r="CF105">
        <f t="shared" si="84"/>
        <v>44.18</v>
      </c>
      <c r="CG105">
        <v>104</v>
      </c>
      <c r="CH105">
        <f t="shared" si="85"/>
        <v>11721</v>
      </c>
      <c r="CI105">
        <f t="shared" si="86"/>
        <v>2343.6</v>
      </c>
      <c r="CK105">
        <f t="shared" si="87"/>
        <v>47.575</v>
      </c>
      <c r="CL105">
        <f t="shared" si="88"/>
        <v>95.2</v>
      </c>
      <c r="CM105">
        <f t="shared" si="89"/>
        <v>62.841</v>
      </c>
      <c r="CN105">
        <v>104</v>
      </c>
      <c r="CO105">
        <f t="shared" si="90"/>
        <v>14576.4</v>
      </c>
      <c r="CP105">
        <f t="shared" si="91"/>
        <v>2916.48</v>
      </c>
      <c r="CR105">
        <f t="shared" si="92"/>
        <v>62.08</v>
      </c>
      <c r="CS105">
        <f t="shared" si="93"/>
        <v>124.16</v>
      </c>
      <c r="CT105">
        <f t="shared" si="94"/>
        <v>81.952</v>
      </c>
    </row>
    <row r="106" spans="1:98">
      <c r="A106">
        <v>105</v>
      </c>
      <c r="B106" s="11">
        <v>12400</v>
      </c>
      <c r="C106" s="11">
        <v>2480</v>
      </c>
      <c r="D106" s="11">
        <v>2480</v>
      </c>
      <c r="E106" s="8">
        <f t="shared" si="49"/>
        <v>10750</v>
      </c>
      <c r="F106" s="8">
        <f t="shared" si="50"/>
        <v>2150</v>
      </c>
      <c r="G106" s="8">
        <f t="shared" si="51"/>
        <v>2150</v>
      </c>
      <c r="H106" s="11"/>
      <c r="I106" s="9">
        <v>1</v>
      </c>
      <c r="J106" s="8">
        <f t="shared" si="52"/>
        <v>6026.4</v>
      </c>
      <c r="K106" s="8">
        <f t="shared" si="53"/>
        <v>1205.28</v>
      </c>
      <c r="L106" s="8">
        <f t="shared" si="54"/>
        <v>1205.28</v>
      </c>
      <c r="M106" s="8">
        <v>0.9</v>
      </c>
      <c r="N106" s="8">
        <f t="shared" si="55"/>
        <v>29176.4</v>
      </c>
      <c r="O106" s="8">
        <f t="shared" si="56"/>
        <v>5835.28</v>
      </c>
      <c r="P106" s="8">
        <f t="shared" si="57"/>
        <v>5835.28</v>
      </c>
      <c r="Q106" s="11">
        <v>55</v>
      </c>
      <c r="R106" s="11">
        <v>110</v>
      </c>
      <c r="S106" s="11">
        <v>67.32</v>
      </c>
      <c r="T106" s="8">
        <v>8.32</v>
      </c>
      <c r="U106" s="8">
        <v>0.2912</v>
      </c>
      <c r="V106" s="8">
        <f t="shared" si="58"/>
        <v>147139.40771235</v>
      </c>
      <c r="W106" s="8">
        <f t="shared" si="59"/>
        <v>5835.28</v>
      </c>
      <c r="X106" s="8">
        <f t="shared" si="60"/>
        <v>5835.28</v>
      </c>
      <c r="Y106" s="8">
        <f t="shared" si="61"/>
        <v>14713.9407712351</v>
      </c>
      <c r="Z106" s="8">
        <f t="shared" si="62"/>
        <v>9.99999999999993</v>
      </c>
      <c r="AA106">
        <f t="shared" si="63"/>
        <v>2917.64</v>
      </c>
      <c r="AB106">
        <f t="shared" si="64"/>
        <v>10</v>
      </c>
      <c r="AC106">
        <f t="shared" si="65"/>
        <v>64.1235093805524</v>
      </c>
      <c r="AD106">
        <f t="shared" si="66"/>
        <v>13.4144367816092</v>
      </c>
      <c r="AE106">
        <f t="shared" si="67"/>
        <v>13.4144367816092</v>
      </c>
      <c r="AF106">
        <f t="shared" si="95"/>
        <v>49046.46923745</v>
      </c>
      <c r="AG106">
        <f t="shared" si="96"/>
        <v>5835.28</v>
      </c>
      <c r="AH106">
        <f t="shared" si="97"/>
        <v>2917.64</v>
      </c>
      <c r="AI106">
        <f t="shared" si="68"/>
        <v>3.33333333333331</v>
      </c>
      <c r="AJ106">
        <f t="shared" si="69"/>
        <v>972.546666666667</v>
      </c>
      <c r="AK106">
        <f t="shared" si="70"/>
        <v>30</v>
      </c>
      <c r="BT106">
        <v>105</v>
      </c>
      <c r="BU106">
        <f t="shared" si="76"/>
        <v>6518</v>
      </c>
      <c r="BV106">
        <f t="shared" si="77"/>
        <v>1303.6</v>
      </c>
      <c r="BX106">
        <f t="shared" si="78"/>
        <v>25.2</v>
      </c>
      <c r="BY106">
        <f t="shared" si="79"/>
        <v>50.5</v>
      </c>
      <c r="BZ106">
        <v>105</v>
      </c>
      <c r="CA106">
        <f t="shared" si="80"/>
        <v>8967.2</v>
      </c>
      <c r="CB106">
        <f t="shared" si="81"/>
        <v>1793.3</v>
      </c>
      <c r="CD106">
        <f t="shared" si="82"/>
        <v>38.432</v>
      </c>
      <c r="CE106">
        <f t="shared" si="83"/>
        <v>76.93</v>
      </c>
      <c r="CF106">
        <f t="shared" si="84"/>
        <v>44.24</v>
      </c>
      <c r="CG106">
        <v>105</v>
      </c>
      <c r="CH106">
        <f t="shared" si="85"/>
        <v>11728</v>
      </c>
      <c r="CI106">
        <f t="shared" si="86"/>
        <v>2345</v>
      </c>
      <c r="CK106">
        <f t="shared" si="87"/>
        <v>47.6</v>
      </c>
      <c r="CL106">
        <f t="shared" si="88"/>
        <v>95.25</v>
      </c>
      <c r="CM106">
        <f t="shared" si="89"/>
        <v>62.888</v>
      </c>
      <c r="CN106">
        <v>105</v>
      </c>
      <c r="CO106">
        <f t="shared" si="90"/>
        <v>14582</v>
      </c>
      <c r="CP106">
        <f t="shared" si="91"/>
        <v>2917.6</v>
      </c>
      <c r="CR106">
        <f t="shared" si="92"/>
        <v>62.1</v>
      </c>
      <c r="CS106">
        <f t="shared" si="93"/>
        <v>124.2</v>
      </c>
      <c r="CT106">
        <f t="shared" si="94"/>
        <v>81.99</v>
      </c>
    </row>
    <row r="107" spans="1:98">
      <c r="A107">
        <v>106</v>
      </c>
      <c r="B107" s="11">
        <v>12500</v>
      </c>
      <c r="C107" s="11">
        <v>2500</v>
      </c>
      <c r="D107" s="11">
        <v>2500</v>
      </c>
      <c r="E107" s="8">
        <f t="shared" si="49"/>
        <v>10850</v>
      </c>
      <c r="F107" s="8">
        <f t="shared" si="50"/>
        <v>2170</v>
      </c>
      <c r="G107" s="8">
        <f t="shared" si="51"/>
        <v>2170</v>
      </c>
      <c r="H107" s="11"/>
      <c r="I107" s="9">
        <v>1</v>
      </c>
      <c r="J107" s="8">
        <f t="shared" si="52"/>
        <v>6075</v>
      </c>
      <c r="K107" s="8">
        <f t="shared" si="53"/>
        <v>1215</v>
      </c>
      <c r="L107" s="8">
        <f t="shared" si="54"/>
        <v>1215</v>
      </c>
      <c r="M107" s="8">
        <v>0.9</v>
      </c>
      <c r="N107" s="8">
        <f t="shared" si="55"/>
        <v>29425</v>
      </c>
      <c r="O107" s="8">
        <f t="shared" si="56"/>
        <v>5885</v>
      </c>
      <c r="P107" s="8">
        <f t="shared" si="57"/>
        <v>5885</v>
      </c>
      <c r="Q107" s="11">
        <v>55</v>
      </c>
      <c r="R107" s="11">
        <v>110</v>
      </c>
      <c r="S107" s="11">
        <v>67.98</v>
      </c>
      <c r="T107" s="8">
        <v>8.4</v>
      </c>
      <c r="U107" s="8">
        <v>0.294</v>
      </c>
      <c r="V107" s="8">
        <f t="shared" si="58"/>
        <v>149411.794371776</v>
      </c>
      <c r="W107" s="8">
        <f t="shared" si="59"/>
        <v>5885</v>
      </c>
      <c r="X107" s="8">
        <f t="shared" si="60"/>
        <v>5885</v>
      </c>
      <c r="Y107" s="8">
        <f t="shared" si="61"/>
        <v>14941.1794371776</v>
      </c>
      <c r="Z107" s="8">
        <f t="shared" si="62"/>
        <v>10</v>
      </c>
      <c r="AA107">
        <f t="shared" si="63"/>
        <v>2942.5</v>
      </c>
      <c r="AB107">
        <f t="shared" si="64"/>
        <v>10</v>
      </c>
      <c r="AC107">
        <f t="shared" si="65"/>
        <v>65.1138178882284</v>
      </c>
      <c r="AD107">
        <f t="shared" si="66"/>
        <v>13.5287356321839</v>
      </c>
      <c r="AE107">
        <f t="shared" si="67"/>
        <v>13.5287356321839</v>
      </c>
      <c r="AF107">
        <f t="shared" si="95"/>
        <v>49803.9314572587</v>
      </c>
      <c r="AG107">
        <f t="shared" si="96"/>
        <v>5885</v>
      </c>
      <c r="AH107">
        <f t="shared" si="97"/>
        <v>2942.5</v>
      </c>
      <c r="AI107">
        <f t="shared" si="68"/>
        <v>3.33333333333334</v>
      </c>
      <c r="AJ107">
        <f t="shared" si="69"/>
        <v>980.833333333333</v>
      </c>
      <c r="AK107">
        <f t="shared" si="70"/>
        <v>30</v>
      </c>
      <c r="BT107">
        <v>106</v>
      </c>
      <c r="BU107">
        <f t="shared" si="76"/>
        <v>6532.6</v>
      </c>
      <c r="BV107">
        <f t="shared" si="77"/>
        <v>1306.52</v>
      </c>
      <c r="BX107">
        <f t="shared" si="78"/>
        <v>25.25</v>
      </c>
      <c r="BY107">
        <f t="shared" si="79"/>
        <v>50.6</v>
      </c>
      <c r="BZ107">
        <v>106</v>
      </c>
      <c r="CA107">
        <f t="shared" si="80"/>
        <v>8976.5</v>
      </c>
      <c r="CB107">
        <f t="shared" si="81"/>
        <v>1795.16</v>
      </c>
      <c r="CD107">
        <f t="shared" si="82"/>
        <v>38.465</v>
      </c>
      <c r="CE107">
        <f t="shared" si="83"/>
        <v>76.996</v>
      </c>
      <c r="CF107">
        <f t="shared" si="84"/>
        <v>44.3</v>
      </c>
      <c r="CG107">
        <v>106</v>
      </c>
      <c r="CH107">
        <f t="shared" si="85"/>
        <v>11735</v>
      </c>
      <c r="CI107">
        <f t="shared" si="86"/>
        <v>2346.4</v>
      </c>
      <c r="CK107">
        <f t="shared" si="87"/>
        <v>47.625</v>
      </c>
      <c r="CL107">
        <f t="shared" si="88"/>
        <v>95.3</v>
      </c>
      <c r="CM107">
        <f t="shared" si="89"/>
        <v>62.935</v>
      </c>
      <c r="CN107">
        <v>106</v>
      </c>
      <c r="CO107">
        <f t="shared" si="90"/>
        <v>14587.6</v>
      </c>
      <c r="CP107">
        <f t="shared" si="91"/>
        <v>2918.72</v>
      </c>
      <c r="CR107">
        <f t="shared" si="92"/>
        <v>62.12</v>
      </c>
      <c r="CS107">
        <f t="shared" si="93"/>
        <v>124.24</v>
      </c>
      <c r="CT107">
        <f t="shared" si="94"/>
        <v>82.028</v>
      </c>
    </row>
    <row r="108" spans="1:98">
      <c r="A108">
        <v>107</v>
      </c>
      <c r="B108" s="11">
        <v>12600</v>
      </c>
      <c r="C108" s="11">
        <v>2520</v>
      </c>
      <c r="D108" s="11">
        <v>2520</v>
      </c>
      <c r="E108" s="8">
        <f t="shared" si="49"/>
        <v>10950</v>
      </c>
      <c r="F108" s="8">
        <f t="shared" si="50"/>
        <v>2190</v>
      </c>
      <c r="G108" s="8">
        <f t="shared" si="51"/>
        <v>2190</v>
      </c>
      <c r="H108" s="11"/>
      <c r="I108" s="9">
        <v>1</v>
      </c>
      <c r="J108" s="8">
        <f t="shared" si="52"/>
        <v>6123.6</v>
      </c>
      <c r="K108" s="8">
        <f t="shared" si="53"/>
        <v>1224.72</v>
      </c>
      <c r="L108" s="8">
        <f t="shared" si="54"/>
        <v>1224.72</v>
      </c>
      <c r="M108" s="8">
        <v>0.9</v>
      </c>
      <c r="N108" s="8">
        <f t="shared" si="55"/>
        <v>29673.6</v>
      </c>
      <c r="O108" s="8">
        <f t="shared" si="56"/>
        <v>5934.72</v>
      </c>
      <c r="P108" s="8">
        <f t="shared" si="57"/>
        <v>5934.72</v>
      </c>
      <c r="Q108" s="11">
        <v>55</v>
      </c>
      <c r="R108" s="11">
        <v>110</v>
      </c>
      <c r="S108" s="11">
        <v>68.64</v>
      </c>
      <c r="T108" s="8">
        <v>8.48</v>
      </c>
      <c r="U108" s="8">
        <v>0.2968</v>
      </c>
      <c r="V108" s="8">
        <f t="shared" si="58"/>
        <v>151705.310781259</v>
      </c>
      <c r="W108" s="8">
        <f t="shared" si="59"/>
        <v>5934.72</v>
      </c>
      <c r="X108" s="8">
        <f t="shared" si="60"/>
        <v>5934.72</v>
      </c>
      <c r="Y108" s="8">
        <f t="shared" si="61"/>
        <v>15170.5310781259</v>
      </c>
      <c r="Z108" s="8">
        <f t="shared" si="62"/>
        <v>10</v>
      </c>
      <c r="AA108">
        <f t="shared" si="63"/>
        <v>2967.36</v>
      </c>
      <c r="AB108">
        <f t="shared" si="64"/>
        <v>10</v>
      </c>
      <c r="AC108">
        <f t="shared" si="65"/>
        <v>66.1133347633095</v>
      </c>
      <c r="AD108">
        <f t="shared" si="66"/>
        <v>13.6430344827586</v>
      </c>
      <c r="AE108">
        <f t="shared" si="67"/>
        <v>13.6430344827586</v>
      </c>
      <c r="AF108">
        <f t="shared" si="95"/>
        <v>50568.4369270863</v>
      </c>
      <c r="AG108">
        <f t="shared" si="96"/>
        <v>5934.72</v>
      </c>
      <c r="AH108">
        <f t="shared" si="97"/>
        <v>2967.36</v>
      </c>
      <c r="AI108">
        <f t="shared" si="68"/>
        <v>3.33333333333333</v>
      </c>
      <c r="AJ108">
        <f t="shared" si="69"/>
        <v>989.12</v>
      </c>
      <c r="AK108">
        <f t="shared" si="70"/>
        <v>30</v>
      </c>
      <c r="BT108">
        <v>107</v>
      </c>
      <c r="BU108">
        <f t="shared" si="76"/>
        <v>6547.2</v>
      </c>
      <c r="BV108">
        <f t="shared" si="77"/>
        <v>1309.44</v>
      </c>
      <c r="BX108">
        <f t="shared" si="78"/>
        <v>25.3</v>
      </c>
      <c r="BY108">
        <f t="shared" si="79"/>
        <v>50.7</v>
      </c>
      <c r="BZ108">
        <v>107</v>
      </c>
      <c r="CA108">
        <f t="shared" si="80"/>
        <v>8985.8</v>
      </c>
      <c r="CB108">
        <f t="shared" si="81"/>
        <v>1797.02</v>
      </c>
      <c r="CD108">
        <f t="shared" si="82"/>
        <v>38.498</v>
      </c>
      <c r="CE108">
        <f t="shared" si="83"/>
        <v>77.062</v>
      </c>
      <c r="CF108">
        <f t="shared" si="84"/>
        <v>44.36</v>
      </c>
      <c r="CG108">
        <v>107</v>
      </c>
      <c r="CH108">
        <f t="shared" si="85"/>
        <v>11742</v>
      </c>
      <c r="CI108">
        <f t="shared" si="86"/>
        <v>2347.8</v>
      </c>
      <c r="CK108">
        <f t="shared" si="87"/>
        <v>47.65</v>
      </c>
      <c r="CL108">
        <f t="shared" si="88"/>
        <v>95.35</v>
      </c>
      <c r="CM108">
        <f t="shared" si="89"/>
        <v>62.982</v>
      </c>
      <c r="CN108">
        <v>107</v>
      </c>
      <c r="CO108">
        <f t="shared" si="90"/>
        <v>14593.2</v>
      </c>
      <c r="CP108">
        <f t="shared" si="91"/>
        <v>2919.84</v>
      </c>
      <c r="CR108">
        <f t="shared" si="92"/>
        <v>62.14</v>
      </c>
      <c r="CS108">
        <f t="shared" si="93"/>
        <v>124.28</v>
      </c>
      <c r="CT108">
        <f t="shared" si="94"/>
        <v>82.066</v>
      </c>
    </row>
    <row r="109" spans="1:98">
      <c r="A109">
        <v>108</v>
      </c>
      <c r="B109" s="11">
        <v>12700</v>
      </c>
      <c r="C109" s="11">
        <v>2540</v>
      </c>
      <c r="D109" s="11">
        <v>2540</v>
      </c>
      <c r="E109" s="8">
        <f t="shared" si="49"/>
        <v>11050</v>
      </c>
      <c r="F109" s="8">
        <f t="shared" si="50"/>
        <v>2210</v>
      </c>
      <c r="G109" s="8">
        <f t="shared" si="51"/>
        <v>2210</v>
      </c>
      <c r="H109" s="11"/>
      <c r="I109" s="9">
        <v>1</v>
      </c>
      <c r="J109" s="8">
        <f t="shared" si="52"/>
        <v>6172.2</v>
      </c>
      <c r="K109" s="8">
        <f t="shared" si="53"/>
        <v>1234.44</v>
      </c>
      <c r="L109" s="8">
        <f t="shared" si="54"/>
        <v>1234.44</v>
      </c>
      <c r="M109" s="8">
        <v>0.9</v>
      </c>
      <c r="N109" s="8">
        <f t="shared" si="55"/>
        <v>29922.2</v>
      </c>
      <c r="O109" s="8">
        <f t="shared" si="56"/>
        <v>5984.44</v>
      </c>
      <c r="P109" s="8">
        <f t="shared" si="57"/>
        <v>5984.44</v>
      </c>
      <c r="Q109" s="11">
        <v>55</v>
      </c>
      <c r="R109" s="11">
        <v>110</v>
      </c>
      <c r="S109" s="11">
        <v>69.3</v>
      </c>
      <c r="T109" s="8">
        <v>8.56</v>
      </c>
      <c r="U109" s="8">
        <v>0.2996</v>
      </c>
      <c r="V109" s="8">
        <f t="shared" si="58"/>
        <v>154020.061109268</v>
      </c>
      <c r="W109" s="8">
        <f t="shared" si="59"/>
        <v>5984.44</v>
      </c>
      <c r="X109" s="8">
        <f t="shared" si="60"/>
        <v>5984.44</v>
      </c>
      <c r="Y109" s="8">
        <f t="shared" si="61"/>
        <v>15402.0061109268</v>
      </c>
      <c r="Z109" s="8">
        <f t="shared" si="62"/>
        <v>10</v>
      </c>
      <c r="AA109">
        <f t="shared" si="63"/>
        <v>2992.22</v>
      </c>
      <c r="AB109">
        <f t="shared" si="64"/>
        <v>10</v>
      </c>
      <c r="AC109">
        <f t="shared" si="65"/>
        <v>67.1221054025246</v>
      </c>
      <c r="AD109">
        <f t="shared" si="66"/>
        <v>13.7573333333333</v>
      </c>
      <c r="AE109">
        <f t="shared" si="67"/>
        <v>13.7573333333333</v>
      </c>
      <c r="AF109">
        <f t="shared" si="95"/>
        <v>51340.020369756</v>
      </c>
      <c r="AG109">
        <f t="shared" si="96"/>
        <v>5984.44</v>
      </c>
      <c r="AH109">
        <f t="shared" si="97"/>
        <v>2992.22</v>
      </c>
      <c r="AI109">
        <f t="shared" si="68"/>
        <v>3.33333333333333</v>
      </c>
      <c r="AJ109">
        <f t="shared" si="69"/>
        <v>997.406666666667</v>
      </c>
      <c r="AK109">
        <f t="shared" si="70"/>
        <v>30</v>
      </c>
      <c r="BT109">
        <v>108</v>
      </c>
      <c r="BU109">
        <f t="shared" si="76"/>
        <v>6561.8</v>
      </c>
      <c r="BV109">
        <f t="shared" si="77"/>
        <v>1312.36</v>
      </c>
      <c r="BX109">
        <f t="shared" si="78"/>
        <v>25.35</v>
      </c>
      <c r="BY109">
        <f t="shared" si="79"/>
        <v>50.8</v>
      </c>
      <c r="BZ109">
        <v>108</v>
      </c>
      <c r="CA109">
        <f t="shared" si="80"/>
        <v>8995.1</v>
      </c>
      <c r="CB109">
        <f t="shared" si="81"/>
        <v>1798.88</v>
      </c>
      <c r="CD109">
        <f t="shared" si="82"/>
        <v>38.531</v>
      </c>
      <c r="CE109">
        <f t="shared" si="83"/>
        <v>77.128</v>
      </c>
      <c r="CF109">
        <f t="shared" si="84"/>
        <v>44.42</v>
      </c>
      <c r="CG109">
        <v>108</v>
      </c>
      <c r="CH109">
        <f t="shared" si="85"/>
        <v>11749</v>
      </c>
      <c r="CI109">
        <f t="shared" si="86"/>
        <v>2349.2</v>
      </c>
      <c r="CK109">
        <f t="shared" si="87"/>
        <v>47.675</v>
      </c>
      <c r="CL109">
        <f t="shared" si="88"/>
        <v>95.4</v>
      </c>
      <c r="CM109">
        <f t="shared" si="89"/>
        <v>63.029</v>
      </c>
      <c r="CN109">
        <v>108</v>
      </c>
      <c r="CO109">
        <f t="shared" si="90"/>
        <v>14598.8</v>
      </c>
      <c r="CP109">
        <f t="shared" si="91"/>
        <v>2920.96</v>
      </c>
      <c r="CR109">
        <f t="shared" si="92"/>
        <v>62.16</v>
      </c>
      <c r="CS109">
        <f t="shared" si="93"/>
        <v>124.32</v>
      </c>
      <c r="CT109">
        <f t="shared" si="94"/>
        <v>82.104</v>
      </c>
    </row>
    <row r="110" spans="1:98">
      <c r="A110">
        <v>109</v>
      </c>
      <c r="B110" s="11">
        <v>12800</v>
      </c>
      <c r="C110" s="11">
        <v>2560</v>
      </c>
      <c r="D110" s="11">
        <v>2560</v>
      </c>
      <c r="E110" s="8">
        <f t="shared" si="49"/>
        <v>11150</v>
      </c>
      <c r="F110" s="8">
        <f t="shared" si="50"/>
        <v>2230</v>
      </c>
      <c r="G110" s="8">
        <f t="shared" si="51"/>
        <v>2230</v>
      </c>
      <c r="H110" s="11"/>
      <c r="I110" s="9">
        <v>1</v>
      </c>
      <c r="J110" s="8">
        <f t="shared" si="52"/>
        <v>6220.8</v>
      </c>
      <c r="K110" s="8">
        <f t="shared" si="53"/>
        <v>1244.16</v>
      </c>
      <c r="L110" s="8">
        <f t="shared" si="54"/>
        <v>1244.16</v>
      </c>
      <c r="M110" s="8">
        <v>0.9</v>
      </c>
      <c r="N110" s="8">
        <f t="shared" si="55"/>
        <v>30170.8</v>
      </c>
      <c r="O110" s="8">
        <f t="shared" si="56"/>
        <v>6034.16</v>
      </c>
      <c r="P110" s="8">
        <f t="shared" si="57"/>
        <v>6034.16</v>
      </c>
      <c r="Q110" s="11">
        <v>55</v>
      </c>
      <c r="R110" s="11">
        <v>110</v>
      </c>
      <c r="S110" s="11">
        <v>69.96</v>
      </c>
      <c r="T110" s="8">
        <v>8.64</v>
      </c>
      <c r="U110" s="8">
        <v>0.3024</v>
      </c>
      <c r="V110" s="8">
        <f t="shared" si="58"/>
        <v>156356.149714359</v>
      </c>
      <c r="W110" s="8">
        <f t="shared" si="59"/>
        <v>6034.16</v>
      </c>
      <c r="X110" s="8">
        <f t="shared" si="60"/>
        <v>6034.16</v>
      </c>
      <c r="Y110" s="8">
        <f t="shared" si="61"/>
        <v>15635.6149714359</v>
      </c>
      <c r="Z110" s="8">
        <f t="shared" si="62"/>
        <v>10</v>
      </c>
      <c r="AA110">
        <f t="shared" si="63"/>
        <v>3017.08</v>
      </c>
      <c r="AB110">
        <f t="shared" si="64"/>
        <v>10</v>
      </c>
      <c r="AC110">
        <f t="shared" si="65"/>
        <v>68.1401752854427</v>
      </c>
      <c r="AD110">
        <f t="shared" si="66"/>
        <v>13.871632183908</v>
      </c>
      <c r="AE110">
        <f t="shared" si="67"/>
        <v>13.871632183908</v>
      </c>
      <c r="AF110">
        <f t="shared" si="95"/>
        <v>52118.716571453</v>
      </c>
      <c r="AG110">
        <f t="shared" si="96"/>
        <v>6034.16</v>
      </c>
      <c r="AH110">
        <f t="shared" si="97"/>
        <v>3017.08</v>
      </c>
      <c r="AI110">
        <f t="shared" si="68"/>
        <v>3.33333333333333</v>
      </c>
      <c r="AJ110">
        <f t="shared" si="69"/>
        <v>1005.69333333333</v>
      </c>
      <c r="AK110">
        <f t="shared" si="70"/>
        <v>30.0000000000001</v>
      </c>
      <c r="BT110">
        <v>109</v>
      </c>
      <c r="BU110">
        <f t="shared" si="76"/>
        <v>6576.4</v>
      </c>
      <c r="BV110">
        <f t="shared" si="77"/>
        <v>1315.28</v>
      </c>
      <c r="BX110">
        <f t="shared" si="78"/>
        <v>25.4</v>
      </c>
      <c r="BY110">
        <f t="shared" si="79"/>
        <v>50.9</v>
      </c>
      <c r="BZ110">
        <v>109</v>
      </c>
      <c r="CA110">
        <f t="shared" si="80"/>
        <v>9004.4</v>
      </c>
      <c r="CB110">
        <f t="shared" si="81"/>
        <v>1800.74</v>
      </c>
      <c r="CD110">
        <f t="shared" si="82"/>
        <v>38.564</v>
      </c>
      <c r="CE110">
        <f t="shared" si="83"/>
        <v>77.194</v>
      </c>
      <c r="CF110">
        <f t="shared" si="84"/>
        <v>44.48</v>
      </c>
      <c r="CG110">
        <v>109</v>
      </c>
      <c r="CH110">
        <f t="shared" si="85"/>
        <v>11756</v>
      </c>
      <c r="CI110">
        <f t="shared" si="86"/>
        <v>2350.6</v>
      </c>
      <c r="CK110">
        <f t="shared" si="87"/>
        <v>47.7</v>
      </c>
      <c r="CL110">
        <f t="shared" si="88"/>
        <v>95.45</v>
      </c>
      <c r="CM110">
        <f t="shared" si="89"/>
        <v>63.076</v>
      </c>
      <c r="CN110">
        <v>109</v>
      </c>
      <c r="CO110">
        <f t="shared" si="90"/>
        <v>14604.4</v>
      </c>
      <c r="CP110">
        <f t="shared" si="91"/>
        <v>2922.08</v>
      </c>
      <c r="CR110">
        <f t="shared" si="92"/>
        <v>62.18</v>
      </c>
      <c r="CS110">
        <f t="shared" si="93"/>
        <v>124.36</v>
      </c>
      <c r="CT110">
        <f t="shared" si="94"/>
        <v>82.142</v>
      </c>
    </row>
    <row r="111" s="1" customFormat="1" spans="1:98">
      <c r="A111" s="1">
        <v>110</v>
      </c>
      <c r="B111" s="1">
        <v>12900</v>
      </c>
      <c r="C111" s="1">
        <v>2580</v>
      </c>
      <c r="D111" s="1">
        <v>2580</v>
      </c>
      <c r="E111" s="1">
        <f t="shared" si="49"/>
        <v>11250</v>
      </c>
      <c r="F111" s="1">
        <f t="shared" si="50"/>
        <v>2250</v>
      </c>
      <c r="G111" s="1">
        <f t="shared" si="51"/>
        <v>2250</v>
      </c>
      <c r="I111" s="1">
        <v>1</v>
      </c>
      <c r="J111" s="1">
        <f t="shared" si="52"/>
        <v>6269.4</v>
      </c>
      <c r="K111" s="1">
        <f t="shared" si="53"/>
        <v>1253.88</v>
      </c>
      <c r="L111" s="1">
        <f t="shared" si="54"/>
        <v>1253.88</v>
      </c>
      <c r="M111" s="8">
        <v>0.9</v>
      </c>
      <c r="N111" s="1">
        <f t="shared" si="55"/>
        <v>30419.4</v>
      </c>
      <c r="O111" s="1">
        <f t="shared" si="56"/>
        <v>6083.88</v>
      </c>
      <c r="P111" s="1">
        <f t="shared" si="57"/>
        <v>6083.88</v>
      </c>
      <c r="Q111" s="1">
        <v>55</v>
      </c>
      <c r="R111" s="1">
        <v>110</v>
      </c>
      <c r="S111" s="1">
        <v>70.62</v>
      </c>
      <c r="T111" s="1">
        <v>8.72</v>
      </c>
      <c r="U111" s="1">
        <v>0.3052</v>
      </c>
      <c r="V111" s="1">
        <f t="shared" si="58"/>
        <v>158713.681145175</v>
      </c>
      <c r="W111" s="1">
        <f t="shared" si="59"/>
        <v>6083.88</v>
      </c>
      <c r="X111" s="1">
        <f t="shared" si="60"/>
        <v>6083.88</v>
      </c>
      <c r="Y111" s="1">
        <f t="shared" si="61"/>
        <v>15871.3681145175</v>
      </c>
      <c r="Z111" s="1">
        <f t="shared" si="62"/>
        <v>10</v>
      </c>
      <c r="AA111" s="1">
        <f t="shared" si="63"/>
        <v>3041.94</v>
      </c>
      <c r="AB111" s="1">
        <f t="shared" si="64"/>
        <v>10</v>
      </c>
      <c r="AC111">
        <f t="shared" si="65"/>
        <v>69.167589974473</v>
      </c>
      <c r="AD111">
        <f t="shared" si="66"/>
        <v>13.9859310344828</v>
      </c>
      <c r="AE111">
        <f t="shared" si="67"/>
        <v>13.9859310344828</v>
      </c>
      <c r="AF111" s="1">
        <f t="shared" si="95"/>
        <v>52904.560381725</v>
      </c>
      <c r="AG111" s="1">
        <f t="shared" si="96"/>
        <v>6083.88</v>
      </c>
      <c r="AH111" s="1">
        <f t="shared" si="97"/>
        <v>3041.94</v>
      </c>
      <c r="AI111" s="1">
        <f t="shared" si="68"/>
        <v>3.33333333333333</v>
      </c>
      <c r="AJ111" s="1">
        <f t="shared" si="69"/>
        <v>1013.98</v>
      </c>
      <c r="AK111" s="1">
        <f t="shared" si="70"/>
        <v>30</v>
      </c>
      <c r="AX111" s="3"/>
      <c r="AY111" s="3"/>
      <c r="AZ111" s="3"/>
      <c r="BA111" s="3"/>
      <c r="BB111" s="3"/>
      <c r="BC111" s="3"/>
      <c r="BD111" s="4"/>
      <c r="BE111" s="4"/>
      <c r="BF111" s="4"/>
      <c r="BG111" s="4"/>
      <c r="BH111" s="4"/>
      <c r="BI111" s="4"/>
      <c r="BJ111" s="3"/>
      <c r="BK111" s="3"/>
      <c r="BT111" s="1">
        <v>110</v>
      </c>
      <c r="BU111" s="1">
        <f t="shared" si="76"/>
        <v>6591</v>
      </c>
      <c r="BV111" s="1">
        <f t="shared" si="77"/>
        <v>1318.2</v>
      </c>
      <c r="BX111" s="1">
        <f t="shared" si="78"/>
        <v>25.45</v>
      </c>
      <c r="BY111" s="1">
        <f t="shared" si="79"/>
        <v>51</v>
      </c>
      <c r="BZ111" s="1">
        <v>110</v>
      </c>
      <c r="CA111" s="1">
        <f t="shared" si="80"/>
        <v>9013.7</v>
      </c>
      <c r="CB111" s="1">
        <f t="shared" si="81"/>
        <v>1802.6</v>
      </c>
      <c r="CD111" s="1">
        <f t="shared" si="82"/>
        <v>38.597</v>
      </c>
      <c r="CE111" s="1">
        <f t="shared" si="83"/>
        <v>77.26</v>
      </c>
      <c r="CF111" s="1">
        <f t="shared" si="84"/>
        <v>44.54</v>
      </c>
      <c r="CG111" s="1">
        <v>110</v>
      </c>
      <c r="CH111" s="1">
        <f t="shared" si="85"/>
        <v>11763</v>
      </c>
      <c r="CI111" s="1">
        <f t="shared" si="86"/>
        <v>2352</v>
      </c>
      <c r="CK111" s="1">
        <f t="shared" si="87"/>
        <v>47.725</v>
      </c>
      <c r="CL111" s="1">
        <f t="shared" si="88"/>
        <v>95.5</v>
      </c>
      <c r="CM111" s="1">
        <f t="shared" si="89"/>
        <v>63.123</v>
      </c>
      <c r="CN111" s="1">
        <v>110</v>
      </c>
      <c r="CO111" s="1">
        <f t="shared" si="90"/>
        <v>14610</v>
      </c>
      <c r="CP111" s="1">
        <f t="shared" si="91"/>
        <v>2923.2</v>
      </c>
      <c r="CR111" s="1">
        <f t="shared" si="92"/>
        <v>62.2</v>
      </c>
      <c r="CS111" s="1">
        <f t="shared" si="93"/>
        <v>124.4</v>
      </c>
      <c r="CT111" s="1">
        <f t="shared" si="94"/>
        <v>82.18</v>
      </c>
    </row>
    <row r="112" spans="1:98">
      <c r="A112">
        <v>111</v>
      </c>
      <c r="B112" s="11">
        <v>13000</v>
      </c>
      <c r="C112" s="11">
        <v>2600</v>
      </c>
      <c r="D112" s="11">
        <v>2600</v>
      </c>
      <c r="E112" s="8">
        <f t="shared" si="49"/>
        <v>11350</v>
      </c>
      <c r="F112" s="8">
        <f t="shared" si="50"/>
        <v>2270</v>
      </c>
      <c r="G112" s="8">
        <f t="shared" si="51"/>
        <v>2270</v>
      </c>
      <c r="H112" s="11"/>
      <c r="I112" s="9">
        <v>1</v>
      </c>
      <c r="J112" s="8">
        <f t="shared" si="52"/>
        <v>7020</v>
      </c>
      <c r="K112" s="8">
        <f t="shared" si="53"/>
        <v>1404</v>
      </c>
      <c r="L112" s="8">
        <f t="shared" si="54"/>
        <v>1404</v>
      </c>
      <c r="M112" s="8">
        <v>1</v>
      </c>
      <c r="N112" s="8">
        <f t="shared" si="55"/>
        <v>31370</v>
      </c>
      <c r="O112" s="8">
        <f t="shared" si="56"/>
        <v>6274</v>
      </c>
      <c r="P112" s="8">
        <f t="shared" si="57"/>
        <v>6274</v>
      </c>
      <c r="Q112" s="11">
        <v>60</v>
      </c>
      <c r="R112" s="11">
        <v>120</v>
      </c>
      <c r="S112" s="11">
        <v>71.28</v>
      </c>
      <c r="T112" s="8">
        <v>8.8</v>
      </c>
      <c r="U112" s="8">
        <v>0.308</v>
      </c>
      <c r="V112" s="8">
        <f t="shared" si="58"/>
        <v>177396.806432686</v>
      </c>
      <c r="W112" s="8">
        <f t="shared" si="59"/>
        <v>6274</v>
      </c>
      <c r="X112" s="8">
        <f t="shared" si="60"/>
        <v>6274</v>
      </c>
      <c r="Y112" s="8">
        <f t="shared" si="61"/>
        <v>17739.6806432686</v>
      </c>
      <c r="Z112" s="8">
        <f t="shared" si="62"/>
        <v>10</v>
      </c>
      <c r="AA112">
        <f t="shared" si="63"/>
        <v>3137</v>
      </c>
      <c r="AB112">
        <f t="shared" si="64"/>
        <v>10</v>
      </c>
      <c r="AC112">
        <f t="shared" si="65"/>
        <v>77.3097157194252</v>
      </c>
      <c r="AD112">
        <f t="shared" si="66"/>
        <v>14.4229885057471</v>
      </c>
      <c r="AE112">
        <f t="shared" si="67"/>
        <v>14.4229885057471</v>
      </c>
      <c r="AF112">
        <f t="shared" si="95"/>
        <v>59132.2688108953</v>
      </c>
      <c r="AG112">
        <f t="shared" si="96"/>
        <v>6274</v>
      </c>
      <c r="AH112">
        <f t="shared" si="97"/>
        <v>3137</v>
      </c>
      <c r="AI112">
        <f t="shared" si="68"/>
        <v>3.33333333333333</v>
      </c>
      <c r="AJ112">
        <f t="shared" si="69"/>
        <v>1045.66666666667</v>
      </c>
      <c r="AK112">
        <f t="shared" si="70"/>
        <v>29.9999999999999</v>
      </c>
      <c r="BT112">
        <v>111</v>
      </c>
      <c r="BU112">
        <f t="shared" si="76"/>
        <v>6605.6</v>
      </c>
      <c r="BV112">
        <f t="shared" si="77"/>
        <v>1321.12</v>
      </c>
      <c r="BX112">
        <f t="shared" si="78"/>
        <v>25.5</v>
      </c>
      <c r="BY112">
        <f t="shared" si="79"/>
        <v>51.1</v>
      </c>
      <c r="BZ112">
        <v>111</v>
      </c>
      <c r="CA112">
        <f t="shared" si="80"/>
        <v>9023</v>
      </c>
      <c r="CB112">
        <f t="shared" si="81"/>
        <v>1804.46</v>
      </c>
      <c r="CD112">
        <f t="shared" si="82"/>
        <v>38.63</v>
      </c>
      <c r="CE112">
        <f t="shared" si="83"/>
        <v>77.326</v>
      </c>
      <c r="CF112">
        <f t="shared" si="84"/>
        <v>44.6</v>
      </c>
      <c r="CG112">
        <v>111</v>
      </c>
      <c r="CH112">
        <f t="shared" si="85"/>
        <v>11770</v>
      </c>
      <c r="CI112">
        <f t="shared" si="86"/>
        <v>2353.4</v>
      </c>
      <c r="CK112">
        <f t="shared" si="87"/>
        <v>47.75</v>
      </c>
      <c r="CL112">
        <f t="shared" si="88"/>
        <v>95.55</v>
      </c>
      <c r="CM112">
        <f t="shared" si="89"/>
        <v>63.17</v>
      </c>
      <c r="CN112">
        <v>111</v>
      </c>
      <c r="CO112">
        <f t="shared" si="90"/>
        <v>14615.6</v>
      </c>
      <c r="CP112">
        <f t="shared" si="91"/>
        <v>2924.32</v>
      </c>
      <c r="CR112">
        <f t="shared" si="92"/>
        <v>62.22</v>
      </c>
      <c r="CS112">
        <f t="shared" si="93"/>
        <v>124.44</v>
      </c>
      <c r="CT112">
        <f t="shared" si="94"/>
        <v>82.218</v>
      </c>
    </row>
    <row r="113" spans="1:98">
      <c r="A113">
        <v>112</v>
      </c>
      <c r="B113" s="11">
        <v>13100</v>
      </c>
      <c r="C113" s="11">
        <v>2620</v>
      </c>
      <c r="D113" s="11">
        <v>2620</v>
      </c>
      <c r="E113" s="8">
        <f t="shared" si="49"/>
        <v>11450</v>
      </c>
      <c r="F113" s="8">
        <f t="shared" si="50"/>
        <v>2290</v>
      </c>
      <c r="G113" s="8">
        <f t="shared" si="51"/>
        <v>2290</v>
      </c>
      <c r="H113" s="11"/>
      <c r="I113" s="9">
        <v>1</v>
      </c>
      <c r="J113" s="8">
        <f t="shared" si="52"/>
        <v>7074</v>
      </c>
      <c r="K113" s="8">
        <f t="shared" si="53"/>
        <v>1414.8</v>
      </c>
      <c r="L113" s="8">
        <f t="shared" si="54"/>
        <v>1414.8</v>
      </c>
      <c r="M113" s="8">
        <v>1</v>
      </c>
      <c r="N113" s="8">
        <f t="shared" si="55"/>
        <v>31624</v>
      </c>
      <c r="O113" s="8">
        <f t="shared" si="56"/>
        <v>6324.8</v>
      </c>
      <c r="P113" s="8">
        <f t="shared" si="57"/>
        <v>6324.8</v>
      </c>
      <c r="Q113" s="11">
        <v>60</v>
      </c>
      <c r="R113" s="11">
        <v>120</v>
      </c>
      <c r="S113" s="11">
        <v>71.94</v>
      </c>
      <c r="T113" s="8">
        <v>8.88</v>
      </c>
      <c r="U113" s="8">
        <v>0.3108</v>
      </c>
      <c r="V113" s="8">
        <f t="shared" si="58"/>
        <v>180038.859666929</v>
      </c>
      <c r="W113" s="8">
        <f t="shared" si="59"/>
        <v>6324.8</v>
      </c>
      <c r="X113" s="8">
        <f t="shared" si="60"/>
        <v>6324.8</v>
      </c>
      <c r="Y113" s="8">
        <f t="shared" si="61"/>
        <v>18003.8859666929</v>
      </c>
      <c r="Z113" s="8">
        <f t="shared" si="62"/>
        <v>10</v>
      </c>
      <c r="AA113">
        <f t="shared" si="63"/>
        <v>3162.4</v>
      </c>
      <c r="AB113">
        <f t="shared" si="64"/>
        <v>10</v>
      </c>
      <c r="AC113">
        <f t="shared" si="65"/>
        <v>78.4611253110765</v>
      </c>
      <c r="AD113">
        <f t="shared" si="66"/>
        <v>14.5397701149425</v>
      </c>
      <c r="AE113">
        <f t="shared" si="67"/>
        <v>14.5397701149425</v>
      </c>
      <c r="AF113">
        <f t="shared" si="95"/>
        <v>60012.9532223097</v>
      </c>
      <c r="AG113">
        <f t="shared" si="96"/>
        <v>6324.8</v>
      </c>
      <c r="AH113">
        <f t="shared" si="97"/>
        <v>3162.4</v>
      </c>
      <c r="AI113">
        <f t="shared" si="68"/>
        <v>3.33333333333334</v>
      </c>
      <c r="AJ113">
        <f t="shared" si="69"/>
        <v>1054.13333333333</v>
      </c>
      <c r="AK113">
        <f t="shared" si="70"/>
        <v>30.0000000000001</v>
      </c>
      <c r="BT113">
        <v>112</v>
      </c>
      <c r="BU113">
        <f t="shared" si="76"/>
        <v>6620.2</v>
      </c>
      <c r="BV113">
        <f t="shared" si="77"/>
        <v>1324.04</v>
      </c>
      <c r="BX113">
        <f t="shared" si="78"/>
        <v>25.55</v>
      </c>
      <c r="BY113">
        <f t="shared" si="79"/>
        <v>51.2</v>
      </c>
      <c r="BZ113">
        <v>112</v>
      </c>
      <c r="CA113">
        <f t="shared" si="80"/>
        <v>9032.3</v>
      </c>
      <c r="CB113">
        <f t="shared" si="81"/>
        <v>1806.32</v>
      </c>
      <c r="CD113">
        <f t="shared" si="82"/>
        <v>38.663</v>
      </c>
      <c r="CE113">
        <f t="shared" si="83"/>
        <v>77.392</v>
      </c>
      <c r="CF113">
        <f t="shared" si="84"/>
        <v>44.66</v>
      </c>
      <c r="CG113">
        <v>112</v>
      </c>
      <c r="CH113">
        <f t="shared" si="85"/>
        <v>11777</v>
      </c>
      <c r="CI113">
        <f t="shared" si="86"/>
        <v>2354.8</v>
      </c>
      <c r="CK113">
        <f t="shared" si="87"/>
        <v>47.775</v>
      </c>
      <c r="CL113">
        <f t="shared" si="88"/>
        <v>95.6</v>
      </c>
      <c r="CM113">
        <f t="shared" si="89"/>
        <v>63.217</v>
      </c>
      <c r="CN113">
        <v>112</v>
      </c>
      <c r="CO113">
        <f t="shared" si="90"/>
        <v>14621.2</v>
      </c>
      <c r="CP113">
        <f t="shared" si="91"/>
        <v>2925.44</v>
      </c>
      <c r="CR113">
        <f t="shared" si="92"/>
        <v>62.24</v>
      </c>
      <c r="CS113">
        <f t="shared" si="93"/>
        <v>124.48</v>
      </c>
      <c r="CT113">
        <f t="shared" si="94"/>
        <v>82.256</v>
      </c>
    </row>
    <row r="114" spans="1:98">
      <c r="A114">
        <v>113</v>
      </c>
      <c r="B114" s="11">
        <v>13200</v>
      </c>
      <c r="C114" s="11">
        <v>2640</v>
      </c>
      <c r="D114" s="11">
        <v>2640</v>
      </c>
      <c r="E114" s="8">
        <f t="shared" si="49"/>
        <v>11550</v>
      </c>
      <c r="F114" s="8">
        <f t="shared" si="50"/>
        <v>2310</v>
      </c>
      <c r="G114" s="8">
        <f t="shared" si="51"/>
        <v>2310</v>
      </c>
      <c r="H114" s="11"/>
      <c r="I114" s="9">
        <v>1</v>
      </c>
      <c r="J114" s="8">
        <f t="shared" si="52"/>
        <v>7128</v>
      </c>
      <c r="K114" s="8">
        <f t="shared" si="53"/>
        <v>1425.6</v>
      </c>
      <c r="L114" s="8">
        <f t="shared" si="54"/>
        <v>1425.6</v>
      </c>
      <c r="M114" s="8">
        <v>1</v>
      </c>
      <c r="N114" s="8">
        <f t="shared" si="55"/>
        <v>31878</v>
      </c>
      <c r="O114" s="8">
        <f t="shared" si="56"/>
        <v>6375.6</v>
      </c>
      <c r="P114" s="8">
        <f t="shared" si="57"/>
        <v>6375.6</v>
      </c>
      <c r="Q114" s="11">
        <v>60</v>
      </c>
      <c r="R114" s="11">
        <v>120</v>
      </c>
      <c r="S114" s="11">
        <v>72.6</v>
      </c>
      <c r="T114" s="8">
        <v>8.96</v>
      </c>
      <c r="U114" s="8">
        <v>0.3136</v>
      </c>
      <c r="V114" s="8">
        <f t="shared" si="58"/>
        <v>182704.850344061</v>
      </c>
      <c r="W114" s="8">
        <f t="shared" si="59"/>
        <v>6375.6</v>
      </c>
      <c r="X114" s="8">
        <f t="shared" si="60"/>
        <v>6375.6</v>
      </c>
      <c r="Y114" s="8">
        <f t="shared" si="61"/>
        <v>18270.4850344061</v>
      </c>
      <c r="Z114" s="8">
        <f t="shared" si="62"/>
        <v>10</v>
      </c>
      <c r="AA114">
        <f t="shared" si="63"/>
        <v>3187.8</v>
      </c>
      <c r="AB114">
        <f t="shared" si="64"/>
        <v>10</v>
      </c>
      <c r="AC114">
        <f t="shared" si="65"/>
        <v>79.6229668656364</v>
      </c>
      <c r="AD114">
        <f t="shared" si="66"/>
        <v>14.6565517241379</v>
      </c>
      <c r="AE114">
        <f t="shared" si="67"/>
        <v>14.6565517241379</v>
      </c>
      <c r="AF114">
        <f t="shared" si="95"/>
        <v>60901.6167813537</v>
      </c>
      <c r="AG114">
        <f t="shared" si="96"/>
        <v>6375.6</v>
      </c>
      <c r="AH114">
        <f t="shared" si="97"/>
        <v>3187.8</v>
      </c>
      <c r="AI114">
        <f t="shared" si="68"/>
        <v>3.33333333333334</v>
      </c>
      <c r="AJ114">
        <f t="shared" si="69"/>
        <v>1062.6</v>
      </c>
      <c r="AK114">
        <f t="shared" si="70"/>
        <v>30</v>
      </c>
      <c r="BT114">
        <v>113</v>
      </c>
      <c r="BU114">
        <f t="shared" si="76"/>
        <v>6634.8</v>
      </c>
      <c r="BV114">
        <f t="shared" si="77"/>
        <v>1326.96</v>
      </c>
      <c r="BX114">
        <f t="shared" si="78"/>
        <v>25.6</v>
      </c>
      <c r="BY114">
        <f t="shared" si="79"/>
        <v>51.3</v>
      </c>
      <c r="BZ114">
        <v>113</v>
      </c>
      <c r="CA114">
        <f t="shared" si="80"/>
        <v>9041.6</v>
      </c>
      <c r="CB114">
        <f t="shared" si="81"/>
        <v>1808.18</v>
      </c>
      <c r="CD114">
        <f t="shared" si="82"/>
        <v>38.696</v>
      </c>
      <c r="CE114">
        <f t="shared" si="83"/>
        <v>77.458</v>
      </c>
      <c r="CF114">
        <f t="shared" si="84"/>
        <v>44.72</v>
      </c>
      <c r="CG114">
        <v>113</v>
      </c>
      <c r="CH114">
        <f t="shared" si="85"/>
        <v>11784</v>
      </c>
      <c r="CI114">
        <f t="shared" si="86"/>
        <v>2356.2</v>
      </c>
      <c r="CK114">
        <f t="shared" si="87"/>
        <v>47.8</v>
      </c>
      <c r="CL114">
        <f t="shared" si="88"/>
        <v>95.65</v>
      </c>
      <c r="CM114">
        <f t="shared" si="89"/>
        <v>63.264</v>
      </c>
      <c r="CN114">
        <v>113</v>
      </c>
      <c r="CO114">
        <f t="shared" si="90"/>
        <v>14626.8</v>
      </c>
      <c r="CP114">
        <f t="shared" si="91"/>
        <v>2926.56</v>
      </c>
      <c r="CR114">
        <f t="shared" si="92"/>
        <v>62.26</v>
      </c>
      <c r="CS114">
        <f t="shared" si="93"/>
        <v>124.52</v>
      </c>
      <c r="CT114">
        <f t="shared" si="94"/>
        <v>82.294</v>
      </c>
    </row>
    <row r="115" spans="1:98">
      <c r="A115">
        <v>114</v>
      </c>
      <c r="B115" s="11">
        <v>13300</v>
      </c>
      <c r="C115" s="11">
        <v>2660</v>
      </c>
      <c r="D115" s="11">
        <v>2660</v>
      </c>
      <c r="E115" s="8">
        <f t="shared" si="49"/>
        <v>11650</v>
      </c>
      <c r="F115" s="8">
        <f t="shared" si="50"/>
        <v>2330</v>
      </c>
      <c r="G115" s="8">
        <f t="shared" si="51"/>
        <v>2330</v>
      </c>
      <c r="H115" s="11"/>
      <c r="I115" s="9">
        <v>1</v>
      </c>
      <c r="J115" s="8">
        <f t="shared" si="52"/>
        <v>7182</v>
      </c>
      <c r="K115" s="8">
        <f t="shared" si="53"/>
        <v>1436.4</v>
      </c>
      <c r="L115" s="8">
        <f t="shared" si="54"/>
        <v>1436.4</v>
      </c>
      <c r="M115" s="8">
        <v>1</v>
      </c>
      <c r="N115" s="8">
        <f t="shared" si="55"/>
        <v>32132</v>
      </c>
      <c r="O115" s="8">
        <f t="shared" si="56"/>
        <v>6426.4</v>
      </c>
      <c r="P115" s="8">
        <f t="shared" si="57"/>
        <v>6426.4</v>
      </c>
      <c r="Q115" s="11">
        <v>60</v>
      </c>
      <c r="R115" s="11">
        <v>120</v>
      </c>
      <c r="S115" s="11">
        <v>73.26</v>
      </c>
      <c r="T115" s="8">
        <v>9.04</v>
      </c>
      <c r="U115" s="8">
        <v>0.3164</v>
      </c>
      <c r="V115" s="8">
        <f t="shared" si="58"/>
        <v>185394.894306177</v>
      </c>
      <c r="W115" s="8">
        <f t="shared" si="59"/>
        <v>6426.4</v>
      </c>
      <c r="X115" s="8">
        <f t="shared" si="60"/>
        <v>6426.4</v>
      </c>
      <c r="Y115" s="8">
        <f t="shared" si="61"/>
        <v>18539.4894306177</v>
      </c>
      <c r="Z115" s="8">
        <f t="shared" si="62"/>
        <v>10</v>
      </c>
      <c r="AA115">
        <f t="shared" si="63"/>
        <v>3213.2</v>
      </c>
      <c r="AB115">
        <f t="shared" si="64"/>
        <v>10</v>
      </c>
      <c r="AC115">
        <f t="shared" si="65"/>
        <v>80.7952908672123</v>
      </c>
      <c r="AD115">
        <f t="shared" si="66"/>
        <v>14.7733333333333</v>
      </c>
      <c r="AE115">
        <f t="shared" si="67"/>
        <v>14.7733333333333</v>
      </c>
      <c r="AF115">
        <f t="shared" si="95"/>
        <v>61798.298102059</v>
      </c>
      <c r="AG115">
        <f t="shared" si="96"/>
        <v>6426.4</v>
      </c>
      <c r="AH115">
        <f t="shared" si="97"/>
        <v>3213.2</v>
      </c>
      <c r="AI115">
        <f t="shared" si="68"/>
        <v>3.33333333333333</v>
      </c>
      <c r="AJ115">
        <f t="shared" si="69"/>
        <v>1071.06666666667</v>
      </c>
      <c r="AK115">
        <f t="shared" si="70"/>
        <v>29.9999999999999</v>
      </c>
      <c r="BT115">
        <v>114</v>
      </c>
      <c r="BU115">
        <f t="shared" si="76"/>
        <v>6649.4</v>
      </c>
      <c r="BV115">
        <f t="shared" si="77"/>
        <v>1329.88</v>
      </c>
      <c r="BX115">
        <f t="shared" si="78"/>
        <v>25.65</v>
      </c>
      <c r="BY115">
        <f t="shared" si="79"/>
        <v>51.4</v>
      </c>
      <c r="BZ115">
        <v>114</v>
      </c>
      <c r="CA115">
        <f t="shared" si="80"/>
        <v>9050.9</v>
      </c>
      <c r="CB115">
        <f t="shared" si="81"/>
        <v>1810.04</v>
      </c>
      <c r="CD115">
        <f t="shared" si="82"/>
        <v>38.729</v>
      </c>
      <c r="CE115">
        <f t="shared" si="83"/>
        <v>77.524</v>
      </c>
      <c r="CF115">
        <f t="shared" si="84"/>
        <v>44.78</v>
      </c>
      <c r="CG115">
        <v>114</v>
      </c>
      <c r="CH115">
        <f t="shared" si="85"/>
        <v>11791</v>
      </c>
      <c r="CI115">
        <f t="shared" si="86"/>
        <v>2357.6</v>
      </c>
      <c r="CK115">
        <f t="shared" si="87"/>
        <v>47.825</v>
      </c>
      <c r="CL115">
        <f t="shared" si="88"/>
        <v>95.7</v>
      </c>
      <c r="CM115">
        <f t="shared" si="89"/>
        <v>63.311</v>
      </c>
      <c r="CN115">
        <v>114</v>
      </c>
      <c r="CO115">
        <f t="shared" si="90"/>
        <v>14632.4</v>
      </c>
      <c r="CP115">
        <f t="shared" si="91"/>
        <v>2927.68</v>
      </c>
      <c r="CR115">
        <f t="shared" si="92"/>
        <v>62.28</v>
      </c>
      <c r="CS115">
        <f t="shared" si="93"/>
        <v>124.56</v>
      </c>
      <c r="CT115">
        <f t="shared" si="94"/>
        <v>82.332</v>
      </c>
    </row>
    <row r="116" spans="1:98">
      <c r="A116">
        <v>115</v>
      </c>
      <c r="B116" s="11">
        <v>13400</v>
      </c>
      <c r="C116" s="11">
        <v>2680</v>
      </c>
      <c r="D116" s="11">
        <v>2680</v>
      </c>
      <c r="E116" s="8">
        <f t="shared" si="49"/>
        <v>11750</v>
      </c>
      <c r="F116" s="8">
        <f t="shared" si="50"/>
        <v>2350</v>
      </c>
      <c r="G116" s="8">
        <f t="shared" si="51"/>
        <v>2350</v>
      </c>
      <c r="H116" s="11"/>
      <c r="I116" s="9">
        <v>1</v>
      </c>
      <c r="J116" s="8">
        <f t="shared" si="52"/>
        <v>7236</v>
      </c>
      <c r="K116" s="8">
        <f t="shared" si="53"/>
        <v>1447.2</v>
      </c>
      <c r="L116" s="8">
        <f t="shared" si="54"/>
        <v>1447.2</v>
      </c>
      <c r="M116" s="8">
        <v>1</v>
      </c>
      <c r="N116" s="8">
        <f t="shared" si="55"/>
        <v>32386</v>
      </c>
      <c r="O116" s="8">
        <f t="shared" si="56"/>
        <v>6477.2</v>
      </c>
      <c r="P116" s="8">
        <f t="shared" si="57"/>
        <v>6477.2</v>
      </c>
      <c r="Q116" s="11">
        <v>60</v>
      </c>
      <c r="R116" s="11">
        <v>120</v>
      </c>
      <c r="S116" s="11">
        <v>73.92</v>
      </c>
      <c r="T116" s="8">
        <v>9.12</v>
      </c>
      <c r="U116" s="8">
        <v>0.3192</v>
      </c>
      <c r="V116" s="8">
        <f t="shared" si="58"/>
        <v>188109.107604456</v>
      </c>
      <c r="W116" s="8">
        <f t="shared" si="59"/>
        <v>6477.2</v>
      </c>
      <c r="X116" s="8">
        <f t="shared" si="60"/>
        <v>6477.2</v>
      </c>
      <c r="Y116" s="8">
        <f t="shared" si="61"/>
        <v>18810.9107604456</v>
      </c>
      <c r="Z116" s="8">
        <f t="shared" si="62"/>
        <v>10</v>
      </c>
      <c r="AA116">
        <f t="shared" si="63"/>
        <v>3238.6</v>
      </c>
      <c r="AB116">
        <f t="shared" si="64"/>
        <v>10</v>
      </c>
      <c r="AC116">
        <f t="shared" si="65"/>
        <v>81.9781478910306</v>
      </c>
      <c r="AD116">
        <f t="shared" si="66"/>
        <v>14.8901149425287</v>
      </c>
      <c r="AE116">
        <f t="shared" si="67"/>
        <v>14.8901149425287</v>
      </c>
      <c r="AF116">
        <f t="shared" si="95"/>
        <v>62703.035868152</v>
      </c>
      <c r="AG116">
        <f t="shared" si="96"/>
        <v>6477.2</v>
      </c>
      <c r="AH116">
        <f t="shared" si="97"/>
        <v>3238.6</v>
      </c>
      <c r="AI116">
        <f t="shared" si="68"/>
        <v>3.33333333333333</v>
      </c>
      <c r="AJ116">
        <f t="shared" si="69"/>
        <v>1079.53333333333</v>
      </c>
      <c r="AK116">
        <f t="shared" si="70"/>
        <v>30.0000000000001</v>
      </c>
      <c r="BT116">
        <v>115</v>
      </c>
      <c r="BU116">
        <f t="shared" si="76"/>
        <v>6664</v>
      </c>
      <c r="BV116">
        <f t="shared" si="77"/>
        <v>1332.8</v>
      </c>
      <c r="BX116">
        <f t="shared" si="78"/>
        <v>25.7</v>
      </c>
      <c r="BY116">
        <f t="shared" si="79"/>
        <v>51.5</v>
      </c>
      <c r="BZ116">
        <v>115</v>
      </c>
      <c r="CA116">
        <f t="shared" si="80"/>
        <v>9060.2</v>
      </c>
      <c r="CB116">
        <f t="shared" si="81"/>
        <v>1811.9</v>
      </c>
      <c r="CD116">
        <f t="shared" si="82"/>
        <v>38.762</v>
      </c>
      <c r="CE116">
        <f t="shared" si="83"/>
        <v>77.59</v>
      </c>
      <c r="CF116">
        <f t="shared" si="84"/>
        <v>44.84</v>
      </c>
      <c r="CG116">
        <v>115</v>
      </c>
      <c r="CH116">
        <f t="shared" si="85"/>
        <v>11798</v>
      </c>
      <c r="CI116">
        <f t="shared" si="86"/>
        <v>2359</v>
      </c>
      <c r="CK116">
        <f t="shared" si="87"/>
        <v>47.85</v>
      </c>
      <c r="CL116">
        <f t="shared" si="88"/>
        <v>95.75</v>
      </c>
      <c r="CM116">
        <f t="shared" si="89"/>
        <v>63.358</v>
      </c>
      <c r="CN116">
        <v>115</v>
      </c>
      <c r="CO116">
        <f t="shared" si="90"/>
        <v>14638</v>
      </c>
      <c r="CP116">
        <f t="shared" si="91"/>
        <v>2928.8</v>
      </c>
      <c r="CR116">
        <f t="shared" si="92"/>
        <v>62.3</v>
      </c>
      <c r="CS116">
        <f t="shared" si="93"/>
        <v>124.6</v>
      </c>
      <c r="CT116">
        <f t="shared" si="94"/>
        <v>82.37</v>
      </c>
    </row>
    <row r="117" spans="1:98">
      <c r="A117">
        <v>116</v>
      </c>
      <c r="B117" s="11">
        <v>13500</v>
      </c>
      <c r="C117" s="11">
        <v>2700</v>
      </c>
      <c r="D117" s="11">
        <v>2700</v>
      </c>
      <c r="E117" s="8">
        <f t="shared" si="49"/>
        <v>11850</v>
      </c>
      <c r="F117" s="8">
        <f t="shared" si="50"/>
        <v>2370</v>
      </c>
      <c r="G117" s="8">
        <f t="shared" si="51"/>
        <v>2370</v>
      </c>
      <c r="H117" s="11"/>
      <c r="I117" s="9">
        <v>1</v>
      </c>
      <c r="J117" s="8">
        <f t="shared" si="52"/>
        <v>7290</v>
      </c>
      <c r="K117" s="8">
        <f t="shared" si="53"/>
        <v>1458</v>
      </c>
      <c r="L117" s="8">
        <f t="shared" si="54"/>
        <v>1458</v>
      </c>
      <c r="M117" s="8">
        <v>1</v>
      </c>
      <c r="N117" s="8">
        <f t="shared" si="55"/>
        <v>32640</v>
      </c>
      <c r="O117" s="8">
        <f t="shared" si="56"/>
        <v>6528</v>
      </c>
      <c r="P117" s="8">
        <f t="shared" si="57"/>
        <v>6528</v>
      </c>
      <c r="Q117" s="11">
        <v>60</v>
      </c>
      <c r="R117" s="11">
        <v>120</v>
      </c>
      <c r="S117" s="11">
        <v>74.58</v>
      </c>
      <c r="T117" s="8">
        <v>9.2</v>
      </c>
      <c r="U117" s="8">
        <v>0.322</v>
      </c>
      <c r="V117" s="8">
        <f t="shared" si="58"/>
        <v>190847.606499164</v>
      </c>
      <c r="W117" s="8">
        <f t="shared" si="59"/>
        <v>6528</v>
      </c>
      <c r="X117" s="8">
        <f t="shared" si="60"/>
        <v>6528</v>
      </c>
      <c r="Y117" s="8">
        <f t="shared" si="61"/>
        <v>19084.7606499164</v>
      </c>
      <c r="Z117" s="8">
        <f t="shared" si="62"/>
        <v>10</v>
      </c>
      <c r="AA117">
        <f t="shared" si="63"/>
        <v>3264</v>
      </c>
      <c r="AB117">
        <f t="shared" si="64"/>
        <v>10</v>
      </c>
      <c r="AC117">
        <f t="shared" si="65"/>
        <v>83.171588603438</v>
      </c>
      <c r="AD117">
        <f t="shared" si="66"/>
        <v>15.0068965517241</v>
      </c>
      <c r="AE117">
        <f t="shared" si="67"/>
        <v>15.0068965517241</v>
      </c>
      <c r="AF117">
        <f t="shared" si="95"/>
        <v>63615.8688330547</v>
      </c>
      <c r="AG117">
        <f t="shared" si="96"/>
        <v>6528</v>
      </c>
      <c r="AH117">
        <f t="shared" si="97"/>
        <v>3264</v>
      </c>
      <c r="AI117">
        <f t="shared" si="68"/>
        <v>3.33333333333334</v>
      </c>
      <c r="AJ117">
        <f t="shared" si="69"/>
        <v>1088</v>
      </c>
      <c r="AK117">
        <f t="shared" si="70"/>
        <v>30</v>
      </c>
      <c r="BT117">
        <v>116</v>
      </c>
      <c r="BU117">
        <f t="shared" si="76"/>
        <v>6678.6</v>
      </c>
      <c r="BV117">
        <f t="shared" si="77"/>
        <v>1335.72</v>
      </c>
      <c r="BX117">
        <f t="shared" si="78"/>
        <v>25.75</v>
      </c>
      <c r="BY117">
        <f t="shared" si="79"/>
        <v>51.6</v>
      </c>
      <c r="BZ117">
        <v>116</v>
      </c>
      <c r="CA117">
        <f t="shared" si="80"/>
        <v>9069.5</v>
      </c>
      <c r="CB117">
        <f t="shared" si="81"/>
        <v>1813.76</v>
      </c>
      <c r="CD117">
        <f t="shared" si="82"/>
        <v>38.795</v>
      </c>
      <c r="CE117">
        <f t="shared" si="83"/>
        <v>77.656</v>
      </c>
      <c r="CF117">
        <f t="shared" si="84"/>
        <v>44.9</v>
      </c>
      <c r="CG117">
        <v>116</v>
      </c>
      <c r="CH117">
        <f t="shared" si="85"/>
        <v>11805</v>
      </c>
      <c r="CI117">
        <f t="shared" si="86"/>
        <v>2360.4</v>
      </c>
      <c r="CK117">
        <f t="shared" si="87"/>
        <v>47.875</v>
      </c>
      <c r="CL117">
        <f t="shared" si="88"/>
        <v>95.8</v>
      </c>
      <c r="CM117">
        <f t="shared" si="89"/>
        <v>63.405</v>
      </c>
      <c r="CN117">
        <v>116</v>
      </c>
      <c r="CO117">
        <f t="shared" si="90"/>
        <v>14643.6</v>
      </c>
      <c r="CP117">
        <f t="shared" si="91"/>
        <v>2929.92</v>
      </c>
      <c r="CR117">
        <f t="shared" si="92"/>
        <v>62.32</v>
      </c>
      <c r="CS117">
        <f t="shared" si="93"/>
        <v>124.64</v>
      </c>
      <c r="CT117">
        <f t="shared" si="94"/>
        <v>82.408</v>
      </c>
    </row>
    <row r="118" spans="1:98">
      <c r="A118">
        <v>117</v>
      </c>
      <c r="B118" s="11">
        <v>13600</v>
      </c>
      <c r="C118" s="11">
        <v>2720</v>
      </c>
      <c r="D118" s="11">
        <v>2720</v>
      </c>
      <c r="E118" s="8">
        <f t="shared" si="49"/>
        <v>11950</v>
      </c>
      <c r="F118" s="8">
        <f t="shared" si="50"/>
        <v>2390</v>
      </c>
      <c r="G118" s="8">
        <f t="shared" si="51"/>
        <v>2390</v>
      </c>
      <c r="H118" s="11"/>
      <c r="I118" s="9">
        <v>1</v>
      </c>
      <c r="J118" s="8">
        <f t="shared" si="52"/>
        <v>7344</v>
      </c>
      <c r="K118" s="8">
        <f t="shared" si="53"/>
        <v>1468.8</v>
      </c>
      <c r="L118" s="8">
        <f t="shared" si="54"/>
        <v>1468.8</v>
      </c>
      <c r="M118" s="8">
        <v>1</v>
      </c>
      <c r="N118" s="8">
        <f t="shared" si="55"/>
        <v>32894</v>
      </c>
      <c r="O118" s="8">
        <f t="shared" si="56"/>
        <v>6578.8</v>
      </c>
      <c r="P118" s="8">
        <f t="shared" si="57"/>
        <v>6578.8</v>
      </c>
      <c r="Q118" s="11">
        <v>60</v>
      </c>
      <c r="R118" s="11">
        <v>120</v>
      </c>
      <c r="S118" s="11">
        <v>75.24</v>
      </c>
      <c r="T118" s="8">
        <v>9.28</v>
      </c>
      <c r="U118" s="8">
        <v>0.3248</v>
      </c>
      <c r="V118" s="8">
        <f t="shared" si="58"/>
        <v>193610.507459653</v>
      </c>
      <c r="W118" s="8">
        <f t="shared" si="59"/>
        <v>6578.8</v>
      </c>
      <c r="X118" s="8">
        <f t="shared" si="60"/>
        <v>6578.8</v>
      </c>
      <c r="Y118" s="8">
        <f t="shared" si="61"/>
        <v>19361.0507459653</v>
      </c>
      <c r="Z118" s="8">
        <f t="shared" si="62"/>
        <v>10</v>
      </c>
      <c r="AA118">
        <f t="shared" si="63"/>
        <v>3289.4</v>
      </c>
      <c r="AB118">
        <f t="shared" si="64"/>
        <v>10</v>
      </c>
      <c r="AC118">
        <f t="shared" si="65"/>
        <v>84.3756637619014</v>
      </c>
      <c r="AD118">
        <f t="shared" si="66"/>
        <v>15.1236781609195</v>
      </c>
      <c r="AE118">
        <f t="shared" si="67"/>
        <v>15.1236781609195</v>
      </c>
      <c r="AF118">
        <f t="shared" si="95"/>
        <v>64536.8358198843</v>
      </c>
      <c r="AG118">
        <f t="shared" si="96"/>
        <v>6578.8</v>
      </c>
      <c r="AH118">
        <f t="shared" si="97"/>
        <v>3289.4</v>
      </c>
      <c r="AI118">
        <f t="shared" si="68"/>
        <v>3.33333333333333</v>
      </c>
      <c r="AJ118">
        <f t="shared" si="69"/>
        <v>1096.46666666667</v>
      </c>
      <c r="AK118">
        <f t="shared" si="70"/>
        <v>29.9999999999999</v>
      </c>
      <c r="BT118">
        <v>117</v>
      </c>
      <c r="BU118">
        <f t="shared" si="76"/>
        <v>6693.2</v>
      </c>
      <c r="BV118">
        <f t="shared" si="77"/>
        <v>1338.64</v>
      </c>
      <c r="BX118">
        <f t="shared" si="78"/>
        <v>25.8</v>
      </c>
      <c r="BY118">
        <f t="shared" si="79"/>
        <v>51.7</v>
      </c>
      <c r="BZ118">
        <v>117</v>
      </c>
      <c r="CA118">
        <f t="shared" si="80"/>
        <v>9078.8</v>
      </c>
      <c r="CB118">
        <f t="shared" si="81"/>
        <v>1815.62</v>
      </c>
      <c r="CD118">
        <f t="shared" si="82"/>
        <v>38.828</v>
      </c>
      <c r="CE118">
        <f t="shared" si="83"/>
        <v>77.722</v>
      </c>
      <c r="CF118">
        <f t="shared" si="84"/>
        <v>44.96</v>
      </c>
      <c r="CG118">
        <v>117</v>
      </c>
      <c r="CH118">
        <f t="shared" si="85"/>
        <v>11812</v>
      </c>
      <c r="CI118">
        <f t="shared" si="86"/>
        <v>2361.8</v>
      </c>
      <c r="CK118">
        <f t="shared" si="87"/>
        <v>47.9</v>
      </c>
      <c r="CL118">
        <f t="shared" si="88"/>
        <v>95.85</v>
      </c>
      <c r="CM118">
        <f t="shared" si="89"/>
        <v>63.452</v>
      </c>
      <c r="CN118">
        <v>117</v>
      </c>
      <c r="CO118">
        <f t="shared" si="90"/>
        <v>14649.2</v>
      </c>
      <c r="CP118">
        <f t="shared" si="91"/>
        <v>2931.04</v>
      </c>
      <c r="CR118">
        <f t="shared" si="92"/>
        <v>62.34</v>
      </c>
      <c r="CS118">
        <f t="shared" si="93"/>
        <v>124.68</v>
      </c>
      <c r="CT118">
        <f t="shared" si="94"/>
        <v>82.446</v>
      </c>
    </row>
    <row r="119" spans="1:98">
      <c r="A119">
        <v>118</v>
      </c>
      <c r="B119" s="11">
        <v>13700</v>
      </c>
      <c r="C119" s="11">
        <v>2740</v>
      </c>
      <c r="D119" s="11">
        <v>2740</v>
      </c>
      <c r="E119" s="8">
        <f t="shared" si="49"/>
        <v>12050</v>
      </c>
      <c r="F119" s="8">
        <f t="shared" si="50"/>
        <v>2410</v>
      </c>
      <c r="G119" s="8">
        <f t="shared" si="51"/>
        <v>2410</v>
      </c>
      <c r="H119" s="11"/>
      <c r="I119" s="9">
        <v>1</v>
      </c>
      <c r="J119" s="8">
        <f t="shared" si="52"/>
        <v>7398</v>
      </c>
      <c r="K119" s="8">
        <f t="shared" si="53"/>
        <v>1479.6</v>
      </c>
      <c r="L119" s="8">
        <f t="shared" si="54"/>
        <v>1479.6</v>
      </c>
      <c r="M119" s="8">
        <v>1</v>
      </c>
      <c r="N119" s="8">
        <f t="shared" si="55"/>
        <v>33148</v>
      </c>
      <c r="O119" s="8">
        <f t="shared" si="56"/>
        <v>6629.6</v>
      </c>
      <c r="P119" s="8">
        <f t="shared" si="57"/>
        <v>6629.6</v>
      </c>
      <c r="Q119" s="11">
        <v>60</v>
      </c>
      <c r="R119" s="11">
        <v>120</v>
      </c>
      <c r="S119" s="11">
        <v>75.9</v>
      </c>
      <c r="T119" s="8">
        <v>9.36</v>
      </c>
      <c r="U119" s="8">
        <v>0.3276</v>
      </c>
      <c r="V119" s="8">
        <f t="shared" si="58"/>
        <v>196397.927164361</v>
      </c>
      <c r="W119" s="8">
        <f t="shared" si="59"/>
        <v>6629.6</v>
      </c>
      <c r="X119" s="8">
        <f t="shared" si="60"/>
        <v>6629.6</v>
      </c>
      <c r="Y119" s="8">
        <f t="shared" si="61"/>
        <v>19639.7927164361</v>
      </c>
      <c r="Z119" s="8">
        <f t="shared" si="62"/>
        <v>10</v>
      </c>
      <c r="AA119">
        <f t="shared" si="63"/>
        <v>3314.8</v>
      </c>
      <c r="AB119">
        <f t="shared" si="64"/>
        <v>10</v>
      </c>
      <c r="AC119">
        <f t="shared" si="65"/>
        <v>85.5904242150073</v>
      </c>
      <c r="AD119">
        <f t="shared" si="66"/>
        <v>15.2404597701149</v>
      </c>
      <c r="AE119">
        <f t="shared" si="67"/>
        <v>15.2404597701149</v>
      </c>
      <c r="AF119">
        <f t="shared" si="95"/>
        <v>65465.9757214537</v>
      </c>
      <c r="AG119">
        <f t="shared" si="96"/>
        <v>6629.6</v>
      </c>
      <c r="AH119">
        <f t="shared" si="97"/>
        <v>3314.8</v>
      </c>
      <c r="AI119">
        <f t="shared" si="68"/>
        <v>3.33333333333334</v>
      </c>
      <c r="AJ119">
        <f t="shared" si="69"/>
        <v>1104.93333333333</v>
      </c>
      <c r="AK119">
        <f t="shared" si="70"/>
        <v>30.0000000000001</v>
      </c>
      <c r="BT119">
        <v>118</v>
      </c>
      <c r="BU119">
        <f t="shared" si="76"/>
        <v>6707.8</v>
      </c>
      <c r="BV119">
        <f t="shared" si="77"/>
        <v>1341.56</v>
      </c>
      <c r="BX119">
        <f t="shared" si="78"/>
        <v>25.85</v>
      </c>
      <c r="BY119">
        <f t="shared" si="79"/>
        <v>51.8</v>
      </c>
      <c r="BZ119">
        <v>118</v>
      </c>
      <c r="CA119">
        <f t="shared" si="80"/>
        <v>9088.1</v>
      </c>
      <c r="CB119">
        <f t="shared" si="81"/>
        <v>1817.48</v>
      </c>
      <c r="CD119">
        <f t="shared" si="82"/>
        <v>38.861</v>
      </c>
      <c r="CE119">
        <f t="shared" si="83"/>
        <v>77.788</v>
      </c>
      <c r="CF119">
        <f t="shared" si="84"/>
        <v>45.02</v>
      </c>
      <c r="CG119">
        <v>118</v>
      </c>
      <c r="CH119">
        <f t="shared" si="85"/>
        <v>11819</v>
      </c>
      <c r="CI119">
        <f t="shared" si="86"/>
        <v>2363.2</v>
      </c>
      <c r="CK119">
        <f t="shared" si="87"/>
        <v>47.925</v>
      </c>
      <c r="CL119">
        <f t="shared" si="88"/>
        <v>95.9</v>
      </c>
      <c r="CM119">
        <f t="shared" si="89"/>
        <v>63.499</v>
      </c>
      <c r="CN119">
        <v>118</v>
      </c>
      <c r="CO119">
        <f t="shared" si="90"/>
        <v>14654.8</v>
      </c>
      <c r="CP119">
        <f t="shared" si="91"/>
        <v>2932.16</v>
      </c>
      <c r="CR119">
        <f t="shared" si="92"/>
        <v>62.36</v>
      </c>
      <c r="CS119">
        <f t="shared" si="93"/>
        <v>124.72</v>
      </c>
      <c r="CT119">
        <f t="shared" si="94"/>
        <v>82.484</v>
      </c>
    </row>
    <row r="120" spans="1:98">
      <c r="A120">
        <v>119</v>
      </c>
      <c r="B120" s="11">
        <v>13800</v>
      </c>
      <c r="C120" s="11">
        <v>2760</v>
      </c>
      <c r="D120" s="11">
        <v>2760</v>
      </c>
      <c r="E120" s="8">
        <f t="shared" si="49"/>
        <v>12150</v>
      </c>
      <c r="F120" s="8">
        <f t="shared" si="50"/>
        <v>2430</v>
      </c>
      <c r="G120" s="8">
        <f t="shared" si="51"/>
        <v>2430</v>
      </c>
      <c r="H120" s="11"/>
      <c r="I120" s="9">
        <v>1</v>
      </c>
      <c r="J120" s="8">
        <f t="shared" si="52"/>
        <v>7452</v>
      </c>
      <c r="K120" s="8">
        <f t="shared" si="53"/>
        <v>1490.4</v>
      </c>
      <c r="L120" s="8">
        <f t="shared" si="54"/>
        <v>1490.4</v>
      </c>
      <c r="M120" s="8">
        <v>1</v>
      </c>
      <c r="N120" s="8">
        <f t="shared" si="55"/>
        <v>33402</v>
      </c>
      <c r="O120" s="8">
        <f t="shared" si="56"/>
        <v>6680.4</v>
      </c>
      <c r="P120" s="8">
        <f t="shared" si="57"/>
        <v>6680.4</v>
      </c>
      <c r="Q120" s="11">
        <v>60</v>
      </c>
      <c r="R120" s="11">
        <v>120</v>
      </c>
      <c r="S120" s="11">
        <v>76.56</v>
      </c>
      <c r="T120" s="8">
        <v>9.44</v>
      </c>
      <c r="U120" s="8">
        <v>0.3304</v>
      </c>
      <c r="V120" s="8">
        <f t="shared" si="58"/>
        <v>199209.982500811</v>
      </c>
      <c r="W120" s="8">
        <f t="shared" si="59"/>
        <v>6680.4</v>
      </c>
      <c r="X120" s="8">
        <f t="shared" si="60"/>
        <v>6680.4</v>
      </c>
      <c r="Y120" s="8">
        <f t="shared" si="61"/>
        <v>19920.9982500811</v>
      </c>
      <c r="Z120" s="8">
        <f t="shared" si="62"/>
        <v>10</v>
      </c>
      <c r="AA120">
        <f t="shared" si="63"/>
        <v>3340.2</v>
      </c>
      <c r="AB120">
        <f t="shared" si="64"/>
        <v>10</v>
      </c>
      <c r="AC120">
        <f t="shared" si="65"/>
        <v>86.8159209024616</v>
      </c>
      <c r="AD120">
        <f t="shared" si="66"/>
        <v>15.3572413793103</v>
      </c>
      <c r="AE120">
        <f t="shared" si="67"/>
        <v>15.3572413793103</v>
      </c>
      <c r="AF120">
        <f t="shared" si="95"/>
        <v>66403.3275002703</v>
      </c>
      <c r="AG120">
        <f t="shared" si="96"/>
        <v>6680.4</v>
      </c>
      <c r="AH120">
        <f t="shared" si="97"/>
        <v>3340.2</v>
      </c>
      <c r="AI120">
        <f t="shared" si="68"/>
        <v>3.33333333333333</v>
      </c>
      <c r="AJ120">
        <f t="shared" si="69"/>
        <v>1113.4</v>
      </c>
      <c r="AK120">
        <f t="shared" si="70"/>
        <v>30</v>
      </c>
      <c r="BT120">
        <v>119</v>
      </c>
      <c r="BU120">
        <f t="shared" si="76"/>
        <v>6722.4</v>
      </c>
      <c r="BV120">
        <f t="shared" si="77"/>
        <v>1344.48</v>
      </c>
      <c r="BX120">
        <f t="shared" si="78"/>
        <v>25.9</v>
      </c>
      <c r="BY120">
        <f t="shared" si="79"/>
        <v>51.9</v>
      </c>
      <c r="BZ120">
        <v>119</v>
      </c>
      <c r="CA120">
        <f t="shared" si="80"/>
        <v>9097.4</v>
      </c>
      <c r="CB120">
        <f t="shared" si="81"/>
        <v>1819.34</v>
      </c>
      <c r="CD120">
        <f t="shared" si="82"/>
        <v>38.894</v>
      </c>
      <c r="CE120">
        <f t="shared" si="83"/>
        <v>77.854</v>
      </c>
      <c r="CF120">
        <f t="shared" si="84"/>
        <v>45.08</v>
      </c>
      <c r="CG120">
        <v>119</v>
      </c>
      <c r="CH120">
        <f t="shared" si="85"/>
        <v>11826</v>
      </c>
      <c r="CI120">
        <f t="shared" si="86"/>
        <v>2364.6</v>
      </c>
      <c r="CK120">
        <f t="shared" si="87"/>
        <v>47.95</v>
      </c>
      <c r="CL120">
        <f t="shared" si="88"/>
        <v>95.95</v>
      </c>
      <c r="CM120">
        <f t="shared" si="89"/>
        <v>63.546</v>
      </c>
      <c r="CN120">
        <v>119</v>
      </c>
      <c r="CO120">
        <f t="shared" si="90"/>
        <v>14660.4</v>
      </c>
      <c r="CP120">
        <f t="shared" si="91"/>
        <v>2933.28</v>
      </c>
      <c r="CR120">
        <f t="shared" si="92"/>
        <v>62.38</v>
      </c>
      <c r="CS120">
        <f t="shared" si="93"/>
        <v>124.76</v>
      </c>
      <c r="CT120">
        <f t="shared" si="94"/>
        <v>82.522</v>
      </c>
    </row>
    <row r="121" spans="1:98">
      <c r="A121">
        <v>120</v>
      </c>
      <c r="B121" s="11">
        <v>13900</v>
      </c>
      <c r="C121" s="11">
        <v>2780</v>
      </c>
      <c r="D121" s="11">
        <v>2780</v>
      </c>
      <c r="E121" s="8">
        <f t="shared" si="49"/>
        <v>12250</v>
      </c>
      <c r="F121" s="8">
        <f t="shared" si="50"/>
        <v>2450</v>
      </c>
      <c r="G121" s="8">
        <f t="shared" si="51"/>
        <v>2450</v>
      </c>
      <c r="H121" s="11"/>
      <c r="I121" s="9">
        <v>1</v>
      </c>
      <c r="J121" s="8">
        <f t="shared" si="52"/>
        <v>7506</v>
      </c>
      <c r="K121" s="8">
        <f t="shared" si="53"/>
        <v>1501.2</v>
      </c>
      <c r="L121" s="8">
        <f t="shared" si="54"/>
        <v>1501.2</v>
      </c>
      <c r="M121" s="8">
        <v>1</v>
      </c>
      <c r="N121" s="8">
        <f t="shared" si="55"/>
        <v>33656</v>
      </c>
      <c r="O121" s="8">
        <f t="shared" si="56"/>
        <v>6731.2</v>
      </c>
      <c r="P121" s="8">
        <f t="shared" si="57"/>
        <v>6731.2</v>
      </c>
      <c r="Q121" s="11">
        <v>60</v>
      </c>
      <c r="R121" s="11">
        <v>120</v>
      </c>
      <c r="S121" s="11">
        <v>77.22</v>
      </c>
      <c r="T121" s="8">
        <v>9.52</v>
      </c>
      <c r="U121" s="8">
        <v>0.3332</v>
      </c>
      <c r="V121" s="8">
        <f t="shared" si="58"/>
        <v>202046.790565613</v>
      </c>
      <c r="W121" s="8">
        <f t="shared" si="59"/>
        <v>6731.2</v>
      </c>
      <c r="X121" s="8">
        <f t="shared" si="60"/>
        <v>6731.2</v>
      </c>
      <c r="Y121" s="8">
        <f t="shared" si="61"/>
        <v>20204.6790565613</v>
      </c>
      <c r="Z121" s="8">
        <f t="shared" si="62"/>
        <v>10</v>
      </c>
      <c r="AA121">
        <f t="shared" si="63"/>
        <v>3365.6</v>
      </c>
      <c r="AB121">
        <f t="shared" si="64"/>
        <v>10</v>
      </c>
      <c r="AC121">
        <f t="shared" si="65"/>
        <v>88.0522048550909</v>
      </c>
      <c r="AD121">
        <f t="shared" si="66"/>
        <v>15.4740229885057</v>
      </c>
      <c r="AE121">
        <f t="shared" si="67"/>
        <v>15.4740229885057</v>
      </c>
      <c r="AF121">
        <f t="shared" si="95"/>
        <v>67348.9301885377</v>
      </c>
      <c r="AG121">
        <f t="shared" si="96"/>
        <v>6731.2</v>
      </c>
      <c r="AH121">
        <f t="shared" si="97"/>
        <v>3365.6</v>
      </c>
      <c r="AI121">
        <f t="shared" si="68"/>
        <v>3.33333333333334</v>
      </c>
      <c r="AJ121">
        <f t="shared" si="69"/>
        <v>1121.86666666667</v>
      </c>
      <c r="AK121">
        <f t="shared" si="70"/>
        <v>29.9999999999999</v>
      </c>
      <c r="BT121">
        <v>120</v>
      </c>
      <c r="BU121">
        <f t="shared" si="76"/>
        <v>6737</v>
      </c>
      <c r="BV121">
        <f t="shared" si="77"/>
        <v>1347.4</v>
      </c>
      <c r="BX121">
        <f t="shared" si="78"/>
        <v>25.95</v>
      </c>
      <c r="BY121">
        <f t="shared" si="79"/>
        <v>52</v>
      </c>
      <c r="BZ121">
        <v>120</v>
      </c>
      <c r="CA121">
        <f t="shared" si="80"/>
        <v>9106.7</v>
      </c>
      <c r="CB121">
        <f t="shared" si="81"/>
        <v>1821.2</v>
      </c>
      <c r="CD121">
        <f t="shared" si="82"/>
        <v>38.927</v>
      </c>
      <c r="CE121">
        <f t="shared" si="83"/>
        <v>77.92</v>
      </c>
      <c r="CF121">
        <f t="shared" si="84"/>
        <v>45.14</v>
      </c>
      <c r="CG121">
        <v>120</v>
      </c>
      <c r="CH121">
        <f t="shared" si="85"/>
        <v>11833</v>
      </c>
      <c r="CI121">
        <f t="shared" si="86"/>
        <v>2366</v>
      </c>
      <c r="CK121">
        <f t="shared" si="87"/>
        <v>47.975</v>
      </c>
      <c r="CL121">
        <f t="shared" si="88"/>
        <v>96</v>
      </c>
      <c r="CM121">
        <f t="shared" si="89"/>
        <v>63.593</v>
      </c>
      <c r="CN121">
        <v>120</v>
      </c>
      <c r="CO121">
        <f t="shared" si="90"/>
        <v>14666</v>
      </c>
      <c r="CP121">
        <f t="shared" si="91"/>
        <v>2934.4</v>
      </c>
      <c r="CR121">
        <f t="shared" si="92"/>
        <v>62.4</v>
      </c>
      <c r="CS121">
        <f t="shared" si="93"/>
        <v>124.8</v>
      </c>
      <c r="CT121">
        <f t="shared" si="94"/>
        <v>82.56</v>
      </c>
    </row>
    <row r="122" spans="1:98">
      <c r="A122">
        <v>121</v>
      </c>
      <c r="B122" s="12">
        <v>14000</v>
      </c>
      <c r="C122" s="12">
        <v>2800</v>
      </c>
      <c r="D122" s="12">
        <v>2800</v>
      </c>
      <c r="E122" s="8">
        <f t="shared" si="49"/>
        <v>12350</v>
      </c>
      <c r="F122" s="8">
        <f t="shared" si="50"/>
        <v>2470</v>
      </c>
      <c r="G122" s="8">
        <f t="shared" si="51"/>
        <v>2470</v>
      </c>
      <c r="H122" s="12"/>
      <c r="I122" s="9">
        <v>1</v>
      </c>
      <c r="J122" s="8">
        <f t="shared" si="52"/>
        <v>7560</v>
      </c>
      <c r="K122" s="8">
        <f t="shared" si="53"/>
        <v>1512</v>
      </c>
      <c r="L122" s="8">
        <f t="shared" si="54"/>
        <v>1512</v>
      </c>
      <c r="M122" s="8">
        <v>1</v>
      </c>
      <c r="N122" s="8">
        <f t="shared" si="55"/>
        <v>33910</v>
      </c>
      <c r="O122" s="8">
        <f t="shared" si="56"/>
        <v>6782</v>
      </c>
      <c r="P122" s="8">
        <f t="shared" si="57"/>
        <v>6782</v>
      </c>
      <c r="Q122" s="12">
        <v>65</v>
      </c>
      <c r="R122" s="12">
        <v>130</v>
      </c>
      <c r="S122" s="12">
        <v>77.88</v>
      </c>
      <c r="T122" s="8">
        <v>9.6</v>
      </c>
      <c r="U122" s="8">
        <v>0.336</v>
      </c>
      <c r="V122" s="8">
        <f t="shared" si="58"/>
        <v>220364.926430102</v>
      </c>
      <c r="W122" s="8">
        <f t="shared" si="59"/>
        <v>6782</v>
      </c>
      <c r="X122" s="8">
        <f t="shared" si="60"/>
        <v>6782</v>
      </c>
      <c r="Y122" s="8">
        <f t="shared" si="61"/>
        <v>22036.4926430102</v>
      </c>
      <c r="Z122" s="8">
        <f t="shared" si="62"/>
        <v>10</v>
      </c>
      <c r="AA122">
        <f t="shared" si="63"/>
        <v>3391</v>
      </c>
      <c r="AB122">
        <f t="shared" si="64"/>
        <v>10</v>
      </c>
      <c r="AC122">
        <f t="shared" si="65"/>
        <v>96.0352678237629</v>
      </c>
      <c r="AD122">
        <f t="shared" si="66"/>
        <v>15.5908045977012</v>
      </c>
      <c r="AE122">
        <f t="shared" si="67"/>
        <v>15.5908045977012</v>
      </c>
      <c r="AF122">
        <f t="shared" si="95"/>
        <v>73454.9754767007</v>
      </c>
      <c r="AG122">
        <f t="shared" si="96"/>
        <v>6782</v>
      </c>
      <c r="AH122">
        <f t="shared" si="97"/>
        <v>3391</v>
      </c>
      <c r="AI122">
        <f t="shared" si="68"/>
        <v>3.33333333333334</v>
      </c>
      <c r="AJ122">
        <f t="shared" si="69"/>
        <v>1130.33333333333</v>
      </c>
      <c r="AK122">
        <f t="shared" si="70"/>
        <v>30.0000000000001</v>
      </c>
      <c r="BT122">
        <v>121</v>
      </c>
      <c r="BU122">
        <f t="shared" si="76"/>
        <v>6751.6</v>
      </c>
      <c r="BV122">
        <f t="shared" si="77"/>
        <v>1350.32</v>
      </c>
      <c r="BX122">
        <f t="shared" si="78"/>
        <v>26</v>
      </c>
      <c r="BY122">
        <f t="shared" si="79"/>
        <v>52.1</v>
      </c>
      <c r="BZ122">
        <v>121</v>
      </c>
      <c r="CA122">
        <f t="shared" si="80"/>
        <v>9116</v>
      </c>
      <c r="CB122">
        <f t="shared" si="81"/>
        <v>1823.06</v>
      </c>
      <c r="CD122">
        <f t="shared" si="82"/>
        <v>38.96</v>
      </c>
      <c r="CE122">
        <f t="shared" si="83"/>
        <v>77.986</v>
      </c>
      <c r="CF122">
        <f t="shared" si="84"/>
        <v>45.2</v>
      </c>
      <c r="CG122">
        <v>121</v>
      </c>
      <c r="CH122">
        <f t="shared" si="85"/>
        <v>11840</v>
      </c>
      <c r="CI122">
        <f t="shared" si="86"/>
        <v>2367.4</v>
      </c>
      <c r="CK122">
        <f t="shared" si="87"/>
        <v>48</v>
      </c>
      <c r="CL122">
        <f t="shared" si="88"/>
        <v>96.05</v>
      </c>
      <c r="CM122">
        <f t="shared" si="89"/>
        <v>63.64</v>
      </c>
      <c r="CN122">
        <v>121</v>
      </c>
      <c r="CO122">
        <f t="shared" si="90"/>
        <v>14671.6</v>
      </c>
      <c r="CP122">
        <f t="shared" si="91"/>
        <v>2935.52</v>
      </c>
      <c r="CR122">
        <f t="shared" si="92"/>
        <v>62.42</v>
      </c>
      <c r="CS122">
        <f t="shared" si="93"/>
        <v>124.84</v>
      </c>
      <c r="CT122">
        <f t="shared" si="94"/>
        <v>82.598</v>
      </c>
    </row>
    <row r="123" spans="1:98">
      <c r="A123">
        <v>122</v>
      </c>
      <c r="B123" s="12">
        <v>14100</v>
      </c>
      <c r="C123" s="12">
        <v>2820</v>
      </c>
      <c r="D123" s="12">
        <v>2820</v>
      </c>
      <c r="E123" s="8">
        <f t="shared" si="49"/>
        <v>12450</v>
      </c>
      <c r="F123" s="8">
        <f t="shared" si="50"/>
        <v>2490</v>
      </c>
      <c r="G123" s="8">
        <f t="shared" si="51"/>
        <v>2490</v>
      </c>
      <c r="H123" s="12"/>
      <c r="I123" s="9">
        <v>1</v>
      </c>
      <c r="J123" s="8">
        <f t="shared" si="52"/>
        <v>7614</v>
      </c>
      <c r="K123" s="8">
        <f t="shared" si="53"/>
        <v>1522.8</v>
      </c>
      <c r="L123" s="8">
        <f t="shared" si="54"/>
        <v>1522.8</v>
      </c>
      <c r="M123" s="8">
        <v>1</v>
      </c>
      <c r="N123" s="8">
        <f t="shared" si="55"/>
        <v>34164</v>
      </c>
      <c r="O123" s="8">
        <f t="shared" si="56"/>
        <v>6832.8</v>
      </c>
      <c r="P123" s="8">
        <f t="shared" si="57"/>
        <v>6832.8</v>
      </c>
      <c r="Q123" s="12">
        <v>65</v>
      </c>
      <c r="R123" s="12">
        <v>130</v>
      </c>
      <c r="S123" s="12">
        <v>78.54</v>
      </c>
      <c r="T123" s="8">
        <v>9.68</v>
      </c>
      <c r="U123" s="8">
        <v>0.3388</v>
      </c>
      <c r="V123" s="8">
        <f t="shared" si="58"/>
        <v>223469.336253792</v>
      </c>
      <c r="W123" s="8">
        <f t="shared" si="59"/>
        <v>6832.8</v>
      </c>
      <c r="X123" s="8">
        <f t="shared" si="60"/>
        <v>6832.8</v>
      </c>
      <c r="Y123" s="8">
        <f t="shared" si="61"/>
        <v>22346.9336253792</v>
      </c>
      <c r="Z123" s="8">
        <f t="shared" si="62"/>
        <v>10</v>
      </c>
      <c r="AA123">
        <f t="shared" si="63"/>
        <v>3416.4</v>
      </c>
      <c r="AB123">
        <f t="shared" si="64"/>
        <v>10</v>
      </c>
      <c r="AC123">
        <f t="shared" si="65"/>
        <v>97.3881729057219</v>
      </c>
      <c r="AD123">
        <f t="shared" si="66"/>
        <v>15.7075862068966</v>
      </c>
      <c r="AE123">
        <f t="shared" si="67"/>
        <v>15.7075862068966</v>
      </c>
      <c r="AF123">
        <f t="shared" si="95"/>
        <v>74489.778751264</v>
      </c>
      <c r="AG123">
        <f t="shared" si="96"/>
        <v>6832.8</v>
      </c>
      <c r="AH123">
        <f t="shared" si="97"/>
        <v>3416.4</v>
      </c>
      <c r="AI123">
        <f t="shared" si="68"/>
        <v>3.33333333333333</v>
      </c>
      <c r="AJ123">
        <f t="shared" si="69"/>
        <v>1138.8</v>
      </c>
      <c r="AK123">
        <f t="shared" si="70"/>
        <v>30</v>
      </c>
      <c r="BT123">
        <v>122</v>
      </c>
      <c r="BU123">
        <f t="shared" si="76"/>
        <v>6766.2</v>
      </c>
      <c r="BV123">
        <f t="shared" si="77"/>
        <v>1353.24</v>
      </c>
      <c r="BX123">
        <f t="shared" si="78"/>
        <v>26.05</v>
      </c>
      <c r="BY123">
        <f t="shared" si="79"/>
        <v>52.2</v>
      </c>
      <c r="BZ123">
        <v>122</v>
      </c>
      <c r="CA123">
        <f t="shared" si="80"/>
        <v>9125.3</v>
      </c>
      <c r="CB123">
        <f t="shared" si="81"/>
        <v>1824.92</v>
      </c>
      <c r="CD123">
        <f t="shared" si="82"/>
        <v>38.993</v>
      </c>
      <c r="CE123">
        <f t="shared" si="83"/>
        <v>78.052</v>
      </c>
      <c r="CF123">
        <f t="shared" si="84"/>
        <v>45.26</v>
      </c>
      <c r="CG123">
        <v>122</v>
      </c>
      <c r="CH123">
        <f t="shared" si="85"/>
        <v>11847</v>
      </c>
      <c r="CI123">
        <f t="shared" si="86"/>
        <v>2368.8</v>
      </c>
      <c r="CK123">
        <f t="shared" si="87"/>
        <v>48.025</v>
      </c>
      <c r="CL123">
        <f t="shared" si="88"/>
        <v>96.1</v>
      </c>
      <c r="CM123">
        <f t="shared" si="89"/>
        <v>63.687</v>
      </c>
      <c r="CN123">
        <v>122</v>
      </c>
      <c r="CO123">
        <f t="shared" si="90"/>
        <v>14677.2</v>
      </c>
      <c r="CP123">
        <f t="shared" si="91"/>
        <v>2936.64</v>
      </c>
      <c r="CR123">
        <f t="shared" si="92"/>
        <v>62.44</v>
      </c>
      <c r="CS123">
        <f t="shared" si="93"/>
        <v>124.88</v>
      </c>
      <c r="CT123">
        <f t="shared" si="94"/>
        <v>82.636</v>
      </c>
    </row>
    <row r="124" spans="1:98">
      <c r="A124">
        <v>123</v>
      </c>
      <c r="B124" s="12">
        <v>14200</v>
      </c>
      <c r="C124" s="12">
        <v>2840</v>
      </c>
      <c r="D124" s="12">
        <v>2840</v>
      </c>
      <c r="E124" s="8">
        <f t="shared" si="49"/>
        <v>12550</v>
      </c>
      <c r="F124" s="8">
        <f t="shared" si="50"/>
        <v>2510</v>
      </c>
      <c r="G124" s="8">
        <f t="shared" si="51"/>
        <v>2510</v>
      </c>
      <c r="H124" s="12"/>
      <c r="I124" s="9">
        <v>1</v>
      </c>
      <c r="J124" s="8">
        <f t="shared" si="52"/>
        <v>7668</v>
      </c>
      <c r="K124" s="8">
        <f t="shared" si="53"/>
        <v>1533.6</v>
      </c>
      <c r="L124" s="8">
        <f t="shared" si="54"/>
        <v>1533.6</v>
      </c>
      <c r="M124" s="8">
        <v>1</v>
      </c>
      <c r="N124" s="8">
        <f t="shared" si="55"/>
        <v>34418</v>
      </c>
      <c r="O124" s="8">
        <f t="shared" si="56"/>
        <v>6883.6</v>
      </c>
      <c r="P124" s="8">
        <f t="shared" si="57"/>
        <v>6883.6</v>
      </c>
      <c r="Q124" s="12">
        <v>65</v>
      </c>
      <c r="R124" s="12">
        <v>130</v>
      </c>
      <c r="S124" s="12">
        <v>79.2</v>
      </c>
      <c r="T124" s="8">
        <v>9.76</v>
      </c>
      <c r="U124" s="8">
        <v>0.3416</v>
      </c>
      <c r="V124" s="8">
        <f t="shared" si="58"/>
        <v>226600.74506687</v>
      </c>
      <c r="W124" s="8">
        <f t="shared" si="59"/>
        <v>6883.6</v>
      </c>
      <c r="X124" s="8">
        <f t="shared" si="60"/>
        <v>6883.6</v>
      </c>
      <c r="Y124" s="8">
        <f t="shared" si="61"/>
        <v>22660.074506687</v>
      </c>
      <c r="Z124" s="8">
        <f t="shared" si="62"/>
        <v>10</v>
      </c>
      <c r="AA124">
        <f t="shared" si="63"/>
        <v>3441.8</v>
      </c>
      <c r="AB124">
        <f t="shared" si="64"/>
        <v>10</v>
      </c>
      <c r="AC124">
        <f t="shared" si="65"/>
        <v>98.7528441757891</v>
      </c>
      <c r="AD124">
        <f t="shared" si="66"/>
        <v>15.824367816092</v>
      </c>
      <c r="AE124">
        <f t="shared" si="67"/>
        <v>15.824367816092</v>
      </c>
      <c r="AF124">
        <f t="shared" si="95"/>
        <v>75533.5816889567</v>
      </c>
      <c r="AG124">
        <f t="shared" si="96"/>
        <v>6883.6</v>
      </c>
      <c r="AH124">
        <f t="shared" si="97"/>
        <v>3441.8</v>
      </c>
      <c r="AI124">
        <f t="shared" si="68"/>
        <v>3.33333333333334</v>
      </c>
      <c r="AJ124">
        <f t="shared" si="69"/>
        <v>1147.26666666667</v>
      </c>
      <c r="AK124">
        <f t="shared" si="70"/>
        <v>29.9999999999999</v>
      </c>
      <c r="BT124">
        <v>123</v>
      </c>
      <c r="BU124">
        <f t="shared" si="76"/>
        <v>6780.8</v>
      </c>
      <c r="BV124">
        <f t="shared" si="77"/>
        <v>1356.16</v>
      </c>
      <c r="BX124">
        <f t="shared" si="78"/>
        <v>26.1</v>
      </c>
      <c r="BY124">
        <f t="shared" si="79"/>
        <v>52.3</v>
      </c>
      <c r="BZ124">
        <v>123</v>
      </c>
      <c r="CA124">
        <f t="shared" si="80"/>
        <v>9134.6</v>
      </c>
      <c r="CB124">
        <f t="shared" si="81"/>
        <v>1826.78</v>
      </c>
      <c r="CD124">
        <f t="shared" si="82"/>
        <v>39.026</v>
      </c>
      <c r="CE124">
        <f t="shared" si="83"/>
        <v>78.118</v>
      </c>
      <c r="CF124">
        <f t="shared" si="84"/>
        <v>45.32</v>
      </c>
      <c r="CG124">
        <v>123</v>
      </c>
      <c r="CH124">
        <f t="shared" si="85"/>
        <v>11854</v>
      </c>
      <c r="CI124">
        <f t="shared" si="86"/>
        <v>2370.2</v>
      </c>
      <c r="CK124">
        <f t="shared" si="87"/>
        <v>48.05</v>
      </c>
      <c r="CL124">
        <f t="shared" si="88"/>
        <v>96.15</v>
      </c>
      <c r="CM124">
        <f t="shared" si="89"/>
        <v>63.734</v>
      </c>
      <c r="CN124">
        <v>123</v>
      </c>
      <c r="CO124">
        <f t="shared" si="90"/>
        <v>14682.8</v>
      </c>
      <c r="CP124">
        <f t="shared" si="91"/>
        <v>2937.76</v>
      </c>
      <c r="CR124">
        <f t="shared" si="92"/>
        <v>62.46</v>
      </c>
      <c r="CS124">
        <f t="shared" si="93"/>
        <v>124.92</v>
      </c>
      <c r="CT124">
        <f t="shared" si="94"/>
        <v>82.674</v>
      </c>
    </row>
    <row r="125" spans="1:98">
      <c r="A125">
        <v>124</v>
      </c>
      <c r="B125" s="12">
        <v>14300</v>
      </c>
      <c r="C125" s="12">
        <v>2860</v>
      </c>
      <c r="D125" s="12">
        <v>2860</v>
      </c>
      <c r="E125" s="8">
        <f t="shared" si="49"/>
        <v>12650</v>
      </c>
      <c r="F125" s="8">
        <f t="shared" si="50"/>
        <v>2530</v>
      </c>
      <c r="G125" s="8">
        <f t="shared" si="51"/>
        <v>2530</v>
      </c>
      <c r="H125" s="12"/>
      <c r="I125" s="9">
        <v>1</v>
      </c>
      <c r="J125" s="8">
        <f t="shared" si="52"/>
        <v>7722</v>
      </c>
      <c r="K125" s="8">
        <f t="shared" si="53"/>
        <v>1544.4</v>
      </c>
      <c r="L125" s="8">
        <f t="shared" si="54"/>
        <v>1544.4</v>
      </c>
      <c r="M125" s="8">
        <v>1</v>
      </c>
      <c r="N125" s="8">
        <f t="shared" si="55"/>
        <v>34672</v>
      </c>
      <c r="O125" s="8">
        <f t="shared" si="56"/>
        <v>6934.4</v>
      </c>
      <c r="P125" s="8">
        <f t="shared" si="57"/>
        <v>6934.4</v>
      </c>
      <c r="Q125" s="12">
        <v>65</v>
      </c>
      <c r="R125" s="12">
        <v>130</v>
      </c>
      <c r="S125" s="12">
        <v>79.86</v>
      </c>
      <c r="T125" s="8">
        <v>9.84</v>
      </c>
      <c r="U125" s="8">
        <v>0.3444</v>
      </c>
      <c r="V125" s="8">
        <f t="shared" si="58"/>
        <v>229759.279698093</v>
      </c>
      <c r="W125" s="8">
        <f t="shared" si="59"/>
        <v>6934.4</v>
      </c>
      <c r="X125" s="8">
        <f t="shared" si="60"/>
        <v>6934.4</v>
      </c>
      <c r="Y125" s="8">
        <f t="shared" si="61"/>
        <v>22975.9279698093</v>
      </c>
      <c r="Z125" s="8">
        <f t="shared" si="62"/>
        <v>10</v>
      </c>
      <c r="AA125">
        <f t="shared" si="63"/>
        <v>3467.2</v>
      </c>
      <c r="AB125">
        <f t="shared" si="64"/>
        <v>10</v>
      </c>
      <c r="AC125">
        <f t="shared" si="65"/>
        <v>100.129336906071</v>
      </c>
      <c r="AD125">
        <f t="shared" si="66"/>
        <v>15.9411494252874</v>
      </c>
      <c r="AE125">
        <f t="shared" si="67"/>
        <v>15.9411494252874</v>
      </c>
      <c r="AF125">
        <f t="shared" si="95"/>
        <v>76586.426566031</v>
      </c>
      <c r="AG125">
        <f t="shared" si="96"/>
        <v>6934.4</v>
      </c>
      <c r="AH125">
        <f t="shared" si="97"/>
        <v>3467.2</v>
      </c>
      <c r="AI125">
        <f t="shared" si="68"/>
        <v>3.33333333333333</v>
      </c>
      <c r="AJ125">
        <f t="shared" si="69"/>
        <v>1155.73333333333</v>
      </c>
      <c r="AK125">
        <f t="shared" si="70"/>
        <v>30.0000000000001</v>
      </c>
      <c r="BT125">
        <v>124</v>
      </c>
      <c r="BU125">
        <f t="shared" si="76"/>
        <v>6795.4</v>
      </c>
      <c r="BV125">
        <f t="shared" si="77"/>
        <v>1359.08</v>
      </c>
      <c r="BX125">
        <f t="shared" si="78"/>
        <v>26.15</v>
      </c>
      <c r="BY125">
        <f t="shared" si="79"/>
        <v>52.4</v>
      </c>
      <c r="BZ125">
        <v>124</v>
      </c>
      <c r="CA125">
        <f t="shared" si="80"/>
        <v>9143.9</v>
      </c>
      <c r="CB125">
        <f t="shared" si="81"/>
        <v>1828.64</v>
      </c>
      <c r="CD125">
        <f t="shared" si="82"/>
        <v>39.059</v>
      </c>
      <c r="CE125">
        <f t="shared" si="83"/>
        <v>78.184</v>
      </c>
      <c r="CF125">
        <f t="shared" si="84"/>
        <v>45.38</v>
      </c>
      <c r="CG125">
        <v>124</v>
      </c>
      <c r="CH125">
        <f t="shared" si="85"/>
        <v>11861</v>
      </c>
      <c r="CI125">
        <f t="shared" si="86"/>
        <v>2371.6</v>
      </c>
      <c r="CK125">
        <f t="shared" si="87"/>
        <v>48.075</v>
      </c>
      <c r="CL125">
        <f t="shared" si="88"/>
        <v>96.2</v>
      </c>
      <c r="CM125">
        <f t="shared" si="89"/>
        <v>63.781</v>
      </c>
      <c r="CN125">
        <v>124</v>
      </c>
      <c r="CO125">
        <f t="shared" si="90"/>
        <v>14688.4</v>
      </c>
      <c r="CP125">
        <f t="shared" si="91"/>
        <v>2938.88</v>
      </c>
      <c r="CR125">
        <f t="shared" si="92"/>
        <v>62.48</v>
      </c>
      <c r="CS125">
        <f t="shared" si="93"/>
        <v>124.96</v>
      </c>
      <c r="CT125">
        <f t="shared" si="94"/>
        <v>82.712</v>
      </c>
    </row>
    <row r="126" spans="1:98">
      <c r="A126">
        <v>125</v>
      </c>
      <c r="B126" s="12">
        <v>14400</v>
      </c>
      <c r="C126" s="12">
        <v>2880</v>
      </c>
      <c r="D126" s="12">
        <v>2880</v>
      </c>
      <c r="E126" s="8">
        <f t="shared" si="49"/>
        <v>12750</v>
      </c>
      <c r="F126" s="8">
        <f t="shared" si="50"/>
        <v>2550</v>
      </c>
      <c r="G126" s="8">
        <f t="shared" si="51"/>
        <v>2550</v>
      </c>
      <c r="H126" s="12"/>
      <c r="I126" s="9">
        <v>1</v>
      </c>
      <c r="J126" s="8">
        <f t="shared" si="52"/>
        <v>7776</v>
      </c>
      <c r="K126" s="8">
        <f t="shared" si="53"/>
        <v>1555.2</v>
      </c>
      <c r="L126" s="8">
        <f t="shared" si="54"/>
        <v>1555.2</v>
      </c>
      <c r="M126" s="8">
        <v>1</v>
      </c>
      <c r="N126" s="8">
        <f t="shared" si="55"/>
        <v>34926</v>
      </c>
      <c r="O126" s="8">
        <f t="shared" si="56"/>
        <v>6985.2</v>
      </c>
      <c r="P126" s="8">
        <f t="shared" si="57"/>
        <v>6985.2</v>
      </c>
      <c r="Q126" s="12">
        <v>65</v>
      </c>
      <c r="R126" s="12">
        <v>130</v>
      </c>
      <c r="S126" s="12">
        <v>80.52</v>
      </c>
      <c r="T126" s="8">
        <v>9.92</v>
      </c>
      <c r="U126" s="8">
        <v>0.3472</v>
      </c>
      <c r="V126" s="8">
        <f t="shared" si="58"/>
        <v>232945.067201079</v>
      </c>
      <c r="W126" s="8">
        <f t="shared" si="59"/>
        <v>6985.2</v>
      </c>
      <c r="X126" s="8">
        <f t="shared" si="60"/>
        <v>6985.2</v>
      </c>
      <c r="Y126" s="8">
        <f t="shared" si="61"/>
        <v>23294.5067201079</v>
      </c>
      <c r="Z126" s="8">
        <f t="shared" si="62"/>
        <v>10</v>
      </c>
      <c r="AA126">
        <f t="shared" si="63"/>
        <v>3492.6</v>
      </c>
      <c r="AB126">
        <f t="shared" si="64"/>
        <v>10</v>
      </c>
      <c r="AC126">
        <f t="shared" si="65"/>
        <v>101.517706466668</v>
      </c>
      <c r="AD126">
        <f t="shared" si="66"/>
        <v>16.0579310344828</v>
      </c>
      <c r="AE126">
        <f t="shared" si="67"/>
        <v>16.0579310344828</v>
      </c>
      <c r="AF126">
        <f t="shared" si="95"/>
        <v>77648.355733693</v>
      </c>
      <c r="AG126">
        <f t="shared" si="96"/>
        <v>6985.2</v>
      </c>
      <c r="AH126">
        <f t="shared" si="97"/>
        <v>3492.6</v>
      </c>
      <c r="AI126">
        <f t="shared" si="68"/>
        <v>3.33333333333333</v>
      </c>
      <c r="AJ126">
        <f t="shared" si="69"/>
        <v>1164.2</v>
      </c>
      <c r="AK126">
        <f t="shared" si="70"/>
        <v>30</v>
      </c>
      <c r="BT126">
        <v>125</v>
      </c>
      <c r="BU126">
        <f t="shared" si="76"/>
        <v>6810</v>
      </c>
      <c r="BV126">
        <f t="shared" si="77"/>
        <v>1362</v>
      </c>
      <c r="BX126">
        <f t="shared" si="78"/>
        <v>26.2</v>
      </c>
      <c r="BY126">
        <f t="shared" si="79"/>
        <v>52.5</v>
      </c>
      <c r="BZ126">
        <v>125</v>
      </c>
      <c r="CA126">
        <f t="shared" si="80"/>
        <v>9153.2</v>
      </c>
      <c r="CB126">
        <f t="shared" si="81"/>
        <v>1830.5</v>
      </c>
      <c r="CD126">
        <f t="shared" si="82"/>
        <v>39.092</v>
      </c>
      <c r="CE126">
        <f t="shared" si="83"/>
        <v>78.25</v>
      </c>
      <c r="CF126">
        <f t="shared" si="84"/>
        <v>45.44</v>
      </c>
      <c r="CG126">
        <v>125</v>
      </c>
      <c r="CH126">
        <f t="shared" si="85"/>
        <v>11868</v>
      </c>
      <c r="CI126">
        <f t="shared" si="86"/>
        <v>2373</v>
      </c>
      <c r="CK126">
        <f t="shared" si="87"/>
        <v>48.1</v>
      </c>
      <c r="CL126">
        <f t="shared" si="88"/>
        <v>96.25</v>
      </c>
      <c r="CM126">
        <f t="shared" si="89"/>
        <v>63.828</v>
      </c>
      <c r="CN126">
        <v>125</v>
      </c>
      <c r="CO126">
        <f t="shared" si="90"/>
        <v>14694</v>
      </c>
      <c r="CP126">
        <f t="shared" si="91"/>
        <v>2940</v>
      </c>
      <c r="CR126">
        <f t="shared" si="92"/>
        <v>62.5</v>
      </c>
      <c r="CS126">
        <f t="shared" si="93"/>
        <v>125</v>
      </c>
      <c r="CT126">
        <f t="shared" si="94"/>
        <v>82.75</v>
      </c>
    </row>
    <row r="127" spans="1:98">
      <c r="A127">
        <v>126</v>
      </c>
      <c r="B127" s="12">
        <v>14500</v>
      </c>
      <c r="C127" s="12">
        <v>2900</v>
      </c>
      <c r="D127" s="12">
        <v>2900</v>
      </c>
      <c r="E127" s="8">
        <f t="shared" si="49"/>
        <v>12850</v>
      </c>
      <c r="F127" s="8">
        <f t="shared" si="50"/>
        <v>2570</v>
      </c>
      <c r="G127" s="8">
        <f t="shared" si="51"/>
        <v>2570</v>
      </c>
      <c r="H127" s="12"/>
      <c r="I127" s="9">
        <v>1</v>
      </c>
      <c r="J127" s="8">
        <f t="shared" si="52"/>
        <v>7830</v>
      </c>
      <c r="K127" s="8">
        <f t="shared" si="53"/>
        <v>1566</v>
      </c>
      <c r="L127" s="8">
        <f t="shared" si="54"/>
        <v>1566</v>
      </c>
      <c r="M127" s="8">
        <v>1</v>
      </c>
      <c r="N127" s="8">
        <f t="shared" si="55"/>
        <v>35180</v>
      </c>
      <c r="O127" s="8">
        <f t="shared" si="56"/>
        <v>7036</v>
      </c>
      <c r="P127" s="8">
        <f t="shared" si="57"/>
        <v>7036</v>
      </c>
      <c r="Q127" s="12">
        <v>65</v>
      </c>
      <c r="R127" s="12">
        <v>130</v>
      </c>
      <c r="S127" s="12">
        <v>81.18</v>
      </c>
      <c r="T127" s="8">
        <v>10</v>
      </c>
      <c r="U127" s="8">
        <v>0.35</v>
      </c>
      <c r="V127" s="8">
        <f t="shared" si="58"/>
        <v>236158.2348543</v>
      </c>
      <c r="W127" s="8">
        <f t="shared" si="59"/>
        <v>7036</v>
      </c>
      <c r="X127" s="8">
        <f t="shared" si="60"/>
        <v>7036</v>
      </c>
      <c r="Y127" s="8">
        <f t="shared" si="61"/>
        <v>23615.82348543</v>
      </c>
      <c r="Z127" s="8">
        <f t="shared" si="62"/>
        <v>10</v>
      </c>
      <c r="AA127">
        <f t="shared" si="63"/>
        <v>3518</v>
      </c>
      <c r="AB127">
        <f t="shared" si="64"/>
        <v>10</v>
      </c>
      <c r="AC127">
        <f t="shared" si="65"/>
        <v>102.918008325674</v>
      </c>
      <c r="AD127">
        <f t="shared" si="66"/>
        <v>16.1747126436782</v>
      </c>
      <c r="AE127">
        <f t="shared" si="67"/>
        <v>16.1747126436782</v>
      </c>
      <c r="AF127">
        <f t="shared" si="95"/>
        <v>78719.4116181</v>
      </c>
      <c r="AG127">
        <f t="shared" si="96"/>
        <v>7036</v>
      </c>
      <c r="AH127">
        <f t="shared" si="97"/>
        <v>3518</v>
      </c>
      <c r="AI127">
        <f t="shared" si="68"/>
        <v>3.33333333333333</v>
      </c>
      <c r="AJ127">
        <f t="shared" si="69"/>
        <v>1172.66666666667</v>
      </c>
      <c r="AK127">
        <f t="shared" si="70"/>
        <v>29.9999999999999</v>
      </c>
      <c r="BT127">
        <v>126</v>
      </c>
      <c r="BU127">
        <f t="shared" si="76"/>
        <v>6824.6</v>
      </c>
      <c r="BV127">
        <f t="shared" si="77"/>
        <v>1364.92</v>
      </c>
      <c r="BX127">
        <f t="shared" si="78"/>
        <v>26.25</v>
      </c>
      <c r="BY127">
        <f t="shared" si="79"/>
        <v>52.6</v>
      </c>
      <c r="BZ127">
        <v>126</v>
      </c>
      <c r="CA127">
        <f t="shared" si="80"/>
        <v>9162.5</v>
      </c>
      <c r="CB127">
        <f t="shared" si="81"/>
        <v>1832.36</v>
      </c>
      <c r="CD127">
        <f t="shared" si="82"/>
        <v>39.125</v>
      </c>
      <c r="CE127">
        <f t="shared" si="83"/>
        <v>78.316</v>
      </c>
      <c r="CF127">
        <f t="shared" si="84"/>
        <v>45.5</v>
      </c>
      <c r="CG127">
        <v>126</v>
      </c>
      <c r="CH127">
        <f t="shared" si="85"/>
        <v>11875</v>
      </c>
      <c r="CI127">
        <f t="shared" si="86"/>
        <v>2374.4</v>
      </c>
      <c r="CK127">
        <f t="shared" si="87"/>
        <v>48.125</v>
      </c>
      <c r="CL127">
        <f t="shared" si="88"/>
        <v>96.3</v>
      </c>
      <c r="CM127">
        <f t="shared" si="89"/>
        <v>63.875</v>
      </c>
      <c r="CN127">
        <v>126</v>
      </c>
      <c r="CO127">
        <f t="shared" si="90"/>
        <v>14699.6</v>
      </c>
      <c r="CP127">
        <f t="shared" si="91"/>
        <v>2941.12</v>
      </c>
      <c r="CR127">
        <f t="shared" si="92"/>
        <v>62.52</v>
      </c>
      <c r="CS127">
        <f t="shared" si="93"/>
        <v>125.04</v>
      </c>
      <c r="CT127">
        <f t="shared" si="94"/>
        <v>82.788</v>
      </c>
    </row>
    <row r="128" spans="1:98">
      <c r="A128">
        <v>127</v>
      </c>
      <c r="B128" s="12">
        <v>14600</v>
      </c>
      <c r="C128" s="12">
        <v>2920</v>
      </c>
      <c r="D128" s="12">
        <v>2920</v>
      </c>
      <c r="E128" s="8">
        <f t="shared" si="49"/>
        <v>12950</v>
      </c>
      <c r="F128" s="8">
        <f t="shared" si="50"/>
        <v>2590</v>
      </c>
      <c r="G128" s="8">
        <f t="shared" si="51"/>
        <v>2590</v>
      </c>
      <c r="H128" s="12"/>
      <c r="I128" s="9">
        <v>1</v>
      </c>
      <c r="J128" s="8">
        <f t="shared" si="52"/>
        <v>7884</v>
      </c>
      <c r="K128" s="8">
        <f t="shared" si="53"/>
        <v>1576.8</v>
      </c>
      <c r="L128" s="8">
        <f t="shared" si="54"/>
        <v>1576.8</v>
      </c>
      <c r="M128" s="8">
        <v>1</v>
      </c>
      <c r="N128" s="8">
        <f t="shared" si="55"/>
        <v>35434</v>
      </c>
      <c r="O128" s="8">
        <f t="shared" si="56"/>
        <v>7086.8</v>
      </c>
      <c r="P128" s="8">
        <f t="shared" si="57"/>
        <v>7086.8</v>
      </c>
      <c r="Q128" s="12">
        <v>65</v>
      </c>
      <c r="R128" s="12">
        <v>130</v>
      </c>
      <c r="S128" s="12">
        <v>81.84</v>
      </c>
      <c r="T128" s="8">
        <v>10.08</v>
      </c>
      <c r="U128" s="8">
        <v>0.3528</v>
      </c>
      <c r="V128" s="8">
        <f t="shared" si="58"/>
        <v>239398.910161087</v>
      </c>
      <c r="W128" s="8">
        <f t="shared" si="59"/>
        <v>7086.8</v>
      </c>
      <c r="X128" s="8">
        <f t="shared" si="60"/>
        <v>7086.8</v>
      </c>
      <c r="Y128" s="8">
        <f t="shared" si="61"/>
        <v>23939.8910161087</v>
      </c>
      <c r="Z128" s="8">
        <f t="shared" si="62"/>
        <v>10</v>
      </c>
      <c r="AA128">
        <f t="shared" si="63"/>
        <v>3543.4</v>
      </c>
      <c r="AB128">
        <f t="shared" si="64"/>
        <v>10</v>
      </c>
      <c r="AC128">
        <f t="shared" si="65"/>
        <v>104.330298049174</v>
      </c>
      <c r="AD128">
        <f t="shared" si="66"/>
        <v>16.2914942528736</v>
      </c>
      <c r="AE128">
        <f t="shared" si="67"/>
        <v>16.2914942528736</v>
      </c>
      <c r="AF128">
        <f t="shared" si="95"/>
        <v>79799.6367203623</v>
      </c>
      <c r="AG128">
        <f t="shared" si="96"/>
        <v>7086.8</v>
      </c>
      <c r="AH128">
        <f t="shared" si="97"/>
        <v>3543.4</v>
      </c>
      <c r="AI128">
        <f t="shared" si="68"/>
        <v>3.33333333333333</v>
      </c>
      <c r="AJ128">
        <f t="shared" si="69"/>
        <v>1181.13333333333</v>
      </c>
      <c r="AK128">
        <f t="shared" si="70"/>
        <v>30.0000000000001</v>
      </c>
      <c r="BT128">
        <v>127</v>
      </c>
      <c r="BU128">
        <f t="shared" si="76"/>
        <v>6839.2</v>
      </c>
      <c r="BV128">
        <f t="shared" si="77"/>
        <v>1367.84</v>
      </c>
      <c r="BX128">
        <f t="shared" si="78"/>
        <v>26.3</v>
      </c>
      <c r="BY128">
        <f t="shared" si="79"/>
        <v>52.7</v>
      </c>
      <c r="BZ128">
        <v>127</v>
      </c>
      <c r="CA128">
        <f t="shared" si="80"/>
        <v>9171.8</v>
      </c>
      <c r="CB128">
        <f t="shared" si="81"/>
        <v>1834.22</v>
      </c>
      <c r="CD128">
        <f t="shared" si="82"/>
        <v>39.158</v>
      </c>
      <c r="CE128">
        <f t="shared" si="83"/>
        <v>78.382</v>
      </c>
      <c r="CF128">
        <f t="shared" si="84"/>
        <v>45.56</v>
      </c>
      <c r="CG128">
        <v>127</v>
      </c>
      <c r="CH128">
        <f t="shared" si="85"/>
        <v>11882</v>
      </c>
      <c r="CI128">
        <f t="shared" si="86"/>
        <v>2375.8</v>
      </c>
      <c r="CK128">
        <f t="shared" si="87"/>
        <v>48.15</v>
      </c>
      <c r="CL128">
        <f t="shared" si="88"/>
        <v>96.35</v>
      </c>
      <c r="CM128">
        <f t="shared" si="89"/>
        <v>63.922</v>
      </c>
      <c r="CN128">
        <v>127</v>
      </c>
      <c r="CO128">
        <f t="shared" si="90"/>
        <v>14705.2</v>
      </c>
      <c r="CP128">
        <f t="shared" si="91"/>
        <v>2942.24</v>
      </c>
      <c r="CR128">
        <f t="shared" si="92"/>
        <v>62.54</v>
      </c>
      <c r="CS128">
        <f t="shared" si="93"/>
        <v>125.08</v>
      </c>
      <c r="CT128">
        <f t="shared" si="94"/>
        <v>82.826</v>
      </c>
    </row>
    <row r="129" spans="1:98">
      <c r="A129">
        <v>128</v>
      </c>
      <c r="B129" s="12">
        <v>14700</v>
      </c>
      <c r="C129" s="12">
        <v>2940</v>
      </c>
      <c r="D129" s="12">
        <v>2940</v>
      </c>
      <c r="E129" s="8">
        <f t="shared" si="49"/>
        <v>13050</v>
      </c>
      <c r="F129" s="8">
        <f t="shared" si="50"/>
        <v>2610</v>
      </c>
      <c r="G129" s="8">
        <f t="shared" si="51"/>
        <v>2610</v>
      </c>
      <c r="H129" s="12"/>
      <c r="I129" s="9">
        <v>1</v>
      </c>
      <c r="J129" s="8">
        <f t="shared" si="52"/>
        <v>7938</v>
      </c>
      <c r="K129" s="8">
        <f t="shared" si="53"/>
        <v>1587.6</v>
      </c>
      <c r="L129" s="8">
        <f t="shared" si="54"/>
        <v>1587.6</v>
      </c>
      <c r="M129" s="8">
        <v>1</v>
      </c>
      <c r="N129" s="8">
        <f t="shared" si="55"/>
        <v>35688</v>
      </c>
      <c r="O129" s="8">
        <f t="shared" si="56"/>
        <v>7137.6</v>
      </c>
      <c r="P129" s="8">
        <f t="shared" si="57"/>
        <v>7137.6</v>
      </c>
      <c r="Q129" s="12">
        <v>65</v>
      </c>
      <c r="R129" s="12">
        <v>130</v>
      </c>
      <c r="S129" s="12">
        <v>82.5</v>
      </c>
      <c r="T129" s="8">
        <v>10.16</v>
      </c>
      <c r="U129" s="8">
        <v>0.3556</v>
      </c>
      <c r="V129" s="8">
        <f t="shared" si="58"/>
        <v>242667.220849629</v>
      </c>
      <c r="W129" s="8">
        <f t="shared" si="59"/>
        <v>7137.6</v>
      </c>
      <c r="X129" s="8">
        <f t="shared" si="60"/>
        <v>7137.6</v>
      </c>
      <c r="Y129" s="8">
        <f t="shared" si="61"/>
        <v>24266.7220849629</v>
      </c>
      <c r="Z129" s="8">
        <f t="shared" si="62"/>
        <v>10</v>
      </c>
      <c r="AA129">
        <f t="shared" si="63"/>
        <v>3568.8</v>
      </c>
      <c r="AB129">
        <f t="shared" si="64"/>
        <v>10</v>
      </c>
      <c r="AC129">
        <f t="shared" si="65"/>
        <v>105.754631301249</v>
      </c>
      <c r="AD129">
        <f t="shared" si="66"/>
        <v>16.408275862069</v>
      </c>
      <c r="AE129">
        <f t="shared" si="67"/>
        <v>16.408275862069</v>
      </c>
      <c r="AF129">
        <f t="shared" si="95"/>
        <v>80889.073616543</v>
      </c>
      <c r="AG129">
        <f t="shared" si="96"/>
        <v>7137.6</v>
      </c>
      <c r="AH129">
        <f t="shared" si="97"/>
        <v>3568.8</v>
      </c>
      <c r="AI129">
        <f t="shared" si="68"/>
        <v>3.33333333333333</v>
      </c>
      <c r="AJ129">
        <f t="shared" si="69"/>
        <v>1189.6</v>
      </c>
      <c r="AK129">
        <f t="shared" si="70"/>
        <v>30</v>
      </c>
      <c r="BT129">
        <v>128</v>
      </c>
      <c r="BU129">
        <f t="shared" si="76"/>
        <v>6853.8</v>
      </c>
      <c r="BV129">
        <f t="shared" si="77"/>
        <v>1370.76</v>
      </c>
      <c r="BX129">
        <f t="shared" si="78"/>
        <v>26.35</v>
      </c>
      <c r="BY129">
        <f t="shared" si="79"/>
        <v>52.8</v>
      </c>
      <c r="BZ129">
        <v>128</v>
      </c>
      <c r="CA129">
        <f t="shared" si="80"/>
        <v>9181.1</v>
      </c>
      <c r="CB129">
        <f t="shared" si="81"/>
        <v>1836.08</v>
      </c>
      <c r="CD129">
        <f t="shared" si="82"/>
        <v>39.191</v>
      </c>
      <c r="CE129">
        <f t="shared" si="83"/>
        <v>78.448</v>
      </c>
      <c r="CF129">
        <f t="shared" si="84"/>
        <v>45.62</v>
      </c>
      <c r="CG129">
        <v>128</v>
      </c>
      <c r="CH129">
        <f t="shared" si="85"/>
        <v>11889</v>
      </c>
      <c r="CI129">
        <f t="shared" si="86"/>
        <v>2377.2</v>
      </c>
      <c r="CK129">
        <f t="shared" si="87"/>
        <v>48.175</v>
      </c>
      <c r="CL129">
        <f t="shared" si="88"/>
        <v>96.4</v>
      </c>
      <c r="CM129">
        <f t="shared" si="89"/>
        <v>63.969</v>
      </c>
      <c r="CN129">
        <v>128</v>
      </c>
      <c r="CO129">
        <f t="shared" si="90"/>
        <v>14710.8</v>
      </c>
      <c r="CP129">
        <f t="shared" si="91"/>
        <v>2943.36</v>
      </c>
      <c r="CR129">
        <f t="shared" si="92"/>
        <v>62.56</v>
      </c>
      <c r="CS129">
        <f t="shared" si="93"/>
        <v>125.12</v>
      </c>
      <c r="CT129">
        <f t="shared" si="94"/>
        <v>82.864</v>
      </c>
    </row>
    <row r="130" spans="1:98">
      <c r="A130">
        <v>129</v>
      </c>
      <c r="B130" s="12">
        <v>14800</v>
      </c>
      <c r="C130" s="12">
        <v>2960</v>
      </c>
      <c r="D130" s="12">
        <v>2960</v>
      </c>
      <c r="E130" s="8">
        <f t="shared" ref="E130:E193" si="98">(A130*100+250)*I130</f>
        <v>13150</v>
      </c>
      <c r="F130" s="8">
        <f t="shared" ref="F130:F193" si="99">E130/5</f>
        <v>2630</v>
      </c>
      <c r="G130" s="8">
        <f t="shared" ref="G130:G193" si="100">E130/5</f>
        <v>2630</v>
      </c>
      <c r="H130" s="12"/>
      <c r="I130" s="9">
        <v>1</v>
      </c>
      <c r="J130" s="8">
        <f t="shared" ref="J130:J193" si="101">(0.54*B130)*M130</f>
        <v>7992</v>
      </c>
      <c r="K130" s="8">
        <f t="shared" ref="K130:K193" si="102">J130/5</f>
        <v>1598.4</v>
      </c>
      <c r="L130" s="8">
        <f t="shared" ref="L130:L193" si="103">J130/5</f>
        <v>1598.4</v>
      </c>
      <c r="M130" s="8">
        <v>1</v>
      </c>
      <c r="N130" s="8">
        <f t="shared" ref="N130:N193" si="104">B130+E130+J130</f>
        <v>35942</v>
      </c>
      <c r="O130" s="8">
        <f t="shared" ref="O130:O193" si="105">C130+F130+K130</f>
        <v>7188.4</v>
      </c>
      <c r="P130" s="8">
        <f t="shared" ref="P130:P193" si="106">D130+G130+L130</f>
        <v>7188.4</v>
      </c>
      <c r="Q130" s="12">
        <v>65</v>
      </c>
      <c r="R130" s="12">
        <v>130</v>
      </c>
      <c r="S130" s="12">
        <v>83.16</v>
      </c>
      <c r="T130" s="8">
        <v>10.24</v>
      </c>
      <c r="U130" s="8">
        <v>0.3584</v>
      </c>
      <c r="V130" s="8">
        <f t="shared" ref="V130:V193" si="107">N130*(1+U130)*(1+S130*0.01)*(1+T130*0.01)*(1+Q130*0.01*(1+R130*0.01))</f>
        <v>245963.294872972</v>
      </c>
      <c r="W130" s="8">
        <f t="shared" ref="W130:W193" si="108">O130</f>
        <v>7188.4</v>
      </c>
      <c r="X130" s="8">
        <f t="shared" ref="X130:X193" si="109">P130</f>
        <v>7188.4</v>
      </c>
      <c r="Y130" s="8">
        <f t="shared" ref="Y130:Y193" si="110">(P130*P130/(P130+W130))*(1+U130)*(1+S130*0.01)*(1+T130*0.01)*(1+Q130*0.01*(1+R130*0.01))</f>
        <v>24596.3294872972</v>
      </c>
      <c r="Z130" s="8">
        <f t="shared" ref="Z130:Z193" si="111">V130/Y130</f>
        <v>10</v>
      </c>
      <c r="AA130">
        <f t="shared" ref="AA130:AA193" si="112">X130*X130/(X130+O130)</f>
        <v>3594.2</v>
      </c>
      <c r="AB130">
        <f t="shared" ref="AB130:AB193" si="113">N130/AA130</f>
        <v>10</v>
      </c>
      <c r="AC130">
        <f t="shared" ref="AC130:AC193" si="114">V130/$V$2</f>
        <v>107.191063843971</v>
      </c>
      <c r="AD130">
        <f t="shared" ref="AD130:AD193" si="115">W130/$W$2</f>
        <v>16.5250574712644</v>
      </c>
      <c r="AE130">
        <f t="shared" ref="AE130:AE193" si="116">X130/$X$2</f>
        <v>16.5250574712644</v>
      </c>
      <c r="AF130">
        <f t="shared" si="95"/>
        <v>81987.7649576573</v>
      </c>
      <c r="AG130">
        <f t="shared" si="96"/>
        <v>7188.4</v>
      </c>
      <c r="AH130">
        <f t="shared" si="97"/>
        <v>3594.2</v>
      </c>
      <c r="AI130">
        <f t="shared" ref="AI130:AI193" si="117">AF130/Y130</f>
        <v>3.33333333333333</v>
      </c>
      <c r="AJ130">
        <f t="shared" ref="AJ130:AJ193" si="118">AH130*AH130/(AH130+O130)</f>
        <v>1198.06666666667</v>
      </c>
      <c r="AK130">
        <f t="shared" ref="AK130:AK193" si="119">N130/AJ130</f>
        <v>29.9999999999999</v>
      </c>
      <c r="BT130">
        <v>129</v>
      </c>
      <c r="BU130">
        <f t="shared" ref="BU130:BU193" si="120">14.6*BT130+4985</f>
        <v>6868.4</v>
      </c>
      <c r="BV130">
        <f t="shared" ref="BV130:BV193" si="121">2.92*BT130+997</f>
        <v>1373.68</v>
      </c>
      <c r="BX130">
        <f t="shared" ref="BX130:BX193" si="122">0.05*BT130+19.95</f>
        <v>26.4</v>
      </c>
      <c r="BY130">
        <f t="shared" ref="BY130:BY193" si="123">0.1*BT130+40</f>
        <v>52.9</v>
      </c>
      <c r="BZ130">
        <v>129</v>
      </c>
      <c r="CA130">
        <f t="shared" ref="CA130:CA193" si="124">9.3*BZ130+7990.7</f>
        <v>9190.4</v>
      </c>
      <c r="CB130">
        <f t="shared" ref="CB130:CB193" si="125">1.86*BZ130+1598</f>
        <v>1837.94</v>
      </c>
      <c r="CD130">
        <f t="shared" ref="CD130:CD193" si="126">0.033*BZ130+34.967</f>
        <v>39.224</v>
      </c>
      <c r="CE130">
        <f t="shared" ref="CE130:CE193" si="127">0.066*BZ130+70</f>
        <v>78.514</v>
      </c>
      <c r="CF130">
        <f t="shared" ref="CF130:CF193" si="128">0.06*BZ130+37.94</f>
        <v>45.68</v>
      </c>
      <c r="CG130">
        <v>129</v>
      </c>
      <c r="CH130">
        <f t="shared" ref="CH130:CH193" si="129">7*CG130+10993</f>
        <v>11896</v>
      </c>
      <c r="CI130">
        <f t="shared" ref="CI130:CI193" si="130">1.4*CG130+2198</f>
        <v>2378.6</v>
      </c>
      <c r="CK130">
        <f t="shared" ref="CK130:CK193" si="131">0.025*CG130+44.975</f>
        <v>48.2</v>
      </c>
      <c r="CL130">
        <f t="shared" ref="CL130:CL193" si="132">0.05*CG130+90</f>
        <v>96.45</v>
      </c>
      <c r="CM130">
        <f t="shared" ref="CM130:CM193" si="133">0.047*CG130+57.953</f>
        <v>64.016</v>
      </c>
      <c r="CN130">
        <v>129</v>
      </c>
      <c r="CO130">
        <f t="shared" ref="CO130:CO193" si="134">5.6*CN130+13994</f>
        <v>14716.4</v>
      </c>
      <c r="CP130">
        <f t="shared" ref="CP130:CP193" si="135">1.12*CN130+2800</f>
        <v>2944.48</v>
      </c>
      <c r="CR130">
        <f t="shared" ref="CR130:CR193" si="136">0.02*CN130+60</f>
        <v>62.58</v>
      </c>
      <c r="CS130">
        <f t="shared" ref="CS130:CS193" si="137">0.04*CN130+120</f>
        <v>125.16</v>
      </c>
      <c r="CT130">
        <f t="shared" ref="CT130:CT193" si="138">0.038*CN130+78</f>
        <v>82.902</v>
      </c>
    </row>
    <row r="131" spans="1:98">
      <c r="A131">
        <v>130</v>
      </c>
      <c r="B131" s="12">
        <v>14900</v>
      </c>
      <c r="C131" s="12">
        <v>2980</v>
      </c>
      <c r="D131" s="12">
        <v>2980</v>
      </c>
      <c r="E131" s="8">
        <f t="shared" si="98"/>
        <v>13250</v>
      </c>
      <c r="F131" s="8">
        <f t="shared" si="99"/>
        <v>2650</v>
      </c>
      <c r="G131" s="8">
        <f t="shared" si="100"/>
        <v>2650</v>
      </c>
      <c r="H131" s="12"/>
      <c r="I131" s="9">
        <v>1</v>
      </c>
      <c r="J131" s="8">
        <f t="shared" si="101"/>
        <v>8046</v>
      </c>
      <c r="K131" s="8">
        <f t="shared" si="102"/>
        <v>1609.2</v>
      </c>
      <c r="L131" s="8">
        <f t="shared" si="103"/>
        <v>1609.2</v>
      </c>
      <c r="M131" s="8">
        <v>1</v>
      </c>
      <c r="N131" s="8">
        <f t="shared" si="104"/>
        <v>36196</v>
      </c>
      <c r="O131" s="8">
        <f t="shared" si="105"/>
        <v>7239.2</v>
      </c>
      <c r="P131" s="8">
        <f t="shared" si="106"/>
        <v>7239.2</v>
      </c>
      <c r="Q131" s="12">
        <v>65</v>
      </c>
      <c r="R131" s="12">
        <v>130</v>
      </c>
      <c r="S131" s="12">
        <v>83.82</v>
      </c>
      <c r="T131" s="8">
        <v>10.32</v>
      </c>
      <c r="U131" s="8">
        <v>0.3612</v>
      </c>
      <c r="V131" s="8">
        <f t="shared" si="107"/>
        <v>249287.260409019</v>
      </c>
      <c r="W131" s="8">
        <f t="shared" si="108"/>
        <v>7239.2</v>
      </c>
      <c r="X131" s="8">
        <f t="shared" si="109"/>
        <v>7239.2</v>
      </c>
      <c r="Y131" s="8">
        <f t="shared" si="110"/>
        <v>24928.7260409019</v>
      </c>
      <c r="Z131" s="8">
        <f t="shared" si="111"/>
        <v>10</v>
      </c>
      <c r="AA131">
        <f t="shared" si="112"/>
        <v>3619.6</v>
      </c>
      <c r="AB131">
        <f t="shared" si="113"/>
        <v>10</v>
      </c>
      <c r="AC131">
        <f t="shared" si="114"/>
        <v>108.639651537405</v>
      </c>
      <c r="AD131">
        <f t="shared" si="115"/>
        <v>16.6418390804598</v>
      </c>
      <c r="AE131">
        <f t="shared" si="116"/>
        <v>16.6418390804598</v>
      </c>
      <c r="AF131">
        <f t="shared" ref="AF131:AF194" si="139">V131/3</f>
        <v>83095.753469673</v>
      </c>
      <c r="AG131">
        <f t="shared" ref="AG131:AG194" si="140">W131</f>
        <v>7239.2</v>
      </c>
      <c r="AH131">
        <f t="shared" ref="AH131:AH194" si="141">X131*0.5</f>
        <v>3619.6</v>
      </c>
      <c r="AI131">
        <f t="shared" si="117"/>
        <v>3.33333333333333</v>
      </c>
      <c r="AJ131">
        <f t="shared" si="118"/>
        <v>1206.53333333333</v>
      </c>
      <c r="AK131">
        <f t="shared" si="119"/>
        <v>30.0000000000001</v>
      </c>
      <c r="BT131">
        <v>130</v>
      </c>
      <c r="BU131">
        <f t="shared" si="120"/>
        <v>6883</v>
      </c>
      <c r="BV131">
        <f t="shared" si="121"/>
        <v>1376.6</v>
      </c>
      <c r="BX131">
        <f t="shared" si="122"/>
        <v>26.45</v>
      </c>
      <c r="BY131">
        <f t="shared" si="123"/>
        <v>53</v>
      </c>
      <c r="BZ131">
        <v>130</v>
      </c>
      <c r="CA131">
        <f t="shared" si="124"/>
        <v>9199.7</v>
      </c>
      <c r="CB131">
        <f t="shared" si="125"/>
        <v>1839.8</v>
      </c>
      <c r="CD131">
        <f t="shared" si="126"/>
        <v>39.257</v>
      </c>
      <c r="CE131">
        <f t="shared" si="127"/>
        <v>78.58</v>
      </c>
      <c r="CF131">
        <f t="shared" si="128"/>
        <v>45.74</v>
      </c>
      <c r="CG131">
        <v>130</v>
      </c>
      <c r="CH131">
        <f t="shared" si="129"/>
        <v>11903</v>
      </c>
      <c r="CI131">
        <f t="shared" si="130"/>
        <v>2380</v>
      </c>
      <c r="CK131">
        <f t="shared" si="131"/>
        <v>48.225</v>
      </c>
      <c r="CL131">
        <f t="shared" si="132"/>
        <v>96.5</v>
      </c>
      <c r="CM131">
        <f t="shared" si="133"/>
        <v>64.063</v>
      </c>
      <c r="CN131">
        <v>130</v>
      </c>
      <c r="CO131">
        <f t="shared" si="134"/>
        <v>14722</v>
      </c>
      <c r="CP131">
        <f t="shared" si="135"/>
        <v>2945.6</v>
      </c>
      <c r="CR131">
        <f t="shared" si="136"/>
        <v>62.6</v>
      </c>
      <c r="CS131">
        <f t="shared" si="137"/>
        <v>125.2</v>
      </c>
      <c r="CT131">
        <f t="shared" si="138"/>
        <v>82.94</v>
      </c>
    </row>
    <row r="132" spans="1:98">
      <c r="A132">
        <v>131</v>
      </c>
      <c r="B132" s="12">
        <v>15000</v>
      </c>
      <c r="C132" s="12">
        <v>3000</v>
      </c>
      <c r="D132" s="12">
        <v>3000</v>
      </c>
      <c r="E132" s="8">
        <f t="shared" si="98"/>
        <v>13350</v>
      </c>
      <c r="F132" s="8">
        <f t="shared" si="99"/>
        <v>2670</v>
      </c>
      <c r="G132" s="8">
        <f t="shared" si="100"/>
        <v>2670</v>
      </c>
      <c r="H132" s="12"/>
      <c r="I132" s="9">
        <v>1</v>
      </c>
      <c r="J132" s="8">
        <f t="shared" si="101"/>
        <v>8100</v>
      </c>
      <c r="K132" s="8">
        <f t="shared" si="102"/>
        <v>1620</v>
      </c>
      <c r="L132" s="8">
        <f t="shared" si="103"/>
        <v>1620</v>
      </c>
      <c r="M132" s="8">
        <v>1</v>
      </c>
      <c r="N132" s="8">
        <f t="shared" si="104"/>
        <v>36450</v>
      </c>
      <c r="O132" s="8">
        <f t="shared" si="105"/>
        <v>7290</v>
      </c>
      <c r="P132" s="8">
        <f t="shared" si="106"/>
        <v>7290</v>
      </c>
      <c r="Q132" s="12">
        <v>70</v>
      </c>
      <c r="R132" s="12">
        <v>140</v>
      </c>
      <c r="S132" s="12">
        <v>84.48</v>
      </c>
      <c r="T132" s="8">
        <v>10.4</v>
      </c>
      <c r="U132" s="8">
        <v>0.364</v>
      </c>
      <c r="V132" s="8">
        <f t="shared" si="107"/>
        <v>271372.015593677</v>
      </c>
      <c r="W132" s="8">
        <f t="shared" si="108"/>
        <v>7290</v>
      </c>
      <c r="X132" s="8">
        <f t="shared" si="109"/>
        <v>7290</v>
      </c>
      <c r="Y132" s="8">
        <f t="shared" si="110"/>
        <v>27137.2015593677</v>
      </c>
      <c r="Z132" s="8">
        <f t="shared" si="111"/>
        <v>10</v>
      </c>
      <c r="AA132">
        <f t="shared" si="112"/>
        <v>3645</v>
      </c>
      <c r="AB132">
        <f t="shared" si="113"/>
        <v>10</v>
      </c>
      <c r="AC132">
        <f t="shared" si="114"/>
        <v>118.264211186437</v>
      </c>
      <c r="AD132">
        <f t="shared" si="115"/>
        <v>16.7586206896552</v>
      </c>
      <c r="AE132">
        <f t="shared" si="116"/>
        <v>16.7586206896552</v>
      </c>
      <c r="AF132">
        <f t="shared" si="139"/>
        <v>90457.3385312257</v>
      </c>
      <c r="AG132">
        <f t="shared" si="140"/>
        <v>7290</v>
      </c>
      <c r="AH132">
        <f t="shared" si="141"/>
        <v>3645</v>
      </c>
      <c r="AI132">
        <f t="shared" si="117"/>
        <v>3.33333333333334</v>
      </c>
      <c r="AJ132">
        <f t="shared" si="118"/>
        <v>1215</v>
      </c>
      <c r="AK132">
        <f t="shared" si="119"/>
        <v>30</v>
      </c>
      <c r="BT132">
        <v>131</v>
      </c>
      <c r="BU132">
        <f t="shared" si="120"/>
        <v>6897.6</v>
      </c>
      <c r="BV132">
        <f t="shared" si="121"/>
        <v>1379.52</v>
      </c>
      <c r="BX132">
        <f t="shared" si="122"/>
        <v>26.5</v>
      </c>
      <c r="BY132">
        <f t="shared" si="123"/>
        <v>53.1</v>
      </c>
      <c r="BZ132">
        <v>131</v>
      </c>
      <c r="CA132">
        <f t="shared" si="124"/>
        <v>9209</v>
      </c>
      <c r="CB132">
        <f t="shared" si="125"/>
        <v>1841.66</v>
      </c>
      <c r="CD132">
        <f t="shared" si="126"/>
        <v>39.29</v>
      </c>
      <c r="CE132">
        <f t="shared" si="127"/>
        <v>78.646</v>
      </c>
      <c r="CF132">
        <f t="shared" si="128"/>
        <v>45.8</v>
      </c>
      <c r="CG132">
        <v>131</v>
      </c>
      <c r="CH132">
        <f t="shared" si="129"/>
        <v>11910</v>
      </c>
      <c r="CI132">
        <f t="shared" si="130"/>
        <v>2381.4</v>
      </c>
      <c r="CK132">
        <f t="shared" si="131"/>
        <v>48.25</v>
      </c>
      <c r="CL132">
        <f t="shared" si="132"/>
        <v>96.55</v>
      </c>
      <c r="CM132">
        <f t="shared" si="133"/>
        <v>64.11</v>
      </c>
      <c r="CN132">
        <v>131</v>
      </c>
      <c r="CO132">
        <f t="shared" si="134"/>
        <v>14727.6</v>
      </c>
      <c r="CP132">
        <f t="shared" si="135"/>
        <v>2946.72</v>
      </c>
      <c r="CR132">
        <f t="shared" si="136"/>
        <v>62.62</v>
      </c>
      <c r="CS132">
        <f t="shared" si="137"/>
        <v>125.24</v>
      </c>
      <c r="CT132">
        <f t="shared" si="138"/>
        <v>82.978</v>
      </c>
    </row>
    <row r="133" spans="1:98">
      <c r="A133">
        <v>132</v>
      </c>
      <c r="B133" s="12">
        <v>15100</v>
      </c>
      <c r="C133" s="12">
        <v>3020</v>
      </c>
      <c r="D133" s="12">
        <v>3020</v>
      </c>
      <c r="E133" s="8">
        <f t="shared" si="98"/>
        <v>13450</v>
      </c>
      <c r="F133" s="8">
        <f t="shared" si="99"/>
        <v>2690</v>
      </c>
      <c r="G133" s="8">
        <f t="shared" si="100"/>
        <v>2690</v>
      </c>
      <c r="H133" s="12"/>
      <c r="I133" s="9">
        <v>1</v>
      </c>
      <c r="J133" s="8">
        <f t="shared" si="101"/>
        <v>8154</v>
      </c>
      <c r="K133" s="8">
        <f t="shared" si="102"/>
        <v>1630.8</v>
      </c>
      <c r="L133" s="8">
        <f t="shared" si="103"/>
        <v>1630.8</v>
      </c>
      <c r="M133" s="8">
        <v>1</v>
      </c>
      <c r="N133" s="8">
        <f t="shared" si="104"/>
        <v>36704</v>
      </c>
      <c r="O133" s="8">
        <f t="shared" si="105"/>
        <v>7340.8</v>
      </c>
      <c r="P133" s="8">
        <f t="shared" si="106"/>
        <v>7340.8</v>
      </c>
      <c r="Q133" s="12">
        <v>70</v>
      </c>
      <c r="R133" s="12">
        <v>140</v>
      </c>
      <c r="S133" s="12">
        <v>85.14</v>
      </c>
      <c r="T133" s="8">
        <v>10.48</v>
      </c>
      <c r="U133" s="8">
        <v>0.3668</v>
      </c>
      <c r="V133" s="8">
        <f t="shared" si="107"/>
        <v>275002.780766229</v>
      </c>
      <c r="W133" s="8">
        <f t="shared" si="108"/>
        <v>7340.8</v>
      </c>
      <c r="X133" s="8">
        <f t="shared" si="109"/>
        <v>7340.8</v>
      </c>
      <c r="Y133" s="8">
        <f t="shared" si="110"/>
        <v>27500.2780766229</v>
      </c>
      <c r="Z133" s="8">
        <f t="shared" si="111"/>
        <v>10</v>
      </c>
      <c r="AA133">
        <f t="shared" si="112"/>
        <v>3670.4</v>
      </c>
      <c r="AB133">
        <f t="shared" si="113"/>
        <v>10</v>
      </c>
      <c r="AC133">
        <f t="shared" si="114"/>
        <v>119.846502485691</v>
      </c>
      <c r="AD133">
        <f t="shared" si="115"/>
        <v>16.8754022988506</v>
      </c>
      <c r="AE133">
        <f t="shared" si="116"/>
        <v>16.8754022988506</v>
      </c>
      <c r="AF133">
        <f t="shared" si="139"/>
        <v>91667.593588743</v>
      </c>
      <c r="AG133">
        <f t="shared" si="140"/>
        <v>7340.8</v>
      </c>
      <c r="AH133">
        <f t="shared" si="141"/>
        <v>3670.4</v>
      </c>
      <c r="AI133">
        <f t="shared" si="117"/>
        <v>3.33333333333333</v>
      </c>
      <c r="AJ133">
        <f t="shared" si="118"/>
        <v>1223.46666666667</v>
      </c>
      <c r="AK133">
        <f t="shared" si="119"/>
        <v>29.9999999999999</v>
      </c>
      <c r="BT133">
        <v>132</v>
      </c>
      <c r="BU133">
        <f t="shared" si="120"/>
        <v>6912.2</v>
      </c>
      <c r="BV133">
        <f t="shared" si="121"/>
        <v>1382.44</v>
      </c>
      <c r="BX133">
        <f t="shared" si="122"/>
        <v>26.55</v>
      </c>
      <c r="BY133">
        <f t="shared" si="123"/>
        <v>53.2</v>
      </c>
      <c r="BZ133">
        <v>132</v>
      </c>
      <c r="CA133">
        <f t="shared" si="124"/>
        <v>9218.3</v>
      </c>
      <c r="CB133">
        <f t="shared" si="125"/>
        <v>1843.52</v>
      </c>
      <c r="CD133">
        <f t="shared" si="126"/>
        <v>39.323</v>
      </c>
      <c r="CE133">
        <f t="shared" si="127"/>
        <v>78.712</v>
      </c>
      <c r="CF133">
        <f t="shared" si="128"/>
        <v>45.86</v>
      </c>
      <c r="CG133">
        <v>132</v>
      </c>
      <c r="CH133">
        <f t="shared" si="129"/>
        <v>11917</v>
      </c>
      <c r="CI133">
        <f t="shared" si="130"/>
        <v>2382.8</v>
      </c>
      <c r="CK133">
        <f t="shared" si="131"/>
        <v>48.275</v>
      </c>
      <c r="CL133">
        <f t="shared" si="132"/>
        <v>96.6</v>
      </c>
      <c r="CM133">
        <f t="shared" si="133"/>
        <v>64.157</v>
      </c>
      <c r="CN133">
        <v>132</v>
      </c>
      <c r="CO133">
        <f t="shared" si="134"/>
        <v>14733.2</v>
      </c>
      <c r="CP133">
        <f t="shared" si="135"/>
        <v>2947.84</v>
      </c>
      <c r="CR133">
        <f t="shared" si="136"/>
        <v>62.64</v>
      </c>
      <c r="CS133">
        <f t="shared" si="137"/>
        <v>125.28</v>
      </c>
      <c r="CT133">
        <f t="shared" si="138"/>
        <v>83.016</v>
      </c>
    </row>
    <row r="134" spans="1:98">
      <c r="A134">
        <v>133</v>
      </c>
      <c r="B134" s="12">
        <v>15200</v>
      </c>
      <c r="C134" s="12">
        <v>3040</v>
      </c>
      <c r="D134" s="12">
        <v>3040</v>
      </c>
      <c r="E134" s="8">
        <f t="shared" si="98"/>
        <v>13550</v>
      </c>
      <c r="F134" s="8">
        <f t="shared" si="99"/>
        <v>2710</v>
      </c>
      <c r="G134" s="8">
        <f t="shared" si="100"/>
        <v>2710</v>
      </c>
      <c r="H134" s="12"/>
      <c r="I134" s="9">
        <v>1</v>
      </c>
      <c r="J134" s="8">
        <f t="shared" si="101"/>
        <v>8208</v>
      </c>
      <c r="K134" s="8">
        <f t="shared" si="102"/>
        <v>1641.6</v>
      </c>
      <c r="L134" s="8">
        <f t="shared" si="103"/>
        <v>1641.6</v>
      </c>
      <c r="M134" s="8">
        <v>1</v>
      </c>
      <c r="N134" s="8">
        <f t="shared" si="104"/>
        <v>36958</v>
      </c>
      <c r="O134" s="8">
        <f t="shared" si="105"/>
        <v>7391.6</v>
      </c>
      <c r="P134" s="8">
        <f t="shared" si="106"/>
        <v>7391.6</v>
      </c>
      <c r="Q134" s="12">
        <v>70</v>
      </c>
      <c r="R134" s="12">
        <v>140</v>
      </c>
      <c r="S134" s="12">
        <v>85.8</v>
      </c>
      <c r="T134" s="8">
        <v>10.56</v>
      </c>
      <c r="U134" s="8">
        <v>0.3696</v>
      </c>
      <c r="V134" s="8">
        <f t="shared" si="107"/>
        <v>278663.920055055</v>
      </c>
      <c r="W134" s="8">
        <f t="shared" si="108"/>
        <v>7391.6</v>
      </c>
      <c r="X134" s="8">
        <f t="shared" si="109"/>
        <v>7391.6</v>
      </c>
      <c r="Y134" s="8">
        <f t="shared" si="110"/>
        <v>27866.3920055055</v>
      </c>
      <c r="Z134" s="8">
        <f t="shared" si="111"/>
        <v>10</v>
      </c>
      <c r="AA134">
        <f t="shared" si="112"/>
        <v>3695.8</v>
      </c>
      <c r="AB134">
        <f t="shared" si="113"/>
        <v>10</v>
      </c>
      <c r="AC134">
        <f t="shared" si="114"/>
        <v>121.442030856918</v>
      </c>
      <c r="AD134">
        <f t="shared" si="115"/>
        <v>16.992183908046</v>
      </c>
      <c r="AE134">
        <f t="shared" si="116"/>
        <v>16.992183908046</v>
      </c>
      <c r="AF134">
        <f t="shared" si="139"/>
        <v>92887.973351685</v>
      </c>
      <c r="AG134">
        <f t="shared" si="140"/>
        <v>7391.6</v>
      </c>
      <c r="AH134">
        <f t="shared" si="141"/>
        <v>3695.8</v>
      </c>
      <c r="AI134">
        <f t="shared" si="117"/>
        <v>3.33333333333333</v>
      </c>
      <c r="AJ134">
        <f t="shared" si="118"/>
        <v>1231.93333333333</v>
      </c>
      <c r="AK134">
        <f t="shared" si="119"/>
        <v>30.0000000000001</v>
      </c>
      <c r="BT134">
        <v>133</v>
      </c>
      <c r="BU134">
        <f t="shared" si="120"/>
        <v>6926.8</v>
      </c>
      <c r="BV134">
        <f t="shared" si="121"/>
        <v>1385.36</v>
      </c>
      <c r="BX134">
        <f t="shared" si="122"/>
        <v>26.6</v>
      </c>
      <c r="BY134">
        <f t="shared" si="123"/>
        <v>53.3</v>
      </c>
      <c r="BZ134">
        <v>133</v>
      </c>
      <c r="CA134">
        <f t="shared" si="124"/>
        <v>9227.6</v>
      </c>
      <c r="CB134">
        <f t="shared" si="125"/>
        <v>1845.38</v>
      </c>
      <c r="CD134">
        <f t="shared" si="126"/>
        <v>39.356</v>
      </c>
      <c r="CE134">
        <f t="shared" si="127"/>
        <v>78.778</v>
      </c>
      <c r="CF134">
        <f t="shared" si="128"/>
        <v>45.92</v>
      </c>
      <c r="CG134">
        <v>133</v>
      </c>
      <c r="CH134">
        <f t="shared" si="129"/>
        <v>11924</v>
      </c>
      <c r="CI134">
        <f t="shared" si="130"/>
        <v>2384.2</v>
      </c>
      <c r="CK134">
        <f t="shared" si="131"/>
        <v>48.3</v>
      </c>
      <c r="CL134">
        <f t="shared" si="132"/>
        <v>96.65</v>
      </c>
      <c r="CM134">
        <f t="shared" si="133"/>
        <v>64.204</v>
      </c>
      <c r="CN134">
        <v>133</v>
      </c>
      <c r="CO134">
        <f t="shared" si="134"/>
        <v>14738.8</v>
      </c>
      <c r="CP134">
        <f t="shared" si="135"/>
        <v>2948.96</v>
      </c>
      <c r="CR134">
        <f t="shared" si="136"/>
        <v>62.66</v>
      </c>
      <c r="CS134">
        <f t="shared" si="137"/>
        <v>125.32</v>
      </c>
      <c r="CT134">
        <f t="shared" si="138"/>
        <v>83.054</v>
      </c>
    </row>
    <row r="135" spans="1:98">
      <c r="A135">
        <v>134</v>
      </c>
      <c r="B135" s="12">
        <v>15300</v>
      </c>
      <c r="C135" s="12">
        <v>3060</v>
      </c>
      <c r="D135" s="12">
        <v>3060</v>
      </c>
      <c r="E135" s="8">
        <f t="shared" si="98"/>
        <v>13650</v>
      </c>
      <c r="F135" s="8">
        <f t="shared" si="99"/>
        <v>2730</v>
      </c>
      <c r="G135" s="8">
        <f t="shared" si="100"/>
        <v>2730</v>
      </c>
      <c r="H135" s="12"/>
      <c r="I135" s="9">
        <v>1</v>
      </c>
      <c r="J135" s="8">
        <f t="shared" si="101"/>
        <v>8262</v>
      </c>
      <c r="K135" s="8">
        <f t="shared" si="102"/>
        <v>1652.4</v>
      </c>
      <c r="L135" s="8">
        <f t="shared" si="103"/>
        <v>1652.4</v>
      </c>
      <c r="M135" s="8">
        <v>1</v>
      </c>
      <c r="N135" s="8">
        <f t="shared" si="104"/>
        <v>37212</v>
      </c>
      <c r="O135" s="8">
        <f t="shared" si="105"/>
        <v>7442.4</v>
      </c>
      <c r="P135" s="8">
        <f t="shared" si="106"/>
        <v>7442.4</v>
      </c>
      <c r="Q135" s="12">
        <v>70</v>
      </c>
      <c r="R135" s="12">
        <v>140</v>
      </c>
      <c r="S135" s="12">
        <v>86.46</v>
      </c>
      <c r="T135" s="8">
        <v>10.64</v>
      </c>
      <c r="U135" s="8">
        <v>0.3724</v>
      </c>
      <c r="V135" s="8">
        <f t="shared" si="107"/>
        <v>282355.572108352</v>
      </c>
      <c r="W135" s="8">
        <f t="shared" si="108"/>
        <v>7442.4</v>
      </c>
      <c r="X135" s="8">
        <f t="shared" si="109"/>
        <v>7442.4</v>
      </c>
      <c r="Y135" s="8">
        <f t="shared" si="110"/>
        <v>28235.5572108352</v>
      </c>
      <c r="Z135" s="8">
        <f t="shared" si="111"/>
        <v>10</v>
      </c>
      <c r="AA135">
        <f t="shared" si="112"/>
        <v>3721.2</v>
      </c>
      <c r="AB135">
        <f t="shared" si="113"/>
        <v>10</v>
      </c>
      <c r="AC135">
        <f t="shared" si="114"/>
        <v>123.050856723147</v>
      </c>
      <c r="AD135">
        <f t="shared" si="115"/>
        <v>17.1089655172414</v>
      </c>
      <c r="AE135">
        <f t="shared" si="116"/>
        <v>17.1089655172414</v>
      </c>
      <c r="AF135">
        <f t="shared" si="139"/>
        <v>94118.5240361173</v>
      </c>
      <c r="AG135">
        <f t="shared" si="140"/>
        <v>7442.4</v>
      </c>
      <c r="AH135">
        <f t="shared" si="141"/>
        <v>3721.2</v>
      </c>
      <c r="AI135">
        <f t="shared" si="117"/>
        <v>3.33333333333333</v>
      </c>
      <c r="AJ135">
        <f t="shared" si="118"/>
        <v>1240.4</v>
      </c>
      <c r="AK135">
        <f t="shared" si="119"/>
        <v>30</v>
      </c>
      <c r="BT135">
        <v>134</v>
      </c>
      <c r="BU135">
        <f t="shared" si="120"/>
        <v>6941.4</v>
      </c>
      <c r="BV135">
        <f t="shared" si="121"/>
        <v>1388.28</v>
      </c>
      <c r="BX135">
        <f t="shared" si="122"/>
        <v>26.65</v>
      </c>
      <c r="BY135">
        <f t="shared" si="123"/>
        <v>53.4</v>
      </c>
      <c r="BZ135">
        <v>134</v>
      </c>
      <c r="CA135">
        <f t="shared" si="124"/>
        <v>9236.9</v>
      </c>
      <c r="CB135">
        <f t="shared" si="125"/>
        <v>1847.24</v>
      </c>
      <c r="CD135">
        <f t="shared" si="126"/>
        <v>39.389</v>
      </c>
      <c r="CE135">
        <f t="shared" si="127"/>
        <v>78.844</v>
      </c>
      <c r="CF135">
        <f t="shared" si="128"/>
        <v>45.98</v>
      </c>
      <c r="CG135">
        <v>134</v>
      </c>
      <c r="CH135">
        <f t="shared" si="129"/>
        <v>11931</v>
      </c>
      <c r="CI135">
        <f t="shared" si="130"/>
        <v>2385.6</v>
      </c>
      <c r="CK135">
        <f t="shared" si="131"/>
        <v>48.325</v>
      </c>
      <c r="CL135">
        <f t="shared" si="132"/>
        <v>96.7</v>
      </c>
      <c r="CM135">
        <f t="shared" si="133"/>
        <v>64.251</v>
      </c>
      <c r="CN135">
        <v>134</v>
      </c>
      <c r="CO135">
        <f t="shared" si="134"/>
        <v>14744.4</v>
      </c>
      <c r="CP135">
        <f t="shared" si="135"/>
        <v>2950.08</v>
      </c>
      <c r="CR135">
        <f t="shared" si="136"/>
        <v>62.68</v>
      </c>
      <c r="CS135">
        <f t="shared" si="137"/>
        <v>125.36</v>
      </c>
      <c r="CT135">
        <f t="shared" si="138"/>
        <v>83.092</v>
      </c>
    </row>
    <row r="136" spans="1:98">
      <c r="A136">
        <v>135</v>
      </c>
      <c r="B136" s="12">
        <v>15400</v>
      </c>
      <c r="C136" s="12">
        <v>3080</v>
      </c>
      <c r="D136" s="12">
        <v>3080</v>
      </c>
      <c r="E136" s="8">
        <f t="shared" si="98"/>
        <v>13750</v>
      </c>
      <c r="F136" s="8">
        <f t="shared" si="99"/>
        <v>2750</v>
      </c>
      <c r="G136" s="8">
        <f t="shared" si="100"/>
        <v>2750</v>
      </c>
      <c r="H136" s="12"/>
      <c r="I136" s="9">
        <v>1</v>
      </c>
      <c r="J136" s="8">
        <f t="shared" si="101"/>
        <v>8316</v>
      </c>
      <c r="K136" s="8">
        <f t="shared" si="102"/>
        <v>1663.2</v>
      </c>
      <c r="L136" s="8">
        <f t="shared" si="103"/>
        <v>1663.2</v>
      </c>
      <c r="M136" s="8">
        <v>1</v>
      </c>
      <c r="N136" s="8">
        <f t="shared" si="104"/>
        <v>37466</v>
      </c>
      <c r="O136" s="8">
        <f t="shared" si="105"/>
        <v>7493.2</v>
      </c>
      <c r="P136" s="8">
        <f t="shared" si="106"/>
        <v>7493.2</v>
      </c>
      <c r="Q136" s="12">
        <v>70</v>
      </c>
      <c r="R136" s="12">
        <v>140</v>
      </c>
      <c r="S136" s="12">
        <v>87.12</v>
      </c>
      <c r="T136" s="8">
        <v>10.72</v>
      </c>
      <c r="U136" s="8">
        <v>0.3752</v>
      </c>
      <c r="V136" s="8">
        <f t="shared" si="107"/>
        <v>286077.875815849</v>
      </c>
      <c r="W136" s="8">
        <f t="shared" si="108"/>
        <v>7493.2</v>
      </c>
      <c r="X136" s="8">
        <f t="shared" si="109"/>
        <v>7493.2</v>
      </c>
      <c r="Y136" s="8">
        <f t="shared" si="110"/>
        <v>28607.7875815849</v>
      </c>
      <c r="Z136" s="8">
        <f t="shared" si="111"/>
        <v>10</v>
      </c>
      <c r="AA136">
        <f t="shared" si="112"/>
        <v>3746.6</v>
      </c>
      <c r="AB136">
        <f t="shared" si="113"/>
        <v>10</v>
      </c>
      <c r="AC136">
        <f t="shared" si="114"/>
        <v>124.67304061267</v>
      </c>
      <c r="AD136">
        <f t="shared" si="115"/>
        <v>17.2257471264368</v>
      </c>
      <c r="AE136">
        <f t="shared" si="116"/>
        <v>17.2257471264368</v>
      </c>
      <c r="AF136">
        <f t="shared" si="139"/>
        <v>95359.2919386163</v>
      </c>
      <c r="AG136">
        <f t="shared" si="140"/>
        <v>7493.2</v>
      </c>
      <c r="AH136">
        <f t="shared" si="141"/>
        <v>3746.6</v>
      </c>
      <c r="AI136">
        <f t="shared" si="117"/>
        <v>3.33333333333333</v>
      </c>
      <c r="AJ136">
        <f t="shared" si="118"/>
        <v>1248.86666666667</v>
      </c>
      <c r="AK136">
        <f t="shared" si="119"/>
        <v>29.9999999999999</v>
      </c>
      <c r="BT136">
        <v>135</v>
      </c>
      <c r="BU136">
        <f t="shared" si="120"/>
        <v>6956</v>
      </c>
      <c r="BV136">
        <f t="shared" si="121"/>
        <v>1391.2</v>
      </c>
      <c r="BX136">
        <f t="shared" si="122"/>
        <v>26.7</v>
      </c>
      <c r="BY136">
        <f t="shared" si="123"/>
        <v>53.5</v>
      </c>
      <c r="BZ136">
        <v>135</v>
      </c>
      <c r="CA136">
        <f t="shared" si="124"/>
        <v>9246.2</v>
      </c>
      <c r="CB136">
        <f t="shared" si="125"/>
        <v>1849.1</v>
      </c>
      <c r="CD136">
        <f t="shared" si="126"/>
        <v>39.422</v>
      </c>
      <c r="CE136">
        <f t="shared" si="127"/>
        <v>78.91</v>
      </c>
      <c r="CF136">
        <f t="shared" si="128"/>
        <v>46.04</v>
      </c>
      <c r="CG136">
        <v>135</v>
      </c>
      <c r="CH136">
        <f t="shared" si="129"/>
        <v>11938</v>
      </c>
      <c r="CI136">
        <f t="shared" si="130"/>
        <v>2387</v>
      </c>
      <c r="CK136">
        <f t="shared" si="131"/>
        <v>48.35</v>
      </c>
      <c r="CL136">
        <f t="shared" si="132"/>
        <v>96.75</v>
      </c>
      <c r="CM136">
        <f t="shared" si="133"/>
        <v>64.298</v>
      </c>
      <c r="CN136">
        <v>135</v>
      </c>
      <c r="CO136">
        <f t="shared" si="134"/>
        <v>14750</v>
      </c>
      <c r="CP136">
        <f t="shared" si="135"/>
        <v>2951.2</v>
      </c>
      <c r="CR136">
        <f t="shared" si="136"/>
        <v>62.7</v>
      </c>
      <c r="CS136">
        <f t="shared" si="137"/>
        <v>125.4</v>
      </c>
      <c r="CT136">
        <f t="shared" si="138"/>
        <v>83.13</v>
      </c>
    </row>
    <row r="137" spans="1:98">
      <c r="A137">
        <v>136</v>
      </c>
      <c r="B137" s="12">
        <v>15500</v>
      </c>
      <c r="C137" s="12">
        <v>3100</v>
      </c>
      <c r="D137" s="12">
        <v>3100</v>
      </c>
      <c r="E137" s="8">
        <f t="shared" si="98"/>
        <v>13850</v>
      </c>
      <c r="F137" s="8">
        <f t="shared" si="99"/>
        <v>2770</v>
      </c>
      <c r="G137" s="8">
        <f t="shared" si="100"/>
        <v>2770</v>
      </c>
      <c r="H137" s="12"/>
      <c r="I137" s="9">
        <v>1</v>
      </c>
      <c r="J137" s="8">
        <f t="shared" si="101"/>
        <v>8370</v>
      </c>
      <c r="K137" s="8">
        <f t="shared" si="102"/>
        <v>1674</v>
      </c>
      <c r="L137" s="8">
        <f t="shared" si="103"/>
        <v>1674</v>
      </c>
      <c r="M137" s="8">
        <v>1</v>
      </c>
      <c r="N137" s="8">
        <f t="shared" si="104"/>
        <v>37720</v>
      </c>
      <c r="O137" s="8">
        <f t="shared" si="105"/>
        <v>7544</v>
      </c>
      <c r="P137" s="8">
        <f t="shared" si="106"/>
        <v>7544</v>
      </c>
      <c r="Q137" s="12">
        <v>70</v>
      </c>
      <c r="R137" s="12">
        <v>140</v>
      </c>
      <c r="S137" s="12">
        <v>87.78</v>
      </c>
      <c r="T137" s="8">
        <v>10.8</v>
      </c>
      <c r="U137" s="8">
        <v>0.378</v>
      </c>
      <c r="V137" s="8">
        <f t="shared" si="107"/>
        <v>289830.970308805</v>
      </c>
      <c r="W137" s="8">
        <f t="shared" si="108"/>
        <v>7544</v>
      </c>
      <c r="X137" s="8">
        <f t="shared" si="109"/>
        <v>7544</v>
      </c>
      <c r="Y137" s="8">
        <f t="shared" si="110"/>
        <v>28983.0970308805</v>
      </c>
      <c r="Z137" s="8">
        <f t="shared" si="111"/>
        <v>10</v>
      </c>
      <c r="AA137">
        <f t="shared" si="112"/>
        <v>3772</v>
      </c>
      <c r="AB137">
        <f t="shared" si="113"/>
        <v>10</v>
      </c>
      <c r="AC137">
        <f t="shared" si="114"/>
        <v>126.308643159037</v>
      </c>
      <c r="AD137">
        <f t="shared" si="115"/>
        <v>17.3425287356322</v>
      </c>
      <c r="AE137">
        <f t="shared" si="116"/>
        <v>17.3425287356322</v>
      </c>
      <c r="AF137">
        <f t="shared" si="139"/>
        <v>96610.3234362683</v>
      </c>
      <c r="AG137">
        <f t="shared" si="140"/>
        <v>7544</v>
      </c>
      <c r="AH137">
        <f t="shared" si="141"/>
        <v>3772</v>
      </c>
      <c r="AI137">
        <f t="shared" si="117"/>
        <v>3.33333333333333</v>
      </c>
      <c r="AJ137">
        <f t="shared" si="118"/>
        <v>1257.33333333333</v>
      </c>
      <c r="AK137">
        <f t="shared" si="119"/>
        <v>30.0000000000001</v>
      </c>
      <c r="BT137">
        <v>136</v>
      </c>
      <c r="BU137">
        <f t="shared" si="120"/>
        <v>6970.6</v>
      </c>
      <c r="BV137">
        <f t="shared" si="121"/>
        <v>1394.12</v>
      </c>
      <c r="BX137">
        <f t="shared" si="122"/>
        <v>26.75</v>
      </c>
      <c r="BY137">
        <f t="shared" si="123"/>
        <v>53.6</v>
      </c>
      <c r="BZ137">
        <v>136</v>
      </c>
      <c r="CA137">
        <f t="shared" si="124"/>
        <v>9255.5</v>
      </c>
      <c r="CB137">
        <f t="shared" si="125"/>
        <v>1850.96</v>
      </c>
      <c r="CD137">
        <f t="shared" si="126"/>
        <v>39.455</v>
      </c>
      <c r="CE137">
        <f t="shared" si="127"/>
        <v>78.976</v>
      </c>
      <c r="CF137">
        <f t="shared" si="128"/>
        <v>46.1</v>
      </c>
      <c r="CG137">
        <v>136</v>
      </c>
      <c r="CH137">
        <f t="shared" si="129"/>
        <v>11945</v>
      </c>
      <c r="CI137">
        <f t="shared" si="130"/>
        <v>2388.4</v>
      </c>
      <c r="CK137">
        <f t="shared" si="131"/>
        <v>48.375</v>
      </c>
      <c r="CL137">
        <f t="shared" si="132"/>
        <v>96.8</v>
      </c>
      <c r="CM137">
        <f t="shared" si="133"/>
        <v>64.345</v>
      </c>
      <c r="CN137">
        <v>136</v>
      </c>
      <c r="CO137">
        <f t="shared" si="134"/>
        <v>14755.6</v>
      </c>
      <c r="CP137">
        <f t="shared" si="135"/>
        <v>2952.32</v>
      </c>
      <c r="CR137">
        <f t="shared" si="136"/>
        <v>62.72</v>
      </c>
      <c r="CS137">
        <f t="shared" si="137"/>
        <v>125.44</v>
      </c>
      <c r="CT137">
        <f t="shared" si="138"/>
        <v>83.168</v>
      </c>
    </row>
    <row r="138" spans="1:98">
      <c r="A138">
        <v>137</v>
      </c>
      <c r="B138" s="12">
        <v>15600</v>
      </c>
      <c r="C138" s="12">
        <v>3120</v>
      </c>
      <c r="D138" s="12">
        <v>3120</v>
      </c>
      <c r="E138" s="8">
        <f t="shared" si="98"/>
        <v>13950</v>
      </c>
      <c r="F138" s="8">
        <f t="shared" si="99"/>
        <v>2790</v>
      </c>
      <c r="G138" s="8">
        <f t="shared" si="100"/>
        <v>2790</v>
      </c>
      <c r="H138" s="12"/>
      <c r="I138" s="9">
        <v>1</v>
      </c>
      <c r="J138" s="8">
        <f t="shared" si="101"/>
        <v>8424</v>
      </c>
      <c r="K138" s="8">
        <f t="shared" si="102"/>
        <v>1684.8</v>
      </c>
      <c r="L138" s="8">
        <f t="shared" si="103"/>
        <v>1684.8</v>
      </c>
      <c r="M138" s="8">
        <v>1</v>
      </c>
      <c r="N138" s="8">
        <f t="shared" si="104"/>
        <v>37974</v>
      </c>
      <c r="O138" s="8">
        <f t="shared" si="105"/>
        <v>7594.8</v>
      </c>
      <c r="P138" s="8">
        <f t="shared" si="106"/>
        <v>7594.8</v>
      </c>
      <c r="Q138" s="12">
        <v>70</v>
      </c>
      <c r="R138" s="12">
        <v>140</v>
      </c>
      <c r="S138" s="12">
        <v>88.44</v>
      </c>
      <c r="T138" s="8">
        <v>10.88</v>
      </c>
      <c r="U138" s="8">
        <v>0.3808</v>
      </c>
      <c r="V138" s="8">
        <f t="shared" si="107"/>
        <v>293614.994960009</v>
      </c>
      <c r="W138" s="8">
        <f t="shared" si="108"/>
        <v>7594.8</v>
      </c>
      <c r="X138" s="8">
        <f t="shared" si="109"/>
        <v>7594.8</v>
      </c>
      <c r="Y138" s="8">
        <f t="shared" si="110"/>
        <v>29361.4994960009</v>
      </c>
      <c r="Z138" s="8">
        <f t="shared" si="111"/>
        <v>10</v>
      </c>
      <c r="AA138">
        <f t="shared" si="112"/>
        <v>3797.4</v>
      </c>
      <c r="AB138">
        <f t="shared" si="113"/>
        <v>10</v>
      </c>
      <c r="AC138">
        <f t="shared" si="114"/>
        <v>127.957725101055</v>
      </c>
      <c r="AD138">
        <f t="shared" si="115"/>
        <v>17.4593103448276</v>
      </c>
      <c r="AE138">
        <f t="shared" si="116"/>
        <v>17.4593103448276</v>
      </c>
      <c r="AF138">
        <f t="shared" si="139"/>
        <v>97871.6649866697</v>
      </c>
      <c r="AG138">
        <f t="shared" si="140"/>
        <v>7594.8</v>
      </c>
      <c r="AH138">
        <f t="shared" si="141"/>
        <v>3797.4</v>
      </c>
      <c r="AI138">
        <f t="shared" si="117"/>
        <v>3.33333333333333</v>
      </c>
      <c r="AJ138">
        <f t="shared" si="118"/>
        <v>1265.8</v>
      </c>
      <c r="AK138">
        <f t="shared" si="119"/>
        <v>30</v>
      </c>
      <c r="BT138">
        <v>137</v>
      </c>
      <c r="BU138">
        <f t="shared" si="120"/>
        <v>6985.2</v>
      </c>
      <c r="BV138">
        <f t="shared" si="121"/>
        <v>1397.04</v>
      </c>
      <c r="BX138">
        <f t="shared" si="122"/>
        <v>26.8</v>
      </c>
      <c r="BY138">
        <f t="shared" si="123"/>
        <v>53.7</v>
      </c>
      <c r="BZ138">
        <v>137</v>
      </c>
      <c r="CA138">
        <f t="shared" si="124"/>
        <v>9264.8</v>
      </c>
      <c r="CB138">
        <f t="shared" si="125"/>
        <v>1852.82</v>
      </c>
      <c r="CD138">
        <f t="shared" si="126"/>
        <v>39.488</v>
      </c>
      <c r="CE138">
        <f t="shared" si="127"/>
        <v>79.042</v>
      </c>
      <c r="CF138">
        <f t="shared" si="128"/>
        <v>46.16</v>
      </c>
      <c r="CG138">
        <v>137</v>
      </c>
      <c r="CH138">
        <f t="shared" si="129"/>
        <v>11952</v>
      </c>
      <c r="CI138">
        <f t="shared" si="130"/>
        <v>2389.8</v>
      </c>
      <c r="CK138">
        <f t="shared" si="131"/>
        <v>48.4</v>
      </c>
      <c r="CL138">
        <f t="shared" si="132"/>
        <v>96.85</v>
      </c>
      <c r="CM138">
        <f t="shared" si="133"/>
        <v>64.392</v>
      </c>
      <c r="CN138">
        <v>137</v>
      </c>
      <c r="CO138">
        <f t="shared" si="134"/>
        <v>14761.2</v>
      </c>
      <c r="CP138">
        <f t="shared" si="135"/>
        <v>2953.44</v>
      </c>
      <c r="CR138">
        <f t="shared" si="136"/>
        <v>62.74</v>
      </c>
      <c r="CS138">
        <f t="shared" si="137"/>
        <v>125.48</v>
      </c>
      <c r="CT138">
        <f t="shared" si="138"/>
        <v>83.206</v>
      </c>
    </row>
    <row r="139" spans="1:98">
      <c r="A139">
        <v>138</v>
      </c>
      <c r="B139" s="12">
        <v>15700</v>
      </c>
      <c r="C139" s="12">
        <v>3140</v>
      </c>
      <c r="D139" s="12">
        <v>3140</v>
      </c>
      <c r="E139" s="8">
        <f t="shared" si="98"/>
        <v>14050</v>
      </c>
      <c r="F139" s="8">
        <f t="shared" si="99"/>
        <v>2810</v>
      </c>
      <c r="G139" s="8">
        <f t="shared" si="100"/>
        <v>2810</v>
      </c>
      <c r="H139" s="12"/>
      <c r="I139" s="9">
        <v>1</v>
      </c>
      <c r="J139" s="8">
        <f t="shared" si="101"/>
        <v>8478</v>
      </c>
      <c r="K139" s="8">
        <f t="shared" si="102"/>
        <v>1695.6</v>
      </c>
      <c r="L139" s="8">
        <f t="shared" si="103"/>
        <v>1695.6</v>
      </c>
      <c r="M139" s="8">
        <v>1</v>
      </c>
      <c r="N139" s="8">
        <f t="shared" si="104"/>
        <v>38228</v>
      </c>
      <c r="O139" s="8">
        <f t="shared" si="105"/>
        <v>7645.6</v>
      </c>
      <c r="P139" s="8">
        <f t="shared" si="106"/>
        <v>7645.6</v>
      </c>
      <c r="Q139" s="12">
        <v>70</v>
      </c>
      <c r="R139" s="12">
        <v>140</v>
      </c>
      <c r="S139" s="12">
        <v>89.1</v>
      </c>
      <c r="T139" s="8">
        <v>10.96</v>
      </c>
      <c r="U139" s="8">
        <v>0.3836</v>
      </c>
      <c r="V139" s="8">
        <f t="shared" si="107"/>
        <v>297430.08938378</v>
      </c>
      <c r="W139" s="8">
        <f t="shared" si="108"/>
        <v>7645.6</v>
      </c>
      <c r="X139" s="8">
        <f t="shared" si="109"/>
        <v>7645.6</v>
      </c>
      <c r="Y139" s="8">
        <f t="shared" si="110"/>
        <v>29743.008938378</v>
      </c>
      <c r="Z139" s="8">
        <f t="shared" si="111"/>
        <v>10</v>
      </c>
      <c r="AA139">
        <f t="shared" si="112"/>
        <v>3822.8</v>
      </c>
      <c r="AB139">
        <f t="shared" si="113"/>
        <v>10</v>
      </c>
      <c r="AC139">
        <f t="shared" si="114"/>
        <v>129.620347282793</v>
      </c>
      <c r="AD139">
        <f t="shared" si="115"/>
        <v>17.576091954023</v>
      </c>
      <c r="AE139">
        <f t="shared" si="116"/>
        <v>17.576091954023</v>
      </c>
      <c r="AF139">
        <f t="shared" si="139"/>
        <v>99143.3631279267</v>
      </c>
      <c r="AG139">
        <f t="shared" si="140"/>
        <v>7645.6</v>
      </c>
      <c r="AH139">
        <f t="shared" si="141"/>
        <v>3822.8</v>
      </c>
      <c r="AI139">
        <f t="shared" si="117"/>
        <v>3.33333333333333</v>
      </c>
      <c r="AJ139">
        <f t="shared" si="118"/>
        <v>1274.26666666667</v>
      </c>
      <c r="AK139">
        <f t="shared" si="119"/>
        <v>29.9999999999999</v>
      </c>
      <c r="BT139">
        <v>138</v>
      </c>
      <c r="BU139">
        <f t="shared" si="120"/>
        <v>6999.8</v>
      </c>
      <c r="BV139">
        <f t="shared" si="121"/>
        <v>1399.96</v>
      </c>
      <c r="BX139">
        <f t="shared" si="122"/>
        <v>26.85</v>
      </c>
      <c r="BY139">
        <f t="shared" si="123"/>
        <v>53.8</v>
      </c>
      <c r="BZ139">
        <v>138</v>
      </c>
      <c r="CA139">
        <f t="shared" si="124"/>
        <v>9274.1</v>
      </c>
      <c r="CB139">
        <f t="shared" si="125"/>
        <v>1854.68</v>
      </c>
      <c r="CD139">
        <f t="shared" si="126"/>
        <v>39.521</v>
      </c>
      <c r="CE139">
        <f t="shared" si="127"/>
        <v>79.108</v>
      </c>
      <c r="CF139">
        <f t="shared" si="128"/>
        <v>46.22</v>
      </c>
      <c r="CG139">
        <v>138</v>
      </c>
      <c r="CH139">
        <f t="shared" si="129"/>
        <v>11959</v>
      </c>
      <c r="CI139">
        <f t="shared" si="130"/>
        <v>2391.2</v>
      </c>
      <c r="CK139">
        <f t="shared" si="131"/>
        <v>48.425</v>
      </c>
      <c r="CL139">
        <f t="shared" si="132"/>
        <v>96.9</v>
      </c>
      <c r="CM139">
        <f t="shared" si="133"/>
        <v>64.439</v>
      </c>
      <c r="CN139">
        <v>138</v>
      </c>
      <c r="CO139">
        <f t="shared" si="134"/>
        <v>14766.8</v>
      </c>
      <c r="CP139">
        <f t="shared" si="135"/>
        <v>2954.56</v>
      </c>
      <c r="CR139">
        <f t="shared" si="136"/>
        <v>62.76</v>
      </c>
      <c r="CS139">
        <f t="shared" si="137"/>
        <v>125.52</v>
      </c>
      <c r="CT139">
        <f t="shared" si="138"/>
        <v>83.244</v>
      </c>
    </row>
    <row r="140" spans="1:98">
      <c r="A140">
        <v>139</v>
      </c>
      <c r="B140" s="12">
        <v>15800</v>
      </c>
      <c r="C140" s="12">
        <v>3160</v>
      </c>
      <c r="D140" s="12">
        <v>3160</v>
      </c>
      <c r="E140" s="8">
        <f t="shared" si="98"/>
        <v>14150</v>
      </c>
      <c r="F140" s="8">
        <f t="shared" si="99"/>
        <v>2830</v>
      </c>
      <c r="G140" s="8">
        <f t="shared" si="100"/>
        <v>2830</v>
      </c>
      <c r="H140" s="12"/>
      <c r="I140" s="9">
        <v>1</v>
      </c>
      <c r="J140" s="8">
        <f t="shared" si="101"/>
        <v>8532</v>
      </c>
      <c r="K140" s="8">
        <f t="shared" si="102"/>
        <v>1706.4</v>
      </c>
      <c r="L140" s="8">
        <f t="shared" si="103"/>
        <v>1706.4</v>
      </c>
      <c r="M140" s="8">
        <v>1</v>
      </c>
      <c r="N140" s="8">
        <f t="shared" si="104"/>
        <v>38482</v>
      </c>
      <c r="O140" s="8">
        <f t="shared" si="105"/>
        <v>7696.4</v>
      </c>
      <c r="P140" s="8">
        <f t="shared" si="106"/>
        <v>7696.4</v>
      </c>
      <c r="Q140" s="12">
        <v>70</v>
      </c>
      <c r="R140" s="12">
        <v>140</v>
      </c>
      <c r="S140" s="12">
        <v>89.76</v>
      </c>
      <c r="T140" s="8">
        <v>11.04</v>
      </c>
      <c r="U140" s="8">
        <v>0.3864</v>
      </c>
      <c r="V140" s="8">
        <f t="shared" si="107"/>
        <v>301276.393435969</v>
      </c>
      <c r="W140" s="8">
        <f t="shared" si="108"/>
        <v>7696.4</v>
      </c>
      <c r="X140" s="8">
        <f t="shared" si="109"/>
        <v>7696.4</v>
      </c>
      <c r="Y140" s="8">
        <f t="shared" si="110"/>
        <v>30127.6393435969</v>
      </c>
      <c r="Z140" s="8">
        <f t="shared" si="111"/>
        <v>10</v>
      </c>
      <c r="AA140">
        <f t="shared" si="112"/>
        <v>3848.2</v>
      </c>
      <c r="AB140">
        <f t="shared" si="113"/>
        <v>10</v>
      </c>
      <c r="AC140">
        <f t="shared" si="114"/>
        <v>131.296570653579</v>
      </c>
      <c r="AD140">
        <f t="shared" si="115"/>
        <v>17.6928735632184</v>
      </c>
      <c r="AE140">
        <f t="shared" si="116"/>
        <v>17.6928735632184</v>
      </c>
      <c r="AF140">
        <f t="shared" si="139"/>
        <v>100425.464478656</v>
      </c>
      <c r="AG140">
        <f t="shared" si="140"/>
        <v>7696.4</v>
      </c>
      <c r="AH140">
        <f t="shared" si="141"/>
        <v>3848.2</v>
      </c>
      <c r="AI140">
        <f t="shared" si="117"/>
        <v>3.33333333333332</v>
      </c>
      <c r="AJ140">
        <f t="shared" si="118"/>
        <v>1282.73333333333</v>
      </c>
      <c r="AK140">
        <f t="shared" si="119"/>
        <v>30.0000000000001</v>
      </c>
      <c r="BT140">
        <v>139</v>
      </c>
      <c r="BU140">
        <f t="shared" si="120"/>
        <v>7014.4</v>
      </c>
      <c r="BV140">
        <f t="shared" si="121"/>
        <v>1402.88</v>
      </c>
      <c r="BX140">
        <f t="shared" si="122"/>
        <v>26.9</v>
      </c>
      <c r="BY140">
        <f t="shared" si="123"/>
        <v>53.9</v>
      </c>
      <c r="BZ140">
        <v>139</v>
      </c>
      <c r="CA140">
        <f t="shared" si="124"/>
        <v>9283.4</v>
      </c>
      <c r="CB140">
        <f t="shared" si="125"/>
        <v>1856.54</v>
      </c>
      <c r="CD140">
        <f t="shared" si="126"/>
        <v>39.554</v>
      </c>
      <c r="CE140">
        <f t="shared" si="127"/>
        <v>79.174</v>
      </c>
      <c r="CF140">
        <f t="shared" si="128"/>
        <v>46.28</v>
      </c>
      <c r="CG140">
        <v>139</v>
      </c>
      <c r="CH140">
        <f t="shared" si="129"/>
        <v>11966</v>
      </c>
      <c r="CI140">
        <f t="shared" si="130"/>
        <v>2392.6</v>
      </c>
      <c r="CK140">
        <f t="shared" si="131"/>
        <v>48.45</v>
      </c>
      <c r="CL140">
        <f t="shared" si="132"/>
        <v>96.95</v>
      </c>
      <c r="CM140">
        <f t="shared" si="133"/>
        <v>64.486</v>
      </c>
      <c r="CN140">
        <v>139</v>
      </c>
      <c r="CO140">
        <f t="shared" si="134"/>
        <v>14772.4</v>
      </c>
      <c r="CP140">
        <f t="shared" si="135"/>
        <v>2955.68</v>
      </c>
      <c r="CR140">
        <f t="shared" si="136"/>
        <v>62.78</v>
      </c>
      <c r="CS140">
        <f t="shared" si="137"/>
        <v>125.56</v>
      </c>
      <c r="CT140">
        <f t="shared" si="138"/>
        <v>83.282</v>
      </c>
    </row>
    <row r="141" spans="1:98">
      <c r="A141">
        <v>140</v>
      </c>
      <c r="B141" s="12">
        <v>15900</v>
      </c>
      <c r="C141" s="12">
        <v>3180</v>
      </c>
      <c r="D141" s="12">
        <v>3180</v>
      </c>
      <c r="E141" s="8">
        <f t="shared" si="98"/>
        <v>14250</v>
      </c>
      <c r="F141" s="8">
        <f t="shared" si="99"/>
        <v>2850</v>
      </c>
      <c r="G141" s="8">
        <f t="shared" si="100"/>
        <v>2850</v>
      </c>
      <c r="H141" s="12"/>
      <c r="I141" s="9">
        <v>1</v>
      </c>
      <c r="J141" s="8">
        <f t="shared" si="101"/>
        <v>8586</v>
      </c>
      <c r="K141" s="8">
        <f t="shared" si="102"/>
        <v>1717.2</v>
      </c>
      <c r="L141" s="8">
        <f t="shared" si="103"/>
        <v>1717.2</v>
      </c>
      <c r="M141" s="8">
        <v>1</v>
      </c>
      <c r="N141" s="8">
        <f t="shared" si="104"/>
        <v>38736</v>
      </c>
      <c r="O141" s="8">
        <f t="shared" si="105"/>
        <v>7747.2</v>
      </c>
      <c r="P141" s="8">
        <f t="shared" si="106"/>
        <v>7747.2</v>
      </c>
      <c r="Q141" s="12">
        <v>70</v>
      </c>
      <c r="R141" s="12">
        <v>140</v>
      </c>
      <c r="S141" s="12">
        <v>90.42</v>
      </c>
      <c r="T141" s="8">
        <v>11.12</v>
      </c>
      <c r="U141" s="8">
        <v>0.3892</v>
      </c>
      <c r="V141" s="8">
        <f t="shared" si="107"/>
        <v>305154.047213956</v>
      </c>
      <c r="W141" s="8">
        <f t="shared" si="108"/>
        <v>7747.2</v>
      </c>
      <c r="X141" s="8">
        <f t="shared" si="109"/>
        <v>7747.2</v>
      </c>
      <c r="Y141" s="8">
        <f t="shared" si="110"/>
        <v>30515.4047213955</v>
      </c>
      <c r="Z141" s="8">
        <f t="shared" si="111"/>
        <v>10</v>
      </c>
      <c r="AA141">
        <f t="shared" si="112"/>
        <v>3873.6</v>
      </c>
      <c r="AB141">
        <f t="shared" si="113"/>
        <v>10</v>
      </c>
      <c r="AC141">
        <f t="shared" si="114"/>
        <v>132.986456267998</v>
      </c>
      <c r="AD141">
        <f t="shared" si="115"/>
        <v>17.8096551724138</v>
      </c>
      <c r="AE141">
        <f t="shared" si="116"/>
        <v>17.8096551724138</v>
      </c>
      <c r="AF141">
        <f t="shared" si="139"/>
        <v>101718.015737985</v>
      </c>
      <c r="AG141">
        <f t="shared" si="140"/>
        <v>7747.2</v>
      </c>
      <c r="AH141">
        <f t="shared" si="141"/>
        <v>3873.6</v>
      </c>
      <c r="AI141">
        <f t="shared" si="117"/>
        <v>3.33333333333333</v>
      </c>
      <c r="AJ141">
        <f t="shared" si="118"/>
        <v>1291.2</v>
      </c>
      <c r="AK141">
        <f t="shared" si="119"/>
        <v>30</v>
      </c>
      <c r="BT141">
        <v>140</v>
      </c>
      <c r="BU141">
        <f t="shared" si="120"/>
        <v>7029</v>
      </c>
      <c r="BV141">
        <f t="shared" si="121"/>
        <v>1405.8</v>
      </c>
      <c r="BX141">
        <f t="shared" si="122"/>
        <v>26.95</v>
      </c>
      <c r="BY141">
        <f t="shared" si="123"/>
        <v>54</v>
      </c>
      <c r="BZ141">
        <v>140</v>
      </c>
      <c r="CA141">
        <f t="shared" si="124"/>
        <v>9292.7</v>
      </c>
      <c r="CB141">
        <f t="shared" si="125"/>
        <v>1858.4</v>
      </c>
      <c r="CD141">
        <f t="shared" si="126"/>
        <v>39.587</v>
      </c>
      <c r="CE141">
        <f t="shared" si="127"/>
        <v>79.24</v>
      </c>
      <c r="CF141">
        <f t="shared" si="128"/>
        <v>46.34</v>
      </c>
      <c r="CG141">
        <v>140</v>
      </c>
      <c r="CH141">
        <f t="shared" si="129"/>
        <v>11973</v>
      </c>
      <c r="CI141">
        <f t="shared" si="130"/>
        <v>2394</v>
      </c>
      <c r="CK141">
        <f t="shared" si="131"/>
        <v>48.475</v>
      </c>
      <c r="CL141">
        <f t="shared" si="132"/>
        <v>97</v>
      </c>
      <c r="CM141">
        <f t="shared" si="133"/>
        <v>64.533</v>
      </c>
      <c r="CN141">
        <v>140</v>
      </c>
      <c r="CO141">
        <f t="shared" si="134"/>
        <v>14778</v>
      </c>
      <c r="CP141">
        <f t="shared" si="135"/>
        <v>2956.8</v>
      </c>
      <c r="CR141">
        <f t="shared" si="136"/>
        <v>62.8</v>
      </c>
      <c r="CS141">
        <f t="shared" si="137"/>
        <v>125.6</v>
      </c>
      <c r="CT141">
        <f t="shared" si="138"/>
        <v>83.32</v>
      </c>
    </row>
    <row r="142" spans="1:98">
      <c r="A142">
        <v>141</v>
      </c>
      <c r="B142" s="12">
        <v>16000</v>
      </c>
      <c r="C142" s="12">
        <v>3200</v>
      </c>
      <c r="D142" s="12">
        <v>3200</v>
      </c>
      <c r="E142" s="8">
        <f t="shared" si="98"/>
        <v>14350</v>
      </c>
      <c r="F142" s="8">
        <f t="shared" si="99"/>
        <v>2870</v>
      </c>
      <c r="G142" s="8">
        <f t="shared" si="100"/>
        <v>2870</v>
      </c>
      <c r="H142" s="12"/>
      <c r="I142" s="9">
        <v>1</v>
      </c>
      <c r="J142" s="8">
        <f t="shared" si="101"/>
        <v>8640</v>
      </c>
      <c r="K142" s="8">
        <f t="shared" si="102"/>
        <v>1728</v>
      </c>
      <c r="L142" s="8">
        <f t="shared" si="103"/>
        <v>1728</v>
      </c>
      <c r="M142" s="8">
        <v>1</v>
      </c>
      <c r="N142" s="8">
        <f t="shared" si="104"/>
        <v>38990</v>
      </c>
      <c r="O142" s="8">
        <f t="shared" si="105"/>
        <v>7798</v>
      </c>
      <c r="P142" s="8">
        <f t="shared" si="106"/>
        <v>7798</v>
      </c>
      <c r="Q142" s="12">
        <v>75</v>
      </c>
      <c r="R142" s="12">
        <v>150</v>
      </c>
      <c r="S142" s="12">
        <v>91.08</v>
      </c>
      <c r="T142" s="8">
        <v>11.2</v>
      </c>
      <c r="U142" s="8">
        <v>0.392</v>
      </c>
      <c r="V142" s="8">
        <f t="shared" si="107"/>
        <v>331550.997868608</v>
      </c>
      <c r="W142" s="8">
        <f t="shared" si="108"/>
        <v>7798</v>
      </c>
      <c r="X142" s="8">
        <f t="shared" si="109"/>
        <v>7798</v>
      </c>
      <c r="Y142" s="8">
        <f t="shared" si="110"/>
        <v>33155.0997868608</v>
      </c>
      <c r="Z142" s="8">
        <f t="shared" si="111"/>
        <v>10</v>
      </c>
      <c r="AA142">
        <f t="shared" si="112"/>
        <v>3899</v>
      </c>
      <c r="AB142">
        <f t="shared" si="113"/>
        <v>10</v>
      </c>
      <c r="AC142">
        <f t="shared" si="114"/>
        <v>144.490275260057</v>
      </c>
      <c r="AD142">
        <f t="shared" si="115"/>
        <v>17.9264367816092</v>
      </c>
      <c r="AE142">
        <f t="shared" si="116"/>
        <v>17.9264367816092</v>
      </c>
      <c r="AF142">
        <f t="shared" si="139"/>
        <v>110516.999289536</v>
      </c>
      <c r="AG142">
        <f t="shared" si="140"/>
        <v>7798</v>
      </c>
      <c r="AH142">
        <f t="shared" si="141"/>
        <v>3899</v>
      </c>
      <c r="AI142">
        <f t="shared" si="117"/>
        <v>3.33333333333333</v>
      </c>
      <c r="AJ142">
        <f t="shared" si="118"/>
        <v>1299.66666666667</v>
      </c>
      <c r="AK142">
        <f t="shared" si="119"/>
        <v>29.9999999999999</v>
      </c>
      <c r="BT142">
        <v>141</v>
      </c>
      <c r="BU142">
        <f t="shared" si="120"/>
        <v>7043.6</v>
      </c>
      <c r="BV142">
        <f t="shared" si="121"/>
        <v>1408.72</v>
      </c>
      <c r="BX142">
        <f t="shared" si="122"/>
        <v>27</v>
      </c>
      <c r="BY142">
        <f t="shared" si="123"/>
        <v>54.1</v>
      </c>
      <c r="BZ142">
        <v>141</v>
      </c>
      <c r="CA142">
        <f t="shared" si="124"/>
        <v>9302</v>
      </c>
      <c r="CB142">
        <f t="shared" si="125"/>
        <v>1860.26</v>
      </c>
      <c r="CD142">
        <f t="shared" si="126"/>
        <v>39.62</v>
      </c>
      <c r="CE142">
        <f t="shared" si="127"/>
        <v>79.306</v>
      </c>
      <c r="CF142">
        <f t="shared" si="128"/>
        <v>46.4</v>
      </c>
      <c r="CG142">
        <v>141</v>
      </c>
      <c r="CH142">
        <f t="shared" si="129"/>
        <v>11980</v>
      </c>
      <c r="CI142">
        <f t="shared" si="130"/>
        <v>2395.4</v>
      </c>
      <c r="CK142">
        <f t="shared" si="131"/>
        <v>48.5</v>
      </c>
      <c r="CL142">
        <f t="shared" si="132"/>
        <v>97.05</v>
      </c>
      <c r="CM142">
        <f t="shared" si="133"/>
        <v>64.58</v>
      </c>
      <c r="CN142">
        <v>141</v>
      </c>
      <c r="CO142">
        <f t="shared" si="134"/>
        <v>14783.6</v>
      </c>
      <c r="CP142">
        <f t="shared" si="135"/>
        <v>2957.92</v>
      </c>
      <c r="CR142">
        <f t="shared" si="136"/>
        <v>62.82</v>
      </c>
      <c r="CS142">
        <f t="shared" si="137"/>
        <v>125.64</v>
      </c>
      <c r="CT142">
        <f t="shared" si="138"/>
        <v>83.358</v>
      </c>
    </row>
    <row r="143" spans="1:98">
      <c r="A143">
        <v>142</v>
      </c>
      <c r="B143" s="12">
        <v>16100</v>
      </c>
      <c r="C143" s="12">
        <v>3220</v>
      </c>
      <c r="D143" s="12">
        <v>3220</v>
      </c>
      <c r="E143" s="8">
        <f t="shared" si="98"/>
        <v>14450</v>
      </c>
      <c r="F143" s="8">
        <f t="shared" si="99"/>
        <v>2890</v>
      </c>
      <c r="G143" s="8">
        <f t="shared" si="100"/>
        <v>2890</v>
      </c>
      <c r="H143" s="12"/>
      <c r="I143" s="9">
        <v>1</v>
      </c>
      <c r="J143" s="8">
        <f t="shared" si="101"/>
        <v>8694</v>
      </c>
      <c r="K143" s="8">
        <f t="shared" si="102"/>
        <v>1738.8</v>
      </c>
      <c r="L143" s="8">
        <f t="shared" si="103"/>
        <v>1738.8</v>
      </c>
      <c r="M143" s="8">
        <v>1</v>
      </c>
      <c r="N143" s="8">
        <f t="shared" si="104"/>
        <v>39244</v>
      </c>
      <c r="O143" s="8">
        <f t="shared" si="105"/>
        <v>7848.8</v>
      </c>
      <c r="P143" s="8">
        <f t="shared" si="106"/>
        <v>7848.8</v>
      </c>
      <c r="Q143" s="12">
        <v>75</v>
      </c>
      <c r="R143" s="12">
        <v>150</v>
      </c>
      <c r="S143" s="12">
        <v>91.74</v>
      </c>
      <c r="T143" s="8">
        <v>11.28</v>
      </c>
      <c r="U143" s="8">
        <v>0.3948</v>
      </c>
      <c r="V143" s="8">
        <f t="shared" si="107"/>
        <v>335778.50781359</v>
      </c>
      <c r="W143" s="8">
        <f t="shared" si="108"/>
        <v>7848.8</v>
      </c>
      <c r="X143" s="8">
        <f t="shared" si="109"/>
        <v>7848.8</v>
      </c>
      <c r="Y143" s="8">
        <f t="shared" si="110"/>
        <v>33577.850781359</v>
      </c>
      <c r="Z143" s="8">
        <f t="shared" si="111"/>
        <v>10</v>
      </c>
      <c r="AA143">
        <f t="shared" si="112"/>
        <v>3924.4</v>
      </c>
      <c r="AB143">
        <f t="shared" si="113"/>
        <v>10</v>
      </c>
      <c r="AC143">
        <f t="shared" si="114"/>
        <v>146.332628561787</v>
      </c>
      <c r="AD143">
        <f t="shared" si="115"/>
        <v>18.0432183908046</v>
      </c>
      <c r="AE143">
        <f t="shared" si="116"/>
        <v>18.0432183908046</v>
      </c>
      <c r="AF143">
        <f t="shared" si="139"/>
        <v>111926.169271197</v>
      </c>
      <c r="AG143">
        <f t="shared" si="140"/>
        <v>7848.8</v>
      </c>
      <c r="AH143">
        <f t="shared" si="141"/>
        <v>3924.4</v>
      </c>
      <c r="AI143">
        <f t="shared" si="117"/>
        <v>3.33333333333334</v>
      </c>
      <c r="AJ143">
        <f t="shared" si="118"/>
        <v>1308.13333333333</v>
      </c>
      <c r="AK143">
        <f t="shared" si="119"/>
        <v>30.0000000000001</v>
      </c>
      <c r="BT143">
        <v>142</v>
      </c>
      <c r="BU143">
        <f t="shared" si="120"/>
        <v>7058.2</v>
      </c>
      <c r="BV143">
        <f t="shared" si="121"/>
        <v>1411.64</v>
      </c>
      <c r="BX143">
        <f t="shared" si="122"/>
        <v>27.05</v>
      </c>
      <c r="BY143">
        <f t="shared" si="123"/>
        <v>54.2</v>
      </c>
      <c r="BZ143">
        <v>142</v>
      </c>
      <c r="CA143">
        <f t="shared" si="124"/>
        <v>9311.3</v>
      </c>
      <c r="CB143">
        <f t="shared" si="125"/>
        <v>1862.12</v>
      </c>
      <c r="CD143">
        <f t="shared" si="126"/>
        <v>39.653</v>
      </c>
      <c r="CE143">
        <f t="shared" si="127"/>
        <v>79.372</v>
      </c>
      <c r="CF143">
        <f t="shared" si="128"/>
        <v>46.46</v>
      </c>
      <c r="CG143">
        <v>142</v>
      </c>
      <c r="CH143">
        <f t="shared" si="129"/>
        <v>11987</v>
      </c>
      <c r="CI143">
        <f t="shared" si="130"/>
        <v>2396.8</v>
      </c>
      <c r="CK143">
        <f t="shared" si="131"/>
        <v>48.525</v>
      </c>
      <c r="CL143">
        <f t="shared" si="132"/>
        <v>97.1</v>
      </c>
      <c r="CM143">
        <f t="shared" si="133"/>
        <v>64.627</v>
      </c>
      <c r="CN143">
        <v>142</v>
      </c>
      <c r="CO143">
        <f t="shared" si="134"/>
        <v>14789.2</v>
      </c>
      <c r="CP143">
        <f t="shared" si="135"/>
        <v>2959.04</v>
      </c>
      <c r="CR143">
        <f t="shared" si="136"/>
        <v>62.84</v>
      </c>
      <c r="CS143">
        <f t="shared" si="137"/>
        <v>125.68</v>
      </c>
      <c r="CT143">
        <f t="shared" si="138"/>
        <v>83.396</v>
      </c>
    </row>
    <row r="144" spans="1:98">
      <c r="A144">
        <v>143</v>
      </c>
      <c r="B144" s="12">
        <v>16200</v>
      </c>
      <c r="C144" s="12">
        <v>3240</v>
      </c>
      <c r="D144" s="12">
        <v>3240</v>
      </c>
      <c r="E144" s="8">
        <f t="shared" si="98"/>
        <v>14550</v>
      </c>
      <c r="F144" s="8">
        <f t="shared" si="99"/>
        <v>2910</v>
      </c>
      <c r="G144" s="8">
        <f t="shared" si="100"/>
        <v>2910</v>
      </c>
      <c r="H144" s="12"/>
      <c r="I144" s="9">
        <v>1</v>
      </c>
      <c r="J144" s="8">
        <f t="shared" si="101"/>
        <v>8748</v>
      </c>
      <c r="K144" s="8">
        <f t="shared" si="102"/>
        <v>1749.6</v>
      </c>
      <c r="L144" s="8">
        <f t="shared" si="103"/>
        <v>1749.6</v>
      </c>
      <c r="M144" s="8">
        <v>1</v>
      </c>
      <c r="N144" s="8">
        <f t="shared" si="104"/>
        <v>39498</v>
      </c>
      <c r="O144" s="8">
        <f t="shared" si="105"/>
        <v>7899.6</v>
      </c>
      <c r="P144" s="8">
        <f t="shared" si="106"/>
        <v>7899.6</v>
      </c>
      <c r="Q144" s="12">
        <v>75</v>
      </c>
      <c r="R144" s="12">
        <v>150</v>
      </c>
      <c r="S144" s="12">
        <v>92.4</v>
      </c>
      <c r="T144" s="8">
        <v>11.36</v>
      </c>
      <c r="U144" s="8">
        <v>0.3976</v>
      </c>
      <c r="V144" s="8">
        <f t="shared" si="107"/>
        <v>340040.100955576</v>
      </c>
      <c r="W144" s="8">
        <f t="shared" si="108"/>
        <v>7899.6</v>
      </c>
      <c r="X144" s="8">
        <f t="shared" si="109"/>
        <v>7899.6</v>
      </c>
      <c r="Y144" s="8">
        <f t="shared" si="110"/>
        <v>34004.0100955576</v>
      </c>
      <c r="Z144" s="8">
        <f t="shared" si="111"/>
        <v>10</v>
      </c>
      <c r="AA144">
        <f t="shared" si="112"/>
        <v>3949.8</v>
      </c>
      <c r="AB144">
        <f t="shared" si="113"/>
        <v>10</v>
      </c>
      <c r="AC144">
        <f t="shared" si="114"/>
        <v>148.189835356791</v>
      </c>
      <c r="AD144">
        <f t="shared" si="115"/>
        <v>18.16</v>
      </c>
      <c r="AE144">
        <f t="shared" si="116"/>
        <v>18.16</v>
      </c>
      <c r="AF144">
        <f t="shared" si="139"/>
        <v>113346.700318525</v>
      </c>
      <c r="AG144">
        <f t="shared" si="140"/>
        <v>7899.6</v>
      </c>
      <c r="AH144">
        <f t="shared" si="141"/>
        <v>3949.8</v>
      </c>
      <c r="AI144">
        <f t="shared" si="117"/>
        <v>3.33333333333332</v>
      </c>
      <c r="AJ144">
        <f t="shared" si="118"/>
        <v>1316.6</v>
      </c>
      <c r="AK144">
        <f t="shared" si="119"/>
        <v>30</v>
      </c>
      <c r="BT144">
        <v>143</v>
      </c>
      <c r="BU144">
        <f t="shared" si="120"/>
        <v>7072.8</v>
      </c>
      <c r="BV144">
        <f t="shared" si="121"/>
        <v>1414.56</v>
      </c>
      <c r="BX144">
        <f t="shared" si="122"/>
        <v>27.1</v>
      </c>
      <c r="BY144">
        <f t="shared" si="123"/>
        <v>54.3</v>
      </c>
      <c r="BZ144">
        <v>143</v>
      </c>
      <c r="CA144">
        <f t="shared" si="124"/>
        <v>9320.6</v>
      </c>
      <c r="CB144">
        <f t="shared" si="125"/>
        <v>1863.98</v>
      </c>
      <c r="CD144">
        <f t="shared" si="126"/>
        <v>39.686</v>
      </c>
      <c r="CE144">
        <f t="shared" si="127"/>
        <v>79.438</v>
      </c>
      <c r="CF144">
        <f t="shared" si="128"/>
        <v>46.52</v>
      </c>
      <c r="CG144">
        <v>143</v>
      </c>
      <c r="CH144">
        <f t="shared" si="129"/>
        <v>11994</v>
      </c>
      <c r="CI144">
        <f t="shared" si="130"/>
        <v>2398.2</v>
      </c>
      <c r="CK144">
        <f t="shared" si="131"/>
        <v>48.55</v>
      </c>
      <c r="CL144">
        <f t="shared" si="132"/>
        <v>97.15</v>
      </c>
      <c r="CM144">
        <f t="shared" si="133"/>
        <v>64.674</v>
      </c>
      <c r="CN144">
        <v>143</v>
      </c>
      <c r="CO144">
        <f t="shared" si="134"/>
        <v>14794.8</v>
      </c>
      <c r="CP144">
        <f t="shared" si="135"/>
        <v>2960.16</v>
      </c>
      <c r="CR144">
        <f t="shared" si="136"/>
        <v>62.86</v>
      </c>
      <c r="CS144">
        <f t="shared" si="137"/>
        <v>125.72</v>
      </c>
      <c r="CT144">
        <f t="shared" si="138"/>
        <v>83.434</v>
      </c>
    </row>
    <row r="145" spans="1:98">
      <c r="A145">
        <v>144</v>
      </c>
      <c r="B145" s="12">
        <v>16300</v>
      </c>
      <c r="C145" s="12">
        <v>3260</v>
      </c>
      <c r="D145" s="12">
        <v>3260</v>
      </c>
      <c r="E145" s="8">
        <f t="shared" si="98"/>
        <v>14650</v>
      </c>
      <c r="F145" s="8">
        <f t="shared" si="99"/>
        <v>2930</v>
      </c>
      <c r="G145" s="8">
        <f t="shared" si="100"/>
        <v>2930</v>
      </c>
      <c r="H145" s="12"/>
      <c r="I145" s="9">
        <v>1</v>
      </c>
      <c r="J145" s="8">
        <f t="shared" si="101"/>
        <v>8802</v>
      </c>
      <c r="K145" s="8">
        <f t="shared" si="102"/>
        <v>1760.4</v>
      </c>
      <c r="L145" s="8">
        <f t="shared" si="103"/>
        <v>1760.4</v>
      </c>
      <c r="M145" s="8">
        <v>1</v>
      </c>
      <c r="N145" s="8">
        <f t="shared" si="104"/>
        <v>39752</v>
      </c>
      <c r="O145" s="8">
        <f t="shared" si="105"/>
        <v>7950.4</v>
      </c>
      <c r="P145" s="8">
        <f t="shared" si="106"/>
        <v>7950.4</v>
      </c>
      <c r="Q145" s="12">
        <v>75</v>
      </c>
      <c r="R145" s="12">
        <v>150</v>
      </c>
      <c r="S145" s="12">
        <v>93.06</v>
      </c>
      <c r="T145" s="8">
        <v>11.44</v>
      </c>
      <c r="U145" s="8">
        <v>0.4004</v>
      </c>
      <c r="V145" s="8">
        <f t="shared" si="107"/>
        <v>344335.928622018</v>
      </c>
      <c r="W145" s="8">
        <f t="shared" si="108"/>
        <v>7950.4</v>
      </c>
      <c r="X145" s="8">
        <f t="shared" si="109"/>
        <v>7950.4</v>
      </c>
      <c r="Y145" s="8">
        <f t="shared" si="110"/>
        <v>34433.5928622017</v>
      </c>
      <c r="Z145" s="8">
        <f t="shared" si="111"/>
        <v>10</v>
      </c>
      <c r="AA145">
        <f t="shared" si="112"/>
        <v>3975.2</v>
      </c>
      <c r="AB145">
        <f t="shared" si="113"/>
        <v>10</v>
      </c>
      <c r="AC145">
        <f t="shared" si="114"/>
        <v>150.061961593732</v>
      </c>
      <c r="AD145">
        <f t="shared" si="115"/>
        <v>18.2767816091954</v>
      </c>
      <c r="AE145">
        <f t="shared" si="116"/>
        <v>18.2767816091954</v>
      </c>
      <c r="AF145">
        <f t="shared" si="139"/>
        <v>114778.642874006</v>
      </c>
      <c r="AG145">
        <f t="shared" si="140"/>
        <v>7950.4</v>
      </c>
      <c r="AH145">
        <f t="shared" si="141"/>
        <v>3975.2</v>
      </c>
      <c r="AI145">
        <f t="shared" si="117"/>
        <v>3.33333333333334</v>
      </c>
      <c r="AJ145">
        <f t="shared" si="118"/>
        <v>1325.06666666667</v>
      </c>
      <c r="AK145">
        <f t="shared" si="119"/>
        <v>29.9999999999999</v>
      </c>
      <c r="BT145">
        <v>144</v>
      </c>
      <c r="BU145">
        <f t="shared" si="120"/>
        <v>7087.4</v>
      </c>
      <c r="BV145">
        <f t="shared" si="121"/>
        <v>1417.48</v>
      </c>
      <c r="BX145">
        <f t="shared" si="122"/>
        <v>27.15</v>
      </c>
      <c r="BY145">
        <f t="shared" si="123"/>
        <v>54.4</v>
      </c>
      <c r="BZ145">
        <v>144</v>
      </c>
      <c r="CA145">
        <f t="shared" si="124"/>
        <v>9329.9</v>
      </c>
      <c r="CB145">
        <f t="shared" si="125"/>
        <v>1865.84</v>
      </c>
      <c r="CD145">
        <f t="shared" si="126"/>
        <v>39.719</v>
      </c>
      <c r="CE145">
        <f t="shared" si="127"/>
        <v>79.504</v>
      </c>
      <c r="CF145">
        <f t="shared" si="128"/>
        <v>46.58</v>
      </c>
      <c r="CG145">
        <v>144</v>
      </c>
      <c r="CH145">
        <f t="shared" si="129"/>
        <v>12001</v>
      </c>
      <c r="CI145">
        <f t="shared" si="130"/>
        <v>2399.6</v>
      </c>
      <c r="CK145">
        <f t="shared" si="131"/>
        <v>48.575</v>
      </c>
      <c r="CL145">
        <f t="shared" si="132"/>
        <v>97.2</v>
      </c>
      <c r="CM145">
        <f t="shared" si="133"/>
        <v>64.721</v>
      </c>
      <c r="CN145">
        <v>144</v>
      </c>
      <c r="CO145">
        <f t="shared" si="134"/>
        <v>14800.4</v>
      </c>
      <c r="CP145">
        <f t="shared" si="135"/>
        <v>2961.28</v>
      </c>
      <c r="CR145">
        <f t="shared" si="136"/>
        <v>62.88</v>
      </c>
      <c r="CS145">
        <f t="shared" si="137"/>
        <v>125.76</v>
      </c>
      <c r="CT145">
        <f t="shared" si="138"/>
        <v>83.472</v>
      </c>
    </row>
    <row r="146" spans="1:98">
      <c r="A146">
        <v>145</v>
      </c>
      <c r="B146" s="12">
        <v>16400</v>
      </c>
      <c r="C146" s="12">
        <v>3280</v>
      </c>
      <c r="D146" s="12">
        <v>3280</v>
      </c>
      <c r="E146" s="8">
        <f t="shared" si="98"/>
        <v>14750</v>
      </c>
      <c r="F146" s="8">
        <f t="shared" si="99"/>
        <v>2950</v>
      </c>
      <c r="G146" s="8">
        <f t="shared" si="100"/>
        <v>2950</v>
      </c>
      <c r="H146" s="12"/>
      <c r="I146" s="9">
        <v>1</v>
      </c>
      <c r="J146" s="8">
        <f t="shared" si="101"/>
        <v>8856</v>
      </c>
      <c r="K146" s="8">
        <f t="shared" si="102"/>
        <v>1771.2</v>
      </c>
      <c r="L146" s="8">
        <f t="shared" si="103"/>
        <v>1771.2</v>
      </c>
      <c r="M146" s="8">
        <v>1</v>
      </c>
      <c r="N146" s="8">
        <f t="shared" si="104"/>
        <v>40006</v>
      </c>
      <c r="O146" s="8">
        <f t="shared" si="105"/>
        <v>8001.2</v>
      </c>
      <c r="P146" s="8">
        <f t="shared" si="106"/>
        <v>8001.2</v>
      </c>
      <c r="Q146" s="12">
        <v>75</v>
      </c>
      <c r="R146" s="12">
        <v>150</v>
      </c>
      <c r="S146" s="12">
        <v>93.72</v>
      </c>
      <c r="T146" s="8">
        <v>11.52</v>
      </c>
      <c r="U146" s="8">
        <v>0.4032</v>
      </c>
      <c r="V146" s="8">
        <f t="shared" si="107"/>
        <v>348666.142399468</v>
      </c>
      <c r="W146" s="8">
        <f t="shared" si="108"/>
        <v>8001.2</v>
      </c>
      <c r="X146" s="8">
        <f t="shared" si="109"/>
        <v>8001.2</v>
      </c>
      <c r="Y146" s="8">
        <f t="shared" si="110"/>
        <v>34866.6142399468</v>
      </c>
      <c r="Z146" s="8">
        <f t="shared" si="111"/>
        <v>10</v>
      </c>
      <c r="AA146">
        <f t="shared" si="112"/>
        <v>4000.6</v>
      </c>
      <c r="AB146">
        <f t="shared" si="113"/>
        <v>10</v>
      </c>
      <c r="AC146">
        <f t="shared" si="114"/>
        <v>151.949073334191</v>
      </c>
      <c r="AD146">
        <f t="shared" si="115"/>
        <v>18.3935632183908</v>
      </c>
      <c r="AE146">
        <f t="shared" si="116"/>
        <v>18.3935632183908</v>
      </c>
      <c r="AF146">
        <f t="shared" si="139"/>
        <v>116222.047466489</v>
      </c>
      <c r="AG146">
        <f t="shared" si="140"/>
        <v>8001.2</v>
      </c>
      <c r="AH146">
        <f t="shared" si="141"/>
        <v>4000.6</v>
      </c>
      <c r="AI146">
        <f t="shared" si="117"/>
        <v>3.33333333333332</v>
      </c>
      <c r="AJ146">
        <f t="shared" si="118"/>
        <v>1333.53333333333</v>
      </c>
      <c r="AK146">
        <f t="shared" si="119"/>
        <v>30.0000000000001</v>
      </c>
      <c r="BT146">
        <v>145</v>
      </c>
      <c r="BU146">
        <f t="shared" si="120"/>
        <v>7102</v>
      </c>
      <c r="BV146">
        <f t="shared" si="121"/>
        <v>1420.4</v>
      </c>
      <c r="BX146">
        <f t="shared" si="122"/>
        <v>27.2</v>
      </c>
      <c r="BY146">
        <f t="shared" si="123"/>
        <v>54.5</v>
      </c>
      <c r="BZ146">
        <v>145</v>
      </c>
      <c r="CA146">
        <f t="shared" si="124"/>
        <v>9339.2</v>
      </c>
      <c r="CB146">
        <f t="shared" si="125"/>
        <v>1867.7</v>
      </c>
      <c r="CD146">
        <f t="shared" si="126"/>
        <v>39.752</v>
      </c>
      <c r="CE146">
        <f t="shared" si="127"/>
        <v>79.57</v>
      </c>
      <c r="CF146">
        <f t="shared" si="128"/>
        <v>46.64</v>
      </c>
      <c r="CG146">
        <v>145</v>
      </c>
      <c r="CH146">
        <f t="shared" si="129"/>
        <v>12008</v>
      </c>
      <c r="CI146">
        <f t="shared" si="130"/>
        <v>2401</v>
      </c>
      <c r="CK146">
        <f t="shared" si="131"/>
        <v>48.6</v>
      </c>
      <c r="CL146">
        <f t="shared" si="132"/>
        <v>97.25</v>
      </c>
      <c r="CM146">
        <f t="shared" si="133"/>
        <v>64.768</v>
      </c>
      <c r="CN146">
        <v>145</v>
      </c>
      <c r="CO146">
        <f t="shared" si="134"/>
        <v>14806</v>
      </c>
      <c r="CP146">
        <f t="shared" si="135"/>
        <v>2962.4</v>
      </c>
      <c r="CR146">
        <f t="shared" si="136"/>
        <v>62.9</v>
      </c>
      <c r="CS146">
        <f t="shared" si="137"/>
        <v>125.8</v>
      </c>
      <c r="CT146">
        <f t="shared" si="138"/>
        <v>83.51</v>
      </c>
    </row>
    <row r="147" spans="1:98">
      <c r="A147">
        <v>146</v>
      </c>
      <c r="B147" s="12">
        <v>16500</v>
      </c>
      <c r="C147" s="12">
        <v>3300</v>
      </c>
      <c r="D147" s="12">
        <v>3300</v>
      </c>
      <c r="E147" s="8">
        <f t="shared" si="98"/>
        <v>14850</v>
      </c>
      <c r="F147" s="8">
        <f t="shared" si="99"/>
        <v>2970</v>
      </c>
      <c r="G147" s="8">
        <f t="shared" si="100"/>
        <v>2970</v>
      </c>
      <c r="H147" s="12"/>
      <c r="I147" s="9">
        <v>1</v>
      </c>
      <c r="J147" s="8">
        <f t="shared" si="101"/>
        <v>8910</v>
      </c>
      <c r="K147" s="8">
        <f t="shared" si="102"/>
        <v>1782</v>
      </c>
      <c r="L147" s="8">
        <f t="shared" si="103"/>
        <v>1782</v>
      </c>
      <c r="M147" s="8">
        <v>1</v>
      </c>
      <c r="N147" s="8">
        <f t="shared" si="104"/>
        <v>40260</v>
      </c>
      <c r="O147" s="8">
        <f t="shared" si="105"/>
        <v>8052</v>
      </c>
      <c r="P147" s="8">
        <f t="shared" si="106"/>
        <v>8052</v>
      </c>
      <c r="Q147" s="12">
        <v>75</v>
      </c>
      <c r="R147" s="12">
        <v>150</v>
      </c>
      <c r="S147" s="12">
        <v>94.38</v>
      </c>
      <c r="T147" s="8">
        <v>11.6</v>
      </c>
      <c r="U147" s="8">
        <v>0.406</v>
      </c>
      <c r="V147" s="8">
        <f t="shared" si="107"/>
        <v>353030.894133588</v>
      </c>
      <c r="W147" s="8">
        <f t="shared" si="108"/>
        <v>8052</v>
      </c>
      <c r="X147" s="8">
        <f t="shared" si="109"/>
        <v>8052</v>
      </c>
      <c r="Y147" s="8">
        <f t="shared" si="110"/>
        <v>35303.0894133588</v>
      </c>
      <c r="Z147" s="8">
        <f t="shared" si="111"/>
        <v>10</v>
      </c>
      <c r="AA147">
        <f t="shared" si="112"/>
        <v>4026</v>
      </c>
      <c r="AB147">
        <f t="shared" si="113"/>
        <v>10</v>
      </c>
      <c r="AC147">
        <f t="shared" si="114"/>
        <v>153.851236752667</v>
      </c>
      <c r="AD147">
        <f t="shared" si="115"/>
        <v>18.5103448275862</v>
      </c>
      <c r="AE147">
        <f t="shared" si="116"/>
        <v>18.5103448275862</v>
      </c>
      <c r="AF147">
        <f t="shared" si="139"/>
        <v>117676.964711196</v>
      </c>
      <c r="AG147">
        <f t="shared" si="140"/>
        <v>8052</v>
      </c>
      <c r="AH147">
        <f t="shared" si="141"/>
        <v>4026</v>
      </c>
      <c r="AI147">
        <f t="shared" si="117"/>
        <v>3.33333333333333</v>
      </c>
      <c r="AJ147">
        <f t="shared" si="118"/>
        <v>1342</v>
      </c>
      <c r="AK147">
        <f t="shared" si="119"/>
        <v>30</v>
      </c>
      <c r="BT147">
        <v>146</v>
      </c>
      <c r="BU147">
        <f t="shared" si="120"/>
        <v>7116.6</v>
      </c>
      <c r="BV147">
        <f t="shared" si="121"/>
        <v>1423.32</v>
      </c>
      <c r="BX147">
        <f t="shared" si="122"/>
        <v>27.25</v>
      </c>
      <c r="BY147">
        <f t="shared" si="123"/>
        <v>54.6</v>
      </c>
      <c r="BZ147">
        <v>146</v>
      </c>
      <c r="CA147">
        <f t="shared" si="124"/>
        <v>9348.5</v>
      </c>
      <c r="CB147">
        <f t="shared" si="125"/>
        <v>1869.56</v>
      </c>
      <c r="CD147">
        <f t="shared" si="126"/>
        <v>39.785</v>
      </c>
      <c r="CE147">
        <f t="shared" si="127"/>
        <v>79.636</v>
      </c>
      <c r="CF147">
        <f t="shared" si="128"/>
        <v>46.7</v>
      </c>
      <c r="CG147">
        <v>146</v>
      </c>
      <c r="CH147">
        <f t="shared" si="129"/>
        <v>12015</v>
      </c>
      <c r="CI147">
        <f t="shared" si="130"/>
        <v>2402.4</v>
      </c>
      <c r="CK147">
        <f t="shared" si="131"/>
        <v>48.625</v>
      </c>
      <c r="CL147">
        <f t="shared" si="132"/>
        <v>97.3</v>
      </c>
      <c r="CM147">
        <f t="shared" si="133"/>
        <v>64.815</v>
      </c>
      <c r="CN147">
        <v>146</v>
      </c>
      <c r="CO147">
        <f t="shared" si="134"/>
        <v>14811.6</v>
      </c>
      <c r="CP147">
        <f t="shared" si="135"/>
        <v>2963.52</v>
      </c>
      <c r="CR147">
        <f t="shared" si="136"/>
        <v>62.92</v>
      </c>
      <c r="CS147">
        <f t="shared" si="137"/>
        <v>125.84</v>
      </c>
      <c r="CT147">
        <f t="shared" si="138"/>
        <v>83.548</v>
      </c>
    </row>
    <row r="148" spans="1:98">
      <c r="A148">
        <v>147</v>
      </c>
      <c r="B148" s="12">
        <v>16600</v>
      </c>
      <c r="C148" s="12">
        <v>3320</v>
      </c>
      <c r="D148" s="12">
        <v>3320</v>
      </c>
      <c r="E148" s="8">
        <f t="shared" si="98"/>
        <v>14950</v>
      </c>
      <c r="F148" s="8">
        <f t="shared" si="99"/>
        <v>2990</v>
      </c>
      <c r="G148" s="8">
        <f t="shared" si="100"/>
        <v>2990</v>
      </c>
      <c r="H148" s="12"/>
      <c r="I148" s="9">
        <v>1</v>
      </c>
      <c r="J148" s="8">
        <f t="shared" si="101"/>
        <v>8964</v>
      </c>
      <c r="K148" s="8">
        <f t="shared" si="102"/>
        <v>1792.8</v>
      </c>
      <c r="L148" s="8">
        <f t="shared" si="103"/>
        <v>1792.8</v>
      </c>
      <c r="M148" s="8">
        <v>1</v>
      </c>
      <c r="N148" s="8">
        <f t="shared" si="104"/>
        <v>40514</v>
      </c>
      <c r="O148" s="8">
        <f t="shared" si="105"/>
        <v>8102.8</v>
      </c>
      <c r="P148" s="8">
        <f t="shared" si="106"/>
        <v>8102.8</v>
      </c>
      <c r="Q148" s="12">
        <v>75</v>
      </c>
      <c r="R148" s="12">
        <v>150</v>
      </c>
      <c r="S148" s="12">
        <v>95.04</v>
      </c>
      <c r="T148" s="8">
        <v>11.68</v>
      </c>
      <c r="U148" s="8">
        <v>0.4088</v>
      </c>
      <c r="V148" s="8">
        <f t="shared" si="107"/>
        <v>357430.33592914</v>
      </c>
      <c r="W148" s="8">
        <f t="shared" si="108"/>
        <v>8102.8</v>
      </c>
      <c r="X148" s="8">
        <f t="shared" si="109"/>
        <v>8102.8</v>
      </c>
      <c r="Y148" s="8">
        <f t="shared" si="110"/>
        <v>35743.033592914</v>
      </c>
      <c r="Z148" s="8">
        <f t="shared" si="111"/>
        <v>10</v>
      </c>
      <c r="AA148">
        <f t="shared" si="112"/>
        <v>4051.4</v>
      </c>
      <c r="AB148">
        <f t="shared" si="113"/>
        <v>10</v>
      </c>
      <c r="AC148">
        <f t="shared" si="114"/>
        <v>155.768518136576</v>
      </c>
      <c r="AD148">
        <f t="shared" si="115"/>
        <v>18.6271264367816</v>
      </c>
      <c r="AE148">
        <f t="shared" si="116"/>
        <v>18.6271264367816</v>
      </c>
      <c r="AF148">
        <f t="shared" si="139"/>
        <v>119143.445309713</v>
      </c>
      <c r="AG148">
        <f t="shared" si="140"/>
        <v>8102.8</v>
      </c>
      <c r="AH148">
        <f t="shared" si="141"/>
        <v>4051.4</v>
      </c>
      <c r="AI148">
        <f t="shared" si="117"/>
        <v>3.33333333333332</v>
      </c>
      <c r="AJ148">
        <f t="shared" si="118"/>
        <v>1350.46666666667</v>
      </c>
      <c r="AK148">
        <f t="shared" si="119"/>
        <v>29.9999999999999</v>
      </c>
      <c r="BT148">
        <v>147</v>
      </c>
      <c r="BU148">
        <f t="shared" si="120"/>
        <v>7131.2</v>
      </c>
      <c r="BV148">
        <f t="shared" si="121"/>
        <v>1426.24</v>
      </c>
      <c r="BX148">
        <f t="shared" si="122"/>
        <v>27.3</v>
      </c>
      <c r="BY148">
        <f t="shared" si="123"/>
        <v>54.7</v>
      </c>
      <c r="BZ148">
        <v>147</v>
      </c>
      <c r="CA148">
        <f t="shared" si="124"/>
        <v>9357.8</v>
      </c>
      <c r="CB148">
        <f t="shared" si="125"/>
        <v>1871.42</v>
      </c>
      <c r="CD148">
        <f t="shared" si="126"/>
        <v>39.818</v>
      </c>
      <c r="CE148">
        <f t="shared" si="127"/>
        <v>79.702</v>
      </c>
      <c r="CF148">
        <f t="shared" si="128"/>
        <v>46.76</v>
      </c>
      <c r="CG148">
        <v>147</v>
      </c>
      <c r="CH148">
        <f t="shared" si="129"/>
        <v>12022</v>
      </c>
      <c r="CI148">
        <f t="shared" si="130"/>
        <v>2403.8</v>
      </c>
      <c r="CK148">
        <f t="shared" si="131"/>
        <v>48.65</v>
      </c>
      <c r="CL148">
        <f t="shared" si="132"/>
        <v>97.35</v>
      </c>
      <c r="CM148">
        <f t="shared" si="133"/>
        <v>64.862</v>
      </c>
      <c r="CN148">
        <v>147</v>
      </c>
      <c r="CO148">
        <f t="shared" si="134"/>
        <v>14817.2</v>
      </c>
      <c r="CP148">
        <f t="shared" si="135"/>
        <v>2964.64</v>
      </c>
      <c r="CR148">
        <f t="shared" si="136"/>
        <v>62.94</v>
      </c>
      <c r="CS148">
        <f t="shared" si="137"/>
        <v>125.88</v>
      </c>
      <c r="CT148">
        <f t="shared" si="138"/>
        <v>83.586</v>
      </c>
    </row>
    <row r="149" spans="1:98">
      <c r="A149">
        <v>148</v>
      </c>
      <c r="B149" s="12">
        <v>16700</v>
      </c>
      <c r="C149" s="12">
        <v>3340</v>
      </c>
      <c r="D149" s="12">
        <v>3340</v>
      </c>
      <c r="E149" s="8">
        <f t="shared" si="98"/>
        <v>15050</v>
      </c>
      <c r="F149" s="8">
        <f t="shared" si="99"/>
        <v>3010</v>
      </c>
      <c r="G149" s="8">
        <f t="shared" si="100"/>
        <v>3010</v>
      </c>
      <c r="H149" s="12"/>
      <c r="I149" s="9">
        <v>1</v>
      </c>
      <c r="J149" s="8">
        <f t="shared" si="101"/>
        <v>9018</v>
      </c>
      <c r="K149" s="8">
        <f t="shared" si="102"/>
        <v>1803.6</v>
      </c>
      <c r="L149" s="8">
        <f t="shared" si="103"/>
        <v>1803.6</v>
      </c>
      <c r="M149" s="8">
        <v>1</v>
      </c>
      <c r="N149" s="8">
        <f t="shared" si="104"/>
        <v>40768</v>
      </c>
      <c r="O149" s="8">
        <f t="shared" si="105"/>
        <v>8153.6</v>
      </c>
      <c r="P149" s="8">
        <f t="shared" si="106"/>
        <v>8153.6</v>
      </c>
      <c r="Q149" s="12">
        <v>75</v>
      </c>
      <c r="R149" s="12">
        <v>150</v>
      </c>
      <c r="S149" s="12">
        <v>95.7</v>
      </c>
      <c r="T149" s="8">
        <v>11.76</v>
      </c>
      <c r="U149" s="8">
        <v>0.4116</v>
      </c>
      <c r="V149" s="8">
        <f t="shared" si="107"/>
        <v>361864.620149993</v>
      </c>
      <c r="W149" s="8">
        <f t="shared" si="108"/>
        <v>8153.6</v>
      </c>
      <c r="X149" s="8">
        <f t="shared" si="109"/>
        <v>8153.6</v>
      </c>
      <c r="Y149" s="8">
        <f t="shared" si="110"/>
        <v>36186.4620149993</v>
      </c>
      <c r="Z149" s="8">
        <f t="shared" si="111"/>
        <v>10</v>
      </c>
      <c r="AA149">
        <f t="shared" si="112"/>
        <v>4076.8</v>
      </c>
      <c r="AB149">
        <f t="shared" si="113"/>
        <v>10</v>
      </c>
      <c r="AC149">
        <f t="shared" si="114"/>
        <v>157.700983886253</v>
      </c>
      <c r="AD149">
        <f t="shared" si="115"/>
        <v>18.743908045977</v>
      </c>
      <c r="AE149">
        <f t="shared" si="116"/>
        <v>18.743908045977</v>
      </c>
      <c r="AF149">
        <f t="shared" si="139"/>
        <v>120621.540049998</v>
      </c>
      <c r="AG149">
        <f t="shared" si="140"/>
        <v>8153.6</v>
      </c>
      <c r="AH149">
        <f t="shared" si="141"/>
        <v>4076.8</v>
      </c>
      <c r="AI149">
        <f t="shared" si="117"/>
        <v>3.33333333333334</v>
      </c>
      <c r="AJ149">
        <f t="shared" si="118"/>
        <v>1358.93333333333</v>
      </c>
      <c r="AK149">
        <f t="shared" si="119"/>
        <v>30.0000000000001</v>
      </c>
      <c r="BT149">
        <v>148</v>
      </c>
      <c r="BU149">
        <f t="shared" si="120"/>
        <v>7145.8</v>
      </c>
      <c r="BV149">
        <f t="shared" si="121"/>
        <v>1429.16</v>
      </c>
      <c r="BX149">
        <f t="shared" si="122"/>
        <v>27.35</v>
      </c>
      <c r="BY149">
        <f t="shared" si="123"/>
        <v>54.8</v>
      </c>
      <c r="BZ149">
        <v>148</v>
      </c>
      <c r="CA149">
        <f t="shared" si="124"/>
        <v>9367.1</v>
      </c>
      <c r="CB149">
        <f t="shared" si="125"/>
        <v>1873.28</v>
      </c>
      <c r="CD149">
        <f t="shared" si="126"/>
        <v>39.851</v>
      </c>
      <c r="CE149">
        <f t="shared" si="127"/>
        <v>79.768</v>
      </c>
      <c r="CF149">
        <f t="shared" si="128"/>
        <v>46.82</v>
      </c>
      <c r="CG149">
        <v>148</v>
      </c>
      <c r="CH149">
        <f t="shared" si="129"/>
        <v>12029</v>
      </c>
      <c r="CI149">
        <f t="shared" si="130"/>
        <v>2405.2</v>
      </c>
      <c r="CK149">
        <f t="shared" si="131"/>
        <v>48.675</v>
      </c>
      <c r="CL149">
        <f t="shared" si="132"/>
        <v>97.4</v>
      </c>
      <c r="CM149">
        <f t="shared" si="133"/>
        <v>64.909</v>
      </c>
      <c r="CN149">
        <v>148</v>
      </c>
      <c r="CO149">
        <f t="shared" si="134"/>
        <v>14822.8</v>
      </c>
      <c r="CP149">
        <f t="shared" si="135"/>
        <v>2965.76</v>
      </c>
      <c r="CR149">
        <f t="shared" si="136"/>
        <v>62.96</v>
      </c>
      <c r="CS149">
        <f t="shared" si="137"/>
        <v>125.92</v>
      </c>
      <c r="CT149">
        <f t="shared" si="138"/>
        <v>83.624</v>
      </c>
    </row>
    <row r="150" spans="1:98">
      <c r="A150">
        <v>149</v>
      </c>
      <c r="B150" s="12">
        <v>16800</v>
      </c>
      <c r="C150" s="12">
        <v>3360</v>
      </c>
      <c r="D150" s="12">
        <v>3360</v>
      </c>
      <c r="E150" s="8">
        <f t="shared" si="98"/>
        <v>15150</v>
      </c>
      <c r="F150" s="8">
        <f t="shared" si="99"/>
        <v>3030</v>
      </c>
      <c r="G150" s="8">
        <f t="shared" si="100"/>
        <v>3030</v>
      </c>
      <c r="H150" s="12"/>
      <c r="I150" s="9">
        <v>1</v>
      </c>
      <c r="J150" s="8">
        <f t="shared" si="101"/>
        <v>9072</v>
      </c>
      <c r="K150" s="8">
        <f t="shared" si="102"/>
        <v>1814.4</v>
      </c>
      <c r="L150" s="8">
        <f t="shared" si="103"/>
        <v>1814.4</v>
      </c>
      <c r="M150" s="8">
        <v>1</v>
      </c>
      <c r="N150" s="8">
        <f t="shared" si="104"/>
        <v>41022</v>
      </c>
      <c r="O150" s="8">
        <f t="shared" si="105"/>
        <v>8204.4</v>
      </c>
      <c r="P150" s="8">
        <f t="shared" si="106"/>
        <v>8204.4</v>
      </c>
      <c r="Q150" s="12">
        <v>75</v>
      </c>
      <c r="R150" s="12">
        <v>150</v>
      </c>
      <c r="S150" s="12">
        <v>96.36</v>
      </c>
      <c r="T150" s="8">
        <v>11.84</v>
      </c>
      <c r="U150" s="8">
        <v>0.4144</v>
      </c>
      <c r="V150" s="8">
        <f t="shared" si="107"/>
        <v>366333.899419119</v>
      </c>
      <c r="W150" s="8">
        <f t="shared" si="108"/>
        <v>8204.4</v>
      </c>
      <c r="X150" s="8">
        <f t="shared" si="109"/>
        <v>8204.4</v>
      </c>
      <c r="Y150" s="8">
        <f t="shared" si="110"/>
        <v>36633.3899419119</v>
      </c>
      <c r="Z150" s="8">
        <f t="shared" si="111"/>
        <v>10</v>
      </c>
      <c r="AA150">
        <f t="shared" si="112"/>
        <v>4102.2</v>
      </c>
      <c r="AB150">
        <f t="shared" si="113"/>
        <v>10</v>
      </c>
      <c r="AC150">
        <f t="shared" si="114"/>
        <v>159.648700514951</v>
      </c>
      <c r="AD150">
        <f t="shared" si="115"/>
        <v>18.8606896551724</v>
      </c>
      <c r="AE150">
        <f t="shared" si="116"/>
        <v>18.8606896551724</v>
      </c>
      <c r="AF150">
        <f t="shared" si="139"/>
        <v>122111.299806373</v>
      </c>
      <c r="AG150">
        <f t="shared" si="140"/>
        <v>8204.4</v>
      </c>
      <c r="AH150">
        <f t="shared" si="141"/>
        <v>4102.2</v>
      </c>
      <c r="AI150">
        <f t="shared" si="117"/>
        <v>3.33333333333333</v>
      </c>
      <c r="AJ150">
        <f t="shared" si="118"/>
        <v>1367.4</v>
      </c>
      <c r="AK150">
        <f t="shared" si="119"/>
        <v>30</v>
      </c>
      <c r="BT150">
        <v>149</v>
      </c>
      <c r="BU150">
        <f t="shared" si="120"/>
        <v>7160.4</v>
      </c>
      <c r="BV150">
        <f t="shared" si="121"/>
        <v>1432.08</v>
      </c>
      <c r="BX150">
        <f t="shared" si="122"/>
        <v>27.4</v>
      </c>
      <c r="BY150">
        <f t="shared" si="123"/>
        <v>54.9</v>
      </c>
      <c r="BZ150">
        <v>149</v>
      </c>
      <c r="CA150">
        <f t="shared" si="124"/>
        <v>9376.4</v>
      </c>
      <c r="CB150">
        <f t="shared" si="125"/>
        <v>1875.14</v>
      </c>
      <c r="CD150">
        <f t="shared" si="126"/>
        <v>39.884</v>
      </c>
      <c r="CE150">
        <f t="shared" si="127"/>
        <v>79.834</v>
      </c>
      <c r="CF150">
        <f t="shared" si="128"/>
        <v>46.88</v>
      </c>
      <c r="CG150">
        <v>149</v>
      </c>
      <c r="CH150">
        <f t="shared" si="129"/>
        <v>12036</v>
      </c>
      <c r="CI150">
        <f t="shared" si="130"/>
        <v>2406.6</v>
      </c>
      <c r="CK150">
        <f t="shared" si="131"/>
        <v>48.7</v>
      </c>
      <c r="CL150">
        <f t="shared" si="132"/>
        <v>97.45</v>
      </c>
      <c r="CM150">
        <f t="shared" si="133"/>
        <v>64.956</v>
      </c>
      <c r="CN150">
        <v>149</v>
      </c>
      <c r="CO150">
        <f t="shared" si="134"/>
        <v>14828.4</v>
      </c>
      <c r="CP150">
        <f t="shared" si="135"/>
        <v>2966.88</v>
      </c>
      <c r="CR150">
        <f t="shared" si="136"/>
        <v>62.98</v>
      </c>
      <c r="CS150">
        <f t="shared" si="137"/>
        <v>125.96</v>
      </c>
      <c r="CT150">
        <f t="shared" si="138"/>
        <v>83.662</v>
      </c>
    </row>
    <row r="151" s="1" customFormat="1" spans="1:98">
      <c r="A151" s="1">
        <v>150</v>
      </c>
      <c r="B151" s="1">
        <v>16900</v>
      </c>
      <c r="C151" s="1">
        <v>3380</v>
      </c>
      <c r="D151" s="1">
        <v>3380</v>
      </c>
      <c r="E151" s="1">
        <f t="shared" si="98"/>
        <v>15250</v>
      </c>
      <c r="F151" s="1">
        <f t="shared" si="99"/>
        <v>3050</v>
      </c>
      <c r="G151" s="1">
        <f t="shared" si="100"/>
        <v>3050</v>
      </c>
      <c r="I151" s="1">
        <v>1</v>
      </c>
      <c r="J151" s="1">
        <f t="shared" si="101"/>
        <v>9126</v>
      </c>
      <c r="K151" s="1">
        <f t="shared" si="102"/>
        <v>1825.2</v>
      </c>
      <c r="L151" s="1">
        <f t="shared" si="103"/>
        <v>1825.2</v>
      </c>
      <c r="M151" s="1">
        <v>1</v>
      </c>
      <c r="N151" s="1">
        <f t="shared" si="104"/>
        <v>41276</v>
      </c>
      <c r="O151" s="1">
        <f t="shared" si="105"/>
        <v>8255.2</v>
      </c>
      <c r="P151" s="1">
        <f t="shared" si="106"/>
        <v>8255.2</v>
      </c>
      <c r="Q151" s="1">
        <v>75</v>
      </c>
      <c r="R151" s="1">
        <v>150</v>
      </c>
      <c r="S151" s="1">
        <v>97.02</v>
      </c>
      <c r="T151" s="1">
        <v>11.92</v>
      </c>
      <c r="U151" s="1">
        <v>0.4172</v>
      </c>
      <c r="V151" s="1">
        <f t="shared" si="107"/>
        <v>370838.326618594</v>
      </c>
      <c r="W151" s="1">
        <f t="shared" si="108"/>
        <v>8255.2</v>
      </c>
      <c r="X151" s="1">
        <f t="shared" si="109"/>
        <v>8255.2</v>
      </c>
      <c r="Y151" s="1">
        <f t="shared" si="110"/>
        <v>37083.8326618594</v>
      </c>
      <c r="Z151" s="1">
        <f t="shared" si="111"/>
        <v>10</v>
      </c>
      <c r="AA151" s="1">
        <f t="shared" si="112"/>
        <v>4127.6</v>
      </c>
      <c r="AB151" s="1">
        <f t="shared" si="113"/>
        <v>10</v>
      </c>
      <c r="AC151" s="1">
        <f t="shared" si="114"/>
        <v>161.61173464884</v>
      </c>
      <c r="AD151" s="1">
        <f t="shared" si="115"/>
        <v>18.9774712643678</v>
      </c>
      <c r="AE151" s="1">
        <f t="shared" si="116"/>
        <v>18.9774712643678</v>
      </c>
      <c r="AF151" s="1">
        <f t="shared" si="139"/>
        <v>123612.775539531</v>
      </c>
      <c r="AG151" s="1">
        <f t="shared" si="140"/>
        <v>8255.2</v>
      </c>
      <c r="AH151" s="1">
        <f t="shared" si="141"/>
        <v>4127.6</v>
      </c>
      <c r="AI151" s="1">
        <f t="shared" si="117"/>
        <v>3.33333333333332</v>
      </c>
      <c r="AJ151" s="1">
        <f t="shared" si="118"/>
        <v>1375.86666666667</v>
      </c>
      <c r="AK151" s="1">
        <f t="shared" si="119"/>
        <v>29.9999999999999</v>
      </c>
      <c r="AX151" s="3"/>
      <c r="AY151" s="3"/>
      <c r="AZ151" s="3"/>
      <c r="BA151" s="3"/>
      <c r="BB151" s="3"/>
      <c r="BC151" s="3"/>
      <c r="BD151" s="4"/>
      <c r="BE151" s="4"/>
      <c r="BF151" s="4"/>
      <c r="BG151" s="4"/>
      <c r="BH151" s="4"/>
      <c r="BI151" s="4"/>
      <c r="BJ151" s="3"/>
      <c r="BK151" s="3"/>
      <c r="BT151" s="1">
        <v>150</v>
      </c>
      <c r="BU151" s="1">
        <f t="shared" si="120"/>
        <v>7175</v>
      </c>
      <c r="BV151" s="1">
        <f t="shared" si="121"/>
        <v>1435</v>
      </c>
      <c r="BX151" s="1">
        <f t="shared" si="122"/>
        <v>27.45</v>
      </c>
      <c r="BY151" s="1">
        <f t="shared" si="123"/>
        <v>55</v>
      </c>
      <c r="BZ151" s="1">
        <v>150</v>
      </c>
      <c r="CA151" s="1">
        <f t="shared" si="124"/>
        <v>9385.7</v>
      </c>
      <c r="CB151" s="1">
        <f t="shared" si="125"/>
        <v>1877</v>
      </c>
      <c r="CD151" s="1">
        <f t="shared" si="126"/>
        <v>39.917</v>
      </c>
      <c r="CE151" s="1">
        <f t="shared" si="127"/>
        <v>79.9</v>
      </c>
      <c r="CF151" s="1">
        <f t="shared" si="128"/>
        <v>46.94</v>
      </c>
      <c r="CG151" s="1">
        <v>150</v>
      </c>
      <c r="CH151" s="1">
        <f t="shared" si="129"/>
        <v>12043</v>
      </c>
      <c r="CI151" s="1">
        <f t="shared" si="130"/>
        <v>2408</v>
      </c>
      <c r="CK151" s="1">
        <f t="shared" si="131"/>
        <v>48.725</v>
      </c>
      <c r="CL151" s="1">
        <f t="shared" si="132"/>
        <v>97.5</v>
      </c>
      <c r="CM151" s="1">
        <f t="shared" si="133"/>
        <v>65.003</v>
      </c>
      <c r="CN151" s="1">
        <v>150</v>
      </c>
      <c r="CO151" s="1">
        <f t="shared" si="134"/>
        <v>14834</v>
      </c>
      <c r="CP151" s="1">
        <f t="shared" si="135"/>
        <v>2968</v>
      </c>
      <c r="CR151" s="1">
        <f t="shared" si="136"/>
        <v>63</v>
      </c>
      <c r="CS151" s="1">
        <f t="shared" si="137"/>
        <v>126</v>
      </c>
      <c r="CT151" s="1">
        <f t="shared" si="138"/>
        <v>83.7</v>
      </c>
    </row>
    <row r="152" spans="1:98">
      <c r="A152">
        <v>151</v>
      </c>
      <c r="B152" s="12">
        <v>17000</v>
      </c>
      <c r="C152" s="12">
        <v>3400</v>
      </c>
      <c r="D152" s="12">
        <v>3400</v>
      </c>
      <c r="E152" s="8">
        <f t="shared" si="98"/>
        <v>15350</v>
      </c>
      <c r="F152" s="8">
        <f t="shared" si="99"/>
        <v>3070</v>
      </c>
      <c r="G152" s="8">
        <f t="shared" si="100"/>
        <v>3070</v>
      </c>
      <c r="H152" s="12"/>
      <c r="I152" s="9">
        <v>1</v>
      </c>
      <c r="J152" s="8">
        <f t="shared" si="101"/>
        <v>9180</v>
      </c>
      <c r="K152" s="8">
        <f t="shared" si="102"/>
        <v>1836</v>
      </c>
      <c r="L152" s="8">
        <f t="shared" si="103"/>
        <v>1836</v>
      </c>
      <c r="M152" s="8">
        <v>1</v>
      </c>
      <c r="N152" s="8">
        <f t="shared" si="104"/>
        <v>41530</v>
      </c>
      <c r="O152" s="8">
        <f t="shared" si="105"/>
        <v>8306</v>
      </c>
      <c r="P152" s="8">
        <f t="shared" si="106"/>
        <v>8306</v>
      </c>
      <c r="Q152" s="12">
        <v>75</v>
      </c>
      <c r="R152" s="12">
        <v>150</v>
      </c>
      <c r="S152" s="12">
        <v>97.02</v>
      </c>
      <c r="T152" s="8">
        <v>11.92</v>
      </c>
      <c r="U152" s="8">
        <v>0.4172</v>
      </c>
      <c r="V152" s="8">
        <f t="shared" si="107"/>
        <v>373120.353340203</v>
      </c>
      <c r="W152" s="8">
        <f t="shared" si="108"/>
        <v>8306</v>
      </c>
      <c r="X152" s="8">
        <f t="shared" si="109"/>
        <v>8306</v>
      </c>
      <c r="Y152" s="8">
        <f t="shared" si="110"/>
        <v>37312.0353340203</v>
      </c>
      <c r="Z152" s="8">
        <f t="shared" si="111"/>
        <v>10</v>
      </c>
      <c r="AA152">
        <f t="shared" si="112"/>
        <v>4153</v>
      </c>
      <c r="AB152">
        <f t="shared" si="113"/>
        <v>10</v>
      </c>
      <c r="AC152">
        <f t="shared" si="114"/>
        <v>162.606244305803</v>
      </c>
      <c r="AD152">
        <f t="shared" si="115"/>
        <v>19.0942528735632</v>
      </c>
      <c r="AE152">
        <f t="shared" si="116"/>
        <v>19.0942528735632</v>
      </c>
      <c r="AF152">
        <f t="shared" si="139"/>
        <v>124373.451113401</v>
      </c>
      <c r="AG152">
        <f t="shared" si="140"/>
        <v>8306</v>
      </c>
      <c r="AH152">
        <f t="shared" si="141"/>
        <v>4153</v>
      </c>
      <c r="AI152">
        <f t="shared" si="117"/>
        <v>3.33333333333333</v>
      </c>
      <c r="AJ152">
        <f t="shared" si="118"/>
        <v>1384.33333333333</v>
      </c>
      <c r="AK152">
        <f t="shared" si="119"/>
        <v>30.0000000000001</v>
      </c>
      <c r="BT152">
        <v>151</v>
      </c>
      <c r="BU152">
        <f t="shared" si="120"/>
        <v>7189.6</v>
      </c>
      <c r="BV152">
        <f t="shared" si="121"/>
        <v>1437.92</v>
      </c>
      <c r="BX152">
        <f t="shared" si="122"/>
        <v>27.5</v>
      </c>
      <c r="BY152">
        <f t="shared" si="123"/>
        <v>55.1</v>
      </c>
      <c r="BZ152">
        <v>151</v>
      </c>
      <c r="CA152">
        <f t="shared" si="124"/>
        <v>9395</v>
      </c>
      <c r="CB152">
        <f t="shared" si="125"/>
        <v>1878.86</v>
      </c>
      <c r="CD152">
        <f t="shared" si="126"/>
        <v>39.95</v>
      </c>
      <c r="CE152">
        <f t="shared" si="127"/>
        <v>79.966</v>
      </c>
      <c r="CF152">
        <f t="shared" si="128"/>
        <v>47</v>
      </c>
      <c r="CG152">
        <v>151</v>
      </c>
      <c r="CH152">
        <f t="shared" si="129"/>
        <v>12050</v>
      </c>
      <c r="CI152">
        <f t="shared" si="130"/>
        <v>2409.4</v>
      </c>
      <c r="CK152">
        <f t="shared" si="131"/>
        <v>48.75</v>
      </c>
      <c r="CL152">
        <f t="shared" si="132"/>
        <v>97.55</v>
      </c>
      <c r="CM152">
        <f t="shared" si="133"/>
        <v>65.05</v>
      </c>
      <c r="CN152">
        <v>151</v>
      </c>
      <c r="CO152">
        <f t="shared" si="134"/>
        <v>14839.6</v>
      </c>
      <c r="CP152">
        <f t="shared" si="135"/>
        <v>2969.12</v>
      </c>
      <c r="CR152">
        <f t="shared" si="136"/>
        <v>63.02</v>
      </c>
      <c r="CS152">
        <f t="shared" si="137"/>
        <v>126.04</v>
      </c>
      <c r="CT152">
        <f t="shared" si="138"/>
        <v>83.738</v>
      </c>
    </row>
    <row r="153" spans="1:98">
      <c r="A153">
        <v>152</v>
      </c>
      <c r="B153" s="12">
        <v>17100</v>
      </c>
      <c r="C153" s="12">
        <v>3420</v>
      </c>
      <c r="D153" s="12">
        <v>3420</v>
      </c>
      <c r="E153" s="8">
        <f t="shared" si="98"/>
        <v>15450</v>
      </c>
      <c r="F153" s="8">
        <f t="shared" si="99"/>
        <v>3090</v>
      </c>
      <c r="G153" s="8">
        <f t="shared" si="100"/>
        <v>3090</v>
      </c>
      <c r="H153" s="12"/>
      <c r="I153" s="9">
        <v>1</v>
      </c>
      <c r="J153" s="8">
        <f t="shared" si="101"/>
        <v>9234</v>
      </c>
      <c r="K153" s="8">
        <f t="shared" si="102"/>
        <v>1846.8</v>
      </c>
      <c r="L153" s="8">
        <f t="shared" si="103"/>
        <v>1846.8</v>
      </c>
      <c r="M153" s="8">
        <v>1</v>
      </c>
      <c r="N153" s="8">
        <f t="shared" si="104"/>
        <v>41784</v>
      </c>
      <c r="O153" s="8">
        <f t="shared" si="105"/>
        <v>8356.8</v>
      </c>
      <c r="P153" s="8">
        <f t="shared" si="106"/>
        <v>8356.8</v>
      </c>
      <c r="Q153" s="12">
        <v>75</v>
      </c>
      <c r="R153" s="12">
        <v>150</v>
      </c>
      <c r="S153" s="12">
        <v>97.02</v>
      </c>
      <c r="T153" s="8">
        <v>11.92</v>
      </c>
      <c r="U153" s="8">
        <v>0.4172</v>
      </c>
      <c r="V153" s="8">
        <f t="shared" si="107"/>
        <v>375402.380061811</v>
      </c>
      <c r="W153" s="8">
        <f t="shared" si="108"/>
        <v>8356.8</v>
      </c>
      <c r="X153" s="8">
        <f t="shared" si="109"/>
        <v>8356.8</v>
      </c>
      <c r="Y153" s="8">
        <f t="shared" si="110"/>
        <v>37540.2380061811</v>
      </c>
      <c r="Z153" s="8">
        <f t="shared" si="111"/>
        <v>10</v>
      </c>
      <c r="AA153">
        <f t="shared" si="112"/>
        <v>4178.4</v>
      </c>
      <c r="AB153">
        <f t="shared" si="113"/>
        <v>10</v>
      </c>
      <c r="AC153">
        <f t="shared" si="114"/>
        <v>163.600753962766</v>
      </c>
      <c r="AD153">
        <f t="shared" si="115"/>
        <v>19.2110344827586</v>
      </c>
      <c r="AE153">
        <f t="shared" si="116"/>
        <v>19.2110344827586</v>
      </c>
      <c r="AF153">
        <f t="shared" si="139"/>
        <v>125134.12668727</v>
      </c>
      <c r="AG153">
        <f t="shared" si="140"/>
        <v>8356.8</v>
      </c>
      <c r="AH153">
        <f t="shared" si="141"/>
        <v>4178.4</v>
      </c>
      <c r="AI153">
        <f t="shared" si="117"/>
        <v>3.33333333333332</v>
      </c>
      <c r="AJ153">
        <f t="shared" si="118"/>
        <v>1392.8</v>
      </c>
      <c r="AK153">
        <f t="shared" si="119"/>
        <v>30</v>
      </c>
      <c r="BT153">
        <v>152</v>
      </c>
      <c r="BU153">
        <f t="shared" si="120"/>
        <v>7204.2</v>
      </c>
      <c r="BV153">
        <f t="shared" si="121"/>
        <v>1440.84</v>
      </c>
      <c r="BX153">
        <f t="shared" si="122"/>
        <v>27.55</v>
      </c>
      <c r="BY153">
        <f t="shared" si="123"/>
        <v>55.2</v>
      </c>
      <c r="BZ153">
        <v>152</v>
      </c>
      <c r="CA153">
        <f t="shared" si="124"/>
        <v>9404.3</v>
      </c>
      <c r="CB153">
        <f t="shared" si="125"/>
        <v>1880.72</v>
      </c>
      <c r="CD153">
        <f t="shared" si="126"/>
        <v>39.983</v>
      </c>
      <c r="CE153">
        <f t="shared" si="127"/>
        <v>80.032</v>
      </c>
      <c r="CF153">
        <f t="shared" si="128"/>
        <v>47.06</v>
      </c>
      <c r="CG153">
        <v>152</v>
      </c>
      <c r="CH153">
        <f t="shared" si="129"/>
        <v>12057</v>
      </c>
      <c r="CI153">
        <f t="shared" si="130"/>
        <v>2410.8</v>
      </c>
      <c r="CK153">
        <f t="shared" si="131"/>
        <v>48.775</v>
      </c>
      <c r="CL153">
        <f t="shared" si="132"/>
        <v>97.6</v>
      </c>
      <c r="CM153">
        <f t="shared" si="133"/>
        <v>65.097</v>
      </c>
      <c r="CN153">
        <v>152</v>
      </c>
      <c r="CO153">
        <f t="shared" si="134"/>
        <v>14845.2</v>
      </c>
      <c r="CP153">
        <f t="shared" si="135"/>
        <v>2970.24</v>
      </c>
      <c r="CR153">
        <f t="shared" si="136"/>
        <v>63.04</v>
      </c>
      <c r="CS153">
        <f t="shared" si="137"/>
        <v>126.08</v>
      </c>
      <c r="CT153">
        <f t="shared" si="138"/>
        <v>83.776</v>
      </c>
    </row>
    <row r="154" spans="1:98">
      <c r="A154">
        <v>153</v>
      </c>
      <c r="B154" s="12">
        <v>17200</v>
      </c>
      <c r="C154" s="12">
        <v>3440</v>
      </c>
      <c r="D154" s="12">
        <v>3440</v>
      </c>
      <c r="E154" s="8">
        <f t="shared" si="98"/>
        <v>15550</v>
      </c>
      <c r="F154" s="8">
        <f t="shared" si="99"/>
        <v>3110</v>
      </c>
      <c r="G154" s="8">
        <f t="shared" si="100"/>
        <v>3110</v>
      </c>
      <c r="H154" s="12"/>
      <c r="I154" s="9">
        <v>1</v>
      </c>
      <c r="J154" s="8">
        <f t="shared" si="101"/>
        <v>9288</v>
      </c>
      <c r="K154" s="8">
        <f t="shared" si="102"/>
        <v>1857.6</v>
      </c>
      <c r="L154" s="8">
        <f t="shared" si="103"/>
        <v>1857.6</v>
      </c>
      <c r="M154" s="8">
        <v>1</v>
      </c>
      <c r="N154" s="8">
        <f t="shared" si="104"/>
        <v>42038</v>
      </c>
      <c r="O154" s="8">
        <f t="shared" si="105"/>
        <v>8407.6</v>
      </c>
      <c r="P154" s="8">
        <f t="shared" si="106"/>
        <v>8407.6</v>
      </c>
      <c r="Q154" s="12">
        <v>75</v>
      </c>
      <c r="R154" s="12">
        <v>150</v>
      </c>
      <c r="S154" s="12">
        <v>97.02</v>
      </c>
      <c r="T154" s="8">
        <v>11.92</v>
      </c>
      <c r="U154" s="8">
        <v>0.4172</v>
      </c>
      <c r="V154" s="8">
        <f t="shared" si="107"/>
        <v>377684.40678342</v>
      </c>
      <c r="W154" s="8">
        <f t="shared" si="108"/>
        <v>8407.6</v>
      </c>
      <c r="X154" s="8">
        <f t="shared" si="109"/>
        <v>8407.6</v>
      </c>
      <c r="Y154" s="8">
        <f t="shared" si="110"/>
        <v>37768.440678342</v>
      </c>
      <c r="Z154" s="8">
        <f t="shared" si="111"/>
        <v>10</v>
      </c>
      <c r="AA154">
        <f t="shared" si="112"/>
        <v>4203.8</v>
      </c>
      <c r="AB154">
        <f t="shared" si="113"/>
        <v>10</v>
      </c>
      <c r="AC154">
        <f t="shared" si="114"/>
        <v>164.595263619729</v>
      </c>
      <c r="AD154">
        <f t="shared" si="115"/>
        <v>19.327816091954</v>
      </c>
      <c r="AE154">
        <f t="shared" si="116"/>
        <v>19.327816091954</v>
      </c>
      <c r="AF154">
        <f t="shared" si="139"/>
        <v>125894.80226114</v>
      </c>
      <c r="AG154">
        <f t="shared" si="140"/>
        <v>8407.6</v>
      </c>
      <c r="AH154">
        <f t="shared" si="141"/>
        <v>4203.8</v>
      </c>
      <c r="AI154">
        <f t="shared" si="117"/>
        <v>3.33333333333333</v>
      </c>
      <c r="AJ154">
        <f t="shared" si="118"/>
        <v>1401.26666666667</v>
      </c>
      <c r="AK154">
        <f t="shared" si="119"/>
        <v>29.9999999999999</v>
      </c>
      <c r="BT154">
        <v>153</v>
      </c>
      <c r="BU154">
        <f t="shared" si="120"/>
        <v>7218.8</v>
      </c>
      <c r="BV154">
        <f t="shared" si="121"/>
        <v>1443.76</v>
      </c>
      <c r="BX154">
        <f t="shared" si="122"/>
        <v>27.6</v>
      </c>
      <c r="BY154">
        <f t="shared" si="123"/>
        <v>55.3</v>
      </c>
      <c r="BZ154">
        <v>153</v>
      </c>
      <c r="CA154">
        <f t="shared" si="124"/>
        <v>9413.6</v>
      </c>
      <c r="CB154">
        <f t="shared" si="125"/>
        <v>1882.58</v>
      </c>
      <c r="CD154">
        <f t="shared" si="126"/>
        <v>40.016</v>
      </c>
      <c r="CE154">
        <f t="shared" si="127"/>
        <v>80.098</v>
      </c>
      <c r="CF154">
        <f t="shared" si="128"/>
        <v>47.12</v>
      </c>
      <c r="CG154">
        <v>153</v>
      </c>
      <c r="CH154">
        <f t="shared" si="129"/>
        <v>12064</v>
      </c>
      <c r="CI154">
        <f t="shared" si="130"/>
        <v>2412.2</v>
      </c>
      <c r="CK154">
        <f t="shared" si="131"/>
        <v>48.8</v>
      </c>
      <c r="CL154">
        <f t="shared" si="132"/>
        <v>97.65</v>
      </c>
      <c r="CM154">
        <f t="shared" si="133"/>
        <v>65.144</v>
      </c>
      <c r="CN154">
        <v>153</v>
      </c>
      <c r="CO154">
        <f t="shared" si="134"/>
        <v>14850.8</v>
      </c>
      <c r="CP154">
        <f t="shared" si="135"/>
        <v>2971.36</v>
      </c>
      <c r="CR154">
        <f t="shared" si="136"/>
        <v>63.06</v>
      </c>
      <c r="CS154">
        <f t="shared" si="137"/>
        <v>126.12</v>
      </c>
      <c r="CT154">
        <f t="shared" si="138"/>
        <v>83.814</v>
      </c>
    </row>
    <row r="155" spans="1:98">
      <c r="A155">
        <v>154</v>
      </c>
      <c r="B155" s="12">
        <v>17300</v>
      </c>
      <c r="C155" s="12">
        <v>3460</v>
      </c>
      <c r="D155" s="12">
        <v>3460</v>
      </c>
      <c r="E155" s="8">
        <f t="shared" si="98"/>
        <v>15650</v>
      </c>
      <c r="F155" s="8">
        <f t="shared" si="99"/>
        <v>3130</v>
      </c>
      <c r="G155" s="8">
        <f t="shared" si="100"/>
        <v>3130</v>
      </c>
      <c r="H155" s="12"/>
      <c r="I155" s="9">
        <v>1</v>
      </c>
      <c r="J155" s="8">
        <f t="shared" si="101"/>
        <v>9342</v>
      </c>
      <c r="K155" s="8">
        <f t="shared" si="102"/>
        <v>1868.4</v>
      </c>
      <c r="L155" s="8">
        <f t="shared" si="103"/>
        <v>1868.4</v>
      </c>
      <c r="M155" s="8">
        <v>1</v>
      </c>
      <c r="N155" s="8">
        <f t="shared" si="104"/>
        <v>42292</v>
      </c>
      <c r="O155" s="8">
        <f t="shared" si="105"/>
        <v>8458.4</v>
      </c>
      <c r="P155" s="8">
        <f t="shared" si="106"/>
        <v>8458.4</v>
      </c>
      <c r="Q155" s="12">
        <v>75</v>
      </c>
      <c r="R155" s="12">
        <v>150</v>
      </c>
      <c r="S155" s="12">
        <v>97.02</v>
      </c>
      <c r="T155" s="8">
        <v>11.92</v>
      </c>
      <c r="U155" s="8">
        <v>0.4172</v>
      </c>
      <c r="V155" s="8">
        <f t="shared" si="107"/>
        <v>379966.433505029</v>
      </c>
      <c r="W155" s="8">
        <f t="shared" si="108"/>
        <v>8458.4</v>
      </c>
      <c r="X155" s="8">
        <f t="shared" si="109"/>
        <v>8458.4</v>
      </c>
      <c r="Y155" s="8">
        <f t="shared" si="110"/>
        <v>37996.6433505029</v>
      </c>
      <c r="Z155" s="8">
        <f t="shared" si="111"/>
        <v>10</v>
      </c>
      <c r="AA155">
        <f t="shared" si="112"/>
        <v>4229.2</v>
      </c>
      <c r="AB155">
        <f t="shared" si="113"/>
        <v>10</v>
      </c>
      <c r="AC155">
        <f t="shared" si="114"/>
        <v>165.589773276692</v>
      </c>
      <c r="AD155">
        <f t="shared" si="115"/>
        <v>19.4445977011494</v>
      </c>
      <c r="AE155">
        <f t="shared" si="116"/>
        <v>19.4445977011494</v>
      </c>
      <c r="AF155">
        <f t="shared" si="139"/>
        <v>126655.47783501</v>
      </c>
      <c r="AG155">
        <f t="shared" si="140"/>
        <v>8458.4</v>
      </c>
      <c r="AH155">
        <f t="shared" si="141"/>
        <v>4229.2</v>
      </c>
      <c r="AI155">
        <f t="shared" si="117"/>
        <v>3.33333333333334</v>
      </c>
      <c r="AJ155">
        <f t="shared" si="118"/>
        <v>1409.73333333333</v>
      </c>
      <c r="AK155">
        <f t="shared" si="119"/>
        <v>30.0000000000001</v>
      </c>
      <c r="BT155">
        <v>154</v>
      </c>
      <c r="BU155">
        <f t="shared" si="120"/>
        <v>7233.4</v>
      </c>
      <c r="BV155">
        <f t="shared" si="121"/>
        <v>1446.68</v>
      </c>
      <c r="BX155">
        <f t="shared" si="122"/>
        <v>27.65</v>
      </c>
      <c r="BY155">
        <f t="shared" si="123"/>
        <v>55.4</v>
      </c>
      <c r="BZ155">
        <v>154</v>
      </c>
      <c r="CA155">
        <f t="shared" si="124"/>
        <v>9422.9</v>
      </c>
      <c r="CB155">
        <f t="shared" si="125"/>
        <v>1884.44</v>
      </c>
      <c r="CD155">
        <f t="shared" si="126"/>
        <v>40.049</v>
      </c>
      <c r="CE155">
        <f t="shared" si="127"/>
        <v>80.164</v>
      </c>
      <c r="CF155">
        <f t="shared" si="128"/>
        <v>47.18</v>
      </c>
      <c r="CG155">
        <v>154</v>
      </c>
      <c r="CH155">
        <f t="shared" si="129"/>
        <v>12071</v>
      </c>
      <c r="CI155">
        <f t="shared" si="130"/>
        <v>2413.6</v>
      </c>
      <c r="CK155">
        <f t="shared" si="131"/>
        <v>48.825</v>
      </c>
      <c r="CL155">
        <f t="shared" si="132"/>
        <v>97.7</v>
      </c>
      <c r="CM155">
        <f t="shared" si="133"/>
        <v>65.191</v>
      </c>
      <c r="CN155">
        <v>154</v>
      </c>
      <c r="CO155">
        <f t="shared" si="134"/>
        <v>14856.4</v>
      </c>
      <c r="CP155">
        <f t="shared" si="135"/>
        <v>2972.48</v>
      </c>
      <c r="CR155">
        <f t="shared" si="136"/>
        <v>63.08</v>
      </c>
      <c r="CS155">
        <f t="shared" si="137"/>
        <v>126.16</v>
      </c>
      <c r="CT155">
        <f t="shared" si="138"/>
        <v>83.852</v>
      </c>
    </row>
    <row r="156" spans="1:98">
      <c r="A156">
        <v>155</v>
      </c>
      <c r="B156" s="12">
        <v>17400</v>
      </c>
      <c r="C156" s="12">
        <v>3480</v>
      </c>
      <c r="D156" s="12">
        <v>3480</v>
      </c>
      <c r="E156" s="8">
        <f t="shared" si="98"/>
        <v>15750</v>
      </c>
      <c r="F156" s="8">
        <f t="shared" si="99"/>
        <v>3150</v>
      </c>
      <c r="G156" s="8">
        <f t="shared" si="100"/>
        <v>3150</v>
      </c>
      <c r="H156" s="12"/>
      <c r="I156" s="9">
        <v>1</v>
      </c>
      <c r="J156" s="8">
        <f t="shared" si="101"/>
        <v>9396</v>
      </c>
      <c r="K156" s="8">
        <f t="shared" si="102"/>
        <v>1879.2</v>
      </c>
      <c r="L156" s="8">
        <f t="shared" si="103"/>
        <v>1879.2</v>
      </c>
      <c r="M156" s="8">
        <v>1</v>
      </c>
      <c r="N156" s="8">
        <f t="shared" si="104"/>
        <v>42546</v>
      </c>
      <c r="O156" s="8">
        <f t="shared" si="105"/>
        <v>8509.2</v>
      </c>
      <c r="P156" s="8">
        <f t="shared" si="106"/>
        <v>8509.2</v>
      </c>
      <c r="Q156" s="12">
        <v>75</v>
      </c>
      <c r="R156" s="12">
        <v>150</v>
      </c>
      <c r="S156" s="12">
        <v>97.02</v>
      </c>
      <c r="T156" s="8">
        <v>11.92</v>
      </c>
      <c r="U156" s="8">
        <v>0.4172</v>
      </c>
      <c r="V156" s="8">
        <f t="shared" si="107"/>
        <v>382248.460226638</v>
      </c>
      <c r="W156" s="8">
        <f t="shared" si="108"/>
        <v>8509.2</v>
      </c>
      <c r="X156" s="8">
        <f t="shared" si="109"/>
        <v>8509.2</v>
      </c>
      <c r="Y156" s="8">
        <f t="shared" si="110"/>
        <v>38224.8460226638</v>
      </c>
      <c r="Z156" s="8">
        <f t="shared" si="111"/>
        <v>10</v>
      </c>
      <c r="AA156">
        <f t="shared" si="112"/>
        <v>4254.6</v>
      </c>
      <c r="AB156">
        <f t="shared" si="113"/>
        <v>10</v>
      </c>
      <c r="AC156">
        <f t="shared" si="114"/>
        <v>166.584282933655</v>
      </c>
      <c r="AD156">
        <f t="shared" si="115"/>
        <v>19.5613793103448</v>
      </c>
      <c r="AE156">
        <f t="shared" si="116"/>
        <v>19.5613793103448</v>
      </c>
      <c r="AF156">
        <f t="shared" si="139"/>
        <v>127416.153408879</v>
      </c>
      <c r="AG156">
        <f t="shared" si="140"/>
        <v>8509.2</v>
      </c>
      <c r="AH156">
        <f t="shared" si="141"/>
        <v>4254.6</v>
      </c>
      <c r="AI156">
        <f t="shared" si="117"/>
        <v>3.33333333333333</v>
      </c>
      <c r="AJ156">
        <f t="shared" si="118"/>
        <v>1418.2</v>
      </c>
      <c r="AK156">
        <f t="shared" si="119"/>
        <v>30</v>
      </c>
      <c r="BT156">
        <v>155</v>
      </c>
      <c r="BU156">
        <f t="shared" si="120"/>
        <v>7248</v>
      </c>
      <c r="BV156">
        <f t="shared" si="121"/>
        <v>1449.6</v>
      </c>
      <c r="BX156">
        <f t="shared" si="122"/>
        <v>27.7</v>
      </c>
      <c r="BY156">
        <f t="shared" si="123"/>
        <v>55.5</v>
      </c>
      <c r="BZ156">
        <v>155</v>
      </c>
      <c r="CA156">
        <f t="shared" si="124"/>
        <v>9432.2</v>
      </c>
      <c r="CB156">
        <f t="shared" si="125"/>
        <v>1886.3</v>
      </c>
      <c r="CD156">
        <f t="shared" si="126"/>
        <v>40.082</v>
      </c>
      <c r="CE156">
        <f t="shared" si="127"/>
        <v>80.23</v>
      </c>
      <c r="CF156">
        <f t="shared" si="128"/>
        <v>47.24</v>
      </c>
      <c r="CG156">
        <v>155</v>
      </c>
      <c r="CH156">
        <f t="shared" si="129"/>
        <v>12078</v>
      </c>
      <c r="CI156">
        <f t="shared" si="130"/>
        <v>2415</v>
      </c>
      <c r="CK156">
        <f t="shared" si="131"/>
        <v>48.85</v>
      </c>
      <c r="CL156">
        <f t="shared" si="132"/>
        <v>97.75</v>
      </c>
      <c r="CM156">
        <f t="shared" si="133"/>
        <v>65.238</v>
      </c>
      <c r="CN156">
        <v>155</v>
      </c>
      <c r="CO156">
        <f t="shared" si="134"/>
        <v>14862</v>
      </c>
      <c r="CP156">
        <f t="shared" si="135"/>
        <v>2973.6</v>
      </c>
      <c r="CR156">
        <f t="shared" si="136"/>
        <v>63.1</v>
      </c>
      <c r="CS156">
        <f t="shared" si="137"/>
        <v>126.2</v>
      </c>
      <c r="CT156">
        <f t="shared" si="138"/>
        <v>83.89</v>
      </c>
    </row>
    <row r="157" spans="1:98">
      <c r="A157">
        <v>156</v>
      </c>
      <c r="B157" s="12">
        <v>17500</v>
      </c>
      <c r="C157" s="12">
        <v>3500</v>
      </c>
      <c r="D157" s="12">
        <v>3500</v>
      </c>
      <c r="E157" s="8">
        <f t="shared" si="98"/>
        <v>15850</v>
      </c>
      <c r="F157" s="8">
        <f t="shared" si="99"/>
        <v>3170</v>
      </c>
      <c r="G157" s="8">
        <f t="shared" si="100"/>
        <v>3170</v>
      </c>
      <c r="H157" s="12"/>
      <c r="I157" s="9">
        <v>1</v>
      </c>
      <c r="J157" s="8">
        <f t="shared" si="101"/>
        <v>9450</v>
      </c>
      <c r="K157" s="8">
        <f t="shared" si="102"/>
        <v>1890</v>
      </c>
      <c r="L157" s="8">
        <f t="shared" si="103"/>
        <v>1890</v>
      </c>
      <c r="M157" s="8">
        <v>1</v>
      </c>
      <c r="N157" s="8">
        <f t="shared" si="104"/>
        <v>42800</v>
      </c>
      <c r="O157" s="8">
        <f t="shared" si="105"/>
        <v>8560</v>
      </c>
      <c r="P157" s="8">
        <f t="shared" si="106"/>
        <v>8560</v>
      </c>
      <c r="Q157" s="12">
        <v>75</v>
      </c>
      <c r="R157" s="12">
        <v>150</v>
      </c>
      <c r="S157" s="12">
        <v>97.02</v>
      </c>
      <c r="T157" s="8">
        <v>11.92</v>
      </c>
      <c r="U157" s="8">
        <v>0.4172</v>
      </c>
      <c r="V157" s="8">
        <f t="shared" si="107"/>
        <v>384530.486948246</v>
      </c>
      <c r="W157" s="8">
        <f t="shared" si="108"/>
        <v>8560</v>
      </c>
      <c r="X157" s="8">
        <f t="shared" si="109"/>
        <v>8560</v>
      </c>
      <c r="Y157" s="8">
        <f t="shared" si="110"/>
        <v>38453.0486948246</v>
      </c>
      <c r="Z157" s="8">
        <f t="shared" si="111"/>
        <v>10</v>
      </c>
      <c r="AA157">
        <f t="shared" si="112"/>
        <v>4280</v>
      </c>
      <c r="AB157">
        <f t="shared" si="113"/>
        <v>10</v>
      </c>
      <c r="AC157">
        <f t="shared" si="114"/>
        <v>167.578792590618</v>
      </c>
      <c r="AD157">
        <f t="shared" si="115"/>
        <v>19.6781609195402</v>
      </c>
      <c r="AE157">
        <f t="shared" si="116"/>
        <v>19.6781609195402</v>
      </c>
      <c r="AF157">
        <f t="shared" si="139"/>
        <v>128176.828982749</v>
      </c>
      <c r="AG157">
        <f t="shared" si="140"/>
        <v>8560</v>
      </c>
      <c r="AH157">
        <f t="shared" si="141"/>
        <v>4280</v>
      </c>
      <c r="AI157">
        <f t="shared" si="117"/>
        <v>3.33333333333334</v>
      </c>
      <c r="AJ157">
        <f t="shared" si="118"/>
        <v>1426.66666666667</v>
      </c>
      <c r="AK157">
        <f t="shared" si="119"/>
        <v>29.9999999999999</v>
      </c>
      <c r="BT157">
        <v>156</v>
      </c>
      <c r="BU157">
        <f t="shared" si="120"/>
        <v>7262.6</v>
      </c>
      <c r="BV157">
        <f t="shared" si="121"/>
        <v>1452.52</v>
      </c>
      <c r="BX157">
        <f t="shared" si="122"/>
        <v>27.75</v>
      </c>
      <c r="BY157">
        <f t="shared" si="123"/>
        <v>55.6</v>
      </c>
      <c r="BZ157">
        <v>156</v>
      </c>
      <c r="CA157">
        <f t="shared" si="124"/>
        <v>9441.5</v>
      </c>
      <c r="CB157">
        <f t="shared" si="125"/>
        <v>1888.16</v>
      </c>
      <c r="CD157">
        <f t="shared" si="126"/>
        <v>40.115</v>
      </c>
      <c r="CE157">
        <f t="shared" si="127"/>
        <v>80.296</v>
      </c>
      <c r="CF157">
        <f t="shared" si="128"/>
        <v>47.3</v>
      </c>
      <c r="CG157">
        <v>156</v>
      </c>
      <c r="CH157">
        <f t="shared" si="129"/>
        <v>12085</v>
      </c>
      <c r="CI157">
        <f t="shared" si="130"/>
        <v>2416.4</v>
      </c>
      <c r="CK157">
        <f t="shared" si="131"/>
        <v>48.875</v>
      </c>
      <c r="CL157">
        <f t="shared" si="132"/>
        <v>97.8</v>
      </c>
      <c r="CM157">
        <f t="shared" si="133"/>
        <v>65.285</v>
      </c>
      <c r="CN157">
        <v>156</v>
      </c>
      <c r="CO157">
        <f t="shared" si="134"/>
        <v>14867.6</v>
      </c>
      <c r="CP157">
        <f t="shared" si="135"/>
        <v>2974.72</v>
      </c>
      <c r="CR157">
        <f t="shared" si="136"/>
        <v>63.12</v>
      </c>
      <c r="CS157">
        <f t="shared" si="137"/>
        <v>126.24</v>
      </c>
      <c r="CT157">
        <f t="shared" si="138"/>
        <v>83.928</v>
      </c>
    </row>
    <row r="158" spans="1:98">
      <c r="A158">
        <v>157</v>
      </c>
      <c r="B158" s="12">
        <v>17600</v>
      </c>
      <c r="C158" s="12">
        <v>3520</v>
      </c>
      <c r="D158" s="12">
        <v>3520</v>
      </c>
      <c r="E158" s="8">
        <f t="shared" si="98"/>
        <v>15950</v>
      </c>
      <c r="F158" s="8">
        <f t="shared" si="99"/>
        <v>3190</v>
      </c>
      <c r="G158" s="8">
        <f t="shared" si="100"/>
        <v>3190</v>
      </c>
      <c r="H158" s="12"/>
      <c r="I158" s="9">
        <v>1</v>
      </c>
      <c r="J158" s="8">
        <f t="shared" si="101"/>
        <v>9504</v>
      </c>
      <c r="K158" s="8">
        <f t="shared" si="102"/>
        <v>1900.8</v>
      </c>
      <c r="L158" s="8">
        <f t="shared" si="103"/>
        <v>1900.8</v>
      </c>
      <c r="M158" s="8">
        <v>1</v>
      </c>
      <c r="N158" s="8">
        <f t="shared" si="104"/>
        <v>43054</v>
      </c>
      <c r="O158" s="8">
        <f t="shared" si="105"/>
        <v>8610.8</v>
      </c>
      <c r="P158" s="8">
        <f t="shared" si="106"/>
        <v>8610.8</v>
      </c>
      <c r="Q158" s="12">
        <v>75</v>
      </c>
      <c r="R158" s="12">
        <v>150</v>
      </c>
      <c r="S158" s="12">
        <v>97.02</v>
      </c>
      <c r="T158" s="8">
        <v>11.92</v>
      </c>
      <c r="U158" s="8">
        <v>0.4172</v>
      </c>
      <c r="V158" s="8">
        <f t="shared" si="107"/>
        <v>386812.513669855</v>
      </c>
      <c r="W158" s="8">
        <f t="shared" si="108"/>
        <v>8610.8</v>
      </c>
      <c r="X158" s="8">
        <f t="shared" si="109"/>
        <v>8610.8</v>
      </c>
      <c r="Y158" s="8">
        <f t="shared" si="110"/>
        <v>38681.2513669855</v>
      </c>
      <c r="Z158" s="8">
        <f t="shared" si="111"/>
        <v>10</v>
      </c>
      <c r="AA158">
        <f t="shared" si="112"/>
        <v>4305.4</v>
      </c>
      <c r="AB158">
        <f t="shared" si="113"/>
        <v>10</v>
      </c>
      <c r="AC158">
        <f t="shared" si="114"/>
        <v>168.573302247581</v>
      </c>
      <c r="AD158">
        <f t="shared" si="115"/>
        <v>19.7949425287356</v>
      </c>
      <c r="AE158">
        <f t="shared" si="116"/>
        <v>19.7949425287356</v>
      </c>
      <c r="AF158">
        <f t="shared" si="139"/>
        <v>128937.504556618</v>
      </c>
      <c r="AG158">
        <f t="shared" si="140"/>
        <v>8610.8</v>
      </c>
      <c r="AH158">
        <f t="shared" si="141"/>
        <v>4305.4</v>
      </c>
      <c r="AI158">
        <f t="shared" si="117"/>
        <v>3.33333333333332</v>
      </c>
      <c r="AJ158">
        <f t="shared" si="118"/>
        <v>1435.13333333333</v>
      </c>
      <c r="AK158">
        <f t="shared" si="119"/>
        <v>30.0000000000001</v>
      </c>
      <c r="BT158">
        <v>157</v>
      </c>
      <c r="BU158">
        <f t="shared" si="120"/>
        <v>7277.2</v>
      </c>
      <c r="BV158">
        <f t="shared" si="121"/>
        <v>1455.44</v>
      </c>
      <c r="BX158">
        <f t="shared" si="122"/>
        <v>27.8</v>
      </c>
      <c r="BY158">
        <f t="shared" si="123"/>
        <v>55.7</v>
      </c>
      <c r="BZ158">
        <v>157</v>
      </c>
      <c r="CA158">
        <f t="shared" si="124"/>
        <v>9450.8</v>
      </c>
      <c r="CB158">
        <f t="shared" si="125"/>
        <v>1890.02</v>
      </c>
      <c r="CD158">
        <f t="shared" si="126"/>
        <v>40.148</v>
      </c>
      <c r="CE158">
        <f t="shared" si="127"/>
        <v>80.362</v>
      </c>
      <c r="CF158">
        <f t="shared" si="128"/>
        <v>47.36</v>
      </c>
      <c r="CG158">
        <v>157</v>
      </c>
      <c r="CH158">
        <f t="shared" si="129"/>
        <v>12092</v>
      </c>
      <c r="CI158">
        <f t="shared" si="130"/>
        <v>2417.8</v>
      </c>
      <c r="CK158">
        <f t="shared" si="131"/>
        <v>48.9</v>
      </c>
      <c r="CL158">
        <f t="shared" si="132"/>
        <v>97.85</v>
      </c>
      <c r="CM158">
        <f t="shared" si="133"/>
        <v>65.332</v>
      </c>
      <c r="CN158">
        <v>157</v>
      </c>
      <c r="CO158">
        <f t="shared" si="134"/>
        <v>14873.2</v>
      </c>
      <c r="CP158">
        <f t="shared" si="135"/>
        <v>2975.84</v>
      </c>
      <c r="CR158">
        <f t="shared" si="136"/>
        <v>63.14</v>
      </c>
      <c r="CS158">
        <f t="shared" si="137"/>
        <v>126.28</v>
      </c>
      <c r="CT158">
        <f t="shared" si="138"/>
        <v>83.966</v>
      </c>
    </row>
    <row r="159" spans="1:98">
      <c r="A159">
        <v>158</v>
      </c>
      <c r="B159" s="12">
        <v>17700</v>
      </c>
      <c r="C159" s="12">
        <v>3540</v>
      </c>
      <c r="D159" s="12">
        <v>3540</v>
      </c>
      <c r="E159" s="8">
        <f t="shared" si="98"/>
        <v>16050</v>
      </c>
      <c r="F159" s="8">
        <f t="shared" si="99"/>
        <v>3210</v>
      </c>
      <c r="G159" s="8">
        <f t="shared" si="100"/>
        <v>3210</v>
      </c>
      <c r="H159" s="12"/>
      <c r="I159" s="9">
        <v>1</v>
      </c>
      <c r="J159" s="8">
        <f t="shared" si="101"/>
        <v>9558</v>
      </c>
      <c r="K159" s="8">
        <f t="shared" si="102"/>
        <v>1911.6</v>
      </c>
      <c r="L159" s="8">
        <f t="shared" si="103"/>
        <v>1911.6</v>
      </c>
      <c r="M159" s="8">
        <v>1</v>
      </c>
      <c r="N159" s="8">
        <f t="shared" si="104"/>
        <v>43308</v>
      </c>
      <c r="O159" s="8">
        <f t="shared" si="105"/>
        <v>8661.6</v>
      </c>
      <c r="P159" s="8">
        <f t="shared" si="106"/>
        <v>8661.6</v>
      </c>
      <c r="Q159" s="12">
        <v>75</v>
      </c>
      <c r="R159" s="12">
        <v>150</v>
      </c>
      <c r="S159" s="12">
        <v>97.02</v>
      </c>
      <c r="T159" s="8">
        <v>11.92</v>
      </c>
      <c r="U159" s="8">
        <v>0.4172</v>
      </c>
      <c r="V159" s="8">
        <f t="shared" si="107"/>
        <v>389094.540391464</v>
      </c>
      <c r="W159" s="8">
        <f t="shared" si="108"/>
        <v>8661.6</v>
      </c>
      <c r="X159" s="8">
        <f t="shared" si="109"/>
        <v>8661.6</v>
      </c>
      <c r="Y159" s="8">
        <f t="shared" si="110"/>
        <v>38909.4540391464</v>
      </c>
      <c r="Z159" s="8">
        <f t="shared" si="111"/>
        <v>10</v>
      </c>
      <c r="AA159">
        <f t="shared" si="112"/>
        <v>4330.8</v>
      </c>
      <c r="AB159">
        <f t="shared" si="113"/>
        <v>10</v>
      </c>
      <c r="AC159">
        <f t="shared" si="114"/>
        <v>169.567811904544</v>
      </c>
      <c r="AD159">
        <f t="shared" si="115"/>
        <v>19.911724137931</v>
      </c>
      <c r="AE159">
        <f t="shared" si="116"/>
        <v>19.911724137931</v>
      </c>
      <c r="AF159">
        <f t="shared" si="139"/>
        <v>129698.180130488</v>
      </c>
      <c r="AG159">
        <f t="shared" si="140"/>
        <v>8661.6</v>
      </c>
      <c r="AH159">
        <f t="shared" si="141"/>
        <v>4330.8</v>
      </c>
      <c r="AI159">
        <f t="shared" si="117"/>
        <v>3.33333333333333</v>
      </c>
      <c r="AJ159">
        <f t="shared" si="118"/>
        <v>1443.6</v>
      </c>
      <c r="AK159">
        <f t="shared" si="119"/>
        <v>30</v>
      </c>
      <c r="BT159">
        <v>158</v>
      </c>
      <c r="BU159">
        <f t="shared" si="120"/>
        <v>7291.8</v>
      </c>
      <c r="BV159">
        <f t="shared" si="121"/>
        <v>1458.36</v>
      </c>
      <c r="BX159">
        <f t="shared" si="122"/>
        <v>27.85</v>
      </c>
      <c r="BY159">
        <f t="shared" si="123"/>
        <v>55.8</v>
      </c>
      <c r="BZ159">
        <v>158</v>
      </c>
      <c r="CA159">
        <f t="shared" si="124"/>
        <v>9460.1</v>
      </c>
      <c r="CB159">
        <f t="shared" si="125"/>
        <v>1891.88</v>
      </c>
      <c r="CD159">
        <f t="shared" si="126"/>
        <v>40.181</v>
      </c>
      <c r="CE159">
        <f t="shared" si="127"/>
        <v>80.428</v>
      </c>
      <c r="CF159">
        <f t="shared" si="128"/>
        <v>47.42</v>
      </c>
      <c r="CG159">
        <v>158</v>
      </c>
      <c r="CH159">
        <f t="shared" si="129"/>
        <v>12099</v>
      </c>
      <c r="CI159">
        <f t="shared" si="130"/>
        <v>2419.2</v>
      </c>
      <c r="CK159">
        <f t="shared" si="131"/>
        <v>48.925</v>
      </c>
      <c r="CL159">
        <f t="shared" si="132"/>
        <v>97.9</v>
      </c>
      <c r="CM159">
        <f t="shared" si="133"/>
        <v>65.379</v>
      </c>
      <c r="CN159">
        <v>158</v>
      </c>
      <c r="CO159">
        <f t="shared" si="134"/>
        <v>14878.8</v>
      </c>
      <c r="CP159">
        <f t="shared" si="135"/>
        <v>2976.96</v>
      </c>
      <c r="CR159">
        <f t="shared" si="136"/>
        <v>63.16</v>
      </c>
      <c r="CS159">
        <f t="shared" si="137"/>
        <v>126.32</v>
      </c>
      <c r="CT159">
        <f t="shared" si="138"/>
        <v>84.004</v>
      </c>
    </row>
    <row r="160" spans="1:98">
      <c r="A160">
        <v>159</v>
      </c>
      <c r="B160" s="12">
        <v>17800</v>
      </c>
      <c r="C160" s="12">
        <v>3560</v>
      </c>
      <c r="D160" s="12">
        <v>3560</v>
      </c>
      <c r="E160" s="8">
        <f t="shared" si="98"/>
        <v>16150</v>
      </c>
      <c r="F160" s="8">
        <f t="shared" si="99"/>
        <v>3230</v>
      </c>
      <c r="G160" s="8">
        <f t="shared" si="100"/>
        <v>3230</v>
      </c>
      <c r="H160" s="12"/>
      <c r="I160" s="9">
        <v>1</v>
      </c>
      <c r="J160" s="8">
        <f t="shared" si="101"/>
        <v>9612</v>
      </c>
      <c r="K160" s="8">
        <f t="shared" si="102"/>
        <v>1922.4</v>
      </c>
      <c r="L160" s="8">
        <f t="shared" si="103"/>
        <v>1922.4</v>
      </c>
      <c r="M160" s="8">
        <v>1</v>
      </c>
      <c r="N160" s="8">
        <f t="shared" si="104"/>
        <v>43562</v>
      </c>
      <c r="O160" s="8">
        <f t="shared" si="105"/>
        <v>8712.4</v>
      </c>
      <c r="P160" s="8">
        <f t="shared" si="106"/>
        <v>8712.4</v>
      </c>
      <c r="Q160" s="12">
        <v>75</v>
      </c>
      <c r="R160" s="12">
        <v>150</v>
      </c>
      <c r="S160" s="12">
        <v>97.02</v>
      </c>
      <c r="T160" s="8">
        <v>11.92</v>
      </c>
      <c r="U160" s="8">
        <v>0.4172</v>
      </c>
      <c r="V160" s="8">
        <f t="shared" si="107"/>
        <v>391376.567113073</v>
      </c>
      <c r="W160" s="8">
        <f t="shared" si="108"/>
        <v>8712.4</v>
      </c>
      <c r="X160" s="8">
        <f t="shared" si="109"/>
        <v>8712.4</v>
      </c>
      <c r="Y160" s="8">
        <f t="shared" si="110"/>
        <v>39137.6567113073</v>
      </c>
      <c r="Z160" s="8">
        <f t="shared" si="111"/>
        <v>10</v>
      </c>
      <c r="AA160">
        <f t="shared" si="112"/>
        <v>4356.2</v>
      </c>
      <c r="AB160">
        <f t="shared" si="113"/>
        <v>10</v>
      </c>
      <c r="AC160">
        <f t="shared" si="114"/>
        <v>170.562321561507</v>
      </c>
      <c r="AD160">
        <f t="shared" si="115"/>
        <v>20.0285057471264</v>
      </c>
      <c r="AE160">
        <f t="shared" si="116"/>
        <v>20.0285057471264</v>
      </c>
      <c r="AF160">
        <f t="shared" si="139"/>
        <v>130458.855704358</v>
      </c>
      <c r="AG160">
        <f t="shared" si="140"/>
        <v>8712.4</v>
      </c>
      <c r="AH160">
        <f t="shared" si="141"/>
        <v>4356.2</v>
      </c>
      <c r="AI160">
        <f t="shared" si="117"/>
        <v>3.33333333333334</v>
      </c>
      <c r="AJ160">
        <f t="shared" si="118"/>
        <v>1452.06666666667</v>
      </c>
      <c r="AK160">
        <f t="shared" si="119"/>
        <v>29.9999999999999</v>
      </c>
      <c r="BT160">
        <v>159</v>
      </c>
      <c r="BU160">
        <f t="shared" si="120"/>
        <v>7306.4</v>
      </c>
      <c r="BV160">
        <f t="shared" si="121"/>
        <v>1461.28</v>
      </c>
      <c r="BX160">
        <f t="shared" si="122"/>
        <v>27.9</v>
      </c>
      <c r="BY160">
        <f t="shared" si="123"/>
        <v>55.9</v>
      </c>
      <c r="BZ160">
        <v>159</v>
      </c>
      <c r="CA160">
        <f t="shared" si="124"/>
        <v>9469.4</v>
      </c>
      <c r="CB160">
        <f t="shared" si="125"/>
        <v>1893.74</v>
      </c>
      <c r="CD160">
        <f t="shared" si="126"/>
        <v>40.214</v>
      </c>
      <c r="CE160">
        <f t="shared" si="127"/>
        <v>80.494</v>
      </c>
      <c r="CF160">
        <f t="shared" si="128"/>
        <v>47.48</v>
      </c>
      <c r="CG160">
        <v>159</v>
      </c>
      <c r="CH160">
        <f t="shared" si="129"/>
        <v>12106</v>
      </c>
      <c r="CI160">
        <f t="shared" si="130"/>
        <v>2420.6</v>
      </c>
      <c r="CK160">
        <f t="shared" si="131"/>
        <v>48.95</v>
      </c>
      <c r="CL160">
        <f t="shared" si="132"/>
        <v>97.95</v>
      </c>
      <c r="CM160">
        <f t="shared" si="133"/>
        <v>65.426</v>
      </c>
      <c r="CN160">
        <v>159</v>
      </c>
      <c r="CO160">
        <f t="shared" si="134"/>
        <v>14884.4</v>
      </c>
      <c r="CP160">
        <f t="shared" si="135"/>
        <v>2978.08</v>
      </c>
      <c r="CR160">
        <f t="shared" si="136"/>
        <v>63.18</v>
      </c>
      <c r="CS160">
        <f t="shared" si="137"/>
        <v>126.36</v>
      </c>
      <c r="CT160">
        <f t="shared" si="138"/>
        <v>84.042</v>
      </c>
    </row>
    <row r="161" spans="1:98">
      <c r="A161">
        <v>160</v>
      </c>
      <c r="B161" s="12">
        <v>17900</v>
      </c>
      <c r="C161" s="12">
        <v>3580</v>
      </c>
      <c r="D161" s="12">
        <v>3580</v>
      </c>
      <c r="E161" s="8">
        <f t="shared" si="98"/>
        <v>16250</v>
      </c>
      <c r="F161" s="8">
        <f t="shared" si="99"/>
        <v>3250</v>
      </c>
      <c r="G161" s="8">
        <f t="shared" si="100"/>
        <v>3250</v>
      </c>
      <c r="H161" s="12"/>
      <c r="I161" s="9">
        <v>1</v>
      </c>
      <c r="J161" s="8">
        <f t="shared" si="101"/>
        <v>9666</v>
      </c>
      <c r="K161" s="8">
        <f t="shared" si="102"/>
        <v>1933.2</v>
      </c>
      <c r="L161" s="8">
        <f t="shared" si="103"/>
        <v>1933.2</v>
      </c>
      <c r="M161" s="8">
        <v>1</v>
      </c>
      <c r="N161" s="8">
        <f t="shared" si="104"/>
        <v>43816</v>
      </c>
      <c r="O161" s="8">
        <f t="shared" si="105"/>
        <v>8763.2</v>
      </c>
      <c r="P161" s="8">
        <f t="shared" si="106"/>
        <v>8763.2</v>
      </c>
      <c r="Q161" s="12">
        <v>75</v>
      </c>
      <c r="R161" s="12">
        <v>150</v>
      </c>
      <c r="S161" s="12">
        <v>97.02</v>
      </c>
      <c r="T161" s="8">
        <v>11.92</v>
      </c>
      <c r="U161" s="8">
        <v>0.4172</v>
      </c>
      <c r="V161" s="8">
        <f t="shared" si="107"/>
        <v>393658.593834681</v>
      </c>
      <c r="W161" s="8">
        <f t="shared" si="108"/>
        <v>8763.2</v>
      </c>
      <c r="X161" s="8">
        <f t="shared" si="109"/>
        <v>8763.2</v>
      </c>
      <c r="Y161" s="8">
        <f t="shared" si="110"/>
        <v>39365.8593834681</v>
      </c>
      <c r="Z161" s="8">
        <f t="shared" si="111"/>
        <v>10</v>
      </c>
      <c r="AA161">
        <f t="shared" si="112"/>
        <v>4381.6</v>
      </c>
      <c r="AB161">
        <f t="shared" si="113"/>
        <v>10</v>
      </c>
      <c r="AC161">
        <f t="shared" si="114"/>
        <v>171.55683121847</v>
      </c>
      <c r="AD161">
        <f t="shared" si="115"/>
        <v>20.1452873563218</v>
      </c>
      <c r="AE161">
        <f t="shared" si="116"/>
        <v>20.1452873563218</v>
      </c>
      <c r="AF161">
        <f t="shared" si="139"/>
        <v>131219.531278227</v>
      </c>
      <c r="AG161">
        <f t="shared" si="140"/>
        <v>8763.2</v>
      </c>
      <c r="AH161">
        <f t="shared" si="141"/>
        <v>4381.6</v>
      </c>
      <c r="AI161">
        <f t="shared" si="117"/>
        <v>3.33333333333333</v>
      </c>
      <c r="AJ161">
        <f t="shared" si="118"/>
        <v>1460.53333333333</v>
      </c>
      <c r="AK161">
        <f t="shared" si="119"/>
        <v>30.0000000000001</v>
      </c>
      <c r="BT161">
        <v>160</v>
      </c>
      <c r="BU161">
        <f t="shared" si="120"/>
        <v>7321</v>
      </c>
      <c r="BV161">
        <f t="shared" si="121"/>
        <v>1464.2</v>
      </c>
      <c r="BX161">
        <f t="shared" si="122"/>
        <v>27.95</v>
      </c>
      <c r="BY161">
        <f t="shared" si="123"/>
        <v>56</v>
      </c>
      <c r="BZ161">
        <v>160</v>
      </c>
      <c r="CA161">
        <f t="shared" si="124"/>
        <v>9478.7</v>
      </c>
      <c r="CB161">
        <f t="shared" si="125"/>
        <v>1895.6</v>
      </c>
      <c r="CD161">
        <f t="shared" si="126"/>
        <v>40.247</v>
      </c>
      <c r="CE161">
        <f t="shared" si="127"/>
        <v>80.56</v>
      </c>
      <c r="CF161">
        <f t="shared" si="128"/>
        <v>47.54</v>
      </c>
      <c r="CG161">
        <v>160</v>
      </c>
      <c r="CH161">
        <f t="shared" si="129"/>
        <v>12113</v>
      </c>
      <c r="CI161">
        <f t="shared" si="130"/>
        <v>2422</v>
      </c>
      <c r="CK161">
        <f t="shared" si="131"/>
        <v>48.975</v>
      </c>
      <c r="CL161">
        <f t="shared" si="132"/>
        <v>98</v>
      </c>
      <c r="CM161">
        <f t="shared" si="133"/>
        <v>65.473</v>
      </c>
      <c r="CN161">
        <v>160</v>
      </c>
      <c r="CO161">
        <f t="shared" si="134"/>
        <v>14890</v>
      </c>
      <c r="CP161">
        <f t="shared" si="135"/>
        <v>2979.2</v>
      </c>
      <c r="CR161">
        <f t="shared" si="136"/>
        <v>63.2</v>
      </c>
      <c r="CS161">
        <f t="shared" si="137"/>
        <v>126.4</v>
      </c>
      <c r="CT161">
        <f t="shared" si="138"/>
        <v>84.08</v>
      </c>
    </row>
    <row r="162" spans="1:98">
      <c r="A162">
        <v>161</v>
      </c>
      <c r="B162" s="12">
        <v>18000</v>
      </c>
      <c r="C162" s="12">
        <v>3600</v>
      </c>
      <c r="D162" s="12">
        <v>3600</v>
      </c>
      <c r="E162" s="8">
        <f t="shared" si="98"/>
        <v>16350</v>
      </c>
      <c r="F162" s="8">
        <f t="shared" si="99"/>
        <v>3270</v>
      </c>
      <c r="G162" s="8">
        <f t="shared" si="100"/>
        <v>3270</v>
      </c>
      <c r="H162" s="12"/>
      <c r="I162" s="9">
        <v>1</v>
      </c>
      <c r="J162" s="8">
        <f t="shared" si="101"/>
        <v>9720</v>
      </c>
      <c r="K162" s="8">
        <f t="shared" si="102"/>
        <v>1944</v>
      </c>
      <c r="L162" s="8">
        <f t="shared" si="103"/>
        <v>1944</v>
      </c>
      <c r="M162" s="8">
        <v>1</v>
      </c>
      <c r="N162" s="8">
        <f t="shared" si="104"/>
        <v>44070</v>
      </c>
      <c r="O162" s="8">
        <f t="shared" si="105"/>
        <v>8814</v>
      </c>
      <c r="P162" s="8">
        <f t="shared" si="106"/>
        <v>8814</v>
      </c>
      <c r="Q162" s="12">
        <v>75</v>
      </c>
      <c r="R162" s="12">
        <v>150</v>
      </c>
      <c r="S162" s="12">
        <v>97.02</v>
      </c>
      <c r="T162" s="8">
        <v>11.92</v>
      </c>
      <c r="U162" s="8">
        <v>0.4172</v>
      </c>
      <c r="V162" s="8">
        <f t="shared" si="107"/>
        <v>395940.62055629</v>
      </c>
      <c r="W162" s="8">
        <f t="shared" si="108"/>
        <v>8814</v>
      </c>
      <c r="X162" s="8">
        <f t="shared" si="109"/>
        <v>8814</v>
      </c>
      <c r="Y162" s="8">
        <f t="shared" si="110"/>
        <v>39594.062055629</v>
      </c>
      <c r="Z162" s="8">
        <f t="shared" si="111"/>
        <v>10</v>
      </c>
      <c r="AA162">
        <f t="shared" si="112"/>
        <v>4407</v>
      </c>
      <c r="AB162">
        <f t="shared" si="113"/>
        <v>10</v>
      </c>
      <c r="AC162">
        <f t="shared" si="114"/>
        <v>172.551340875433</v>
      </c>
      <c r="AD162">
        <f t="shared" si="115"/>
        <v>20.2620689655172</v>
      </c>
      <c r="AE162">
        <f t="shared" si="116"/>
        <v>20.2620689655172</v>
      </c>
      <c r="AF162">
        <f t="shared" si="139"/>
        <v>131980.206852097</v>
      </c>
      <c r="AG162">
        <f t="shared" si="140"/>
        <v>8814</v>
      </c>
      <c r="AH162">
        <f t="shared" si="141"/>
        <v>4407</v>
      </c>
      <c r="AI162">
        <f t="shared" si="117"/>
        <v>3.33333333333334</v>
      </c>
      <c r="AJ162">
        <f t="shared" si="118"/>
        <v>1469</v>
      </c>
      <c r="AK162">
        <f t="shared" si="119"/>
        <v>30</v>
      </c>
      <c r="BT162">
        <v>161</v>
      </c>
      <c r="BU162">
        <f t="shared" si="120"/>
        <v>7335.6</v>
      </c>
      <c r="BV162">
        <f t="shared" si="121"/>
        <v>1467.12</v>
      </c>
      <c r="BX162">
        <f t="shared" si="122"/>
        <v>28</v>
      </c>
      <c r="BY162">
        <f t="shared" si="123"/>
        <v>56.1</v>
      </c>
      <c r="BZ162">
        <v>161</v>
      </c>
      <c r="CA162">
        <f t="shared" si="124"/>
        <v>9488</v>
      </c>
      <c r="CB162">
        <f t="shared" si="125"/>
        <v>1897.46</v>
      </c>
      <c r="CD162">
        <f t="shared" si="126"/>
        <v>40.28</v>
      </c>
      <c r="CE162">
        <f t="shared" si="127"/>
        <v>80.626</v>
      </c>
      <c r="CF162">
        <f t="shared" si="128"/>
        <v>47.6</v>
      </c>
      <c r="CG162">
        <v>161</v>
      </c>
      <c r="CH162">
        <f t="shared" si="129"/>
        <v>12120</v>
      </c>
      <c r="CI162">
        <f t="shared" si="130"/>
        <v>2423.4</v>
      </c>
      <c r="CK162">
        <f t="shared" si="131"/>
        <v>49</v>
      </c>
      <c r="CL162">
        <f t="shared" si="132"/>
        <v>98.05</v>
      </c>
      <c r="CM162">
        <f t="shared" si="133"/>
        <v>65.52</v>
      </c>
      <c r="CN162">
        <v>161</v>
      </c>
      <c r="CO162">
        <f t="shared" si="134"/>
        <v>14895.6</v>
      </c>
      <c r="CP162">
        <f t="shared" si="135"/>
        <v>2980.32</v>
      </c>
      <c r="CR162">
        <f t="shared" si="136"/>
        <v>63.22</v>
      </c>
      <c r="CS162">
        <f t="shared" si="137"/>
        <v>126.44</v>
      </c>
      <c r="CT162">
        <f t="shared" si="138"/>
        <v>84.118</v>
      </c>
    </row>
    <row r="163" spans="1:98">
      <c r="A163">
        <v>162</v>
      </c>
      <c r="B163" s="12">
        <v>18100</v>
      </c>
      <c r="C163" s="12">
        <v>3620</v>
      </c>
      <c r="D163" s="12">
        <v>3620</v>
      </c>
      <c r="E163" s="8">
        <f t="shared" si="98"/>
        <v>16450</v>
      </c>
      <c r="F163" s="8">
        <f t="shared" si="99"/>
        <v>3290</v>
      </c>
      <c r="G163" s="8">
        <f t="shared" si="100"/>
        <v>3290</v>
      </c>
      <c r="H163" s="12"/>
      <c r="I163" s="9">
        <v>1</v>
      </c>
      <c r="J163" s="8">
        <f t="shared" si="101"/>
        <v>9774</v>
      </c>
      <c r="K163" s="8">
        <f t="shared" si="102"/>
        <v>1954.8</v>
      </c>
      <c r="L163" s="8">
        <f t="shared" si="103"/>
        <v>1954.8</v>
      </c>
      <c r="M163" s="8">
        <v>1</v>
      </c>
      <c r="N163" s="8">
        <f t="shared" si="104"/>
        <v>44324</v>
      </c>
      <c r="O163" s="8">
        <f t="shared" si="105"/>
        <v>8864.8</v>
      </c>
      <c r="P163" s="8">
        <f t="shared" si="106"/>
        <v>8864.8</v>
      </c>
      <c r="Q163" s="12">
        <v>75</v>
      </c>
      <c r="R163" s="12">
        <v>150</v>
      </c>
      <c r="S163" s="12">
        <v>97.02</v>
      </c>
      <c r="T163" s="8">
        <v>11.92</v>
      </c>
      <c r="U163" s="8">
        <v>0.4172</v>
      </c>
      <c r="V163" s="8">
        <f t="shared" si="107"/>
        <v>398222.647277899</v>
      </c>
      <c r="W163" s="8">
        <f t="shared" si="108"/>
        <v>8864.8</v>
      </c>
      <c r="X163" s="8">
        <f t="shared" si="109"/>
        <v>8864.8</v>
      </c>
      <c r="Y163" s="8">
        <f t="shared" si="110"/>
        <v>39822.2647277899</v>
      </c>
      <c r="Z163" s="8">
        <f t="shared" si="111"/>
        <v>10</v>
      </c>
      <c r="AA163">
        <f t="shared" si="112"/>
        <v>4432.4</v>
      </c>
      <c r="AB163">
        <f t="shared" si="113"/>
        <v>10</v>
      </c>
      <c r="AC163">
        <f t="shared" si="114"/>
        <v>173.545850532396</v>
      </c>
      <c r="AD163">
        <f t="shared" si="115"/>
        <v>20.3788505747126</v>
      </c>
      <c r="AE163">
        <f t="shared" si="116"/>
        <v>20.3788505747126</v>
      </c>
      <c r="AF163">
        <f t="shared" si="139"/>
        <v>132740.882425966</v>
      </c>
      <c r="AG163">
        <f t="shared" si="140"/>
        <v>8864.8</v>
      </c>
      <c r="AH163">
        <f t="shared" si="141"/>
        <v>4432.4</v>
      </c>
      <c r="AI163">
        <f t="shared" si="117"/>
        <v>3.33333333333333</v>
      </c>
      <c r="AJ163">
        <f t="shared" si="118"/>
        <v>1477.46666666667</v>
      </c>
      <c r="AK163">
        <f t="shared" si="119"/>
        <v>29.9999999999999</v>
      </c>
      <c r="BT163">
        <v>162</v>
      </c>
      <c r="BU163">
        <f t="shared" si="120"/>
        <v>7350.2</v>
      </c>
      <c r="BV163">
        <f t="shared" si="121"/>
        <v>1470.04</v>
      </c>
      <c r="BX163">
        <f t="shared" si="122"/>
        <v>28.05</v>
      </c>
      <c r="BY163">
        <f t="shared" si="123"/>
        <v>56.2</v>
      </c>
      <c r="BZ163">
        <v>162</v>
      </c>
      <c r="CA163">
        <f t="shared" si="124"/>
        <v>9497.3</v>
      </c>
      <c r="CB163">
        <f t="shared" si="125"/>
        <v>1899.32</v>
      </c>
      <c r="CD163">
        <f t="shared" si="126"/>
        <v>40.313</v>
      </c>
      <c r="CE163">
        <f t="shared" si="127"/>
        <v>80.692</v>
      </c>
      <c r="CF163">
        <f t="shared" si="128"/>
        <v>47.66</v>
      </c>
      <c r="CG163">
        <v>162</v>
      </c>
      <c r="CH163">
        <f t="shared" si="129"/>
        <v>12127</v>
      </c>
      <c r="CI163">
        <f t="shared" si="130"/>
        <v>2424.8</v>
      </c>
      <c r="CK163">
        <f t="shared" si="131"/>
        <v>49.025</v>
      </c>
      <c r="CL163">
        <f t="shared" si="132"/>
        <v>98.1</v>
      </c>
      <c r="CM163">
        <f t="shared" si="133"/>
        <v>65.567</v>
      </c>
      <c r="CN163">
        <v>162</v>
      </c>
      <c r="CO163">
        <f t="shared" si="134"/>
        <v>14901.2</v>
      </c>
      <c r="CP163">
        <f t="shared" si="135"/>
        <v>2981.44</v>
      </c>
      <c r="CR163">
        <f t="shared" si="136"/>
        <v>63.24</v>
      </c>
      <c r="CS163">
        <f t="shared" si="137"/>
        <v>126.48</v>
      </c>
      <c r="CT163">
        <f t="shared" si="138"/>
        <v>84.156</v>
      </c>
    </row>
    <row r="164" spans="1:98">
      <c r="A164">
        <v>163</v>
      </c>
      <c r="B164" s="12">
        <v>18200</v>
      </c>
      <c r="C164" s="12">
        <v>3640</v>
      </c>
      <c r="D164" s="12">
        <v>3640</v>
      </c>
      <c r="E164" s="8">
        <f t="shared" si="98"/>
        <v>16550</v>
      </c>
      <c r="F164" s="8">
        <f t="shared" si="99"/>
        <v>3310</v>
      </c>
      <c r="G164" s="8">
        <f t="shared" si="100"/>
        <v>3310</v>
      </c>
      <c r="H164" s="12"/>
      <c r="I164" s="9">
        <v>1</v>
      </c>
      <c r="J164" s="8">
        <f t="shared" si="101"/>
        <v>9828</v>
      </c>
      <c r="K164" s="8">
        <f t="shared" si="102"/>
        <v>1965.6</v>
      </c>
      <c r="L164" s="8">
        <f t="shared" si="103"/>
        <v>1965.6</v>
      </c>
      <c r="M164" s="8">
        <v>1</v>
      </c>
      <c r="N164" s="8">
        <f t="shared" si="104"/>
        <v>44578</v>
      </c>
      <c r="O164" s="8">
        <f t="shared" si="105"/>
        <v>8915.6</v>
      </c>
      <c r="P164" s="8">
        <f t="shared" si="106"/>
        <v>8915.6</v>
      </c>
      <c r="Q164" s="12">
        <v>75</v>
      </c>
      <c r="R164" s="12">
        <v>150</v>
      </c>
      <c r="S164" s="12">
        <v>97.02</v>
      </c>
      <c r="T164" s="8">
        <v>11.92</v>
      </c>
      <c r="U164" s="8">
        <v>0.4172</v>
      </c>
      <c r="V164" s="8">
        <f t="shared" si="107"/>
        <v>400504.673999508</v>
      </c>
      <c r="W164" s="8">
        <f t="shared" si="108"/>
        <v>8915.6</v>
      </c>
      <c r="X164" s="8">
        <f t="shared" si="109"/>
        <v>8915.6</v>
      </c>
      <c r="Y164" s="8">
        <f t="shared" si="110"/>
        <v>40050.4673999508</v>
      </c>
      <c r="Z164" s="8">
        <f t="shared" si="111"/>
        <v>10</v>
      </c>
      <c r="AA164">
        <f t="shared" si="112"/>
        <v>4457.8</v>
      </c>
      <c r="AB164">
        <f t="shared" si="113"/>
        <v>10</v>
      </c>
      <c r="AC164">
        <f t="shared" si="114"/>
        <v>174.540360189359</v>
      </c>
      <c r="AD164">
        <f t="shared" si="115"/>
        <v>20.495632183908</v>
      </c>
      <c r="AE164">
        <f t="shared" si="116"/>
        <v>20.495632183908</v>
      </c>
      <c r="AF164">
        <f t="shared" si="139"/>
        <v>133501.557999836</v>
      </c>
      <c r="AG164">
        <f t="shared" si="140"/>
        <v>8915.6</v>
      </c>
      <c r="AH164">
        <f t="shared" si="141"/>
        <v>4457.8</v>
      </c>
      <c r="AI164">
        <f t="shared" si="117"/>
        <v>3.33333333333333</v>
      </c>
      <c r="AJ164">
        <f t="shared" si="118"/>
        <v>1485.93333333333</v>
      </c>
      <c r="AK164">
        <f t="shared" si="119"/>
        <v>30.0000000000001</v>
      </c>
      <c r="BT164">
        <v>163</v>
      </c>
      <c r="BU164">
        <f t="shared" si="120"/>
        <v>7364.8</v>
      </c>
      <c r="BV164">
        <f t="shared" si="121"/>
        <v>1472.96</v>
      </c>
      <c r="BX164">
        <f t="shared" si="122"/>
        <v>28.1</v>
      </c>
      <c r="BY164">
        <f t="shared" si="123"/>
        <v>56.3</v>
      </c>
      <c r="BZ164">
        <v>163</v>
      </c>
      <c r="CA164">
        <f t="shared" si="124"/>
        <v>9506.6</v>
      </c>
      <c r="CB164">
        <f t="shared" si="125"/>
        <v>1901.18</v>
      </c>
      <c r="CD164">
        <f t="shared" si="126"/>
        <v>40.346</v>
      </c>
      <c r="CE164">
        <f t="shared" si="127"/>
        <v>80.758</v>
      </c>
      <c r="CF164">
        <f t="shared" si="128"/>
        <v>47.72</v>
      </c>
      <c r="CG164">
        <v>163</v>
      </c>
      <c r="CH164">
        <f t="shared" si="129"/>
        <v>12134</v>
      </c>
      <c r="CI164">
        <f t="shared" si="130"/>
        <v>2426.2</v>
      </c>
      <c r="CK164">
        <f t="shared" si="131"/>
        <v>49.05</v>
      </c>
      <c r="CL164">
        <f t="shared" si="132"/>
        <v>98.15</v>
      </c>
      <c r="CM164">
        <f t="shared" si="133"/>
        <v>65.614</v>
      </c>
      <c r="CN164">
        <v>163</v>
      </c>
      <c r="CO164">
        <f t="shared" si="134"/>
        <v>14906.8</v>
      </c>
      <c r="CP164">
        <f t="shared" si="135"/>
        <v>2982.56</v>
      </c>
      <c r="CR164">
        <f t="shared" si="136"/>
        <v>63.26</v>
      </c>
      <c r="CS164">
        <f t="shared" si="137"/>
        <v>126.52</v>
      </c>
      <c r="CT164">
        <f t="shared" si="138"/>
        <v>84.194</v>
      </c>
    </row>
    <row r="165" spans="1:98">
      <c r="A165">
        <v>164</v>
      </c>
      <c r="B165" s="12">
        <v>18300</v>
      </c>
      <c r="C165" s="12">
        <v>3660</v>
      </c>
      <c r="D165" s="12">
        <v>3660</v>
      </c>
      <c r="E165" s="8">
        <f t="shared" si="98"/>
        <v>16650</v>
      </c>
      <c r="F165" s="8">
        <f t="shared" si="99"/>
        <v>3330</v>
      </c>
      <c r="G165" s="8">
        <f t="shared" si="100"/>
        <v>3330</v>
      </c>
      <c r="H165" s="12"/>
      <c r="I165" s="9">
        <v>1</v>
      </c>
      <c r="J165" s="8">
        <f t="shared" si="101"/>
        <v>9882</v>
      </c>
      <c r="K165" s="8">
        <f t="shared" si="102"/>
        <v>1976.4</v>
      </c>
      <c r="L165" s="8">
        <f t="shared" si="103"/>
        <v>1976.4</v>
      </c>
      <c r="M165" s="8">
        <v>1</v>
      </c>
      <c r="N165" s="8">
        <f t="shared" si="104"/>
        <v>44832</v>
      </c>
      <c r="O165" s="8">
        <f t="shared" si="105"/>
        <v>8966.4</v>
      </c>
      <c r="P165" s="8">
        <f t="shared" si="106"/>
        <v>8966.4</v>
      </c>
      <c r="Q165" s="12">
        <v>75</v>
      </c>
      <c r="R165" s="12">
        <v>150</v>
      </c>
      <c r="S165" s="12">
        <v>97.02</v>
      </c>
      <c r="T165" s="8">
        <v>11.92</v>
      </c>
      <c r="U165" s="8">
        <v>0.4172</v>
      </c>
      <c r="V165" s="8">
        <f t="shared" si="107"/>
        <v>402786.700721116</v>
      </c>
      <c r="W165" s="8">
        <f t="shared" si="108"/>
        <v>8966.4</v>
      </c>
      <c r="X165" s="8">
        <f t="shared" si="109"/>
        <v>8966.4</v>
      </c>
      <c r="Y165" s="8">
        <f t="shared" si="110"/>
        <v>40278.6700721116</v>
      </c>
      <c r="Z165" s="8">
        <f t="shared" si="111"/>
        <v>10</v>
      </c>
      <c r="AA165">
        <f t="shared" si="112"/>
        <v>4483.2</v>
      </c>
      <c r="AB165">
        <f t="shared" si="113"/>
        <v>10</v>
      </c>
      <c r="AC165">
        <f t="shared" si="114"/>
        <v>175.534869846322</v>
      </c>
      <c r="AD165">
        <f t="shared" si="115"/>
        <v>20.6124137931034</v>
      </c>
      <c r="AE165">
        <f t="shared" si="116"/>
        <v>20.6124137931034</v>
      </c>
      <c r="AF165">
        <f t="shared" si="139"/>
        <v>134262.233573705</v>
      </c>
      <c r="AG165">
        <f t="shared" si="140"/>
        <v>8966.4</v>
      </c>
      <c r="AH165">
        <f t="shared" si="141"/>
        <v>4483.2</v>
      </c>
      <c r="AI165">
        <f t="shared" si="117"/>
        <v>3.33333333333332</v>
      </c>
      <c r="AJ165">
        <f t="shared" si="118"/>
        <v>1494.4</v>
      </c>
      <c r="AK165">
        <f t="shared" si="119"/>
        <v>30</v>
      </c>
      <c r="BT165">
        <v>164</v>
      </c>
      <c r="BU165">
        <f t="shared" si="120"/>
        <v>7379.4</v>
      </c>
      <c r="BV165">
        <f t="shared" si="121"/>
        <v>1475.88</v>
      </c>
      <c r="BX165">
        <f t="shared" si="122"/>
        <v>28.15</v>
      </c>
      <c r="BY165">
        <f t="shared" si="123"/>
        <v>56.4</v>
      </c>
      <c r="BZ165">
        <v>164</v>
      </c>
      <c r="CA165">
        <f t="shared" si="124"/>
        <v>9515.9</v>
      </c>
      <c r="CB165">
        <f t="shared" si="125"/>
        <v>1903.04</v>
      </c>
      <c r="CD165">
        <f t="shared" si="126"/>
        <v>40.379</v>
      </c>
      <c r="CE165">
        <f t="shared" si="127"/>
        <v>80.824</v>
      </c>
      <c r="CF165">
        <f t="shared" si="128"/>
        <v>47.78</v>
      </c>
      <c r="CG165">
        <v>164</v>
      </c>
      <c r="CH165">
        <f t="shared" si="129"/>
        <v>12141</v>
      </c>
      <c r="CI165">
        <f t="shared" si="130"/>
        <v>2427.6</v>
      </c>
      <c r="CK165">
        <f t="shared" si="131"/>
        <v>49.075</v>
      </c>
      <c r="CL165">
        <f t="shared" si="132"/>
        <v>98.2</v>
      </c>
      <c r="CM165">
        <f t="shared" si="133"/>
        <v>65.661</v>
      </c>
      <c r="CN165">
        <v>164</v>
      </c>
      <c r="CO165">
        <f t="shared" si="134"/>
        <v>14912.4</v>
      </c>
      <c r="CP165">
        <f t="shared" si="135"/>
        <v>2983.68</v>
      </c>
      <c r="CR165">
        <f t="shared" si="136"/>
        <v>63.28</v>
      </c>
      <c r="CS165">
        <f t="shared" si="137"/>
        <v>126.56</v>
      </c>
      <c r="CT165">
        <f t="shared" si="138"/>
        <v>84.232</v>
      </c>
    </row>
    <row r="166" spans="1:98">
      <c r="A166">
        <v>165</v>
      </c>
      <c r="B166" s="12">
        <v>18400</v>
      </c>
      <c r="C166" s="12">
        <v>3680</v>
      </c>
      <c r="D166" s="12">
        <v>3680</v>
      </c>
      <c r="E166" s="8">
        <f t="shared" si="98"/>
        <v>16750</v>
      </c>
      <c r="F166" s="8">
        <f t="shared" si="99"/>
        <v>3350</v>
      </c>
      <c r="G166" s="8">
        <f t="shared" si="100"/>
        <v>3350</v>
      </c>
      <c r="H166" s="12"/>
      <c r="I166" s="9">
        <v>1</v>
      </c>
      <c r="J166" s="8">
        <f t="shared" si="101"/>
        <v>9936</v>
      </c>
      <c r="K166" s="8">
        <f t="shared" si="102"/>
        <v>1987.2</v>
      </c>
      <c r="L166" s="8">
        <f t="shared" si="103"/>
        <v>1987.2</v>
      </c>
      <c r="M166" s="8">
        <v>1</v>
      </c>
      <c r="N166" s="8">
        <f t="shared" si="104"/>
        <v>45086</v>
      </c>
      <c r="O166" s="8">
        <f t="shared" si="105"/>
        <v>9017.2</v>
      </c>
      <c r="P166" s="8">
        <f t="shared" si="106"/>
        <v>9017.2</v>
      </c>
      <c r="Q166" s="12">
        <v>75</v>
      </c>
      <c r="R166" s="12">
        <v>150</v>
      </c>
      <c r="S166" s="12">
        <v>97.02</v>
      </c>
      <c r="T166" s="8">
        <v>11.92</v>
      </c>
      <c r="U166" s="8">
        <v>0.4172</v>
      </c>
      <c r="V166" s="8">
        <f t="shared" si="107"/>
        <v>405068.727442725</v>
      </c>
      <c r="W166" s="8">
        <f t="shared" si="108"/>
        <v>9017.2</v>
      </c>
      <c r="X166" s="8">
        <f t="shared" si="109"/>
        <v>9017.2</v>
      </c>
      <c r="Y166" s="8">
        <f t="shared" si="110"/>
        <v>40506.8727442725</v>
      </c>
      <c r="Z166" s="8">
        <f t="shared" si="111"/>
        <v>10</v>
      </c>
      <c r="AA166">
        <f t="shared" si="112"/>
        <v>4508.6</v>
      </c>
      <c r="AB166">
        <f t="shared" si="113"/>
        <v>10</v>
      </c>
      <c r="AC166">
        <f t="shared" si="114"/>
        <v>176.529379503285</v>
      </c>
      <c r="AD166">
        <f t="shared" si="115"/>
        <v>20.7291954022989</v>
      </c>
      <c r="AE166">
        <f t="shared" si="116"/>
        <v>20.7291954022989</v>
      </c>
      <c r="AF166">
        <f t="shared" si="139"/>
        <v>135022.909147575</v>
      </c>
      <c r="AG166">
        <f t="shared" si="140"/>
        <v>9017.2</v>
      </c>
      <c r="AH166">
        <f t="shared" si="141"/>
        <v>4508.6</v>
      </c>
      <c r="AI166">
        <f t="shared" si="117"/>
        <v>3.33333333333333</v>
      </c>
      <c r="AJ166">
        <f t="shared" si="118"/>
        <v>1502.86666666667</v>
      </c>
      <c r="AK166">
        <f t="shared" si="119"/>
        <v>29.9999999999999</v>
      </c>
      <c r="BT166">
        <v>165</v>
      </c>
      <c r="BU166">
        <f t="shared" si="120"/>
        <v>7394</v>
      </c>
      <c r="BV166">
        <f t="shared" si="121"/>
        <v>1478.8</v>
      </c>
      <c r="BX166">
        <f t="shared" si="122"/>
        <v>28.2</v>
      </c>
      <c r="BY166">
        <f t="shared" si="123"/>
        <v>56.5</v>
      </c>
      <c r="BZ166">
        <v>165</v>
      </c>
      <c r="CA166">
        <f t="shared" si="124"/>
        <v>9525.2</v>
      </c>
      <c r="CB166">
        <f t="shared" si="125"/>
        <v>1904.9</v>
      </c>
      <c r="CD166">
        <f t="shared" si="126"/>
        <v>40.412</v>
      </c>
      <c r="CE166">
        <f t="shared" si="127"/>
        <v>80.89</v>
      </c>
      <c r="CF166">
        <f t="shared" si="128"/>
        <v>47.84</v>
      </c>
      <c r="CG166">
        <v>165</v>
      </c>
      <c r="CH166">
        <f t="shared" si="129"/>
        <v>12148</v>
      </c>
      <c r="CI166">
        <f t="shared" si="130"/>
        <v>2429</v>
      </c>
      <c r="CK166">
        <f t="shared" si="131"/>
        <v>49.1</v>
      </c>
      <c r="CL166">
        <f t="shared" si="132"/>
        <v>98.25</v>
      </c>
      <c r="CM166">
        <f t="shared" si="133"/>
        <v>65.708</v>
      </c>
      <c r="CN166">
        <v>165</v>
      </c>
      <c r="CO166">
        <f t="shared" si="134"/>
        <v>14918</v>
      </c>
      <c r="CP166">
        <f t="shared" si="135"/>
        <v>2984.8</v>
      </c>
      <c r="CR166">
        <f t="shared" si="136"/>
        <v>63.3</v>
      </c>
      <c r="CS166">
        <f t="shared" si="137"/>
        <v>126.6</v>
      </c>
      <c r="CT166">
        <f t="shared" si="138"/>
        <v>84.27</v>
      </c>
    </row>
    <row r="167" spans="1:98">
      <c r="A167">
        <v>166</v>
      </c>
      <c r="B167" s="12">
        <v>18500</v>
      </c>
      <c r="C167" s="12">
        <v>3700</v>
      </c>
      <c r="D167" s="12">
        <v>3700</v>
      </c>
      <c r="E167" s="8">
        <f t="shared" si="98"/>
        <v>16850</v>
      </c>
      <c r="F167" s="8">
        <f t="shared" si="99"/>
        <v>3370</v>
      </c>
      <c r="G167" s="8">
        <f t="shared" si="100"/>
        <v>3370</v>
      </c>
      <c r="H167" s="12"/>
      <c r="I167" s="9">
        <v>1</v>
      </c>
      <c r="J167" s="8">
        <f t="shared" si="101"/>
        <v>9990</v>
      </c>
      <c r="K167" s="8">
        <f t="shared" si="102"/>
        <v>1998</v>
      </c>
      <c r="L167" s="8">
        <f t="shared" si="103"/>
        <v>1998</v>
      </c>
      <c r="M167" s="8">
        <v>1</v>
      </c>
      <c r="N167" s="8">
        <f t="shared" si="104"/>
        <v>45340</v>
      </c>
      <c r="O167" s="8">
        <f t="shared" si="105"/>
        <v>9068</v>
      </c>
      <c r="P167" s="8">
        <f t="shared" si="106"/>
        <v>9068</v>
      </c>
      <c r="Q167" s="12">
        <v>75</v>
      </c>
      <c r="R167" s="12">
        <v>150</v>
      </c>
      <c r="S167" s="12">
        <v>97.02</v>
      </c>
      <c r="T167" s="8">
        <v>11.92</v>
      </c>
      <c r="U167" s="8">
        <v>0.4172</v>
      </c>
      <c r="V167" s="8">
        <f t="shared" si="107"/>
        <v>407350.754164334</v>
      </c>
      <c r="W167" s="8">
        <f t="shared" si="108"/>
        <v>9068</v>
      </c>
      <c r="X167" s="8">
        <f t="shared" si="109"/>
        <v>9068</v>
      </c>
      <c r="Y167" s="8">
        <f t="shared" si="110"/>
        <v>40735.0754164334</v>
      </c>
      <c r="Z167" s="8">
        <f t="shared" si="111"/>
        <v>10</v>
      </c>
      <c r="AA167">
        <f t="shared" si="112"/>
        <v>4534</v>
      </c>
      <c r="AB167">
        <f t="shared" si="113"/>
        <v>10</v>
      </c>
      <c r="AC167">
        <f t="shared" si="114"/>
        <v>177.523889160248</v>
      </c>
      <c r="AD167">
        <f t="shared" si="115"/>
        <v>20.8459770114943</v>
      </c>
      <c r="AE167">
        <f t="shared" si="116"/>
        <v>20.8459770114943</v>
      </c>
      <c r="AF167">
        <f t="shared" si="139"/>
        <v>135783.584721445</v>
      </c>
      <c r="AG167">
        <f t="shared" si="140"/>
        <v>9068</v>
      </c>
      <c r="AH167">
        <f t="shared" si="141"/>
        <v>4534</v>
      </c>
      <c r="AI167">
        <f t="shared" si="117"/>
        <v>3.33333333333334</v>
      </c>
      <c r="AJ167">
        <f t="shared" si="118"/>
        <v>1511.33333333333</v>
      </c>
      <c r="AK167">
        <f t="shared" si="119"/>
        <v>30.0000000000001</v>
      </c>
      <c r="BT167">
        <v>166</v>
      </c>
      <c r="BU167">
        <f t="shared" si="120"/>
        <v>7408.6</v>
      </c>
      <c r="BV167">
        <f t="shared" si="121"/>
        <v>1481.72</v>
      </c>
      <c r="BX167">
        <f t="shared" si="122"/>
        <v>28.25</v>
      </c>
      <c r="BY167">
        <f t="shared" si="123"/>
        <v>56.6</v>
      </c>
      <c r="BZ167">
        <v>166</v>
      </c>
      <c r="CA167">
        <f t="shared" si="124"/>
        <v>9534.5</v>
      </c>
      <c r="CB167">
        <f t="shared" si="125"/>
        <v>1906.76</v>
      </c>
      <c r="CD167">
        <f t="shared" si="126"/>
        <v>40.445</v>
      </c>
      <c r="CE167">
        <f t="shared" si="127"/>
        <v>80.956</v>
      </c>
      <c r="CF167">
        <f t="shared" si="128"/>
        <v>47.9</v>
      </c>
      <c r="CG167">
        <v>166</v>
      </c>
      <c r="CH167">
        <f t="shared" si="129"/>
        <v>12155</v>
      </c>
      <c r="CI167">
        <f t="shared" si="130"/>
        <v>2430.4</v>
      </c>
      <c r="CK167">
        <f t="shared" si="131"/>
        <v>49.125</v>
      </c>
      <c r="CL167">
        <f t="shared" si="132"/>
        <v>98.3</v>
      </c>
      <c r="CM167">
        <f t="shared" si="133"/>
        <v>65.755</v>
      </c>
      <c r="CN167">
        <v>166</v>
      </c>
      <c r="CO167">
        <f t="shared" si="134"/>
        <v>14923.6</v>
      </c>
      <c r="CP167">
        <f t="shared" si="135"/>
        <v>2985.92</v>
      </c>
      <c r="CR167">
        <f t="shared" si="136"/>
        <v>63.32</v>
      </c>
      <c r="CS167">
        <f t="shared" si="137"/>
        <v>126.64</v>
      </c>
      <c r="CT167">
        <f t="shared" si="138"/>
        <v>84.308</v>
      </c>
    </row>
    <row r="168" spans="1:98">
      <c r="A168">
        <v>167</v>
      </c>
      <c r="B168" s="12">
        <v>18600</v>
      </c>
      <c r="C168" s="12">
        <v>3720</v>
      </c>
      <c r="D168" s="12">
        <v>3720</v>
      </c>
      <c r="E168" s="8">
        <f t="shared" si="98"/>
        <v>16950</v>
      </c>
      <c r="F168" s="8">
        <f t="shared" si="99"/>
        <v>3390</v>
      </c>
      <c r="G168" s="8">
        <f t="shared" si="100"/>
        <v>3390</v>
      </c>
      <c r="H168" s="12"/>
      <c r="I168" s="9">
        <v>1</v>
      </c>
      <c r="J168" s="8">
        <f t="shared" si="101"/>
        <v>10044</v>
      </c>
      <c r="K168" s="8">
        <f t="shared" si="102"/>
        <v>2008.8</v>
      </c>
      <c r="L168" s="8">
        <f t="shared" si="103"/>
        <v>2008.8</v>
      </c>
      <c r="M168" s="8">
        <v>1</v>
      </c>
      <c r="N168" s="8">
        <f t="shared" si="104"/>
        <v>45594</v>
      </c>
      <c r="O168" s="8">
        <f t="shared" si="105"/>
        <v>9118.8</v>
      </c>
      <c r="P168" s="8">
        <f t="shared" si="106"/>
        <v>9118.8</v>
      </c>
      <c r="Q168" s="12">
        <v>75</v>
      </c>
      <c r="R168" s="12">
        <v>150</v>
      </c>
      <c r="S168" s="12">
        <v>97.02</v>
      </c>
      <c r="T168" s="8">
        <v>11.92</v>
      </c>
      <c r="U168" s="8">
        <v>0.4172</v>
      </c>
      <c r="V168" s="8">
        <f t="shared" si="107"/>
        <v>409632.780885943</v>
      </c>
      <c r="W168" s="8">
        <f t="shared" si="108"/>
        <v>9118.8</v>
      </c>
      <c r="X168" s="8">
        <f t="shared" si="109"/>
        <v>9118.8</v>
      </c>
      <c r="Y168" s="8">
        <f t="shared" si="110"/>
        <v>40963.2780885943</v>
      </c>
      <c r="Z168" s="8">
        <f t="shared" si="111"/>
        <v>10</v>
      </c>
      <c r="AA168">
        <f t="shared" si="112"/>
        <v>4559.4</v>
      </c>
      <c r="AB168">
        <f t="shared" si="113"/>
        <v>10</v>
      </c>
      <c r="AC168">
        <f t="shared" si="114"/>
        <v>178.518398817211</v>
      </c>
      <c r="AD168">
        <f t="shared" si="115"/>
        <v>20.9627586206897</v>
      </c>
      <c r="AE168">
        <f t="shared" si="116"/>
        <v>20.9627586206897</v>
      </c>
      <c r="AF168">
        <f t="shared" si="139"/>
        <v>136544.260295314</v>
      </c>
      <c r="AG168">
        <f t="shared" si="140"/>
        <v>9118.8</v>
      </c>
      <c r="AH168">
        <f t="shared" si="141"/>
        <v>4559.4</v>
      </c>
      <c r="AI168">
        <f t="shared" si="117"/>
        <v>3.33333333333333</v>
      </c>
      <c r="AJ168">
        <f t="shared" si="118"/>
        <v>1519.8</v>
      </c>
      <c r="AK168">
        <f t="shared" si="119"/>
        <v>30</v>
      </c>
      <c r="BT168">
        <v>167</v>
      </c>
      <c r="BU168">
        <f t="shared" si="120"/>
        <v>7423.2</v>
      </c>
      <c r="BV168">
        <f t="shared" si="121"/>
        <v>1484.64</v>
      </c>
      <c r="BX168">
        <f t="shared" si="122"/>
        <v>28.3</v>
      </c>
      <c r="BY168">
        <f t="shared" si="123"/>
        <v>56.7</v>
      </c>
      <c r="BZ168">
        <v>167</v>
      </c>
      <c r="CA168">
        <f t="shared" si="124"/>
        <v>9543.8</v>
      </c>
      <c r="CB168">
        <f t="shared" si="125"/>
        <v>1908.62</v>
      </c>
      <c r="CD168">
        <f t="shared" si="126"/>
        <v>40.478</v>
      </c>
      <c r="CE168">
        <f t="shared" si="127"/>
        <v>81.022</v>
      </c>
      <c r="CF168">
        <f t="shared" si="128"/>
        <v>47.96</v>
      </c>
      <c r="CG168">
        <v>167</v>
      </c>
      <c r="CH168">
        <f t="shared" si="129"/>
        <v>12162</v>
      </c>
      <c r="CI168">
        <f t="shared" si="130"/>
        <v>2431.8</v>
      </c>
      <c r="CK168">
        <f t="shared" si="131"/>
        <v>49.15</v>
      </c>
      <c r="CL168">
        <f t="shared" si="132"/>
        <v>98.35</v>
      </c>
      <c r="CM168">
        <f t="shared" si="133"/>
        <v>65.802</v>
      </c>
      <c r="CN168">
        <v>167</v>
      </c>
      <c r="CO168">
        <f t="shared" si="134"/>
        <v>14929.2</v>
      </c>
      <c r="CP168">
        <f t="shared" si="135"/>
        <v>2987.04</v>
      </c>
      <c r="CR168">
        <f t="shared" si="136"/>
        <v>63.34</v>
      </c>
      <c r="CS168">
        <f t="shared" si="137"/>
        <v>126.68</v>
      </c>
      <c r="CT168">
        <f t="shared" si="138"/>
        <v>84.346</v>
      </c>
    </row>
    <row r="169" spans="1:98">
      <c r="A169">
        <v>168</v>
      </c>
      <c r="B169" s="12">
        <v>18700</v>
      </c>
      <c r="C169" s="12">
        <v>3740</v>
      </c>
      <c r="D169" s="12">
        <v>3740</v>
      </c>
      <c r="E169" s="8">
        <f t="shared" si="98"/>
        <v>17050</v>
      </c>
      <c r="F169" s="8">
        <f t="shared" si="99"/>
        <v>3410</v>
      </c>
      <c r="G169" s="8">
        <f t="shared" si="100"/>
        <v>3410</v>
      </c>
      <c r="H169" s="12"/>
      <c r="I169" s="9">
        <v>1</v>
      </c>
      <c r="J169" s="8">
        <f t="shared" si="101"/>
        <v>10098</v>
      </c>
      <c r="K169" s="8">
        <f t="shared" si="102"/>
        <v>2019.6</v>
      </c>
      <c r="L169" s="8">
        <f t="shared" si="103"/>
        <v>2019.6</v>
      </c>
      <c r="M169" s="8">
        <v>1</v>
      </c>
      <c r="N169" s="8">
        <f t="shared" si="104"/>
        <v>45848</v>
      </c>
      <c r="O169" s="8">
        <f t="shared" si="105"/>
        <v>9169.6</v>
      </c>
      <c r="P169" s="8">
        <f t="shared" si="106"/>
        <v>9169.6</v>
      </c>
      <c r="Q169" s="12">
        <v>75</v>
      </c>
      <c r="R169" s="12">
        <v>150</v>
      </c>
      <c r="S169" s="12">
        <v>97.02</v>
      </c>
      <c r="T169" s="8">
        <v>11.92</v>
      </c>
      <c r="U169" s="8">
        <v>0.4172</v>
      </c>
      <c r="V169" s="8">
        <f t="shared" si="107"/>
        <v>411914.807607551</v>
      </c>
      <c r="W169" s="8">
        <f t="shared" si="108"/>
        <v>9169.6</v>
      </c>
      <c r="X169" s="8">
        <f t="shared" si="109"/>
        <v>9169.6</v>
      </c>
      <c r="Y169" s="8">
        <f t="shared" si="110"/>
        <v>41191.4807607551</v>
      </c>
      <c r="Z169" s="8">
        <f t="shared" si="111"/>
        <v>10</v>
      </c>
      <c r="AA169">
        <f t="shared" si="112"/>
        <v>4584.8</v>
      </c>
      <c r="AB169">
        <f t="shared" si="113"/>
        <v>10</v>
      </c>
      <c r="AC169">
        <f t="shared" si="114"/>
        <v>179.512908474174</v>
      </c>
      <c r="AD169">
        <f t="shared" si="115"/>
        <v>21.0795402298851</v>
      </c>
      <c r="AE169">
        <f t="shared" si="116"/>
        <v>21.0795402298851</v>
      </c>
      <c r="AF169">
        <f t="shared" si="139"/>
        <v>137304.935869184</v>
      </c>
      <c r="AG169">
        <f t="shared" si="140"/>
        <v>9169.6</v>
      </c>
      <c r="AH169">
        <f t="shared" si="141"/>
        <v>4584.8</v>
      </c>
      <c r="AI169">
        <f t="shared" si="117"/>
        <v>3.33333333333334</v>
      </c>
      <c r="AJ169">
        <f t="shared" si="118"/>
        <v>1528.26666666667</v>
      </c>
      <c r="AK169">
        <f t="shared" si="119"/>
        <v>29.9999999999999</v>
      </c>
      <c r="BT169">
        <v>168</v>
      </c>
      <c r="BU169">
        <f t="shared" si="120"/>
        <v>7437.8</v>
      </c>
      <c r="BV169">
        <f t="shared" si="121"/>
        <v>1487.56</v>
      </c>
      <c r="BX169">
        <f t="shared" si="122"/>
        <v>28.35</v>
      </c>
      <c r="BY169">
        <f t="shared" si="123"/>
        <v>56.8</v>
      </c>
      <c r="BZ169">
        <v>168</v>
      </c>
      <c r="CA169">
        <f t="shared" si="124"/>
        <v>9553.1</v>
      </c>
      <c r="CB169">
        <f t="shared" si="125"/>
        <v>1910.48</v>
      </c>
      <c r="CD169">
        <f t="shared" si="126"/>
        <v>40.511</v>
      </c>
      <c r="CE169">
        <f t="shared" si="127"/>
        <v>81.088</v>
      </c>
      <c r="CF169">
        <f t="shared" si="128"/>
        <v>48.02</v>
      </c>
      <c r="CG169">
        <v>168</v>
      </c>
      <c r="CH169">
        <f t="shared" si="129"/>
        <v>12169</v>
      </c>
      <c r="CI169">
        <f t="shared" si="130"/>
        <v>2433.2</v>
      </c>
      <c r="CK169">
        <f t="shared" si="131"/>
        <v>49.175</v>
      </c>
      <c r="CL169">
        <f t="shared" si="132"/>
        <v>98.4</v>
      </c>
      <c r="CM169">
        <f t="shared" si="133"/>
        <v>65.849</v>
      </c>
      <c r="CN169">
        <v>168</v>
      </c>
      <c r="CO169">
        <f t="shared" si="134"/>
        <v>14934.8</v>
      </c>
      <c r="CP169">
        <f t="shared" si="135"/>
        <v>2988.16</v>
      </c>
      <c r="CR169">
        <f t="shared" si="136"/>
        <v>63.36</v>
      </c>
      <c r="CS169">
        <f t="shared" si="137"/>
        <v>126.72</v>
      </c>
      <c r="CT169">
        <f t="shared" si="138"/>
        <v>84.384</v>
      </c>
    </row>
    <row r="170" spans="1:98">
      <c r="A170">
        <v>169</v>
      </c>
      <c r="B170" s="12">
        <v>18800</v>
      </c>
      <c r="C170" s="12">
        <v>3760</v>
      </c>
      <c r="D170" s="12">
        <v>3760</v>
      </c>
      <c r="E170" s="8">
        <f t="shared" si="98"/>
        <v>17150</v>
      </c>
      <c r="F170" s="8">
        <f t="shared" si="99"/>
        <v>3430</v>
      </c>
      <c r="G170" s="8">
        <f t="shared" si="100"/>
        <v>3430</v>
      </c>
      <c r="H170" s="12"/>
      <c r="I170" s="9">
        <v>1</v>
      </c>
      <c r="J170" s="8">
        <f t="shared" si="101"/>
        <v>10152</v>
      </c>
      <c r="K170" s="8">
        <f t="shared" si="102"/>
        <v>2030.4</v>
      </c>
      <c r="L170" s="8">
        <f t="shared" si="103"/>
        <v>2030.4</v>
      </c>
      <c r="M170" s="8">
        <v>1</v>
      </c>
      <c r="N170" s="8">
        <f t="shared" si="104"/>
        <v>46102</v>
      </c>
      <c r="O170" s="8">
        <f t="shared" si="105"/>
        <v>9220.4</v>
      </c>
      <c r="P170" s="8">
        <f t="shared" si="106"/>
        <v>9220.4</v>
      </c>
      <c r="Q170" s="12">
        <v>75</v>
      </c>
      <c r="R170" s="12">
        <v>150</v>
      </c>
      <c r="S170" s="12">
        <v>97.02</v>
      </c>
      <c r="T170" s="8">
        <v>11.92</v>
      </c>
      <c r="U170" s="8">
        <v>0.4172</v>
      </c>
      <c r="V170" s="8">
        <f t="shared" si="107"/>
        <v>414196.83432916</v>
      </c>
      <c r="W170" s="8">
        <f t="shared" si="108"/>
        <v>9220.4</v>
      </c>
      <c r="X170" s="8">
        <f t="shared" si="109"/>
        <v>9220.4</v>
      </c>
      <c r="Y170" s="8">
        <f t="shared" si="110"/>
        <v>41419.683432916</v>
      </c>
      <c r="Z170" s="8">
        <f t="shared" si="111"/>
        <v>10</v>
      </c>
      <c r="AA170">
        <f t="shared" si="112"/>
        <v>4610.2</v>
      </c>
      <c r="AB170">
        <f t="shared" si="113"/>
        <v>10</v>
      </c>
      <c r="AC170">
        <f t="shared" si="114"/>
        <v>180.507418131137</v>
      </c>
      <c r="AD170">
        <f t="shared" si="115"/>
        <v>21.1963218390805</v>
      </c>
      <c r="AE170">
        <f t="shared" si="116"/>
        <v>21.1963218390805</v>
      </c>
      <c r="AF170">
        <f t="shared" si="139"/>
        <v>138065.611443053</v>
      </c>
      <c r="AG170">
        <f t="shared" si="140"/>
        <v>9220.4</v>
      </c>
      <c r="AH170">
        <f t="shared" si="141"/>
        <v>4610.2</v>
      </c>
      <c r="AI170">
        <f t="shared" si="117"/>
        <v>3.33333333333333</v>
      </c>
      <c r="AJ170">
        <f t="shared" si="118"/>
        <v>1536.73333333333</v>
      </c>
      <c r="AK170">
        <f t="shared" si="119"/>
        <v>30.0000000000001</v>
      </c>
      <c r="BT170">
        <v>169</v>
      </c>
      <c r="BU170">
        <f t="shared" si="120"/>
        <v>7452.4</v>
      </c>
      <c r="BV170">
        <f t="shared" si="121"/>
        <v>1490.48</v>
      </c>
      <c r="BX170">
        <f t="shared" si="122"/>
        <v>28.4</v>
      </c>
      <c r="BY170">
        <f t="shared" si="123"/>
        <v>56.9</v>
      </c>
      <c r="BZ170">
        <v>169</v>
      </c>
      <c r="CA170">
        <f t="shared" si="124"/>
        <v>9562.4</v>
      </c>
      <c r="CB170">
        <f t="shared" si="125"/>
        <v>1912.34</v>
      </c>
      <c r="CD170">
        <f t="shared" si="126"/>
        <v>40.544</v>
      </c>
      <c r="CE170">
        <f t="shared" si="127"/>
        <v>81.154</v>
      </c>
      <c r="CF170">
        <f t="shared" si="128"/>
        <v>48.08</v>
      </c>
      <c r="CG170">
        <v>169</v>
      </c>
      <c r="CH170">
        <f t="shared" si="129"/>
        <v>12176</v>
      </c>
      <c r="CI170">
        <f t="shared" si="130"/>
        <v>2434.6</v>
      </c>
      <c r="CK170">
        <f t="shared" si="131"/>
        <v>49.2</v>
      </c>
      <c r="CL170">
        <f t="shared" si="132"/>
        <v>98.45</v>
      </c>
      <c r="CM170">
        <f t="shared" si="133"/>
        <v>65.896</v>
      </c>
      <c r="CN170">
        <v>169</v>
      </c>
      <c r="CO170">
        <f t="shared" si="134"/>
        <v>14940.4</v>
      </c>
      <c r="CP170">
        <f t="shared" si="135"/>
        <v>2989.28</v>
      </c>
      <c r="CR170">
        <f t="shared" si="136"/>
        <v>63.38</v>
      </c>
      <c r="CS170">
        <f t="shared" si="137"/>
        <v>126.76</v>
      </c>
      <c r="CT170">
        <f t="shared" si="138"/>
        <v>84.422</v>
      </c>
    </row>
    <row r="171" spans="1:98">
      <c r="A171">
        <v>170</v>
      </c>
      <c r="B171" s="12">
        <v>18900</v>
      </c>
      <c r="C171" s="12">
        <v>3780</v>
      </c>
      <c r="D171" s="12">
        <v>3780</v>
      </c>
      <c r="E171" s="8">
        <f t="shared" si="98"/>
        <v>17250</v>
      </c>
      <c r="F171" s="8">
        <f t="shared" si="99"/>
        <v>3450</v>
      </c>
      <c r="G171" s="8">
        <f t="shared" si="100"/>
        <v>3450</v>
      </c>
      <c r="H171" s="12"/>
      <c r="I171" s="9">
        <v>1</v>
      </c>
      <c r="J171" s="8">
        <f t="shared" si="101"/>
        <v>10206</v>
      </c>
      <c r="K171" s="8">
        <f t="shared" si="102"/>
        <v>2041.2</v>
      </c>
      <c r="L171" s="8">
        <f t="shared" si="103"/>
        <v>2041.2</v>
      </c>
      <c r="M171" s="8">
        <v>1</v>
      </c>
      <c r="N171" s="8">
        <f t="shared" si="104"/>
        <v>46356</v>
      </c>
      <c r="O171" s="8">
        <f t="shared" si="105"/>
        <v>9271.2</v>
      </c>
      <c r="P171" s="8">
        <f t="shared" si="106"/>
        <v>9271.2</v>
      </c>
      <c r="Q171" s="12">
        <v>75</v>
      </c>
      <c r="R171" s="12">
        <v>150</v>
      </c>
      <c r="S171" s="12">
        <v>97.02</v>
      </c>
      <c r="T171" s="8">
        <v>11.92</v>
      </c>
      <c r="U171" s="8">
        <v>0.4172</v>
      </c>
      <c r="V171" s="8">
        <f t="shared" si="107"/>
        <v>416478.861050769</v>
      </c>
      <c r="W171" s="8">
        <f t="shared" si="108"/>
        <v>9271.2</v>
      </c>
      <c r="X171" s="8">
        <f t="shared" si="109"/>
        <v>9271.2</v>
      </c>
      <c r="Y171" s="8">
        <f t="shared" si="110"/>
        <v>41647.8861050769</v>
      </c>
      <c r="Z171" s="8">
        <f t="shared" si="111"/>
        <v>10</v>
      </c>
      <c r="AA171">
        <f t="shared" si="112"/>
        <v>4635.6</v>
      </c>
      <c r="AB171">
        <f t="shared" si="113"/>
        <v>10</v>
      </c>
      <c r="AC171">
        <f t="shared" si="114"/>
        <v>181.5019277881</v>
      </c>
      <c r="AD171">
        <f t="shared" si="115"/>
        <v>21.3131034482759</v>
      </c>
      <c r="AE171">
        <f t="shared" si="116"/>
        <v>21.3131034482759</v>
      </c>
      <c r="AF171">
        <f t="shared" si="139"/>
        <v>138826.287016923</v>
      </c>
      <c r="AG171">
        <f t="shared" si="140"/>
        <v>9271.2</v>
      </c>
      <c r="AH171">
        <f t="shared" si="141"/>
        <v>4635.6</v>
      </c>
      <c r="AI171">
        <f t="shared" si="117"/>
        <v>3.33333333333333</v>
      </c>
      <c r="AJ171">
        <f t="shared" si="118"/>
        <v>1545.2</v>
      </c>
      <c r="AK171">
        <f t="shared" si="119"/>
        <v>30</v>
      </c>
      <c r="BT171">
        <v>170</v>
      </c>
      <c r="BU171">
        <f t="shared" si="120"/>
        <v>7467</v>
      </c>
      <c r="BV171">
        <f t="shared" si="121"/>
        <v>1493.4</v>
      </c>
      <c r="BX171">
        <f t="shared" si="122"/>
        <v>28.45</v>
      </c>
      <c r="BY171">
        <f t="shared" si="123"/>
        <v>57</v>
      </c>
      <c r="BZ171">
        <v>170</v>
      </c>
      <c r="CA171">
        <f t="shared" si="124"/>
        <v>9571.7</v>
      </c>
      <c r="CB171">
        <f t="shared" si="125"/>
        <v>1914.2</v>
      </c>
      <c r="CD171">
        <f t="shared" si="126"/>
        <v>40.577</v>
      </c>
      <c r="CE171">
        <f t="shared" si="127"/>
        <v>81.22</v>
      </c>
      <c r="CF171">
        <f t="shared" si="128"/>
        <v>48.14</v>
      </c>
      <c r="CG171">
        <v>170</v>
      </c>
      <c r="CH171">
        <f t="shared" si="129"/>
        <v>12183</v>
      </c>
      <c r="CI171">
        <f t="shared" si="130"/>
        <v>2436</v>
      </c>
      <c r="CK171">
        <f t="shared" si="131"/>
        <v>49.225</v>
      </c>
      <c r="CL171">
        <f t="shared" si="132"/>
        <v>98.5</v>
      </c>
      <c r="CM171">
        <f t="shared" si="133"/>
        <v>65.943</v>
      </c>
      <c r="CN171">
        <v>170</v>
      </c>
      <c r="CO171">
        <f t="shared" si="134"/>
        <v>14946</v>
      </c>
      <c r="CP171">
        <f t="shared" si="135"/>
        <v>2990.4</v>
      </c>
      <c r="CR171">
        <f t="shared" si="136"/>
        <v>63.4</v>
      </c>
      <c r="CS171">
        <f t="shared" si="137"/>
        <v>126.8</v>
      </c>
      <c r="CT171">
        <f t="shared" si="138"/>
        <v>84.46</v>
      </c>
    </row>
    <row r="172" spans="1:98">
      <c r="A172">
        <v>171</v>
      </c>
      <c r="B172" s="12">
        <v>19000</v>
      </c>
      <c r="C172" s="12">
        <v>3800</v>
      </c>
      <c r="D172" s="12">
        <v>3800</v>
      </c>
      <c r="E172" s="8">
        <f t="shared" si="98"/>
        <v>17350</v>
      </c>
      <c r="F172" s="8">
        <f t="shared" si="99"/>
        <v>3470</v>
      </c>
      <c r="G172" s="8">
        <f t="shared" si="100"/>
        <v>3470</v>
      </c>
      <c r="H172" s="12"/>
      <c r="I172" s="9">
        <v>1</v>
      </c>
      <c r="J172" s="8">
        <f t="shared" si="101"/>
        <v>10260</v>
      </c>
      <c r="K172" s="8">
        <f t="shared" si="102"/>
        <v>2052</v>
      </c>
      <c r="L172" s="8">
        <f t="shared" si="103"/>
        <v>2052</v>
      </c>
      <c r="M172" s="8">
        <v>1</v>
      </c>
      <c r="N172" s="8">
        <f t="shared" si="104"/>
        <v>46610</v>
      </c>
      <c r="O172" s="8">
        <f t="shared" si="105"/>
        <v>9322</v>
      </c>
      <c r="P172" s="8">
        <f t="shared" si="106"/>
        <v>9322</v>
      </c>
      <c r="Q172" s="12">
        <v>75</v>
      </c>
      <c r="R172" s="12">
        <v>150</v>
      </c>
      <c r="S172" s="12">
        <v>97.02</v>
      </c>
      <c r="T172" s="8">
        <v>11.92</v>
      </c>
      <c r="U172" s="8">
        <v>0.4172</v>
      </c>
      <c r="V172" s="8">
        <f t="shared" si="107"/>
        <v>418760.887772378</v>
      </c>
      <c r="W172" s="8">
        <f t="shared" si="108"/>
        <v>9322</v>
      </c>
      <c r="X172" s="8">
        <f t="shared" si="109"/>
        <v>9322</v>
      </c>
      <c r="Y172" s="8">
        <f t="shared" si="110"/>
        <v>41876.0887772378</v>
      </c>
      <c r="Z172" s="8">
        <f t="shared" si="111"/>
        <v>10</v>
      </c>
      <c r="AA172">
        <f t="shared" si="112"/>
        <v>4661</v>
      </c>
      <c r="AB172">
        <f t="shared" si="113"/>
        <v>10</v>
      </c>
      <c r="AC172">
        <f t="shared" si="114"/>
        <v>182.496437445063</v>
      </c>
      <c r="AD172">
        <f t="shared" si="115"/>
        <v>21.4298850574713</v>
      </c>
      <c r="AE172">
        <f t="shared" si="116"/>
        <v>21.4298850574713</v>
      </c>
      <c r="AF172">
        <f t="shared" si="139"/>
        <v>139586.962590793</v>
      </c>
      <c r="AG172">
        <f t="shared" si="140"/>
        <v>9322</v>
      </c>
      <c r="AH172">
        <f t="shared" si="141"/>
        <v>4661</v>
      </c>
      <c r="AI172">
        <f t="shared" si="117"/>
        <v>3.33333333333334</v>
      </c>
      <c r="AJ172">
        <f t="shared" si="118"/>
        <v>1553.66666666667</v>
      </c>
      <c r="AK172">
        <f t="shared" si="119"/>
        <v>29.9999999999999</v>
      </c>
      <c r="BT172">
        <v>171</v>
      </c>
      <c r="BU172">
        <f t="shared" si="120"/>
        <v>7481.6</v>
      </c>
      <c r="BV172">
        <f t="shared" si="121"/>
        <v>1496.32</v>
      </c>
      <c r="BX172">
        <f t="shared" si="122"/>
        <v>28.5</v>
      </c>
      <c r="BY172">
        <f t="shared" si="123"/>
        <v>57.1</v>
      </c>
      <c r="BZ172">
        <v>171</v>
      </c>
      <c r="CA172">
        <f t="shared" si="124"/>
        <v>9581</v>
      </c>
      <c r="CB172">
        <f t="shared" si="125"/>
        <v>1916.06</v>
      </c>
      <c r="CD172">
        <f t="shared" si="126"/>
        <v>40.61</v>
      </c>
      <c r="CE172">
        <f t="shared" si="127"/>
        <v>81.286</v>
      </c>
      <c r="CF172">
        <f t="shared" si="128"/>
        <v>48.2</v>
      </c>
      <c r="CG172">
        <v>171</v>
      </c>
      <c r="CH172">
        <f t="shared" si="129"/>
        <v>12190</v>
      </c>
      <c r="CI172">
        <f t="shared" si="130"/>
        <v>2437.4</v>
      </c>
      <c r="CK172">
        <f t="shared" si="131"/>
        <v>49.25</v>
      </c>
      <c r="CL172">
        <f t="shared" si="132"/>
        <v>98.55</v>
      </c>
      <c r="CM172">
        <f t="shared" si="133"/>
        <v>65.99</v>
      </c>
      <c r="CN172">
        <v>171</v>
      </c>
      <c r="CO172">
        <f t="shared" si="134"/>
        <v>14951.6</v>
      </c>
      <c r="CP172">
        <f t="shared" si="135"/>
        <v>2991.52</v>
      </c>
      <c r="CR172">
        <f t="shared" si="136"/>
        <v>63.42</v>
      </c>
      <c r="CS172">
        <f t="shared" si="137"/>
        <v>126.84</v>
      </c>
      <c r="CT172">
        <f t="shared" si="138"/>
        <v>84.498</v>
      </c>
    </row>
    <row r="173" spans="1:98">
      <c r="A173">
        <v>172</v>
      </c>
      <c r="B173" s="12">
        <v>19100</v>
      </c>
      <c r="C173" s="12">
        <v>3820</v>
      </c>
      <c r="D173" s="12">
        <v>3820</v>
      </c>
      <c r="E173" s="8">
        <f t="shared" si="98"/>
        <v>17450</v>
      </c>
      <c r="F173" s="8">
        <f t="shared" si="99"/>
        <v>3490</v>
      </c>
      <c r="G173" s="8">
        <f t="shared" si="100"/>
        <v>3490</v>
      </c>
      <c r="H173" s="12"/>
      <c r="I173" s="9">
        <v>1</v>
      </c>
      <c r="J173" s="8">
        <f t="shared" si="101"/>
        <v>10314</v>
      </c>
      <c r="K173" s="8">
        <f t="shared" si="102"/>
        <v>2062.8</v>
      </c>
      <c r="L173" s="8">
        <f t="shared" si="103"/>
        <v>2062.8</v>
      </c>
      <c r="M173" s="8">
        <v>1</v>
      </c>
      <c r="N173" s="8">
        <f t="shared" si="104"/>
        <v>46864</v>
      </c>
      <c r="O173" s="8">
        <f t="shared" si="105"/>
        <v>9372.8</v>
      </c>
      <c r="P173" s="8">
        <f t="shared" si="106"/>
        <v>9372.8</v>
      </c>
      <c r="Q173" s="12">
        <v>75</v>
      </c>
      <c r="R173" s="12">
        <v>150</v>
      </c>
      <c r="S173" s="12">
        <v>97.02</v>
      </c>
      <c r="T173" s="8">
        <v>11.92</v>
      </c>
      <c r="U173" s="8">
        <v>0.4172</v>
      </c>
      <c r="V173" s="8">
        <f t="shared" si="107"/>
        <v>421042.914493986</v>
      </c>
      <c r="W173" s="8">
        <f t="shared" si="108"/>
        <v>9372.8</v>
      </c>
      <c r="X173" s="8">
        <f t="shared" si="109"/>
        <v>9372.8</v>
      </c>
      <c r="Y173" s="8">
        <f t="shared" si="110"/>
        <v>42104.2914493986</v>
      </c>
      <c r="Z173" s="8">
        <f t="shared" si="111"/>
        <v>10</v>
      </c>
      <c r="AA173">
        <f t="shared" si="112"/>
        <v>4686.4</v>
      </c>
      <c r="AB173">
        <f t="shared" si="113"/>
        <v>10</v>
      </c>
      <c r="AC173">
        <f t="shared" si="114"/>
        <v>183.490947102026</v>
      </c>
      <c r="AD173">
        <f t="shared" si="115"/>
        <v>21.5466666666667</v>
      </c>
      <c r="AE173">
        <f t="shared" si="116"/>
        <v>21.5466666666667</v>
      </c>
      <c r="AF173">
        <f t="shared" si="139"/>
        <v>140347.638164662</v>
      </c>
      <c r="AG173">
        <f t="shared" si="140"/>
        <v>9372.8</v>
      </c>
      <c r="AH173">
        <f t="shared" si="141"/>
        <v>4686.4</v>
      </c>
      <c r="AI173">
        <f t="shared" si="117"/>
        <v>3.33333333333333</v>
      </c>
      <c r="AJ173">
        <f t="shared" si="118"/>
        <v>1562.13333333333</v>
      </c>
      <c r="AK173">
        <f t="shared" si="119"/>
        <v>30.0000000000001</v>
      </c>
      <c r="BT173">
        <v>172</v>
      </c>
      <c r="BU173">
        <f t="shared" si="120"/>
        <v>7496.2</v>
      </c>
      <c r="BV173">
        <f t="shared" si="121"/>
        <v>1499.24</v>
      </c>
      <c r="BX173">
        <f t="shared" si="122"/>
        <v>28.55</v>
      </c>
      <c r="BY173">
        <f t="shared" si="123"/>
        <v>57.2</v>
      </c>
      <c r="BZ173">
        <v>172</v>
      </c>
      <c r="CA173">
        <f t="shared" si="124"/>
        <v>9590.3</v>
      </c>
      <c r="CB173">
        <f t="shared" si="125"/>
        <v>1917.92</v>
      </c>
      <c r="CD173">
        <f t="shared" si="126"/>
        <v>40.643</v>
      </c>
      <c r="CE173">
        <f t="shared" si="127"/>
        <v>81.352</v>
      </c>
      <c r="CF173">
        <f t="shared" si="128"/>
        <v>48.26</v>
      </c>
      <c r="CG173">
        <v>172</v>
      </c>
      <c r="CH173">
        <f t="shared" si="129"/>
        <v>12197</v>
      </c>
      <c r="CI173">
        <f t="shared" si="130"/>
        <v>2438.8</v>
      </c>
      <c r="CK173">
        <f t="shared" si="131"/>
        <v>49.275</v>
      </c>
      <c r="CL173">
        <f t="shared" si="132"/>
        <v>98.6</v>
      </c>
      <c r="CM173">
        <f t="shared" si="133"/>
        <v>66.037</v>
      </c>
      <c r="CN173">
        <v>172</v>
      </c>
      <c r="CO173">
        <f t="shared" si="134"/>
        <v>14957.2</v>
      </c>
      <c r="CP173">
        <f t="shared" si="135"/>
        <v>2992.64</v>
      </c>
      <c r="CR173">
        <f t="shared" si="136"/>
        <v>63.44</v>
      </c>
      <c r="CS173">
        <f t="shared" si="137"/>
        <v>126.88</v>
      </c>
      <c r="CT173">
        <f t="shared" si="138"/>
        <v>84.536</v>
      </c>
    </row>
    <row r="174" spans="1:98">
      <c r="A174">
        <v>173</v>
      </c>
      <c r="B174" s="12">
        <v>19200</v>
      </c>
      <c r="C174" s="12">
        <v>3840</v>
      </c>
      <c r="D174" s="12">
        <v>3840</v>
      </c>
      <c r="E174" s="8">
        <f t="shared" si="98"/>
        <v>17550</v>
      </c>
      <c r="F174" s="8">
        <f t="shared" si="99"/>
        <v>3510</v>
      </c>
      <c r="G174" s="8">
        <f t="shared" si="100"/>
        <v>3510</v>
      </c>
      <c r="H174" s="12"/>
      <c r="I174" s="9">
        <v>1</v>
      </c>
      <c r="J174" s="8">
        <f t="shared" si="101"/>
        <v>10368</v>
      </c>
      <c r="K174" s="8">
        <f t="shared" si="102"/>
        <v>2073.6</v>
      </c>
      <c r="L174" s="8">
        <f t="shared" si="103"/>
        <v>2073.6</v>
      </c>
      <c r="M174" s="8">
        <v>1</v>
      </c>
      <c r="N174" s="8">
        <f t="shared" si="104"/>
        <v>47118</v>
      </c>
      <c r="O174" s="8">
        <f t="shared" si="105"/>
        <v>9423.6</v>
      </c>
      <c r="P174" s="8">
        <f t="shared" si="106"/>
        <v>9423.6</v>
      </c>
      <c r="Q174" s="12">
        <v>75</v>
      </c>
      <c r="R174" s="12">
        <v>150</v>
      </c>
      <c r="S174" s="12">
        <v>97.02</v>
      </c>
      <c r="T174" s="8">
        <v>11.92</v>
      </c>
      <c r="U174" s="8">
        <v>0.4172</v>
      </c>
      <c r="V174" s="8">
        <f t="shared" si="107"/>
        <v>423324.941215595</v>
      </c>
      <c r="W174" s="8">
        <f t="shared" si="108"/>
        <v>9423.6</v>
      </c>
      <c r="X174" s="8">
        <f t="shared" si="109"/>
        <v>9423.6</v>
      </c>
      <c r="Y174" s="8">
        <f t="shared" si="110"/>
        <v>42332.4941215595</v>
      </c>
      <c r="Z174" s="8">
        <f t="shared" si="111"/>
        <v>10</v>
      </c>
      <c r="AA174">
        <f t="shared" si="112"/>
        <v>4711.8</v>
      </c>
      <c r="AB174">
        <f t="shared" si="113"/>
        <v>10</v>
      </c>
      <c r="AC174">
        <f t="shared" si="114"/>
        <v>184.485456758989</v>
      </c>
      <c r="AD174">
        <f t="shared" si="115"/>
        <v>21.6634482758621</v>
      </c>
      <c r="AE174">
        <f t="shared" si="116"/>
        <v>21.6634482758621</v>
      </c>
      <c r="AF174">
        <f t="shared" si="139"/>
        <v>141108.313738532</v>
      </c>
      <c r="AG174">
        <f t="shared" si="140"/>
        <v>9423.6</v>
      </c>
      <c r="AH174">
        <f t="shared" si="141"/>
        <v>4711.8</v>
      </c>
      <c r="AI174">
        <f t="shared" si="117"/>
        <v>3.33333333333334</v>
      </c>
      <c r="AJ174">
        <f t="shared" si="118"/>
        <v>1570.6</v>
      </c>
      <c r="AK174">
        <f t="shared" si="119"/>
        <v>30</v>
      </c>
      <c r="BT174">
        <v>173</v>
      </c>
      <c r="BU174">
        <f t="shared" si="120"/>
        <v>7510.8</v>
      </c>
      <c r="BV174">
        <f t="shared" si="121"/>
        <v>1502.16</v>
      </c>
      <c r="BX174">
        <f t="shared" si="122"/>
        <v>28.6</v>
      </c>
      <c r="BY174">
        <f t="shared" si="123"/>
        <v>57.3</v>
      </c>
      <c r="BZ174">
        <v>173</v>
      </c>
      <c r="CA174">
        <f t="shared" si="124"/>
        <v>9599.6</v>
      </c>
      <c r="CB174">
        <f t="shared" si="125"/>
        <v>1919.78</v>
      </c>
      <c r="CD174">
        <f t="shared" si="126"/>
        <v>40.676</v>
      </c>
      <c r="CE174">
        <f t="shared" si="127"/>
        <v>81.418</v>
      </c>
      <c r="CF174">
        <f t="shared" si="128"/>
        <v>48.32</v>
      </c>
      <c r="CG174">
        <v>173</v>
      </c>
      <c r="CH174">
        <f t="shared" si="129"/>
        <v>12204</v>
      </c>
      <c r="CI174">
        <f t="shared" si="130"/>
        <v>2440.2</v>
      </c>
      <c r="CK174">
        <f t="shared" si="131"/>
        <v>49.3</v>
      </c>
      <c r="CL174">
        <f t="shared" si="132"/>
        <v>98.65</v>
      </c>
      <c r="CM174">
        <f t="shared" si="133"/>
        <v>66.084</v>
      </c>
      <c r="CN174">
        <v>173</v>
      </c>
      <c r="CO174">
        <f t="shared" si="134"/>
        <v>14962.8</v>
      </c>
      <c r="CP174">
        <f t="shared" si="135"/>
        <v>2993.76</v>
      </c>
      <c r="CR174">
        <f t="shared" si="136"/>
        <v>63.46</v>
      </c>
      <c r="CS174">
        <f t="shared" si="137"/>
        <v>126.92</v>
      </c>
      <c r="CT174">
        <f t="shared" si="138"/>
        <v>84.574</v>
      </c>
    </row>
    <row r="175" spans="1:98">
      <c r="A175">
        <v>174</v>
      </c>
      <c r="B175" s="12">
        <v>19300</v>
      </c>
      <c r="C175" s="12">
        <v>3860</v>
      </c>
      <c r="D175" s="12">
        <v>3860</v>
      </c>
      <c r="E175" s="8">
        <f t="shared" si="98"/>
        <v>17650</v>
      </c>
      <c r="F175" s="8">
        <f t="shared" si="99"/>
        <v>3530</v>
      </c>
      <c r="G175" s="8">
        <f t="shared" si="100"/>
        <v>3530</v>
      </c>
      <c r="H175" s="12"/>
      <c r="I175" s="9">
        <v>1</v>
      </c>
      <c r="J175" s="8">
        <f t="shared" si="101"/>
        <v>10422</v>
      </c>
      <c r="K175" s="8">
        <f t="shared" si="102"/>
        <v>2084.4</v>
      </c>
      <c r="L175" s="8">
        <f t="shared" si="103"/>
        <v>2084.4</v>
      </c>
      <c r="M175" s="8">
        <v>1</v>
      </c>
      <c r="N175" s="8">
        <f t="shared" si="104"/>
        <v>47372</v>
      </c>
      <c r="O175" s="8">
        <f t="shared" si="105"/>
        <v>9474.4</v>
      </c>
      <c r="P175" s="8">
        <f t="shared" si="106"/>
        <v>9474.4</v>
      </c>
      <c r="Q175" s="12">
        <v>75</v>
      </c>
      <c r="R175" s="12">
        <v>150</v>
      </c>
      <c r="S175" s="12">
        <v>97.02</v>
      </c>
      <c r="T175" s="8">
        <v>11.92</v>
      </c>
      <c r="U175" s="8">
        <v>0.4172</v>
      </c>
      <c r="V175" s="8">
        <f t="shared" si="107"/>
        <v>425606.967937204</v>
      </c>
      <c r="W175" s="8">
        <f t="shared" si="108"/>
        <v>9474.4</v>
      </c>
      <c r="X175" s="8">
        <f t="shared" si="109"/>
        <v>9474.4</v>
      </c>
      <c r="Y175" s="8">
        <f t="shared" si="110"/>
        <v>42560.6967937204</v>
      </c>
      <c r="Z175" s="8">
        <f t="shared" si="111"/>
        <v>10</v>
      </c>
      <c r="AA175">
        <f t="shared" si="112"/>
        <v>4737.2</v>
      </c>
      <c r="AB175">
        <f t="shared" si="113"/>
        <v>10</v>
      </c>
      <c r="AC175">
        <f t="shared" si="114"/>
        <v>185.479966415952</v>
      </c>
      <c r="AD175">
        <f t="shared" si="115"/>
        <v>21.7802298850575</v>
      </c>
      <c r="AE175">
        <f t="shared" si="116"/>
        <v>21.7802298850575</v>
      </c>
      <c r="AF175">
        <f t="shared" si="139"/>
        <v>141868.989312401</v>
      </c>
      <c r="AG175">
        <f t="shared" si="140"/>
        <v>9474.4</v>
      </c>
      <c r="AH175">
        <f t="shared" si="141"/>
        <v>4737.2</v>
      </c>
      <c r="AI175">
        <f t="shared" si="117"/>
        <v>3.33333333333333</v>
      </c>
      <c r="AJ175">
        <f t="shared" si="118"/>
        <v>1579.06666666667</v>
      </c>
      <c r="AK175">
        <f t="shared" si="119"/>
        <v>29.9999999999999</v>
      </c>
      <c r="BT175">
        <v>174</v>
      </c>
      <c r="BU175">
        <f t="shared" si="120"/>
        <v>7525.4</v>
      </c>
      <c r="BV175">
        <f t="shared" si="121"/>
        <v>1505.08</v>
      </c>
      <c r="BX175">
        <f t="shared" si="122"/>
        <v>28.65</v>
      </c>
      <c r="BY175">
        <f t="shared" si="123"/>
        <v>57.4</v>
      </c>
      <c r="BZ175">
        <v>174</v>
      </c>
      <c r="CA175">
        <f t="shared" si="124"/>
        <v>9608.9</v>
      </c>
      <c r="CB175">
        <f t="shared" si="125"/>
        <v>1921.64</v>
      </c>
      <c r="CD175">
        <f t="shared" si="126"/>
        <v>40.709</v>
      </c>
      <c r="CE175">
        <f t="shared" si="127"/>
        <v>81.484</v>
      </c>
      <c r="CF175">
        <f t="shared" si="128"/>
        <v>48.38</v>
      </c>
      <c r="CG175">
        <v>174</v>
      </c>
      <c r="CH175">
        <f t="shared" si="129"/>
        <v>12211</v>
      </c>
      <c r="CI175">
        <f t="shared" si="130"/>
        <v>2441.6</v>
      </c>
      <c r="CK175">
        <f t="shared" si="131"/>
        <v>49.325</v>
      </c>
      <c r="CL175">
        <f t="shared" si="132"/>
        <v>98.7</v>
      </c>
      <c r="CM175">
        <f t="shared" si="133"/>
        <v>66.131</v>
      </c>
      <c r="CN175">
        <v>174</v>
      </c>
      <c r="CO175">
        <f t="shared" si="134"/>
        <v>14968.4</v>
      </c>
      <c r="CP175">
        <f t="shared" si="135"/>
        <v>2994.88</v>
      </c>
      <c r="CR175">
        <f t="shared" si="136"/>
        <v>63.48</v>
      </c>
      <c r="CS175">
        <f t="shared" si="137"/>
        <v>126.96</v>
      </c>
      <c r="CT175">
        <f t="shared" si="138"/>
        <v>84.612</v>
      </c>
    </row>
    <row r="176" spans="1:98">
      <c r="A176">
        <v>175</v>
      </c>
      <c r="B176" s="12">
        <v>19400</v>
      </c>
      <c r="C176" s="12">
        <v>3880</v>
      </c>
      <c r="D176" s="12">
        <v>3880</v>
      </c>
      <c r="E176" s="8">
        <f t="shared" si="98"/>
        <v>17750</v>
      </c>
      <c r="F176" s="8">
        <f t="shared" si="99"/>
        <v>3550</v>
      </c>
      <c r="G176" s="8">
        <f t="shared" si="100"/>
        <v>3550</v>
      </c>
      <c r="H176" s="12"/>
      <c r="I176" s="9">
        <v>1</v>
      </c>
      <c r="J176" s="8">
        <f t="shared" si="101"/>
        <v>10476</v>
      </c>
      <c r="K176" s="8">
        <f t="shared" si="102"/>
        <v>2095.2</v>
      </c>
      <c r="L176" s="8">
        <f t="shared" si="103"/>
        <v>2095.2</v>
      </c>
      <c r="M176" s="8">
        <v>1</v>
      </c>
      <c r="N176" s="8">
        <f t="shared" si="104"/>
        <v>47626</v>
      </c>
      <c r="O176" s="8">
        <f t="shared" si="105"/>
        <v>9525.2</v>
      </c>
      <c r="P176" s="8">
        <f t="shared" si="106"/>
        <v>9525.2</v>
      </c>
      <c r="Q176" s="12">
        <v>75</v>
      </c>
      <c r="R176" s="12">
        <v>150</v>
      </c>
      <c r="S176" s="12">
        <v>97.02</v>
      </c>
      <c r="T176" s="8">
        <v>11.92</v>
      </c>
      <c r="U176" s="8">
        <v>0.4172</v>
      </c>
      <c r="V176" s="8">
        <f t="shared" si="107"/>
        <v>427888.994658813</v>
      </c>
      <c r="W176" s="8">
        <f t="shared" si="108"/>
        <v>9525.2</v>
      </c>
      <c r="X176" s="8">
        <f t="shared" si="109"/>
        <v>9525.2</v>
      </c>
      <c r="Y176" s="8">
        <f t="shared" si="110"/>
        <v>42788.8994658813</v>
      </c>
      <c r="Z176" s="8">
        <f t="shared" si="111"/>
        <v>10</v>
      </c>
      <c r="AA176">
        <f t="shared" si="112"/>
        <v>4762.6</v>
      </c>
      <c r="AB176">
        <f t="shared" si="113"/>
        <v>10</v>
      </c>
      <c r="AC176">
        <f t="shared" si="114"/>
        <v>186.474476072915</v>
      </c>
      <c r="AD176">
        <f t="shared" si="115"/>
        <v>21.8970114942529</v>
      </c>
      <c r="AE176">
        <f t="shared" si="116"/>
        <v>21.8970114942529</v>
      </c>
      <c r="AF176">
        <f t="shared" si="139"/>
        <v>142629.664886271</v>
      </c>
      <c r="AG176">
        <f t="shared" si="140"/>
        <v>9525.2</v>
      </c>
      <c r="AH176">
        <f t="shared" si="141"/>
        <v>4762.6</v>
      </c>
      <c r="AI176">
        <f t="shared" si="117"/>
        <v>3.33333333333333</v>
      </c>
      <c r="AJ176">
        <f t="shared" si="118"/>
        <v>1587.53333333333</v>
      </c>
      <c r="AK176">
        <f t="shared" si="119"/>
        <v>30.0000000000001</v>
      </c>
      <c r="BT176">
        <v>175</v>
      </c>
      <c r="BU176">
        <f t="shared" si="120"/>
        <v>7540</v>
      </c>
      <c r="BV176">
        <f t="shared" si="121"/>
        <v>1508</v>
      </c>
      <c r="BX176">
        <f t="shared" si="122"/>
        <v>28.7</v>
      </c>
      <c r="BY176">
        <f t="shared" si="123"/>
        <v>57.5</v>
      </c>
      <c r="BZ176">
        <v>175</v>
      </c>
      <c r="CA176">
        <f t="shared" si="124"/>
        <v>9618.2</v>
      </c>
      <c r="CB176">
        <f t="shared" si="125"/>
        <v>1923.5</v>
      </c>
      <c r="CD176">
        <f t="shared" si="126"/>
        <v>40.742</v>
      </c>
      <c r="CE176">
        <f t="shared" si="127"/>
        <v>81.55</v>
      </c>
      <c r="CF176">
        <f t="shared" si="128"/>
        <v>48.44</v>
      </c>
      <c r="CG176">
        <v>175</v>
      </c>
      <c r="CH176">
        <f t="shared" si="129"/>
        <v>12218</v>
      </c>
      <c r="CI176">
        <f t="shared" si="130"/>
        <v>2443</v>
      </c>
      <c r="CK176">
        <f t="shared" si="131"/>
        <v>49.35</v>
      </c>
      <c r="CL176">
        <f t="shared" si="132"/>
        <v>98.75</v>
      </c>
      <c r="CM176">
        <f t="shared" si="133"/>
        <v>66.178</v>
      </c>
      <c r="CN176">
        <v>175</v>
      </c>
      <c r="CO176">
        <f t="shared" si="134"/>
        <v>14974</v>
      </c>
      <c r="CP176">
        <f t="shared" si="135"/>
        <v>2996</v>
      </c>
      <c r="CR176">
        <f t="shared" si="136"/>
        <v>63.5</v>
      </c>
      <c r="CS176">
        <f t="shared" si="137"/>
        <v>127</v>
      </c>
      <c r="CT176">
        <f t="shared" si="138"/>
        <v>84.65</v>
      </c>
    </row>
    <row r="177" spans="1:98">
      <c r="A177">
        <v>176</v>
      </c>
      <c r="B177" s="12">
        <v>19500</v>
      </c>
      <c r="C177" s="12">
        <v>3900</v>
      </c>
      <c r="D177" s="12">
        <v>3900</v>
      </c>
      <c r="E177" s="8">
        <f t="shared" si="98"/>
        <v>17850</v>
      </c>
      <c r="F177" s="8">
        <f t="shared" si="99"/>
        <v>3570</v>
      </c>
      <c r="G177" s="8">
        <f t="shared" si="100"/>
        <v>3570</v>
      </c>
      <c r="H177" s="12"/>
      <c r="I177" s="9">
        <v>1</v>
      </c>
      <c r="J177" s="8">
        <f t="shared" si="101"/>
        <v>10530</v>
      </c>
      <c r="K177" s="8">
        <f t="shared" si="102"/>
        <v>2106</v>
      </c>
      <c r="L177" s="8">
        <f t="shared" si="103"/>
        <v>2106</v>
      </c>
      <c r="M177" s="8">
        <v>1</v>
      </c>
      <c r="N177" s="8">
        <f t="shared" si="104"/>
        <v>47880</v>
      </c>
      <c r="O177" s="8">
        <f t="shared" si="105"/>
        <v>9576</v>
      </c>
      <c r="P177" s="8">
        <f t="shared" si="106"/>
        <v>9576</v>
      </c>
      <c r="Q177" s="12">
        <v>75</v>
      </c>
      <c r="R177" s="12">
        <v>150</v>
      </c>
      <c r="S177" s="12">
        <v>97.02</v>
      </c>
      <c r="T177" s="8">
        <v>11.92</v>
      </c>
      <c r="U177" s="8">
        <v>0.4172</v>
      </c>
      <c r="V177" s="8">
        <f t="shared" si="107"/>
        <v>430171.021380422</v>
      </c>
      <c r="W177" s="8">
        <f t="shared" si="108"/>
        <v>9576</v>
      </c>
      <c r="X177" s="8">
        <f t="shared" si="109"/>
        <v>9576</v>
      </c>
      <c r="Y177" s="8">
        <f t="shared" si="110"/>
        <v>43017.1021380421</v>
      </c>
      <c r="Z177" s="8">
        <f t="shared" si="111"/>
        <v>10</v>
      </c>
      <c r="AA177">
        <f t="shared" si="112"/>
        <v>4788</v>
      </c>
      <c r="AB177">
        <f t="shared" si="113"/>
        <v>10</v>
      </c>
      <c r="AC177">
        <f t="shared" si="114"/>
        <v>187.468985729878</v>
      </c>
      <c r="AD177">
        <f t="shared" si="115"/>
        <v>22.0137931034483</v>
      </c>
      <c r="AE177">
        <f t="shared" si="116"/>
        <v>22.0137931034483</v>
      </c>
      <c r="AF177">
        <f t="shared" si="139"/>
        <v>143390.340460141</v>
      </c>
      <c r="AG177">
        <f t="shared" si="140"/>
        <v>9576</v>
      </c>
      <c r="AH177">
        <f t="shared" si="141"/>
        <v>4788</v>
      </c>
      <c r="AI177">
        <f t="shared" si="117"/>
        <v>3.33333333333335</v>
      </c>
      <c r="AJ177">
        <f t="shared" si="118"/>
        <v>1596</v>
      </c>
      <c r="AK177">
        <f t="shared" si="119"/>
        <v>30</v>
      </c>
      <c r="BT177">
        <v>176</v>
      </c>
      <c r="BU177">
        <f t="shared" si="120"/>
        <v>7554.6</v>
      </c>
      <c r="BV177">
        <f t="shared" si="121"/>
        <v>1510.92</v>
      </c>
      <c r="BX177">
        <f t="shared" si="122"/>
        <v>28.75</v>
      </c>
      <c r="BY177">
        <f t="shared" si="123"/>
        <v>57.6</v>
      </c>
      <c r="BZ177">
        <v>176</v>
      </c>
      <c r="CA177">
        <f t="shared" si="124"/>
        <v>9627.5</v>
      </c>
      <c r="CB177">
        <f t="shared" si="125"/>
        <v>1925.36</v>
      </c>
      <c r="CD177">
        <f t="shared" si="126"/>
        <v>40.775</v>
      </c>
      <c r="CE177">
        <f t="shared" si="127"/>
        <v>81.616</v>
      </c>
      <c r="CF177">
        <f t="shared" si="128"/>
        <v>48.5</v>
      </c>
      <c r="CG177">
        <v>176</v>
      </c>
      <c r="CH177">
        <f t="shared" si="129"/>
        <v>12225</v>
      </c>
      <c r="CI177">
        <f t="shared" si="130"/>
        <v>2444.4</v>
      </c>
      <c r="CK177">
        <f t="shared" si="131"/>
        <v>49.375</v>
      </c>
      <c r="CL177">
        <f t="shared" si="132"/>
        <v>98.8</v>
      </c>
      <c r="CM177">
        <f t="shared" si="133"/>
        <v>66.225</v>
      </c>
      <c r="CN177">
        <v>176</v>
      </c>
      <c r="CO177">
        <f t="shared" si="134"/>
        <v>14979.6</v>
      </c>
      <c r="CP177">
        <f t="shared" si="135"/>
        <v>2997.12</v>
      </c>
      <c r="CR177">
        <f t="shared" si="136"/>
        <v>63.52</v>
      </c>
      <c r="CS177">
        <f t="shared" si="137"/>
        <v>127.04</v>
      </c>
      <c r="CT177">
        <f t="shared" si="138"/>
        <v>84.688</v>
      </c>
    </row>
    <row r="178" spans="1:98">
      <c r="A178">
        <v>177</v>
      </c>
      <c r="B178" s="12">
        <v>19600</v>
      </c>
      <c r="C178" s="12">
        <v>3920</v>
      </c>
      <c r="D178" s="12">
        <v>3920</v>
      </c>
      <c r="E178" s="8">
        <f t="shared" si="98"/>
        <v>17950</v>
      </c>
      <c r="F178" s="8">
        <f t="shared" si="99"/>
        <v>3590</v>
      </c>
      <c r="G178" s="8">
        <f t="shared" si="100"/>
        <v>3590</v>
      </c>
      <c r="H178" s="12"/>
      <c r="I178" s="9">
        <v>1</v>
      </c>
      <c r="J178" s="8">
        <f t="shared" si="101"/>
        <v>10584</v>
      </c>
      <c r="K178" s="8">
        <f t="shared" si="102"/>
        <v>2116.8</v>
      </c>
      <c r="L178" s="8">
        <f t="shared" si="103"/>
        <v>2116.8</v>
      </c>
      <c r="M178" s="8">
        <v>1</v>
      </c>
      <c r="N178" s="8">
        <f t="shared" si="104"/>
        <v>48134</v>
      </c>
      <c r="O178" s="8">
        <f t="shared" si="105"/>
        <v>9626.8</v>
      </c>
      <c r="P178" s="8">
        <f t="shared" si="106"/>
        <v>9626.8</v>
      </c>
      <c r="Q178" s="12">
        <v>75</v>
      </c>
      <c r="R178" s="12">
        <v>150</v>
      </c>
      <c r="S178" s="12">
        <v>97.02</v>
      </c>
      <c r="T178" s="8">
        <v>11.92</v>
      </c>
      <c r="U178" s="8">
        <v>0.4172</v>
      </c>
      <c r="V178" s="8">
        <f t="shared" si="107"/>
        <v>432453.04810203</v>
      </c>
      <c r="W178" s="8">
        <f t="shared" si="108"/>
        <v>9626.8</v>
      </c>
      <c r="X178" s="8">
        <f t="shared" si="109"/>
        <v>9626.8</v>
      </c>
      <c r="Y178" s="8">
        <f t="shared" si="110"/>
        <v>43245.304810203</v>
      </c>
      <c r="Z178" s="8">
        <f t="shared" si="111"/>
        <v>10</v>
      </c>
      <c r="AA178">
        <f t="shared" si="112"/>
        <v>4813.4</v>
      </c>
      <c r="AB178">
        <f t="shared" si="113"/>
        <v>10</v>
      </c>
      <c r="AC178">
        <f t="shared" si="114"/>
        <v>188.463495386841</v>
      </c>
      <c r="AD178">
        <f t="shared" si="115"/>
        <v>22.1305747126437</v>
      </c>
      <c r="AE178">
        <f t="shared" si="116"/>
        <v>22.1305747126437</v>
      </c>
      <c r="AF178">
        <f t="shared" si="139"/>
        <v>144151.01603401</v>
      </c>
      <c r="AG178">
        <f t="shared" si="140"/>
        <v>9626.8</v>
      </c>
      <c r="AH178">
        <f t="shared" si="141"/>
        <v>4813.4</v>
      </c>
      <c r="AI178">
        <f t="shared" si="117"/>
        <v>3.33333333333333</v>
      </c>
      <c r="AJ178">
        <f t="shared" si="118"/>
        <v>1604.46666666667</v>
      </c>
      <c r="AK178">
        <f t="shared" si="119"/>
        <v>29.9999999999999</v>
      </c>
      <c r="BT178">
        <v>177</v>
      </c>
      <c r="BU178">
        <f t="shared" si="120"/>
        <v>7569.2</v>
      </c>
      <c r="BV178">
        <f t="shared" si="121"/>
        <v>1513.84</v>
      </c>
      <c r="BX178">
        <f t="shared" si="122"/>
        <v>28.8</v>
      </c>
      <c r="BY178">
        <f t="shared" si="123"/>
        <v>57.7</v>
      </c>
      <c r="BZ178">
        <v>177</v>
      </c>
      <c r="CA178">
        <f t="shared" si="124"/>
        <v>9636.8</v>
      </c>
      <c r="CB178">
        <f t="shared" si="125"/>
        <v>1927.22</v>
      </c>
      <c r="CD178">
        <f t="shared" si="126"/>
        <v>40.808</v>
      </c>
      <c r="CE178">
        <f t="shared" si="127"/>
        <v>81.682</v>
      </c>
      <c r="CF178">
        <f t="shared" si="128"/>
        <v>48.56</v>
      </c>
      <c r="CG178">
        <v>177</v>
      </c>
      <c r="CH178">
        <f t="shared" si="129"/>
        <v>12232</v>
      </c>
      <c r="CI178">
        <f t="shared" si="130"/>
        <v>2445.8</v>
      </c>
      <c r="CK178">
        <f t="shared" si="131"/>
        <v>49.4</v>
      </c>
      <c r="CL178">
        <f t="shared" si="132"/>
        <v>98.85</v>
      </c>
      <c r="CM178">
        <f t="shared" si="133"/>
        <v>66.272</v>
      </c>
      <c r="CN178">
        <v>177</v>
      </c>
      <c r="CO178">
        <f t="shared" si="134"/>
        <v>14985.2</v>
      </c>
      <c r="CP178">
        <f t="shared" si="135"/>
        <v>2998.24</v>
      </c>
      <c r="CR178">
        <f t="shared" si="136"/>
        <v>63.54</v>
      </c>
      <c r="CS178">
        <f t="shared" si="137"/>
        <v>127.08</v>
      </c>
      <c r="CT178">
        <f t="shared" si="138"/>
        <v>84.726</v>
      </c>
    </row>
    <row r="179" spans="1:98">
      <c r="A179">
        <v>178</v>
      </c>
      <c r="B179" s="12">
        <v>19700</v>
      </c>
      <c r="C179" s="12">
        <v>3940</v>
      </c>
      <c r="D179" s="12">
        <v>3940</v>
      </c>
      <c r="E179" s="8">
        <f t="shared" si="98"/>
        <v>18050</v>
      </c>
      <c r="F179" s="8">
        <f t="shared" si="99"/>
        <v>3610</v>
      </c>
      <c r="G179" s="8">
        <f t="shared" si="100"/>
        <v>3610</v>
      </c>
      <c r="H179" s="12"/>
      <c r="I179" s="9">
        <v>1</v>
      </c>
      <c r="J179" s="8">
        <f t="shared" si="101"/>
        <v>10638</v>
      </c>
      <c r="K179" s="8">
        <f t="shared" si="102"/>
        <v>2127.6</v>
      </c>
      <c r="L179" s="8">
        <f t="shared" si="103"/>
        <v>2127.6</v>
      </c>
      <c r="M179" s="8">
        <v>1</v>
      </c>
      <c r="N179" s="8">
        <f t="shared" si="104"/>
        <v>48388</v>
      </c>
      <c r="O179" s="8">
        <f t="shared" si="105"/>
        <v>9677.6</v>
      </c>
      <c r="P179" s="8">
        <f t="shared" si="106"/>
        <v>9677.6</v>
      </c>
      <c r="Q179" s="12">
        <v>75</v>
      </c>
      <c r="R179" s="12">
        <v>150</v>
      </c>
      <c r="S179" s="12">
        <v>97.02</v>
      </c>
      <c r="T179" s="8">
        <v>11.92</v>
      </c>
      <c r="U179" s="8">
        <v>0.4172</v>
      </c>
      <c r="V179" s="8">
        <f t="shared" si="107"/>
        <v>434735.074823639</v>
      </c>
      <c r="W179" s="8">
        <f t="shared" si="108"/>
        <v>9677.6</v>
      </c>
      <c r="X179" s="8">
        <f t="shared" si="109"/>
        <v>9677.6</v>
      </c>
      <c r="Y179" s="8">
        <f t="shared" si="110"/>
        <v>43473.5074823639</v>
      </c>
      <c r="Z179" s="8">
        <f t="shared" si="111"/>
        <v>10</v>
      </c>
      <c r="AA179">
        <f t="shared" si="112"/>
        <v>4838.8</v>
      </c>
      <c r="AB179">
        <f t="shared" si="113"/>
        <v>10</v>
      </c>
      <c r="AC179">
        <f t="shared" si="114"/>
        <v>189.458005043804</v>
      </c>
      <c r="AD179">
        <f t="shared" si="115"/>
        <v>22.2473563218391</v>
      </c>
      <c r="AE179">
        <f t="shared" si="116"/>
        <v>22.2473563218391</v>
      </c>
      <c r="AF179">
        <f t="shared" si="139"/>
        <v>144911.69160788</v>
      </c>
      <c r="AG179">
        <f t="shared" si="140"/>
        <v>9677.6</v>
      </c>
      <c r="AH179">
        <f t="shared" si="141"/>
        <v>4838.8</v>
      </c>
      <c r="AI179">
        <f t="shared" si="117"/>
        <v>3.33333333333334</v>
      </c>
      <c r="AJ179">
        <f t="shared" si="118"/>
        <v>1612.93333333333</v>
      </c>
      <c r="AK179">
        <f t="shared" si="119"/>
        <v>30.0000000000001</v>
      </c>
      <c r="BT179">
        <v>178</v>
      </c>
      <c r="BU179">
        <f t="shared" si="120"/>
        <v>7583.8</v>
      </c>
      <c r="BV179">
        <f t="shared" si="121"/>
        <v>1516.76</v>
      </c>
      <c r="BX179">
        <f t="shared" si="122"/>
        <v>28.85</v>
      </c>
      <c r="BY179">
        <f t="shared" si="123"/>
        <v>57.8</v>
      </c>
      <c r="BZ179">
        <v>178</v>
      </c>
      <c r="CA179">
        <f t="shared" si="124"/>
        <v>9646.1</v>
      </c>
      <c r="CB179">
        <f t="shared" si="125"/>
        <v>1929.08</v>
      </c>
      <c r="CD179">
        <f t="shared" si="126"/>
        <v>40.841</v>
      </c>
      <c r="CE179">
        <f t="shared" si="127"/>
        <v>81.748</v>
      </c>
      <c r="CF179">
        <f t="shared" si="128"/>
        <v>48.62</v>
      </c>
      <c r="CG179">
        <v>178</v>
      </c>
      <c r="CH179">
        <f t="shared" si="129"/>
        <v>12239</v>
      </c>
      <c r="CI179">
        <f t="shared" si="130"/>
        <v>2447.2</v>
      </c>
      <c r="CK179">
        <f t="shared" si="131"/>
        <v>49.425</v>
      </c>
      <c r="CL179">
        <f t="shared" si="132"/>
        <v>98.9</v>
      </c>
      <c r="CM179">
        <f t="shared" si="133"/>
        <v>66.319</v>
      </c>
      <c r="CN179">
        <v>178</v>
      </c>
      <c r="CO179">
        <f t="shared" si="134"/>
        <v>14990.8</v>
      </c>
      <c r="CP179">
        <f t="shared" si="135"/>
        <v>2999.36</v>
      </c>
      <c r="CR179">
        <f t="shared" si="136"/>
        <v>63.56</v>
      </c>
      <c r="CS179">
        <f t="shared" si="137"/>
        <v>127.12</v>
      </c>
      <c r="CT179">
        <f t="shared" si="138"/>
        <v>84.764</v>
      </c>
    </row>
    <row r="180" spans="1:98">
      <c r="A180">
        <v>179</v>
      </c>
      <c r="B180" s="12">
        <v>19800</v>
      </c>
      <c r="C180" s="12">
        <v>3960</v>
      </c>
      <c r="D180" s="12">
        <v>3960</v>
      </c>
      <c r="E180" s="8">
        <f t="shared" si="98"/>
        <v>18150</v>
      </c>
      <c r="F180" s="8">
        <f t="shared" si="99"/>
        <v>3630</v>
      </c>
      <c r="G180" s="8">
        <f t="shared" si="100"/>
        <v>3630</v>
      </c>
      <c r="H180" s="12"/>
      <c r="I180" s="9">
        <v>1</v>
      </c>
      <c r="J180" s="8">
        <f t="shared" si="101"/>
        <v>10692</v>
      </c>
      <c r="K180" s="8">
        <f t="shared" si="102"/>
        <v>2138.4</v>
      </c>
      <c r="L180" s="8">
        <f t="shared" si="103"/>
        <v>2138.4</v>
      </c>
      <c r="M180" s="8">
        <v>1</v>
      </c>
      <c r="N180" s="8">
        <f t="shared" si="104"/>
        <v>48642</v>
      </c>
      <c r="O180" s="8">
        <f t="shared" si="105"/>
        <v>9728.4</v>
      </c>
      <c r="P180" s="8">
        <f t="shared" si="106"/>
        <v>9728.4</v>
      </c>
      <c r="Q180" s="12">
        <v>75</v>
      </c>
      <c r="R180" s="12">
        <v>150</v>
      </c>
      <c r="S180" s="12">
        <v>97.02</v>
      </c>
      <c r="T180" s="8">
        <v>11.92</v>
      </c>
      <c r="U180" s="8">
        <v>0.4172</v>
      </c>
      <c r="V180" s="8">
        <f t="shared" si="107"/>
        <v>437017.101545248</v>
      </c>
      <c r="W180" s="8">
        <f t="shared" si="108"/>
        <v>9728.4</v>
      </c>
      <c r="X180" s="8">
        <f t="shared" si="109"/>
        <v>9728.4</v>
      </c>
      <c r="Y180" s="8">
        <f t="shared" si="110"/>
        <v>43701.7101545248</v>
      </c>
      <c r="Z180" s="8">
        <f t="shared" si="111"/>
        <v>10</v>
      </c>
      <c r="AA180">
        <f t="shared" si="112"/>
        <v>4864.2</v>
      </c>
      <c r="AB180">
        <f t="shared" si="113"/>
        <v>10</v>
      </c>
      <c r="AC180">
        <f t="shared" si="114"/>
        <v>190.452514700767</v>
      </c>
      <c r="AD180">
        <f t="shared" si="115"/>
        <v>22.3641379310345</v>
      </c>
      <c r="AE180">
        <f t="shared" si="116"/>
        <v>22.3641379310345</v>
      </c>
      <c r="AF180">
        <f t="shared" si="139"/>
        <v>145672.367181749</v>
      </c>
      <c r="AG180">
        <f t="shared" si="140"/>
        <v>9728.4</v>
      </c>
      <c r="AH180">
        <f t="shared" si="141"/>
        <v>4864.2</v>
      </c>
      <c r="AI180">
        <f t="shared" si="117"/>
        <v>3.33333333333333</v>
      </c>
      <c r="AJ180">
        <f t="shared" si="118"/>
        <v>1621.4</v>
      </c>
      <c r="AK180">
        <f t="shared" si="119"/>
        <v>30</v>
      </c>
      <c r="BT180">
        <v>179</v>
      </c>
      <c r="BU180">
        <f t="shared" si="120"/>
        <v>7598.4</v>
      </c>
      <c r="BV180">
        <f t="shared" si="121"/>
        <v>1519.68</v>
      </c>
      <c r="BX180">
        <f t="shared" si="122"/>
        <v>28.9</v>
      </c>
      <c r="BY180">
        <f t="shared" si="123"/>
        <v>57.9</v>
      </c>
      <c r="BZ180">
        <v>179</v>
      </c>
      <c r="CA180">
        <f t="shared" si="124"/>
        <v>9655.4</v>
      </c>
      <c r="CB180">
        <f t="shared" si="125"/>
        <v>1930.94</v>
      </c>
      <c r="CD180">
        <f t="shared" si="126"/>
        <v>40.874</v>
      </c>
      <c r="CE180">
        <f t="shared" si="127"/>
        <v>81.814</v>
      </c>
      <c r="CF180">
        <f t="shared" si="128"/>
        <v>48.68</v>
      </c>
      <c r="CG180">
        <v>179</v>
      </c>
      <c r="CH180">
        <f t="shared" si="129"/>
        <v>12246</v>
      </c>
      <c r="CI180">
        <f t="shared" si="130"/>
        <v>2448.6</v>
      </c>
      <c r="CK180">
        <f t="shared" si="131"/>
        <v>49.45</v>
      </c>
      <c r="CL180">
        <f t="shared" si="132"/>
        <v>98.95</v>
      </c>
      <c r="CM180">
        <f t="shared" si="133"/>
        <v>66.366</v>
      </c>
      <c r="CN180">
        <v>179</v>
      </c>
      <c r="CO180">
        <f t="shared" si="134"/>
        <v>14996.4</v>
      </c>
      <c r="CP180">
        <f t="shared" si="135"/>
        <v>3000.48</v>
      </c>
      <c r="CR180">
        <f t="shared" si="136"/>
        <v>63.58</v>
      </c>
      <c r="CS180">
        <f t="shared" si="137"/>
        <v>127.16</v>
      </c>
      <c r="CT180">
        <f t="shared" si="138"/>
        <v>84.802</v>
      </c>
    </row>
    <row r="181" spans="1:98">
      <c r="A181">
        <v>180</v>
      </c>
      <c r="B181" s="12">
        <v>19900</v>
      </c>
      <c r="C181" s="12">
        <v>3980</v>
      </c>
      <c r="D181" s="12">
        <v>3980</v>
      </c>
      <c r="E181" s="8">
        <f t="shared" si="98"/>
        <v>18250</v>
      </c>
      <c r="F181" s="8">
        <f t="shared" si="99"/>
        <v>3650</v>
      </c>
      <c r="G181" s="8">
        <f t="shared" si="100"/>
        <v>3650</v>
      </c>
      <c r="H181" s="12"/>
      <c r="I181" s="9">
        <v>1</v>
      </c>
      <c r="J181" s="8">
        <f t="shared" si="101"/>
        <v>10746</v>
      </c>
      <c r="K181" s="8">
        <f t="shared" si="102"/>
        <v>2149.2</v>
      </c>
      <c r="L181" s="8">
        <f t="shared" si="103"/>
        <v>2149.2</v>
      </c>
      <c r="M181" s="8">
        <v>1</v>
      </c>
      <c r="N181" s="8">
        <f t="shared" si="104"/>
        <v>48896</v>
      </c>
      <c r="O181" s="8">
        <f t="shared" si="105"/>
        <v>9779.2</v>
      </c>
      <c r="P181" s="8">
        <f t="shared" si="106"/>
        <v>9779.2</v>
      </c>
      <c r="Q181" s="12">
        <v>75</v>
      </c>
      <c r="R181" s="12">
        <v>150</v>
      </c>
      <c r="S181" s="12">
        <v>97.02</v>
      </c>
      <c r="T181" s="8">
        <v>11.92</v>
      </c>
      <c r="U181" s="8">
        <v>0.4172</v>
      </c>
      <c r="V181" s="8">
        <f t="shared" si="107"/>
        <v>439299.128266857</v>
      </c>
      <c r="W181" s="8">
        <f t="shared" si="108"/>
        <v>9779.2</v>
      </c>
      <c r="X181" s="8">
        <f t="shared" si="109"/>
        <v>9779.2</v>
      </c>
      <c r="Y181" s="8">
        <f t="shared" si="110"/>
        <v>43929.9128266856</v>
      </c>
      <c r="Z181" s="8">
        <f t="shared" si="111"/>
        <v>10</v>
      </c>
      <c r="AA181">
        <f t="shared" si="112"/>
        <v>4889.6</v>
      </c>
      <c r="AB181">
        <f t="shared" si="113"/>
        <v>10</v>
      </c>
      <c r="AC181">
        <f t="shared" si="114"/>
        <v>191.44702435773</v>
      </c>
      <c r="AD181">
        <f t="shared" si="115"/>
        <v>22.4809195402299</v>
      </c>
      <c r="AE181">
        <f t="shared" si="116"/>
        <v>22.4809195402299</v>
      </c>
      <c r="AF181">
        <f t="shared" si="139"/>
        <v>146433.042755619</v>
      </c>
      <c r="AG181">
        <f t="shared" si="140"/>
        <v>9779.2</v>
      </c>
      <c r="AH181">
        <f t="shared" si="141"/>
        <v>4889.6</v>
      </c>
      <c r="AI181">
        <f t="shared" si="117"/>
        <v>3.33333333333334</v>
      </c>
      <c r="AJ181">
        <f t="shared" si="118"/>
        <v>1629.86666666667</v>
      </c>
      <c r="AK181">
        <f t="shared" si="119"/>
        <v>29.9999999999999</v>
      </c>
      <c r="BT181">
        <v>180</v>
      </c>
      <c r="BU181">
        <f t="shared" si="120"/>
        <v>7613</v>
      </c>
      <c r="BV181">
        <f t="shared" si="121"/>
        <v>1522.6</v>
      </c>
      <c r="BX181">
        <f t="shared" si="122"/>
        <v>28.95</v>
      </c>
      <c r="BY181">
        <f t="shared" si="123"/>
        <v>58</v>
      </c>
      <c r="BZ181">
        <v>180</v>
      </c>
      <c r="CA181">
        <f t="shared" si="124"/>
        <v>9664.7</v>
      </c>
      <c r="CB181">
        <f t="shared" si="125"/>
        <v>1932.8</v>
      </c>
      <c r="CD181">
        <f t="shared" si="126"/>
        <v>40.907</v>
      </c>
      <c r="CE181">
        <f t="shared" si="127"/>
        <v>81.88</v>
      </c>
      <c r="CF181">
        <f t="shared" si="128"/>
        <v>48.74</v>
      </c>
      <c r="CG181">
        <v>180</v>
      </c>
      <c r="CH181">
        <f t="shared" si="129"/>
        <v>12253</v>
      </c>
      <c r="CI181">
        <f t="shared" si="130"/>
        <v>2450</v>
      </c>
      <c r="CK181">
        <f t="shared" si="131"/>
        <v>49.475</v>
      </c>
      <c r="CL181">
        <f t="shared" si="132"/>
        <v>99</v>
      </c>
      <c r="CM181">
        <f t="shared" si="133"/>
        <v>66.413</v>
      </c>
      <c r="CN181">
        <v>180</v>
      </c>
      <c r="CO181">
        <f t="shared" si="134"/>
        <v>15002</v>
      </c>
      <c r="CP181">
        <f t="shared" si="135"/>
        <v>3001.6</v>
      </c>
      <c r="CR181">
        <f t="shared" si="136"/>
        <v>63.6</v>
      </c>
      <c r="CS181">
        <f t="shared" si="137"/>
        <v>127.2</v>
      </c>
      <c r="CT181">
        <f t="shared" si="138"/>
        <v>84.84</v>
      </c>
    </row>
    <row r="182" spans="1:98">
      <c r="A182">
        <v>181</v>
      </c>
      <c r="B182" s="12">
        <v>20000</v>
      </c>
      <c r="C182" s="12">
        <v>4000</v>
      </c>
      <c r="D182" s="12">
        <v>4000</v>
      </c>
      <c r="E182" s="8">
        <f t="shared" si="98"/>
        <v>18350</v>
      </c>
      <c r="F182" s="8">
        <f t="shared" si="99"/>
        <v>3670</v>
      </c>
      <c r="G182" s="8">
        <f t="shared" si="100"/>
        <v>3670</v>
      </c>
      <c r="H182" s="12"/>
      <c r="I182" s="9">
        <v>1</v>
      </c>
      <c r="J182" s="8">
        <f t="shared" si="101"/>
        <v>10800</v>
      </c>
      <c r="K182" s="8">
        <f t="shared" si="102"/>
        <v>2160</v>
      </c>
      <c r="L182" s="8">
        <f t="shared" si="103"/>
        <v>2160</v>
      </c>
      <c r="M182" s="8">
        <v>1</v>
      </c>
      <c r="N182" s="8">
        <f t="shared" si="104"/>
        <v>49150</v>
      </c>
      <c r="O182" s="8">
        <f t="shared" si="105"/>
        <v>9830</v>
      </c>
      <c r="P182" s="8">
        <f t="shared" si="106"/>
        <v>9830</v>
      </c>
      <c r="Q182" s="12">
        <v>75</v>
      </c>
      <c r="R182" s="12">
        <v>150</v>
      </c>
      <c r="S182" s="12">
        <v>97.02</v>
      </c>
      <c r="T182" s="8">
        <v>11.92</v>
      </c>
      <c r="U182" s="8">
        <v>0.4172</v>
      </c>
      <c r="V182" s="8">
        <f t="shared" si="107"/>
        <v>441581.154988465</v>
      </c>
      <c r="W182" s="8">
        <f t="shared" si="108"/>
        <v>9830</v>
      </c>
      <c r="X182" s="8">
        <f t="shared" si="109"/>
        <v>9830</v>
      </c>
      <c r="Y182" s="8">
        <f t="shared" si="110"/>
        <v>44158.1154988465</v>
      </c>
      <c r="Z182" s="8">
        <f t="shared" si="111"/>
        <v>10</v>
      </c>
      <c r="AA182">
        <f t="shared" si="112"/>
        <v>4915</v>
      </c>
      <c r="AB182">
        <f t="shared" si="113"/>
        <v>10</v>
      </c>
      <c r="AC182">
        <f t="shared" si="114"/>
        <v>192.441534014693</v>
      </c>
      <c r="AD182">
        <f t="shared" si="115"/>
        <v>22.5977011494253</v>
      </c>
      <c r="AE182">
        <f t="shared" si="116"/>
        <v>22.5977011494253</v>
      </c>
      <c r="AF182">
        <f t="shared" si="139"/>
        <v>147193.718329488</v>
      </c>
      <c r="AG182">
        <f t="shared" si="140"/>
        <v>9830</v>
      </c>
      <c r="AH182">
        <f t="shared" si="141"/>
        <v>4915</v>
      </c>
      <c r="AI182">
        <f t="shared" si="117"/>
        <v>3.33333333333333</v>
      </c>
      <c r="AJ182">
        <f t="shared" si="118"/>
        <v>1638.33333333333</v>
      </c>
      <c r="AK182">
        <f t="shared" si="119"/>
        <v>30.0000000000001</v>
      </c>
      <c r="BT182">
        <v>181</v>
      </c>
      <c r="BU182">
        <f t="shared" si="120"/>
        <v>7627.6</v>
      </c>
      <c r="BV182">
        <f t="shared" si="121"/>
        <v>1525.52</v>
      </c>
      <c r="BX182">
        <f t="shared" si="122"/>
        <v>29</v>
      </c>
      <c r="BY182">
        <f t="shared" si="123"/>
        <v>58.1</v>
      </c>
      <c r="BZ182">
        <v>181</v>
      </c>
      <c r="CA182">
        <f t="shared" si="124"/>
        <v>9674</v>
      </c>
      <c r="CB182">
        <f t="shared" si="125"/>
        <v>1934.66</v>
      </c>
      <c r="CD182">
        <f t="shared" si="126"/>
        <v>40.94</v>
      </c>
      <c r="CE182">
        <f t="shared" si="127"/>
        <v>81.946</v>
      </c>
      <c r="CF182">
        <f t="shared" si="128"/>
        <v>48.8</v>
      </c>
      <c r="CG182">
        <v>181</v>
      </c>
      <c r="CH182">
        <f t="shared" si="129"/>
        <v>12260</v>
      </c>
      <c r="CI182">
        <f t="shared" si="130"/>
        <v>2451.4</v>
      </c>
      <c r="CK182">
        <f t="shared" si="131"/>
        <v>49.5</v>
      </c>
      <c r="CL182">
        <f t="shared" si="132"/>
        <v>99.05</v>
      </c>
      <c r="CM182">
        <f t="shared" si="133"/>
        <v>66.46</v>
      </c>
      <c r="CN182">
        <v>181</v>
      </c>
      <c r="CO182">
        <f t="shared" si="134"/>
        <v>15007.6</v>
      </c>
      <c r="CP182">
        <f t="shared" si="135"/>
        <v>3002.72</v>
      </c>
      <c r="CR182">
        <f t="shared" si="136"/>
        <v>63.62</v>
      </c>
      <c r="CS182">
        <f t="shared" si="137"/>
        <v>127.24</v>
      </c>
      <c r="CT182">
        <f t="shared" si="138"/>
        <v>84.878</v>
      </c>
    </row>
    <row r="183" spans="1:98">
      <c r="A183">
        <v>182</v>
      </c>
      <c r="B183" s="12">
        <v>20100</v>
      </c>
      <c r="C183" s="12">
        <v>4020</v>
      </c>
      <c r="D183" s="12">
        <v>4020</v>
      </c>
      <c r="E183" s="8">
        <f t="shared" si="98"/>
        <v>18450</v>
      </c>
      <c r="F183" s="8">
        <f t="shared" si="99"/>
        <v>3690</v>
      </c>
      <c r="G183" s="8">
        <f t="shared" si="100"/>
        <v>3690</v>
      </c>
      <c r="H183" s="12"/>
      <c r="I183" s="9">
        <v>1</v>
      </c>
      <c r="J183" s="8">
        <f t="shared" si="101"/>
        <v>10854</v>
      </c>
      <c r="K183" s="8">
        <f t="shared" si="102"/>
        <v>2170.8</v>
      </c>
      <c r="L183" s="8">
        <f t="shared" si="103"/>
        <v>2170.8</v>
      </c>
      <c r="M183" s="8">
        <v>1</v>
      </c>
      <c r="N183" s="8">
        <f t="shared" si="104"/>
        <v>49404</v>
      </c>
      <c r="O183" s="8">
        <f t="shared" si="105"/>
        <v>9880.8</v>
      </c>
      <c r="P183" s="8">
        <f t="shared" si="106"/>
        <v>9880.8</v>
      </c>
      <c r="Q183" s="12">
        <v>75</v>
      </c>
      <c r="R183" s="12">
        <v>150</v>
      </c>
      <c r="S183" s="12">
        <v>97.02</v>
      </c>
      <c r="T183" s="8">
        <v>11.92</v>
      </c>
      <c r="U183" s="8">
        <v>0.4172</v>
      </c>
      <c r="V183" s="8">
        <f t="shared" si="107"/>
        <v>443863.181710074</v>
      </c>
      <c r="W183" s="8">
        <f t="shared" si="108"/>
        <v>9880.8</v>
      </c>
      <c r="X183" s="8">
        <f t="shared" si="109"/>
        <v>9880.8</v>
      </c>
      <c r="Y183" s="8">
        <f t="shared" si="110"/>
        <v>44386.3181710074</v>
      </c>
      <c r="Z183" s="8">
        <f t="shared" si="111"/>
        <v>10</v>
      </c>
      <c r="AA183">
        <f t="shared" si="112"/>
        <v>4940.4</v>
      </c>
      <c r="AB183">
        <f t="shared" si="113"/>
        <v>10</v>
      </c>
      <c r="AC183">
        <f t="shared" si="114"/>
        <v>193.436043671656</v>
      </c>
      <c r="AD183">
        <f t="shared" si="115"/>
        <v>22.7144827586207</v>
      </c>
      <c r="AE183">
        <f t="shared" si="116"/>
        <v>22.7144827586207</v>
      </c>
      <c r="AF183">
        <f t="shared" si="139"/>
        <v>147954.393903358</v>
      </c>
      <c r="AG183">
        <f t="shared" si="140"/>
        <v>9880.8</v>
      </c>
      <c r="AH183">
        <f t="shared" si="141"/>
        <v>4940.4</v>
      </c>
      <c r="AI183">
        <f t="shared" si="117"/>
        <v>3.33333333333333</v>
      </c>
      <c r="AJ183">
        <f t="shared" si="118"/>
        <v>1646.8</v>
      </c>
      <c r="AK183">
        <f t="shared" si="119"/>
        <v>30</v>
      </c>
      <c r="BT183">
        <v>182</v>
      </c>
      <c r="BU183">
        <f t="shared" si="120"/>
        <v>7642.2</v>
      </c>
      <c r="BV183">
        <f t="shared" si="121"/>
        <v>1528.44</v>
      </c>
      <c r="BX183">
        <f t="shared" si="122"/>
        <v>29.05</v>
      </c>
      <c r="BY183">
        <f t="shared" si="123"/>
        <v>58.2</v>
      </c>
      <c r="BZ183">
        <v>182</v>
      </c>
      <c r="CA183">
        <f t="shared" si="124"/>
        <v>9683.3</v>
      </c>
      <c r="CB183">
        <f t="shared" si="125"/>
        <v>1936.52</v>
      </c>
      <c r="CD183">
        <f t="shared" si="126"/>
        <v>40.973</v>
      </c>
      <c r="CE183">
        <f t="shared" si="127"/>
        <v>82.012</v>
      </c>
      <c r="CF183">
        <f t="shared" si="128"/>
        <v>48.86</v>
      </c>
      <c r="CG183">
        <v>182</v>
      </c>
      <c r="CH183">
        <f t="shared" si="129"/>
        <v>12267</v>
      </c>
      <c r="CI183">
        <f t="shared" si="130"/>
        <v>2452.8</v>
      </c>
      <c r="CK183">
        <f t="shared" si="131"/>
        <v>49.525</v>
      </c>
      <c r="CL183">
        <f t="shared" si="132"/>
        <v>99.1</v>
      </c>
      <c r="CM183">
        <f t="shared" si="133"/>
        <v>66.507</v>
      </c>
      <c r="CN183">
        <v>182</v>
      </c>
      <c r="CO183">
        <f t="shared" si="134"/>
        <v>15013.2</v>
      </c>
      <c r="CP183">
        <f t="shared" si="135"/>
        <v>3003.84</v>
      </c>
      <c r="CR183">
        <f t="shared" si="136"/>
        <v>63.64</v>
      </c>
      <c r="CS183">
        <f t="shared" si="137"/>
        <v>127.28</v>
      </c>
      <c r="CT183">
        <f t="shared" si="138"/>
        <v>84.916</v>
      </c>
    </row>
    <row r="184" spans="1:98">
      <c r="A184">
        <v>183</v>
      </c>
      <c r="B184" s="12">
        <v>20200</v>
      </c>
      <c r="C184" s="12">
        <v>4040</v>
      </c>
      <c r="D184" s="12">
        <v>4040</v>
      </c>
      <c r="E184" s="8">
        <f t="shared" si="98"/>
        <v>18550</v>
      </c>
      <c r="F184" s="8">
        <f t="shared" si="99"/>
        <v>3710</v>
      </c>
      <c r="G184" s="8">
        <f t="shared" si="100"/>
        <v>3710</v>
      </c>
      <c r="H184" s="12"/>
      <c r="I184" s="9">
        <v>1</v>
      </c>
      <c r="J184" s="8">
        <f t="shared" si="101"/>
        <v>10908</v>
      </c>
      <c r="K184" s="8">
        <f t="shared" si="102"/>
        <v>2181.6</v>
      </c>
      <c r="L184" s="8">
        <f t="shared" si="103"/>
        <v>2181.6</v>
      </c>
      <c r="M184" s="8">
        <v>1</v>
      </c>
      <c r="N184" s="8">
        <f t="shared" si="104"/>
        <v>49658</v>
      </c>
      <c r="O184" s="8">
        <f t="shared" si="105"/>
        <v>9931.6</v>
      </c>
      <c r="P184" s="8">
        <f t="shared" si="106"/>
        <v>9931.6</v>
      </c>
      <c r="Q184" s="12">
        <v>75</v>
      </c>
      <c r="R184" s="12">
        <v>150</v>
      </c>
      <c r="S184" s="12">
        <v>97.02</v>
      </c>
      <c r="T184" s="8">
        <v>11.92</v>
      </c>
      <c r="U184" s="8">
        <v>0.4172</v>
      </c>
      <c r="V184" s="8">
        <f t="shared" si="107"/>
        <v>446145.208431683</v>
      </c>
      <c r="W184" s="8">
        <f t="shared" si="108"/>
        <v>9931.6</v>
      </c>
      <c r="X184" s="8">
        <f t="shared" si="109"/>
        <v>9931.6</v>
      </c>
      <c r="Y184" s="8">
        <f t="shared" si="110"/>
        <v>44614.5208431683</v>
      </c>
      <c r="Z184" s="8">
        <f t="shared" si="111"/>
        <v>10</v>
      </c>
      <c r="AA184">
        <f t="shared" si="112"/>
        <v>4965.8</v>
      </c>
      <c r="AB184">
        <f t="shared" si="113"/>
        <v>10</v>
      </c>
      <c r="AC184">
        <f t="shared" si="114"/>
        <v>194.430553328619</v>
      </c>
      <c r="AD184">
        <f t="shared" si="115"/>
        <v>22.8312643678161</v>
      </c>
      <c r="AE184">
        <f t="shared" si="116"/>
        <v>22.8312643678161</v>
      </c>
      <c r="AF184">
        <f t="shared" si="139"/>
        <v>148715.069477228</v>
      </c>
      <c r="AG184">
        <f t="shared" si="140"/>
        <v>9931.6</v>
      </c>
      <c r="AH184">
        <f t="shared" si="141"/>
        <v>4965.8</v>
      </c>
      <c r="AI184">
        <f t="shared" si="117"/>
        <v>3.33333333333334</v>
      </c>
      <c r="AJ184">
        <f t="shared" si="118"/>
        <v>1655.26666666667</v>
      </c>
      <c r="AK184">
        <f t="shared" si="119"/>
        <v>29.9999999999999</v>
      </c>
      <c r="BT184">
        <v>183</v>
      </c>
      <c r="BU184">
        <f t="shared" si="120"/>
        <v>7656.8</v>
      </c>
      <c r="BV184">
        <f t="shared" si="121"/>
        <v>1531.36</v>
      </c>
      <c r="BX184">
        <f t="shared" si="122"/>
        <v>29.1</v>
      </c>
      <c r="BY184">
        <f t="shared" si="123"/>
        <v>58.3</v>
      </c>
      <c r="BZ184">
        <v>183</v>
      </c>
      <c r="CA184">
        <f t="shared" si="124"/>
        <v>9692.6</v>
      </c>
      <c r="CB184">
        <f t="shared" si="125"/>
        <v>1938.38</v>
      </c>
      <c r="CD184">
        <f t="shared" si="126"/>
        <v>41.006</v>
      </c>
      <c r="CE184">
        <f t="shared" si="127"/>
        <v>82.078</v>
      </c>
      <c r="CF184">
        <f t="shared" si="128"/>
        <v>48.92</v>
      </c>
      <c r="CG184">
        <v>183</v>
      </c>
      <c r="CH184">
        <f t="shared" si="129"/>
        <v>12274</v>
      </c>
      <c r="CI184">
        <f t="shared" si="130"/>
        <v>2454.2</v>
      </c>
      <c r="CK184">
        <f t="shared" si="131"/>
        <v>49.55</v>
      </c>
      <c r="CL184">
        <f t="shared" si="132"/>
        <v>99.15</v>
      </c>
      <c r="CM184">
        <f t="shared" si="133"/>
        <v>66.554</v>
      </c>
      <c r="CN184">
        <v>183</v>
      </c>
      <c r="CO184">
        <f t="shared" si="134"/>
        <v>15018.8</v>
      </c>
      <c r="CP184">
        <f t="shared" si="135"/>
        <v>3004.96</v>
      </c>
      <c r="CR184">
        <f t="shared" si="136"/>
        <v>63.66</v>
      </c>
      <c r="CS184">
        <f t="shared" si="137"/>
        <v>127.32</v>
      </c>
      <c r="CT184">
        <f t="shared" si="138"/>
        <v>84.954</v>
      </c>
    </row>
    <row r="185" spans="1:98">
      <c r="A185">
        <v>184</v>
      </c>
      <c r="B185" s="12">
        <v>20300</v>
      </c>
      <c r="C185" s="12">
        <v>4060</v>
      </c>
      <c r="D185" s="12">
        <v>4060</v>
      </c>
      <c r="E185" s="8">
        <f t="shared" si="98"/>
        <v>18650</v>
      </c>
      <c r="F185" s="8">
        <f t="shared" si="99"/>
        <v>3730</v>
      </c>
      <c r="G185" s="8">
        <f t="shared" si="100"/>
        <v>3730</v>
      </c>
      <c r="H185" s="12"/>
      <c r="I185" s="9">
        <v>1</v>
      </c>
      <c r="J185" s="8">
        <f t="shared" si="101"/>
        <v>10962</v>
      </c>
      <c r="K185" s="8">
        <f t="shared" si="102"/>
        <v>2192.4</v>
      </c>
      <c r="L185" s="8">
        <f t="shared" si="103"/>
        <v>2192.4</v>
      </c>
      <c r="M185" s="8">
        <v>1</v>
      </c>
      <c r="N185" s="8">
        <f t="shared" si="104"/>
        <v>49912</v>
      </c>
      <c r="O185" s="8">
        <f t="shared" si="105"/>
        <v>9982.4</v>
      </c>
      <c r="P185" s="8">
        <f t="shared" si="106"/>
        <v>9982.4</v>
      </c>
      <c r="Q185" s="12">
        <v>75</v>
      </c>
      <c r="R185" s="12">
        <v>150</v>
      </c>
      <c r="S185" s="12">
        <v>97.02</v>
      </c>
      <c r="T185" s="8">
        <v>11.92</v>
      </c>
      <c r="U185" s="8">
        <v>0.4172</v>
      </c>
      <c r="V185" s="8">
        <f t="shared" si="107"/>
        <v>448427.235153291</v>
      </c>
      <c r="W185" s="8">
        <f t="shared" si="108"/>
        <v>9982.4</v>
      </c>
      <c r="X185" s="8">
        <f t="shared" si="109"/>
        <v>9982.4</v>
      </c>
      <c r="Y185" s="8">
        <f t="shared" si="110"/>
        <v>44842.7235153291</v>
      </c>
      <c r="Z185" s="8">
        <f t="shared" si="111"/>
        <v>10</v>
      </c>
      <c r="AA185">
        <f t="shared" si="112"/>
        <v>4991.2</v>
      </c>
      <c r="AB185">
        <f t="shared" si="113"/>
        <v>10</v>
      </c>
      <c r="AC185">
        <f t="shared" si="114"/>
        <v>195.425062985582</v>
      </c>
      <c r="AD185">
        <f t="shared" si="115"/>
        <v>22.9480459770115</v>
      </c>
      <c r="AE185">
        <f t="shared" si="116"/>
        <v>22.9480459770115</v>
      </c>
      <c r="AF185">
        <f t="shared" si="139"/>
        <v>149475.745051097</v>
      </c>
      <c r="AG185">
        <f t="shared" si="140"/>
        <v>9982.4</v>
      </c>
      <c r="AH185">
        <f t="shared" si="141"/>
        <v>4991.2</v>
      </c>
      <c r="AI185">
        <f t="shared" si="117"/>
        <v>3.33333333333333</v>
      </c>
      <c r="AJ185">
        <f t="shared" si="118"/>
        <v>1663.73333333333</v>
      </c>
      <c r="AK185">
        <f t="shared" si="119"/>
        <v>30.0000000000001</v>
      </c>
      <c r="BT185">
        <v>184</v>
      </c>
      <c r="BU185">
        <f t="shared" si="120"/>
        <v>7671.4</v>
      </c>
      <c r="BV185">
        <f t="shared" si="121"/>
        <v>1534.28</v>
      </c>
      <c r="BX185">
        <f t="shared" si="122"/>
        <v>29.15</v>
      </c>
      <c r="BY185">
        <f t="shared" si="123"/>
        <v>58.4</v>
      </c>
      <c r="BZ185">
        <v>184</v>
      </c>
      <c r="CA185">
        <f t="shared" si="124"/>
        <v>9701.9</v>
      </c>
      <c r="CB185">
        <f t="shared" si="125"/>
        <v>1940.24</v>
      </c>
      <c r="CD185">
        <f t="shared" si="126"/>
        <v>41.039</v>
      </c>
      <c r="CE185">
        <f t="shared" si="127"/>
        <v>82.144</v>
      </c>
      <c r="CF185">
        <f t="shared" si="128"/>
        <v>48.98</v>
      </c>
      <c r="CG185">
        <v>184</v>
      </c>
      <c r="CH185">
        <f t="shared" si="129"/>
        <v>12281</v>
      </c>
      <c r="CI185">
        <f t="shared" si="130"/>
        <v>2455.6</v>
      </c>
      <c r="CK185">
        <f t="shared" si="131"/>
        <v>49.575</v>
      </c>
      <c r="CL185">
        <f t="shared" si="132"/>
        <v>99.2</v>
      </c>
      <c r="CM185">
        <f t="shared" si="133"/>
        <v>66.601</v>
      </c>
      <c r="CN185">
        <v>184</v>
      </c>
      <c r="CO185">
        <f t="shared" si="134"/>
        <v>15024.4</v>
      </c>
      <c r="CP185">
        <f t="shared" si="135"/>
        <v>3006.08</v>
      </c>
      <c r="CR185">
        <f t="shared" si="136"/>
        <v>63.68</v>
      </c>
      <c r="CS185">
        <f t="shared" si="137"/>
        <v>127.36</v>
      </c>
      <c r="CT185">
        <f t="shared" si="138"/>
        <v>84.992</v>
      </c>
    </row>
    <row r="186" spans="1:98">
      <c r="A186">
        <v>185</v>
      </c>
      <c r="B186" s="12">
        <v>20400</v>
      </c>
      <c r="C186" s="12">
        <v>4080</v>
      </c>
      <c r="D186" s="12">
        <v>4080</v>
      </c>
      <c r="E186" s="8">
        <f t="shared" si="98"/>
        <v>18750</v>
      </c>
      <c r="F186" s="8">
        <f t="shared" si="99"/>
        <v>3750</v>
      </c>
      <c r="G186" s="8">
        <f t="shared" si="100"/>
        <v>3750</v>
      </c>
      <c r="H186" s="12"/>
      <c r="I186" s="9">
        <v>1</v>
      </c>
      <c r="J186" s="8">
        <f t="shared" si="101"/>
        <v>11016</v>
      </c>
      <c r="K186" s="8">
        <f t="shared" si="102"/>
        <v>2203.2</v>
      </c>
      <c r="L186" s="8">
        <f t="shared" si="103"/>
        <v>2203.2</v>
      </c>
      <c r="M186" s="8">
        <v>1</v>
      </c>
      <c r="N186" s="8">
        <f t="shared" si="104"/>
        <v>50166</v>
      </c>
      <c r="O186" s="8">
        <f t="shared" si="105"/>
        <v>10033.2</v>
      </c>
      <c r="P186" s="8">
        <f t="shared" si="106"/>
        <v>10033.2</v>
      </c>
      <c r="Q186" s="12">
        <v>75</v>
      </c>
      <c r="R186" s="12">
        <v>150</v>
      </c>
      <c r="S186" s="12">
        <v>97.02</v>
      </c>
      <c r="T186" s="8">
        <v>11.92</v>
      </c>
      <c r="U186" s="8">
        <v>0.4172</v>
      </c>
      <c r="V186" s="8">
        <f t="shared" si="107"/>
        <v>450709.2618749</v>
      </c>
      <c r="W186" s="8">
        <f t="shared" si="108"/>
        <v>10033.2</v>
      </c>
      <c r="X186" s="8">
        <f t="shared" si="109"/>
        <v>10033.2</v>
      </c>
      <c r="Y186" s="8">
        <f t="shared" si="110"/>
        <v>45070.92618749</v>
      </c>
      <c r="Z186" s="8">
        <f t="shared" si="111"/>
        <v>10</v>
      </c>
      <c r="AA186">
        <f t="shared" si="112"/>
        <v>5016.6</v>
      </c>
      <c r="AB186">
        <f t="shared" si="113"/>
        <v>10</v>
      </c>
      <c r="AC186">
        <f t="shared" si="114"/>
        <v>196.419572642545</v>
      </c>
      <c r="AD186">
        <f t="shared" si="115"/>
        <v>23.0648275862069</v>
      </c>
      <c r="AE186">
        <f t="shared" si="116"/>
        <v>23.0648275862069</v>
      </c>
      <c r="AF186">
        <f t="shared" si="139"/>
        <v>150236.420624967</v>
      </c>
      <c r="AG186">
        <f t="shared" si="140"/>
        <v>10033.2</v>
      </c>
      <c r="AH186">
        <f t="shared" si="141"/>
        <v>5016.6</v>
      </c>
      <c r="AI186">
        <f t="shared" si="117"/>
        <v>3.33333333333334</v>
      </c>
      <c r="AJ186">
        <f t="shared" si="118"/>
        <v>1672.2</v>
      </c>
      <c r="AK186">
        <f t="shared" si="119"/>
        <v>30</v>
      </c>
      <c r="BT186">
        <v>185</v>
      </c>
      <c r="BU186">
        <f t="shared" si="120"/>
        <v>7686</v>
      </c>
      <c r="BV186">
        <f t="shared" si="121"/>
        <v>1537.2</v>
      </c>
      <c r="BX186">
        <f t="shared" si="122"/>
        <v>29.2</v>
      </c>
      <c r="BY186">
        <f t="shared" si="123"/>
        <v>58.5</v>
      </c>
      <c r="BZ186">
        <v>185</v>
      </c>
      <c r="CA186">
        <f t="shared" si="124"/>
        <v>9711.2</v>
      </c>
      <c r="CB186">
        <f t="shared" si="125"/>
        <v>1942.1</v>
      </c>
      <c r="CD186">
        <f t="shared" si="126"/>
        <v>41.072</v>
      </c>
      <c r="CE186">
        <f t="shared" si="127"/>
        <v>82.21</v>
      </c>
      <c r="CF186">
        <f t="shared" si="128"/>
        <v>49.04</v>
      </c>
      <c r="CG186">
        <v>185</v>
      </c>
      <c r="CH186">
        <f t="shared" si="129"/>
        <v>12288</v>
      </c>
      <c r="CI186">
        <f t="shared" si="130"/>
        <v>2457</v>
      </c>
      <c r="CK186">
        <f t="shared" si="131"/>
        <v>49.6</v>
      </c>
      <c r="CL186">
        <f t="shared" si="132"/>
        <v>99.25</v>
      </c>
      <c r="CM186">
        <f t="shared" si="133"/>
        <v>66.648</v>
      </c>
      <c r="CN186">
        <v>185</v>
      </c>
      <c r="CO186">
        <f t="shared" si="134"/>
        <v>15030</v>
      </c>
      <c r="CP186">
        <f t="shared" si="135"/>
        <v>3007.2</v>
      </c>
      <c r="CR186">
        <f t="shared" si="136"/>
        <v>63.7</v>
      </c>
      <c r="CS186">
        <f t="shared" si="137"/>
        <v>127.4</v>
      </c>
      <c r="CT186">
        <f t="shared" si="138"/>
        <v>85.03</v>
      </c>
    </row>
    <row r="187" spans="1:98">
      <c r="A187">
        <v>186</v>
      </c>
      <c r="B187" s="12">
        <v>20500</v>
      </c>
      <c r="C187" s="12">
        <v>4100</v>
      </c>
      <c r="D187" s="12">
        <v>4100</v>
      </c>
      <c r="E187" s="8">
        <f t="shared" si="98"/>
        <v>18850</v>
      </c>
      <c r="F187" s="8">
        <f t="shared" si="99"/>
        <v>3770</v>
      </c>
      <c r="G187" s="8">
        <f t="shared" si="100"/>
        <v>3770</v>
      </c>
      <c r="H187" s="12"/>
      <c r="I187" s="9">
        <v>1</v>
      </c>
      <c r="J187" s="8">
        <f t="shared" si="101"/>
        <v>11070</v>
      </c>
      <c r="K187" s="8">
        <f t="shared" si="102"/>
        <v>2214</v>
      </c>
      <c r="L187" s="8">
        <f t="shared" si="103"/>
        <v>2214</v>
      </c>
      <c r="M187" s="8">
        <v>1</v>
      </c>
      <c r="N187" s="8">
        <f t="shared" si="104"/>
        <v>50420</v>
      </c>
      <c r="O187" s="8">
        <f t="shared" si="105"/>
        <v>10084</v>
      </c>
      <c r="P187" s="8">
        <f t="shared" si="106"/>
        <v>10084</v>
      </c>
      <c r="Q187" s="12">
        <v>75</v>
      </c>
      <c r="R187" s="12">
        <v>150</v>
      </c>
      <c r="S187" s="12">
        <v>97.02</v>
      </c>
      <c r="T187" s="8">
        <v>11.92</v>
      </c>
      <c r="U187" s="8">
        <v>0.4172</v>
      </c>
      <c r="V187" s="8">
        <f t="shared" si="107"/>
        <v>452991.288596509</v>
      </c>
      <c r="W187" s="8">
        <f t="shared" si="108"/>
        <v>10084</v>
      </c>
      <c r="X187" s="8">
        <f t="shared" si="109"/>
        <v>10084</v>
      </c>
      <c r="Y187" s="8">
        <f t="shared" si="110"/>
        <v>45299.1288596509</v>
      </c>
      <c r="Z187" s="8">
        <f t="shared" si="111"/>
        <v>10</v>
      </c>
      <c r="AA187">
        <f t="shared" si="112"/>
        <v>5042</v>
      </c>
      <c r="AB187">
        <f t="shared" si="113"/>
        <v>10</v>
      </c>
      <c r="AC187">
        <f t="shared" si="114"/>
        <v>197.414082299508</v>
      </c>
      <c r="AD187">
        <f t="shared" si="115"/>
        <v>23.1816091954023</v>
      </c>
      <c r="AE187">
        <f t="shared" si="116"/>
        <v>23.1816091954023</v>
      </c>
      <c r="AF187">
        <f t="shared" si="139"/>
        <v>150997.096198836</v>
      </c>
      <c r="AG187">
        <f t="shared" si="140"/>
        <v>10084</v>
      </c>
      <c r="AH187">
        <f t="shared" si="141"/>
        <v>5042</v>
      </c>
      <c r="AI187">
        <f t="shared" si="117"/>
        <v>3.33333333333333</v>
      </c>
      <c r="AJ187">
        <f t="shared" si="118"/>
        <v>1680.66666666667</v>
      </c>
      <c r="AK187">
        <f t="shared" si="119"/>
        <v>29.9999999999999</v>
      </c>
      <c r="BT187">
        <v>186</v>
      </c>
      <c r="BU187">
        <f t="shared" si="120"/>
        <v>7700.6</v>
      </c>
      <c r="BV187">
        <f t="shared" si="121"/>
        <v>1540.12</v>
      </c>
      <c r="BX187">
        <f t="shared" si="122"/>
        <v>29.25</v>
      </c>
      <c r="BY187">
        <f t="shared" si="123"/>
        <v>58.6</v>
      </c>
      <c r="BZ187">
        <v>186</v>
      </c>
      <c r="CA187">
        <f t="shared" si="124"/>
        <v>9720.5</v>
      </c>
      <c r="CB187">
        <f t="shared" si="125"/>
        <v>1943.96</v>
      </c>
      <c r="CD187">
        <f t="shared" si="126"/>
        <v>41.105</v>
      </c>
      <c r="CE187">
        <f t="shared" si="127"/>
        <v>82.276</v>
      </c>
      <c r="CF187">
        <f t="shared" si="128"/>
        <v>49.1</v>
      </c>
      <c r="CG187">
        <v>186</v>
      </c>
      <c r="CH187">
        <f t="shared" si="129"/>
        <v>12295</v>
      </c>
      <c r="CI187">
        <f t="shared" si="130"/>
        <v>2458.4</v>
      </c>
      <c r="CK187">
        <f t="shared" si="131"/>
        <v>49.625</v>
      </c>
      <c r="CL187">
        <f t="shared" si="132"/>
        <v>99.3</v>
      </c>
      <c r="CM187">
        <f t="shared" si="133"/>
        <v>66.695</v>
      </c>
      <c r="CN187">
        <v>186</v>
      </c>
      <c r="CO187">
        <f t="shared" si="134"/>
        <v>15035.6</v>
      </c>
      <c r="CP187">
        <f t="shared" si="135"/>
        <v>3008.32</v>
      </c>
      <c r="CR187">
        <f t="shared" si="136"/>
        <v>63.72</v>
      </c>
      <c r="CS187">
        <f t="shared" si="137"/>
        <v>127.44</v>
      </c>
      <c r="CT187">
        <f t="shared" si="138"/>
        <v>85.068</v>
      </c>
    </row>
    <row r="188" spans="1:98">
      <c r="A188">
        <v>187</v>
      </c>
      <c r="B188" s="12">
        <v>20600</v>
      </c>
      <c r="C188" s="12">
        <v>4120</v>
      </c>
      <c r="D188" s="12">
        <v>4120</v>
      </c>
      <c r="E188" s="8">
        <f t="shared" si="98"/>
        <v>18950</v>
      </c>
      <c r="F188" s="8">
        <f t="shared" si="99"/>
        <v>3790</v>
      </c>
      <c r="G188" s="8">
        <f t="shared" si="100"/>
        <v>3790</v>
      </c>
      <c r="H188" s="12"/>
      <c r="I188" s="9">
        <v>1</v>
      </c>
      <c r="J188" s="8">
        <f t="shared" si="101"/>
        <v>11124</v>
      </c>
      <c r="K188" s="8">
        <f t="shared" si="102"/>
        <v>2224.8</v>
      </c>
      <c r="L188" s="8">
        <f t="shared" si="103"/>
        <v>2224.8</v>
      </c>
      <c r="M188" s="8">
        <v>1</v>
      </c>
      <c r="N188" s="8">
        <f t="shared" si="104"/>
        <v>50674</v>
      </c>
      <c r="O188" s="8">
        <f t="shared" si="105"/>
        <v>10134.8</v>
      </c>
      <c r="P188" s="8">
        <f t="shared" si="106"/>
        <v>10134.8</v>
      </c>
      <c r="Q188" s="12">
        <v>75</v>
      </c>
      <c r="R188" s="12">
        <v>150</v>
      </c>
      <c r="S188" s="12">
        <v>97.02</v>
      </c>
      <c r="T188" s="8">
        <v>11.92</v>
      </c>
      <c r="U188" s="8">
        <v>0.4172</v>
      </c>
      <c r="V188" s="8">
        <f t="shared" si="107"/>
        <v>455273.315318118</v>
      </c>
      <c r="W188" s="8">
        <f t="shared" si="108"/>
        <v>10134.8</v>
      </c>
      <c r="X188" s="8">
        <f t="shared" si="109"/>
        <v>10134.8</v>
      </c>
      <c r="Y188" s="8">
        <f t="shared" si="110"/>
        <v>45527.3315318118</v>
      </c>
      <c r="Z188" s="8">
        <f t="shared" si="111"/>
        <v>10</v>
      </c>
      <c r="AA188">
        <f t="shared" si="112"/>
        <v>5067.4</v>
      </c>
      <c r="AB188">
        <f t="shared" si="113"/>
        <v>10</v>
      </c>
      <c r="AC188">
        <f t="shared" si="114"/>
        <v>198.408591956471</v>
      </c>
      <c r="AD188">
        <f t="shared" si="115"/>
        <v>23.2983908045977</v>
      </c>
      <c r="AE188">
        <f t="shared" si="116"/>
        <v>23.2983908045977</v>
      </c>
      <c r="AF188">
        <f t="shared" si="139"/>
        <v>151757.771772706</v>
      </c>
      <c r="AG188">
        <f t="shared" si="140"/>
        <v>10134.8</v>
      </c>
      <c r="AH188">
        <f t="shared" si="141"/>
        <v>5067.4</v>
      </c>
      <c r="AI188">
        <f t="shared" si="117"/>
        <v>3.33333333333333</v>
      </c>
      <c r="AJ188">
        <f t="shared" si="118"/>
        <v>1689.13333333333</v>
      </c>
      <c r="AK188">
        <f t="shared" si="119"/>
        <v>30.0000000000001</v>
      </c>
      <c r="BT188">
        <v>187</v>
      </c>
      <c r="BU188">
        <f t="shared" si="120"/>
        <v>7715.2</v>
      </c>
      <c r="BV188">
        <f t="shared" si="121"/>
        <v>1543.04</v>
      </c>
      <c r="BX188">
        <f t="shared" si="122"/>
        <v>29.3</v>
      </c>
      <c r="BY188">
        <f t="shared" si="123"/>
        <v>58.7</v>
      </c>
      <c r="BZ188">
        <v>187</v>
      </c>
      <c r="CA188">
        <f t="shared" si="124"/>
        <v>9729.8</v>
      </c>
      <c r="CB188">
        <f t="shared" si="125"/>
        <v>1945.82</v>
      </c>
      <c r="CD188">
        <f t="shared" si="126"/>
        <v>41.138</v>
      </c>
      <c r="CE188">
        <f t="shared" si="127"/>
        <v>82.342</v>
      </c>
      <c r="CF188">
        <f t="shared" si="128"/>
        <v>49.16</v>
      </c>
      <c r="CG188">
        <v>187</v>
      </c>
      <c r="CH188">
        <f t="shared" si="129"/>
        <v>12302</v>
      </c>
      <c r="CI188">
        <f t="shared" si="130"/>
        <v>2459.8</v>
      </c>
      <c r="CK188">
        <f t="shared" si="131"/>
        <v>49.65</v>
      </c>
      <c r="CL188">
        <f t="shared" si="132"/>
        <v>99.35</v>
      </c>
      <c r="CM188">
        <f t="shared" si="133"/>
        <v>66.742</v>
      </c>
      <c r="CN188">
        <v>187</v>
      </c>
      <c r="CO188">
        <f t="shared" si="134"/>
        <v>15041.2</v>
      </c>
      <c r="CP188">
        <f t="shared" si="135"/>
        <v>3009.44</v>
      </c>
      <c r="CR188">
        <f t="shared" si="136"/>
        <v>63.74</v>
      </c>
      <c r="CS188">
        <f t="shared" si="137"/>
        <v>127.48</v>
      </c>
      <c r="CT188">
        <f t="shared" si="138"/>
        <v>85.106</v>
      </c>
    </row>
    <row r="189" spans="1:98">
      <c r="A189">
        <v>188</v>
      </c>
      <c r="B189" s="12">
        <v>20700</v>
      </c>
      <c r="C189" s="12">
        <v>4140</v>
      </c>
      <c r="D189" s="12">
        <v>4140</v>
      </c>
      <c r="E189" s="8">
        <f t="shared" si="98"/>
        <v>19050</v>
      </c>
      <c r="F189" s="8">
        <f t="shared" si="99"/>
        <v>3810</v>
      </c>
      <c r="G189" s="8">
        <f t="shared" si="100"/>
        <v>3810</v>
      </c>
      <c r="H189" s="12"/>
      <c r="I189" s="9">
        <v>1</v>
      </c>
      <c r="J189" s="8">
        <f t="shared" si="101"/>
        <v>11178</v>
      </c>
      <c r="K189" s="8">
        <f t="shared" si="102"/>
        <v>2235.6</v>
      </c>
      <c r="L189" s="8">
        <f t="shared" si="103"/>
        <v>2235.6</v>
      </c>
      <c r="M189" s="8">
        <v>1</v>
      </c>
      <c r="N189" s="8">
        <f t="shared" si="104"/>
        <v>50928</v>
      </c>
      <c r="O189" s="8">
        <f t="shared" si="105"/>
        <v>10185.6</v>
      </c>
      <c r="P189" s="8">
        <f t="shared" si="106"/>
        <v>10185.6</v>
      </c>
      <c r="Q189" s="12">
        <v>75</v>
      </c>
      <c r="R189" s="12">
        <v>150</v>
      </c>
      <c r="S189" s="12">
        <v>97.02</v>
      </c>
      <c r="T189" s="8">
        <v>11.92</v>
      </c>
      <c r="U189" s="8">
        <v>0.4172</v>
      </c>
      <c r="V189" s="8">
        <f t="shared" si="107"/>
        <v>457555.342039727</v>
      </c>
      <c r="W189" s="8">
        <f t="shared" si="108"/>
        <v>10185.6</v>
      </c>
      <c r="X189" s="8">
        <f t="shared" si="109"/>
        <v>10185.6</v>
      </c>
      <c r="Y189" s="8">
        <f t="shared" si="110"/>
        <v>45755.5342039726</v>
      </c>
      <c r="Z189" s="8">
        <f t="shared" si="111"/>
        <v>10</v>
      </c>
      <c r="AA189">
        <f t="shared" si="112"/>
        <v>5092.8</v>
      </c>
      <c r="AB189">
        <f t="shared" si="113"/>
        <v>10</v>
      </c>
      <c r="AC189">
        <f t="shared" si="114"/>
        <v>199.403101613434</v>
      </c>
      <c r="AD189">
        <f t="shared" si="115"/>
        <v>23.4151724137931</v>
      </c>
      <c r="AE189">
        <f t="shared" si="116"/>
        <v>23.4151724137931</v>
      </c>
      <c r="AF189">
        <f t="shared" si="139"/>
        <v>152518.447346576</v>
      </c>
      <c r="AG189">
        <f t="shared" si="140"/>
        <v>10185.6</v>
      </c>
      <c r="AH189">
        <f t="shared" si="141"/>
        <v>5092.8</v>
      </c>
      <c r="AI189">
        <f t="shared" si="117"/>
        <v>3.33333333333335</v>
      </c>
      <c r="AJ189">
        <f t="shared" si="118"/>
        <v>1697.6</v>
      </c>
      <c r="AK189">
        <f t="shared" si="119"/>
        <v>30</v>
      </c>
      <c r="BT189">
        <v>188</v>
      </c>
      <c r="BU189">
        <f t="shared" si="120"/>
        <v>7729.8</v>
      </c>
      <c r="BV189">
        <f t="shared" si="121"/>
        <v>1545.96</v>
      </c>
      <c r="BX189">
        <f t="shared" si="122"/>
        <v>29.35</v>
      </c>
      <c r="BY189">
        <f t="shared" si="123"/>
        <v>58.8</v>
      </c>
      <c r="BZ189">
        <v>188</v>
      </c>
      <c r="CA189">
        <f t="shared" si="124"/>
        <v>9739.1</v>
      </c>
      <c r="CB189">
        <f t="shared" si="125"/>
        <v>1947.68</v>
      </c>
      <c r="CD189">
        <f t="shared" si="126"/>
        <v>41.171</v>
      </c>
      <c r="CE189">
        <f t="shared" si="127"/>
        <v>82.408</v>
      </c>
      <c r="CF189">
        <f t="shared" si="128"/>
        <v>49.22</v>
      </c>
      <c r="CG189">
        <v>188</v>
      </c>
      <c r="CH189">
        <f t="shared" si="129"/>
        <v>12309</v>
      </c>
      <c r="CI189">
        <f t="shared" si="130"/>
        <v>2461.2</v>
      </c>
      <c r="CK189">
        <f t="shared" si="131"/>
        <v>49.675</v>
      </c>
      <c r="CL189">
        <f t="shared" si="132"/>
        <v>99.4</v>
      </c>
      <c r="CM189">
        <f t="shared" si="133"/>
        <v>66.789</v>
      </c>
      <c r="CN189">
        <v>188</v>
      </c>
      <c r="CO189">
        <f t="shared" si="134"/>
        <v>15046.8</v>
      </c>
      <c r="CP189">
        <f t="shared" si="135"/>
        <v>3010.56</v>
      </c>
      <c r="CR189">
        <f t="shared" si="136"/>
        <v>63.76</v>
      </c>
      <c r="CS189">
        <f t="shared" si="137"/>
        <v>127.52</v>
      </c>
      <c r="CT189">
        <f t="shared" si="138"/>
        <v>85.144</v>
      </c>
    </row>
    <row r="190" spans="1:98">
      <c r="A190">
        <v>189</v>
      </c>
      <c r="B190" s="12">
        <v>20800</v>
      </c>
      <c r="C190" s="12">
        <v>4160</v>
      </c>
      <c r="D190" s="12">
        <v>4160</v>
      </c>
      <c r="E190" s="8">
        <f t="shared" si="98"/>
        <v>19150</v>
      </c>
      <c r="F190" s="8">
        <f t="shared" si="99"/>
        <v>3830</v>
      </c>
      <c r="G190" s="8">
        <f t="shared" si="100"/>
        <v>3830</v>
      </c>
      <c r="H190" s="12"/>
      <c r="I190" s="9">
        <v>1</v>
      </c>
      <c r="J190" s="8">
        <f t="shared" si="101"/>
        <v>11232</v>
      </c>
      <c r="K190" s="8">
        <f t="shared" si="102"/>
        <v>2246.4</v>
      </c>
      <c r="L190" s="8">
        <f t="shared" si="103"/>
        <v>2246.4</v>
      </c>
      <c r="M190" s="8">
        <v>1</v>
      </c>
      <c r="N190" s="8">
        <f t="shared" si="104"/>
        <v>51182</v>
      </c>
      <c r="O190" s="8">
        <f t="shared" si="105"/>
        <v>10236.4</v>
      </c>
      <c r="P190" s="8">
        <f t="shared" si="106"/>
        <v>10236.4</v>
      </c>
      <c r="Q190" s="12">
        <v>75</v>
      </c>
      <c r="R190" s="12">
        <v>150</v>
      </c>
      <c r="S190" s="12">
        <v>97.02</v>
      </c>
      <c r="T190" s="8">
        <v>11.92</v>
      </c>
      <c r="U190" s="8">
        <v>0.4172</v>
      </c>
      <c r="V190" s="8">
        <f t="shared" si="107"/>
        <v>459837.368761335</v>
      </c>
      <c r="W190" s="8">
        <f t="shared" si="108"/>
        <v>10236.4</v>
      </c>
      <c r="X190" s="8">
        <f t="shared" si="109"/>
        <v>10236.4</v>
      </c>
      <c r="Y190" s="8">
        <f t="shared" si="110"/>
        <v>45983.7368761335</v>
      </c>
      <c r="Z190" s="8">
        <f t="shared" si="111"/>
        <v>10</v>
      </c>
      <c r="AA190">
        <f t="shared" si="112"/>
        <v>5118.2</v>
      </c>
      <c r="AB190">
        <f t="shared" si="113"/>
        <v>10</v>
      </c>
      <c r="AC190">
        <f t="shared" si="114"/>
        <v>200.397611270397</v>
      </c>
      <c r="AD190">
        <f t="shared" si="115"/>
        <v>23.5319540229885</v>
      </c>
      <c r="AE190">
        <f t="shared" si="116"/>
        <v>23.5319540229885</v>
      </c>
      <c r="AF190">
        <f t="shared" si="139"/>
        <v>153279.122920445</v>
      </c>
      <c r="AG190">
        <f t="shared" si="140"/>
        <v>10236.4</v>
      </c>
      <c r="AH190">
        <f t="shared" si="141"/>
        <v>5118.2</v>
      </c>
      <c r="AI190">
        <f t="shared" si="117"/>
        <v>3.33333333333333</v>
      </c>
      <c r="AJ190">
        <f t="shared" si="118"/>
        <v>1706.06666666667</v>
      </c>
      <c r="AK190">
        <f t="shared" si="119"/>
        <v>29.9999999999999</v>
      </c>
      <c r="BT190">
        <v>189</v>
      </c>
      <c r="BU190">
        <f t="shared" si="120"/>
        <v>7744.4</v>
      </c>
      <c r="BV190">
        <f t="shared" si="121"/>
        <v>1548.88</v>
      </c>
      <c r="BX190">
        <f t="shared" si="122"/>
        <v>29.4</v>
      </c>
      <c r="BY190">
        <f t="shared" si="123"/>
        <v>58.9</v>
      </c>
      <c r="BZ190">
        <v>189</v>
      </c>
      <c r="CA190">
        <f t="shared" si="124"/>
        <v>9748.4</v>
      </c>
      <c r="CB190">
        <f t="shared" si="125"/>
        <v>1949.54</v>
      </c>
      <c r="CD190">
        <f t="shared" si="126"/>
        <v>41.204</v>
      </c>
      <c r="CE190">
        <f t="shared" si="127"/>
        <v>82.474</v>
      </c>
      <c r="CF190">
        <f t="shared" si="128"/>
        <v>49.28</v>
      </c>
      <c r="CG190">
        <v>189</v>
      </c>
      <c r="CH190">
        <f t="shared" si="129"/>
        <v>12316</v>
      </c>
      <c r="CI190">
        <f t="shared" si="130"/>
        <v>2462.6</v>
      </c>
      <c r="CK190">
        <f t="shared" si="131"/>
        <v>49.7</v>
      </c>
      <c r="CL190">
        <f t="shared" si="132"/>
        <v>99.45</v>
      </c>
      <c r="CM190">
        <f t="shared" si="133"/>
        <v>66.836</v>
      </c>
      <c r="CN190">
        <v>189</v>
      </c>
      <c r="CO190">
        <f t="shared" si="134"/>
        <v>15052.4</v>
      </c>
      <c r="CP190">
        <f t="shared" si="135"/>
        <v>3011.68</v>
      </c>
      <c r="CR190">
        <f t="shared" si="136"/>
        <v>63.78</v>
      </c>
      <c r="CS190">
        <f t="shared" si="137"/>
        <v>127.56</v>
      </c>
      <c r="CT190">
        <f t="shared" si="138"/>
        <v>85.182</v>
      </c>
    </row>
    <row r="191" spans="1:98">
      <c r="A191">
        <v>190</v>
      </c>
      <c r="B191" s="12">
        <v>20900</v>
      </c>
      <c r="C191" s="12">
        <v>4180</v>
      </c>
      <c r="D191" s="12">
        <v>4180</v>
      </c>
      <c r="E191" s="8">
        <f t="shared" si="98"/>
        <v>19250</v>
      </c>
      <c r="F191" s="8">
        <f t="shared" si="99"/>
        <v>3850</v>
      </c>
      <c r="G191" s="8">
        <f t="shared" si="100"/>
        <v>3850</v>
      </c>
      <c r="H191" s="12"/>
      <c r="I191" s="9">
        <v>1</v>
      </c>
      <c r="J191" s="8">
        <f t="shared" si="101"/>
        <v>11286</v>
      </c>
      <c r="K191" s="8">
        <f t="shared" si="102"/>
        <v>2257.2</v>
      </c>
      <c r="L191" s="8">
        <f t="shared" si="103"/>
        <v>2257.2</v>
      </c>
      <c r="M191" s="8">
        <v>1</v>
      </c>
      <c r="N191" s="8">
        <f t="shared" si="104"/>
        <v>51436</v>
      </c>
      <c r="O191" s="8">
        <f t="shared" si="105"/>
        <v>10287.2</v>
      </c>
      <c r="P191" s="8">
        <f t="shared" si="106"/>
        <v>10287.2</v>
      </c>
      <c r="Q191" s="12">
        <v>75</v>
      </c>
      <c r="R191" s="12">
        <v>150</v>
      </c>
      <c r="S191" s="12">
        <v>97.02</v>
      </c>
      <c r="T191" s="8">
        <v>11.92</v>
      </c>
      <c r="U191" s="8">
        <v>0.4172</v>
      </c>
      <c r="V191" s="8">
        <f t="shared" si="107"/>
        <v>462119.395482944</v>
      </c>
      <c r="W191" s="8">
        <f t="shared" si="108"/>
        <v>10287.2</v>
      </c>
      <c r="X191" s="8">
        <f t="shared" si="109"/>
        <v>10287.2</v>
      </c>
      <c r="Y191" s="8">
        <f t="shared" si="110"/>
        <v>46211.9395482944</v>
      </c>
      <c r="Z191" s="8">
        <f t="shared" si="111"/>
        <v>10</v>
      </c>
      <c r="AA191">
        <f t="shared" si="112"/>
        <v>5143.6</v>
      </c>
      <c r="AB191">
        <f t="shared" si="113"/>
        <v>10</v>
      </c>
      <c r="AC191">
        <f t="shared" si="114"/>
        <v>201.39212092736</v>
      </c>
      <c r="AD191">
        <f t="shared" si="115"/>
        <v>23.6487356321839</v>
      </c>
      <c r="AE191">
        <f t="shared" si="116"/>
        <v>23.6487356321839</v>
      </c>
      <c r="AF191">
        <f t="shared" si="139"/>
        <v>154039.798494315</v>
      </c>
      <c r="AG191">
        <f t="shared" si="140"/>
        <v>10287.2</v>
      </c>
      <c r="AH191">
        <f t="shared" si="141"/>
        <v>5143.6</v>
      </c>
      <c r="AI191">
        <f t="shared" si="117"/>
        <v>3.33333333333334</v>
      </c>
      <c r="AJ191">
        <f t="shared" si="118"/>
        <v>1714.53333333333</v>
      </c>
      <c r="AK191">
        <f t="shared" si="119"/>
        <v>30.0000000000001</v>
      </c>
      <c r="BT191">
        <v>190</v>
      </c>
      <c r="BU191">
        <f t="shared" si="120"/>
        <v>7759</v>
      </c>
      <c r="BV191">
        <f t="shared" si="121"/>
        <v>1551.8</v>
      </c>
      <c r="BX191">
        <f t="shared" si="122"/>
        <v>29.45</v>
      </c>
      <c r="BY191">
        <f t="shared" si="123"/>
        <v>59</v>
      </c>
      <c r="BZ191">
        <v>190</v>
      </c>
      <c r="CA191">
        <f t="shared" si="124"/>
        <v>9757.7</v>
      </c>
      <c r="CB191">
        <f t="shared" si="125"/>
        <v>1951.4</v>
      </c>
      <c r="CD191">
        <f t="shared" si="126"/>
        <v>41.237</v>
      </c>
      <c r="CE191">
        <f t="shared" si="127"/>
        <v>82.54</v>
      </c>
      <c r="CF191">
        <f t="shared" si="128"/>
        <v>49.34</v>
      </c>
      <c r="CG191">
        <v>190</v>
      </c>
      <c r="CH191">
        <f t="shared" si="129"/>
        <v>12323</v>
      </c>
      <c r="CI191">
        <f t="shared" si="130"/>
        <v>2464</v>
      </c>
      <c r="CK191">
        <f t="shared" si="131"/>
        <v>49.725</v>
      </c>
      <c r="CL191">
        <f t="shared" si="132"/>
        <v>99.5</v>
      </c>
      <c r="CM191">
        <f t="shared" si="133"/>
        <v>66.883</v>
      </c>
      <c r="CN191">
        <v>190</v>
      </c>
      <c r="CO191">
        <f t="shared" si="134"/>
        <v>15058</v>
      </c>
      <c r="CP191">
        <f t="shared" si="135"/>
        <v>3012.8</v>
      </c>
      <c r="CR191">
        <f t="shared" si="136"/>
        <v>63.8</v>
      </c>
      <c r="CS191">
        <f t="shared" si="137"/>
        <v>127.6</v>
      </c>
      <c r="CT191">
        <f t="shared" si="138"/>
        <v>85.22</v>
      </c>
    </row>
    <row r="192" spans="1:98">
      <c r="A192">
        <v>191</v>
      </c>
      <c r="B192" s="12">
        <v>21000</v>
      </c>
      <c r="C192" s="12">
        <v>4200</v>
      </c>
      <c r="D192" s="12">
        <v>4200</v>
      </c>
      <c r="E192" s="8">
        <f t="shared" si="98"/>
        <v>19350</v>
      </c>
      <c r="F192" s="8">
        <f t="shared" si="99"/>
        <v>3870</v>
      </c>
      <c r="G192" s="8">
        <f t="shared" si="100"/>
        <v>3870</v>
      </c>
      <c r="H192" s="12"/>
      <c r="I192" s="9">
        <v>1</v>
      </c>
      <c r="J192" s="8">
        <f t="shared" si="101"/>
        <v>11340</v>
      </c>
      <c r="K192" s="8">
        <f t="shared" si="102"/>
        <v>2268</v>
      </c>
      <c r="L192" s="8">
        <f t="shared" si="103"/>
        <v>2268</v>
      </c>
      <c r="M192" s="8">
        <v>1</v>
      </c>
      <c r="N192" s="8">
        <f t="shared" si="104"/>
        <v>51690</v>
      </c>
      <c r="O192" s="8">
        <f t="shared" si="105"/>
        <v>10338</v>
      </c>
      <c r="P192" s="8">
        <f t="shared" si="106"/>
        <v>10338</v>
      </c>
      <c r="Q192" s="12">
        <v>75</v>
      </c>
      <c r="R192" s="12">
        <v>150</v>
      </c>
      <c r="S192" s="12">
        <v>97.02</v>
      </c>
      <c r="T192" s="8">
        <v>11.92</v>
      </c>
      <c r="U192" s="8">
        <v>0.4172</v>
      </c>
      <c r="V192" s="8">
        <f t="shared" si="107"/>
        <v>464401.422204553</v>
      </c>
      <c r="W192" s="8">
        <f t="shared" si="108"/>
        <v>10338</v>
      </c>
      <c r="X192" s="8">
        <f t="shared" si="109"/>
        <v>10338</v>
      </c>
      <c r="Y192" s="8">
        <f t="shared" si="110"/>
        <v>46440.1422204553</v>
      </c>
      <c r="Z192" s="8">
        <f t="shared" si="111"/>
        <v>10</v>
      </c>
      <c r="AA192">
        <f t="shared" si="112"/>
        <v>5169</v>
      </c>
      <c r="AB192">
        <f t="shared" si="113"/>
        <v>10</v>
      </c>
      <c r="AC192">
        <f t="shared" si="114"/>
        <v>202.386630584323</v>
      </c>
      <c r="AD192">
        <f t="shared" si="115"/>
        <v>23.7655172413793</v>
      </c>
      <c r="AE192">
        <f t="shared" si="116"/>
        <v>23.7655172413793</v>
      </c>
      <c r="AF192">
        <f t="shared" si="139"/>
        <v>154800.474068184</v>
      </c>
      <c r="AG192">
        <f t="shared" si="140"/>
        <v>10338</v>
      </c>
      <c r="AH192">
        <f t="shared" si="141"/>
        <v>5169</v>
      </c>
      <c r="AI192">
        <f t="shared" si="117"/>
        <v>3.33333333333333</v>
      </c>
      <c r="AJ192">
        <f t="shared" si="118"/>
        <v>1723</v>
      </c>
      <c r="AK192">
        <f t="shared" si="119"/>
        <v>30</v>
      </c>
      <c r="BT192">
        <v>191</v>
      </c>
      <c r="BU192">
        <f t="shared" si="120"/>
        <v>7773.6</v>
      </c>
      <c r="BV192">
        <f t="shared" si="121"/>
        <v>1554.72</v>
      </c>
      <c r="BX192">
        <f t="shared" si="122"/>
        <v>29.5</v>
      </c>
      <c r="BY192">
        <f t="shared" si="123"/>
        <v>59.1</v>
      </c>
      <c r="BZ192">
        <v>191</v>
      </c>
      <c r="CA192">
        <f t="shared" si="124"/>
        <v>9767</v>
      </c>
      <c r="CB192">
        <f t="shared" si="125"/>
        <v>1953.26</v>
      </c>
      <c r="CD192">
        <f t="shared" si="126"/>
        <v>41.27</v>
      </c>
      <c r="CE192">
        <f t="shared" si="127"/>
        <v>82.606</v>
      </c>
      <c r="CF192">
        <f t="shared" si="128"/>
        <v>49.4</v>
      </c>
      <c r="CG192">
        <v>191</v>
      </c>
      <c r="CH192">
        <f t="shared" si="129"/>
        <v>12330</v>
      </c>
      <c r="CI192">
        <f t="shared" si="130"/>
        <v>2465.4</v>
      </c>
      <c r="CK192">
        <f t="shared" si="131"/>
        <v>49.75</v>
      </c>
      <c r="CL192">
        <f t="shared" si="132"/>
        <v>99.55</v>
      </c>
      <c r="CM192">
        <f t="shared" si="133"/>
        <v>66.93</v>
      </c>
      <c r="CN192">
        <v>191</v>
      </c>
      <c r="CO192">
        <f t="shared" si="134"/>
        <v>15063.6</v>
      </c>
      <c r="CP192">
        <f t="shared" si="135"/>
        <v>3013.92</v>
      </c>
      <c r="CR192">
        <f t="shared" si="136"/>
        <v>63.82</v>
      </c>
      <c r="CS192">
        <f t="shared" si="137"/>
        <v>127.64</v>
      </c>
      <c r="CT192">
        <f t="shared" si="138"/>
        <v>85.258</v>
      </c>
    </row>
    <row r="193" spans="1:98">
      <c r="A193">
        <v>192</v>
      </c>
      <c r="B193" s="12">
        <v>21100</v>
      </c>
      <c r="C193" s="12">
        <v>4220</v>
      </c>
      <c r="D193" s="12">
        <v>4220</v>
      </c>
      <c r="E193" s="8">
        <f t="shared" si="98"/>
        <v>19450</v>
      </c>
      <c r="F193" s="8">
        <f t="shared" si="99"/>
        <v>3890</v>
      </c>
      <c r="G193" s="8">
        <f t="shared" si="100"/>
        <v>3890</v>
      </c>
      <c r="H193" s="12"/>
      <c r="I193" s="9">
        <v>1</v>
      </c>
      <c r="J193" s="8">
        <f t="shared" si="101"/>
        <v>11394</v>
      </c>
      <c r="K193" s="8">
        <f t="shared" si="102"/>
        <v>2278.8</v>
      </c>
      <c r="L193" s="8">
        <f t="shared" si="103"/>
        <v>2278.8</v>
      </c>
      <c r="M193" s="8">
        <v>1</v>
      </c>
      <c r="N193" s="8">
        <f t="shared" si="104"/>
        <v>51944</v>
      </c>
      <c r="O193" s="8">
        <f t="shared" si="105"/>
        <v>10388.8</v>
      </c>
      <c r="P193" s="8">
        <f t="shared" si="106"/>
        <v>10388.8</v>
      </c>
      <c r="Q193" s="12">
        <v>75</v>
      </c>
      <c r="R193" s="12">
        <v>150</v>
      </c>
      <c r="S193" s="12">
        <v>97.02</v>
      </c>
      <c r="T193" s="8">
        <v>11.92</v>
      </c>
      <c r="U193" s="8">
        <v>0.4172</v>
      </c>
      <c r="V193" s="8">
        <f t="shared" si="107"/>
        <v>466683.448926161</v>
      </c>
      <c r="W193" s="8">
        <f t="shared" si="108"/>
        <v>10388.8</v>
      </c>
      <c r="X193" s="8">
        <f t="shared" si="109"/>
        <v>10388.8</v>
      </c>
      <c r="Y193" s="8">
        <f t="shared" si="110"/>
        <v>46668.3448926161</v>
      </c>
      <c r="Z193" s="8">
        <f t="shared" si="111"/>
        <v>10</v>
      </c>
      <c r="AA193">
        <f t="shared" si="112"/>
        <v>5194.4</v>
      </c>
      <c r="AB193">
        <f t="shared" si="113"/>
        <v>10</v>
      </c>
      <c r="AC193">
        <f t="shared" si="114"/>
        <v>203.381140241286</v>
      </c>
      <c r="AD193">
        <f t="shared" si="115"/>
        <v>23.8822988505747</v>
      </c>
      <c r="AE193">
        <f t="shared" si="116"/>
        <v>23.8822988505747</v>
      </c>
      <c r="AF193">
        <f t="shared" si="139"/>
        <v>155561.149642054</v>
      </c>
      <c r="AG193">
        <f t="shared" si="140"/>
        <v>10388.8</v>
      </c>
      <c r="AH193">
        <f t="shared" si="141"/>
        <v>5194.4</v>
      </c>
      <c r="AI193">
        <f t="shared" si="117"/>
        <v>3.33333333333334</v>
      </c>
      <c r="AJ193">
        <f t="shared" si="118"/>
        <v>1731.46666666667</v>
      </c>
      <c r="AK193">
        <f t="shared" si="119"/>
        <v>29.9999999999999</v>
      </c>
      <c r="BT193">
        <v>192</v>
      </c>
      <c r="BU193">
        <f t="shared" si="120"/>
        <v>7788.2</v>
      </c>
      <c r="BV193">
        <f t="shared" si="121"/>
        <v>1557.64</v>
      </c>
      <c r="BX193">
        <f t="shared" si="122"/>
        <v>29.55</v>
      </c>
      <c r="BY193">
        <f t="shared" si="123"/>
        <v>59.2</v>
      </c>
      <c r="BZ193">
        <v>192</v>
      </c>
      <c r="CA193">
        <f t="shared" si="124"/>
        <v>9776.3</v>
      </c>
      <c r="CB193">
        <f t="shared" si="125"/>
        <v>1955.12</v>
      </c>
      <c r="CD193">
        <f t="shared" si="126"/>
        <v>41.303</v>
      </c>
      <c r="CE193">
        <f t="shared" si="127"/>
        <v>82.672</v>
      </c>
      <c r="CF193">
        <f t="shared" si="128"/>
        <v>49.46</v>
      </c>
      <c r="CG193">
        <v>192</v>
      </c>
      <c r="CH193">
        <f t="shared" si="129"/>
        <v>12337</v>
      </c>
      <c r="CI193">
        <f t="shared" si="130"/>
        <v>2466.8</v>
      </c>
      <c r="CK193">
        <f t="shared" si="131"/>
        <v>49.775</v>
      </c>
      <c r="CL193">
        <f t="shared" si="132"/>
        <v>99.6</v>
      </c>
      <c r="CM193">
        <f t="shared" si="133"/>
        <v>66.977</v>
      </c>
      <c r="CN193">
        <v>192</v>
      </c>
      <c r="CO193">
        <f t="shared" si="134"/>
        <v>15069.2</v>
      </c>
      <c r="CP193">
        <f t="shared" si="135"/>
        <v>3015.04</v>
      </c>
      <c r="CR193">
        <f t="shared" si="136"/>
        <v>63.84</v>
      </c>
      <c r="CS193">
        <f t="shared" si="137"/>
        <v>127.68</v>
      </c>
      <c r="CT193">
        <f t="shared" si="138"/>
        <v>85.296</v>
      </c>
    </row>
    <row r="194" spans="1:98">
      <c r="A194">
        <v>193</v>
      </c>
      <c r="B194" s="12">
        <v>21200</v>
      </c>
      <c r="C194" s="12">
        <v>4240</v>
      </c>
      <c r="D194" s="12">
        <v>4240</v>
      </c>
      <c r="E194" s="8">
        <f t="shared" ref="E194:E201" si="142">(A194*100+250)*I194</f>
        <v>19550</v>
      </c>
      <c r="F194" s="8">
        <f t="shared" ref="F194:F201" si="143">E194/5</f>
        <v>3910</v>
      </c>
      <c r="G194" s="8">
        <f t="shared" ref="G194:G201" si="144">E194/5</f>
        <v>3910</v>
      </c>
      <c r="H194" s="12"/>
      <c r="I194" s="9">
        <v>1</v>
      </c>
      <c r="J194" s="8">
        <f t="shared" ref="J194:J201" si="145">(0.54*B194)*M194</f>
        <v>11448</v>
      </c>
      <c r="K194" s="8">
        <f t="shared" ref="K194:K201" si="146">J194/5</f>
        <v>2289.6</v>
      </c>
      <c r="L194" s="8">
        <f t="shared" ref="L194:L201" si="147">J194/5</f>
        <v>2289.6</v>
      </c>
      <c r="M194" s="8">
        <v>1</v>
      </c>
      <c r="N194" s="8">
        <f t="shared" ref="N194:N201" si="148">B194+E194+J194</f>
        <v>52198</v>
      </c>
      <c r="O194" s="8">
        <f t="shared" ref="O194:O201" si="149">C194+F194+K194</f>
        <v>10439.6</v>
      </c>
      <c r="P194" s="8">
        <f t="shared" ref="P194:P201" si="150">D194+G194+L194</f>
        <v>10439.6</v>
      </c>
      <c r="Q194" s="12">
        <v>75</v>
      </c>
      <c r="R194" s="12">
        <v>150</v>
      </c>
      <c r="S194" s="12">
        <v>97.02</v>
      </c>
      <c r="T194" s="8">
        <v>11.92</v>
      </c>
      <c r="U194" s="8">
        <v>0.4172</v>
      </c>
      <c r="V194" s="8">
        <f t="shared" ref="V194:V201" si="151">N194*(1+U194)*(1+S194*0.01)*(1+T194*0.01)*(1+Q194*0.01*(1+R194*0.01))</f>
        <v>468965.47564777</v>
      </c>
      <c r="W194" s="8">
        <f t="shared" ref="W194:W201" si="152">O194</f>
        <v>10439.6</v>
      </c>
      <c r="X194" s="8">
        <f t="shared" ref="X194:X201" si="153">P194</f>
        <v>10439.6</v>
      </c>
      <c r="Y194" s="8">
        <f t="shared" ref="Y194:Y201" si="154">(P194*P194/(P194+W194))*(1+U194)*(1+S194*0.01)*(1+T194*0.01)*(1+Q194*0.01*(1+R194*0.01))</f>
        <v>46896.547564777</v>
      </c>
      <c r="Z194" s="8">
        <f t="shared" ref="Z194:Z201" si="155">V194/Y194</f>
        <v>10</v>
      </c>
      <c r="AA194">
        <f t="shared" ref="AA194:AA201" si="156">X194*X194/(X194+O194)</f>
        <v>5219.8</v>
      </c>
      <c r="AB194">
        <f t="shared" ref="AB194:AB201" si="157">N194/AA194</f>
        <v>10</v>
      </c>
      <c r="AC194">
        <f t="shared" ref="AC194:AC201" si="158">V194/$V$2</f>
        <v>204.375649898249</v>
      </c>
      <c r="AD194">
        <f t="shared" ref="AD194:AD201" si="159">W194/$W$2</f>
        <v>23.9990804597701</v>
      </c>
      <c r="AE194">
        <f t="shared" ref="AE194:AE201" si="160">X194/$X$2</f>
        <v>23.9990804597701</v>
      </c>
      <c r="AF194">
        <f t="shared" si="139"/>
        <v>156321.825215923</v>
      </c>
      <c r="AG194">
        <f t="shared" si="140"/>
        <v>10439.6</v>
      </c>
      <c r="AH194">
        <f t="shared" si="141"/>
        <v>5219.8</v>
      </c>
      <c r="AI194">
        <f t="shared" ref="AI194:AI201" si="161">AF194/Y194</f>
        <v>3.33333333333333</v>
      </c>
      <c r="AJ194">
        <f t="shared" ref="AJ194:AJ201" si="162">AH194*AH194/(AH194+O194)</f>
        <v>1739.93333333333</v>
      </c>
      <c r="AK194">
        <f t="shared" ref="AK194:AK201" si="163">N194/AJ194</f>
        <v>30.0000000000001</v>
      </c>
      <c r="BT194">
        <v>193</v>
      </c>
      <c r="BU194">
        <f t="shared" ref="BU194:BU201" si="164">14.6*BT194+4985</f>
        <v>7802.8</v>
      </c>
      <c r="BV194">
        <f t="shared" ref="BV194:BV201" si="165">2.92*BT194+997</f>
        <v>1560.56</v>
      </c>
      <c r="BX194">
        <f t="shared" ref="BX194:BX201" si="166">0.05*BT194+19.95</f>
        <v>29.6</v>
      </c>
      <c r="BY194">
        <f t="shared" ref="BY194:BY201" si="167">0.1*BT194+40</f>
        <v>59.3</v>
      </c>
      <c r="BZ194">
        <v>193</v>
      </c>
      <c r="CA194">
        <f t="shared" ref="CA194:CA257" si="168">9.3*BZ194+7990.7</f>
        <v>9785.6</v>
      </c>
      <c r="CB194">
        <f t="shared" ref="CB194:CB257" si="169">1.86*BZ194+1598</f>
        <v>1956.98</v>
      </c>
      <c r="CD194">
        <f t="shared" ref="CD194:CD257" si="170">0.033*BZ194+34.967</f>
        <v>41.336</v>
      </c>
      <c r="CE194">
        <f t="shared" ref="CE194:CE257" si="171">0.066*BZ194+70</f>
        <v>82.738</v>
      </c>
      <c r="CF194">
        <f t="shared" ref="CF194:CF257" si="172">0.06*BZ194+37.94</f>
        <v>49.52</v>
      </c>
      <c r="CG194">
        <v>193</v>
      </c>
      <c r="CH194">
        <f t="shared" ref="CH194:CH257" si="173">7*CG194+10993</f>
        <v>12344</v>
      </c>
      <c r="CI194">
        <f t="shared" ref="CI194:CI257" si="174">1.4*CG194+2198</f>
        <v>2468.2</v>
      </c>
      <c r="CK194">
        <f t="shared" ref="CK194:CK257" si="175">0.025*CG194+44.975</f>
        <v>49.8</v>
      </c>
      <c r="CL194">
        <f t="shared" ref="CL194:CL257" si="176">0.05*CG194+90</f>
        <v>99.65</v>
      </c>
      <c r="CM194">
        <f t="shared" ref="CM194:CM257" si="177">0.047*CG194+57.953</f>
        <v>67.024</v>
      </c>
      <c r="CN194">
        <v>193</v>
      </c>
      <c r="CO194">
        <f t="shared" ref="CO194:CO257" si="178">5.6*CN194+13994</f>
        <v>15074.8</v>
      </c>
      <c r="CP194">
        <f t="shared" ref="CP194:CP257" si="179">1.12*CN194+2800</f>
        <v>3016.16</v>
      </c>
      <c r="CR194">
        <f t="shared" ref="CR194:CR257" si="180">0.02*CN194+60</f>
        <v>63.86</v>
      </c>
      <c r="CS194">
        <f t="shared" ref="CS194:CS257" si="181">0.04*CN194+120</f>
        <v>127.72</v>
      </c>
      <c r="CT194">
        <f t="shared" ref="CT194:CT257" si="182">0.038*CN194+78</f>
        <v>85.334</v>
      </c>
    </row>
    <row r="195" spans="1:98">
      <c r="A195">
        <v>194</v>
      </c>
      <c r="B195" s="12">
        <v>21300</v>
      </c>
      <c r="C195" s="12">
        <v>4260</v>
      </c>
      <c r="D195" s="12">
        <v>4260</v>
      </c>
      <c r="E195" s="8">
        <f t="shared" si="142"/>
        <v>19650</v>
      </c>
      <c r="F195" s="8">
        <f t="shared" si="143"/>
        <v>3930</v>
      </c>
      <c r="G195" s="8">
        <f t="shared" si="144"/>
        <v>3930</v>
      </c>
      <c r="H195" s="12"/>
      <c r="I195" s="9">
        <v>1</v>
      </c>
      <c r="J195" s="8">
        <f t="shared" si="145"/>
        <v>11502</v>
      </c>
      <c r="K195" s="8">
        <f t="shared" si="146"/>
        <v>2300.4</v>
      </c>
      <c r="L195" s="8">
        <f t="shared" si="147"/>
        <v>2300.4</v>
      </c>
      <c r="M195" s="8">
        <v>1</v>
      </c>
      <c r="N195" s="8">
        <f t="shared" si="148"/>
        <v>52452</v>
      </c>
      <c r="O195" s="8">
        <f t="shared" si="149"/>
        <v>10490.4</v>
      </c>
      <c r="P195" s="8">
        <f t="shared" si="150"/>
        <v>10490.4</v>
      </c>
      <c r="Q195" s="12">
        <v>75</v>
      </c>
      <c r="R195" s="12">
        <v>150</v>
      </c>
      <c r="S195" s="12">
        <v>97.02</v>
      </c>
      <c r="T195" s="8">
        <v>11.92</v>
      </c>
      <c r="U195" s="8">
        <v>0.4172</v>
      </c>
      <c r="V195" s="8">
        <f t="shared" si="151"/>
        <v>471247.502369379</v>
      </c>
      <c r="W195" s="8">
        <f t="shared" si="152"/>
        <v>10490.4</v>
      </c>
      <c r="X195" s="8">
        <f t="shared" si="153"/>
        <v>10490.4</v>
      </c>
      <c r="Y195" s="8">
        <f t="shared" si="154"/>
        <v>47124.7502369379</v>
      </c>
      <c r="Z195" s="8">
        <f t="shared" si="155"/>
        <v>10</v>
      </c>
      <c r="AA195">
        <f t="shared" si="156"/>
        <v>5245.2</v>
      </c>
      <c r="AB195">
        <f t="shared" si="157"/>
        <v>10</v>
      </c>
      <c r="AC195">
        <f t="shared" si="158"/>
        <v>205.370159555212</v>
      </c>
      <c r="AD195">
        <f t="shared" si="159"/>
        <v>24.1158620689655</v>
      </c>
      <c r="AE195">
        <f t="shared" si="160"/>
        <v>24.1158620689655</v>
      </c>
      <c r="AF195">
        <f t="shared" ref="AF195:AF201" si="183">V195/3</f>
        <v>157082.500789793</v>
      </c>
      <c r="AG195">
        <f t="shared" ref="AG195:AG201" si="184">W195</f>
        <v>10490.4</v>
      </c>
      <c r="AH195">
        <f t="shared" ref="AH195:AH201" si="185">X195*0.5</f>
        <v>5245.2</v>
      </c>
      <c r="AI195">
        <f t="shared" si="161"/>
        <v>3.33333333333333</v>
      </c>
      <c r="AJ195">
        <f t="shared" si="162"/>
        <v>1748.4</v>
      </c>
      <c r="AK195">
        <f t="shared" si="163"/>
        <v>30</v>
      </c>
      <c r="BT195">
        <v>194</v>
      </c>
      <c r="BU195">
        <f t="shared" si="164"/>
        <v>7817.4</v>
      </c>
      <c r="BV195">
        <f t="shared" si="165"/>
        <v>1563.48</v>
      </c>
      <c r="BX195">
        <f t="shared" si="166"/>
        <v>29.65</v>
      </c>
      <c r="BY195">
        <f t="shared" si="167"/>
        <v>59.4</v>
      </c>
      <c r="BZ195">
        <v>194</v>
      </c>
      <c r="CA195">
        <f t="shared" si="168"/>
        <v>9794.9</v>
      </c>
      <c r="CB195">
        <f t="shared" si="169"/>
        <v>1958.84</v>
      </c>
      <c r="CD195">
        <f t="shared" si="170"/>
        <v>41.369</v>
      </c>
      <c r="CE195">
        <f t="shared" si="171"/>
        <v>82.804</v>
      </c>
      <c r="CF195">
        <f t="shared" si="172"/>
        <v>49.58</v>
      </c>
      <c r="CG195">
        <v>194</v>
      </c>
      <c r="CH195">
        <f t="shared" si="173"/>
        <v>12351</v>
      </c>
      <c r="CI195">
        <f t="shared" si="174"/>
        <v>2469.6</v>
      </c>
      <c r="CK195">
        <f t="shared" si="175"/>
        <v>49.825</v>
      </c>
      <c r="CL195">
        <f t="shared" si="176"/>
        <v>99.7</v>
      </c>
      <c r="CM195">
        <f t="shared" si="177"/>
        <v>67.071</v>
      </c>
      <c r="CN195">
        <v>194</v>
      </c>
      <c r="CO195">
        <f t="shared" si="178"/>
        <v>15080.4</v>
      </c>
      <c r="CP195">
        <f t="shared" si="179"/>
        <v>3017.28</v>
      </c>
      <c r="CR195">
        <f t="shared" si="180"/>
        <v>63.88</v>
      </c>
      <c r="CS195">
        <f t="shared" si="181"/>
        <v>127.76</v>
      </c>
      <c r="CT195">
        <f t="shared" si="182"/>
        <v>85.372</v>
      </c>
    </row>
    <row r="196" spans="1:98">
      <c r="A196">
        <v>195</v>
      </c>
      <c r="B196" s="12">
        <v>21400</v>
      </c>
      <c r="C196" s="12">
        <v>4280</v>
      </c>
      <c r="D196" s="12">
        <v>4280</v>
      </c>
      <c r="E196" s="8">
        <f t="shared" si="142"/>
        <v>19750</v>
      </c>
      <c r="F196" s="8">
        <f t="shared" si="143"/>
        <v>3950</v>
      </c>
      <c r="G196" s="8">
        <f t="shared" si="144"/>
        <v>3950</v>
      </c>
      <c r="H196" s="12"/>
      <c r="I196" s="9">
        <v>1</v>
      </c>
      <c r="J196" s="8">
        <f t="shared" si="145"/>
        <v>11556</v>
      </c>
      <c r="K196" s="8">
        <f t="shared" si="146"/>
        <v>2311.2</v>
      </c>
      <c r="L196" s="8">
        <f t="shared" si="147"/>
        <v>2311.2</v>
      </c>
      <c r="M196" s="8">
        <v>1</v>
      </c>
      <c r="N196" s="8">
        <f t="shared" si="148"/>
        <v>52706</v>
      </c>
      <c r="O196" s="8">
        <f t="shared" si="149"/>
        <v>10541.2</v>
      </c>
      <c r="P196" s="8">
        <f t="shared" si="150"/>
        <v>10541.2</v>
      </c>
      <c r="Q196" s="12">
        <v>75</v>
      </c>
      <c r="R196" s="12">
        <v>150</v>
      </c>
      <c r="S196" s="12">
        <v>97.02</v>
      </c>
      <c r="T196" s="8">
        <v>11.92</v>
      </c>
      <c r="U196" s="8">
        <v>0.4172</v>
      </c>
      <c r="V196" s="8">
        <f t="shared" si="151"/>
        <v>473529.529090988</v>
      </c>
      <c r="W196" s="8">
        <f t="shared" si="152"/>
        <v>10541.2</v>
      </c>
      <c r="X196" s="8">
        <f t="shared" si="153"/>
        <v>10541.2</v>
      </c>
      <c r="Y196" s="8">
        <f t="shared" si="154"/>
        <v>47352.9529090988</v>
      </c>
      <c r="Z196" s="8">
        <f t="shared" si="155"/>
        <v>10</v>
      </c>
      <c r="AA196">
        <f t="shared" si="156"/>
        <v>5270.6</v>
      </c>
      <c r="AB196">
        <f t="shared" si="157"/>
        <v>10</v>
      </c>
      <c r="AC196">
        <f t="shared" si="158"/>
        <v>206.364669212175</v>
      </c>
      <c r="AD196">
        <f t="shared" si="159"/>
        <v>24.2326436781609</v>
      </c>
      <c r="AE196">
        <f t="shared" si="160"/>
        <v>24.2326436781609</v>
      </c>
      <c r="AF196">
        <f t="shared" si="183"/>
        <v>157843.176363663</v>
      </c>
      <c r="AG196">
        <f t="shared" si="184"/>
        <v>10541.2</v>
      </c>
      <c r="AH196">
        <f t="shared" si="185"/>
        <v>5270.6</v>
      </c>
      <c r="AI196">
        <f t="shared" si="161"/>
        <v>3.33333333333334</v>
      </c>
      <c r="AJ196">
        <f t="shared" si="162"/>
        <v>1756.86666666667</v>
      </c>
      <c r="AK196">
        <f t="shared" si="163"/>
        <v>29.9999999999999</v>
      </c>
      <c r="BT196">
        <v>195</v>
      </c>
      <c r="BU196">
        <f t="shared" si="164"/>
        <v>7832</v>
      </c>
      <c r="BV196">
        <f t="shared" si="165"/>
        <v>1566.4</v>
      </c>
      <c r="BX196">
        <f t="shared" si="166"/>
        <v>29.7</v>
      </c>
      <c r="BY196">
        <f t="shared" si="167"/>
        <v>59.5</v>
      </c>
      <c r="BZ196">
        <v>195</v>
      </c>
      <c r="CA196">
        <f t="shared" si="168"/>
        <v>9804.2</v>
      </c>
      <c r="CB196">
        <f t="shared" si="169"/>
        <v>1960.7</v>
      </c>
      <c r="CD196">
        <f t="shared" si="170"/>
        <v>41.402</v>
      </c>
      <c r="CE196">
        <f t="shared" si="171"/>
        <v>82.87</v>
      </c>
      <c r="CF196">
        <f t="shared" si="172"/>
        <v>49.64</v>
      </c>
      <c r="CG196">
        <v>195</v>
      </c>
      <c r="CH196">
        <f t="shared" si="173"/>
        <v>12358</v>
      </c>
      <c r="CI196">
        <f t="shared" si="174"/>
        <v>2471</v>
      </c>
      <c r="CK196">
        <f t="shared" si="175"/>
        <v>49.85</v>
      </c>
      <c r="CL196">
        <f t="shared" si="176"/>
        <v>99.75</v>
      </c>
      <c r="CM196">
        <f t="shared" si="177"/>
        <v>67.118</v>
      </c>
      <c r="CN196">
        <v>195</v>
      </c>
      <c r="CO196">
        <f t="shared" si="178"/>
        <v>15086</v>
      </c>
      <c r="CP196">
        <f t="shared" si="179"/>
        <v>3018.4</v>
      </c>
      <c r="CR196">
        <f t="shared" si="180"/>
        <v>63.9</v>
      </c>
      <c r="CS196">
        <f t="shared" si="181"/>
        <v>127.8</v>
      </c>
      <c r="CT196">
        <f t="shared" si="182"/>
        <v>85.41</v>
      </c>
    </row>
    <row r="197" spans="1:98">
      <c r="A197">
        <v>196</v>
      </c>
      <c r="B197" s="12">
        <v>21500</v>
      </c>
      <c r="C197" s="12">
        <v>4300</v>
      </c>
      <c r="D197" s="12">
        <v>4300</v>
      </c>
      <c r="E197" s="8">
        <f t="shared" si="142"/>
        <v>19850</v>
      </c>
      <c r="F197" s="8">
        <f t="shared" si="143"/>
        <v>3970</v>
      </c>
      <c r="G197" s="8">
        <f t="shared" si="144"/>
        <v>3970</v>
      </c>
      <c r="H197" s="12"/>
      <c r="I197" s="9">
        <v>1</v>
      </c>
      <c r="J197" s="8">
        <f t="shared" si="145"/>
        <v>11610</v>
      </c>
      <c r="K197" s="8">
        <f t="shared" si="146"/>
        <v>2322</v>
      </c>
      <c r="L197" s="8">
        <f t="shared" si="147"/>
        <v>2322</v>
      </c>
      <c r="M197" s="8">
        <v>1</v>
      </c>
      <c r="N197" s="8">
        <f t="shared" si="148"/>
        <v>52960</v>
      </c>
      <c r="O197" s="8">
        <f t="shared" si="149"/>
        <v>10592</v>
      </c>
      <c r="P197" s="8">
        <f t="shared" si="150"/>
        <v>10592</v>
      </c>
      <c r="Q197" s="12">
        <v>75</v>
      </c>
      <c r="R197" s="12">
        <v>150</v>
      </c>
      <c r="S197" s="12">
        <v>97.02</v>
      </c>
      <c r="T197" s="8">
        <v>11.92</v>
      </c>
      <c r="U197" s="8">
        <v>0.4172</v>
      </c>
      <c r="V197" s="8">
        <f t="shared" si="151"/>
        <v>475811.555812596</v>
      </c>
      <c r="W197" s="8">
        <f t="shared" si="152"/>
        <v>10592</v>
      </c>
      <c r="X197" s="8">
        <f t="shared" si="153"/>
        <v>10592</v>
      </c>
      <c r="Y197" s="8">
        <f t="shared" si="154"/>
        <v>47581.1555812597</v>
      </c>
      <c r="Z197" s="8">
        <f t="shared" si="155"/>
        <v>9.99999999999998</v>
      </c>
      <c r="AA197">
        <f t="shared" si="156"/>
        <v>5296</v>
      </c>
      <c r="AB197">
        <f t="shared" si="157"/>
        <v>10</v>
      </c>
      <c r="AC197">
        <f t="shared" si="158"/>
        <v>207.359178869138</v>
      </c>
      <c r="AD197">
        <f t="shared" si="159"/>
        <v>24.3494252873563</v>
      </c>
      <c r="AE197">
        <f t="shared" si="160"/>
        <v>24.3494252873563</v>
      </c>
      <c r="AF197">
        <f t="shared" si="183"/>
        <v>158603.851937532</v>
      </c>
      <c r="AG197">
        <f t="shared" si="184"/>
        <v>10592</v>
      </c>
      <c r="AH197">
        <f t="shared" si="185"/>
        <v>5296</v>
      </c>
      <c r="AI197">
        <f t="shared" si="161"/>
        <v>3.33333333333333</v>
      </c>
      <c r="AJ197">
        <f t="shared" si="162"/>
        <v>1765.33333333333</v>
      </c>
      <c r="AK197">
        <f t="shared" si="163"/>
        <v>30.0000000000001</v>
      </c>
      <c r="BT197">
        <v>196</v>
      </c>
      <c r="BU197">
        <f t="shared" si="164"/>
        <v>7846.6</v>
      </c>
      <c r="BV197">
        <f t="shared" si="165"/>
        <v>1569.32</v>
      </c>
      <c r="BX197">
        <f t="shared" si="166"/>
        <v>29.75</v>
      </c>
      <c r="BY197">
        <f t="shared" si="167"/>
        <v>59.6</v>
      </c>
      <c r="BZ197">
        <v>196</v>
      </c>
      <c r="CA197">
        <f t="shared" si="168"/>
        <v>9813.5</v>
      </c>
      <c r="CB197">
        <f t="shared" si="169"/>
        <v>1962.56</v>
      </c>
      <c r="CD197">
        <f t="shared" si="170"/>
        <v>41.435</v>
      </c>
      <c r="CE197">
        <f t="shared" si="171"/>
        <v>82.936</v>
      </c>
      <c r="CF197">
        <f t="shared" si="172"/>
        <v>49.7</v>
      </c>
      <c r="CG197">
        <v>196</v>
      </c>
      <c r="CH197">
        <f t="shared" si="173"/>
        <v>12365</v>
      </c>
      <c r="CI197">
        <f t="shared" si="174"/>
        <v>2472.4</v>
      </c>
      <c r="CK197">
        <f t="shared" si="175"/>
        <v>49.875</v>
      </c>
      <c r="CL197">
        <f t="shared" si="176"/>
        <v>99.8</v>
      </c>
      <c r="CM197">
        <f t="shared" si="177"/>
        <v>67.165</v>
      </c>
      <c r="CN197">
        <v>196</v>
      </c>
      <c r="CO197">
        <f t="shared" si="178"/>
        <v>15091.6</v>
      </c>
      <c r="CP197">
        <f t="shared" si="179"/>
        <v>3019.52</v>
      </c>
      <c r="CR197">
        <f t="shared" si="180"/>
        <v>63.92</v>
      </c>
      <c r="CS197">
        <f t="shared" si="181"/>
        <v>127.84</v>
      </c>
      <c r="CT197">
        <f t="shared" si="182"/>
        <v>85.448</v>
      </c>
    </row>
    <row r="198" spans="1:98">
      <c r="A198">
        <v>197</v>
      </c>
      <c r="B198" s="12">
        <v>21600</v>
      </c>
      <c r="C198" s="12">
        <v>4320</v>
      </c>
      <c r="D198" s="12">
        <v>4320</v>
      </c>
      <c r="E198" s="8">
        <f t="shared" si="142"/>
        <v>19950</v>
      </c>
      <c r="F198" s="8">
        <f t="shared" si="143"/>
        <v>3990</v>
      </c>
      <c r="G198" s="8">
        <f t="shared" si="144"/>
        <v>3990</v>
      </c>
      <c r="H198" s="12"/>
      <c r="I198" s="9">
        <v>1</v>
      </c>
      <c r="J198" s="8">
        <f t="shared" si="145"/>
        <v>11664</v>
      </c>
      <c r="K198" s="8">
        <f t="shared" si="146"/>
        <v>2332.8</v>
      </c>
      <c r="L198" s="8">
        <f t="shared" si="147"/>
        <v>2332.8</v>
      </c>
      <c r="M198" s="8">
        <v>1</v>
      </c>
      <c r="N198" s="8">
        <f t="shared" si="148"/>
        <v>53214</v>
      </c>
      <c r="O198" s="8">
        <f t="shared" si="149"/>
        <v>10642.8</v>
      </c>
      <c r="P198" s="8">
        <f t="shared" si="150"/>
        <v>10642.8</v>
      </c>
      <c r="Q198" s="12">
        <v>75</v>
      </c>
      <c r="R198" s="12">
        <v>150</v>
      </c>
      <c r="S198" s="12">
        <v>97.02</v>
      </c>
      <c r="T198" s="8">
        <v>11.92</v>
      </c>
      <c r="U198" s="8">
        <v>0.4172</v>
      </c>
      <c r="V198" s="8">
        <f t="shared" si="151"/>
        <v>478093.582534205</v>
      </c>
      <c r="W198" s="8">
        <f t="shared" si="152"/>
        <v>10642.8</v>
      </c>
      <c r="X198" s="8">
        <f t="shared" si="153"/>
        <v>10642.8</v>
      </c>
      <c r="Y198" s="8">
        <f t="shared" si="154"/>
        <v>47809.3582534205</v>
      </c>
      <c r="Z198" s="8">
        <f t="shared" si="155"/>
        <v>10</v>
      </c>
      <c r="AA198">
        <f t="shared" si="156"/>
        <v>5321.4</v>
      </c>
      <c r="AB198">
        <f t="shared" si="157"/>
        <v>10</v>
      </c>
      <c r="AC198">
        <f t="shared" si="158"/>
        <v>208.353688526101</v>
      </c>
      <c r="AD198">
        <f t="shared" si="159"/>
        <v>24.4662068965517</v>
      </c>
      <c r="AE198">
        <f t="shared" si="160"/>
        <v>24.4662068965517</v>
      </c>
      <c r="AF198">
        <f t="shared" si="183"/>
        <v>159364.527511402</v>
      </c>
      <c r="AG198">
        <f t="shared" si="184"/>
        <v>10642.8</v>
      </c>
      <c r="AH198">
        <f t="shared" si="185"/>
        <v>5321.4</v>
      </c>
      <c r="AI198">
        <f t="shared" si="161"/>
        <v>3.33333333333334</v>
      </c>
      <c r="AJ198">
        <f t="shared" si="162"/>
        <v>1773.8</v>
      </c>
      <c r="AK198">
        <f t="shared" si="163"/>
        <v>30</v>
      </c>
      <c r="BT198">
        <v>197</v>
      </c>
      <c r="BU198">
        <f t="shared" si="164"/>
        <v>7861.2</v>
      </c>
      <c r="BV198">
        <f t="shared" si="165"/>
        <v>1572.24</v>
      </c>
      <c r="BX198">
        <f t="shared" si="166"/>
        <v>29.8</v>
      </c>
      <c r="BY198">
        <f t="shared" si="167"/>
        <v>59.7</v>
      </c>
      <c r="BZ198">
        <v>197</v>
      </c>
      <c r="CA198">
        <f t="shared" si="168"/>
        <v>9822.8</v>
      </c>
      <c r="CB198">
        <f t="shared" si="169"/>
        <v>1964.42</v>
      </c>
      <c r="CD198">
        <f t="shared" si="170"/>
        <v>41.468</v>
      </c>
      <c r="CE198">
        <f t="shared" si="171"/>
        <v>83.002</v>
      </c>
      <c r="CF198">
        <f t="shared" si="172"/>
        <v>49.76</v>
      </c>
      <c r="CG198">
        <v>197</v>
      </c>
      <c r="CH198">
        <f t="shared" si="173"/>
        <v>12372</v>
      </c>
      <c r="CI198">
        <f t="shared" si="174"/>
        <v>2473.8</v>
      </c>
      <c r="CK198">
        <f t="shared" si="175"/>
        <v>49.9</v>
      </c>
      <c r="CL198">
        <f t="shared" si="176"/>
        <v>99.85</v>
      </c>
      <c r="CM198">
        <f t="shared" si="177"/>
        <v>67.212</v>
      </c>
      <c r="CN198">
        <v>197</v>
      </c>
      <c r="CO198">
        <f t="shared" si="178"/>
        <v>15097.2</v>
      </c>
      <c r="CP198">
        <f t="shared" si="179"/>
        <v>3020.64</v>
      </c>
      <c r="CR198">
        <f t="shared" si="180"/>
        <v>63.94</v>
      </c>
      <c r="CS198">
        <f t="shared" si="181"/>
        <v>127.88</v>
      </c>
      <c r="CT198">
        <f t="shared" si="182"/>
        <v>85.486</v>
      </c>
    </row>
    <row r="199" spans="1:98">
      <c r="A199">
        <v>198</v>
      </c>
      <c r="B199" s="12">
        <v>21700</v>
      </c>
      <c r="C199" s="12">
        <v>4340</v>
      </c>
      <c r="D199" s="12">
        <v>4340</v>
      </c>
      <c r="E199" s="8">
        <f t="shared" si="142"/>
        <v>20050</v>
      </c>
      <c r="F199" s="8">
        <f t="shared" si="143"/>
        <v>4010</v>
      </c>
      <c r="G199" s="8">
        <f t="shared" si="144"/>
        <v>4010</v>
      </c>
      <c r="H199" s="12"/>
      <c r="I199" s="9">
        <v>1</v>
      </c>
      <c r="J199" s="8">
        <f t="shared" si="145"/>
        <v>11718</v>
      </c>
      <c r="K199" s="8">
        <f t="shared" si="146"/>
        <v>2343.6</v>
      </c>
      <c r="L199" s="8">
        <f t="shared" si="147"/>
        <v>2343.6</v>
      </c>
      <c r="M199" s="8">
        <v>1</v>
      </c>
      <c r="N199" s="8">
        <f t="shared" si="148"/>
        <v>53468</v>
      </c>
      <c r="O199" s="8">
        <f t="shared" si="149"/>
        <v>10693.6</v>
      </c>
      <c r="P199" s="8">
        <f t="shared" si="150"/>
        <v>10693.6</v>
      </c>
      <c r="Q199" s="12">
        <v>75</v>
      </c>
      <c r="R199" s="12">
        <v>150</v>
      </c>
      <c r="S199" s="12">
        <v>97.02</v>
      </c>
      <c r="T199" s="8">
        <v>11.92</v>
      </c>
      <c r="U199" s="8">
        <v>0.4172</v>
      </c>
      <c r="V199" s="8">
        <f t="shared" si="151"/>
        <v>480375.609255814</v>
      </c>
      <c r="W199" s="8">
        <f t="shared" si="152"/>
        <v>10693.6</v>
      </c>
      <c r="X199" s="8">
        <f t="shared" si="153"/>
        <v>10693.6</v>
      </c>
      <c r="Y199" s="8">
        <f t="shared" si="154"/>
        <v>48037.5609255814</v>
      </c>
      <c r="Z199" s="8">
        <f t="shared" si="155"/>
        <v>10</v>
      </c>
      <c r="AA199">
        <f t="shared" si="156"/>
        <v>5346.8</v>
      </c>
      <c r="AB199">
        <f t="shared" si="157"/>
        <v>10</v>
      </c>
      <c r="AC199">
        <f t="shared" si="158"/>
        <v>209.348198183064</v>
      </c>
      <c r="AD199">
        <f t="shared" si="159"/>
        <v>24.5829885057471</v>
      </c>
      <c r="AE199">
        <f t="shared" si="160"/>
        <v>24.5829885057471</v>
      </c>
      <c r="AF199">
        <f t="shared" si="183"/>
        <v>160125.203085271</v>
      </c>
      <c r="AG199">
        <f t="shared" si="184"/>
        <v>10693.6</v>
      </c>
      <c r="AH199">
        <f t="shared" si="185"/>
        <v>5346.8</v>
      </c>
      <c r="AI199">
        <f t="shared" si="161"/>
        <v>3.33333333333333</v>
      </c>
      <c r="AJ199">
        <f t="shared" si="162"/>
        <v>1782.26666666667</v>
      </c>
      <c r="AK199">
        <f t="shared" si="163"/>
        <v>29.9999999999999</v>
      </c>
      <c r="BT199">
        <v>198</v>
      </c>
      <c r="BU199">
        <f t="shared" si="164"/>
        <v>7875.8</v>
      </c>
      <c r="BV199">
        <f t="shared" si="165"/>
        <v>1575.16</v>
      </c>
      <c r="BX199">
        <f t="shared" si="166"/>
        <v>29.85</v>
      </c>
      <c r="BY199">
        <f t="shared" si="167"/>
        <v>59.8</v>
      </c>
      <c r="BZ199">
        <v>198</v>
      </c>
      <c r="CA199">
        <f t="shared" si="168"/>
        <v>9832.1</v>
      </c>
      <c r="CB199">
        <f t="shared" si="169"/>
        <v>1966.28</v>
      </c>
      <c r="CD199">
        <f t="shared" si="170"/>
        <v>41.501</v>
      </c>
      <c r="CE199">
        <f t="shared" si="171"/>
        <v>83.068</v>
      </c>
      <c r="CF199">
        <f t="shared" si="172"/>
        <v>49.82</v>
      </c>
      <c r="CG199">
        <v>198</v>
      </c>
      <c r="CH199">
        <f t="shared" si="173"/>
        <v>12379</v>
      </c>
      <c r="CI199">
        <f t="shared" si="174"/>
        <v>2475.2</v>
      </c>
      <c r="CK199">
        <f t="shared" si="175"/>
        <v>49.925</v>
      </c>
      <c r="CL199">
        <f t="shared" si="176"/>
        <v>99.9</v>
      </c>
      <c r="CM199">
        <f t="shared" si="177"/>
        <v>67.259</v>
      </c>
      <c r="CN199">
        <v>198</v>
      </c>
      <c r="CO199">
        <f t="shared" si="178"/>
        <v>15102.8</v>
      </c>
      <c r="CP199">
        <f t="shared" si="179"/>
        <v>3021.76</v>
      </c>
      <c r="CR199">
        <f t="shared" si="180"/>
        <v>63.96</v>
      </c>
      <c r="CS199">
        <f t="shared" si="181"/>
        <v>127.92</v>
      </c>
      <c r="CT199">
        <f t="shared" si="182"/>
        <v>85.524</v>
      </c>
    </row>
    <row r="200" spans="1:98">
      <c r="A200">
        <v>199</v>
      </c>
      <c r="B200" s="12">
        <v>21800</v>
      </c>
      <c r="C200" s="12">
        <v>4360</v>
      </c>
      <c r="D200" s="12">
        <v>4360</v>
      </c>
      <c r="E200" s="8">
        <f t="shared" si="142"/>
        <v>20150</v>
      </c>
      <c r="F200" s="8">
        <f t="shared" si="143"/>
        <v>4030</v>
      </c>
      <c r="G200" s="8">
        <f t="shared" si="144"/>
        <v>4030</v>
      </c>
      <c r="H200" s="12"/>
      <c r="I200" s="9">
        <v>1</v>
      </c>
      <c r="J200" s="8">
        <f t="shared" si="145"/>
        <v>11772</v>
      </c>
      <c r="K200" s="8">
        <f t="shared" si="146"/>
        <v>2354.4</v>
      </c>
      <c r="L200" s="8">
        <f t="shared" si="147"/>
        <v>2354.4</v>
      </c>
      <c r="M200" s="8">
        <v>1</v>
      </c>
      <c r="N200" s="8">
        <f t="shared" si="148"/>
        <v>53722</v>
      </c>
      <c r="O200" s="8">
        <f t="shared" si="149"/>
        <v>10744.4</v>
      </c>
      <c r="P200" s="8">
        <f t="shared" si="150"/>
        <v>10744.4</v>
      </c>
      <c r="Q200" s="12">
        <v>75</v>
      </c>
      <c r="R200" s="12">
        <v>150</v>
      </c>
      <c r="S200" s="12">
        <v>97.02</v>
      </c>
      <c r="T200" s="8">
        <v>11.92</v>
      </c>
      <c r="U200" s="8">
        <v>0.4172</v>
      </c>
      <c r="V200" s="8">
        <f t="shared" si="151"/>
        <v>482657.635977423</v>
      </c>
      <c r="W200" s="8">
        <f t="shared" si="152"/>
        <v>10744.4</v>
      </c>
      <c r="X200" s="8">
        <f t="shared" si="153"/>
        <v>10744.4</v>
      </c>
      <c r="Y200" s="8">
        <f t="shared" si="154"/>
        <v>48265.7635977423</v>
      </c>
      <c r="Z200" s="8">
        <f t="shared" si="155"/>
        <v>10</v>
      </c>
      <c r="AA200">
        <f t="shared" si="156"/>
        <v>5372.2</v>
      </c>
      <c r="AB200">
        <f t="shared" si="157"/>
        <v>10</v>
      </c>
      <c r="AC200">
        <f t="shared" si="158"/>
        <v>210.342707840027</v>
      </c>
      <c r="AD200">
        <f t="shared" si="159"/>
        <v>24.6997701149425</v>
      </c>
      <c r="AE200">
        <f t="shared" si="160"/>
        <v>24.6997701149425</v>
      </c>
      <c r="AF200">
        <f t="shared" si="183"/>
        <v>160885.878659141</v>
      </c>
      <c r="AG200">
        <f t="shared" si="184"/>
        <v>10744.4</v>
      </c>
      <c r="AH200">
        <f t="shared" si="185"/>
        <v>5372.2</v>
      </c>
      <c r="AI200">
        <f t="shared" si="161"/>
        <v>3.33333333333333</v>
      </c>
      <c r="AJ200">
        <f t="shared" si="162"/>
        <v>1790.73333333333</v>
      </c>
      <c r="AK200">
        <f t="shared" si="163"/>
        <v>30.0000000000001</v>
      </c>
      <c r="BT200">
        <v>199</v>
      </c>
      <c r="BU200">
        <f t="shared" si="164"/>
        <v>7890.4</v>
      </c>
      <c r="BV200">
        <f t="shared" si="165"/>
        <v>1578.08</v>
      </c>
      <c r="BX200">
        <f t="shared" si="166"/>
        <v>29.9</v>
      </c>
      <c r="BY200">
        <f t="shared" si="167"/>
        <v>59.9</v>
      </c>
      <c r="BZ200">
        <v>199</v>
      </c>
      <c r="CA200">
        <f t="shared" si="168"/>
        <v>9841.4</v>
      </c>
      <c r="CB200">
        <f t="shared" si="169"/>
        <v>1968.14</v>
      </c>
      <c r="CD200">
        <f t="shared" si="170"/>
        <v>41.534</v>
      </c>
      <c r="CE200">
        <f t="shared" si="171"/>
        <v>83.134</v>
      </c>
      <c r="CF200">
        <f t="shared" si="172"/>
        <v>49.88</v>
      </c>
      <c r="CG200">
        <v>199</v>
      </c>
      <c r="CH200">
        <f t="shared" si="173"/>
        <v>12386</v>
      </c>
      <c r="CI200">
        <f t="shared" si="174"/>
        <v>2476.6</v>
      </c>
      <c r="CK200">
        <f t="shared" si="175"/>
        <v>49.95</v>
      </c>
      <c r="CL200">
        <f t="shared" si="176"/>
        <v>99.95</v>
      </c>
      <c r="CM200">
        <f t="shared" si="177"/>
        <v>67.306</v>
      </c>
      <c r="CN200">
        <v>199</v>
      </c>
      <c r="CO200">
        <f t="shared" si="178"/>
        <v>15108.4</v>
      </c>
      <c r="CP200">
        <f t="shared" si="179"/>
        <v>3022.88</v>
      </c>
      <c r="CR200">
        <f t="shared" si="180"/>
        <v>63.98</v>
      </c>
      <c r="CS200">
        <f t="shared" si="181"/>
        <v>127.96</v>
      </c>
      <c r="CT200">
        <f t="shared" si="182"/>
        <v>85.562</v>
      </c>
    </row>
    <row r="201" spans="1:98">
      <c r="A201">
        <v>200</v>
      </c>
      <c r="B201" s="12">
        <v>21900</v>
      </c>
      <c r="C201" s="12">
        <v>4380</v>
      </c>
      <c r="D201" s="12">
        <v>4380</v>
      </c>
      <c r="E201" s="8">
        <f t="shared" si="142"/>
        <v>20250</v>
      </c>
      <c r="F201" s="8">
        <f t="shared" si="143"/>
        <v>4050</v>
      </c>
      <c r="G201" s="8">
        <f t="shared" si="144"/>
        <v>4050</v>
      </c>
      <c r="H201" s="12"/>
      <c r="I201" s="9">
        <v>1</v>
      </c>
      <c r="J201" s="8">
        <f t="shared" si="145"/>
        <v>11826</v>
      </c>
      <c r="K201" s="8">
        <f t="shared" si="146"/>
        <v>2365.2</v>
      </c>
      <c r="L201" s="8">
        <f t="shared" si="147"/>
        <v>2365.2</v>
      </c>
      <c r="M201" s="8">
        <v>1</v>
      </c>
      <c r="N201" s="8">
        <f t="shared" si="148"/>
        <v>53976</v>
      </c>
      <c r="O201" s="8">
        <f t="shared" si="149"/>
        <v>10795.2</v>
      </c>
      <c r="P201" s="8">
        <f t="shared" si="150"/>
        <v>10795.2</v>
      </c>
      <c r="Q201" s="12">
        <v>75</v>
      </c>
      <c r="R201" s="12">
        <v>150</v>
      </c>
      <c r="S201" s="12">
        <v>97.02</v>
      </c>
      <c r="T201" s="8">
        <v>11.92</v>
      </c>
      <c r="U201" s="8">
        <v>0.4172</v>
      </c>
      <c r="V201" s="8">
        <f t="shared" si="151"/>
        <v>484939.662699032</v>
      </c>
      <c r="W201" s="8">
        <f t="shared" si="152"/>
        <v>10795.2</v>
      </c>
      <c r="X201" s="8">
        <f t="shared" si="153"/>
        <v>10795.2</v>
      </c>
      <c r="Y201" s="8">
        <f t="shared" si="154"/>
        <v>48493.9662699032</v>
      </c>
      <c r="Z201" s="8">
        <f t="shared" si="155"/>
        <v>10</v>
      </c>
      <c r="AA201">
        <f t="shared" si="156"/>
        <v>5397.6</v>
      </c>
      <c r="AB201">
        <f t="shared" si="157"/>
        <v>10</v>
      </c>
      <c r="AC201">
        <f t="shared" si="158"/>
        <v>211.337217496991</v>
      </c>
      <c r="AD201">
        <f t="shared" si="159"/>
        <v>24.8165517241379</v>
      </c>
      <c r="AE201">
        <f t="shared" si="160"/>
        <v>24.8165517241379</v>
      </c>
      <c r="AF201">
        <f t="shared" si="183"/>
        <v>161646.554233011</v>
      </c>
      <c r="AG201">
        <f t="shared" si="184"/>
        <v>10795.2</v>
      </c>
      <c r="AH201">
        <f t="shared" si="185"/>
        <v>5397.6</v>
      </c>
      <c r="AI201">
        <f t="shared" si="161"/>
        <v>3.33333333333334</v>
      </c>
      <c r="AJ201">
        <f t="shared" si="162"/>
        <v>1799.2</v>
      </c>
      <c r="AK201">
        <f t="shared" si="163"/>
        <v>30</v>
      </c>
      <c r="BT201">
        <v>200</v>
      </c>
      <c r="BU201">
        <f t="shared" si="164"/>
        <v>7905</v>
      </c>
      <c r="BV201">
        <f t="shared" si="165"/>
        <v>1581</v>
      </c>
      <c r="BX201">
        <f t="shared" si="166"/>
        <v>29.95</v>
      </c>
      <c r="BY201">
        <f t="shared" si="167"/>
        <v>60</v>
      </c>
      <c r="BZ201">
        <v>200</v>
      </c>
      <c r="CA201">
        <f t="shared" si="168"/>
        <v>9850.7</v>
      </c>
      <c r="CB201">
        <f t="shared" si="169"/>
        <v>1970</v>
      </c>
      <c r="CD201">
        <f t="shared" si="170"/>
        <v>41.567</v>
      </c>
      <c r="CE201">
        <f t="shared" si="171"/>
        <v>83.2</v>
      </c>
      <c r="CF201">
        <f t="shared" si="172"/>
        <v>49.94</v>
      </c>
      <c r="CG201">
        <v>200</v>
      </c>
      <c r="CH201">
        <f t="shared" si="173"/>
        <v>12393</v>
      </c>
      <c r="CI201">
        <f t="shared" si="174"/>
        <v>2478</v>
      </c>
      <c r="CK201">
        <f t="shared" si="175"/>
        <v>49.975</v>
      </c>
      <c r="CL201">
        <f t="shared" si="176"/>
        <v>100</v>
      </c>
      <c r="CM201">
        <f t="shared" si="177"/>
        <v>67.353</v>
      </c>
      <c r="CN201">
        <v>200</v>
      </c>
      <c r="CO201">
        <f t="shared" si="178"/>
        <v>15114</v>
      </c>
      <c r="CP201">
        <f t="shared" si="179"/>
        <v>3024</v>
      </c>
      <c r="CR201">
        <f t="shared" si="180"/>
        <v>64</v>
      </c>
      <c r="CS201">
        <f t="shared" si="181"/>
        <v>128</v>
      </c>
      <c r="CT201">
        <f t="shared" si="182"/>
        <v>85.6</v>
      </c>
    </row>
    <row r="202" spans="1:98">
      <c r="BZ202">
        <v>201</v>
      </c>
      <c r="CA202">
        <f t="shared" si="168"/>
        <v>9860</v>
      </c>
      <c r="CB202">
        <f t="shared" si="169"/>
        <v>1971.86</v>
      </c>
      <c r="CD202">
        <f t="shared" si="170"/>
        <v>41.6</v>
      </c>
      <c r="CE202">
        <f t="shared" si="171"/>
        <v>83.266</v>
      </c>
      <c r="CF202">
        <f t="shared" si="172"/>
        <v>50</v>
      </c>
      <c r="CG202">
        <v>201</v>
      </c>
      <c r="CH202">
        <f t="shared" si="173"/>
        <v>12400</v>
      </c>
      <c r="CI202">
        <f t="shared" si="174"/>
        <v>2479.4</v>
      </c>
      <c r="CK202">
        <f t="shared" si="175"/>
        <v>50</v>
      </c>
      <c r="CL202">
        <f t="shared" si="176"/>
        <v>100.05</v>
      </c>
      <c r="CM202">
        <f t="shared" si="177"/>
        <v>67.4</v>
      </c>
      <c r="CN202">
        <v>201</v>
      </c>
      <c r="CO202">
        <f t="shared" si="178"/>
        <v>15119.6</v>
      </c>
      <c r="CP202">
        <f t="shared" si="179"/>
        <v>3025.12</v>
      </c>
      <c r="CR202">
        <f t="shared" si="180"/>
        <v>64.02</v>
      </c>
      <c r="CS202">
        <f t="shared" si="181"/>
        <v>128.04</v>
      </c>
      <c r="CT202">
        <f t="shared" si="182"/>
        <v>85.638</v>
      </c>
    </row>
    <row r="203" spans="1:98">
      <c r="BZ203">
        <v>202</v>
      </c>
      <c r="CA203">
        <f t="shared" si="168"/>
        <v>9869.3</v>
      </c>
      <c r="CB203">
        <f t="shared" si="169"/>
        <v>1973.72</v>
      </c>
      <c r="CD203">
        <f t="shared" si="170"/>
        <v>41.633</v>
      </c>
      <c r="CE203">
        <f t="shared" si="171"/>
        <v>83.332</v>
      </c>
      <c r="CF203">
        <f t="shared" si="172"/>
        <v>50.06</v>
      </c>
      <c r="CG203">
        <v>202</v>
      </c>
      <c r="CH203">
        <f t="shared" si="173"/>
        <v>12407</v>
      </c>
      <c r="CI203">
        <f t="shared" si="174"/>
        <v>2480.8</v>
      </c>
      <c r="CK203">
        <f t="shared" si="175"/>
        <v>50.025</v>
      </c>
      <c r="CL203">
        <f t="shared" si="176"/>
        <v>100.1</v>
      </c>
      <c r="CM203">
        <f t="shared" si="177"/>
        <v>67.447</v>
      </c>
      <c r="CN203">
        <v>202</v>
      </c>
      <c r="CO203">
        <f t="shared" si="178"/>
        <v>15125.2</v>
      </c>
      <c r="CP203">
        <f t="shared" si="179"/>
        <v>3026.24</v>
      </c>
      <c r="CR203">
        <f t="shared" si="180"/>
        <v>64.04</v>
      </c>
      <c r="CS203">
        <f t="shared" si="181"/>
        <v>128.08</v>
      </c>
      <c r="CT203">
        <f t="shared" si="182"/>
        <v>85.676</v>
      </c>
    </row>
    <row r="204" spans="1:98">
      <c r="BZ204">
        <v>203</v>
      </c>
      <c r="CA204">
        <f t="shared" si="168"/>
        <v>9878.6</v>
      </c>
      <c r="CB204">
        <f t="shared" si="169"/>
        <v>1975.58</v>
      </c>
      <c r="CD204">
        <f t="shared" si="170"/>
        <v>41.666</v>
      </c>
      <c r="CE204">
        <f t="shared" si="171"/>
        <v>83.398</v>
      </c>
      <c r="CF204">
        <f t="shared" si="172"/>
        <v>50.12</v>
      </c>
      <c r="CG204">
        <v>203</v>
      </c>
      <c r="CH204">
        <f t="shared" si="173"/>
        <v>12414</v>
      </c>
      <c r="CI204">
        <f t="shared" si="174"/>
        <v>2482.2</v>
      </c>
      <c r="CK204">
        <f t="shared" si="175"/>
        <v>50.05</v>
      </c>
      <c r="CL204">
        <f t="shared" si="176"/>
        <v>100.15</v>
      </c>
      <c r="CM204">
        <f t="shared" si="177"/>
        <v>67.494</v>
      </c>
      <c r="CN204">
        <v>203</v>
      </c>
      <c r="CO204">
        <f t="shared" si="178"/>
        <v>15130.8</v>
      </c>
      <c r="CP204">
        <f t="shared" si="179"/>
        <v>3027.36</v>
      </c>
      <c r="CR204">
        <f t="shared" si="180"/>
        <v>64.06</v>
      </c>
      <c r="CS204">
        <f t="shared" si="181"/>
        <v>128.12</v>
      </c>
      <c r="CT204">
        <f t="shared" si="182"/>
        <v>85.714</v>
      </c>
    </row>
    <row r="205" spans="1:98">
      <c r="BZ205">
        <v>204</v>
      </c>
      <c r="CA205">
        <f t="shared" si="168"/>
        <v>9887.9</v>
      </c>
      <c r="CB205">
        <f t="shared" si="169"/>
        <v>1977.44</v>
      </c>
      <c r="CD205">
        <f t="shared" si="170"/>
        <v>41.699</v>
      </c>
      <c r="CE205">
        <f t="shared" si="171"/>
        <v>83.464</v>
      </c>
      <c r="CF205">
        <f t="shared" si="172"/>
        <v>50.18</v>
      </c>
      <c r="CG205">
        <v>204</v>
      </c>
      <c r="CH205">
        <f t="shared" si="173"/>
        <v>12421</v>
      </c>
      <c r="CI205">
        <f t="shared" si="174"/>
        <v>2483.6</v>
      </c>
      <c r="CK205">
        <f t="shared" si="175"/>
        <v>50.075</v>
      </c>
      <c r="CL205">
        <f t="shared" si="176"/>
        <v>100.2</v>
      </c>
      <c r="CM205">
        <f t="shared" si="177"/>
        <v>67.541</v>
      </c>
      <c r="CN205">
        <v>204</v>
      </c>
      <c r="CO205">
        <f t="shared" si="178"/>
        <v>15136.4</v>
      </c>
      <c r="CP205">
        <f t="shared" si="179"/>
        <v>3028.48</v>
      </c>
      <c r="CR205">
        <f t="shared" si="180"/>
        <v>64.08</v>
      </c>
      <c r="CS205">
        <f t="shared" si="181"/>
        <v>128.16</v>
      </c>
      <c r="CT205">
        <f t="shared" si="182"/>
        <v>85.752</v>
      </c>
    </row>
    <row r="206" spans="1:98">
      <c r="BZ206">
        <v>205</v>
      </c>
      <c r="CA206">
        <f t="shared" si="168"/>
        <v>9897.2</v>
      </c>
      <c r="CB206">
        <f t="shared" si="169"/>
        <v>1979.3</v>
      </c>
      <c r="CD206">
        <f t="shared" si="170"/>
        <v>41.732</v>
      </c>
      <c r="CE206">
        <f t="shared" si="171"/>
        <v>83.53</v>
      </c>
      <c r="CF206">
        <f t="shared" si="172"/>
        <v>50.24</v>
      </c>
      <c r="CG206">
        <v>205</v>
      </c>
      <c r="CH206">
        <f t="shared" si="173"/>
        <v>12428</v>
      </c>
      <c r="CI206">
        <f t="shared" si="174"/>
        <v>2485</v>
      </c>
      <c r="CK206">
        <f t="shared" si="175"/>
        <v>50.1</v>
      </c>
      <c r="CL206">
        <f t="shared" si="176"/>
        <v>100.25</v>
      </c>
      <c r="CM206">
        <f t="shared" si="177"/>
        <v>67.588</v>
      </c>
      <c r="CN206">
        <v>205</v>
      </c>
      <c r="CO206">
        <f t="shared" si="178"/>
        <v>15142</v>
      </c>
      <c r="CP206">
        <f t="shared" si="179"/>
        <v>3029.6</v>
      </c>
      <c r="CR206">
        <f t="shared" si="180"/>
        <v>64.1</v>
      </c>
      <c r="CS206">
        <f t="shared" si="181"/>
        <v>128.2</v>
      </c>
      <c r="CT206">
        <f t="shared" si="182"/>
        <v>85.79</v>
      </c>
    </row>
    <row r="207" spans="1:98">
      <c r="BZ207">
        <v>206</v>
      </c>
      <c r="CA207">
        <f t="shared" si="168"/>
        <v>9906.5</v>
      </c>
      <c r="CB207">
        <f t="shared" si="169"/>
        <v>1981.16</v>
      </c>
      <c r="CD207">
        <f t="shared" si="170"/>
        <v>41.765</v>
      </c>
      <c r="CE207">
        <f t="shared" si="171"/>
        <v>83.596</v>
      </c>
      <c r="CF207">
        <f t="shared" si="172"/>
        <v>50.3</v>
      </c>
      <c r="CG207">
        <v>206</v>
      </c>
      <c r="CH207">
        <f t="shared" si="173"/>
        <v>12435</v>
      </c>
      <c r="CI207">
        <f t="shared" si="174"/>
        <v>2486.4</v>
      </c>
      <c r="CK207">
        <f t="shared" si="175"/>
        <v>50.125</v>
      </c>
      <c r="CL207">
        <f t="shared" si="176"/>
        <v>100.3</v>
      </c>
      <c r="CM207">
        <f t="shared" si="177"/>
        <v>67.635</v>
      </c>
      <c r="CN207">
        <v>206</v>
      </c>
      <c r="CO207">
        <f t="shared" si="178"/>
        <v>15147.6</v>
      </c>
      <c r="CP207">
        <f t="shared" si="179"/>
        <v>3030.72</v>
      </c>
      <c r="CR207">
        <f t="shared" si="180"/>
        <v>64.12</v>
      </c>
      <c r="CS207">
        <f t="shared" si="181"/>
        <v>128.24</v>
      </c>
      <c r="CT207">
        <f t="shared" si="182"/>
        <v>85.828</v>
      </c>
    </row>
    <row r="208" spans="1:98">
      <c r="BZ208">
        <v>207</v>
      </c>
      <c r="CA208">
        <f t="shared" si="168"/>
        <v>9915.8</v>
      </c>
      <c r="CB208">
        <f t="shared" si="169"/>
        <v>1983.02</v>
      </c>
      <c r="CD208">
        <f t="shared" si="170"/>
        <v>41.798</v>
      </c>
      <c r="CE208">
        <f t="shared" si="171"/>
        <v>83.662</v>
      </c>
      <c r="CF208">
        <f t="shared" si="172"/>
        <v>50.36</v>
      </c>
      <c r="CG208">
        <v>207</v>
      </c>
      <c r="CH208">
        <f t="shared" si="173"/>
        <v>12442</v>
      </c>
      <c r="CI208">
        <f t="shared" si="174"/>
        <v>2487.8</v>
      </c>
      <c r="CK208">
        <f t="shared" si="175"/>
        <v>50.15</v>
      </c>
      <c r="CL208">
        <f t="shared" si="176"/>
        <v>100.35</v>
      </c>
      <c r="CM208">
        <f t="shared" si="177"/>
        <v>67.682</v>
      </c>
      <c r="CN208">
        <v>207</v>
      </c>
      <c r="CO208">
        <f t="shared" si="178"/>
        <v>15153.2</v>
      </c>
      <c r="CP208">
        <f t="shared" si="179"/>
        <v>3031.84</v>
      </c>
      <c r="CR208">
        <f t="shared" si="180"/>
        <v>64.14</v>
      </c>
      <c r="CS208">
        <f t="shared" si="181"/>
        <v>128.28</v>
      </c>
      <c r="CT208">
        <f t="shared" si="182"/>
        <v>85.866</v>
      </c>
    </row>
    <row r="209" spans="1:98">
      <c r="BZ209">
        <v>208</v>
      </c>
      <c r="CA209">
        <f t="shared" si="168"/>
        <v>9925.1</v>
      </c>
      <c r="CB209">
        <f t="shared" si="169"/>
        <v>1984.88</v>
      </c>
      <c r="CD209">
        <f t="shared" si="170"/>
        <v>41.831</v>
      </c>
      <c r="CE209">
        <f t="shared" si="171"/>
        <v>83.728</v>
      </c>
      <c r="CF209">
        <f t="shared" si="172"/>
        <v>50.42</v>
      </c>
      <c r="CG209">
        <v>208</v>
      </c>
      <c r="CH209">
        <f t="shared" si="173"/>
        <v>12449</v>
      </c>
      <c r="CI209">
        <f t="shared" si="174"/>
        <v>2489.2</v>
      </c>
      <c r="CK209">
        <f t="shared" si="175"/>
        <v>50.175</v>
      </c>
      <c r="CL209">
        <f t="shared" si="176"/>
        <v>100.4</v>
      </c>
      <c r="CM209">
        <f t="shared" si="177"/>
        <v>67.729</v>
      </c>
      <c r="CN209">
        <v>208</v>
      </c>
      <c r="CO209">
        <f t="shared" si="178"/>
        <v>15158.8</v>
      </c>
      <c r="CP209">
        <f t="shared" si="179"/>
        <v>3032.96</v>
      </c>
      <c r="CR209">
        <f t="shared" si="180"/>
        <v>64.16</v>
      </c>
      <c r="CS209">
        <f t="shared" si="181"/>
        <v>128.32</v>
      </c>
      <c r="CT209">
        <f t="shared" si="182"/>
        <v>85.904</v>
      </c>
    </row>
    <row r="210" spans="1:98">
      <c r="BZ210">
        <v>209</v>
      </c>
      <c r="CA210">
        <f t="shared" si="168"/>
        <v>9934.4</v>
      </c>
      <c r="CB210">
        <f t="shared" si="169"/>
        <v>1986.74</v>
      </c>
      <c r="CD210">
        <f t="shared" si="170"/>
        <v>41.864</v>
      </c>
      <c r="CE210">
        <f t="shared" si="171"/>
        <v>83.794</v>
      </c>
      <c r="CF210">
        <f t="shared" si="172"/>
        <v>50.48</v>
      </c>
      <c r="CG210">
        <v>209</v>
      </c>
      <c r="CH210">
        <f t="shared" si="173"/>
        <v>12456</v>
      </c>
      <c r="CI210">
        <f t="shared" si="174"/>
        <v>2490.6</v>
      </c>
      <c r="CK210">
        <f t="shared" si="175"/>
        <v>50.2</v>
      </c>
      <c r="CL210">
        <f t="shared" si="176"/>
        <v>100.45</v>
      </c>
      <c r="CM210">
        <f t="shared" si="177"/>
        <v>67.776</v>
      </c>
      <c r="CN210">
        <v>209</v>
      </c>
      <c r="CO210">
        <f t="shared" si="178"/>
        <v>15164.4</v>
      </c>
      <c r="CP210">
        <f t="shared" si="179"/>
        <v>3034.08</v>
      </c>
      <c r="CR210">
        <f t="shared" si="180"/>
        <v>64.18</v>
      </c>
      <c r="CS210">
        <f t="shared" si="181"/>
        <v>128.36</v>
      </c>
      <c r="CT210">
        <f t="shared" si="182"/>
        <v>85.942</v>
      </c>
    </row>
    <row r="211" spans="1:98">
      <c r="BZ211">
        <v>210</v>
      </c>
      <c r="CA211">
        <f t="shared" si="168"/>
        <v>9943.7</v>
      </c>
      <c r="CB211">
        <f t="shared" si="169"/>
        <v>1988.6</v>
      </c>
      <c r="CD211">
        <f t="shared" si="170"/>
        <v>41.897</v>
      </c>
      <c r="CE211">
        <f t="shared" si="171"/>
        <v>83.86</v>
      </c>
      <c r="CF211">
        <f t="shared" si="172"/>
        <v>50.54</v>
      </c>
      <c r="CG211">
        <v>210</v>
      </c>
      <c r="CH211">
        <f t="shared" si="173"/>
        <v>12463</v>
      </c>
      <c r="CI211">
        <f t="shared" si="174"/>
        <v>2492</v>
      </c>
      <c r="CK211">
        <f t="shared" si="175"/>
        <v>50.225</v>
      </c>
      <c r="CL211">
        <f t="shared" si="176"/>
        <v>100.5</v>
      </c>
      <c r="CM211">
        <f t="shared" si="177"/>
        <v>67.823</v>
      </c>
      <c r="CN211">
        <v>210</v>
      </c>
      <c r="CO211">
        <f t="shared" si="178"/>
        <v>15170</v>
      </c>
      <c r="CP211">
        <f t="shared" si="179"/>
        <v>3035.2</v>
      </c>
      <c r="CR211">
        <f t="shared" si="180"/>
        <v>64.2</v>
      </c>
      <c r="CS211">
        <f t="shared" si="181"/>
        <v>128.4</v>
      </c>
      <c r="CT211">
        <f t="shared" si="182"/>
        <v>85.98</v>
      </c>
    </row>
    <row r="212" spans="1:98">
      <c r="BZ212">
        <v>211</v>
      </c>
      <c r="CA212">
        <f t="shared" si="168"/>
        <v>9953</v>
      </c>
      <c r="CB212">
        <f t="shared" si="169"/>
        <v>1990.46</v>
      </c>
      <c r="CD212">
        <f t="shared" si="170"/>
        <v>41.93</v>
      </c>
      <c r="CE212">
        <f t="shared" si="171"/>
        <v>83.926</v>
      </c>
      <c r="CF212">
        <f t="shared" si="172"/>
        <v>50.6</v>
      </c>
      <c r="CG212">
        <v>211</v>
      </c>
      <c r="CH212">
        <f t="shared" si="173"/>
        <v>12470</v>
      </c>
      <c r="CI212">
        <f t="shared" si="174"/>
        <v>2493.4</v>
      </c>
      <c r="CK212">
        <f t="shared" si="175"/>
        <v>50.25</v>
      </c>
      <c r="CL212">
        <f t="shared" si="176"/>
        <v>100.55</v>
      </c>
      <c r="CM212">
        <f t="shared" si="177"/>
        <v>67.87</v>
      </c>
      <c r="CN212">
        <v>211</v>
      </c>
      <c r="CO212">
        <f t="shared" si="178"/>
        <v>15175.6</v>
      </c>
      <c r="CP212">
        <f t="shared" si="179"/>
        <v>3036.32</v>
      </c>
      <c r="CR212">
        <f t="shared" si="180"/>
        <v>64.22</v>
      </c>
      <c r="CS212">
        <f t="shared" si="181"/>
        <v>128.44</v>
      </c>
      <c r="CT212">
        <f t="shared" si="182"/>
        <v>86.018</v>
      </c>
    </row>
    <row r="213" spans="1:98">
      <c r="BZ213">
        <v>212</v>
      </c>
      <c r="CA213">
        <f t="shared" si="168"/>
        <v>9962.3</v>
      </c>
      <c r="CB213">
        <f t="shared" si="169"/>
        <v>1992.32</v>
      </c>
      <c r="CD213">
        <f t="shared" si="170"/>
        <v>41.963</v>
      </c>
      <c r="CE213">
        <f t="shared" si="171"/>
        <v>83.992</v>
      </c>
      <c r="CF213">
        <f t="shared" si="172"/>
        <v>50.66</v>
      </c>
      <c r="CG213">
        <v>212</v>
      </c>
      <c r="CH213">
        <f t="shared" si="173"/>
        <v>12477</v>
      </c>
      <c r="CI213">
        <f t="shared" si="174"/>
        <v>2494.8</v>
      </c>
      <c r="CK213">
        <f t="shared" si="175"/>
        <v>50.275</v>
      </c>
      <c r="CL213">
        <f t="shared" si="176"/>
        <v>100.6</v>
      </c>
      <c r="CM213">
        <f t="shared" si="177"/>
        <v>67.917</v>
      </c>
      <c r="CN213">
        <v>212</v>
      </c>
      <c r="CO213">
        <f t="shared" si="178"/>
        <v>15181.2</v>
      </c>
      <c r="CP213">
        <f t="shared" si="179"/>
        <v>3037.44</v>
      </c>
      <c r="CR213">
        <f t="shared" si="180"/>
        <v>64.24</v>
      </c>
      <c r="CS213">
        <f t="shared" si="181"/>
        <v>128.48</v>
      </c>
      <c r="CT213">
        <f t="shared" si="182"/>
        <v>86.056</v>
      </c>
    </row>
    <row r="214" spans="1:98">
      <c r="A214" s="5" t="s">
        <v>1228</v>
      </c>
      <c r="BZ214">
        <v>213</v>
      </c>
      <c r="CA214">
        <f t="shared" si="168"/>
        <v>9971.6</v>
      </c>
      <c r="CB214">
        <f t="shared" si="169"/>
        <v>1994.18</v>
      </c>
      <c r="CD214">
        <f t="shared" si="170"/>
        <v>41.996</v>
      </c>
      <c r="CE214">
        <f t="shared" si="171"/>
        <v>84.058</v>
      </c>
      <c r="CF214">
        <f t="shared" si="172"/>
        <v>50.72</v>
      </c>
      <c r="CG214">
        <v>213</v>
      </c>
      <c r="CH214">
        <f t="shared" si="173"/>
        <v>12484</v>
      </c>
      <c r="CI214">
        <f t="shared" si="174"/>
        <v>2496.2</v>
      </c>
      <c r="CK214">
        <f t="shared" si="175"/>
        <v>50.3</v>
      </c>
      <c r="CL214">
        <f t="shared" si="176"/>
        <v>100.65</v>
      </c>
      <c r="CM214">
        <f t="shared" si="177"/>
        <v>67.964</v>
      </c>
      <c r="CN214">
        <v>213</v>
      </c>
      <c r="CO214">
        <f t="shared" si="178"/>
        <v>15186.8</v>
      </c>
      <c r="CP214">
        <f t="shared" si="179"/>
        <v>3038.56</v>
      </c>
      <c r="CR214">
        <f t="shared" si="180"/>
        <v>64.26</v>
      </c>
      <c r="CS214">
        <f t="shared" si="181"/>
        <v>128.52</v>
      </c>
      <c r="CT214">
        <f t="shared" si="182"/>
        <v>86.094</v>
      </c>
    </row>
    <row r="215" spans="1:98">
      <c r="A215" s="5" t="s">
        <v>1229</v>
      </c>
      <c r="BZ215">
        <v>214</v>
      </c>
      <c r="CA215">
        <f t="shared" si="168"/>
        <v>9980.9</v>
      </c>
      <c r="CB215">
        <f t="shared" si="169"/>
        <v>1996.04</v>
      </c>
      <c r="CD215">
        <f t="shared" si="170"/>
        <v>42.029</v>
      </c>
      <c r="CE215">
        <f t="shared" si="171"/>
        <v>84.124</v>
      </c>
      <c r="CF215">
        <f t="shared" si="172"/>
        <v>50.78</v>
      </c>
      <c r="CG215">
        <v>214</v>
      </c>
      <c r="CH215">
        <f t="shared" si="173"/>
        <v>12491</v>
      </c>
      <c r="CI215">
        <f t="shared" si="174"/>
        <v>2497.6</v>
      </c>
      <c r="CK215">
        <f t="shared" si="175"/>
        <v>50.325</v>
      </c>
      <c r="CL215">
        <f t="shared" si="176"/>
        <v>100.7</v>
      </c>
      <c r="CM215">
        <f t="shared" si="177"/>
        <v>68.011</v>
      </c>
      <c r="CN215">
        <v>214</v>
      </c>
      <c r="CO215">
        <f t="shared" si="178"/>
        <v>15192.4</v>
      </c>
      <c r="CP215">
        <f t="shared" si="179"/>
        <v>3039.68</v>
      </c>
      <c r="CR215">
        <f t="shared" si="180"/>
        <v>64.28</v>
      </c>
      <c r="CS215">
        <f t="shared" si="181"/>
        <v>128.56</v>
      </c>
      <c r="CT215">
        <f t="shared" si="182"/>
        <v>86.132</v>
      </c>
    </row>
    <row r="216" spans="1:98">
      <c r="A216" s="5" t="s">
        <v>1230</v>
      </c>
      <c r="BZ216">
        <v>215</v>
      </c>
      <c r="CA216">
        <f t="shared" si="168"/>
        <v>9990.2</v>
      </c>
      <c r="CB216">
        <f t="shared" si="169"/>
        <v>1997.9</v>
      </c>
      <c r="CD216">
        <f t="shared" si="170"/>
        <v>42.062</v>
      </c>
      <c r="CE216">
        <f t="shared" si="171"/>
        <v>84.19</v>
      </c>
      <c r="CF216">
        <f t="shared" si="172"/>
        <v>50.84</v>
      </c>
      <c r="CG216">
        <v>215</v>
      </c>
      <c r="CH216">
        <f t="shared" si="173"/>
        <v>12498</v>
      </c>
      <c r="CI216">
        <f t="shared" si="174"/>
        <v>2499</v>
      </c>
      <c r="CK216">
        <f t="shared" si="175"/>
        <v>50.35</v>
      </c>
      <c r="CL216">
        <f t="shared" si="176"/>
        <v>100.75</v>
      </c>
      <c r="CM216">
        <f t="shared" si="177"/>
        <v>68.058</v>
      </c>
      <c r="CN216">
        <v>215</v>
      </c>
      <c r="CO216">
        <f t="shared" si="178"/>
        <v>15198</v>
      </c>
      <c r="CP216">
        <f t="shared" si="179"/>
        <v>3040.8</v>
      </c>
      <c r="CR216">
        <f t="shared" si="180"/>
        <v>64.3</v>
      </c>
      <c r="CS216">
        <f t="shared" si="181"/>
        <v>128.6</v>
      </c>
      <c r="CT216">
        <f t="shared" si="182"/>
        <v>86.17</v>
      </c>
    </row>
    <row r="217" spans="1:98">
      <c r="BZ217">
        <v>216</v>
      </c>
      <c r="CA217">
        <f t="shared" si="168"/>
        <v>9999.5</v>
      </c>
      <c r="CB217">
        <f t="shared" si="169"/>
        <v>1999.76</v>
      </c>
      <c r="CD217">
        <f t="shared" si="170"/>
        <v>42.095</v>
      </c>
      <c r="CE217">
        <f t="shared" si="171"/>
        <v>84.256</v>
      </c>
      <c r="CF217">
        <f t="shared" si="172"/>
        <v>50.9</v>
      </c>
      <c r="CG217">
        <v>216</v>
      </c>
      <c r="CH217">
        <f t="shared" si="173"/>
        <v>12505</v>
      </c>
      <c r="CI217">
        <f t="shared" si="174"/>
        <v>2500.4</v>
      </c>
      <c r="CK217">
        <f t="shared" si="175"/>
        <v>50.375</v>
      </c>
      <c r="CL217">
        <f t="shared" si="176"/>
        <v>100.8</v>
      </c>
      <c r="CM217">
        <f t="shared" si="177"/>
        <v>68.105</v>
      </c>
      <c r="CN217">
        <v>216</v>
      </c>
      <c r="CO217">
        <f t="shared" si="178"/>
        <v>15203.6</v>
      </c>
      <c r="CP217">
        <f t="shared" si="179"/>
        <v>3041.92</v>
      </c>
      <c r="CR217">
        <f t="shared" si="180"/>
        <v>64.32</v>
      </c>
      <c r="CS217">
        <f t="shared" si="181"/>
        <v>128.64</v>
      </c>
      <c r="CT217">
        <f t="shared" si="182"/>
        <v>86.208</v>
      </c>
    </row>
    <row r="218" spans="1:98">
      <c r="BZ218">
        <v>217</v>
      </c>
      <c r="CA218">
        <f t="shared" si="168"/>
        <v>10008.8</v>
      </c>
      <c r="CB218">
        <f t="shared" si="169"/>
        <v>2001.62</v>
      </c>
      <c r="CD218">
        <f t="shared" si="170"/>
        <v>42.128</v>
      </c>
      <c r="CE218">
        <f t="shared" si="171"/>
        <v>84.322</v>
      </c>
      <c r="CF218">
        <f t="shared" si="172"/>
        <v>50.96</v>
      </c>
      <c r="CG218">
        <v>217</v>
      </c>
      <c r="CH218">
        <f t="shared" si="173"/>
        <v>12512</v>
      </c>
      <c r="CI218">
        <f t="shared" si="174"/>
        <v>2501.8</v>
      </c>
      <c r="CK218">
        <f t="shared" si="175"/>
        <v>50.4</v>
      </c>
      <c r="CL218">
        <f t="shared" si="176"/>
        <v>100.85</v>
      </c>
      <c r="CM218">
        <f t="shared" si="177"/>
        <v>68.152</v>
      </c>
      <c r="CN218">
        <v>217</v>
      </c>
      <c r="CO218">
        <f t="shared" si="178"/>
        <v>15209.2</v>
      </c>
      <c r="CP218">
        <f t="shared" si="179"/>
        <v>3043.04</v>
      </c>
      <c r="CR218">
        <f t="shared" si="180"/>
        <v>64.34</v>
      </c>
      <c r="CS218">
        <f t="shared" si="181"/>
        <v>128.68</v>
      </c>
      <c r="CT218">
        <f t="shared" si="182"/>
        <v>86.246</v>
      </c>
    </row>
    <row r="219" spans="1:98">
      <c r="BZ219">
        <v>218</v>
      </c>
      <c r="CA219">
        <f t="shared" si="168"/>
        <v>10018.1</v>
      </c>
      <c r="CB219">
        <f t="shared" si="169"/>
        <v>2003.48</v>
      </c>
      <c r="CD219">
        <f t="shared" si="170"/>
        <v>42.161</v>
      </c>
      <c r="CE219">
        <f t="shared" si="171"/>
        <v>84.388</v>
      </c>
      <c r="CF219">
        <f t="shared" si="172"/>
        <v>51.02</v>
      </c>
      <c r="CG219">
        <v>218</v>
      </c>
      <c r="CH219">
        <f t="shared" si="173"/>
        <v>12519</v>
      </c>
      <c r="CI219">
        <f t="shared" si="174"/>
        <v>2503.2</v>
      </c>
      <c r="CK219">
        <f t="shared" si="175"/>
        <v>50.425</v>
      </c>
      <c r="CL219">
        <f t="shared" si="176"/>
        <v>100.9</v>
      </c>
      <c r="CM219">
        <f t="shared" si="177"/>
        <v>68.199</v>
      </c>
      <c r="CN219">
        <v>218</v>
      </c>
      <c r="CO219">
        <f t="shared" si="178"/>
        <v>15214.8</v>
      </c>
      <c r="CP219">
        <f t="shared" si="179"/>
        <v>3044.16</v>
      </c>
      <c r="CR219">
        <f t="shared" si="180"/>
        <v>64.36</v>
      </c>
      <c r="CS219">
        <f t="shared" si="181"/>
        <v>128.72</v>
      </c>
      <c r="CT219">
        <f t="shared" si="182"/>
        <v>86.284</v>
      </c>
    </row>
    <row r="220" spans="1:98">
      <c r="BZ220">
        <v>219</v>
      </c>
      <c r="CA220">
        <f t="shared" si="168"/>
        <v>10027.4</v>
      </c>
      <c r="CB220">
        <f t="shared" si="169"/>
        <v>2005.34</v>
      </c>
      <c r="CD220">
        <f t="shared" si="170"/>
        <v>42.194</v>
      </c>
      <c r="CE220">
        <f t="shared" si="171"/>
        <v>84.454</v>
      </c>
      <c r="CF220">
        <f t="shared" si="172"/>
        <v>51.08</v>
      </c>
      <c r="CG220">
        <v>219</v>
      </c>
      <c r="CH220">
        <f t="shared" si="173"/>
        <v>12526</v>
      </c>
      <c r="CI220">
        <f t="shared" si="174"/>
        <v>2504.6</v>
      </c>
      <c r="CK220">
        <f t="shared" si="175"/>
        <v>50.45</v>
      </c>
      <c r="CL220">
        <f t="shared" si="176"/>
        <v>100.95</v>
      </c>
      <c r="CM220">
        <f t="shared" si="177"/>
        <v>68.246</v>
      </c>
      <c r="CN220">
        <v>219</v>
      </c>
      <c r="CO220">
        <f t="shared" si="178"/>
        <v>15220.4</v>
      </c>
      <c r="CP220">
        <f t="shared" si="179"/>
        <v>3045.28</v>
      </c>
      <c r="CR220">
        <f t="shared" si="180"/>
        <v>64.38</v>
      </c>
      <c r="CS220">
        <f t="shared" si="181"/>
        <v>128.76</v>
      </c>
      <c r="CT220">
        <f t="shared" si="182"/>
        <v>86.322</v>
      </c>
    </row>
    <row r="221" spans="1:98">
      <c r="A221" s="5" t="s">
        <v>1231</v>
      </c>
      <c r="F221" s="5" t="s">
        <v>1232</v>
      </c>
      <c r="G221" s="5" t="s">
        <v>1067</v>
      </c>
      <c r="H221" s="5" t="s">
        <v>1068</v>
      </c>
      <c r="I221" s="5" t="s">
        <v>1069</v>
      </c>
      <c r="J221" s="5" t="s">
        <v>1176</v>
      </c>
      <c r="BZ221">
        <v>220</v>
      </c>
      <c r="CA221">
        <f t="shared" si="168"/>
        <v>10036.7</v>
      </c>
      <c r="CB221">
        <f t="shared" si="169"/>
        <v>2007.2</v>
      </c>
      <c r="CD221">
        <f t="shared" si="170"/>
        <v>42.227</v>
      </c>
      <c r="CE221">
        <f t="shared" si="171"/>
        <v>84.52</v>
      </c>
      <c r="CF221">
        <f t="shared" si="172"/>
        <v>51.14</v>
      </c>
      <c r="CG221">
        <v>220</v>
      </c>
      <c r="CH221">
        <f t="shared" si="173"/>
        <v>12533</v>
      </c>
      <c r="CI221">
        <f t="shared" si="174"/>
        <v>2506</v>
      </c>
      <c r="CK221">
        <f t="shared" si="175"/>
        <v>50.475</v>
      </c>
      <c r="CL221">
        <f t="shared" si="176"/>
        <v>101</v>
      </c>
      <c r="CM221">
        <f t="shared" si="177"/>
        <v>68.293</v>
      </c>
      <c r="CN221">
        <v>220</v>
      </c>
      <c r="CO221">
        <f t="shared" si="178"/>
        <v>15226</v>
      </c>
      <c r="CP221">
        <f t="shared" si="179"/>
        <v>3046.4</v>
      </c>
      <c r="CR221">
        <f t="shared" si="180"/>
        <v>64.4</v>
      </c>
      <c r="CS221">
        <f t="shared" si="181"/>
        <v>128.8</v>
      </c>
      <c r="CT221">
        <f t="shared" si="182"/>
        <v>86.36</v>
      </c>
    </row>
    <row r="222" spans="1:98">
      <c r="G222">
        <f>N151</f>
        <v>41276</v>
      </c>
      <c r="H222">
        <f>O151</f>
        <v>8255.2</v>
      </c>
      <c r="I222">
        <f>P151</f>
        <v>8255.2</v>
      </c>
      <c r="J222">
        <f>U151</f>
        <v>0.4172</v>
      </c>
      <c r="BZ222">
        <v>221</v>
      </c>
      <c r="CA222">
        <f t="shared" si="168"/>
        <v>10046</v>
      </c>
      <c r="CB222">
        <f t="shared" si="169"/>
        <v>2009.06</v>
      </c>
      <c r="CD222">
        <f t="shared" si="170"/>
        <v>42.26</v>
      </c>
      <c r="CE222">
        <f t="shared" si="171"/>
        <v>84.586</v>
      </c>
      <c r="CF222">
        <f t="shared" si="172"/>
        <v>51.2</v>
      </c>
      <c r="CG222">
        <v>221</v>
      </c>
      <c r="CH222">
        <f t="shared" si="173"/>
        <v>12540</v>
      </c>
      <c r="CI222">
        <f t="shared" si="174"/>
        <v>2507.4</v>
      </c>
      <c r="CK222">
        <f t="shared" si="175"/>
        <v>50.5</v>
      </c>
      <c r="CL222">
        <f t="shared" si="176"/>
        <v>101.05</v>
      </c>
      <c r="CM222">
        <f t="shared" si="177"/>
        <v>68.34</v>
      </c>
      <c r="CN222">
        <v>221</v>
      </c>
      <c r="CO222">
        <f t="shared" si="178"/>
        <v>15231.6</v>
      </c>
      <c r="CP222">
        <f t="shared" si="179"/>
        <v>3047.52</v>
      </c>
      <c r="CR222">
        <f t="shared" si="180"/>
        <v>64.42</v>
      </c>
      <c r="CS222">
        <f t="shared" si="181"/>
        <v>128.84</v>
      </c>
      <c r="CT222">
        <f t="shared" si="182"/>
        <v>86.398</v>
      </c>
    </row>
    <row r="223" spans="1:98">
      <c r="G223">
        <v>24505</v>
      </c>
      <c r="H223">
        <v>4901</v>
      </c>
      <c r="I223">
        <v>4014</v>
      </c>
      <c r="BZ223">
        <v>222</v>
      </c>
      <c r="CA223">
        <f t="shared" si="168"/>
        <v>10055.3</v>
      </c>
      <c r="CB223">
        <f t="shared" si="169"/>
        <v>2010.92</v>
      </c>
      <c r="CD223">
        <f t="shared" si="170"/>
        <v>42.293</v>
      </c>
      <c r="CE223">
        <f t="shared" si="171"/>
        <v>84.652</v>
      </c>
      <c r="CF223">
        <f t="shared" si="172"/>
        <v>51.26</v>
      </c>
      <c r="CG223">
        <v>222</v>
      </c>
      <c r="CH223">
        <f t="shared" si="173"/>
        <v>12547</v>
      </c>
      <c r="CI223">
        <f t="shared" si="174"/>
        <v>2508.8</v>
      </c>
      <c r="CK223">
        <f t="shared" si="175"/>
        <v>50.525</v>
      </c>
      <c r="CL223">
        <f t="shared" si="176"/>
        <v>101.1</v>
      </c>
      <c r="CM223">
        <f t="shared" si="177"/>
        <v>68.387</v>
      </c>
      <c r="CN223">
        <v>222</v>
      </c>
      <c r="CO223">
        <f t="shared" si="178"/>
        <v>15237.2</v>
      </c>
      <c r="CP223">
        <f t="shared" si="179"/>
        <v>3048.64</v>
      </c>
      <c r="CR223">
        <f t="shared" si="180"/>
        <v>64.44</v>
      </c>
      <c r="CS223">
        <f t="shared" si="181"/>
        <v>128.88</v>
      </c>
      <c r="CT223">
        <f t="shared" si="182"/>
        <v>86.436</v>
      </c>
    </row>
    <row r="224" spans="1:98">
      <c r="F224" s="5" t="s">
        <v>1233</v>
      </c>
      <c r="G224">
        <f>G222/G223</f>
        <v>1.68439094062436</v>
      </c>
      <c r="H224">
        <f>H222/H223</f>
        <v>1.68439094062436</v>
      </c>
      <c r="I224">
        <f>I222/I223</f>
        <v>2.05660189337319</v>
      </c>
      <c r="BZ224">
        <v>223</v>
      </c>
      <c r="CA224">
        <f t="shared" si="168"/>
        <v>10064.6</v>
      </c>
      <c r="CB224">
        <f t="shared" si="169"/>
        <v>2012.78</v>
      </c>
      <c r="CD224">
        <f t="shared" si="170"/>
        <v>42.326</v>
      </c>
      <c r="CE224">
        <f t="shared" si="171"/>
        <v>84.718</v>
      </c>
      <c r="CF224">
        <f t="shared" si="172"/>
        <v>51.32</v>
      </c>
      <c r="CG224">
        <v>223</v>
      </c>
      <c r="CH224">
        <f t="shared" si="173"/>
        <v>12554</v>
      </c>
      <c r="CI224">
        <f t="shared" si="174"/>
        <v>2510.2</v>
      </c>
      <c r="CK224">
        <f t="shared" si="175"/>
        <v>50.55</v>
      </c>
      <c r="CL224">
        <f t="shared" si="176"/>
        <v>101.15</v>
      </c>
      <c r="CM224">
        <f t="shared" si="177"/>
        <v>68.434</v>
      </c>
      <c r="CN224">
        <v>223</v>
      </c>
      <c r="CO224">
        <f t="shared" si="178"/>
        <v>15242.8</v>
      </c>
      <c r="CP224">
        <f t="shared" si="179"/>
        <v>3049.76</v>
      </c>
      <c r="CR224">
        <f t="shared" si="180"/>
        <v>64.46</v>
      </c>
      <c r="CS224">
        <f t="shared" si="181"/>
        <v>128.92</v>
      </c>
      <c r="CT224">
        <f t="shared" si="182"/>
        <v>86.474</v>
      </c>
    </row>
    <row r="225" spans="78:98">
      <c r="BZ225">
        <v>224</v>
      </c>
      <c r="CA225">
        <f t="shared" si="168"/>
        <v>10073.9</v>
      </c>
      <c r="CB225">
        <f t="shared" si="169"/>
        <v>2014.64</v>
      </c>
      <c r="CD225">
        <f t="shared" si="170"/>
        <v>42.359</v>
      </c>
      <c r="CE225">
        <f t="shared" si="171"/>
        <v>84.784</v>
      </c>
      <c r="CF225">
        <f t="shared" si="172"/>
        <v>51.38</v>
      </c>
      <c r="CG225">
        <v>224</v>
      </c>
      <c r="CH225">
        <f t="shared" si="173"/>
        <v>12561</v>
      </c>
      <c r="CI225">
        <f t="shared" si="174"/>
        <v>2511.6</v>
      </c>
      <c r="CK225">
        <f t="shared" si="175"/>
        <v>50.575</v>
      </c>
      <c r="CL225">
        <f t="shared" si="176"/>
        <v>101.2</v>
      </c>
      <c r="CM225">
        <f t="shared" si="177"/>
        <v>68.481</v>
      </c>
      <c r="CN225">
        <v>224</v>
      </c>
      <c r="CO225">
        <f t="shared" si="178"/>
        <v>15248.4</v>
      </c>
      <c r="CP225">
        <f t="shared" si="179"/>
        <v>3050.88</v>
      </c>
      <c r="CR225">
        <f t="shared" si="180"/>
        <v>64.48</v>
      </c>
      <c r="CS225">
        <f t="shared" si="181"/>
        <v>128.96</v>
      </c>
      <c r="CT225">
        <f t="shared" si="182"/>
        <v>86.512</v>
      </c>
    </row>
    <row r="226" spans="78:98">
      <c r="BZ226">
        <v>225</v>
      </c>
      <c r="CA226">
        <f t="shared" si="168"/>
        <v>10083.2</v>
      </c>
      <c r="CB226">
        <f t="shared" si="169"/>
        <v>2016.5</v>
      </c>
      <c r="CD226">
        <f t="shared" si="170"/>
        <v>42.392</v>
      </c>
      <c r="CE226">
        <f t="shared" si="171"/>
        <v>84.85</v>
      </c>
      <c r="CF226">
        <f t="shared" si="172"/>
        <v>51.44</v>
      </c>
      <c r="CG226">
        <v>225</v>
      </c>
      <c r="CH226">
        <f t="shared" si="173"/>
        <v>12568</v>
      </c>
      <c r="CI226">
        <f t="shared" si="174"/>
        <v>2513</v>
      </c>
      <c r="CK226">
        <f t="shared" si="175"/>
        <v>50.6</v>
      </c>
      <c r="CL226">
        <f t="shared" si="176"/>
        <v>101.25</v>
      </c>
      <c r="CM226">
        <f t="shared" si="177"/>
        <v>68.528</v>
      </c>
      <c r="CN226">
        <v>225</v>
      </c>
      <c r="CO226">
        <f t="shared" si="178"/>
        <v>15254</v>
      </c>
      <c r="CP226">
        <f t="shared" si="179"/>
        <v>3052</v>
      </c>
      <c r="CR226">
        <f t="shared" si="180"/>
        <v>64.5</v>
      </c>
      <c r="CS226">
        <f t="shared" si="181"/>
        <v>129</v>
      </c>
      <c r="CT226">
        <f t="shared" si="182"/>
        <v>86.55</v>
      </c>
    </row>
    <row r="227" spans="78:98">
      <c r="BZ227">
        <v>226</v>
      </c>
      <c r="CA227">
        <f t="shared" si="168"/>
        <v>10092.5</v>
      </c>
      <c r="CB227">
        <f t="shared" si="169"/>
        <v>2018.36</v>
      </c>
      <c r="CD227">
        <f t="shared" si="170"/>
        <v>42.425</v>
      </c>
      <c r="CE227">
        <f t="shared" si="171"/>
        <v>84.916</v>
      </c>
      <c r="CF227">
        <f t="shared" si="172"/>
        <v>51.5</v>
      </c>
      <c r="CG227">
        <v>226</v>
      </c>
      <c r="CH227">
        <f t="shared" si="173"/>
        <v>12575</v>
      </c>
      <c r="CI227">
        <f t="shared" si="174"/>
        <v>2514.4</v>
      </c>
      <c r="CK227">
        <f t="shared" si="175"/>
        <v>50.625</v>
      </c>
      <c r="CL227">
        <f t="shared" si="176"/>
        <v>101.3</v>
      </c>
      <c r="CM227">
        <f t="shared" si="177"/>
        <v>68.575</v>
      </c>
      <c r="CN227">
        <v>226</v>
      </c>
      <c r="CO227">
        <f t="shared" si="178"/>
        <v>15259.6</v>
      </c>
      <c r="CP227">
        <f t="shared" si="179"/>
        <v>3053.12</v>
      </c>
      <c r="CR227">
        <f t="shared" si="180"/>
        <v>64.52</v>
      </c>
      <c r="CS227">
        <f t="shared" si="181"/>
        <v>129.04</v>
      </c>
      <c r="CT227">
        <f t="shared" si="182"/>
        <v>86.588</v>
      </c>
    </row>
    <row r="228" spans="78:98">
      <c r="BZ228">
        <v>227</v>
      </c>
      <c r="CA228">
        <f t="shared" si="168"/>
        <v>10101.8</v>
      </c>
      <c r="CB228">
        <f t="shared" si="169"/>
        <v>2020.22</v>
      </c>
      <c r="CD228">
        <f t="shared" si="170"/>
        <v>42.458</v>
      </c>
      <c r="CE228">
        <f t="shared" si="171"/>
        <v>84.982</v>
      </c>
      <c r="CF228">
        <f t="shared" si="172"/>
        <v>51.56</v>
      </c>
      <c r="CG228">
        <v>227</v>
      </c>
      <c r="CH228">
        <f t="shared" si="173"/>
        <v>12582</v>
      </c>
      <c r="CI228">
        <f t="shared" si="174"/>
        <v>2515.8</v>
      </c>
      <c r="CK228">
        <f t="shared" si="175"/>
        <v>50.65</v>
      </c>
      <c r="CL228">
        <f t="shared" si="176"/>
        <v>101.35</v>
      </c>
      <c r="CM228">
        <f t="shared" si="177"/>
        <v>68.622</v>
      </c>
      <c r="CN228">
        <v>227</v>
      </c>
      <c r="CO228">
        <f t="shared" si="178"/>
        <v>15265.2</v>
      </c>
      <c r="CP228">
        <f t="shared" si="179"/>
        <v>3054.24</v>
      </c>
      <c r="CR228">
        <f t="shared" si="180"/>
        <v>64.54</v>
      </c>
      <c r="CS228">
        <f t="shared" si="181"/>
        <v>129.08</v>
      </c>
      <c r="CT228">
        <f t="shared" si="182"/>
        <v>86.626</v>
      </c>
    </row>
    <row r="229" spans="78:98">
      <c r="BZ229">
        <v>228</v>
      </c>
      <c r="CA229">
        <f t="shared" si="168"/>
        <v>10111.1</v>
      </c>
      <c r="CB229">
        <f t="shared" si="169"/>
        <v>2022.08</v>
      </c>
      <c r="CD229">
        <f t="shared" si="170"/>
        <v>42.491</v>
      </c>
      <c r="CE229">
        <f t="shared" si="171"/>
        <v>85.048</v>
      </c>
      <c r="CF229">
        <f t="shared" si="172"/>
        <v>51.62</v>
      </c>
      <c r="CG229">
        <v>228</v>
      </c>
      <c r="CH229">
        <f t="shared" si="173"/>
        <v>12589</v>
      </c>
      <c r="CI229">
        <f t="shared" si="174"/>
        <v>2517.2</v>
      </c>
      <c r="CK229">
        <f t="shared" si="175"/>
        <v>50.675</v>
      </c>
      <c r="CL229">
        <f t="shared" si="176"/>
        <v>101.4</v>
      </c>
      <c r="CM229">
        <f t="shared" si="177"/>
        <v>68.669</v>
      </c>
      <c r="CN229">
        <v>228</v>
      </c>
      <c r="CO229">
        <f t="shared" si="178"/>
        <v>15270.8</v>
      </c>
      <c r="CP229">
        <f t="shared" si="179"/>
        <v>3055.36</v>
      </c>
      <c r="CR229">
        <f t="shared" si="180"/>
        <v>64.56</v>
      </c>
      <c r="CS229">
        <f t="shared" si="181"/>
        <v>129.12</v>
      </c>
      <c r="CT229">
        <f t="shared" si="182"/>
        <v>86.664</v>
      </c>
    </row>
    <row r="230" spans="78:98">
      <c r="BZ230">
        <v>229</v>
      </c>
      <c r="CA230">
        <f t="shared" si="168"/>
        <v>10120.4</v>
      </c>
      <c r="CB230">
        <f t="shared" si="169"/>
        <v>2023.94</v>
      </c>
      <c r="CD230">
        <f t="shared" si="170"/>
        <v>42.524</v>
      </c>
      <c r="CE230">
        <f t="shared" si="171"/>
        <v>85.114</v>
      </c>
      <c r="CF230">
        <f t="shared" si="172"/>
        <v>51.68</v>
      </c>
      <c r="CG230">
        <v>229</v>
      </c>
      <c r="CH230">
        <f t="shared" si="173"/>
        <v>12596</v>
      </c>
      <c r="CI230">
        <f t="shared" si="174"/>
        <v>2518.6</v>
      </c>
      <c r="CK230">
        <f t="shared" si="175"/>
        <v>50.7</v>
      </c>
      <c r="CL230">
        <f t="shared" si="176"/>
        <v>101.45</v>
      </c>
      <c r="CM230">
        <f t="shared" si="177"/>
        <v>68.716</v>
      </c>
      <c r="CN230">
        <v>229</v>
      </c>
      <c r="CO230">
        <f t="shared" si="178"/>
        <v>15276.4</v>
      </c>
      <c r="CP230">
        <f t="shared" si="179"/>
        <v>3056.48</v>
      </c>
      <c r="CR230">
        <f t="shared" si="180"/>
        <v>64.58</v>
      </c>
      <c r="CS230">
        <f t="shared" si="181"/>
        <v>129.16</v>
      </c>
      <c r="CT230">
        <f t="shared" si="182"/>
        <v>86.702</v>
      </c>
    </row>
    <row r="231" spans="78:98">
      <c r="BZ231">
        <v>230</v>
      </c>
      <c r="CA231">
        <f t="shared" si="168"/>
        <v>10129.7</v>
      </c>
      <c r="CB231">
        <f t="shared" si="169"/>
        <v>2025.8</v>
      </c>
      <c r="CD231">
        <f t="shared" si="170"/>
        <v>42.557</v>
      </c>
      <c r="CE231">
        <f t="shared" si="171"/>
        <v>85.18</v>
      </c>
      <c r="CF231">
        <f t="shared" si="172"/>
        <v>51.74</v>
      </c>
      <c r="CG231">
        <v>230</v>
      </c>
      <c r="CH231">
        <f t="shared" si="173"/>
        <v>12603</v>
      </c>
      <c r="CI231">
        <f t="shared" si="174"/>
        <v>2520</v>
      </c>
      <c r="CK231">
        <f t="shared" si="175"/>
        <v>50.725</v>
      </c>
      <c r="CL231">
        <f t="shared" si="176"/>
        <v>101.5</v>
      </c>
      <c r="CM231">
        <f t="shared" si="177"/>
        <v>68.763</v>
      </c>
      <c r="CN231">
        <v>230</v>
      </c>
      <c r="CO231">
        <f t="shared" si="178"/>
        <v>15282</v>
      </c>
      <c r="CP231">
        <f t="shared" si="179"/>
        <v>3057.6</v>
      </c>
      <c r="CR231">
        <f t="shared" si="180"/>
        <v>64.6</v>
      </c>
      <c r="CS231">
        <f t="shared" si="181"/>
        <v>129.2</v>
      </c>
      <c r="CT231">
        <f t="shared" si="182"/>
        <v>86.74</v>
      </c>
    </row>
    <row r="232" spans="78:98">
      <c r="BZ232">
        <v>231</v>
      </c>
      <c r="CA232">
        <f t="shared" si="168"/>
        <v>10139</v>
      </c>
      <c r="CB232">
        <f t="shared" si="169"/>
        <v>2027.66</v>
      </c>
      <c r="CD232">
        <f t="shared" si="170"/>
        <v>42.59</v>
      </c>
      <c r="CE232">
        <f t="shared" si="171"/>
        <v>85.246</v>
      </c>
      <c r="CF232">
        <f t="shared" si="172"/>
        <v>51.8</v>
      </c>
      <c r="CG232">
        <v>231</v>
      </c>
      <c r="CH232">
        <f t="shared" si="173"/>
        <v>12610</v>
      </c>
      <c r="CI232">
        <f t="shared" si="174"/>
        <v>2521.4</v>
      </c>
      <c r="CK232">
        <f t="shared" si="175"/>
        <v>50.75</v>
      </c>
      <c r="CL232">
        <f t="shared" si="176"/>
        <v>101.55</v>
      </c>
      <c r="CM232">
        <f t="shared" si="177"/>
        <v>68.81</v>
      </c>
      <c r="CN232">
        <v>231</v>
      </c>
      <c r="CO232">
        <f t="shared" si="178"/>
        <v>15287.6</v>
      </c>
      <c r="CP232">
        <f t="shared" si="179"/>
        <v>3058.72</v>
      </c>
      <c r="CR232">
        <f t="shared" si="180"/>
        <v>64.62</v>
      </c>
      <c r="CS232">
        <f t="shared" si="181"/>
        <v>129.24</v>
      </c>
      <c r="CT232">
        <f t="shared" si="182"/>
        <v>86.778</v>
      </c>
    </row>
    <row r="233" spans="78:98">
      <c r="BZ233">
        <v>232</v>
      </c>
      <c r="CA233">
        <f t="shared" si="168"/>
        <v>10148.3</v>
      </c>
      <c r="CB233">
        <f t="shared" si="169"/>
        <v>2029.52</v>
      </c>
      <c r="CD233">
        <f t="shared" si="170"/>
        <v>42.623</v>
      </c>
      <c r="CE233">
        <f t="shared" si="171"/>
        <v>85.312</v>
      </c>
      <c r="CF233">
        <f t="shared" si="172"/>
        <v>51.86</v>
      </c>
      <c r="CG233">
        <v>232</v>
      </c>
      <c r="CH233">
        <f t="shared" si="173"/>
        <v>12617</v>
      </c>
      <c r="CI233">
        <f t="shared" si="174"/>
        <v>2522.8</v>
      </c>
      <c r="CK233">
        <f t="shared" si="175"/>
        <v>50.775</v>
      </c>
      <c r="CL233">
        <f t="shared" si="176"/>
        <v>101.6</v>
      </c>
      <c r="CM233">
        <f t="shared" si="177"/>
        <v>68.857</v>
      </c>
      <c r="CN233">
        <v>232</v>
      </c>
      <c r="CO233">
        <f t="shared" si="178"/>
        <v>15293.2</v>
      </c>
      <c r="CP233">
        <f t="shared" si="179"/>
        <v>3059.84</v>
      </c>
      <c r="CR233">
        <f t="shared" si="180"/>
        <v>64.64</v>
      </c>
      <c r="CS233">
        <f t="shared" si="181"/>
        <v>129.28</v>
      </c>
      <c r="CT233">
        <f t="shared" si="182"/>
        <v>86.816</v>
      </c>
    </row>
    <row r="234" spans="78:98">
      <c r="BZ234">
        <v>233</v>
      </c>
      <c r="CA234">
        <f t="shared" si="168"/>
        <v>10157.6</v>
      </c>
      <c r="CB234">
        <f t="shared" si="169"/>
        <v>2031.38</v>
      </c>
      <c r="CD234">
        <f t="shared" si="170"/>
        <v>42.656</v>
      </c>
      <c r="CE234">
        <f t="shared" si="171"/>
        <v>85.378</v>
      </c>
      <c r="CF234">
        <f t="shared" si="172"/>
        <v>51.92</v>
      </c>
      <c r="CG234">
        <v>233</v>
      </c>
      <c r="CH234">
        <f t="shared" si="173"/>
        <v>12624</v>
      </c>
      <c r="CI234">
        <f t="shared" si="174"/>
        <v>2524.2</v>
      </c>
      <c r="CK234">
        <f t="shared" si="175"/>
        <v>50.8</v>
      </c>
      <c r="CL234">
        <f t="shared" si="176"/>
        <v>101.65</v>
      </c>
      <c r="CM234">
        <f t="shared" si="177"/>
        <v>68.904</v>
      </c>
      <c r="CN234">
        <v>233</v>
      </c>
      <c r="CO234">
        <f t="shared" si="178"/>
        <v>15298.8</v>
      </c>
      <c r="CP234">
        <f t="shared" si="179"/>
        <v>3060.96</v>
      </c>
      <c r="CR234">
        <f t="shared" si="180"/>
        <v>64.66</v>
      </c>
      <c r="CS234">
        <f t="shared" si="181"/>
        <v>129.32</v>
      </c>
      <c r="CT234">
        <f t="shared" si="182"/>
        <v>86.854</v>
      </c>
    </row>
    <row r="235" spans="78:98">
      <c r="BZ235">
        <v>234</v>
      </c>
      <c r="CA235">
        <f t="shared" si="168"/>
        <v>10166.9</v>
      </c>
      <c r="CB235">
        <f t="shared" si="169"/>
        <v>2033.24</v>
      </c>
      <c r="CD235">
        <f t="shared" si="170"/>
        <v>42.689</v>
      </c>
      <c r="CE235">
        <f t="shared" si="171"/>
        <v>85.444</v>
      </c>
      <c r="CF235">
        <f t="shared" si="172"/>
        <v>51.98</v>
      </c>
      <c r="CG235">
        <v>234</v>
      </c>
      <c r="CH235">
        <f t="shared" si="173"/>
        <v>12631</v>
      </c>
      <c r="CI235">
        <f t="shared" si="174"/>
        <v>2525.6</v>
      </c>
      <c r="CK235">
        <f t="shared" si="175"/>
        <v>50.825</v>
      </c>
      <c r="CL235">
        <f t="shared" si="176"/>
        <v>101.7</v>
      </c>
      <c r="CM235">
        <f t="shared" si="177"/>
        <v>68.951</v>
      </c>
      <c r="CN235">
        <v>234</v>
      </c>
      <c r="CO235">
        <f t="shared" si="178"/>
        <v>15304.4</v>
      </c>
      <c r="CP235">
        <f t="shared" si="179"/>
        <v>3062.08</v>
      </c>
      <c r="CR235">
        <f t="shared" si="180"/>
        <v>64.68</v>
      </c>
      <c r="CS235">
        <f t="shared" si="181"/>
        <v>129.36</v>
      </c>
      <c r="CT235">
        <f t="shared" si="182"/>
        <v>86.892</v>
      </c>
    </row>
    <row r="236" spans="78:98">
      <c r="BZ236">
        <v>235</v>
      </c>
      <c r="CA236">
        <f t="shared" si="168"/>
        <v>10176.2</v>
      </c>
      <c r="CB236">
        <f t="shared" si="169"/>
        <v>2035.1</v>
      </c>
      <c r="CD236">
        <f t="shared" si="170"/>
        <v>42.722</v>
      </c>
      <c r="CE236">
        <f t="shared" si="171"/>
        <v>85.51</v>
      </c>
      <c r="CF236">
        <f t="shared" si="172"/>
        <v>52.04</v>
      </c>
      <c r="CG236">
        <v>235</v>
      </c>
      <c r="CH236">
        <f t="shared" si="173"/>
        <v>12638</v>
      </c>
      <c r="CI236">
        <f t="shared" si="174"/>
        <v>2527</v>
      </c>
      <c r="CK236">
        <f t="shared" si="175"/>
        <v>50.85</v>
      </c>
      <c r="CL236">
        <f t="shared" si="176"/>
        <v>101.75</v>
      </c>
      <c r="CM236">
        <f t="shared" si="177"/>
        <v>68.998</v>
      </c>
      <c r="CN236">
        <v>235</v>
      </c>
      <c r="CO236">
        <f t="shared" si="178"/>
        <v>15310</v>
      </c>
      <c r="CP236">
        <f t="shared" si="179"/>
        <v>3063.2</v>
      </c>
      <c r="CR236">
        <f t="shared" si="180"/>
        <v>64.7</v>
      </c>
      <c r="CS236">
        <f t="shared" si="181"/>
        <v>129.4</v>
      </c>
      <c r="CT236">
        <f t="shared" si="182"/>
        <v>86.93</v>
      </c>
    </row>
    <row r="237" spans="78:98">
      <c r="BZ237">
        <v>236</v>
      </c>
      <c r="CA237">
        <f t="shared" si="168"/>
        <v>10185.5</v>
      </c>
      <c r="CB237">
        <f t="shared" si="169"/>
        <v>2036.96</v>
      </c>
      <c r="CD237">
        <f t="shared" si="170"/>
        <v>42.755</v>
      </c>
      <c r="CE237">
        <f t="shared" si="171"/>
        <v>85.576</v>
      </c>
      <c r="CF237">
        <f t="shared" si="172"/>
        <v>52.1</v>
      </c>
      <c r="CG237">
        <v>236</v>
      </c>
      <c r="CH237">
        <f t="shared" si="173"/>
        <v>12645</v>
      </c>
      <c r="CI237">
        <f t="shared" si="174"/>
        <v>2528.4</v>
      </c>
      <c r="CK237">
        <f t="shared" si="175"/>
        <v>50.875</v>
      </c>
      <c r="CL237">
        <f t="shared" si="176"/>
        <v>101.8</v>
      </c>
      <c r="CM237">
        <f t="shared" si="177"/>
        <v>69.045</v>
      </c>
      <c r="CN237">
        <v>236</v>
      </c>
      <c r="CO237">
        <f t="shared" si="178"/>
        <v>15315.6</v>
      </c>
      <c r="CP237">
        <f t="shared" si="179"/>
        <v>3064.32</v>
      </c>
      <c r="CR237">
        <f t="shared" si="180"/>
        <v>64.72</v>
      </c>
      <c r="CS237">
        <f t="shared" si="181"/>
        <v>129.44</v>
      </c>
      <c r="CT237">
        <f t="shared" si="182"/>
        <v>86.968</v>
      </c>
    </row>
    <row r="238" spans="78:98">
      <c r="BZ238">
        <v>237</v>
      </c>
      <c r="CA238">
        <f t="shared" si="168"/>
        <v>10194.8</v>
      </c>
      <c r="CB238">
        <f t="shared" si="169"/>
        <v>2038.82</v>
      </c>
      <c r="CD238">
        <f t="shared" si="170"/>
        <v>42.788</v>
      </c>
      <c r="CE238">
        <f t="shared" si="171"/>
        <v>85.642</v>
      </c>
      <c r="CF238">
        <f t="shared" si="172"/>
        <v>52.16</v>
      </c>
      <c r="CG238">
        <v>237</v>
      </c>
      <c r="CH238">
        <f t="shared" si="173"/>
        <v>12652</v>
      </c>
      <c r="CI238">
        <f t="shared" si="174"/>
        <v>2529.8</v>
      </c>
      <c r="CK238">
        <f t="shared" si="175"/>
        <v>50.9</v>
      </c>
      <c r="CL238">
        <f t="shared" si="176"/>
        <v>101.85</v>
      </c>
      <c r="CM238">
        <f t="shared" si="177"/>
        <v>69.092</v>
      </c>
      <c r="CN238">
        <v>237</v>
      </c>
      <c r="CO238">
        <f t="shared" si="178"/>
        <v>15321.2</v>
      </c>
      <c r="CP238">
        <f t="shared" si="179"/>
        <v>3065.44</v>
      </c>
      <c r="CR238">
        <f t="shared" si="180"/>
        <v>64.74</v>
      </c>
      <c r="CS238">
        <f t="shared" si="181"/>
        <v>129.48</v>
      </c>
      <c r="CT238">
        <f t="shared" si="182"/>
        <v>87.006</v>
      </c>
    </row>
    <row r="239" spans="78:98">
      <c r="BZ239">
        <v>238</v>
      </c>
      <c r="CA239">
        <f t="shared" si="168"/>
        <v>10204.1</v>
      </c>
      <c r="CB239">
        <f t="shared" si="169"/>
        <v>2040.68</v>
      </c>
      <c r="CD239">
        <f t="shared" si="170"/>
        <v>42.821</v>
      </c>
      <c r="CE239">
        <f t="shared" si="171"/>
        <v>85.708</v>
      </c>
      <c r="CF239">
        <f t="shared" si="172"/>
        <v>52.22</v>
      </c>
      <c r="CG239">
        <v>238</v>
      </c>
      <c r="CH239">
        <f t="shared" si="173"/>
        <v>12659</v>
      </c>
      <c r="CI239">
        <f t="shared" si="174"/>
        <v>2531.2</v>
      </c>
      <c r="CK239">
        <f t="shared" si="175"/>
        <v>50.925</v>
      </c>
      <c r="CL239">
        <f t="shared" si="176"/>
        <v>101.9</v>
      </c>
      <c r="CM239">
        <f t="shared" si="177"/>
        <v>69.139</v>
      </c>
      <c r="CN239">
        <v>238</v>
      </c>
      <c r="CO239">
        <f t="shared" si="178"/>
        <v>15326.8</v>
      </c>
      <c r="CP239">
        <f t="shared" si="179"/>
        <v>3066.56</v>
      </c>
      <c r="CR239">
        <f t="shared" si="180"/>
        <v>64.76</v>
      </c>
      <c r="CS239">
        <f t="shared" si="181"/>
        <v>129.52</v>
      </c>
      <c r="CT239">
        <f t="shared" si="182"/>
        <v>87.044</v>
      </c>
    </row>
    <row r="240" spans="78:98">
      <c r="BZ240">
        <v>239</v>
      </c>
      <c r="CA240">
        <f t="shared" si="168"/>
        <v>10213.4</v>
      </c>
      <c r="CB240">
        <f t="shared" si="169"/>
        <v>2042.54</v>
      </c>
      <c r="CD240">
        <f t="shared" si="170"/>
        <v>42.854</v>
      </c>
      <c r="CE240">
        <f t="shared" si="171"/>
        <v>85.774</v>
      </c>
      <c r="CF240">
        <f t="shared" si="172"/>
        <v>52.28</v>
      </c>
      <c r="CG240">
        <v>239</v>
      </c>
      <c r="CH240">
        <f t="shared" si="173"/>
        <v>12666</v>
      </c>
      <c r="CI240">
        <f t="shared" si="174"/>
        <v>2532.6</v>
      </c>
      <c r="CK240">
        <f t="shared" si="175"/>
        <v>50.95</v>
      </c>
      <c r="CL240">
        <f t="shared" si="176"/>
        <v>101.95</v>
      </c>
      <c r="CM240">
        <f t="shared" si="177"/>
        <v>69.186</v>
      </c>
      <c r="CN240">
        <v>239</v>
      </c>
      <c r="CO240">
        <f t="shared" si="178"/>
        <v>15332.4</v>
      </c>
      <c r="CP240">
        <f t="shared" si="179"/>
        <v>3067.68</v>
      </c>
      <c r="CR240">
        <f t="shared" si="180"/>
        <v>64.78</v>
      </c>
      <c r="CS240">
        <f t="shared" si="181"/>
        <v>129.56</v>
      </c>
      <c r="CT240">
        <f t="shared" si="182"/>
        <v>87.082</v>
      </c>
    </row>
    <row r="241" spans="78:98">
      <c r="BZ241">
        <v>240</v>
      </c>
      <c r="CA241">
        <f t="shared" si="168"/>
        <v>10222.7</v>
      </c>
      <c r="CB241">
        <f t="shared" si="169"/>
        <v>2044.4</v>
      </c>
      <c r="CD241">
        <f t="shared" si="170"/>
        <v>42.887</v>
      </c>
      <c r="CE241">
        <f t="shared" si="171"/>
        <v>85.84</v>
      </c>
      <c r="CF241">
        <f t="shared" si="172"/>
        <v>52.34</v>
      </c>
      <c r="CG241">
        <v>240</v>
      </c>
      <c r="CH241">
        <f t="shared" si="173"/>
        <v>12673</v>
      </c>
      <c r="CI241">
        <f t="shared" si="174"/>
        <v>2534</v>
      </c>
      <c r="CK241">
        <f t="shared" si="175"/>
        <v>50.975</v>
      </c>
      <c r="CL241">
        <f t="shared" si="176"/>
        <v>102</v>
      </c>
      <c r="CM241">
        <f t="shared" si="177"/>
        <v>69.233</v>
      </c>
      <c r="CN241">
        <v>240</v>
      </c>
      <c r="CO241">
        <f t="shared" si="178"/>
        <v>15338</v>
      </c>
      <c r="CP241">
        <f t="shared" si="179"/>
        <v>3068.8</v>
      </c>
      <c r="CR241">
        <f t="shared" si="180"/>
        <v>64.8</v>
      </c>
      <c r="CS241">
        <f t="shared" si="181"/>
        <v>129.6</v>
      </c>
      <c r="CT241">
        <f t="shared" si="182"/>
        <v>87.12</v>
      </c>
    </row>
    <row r="242" spans="78:98">
      <c r="BZ242">
        <v>241</v>
      </c>
      <c r="CA242">
        <f t="shared" si="168"/>
        <v>10232</v>
      </c>
      <c r="CB242">
        <f t="shared" si="169"/>
        <v>2046.26</v>
      </c>
      <c r="CD242">
        <f t="shared" si="170"/>
        <v>42.92</v>
      </c>
      <c r="CE242">
        <f t="shared" si="171"/>
        <v>85.906</v>
      </c>
      <c r="CF242">
        <f t="shared" si="172"/>
        <v>52.4</v>
      </c>
      <c r="CG242">
        <v>241</v>
      </c>
      <c r="CH242">
        <f t="shared" si="173"/>
        <v>12680</v>
      </c>
      <c r="CI242">
        <f t="shared" si="174"/>
        <v>2535.4</v>
      </c>
      <c r="CK242">
        <f t="shared" si="175"/>
        <v>51</v>
      </c>
      <c r="CL242">
        <f t="shared" si="176"/>
        <v>102.05</v>
      </c>
      <c r="CM242">
        <f t="shared" si="177"/>
        <v>69.28</v>
      </c>
      <c r="CN242">
        <v>241</v>
      </c>
      <c r="CO242">
        <f t="shared" si="178"/>
        <v>15343.6</v>
      </c>
      <c r="CP242">
        <f t="shared" si="179"/>
        <v>3069.92</v>
      </c>
      <c r="CR242">
        <f t="shared" si="180"/>
        <v>64.82</v>
      </c>
      <c r="CS242">
        <f t="shared" si="181"/>
        <v>129.64</v>
      </c>
      <c r="CT242">
        <f t="shared" si="182"/>
        <v>87.158</v>
      </c>
    </row>
    <row r="243" spans="78:98">
      <c r="BZ243">
        <v>242</v>
      </c>
      <c r="CA243">
        <f t="shared" si="168"/>
        <v>10241.3</v>
      </c>
      <c r="CB243">
        <f t="shared" si="169"/>
        <v>2048.12</v>
      </c>
      <c r="CD243">
        <f t="shared" si="170"/>
        <v>42.953</v>
      </c>
      <c r="CE243">
        <f t="shared" si="171"/>
        <v>85.972</v>
      </c>
      <c r="CF243">
        <f t="shared" si="172"/>
        <v>52.46</v>
      </c>
      <c r="CG243">
        <v>242</v>
      </c>
      <c r="CH243">
        <f t="shared" si="173"/>
        <v>12687</v>
      </c>
      <c r="CI243">
        <f t="shared" si="174"/>
        <v>2536.8</v>
      </c>
      <c r="CK243">
        <f t="shared" si="175"/>
        <v>51.025</v>
      </c>
      <c r="CL243">
        <f t="shared" si="176"/>
        <v>102.1</v>
      </c>
      <c r="CM243">
        <f t="shared" si="177"/>
        <v>69.327</v>
      </c>
      <c r="CN243">
        <v>242</v>
      </c>
      <c r="CO243">
        <f t="shared" si="178"/>
        <v>15349.2</v>
      </c>
      <c r="CP243">
        <f t="shared" si="179"/>
        <v>3071.04</v>
      </c>
      <c r="CR243">
        <f t="shared" si="180"/>
        <v>64.84</v>
      </c>
      <c r="CS243">
        <f t="shared" si="181"/>
        <v>129.68</v>
      </c>
      <c r="CT243">
        <f t="shared" si="182"/>
        <v>87.196</v>
      </c>
    </row>
    <row r="244" spans="78:98">
      <c r="BZ244">
        <v>243</v>
      </c>
      <c r="CA244">
        <f t="shared" si="168"/>
        <v>10250.6</v>
      </c>
      <c r="CB244">
        <f t="shared" si="169"/>
        <v>2049.98</v>
      </c>
      <c r="CD244">
        <f t="shared" si="170"/>
        <v>42.986</v>
      </c>
      <c r="CE244">
        <f t="shared" si="171"/>
        <v>86.038</v>
      </c>
      <c r="CF244">
        <f t="shared" si="172"/>
        <v>52.52</v>
      </c>
      <c r="CG244">
        <v>243</v>
      </c>
      <c r="CH244">
        <f t="shared" si="173"/>
        <v>12694</v>
      </c>
      <c r="CI244">
        <f t="shared" si="174"/>
        <v>2538.2</v>
      </c>
      <c r="CK244">
        <f t="shared" si="175"/>
        <v>51.05</v>
      </c>
      <c r="CL244">
        <f t="shared" si="176"/>
        <v>102.15</v>
      </c>
      <c r="CM244">
        <f t="shared" si="177"/>
        <v>69.374</v>
      </c>
      <c r="CN244">
        <v>243</v>
      </c>
      <c r="CO244">
        <f t="shared" si="178"/>
        <v>15354.8</v>
      </c>
      <c r="CP244">
        <f t="shared" si="179"/>
        <v>3072.16</v>
      </c>
      <c r="CR244">
        <f t="shared" si="180"/>
        <v>64.86</v>
      </c>
      <c r="CS244">
        <f t="shared" si="181"/>
        <v>129.72</v>
      </c>
      <c r="CT244">
        <f t="shared" si="182"/>
        <v>87.234</v>
      </c>
    </row>
    <row r="245" spans="78:98">
      <c r="BZ245">
        <v>244</v>
      </c>
      <c r="CA245">
        <f t="shared" si="168"/>
        <v>10259.9</v>
      </c>
      <c r="CB245">
        <f t="shared" si="169"/>
        <v>2051.84</v>
      </c>
      <c r="CD245">
        <f t="shared" si="170"/>
        <v>43.019</v>
      </c>
      <c r="CE245">
        <f t="shared" si="171"/>
        <v>86.104</v>
      </c>
      <c r="CF245">
        <f t="shared" si="172"/>
        <v>52.58</v>
      </c>
      <c r="CG245">
        <v>244</v>
      </c>
      <c r="CH245">
        <f t="shared" si="173"/>
        <v>12701</v>
      </c>
      <c r="CI245">
        <f t="shared" si="174"/>
        <v>2539.6</v>
      </c>
      <c r="CK245">
        <f t="shared" si="175"/>
        <v>51.075</v>
      </c>
      <c r="CL245">
        <f t="shared" si="176"/>
        <v>102.2</v>
      </c>
      <c r="CM245">
        <f t="shared" si="177"/>
        <v>69.421</v>
      </c>
      <c r="CN245">
        <v>244</v>
      </c>
      <c r="CO245">
        <f t="shared" si="178"/>
        <v>15360.4</v>
      </c>
      <c r="CP245">
        <f t="shared" si="179"/>
        <v>3073.28</v>
      </c>
      <c r="CR245">
        <f t="shared" si="180"/>
        <v>64.88</v>
      </c>
      <c r="CS245">
        <f t="shared" si="181"/>
        <v>129.76</v>
      </c>
      <c r="CT245">
        <f t="shared" si="182"/>
        <v>87.272</v>
      </c>
    </row>
    <row r="246" spans="78:98">
      <c r="BZ246">
        <v>245</v>
      </c>
      <c r="CA246">
        <f t="shared" si="168"/>
        <v>10269.2</v>
      </c>
      <c r="CB246">
        <f t="shared" si="169"/>
        <v>2053.7</v>
      </c>
      <c r="CD246">
        <f t="shared" si="170"/>
        <v>43.052</v>
      </c>
      <c r="CE246">
        <f t="shared" si="171"/>
        <v>86.17</v>
      </c>
      <c r="CF246">
        <f t="shared" si="172"/>
        <v>52.64</v>
      </c>
      <c r="CG246">
        <v>245</v>
      </c>
      <c r="CH246">
        <f t="shared" si="173"/>
        <v>12708</v>
      </c>
      <c r="CI246">
        <f t="shared" si="174"/>
        <v>2541</v>
      </c>
      <c r="CK246">
        <f t="shared" si="175"/>
        <v>51.1</v>
      </c>
      <c r="CL246">
        <f t="shared" si="176"/>
        <v>102.25</v>
      </c>
      <c r="CM246">
        <f t="shared" si="177"/>
        <v>69.468</v>
      </c>
      <c r="CN246">
        <v>245</v>
      </c>
      <c r="CO246">
        <f t="shared" si="178"/>
        <v>15366</v>
      </c>
      <c r="CP246">
        <f t="shared" si="179"/>
        <v>3074.4</v>
      </c>
      <c r="CR246">
        <f t="shared" si="180"/>
        <v>64.9</v>
      </c>
      <c r="CS246">
        <f t="shared" si="181"/>
        <v>129.8</v>
      </c>
      <c r="CT246">
        <f t="shared" si="182"/>
        <v>87.31</v>
      </c>
    </row>
    <row r="247" spans="78:98">
      <c r="BZ247">
        <v>246</v>
      </c>
      <c r="CA247">
        <f t="shared" si="168"/>
        <v>10278.5</v>
      </c>
      <c r="CB247">
        <f t="shared" si="169"/>
        <v>2055.56</v>
      </c>
      <c r="CD247">
        <f t="shared" si="170"/>
        <v>43.085</v>
      </c>
      <c r="CE247">
        <f t="shared" si="171"/>
        <v>86.236</v>
      </c>
      <c r="CF247">
        <f t="shared" si="172"/>
        <v>52.7</v>
      </c>
      <c r="CG247">
        <v>246</v>
      </c>
      <c r="CH247">
        <f t="shared" si="173"/>
        <v>12715</v>
      </c>
      <c r="CI247">
        <f t="shared" si="174"/>
        <v>2542.4</v>
      </c>
      <c r="CK247">
        <f t="shared" si="175"/>
        <v>51.125</v>
      </c>
      <c r="CL247">
        <f t="shared" si="176"/>
        <v>102.3</v>
      </c>
      <c r="CM247">
        <f t="shared" si="177"/>
        <v>69.515</v>
      </c>
      <c r="CN247">
        <v>246</v>
      </c>
      <c r="CO247">
        <f t="shared" si="178"/>
        <v>15371.6</v>
      </c>
      <c r="CP247">
        <f t="shared" si="179"/>
        <v>3075.52</v>
      </c>
      <c r="CR247">
        <f t="shared" si="180"/>
        <v>64.92</v>
      </c>
      <c r="CS247">
        <f t="shared" si="181"/>
        <v>129.84</v>
      </c>
      <c r="CT247">
        <f t="shared" si="182"/>
        <v>87.348</v>
      </c>
    </row>
    <row r="248" spans="78:98">
      <c r="BZ248">
        <v>247</v>
      </c>
      <c r="CA248">
        <f t="shared" si="168"/>
        <v>10287.8</v>
      </c>
      <c r="CB248">
        <f t="shared" si="169"/>
        <v>2057.42</v>
      </c>
      <c r="CD248">
        <f t="shared" si="170"/>
        <v>43.118</v>
      </c>
      <c r="CE248">
        <f t="shared" si="171"/>
        <v>86.302</v>
      </c>
      <c r="CF248">
        <f t="shared" si="172"/>
        <v>52.76</v>
      </c>
      <c r="CG248">
        <v>247</v>
      </c>
      <c r="CH248">
        <f t="shared" si="173"/>
        <v>12722</v>
      </c>
      <c r="CI248">
        <f t="shared" si="174"/>
        <v>2543.8</v>
      </c>
      <c r="CK248">
        <f t="shared" si="175"/>
        <v>51.15</v>
      </c>
      <c r="CL248">
        <f t="shared" si="176"/>
        <v>102.35</v>
      </c>
      <c r="CM248">
        <f t="shared" si="177"/>
        <v>69.562</v>
      </c>
      <c r="CN248">
        <v>247</v>
      </c>
      <c r="CO248">
        <f t="shared" si="178"/>
        <v>15377.2</v>
      </c>
      <c r="CP248">
        <f t="shared" si="179"/>
        <v>3076.64</v>
      </c>
      <c r="CR248">
        <f t="shared" si="180"/>
        <v>64.94</v>
      </c>
      <c r="CS248">
        <f t="shared" si="181"/>
        <v>129.88</v>
      </c>
      <c r="CT248">
        <f t="shared" si="182"/>
        <v>87.386</v>
      </c>
    </row>
    <row r="249" spans="78:98">
      <c r="BZ249">
        <v>248</v>
      </c>
      <c r="CA249">
        <f t="shared" si="168"/>
        <v>10297.1</v>
      </c>
      <c r="CB249">
        <f t="shared" si="169"/>
        <v>2059.28</v>
      </c>
      <c r="CD249">
        <f t="shared" si="170"/>
        <v>43.151</v>
      </c>
      <c r="CE249">
        <f t="shared" si="171"/>
        <v>86.368</v>
      </c>
      <c r="CF249">
        <f t="shared" si="172"/>
        <v>52.82</v>
      </c>
      <c r="CG249">
        <v>248</v>
      </c>
      <c r="CH249">
        <f t="shared" si="173"/>
        <v>12729</v>
      </c>
      <c r="CI249">
        <f t="shared" si="174"/>
        <v>2545.2</v>
      </c>
      <c r="CK249">
        <f t="shared" si="175"/>
        <v>51.175</v>
      </c>
      <c r="CL249">
        <f t="shared" si="176"/>
        <v>102.4</v>
      </c>
      <c r="CM249">
        <f t="shared" si="177"/>
        <v>69.609</v>
      </c>
      <c r="CN249">
        <v>248</v>
      </c>
      <c r="CO249">
        <f t="shared" si="178"/>
        <v>15382.8</v>
      </c>
      <c r="CP249">
        <f t="shared" si="179"/>
        <v>3077.76</v>
      </c>
      <c r="CR249">
        <f t="shared" si="180"/>
        <v>64.96</v>
      </c>
      <c r="CS249">
        <f t="shared" si="181"/>
        <v>129.92</v>
      </c>
      <c r="CT249">
        <f t="shared" si="182"/>
        <v>87.424</v>
      </c>
    </row>
    <row r="250" spans="78:98">
      <c r="BZ250">
        <v>249</v>
      </c>
      <c r="CA250">
        <f t="shared" si="168"/>
        <v>10306.4</v>
      </c>
      <c r="CB250">
        <f t="shared" si="169"/>
        <v>2061.14</v>
      </c>
      <c r="CD250">
        <f t="shared" si="170"/>
        <v>43.184</v>
      </c>
      <c r="CE250">
        <f t="shared" si="171"/>
        <v>86.434</v>
      </c>
      <c r="CF250">
        <f t="shared" si="172"/>
        <v>52.88</v>
      </c>
      <c r="CG250">
        <v>249</v>
      </c>
      <c r="CH250">
        <f t="shared" si="173"/>
        <v>12736</v>
      </c>
      <c r="CI250">
        <f t="shared" si="174"/>
        <v>2546.6</v>
      </c>
      <c r="CK250">
        <f t="shared" si="175"/>
        <v>51.2</v>
      </c>
      <c r="CL250">
        <f t="shared" si="176"/>
        <v>102.45</v>
      </c>
      <c r="CM250">
        <f t="shared" si="177"/>
        <v>69.656</v>
      </c>
      <c r="CN250">
        <v>249</v>
      </c>
      <c r="CO250">
        <f t="shared" si="178"/>
        <v>15388.4</v>
      </c>
      <c r="CP250">
        <f t="shared" si="179"/>
        <v>3078.88</v>
      </c>
      <c r="CR250">
        <f t="shared" si="180"/>
        <v>64.98</v>
      </c>
      <c r="CS250">
        <f t="shared" si="181"/>
        <v>129.96</v>
      </c>
      <c r="CT250">
        <f t="shared" si="182"/>
        <v>87.462</v>
      </c>
    </row>
    <row r="251" spans="78:98">
      <c r="BZ251">
        <v>250</v>
      </c>
      <c r="CA251">
        <f t="shared" si="168"/>
        <v>10315.7</v>
      </c>
      <c r="CB251">
        <f t="shared" si="169"/>
        <v>2063</v>
      </c>
      <c r="CD251">
        <f t="shared" si="170"/>
        <v>43.217</v>
      </c>
      <c r="CE251">
        <f t="shared" si="171"/>
        <v>86.5</v>
      </c>
      <c r="CF251">
        <f t="shared" si="172"/>
        <v>52.94</v>
      </c>
      <c r="CG251">
        <v>250</v>
      </c>
      <c r="CH251">
        <f t="shared" si="173"/>
        <v>12743</v>
      </c>
      <c r="CI251">
        <f t="shared" si="174"/>
        <v>2548</v>
      </c>
      <c r="CK251">
        <f t="shared" si="175"/>
        <v>51.225</v>
      </c>
      <c r="CL251">
        <f t="shared" si="176"/>
        <v>102.5</v>
      </c>
      <c r="CM251">
        <f t="shared" si="177"/>
        <v>69.703</v>
      </c>
      <c r="CN251">
        <v>250</v>
      </c>
      <c r="CO251">
        <f t="shared" si="178"/>
        <v>15394</v>
      </c>
      <c r="CP251">
        <f t="shared" si="179"/>
        <v>3080</v>
      </c>
      <c r="CR251">
        <f t="shared" si="180"/>
        <v>65</v>
      </c>
      <c r="CS251">
        <f t="shared" si="181"/>
        <v>130</v>
      </c>
      <c r="CT251">
        <f t="shared" si="182"/>
        <v>87.5</v>
      </c>
    </row>
    <row r="252" spans="78:98">
      <c r="BZ252">
        <v>251</v>
      </c>
      <c r="CA252">
        <f t="shared" si="168"/>
        <v>10325</v>
      </c>
      <c r="CB252">
        <f t="shared" si="169"/>
        <v>2064.86</v>
      </c>
      <c r="CD252">
        <f t="shared" si="170"/>
        <v>43.25</v>
      </c>
      <c r="CE252">
        <f t="shared" si="171"/>
        <v>86.566</v>
      </c>
      <c r="CF252">
        <f t="shared" si="172"/>
        <v>53</v>
      </c>
      <c r="CG252">
        <v>251</v>
      </c>
      <c r="CH252">
        <f t="shared" si="173"/>
        <v>12750</v>
      </c>
      <c r="CI252">
        <f t="shared" si="174"/>
        <v>2549.4</v>
      </c>
      <c r="CK252">
        <f t="shared" si="175"/>
        <v>51.25</v>
      </c>
      <c r="CL252">
        <f t="shared" si="176"/>
        <v>102.55</v>
      </c>
      <c r="CM252">
        <f t="shared" si="177"/>
        <v>69.75</v>
      </c>
      <c r="CN252">
        <v>251</v>
      </c>
      <c r="CO252">
        <f t="shared" si="178"/>
        <v>15399.6</v>
      </c>
      <c r="CP252">
        <f t="shared" si="179"/>
        <v>3081.12</v>
      </c>
      <c r="CR252">
        <f t="shared" si="180"/>
        <v>65.02</v>
      </c>
      <c r="CS252">
        <f t="shared" si="181"/>
        <v>130.04</v>
      </c>
      <c r="CT252">
        <f t="shared" si="182"/>
        <v>87.538</v>
      </c>
    </row>
    <row r="253" spans="78:98">
      <c r="BZ253">
        <v>252</v>
      </c>
      <c r="CA253">
        <f t="shared" si="168"/>
        <v>10334.3</v>
      </c>
      <c r="CB253">
        <f t="shared" si="169"/>
        <v>2066.72</v>
      </c>
      <c r="CD253">
        <f t="shared" si="170"/>
        <v>43.283</v>
      </c>
      <c r="CE253">
        <f t="shared" si="171"/>
        <v>86.632</v>
      </c>
      <c r="CF253">
        <f t="shared" si="172"/>
        <v>53.06</v>
      </c>
      <c r="CG253">
        <v>252</v>
      </c>
      <c r="CH253">
        <f t="shared" si="173"/>
        <v>12757</v>
      </c>
      <c r="CI253">
        <f t="shared" si="174"/>
        <v>2550.8</v>
      </c>
      <c r="CK253">
        <f t="shared" si="175"/>
        <v>51.275</v>
      </c>
      <c r="CL253">
        <f t="shared" si="176"/>
        <v>102.6</v>
      </c>
      <c r="CM253">
        <f t="shared" si="177"/>
        <v>69.797</v>
      </c>
      <c r="CN253">
        <v>252</v>
      </c>
      <c r="CO253">
        <f t="shared" si="178"/>
        <v>15405.2</v>
      </c>
      <c r="CP253">
        <f t="shared" si="179"/>
        <v>3082.24</v>
      </c>
      <c r="CR253">
        <f t="shared" si="180"/>
        <v>65.04</v>
      </c>
      <c r="CS253">
        <f t="shared" si="181"/>
        <v>130.08</v>
      </c>
      <c r="CT253">
        <f t="shared" si="182"/>
        <v>87.576</v>
      </c>
    </row>
    <row r="254" spans="78:98">
      <c r="BZ254">
        <v>253</v>
      </c>
      <c r="CA254">
        <f t="shared" si="168"/>
        <v>10343.6</v>
      </c>
      <c r="CB254">
        <f t="shared" si="169"/>
        <v>2068.58</v>
      </c>
      <c r="CD254">
        <f t="shared" si="170"/>
        <v>43.316</v>
      </c>
      <c r="CE254">
        <f t="shared" si="171"/>
        <v>86.698</v>
      </c>
      <c r="CF254">
        <f t="shared" si="172"/>
        <v>53.12</v>
      </c>
      <c r="CG254">
        <v>253</v>
      </c>
      <c r="CH254">
        <f t="shared" si="173"/>
        <v>12764</v>
      </c>
      <c r="CI254">
        <f t="shared" si="174"/>
        <v>2552.2</v>
      </c>
      <c r="CK254">
        <f t="shared" si="175"/>
        <v>51.3</v>
      </c>
      <c r="CL254">
        <f t="shared" si="176"/>
        <v>102.65</v>
      </c>
      <c r="CM254">
        <f t="shared" si="177"/>
        <v>69.844</v>
      </c>
      <c r="CN254">
        <v>253</v>
      </c>
      <c r="CO254">
        <f t="shared" si="178"/>
        <v>15410.8</v>
      </c>
      <c r="CP254">
        <f t="shared" si="179"/>
        <v>3083.36</v>
      </c>
      <c r="CR254">
        <f t="shared" si="180"/>
        <v>65.06</v>
      </c>
      <c r="CS254">
        <f t="shared" si="181"/>
        <v>130.12</v>
      </c>
      <c r="CT254">
        <f t="shared" si="182"/>
        <v>87.614</v>
      </c>
    </row>
    <row r="255" spans="78:98">
      <c r="BZ255">
        <v>254</v>
      </c>
      <c r="CA255">
        <f t="shared" si="168"/>
        <v>10352.9</v>
      </c>
      <c r="CB255">
        <f t="shared" si="169"/>
        <v>2070.44</v>
      </c>
      <c r="CD255">
        <f t="shared" si="170"/>
        <v>43.349</v>
      </c>
      <c r="CE255">
        <f t="shared" si="171"/>
        <v>86.764</v>
      </c>
      <c r="CF255">
        <f t="shared" si="172"/>
        <v>53.18</v>
      </c>
      <c r="CG255">
        <v>254</v>
      </c>
      <c r="CH255">
        <f t="shared" si="173"/>
        <v>12771</v>
      </c>
      <c r="CI255">
        <f t="shared" si="174"/>
        <v>2553.6</v>
      </c>
      <c r="CK255">
        <f t="shared" si="175"/>
        <v>51.325</v>
      </c>
      <c r="CL255">
        <f t="shared" si="176"/>
        <v>102.7</v>
      </c>
      <c r="CM255">
        <f t="shared" si="177"/>
        <v>69.891</v>
      </c>
      <c r="CN255">
        <v>254</v>
      </c>
      <c r="CO255">
        <f t="shared" si="178"/>
        <v>15416.4</v>
      </c>
      <c r="CP255">
        <f t="shared" si="179"/>
        <v>3084.48</v>
      </c>
      <c r="CR255">
        <f t="shared" si="180"/>
        <v>65.08</v>
      </c>
      <c r="CS255">
        <f t="shared" si="181"/>
        <v>130.16</v>
      </c>
      <c r="CT255">
        <f t="shared" si="182"/>
        <v>87.652</v>
      </c>
    </row>
    <row r="256" spans="78:98">
      <c r="BZ256">
        <v>255</v>
      </c>
      <c r="CA256">
        <f t="shared" si="168"/>
        <v>10362.2</v>
      </c>
      <c r="CB256">
        <f t="shared" si="169"/>
        <v>2072.3</v>
      </c>
      <c r="CD256">
        <f t="shared" si="170"/>
        <v>43.382</v>
      </c>
      <c r="CE256">
        <f t="shared" si="171"/>
        <v>86.83</v>
      </c>
      <c r="CF256">
        <f t="shared" si="172"/>
        <v>53.24</v>
      </c>
      <c r="CG256">
        <v>255</v>
      </c>
      <c r="CH256">
        <f t="shared" si="173"/>
        <v>12778</v>
      </c>
      <c r="CI256">
        <f t="shared" si="174"/>
        <v>2555</v>
      </c>
      <c r="CK256">
        <f t="shared" si="175"/>
        <v>51.35</v>
      </c>
      <c r="CL256">
        <f t="shared" si="176"/>
        <v>102.75</v>
      </c>
      <c r="CM256">
        <f t="shared" si="177"/>
        <v>69.938</v>
      </c>
      <c r="CN256">
        <v>255</v>
      </c>
      <c r="CO256">
        <f t="shared" si="178"/>
        <v>15422</v>
      </c>
      <c r="CP256">
        <f t="shared" si="179"/>
        <v>3085.6</v>
      </c>
      <c r="CR256">
        <f t="shared" si="180"/>
        <v>65.1</v>
      </c>
      <c r="CS256">
        <f t="shared" si="181"/>
        <v>130.2</v>
      </c>
      <c r="CT256">
        <f t="shared" si="182"/>
        <v>87.69</v>
      </c>
    </row>
    <row r="257" spans="78:98">
      <c r="BZ257">
        <v>256</v>
      </c>
      <c r="CA257">
        <f t="shared" si="168"/>
        <v>10371.5</v>
      </c>
      <c r="CB257">
        <f t="shared" si="169"/>
        <v>2074.16</v>
      </c>
      <c r="CD257">
        <f t="shared" si="170"/>
        <v>43.415</v>
      </c>
      <c r="CE257">
        <f t="shared" si="171"/>
        <v>86.896</v>
      </c>
      <c r="CF257">
        <f t="shared" si="172"/>
        <v>53.3</v>
      </c>
      <c r="CG257">
        <v>256</v>
      </c>
      <c r="CH257">
        <f t="shared" si="173"/>
        <v>12785</v>
      </c>
      <c r="CI257">
        <f t="shared" si="174"/>
        <v>2556.4</v>
      </c>
      <c r="CK257">
        <f t="shared" si="175"/>
        <v>51.375</v>
      </c>
      <c r="CL257">
        <f t="shared" si="176"/>
        <v>102.8</v>
      </c>
      <c r="CM257">
        <f t="shared" si="177"/>
        <v>69.985</v>
      </c>
      <c r="CN257">
        <v>256</v>
      </c>
      <c r="CO257">
        <f t="shared" si="178"/>
        <v>15427.6</v>
      </c>
      <c r="CP257">
        <f t="shared" si="179"/>
        <v>3086.72</v>
      </c>
      <c r="CR257">
        <f t="shared" si="180"/>
        <v>65.12</v>
      </c>
      <c r="CS257">
        <f t="shared" si="181"/>
        <v>130.24</v>
      </c>
      <c r="CT257">
        <f t="shared" si="182"/>
        <v>87.728</v>
      </c>
    </row>
    <row r="258" spans="78:98">
      <c r="BZ258">
        <v>257</v>
      </c>
      <c r="CA258">
        <f t="shared" ref="CA258:CA301" si="186">9.3*BZ258+7990.7</f>
        <v>10380.8</v>
      </c>
      <c r="CB258">
        <f t="shared" ref="CB258:CB301" si="187">1.86*BZ258+1598</f>
        <v>2076.02</v>
      </c>
      <c r="CD258">
        <f t="shared" ref="CD258:CD301" si="188">0.033*BZ258+34.967</f>
        <v>43.448</v>
      </c>
      <c r="CE258">
        <f t="shared" ref="CE258:CE301" si="189">0.066*BZ258+70</f>
        <v>86.962</v>
      </c>
      <c r="CF258">
        <f t="shared" ref="CF258:CF301" si="190">0.06*BZ258+37.94</f>
        <v>53.36</v>
      </c>
      <c r="CG258">
        <v>257</v>
      </c>
      <c r="CH258">
        <f t="shared" ref="CH258:CH321" si="191">7*CG258+10993</f>
        <v>12792</v>
      </c>
      <c r="CI258">
        <f t="shared" ref="CI258:CI321" si="192">1.4*CG258+2198</f>
        <v>2557.8</v>
      </c>
      <c r="CK258">
        <f t="shared" ref="CK258:CK321" si="193">0.025*CG258+44.975</f>
        <v>51.4</v>
      </c>
      <c r="CL258">
        <f t="shared" ref="CL258:CL321" si="194">0.05*CG258+90</f>
        <v>102.85</v>
      </c>
      <c r="CM258">
        <f t="shared" ref="CM258:CM321" si="195">0.047*CG258+57.953</f>
        <v>70.032</v>
      </c>
      <c r="CN258">
        <v>257</v>
      </c>
      <c r="CO258">
        <f t="shared" ref="CO258:CO321" si="196">5.6*CN258+13994</f>
        <v>15433.2</v>
      </c>
      <c r="CP258">
        <f t="shared" ref="CP258:CP321" si="197">1.12*CN258+2800</f>
        <v>3087.84</v>
      </c>
      <c r="CR258">
        <f t="shared" ref="CR258:CR321" si="198">0.02*CN258+60</f>
        <v>65.14</v>
      </c>
      <c r="CS258">
        <f t="shared" ref="CS258:CS321" si="199">0.04*CN258+120</f>
        <v>130.28</v>
      </c>
      <c r="CT258">
        <f t="shared" ref="CT258:CT321" si="200">0.038*CN258+78</f>
        <v>87.766</v>
      </c>
    </row>
    <row r="259" spans="78:98">
      <c r="BZ259">
        <v>258</v>
      </c>
      <c r="CA259">
        <f t="shared" si="186"/>
        <v>10390.1</v>
      </c>
      <c r="CB259">
        <f t="shared" si="187"/>
        <v>2077.88</v>
      </c>
      <c r="CD259">
        <f t="shared" si="188"/>
        <v>43.481</v>
      </c>
      <c r="CE259">
        <f t="shared" si="189"/>
        <v>87.028</v>
      </c>
      <c r="CF259">
        <f t="shared" si="190"/>
        <v>53.42</v>
      </c>
      <c r="CG259">
        <v>258</v>
      </c>
      <c r="CH259">
        <f t="shared" si="191"/>
        <v>12799</v>
      </c>
      <c r="CI259">
        <f t="shared" si="192"/>
        <v>2559.2</v>
      </c>
      <c r="CK259">
        <f t="shared" si="193"/>
        <v>51.425</v>
      </c>
      <c r="CL259">
        <f t="shared" si="194"/>
        <v>102.9</v>
      </c>
      <c r="CM259">
        <f t="shared" si="195"/>
        <v>70.079</v>
      </c>
      <c r="CN259">
        <v>258</v>
      </c>
      <c r="CO259">
        <f t="shared" si="196"/>
        <v>15438.8</v>
      </c>
      <c r="CP259">
        <f t="shared" si="197"/>
        <v>3088.96</v>
      </c>
      <c r="CR259">
        <f t="shared" si="198"/>
        <v>65.16</v>
      </c>
      <c r="CS259">
        <f t="shared" si="199"/>
        <v>130.32</v>
      </c>
      <c r="CT259">
        <f t="shared" si="200"/>
        <v>87.804</v>
      </c>
    </row>
    <row r="260" spans="78:98">
      <c r="BZ260">
        <v>259</v>
      </c>
      <c r="CA260">
        <f t="shared" si="186"/>
        <v>10399.4</v>
      </c>
      <c r="CB260">
        <f t="shared" si="187"/>
        <v>2079.74</v>
      </c>
      <c r="CD260">
        <f t="shared" si="188"/>
        <v>43.514</v>
      </c>
      <c r="CE260">
        <f t="shared" si="189"/>
        <v>87.094</v>
      </c>
      <c r="CF260">
        <f t="shared" si="190"/>
        <v>53.48</v>
      </c>
      <c r="CG260">
        <v>259</v>
      </c>
      <c r="CH260">
        <f t="shared" si="191"/>
        <v>12806</v>
      </c>
      <c r="CI260">
        <f t="shared" si="192"/>
        <v>2560.6</v>
      </c>
      <c r="CK260">
        <f t="shared" si="193"/>
        <v>51.45</v>
      </c>
      <c r="CL260">
        <f t="shared" si="194"/>
        <v>102.95</v>
      </c>
      <c r="CM260">
        <f t="shared" si="195"/>
        <v>70.126</v>
      </c>
      <c r="CN260">
        <v>259</v>
      </c>
      <c r="CO260">
        <f t="shared" si="196"/>
        <v>15444.4</v>
      </c>
      <c r="CP260">
        <f t="shared" si="197"/>
        <v>3090.08</v>
      </c>
      <c r="CR260">
        <f t="shared" si="198"/>
        <v>65.18</v>
      </c>
      <c r="CS260">
        <f t="shared" si="199"/>
        <v>130.36</v>
      </c>
      <c r="CT260">
        <f t="shared" si="200"/>
        <v>87.842</v>
      </c>
    </row>
    <row r="261" spans="78:98">
      <c r="BZ261">
        <v>260</v>
      </c>
      <c r="CA261">
        <f t="shared" si="186"/>
        <v>10408.7</v>
      </c>
      <c r="CB261">
        <f t="shared" si="187"/>
        <v>2081.6</v>
      </c>
      <c r="CD261">
        <f t="shared" si="188"/>
        <v>43.547</v>
      </c>
      <c r="CE261">
        <f t="shared" si="189"/>
        <v>87.16</v>
      </c>
      <c r="CF261">
        <f t="shared" si="190"/>
        <v>53.54</v>
      </c>
      <c r="CG261">
        <v>260</v>
      </c>
      <c r="CH261">
        <f t="shared" si="191"/>
        <v>12813</v>
      </c>
      <c r="CI261">
        <f t="shared" si="192"/>
        <v>2562</v>
      </c>
      <c r="CK261">
        <f t="shared" si="193"/>
        <v>51.475</v>
      </c>
      <c r="CL261">
        <f t="shared" si="194"/>
        <v>103</v>
      </c>
      <c r="CM261">
        <f t="shared" si="195"/>
        <v>70.173</v>
      </c>
      <c r="CN261">
        <v>260</v>
      </c>
      <c r="CO261">
        <f t="shared" si="196"/>
        <v>15450</v>
      </c>
      <c r="CP261">
        <f t="shared" si="197"/>
        <v>3091.2</v>
      </c>
      <c r="CR261">
        <f t="shared" si="198"/>
        <v>65.2</v>
      </c>
      <c r="CS261">
        <f t="shared" si="199"/>
        <v>130.4</v>
      </c>
      <c r="CT261">
        <f t="shared" si="200"/>
        <v>87.88</v>
      </c>
    </row>
    <row r="262" spans="78:98">
      <c r="BZ262">
        <v>261</v>
      </c>
      <c r="CA262">
        <f t="shared" si="186"/>
        <v>10418</v>
      </c>
      <c r="CB262">
        <f t="shared" si="187"/>
        <v>2083.46</v>
      </c>
      <c r="CD262">
        <f t="shared" si="188"/>
        <v>43.58</v>
      </c>
      <c r="CE262">
        <f t="shared" si="189"/>
        <v>87.226</v>
      </c>
      <c r="CF262">
        <f t="shared" si="190"/>
        <v>53.6</v>
      </c>
      <c r="CG262">
        <v>261</v>
      </c>
      <c r="CH262">
        <f t="shared" si="191"/>
        <v>12820</v>
      </c>
      <c r="CI262">
        <f t="shared" si="192"/>
        <v>2563.4</v>
      </c>
      <c r="CK262">
        <f t="shared" si="193"/>
        <v>51.5</v>
      </c>
      <c r="CL262">
        <f t="shared" si="194"/>
        <v>103.05</v>
      </c>
      <c r="CM262">
        <f t="shared" si="195"/>
        <v>70.22</v>
      </c>
      <c r="CN262">
        <v>261</v>
      </c>
      <c r="CO262">
        <f t="shared" si="196"/>
        <v>15455.6</v>
      </c>
      <c r="CP262">
        <f t="shared" si="197"/>
        <v>3092.32</v>
      </c>
      <c r="CR262">
        <f t="shared" si="198"/>
        <v>65.22</v>
      </c>
      <c r="CS262">
        <f t="shared" si="199"/>
        <v>130.44</v>
      </c>
      <c r="CT262">
        <f t="shared" si="200"/>
        <v>87.918</v>
      </c>
    </row>
    <row r="263" spans="78:98">
      <c r="BZ263">
        <v>262</v>
      </c>
      <c r="CA263">
        <f t="shared" si="186"/>
        <v>10427.3</v>
      </c>
      <c r="CB263">
        <f t="shared" si="187"/>
        <v>2085.32</v>
      </c>
      <c r="CD263">
        <f t="shared" si="188"/>
        <v>43.613</v>
      </c>
      <c r="CE263">
        <f t="shared" si="189"/>
        <v>87.292</v>
      </c>
      <c r="CF263">
        <f t="shared" si="190"/>
        <v>53.66</v>
      </c>
      <c r="CG263">
        <v>262</v>
      </c>
      <c r="CH263">
        <f t="shared" si="191"/>
        <v>12827</v>
      </c>
      <c r="CI263">
        <f t="shared" si="192"/>
        <v>2564.8</v>
      </c>
      <c r="CK263">
        <f t="shared" si="193"/>
        <v>51.525</v>
      </c>
      <c r="CL263">
        <f t="shared" si="194"/>
        <v>103.1</v>
      </c>
      <c r="CM263">
        <f t="shared" si="195"/>
        <v>70.267</v>
      </c>
      <c r="CN263">
        <v>262</v>
      </c>
      <c r="CO263">
        <f t="shared" si="196"/>
        <v>15461.2</v>
      </c>
      <c r="CP263">
        <f t="shared" si="197"/>
        <v>3093.44</v>
      </c>
      <c r="CR263">
        <f t="shared" si="198"/>
        <v>65.24</v>
      </c>
      <c r="CS263">
        <f t="shared" si="199"/>
        <v>130.48</v>
      </c>
      <c r="CT263">
        <f t="shared" si="200"/>
        <v>87.956</v>
      </c>
    </row>
    <row r="264" spans="78:98">
      <c r="BZ264">
        <v>263</v>
      </c>
      <c r="CA264">
        <f t="shared" si="186"/>
        <v>10436.6</v>
      </c>
      <c r="CB264">
        <f t="shared" si="187"/>
        <v>2087.18</v>
      </c>
      <c r="CD264">
        <f t="shared" si="188"/>
        <v>43.646</v>
      </c>
      <c r="CE264">
        <f t="shared" si="189"/>
        <v>87.358</v>
      </c>
      <c r="CF264">
        <f t="shared" si="190"/>
        <v>53.72</v>
      </c>
      <c r="CG264">
        <v>263</v>
      </c>
      <c r="CH264">
        <f t="shared" si="191"/>
        <v>12834</v>
      </c>
      <c r="CI264">
        <f t="shared" si="192"/>
        <v>2566.2</v>
      </c>
      <c r="CK264">
        <f t="shared" si="193"/>
        <v>51.55</v>
      </c>
      <c r="CL264">
        <f t="shared" si="194"/>
        <v>103.15</v>
      </c>
      <c r="CM264">
        <f t="shared" si="195"/>
        <v>70.314</v>
      </c>
      <c r="CN264">
        <v>263</v>
      </c>
      <c r="CO264">
        <f t="shared" si="196"/>
        <v>15466.8</v>
      </c>
      <c r="CP264">
        <f t="shared" si="197"/>
        <v>3094.56</v>
      </c>
      <c r="CR264">
        <f t="shared" si="198"/>
        <v>65.26</v>
      </c>
      <c r="CS264">
        <f t="shared" si="199"/>
        <v>130.52</v>
      </c>
      <c r="CT264">
        <f t="shared" si="200"/>
        <v>87.994</v>
      </c>
    </row>
    <row r="265" spans="78:98">
      <c r="BZ265">
        <v>264</v>
      </c>
      <c r="CA265">
        <f t="shared" si="186"/>
        <v>10445.9</v>
      </c>
      <c r="CB265">
        <f t="shared" si="187"/>
        <v>2089.04</v>
      </c>
      <c r="CD265">
        <f t="shared" si="188"/>
        <v>43.679</v>
      </c>
      <c r="CE265">
        <f t="shared" si="189"/>
        <v>87.424</v>
      </c>
      <c r="CF265">
        <f t="shared" si="190"/>
        <v>53.78</v>
      </c>
      <c r="CG265">
        <v>264</v>
      </c>
      <c r="CH265">
        <f t="shared" si="191"/>
        <v>12841</v>
      </c>
      <c r="CI265">
        <f t="shared" si="192"/>
        <v>2567.6</v>
      </c>
      <c r="CK265">
        <f t="shared" si="193"/>
        <v>51.575</v>
      </c>
      <c r="CL265">
        <f t="shared" si="194"/>
        <v>103.2</v>
      </c>
      <c r="CM265">
        <f t="shared" si="195"/>
        <v>70.361</v>
      </c>
      <c r="CN265">
        <v>264</v>
      </c>
      <c r="CO265">
        <f t="shared" si="196"/>
        <v>15472.4</v>
      </c>
      <c r="CP265">
        <f t="shared" si="197"/>
        <v>3095.68</v>
      </c>
      <c r="CR265">
        <f t="shared" si="198"/>
        <v>65.28</v>
      </c>
      <c r="CS265">
        <f t="shared" si="199"/>
        <v>130.56</v>
      </c>
      <c r="CT265">
        <f t="shared" si="200"/>
        <v>88.032</v>
      </c>
    </row>
    <row r="266" spans="78:98">
      <c r="BZ266">
        <v>265</v>
      </c>
      <c r="CA266">
        <f t="shared" si="186"/>
        <v>10455.2</v>
      </c>
      <c r="CB266">
        <f t="shared" si="187"/>
        <v>2090.9</v>
      </c>
      <c r="CD266">
        <f t="shared" si="188"/>
        <v>43.712</v>
      </c>
      <c r="CE266">
        <f t="shared" si="189"/>
        <v>87.49</v>
      </c>
      <c r="CF266">
        <f t="shared" si="190"/>
        <v>53.84</v>
      </c>
      <c r="CG266">
        <v>265</v>
      </c>
      <c r="CH266">
        <f t="shared" si="191"/>
        <v>12848</v>
      </c>
      <c r="CI266">
        <f t="shared" si="192"/>
        <v>2569</v>
      </c>
      <c r="CK266">
        <f t="shared" si="193"/>
        <v>51.6</v>
      </c>
      <c r="CL266">
        <f t="shared" si="194"/>
        <v>103.25</v>
      </c>
      <c r="CM266">
        <f t="shared" si="195"/>
        <v>70.408</v>
      </c>
      <c r="CN266">
        <v>265</v>
      </c>
      <c r="CO266">
        <f t="shared" si="196"/>
        <v>15478</v>
      </c>
      <c r="CP266">
        <f t="shared" si="197"/>
        <v>3096.8</v>
      </c>
      <c r="CR266">
        <f t="shared" si="198"/>
        <v>65.3</v>
      </c>
      <c r="CS266">
        <f t="shared" si="199"/>
        <v>130.6</v>
      </c>
      <c r="CT266">
        <f t="shared" si="200"/>
        <v>88.07</v>
      </c>
    </row>
    <row r="267" spans="78:98">
      <c r="BZ267">
        <v>266</v>
      </c>
      <c r="CA267">
        <f t="shared" si="186"/>
        <v>10464.5</v>
      </c>
      <c r="CB267">
        <f t="shared" si="187"/>
        <v>2092.76</v>
      </c>
      <c r="CD267">
        <f t="shared" si="188"/>
        <v>43.745</v>
      </c>
      <c r="CE267">
        <f t="shared" si="189"/>
        <v>87.556</v>
      </c>
      <c r="CF267">
        <f t="shared" si="190"/>
        <v>53.9</v>
      </c>
      <c r="CG267">
        <v>266</v>
      </c>
      <c r="CH267">
        <f t="shared" si="191"/>
        <v>12855</v>
      </c>
      <c r="CI267">
        <f t="shared" si="192"/>
        <v>2570.4</v>
      </c>
      <c r="CK267">
        <f t="shared" si="193"/>
        <v>51.625</v>
      </c>
      <c r="CL267">
        <f t="shared" si="194"/>
        <v>103.3</v>
      </c>
      <c r="CM267">
        <f t="shared" si="195"/>
        <v>70.455</v>
      </c>
      <c r="CN267">
        <v>266</v>
      </c>
      <c r="CO267">
        <f t="shared" si="196"/>
        <v>15483.6</v>
      </c>
      <c r="CP267">
        <f t="shared" si="197"/>
        <v>3097.92</v>
      </c>
      <c r="CR267">
        <f t="shared" si="198"/>
        <v>65.32</v>
      </c>
      <c r="CS267">
        <f t="shared" si="199"/>
        <v>130.64</v>
      </c>
      <c r="CT267">
        <f t="shared" si="200"/>
        <v>88.108</v>
      </c>
    </row>
    <row r="268" spans="78:98">
      <c r="BZ268">
        <v>267</v>
      </c>
      <c r="CA268">
        <f t="shared" si="186"/>
        <v>10473.8</v>
      </c>
      <c r="CB268">
        <f t="shared" si="187"/>
        <v>2094.62</v>
      </c>
      <c r="CD268">
        <f t="shared" si="188"/>
        <v>43.778</v>
      </c>
      <c r="CE268">
        <f t="shared" si="189"/>
        <v>87.622</v>
      </c>
      <c r="CF268">
        <f t="shared" si="190"/>
        <v>53.96</v>
      </c>
      <c r="CG268">
        <v>267</v>
      </c>
      <c r="CH268">
        <f t="shared" si="191"/>
        <v>12862</v>
      </c>
      <c r="CI268">
        <f t="shared" si="192"/>
        <v>2571.8</v>
      </c>
      <c r="CK268">
        <f t="shared" si="193"/>
        <v>51.65</v>
      </c>
      <c r="CL268">
        <f t="shared" si="194"/>
        <v>103.35</v>
      </c>
      <c r="CM268">
        <f t="shared" si="195"/>
        <v>70.502</v>
      </c>
      <c r="CN268">
        <v>267</v>
      </c>
      <c r="CO268">
        <f t="shared" si="196"/>
        <v>15489.2</v>
      </c>
      <c r="CP268">
        <f t="shared" si="197"/>
        <v>3099.04</v>
      </c>
      <c r="CR268">
        <f t="shared" si="198"/>
        <v>65.34</v>
      </c>
      <c r="CS268">
        <f t="shared" si="199"/>
        <v>130.68</v>
      </c>
      <c r="CT268">
        <f t="shared" si="200"/>
        <v>88.146</v>
      </c>
    </row>
    <row r="269" spans="78:98">
      <c r="BZ269">
        <v>268</v>
      </c>
      <c r="CA269">
        <f t="shared" si="186"/>
        <v>10483.1</v>
      </c>
      <c r="CB269">
        <f t="shared" si="187"/>
        <v>2096.48</v>
      </c>
      <c r="CD269">
        <f t="shared" si="188"/>
        <v>43.811</v>
      </c>
      <c r="CE269">
        <f t="shared" si="189"/>
        <v>87.688</v>
      </c>
      <c r="CF269">
        <f t="shared" si="190"/>
        <v>54.02</v>
      </c>
      <c r="CG269">
        <v>268</v>
      </c>
      <c r="CH269">
        <f t="shared" si="191"/>
        <v>12869</v>
      </c>
      <c r="CI269">
        <f t="shared" si="192"/>
        <v>2573.2</v>
      </c>
      <c r="CK269">
        <f t="shared" si="193"/>
        <v>51.675</v>
      </c>
      <c r="CL269">
        <f t="shared" si="194"/>
        <v>103.4</v>
      </c>
      <c r="CM269">
        <f t="shared" si="195"/>
        <v>70.549</v>
      </c>
      <c r="CN269">
        <v>268</v>
      </c>
      <c r="CO269">
        <f t="shared" si="196"/>
        <v>15494.8</v>
      </c>
      <c r="CP269">
        <f t="shared" si="197"/>
        <v>3100.16</v>
      </c>
      <c r="CR269">
        <f t="shared" si="198"/>
        <v>65.36</v>
      </c>
      <c r="CS269">
        <f t="shared" si="199"/>
        <v>130.72</v>
      </c>
      <c r="CT269">
        <f t="shared" si="200"/>
        <v>88.184</v>
      </c>
    </row>
    <row r="270" spans="78:98">
      <c r="BZ270">
        <v>269</v>
      </c>
      <c r="CA270">
        <f t="shared" si="186"/>
        <v>10492.4</v>
      </c>
      <c r="CB270">
        <f t="shared" si="187"/>
        <v>2098.34</v>
      </c>
      <c r="CD270">
        <f t="shared" si="188"/>
        <v>43.844</v>
      </c>
      <c r="CE270">
        <f t="shared" si="189"/>
        <v>87.754</v>
      </c>
      <c r="CF270">
        <f t="shared" si="190"/>
        <v>54.08</v>
      </c>
      <c r="CG270">
        <v>269</v>
      </c>
      <c r="CH270">
        <f t="shared" si="191"/>
        <v>12876</v>
      </c>
      <c r="CI270">
        <f t="shared" si="192"/>
        <v>2574.6</v>
      </c>
      <c r="CK270">
        <f t="shared" si="193"/>
        <v>51.7</v>
      </c>
      <c r="CL270">
        <f t="shared" si="194"/>
        <v>103.45</v>
      </c>
      <c r="CM270">
        <f t="shared" si="195"/>
        <v>70.596</v>
      </c>
      <c r="CN270">
        <v>269</v>
      </c>
      <c r="CO270">
        <f t="shared" si="196"/>
        <v>15500.4</v>
      </c>
      <c r="CP270">
        <f t="shared" si="197"/>
        <v>3101.28</v>
      </c>
      <c r="CR270">
        <f t="shared" si="198"/>
        <v>65.38</v>
      </c>
      <c r="CS270">
        <f t="shared" si="199"/>
        <v>130.76</v>
      </c>
      <c r="CT270">
        <f t="shared" si="200"/>
        <v>88.222</v>
      </c>
    </row>
    <row r="271" spans="78:98">
      <c r="BZ271">
        <v>270</v>
      </c>
      <c r="CA271">
        <f t="shared" si="186"/>
        <v>10501.7</v>
      </c>
      <c r="CB271">
        <f t="shared" si="187"/>
        <v>2100.2</v>
      </c>
      <c r="CD271">
        <f t="shared" si="188"/>
        <v>43.877</v>
      </c>
      <c r="CE271">
        <f t="shared" si="189"/>
        <v>87.82</v>
      </c>
      <c r="CF271">
        <f t="shared" si="190"/>
        <v>54.14</v>
      </c>
      <c r="CG271">
        <v>270</v>
      </c>
      <c r="CH271">
        <f t="shared" si="191"/>
        <v>12883</v>
      </c>
      <c r="CI271">
        <f t="shared" si="192"/>
        <v>2576</v>
      </c>
      <c r="CK271">
        <f t="shared" si="193"/>
        <v>51.725</v>
      </c>
      <c r="CL271">
        <f t="shared" si="194"/>
        <v>103.5</v>
      </c>
      <c r="CM271">
        <f t="shared" si="195"/>
        <v>70.643</v>
      </c>
      <c r="CN271">
        <v>270</v>
      </c>
      <c r="CO271">
        <f t="shared" si="196"/>
        <v>15506</v>
      </c>
      <c r="CP271">
        <f t="shared" si="197"/>
        <v>3102.4</v>
      </c>
      <c r="CR271">
        <f t="shared" si="198"/>
        <v>65.4</v>
      </c>
      <c r="CS271">
        <f t="shared" si="199"/>
        <v>130.8</v>
      </c>
      <c r="CT271">
        <f t="shared" si="200"/>
        <v>88.26</v>
      </c>
    </row>
    <row r="272" spans="78:98">
      <c r="BZ272">
        <v>271</v>
      </c>
      <c r="CA272">
        <f t="shared" si="186"/>
        <v>10511</v>
      </c>
      <c r="CB272">
        <f t="shared" si="187"/>
        <v>2102.06</v>
      </c>
      <c r="CD272">
        <f t="shared" si="188"/>
        <v>43.91</v>
      </c>
      <c r="CE272">
        <f t="shared" si="189"/>
        <v>87.886</v>
      </c>
      <c r="CF272">
        <f t="shared" si="190"/>
        <v>54.2</v>
      </c>
      <c r="CG272">
        <v>271</v>
      </c>
      <c r="CH272">
        <f t="shared" si="191"/>
        <v>12890</v>
      </c>
      <c r="CI272">
        <f t="shared" si="192"/>
        <v>2577.4</v>
      </c>
      <c r="CK272">
        <f t="shared" si="193"/>
        <v>51.75</v>
      </c>
      <c r="CL272">
        <f t="shared" si="194"/>
        <v>103.55</v>
      </c>
      <c r="CM272">
        <f t="shared" si="195"/>
        <v>70.69</v>
      </c>
      <c r="CN272">
        <v>271</v>
      </c>
      <c r="CO272">
        <f t="shared" si="196"/>
        <v>15511.6</v>
      </c>
      <c r="CP272">
        <f t="shared" si="197"/>
        <v>3103.52</v>
      </c>
      <c r="CR272">
        <f t="shared" si="198"/>
        <v>65.42</v>
      </c>
      <c r="CS272">
        <f t="shared" si="199"/>
        <v>130.84</v>
      </c>
      <c r="CT272">
        <f t="shared" si="200"/>
        <v>88.298</v>
      </c>
    </row>
    <row r="273" spans="78:98">
      <c r="BZ273">
        <v>272</v>
      </c>
      <c r="CA273">
        <f t="shared" si="186"/>
        <v>10520.3</v>
      </c>
      <c r="CB273">
        <f t="shared" si="187"/>
        <v>2103.92</v>
      </c>
      <c r="CD273">
        <f t="shared" si="188"/>
        <v>43.943</v>
      </c>
      <c r="CE273">
        <f t="shared" si="189"/>
        <v>87.952</v>
      </c>
      <c r="CF273">
        <f t="shared" si="190"/>
        <v>54.26</v>
      </c>
      <c r="CG273">
        <v>272</v>
      </c>
      <c r="CH273">
        <f t="shared" si="191"/>
        <v>12897</v>
      </c>
      <c r="CI273">
        <f t="shared" si="192"/>
        <v>2578.8</v>
      </c>
      <c r="CK273">
        <f t="shared" si="193"/>
        <v>51.775</v>
      </c>
      <c r="CL273">
        <f t="shared" si="194"/>
        <v>103.6</v>
      </c>
      <c r="CM273">
        <f t="shared" si="195"/>
        <v>70.737</v>
      </c>
      <c r="CN273">
        <v>272</v>
      </c>
      <c r="CO273">
        <f t="shared" si="196"/>
        <v>15517.2</v>
      </c>
      <c r="CP273">
        <f t="shared" si="197"/>
        <v>3104.64</v>
      </c>
      <c r="CR273">
        <f t="shared" si="198"/>
        <v>65.44</v>
      </c>
      <c r="CS273">
        <f t="shared" si="199"/>
        <v>130.88</v>
      </c>
      <c r="CT273">
        <f t="shared" si="200"/>
        <v>88.336</v>
      </c>
    </row>
    <row r="274" spans="78:98">
      <c r="BZ274">
        <v>273</v>
      </c>
      <c r="CA274">
        <f t="shared" si="186"/>
        <v>10529.6</v>
      </c>
      <c r="CB274">
        <f t="shared" si="187"/>
        <v>2105.78</v>
      </c>
      <c r="CD274">
        <f t="shared" si="188"/>
        <v>43.976</v>
      </c>
      <c r="CE274">
        <f t="shared" si="189"/>
        <v>88.018</v>
      </c>
      <c r="CF274">
        <f t="shared" si="190"/>
        <v>54.32</v>
      </c>
      <c r="CG274">
        <v>273</v>
      </c>
      <c r="CH274">
        <f t="shared" si="191"/>
        <v>12904</v>
      </c>
      <c r="CI274">
        <f t="shared" si="192"/>
        <v>2580.2</v>
      </c>
      <c r="CK274">
        <f t="shared" si="193"/>
        <v>51.8</v>
      </c>
      <c r="CL274">
        <f t="shared" si="194"/>
        <v>103.65</v>
      </c>
      <c r="CM274">
        <f t="shared" si="195"/>
        <v>70.784</v>
      </c>
      <c r="CN274">
        <v>273</v>
      </c>
      <c r="CO274">
        <f t="shared" si="196"/>
        <v>15522.8</v>
      </c>
      <c r="CP274">
        <f t="shared" si="197"/>
        <v>3105.76</v>
      </c>
      <c r="CR274">
        <f t="shared" si="198"/>
        <v>65.46</v>
      </c>
      <c r="CS274">
        <f t="shared" si="199"/>
        <v>130.92</v>
      </c>
      <c r="CT274">
        <f t="shared" si="200"/>
        <v>88.374</v>
      </c>
    </row>
    <row r="275" spans="78:98">
      <c r="BZ275">
        <v>274</v>
      </c>
      <c r="CA275">
        <f t="shared" si="186"/>
        <v>10538.9</v>
      </c>
      <c r="CB275">
        <f t="shared" si="187"/>
        <v>2107.64</v>
      </c>
      <c r="CD275">
        <f t="shared" si="188"/>
        <v>44.009</v>
      </c>
      <c r="CE275">
        <f t="shared" si="189"/>
        <v>88.084</v>
      </c>
      <c r="CF275">
        <f t="shared" si="190"/>
        <v>54.38</v>
      </c>
      <c r="CG275">
        <v>274</v>
      </c>
      <c r="CH275">
        <f t="shared" si="191"/>
        <v>12911</v>
      </c>
      <c r="CI275">
        <f t="shared" si="192"/>
        <v>2581.6</v>
      </c>
      <c r="CK275">
        <f t="shared" si="193"/>
        <v>51.825</v>
      </c>
      <c r="CL275">
        <f t="shared" si="194"/>
        <v>103.7</v>
      </c>
      <c r="CM275">
        <f t="shared" si="195"/>
        <v>70.831</v>
      </c>
      <c r="CN275">
        <v>274</v>
      </c>
      <c r="CO275">
        <f t="shared" si="196"/>
        <v>15528.4</v>
      </c>
      <c r="CP275">
        <f t="shared" si="197"/>
        <v>3106.88</v>
      </c>
      <c r="CR275">
        <f t="shared" si="198"/>
        <v>65.48</v>
      </c>
      <c r="CS275">
        <f t="shared" si="199"/>
        <v>130.96</v>
      </c>
      <c r="CT275">
        <f t="shared" si="200"/>
        <v>88.412</v>
      </c>
    </row>
    <row r="276" spans="78:98">
      <c r="BZ276">
        <v>275</v>
      </c>
      <c r="CA276">
        <f t="shared" si="186"/>
        <v>10548.2</v>
      </c>
      <c r="CB276">
        <f t="shared" si="187"/>
        <v>2109.5</v>
      </c>
      <c r="CD276">
        <f t="shared" si="188"/>
        <v>44.042</v>
      </c>
      <c r="CE276">
        <f t="shared" si="189"/>
        <v>88.15</v>
      </c>
      <c r="CF276">
        <f t="shared" si="190"/>
        <v>54.44</v>
      </c>
      <c r="CG276">
        <v>275</v>
      </c>
      <c r="CH276">
        <f t="shared" si="191"/>
        <v>12918</v>
      </c>
      <c r="CI276">
        <f t="shared" si="192"/>
        <v>2583</v>
      </c>
      <c r="CK276">
        <f t="shared" si="193"/>
        <v>51.85</v>
      </c>
      <c r="CL276">
        <f t="shared" si="194"/>
        <v>103.75</v>
      </c>
      <c r="CM276">
        <f t="shared" si="195"/>
        <v>70.878</v>
      </c>
      <c r="CN276">
        <v>275</v>
      </c>
      <c r="CO276">
        <f t="shared" si="196"/>
        <v>15534</v>
      </c>
      <c r="CP276">
        <f t="shared" si="197"/>
        <v>3108</v>
      </c>
      <c r="CR276">
        <f t="shared" si="198"/>
        <v>65.5</v>
      </c>
      <c r="CS276">
        <f t="shared" si="199"/>
        <v>131</v>
      </c>
      <c r="CT276">
        <f t="shared" si="200"/>
        <v>88.45</v>
      </c>
    </row>
    <row r="277" spans="78:98">
      <c r="BZ277">
        <v>276</v>
      </c>
      <c r="CA277">
        <f t="shared" si="186"/>
        <v>10557.5</v>
      </c>
      <c r="CB277">
        <f t="shared" si="187"/>
        <v>2111.36</v>
      </c>
      <c r="CD277">
        <f t="shared" si="188"/>
        <v>44.075</v>
      </c>
      <c r="CE277">
        <f t="shared" si="189"/>
        <v>88.216</v>
      </c>
      <c r="CF277">
        <f t="shared" si="190"/>
        <v>54.5</v>
      </c>
      <c r="CG277">
        <v>276</v>
      </c>
      <c r="CH277">
        <f t="shared" si="191"/>
        <v>12925</v>
      </c>
      <c r="CI277">
        <f t="shared" si="192"/>
        <v>2584.4</v>
      </c>
      <c r="CK277">
        <f t="shared" si="193"/>
        <v>51.875</v>
      </c>
      <c r="CL277">
        <f t="shared" si="194"/>
        <v>103.8</v>
      </c>
      <c r="CM277">
        <f t="shared" si="195"/>
        <v>70.925</v>
      </c>
      <c r="CN277">
        <v>276</v>
      </c>
      <c r="CO277">
        <f t="shared" si="196"/>
        <v>15539.6</v>
      </c>
      <c r="CP277">
        <f t="shared" si="197"/>
        <v>3109.12</v>
      </c>
      <c r="CR277">
        <f t="shared" si="198"/>
        <v>65.52</v>
      </c>
      <c r="CS277">
        <f t="shared" si="199"/>
        <v>131.04</v>
      </c>
      <c r="CT277">
        <f t="shared" si="200"/>
        <v>88.488</v>
      </c>
    </row>
    <row r="278" spans="78:98">
      <c r="BZ278">
        <v>277</v>
      </c>
      <c r="CA278">
        <f t="shared" si="186"/>
        <v>10566.8</v>
      </c>
      <c r="CB278">
        <f t="shared" si="187"/>
        <v>2113.22</v>
      </c>
      <c r="CD278">
        <f t="shared" si="188"/>
        <v>44.108</v>
      </c>
      <c r="CE278">
        <f t="shared" si="189"/>
        <v>88.282</v>
      </c>
      <c r="CF278">
        <f t="shared" si="190"/>
        <v>54.56</v>
      </c>
      <c r="CG278">
        <v>277</v>
      </c>
      <c r="CH278">
        <f t="shared" si="191"/>
        <v>12932</v>
      </c>
      <c r="CI278">
        <f t="shared" si="192"/>
        <v>2585.8</v>
      </c>
      <c r="CK278">
        <f t="shared" si="193"/>
        <v>51.9</v>
      </c>
      <c r="CL278">
        <f t="shared" si="194"/>
        <v>103.85</v>
      </c>
      <c r="CM278">
        <f t="shared" si="195"/>
        <v>70.972</v>
      </c>
      <c r="CN278">
        <v>277</v>
      </c>
      <c r="CO278">
        <f t="shared" si="196"/>
        <v>15545.2</v>
      </c>
      <c r="CP278">
        <f t="shared" si="197"/>
        <v>3110.24</v>
      </c>
      <c r="CR278">
        <f t="shared" si="198"/>
        <v>65.54</v>
      </c>
      <c r="CS278">
        <f t="shared" si="199"/>
        <v>131.08</v>
      </c>
      <c r="CT278">
        <f t="shared" si="200"/>
        <v>88.526</v>
      </c>
    </row>
    <row r="279" spans="78:98">
      <c r="BZ279">
        <v>278</v>
      </c>
      <c r="CA279">
        <f t="shared" si="186"/>
        <v>10576.1</v>
      </c>
      <c r="CB279">
        <f t="shared" si="187"/>
        <v>2115.08</v>
      </c>
      <c r="CD279">
        <f t="shared" si="188"/>
        <v>44.141</v>
      </c>
      <c r="CE279">
        <f t="shared" si="189"/>
        <v>88.348</v>
      </c>
      <c r="CF279">
        <f t="shared" si="190"/>
        <v>54.62</v>
      </c>
      <c r="CG279">
        <v>278</v>
      </c>
      <c r="CH279">
        <f t="shared" si="191"/>
        <v>12939</v>
      </c>
      <c r="CI279">
        <f t="shared" si="192"/>
        <v>2587.2</v>
      </c>
      <c r="CK279">
        <f t="shared" si="193"/>
        <v>51.925</v>
      </c>
      <c r="CL279">
        <f t="shared" si="194"/>
        <v>103.9</v>
      </c>
      <c r="CM279">
        <f t="shared" si="195"/>
        <v>71.019</v>
      </c>
      <c r="CN279">
        <v>278</v>
      </c>
      <c r="CO279">
        <f t="shared" si="196"/>
        <v>15550.8</v>
      </c>
      <c r="CP279">
        <f t="shared" si="197"/>
        <v>3111.36</v>
      </c>
      <c r="CR279">
        <f t="shared" si="198"/>
        <v>65.56</v>
      </c>
      <c r="CS279">
        <f t="shared" si="199"/>
        <v>131.12</v>
      </c>
      <c r="CT279">
        <f t="shared" si="200"/>
        <v>88.564</v>
      </c>
    </row>
    <row r="280" spans="78:98">
      <c r="BZ280">
        <v>279</v>
      </c>
      <c r="CA280">
        <f t="shared" si="186"/>
        <v>10585.4</v>
      </c>
      <c r="CB280">
        <f t="shared" si="187"/>
        <v>2116.94</v>
      </c>
      <c r="CD280">
        <f t="shared" si="188"/>
        <v>44.174</v>
      </c>
      <c r="CE280">
        <f t="shared" si="189"/>
        <v>88.414</v>
      </c>
      <c r="CF280">
        <f t="shared" si="190"/>
        <v>54.68</v>
      </c>
      <c r="CG280">
        <v>279</v>
      </c>
      <c r="CH280">
        <f t="shared" si="191"/>
        <v>12946</v>
      </c>
      <c r="CI280">
        <f t="shared" si="192"/>
        <v>2588.6</v>
      </c>
      <c r="CK280">
        <f t="shared" si="193"/>
        <v>51.95</v>
      </c>
      <c r="CL280">
        <f t="shared" si="194"/>
        <v>103.95</v>
      </c>
      <c r="CM280">
        <f t="shared" si="195"/>
        <v>71.066</v>
      </c>
      <c r="CN280">
        <v>279</v>
      </c>
      <c r="CO280">
        <f t="shared" si="196"/>
        <v>15556.4</v>
      </c>
      <c r="CP280">
        <f t="shared" si="197"/>
        <v>3112.48</v>
      </c>
      <c r="CR280">
        <f t="shared" si="198"/>
        <v>65.58</v>
      </c>
      <c r="CS280">
        <f t="shared" si="199"/>
        <v>131.16</v>
      </c>
      <c r="CT280">
        <f t="shared" si="200"/>
        <v>88.602</v>
      </c>
    </row>
    <row r="281" spans="78:98">
      <c r="BZ281">
        <v>280</v>
      </c>
      <c r="CA281">
        <f t="shared" si="186"/>
        <v>10594.7</v>
      </c>
      <c r="CB281">
        <f t="shared" si="187"/>
        <v>2118.8</v>
      </c>
      <c r="CD281">
        <f t="shared" si="188"/>
        <v>44.207</v>
      </c>
      <c r="CE281">
        <f t="shared" si="189"/>
        <v>88.48</v>
      </c>
      <c r="CF281">
        <f t="shared" si="190"/>
        <v>54.74</v>
      </c>
      <c r="CG281">
        <v>280</v>
      </c>
      <c r="CH281">
        <f t="shared" si="191"/>
        <v>12953</v>
      </c>
      <c r="CI281">
        <f t="shared" si="192"/>
        <v>2590</v>
      </c>
      <c r="CK281">
        <f t="shared" si="193"/>
        <v>51.975</v>
      </c>
      <c r="CL281">
        <f t="shared" si="194"/>
        <v>104</v>
      </c>
      <c r="CM281">
        <f t="shared" si="195"/>
        <v>71.113</v>
      </c>
      <c r="CN281">
        <v>280</v>
      </c>
      <c r="CO281">
        <f t="shared" si="196"/>
        <v>15562</v>
      </c>
      <c r="CP281">
        <f t="shared" si="197"/>
        <v>3113.6</v>
      </c>
      <c r="CR281">
        <f t="shared" si="198"/>
        <v>65.6</v>
      </c>
      <c r="CS281">
        <f t="shared" si="199"/>
        <v>131.2</v>
      </c>
      <c r="CT281">
        <f t="shared" si="200"/>
        <v>88.64</v>
      </c>
    </row>
    <row r="282" spans="78:98">
      <c r="BZ282">
        <v>281</v>
      </c>
      <c r="CA282">
        <f t="shared" si="186"/>
        <v>10604</v>
      </c>
      <c r="CB282">
        <f t="shared" si="187"/>
        <v>2120.66</v>
      </c>
      <c r="CD282">
        <f t="shared" si="188"/>
        <v>44.24</v>
      </c>
      <c r="CE282">
        <f t="shared" si="189"/>
        <v>88.546</v>
      </c>
      <c r="CF282">
        <f t="shared" si="190"/>
        <v>54.8</v>
      </c>
      <c r="CG282">
        <v>281</v>
      </c>
      <c r="CH282">
        <f t="shared" si="191"/>
        <v>12960</v>
      </c>
      <c r="CI282">
        <f t="shared" si="192"/>
        <v>2591.4</v>
      </c>
      <c r="CK282">
        <f t="shared" si="193"/>
        <v>52</v>
      </c>
      <c r="CL282">
        <f t="shared" si="194"/>
        <v>104.05</v>
      </c>
      <c r="CM282">
        <f t="shared" si="195"/>
        <v>71.16</v>
      </c>
      <c r="CN282">
        <v>281</v>
      </c>
      <c r="CO282">
        <f t="shared" si="196"/>
        <v>15567.6</v>
      </c>
      <c r="CP282">
        <f t="shared" si="197"/>
        <v>3114.72</v>
      </c>
      <c r="CR282">
        <f t="shared" si="198"/>
        <v>65.62</v>
      </c>
      <c r="CS282">
        <f t="shared" si="199"/>
        <v>131.24</v>
      </c>
      <c r="CT282">
        <f t="shared" si="200"/>
        <v>88.678</v>
      </c>
    </row>
    <row r="283" spans="78:98">
      <c r="BZ283">
        <v>282</v>
      </c>
      <c r="CA283">
        <f t="shared" si="186"/>
        <v>10613.3</v>
      </c>
      <c r="CB283">
        <f t="shared" si="187"/>
        <v>2122.52</v>
      </c>
      <c r="CD283">
        <f t="shared" si="188"/>
        <v>44.273</v>
      </c>
      <c r="CE283">
        <f t="shared" si="189"/>
        <v>88.612</v>
      </c>
      <c r="CF283">
        <f t="shared" si="190"/>
        <v>54.86</v>
      </c>
      <c r="CG283">
        <v>282</v>
      </c>
      <c r="CH283">
        <f t="shared" si="191"/>
        <v>12967</v>
      </c>
      <c r="CI283">
        <f t="shared" si="192"/>
        <v>2592.8</v>
      </c>
      <c r="CK283">
        <f t="shared" si="193"/>
        <v>52.025</v>
      </c>
      <c r="CL283">
        <f t="shared" si="194"/>
        <v>104.1</v>
      </c>
      <c r="CM283">
        <f t="shared" si="195"/>
        <v>71.207</v>
      </c>
      <c r="CN283">
        <v>282</v>
      </c>
      <c r="CO283">
        <f t="shared" si="196"/>
        <v>15573.2</v>
      </c>
      <c r="CP283">
        <f t="shared" si="197"/>
        <v>3115.84</v>
      </c>
      <c r="CR283">
        <f t="shared" si="198"/>
        <v>65.64</v>
      </c>
      <c r="CS283">
        <f t="shared" si="199"/>
        <v>131.28</v>
      </c>
      <c r="CT283">
        <f t="shared" si="200"/>
        <v>88.716</v>
      </c>
    </row>
    <row r="284" spans="78:98">
      <c r="BZ284">
        <v>283</v>
      </c>
      <c r="CA284">
        <f t="shared" si="186"/>
        <v>10622.6</v>
      </c>
      <c r="CB284">
        <f t="shared" si="187"/>
        <v>2124.38</v>
      </c>
      <c r="CD284">
        <f t="shared" si="188"/>
        <v>44.306</v>
      </c>
      <c r="CE284">
        <f t="shared" si="189"/>
        <v>88.678</v>
      </c>
      <c r="CF284">
        <f t="shared" si="190"/>
        <v>54.92</v>
      </c>
      <c r="CG284">
        <v>283</v>
      </c>
      <c r="CH284">
        <f t="shared" si="191"/>
        <v>12974</v>
      </c>
      <c r="CI284">
        <f t="shared" si="192"/>
        <v>2594.2</v>
      </c>
      <c r="CK284">
        <f t="shared" si="193"/>
        <v>52.05</v>
      </c>
      <c r="CL284">
        <f t="shared" si="194"/>
        <v>104.15</v>
      </c>
      <c r="CM284">
        <f t="shared" si="195"/>
        <v>71.254</v>
      </c>
      <c r="CN284">
        <v>283</v>
      </c>
      <c r="CO284">
        <f t="shared" si="196"/>
        <v>15578.8</v>
      </c>
      <c r="CP284">
        <f t="shared" si="197"/>
        <v>3116.96</v>
      </c>
      <c r="CR284">
        <f t="shared" si="198"/>
        <v>65.66</v>
      </c>
      <c r="CS284">
        <f t="shared" si="199"/>
        <v>131.32</v>
      </c>
      <c r="CT284">
        <f t="shared" si="200"/>
        <v>88.754</v>
      </c>
    </row>
    <row r="285" spans="78:98">
      <c r="BZ285">
        <v>284</v>
      </c>
      <c r="CA285">
        <f t="shared" si="186"/>
        <v>10631.9</v>
      </c>
      <c r="CB285">
        <f t="shared" si="187"/>
        <v>2126.24</v>
      </c>
      <c r="CD285">
        <f t="shared" si="188"/>
        <v>44.339</v>
      </c>
      <c r="CE285">
        <f t="shared" si="189"/>
        <v>88.744</v>
      </c>
      <c r="CF285">
        <f t="shared" si="190"/>
        <v>54.98</v>
      </c>
      <c r="CG285">
        <v>284</v>
      </c>
      <c r="CH285">
        <f t="shared" si="191"/>
        <v>12981</v>
      </c>
      <c r="CI285">
        <f t="shared" si="192"/>
        <v>2595.6</v>
      </c>
      <c r="CK285">
        <f t="shared" si="193"/>
        <v>52.075</v>
      </c>
      <c r="CL285">
        <f t="shared" si="194"/>
        <v>104.2</v>
      </c>
      <c r="CM285">
        <f t="shared" si="195"/>
        <v>71.301</v>
      </c>
      <c r="CN285">
        <v>284</v>
      </c>
      <c r="CO285">
        <f t="shared" si="196"/>
        <v>15584.4</v>
      </c>
      <c r="CP285">
        <f t="shared" si="197"/>
        <v>3118.08</v>
      </c>
      <c r="CR285">
        <f t="shared" si="198"/>
        <v>65.68</v>
      </c>
      <c r="CS285">
        <f t="shared" si="199"/>
        <v>131.36</v>
      </c>
      <c r="CT285">
        <f t="shared" si="200"/>
        <v>88.792</v>
      </c>
    </row>
    <row r="286" spans="78:98">
      <c r="BZ286">
        <v>285</v>
      </c>
      <c r="CA286">
        <f t="shared" si="186"/>
        <v>10641.2</v>
      </c>
      <c r="CB286">
        <f t="shared" si="187"/>
        <v>2128.1</v>
      </c>
      <c r="CD286">
        <f t="shared" si="188"/>
        <v>44.372</v>
      </c>
      <c r="CE286">
        <f t="shared" si="189"/>
        <v>88.81</v>
      </c>
      <c r="CF286">
        <f t="shared" si="190"/>
        <v>55.04</v>
      </c>
      <c r="CG286">
        <v>285</v>
      </c>
      <c r="CH286">
        <f t="shared" si="191"/>
        <v>12988</v>
      </c>
      <c r="CI286">
        <f t="shared" si="192"/>
        <v>2597</v>
      </c>
      <c r="CK286">
        <f t="shared" si="193"/>
        <v>52.1</v>
      </c>
      <c r="CL286">
        <f t="shared" si="194"/>
        <v>104.25</v>
      </c>
      <c r="CM286">
        <f t="shared" si="195"/>
        <v>71.348</v>
      </c>
      <c r="CN286">
        <v>285</v>
      </c>
      <c r="CO286">
        <f t="shared" si="196"/>
        <v>15590</v>
      </c>
      <c r="CP286">
        <f t="shared" si="197"/>
        <v>3119.2</v>
      </c>
      <c r="CR286">
        <f t="shared" si="198"/>
        <v>65.7</v>
      </c>
      <c r="CS286">
        <f t="shared" si="199"/>
        <v>131.4</v>
      </c>
      <c r="CT286">
        <f t="shared" si="200"/>
        <v>88.83</v>
      </c>
    </row>
    <row r="287" spans="78:98">
      <c r="BZ287">
        <v>286</v>
      </c>
      <c r="CA287">
        <f t="shared" si="186"/>
        <v>10650.5</v>
      </c>
      <c r="CB287">
        <f t="shared" si="187"/>
        <v>2129.96</v>
      </c>
      <c r="CD287">
        <f t="shared" si="188"/>
        <v>44.405</v>
      </c>
      <c r="CE287">
        <f t="shared" si="189"/>
        <v>88.876</v>
      </c>
      <c r="CF287">
        <f t="shared" si="190"/>
        <v>55.1</v>
      </c>
      <c r="CG287">
        <v>286</v>
      </c>
      <c r="CH287">
        <f t="shared" si="191"/>
        <v>12995</v>
      </c>
      <c r="CI287">
        <f t="shared" si="192"/>
        <v>2598.4</v>
      </c>
      <c r="CK287">
        <f t="shared" si="193"/>
        <v>52.125</v>
      </c>
      <c r="CL287">
        <f t="shared" si="194"/>
        <v>104.3</v>
      </c>
      <c r="CM287">
        <f t="shared" si="195"/>
        <v>71.395</v>
      </c>
      <c r="CN287">
        <v>286</v>
      </c>
      <c r="CO287">
        <f t="shared" si="196"/>
        <v>15595.6</v>
      </c>
      <c r="CP287">
        <f t="shared" si="197"/>
        <v>3120.32</v>
      </c>
      <c r="CR287">
        <f t="shared" si="198"/>
        <v>65.72</v>
      </c>
      <c r="CS287">
        <f t="shared" si="199"/>
        <v>131.44</v>
      </c>
      <c r="CT287">
        <f t="shared" si="200"/>
        <v>88.868</v>
      </c>
    </row>
    <row r="288" spans="78:98">
      <c r="BZ288">
        <v>287</v>
      </c>
      <c r="CA288">
        <f t="shared" si="186"/>
        <v>10659.8</v>
      </c>
      <c r="CB288">
        <f t="shared" si="187"/>
        <v>2131.82</v>
      </c>
      <c r="CD288">
        <f t="shared" si="188"/>
        <v>44.438</v>
      </c>
      <c r="CE288">
        <f t="shared" si="189"/>
        <v>88.942</v>
      </c>
      <c r="CF288">
        <f t="shared" si="190"/>
        <v>55.16</v>
      </c>
      <c r="CG288">
        <v>287</v>
      </c>
      <c r="CH288">
        <f t="shared" si="191"/>
        <v>13002</v>
      </c>
      <c r="CI288">
        <f t="shared" si="192"/>
        <v>2599.8</v>
      </c>
      <c r="CK288">
        <f t="shared" si="193"/>
        <v>52.15</v>
      </c>
      <c r="CL288">
        <f t="shared" si="194"/>
        <v>104.35</v>
      </c>
      <c r="CM288">
        <f t="shared" si="195"/>
        <v>71.442</v>
      </c>
      <c r="CN288">
        <v>287</v>
      </c>
      <c r="CO288">
        <f t="shared" si="196"/>
        <v>15601.2</v>
      </c>
      <c r="CP288">
        <f t="shared" si="197"/>
        <v>3121.44</v>
      </c>
      <c r="CR288">
        <f t="shared" si="198"/>
        <v>65.74</v>
      </c>
      <c r="CS288">
        <f t="shared" si="199"/>
        <v>131.48</v>
      </c>
      <c r="CT288">
        <f t="shared" si="200"/>
        <v>88.906</v>
      </c>
    </row>
    <row r="289" spans="78:98">
      <c r="BZ289">
        <v>288</v>
      </c>
      <c r="CA289">
        <f t="shared" si="186"/>
        <v>10669.1</v>
      </c>
      <c r="CB289">
        <f t="shared" si="187"/>
        <v>2133.68</v>
      </c>
      <c r="CD289">
        <f t="shared" si="188"/>
        <v>44.471</v>
      </c>
      <c r="CE289">
        <f t="shared" si="189"/>
        <v>89.008</v>
      </c>
      <c r="CF289">
        <f t="shared" si="190"/>
        <v>55.22</v>
      </c>
      <c r="CG289">
        <v>288</v>
      </c>
      <c r="CH289">
        <f t="shared" si="191"/>
        <v>13009</v>
      </c>
      <c r="CI289">
        <f t="shared" si="192"/>
        <v>2601.2</v>
      </c>
      <c r="CK289">
        <f t="shared" si="193"/>
        <v>52.175</v>
      </c>
      <c r="CL289">
        <f t="shared" si="194"/>
        <v>104.4</v>
      </c>
      <c r="CM289">
        <f t="shared" si="195"/>
        <v>71.489</v>
      </c>
      <c r="CN289">
        <v>288</v>
      </c>
      <c r="CO289">
        <f t="shared" si="196"/>
        <v>15606.8</v>
      </c>
      <c r="CP289">
        <f t="shared" si="197"/>
        <v>3122.56</v>
      </c>
      <c r="CR289">
        <f t="shared" si="198"/>
        <v>65.76</v>
      </c>
      <c r="CS289">
        <f t="shared" si="199"/>
        <v>131.52</v>
      </c>
      <c r="CT289">
        <f t="shared" si="200"/>
        <v>88.944</v>
      </c>
    </row>
    <row r="290" spans="78:98">
      <c r="BZ290">
        <v>289</v>
      </c>
      <c r="CA290">
        <f t="shared" si="186"/>
        <v>10678.4</v>
      </c>
      <c r="CB290">
        <f t="shared" si="187"/>
        <v>2135.54</v>
      </c>
      <c r="CD290">
        <f t="shared" si="188"/>
        <v>44.504</v>
      </c>
      <c r="CE290">
        <f t="shared" si="189"/>
        <v>89.074</v>
      </c>
      <c r="CF290">
        <f t="shared" si="190"/>
        <v>55.28</v>
      </c>
      <c r="CG290">
        <v>289</v>
      </c>
      <c r="CH290">
        <f t="shared" si="191"/>
        <v>13016</v>
      </c>
      <c r="CI290">
        <f t="shared" si="192"/>
        <v>2602.6</v>
      </c>
      <c r="CK290">
        <f t="shared" si="193"/>
        <v>52.2</v>
      </c>
      <c r="CL290">
        <f t="shared" si="194"/>
        <v>104.45</v>
      </c>
      <c r="CM290">
        <f t="shared" si="195"/>
        <v>71.536</v>
      </c>
      <c r="CN290">
        <v>289</v>
      </c>
      <c r="CO290">
        <f t="shared" si="196"/>
        <v>15612.4</v>
      </c>
      <c r="CP290">
        <f t="shared" si="197"/>
        <v>3123.68</v>
      </c>
      <c r="CR290">
        <f t="shared" si="198"/>
        <v>65.78</v>
      </c>
      <c r="CS290">
        <f t="shared" si="199"/>
        <v>131.56</v>
      </c>
      <c r="CT290">
        <f t="shared" si="200"/>
        <v>88.982</v>
      </c>
    </row>
    <row r="291" spans="78:98">
      <c r="BZ291">
        <v>290</v>
      </c>
      <c r="CA291">
        <f t="shared" si="186"/>
        <v>10687.7</v>
      </c>
      <c r="CB291">
        <f t="shared" si="187"/>
        <v>2137.4</v>
      </c>
      <c r="CD291">
        <f t="shared" si="188"/>
        <v>44.537</v>
      </c>
      <c r="CE291">
        <f t="shared" si="189"/>
        <v>89.14</v>
      </c>
      <c r="CF291">
        <f t="shared" si="190"/>
        <v>55.34</v>
      </c>
      <c r="CG291">
        <v>290</v>
      </c>
      <c r="CH291">
        <f t="shared" si="191"/>
        <v>13023</v>
      </c>
      <c r="CI291">
        <f t="shared" si="192"/>
        <v>2604</v>
      </c>
      <c r="CK291">
        <f t="shared" si="193"/>
        <v>52.225</v>
      </c>
      <c r="CL291">
        <f t="shared" si="194"/>
        <v>104.5</v>
      </c>
      <c r="CM291">
        <f t="shared" si="195"/>
        <v>71.583</v>
      </c>
      <c r="CN291">
        <v>290</v>
      </c>
      <c r="CO291">
        <f t="shared" si="196"/>
        <v>15618</v>
      </c>
      <c r="CP291">
        <f t="shared" si="197"/>
        <v>3124.8</v>
      </c>
      <c r="CR291">
        <f t="shared" si="198"/>
        <v>65.8</v>
      </c>
      <c r="CS291">
        <f t="shared" si="199"/>
        <v>131.6</v>
      </c>
      <c r="CT291">
        <f t="shared" si="200"/>
        <v>89.02</v>
      </c>
    </row>
    <row r="292" spans="78:98">
      <c r="BZ292">
        <v>291</v>
      </c>
      <c r="CA292">
        <f t="shared" si="186"/>
        <v>10697</v>
      </c>
      <c r="CB292">
        <f t="shared" si="187"/>
        <v>2139.26</v>
      </c>
      <c r="CD292">
        <f t="shared" si="188"/>
        <v>44.57</v>
      </c>
      <c r="CE292">
        <f t="shared" si="189"/>
        <v>89.206</v>
      </c>
      <c r="CF292">
        <f t="shared" si="190"/>
        <v>55.4</v>
      </c>
      <c r="CG292">
        <v>291</v>
      </c>
      <c r="CH292">
        <f t="shared" si="191"/>
        <v>13030</v>
      </c>
      <c r="CI292">
        <f t="shared" si="192"/>
        <v>2605.4</v>
      </c>
      <c r="CK292">
        <f t="shared" si="193"/>
        <v>52.25</v>
      </c>
      <c r="CL292">
        <f t="shared" si="194"/>
        <v>104.55</v>
      </c>
      <c r="CM292">
        <f t="shared" si="195"/>
        <v>71.63</v>
      </c>
      <c r="CN292">
        <v>291</v>
      </c>
      <c r="CO292">
        <f t="shared" si="196"/>
        <v>15623.6</v>
      </c>
      <c r="CP292">
        <f t="shared" si="197"/>
        <v>3125.92</v>
      </c>
      <c r="CR292">
        <f t="shared" si="198"/>
        <v>65.82</v>
      </c>
      <c r="CS292">
        <f t="shared" si="199"/>
        <v>131.64</v>
      </c>
      <c r="CT292">
        <f t="shared" si="200"/>
        <v>89.058</v>
      </c>
    </row>
    <row r="293" spans="78:98">
      <c r="BZ293">
        <v>292</v>
      </c>
      <c r="CA293">
        <f t="shared" si="186"/>
        <v>10706.3</v>
      </c>
      <c r="CB293">
        <f t="shared" si="187"/>
        <v>2141.12</v>
      </c>
      <c r="CD293">
        <f t="shared" si="188"/>
        <v>44.603</v>
      </c>
      <c r="CE293">
        <f t="shared" si="189"/>
        <v>89.272</v>
      </c>
      <c r="CF293">
        <f t="shared" si="190"/>
        <v>55.46</v>
      </c>
      <c r="CG293">
        <v>292</v>
      </c>
      <c r="CH293">
        <f t="shared" si="191"/>
        <v>13037</v>
      </c>
      <c r="CI293">
        <f t="shared" si="192"/>
        <v>2606.8</v>
      </c>
      <c r="CK293">
        <f t="shared" si="193"/>
        <v>52.275</v>
      </c>
      <c r="CL293">
        <f t="shared" si="194"/>
        <v>104.6</v>
      </c>
      <c r="CM293">
        <f t="shared" si="195"/>
        <v>71.677</v>
      </c>
      <c r="CN293">
        <v>292</v>
      </c>
      <c r="CO293">
        <f t="shared" si="196"/>
        <v>15629.2</v>
      </c>
      <c r="CP293">
        <f t="shared" si="197"/>
        <v>3127.04</v>
      </c>
      <c r="CR293">
        <f t="shared" si="198"/>
        <v>65.84</v>
      </c>
      <c r="CS293">
        <f t="shared" si="199"/>
        <v>131.68</v>
      </c>
      <c r="CT293">
        <f t="shared" si="200"/>
        <v>89.096</v>
      </c>
    </row>
    <row r="294" spans="78:98">
      <c r="BZ294">
        <v>293</v>
      </c>
      <c r="CA294">
        <f t="shared" si="186"/>
        <v>10715.6</v>
      </c>
      <c r="CB294">
        <f t="shared" si="187"/>
        <v>2142.98</v>
      </c>
      <c r="CD294">
        <f t="shared" si="188"/>
        <v>44.636</v>
      </c>
      <c r="CE294">
        <f t="shared" si="189"/>
        <v>89.338</v>
      </c>
      <c r="CF294">
        <f t="shared" si="190"/>
        <v>55.52</v>
      </c>
      <c r="CG294">
        <v>293</v>
      </c>
      <c r="CH294">
        <f t="shared" si="191"/>
        <v>13044</v>
      </c>
      <c r="CI294">
        <f t="shared" si="192"/>
        <v>2608.2</v>
      </c>
      <c r="CK294">
        <f t="shared" si="193"/>
        <v>52.3</v>
      </c>
      <c r="CL294">
        <f t="shared" si="194"/>
        <v>104.65</v>
      </c>
      <c r="CM294">
        <f t="shared" si="195"/>
        <v>71.724</v>
      </c>
      <c r="CN294">
        <v>293</v>
      </c>
      <c r="CO294">
        <f t="shared" si="196"/>
        <v>15634.8</v>
      </c>
      <c r="CP294">
        <f t="shared" si="197"/>
        <v>3128.16</v>
      </c>
      <c r="CR294">
        <f t="shared" si="198"/>
        <v>65.86</v>
      </c>
      <c r="CS294">
        <f t="shared" si="199"/>
        <v>131.72</v>
      </c>
      <c r="CT294">
        <f t="shared" si="200"/>
        <v>89.134</v>
      </c>
    </row>
    <row r="295" spans="78:98">
      <c r="BZ295">
        <v>294</v>
      </c>
      <c r="CA295">
        <f t="shared" si="186"/>
        <v>10724.9</v>
      </c>
      <c r="CB295">
        <f t="shared" si="187"/>
        <v>2144.84</v>
      </c>
      <c r="CD295">
        <f t="shared" si="188"/>
        <v>44.669</v>
      </c>
      <c r="CE295">
        <f t="shared" si="189"/>
        <v>89.404</v>
      </c>
      <c r="CF295">
        <f t="shared" si="190"/>
        <v>55.58</v>
      </c>
      <c r="CG295">
        <v>294</v>
      </c>
      <c r="CH295">
        <f t="shared" si="191"/>
        <v>13051</v>
      </c>
      <c r="CI295">
        <f t="shared" si="192"/>
        <v>2609.6</v>
      </c>
      <c r="CK295">
        <f t="shared" si="193"/>
        <v>52.325</v>
      </c>
      <c r="CL295">
        <f t="shared" si="194"/>
        <v>104.7</v>
      </c>
      <c r="CM295">
        <f t="shared" si="195"/>
        <v>71.771</v>
      </c>
      <c r="CN295">
        <v>294</v>
      </c>
      <c r="CO295">
        <f t="shared" si="196"/>
        <v>15640.4</v>
      </c>
      <c r="CP295">
        <f t="shared" si="197"/>
        <v>3129.28</v>
      </c>
      <c r="CR295">
        <f t="shared" si="198"/>
        <v>65.88</v>
      </c>
      <c r="CS295">
        <f t="shared" si="199"/>
        <v>131.76</v>
      </c>
      <c r="CT295">
        <f t="shared" si="200"/>
        <v>89.172</v>
      </c>
    </row>
    <row r="296" spans="78:98">
      <c r="BZ296">
        <v>295</v>
      </c>
      <c r="CA296">
        <f t="shared" si="186"/>
        <v>10734.2</v>
      </c>
      <c r="CB296">
        <f t="shared" si="187"/>
        <v>2146.7</v>
      </c>
      <c r="CD296">
        <f t="shared" si="188"/>
        <v>44.702</v>
      </c>
      <c r="CE296">
        <f t="shared" si="189"/>
        <v>89.47</v>
      </c>
      <c r="CF296">
        <f t="shared" si="190"/>
        <v>55.64</v>
      </c>
      <c r="CG296">
        <v>295</v>
      </c>
      <c r="CH296">
        <f t="shared" si="191"/>
        <v>13058</v>
      </c>
      <c r="CI296">
        <f t="shared" si="192"/>
        <v>2611</v>
      </c>
      <c r="CK296">
        <f t="shared" si="193"/>
        <v>52.35</v>
      </c>
      <c r="CL296">
        <f t="shared" si="194"/>
        <v>104.75</v>
      </c>
      <c r="CM296">
        <f t="shared" si="195"/>
        <v>71.818</v>
      </c>
      <c r="CN296">
        <v>295</v>
      </c>
      <c r="CO296">
        <f t="shared" si="196"/>
        <v>15646</v>
      </c>
      <c r="CP296">
        <f t="shared" si="197"/>
        <v>3130.4</v>
      </c>
      <c r="CR296">
        <f t="shared" si="198"/>
        <v>65.9</v>
      </c>
      <c r="CS296">
        <f t="shared" si="199"/>
        <v>131.8</v>
      </c>
      <c r="CT296">
        <f t="shared" si="200"/>
        <v>89.21</v>
      </c>
    </row>
    <row r="297" spans="78:98">
      <c r="BZ297">
        <v>296</v>
      </c>
      <c r="CA297">
        <f t="shared" si="186"/>
        <v>10743.5</v>
      </c>
      <c r="CB297">
        <f t="shared" si="187"/>
        <v>2148.56</v>
      </c>
      <c r="CD297">
        <f t="shared" si="188"/>
        <v>44.735</v>
      </c>
      <c r="CE297">
        <f t="shared" si="189"/>
        <v>89.536</v>
      </c>
      <c r="CF297">
        <f t="shared" si="190"/>
        <v>55.7</v>
      </c>
      <c r="CG297">
        <v>296</v>
      </c>
      <c r="CH297">
        <f t="shared" si="191"/>
        <v>13065</v>
      </c>
      <c r="CI297">
        <f t="shared" si="192"/>
        <v>2612.4</v>
      </c>
      <c r="CK297">
        <f t="shared" si="193"/>
        <v>52.375</v>
      </c>
      <c r="CL297">
        <f t="shared" si="194"/>
        <v>104.8</v>
      </c>
      <c r="CM297">
        <f t="shared" si="195"/>
        <v>71.865</v>
      </c>
      <c r="CN297">
        <v>296</v>
      </c>
      <c r="CO297">
        <f t="shared" si="196"/>
        <v>15651.6</v>
      </c>
      <c r="CP297">
        <f t="shared" si="197"/>
        <v>3131.52</v>
      </c>
      <c r="CR297">
        <f t="shared" si="198"/>
        <v>65.92</v>
      </c>
      <c r="CS297">
        <f t="shared" si="199"/>
        <v>131.84</v>
      </c>
      <c r="CT297">
        <f t="shared" si="200"/>
        <v>89.248</v>
      </c>
    </row>
    <row r="298" spans="78:98">
      <c r="BZ298">
        <v>297</v>
      </c>
      <c r="CA298">
        <f t="shared" si="186"/>
        <v>10752.8</v>
      </c>
      <c r="CB298">
        <f t="shared" si="187"/>
        <v>2150.42</v>
      </c>
      <c r="CD298">
        <f t="shared" si="188"/>
        <v>44.768</v>
      </c>
      <c r="CE298">
        <f t="shared" si="189"/>
        <v>89.602</v>
      </c>
      <c r="CF298">
        <f t="shared" si="190"/>
        <v>55.76</v>
      </c>
      <c r="CG298">
        <v>297</v>
      </c>
      <c r="CH298">
        <f t="shared" si="191"/>
        <v>13072</v>
      </c>
      <c r="CI298">
        <f t="shared" si="192"/>
        <v>2613.8</v>
      </c>
      <c r="CK298">
        <f t="shared" si="193"/>
        <v>52.4</v>
      </c>
      <c r="CL298">
        <f t="shared" si="194"/>
        <v>104.85</v>
      </c>
      <c r="CM298">
        <f t="shared" si="195"/>
        <v>71.912</v>
      </c>
      <c r="CN298">
        <v>297</v>
      </c>
      <c r="CO298">
        <f t="shared" si="196"/>
        <v>15657.2</v>
      </c>
      <c r="CP298">
        <f t="shared" si="197"/>
        <v>3132.64</v>
      </c>
      <c r="CR298">
        <f t="shared" si="198"/>
        <v>65.94</v>
      </c>
      <c r="CS298">
        <f t="shared" si="199"/>
        <v>131.88</v>
      </c>
      <c r="CT298">
        <f t="shared" si="200"/>
        <v>89.286</v>
      </c>
    </row>
    <row r="299" spans="78:98">
      <c r="BZ299">
        <v>298</v>
      </c>
      <c r="CA299">
        <f t="shared" si="186"/>
        <v>10762.1</v>
      </c>
      <c r="CB299">
        <f t="shared" si="187"/>
        <v>2152.28</v>
      </c>
      <c r="CD299">
        <f t="shared" si="188"/>
        <v>44.801</v>
      </c>
      <c r="CE299">
        <f t="shared" si="189"/>
        <v>89.668</v>
      </c>
      <c r="CF299">
        <f t="shared" si="190"/>
        <v>55.82</v>
      </c>
      <c r="CG299">
        <v>298</v>
      </c>
      <c r="CH299">
        <f t="shared" si="191"/>
        <v>13079</v>
      </c>
      <c r="CI299">
        <f t="shared" si="192"/>
        <v>2615.2</v>
      </c>
      <c r="CK299">
        <f t="shared" si="193"/>
        <v>52.425</v>
      </c>
      <c r="CL299">
        <f t="shared" si="194"/>
        <v>104.9</v>
      </c>
      <c r="CM299">
        <f t="shared" si="195"/>
        <v>71.959</v>
      </c>
      <c r="CN299">
        <v>298</v>
      </c>
      <c r="CO299">
        <f t="shared" si="196"/>
        <v>15662.8</v>
      </c>
      <c r="CP299">
        <f t="shared" si="197"/>
        <v>3133.76</v>
      </c>
      <c r="CR299">
        <f t="shared" si="198"/>
        <v>65.96</v>
      </c>
      <c r="CS299">
        <f t="shared" si="199"/>
        <v>131.92</v>
      </c>
      <c r="CT299">
        <f t="shared" si="200"/>
        <v>89.324</v>
      </c>
    </row>
    <row r="300" spans="78:98">
      <c r="BZ300">
        <v>299</v>
      </c>
      <c r="CA300">
        <f t="shared" si="186"/>
        <v>10771.4</v>
      </c>
      <c r="CB300">
        <f t="shared" si="187"/>
        <v>2154.14</v>
      </c>
      <c r="CD300">
        <f t="shared" si="188"/>
        <v>44.834</v>
      </c>
      <c r="CE300">
        <f t="shared" si="189"/>
        <v>89.734</v>
      </c>
      <c r="CF300">
        <f t="shared" si="190"/>
        <v>55.88</v>
      </c>
      <c r="CG300">
        <v>299</v>
      </c>
      <c r="CH300">
        <f t="shared" si="191"/>
        <v>13086</v>
      </c>
      <c r="CI300">
        <f t="shared" si="192"/>
        <v>2616.6</v>
      </c>
      <c r="CK300">
        <f t="shared" si="193"/>
        <v>52.45</v>
      </c>
      <c r="CL300">
        <f t="shared" si="194"/>
        <v>104.95</v>
      </c>
      <c r="CM300">
        <f t="shared" si="195"/>
        <v>72.006</v>
      </c>
      <c r="CN300">
        <v>299</v>
      </c>
      <c r="CO300">
        <f t="shared" si="196"/>
        <v>15668.4</v>
      </c>
      <c r="CP300">
        <f t="shared" si="197"/>
        <v>3134.88</v>
      </c>
      <c r="CR300">
        <f t="shared" si="198"/>
        <v>65.98</v>
      </c>
      <c r="CS300">
        <f t="shared" si="199"/>
        <v>131.96</v>
      </c>
      <c r="CT300">
        <f t="shared" si="200"/>
        <v>89.362</v>
      </c>
    </row>
    <row r="301" spans="78:98">
      <c r="BZ301">
        <v>300</v>
      </c>
      <c r="CA301">
        <f t="shared" si="186"/>
        <v>10780.7</v>
      </c>
      <c r="CB301">
        <f t="shared" si="187"/>
        <v>2156</v>
      </c>
      <c r="CD301">
        <f t="shared" si="188"/>
        <v>44.867</v>
      </c>
      <c r="CE301">
        <f t="shared" si="189"/>
        <v>89.8</v>
      </c>
      <c r="CF301">
        <f t="shared" si="190"/>
        <v>55.94</v>
      </c>
      <c r="CG301">
        <v>300</v>
      </c>
      <c r="CH301">
        <f t="shared" si="191"/>
        <v>13093</v>
      </c>
      <c r="CI301">
        <f t="shared" si="192"/>
        <v>2618</v>
      </c>
      <c r="CK301">
        <f t="shared" si="193"/>
        <v>52.475</v>
      </c>
      <c r="CL301">
        <f t="shared" si="194"/>
        <v>105</v>
      </c>
      <c r="CM301">
        <f t="shared" si="195"/>
        <v>72.053</v>
      </c>
      <c r="CN301">
        <v>300</v>
      </c>
      <c r="CO301">
        <f t="shared" si="196"/>
        <v>15674</v>
      </c>
      <c r="CP301">
        <f t="shared" si="197"/>
        <v>3136</v>
      </c>
      <c r="CR301">
        <f t="shared" si="198"/>
        <v>66</v>
      </c>
      <c r="CS301">
        <f t="shared" si="199"/>
        <v>132</v>
      </c>
      <c r="CT301">
        <f t="shared" si="200"/>
        <v>89.4</v>
      </c>
    </row>
    <row r="302" spans="78:98">
      <c r="CG302">
        <v>301</v>
      </c>
      <c r="CH302">
        <f t="shared" si="191"/>
        <v>13100</v>
      </c>
      <c r="CI302">
        <f t="shared" si="192"/>
        <v>2619.4</v>
      </c>
      <c r="CK302">
        <f t="shared" si="193"/>
        <v>52.5</v>
      </c>
      <c r="CL302">
        <f t="shared" si="194"/>
        <v>105.05</v>
      </c>
      <c r="CM302">
        <f t="shared" si="195"/>
        <v>72.1</v>
      </c>
      <c r="CN302">
        <v>301</v>
      </c>
      <c r="CO302">
        <f t="shared" si="196"/>
        <v>15679.6</v>
      </c>
      <c r="CP302">
        <f t="shared" si="197"/>
        <v>3137.12</v>
      </c>
      <c r="CR302">
        <f t="shared" si="198"/>
        <v>66.02</v>
      </c>
      <c r="CS302">
        <f t="shared" si="199"/>
        <v>132.04</v>
      </c>
      <c r="CT302">
        <f t="shared" si="200"/>
        <v>89.438</v>
      </c>
    </row>
    <row r="303" spans="78:98">
      <c r="CG303">
        <v>302</v>
      </c>
      <c r="CH303">
        <f t="shared" si="191"/>
        <v>13107</v>
      </c>
      <c r="CI303">
        <f t="shared" si="192"/>
        <v>2620.8</v>
      </c>
      <c r="CK303">
        <f t="shared" si="193"/>
        <v>52.525</v>
      </c>
      <c r="CL303">
        <f t="shared" si="194"/>
        <v>105.1</v>
      </c>
      <c r="CM303">
        <f t="shared" si="195"/>
        <v>72.147</v>
      </c>
      <c r="CN303">
        <v>302</v>
      </c>
      <c r="CO303">
        <f t="shared" si="196"/>
        <v>15685.2</v>
      </c>
      <c r="CP303">
        <f t="shared" si="197"/>
        <v>3138.24</v>
      </c>
      <c r="CR303">
        <f t="shared" si="198"/>
        <v>66.04</v>
      </c>
      <c r="CS303">
        <f t="shared" si="199"/>
        <v>132.08</v>
      </c>
      <c r="CT303">
        <f t="shared" si="200"/>
        <v>89.476</v>
      </c>
    </row>
    <row r="304" spans="78:98">
      <c r="CG304">
        <v>303</v>
      </c>
      <c r="CH304">
        <f t="shared" si="191"/>
        <v>13114</v>
      </c>
      <c r="CI304">
        <f t="shared" si="192"/>
        <v>2622.2</v>
      </c>
      <c r="CK304">
        <f t="shared" si="193"/>
        <v>52.55</v>
      </c>
      <c r="CL304">
        <f t="shared" si="194"/>
        <v>105.15</v>
      </c>
      <c r="CM304">
        <f t="shared" si="195"/>
        <v>72.194</v>
      </c>
      <c r="CN304">
        <v>303</v>
      </c>
      <c r="CO304">
        <f t="shared" si="196"/>
        <v>15690.8</v>
      </c>
      <c r="CP304">
        <f t="shared" si="197"/>
        <v>3139.36</v>
      </c>
      <c r="CR304">
        <f t="shared" si="198"/>
        <v>66.06</v>
      </c>
      <c r="CS304">
        <f t="shared" si="199"/>
        <v>132.12</v>
      </c>
      <c r="CT304">
        <f t="shared" si="200"/>
        <v>89.514</v>
      </c>
    </row>
    <row r="305" spans="85:98">
      <c r="CG305">
        <v>304</v>
      </c>
      <c r="CH305">
        <f t="shared" si="191"/>
        <v>13121</v>
      </c>
      <c r="CI305">
        <f t="shared" si="192"/>
        <v>2623.6</v>
      </c>
      <c r="CK305">
        <f t="shared" si="193"/>
        <v>52.575</v>
      </c>
      <c r="CL305">
        <f t="shared" si="194"/>
        <v>105.2</v>
      </c>
      <c r="CM305">
        <f t="shared" si="195"/>
        <v>72.241</v>
      </c>
      <c r="CN305">
        <v>304</v>
      </c>
      <c r="CO305">
        <f t="shared" si="196"/>
        <v>15696.4</v>
      </c>
      <c r="CP305">
        <f t="shared" si="197"/>
        <v>3140.48</v>
      </c>
      <c r="CR305">
        <f t="shared" si="198"/>
        <v>66.08</v>
      </c>
      <c r="CS305">
        <f t="shared" si="199"/>
        <v>132.16</v>
      </c>
      <c r="CT305">
        <f t="shared" si="200"/>
        <v>89.552</v>
      </c>
    </row>
    <row r="306" spans="85:98">
      <c r="CG306">
        <v>305</v>
      </c>
      <c r="CH306">
        <f t="shared" si="191"/>
        <v>13128</v>
      </c>
      <c r="CI306">
        <f t="shared" si="192"/>
        <v>2625</v>
      </c>
      <c r="CK306">
        <f t="shared" si="193"/>
        <v>52.6</v>
      </c>
      <c r="CL306">
        <f t="shared" si="194"/>
        <v>105.25</v>
      </c>
      <c r="CM306">
        <f t="shared" si="195"/>
        <v>72.288</v>
      </c>
      <c r="CN306">
        <v>305</v>
      </c>
      <c r="CO306">
        <f t="shared" si="196"/>
        <v>15702</v>
      </c>
      <c r="CP306">
        <f t="shared" si="197"/>
        <v>3141.6</v>
      </c>
      <c r="CR306">
        <f t="shared" si="198"/>
        <v>66.1</v>
      </c>
      <c r="CS306">
        <f t="shared" si="199"/>
        <v>132.2</v>
      </c>
      <c r="CT306">
        <f t="shared" si="200"/>
        <v>89.59</v>
      </c>
    </row>
    <row r="307" spans="85:98">
      <c r="CG307">
        <v>306</v>
      </c>
      <c r="CH307">
        <f t="shared" si="191"/>
        <v>13135</v>
      </c>
      <c r="CI307">
        <f t="shared" si="192"/>
        <v>2626.4</v>
      </c>
      <c r="CK307">
        <f t="shared" si="193"/>
        <v>52.625</v>
      </c>
      <c r="CL307">
        <f t="shared" si="194"/>
        <v>105.3</v>
      </c>
      <c r="CM307">
        <f t="shared" si="195"/>
        <v>72.335</v>
      </c>
      <c r="CN307">
        <v>306</v>
      </c>
      <c r="CO307">
        <f t="shared" si="196"/>
        <v>15707.6</v>
      </c>
      <c r="CP307">
        <f t="shared" si="197"/>
        <v>3142.72</v>
      </c>
      <c r="CR307">
        <f t="shared" si="198"/>
        <v>66.12</v>
      </c>
      <c r="CS307">
        <f t="shared" si="199"/>
        <v>132.24</v>
      </c>
      <c r="CT307">
        <f t="shared" si="200"/>
        <v>89.628</v>
      </c>
    </row>
    <row r="308" spans="85:98">
      <c r="CG308">
        <v>307</v>
      </c>
      <c r="CH308">
        <f t="shared" si="191"/>
        <v>13142</v>
      </c>
      <c r="CI308">
        <f t="shared" si="192"/>
        <v>2627.8</v>
      </c>
      <c r="CK308">
        <f t="shared" si="193"/>
        <v>52.65</v>
      </c>
      <c r="CL308">
        <f t="shared" si="194"/>
        <v>105.35</v>
      </c>
      <c r="CM308">
        <f t="shared" si="195"/>
        <v>72.382</v>
      </c>
      <c r="CN308">
        <v>307</v>
      </c>
      <c r="CO308">
        <f t="shared" si="196"/>
        <v>15713.2</v>
      </c>
      <c r="CP308">
        <f t="shared" si="197"/>
        <v>3143.84</v>
      </c>
      <c r="CR308">
        <f t="shared" si="198"/>
        <v>66.14</v>
      </c>
      <c r="CS308">
        <f t="shared" si="199"/>
        <v>132.28</v>
      </c>
      <c r="CT308">
        <f t="shared" si="200"/>
        <v>89.666</v>
      </c>
    </row>
    <row r="309" spans="85:98">
      <c r="CG309">
        <v>308</v>
      </c>
      <c r="CH309">
        <f t="shared" si="191"/>
        <v>13149</v>
      </c>
      <c r="CI309">
        <f t="shared" si="192"/>
        <v>2629.2</v>
      </c>
      <c r="CK309">
        <f t="shared" si="193"/>
        <v>52.675</v>
      </c>
      <c r="CL309">
        <f t="shared" si="194"/>
        <v>105.4</v>
      </c>
      <c r="CM309">
        <f t="shared" si="195"/>
        <v>72.429</v>
      </c>
      <c r="CN309">
        <v>308</v>
      </c>
      <c r="CO309">
        <f t="shared" si="196"/>
        <v>15718.8</v>
      </c>
      <c r="CP309">
        <f t="shared" si="197"/>
        <v>3144.96</v>
      </c>
      <c r="CR309">
        <f t="shared" si="198"/>
        <v>66.16</v>
      </c>
      <c r="CS309">
        <f t="shared" si="199"/>
        <v>132.32</v>
      </c>
      <c r="CT309">
        <f t="shared" si="200"/>
        <v>89.704</v>
      </c>
    </row>
    <row r="310" spans="85:98">
      <c r="CG310">
        <v>309</v>
      </c>
      <c r="CH310">
        <f t="shared" si="191"/>
        <v>13156</v>
      </c>
      <c r="CI310">
        <f t="shared" si="192"/>
        <v>2630.6</v>
      </c>
      <c r="CK310">
        <f t="shared" si="193"/>
        <v>52.7</v>
      </c>
      <c r="CL310">
        <f t="shared" si="194"/>
        <v>105.45</v>
      </c>
      <c r="CM310">
        <f t="shared" si="195"/>
        <v>72.476</v>
      </c>
      <c r="CN310">
        <v>309</v>
      </c>
      <c r="CO310">
        <f t="shared" si="196"/>
        <v>15724.4</v>
      </c>
      <c r="CP310">
        <f t="shared" si="197"/>
        <v>3146.08</v>
      </c>
      <c r="CR310">
        <f t="shared" si="198"/>
        <v>66.18</v>
      </c>
      <c r="CS310">
        <f t="shared" si="199"/>
        <v>132.36</v>
      </c>
      <c r="CT310">
        <f t="shared" si="200"/>
        <v>89.742</v>
      </c>
    </row>
    <row r="311" spans="85:98">
      <c r="CG311">
        <v>310</v>
      </c>
      <c r="CH311">
        <f t="shared" si="191"/>
        <v>13163</v>
      </c>
      <c r="CI311">
        <f t="shared" si="192"/>
        <v>2632</v>
      </c>
      <c r="CK311">
        <f t="shared" si="193"/>
        <v>52.725</v>
      </c>
      <c r="CL311">
        <f t="shared" si="194"/>
        <v>105.5</v>
      </c>
      <c r="CM311">
        <f t="shared" si="195"/>
        <v>72.523</v>
      </c>
      <c r="CN311">
        <v>310</v>
      </c>
      <c r="CO311">
        <f t="shared" si="196"/>
        <v>15730</v>
      </c>
      <c r="CP311">
        <f t="shared" si="197"/>
        <v>3147.2</v>
      </c>
      <c r="CR311">
        <f t="shared" si="198"/>
        <v>66.2</v>
      </c>
      <c r="CS311">
        <f t="shared" si="199"/>
        <v>132.4</v>
      </c>
      <c r="CT311">
        <f t="shared" si="200"/>
        <v>89.78</v>
      </c>
    </row>
    <row r="312" spans="85:98">
      <c r="CG312">
        <v>311</v>
      </c>
      <c r="CH312">
        <f t="shared" si="191"/>
        <v>13170</v>
      </c>
      <c r="CI312">
        <f t="shared" si="192"/>
        <v>2633.4</v>
      </c>
      <c r="CK312">
        <f t="shared" si="193"/>
        <v>52.75</v>
      </c>
      <c r="CL312">
        <f t="shared" si="194"/>
        <v>105.55</v>
      </c>
      <c r="CM312">
        <f t="shared" si="195"/>
        <v>72.57</v>
      </c>
      <c r="CN312">
        <v>311</v>
      </c>
      <c r="CO312">
        <f t="shared" si="196"/>
        <v>15735.6</v>
      </c>
      <c r="CP312">
        <f t="shared" si="197"/>
        <v>3148.32</v>
      </c>
      <c r="CR312">
        <f t="shared" si="198"/>
        <v>66.22</v>
      </c>
      <c r="CS312">
        <f t="shared" si="199"/>
        <v>132.44</v>
      </c>
      <c r="CT312">
        <f t="shared" si="200"/>
        <v>89.818</v>
      </c>
    </row>
    <row r="313" spans="85:98">
      <c r="CG313">
        <v>312</v>
      </c>
      <c r="CH313">
        <f t="shared" si="191"/>
        <v>13177</v>
      </c>
      <c r="CI313">
        <f t="shared" si="192"/>
        <v>2634.8</v>
      </c>
      <c r="CK313">
        <f t="shared" si="193"/>
        <v>52.775</v>
      </c>
      <c r="CL313">
        <f t="shared" si="194"/>
        <v>105.6</v>
      </c>
      <c r="CM313">
        <f t="shared" si="195"/>
        <v>72.617</v>
      </c>
      <c r="CN313">
        <v>312</v>
      </c>
      <c r="CO313">
        <f t="shared" si="196"/>
        <v>15741.2</v>
      </c>
      <c r="CP313">
        <f t="shared" si="197"/>
        <v>3149.44</v>
      </c>
      <c r="CR313">
        <f t="shared" si="198"/>
        <v>66.24</v>
      </c>
      <c r="CS313">
        <f t="shared" si="199"/>
        <v>132.48</v>
      </c>
      <c r="CT313">
        <f t="shared" si="200"/>
        <v>89.856</v>
      </c>
    </row>
    <row r="314" spans="85:98">
      <c r="CG314">
        <v>313</v>
      </c>
      <c r="CH314">
        <f t="shared" si="191"/>
        <v>13184</v>
      </c>
      <c r="CI314">
        <f t="shared" si="192"/>
        <v>2636.2</v>
      </c>
      <c r="CK314">
        <f t="shared" si="193"/>
        <v>52.8</v>
      </c>
      <c r="CL314">
        <f t="shared" si="194"/>
        <v>105.65</v>
      </c>
      <c r="CM314">
        <f t="shared" si="195"/>
        <v>72.664</v>
      </c>
      <c r="CN314">
        <v>313</v>
      </c>
      <c r="CO314">
        <f t="shared" si="196"/>
        <v>15746.8</v>
      </c>
      <c r="CP314">
        <f t="shared" si="197"/>
        <v>3150.56</v>
      </c>
      <c r="CR314">
        <f t="shared" si="198"/>
        <v>66.26</v>
      </c>
      <c r="CS314">
        <f t="shared" si="199"/>
        <v>132.52</v>
      </c>
      <c r="CT314">
        <f t="shared" si="200"/>
        <v>89.894</v>
      </c>
    </row>
    <row r="315" spans="85:98">
      <c r="CG315">
        <v>314</v>
      </c>
      <c r="CH315">
        <f t="shared" si="191"/>
        <v>13191</v>
      </c>
      <c r="CI315">
        <f t="shared" si="192"/>
        <v>2637.6</v>
      </c>
      <c r="CK315">
        <f t="shared" si="193"/>
        <v>52.825</v>
      </c>
      <c r="CL315">
        <f t="shared" si="194"/>
        <v>105.7</v>
      </c>
      <c r="CM315">
        <f t="shared" si="195"/>
        <v>72.711</v>
      </c>
      <c r="CN315">
        <v>314</v>
      </c>
      <c r="CO315">
        <f t="shared" si="196"/>
        <v>15752.4</v>
      </c>
      <c r="CP315">
        <f t="shared" si="197"/>
        <v>3151.68</v>
      </c>
      <c r="CR315">
        <f t="shared" si="198"/>
        <v>66.28</v>
      </c>
      <c r="CS315">
        <f t="shared" si="199"/>
        <v>132.56</v>
      </c>
      <c r="CT315">
        <f t="shared" si="200"/>
        <v>89.932</v>
      </c>
    </row>
    <row r="316" spans="85:98">
      <c r="CG316">
        <v>315</v>
      </c>
      <c r="CH316">
        <f t="shared" si="191"/>
        <v>13198</v>
      </c>
      <c r="CI316">
        <f t="shared" si="192"/>
        <v>2639</v>
      </c>
      <c r="CK316">
        <f t="shared" si="193"/>
        <v>52.85</v>
      </c>
      <c r="CL316">
        <f t="shared" si="194"/>
        <v>105.75</v>
      </c>
      <c r="CM316">
        <f t="shared" si="195"/>
        <v>72.758</v>
      </c>
      <c r="CN316">
        <v>315</v>
      </c>
      <c r="CO316">
        <f t="shared" si="196"/>
        <v>15758</v>
      </c>
      <c r="CP316">
        <f t="shared" si="197"/>
        <v>3152.8</v>
      </c>
      <c r="CR316">
        <f t="shared" si="198"/>
        <v>66.3</v>
      </c>
      <c r="CS316">
        <f t="shared" si="199"/>
        <v>132.6</v>
      </c>
      <c r="CT316">
        <f t="shared" si="200"/>
        <v>89.97</v>
      </c>
    </row>
    <row r="317" spans="85:98">
      <c r="CG317">
        <v>316</v>
      </c>
      <c r="CH317">
        <f t="shared" si="191"/>
        <v>13205</v>
      </c>
      <c r="CI317">
        <f t="shared" si="192"/>
        <v>2640.4</v>
      </c>
      <c r="CK317">
        <f t="shared" si="193"/>
        <v>52.875</v>
      </c>
      <c r="CL317">
        <f t="shared" si="194"/>
        <v>105.8</v>
      </c>
      <c r="CM317">
        <f t="shared" si="195"/>
        <v>72.805</v>
      </c>
      <c r="CN317">
        <v>316</v>
      </c>
      <c r="CO317">
        <f t="shared" si="196"/>
        <v>15763.6</v>
      </c>
      <c r="CP317">
        <f t="shared" si="197"/>
        <v>3153.92</v>
      </c>
      <c r="CR317">
        <f t="shared" si="198"/>
        <v>66.32</v>
      </c>
      <c r="CS317">
        <f t="shared" si="199"/>
        <v>132.64</v>
      </c>
      <c r="CT317">
        <f t="shared" si="200"/>
        <v>90.008</v>
      </c>
    </row>
    <row r="318" spans="85:98">
      <c r="CG318">
        <v>317</v>
      </c>
      <c r="CH318">
        <f t="shared" si="191"/>
        <v>13212</v>
      </c>
      <c r="CI318">
        <f t="shared" si="192"/>
        <v>2641.8</v>
      </c>
      <c r="CK318">
        <f t="shared" si="193"/>
        <v>52.9</v>
      </c>
      <c r="CL318">
        <f t="shared" si="194"/>
        <v>105.85</v>
      </c>
      <c r="CM318">
        <f t="shared" si="195"/>
        <v>72.852</v>
      </c>
      <c r="CN318">
        <v>317</v>
      </c>
      <c r="CO318">
        <f t="shared" si="196"/>
        <v>15769.2</v>
      </c>
      <c r="CP318">
        <f t="shared" si="197"/>
        <v>3155.04</v>
      </c>
      <c r="CR318">
        <f t="shared" si="198"/>
        <v>66.34</v>
      </c>
      <c r="CS318">
        <f t="shared" si="199"/>
        <v>132.68</v>
      </c>
      <c r="CT318">
        <f t="shared" si="200"/>
        <v>90.046</v>
      </c>
    </row>
    <row r="319" spans="85:98">
      <c r="CG319">
        <v>318</v>
      </c>
      <c r="CH319">
        <f t="shared" si="191"/>
        <v>13219</v>
      </c>
      <c r="CI319">
        <f t="shared" si="192"/>
        <v>2643.2</v>
      </c>
      <c r="CK319">
        <f t="shared" si="193"/>
        <v>52.925</v>
      </c>
      <c r="CL319">
        <f t="shared" si="194"/>
        <v>105.9</v>
      </c>
      <c r="CM319">
        <f t="shared" si="195"/>
        <v>72.899</v>
      </c>
      <c r="CN319">
        <v>318</v>
      </c>
      <c r="CO319">
        <f t="shared" si="196"/>
        <v>15774.8</v>
      </c>
      <c r="CP319">
        <f t="shared" si="197"/>
        <v>3156.16</v>
      </c>
      <c r="CR319">
        <f t="shared" si="198"/>
        <v>66.36</v>
      </c>
      <c r="CS319">
        <f t="shared" si="199"/>
        <v>132.72</v>
      </c>
      <c r="CT319">
        <f t="shared" si="200"/>
        <v>90.084</v>
      </c>
    </row>
    <row r="320" spans="85:98">
      <c r="CG320">
        <v>319</v>
      </c>
      <c r="CH320">
        <f t="shared" si="191"/>
        <v>13226</v>
      </c>
      <c r="CI320">
        <f t="shared" si="192"/>
        <v>2644.6</v>
      </c>
      <c r="CK320">
        <f t="shared" si="193"/>
        <v>52.95</v>
      </c>
      <c r="CL320">
        <f t="shared" si="194"/>
        <v>105.95</v>
      </c>
      <c r="CM320">
        <f t="shared" si="195"/>
        <v>72.946</v>
      </c>
      <c r="CN320">
        <v>319</v>
      </c>
      <c r="CO320">
        <f t="shared" si="196"/>
        <v>15780.4</v>
      </c>
      <c r="CP320">
        <f t="shared" si="197"/>
        <v>3157.28</v>
      </c>
      <c r="CR320">
        <f t="shared" si="198"/>
        <v>66.38</v>
      </c>
      <c r="CS320">
        <f t="shared" si="199"/>
        <v>132.76</v>
      </c>
      <c r="CT320">
        <f t="shared" si="200"/>
        <v>90.122</v>
      </c>
    </row>
    <row r="321" spans="85:98">
      <c r="CG321">
        <v>320</v>
      </c>
      <c r="CH321">
        <f t="shared" si="191"/>
        <v>13233</v>
      </c>
      <c r="CI321">
        <f t="shared" si="192"/>
        <v>2646</v>
      </c>
      <c r="CK321">
        <f t="shared" si="193"/>
        <v>52.975</v>
      </c>
      <c r="CL321">
        <f t="shared" si="194"/>
        <v>106</v>
      </c>
      <c r="CM321">
        <f t="shared" si="195"/>
        <v>72.993</v>
      </c>
      <c r="CN321">
        <v>320</v>
      </c>
      <c r="CO321">
        <f t="shared" si="196"/>
        <v>15786</v>
      </c>
      <c r="CP321">
        <f t="shared" si="197"/>
        <v>3158.4</v>
      </c>
      <c r="CR321">
        <f t="shared" si="198"/>
        <v>66.4</v>
      </c>
      <c r="CS321">
        <f t="shared" si="199"/>
        <v>132.8</v>
      </c>
      <c r="CT321">
        <f t="shared" si="200"/>
        <v>90.16</v>
      </c>
    </row>
    <row r="322" spans="85:98">
      <c r="CG322">
        <v>321</v>
      </c>
      <c r="CH322">
        <f t="shared" ref="CH322:CH385" si="201">7*CG322+10993</f>
        <v>13240</v>
      </c>
      <c r="CI322">
        <f t="shared" ref="CI322:CI385" si="202">1.4*CG322+2198</f>
        <v>2647.4</v>
      </c>
      <c r="CK322">
        <f t="shared" ref="CK322:CK385" si="203">0.025*CG322+44.975</f>
        <v>53</v>
      </c>
      <c r="CL322">
        <f t="shared" ref="CL322:CL385" si="204">0.05*CG322+90</f>
        <v>106.05</v>
      </c>
      <c r="CM322">
        <f t="shared" ref="CM322:CM385" si="205">0.047*CG322+57.953</f>
        <v>73.04</v>
      </c>
      <c r="CN322">
        <v>321</v>
      </c>
      <c r="CO322">
        <f t="shared" ref="CO322:CO385" si="206">5.6*CN322+13994</f>
        <v>15791.6</v>
      </c>
      <c r="CP322">
        <f t="shared" ref="CP322:CP385" si="207">1.12*CN322+2800</f>
        <v>3159.52</v>
      </c>
      <c r="CR322">
        <f t="shared" ref="CR322:CR385" si="208">0.02*CN322+60</f>
        <v>66.42</v>
      </c>
      <c r="CS322">
        <f t="shared" ref="CS322:CS385" si="209">0.04*CN322+120</f>
        <v>132.84</v>
      </c>
      <c r="CT322">
        <f t="shared" ref="CT322:CT385" si="210">0.038*CN322+78</f>
        <v>90.198</v>
      </c>
    </row>
    <row r="323" spans="85:98">
      <c r="CG323">
        <v>322</v>
      </c>
      <c r="CH323">
        <f t="shared" si="201"/>
        <v>13247</v>
      </c>
      <c r="CI323">
        <f t="shared" si="202"/>
        <v>2648.8</v>
      </c>
      <c r="CK323">
        <f t="shared" si="203"/>
        <v>53.025</v>
      </c>
      <c r="CL323">
        <f t="shared" si="204"/>
        <v>106.1</v>
      </c>
      <c r="CM323">
        <f t="shared" si="205"/>
        <v>73.087</v>
      </c>
      <c r="CN323">
        <v>322</v>
      </c>
      <c r="CO323">
        <f t="shared" si="206"/>
        <v>15797.2</v>
      </c>
      <c r="CP323">
        <f t="shared" si="207"/>
        <v>3160.64</v>
      </c>
      <c r="CR323">
        <f t="shared" si="208"/>
        <v>66.44</v>
      </c>
      <c r="CS323">
        <f t="shared" si="209"/>
        <v>132.88</v>
      </c>
      <c r="CT323">
        <f t="shared" si="210"/>
        <v>90.236</v>
      </c>
    </row>
    <row r="324" spans="85:98">
      <c r="CG324">
        <v>323</v>
      </c>
      <c r="CH324">
        <f t="shared" si="201"/>
        <v>13254</v>
      </c>
      <c r="CI324">
        <f t="shared" si="202"/>
        <v>2650.2</v>
      </c>
      <c r="CK324">
        <f t="shared" si="203"/>
        <v>53.05</v>
      </c>
      <c r="CL324">
        <f t="shared" si="204"/>
        <v>106.15</v>
      </c>
      <c r="CM324">
        <f t="shared" si="205"/>
        <v>73.134</v>
      </c>
      <c r="CN324">
        <v>323</v>
      </c>
      <c r="CO324">
        <f t="shared" si="206"/>
        <v>15802.8</v>
      </c>
      <c r="CP324">
        <f t="shared" si="207"/>
        <v>3161.76</v>
      </c>
      <c r="CR324">
        <f t="shared" si="208"/>
        <v>66.46</v>
      </c>
      <c r="CS324">
        <f t="shared" si="209"/>
        <v>132.92</v>
      </c>
      <c r="CT324">
        <f t="shared" si="210"/>
        <v>90.274</v>
      </c>
    </row>
    <row r="325" spans="85:98">
      <c r="CG325">
        <v>324</v>
      </c>
      <c r="CH325">
        <f t="shared" si="201"/>
        <v>13261</v>
      </c>
      <c r="CI325">
        <f t="shared" si="202"/>
        <v>2651.6</v>
      </c>
      <c r="CK325">
        <f t="shared" si="203"/>
        <v>53.075</v>
      </c>
      <c r="CL325">
        <f t="shared" si="204"/>
        <v>106.2</v>
      </c>
      <c r="CM325">
        <f t="shared" si="205"/>
        <v>73.181</v>
      </c>
      <c r="CN325">
        <v>324</v>
      </c>
      <c r="CO325">
        <f t="shared" si="206"/>
        <v>15808.4</v>
      </c>
      <c r="CP325">
        <f t="shared" si="207"/>
        <v>3162.88</v>
      </c>
      <c r="CR325">
        <f t="shared" si="208"/>
        <v>66.48</v>
      </c>
      <c r="CS325">
        <f t="shared" si="209"/>
        <v>132.96</v>
      </c>
      <c r="CT325">
        <f t="shared" si="210"/>
        <v>90.312</v>
      </c>
    </row>
    <row r="326" spans="85:98">
      <c r="CG326">
        <v>325</v>
      </c>
      <c r="CH326">
        <f t="shared" si="201"/>
        <v>13268</v>
      </c>
      <c r="CI326">
        <f t="shared" si="202"/>
        <v>2653</v>
      </c>
      <c r="CK326">
        <f t="shared" si="203"/>
        <v>53.1</v>
      </c>
      <c r="CL326">
        <f t="shared" si="204"/>
        <v>106.25</v>
      </c>
      <c r="CM326">
        <f t="shared" si="205"/>
        <v>73.228</v>
      </c>
      <c r="CN326">
        <v>325</v>
      </c>
      <c r="CO326">
        <f t="shared" si="206"/>
        <v>15814</v>
      </c>
      <c r="CP326">
        <f t="shared" si="207"/>
        <v>3164</v>
      </c>
      <c r="CR326">
        <f t="shared" si="208"/>
        <v>66.5</v>
      </c>
      <c r="CS326">
        <f t="shared" si="209"/>
        <v>133</v>
      </c>
      <c r="CT326">
        <f t="shared" si="210"/>
        <v>90.35</v>
      </c>
    </row>
    <row r="327" spans="85:98">
      <c r="CG327">
        <v>326</v>
      </c>
      <c r="CH327">
        <f t="shared" si="201"/>
        <v>13275</v>
      </c>
      <c r="CI327">
        <f t="shared" si="202"/>
        <v>2654.4</v>
      </c>
      <c r="CK327">
        <f t="shared" si="203"/>
        <v>53.125</v>
      </c>
      <c r="CL327">
        <f t="shared" si="204"/>
        <v>106.3</v>
      </c>
      <c r="CM327">
        <f t="shared" si="205"/>
        <v>73.275</v>
      </c>
      <c r="CN327">
        <v>326</v>
      </c>
      <c r="CO327">
        <f t="shared" si="206"/>
        <v>15819.6</v>
      </c>
      <c r="CP327">
        <f t="shared" si="207"/>
        <v>3165.12</v>
      </c>
      <c r="CR327">
        <f t="shared" si="208"/>
        <v>66.52</v>
      </c>
      <c r="CS327">
        <f t="shared" si="209"/>
        <v>133.04</v>
      </c>
      <c r="CT327">
        <f t="shared" si="210"/>
        <v>90.388</v>
      </c>
    </row>
    <row r="328" spans="85:98">
      <c r="CG328">
        <v>327</v>
      </c>
      <c r="CH328">
        <f t="shared" si="201"/>
        <v>13282</v>
      </c>
      <c r="CI328">
        <f t="shared" si="202"/>
        <v>2655.8</v>
      </c>
      <c r="CK328">
        <f t="shared" si="203"/>
        <v>53.15</v>
      </c>
      <c r="CL328">
        <f t="shared" si="204"/>
        <v>106.35</v>
      </c>
      <c r="CM328">
        <f t="shared" si="205"/>
        <v>73.322</v>
      </c>
      <c r="CN328">
        <v>327</v>
      </c>
      <c r="CO328">
        <f t="shared" si="206"/>
        <v>15825.2</v>
      </c>
      <c r="CP328">
        <f t="shared" si="207"/>
        <v>3166.24</v>
      </c>
      <c r="CR328">
        <f t="shared" si="208"/>
        <v>66.54</v>
      </c>
      <c r="CS328">
        <f t="shared" si="209"/>
        <v>133.08</v>
      </c>
      <c r="CT328">
        <f t="shared" si="210"/>
        <v>90.426</v>
      </c>
    </row>
    <row r="329" spans="85:98">
      <c r="CG329">
        <v>328</v>
      </c>
      <c r="CH329">
        <f t="shared" si="201"/>
        <v>13289</v>
      </c>
      <c r="CI329">
        <f t="shared" si="202"/>
        <v>2657.2</v>
      </c>
      <c r="CK329">
        <f t="shared" si="203"/>
        <v>53.175</v>
      </c>
      <c r="CL329">
        <f t="shared" si="204"/>
        <v>106.4</v>
      </c>
      <c r="CM329">
        <f t="shared" si="205"/>
        <v>73.369</v>
      </c>
      <c r="CN329">
        <v>328</v>
      </c>
      <c r="CO329">
        <f t="shared" si="206"/>
        <v>15830.8</v>
      </c>
      <c r="CP329">
        <f t="shared" si="207"/>
        <v>3167.36</v>
      </c>
      <c r="CR329">
        <f t="shared" si="208"/>
        <v>66.56</v>
      </c>
      <c r="CS329">
        <f t="shared" si="209"/>
        <v>133.12</v>
      </c>
      <c r="CT329">
        <f t="shared" si="210"/>
        <v>90.464</v>
      </c>
    </row>
    <row r="330" spans="85:98">
      <c r="CG330">
        <v>329</v>
      </c>
      <c r="CH330">
        <f t="shared" si="201"/>
        <v>13296</v>
      </c>
      <c r="CI330">
        <f t="shared" si="202"/>
        <v>2658.6</v>
      </c>
      <c r="CK330">
        <f t="shared" si="203"/>
        <v>53.2</v>
      </c>
      <c r="CL330">
        <f t="shared" si="204"/>
        <v>106.45</v>
      </c>
      <c r="CM330">
        <f t="shared" si="205"/>
        <v>73.416</v>
      </c>
      <c r="CN330">
        <v>329</v>
      </c>
      <c r="CO330">
        <f t="shared" si="206"/>
        <v>15836.4</v>
      </c>
      <c r="CP330">
        <f t="shared" si="207"/>
        <v>3168.48</v>
      </c>
      <c r="CR330">
        <f t="shared" si="208"/>
        <v>66.58</v>
      </c>
      <c r="CS330">
        <f t="shared" si="209"/>
        <v>133.16</v>
      </c>
      <c r="CT330">
        <f t="shared" si="210"/>
        <v>90.502</v>
      </c>
    </row>
    <row r="331" spans="85:98">
      <c r="CG331">
        <v>330</v>
      </c>
      <c r="CH331">
        <f t="shared" si="201"/>
        <v>13303</v>
      </c>
      <c r="CI331">
        <f t="shared" si="202"/>
        <v>2660</v>
      </c>
      <c r="CK331">
        <f t="shared" si="203"/>
        <v>53.225</v>
      </c>
      <c r="CL331">
        <f t="shared" si="204"/>
        <v>106.5</v>
      </c>
      <c r="CM331">
        <f t="shared" si="205"/>
        <v>73.463</v>
      </c>
      <c r="CN331">
        <v>330</v>
      </c>
      <c r="CO331">
        <f t="shared" si="206"/>
        <v>15842</v>
      </c>
      <c r="CP331">
        <f t="shared" si="207"/>
        <v>3169.6</v>
      </c>
      <c r="CR331">
        <f t="shared" si="208"/>
        <v>66.6</v>
      </c>
      <c r="CS331">
        <f t="shared" si="209"/>
        <v>133.2</v>
      </c>
      <c r="CT331">
        <f t="shared" si="210"/>
        <v>90.54</v>
      </c>
    </row>
    <row r="332" spans="85:98">
      <c r="CG332">
        <v>331</v>
      </c>
      <c r="CH332">
        <f t="shared" si="201"/>
        <v>13310</v>
      </c>
      <c r="CI332">
        <f t="shared" si="202"/>
        <v>2661.4</v>
      </c>
      <c r="CK332">
        <f t="shared" si="203"/>
        <v>53.25</v>
      </c>
      <c r="CL332">
        <f t="shared" si="204"/>
        <v>106.55</v>
      </c>
      <c r="CM332">
        <f t="shared" si="205"/>
        <v>73.51</v>
      </c>
      <c r="CN332">
        <v>331</v>
      </c>
      <c r="CO332">
        <f t="shared" si="206"/>
        <v>15847.6</v>
      </c>
      <c r="CP332">
        <f t="shared" si="207"/>
        <v>3170.72</v>
      </c>
      <c r="CR332">
        <f t="shared" si="208"/>
        <v>66.62</v>
      </c>
      <c r="CS332">
        <f t="shared" si="209"/>
        <v>133.24</v>
      </c>
      <c r="CT332">
        <f t="shared" si="210"/>
        <v>90.578</v>
      </c>
    </row>
    <row r="333" spans="85:98">
      <c r="CG333">
        <v>332</v>
      </c>
      <c r="CH333">
        <f t="shared" si="201"/>
        <v>13317</v>
      </c>
      <c r="CI333">
        <f t="shared" si="202"/>
        <v>2662.8</v>
      </c>
      <c r="CK333">
        <f t="shared" si="203"/>
        <v>53.275</v>
      </c>
      <c r="CL333">
        <f t="shared" si="204"/>
        <v>106.6</v>
      </c>
      <c r="CM333">
        <f t="shared" si="205"/>
        <v>73.557</v>
      </c>
      <c r="CN333">
        <v>332</v>
      </c>
      <c r="CO333">
        <f t="shared" si="206"/>
        <v>15853.2</v>
      </c>
      <c r="CP333">
        <f t="shared" si="207"/>
        <v>3171.84</v>
      </c>
      <c r="CR333">
        <f t="shared" si="208"/>
        <v>66.64</v>
      </c>
      <c r="CS333">
        <f t="shared" si="209"/>
        <v>133.28</v>
      </c>
      <c r="CT333">
        <f t="shared" si="210"/>
        <v>90.616</v>
      </c>
    </row>
    <row r="334" spans="85:98">
      <c r="CG334">
        <v>333</v>
      </c>
      <c r="CH334">
        <f t="shared" si="201"/>
        <v>13324</v>
      </c>
      <c r="CI334">
        <f t="shared" si="202"/>
        <v>2664.2</v>
      </c>
      <c r="CK334">
        <f t="shared" si="203"/>
        <v>53.3</v>
      </c>
      <c r="CL334">
        <f t="shared" si="204"/>
        <v>106.65</v>
      </c>
      <c r="CM334">
        <f t="shared" si="205"/>
        <v>73.604</v>
      </c>
      <c r="CN334">
        <v>333</v>
      </c>
      <c r="CO334">
        <f t="shared" si="206"/>
        <v>15858.8</v>
      </c>
      <c r="CP334">
        <f t="shared" si="207"/>
        <v>3172.96</v>
      </c>
      <c r="CR334">
        <f t="shared" si="208"/>
        <v>66.66</v>
      </c>
      <c r="CS334">
        <f t="shared" si="209"/>
        <v>133.32</v>
      </c>
      <c r="CT334">
        <f t="shared" si="210"/>
        <v>90.654</v>
      </c>
    </row>
    <row r="335" spans="85:98">
      <c r="CG335">
        <v>334</v>
      </c>
      <c r="CH335">
        <f t="shared" si="201"/>
        <v>13331</v>
      </c>
      <c r="CI335">
        <f t="shared" si="202"/>
        <v>2665.6</v>
      </c>
      <c r="CK335">
        <f t="shared" si="203"/>
        <v>53.325</v>
      </c>
      <c r="CL335">
        <f t="shared" si="204"/>
        <v>106.7</v>
      </c>
      <c r="CM335">
        <f t="shared" si="205"/>
        <v>73.651</v>
      </c>
      <c r="CN335">
        <v>334</v>
      </c>
      <c r="CO335">
        <f t="shared" si="206"/>
        <v>15864.4</v>
      </c>
      <c r="CP335">
        <f t="shared" si="207"/>
        <v>3174.08</v>
      </c>
      <c r="CR335">
        <f t="shared" si="208"/>
        <v>66.68</v>
      </c>
      <c r="CS335">
        <f t="shared" si="209"/>
        <v>133.36</v>
      </c>
      <c r="CT335">
        <f t="shared" si="210"/>
        <v>90.692</v>
      </c>
    </row>
    <row r="336" spans="85:98">
      <c r="CG336">
        <v>335</v>
      </c>
      <c r="CH336">
        <f t="shared" si="201"/>
        <v>13338</v>
      </c>
      <c r="CI336">
        <f t="shared" si="202"/>
        <v>2667</v>
      </c>
      <c r="CK336">
        <f t="shared" si="203"/>
        <v>53.35</v>
      </c>
      <c r="CL336">
        <f t="shared" si="204"/>
        <v>106.75</v>
      </c>
      <c r="CM336">
        <f t="shared" si="205"/>
        <v>73.698</v>
      </c>
      <c r="CN336">
        <v>335</v>
      </c>
      <c r="CO336">
        <f t="shared" si="206"/>
        <v>15870</v>
      </c>
      <c r="CP336">
        <f t="shared" si="207"/>
        <v>3175.2</v>
      </c>
      <c r="CR336">
        <f t="shared" si="208"/>
        <v>66.7</v>
      </c>
      <c r="CS336">
        <f t="shared" si="209"/>
        <v>133.4</v>
      </c>
      <c r="CT336">
        <f t="shared" si="210"/>
        <v>90.73</v>
      </c>
    </row>
    <row r="337" spans="85:98">
      <c r="CG337">
        <v>336</v>
      </c>
      <c r="CH337">
        <f t="shared" si="201"/>
        <v>13345</v>
      </c>
      <c r="CI337">
        <f t="shared" si="202"/>
        <v>2668.4</v>
      </c>
      <c r="CK337">
        <f t="shared" si="203"/>
        <v>53.375</v>
      </c>
      <c r="CL337">
        <f t="shared" si="204"/>
        <v>106.8</v>
      </c>
      <c r="CM337">
        <f t="shared" si="205"/>
        <v>73.745</v>
      </c>
      <c r="CN337">
        <v>336</v>
      </c>
      <c r="CO337">
        <f t="shared" si="206"/>
        <v>15875.6</v>
      </c>
      <c r="CP337">
        <f t="shared" si="207"/>
        <v>3176.32</v>
      </c>
      <c r="CR337">
        <f t="shared" si="208"/>
        <v>66.72</v>
      </c>
      <c r="CS337">
        <f t="shared" si="209"/>
        <v>133.44</v>
      </c>
      <c r="CT337">
        <f t="shared" si="210"/>
        <v>90.768</v>
      </c>
    </row>
    <row r="338" spans="85:98">
      <c r="CG338">
        <v>337</v>
      </c>
      <c r="CH338">
        <f t="shared" si="201"/>
        <v>13352</v>
      </c>
      <c r="CI338">
        <f t="shared" si="202"/>
        <v>2669.8</v>
      </c>
      <c r="CK338">
        <f t="shared" si="203"/>
        <v>53.4</v>
      </c>
      <c r="CL338">
        <f t="shared" si="204"/>
        <v>106.85</v>
      </c>
      <c r="CM338">
        <f t="shared" si="205"/>
        <v>73.792</v>
      </c>
      <c r="CN338">
        <v>337</v>
      </c>
      <c r="CO338">
        <f t="shared" si="206"/>
        <v>15881.2</v>
      </c>
      <c r="CP338">
        <f t="shared" si="207"/>
        <v>3177.44</v>
      </c>
      <c r="CR338">
        <f t="shared" si="208"/>
        <v>66.74</v>
      </c>
      <c r="CS338">
        <f t="shared" si="209"/>
        <v>133.48</v>
      </c>
      <c r="CT338">
        <f t="shared" si="210"/>
        <v>90.806</v>
      </c>
    </row>
    <row r="339" spans="85:98">
      <c r="CG339">
        <v>338</v>
      </c>
      <c r="CH339">
        <f t="shared" si="201"/>
        <v>13359</v>
      </c>
      <c r="CI339">
        <f t="shared" si="202"/>
        <v>2671.2</v>
      </c>
      <c r="CK339">
        <f t="shared" si="203"/>
        <v>53.425</v>
      </c>
      <c r="CL339">
        <f t="shared" si="204"/>
        <v>106.9</v>
      </c>
      <c r="CM339">
        <f t="shared" si="205"/>
        <v>73.839</v>
      </c>
      <c r="CN339">
        <v>338</v>
      </c>
      <c r="CO339">
        <f t="shared" si="206"/>
        <v>15886.8</v>
      </c>
      <c r="CP339">
        <f t="shared" si="207"/>
        <v>3178.56</v>
      </c>
      <c r="CR339">
        <f t="shared" si="208"/>
        <v>66.76</v>
      </c>
      <c r="CS339">
        <f t="shared" si="209"/>
        <v>133.52</v>
      </c>
      <c r="CT339">
        <f t="shared" si="210"/>
        <v>90.844</v>
      </c>
    </row>
    <row r="340" spans="85:98">
      <c r="CG340">
        <v>339</v>
      </c>
      <c r="CH340">
        <f t="shared" si="201"/>
        <v>13366</v>
      </c>
      <c r="CI340">
        <f t="shared" si="202"/>
        <v>2672.6</v>
      </c>
      <c r="CK340">
        <f t="shared" si="203"/>
        <v>53.45</v>
      </c>
      <c r="CL340">
        <f t="shared" si="204"/>
        <v>106.95</v>
      </c>
      <c r="CM340">
        <f t="shared" si="205"/>
        <v>73.886</v>
      </c>
      <c r="CN340">
        <v>339</v>
      </c>
      <c r="CO340">
        <f t="shared" si="206"/>
        <v>15892.4</v>
      </c>
      <c r="CP340">
        <f t="shared" si="207"/>
        <v>3179.68</v>
      </c>
      <c r="CR340">
        <f t="shared" si="208"/>
        <v>66.78</v>
      </c>
      <c r="CS340">
        <f t="shared" si="209"/>
        <v>133.56</v>
      </c>
      <c r="CT340">
        <f t="shared" si="210"/>
        <v>90.882</v>
      </c>
    </row>
    <row r="341" spans="85:98">
      <c r="CG341">
        <v>340</v>
      </c>
      <c r="CH341">
        <f t="shared" si="201"/>
        <v>13373</v>
      </c>
      <c r="CI341">
        <f t="shared" si="202"/>
        <v>2674</v>
      </c>
      <c r="CK341">
        <f t="shared" si="203"/>
        <v>53.475</v>
      </c>
      <c r="CL341">
        <f t="shared" si="204"/>
        <v>107</v>
      </c>
      <c r="CM341">
        <f t="shared" si="205"/>
        <v>73.933</v>
      </c>
      <c r="CN341">
        <v>340</v>
      </c>
      <c r="CO341">
        <f t="shared" si="206"/>
        <v>15898</v>
      </c>
      <c r="CP341">
        <f t="shared" si="207"/>
        <v>3180.8</v>
      </c>
      <c r="CR341">
        <f t="shared" si="208"/>
        <v>66.8</v>
      </c>
      <c r="CS341">
        <f t="shared" si="209"/>
        <v>133.6</v>
      </c>
      <c r="CT341">
        <f t="shared" si="210"/>
        <v>90.92</v>
      </c>
    </row>
    <row r="342" spans="85:98">
      <c r="CG342">
        <v>341</v>
      </c>
      <c r="CH342">
        <f t="shared" si="201"/>
        <v>13380</v>
      </c>
      <c r="CI342">
        <f t="shared" si="202"/>
        <v>2675.4</v>
      </c>
      <c r="CK342">
        <f t="shared" si="203"/>
        <v>53.5</v>
      </c>
      <c r="CL342">
        <f t="shared" si="204"/>
        <v>107.05</v>
      </c>
      <c r="CM342">
        <f t="shared" si="205"/>
        <v>73.98</v>
      </c>
      <c r="CN342">
        <v>341</v>
      </c>
      <c r="CO342">
        <f t="shared" si="206"/>
        <v>15903.6</v>
      </c>
      <c r="CP342">
        <f t="shared" si="207"/>
        <v>3181.92</v>
      </c>
      <c r="CR342">
        <f t="shared" si="208"/>
        <v>66.82</v>
      </c>
      <c r="CS342">
        <f t="shared" si="209"/>
        <v>133.64</v>
      </c>
      <c r="CT342">
        <f t="shared" si="210"/>
        <v>90.958</v>
      </c>
    </row>
    <row r="343" spans="85:98">
      <c r="CG343">
        <v>342</v>
      </c>
      <c r="CH343">
        <f t="shared" si="201"/>
        <v>13387</v>
      </c>
      <c r="CI343">
        <f t="shared" si="202"/>
        <v>2676.8</v>
      </c>
      <c r="CK343">
        <f t="shared" si="203"/>
        <v>53.525</v>
      </c>
      <c r="CL343">
        <f t="shared" si="204"/>
        <v>107.1</v>
      </c>
      <c r="CM343">
        <f t="shared" si="205"/>
        <v>74.027</v>
      </c>
      <c r="CN343">
        <v>342</v>
      </c>
      <c r="CO343">
        <f t="shared" si="206"/>
        <v>15909.2</v>
      </c>
      <c r="CP343">
        <f t="shared" si="207"/>
        <v>3183.04</v>
      </c>
      <c r="CR343">
        <f t="shared" si="208"/>
        <v>66.84</v>
      </c>
      <c r="CS343">
        <f t="shared" si="209"/>
        <v>133.68</v>
      </c>
      <c r="CT343">
        <f t="shared" si="210"/>
        <v>90.996</v>
      </c>
    </row>
    <row r="344" spans="85:98">
      <c r="CG344">
        <v>343</v>
      </c>
      <c r="CH344">
        <f t="shared" si="201"/>
        <v>13394</v>
      </c>
      <c r="CI344">
        <f t="shared" si="202"/>
        <v>2678.2</v>
      </c>
      <c r="CK344">
        <f t="shared" si="203"/>
        <v>53.55</v>
      </c>
      <c r="CL344">
        <f t="shared" si="204"/>
        <v>107.15</v>
      </c>
      <c r="CM344">
        <f t="shared" si="205"/>
        <v>74.074</v>
      </c>
      <c r="CN344">
        <v>343</v>
      </c>
      <c r="CO344">
        <f t="shared" si="206"/>
        <v>15914.8</v>
      </c>
      <c r="CP344">
        <f t="shared" si="207"/>
        <v>3184.16</v>
      </c>
      <c r="CR344">
        <f t="shared" si="208"/>
        <v>66.86</v>
      </c>
      <c r="CS344">
        <f t="shared" si="209"/>
        <v>133.72</v>
      </c>
      <c r="CT344">
        <f t="shared" si="210"/>
        <v>91.034</v>
      </c>
    </row>
    <row r="345" spans="85:98">
      <c r="CG345">
        <v>344</v>
      </c>
      <c r="CH345">
        <f t="shared" si="201"/>
        <v>13401</v>
      </c>
      <c r="CI345">
        <f t="shared" si="202"/>
        <v>2679.6</v>
      </c>
      <c r="CK345">
        <f t="shared" si="203"/>
        <v>53.575</v>
      </c>
      <c r="CL345">
        <f t="shared" si="204"/>
        <v>107.2</v>
      </c>
      <c r="CM345">
        <f t="shared" si="205"/>
        <v>74.121</v>
      </c>
      <c r="CN345">
        <v>344</v>
      </c>
      <c r="CO345">
        <f t="shared" si="206"/>
        <v>15920.4</v>
      </c>
      <c r="CP345">
        <f t="shared" si="207"/>
        <v>3185.28</v>
      </c>
      <c r="CR345">
        <f t="shared" si="208"/>
        <v>66.88</v>
      </c>
      <c r="CS345">
        <f t="shared" si="209"/>
        <v>133.76</v>
      </c>
      <c r="CT345">
        <f t="shared" si="210"/>
        <v>91.072</v>
      </c>
    </row>
    <row r="346" spans="85:98">
      <c r="CG346">
        <v>345</v>
      </c>
      <c r="CH346">
        <f t="shared" si="201"/>
        <v>13408</v>
      </c>
      <c r="CI346">
        <f t="shared" si="202"/>
        <v>2681</v>
      </c>
      <c r="CK346">
        <f t="shared" si="203"/>
        <v>53.6</v>
      </c>
      <c r="CL346">
        <f t="shared" si="204"/>
        <v>107.25</v>
      </c>
      <c r="CM346">
        <f t="shared" si="205"/>
        <v>74.168</v>
      </c>
      <c r="CN346">
        <v>345</v>
      </c>
      <c r="CO346">
        <f t="shared" si="206"/>
        <v>15926</v>
      </c>
      <c r="CP346">
        <f t="shared" si="207"/>
        <v>3186.4</v>
      </c>
      <c r="CR346">
        <f t="shared" si="208"/>
        <v>66.9</v>
      </c>
      <c r="CS346">
        <f t="shared" si="209"/>
        <v>133.8</v>
      </c>
      <c r="CT346">
        <f t="shared" si="210"/>
        <v>91.11</v>
      </c>
    </row>
    <row r="347" spans="85:98">
      <c r="CG347">
        <v>346</v>
      </c>
      <c r="CH347">
        <f t="shared" si="201"/>
        <v>13415</v>
      </c>
      <c r="CI347">
        <f t="shared" si="202"/>
        <v>2682.4</v>
      </c>
      <c r="CK347">
        <f t="shared" si="203"/>
        <v>53.625</v>
      </c>
      <c r="CL347">
        <f t="shared" si="204"/>
        <v>107.3</v>
      </c>
      <c r="CM347">
        <f t="shared" si="205"/>
        <v>74.215</v>
      </c>
      <c r="CN347">
        <v>346</v>
      </c>
      <c r="CO347">
        <f t="shared" si="206"/>
        <v>15931.6</v>
      </c>
      <c r="CP347">
        <f t="shared" si="207"/>
        <v>3187.52</v>
      </c>
      <c r="CR347">
        <f t="shared" si="208"/>
        <v>66.92</v>
      </c>
      <c r="CS347">
        <f t="shared" si="209"/>
        <v>133.84</v>
      </c>
      <c r="CT347">
        <f t="shared" si="210"/>
        <v>91.148</v>
      </c>
    </row>
    <row r="348" spans="85:98">
      <c r="CG348">
        <v>347</v>
      </c>
      <c r="CH348">
        <f t="shared" si="201"/>
        <v>13422</v>
      </c>
      <c r="CI348">
        <f t="shared" si="202"/>
        <v>2683.8</v>
      </c>
      <c r="CK348">
        <f t="shared" si="203"/>
        <v>53.65</v>
      </c>
      <c r="CL348">
        <f t="shared" si="204"/>
        <v>107.35</v>
      </c>
      <c r="CM348">
        <f t="shared" si="205"/>
        <v>74.262</v>
      </c>
      <c r="CN348">
        <v>347</v>
      </c>
      <c r="CO348">
        <f t="shared" si="206"/>
        <v>15937.2</v>
      </c>
      <c r="CP348">
        <f t="shared" si="207"/>
        <v>3188.64</v>
      </c>
      <c r="CR348">
        <f t="shared" si="208"/>
        <v>66.94</v>
      </c>
      <c r="CS348">
        <f t="shared" si="209"/>
        <v>133.88</v>
      </c>
      <c r="CT348">
        <f t="shared" si="210"/>
        <v>91.186</v>
      </c>
    </row>
    <row r="349" spans="85:98">
      <c r="CG349">
        <v>348</v>
      </c>
      <c r="CH349">
        <f t="shared" si="201"/>
        <v>13429</v>
      </c>
      <c r="CI349">
        <f t="shared" si="202"/>
        <v>2685.2</v>
      </c>
      <c r="CK349">
        <f t="shared" si="203"/>
        <v>53.675</v>
      </c>
      <c r="CL349">
        <f t="shared" si="204"/>
        <v>107.4</v>
      </c>
      <c r="CM349">
        <f t="shared" si="205"/>
        <v>74.309</v>
      </c>
      <c r="CN349">
        <v>348</v>
      </c>
      <c r="CO349">
        <f t="shared" si="206"/>
        <v>15942.8</v>
      </c>
      <c r="CP349">
        <f t="shared" si="207"/>
        <v>3189.76</v>
      </c>
      <c r="CR349">
        <f t="shared" si="208"/>
        <v>66.96</v>
      </c>
      <c r="CS349">
        <f t="shared" si="209"/>
        <v>133.92</v>
      </c>
      <c r="CT349">
        <f t="shared" si="210"/>
        <v>91.224</v>
      </c>
    </row>
    <row r="350" spans="85:98">
      <c r="CG350">
        <v>349</v>
      </c>
      <c r="CH350">
        <f t="shared" si="201"/>
        <v>13436</v>
      </c>
      <c r="CI350">
        <f t="shared" si="202"/>
        <v>2686.6</v>
      </c>
      <c r="CK350">
        <f t="shared" si="203"/>
        <v>53.7</v>
      </c>
      <c r="CL350">
        <f t="shared" si="204"/>
        <v>107.45</v>
      </c>
      <c r="CM350">
        <f t="shared" si="205"/>
        <v>74.356</v>
      </c>
      <c r="CN350">
        <v>349</v>
      </c>
      <c r="CO350">
        <f t="shared" si="206"/>
        <v>15948.4</v>
      </c>
      <c r="CP350">
        <f t="shared" si="207"/>
        <v>3190.88</v>
      </c>
      <c r="CR350">
        <f t="shared" si="208"/>
        <v>66.98</v>
      </c>
      <c r="CS350">
        <f t="shared" si="209"/>
        <v>133.96</v>
      </c>
      <c r="CT350">
        <f t="shared" si="210"/>
        <v>91.262</v>
      </c>
    </row>
    <row r="351" spans="85:98">
      <c r="CG351">
        <v>350</v>
      </c>
      <c r="CH351">
        <f t="shared" si="201"/>
        <v>13443</v>
      </c>
      <c r="CI351">
        <f t="shared" si="202"/>
        <v>2688</v>
      </c>
      <c r="CK351">
        <f t="shared" si="203"/>
        <v>53.725</v>
      </c>
      <c r="CL351">
        <f t="shared" si="204"/>
        <v>107.5</v>
      </c>
      <c r="CM351">
        <f t="shared" si="205"/>
        <v>74.403</v>
      </c>
      <c r="CN351">
        <v>350</v>
      </c>
      <c r="CO351">
        <f t="shared" si="206"/>
        <v>15954</v>
      </c>
      <c r="CP351">
        <f t="shared" si="207"/>
        <v>3192</v>
      </c>
      <c r="CR351">
        <f t="shared" si="208"/>
        <v>67</v>
      </c>
      <c r="CS351">
        <f t="shared" si="209"/>
        <v>134</v>
      </c>
      <c r="CT351">
        <f t="shared" si="210"/>
        <v>91.3</v>
      </c>
    </row>
    <row r="352" spans="85:98">
      <c r="CG352">
        <v>351</v>
      </c>
      <c r="CH352">
        <f t="shared" si="201"/>
        <v>13450</v>
      </c>
      <c r="CI352">
        <f t="shared" si="202"/>
        <v>2689.4</v>
      </c>
      <c r="CK352">
        <f t="shared" si="203"/>
        <v>53.75</v>
      </c>
      <c r="CL352">
        <f t="shared" si="204"/>
        <v>107.55</v>
      </c>
      <c r="CM352">
        <f t="shared" si="205"/>
        <v>74.45</v>
      </c>
      <c r="CN352">
        <v>351</v>
      </c>
      <c r="CO352">
        <f t="shared" si="206"/>
        <v>15959.6</v>
      </c>
      <c r="CP352">
        <f t="shared" si="207"/>
        <v>3193.12</v>
      </c>
      <c r="CR352">
        <f t="shared" si="208"/>
        <v>67.02</v>
      </c>
      <c r="CS352">
        <f t="shared" si="209"/>
        <v>134.04</v>
      </c>
      <c r="CT352">
        <f t="shared" si="210"/>
        <v>91.338</v>
      </c>
    </row>
    <row r="353" spans="85:98">
      <c r="CG353">
        <v>352</v>
      </c>
      <c r="CH353">
        <f t="shared" si="201"/>
        <v>13457</v>
      </c>
      <c r="CI353">
        <f t="shared" si="202"/>
        <v>2690.8</v>
      </c>
      <c r="CK353">
        <f t="shared" si="203"/>
        <v>53.775</v>
      </c>
      <c r="CL353">
        <f t="shared" si="204"/>
        <v>107.6</v>
      </c>
      <c r="CM353">
        <f t="shared" si="205"/>
        <v>74.497</v>
      </c>
      <c r="CN353">
        <v>352</v>
      </c>
      <c r="CO353">
        <f t="shared" si="206"/>
        <v>15965.2</v>
      </c>
      <c r="CP353">
        <f t="shared" si="207"/>
        <v>3194.24</v>
      </c>
      <c r="CR353">
        <f t="shared" si="208"/>
        <v>67.04</v>
      </c>
      <c r="CS353">
        <f t="shared" si="209"/>
        <v>134.08</v>
      </c>
      <c r="CT353">
        <f t="shared" si="210"/>
        <v>91.376</v>
      </c>
    </row>
    <row r="354" spans="85:98">
      <c r="CG354">
        <v>353</v>
      </c>
      <c r="CH354">
        <f t="shared" si="201"/>
        <v>13464</v>
      </c>
      <c r="CI354">
        <f t="shared" si="202"/>
        <v>2692.2</v>
      </c>
      <c r="CK354">
        <f t="shared" si="203"/>
        <v>53.8</v>
      </c>
      <c r="CL354">
        <f t="shared" si="204"/>
        <v>107.65</v>
      </c>
      <c r="CM354">
        <f t="shared" si="205"/>
        <v>74.544</v>
      </c>
      <c r="CN354">
        <v>353</v>
      </c>
      <c r="CO354">
        <f t="shared" si="206"/>
        <v>15970.8</v>
      </c>
      <c r="CP354">
        <f t="shared" si="207"/>
        <v>3195.36</v>
      </c>
      <c r="CR354">
        <f t="shared" si="208"/>
        <v>67.06</v>
      </c>
      <c r="CS354">
        <f t="shared" si="209"/>
        <v>134.12</v>
      </c>
      <c r="CT354">
        <f t="shared" si="210"/>
        <v>91.414</v>
      </c>
    </row>
    <row r="355" spans="85:98">
      <c r="CG355">
        <v>354</v>
      </c>
      <c r="CH355">
        <f t="shared" si="201"/>
        <v>13471</v>
      </c>
      <c r="CI355">
        <f t="shared" si="202"/>
        <v>2693.6</v>
      </c>
      <c r="CK355">
        <f t="shared" si="203"/>
        <v>53.825</v>
      </c>
      <c r="CL355">
        <f t="shared" si="204"/>
        <v>107.7</v>
      </c>
      <c r="CM355">
        <f t="shared" si="205"/>
        <v>74.591</v>
      </c>
      <c r="CN355">
        <v>354</v>
      </c>
      <c r="CO355">
        <f t="shared" si="206"/>
        <v>15976.4</v>
      </c>
      <c r="CP355">
        <f t="shared" si="207"/>
        <v>3196.48</v>
      </c>
      <c r="CR355">
        <f t="shared" si="208"/>
        <v>67.08</v>
      </c>
      <c r="CS355">
        <f t="shared" si="209"/>
        <v>134.16</v>
      </c>
      <c r="CT355">
        <f t="shared" si="210"/>
        <v>91.452</v>
      </c>
    </row>
    <row r="356" spans="85:98">
      <c r="CG356">
        <v>355</v>
      </c>
      <c r="CH356">
        <f t="shared" si="201"/>
        <v>13478</v>
      </c>
      <c r="CI356">
        <f t="shared" si="202"/>
        <v>2695</v>
      </c>
      <c r="CK356">
        <f t="shared" si="203"/>
        <v>53.85</v>
      </c>
      <c r="CL356">
        <f t="shared" si="204"/>
        <v>107.75</v>
      </c>
      <c r="CM356">
        <f t="shared" si="205"/>
        <v>74.638</v>
      </c>
      <c r="CN356">
        <v>355</v>
      </c>
      <c r="CO356">
        <f t="shared" si="206"/>
        <v>15982</v>
      </c>
      <c r="CP356">
        <f t="shared" si="207"/>
        <v>3197.6</v>
      </c>
      <c r="CR356">
        <f t="shared" si="208"/>
        <v>67.1</v>
      </c>
      <c r="CS356">
        <f t="shared" si="209"/>
        <v>134.2</v>
      </c>
      <c r="CT356">
        <f t="shared" si="210"/>
        <v>91.49</v>
      </c>
    </row>
    <row r="357" spans="85:98">
      <c r="CG357">
        <v>356</v>
      </c>
      <c r="CH357">
        <f t="shared" si="201"/>
        <v>13485</v>
      </c>
      <c r="CI357">
        <f t="shared" si="202"/>
        <v>2696.4</v>
      </c>
      <c r="CK357">
        <f t="shared" si="203"/>
        <v>53.875</v>
      </c>
      <c r="CL357">
        <f t="shared" si="204"/>
        <v>107.8</v>
      </c>
      <c r="CM357">
        <f t="shared" si="205"/>
        <v>74.685</v>
      </c>
      <c r="CN357">
        <v>356</v>
      </c>
      <c r="CO357">
        <f t="shared" si="206"/>
        <v>15987.6</v>
      </c>
      <c r="CP357">
        <f t="shared" si="207"/>
        <v>3198.72</v>
      </c>
      <c r="CR357">
        <f t="shared" si="208"/>
        <v>67.12</v>
      </c>
      <c r="CS357">
        <f t="shared" si="209"/>
        <v>134.24</v>
      </c>
      <c r="CT357">
        <f t="shared" si="210"/>
        <v>91.528</v>
      </c>
    </row>
    <row r="358" spans="85:98">
      <c r="CG358">
        <v>357</v>
      </c>
      <c r="CH358">
        <f t="shared" si="201"/>
        <v>13492</v>
      </c>
      <c r="CI358">
        <f t="shared" si="202"/>
        <v>2697.8</v>
      </c>
      <c r="CK358">
        <f t="shared" si="203"/>
        <v>53.9</v>
      </c>
      <c r="CL358">
        <f t="shared" si="204"/>
        <v>107.85</v>
      </c>
      <c r="CM358">
        <f t="shared" si="205"/>
        <v>74.732</v>
      </c>
      <c r="CN358">
        <v>357</v>
      </c>
      <c r="CO358">
        <f t="shared" si="206"/>
        <v>15993.2</v>
      </c>
      <c r="CP358">
        <f t="shared" si="207"/>
        <v>3199.84</v>
      </c>
      <c r="CR358">
        <f t="shared" si="208"/>
        <v>67.14</v>
      </c>
      <c r="CS358">
        <f t="shared" si="209"/>
        <v>134.28</v>
      </c>
      <c r="CT358">
        <f t="shared" si="210"/>
        <v>91.566</v>
      </c>
    </row>
    <row r="359" spans="85:98">
      <c r="CG359">
        <v>358</v>
      </c>
      <c r="CH359">
        <f t="shared" si="201"/>
        <v>13499</v>
      </c>
      <c r="CI359">
        <f t="shared" si="202"/>
        <v>2699.2</v>
      </c>
      <c r="CK359">
        <f t="shared" si="203"/>
        <v>53.925</v>
      </c>
      <c r="CL359">
        <f t="shared" si="204"/>
        <v>107.9</v>
      </c>
      <c r="CM359">
        <f t="shared" si="205"/>
        <v>74.779</v>
      </c>
      <c r="CN359">
        <v>358</v>
      </c>
      <c r="CO359">
        <f t="shared" si="206"/>
        <v>15998.8</v>
      </c>
      <c r="CP359">
        <f t="shared" si="207"/>
        <v>3200.96</v>
      </c>
      <c r="CR359">
        <f t="shared" si="208"/>
        <v>67.16</v>
      </c>
      <c r="CS359">
        <f t="shared" si="209"/>
        <v>134.32</v>
      </c>
      <c r="CT359">
        <f t="shared" si="210"/>
        <v>91.604</v>
      </c>
    </row>
    <row r="360" spans="85:98">
      <c r="CG360">
        <v>359</v>
      </c>
      <c r="CH360">
        <f t="shared" si="201"/>
        <v>13506</v>
      </c>
      <c r="CI360">
        <f t="shared" si="202"/>
        <v>2700.6</v>
      </c>
      <c r="CK360">
        <f t="shared" si="203"/>
        <v>53.95</v>
      </c>
      <c r="CL360">
        <f t="shared" si="204"/>
        <v>107.95</v>
      </c>
      <c r="CM360">
        <f t="shared" si="205"/>
        <v>74.826</v>
      </c>
      <c r="CN360">
        <v>359</v>
      </c>
      <c r="CO360">
        <f t="shared" si="206"/>
        <v>16004.4</v>
      </c>
      <c r="CP360">
        <f t="shared" si="207"/>
        <v>3202.08</v>
      </c>
      <c r="CR360">
        <f t="shared" si="208"/>
        <v>67.18</v>
      </c>
      <c r="CS360">
        <f t="shared" si="209"/>
        <v>134.36</v>
      </c>
      <c r="CT360">
        <f t="shared" si="210"/>
        <v>91.642</v>
      </c>
    </row>
    <row r="361" spans="85:98">
      <c r="CG361">
        <v>360</v>
      </c>
      <c r="CH361">
        <f t="shared" si="201"/>
        <v>13513</v>
      </c>
      <c r="CI361">
        <f t="shared" si="202"/>
        <v>2702</v>
      </c>
      <c r="CK361">
        <f t="shared" si="203"/>
        <v>53.975</v>
      </c>
      <c r="CL361">
        <f t="shared" si="204"/>
        <v>108</v>
      </c>
      <c r="CM361">
        <f t="shared" si="205"/>
        <v>74.873</v>
      </c>
      <c r="CN361">
        <v>360</v>
      </c>
      <c r="CO361">
        <f t="shared" si="206"/>
        <v>16010</v>
      </c>
      <c r="CP361">
        <f t="shared" si="207"/>
        <v>3203.2</v>
      </c>
      <c r="CR361">
        <f t="shared" si="208"/>
        <v>67.2</v>
      </c>
      <c r="CS361">
        <f t="shared" si="209"/>
        <v>134.4</v>
      </c>
      <c r="CT361">
        <f t="shared" si="210"/>
        <v>91.68</v>
      </c>
    </row>
    <row r="362" spans="85:98">
      <c r="CG362">
        <v>361</v>
      </c>
      <c r="CH362">
        <f t="shared" si="201"/>
        <v>13520</v>
      </c>
      <c r="CI362">
        <f t="shared" si="202"/>
        <v>2703.4</v>
      </c>
      <c r="CK362">
        <f t="shared" si="203"/>
        <v>54</v>
      </c>
      <c r="CL362">
        <f t="shared" si="204"/>
        <v>108.05</v>
      </c>
      <c r="CM362">
        <f t="shared" si="205"/>
        <v>74.92</v>
      </c>
      <c r="CN362">
        <v>361</v>
      </c>
      <c r="CO362">
        <f t="shared" si="206"/>
        <v>16015.6</v>
      </c>
      <c r="CP362">
        <f t="shared" si="207"/>
        <v>3204.32</v>
      </c>
      <c r="CR362">
        <f t="shared" si="208"/>
        <v>67.22</v>
      </c>
      <c r="CS362">
        <f t="shared" si="209"/>
        <v>134.44</v>
      </c>
      <c r="CT362">
        <f t="shared" si="210"/>
        <v>91.718</v>
      </c>
    </row>
    <row r="363" spans="85:98">
      <c r="CG363">
        <v>362</v>
      </c>
      <c r="CH363">
        <f t="shared" si="201"/>
        <v>13527</v>
      </c>
      <c r="CI363">
        <f t="shared" si="202"/>
        <v>2704.8</v>
      </c>
      <c r="CK363">
        <f t="shared" si="203"/>
        <v>54.025</v>
      </c>
      <c r="CL363">
        <f t="shared" si="204"/>
        <v>108.1</v>
      </c>
      <c r="CM363">
        <f t="shared" si="205"/>
        <v>74.967</v>
      </c>
      <c r="CN363">
        <v>362</v>
      </c>
      <c r="CO363">
        <f t="shared" si="206"/>
        <v>16021.2</v>
      </c>
      <c r="CP363">
        <f t="shared" si="207"/>
        <v>3205.44</v>
      </c>
      <c r="CR363">
        <f t="shared" si="208"/>
        <v>67.24</v>
      </c>
      <c r="CS363">
        <f t="shared" si="209"/>
        <v>134.48</v>
      </c>
      <c r="CT363">
        <f t="shared" si="210"/>
        <v>91.756</v>
      </c>
    </row>
    <row r="364" spans="85:98">
      <c r="CG364">
        <v>363</v>
      </c>
      <c r="CH364">
        <f t="shared" si="201"/>
        <v>13534</v>
      </c>
      <c r="CI364">
        <f t="shared" si="202"/>
        <v>2706.2</v>
      </c>
      <c r="CK364">
        <f t="shared" si="203"/>
        <v>54.05</v>
      </c>
      <c r="CL364">
        <f t="shared" si="204"/>
        <v>108.15</v>
      </c>
      <c r="CM364">
        <f t="shared" si="205"/>
        <v>75.014</v>
      </c>
      <c r="CN364">
        <v>363</v>
      </c>
      <c r="CO364">
        <f t="shared" si="206"/>
        <v>16026.8</v>
      </c>
      <c r="CP364">
        <f t="shared" si="207"/>
        <v>3206.56</v>
      </c>
      <c r="CR364">
        <f t="shared" si="208"/>
        <v>67.26</v>
      </c>
      <c r="CS364">
        <f t="shared" si="209"/>
        <v>134.52</v>
      </c>
      <c r="CT364">
        <f t="shared" si="210"/>
        <v>91.794</v>
      </c>
    </row>
    <row r="365" spans="85:98">
      <c r="CG365">
        <v>364</v>
      </c>
      <c r="CH365">
        <f t="shared" si="201"/>
        <v>13541</v>
      </c>
      <c r="CI365">
        <f t="shared" si="202"/>
        <v>2707.6</v>
      </c>
      <c r="CK365">
        <f t="shared" si="203"/>
        <v>54.075</v>
      </c>
      <c r="CL365">
        <f t="shared" si="204"/>
        <v>108.2</v>
      </c>
      <c r="CM365">
        <f t="shared" si="205"/>
        <v>75.061</v>
      </c>
      <c r="CN365">
        <v>364</v>
      </c>
      <c r="CO365">
        <f t="shared" si="206"/>
        <v>16032.4</v>
      </c>
      <c r="CP365">
        <f t="shared" si="207"/>
        <v>3207.68</v>
      </c>
      <c r="CR365">
        <f t="shared" si="208"/>
        <v>67.28</v>
      </c>
      <c r="CS365">
        <f t="shared" si="209"/>
        <v>134.56</v>
      </c>
      <c r="CT365">
        <f t="shared" si="210"/>
        <v>91.832</v>
      </c>
    </row>
    <row r="366" spans="85:98">
      <c r="CG366">
        <v>365</v>
      </c>
      <c r="CH366">
        <f t="shared" si="201"/>
        <v>13548</v>
      </c>
      <c r="CI366">
        <f t="shared" si="202"/>
        <v>2709</v>
      </c>
      <c r="CK366">
        <f t="shared" si="203"/>
        <v>54.1</v>
      </c>
      <c r="CL366">
        <f t="shared" si="204"/>
        <v>108.25</v>
      </c>
      <c r="CM366">
        <f t="shared" si="205"/>
        <v>75.108</v>
      </c>
      <c r="CN366">
        <v>365</v>
      </c>
      <c r="CO366">
        <f t="shared" si="206"/>
        <v>16038</v>
      </c>
      <c r="CP366">
        <f t="shared" si="207"/>
        <v>3208.8</v>
      </c>
      <c r="CR366">
        <f t="shared" si="208"/>
        <v>67.3</v>
      </c>
      <c r="CS366">
        <f t="shared" si="209"/>
        <v>134.6</v>
      </c>
      <c r="CT366">
        <f t="shared" si="210"/>
        <v>91.87</v>
      </c>
    </row>
    <row r="367" spans="85:98">
      <c r="CG367">
        <v>366</v>
      </c>
      <c r="CH367">
        <f t="shared" si="201"/>
        <v>13555</v>
      </c>
      <c r="CI367">
        <f t="shared" si="202"/>
        <v>2710.4</v>
      </c>
      <c r="CK367">
        <f t="shared" si="203"/>
        <v>54.125</v>
      </c>
      <c r="CL367">
        <f t="shared" si="204"/>
        <v>108.3</v>
      </c>
      <c r="CM367">
        <f t="shared" si="205"/>
        <v>75.155</v>
      </c>
      <c r="CN367">
        <v>366</v>
      </c>
      <c r="CO367">
        <f t="shared" si="206"/>
        <v>16043.6</v>
      </c>
      <c r="CP367">
        <f t="shared" si="207"/>
        <v>3209.92</v>
      </c>
      <c r="CR367">
        <f t="shared" si="208"/>
        <v>67.32</v>
      </c>
      <c r="CS367">
        <f t="shared" si="209"/>
        <v>134.64</v>
      </c>
      <c r="CT367">
        <f t="shared" si="210"/>
        <v>91.908</v>
      </c>
    </row>
    <row r="368" spans="85:98">
      <c r="CG368">
        <v>367</v>
      </c>
      <c r="CH368">
        <f t="shared" si="201"/>
        <v>13562</v>
      </c>
      <c r="CI368">
        <f t="shared" si="202"/>
        <v>2711.8</v>
      </c>
      <c r="CK368">
        <f t="shared" si="203"/>
        <v>54.15</v>
      </c>
      <c r="CL368">
        <f t="shared" si="204"/>
        <v>108.35</v>
      </c>
      <c r="CM368">
        <f t="shared" si="205"/>
        <v>75.202</v>
      </c>
      <c r="CN368">
        <v>367</v>
      </c>
      <c r="CO368">
        <f t="shared" si="206"/>
        <v>16049.2</v>
      </c>
      <c r="CP368">
        <f t="shared" si="207"/>
        <v>3211.04</v>
      </c>
      <c r="CR368">
        <f t="shared" si="208"/>
        <v>67.34</v>
      </c>
      <c r="CS368">
        <f t="shared" si="209"/>
        <v>134.68</v>
      </c>
      <c r="CT368">
        <f t="shared" si="210"/>
        <v>91.946</v>
      </c>
    </row>
    <row r="369" spans="85:98">
      <c r="CG369">
        <v>368</v>
      </c>
      <c r="CH369">
        <f t="shared" si="201"/>
        <v>13569</v>
      </c>
      <c r="CI369">
        <f t="shared" si="202"/>
        <v>2713.2</v>
      </c>
      <c r="CK369">
        <f t="shared" si="203"/>
        <v>54.175</v>
      </c>
      <c r="CL369">
        <f t="shared" si="204"/>
        <v>108.4</v>
      </c>
      <c r="CM369">
        <f t="shared" si="205"/>
        <v>75.249</v>
      </c>
      <c r="CN369">
        <v>368</v>
      </c>
      <c r="CO369">
        <f t="shared" si="206"/>
        <v>16054.8</v>
      </c>
      <c r="CP369">
        <f t="shared" si="207"/>
        <v>3212.16</v>
      </c>
      <c r="CR369">
        <f t="shared" si="208"/>
        <v>67.36</v>
      </c>
      <c r="CS369">
        <f t="shared" si="209"/>
        <v>134.72</v>
      </c>
      <c r="CT369">
        <f t="shared" si="210"/>
        <v>91.984</v>
      </c>
    </row>
    <row r="370" spans="85:98">
      <c r="CG370">
        <v>369</v>
      </c>
      <c r="CH370">
        <f t="shared" si="201"/>
        <v>13576</v>
      </c>
      <c r="CI370">
        <f t="shared" si="202"/>
        <v>2714.6</v>
      </c>
      <c r="CK370">
        <f t="shared" si="203"/>
        <v>54.2</v>
      </c>
      <c r="CL370">
        <f t="shared" si="204"/>
        <v>108.45</v>
      </c>
      <c r="CM370">
        <f t="shared" si="205"/>
        <v>75.296</v>
      </c>
      <c r="CN370">
        <v>369</v>
      </c>
      <c r="CO370">
        <f t="shared" si="206"/>
        <v>16060.4</v>
      </c>
      <c r="CP370">
        <f t="shared" si="207"/>
        <v>3213.28</v>
      </c>
      <c r="CR370">
        <f t="shared" si="208"/>
        <v>67.38</v>
      </c>
      <c r="CS370">
        <f t="shared" si="209"/>
        <v>134.76</v>
      </c>
      <c r="CT370">
        <f t="shared" si="210"/>
        <v>92.022</v>
      </c>
    </row>
    <row r="371" spans="85:98">
      <c r="CG371">
        <v>370</v>
      </c>
      <c r="CH371">
        <f t="shared" si="201"/>
        <v>13583</v>
      </c>
      <c r="CI371">
        <f t="shared" si="202"/>
        <v>2716</v>
      </c>
      <c r="CK371">
        <f t="shared" si="203"/>
        <v>54.225</v>
      </c>
      <c r="CL371">
        <f t="shared" si="204"/>
        <v>108.5</v>
      </c>
      <c r="CM371">
        <f t="shared" si="205"/>
        <v>75.343</v>
      </c>
      <c r="CN371">
        <v>370</v>
      </c>
      <c r="CO371">
        <f t="shared" si="206"/>
        <v>16066</v>
      </c>
      <c r="CP371">
        <f t="shared" si="207"/>
        <v>3214.4</v>
      </c>
      <c r="CR371">
        <f t="shared" si="208"/>
        <v>67.4</v>
      </c>
      <c r="CS371">
        <f t="shared" si="209"/>
        <v>134.8</v>
      </c>
      <c r="CT371">
        <f t="shared" si="210"/>
        <v>92.06</v>
      </c>
    </row>
    <row r="372" spans="85:98">
      <c r="CG372">
        <v>371</v>
      </c>
      <c r="CH372">
        <f t="shared" si="201"/>
        <v>13590</v>
      </c>
      <c r="CI372">
        <f t="shared" si="202"/>
        <v>2717.4</v>
      </c>
      <c r="CK372">
        <f t="shared" si="203"/>
        <v>54.25</v>
      </c>
      <c r="CL372">
        <f t="shared" si="204"/>
        <v>108.55</v>
      </c>
      <c r="CM372">
        <f t="shared" si="205"/>
        <v>75.39</v>
      </c>
      <c r="CN372">
        <v>371</v>
      </c>
      <c r="CO372">
        <f t="shared" si="206"/>
        <v>16071.6</v>
      </c>
      <c r="CP372">
        <f t="shared" si="207"/>
        <v>3215.52</v>
      </c>
      <c r="CR372">
        <f t="shared" si="208"/>
        <v>67.42</v>
      </c>
      <c r="CS372">
        <f t="shared" si="209"/>
        <v>134.84</v>
      </c>
      <c r="CT372">
        <f t="shared" si="210"/>
        <v>92.098</v>
      </c>
    </row>
    <row r="373" spans="85:98">
      <c r="CG373">
        <v>372</v>
      </c>
      <c r="CH373">
        <f t="shared" si="201"/>
        <v>13597</v>
      </c>
      <c r="CI373">
        <f t="shared" si="202"/>
        <v>2718.8</v>
      </c>
      <c r="CK373">
        <f t="shared" si="203"/>
        <v>54.275</v>
      </c>
      <c r="CL373">
        <f t="shared" si="204"/>
        <v>108.6</v>
      </c>
      <c r="CM373">
        <f t="shared" si="205"/>
        <v>75.437</v>
      </c>
      <c r="CN373">
        <v>372</v>
      </c>
      <c r="CO373">
        <f t="shared" si="206"/>
        <v>16077.2</v>
      </c>
      <c r="CP373">
        <f t="shared" si="207"/>
        <v>3216.64</v>
      </c>
      <c r="CR373">
        <f t="shared" si="208"/>
        <v>67.44</v>
      </c>
      <c r="CS373">
        <f t="shared" si="209"/>
        <v>134.88</v>
      </c>
      <c r="CT373">
        <f t="shared" si="210"/>
        <v>92.136</v>
      </c>
    </row>
    <row r="374" spans="85:98">
      <c r="CG374">
        <v>373</v>
      </c>
      <c r="CH374">
        <f t="shared" si="201"/>
        <v>13604</v>
      </c>
      <c r="CI374">
        <f t="shared" si="202"/>
        <v>2720.2</v>
      </c>
      <c r="CK374">
        <f t="shared" si="203"/>
        <v>54.3</v>
      </c>
      <c r="CL374">
        <f t="shared" si="204"/>
        <v>108.65</v>
      </c>
      <c r="CM374">
        <f t="shared" si="205"/>
        <v>75.484</v>
      </c>
      <c r="CN374">
        <v>373</v>
      </c>
      <c r="CO374">
        <f t="shared" si="206"/>
        <v>16082.8</v>
      </c>
      <c r="CP374">
        <f t="shared" si="207"/>
        <v>3217.76</v>
      </c>
      <c r="CR374">
        <f t="shared" si="208"/>
        <v>67.46</v>
      </c>
      <c r="CS374">
        <f t="shared" si="209"/>
        <v>134.92</v>
      </c>
      <c r="CT374">
        <f t="shared" si="210"/>
        <v>92.174</v>
      </c>
    </row>
    <row r="375" spans="85:98">
      <c r="CG375">
        <v>374</v>
      </c>
      <c r="CH375">
        <f t="shared" si="201"/>
        <v>13611</v>
      </c>
      <c r="CI375">
        <f t="shared" si="202"/>
        <v>2721.6</v>
      </c>
      <c r="CK375">
        <f t="shared" si="203"/>
        <v>54.325</v>
      </c>
      <c r="CL375">
        <f t="shared" si="204"/>
        <v>108.7</v>
      </c>
      <c r="CM375">
        <f t="shared" si="205"/>
        <v>75.531</v>
      </c>
      <c r="CN375">
        <v>374</v>
      </c>
      <c r="CO375">
        <f t="shared" si="206"/>
        <v>16088.4</v>
      </c>
      <c r="CP375">
        <f t="shared" si="207"/>
        <v>3218.88</v>
      </c>
      <c r="CR375">
        <f t="shared" si="208"/>
        <v>67.48</v>
      </c>
      <c r="CS375">
        <f t="shared" si="209"/>
        <v>134.96</v>
      </c>
      <c r="CT375">
        <f t="shared" si="210"/>
        <v>92.212</v>
      </c>
    </row>
    <row r="376" spans="85:98">
      <c r="CG376">
        <v>375</v>
      </c>
      <c r="CH376">
        <f t="shared" si="201"/>
        <v>13618</v>
      </c>
      <c r="CI376">
        <f t="shared" si="202"/>
        <v>2723</v>
      </c>
      <c r="CK376">
        <f t="shared" si="203"/>
        <v>54.35</v>
      </c>
      <c r="CL376">
        <f t="shared" si="204"/>
        <v>108.75</v>
      </c>
      <c r="CM376">
        <f t="shared" si="205"/>
        <v>75.578</v>
      </c>
      <c r="CN376">
        <v>375</v>
      </c>
      <c r="CO376">
        <f t="shared" si="206"/>
        <v>16094</v>
      </c>
      <c r="CP376">
        <f t="shared" si="207"/>
        <v>3220</v>
      </c>
      <c r="CR376">
        <f t="shared" si="208"/>
        <v>67.5</v>
      </c>
      <c r="CS376">
        <f t="shared" si="209"/>
        <v>135</v>
      </c>
      <c r="CT376">
        <f t="shared" si="210"/>
        <v>92.25</v>
      </c>
    </row>
    <row r="377" spans="85:98">
      <c r="CG377">
        <v>376</v>
      </c>
      <c r="CH377">
        <f t="shared" si="201"/>
        <v>13625</v>
      </c>
      <c r="CI377">
        <f t="shared" si="202"/>
        <v>2724.4</v>
      </c>
      <c r="CK377">
        <f t="shared" si="203"/>
        <v>54.375</v>
      </c>
      <c r="CL377">
        <f t="shared" si="204"/>
        <v>108.8</v>
      </c>
      <c r="CM377">
        <f t="shared" si="205"/>
        <v>75.625</v>
      </c>
      <c r="CN377">
        <v>376</v>
      </c>
      <c r="CO377">
        <f t="shared" si="206"/>
        <v>16099.6</v>
      </c>
      <c r="CP377">
        <f t="shared" si="207"/>
        <v>3221.12</v>
      </c>
      <c r="CR377">
        <f t="shared" si="208"/>
        <v>67.52</v>
      </c>
      <c r="CS377">
        <f t="shared" si="209"/>
        <v>135.04</v>
      </c>
      <c r="CT377">
        <f t="shared" si="210"/>
        <v>92.288</v>
      </c>
    </row>
    <row r="378" spans="85:98">
      <c r="CG378">
        <v>377</v>
      </c>
      <c r="CH378">
        <f t="shared" si="201"/>
        <v>13632</v>
      </c>
      <c r="CI378">
        <f t="shared" si="202"/>
        <v>2725.8</v>
      </c>
      <c r="CK378">
        <f t="shared" si="203"/>
        <v>54.4</v>
      </c>
      <c r="CL378">
        <f t="shared" si="204"/>
        <v>108.85</v>
      </c>
      <c r="CM378">
        <f t="shared" si="205"/>
        <v>75.672</v>
      </c>
      <c r="CN378">
        <v>377</v>
      </c>
      <c r="CO378">
        <f t="shared" si="206"/>
        <v>16105.2</v>
      </c>
      <c r="CP378">
        <f t="shared" si="207"/>
        <v>3222.24</v>
      </c>
      <c r="CR378">
        <f t="shared" si="208"/>
        <v>67.54</v>
      </c>
      <c r="CS378">
        <f t="shared" si="209"/>
        <v>135.08</v>
      </c>
      <c r="CT378">
        <f t="shared" si="210"/>
        <v>92.326</v>
      </c>
    </row>
    <row r="379" spans="85:98">
      <c r="CG379">
        <v>378</v>
      </c>
      <c r="CH379">
        <f t="shared" si="201"/>
        <v>13639</v>
      </c>
      <c r="CI379">
        <f t="shared" si="202"/>
        <v>2727.2</v>
      </c>
      <c r="CK379">
        <f t="shared" si="203"/>
        <v>54.425</v>
      </c>
      <c r="CL379">
        <f t="shared" si="204"/>
        <v>108.9</v>
      </c>
      <c r="CM379">
        <f t="shared" si="205"/>
        <v>75.719</v>
      </c>
      <c r="CN379">
        <v>378</v>
      </c>
      <c r="CO379">
        <f t="shared" si="206"/>
        <v>16110.8</v>
      </c>
      <c r="CP379">
        <f t="shared" si="207"/>
        <v>3223.36</v>
      </c>
      <c r="CR379">
        <f t="shared" si="208"/>
        <v>67.56</v>
      </c>
      <c r="CS379">
        <f t="shared" si="209"/>
        <v>135.12</v>
      </c>
      <c r="CT379">
        <f t="shared" si="210"/>
        <v>92.364</v>
      </c>
    </row>
    <row r="380" spans="85:98">
      <c r="CG380">
        <v>379</v>
      </c>
      <c r="CH380">
        <f t="shared" si="201"/>
        <v>13646</v>
      </c>
      <c r="CI380">
        <f t="shared" si="202"/>
        <v>2728.6</v>
      </c>
      <c r="CK380">
        <f t="shared" si="203"/>
        <v>54.45</v>
      </c>
      <c r="CL380">
        <f t="shared" si="204"/>
        <v>108.95</v>
      </c>
      <c r="CM380">
        <f t="shared" si="205"/>
        <v>75.766</v>
      </c>
      <c r="CN380">
        <v>379</v>
      </c>
      <c r="CO380">
        <f t="shared" si="206"/>
        <v>16116.4</v>
      </c>
      <c r="CP380">
        <f t="shared" si="207"/>
        <v>3224.48</v>
      </c>
      <c r="CR380">
        <f t="shared" si="208"/>
        <v>67.58</v>
      </c>
      <c r="CS380">
        <f t="shared" si="209"/>
        <v>135.16</v>
      </c>
      <c r="CT380">
        <f t="shared" si="210"/>
        <v>92.402</v>
      </c>
    </row>
    <row r="381" spans="85:98">
      <c r="CG381">
        <v>380</v>
      </c>
      <c r="CH381">
        <f t="shared" si="201"/>
        <v>13653</v>
      </c>
      <c r="CI381">
        <f t="shared" si="202"/>
        <v>2730</v>
      </c>
      <c r="CK381">
        <f t="shared" si="203"/>
        <v>54.475</v>
      </c>
      <c r="CL381">
        <f t="shared" si="204"/>
        <v>109</v>
      </c>
      <c r="CM381">
        <f t="shared" si="205"/>
        <v>75.813</v>
      </c>
      <c r="CN381">
        <v>380</v>
      </c>
      <c r="CO381">
        <f t="shared" si="206"/>
        <v>16122</v>
      </c>
      <c r="CP381">
        <f t="shared" si="207"/>
        <v>3225.6</v>
      </c>
      <c r="CR381">
        <f t="shared" si="208"/>
        <v>67.6</v>
      </c>
      <c r="CS381">
        <f t="shared" si="209"/>
        <v>135.2</v>
      </c>
      <c r="CT381">
        <f t="shared" si="210"/>
        <v>92.44</v>
      </c>
    </row>
    <row r="382" spans="85:98">
      <c r="CG382">
        <v>381</v>
      </c>
      <c r="CH382">
        <f t="shared" si="201"/>
        <v>13660</v>
      </c>
      <c r="CI382">
        <f t="shared" si="202"/>
        <v>2731.4</v>
      </c>
      <c r="CK382">
        <f t="shared" si="203"/>
        <v>54.5</v>
      </c>
      <c r="CL382">
        <f t="shared" si="204"/>
        <v>109.05</v>
      </c>
      <c r="CM382">
        <f t="shared" si="205"/>
        <v>75.86</v>
      </c>
      <c r="CN382">
        <v>381</v>
      </c>
      <c r="CO382">
        <f t="shared" si="206"/>
        <v>16127.6</v>
      </c>
      <c r="CP382">
        <f t="shared" si="207"/>
        <v>3226.72</v>
      </c>
      <c r="CR382">
        <f t="shared" si="208"/>
        <v>67.62</v>
      </c>
      <c r="CS382">
        <f t="shared" si="209"/>
        <v>135.24</v>
      </c>
      <c r="CT382">
        <f t="shared" si="210"/>
        <v>92.478</v>
      </c>
    </row>
    <row r="383" spans="85:98">
      <c r="CG383">
        <v>382</v>
      </c>
      <c r="CH383">
        <f t="shared" si="201"/>
        <v>13667</v>
      </c>
      <c r="CI383">
        <f t="shared" si="202"/>
        <v>2732.8</v>
      </c>
      <c r="CK383">
        <f t="shared" si="203"/>
        <v>54.525</v>
      </c>
      <c r="CL383">
        <f t="shared" si="204"/>
        <v>109.1</v>
      </c>
      <c r="CM383">
        <f t="shared" si="205"/>
        <v>75.907</v>
      </c>
      <c r="CN383">
        <v>382</v>
      </c>
      <c r="CO383">
        <f t="shared" si="206"/>
        <v>16133.2</v>
      </c>
      <c r="CP383">
        <f t="shared" si="207"/>
        <v>3227.84</v>
      </c>
      <c r="CR383">
        <f t="shared" si="208"/>
        <v>67.64</v>
      </c>
      <c r="CS383">
        <f t="shared" si="209"/>
        <v>135.28</v>
      </c>
      <c r="CT383">
        <f t="shared" si="210"/>
        <v>92.516</v>
      </c>
    </row>
    <row r="384" spans="85:98">
      <c r="CG384">
        <v>383</v>
      </c>
      <c r="CH384">
        <f t="shared" si="201"/>
        <v>13674</v>
      </c>
      <c r="CI384">
        <f t="shared" si="202"/>
        <v>2734.2</v>
      </c>
      <c r="CK384">
        <f t="shared" si="203"/>
        <v>54.55</v>
      </c>
      <c r="CL384">
        <f t="shared" si="204"/>
        <v>109.15</v>
      </c>
      <c r="CM384">
        <f t="shared" si="205"/>
        <v>75.954</v>
      </c>
      <c r="CN384">
        <v>383</v>
      </c>
      <c r="CO384">
        <f t="shared" si="206"/>
        <v>16138.8</v>
      </c>
      <c r="CP384">
        <f t="shared" si="207"/>
        <v>3228.96</v>
      </c>
      <c r="CR384">
        <f t="shared" si="208"/>
        <v>67.66</v>
      </c>
      <c r="CS384">
        <f t="shared" si="209"/>
        <v>135.32</v>
      </c>
      <c r="CT384">
        <f t="shared" si="210"/>
        <v>92.554</v>
      </c>
    </row>
    <row r="385" spans="85:98">
      <c r="CG385">
        <v>384</v>
      </c>
      <c r="CH385">
        <f t="shared" si="201"/>
        <v>13681</v>
      </c>
      <c r="CI385">
        <f t="shared" si="202"/>
        <v>2735.6</v>
      </c>
      <c r="CK385">
        <f t="shared" si="203"/>
        <v>54.575</v>
      </c>
      <c r="CL385">
        <f t="shared" si="204"/>
        <v>109.2</v>
      </c>
      <c r="CM385">
        <f t="shared" si="205"/>
        <v>76.001</v>
      </c>
      <c r="CN385">
        <v>384</v>
      </c>
      <c r="CO385">
        <f t="shared" si="206"/>
        <v>16144.4</v>
      </c>
      <c r="CP385">
        <f t="shared" si="207"/>
        <v>3230.08</v>
      </c>
      <c r="CR385">
        <f t="shared" si="208"/>
        <v>67.68</v>
      </c>
      <c r="CS385">
        <f t="shared" si="209"/>
        <v>135.36</v>
      </c>
      <c r="CT385">
        <f t="shared" si="210"/>
        <v>92.592</v>
      </c>
    </row>
    <row r="386" spans="85:98">
      <c r="CG386">
        <v>385</v>
      </c>
      <c r="CH386">
        <f t="shared" ref="CH386:CH401" si="211">7*CG386+10993</f>
        <v>13688</v>
      </c>
      <c r="CI386">
        <f t="shared" ref="CI386:CI401" si="212">1.4*CG386+2198</f>
        <v>2737</v>
      </c>
      <c r="CK386">
        <f t="shared" ref="CK386:CK401" si="213">0.025*CG386+44.975</f>
        <v>54.6</v>
      </c>
      <c r="CL386">
        <f t="shared" ref="CL386:CL401" si="214">0.05*CG386+90</f>
        <v>109.25</v>
      </c>
      <c r="CM386">
        <f t="shared" ref="CM386:CM401" si="215">0.047*CG386+57.953</f>
        <v>76.048</v>
      </c>
      <c r="CN386">
        <v>385</v>
      </c>
      <c r="CO386">
        <f t="shared" ref="CO386:CO449" si="216">5.6*CN386+13994</f>
        <v>16150</v>
      </c>
      <c r="CP386">
        <f t="shared" ref="CP386:CP449" si="217">1.12*CN386+2800</f>
        <v>3231.2</v>
      </c>
      <c r="CR386">
        <f t="shared" ref="CR386:CR449" si="218">0.02*CN386+60</f>
        <v>67.7</v>
      </c>
      <c r="CS386">
        <f t="shared" ref="CS386:CS449" si="219">0.04*CN386+120</f>
        <v>135.4</v>
      </c>
      <c r="CT386">
        <f t="shared" ref="CT386:CT449" si="220">0.038*CN386+78</f>
        <v>92.63</v>
      </c>
    </row>
    <row r="387" spans="85:98">
      <c r="CG387">
        <v>386</v>
      </c>
      <c r="CH387">
        <f t="shared" si="211"/>
        <v>13695</v>
      </c>
      <c r="CI387">
        <f t="shared" si="212"/>
        <v>2738.4</v>
      </c>
      <c r="CK387">
        <f t="shared" si="213"/>
        <v>54.625</v>
      </c>
      <c r="CL387">
        <f t="shared" si="214"/>
        <v>109.3</v>
      </c>
      <c r="CM387">
        <f t="shared" si="215"/>
        <v>76.095</v>
      </c>
      <c r="CN387">
        <v>386</v>
      </c>
      <c r="CO387">
        <f t="shared" si="216"/>
        <v>16155.6</v>
      </c>
      <c r="CP387">
        <f t="shared" si="217"/>
        <v>3232.32</v>
      </c>
      <c r="CR387">
        <f t="shared" si="218"/>
        <v>67.72</v>
      </c>
      <c r="CS387">
        <f t="shared" si="219"/>
        <v>135.44</v>
      </c>
      <c r="CT387">
        <f t="shared" si="220"/>
        <v>92.668</v>
      </c>
    </row>
    <row r="388" spans="85:98">
      <c r="CG388">
        <v>387</v>
      </c>
      <c r="CH388">
        <f t="shared" si="211"/>
        <v>13702</v>
      </c>
      <c r="CI388">
        <f t="shared" si="212"/>
        <v>2739.8</v>
      </c>
      <c r="CK388">
        <f t="shared" si="213"/>
        <v>54.65</v>
      </c>
      <c r="CL388">
        <f t="shared" si="214"/>
        <v>109.35</v>
      </c>
      <c r="CM388">
        <f t="shared" si="215"/>
        <v>76.142</v>
      </c>
      <c r="CN388">
        <v>387</v>
      </c>
      <c r="CO388">
        <f t="shared" si="216"/>
        <v>16161.2</v>
      </c>
      <c r="CP388">
        <f t="shared" si="217"/>
        <v>3233.44</v>
      </c>
      <c r="CR388">
        <f t="shared" si="218"/>
        <v>67.74</v>
      </c>
      <c r="CS388">
        <f t="shared" si="219"/>
        <v>135.48</v>
      </c>
      <c r="CT388">
        <f t="shared" si="220"/>
        <v>92.706</v>
      </c>
    </row>
    <row r="389" spans="85:98">
      <c r="CG389">
        <v>388</v>
      </c>
      <c r="CH389">
        <f t="shared" si="211"/>
        <v>13709</v>
      </c>
      <c r="CI389">
        <f t="shared" si="212"/>
        <v>2741.2</v>
      </c>
      <c r="CK389">
        <f t="shared" si="213"/>
        <v>54.675</v>
      </c>
      <c r="CL389">
        <f t="shared" si="214"/>
        <v>109.4</v>
      </c>
      <c r="CM389">
        <f t="shared" si="215"/>
        <v>76.189</v>
      </c>
      <c r="CN389">
        <v>388</v>
      </c>
      <c r="CO389">
        <f t="shared" si="216"/>
        <v>16166.8</v>
      </c>
      <c r="CP389">
        <f t="shared" si="217"/>
        <v>3234.56</v>
      </c>
      <c r="CR389">
        <f t="shared" si="218"/>
        <v>67.76</v>
      </c>
      <c r="CS389">
        <f t="shared" si="219"/>
        <v>135.52</v>
      </c>
      <c r="CT389">
        <f t="shared" si="220"/>
        <v>92.744</v>
      </c>
    </row>
    <row r="390" spans="85:98">
      <c r="CG390">
        <v>389</v>
      </c>
      <c r="CH390">
        <f t="shared" si="211"/>
        <v>13716</v>
      </c>
      <c r="CI390">
        <f t="shared" si="212"/>
        <v>2742.6</v>
      </c>
      <c r="CK390">
        <f t="shared" si="213"/>
        <v>54.7</v>
      </c>
      <c r="CL390">
        <f t="shared" si="214"/>
        <v>109.45</v>
      </c>
      <c r="CM390">
        <f t="shared" si="215"/>
        <v>76.236</v>
      </c>
      <c r="CN390">
        <v>389</v>
      </c>
      <c r="CO390">
        <f t="shared" si="216"/>
        <v>16172.4</v>
      </c>
      <c r="CP390">
        <f t="shared" si="217"/>
        <v>3235.68</v>
      </c>
      <c r="CR390">
        <f t="shared" si="218"/>
        <v>67.78</v>
      </c>
      <c r="CS390">
        <f t="shared" si="219"/>
        <v>135.56</v>
      </c>
      <c r="CT390">
        <f t="shared" si="220"/>
        <v>92.782</v>
      </c>
    </row>
    <row r="391" spans="85:98">
      <c r="CG391">
        <v>390</v>
      </c>
      <c r="CH391">
        <f t="shared" si="211"/>
        <v>13723</v>
      </c>
      <c r="CI391">
        <f t="shared" si="212"/>
        <v>2744</v>
      </c>
      <c r="CK391">
        <f t="shared" si="213"/>
        <v>54.725</v>
      </c>
      <c r="CL391">
        <f t="shared" si="214"/>
        <v>109.5</v>
      </c>
      <c r="CM391">
        <f t="shared" si="215"/>
        <v>76.283</v>
      </c>
      <c r="CN391">
        <v>390</v>
      </c>
      <c r="CO391">
        <f t="shared" si="216"/>
        <v>16178</v>
      </c>
      <c r="CP391">
        <f t="shared" si="217"/>
        <v>3236.8</v>
      </c>
      <c r="CR391">
        <f t="shared" si="218"/>
        <v>67.8</v>
      </c>
      <c r="CS391">
        <f t="shared" si="219"/>
        <v>135.6</v>
      </c>
      <c r="CT391">
        <f t="shared" si="220"/>
        <v>92.82</v>
      </c>
    </row>
    <row r="392" spans="85:98">
      <c r="CG392">
        <v>391</v>
      </c>
      <c r="CH392">
        <f t="shared" si="211"/>
        <v>13730</v>
      </c>
      <c r="CI392">
        <f t="shared" si="212"/>
        <v>2745.4</v>
      </c>
      <c r="CK392">
        <f t="shared" si="213"/>
        <v>54.75</v>
      </c>
      <c r="CL392">
        <f t="shared" si="214"/>
        <v>109.55</v>
      </c>
      <c r="CM392">
        <f t="shared" si="215"/>
        <v>76.33</v>
      </c>
      <c r="CN392">
        <v>391</v>
      </c>
      <c r="CO392">
        <f t="shared" si="216"/>
        <v>16183.6</v>
      </c>
      <c r="CP392">
        <f t="shared" si="217"/>
        <v>3237.92</v>
      </c>
      <c r="CR392">
        <f t="shared" si="218"/>
        <v>67.82</v>
      </c>
      <c r="CS392">
        <f t="shared" si="219"/>
        <v>135.64</v>
      </c>
      <c r="CT392">
        <f t="shared" si="220"/>
        <v>92.858</v>
      </c>
    </row>
    <row r="393" spans="85:98">
      <c r="CG393">
        <v>392</v>
      </c>
      <c r="CH393">
        <f t="shared" si="211"/>
        <v>13737</v>
      </c>
      <c r="CI393">
        <f t="shared" si="212"/>
        <v>2746.8</v>
      </c>
      <c r="CK393">
        <f t="shared" si="213"/>
        <v>54.775</v>
      </c>
      <c r="CL393">
        <f t="shared" si="214"/>
        <v>109.6</v>
      </c>
      <c r="CM393">
        <f t="shared" si="215"/>
        <v>76.377</v>
      </c>
      <c r="CN393">
        <v>392</v>
      </c>
      <c r="CO393">
        <f t="shared" si="216"/>
        <v>16189.2</v>
      </c>
      <c r="CP393">
        <f t="shared" si="217"/>
        <v>3239.04</v>
      </c>
      <c r="CR393">
        <f t="shared" si="218"/>
        <v>67.84</v>
      </c>
      <c r="CS393">
        <f t="shared" si="219"/>
        <v>135.68</v>
      </c>
      <c r="CT393">
        <f t="shared" si="220"/>
        <v>92.896</v>
      </c>
    </row>
    <row r="394" spans="85:98">
      <c r="CG394">
        <v>393</v>
      </c>
      <c r="CH394">
        <f t="shared" si="211"/>
        <v>13744</v>
      </c>
      <c r="CI394">
        <f t="shared" si="212"/>
        <v>2748.2</v>
      </c>
      <c r="CK394">
        <f t="shared" si="213"/>
        <v>54.8</v>
      </c>
      <c r="CL394">
        <f t="shared" si="214"/>
        <v>109.65</v>
      </c>
      <c r="CM394">
        <f t="shared" si="215"/>
        <v>76.424</v>
      </c>
      <c r="CN394">
        <v>393</v>
      </c>
      <c r="CO394">
        <f t="shared" si="216"/>
        <v>16194.8</v>
      </c>
      <c r="CP394">
        <f t="shared" si="217"/>
        <v>3240.16</v>
      </c>
      <c r="CR394">
        <f t="shared" si="218"/>
        <v>67.86</v>
      </c>
      <c r="CS394">
        <f t="shared" si="219"/>
        <v>135.72</v>
      </c>
      <c r="CT394">
        <f t="shared" si="220"/>
        <v>92.934</v>
      </c>
    </row>
    <row r="395" spans="85:98">
      <c r="CG395">
        <v>394</v>
      </c>
      <c r="CH395">
        <f t="shared" si="211"/>
        <v>13751</v>
      </c>
      <c r="CI395">
        <f t="shared" si="212"/>
        <v>2749.6</v>
      </c>
      <c r="CK395">
        <f t="shared" si="213"/>
        <v>54.825</v>
      </c>
      <c r="CL395">
        <f t="shared" si="214"/>
        <v>109.7</v>
      </c>
      <c r="CM395">
        <f t="shared" si="215"/>
        <v>76.471</v>
      </c>
      <c r="CN395">
        <v>394</v>
      </c>
      <c r="CO395">
        <f t="shared" si="216"/>
        <v>16200.4</v>
      </c>
      <c r="CP395">
        <f t="shared" si="217"/>
        <v>3241.28</v>
      </c>
      <c r="CR395">
        <f t="shared" si="218"/>
        <v>67.88</v>
      </c>
      <c r="CS395">
        <f t="shared" si="219"/>
        <v>135.76</v>
      </c>
      <c r="CT395">
        <f t="shared" si="220"/>
        <v>92.972</v>
      </c>
    </row>
    <row r="396" spans="85:98">
      <c r="CG396">
        <v>395</v>
      </c>
      <c r="CH396">
        <f t="shared" si="211"/>
        <v>13758</v>
      </c>
      <c r="CI396">
        <f t="shared" si="212"/>
        <v>2751</v>
      </c>
      <c r="CK396">
        <f t="shared" si="213"/>
        <v>54.85</v>
      </c>
      <c r="CL396">
        <f t="shared" si="214"/>
        <v>109.75</v>
      </c>
      <c r="CM396">
        <f t="shared" si="215"/>
        <v>76.518</v>
      </c>
      <c r="CN396">
        <v>395</v>
      </c>
      <c r="CO396">
        <f t="shared" si="216"/>
        <v>16206</v>
      </c>
      <c r="CP396">
        <f t="shared" si="217"/>
        <v>3242.4</v>
      </c>
      <c r="CR396">
        <f t="shared" si="218"/>
        <v>67.9</v>
      </c>
      <c r="CS396">
        <f t="shared" si="219"/>
        <v>135.8</v>
      </c>
      <c r="CT396">
        <f t="shared" si="220"/>
        <v>93.01</v>
      </c>
    </row>
    <row r="397" spans="85:98">
      <c r="CG397">
        <v>396</v>
      </c>
      <c r="CH397">
        <f t="shared" si="211"/>
        <v>13765</v>
      </c>
      <c r="CI397">
        <f t="shared" si="212"/>
        <v>2752.4</v>
      </c>
      <c r="CK397">
        <f t="shared" si="213"/>
        <v>54.875</v>
      </c>
      <c r="CL397">
        <f t="shared" si="214"/>
        <v>109.8</v>
      </c>
      <c r="CM397">
        <f t="shared" si="215"/>
        <v>76.565</v>
      </c>
      <c r="CN397">
        <v>396</v>
      </c>
      <c r="CO397">
        <f t="shared" si="216"/>
        <v>16211.6</v>
      </c>
      <c r="CP397">
        <f t="shared" si="217"/>
        <v>3243.52</v>
      </c>
      <c r="CR397">
        <f t="shared" si="218"/>
        <v>67.92</v>
      </c>
      <c r="CS397">
        <f t="shared" si="219"/>
        <v>135.84</v>
      </c>
      <c r="CT397">
        <f t="shared" si="220"/>
        <v>93.048</v>
      </c>
    </row>
    <row r="398" spans="85:98">
      <c r="CG398">
        <v>397</v>
      </c>
      <c r="CH398">
        <f t="shared" si="211"/>
        <v>13772</v>
      </c>
      <c r="CI398">
        <f t="shared" si="212"/>
        <v>2753.8</v>
      </c>
      <c r="CK398">
        <f t="shared" si="213"/>
        <v>54.9</v>
      </c>
      <c r="CL398">
        <f t="shared" si="214"/>
        <v>109.85</v>
      </c>
      <c r="CM398">
        <f t="shared" si="215"/>
        <v>76.612</v>
      </c>
      <c r="CN398">
        <v>397</v>
      </c>
      <c r="CO398">
        <f t="shared" si="216"/>
        <v>16217.2</v>
      </c>
      <c r="CP398">
        <f t="shared" si="217"/>
        <v>3244.64</v>
      </c>
      <c r="CR398">
        <f t="shared" si="218"/>
        <v>67.94</v>
      </c>
      <c r="CS398">
        <f t="shared" si="219"/>
        <v>135.88</v>
      </c>
      <c r="CT398">
        <f t="shared" si="220"/>
        <v>93.086</v>
      </c>
    </row>
    <row r="399" spans="85:98">
      <c r="CG399">
        <v>398</v>
      </c>
      <c r="CH399">
        <f t="shared" si="211"/>
        <v>13779</v>
      </c>
      <c r="CI399">
        <f t="shared" si="212"/>
        <v>2755.2</v>
      </c>
      <c r="CK399">
        <f t="shared" si="213"/>
        <v>54.925</v>
      </c>
      <c r="CL399">
        <f t="shared" si="214"/>
        <v>109.9</v>
      </c>
      <c r="CM399">
        <f t="shared" si="215"/>
        <v>76.659</v>
      </c>
      <c r="CN399">
        <v>398</v>
      </c>
      <c r="CO399">
        <f t="shared" si="216"/>
        <v>16222.8</v>
      </c>
      <c r="CP399">
        <f t="shared" si="217"/>
        <v>3245.76</v>
      </c>
      <c r="CR399">
        <f t="shared" si="218"/>
        <v>67.96</v>
      </c>
      <c r="CS399">
        <f t="shared" si="219"/>
        <v>135.92</v>
      </c>
      <c r="CT399">
        <f t="shared" si="220"/>
        <v>93.124</v>
      </c>
    </row>
    <row r="400" spans="85:98">
      <c r="CG400">
        <v>399</v>
      </c>
      <c r="CH400">
        <f t="shared" si="211"/>
        <v>13786</v>
      </c>
      <c r="CI400">
        <f t="shared" si="212"/>
        <v>2756.6</v>
      </c>
      <c r="CK400">
        <f t="shared" si="213"/>
        <v>54.95</v>
      </c>
      <c r="CL400">
        <f t="shared" si="214"/>
        <v>109.95</v>
      </c>
      <c r="CM400">
        <f t="shared" si="215"/>
        <v>76.706</v>
      </c>
      <c r="CN400">
        <v>399</v>
      </c>
      <c r="CO400">
        <f t="shared" si="216"/>
        <v>16228.4</v>
      </c>
      <c r="CP400">
        <f t="shared" si="217"/>
        <v>3246.88</v>
      </c>
      <c r="CR400">
        <f t="shared" si="218"/>
        <v>67.98</v>
      </c>
      <c r="CS400">
        <f t="shared" si="219"/>
        <v>135.96</v>
      </c>
      <c r="CT400">
        <f t="shared" si="220"/>
        <v>93.162</v>
      </c>
    </row>
    <row r="401" spans="85:98">
      <c r="CG401">
        <v>400</v>
      </c>
      <c r="CH401">
        <f t="shared" si="211"/>
        <v>13793</v>
      </c>
      <c r="CI401">
        <f t="shared" si="212"/>
        <v>2758</v>
      </c>
      <c r="CK401">
        <f t="shared" si="213"/>
        <v>54.975</v>
      </c>
      <c r="CL401">
        <f t="shared" si="214"/>
        <v>110</v>
      </c>
      <c r="CM401">
        <f t="shared" si="215"/>
        <v>76.753</v>
      </c>
      <c r="CN401">
        <v>400</v>
      </c>
      <c r="CO401">
        <f t="shared" si="216"/>
        <v>16234</v>
      </c>
      <c r="CP401">
        <f t="shared" si="217"/>
        <v>3248</v>
      </c>
      <c r="CR401">
        <f t="shared" si="218"/>
        <v>68</v>
      </c>
      <c r="CS401">
        <f t="shared" si="219"/>
        <v>136</v>
      </c>
      <c r="CT401">
        <f t="shared" si="220"/>
        <v>93.2</v>
      </c>
    </row>
    <row r="402" spans="85:98">
      <c r="CN402">
        <v>401</v>
      </c>
      <c r="CO402">
        <f t="shared" si="216"/>
        <v>16239.6</v>
      </c>
      <c r="CP402">
        <f t="shared" si="217"/>
        <v>3249.12</v>
      </c>
      <c r="CR402">
        <f t="shared" si="218"/>
        <v>68.02</v>
      </c>
      <c r="CS402">
        <f t="shared" si="219"/>
        <v>136.04</v>
      </c>
      <c r="CT402">
        <f t="shared" si="220"/>
        <v>93.238</v>
      </c>
    </row>
    <row r="403" spans="85:98">
      <c r="CN403">
        <v>402</v>
      </c>
      <c r="CO403">
        <f t="shared" si="216"/>
        <v>16245.2</v>
      </c>
      <c r="CP403">
        <f t="shared" si="217"/>
        <v>3250.24</v>
      </c>
      <c r="CR403">
        <f t="shared" si="218"/>
        <v>68.04</v>
      </c>
      <c r="CS403">
        <f t="shared" si="219"/>
        <v>136.08</v>
      </c>
      <c r="CT403">
        <f t="shared" si="220"/>
        <v>93.276</v>
      </c>
    </row>
    <row r="404" spans="85:98">
      <c r="CN404">
        <v>403</v>
      </c>
      <c r="CO404">
        <f t="shared" si="216"/>
        <v>16250.8</v>
      </c>
      <c r="CP404">
        <f t="shared" si="217"/>
        <v>3251.36</v>
      </c>
      <c r="CR404">
        <f t="shared" si="218"/>
        <v>68.06</v>
      </c>
      <c r="CS404">
        <f t="shared" si="219"/>
        <v>136.12</v>
      </c>
      <c r="CT404">
        <f t="shared" si="220"/>
        <v>93.314</v>
      </c>
    </row>
    <row r="405" spans="85:98">
      <c r="CN405">
        <v>404</v>
      </c>
      <c r="CO405">
        <f t="shared" si="216"/>
        <v>16256.4</v>
      </c>
      <c r="CP405">
        <f t="shared" si="217"/>
        <v>3252.48</v>
      </c>
      <c r="CR405">
        <f t="shared" si="218"/>
        <v>68.08</v>
      </c>
      <c r="CS405">
        <f t="shared" si="219"/>
        <v>136.16</v>
      </c>
      <c r="CT405">
        <f t="shared" si="220"/>
        <v>93.352</v>
      </c>
    </row>
    <row r="406" spans="85:98">
      <c r="CN406">
        <v>405</v>
      </c>
      <c r="CO406">
        <f t="shared" si="216"/>
        <v>16262</v>
      </c>
      <c r="CP406">
        <f t="shared" si="217"/>
        <v>3253.6</v>
      </c>
      <c r="CR406">
        <f t="shared" si="218"/>
        <v>68.1</v>
      </c>
      <c r="CS406">
        <f t="shared" si="219"/>
        <v>136.2</v>
      </c>
      <c r="CT406">
        <f t="shared" si="220"/>
        <v>93.39</v>
      </c>
    </row>
    <row r="407" spans="85:98">
      <c r="CN407">
        <v>406</v>
      </c>
      <c r="CO407">
        <f t="shared" si="216"/>
        <v>16267.6</v>
      </c>
      <c r="CP407">
        <f t="shared" si="217"/>
        <v>3254.72</v>
      </c>
      <c r="CR407">
        <f t="shared" si="218"/>
        <v>68.12</v>
      </c>
      <c r="CS407">
        <f t="shared" si="219"/>
        <v>136.24</v>
      </c>
      <c r="CT407">
        <f t="shared" si="220"/>
        <v>93.428</v>
      </c>
    </row>
    <row r="408" spans="85:98">
      <c r="CN408">
        <v>407</v>
      </c>
      <c r="CO408">
        <f t="shared" si="216"/>
        <v>16273.2</v>
      </c>
      <c r="CP408">
        <f t="shared" si="217"/>
        <v>3255.84</v>
      </c>
      <c r="CR408">
        <f t="shared" si="218"/>
        <v>68.14</v>
      </c>
      <c r="CS408">
        <f t="shared" si="219"/>
        <v>136.28</v>
      </c>
      <c r="CT408">
        <f t="shared" si="220"/>
        <v>93.466</v>
      </c>
    </row>
    <row r="409" spans="85:98">
      <c r="CN409">
        <v>408</v>
      </c>
      <c r="CO409">
        <f t="shared" si="216"/>
        <v>16278.8</v>
      </c>
      <c r="CP409">
        <f t="shared" si="217"/>
        <v>3256.96</v>
      </c>
      <c r="CR409">
        <f t="shared" si="218"/>
        <v>68.16</v>
      </c>
      <c r="CS409">
        <f t="shared" si="219"/>
        <v>136.32</v>
      </c>
      <c r="CT409">
        <f t="shared" si="220"/>
        <v>93.504</v>
      </c>
    </row>
    <row r="410" spans="85:98">
      <c r="CN410">
        <v>409</v>
      </c>
      <c r="CO410">
        <f t="shared" si="216"/>
        <v>16284.4</v>
      </c>
      <c r="CP410">
        <f t="shared" si="217"/>
        <v>3258.08</v>
      </c>
      <c r="CR410">
        <f t="shared" si="218"/>
        <v>68.18</v>
      </c>
      <c r="CS410">
        <f t="shared" si="219"/>
        <v>136.36</v>
      </c>
      <c r="CT410">
        <f t="shared" si="220"/>
        <v>93.542</v>
      </c>
    </row>
    <row r="411" spans="85:98">
      <c r="CN411">
        <v>410</v>
      </c>
      <c r="CO411">
        <f t="shared" si="216"/>
        <v>16290</v>
      </c>
      <c r="CP411">
        <f t="shared" si="217"/>
        <v>3259.2</v>
      </c>
      <c r="CR411">
        <f t="shared" si="218"/>
        <v>68.2</v>
      </c>
      <c r="CS411">
        <f t="shared" si="219"/>
        <v>136.4</v>
      </c>
      <c r="CT411">
        <f t="shared" si="220"/>
        <v>93.58</v>
      </c>
    </row>
    <row r="412" spans="85:98">
      <c r="CN412">
        <v>411</v>
      </c>
      <c r="CO412">
        <f t="shared" si="216"/>
        <v>16295.6</v>
      </c>
      <c r="CP412">
        <f t="shared" si="217"/>
        <v>3260.32</v>
      </c>
      <c r="CR412">
        <f t="shared" si="218"/>
        <v>68.22</v>
      </c>
      <c r="CS412">
        <f t="shared" si="219"/>
        <v>136.44</v>
      </c>
      <c r="CT412">
        <f t="shared" si="220"/>
        <v>93.618</v>
      </c>
    </row>
    <row r="413" spans="85:98">
      <c r="CN413">
        <v>412</v>
      </c>
      <c r="CO413">
        <f t="shared" si="216"/>
        <v>16301.2</v>
      </c>
      <c r="CP413">
        <f t="shared" si="217"/>
        <v>3261.44</v>
      </c>
      <c r="CR413">
        <f t="shared" si="218"/>
        <v>68.24</v>
      </c>
      <c r="CS413">
        <f t="shared" si="219"/>
        <v>136.48</v>
      </c>
      <c r="CT413">
        <f t="shared" si="220"/>
        <v>93.656</v>
      </c>
    </row>
    <row r="414" spans="85:98">
      <c r="CN414">
        <v>413</v>
      </c>
      <c r="CO414">
        <f t="shared" si="216"/>
        <v>16306.8</v>
      </c>
      <c r="CP414">
        <f t="shared" si="217"/>
        <v>3262.56</v>
      </c>
      <c r="CR414">
        <f t="shared" si="218"/>
        <v>68.26</v>
      </c>
      <c r="CS414">
        <f t="shared" si="219"/>
        <v>136.52</v>
      </c>
      <c r="CT414">
        <f t="shared" si="220"/>
        <v>93.694</v>
      </c>
    </row>
    <row r="415" spans="85:98">
      <c r="CN415">
        <v>414</v>
      </c>
      <c r="CO415">
        <f t="shared" si="216"/>
        <v>16312.4</v>
      </c>
      <c r="CP415">
        <f t="shared" si="217"/>
        <v>3263.68</v>
      </c>
      <c r="CR415">
        <f t="shared" si="218"/>
        <v>68.28</v>
      </c>
      <c r="CS415">
        <f t="shared" si="219"/>
        <v>136.56</v>
      </c>
      <c r="CT415">
        <f t="shared" si="220"/>
        <v>93.732</v>
      </c>
    </row>
    <row r="416" spans="85:98">
      <c r="CN416">
        <v>415</v>
      </c>
      <c r="CO416">
        <f t="shared" si="216"/>
        <v>16318</v>
      </c>
      <c r="CP416">
        <f t="shared" si="217"/>
        <v>3264.8</v>
      </c>
      <c r="CR416">
        <f t="shared" si="218"/>
        <v>68.3</v>
      </c>
      <c r="CS416">
        <f t="shared" si="219"/>
        <v>136.6</v>
      </c>
      <c r="CT416">
        <f t="shared" si="220"/>
        <v>93.77</v>
      </c>
    </row>
    <row r="417" spans="92:98">
      <c r="CN417">
        <v>416</v>
      </c>
      <c r="CO417">
        <f t="shared" si="216"/>
        <v>16323.6</v>
      </c>
      <c r="CP417">
        <f t="shared" si="217"/>
        <v>3265.92</v>
      </c>
      <c r="CR417">
        <f t="shared" si="218"/>
        <v>68.32</v>
      </c>
      <c r="CS417">
        <f t="shared" si="219"/>
        <v>136.64</v>
      </c>
      <c r="CT417">
        <f t="shared" si="220"/>
        <v>93.808</v>
      </c>
    </row>
    <row r="418" spans="92:98">
      <c r="CN418">
        <v>417</v>
      </c>
      <c r="CO418">
        <f t="shared" si="216"/>
        <v>16329.2</v>
      </c>
      <c r="CP418">
        <f t="shared" si="217"/>
        <v>3267.04</v>
      </c>
      <c r="CR418">
        <f t="shared" si="218"/>
        <v>68.34</v>
      </c>
      <c r="CS418">
        <f t="shared" si="219"/>
        <v>136.68</v>
      </c>
      <c r="CT418">
        <f t="shared" si="220"/>
        <v>93.846</v>
      </c>
    </row>
    <row r="419" spans="92:98">
      <c r="CN419">
        <v>418</v>
      </c>
      <c r="CO419">
        <f t="shared" si="216"/>
        <v>16334.8</v>
      </c>
      <c r="CP419">
        <f t="shared" si="217"/>
        <v>3268.16</v>
      </c>
      <c r="CR419">
        <f t="shared" si="218"/>
        <v>68.36</v>
      </c>
      <c r="CS419">
        <f t="shared" si="219"/>
        <v>136.72</v>
      </c>
      <c r="CT419">
        <f t="shared" si="220"/>
        <v>93.884</v>
      </c>
    </row>
    <row r="420" spans="92:98">
      <c r="CN420">
        <v>419</v>
      </c>
      <c r="CO420">
        <f t="shared" si="216"/>
        <v>16340.4</v>
      </c>
      <c r="CP420">
        <f t="shared" si="217"/>
        <v>3269.28</v>
      </c>
      <c r="CR420">
        <f t="shared" si="218"/>
        <v>68.38</v>
      </c>
      <c r="CS420">
        <f t="shared" si="219"/>
        <v>136.76</v>
      </c>
      <c r="CT420">
        <f t="shared" si="220"/>
        <v>93.922</v>
      </c>
    </row>
    <row r="421" spans="92:98">
      <c r="CN421">
        <v>420</v>
      </c>
      <c r="CO421">
        <f t="shared" si="216"/>
        <v>16346</v>
      </c>
      <c r="CP421">
        <f t="shared" si="217"/>
        <v>3270.4</v>
      </c>
      <c r="CR421">
        <f t="shared" si="218"/>
        <v>68.4</v>
      </c>
      <c r="CS421">
        <f t="shared" si="219"/>
        <v>136.8</v>
      </c>
      <c r="CT421">
        <f t="shared" si="220"/>
        <v>93.96</v>
      </c>
    </row>
    <row r="422" spans="92:98">
      <c r="CN422">
        <v>421</v>
      </c>
      <c r="CO422">
        <f t="shared" si="216"/>
        <v>16351.6</v>
      </c>
      <c r="CP422">
        <f t="shared" si="217"/>
        <v>3271.52</v>
      </c>
      <c r="CR422">
        <f t="shared" si="218"/>
        <v>68.42</v>
      </c>
      <c r="CS422">
        <f t="shared" si="219"/>
        <v>136.84</v>
      </c>
      <c r="CT422">
        <f t="shared" si="220"/>
        <v>93.998</v>
      </c>
    </row>
    <row r="423" spans="92:98">
      <c r="CN423">
        <v>422</v>
      </c>
      <c r="CO423">
        <f t="shared" si="216"/>
        <v>16357.2</v>
      </c>
      <c r="CP423">
        <f t="shared" si="217"/>
        <v>3272.64</v>
      </c>
      <c r="CR423">
        <f t="shared" si="218"/>
        <v>68.44</v>
      </c>
      <c r="CS423">
        <f t="shared" si="219"/>
        <v>136.88</v>
      </c>
      <c r="CT423">
        <f t="shared" si="220"/>
        <v>94.036</v>
      </c>
    </row>
    <row r="424" spans="92:98">
      <c r="CN424">
        <v>423</v>
      </c>
      <c r="CO424">
        <f t="shared" si="216"/>
        <v>16362.8</v>
      </c>
      <c r="CP424">
        <f t="shared" si="217"/>
        <v>3273.76</v>
      </c>
      <c r="CR424">
        <f t="shared" si="218"/>
        <v>68.46</v>
      </c>
      <c r="CS424">
        <f t="shared" si="219"/>
        <v>136.92</v>
      </c>
      <c r="CT424">
        <f t="shared" si="220"/>
        <v>94.074</v>
      </c>
    </row>
    <row r="425" spans="92:98">
      <c r="CN425">
        <v>424</v>
      </c>
      <c r="CO425">
        <f t="shared" si="216"/>
        <v>16368.4</v>
      </c>
      <c r="CP425">
        <f t="shared" si="217"/>
        <v>3274.88</v>
      </c>
      <c r="CR425">
        <f t="shared" si="218"/>
        <v>68.48</v>
      </c>
      <c r="CS425">
        <f t="shared" si="219"/>
        <v>136.96</v>
      </c>
      <c r="CT425">
        <f t="shared" si="220"/>
        <v>94.112</v>
      </c>
    </row>
    <row r="426" spans="92:98">
      <c r="CN426">
        <v>425</v>
      </c>
      <c r="CO426">
        <f t="shared" si="216"/>
        <v>16374</v>
      </c>
      <c r="CP426">
        <f t="shared" si="217"/>
        <v>3276</v>
      </c>
      <c r="CR426">
        <f t="shared" si="218"/>
        <v>68.5</v>
      </c>
      <c r="CS426">
        <f t="shared" si="219"/>
        <v>137</v>
      </c>
      <c r="CT426">
        <f t="shared" si="220"/>
        <v>94.15</v>
      </c>
    </row>
    <row r="427" spans="92:98">
      <c r="CN427">
        <v>426</v>
      </c>
      <c r="CO427">
        <f t="shared" si="216"/>
        <v>16379.6</v>
      </c>
      <c r="CP427">
        <f t="shared" si="217"/>
        <v>3277.12</v>
      </c>
      <c r="CR427">
        <f t="shared" si="218"/>
        <v>68.52</v>
      </c>
      <c r="CS427">
        <f t="shared" si="219"/>
        <v>137.04</v>
      </c>
      <c r="CT427">
        <f t="shared" si="220"/>
        <v>94.188</v>
      </c>
    </row>
    <row r="428" spans="92:98">
      <c r="CN428">
        <v>427</v>
      </c>
      <c r="CO428">
        <f t="shared" si="216"/>
        <v>16385.2</v>
      </c>
      <c r="CP428">
        <f t="shared" si="217"/>
        <v>3278.24</v>
      </c>
      <c r="CR428">
        <f t="shared" si="218"/>
        <v>68.54</v>
      </c>
      <c r="CS428">
        <f t="shared" si="219"/>
        <v>137.08</v>
      </c>
      <c r="CT428">
        <f t="shared" si="220"/>
        <v>94.226</v>
      </c>
    </row>
    <row r="429" spans="92:98">
      <c r="CN429">
        <v>428</v>
      </c>
      <c r="CO429">
        <f t="shared" si="216"/>
        <v>16390.8</v>
      </c>
      <c r="CP429">
        <f t="shared" si="217"/>
        <v>3279.36</v>
      </c>
      <c r="CR429">
        <f t="shared" si="218"/>
        <v>68.56</v>
      </c>
      <c r="CS429">
        <f t="shared" si="219"/>
        <v>137.12</v>
      </c>
      <c r="CT429">
        <f t="shared" si="220"/>
        <v>94.264</v>
      </c>
    </row>
    <row r="430" spans="92:98">
      <c r="CN430">
        <v>429</v>
      </c>
      <c r="CO430">
        <f t="shared" si="216"/>
        <v>16396.4</v>
      </c>
      <c r="CP430">
        <f t="shared" si="217"/>
        <v>3280.48</v>
      </c>
      <c r="CR430">
        <f t="shared" si="218"/>
        <v>68.58</v>
      </c>
      <c r="CS430">
        <f t="shared" si="219"/>
        <v>137.16</v>
      </c>
      <c r="CT430">
        <f t="shared" si="220"/>
        <v>94.302</v>
      </c>
    </row>
    <row r="431" spans="92:98">
      <c r="CN431">
        <v>430</v>
      </c>
      <c r="CO431">
        <f t="shared" si="216"/>
        <v>16402</v>
      </c>
      <c r="CP431">
        <f t="shared" si="217"/>
        <v>3281.6</v>
      </c>
      <c r="CR431">
        <f t="shared" si="218"/>
        <v>68.6</v>
      </c>
      <c r="CS431">
        <f t="shared" si="219"/>
        <v>137.2</v>
      </c>
      <c r="CT431">
        <f t="shared" si="220"/>
        <v>94.34</v>
      </c>
    </row>
    <row r="432" spans="92:98">
      <c r="CN432">
        <v>431</v>
      </c>
      <c r="CO432">
        <f t="shared" si="216"/>
        <v>16407.6</v>
      </c>
      <c r="CP432">
        <f t="shared" si="217"/>
        <v>3282.72</v>
      </c>
      <c r="CR432">
        <f t="shared" si="218"/>
        <v>68.62</v>
      </c>
      <c r="CS432">
        <f t="shared" si="219"/>
        <v>137.24</v>
      </c>
      <c r="CT432">
        <f t="shared" si="220"/>
        <v>94.378</v>
      </c>
    </row>
    <row r="433" spans="92:98">
      <c r="CN433">
        <v>432</v>
      </c>
      <c r="CO433">
        <f t="shared" si="216"/>
        <v>16413.2</v>
      </c>
      <c r="CP433">
        <f t="shared" si="217"/>
        <v>3283.84</v>
      </c>
      <c r="CR433">
        <f t="shared" si="218"/>
        <v>68.64</v>
      </c>
      <c r="CS433">
        <f t="shared" si="219"/>
        <v>137.28</v>
      </c>
      <c r="CT433">
        <f t="shared" si="220"/>
        <v>94.416</v>
      </c>
    </row>
    <row r="434" spans="92:98">
      <c r="CN434">
        <v>433</v>
      </c>
      <c r="CO434">
        <f t="shared" si="216"/>
        <v>16418.8</v>
      </c>
      <c r="CP434">
        <f t="shared" si="217"/>
        <v>3284.96</v>
      </c>
      <c r="CR434">
        <f t="shared" si="218"/>
        <v>68.66</v>
      </c>
      <c r="CS434">
        <f t="shared" si="219"/>
        <v>137.32</v>
      </c>
      <c r="CT434">
        <f t="shared" si="220"/>
        <v>94.454</v>
      </c>
    </row>
    <row r="435" spans="92:98">
      <c r="CN435">
        <v>434</v>
      </c>
      <c r="CO435">
        <f t="shared" si="216"/>
        <v>16424.4</v>
      </c>
      <c r="CP435">
        <f t="shared" si="217"/>
        <v>3286.08</v>
      </c>
      <c r="CR435">
        <f t="shared" si="218"/>
        <v>68.68</v>
      </c>
      <c r="CS435">
        <f t="shared" si="219"/>
        <v>137.36</v>
      </c>
      <c r="CT435">
        <f t="shared" si="220"/>
        <v>94.492</v>
      </c>
    </row>
    <row r="436" spans="92:98">
      <c r="CN436">
        <v>435</v>
      </c>
      <c r="CO436">
        <f t="shared" si="216"/>
        <v>16430</v>
      </c>
      <c r="CP436">
        <f t="shared" si="217"/>
        <v>3287.2</v>
      </c>
      <c r="CR436">
        <f t="shared" si="218"/>
        <v>68.7</v>
      </c>
      <c r="CS436">
        <f t="shared" si="219"/>
        <v>137.4</v>
      </c>
      <c r="CT436">
        <f t="shared" si="220"/>
        <v>94.53</v>
      </c>
    </row>
    <row r="437" spans="92:98">
      <c r="CN437">
        <v>436</v>
      </c>
      <c r="CO437">
        <f t="shared" si="216"/>
        <v>16435.6</v>
      </c>
      <c r="CP437">
        <f t="shared" si="217"/>
        <v>3288.32</v>
      </c>
      <c r="CR437">
        <f t="shared" si="218"/>
        <v>68.72</v>
      </c>
      <c r="CS437">
        <f t="shared" si="219"/>
        <v>137.44</v>
      </c>
      <c r="CT437">
        <f t="shared" si="220"/>
        <v>94.568</v>
      </c>
    </row>
    <row r="438" spans="92:98">
      <c r="CN438">
        <v>437</v>
      </c>
      <c r="CO438">
        <f t="shared" si="216"/>
        <v>16441.2</v>
      </c>
      <c r="CP438">
        <f t="shared" si="217"/>
        <v>3289.44</v>
      </c>
      <c r="CR438">
        <f t="shared" si="218"/>
        <v>68.74</v>
      </c>
      <c r="CS438">
        <f t="shared" si="219"/>
        <v>137.48</v>
      </c>
      <c r="CT438">
        <f t="shared" si="220"/>
        <v>94.606</v>
      </c>
    </row>
    <row r="439" spans="92:98">
      <c r="CN439">
        <v>438</v>
      </c>
      <c r="CO439">
        <f t="shared" si="216"/>
        <v>16446.8</v>
      </c>
      <c r="CP439">
        <f t="shared" si="217"/>
        <v>3290.56</v>
      </c>
      <c r="CR439">
        <f t="shared" si="218"/>
        <v>68.76</v>
      </c>
      <c r="CS439">
        <f t="shared" si="219"/>
        <v>137.52</v>
      </c>
      <c r="CT439">
        <f t="shared" si="220"/>
        <v>94.644</v>
      </c>
    </row>
    <row r="440" spans="92:98">
      <c r="CN440">
        <v>439</v>
      </c>
      <c r="CO440">
        <f t="shared" si="216"/>
        <v>16452.4</v>
      </c>
      <c r="CP440">
        <f t="shared" si="217"/>
        <v>3291.68</v>
      </c>
      <c r="CR440">
        <f t="shared" si="218"/>
        <v>68.78</v>
      </c>
      <c r="CS440">
        <f t="shared" si="219"/>
        <v>137.56</v>
      </c>
      <c r="CT440">
        <f t="shared" si="220"/>
        <v>94.682</v>
      </c>
    </row>
    <row r="441" spans="92:98">
      <c r="CN441">
        <v>440</v>
      </c>
      <c r="CO441">
        <f t="shared" si="216"/>
        <v>16458</v>
      </c>
      <c r="CP441">
        <f t="shared" si="217"/>
        <v>3292.8</v>
      </c>
      <c r="CR441">
        <f t="shared" si="218"/>
        <v>68.8</v>
      </c>
      <c r="CS441">
        <f t="shared" si="219"/>
        <v>137.6</v>
      </c>
      <c r="CT441">
        <f t="shared" si="220"/>
        <v>94.72</v>
      </c>
    </row>
    <row r="442" spans="92:98">
      <c r="CN442">
        <v>441</v>
      </c>
      <c r="CO442">
        <f t="shared" si="216"/>
        <v>16463.6</v>
      </c>
      <c r="CP442">
        <f t="shared" si="217"/>
        <v>3293.92</v>
      </c>
      <c r="CR442">
        <f t="shared" si="218"/>
        <v>68.82</v>
      </c>
      <c r="CS442">
        <f t="shared" si="219"/>
        <v>137.64</v>
      </c>
      <c r="CT442">
        <f t="shared" si="220"/>
        <v>94.758</v>
      </c>
    </row>
    <row r="443" spans="92:98">
      <c r="CN443">
        <v>442</v>
      </c>
      <c r="CO443">
        <f t="shared" si="216"/>
        <v>16469.2</v>
      </c>
      <c r="CP443">
        <f t="shared" si="217"/>
        <v>3295.04</v>
      </c>
      <c r="CR443">
        <f t="shared" si="218"/>
        <v>68.84</v>
      </c>
      <c r="CS443">
        <f t="shared" si="219"/>
        <v>137.68</v>
      </c>
      <c r="CT443">
        <f t="shared" si="220"/>
        <v>94.796</v>
      </c>
    </row>
    <row r="444" spans="92:98">
      <c r="CN444">
        <v>443</v>
      </c>
      <c r="CO444">
        <f t="shared" si="216"/>
        <v>16474.8</v>
      </c>
      <c r="CP444">
        <f t="shared" si="217"/>
        <v>3296.16</v>
      </c>
      <c r="CR444">
        <f t="shared" si="218"/>
        <v>68.86</v>
      </c>
      <c r="CS444">
        <f t="shared" si="219"/>
        <v>137.72</v>
      </c>
      <c r="CT444">
        <f t="shared" si="220"/>
        <v>94.834</v>
      </c>
    </row>
    <row r="445" spans="92:98">
      <c r="CN445">
        <v>444</v>
      </c>
      <c r="CO445">
        <f t="shared" si="216"/>
        <v>16480.4</v>
      </c>
      <c r="CP445">
        <f t="shared" si="217"/>
        <v>3297.28</v>
      </c>
      <c r="CR445">
        <f t="shared" si="218"/>
        <v>68.88</v>
      </c>
      <c r="CS445">
        <f t="shared" si="219"/>
        <v>137.76</v>
      </c>
      <c r="CT445">
        <f t="shared" si="220"/>
        <v>94.872</v>
      </c>
    </row>
    <row r="446" spans="92:98">
      <c r="CN446">
        <v>445</v>
      </c>
      <c r="CO446">
        <f t="shared" si="216"/>
        <v>16486</v>
      </c>
      <c r="CP446">
        <f t="shared" si="217"/>
        <v>3298.4</v>
      </c>
      <c r="CR446">
        <f t="shared" si="218"/>
        <v>68.9</v>
      </c>
      <c r="CS446">
        <f t="shared" si="219"/>
        <v>137.8</v>
      </c>
      <c r="CT446">
        <f t="shared" si="220"/>
        <v>94.91</v>
      </c>
    </row>
    <row r="447" spans="92:98">
      <c r="CN447">
        <v>446</v>
      </c>
      <c r="CO447">
        <f t="shared" si="216"/>
        <v>16491.6</v>
      </c>
      <c r="CP447">
        <f t="shared" si="217"/>
        <v>3299.52</v>
      </c>
      <c r="CR447">
        <f t="shared" si="218"/>
        <v>68.92</v>
      </c>
      <c r="CS447">
        <f t="shared" si="219"/>
        <v>137.84</v>
      </c>
      <c r="CT447">
        <f t="shared" si="220"/>
        <v>94.948</v>
      </c>
    </row>
    <row r="448" spans="92:98">
      <c r="CN448">
        <v>447</v>
      </c>
      <c r="CO448">
        <f t="shared" si="216"/>
        <v>16497.2</v>
      </c>
      <c r="CP448">
        <f t="shared" si="217"/>
        <v>3300.64</v>
      </c>
      <c r="CR448">
        <f t="shared" si="218"/>
        <v>68.94</v>
      </c>
      <c r="CS448">
        <f t="shared" si="219"/>
        <v>137.88</v>
      </c>
      <c r="CT448">
        <f t="shared" si="220"/>
        <v>94.986</v>
      </c>
    </row>
    <row r="449" spans="92:98">
      <c r="CN449">
        <v>448</v>
      </c>
      <c r="CO449">
        <f t="shared" si="216"/>
        <v>16502.8</v>
      </c>
      <c r="CP449">
        <f t="shared" si="217"/>
        <v>3301.76</v>
      </c>
      <c r="CR449">
        <f t="shared" si="218"/>
        <v>68.96</v>
      </c>
      <c r="CS449">
        <f t="shared" si="219"/>
        <v>137.92</v>
      </c>
      <c r="CT449">
        <f t="shared" si="220"/>
        <v>95.024</v>
      </c>
    </row>
    <row r="450" spans="92:98">
      <c r="CN450">
        <v>449</v>
      </c>
      <c r="CO450">
        <f t="shared" ref="CO450:CO501" si="221">5.6*CN450+13994</f>
        <v>16508.4</v>
      </c>
      <c r="CP450">
        <f t="shared" ref="CP450:CP501" si="222">1.12*CN450+2800</f>
        <v>3302.88</v>
      </c>
      <c r="CR450">
        <f t="shared" ref="CR450:CR501" si="223">0.02*CN450+60</f>
        <v>68.98</v>
      </c>
      <c r="CS450">
        <f t="shared" ref="CS450:CS501" si="224">0.04*CN450+120</f>
        <v>137.96</v>
      </c>
      <c r="CT450">
        <f t="shared" ref="CT450:CT501" si="225">0.038*CN450+78</f>
        <v>95.062</v>
      </c>
    </row>
    <row r="451" spans="92:98">
      <c r="CN451">
        <v>450</v>
      </c>
      <c r="CO451">
        <f t="shared" si="221"/>
        <v>16514</v>
      </c>
      <c r="CP451">
        <f t="shared" si="222"/>
        <v>3304</v>
      </c>
      <c r="CR451">
        <f t="shared" si="223"/>
        <v>69</v>
      </c>
      <c r="CS451">
        <f t="shared" si="224"/>
        <v>138</v>
      </c>
      <c r="CT451">
        <f t="shared" si="225"/>
        <v>95.1</v>
      </c>
    </row>
    <row r="452" spans="92:98">
      <c r="CN452">
        <v>451</v>
      </c>
      <c r="CO452">
        <f t="shared" si="221"/>
        <v>16519.6</v>
      </c>
      <c r="CP452">
        <f t="shared" si="222"/>
        <v>3305.12</v>
      </c>
      <c r="CR452">
        <f t="shared" si="223"/>
        <v>69.02</v>
      </c>
      <c r="CS452">
        <f t="shared" si="224"/>
        <v>138.04</v>
      </c>
      <c r="CT452">
        <f t="shared" si="225"/>
        <v>95.138</v>
      </c>
    </row>
    <row r="453" spans="92:98">
      <c r="CN453">
        <v>452</v>
      </c>
      <c r="CO453">
        <f t="shared" si="221"/>
        <v>16525.2</v>
      </c>
      <c r="CP453">
        <f t="shared" si="222"/>
        <v>3306.24</v>
      </c>
      <c r="CR453">
        <f t="shared" si="223"/>
        <v>69.04</v>
      </c>
      <c r="CS453">
        <f t="shared" si="224"/>
        <v>138.08</v>
      </c>
      <c r="CT453">
        <f t="shared" si="225"/>
        <v>95.176</v>
      </c>
    </row>
    <row r="454" spans="92:98">
      <c r="CN454">
        <v>453</v>
      </c>
      <c r="CO454">
        <f t="shared" si="221"/>
        <v>16530.8</v>
      </c>
      <c r="CP454">
        <f t="shared" si="222"/>
        <v>3307.36</v>
      </c>
      <c r="CR454">
        <f t="shared" si="223"/>
        <v>69.06</v>
      </c>
      <c r="CS454">
        <f t="shared" si="224"/>
        <v>138.12</v>
      </c>
      <c r="CT454">
        <f t="shared" si="225"/>
        <v>95.214</v>
      </c>
    </row>
    <row r="455" spans="92:98">
      <c r="CN455">
        <v>454</v>
      </c>
      <c r="CO455">
        <f t="shared" si="221"/>
        <v>16536.4</v>
      </c>
      <c r="CP455">
        <f t="shared" si="222"/>
        <v>3308.48</v>
      </c>
      <c r="CR455">
        <f t="shared" si="223"/>
        <v>69.08</v>
      </c>
      <c r="CS455">
        <f t="shared" si="224"/>
        <v>138.16</v>
      </c>
      <c r="CT455">
        <f t="shared" si="225"/>
        <v>95.252</v>
      </c>
    </row>
    <row r="456" spans="92:98">
      <c r="CN456">
        <v>455</v>
      </c>
      <c r="CO456">
        <f t="shared" si="221"/>
        <v>16542</v>
      </c>
      <c r="CP456">
        <f t="shared" si="222"/>
        <v>3309.6</v>
      </c>
      <c r="CR456">
        <f t="shared" si="223"/>
        <v>69.1</v>
      </c>
      <c r="CS456">
        <f t="shared" si="224"/>
        <v>138.2</v>
      </c>
      <c r="CT456">
        <f t="shared" si="225"/>
        <v>95.29</v>
      </c>
    </row>
    <row r="457" spans="92:98">
      <c r="CN457">
        <v>456</v>
      </c>
      <c r="CO457">
        <f t="shared" si="221"/>
        <v>16547.6</v>
      </c>
      <c r="CP457">
        <f t="shared" si="222"/>
        <v>3310.72</v>
      </c>
      <c r="CR457">
        <f t="shared" si="223"/>
        <v>69.12</v>
      </c>
      <c r="CS457">
        <f t="shared" si="224"/>
        <v>138.24</v>
      </c>
      <c r="CT457">
        <f t="shared" si="225"/>
        <v>95.328</v>
      </c>
    </row>
    <row r="458" spans="92:98">
      <c r="CN458">
        <v>457</v>
      </c>
      <c r="CO458">
        <f t="shared" si="221"/>
        <v>16553.2</v>
      </c>
      <c r="CP458">
        <f t="shared" si="222"/>
        <v>3311.84</v>
      </c>
      <c r="CR458">
        <f t="shared" si="223"/>
        <v>69.14</v>
      </c>
      <c r="CS458">
        <f t="shared" si="224"/>
        <v>138.28</v>
      </c>
      <c r="CT458">
        <f t="shared" si="225"/>
        <v>95.366</v>
      </c>
    </row>
    <row r="459" spans="92:98">
      <c r="CN459">
        <v>458</v>
      </c>
      <c r="CO459">
        <f t="shared" si="221"/>
        <v>16558.8</v>
      </c>
      <c r="CP459">
        <f t="shared" si="222"/>
        <v>3312.96</v>
      </c>
      <c r="CR459">
        <f t="shared" si="223"/>
        <v>69.16</v>
      </c>
      <c r="CS459">
        <f t="shared" si="224"/>
        <v>138.32</v>
      </c>
      <c r="CT459">
        <f t="shared" si="225"/>
        <v>95.404</v>
      </c>
    </row>
    <row r="460" spans="92:98">
      <c r="CN460">
        <v>459</v>
      </c>
      <c r="CO460">
        <f t="shared" si="221"/>
        <v>16564.4</v>
      </c>
      <c r="CP460">
        <f t="shared" si="222"/>
        <v>3314.08</v>
      </c>
      <c r="CR460">
        <f t="shared" si="223"/>
        <v>69.18</v>
      </c>
      <c r="CS460">
        <f t="shared" si="224"/>
        <v>138.36</v>
      </c>
      <c r="CT460">
        <f t="shared" si="225"/>
        <v>95.442</v>
      </c>
    </row>
    <row r="461" spans="92:98">
      <c r="CN461">
        <v>460</v>
      </c>
      <c r="CO461">
        <f t="shared" si="221"/>
        <v>16570</v>
      </c>
      <c r="CP461">
        <f t="shared" si="222"/>
        <v>3315.2</v>
      </c>
      <c r="CR461">
        <f t="shared" si="223"/>
        <v>69.2</v>
      </c>
      <c r="CS461">
        <f t="shared" si="224"/>
        <v>138.4</v>
      </c>
      <c r="CT461">
        <f t="shared" si="225"/>
        <v>95.48</v>
      </c>
    </row>
    <row r="462" spans="92:98">
      <c r="CN462">
        <v>461</v>
      </c>
      <c r="CO462">
        <f t="shared" si="221"/>
        <v>16575.6</v>
      </c>
      <c r="CP462">
        <f t="shared" si="222"/>
        <v>3316.32</v>
      </c>
      <c r="CR462">
        <f t="shared" si="223"/>
        <v>69.22</v>
      </c>
      <c r="CS462">
        <f t="shared" si="224"/>
        <v>138.44</v>
      </c>
      <c r="CT462">
        <f t="shared" si="225"/>
        <v>95.518</v>
      </c>
    </row>
    <row r="463" spans="92:98">
      <c r="CN463">
        <v>462</v>
      </c>
      <c r="CO463">
        <f t="shared" si="221"/>
        <v>16581.2</v>
      </c>
      <c r="CP463">
        <f t="shared" si="222"/>
        <v>3317.44</v>
      </c>
      <c r="CR463">
        <f t="shared" si="223"/>
        <v>69.24</v>
      </c>
      <c r="CS463">
        <f t="shared" si="224"/>
        <v>138.48</v>
      </c>
      <c r="CT463">
        <f t="shared" si="225"/>
        <v>95.556</v>
      </c>
    </row>
    <row r="464" spans="92:98">
      <c r="CN464">
        <v>463</v>
      </c>
      <c r="CO464">
        <f t="shared" si="221"/>
        <v>16586.8</v>
      </c>
      <c r="CP464">
        <f t="shared" si="222"/>
        <v>3318.56</v>
      </c>
      <c r="CR464">
        <f t="shared" si="223"/>
        <v>69.26</v>
      </c>
      <c r="CS464">
        <f t="shared" si="224"/>
        <v>138.52</v>
      </c>
      <c r="CT464">
        <f t="shared" si="225"/>
        <v>95.594</v>
      </c>
    </row>
    <row r="465" spans="92:98">
      <c r="CN465">
        <v>464</v>
      </c>
      <c r="CO465">
        <f t="shared" si="221"/>
        <v>16592.4</v>
      </c>
      <c r="CP465">
        <f t="shared" si="222"/>
        <v>3319.68</v>
      </c>
      <c r="CR465">
        <f t="shared" si="223"/>
        <v>69.28</v>
      </c>
      <c r="CS465">
        <f t="shared" si="224"/>
        <v>138.56</v>
      </c>
      <c r="CT465">
        <f t="shared" si="225"/>
        <v>95.632</v>
      </c>
    </row>
    <row r="466" spans="92:98">
      <c r="CN466">
        <v>465</v>
      </c>
      <c r="CO466">
        <f t="shared" si="221"/>
        <v>16598</v>
      </c>
      <c r="CP466">
        <f t="shared" si="222"/>
        <v>3320.8</v>
      </c>
      <c r="CR466">
        <f t="shared" si="223"/>
        <v>69.3</v>
      </c>
      <c r="CS466">
        <f t="shared" si="224"/>
        <v>138.6</v>
      </c>
      <c r="CT466">
        <f t="shared" si="225"/>
        <v>95.67</v>
      </c>
    </row>
    <row r="467" spans="92:98">
      <c r="CN467">
        <v>466</v>
      </c>
      <c r="CO467">
        <f t="shared" si="221"/>
        <v>16603.6</v>
      </c>
      <c r="CP467">
        <f t="shared" si="222"/>
        <v>3321.92</v>
      </c>
      <c r="CR467">
        <f t="shared" si="223"/>
        <v>69.32</v>
      </c>
      <c r="CS467">
        <f t="shared" si="224"/>
        <v>138.64</v>
      </c>
      <c r="CT467">
        <f t="shared" si="225"/>
        <v>95.708</v>
      </c>
    </row>
    <row r="468" spans="92:98">
      <c r="CN468">
        <v>467</v>
      </c>
      <c r="CO468">
        <f t="shared" si="221"/>
        <v>16609.2</v>
      </c>
      <c r="CP468">
        <f t="shared" si="222"/>
        <v>3323.04</v>
      </c>
      <c r="CR468">
        <f t="shared" si="223"/>
        <v>69.34</v>
      </c>
      <c r="CS468">
        <f t="shared" si="224"/>
        <v>138.68</v>
      </c>
      <c r="CT468">
        <f t="shared" si="225"/>
        <v>95.746</v>
      </c>
    </row>
    <row r="469" spans="92:98">
      <c r="CN469">
        <v>468</v>
      </c>
      <c r="CO469">
        <f t="shared" si="221"/>
        <v>16614.8</v>
      </c>
      <c r="CP469">
        <f t="shared" si="222"/>
        <v>3324.16</v>
      </c>
      <c r="CR469">
        <f t="shared" si="223"/>
        <v>69.36</v>
      </c>
      <c r="CS469">
        <f t="shared" si="224"/>
        <v>138.72</v>
      </c>
      <c r="CT469">
        <f t="shared" si="225"/>
        <v>95.784</v>
      </c>
    </row>
    <row r="470" spans="92:98">
      <c r="CN470">
        <v>469</v>
      </c>
      <c r="CO470">
        <f t="shared" si="221"/>
        <v>16620.4</v>
      </c>
      <c r="CP470">
        <f t="shared" si="222"/>
        <v>3325.28</v>
      </c>
      <c r="CR470">
        <f t="shared" si="223"/>
        <v>69.38</v>
      </c>
      <c r="CS470">
        <f t="shared" si="224"/>
        <v>138.76</v>
      </c>
      <c r="CT470">
        <f t="shared" si="225"/>
        <v>95.822</v>
      </c>
    </row>
    <row r="471" spans="92:98">
      <c r="CN471">
        <v>470</v>
      </c>
      <c r="CO471">
        <f t="shared" si="221"/>
        <v>16626</v>
      </c>
      <c r="CP471">
        <f t="shared" si="222"/>
        <v>3326.4</v>
      </c>
      <c r="CR471">
        <f t="shared" si="223"/>
        <v>69.4</v>
      </c>
      <c r="CS471">
        <f t="shared" si="224"/>
        <v>138.8</v>
      </c>
      <c r="CT471">
        <f t="shared" si="225"/>
        <v>95.86</v>
      </c>
    </row>
    <row r="472" spans="92:98">
      <c r="CN472">
        <v>471</v>
      </c>
      <c r="CO472">
        <f t="shared" si="221"/>
        <v>16631.6</v>
      </c>
      <c r="CP472">
        <f t="shared" si="222"/>
        <v>3327.52</v>
      </c>
      <c r="CR472">
        <f t="shared" si="223"/>
        <v>69.42</v>
      </c>
      <c r="CS472">
        <f t="shared" si="224"/>
        <v>138.84</v>
      </c>
      <c r="CT472">
        <f t="shared" si="225"/>
        <v>95.898</v>
      </c>
    </row>
    <row r="473" spans="92:98">
      <c r="CN473">
        <v>472</v>
      </c>
      <c r="CO473">
        <f t="shared" si="221"/>
        <v>16637.2</v>
      </c>
      <c r="CP473">
        <f t="shared" si="222"/>
        <v>3328.64</v>
      </c>
      <c r="CR473">
        <f t="shared" si="223"/>
        <v>69.44</v>
      </c>
      <c r="CS473">
        <f t="shared" si="224"/>
        <v>138.88</v>
      </c>
      <c r="CT473">
        <f t="shared" si="225"/>
        <v>95.936</v>
      </c>
    </row>
    <row r="474" spans="92:98">
      <c r="CN474">
        <v>473</v>
      </c>
      <c r="CO474">
        <f t="shared" si="221"/>
        <v>16642.8</v>
      </c>
      <c r="CP474">
        <f t="shared" si="222"/>
        <v>3329.76</v>
      </c>
      <c r="CR474">
        <f t="shared" si="223"/>
        <v>69.46</v>
      </c>
      <c r="CS474">
        <f t="shared" si="224"/>
        <v>138.92</v>
      </c>
      <c r="CT474">
        <f t="shared" si="225"/>
        <v>95.974</v>
      </c>
    </row>
    <row r="475" spans="92:98">
      <c r="CN475">
        <v>474</v>
      </c>
      <c r="CO475">
        <f t="shared" si="221"/>
        <v>16648.4</v>
      </c>
      <c r="CP475">
        <f t="shared" si="222"/>
        <v>3330.88</v>
      </c>
      <c r="CR475">
        <f t="shared" si="223"/>
        <v>69.48</v>
      </c>
      <c r="CS475">
        <f t="shared" si="224"/>
        <v>138.96</v>
      </c>
      <c r="CT475">
        <f t="shared" si="225"/>
        <v>96.012</v>
      </c>
    </row>
    <row r="476" spans="92:98">
      <c r="CN476">
        <v>475</v>
      </c>
      <c r="CO476">
        <f t="shared" si="221"/>
        <v>16654</v>
      </c>
      <c r="CP476">
        <f t="shared" si="222"/>
        <v>3332</v>
      </c>
      <c r="CR476">
        <f t="shared" si="223"/>
        <v>69.5</v>
      </c>
      <c r="CS476">
        <f t="shared" si="224"/>
        <v>139</v>
      </c>
      <c r="CT476">
        <f t="shared" si="225"/>
        <v>96.05</v>
      </c>
    </row>
    <row r="477" spans="92:98">
      <c r="CN477">
        <v>476</v>
      </c>
      <c r="CO477">
        <f t="shared" si="221"/>
        <v>16659.6</v>
      </c>
      <c r="CP477">
        <f t="shared" si="222"/>
        <v>3333.12</v>
      </c>
      <c r="CR477">
        <f t="shared" si="223"/>
        <v>69.52</v>
      </c>
      <c r="CS477">
        <f t="shared" si="224"/>
        <v>139.04</v>
      </c>
      <c r="CT477">
        <f t="shared" si="225"/>
        <v>96.088</v>
      </c>
    </row>
    <row r="478" spans="92:98">
      <c r="CN478">
        <v>477</v>
      </c>
      <c r="CO478">
        <f t="shared" si="221"/>
        <v>16665.2</v>
      </c>
      <c r="CP478">
        <f t="shared" si="222"/>
        <v>3334.24</v>
      </c>
      <c r="CR478">
        <f t="shared" si="223"/>
        <v>69.54</v>
      </c>
      <c r="CS478">
        <f t="shared" si="224"/>
        <v>139.08</v>
      </c>
      <c r="CT478">
        <f t="shared" si="225"/>
        <v>96.126</v>
      </c>
    </row>
    <row r="479" spans="92:98">
      <c r="CN479">
        <v>478</v>
      </c>
      <c r="CO479">
        <f t="shared" si="221"/>
        <v>16670.8</v>
      </c>
      <c r="CP479">
        <f t="shared" si="222"/>
        <v>3335.36</v>
      </c>
      <c r="CR479">
        <f t="shared" si="223"/>
        <v>69.56</v>
      </c>
      <c r="CS479">
        <f t="shared" si="224"/>
        <v>139.12</v>
      </c>
      <c r="CT479">
        <f t="shared" si="225"/>
        <v>96.164</v>
      </c>
    </row>
    <row r="480" spans="92:98">
      <c r="CN480">
        <v>479</v>
      </c>
      <c r="CO480">
        <f t="shared" si="221"/>
        <v>16676.4</v>
      </c>
      <c r="CP480">
        <f t="shared" si="222"/>
        <v>3336.48</v>
      </c>
      <c r="CR480">
        <f t="shared" si="223"/>
        <v>69.58</v>
      </c>
      <c r="CS480">
        <f t="shared" si="224"/>
        <v>139.16</v>
      </c>
      <c r="CT480">
        <f t="shared" si="225"/>
        <v>96.202</v>
      </c>
    </row>
    <row r="481" spans="92:98">
      <c r="CN481">
        <v>480</v>
      </c>
      <c r="CO481">
        <f t="shared" si="221"/>
        <v>16682</v>
      </c>
      <c r="CP481">
        <f t="shared" si="222"/>
        <v>3337.6</v>
      </c>
      <c r="CR481">
        <f t="shared" si="223"/>
        <v>69.6</v>
      </c>
      <c r="CS481">
        <f t="shared" si="224"/>
        <v>139.2</v>
      </c>
      <c r="CT481">
        <f t="shared" si="225"/>
        <v>96.24</v>
      </c>
    </row>
    <row r="482" spans="92:98">
      <c r="CN482">
        <v>481</v>
      </c>
      <c r="CO482">
        <f t="shared" si="221"/>
        <v>16687.6</v>
      </c>
      <c r="CP482">
        <f t="shared" si="222"/>
        <v>3338.72</v>
      </c>
      <c r="CR482">
        <f t="shared" si="223"/>
        <v>69.62</v>
      </c>
      <c r="CS482">
        <f t="shared" si="224"/>
        <v>139.24</v>
      </c>
      <c r="CT482">
        <f t="shared" si="225"/>
        <v>96.278</v>
      </c>
    </row>
    <row r="483" spans="92:98">
      <c r="CN483">
        <v>482</v>
      </c>
      <c r="CO483">
        <f t="shared" si="221"/>
        <v>16693.2</v>
      </c>
      <c r="CP483">
        <f t="shared" si="222"/>
        <v>3339.84</v>
      </c>
      <c r="CR483">
        <f t="shared" si="223"/>
        <v>69.64</v>
      </c>
      <c r="CS483">
        <f t="shared" si="224"/>
        <v>139.28</v>
      </c>
      <c r="CT483">
        <f t="shared" si="225"/>
        <v>96.316</v>
      </c>
    </row>
    <row r="484" spans="92:98">
      <c r="CN484">
        <v>483</v>
      </c>
      <c r="CO484">
        <f t="shared" si="221"/>
        <v>16698.8</v>
      </c>
      <c r="CP484">
        <f t="shared" si="222"/>
        <v>3340.96</v>
      </c>
      <c r="CR484">
        <f t="shared" si="223"/>
        <v>69.66</v>
      </c>
      <c r="CS484">
        <f t="shared" si="224"/>
        <v>139.32</v>
      </c>
      <c r="CT484">
        <f t="shared" si="225"/>
        <v>96.354</v>
      </c>
    </row>
    <row r="485" spans="92:98">
      <c r="CN485">
        <v>484</v>
      </c>
      <c r="CO485">
        <f t="shared" si="221"/>
        <v>16704.4</v>
      </c>
      <c r="CP485">
        <f t="shared" si="222"/>
        <v>3342.08</v>
      </c>
      <c r="CR485">
        <f t="shared" si="223"/>
        <v>69.68</v>
      </c>
      <c r="CS485">
        <f t="shared" si="224"/>
        <v>139.36</v>
      </c>
      <c r="CT485">
        <f t="shared" si="225"/>
        <v>96.392</v>
      </c>
    </row>
    <row r="486" spans="92:98">
      <c r="CN486">
        <v>485</v>
      </c>
      <c r="CO486">
        <f t="shared" si="221"/>
        <v>16710</v>
      </c>
      <c r="CP486">
        <f t="shared" si="222"/>
        <v>3343.2</v>
      </c>
      <c r="CR486">
        <f t="shared" si="223"/>
        <v>69.7</v>
      </c>
      <c r="CS486">
        <f t="shared" si="224"/>
        <v>139.4</v>
      </c>
      <c r="CT486">
        <f t="shared" si="225"/>
        <v>96.43</v>
      </c>
    </row>
    <row r="487" spans="92:98">
      <c r="CN487">
        <v>486</v>
      </c>
      <c r="CO487">
        <f t="shared" si="221"/>
        <v>16715.6</v>
      </c>
      <c r="CP487">
        <f t="shared" si="222"/>
        <v>3344.32</v>
      </c>
      <c r="CR487">
        <f t="shared" si="223"/>
        <v>69.72</v>
      </c>
      <c r="CS487">
        <f t="shared" si="224"/>
        <v>139.44</v>
      </c>
      <c r="CT487">
        <f t="shared" si="225"/>
        <v>96.468</v>
      </c>
    </row>
    <row r="488" spans="92:98">
      <c r="CN488">
        <v>487</v>
      </c>
      <c r="CO488">
        <f t="shared" si="221"/>
        <v>16721.2</v>
      </c>
      <c r="CP488">
        <f t="shared" si="222"/>
        <v>3345.44</v>
      </c>
      <c r="CR488">
        <f t="shared" si="223"/>
        <v>69.74</v>
      </c>
      <c r="CS488">
        <f t="shared" si="224"/>
        <v>139.48</v>
      </c>
      <c r="CT488">
        <f t="shared" si="225"/>
        <v>96.506</v>
      </c>
    </row>
    <row r="489" spans="92:98">
      <c r="CN489">
        <v>488</v>
      </c>
      <c r="CO489">
        <f t="shared" si="221"/>
        <v>16726.8</v>
      </c>
      <c r="CP489">
        <f t="shared" si="222"/>
        <v>3346.56</v>
      </c>
      <c r="CR489">
        <f t="shared" si="223"/>
        <v>69.76</v>
      </c>
      <c r="CS489">
        <f t="shared" si="224"/>
        <v>139.52</v>
      </c>
      <c r="CT489">
        <f t="shared" si="225"/>
        <v>96.544</v>
      </c>
    </row>
    <row r="490" spans="92:98">
      <c r="CN490">
        <v>489</v>
      </c>
      <c r="CO490">
        <f t="shared" si="221"/>
        <v>16732.4</v>
      </c>
      <c r="CP490">
        <f t="shared" si="222"/>
        <v>3347.68</v>
      </c>
      <c r="CR490">
        <f t="shared" si="223"/>
        <v>69.78</v>
      </c>
      <c r="CS490">
        <f t="shared" si="224"/>
        <v>139.56</v>
      </c>
      <c r="CT490">
        <f t="shared" si="225"/>
        <v>96.582</v>
      </c>
    </row>
    <row r="491" spans="92:98">
      <c r="CN491">
        <v>490</v>
      </c>
      <c r="CO491">
        <f t="shared" si="221"/>
        <v>16738</v>
      </c>
      <c r="CP491">
        <f t="shared" si="222"/>
        <v>3348.8</v>
      </c>
      <c r="CR491">
        <f t="shared" si="223"/>
        <v>69.8</v>
      </c>
      <c r="CS491">
        <f t="shared" si="224"/>
        <v>139.6</v>
      </c>
      <c r="CT491">
        <f t="shared" si="225"/>
        <v>96.62</v>
      </c>
    </row>
    <row r="492" spans="92:98">
      <c r="CN492">
        <v>491</v>
      </c>
      <c r="CO492">
        <f t="shared" si="221"/>
        <v>16743.6</v>
      </c>
      <c r="CP492">
        <f t="shared" si="222"/>
        <v>3349.92</v>
      </c>
      <c r="CR492">
        <f t="shared" si="223"/>
        <v>69.82</v>
      </c>
      <c r="CS492">
        <f t="shared" si="224"/>
        <v>139.64</v>
      </c>
      <c r="CT492">
        <f t="shared" si="225"/>
        <v>96.658</v>
      </c>
    </row>
    <row r="493" spans="92:98">
      <c r="CN493">
        <v>492</v>
      </c>
      <c r="CO493">
        <f t="shared" si="221"/>
        <v>16749.2</v>
      </c>
      <c r="CP493">
        <f t="shared" si="222"/>
        <v>3351.04</v>
      </c>
      <c r="CR493">
        <f t="shared" si="223"/>
        <v>69.84</v>
      </c>
      <c r="CS493">
        <f t="shared" si="224"/>
        <v>139.68</v>
      </c>
      <c r="CT493">
        <f t="shared" si="225"/>
        <v>96.696</v>
      </c>
    </row>
    <row r="494" spans="92:98">
      <c r="CN494">
        <v>493</v>
      </c>
      <c r="CO494">
        <f t="shared" si="221"/>
        <v>16754.8</v>
      </c>
      <c r="CP494">
        <f t="shared" si="222"/>
        <v>3352.16</v>
      </c>
      <c r="CR494">
        <f t="shared" si="223"/>
        <v>69.86</v>
      </c>
      <c r="CS494">
        <f t="shared" si="224"/>
        <v>139.72</v>
      </c>
      <c r="CT494">
        <f t="shared" si="225"/>
        <v>96.734</v>
      </c>
    </row>
    <row r="495" spans="92:98">
      <c r="CN495">
        <v>494</v>
      </c>
      <c r="CO495">
        <f t="shared" si="221"/>
        <v>16760.4</v>
      </c>
      <c r="CP495">
        <f t="shared" si="222"/>
        <v>3353.28</v>
      </c>
      <c r="CR495">
        <f t="shared" si="223"/>
        <v>69.88</v>
      </c>
      <c r="CS495">
        <f t="shared" si="224"/>
        <v>139.76</v>
      </c>
      <c r="CT495">
        <f t="shared" si="225"/>
        <v>96.772</v>
      </c>
    </row>
    <row r="496" spans="92:98">
      <c r="CN496">
        <v>495</v>
      </c>
      <c r="CO496">
        <f t="shared" si="221"/>
        <v>16766</v>
      </c>
      <c r="CP496">
        <f t="shared" si="222"/>
        <v>3354.4</v>
      </c>
      <c r="CR496">
        <f t="shared" si="223"/>
        <v>69.9</v>
      </c>
      <c r="CS496">
        <f t="shared" si="224"/>
        <v>139.8</v>
      </c>
      <c r="CT496">
        <f t="shared" si="225"/>
        <v>96.81</v>
      </c>
    </row>
    <row r="497" spans="92:98">
      <c r="CN497">
        <v>496</v>
      </c>
      <c r="CO497">
        <f t="shared" si="221"/>
        <v>16771.6</v>
      </c>
      <c r="CP497">
        <f t="shared" si="222"/>
        <v>3355.52</v>
      </c>
      <c r="CR497">
        <f t="shared" si="223"/>
        <v>69.92</v>
      </c>
      <c r="CS497">
        <f t="shared" si="224"/>
        <v>139.84</v>
      </c>
      <c r="CT497">
        <f t="shared" si="225"/>
        <v>96.848</v>
      </c>
    </row>
    <row r="498" spans="92:98">
      <c r="CN498">
        <v>497</v>
      </c>
      <c r="CO498">
        <f t="shared" si="221"/>
        <v>16777.2</v>
      </c>
      <c r="CP498">
        <f t="shared" si="222"/>
        <v>3356.64</v>
      </c>
      <c r="CR498">
        <f t="shared" si="223"/>
        <v>69.94</v>
      </c>
      <c r="CS498">
        <f t="shared" si="224"/>
        <v>139.88</v>
      </c>
      <c r="CT498">
        <f t="shared" si="225"/>
        <v>96.886</v>
      </c>
    </row>
    <row r="499" spans="92:98">
      <c r="CN499">
        <v>498</v>
      </c>
      <c r="CO499">
        <f t="shared" si="221"/>
        <v>16782.8</v>
      </c>
      <c r="CP499">
        <f t="shared" si="222"/>
        <v>3357.76</v>
      </c>
      <c r="CR499">
        <f t="shared" si="223"/>
        <v>69.96</v>
      </c>
      <c r="CS499">
        <f t="shared" si="224"/>
        <v>139.92</v>
      </c>
      <c r="CT499">
        <f t="shared" si="225"/>
        <v>96.924</v>
      </c>
    </row>
    <row r="500" spans="92:98">
      <c r="CN500">
        <v>499</v>
      </c>
      <c r="CO500">
        <f t="shared" si="221"/>
        <v>16788.4</v>
      </c>
      <c r="CP500">
        <f t="shared" si="222"/>
        <v>3358.88</v>
      </c>
      <c r="CR500">
        <f t="shared" si="223"/>
        <v>69.98</v>
      </c>
      <c r="CS500">
        <f t="shared" si="224"/>
        <v>139.96</v>
      </c>
      <c r="CT500">
        <f t="shared" si="225"/>
        <v>96.962</v>
      </c>
    </row>
    <row r="501" spans="92:98">
      <c r="CN501">
        <v>500</v>
      </c>
      <c r="CO501">
        <f t="shared" si="221"/>
        <v>16794</v>
      </c>
      <c r="CP501">
        <f t="shared" si="222"/>
        <v>3360</v>
      </c>
      <c r="CR501">
        <f t="shared" si="223"/>
        <v>70</v>
      </c>
      <c r="CS501">
        <f t="shared" si="224"/>
        <v>140</v>
      </c>
      <c r="CT501">
        <f t="shared" si="225"/>
        <v>97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7" sqref="M7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主线怪物属性</vt:lpstr>
      <vt:lpstr>秘境怪物属性</vt:lpstr>
      <vt:lpstr>参赛敌人属性</vt:lpstr>
      <vt:lpstr>其它宗门jjc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2021-09-09T11:51:00Z</dcterms:created>
  <dcterms:modified xsi:type="dcterms:W3CDTF">2026-01-21T08:35:15Z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3391E4AA0F314E15A8CB7BE6910C58D8_12</vt:lpwstr>
  </property>
  <property fmtid="{D5CDD505-2E9C-101B-9397-08002B2CF9AE}" pid="4" name="CalculationRule">
    <vt:i4>0</vt:i4>
  </property>
</Properties>
</file>