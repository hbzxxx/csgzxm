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05" windowHeight="10605"/>
  </bookViews>
  <sheets>
    <sheet name="Sheet1" sheetId="1" r:id="rId1"/>
    <sheet name="升级" sheetId="2" r:id="rId2"/>
    <sheet name="炼丹炉丹方解锁" sheetId="3" r:id="rId3"/>
    <sheet name="炼器房法器解锁" sheetId="4" r:id="rId4"/>
  </sheet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<sst xmlns="http://schemas.openxmlformats.org/spreadsheetml/2006/main" count="472" uniqueCount="195">
  <si>
    <t>##var</t>
  </si>
  <si>
    <t>id</t>
  </si>
  <si>
    <t>name</t>
  </si>
  <si>
    <t>des</t>
  </si>
  <si>
    <t>rarity</t>
  </si>
  <si>
    <t>uiName</t>
  </si>
  <si>
    <t>insideUIName</t>
  </si>
  <si>
    <t>rangeIconName</t>
  </si>
  <si>
    <t>buildDay</t>
  </si>
  <si>
    <t>buildCost</t>
  </si>
  <si>
    <t>upgradeCost</t>
  </si>
  <si>
    <t>danPrice</t>
  </si>
  <si>
    <t>upgradeRent</t>
  </si>
  <si>
    <t>upgradeDay</t>
  </si>
  <si>
    <t>type</t>
  </si>
  <si>
    <t>param</t>
  </si>
  <si>
    <t>needForeItem</t>
  </si>
  <si>
    <t>processSpeed</t>
  </si>
  <si>
    <t>workType</t>
  </si>
  <si>
    <t>talentType</t>
  </si>
  <si>
    <t>upgradeNeedOtherMat</t>
  </si>
  <si>
    <t>##type</t>
  </si>
  <si>
    <t>string</t>
  </si>
  <si>
    <t>##</t>
  </si>
  <si>
    <t>市场</t>
  </si>
  <si>
    <t>img_lingtian</t>
  </si>
  <si>
    <t>img_lingtian_1</t>
  </si>
  <si>
    <t>bg_lingtian</t>
  </si>
  <si>
    <t>7</t>
  </si>
  <si>
    <t>200</t>
  </si>
  <si>
    <t>100|400|900|1600|2500|3600|4900|6400|8100|10000|12100|14400|16900|19600|22500|25600|28900|32400|36100|40000|44100|48400|52900|57600|62500|67600|72900|78400|84100|90000|96100|102400|108900|115600|122500|129600|136900|144400|152100|160000|168100|176400|184900|193600|202500|211600|220900|230400|240100|250000</t>
  </si>
  <si>
    <t>12|24|36|48|60|72|84|96|108|120|132|144|156|168|180|192|204|216|228|240|252|264|276|288|300|312|324|336|348|360|372|384|396|408|420|432|444|456|468|480|492|504|516|528|540|552|564|576|588|600</t>
  </si>
  <si>
    <t>30|50|70|90|110|130|150|170|190|210|230|250|270|290|310|330|350|370|390|410|430|450|470|490|510|530|550|570|590|610|630|650|670|690|710|730|750|770|790|810|830|850|870|890|910|930|950|970|990|1010</t>
  </si>
  <si>
    <t>7|28|63|112|175|252|343|448|567|700|847|1008|1183|1372|1575|1792|2023|2268|2527|2800|3087|3388|3703|4032|4375|4732|5103|5488|5887|6300|6727|7168|7623|8092|8575|9072|9583|10108|10647|11200|11767|12348|12943|13552|14175|14812|15463|16128|16807|17500</t>
  </si>
  <si>
    <t>1</t>
  </si>
  <si>
    <t>10001</t>
  </si>
  <si>
    <t>3</t>
  </si>
  <si>
    <t>8</t>
  </si>
  <si>
    <t>$$$$161001|5$161001|6$161001|7$161001|8$161001|9$161001|10$162001|11$162001|12$162001|13$162001|14$162001|15$162001|16$162001|17$162001|18$162001|19$162001|20$163001|21$163001|22$163001|23$163001|24$163001|25$163001|26$163001|27$163001|28$163001|29$163001|30$164001|31$164001|32$164001|33$164001|34$164001|35$164001|36$164001|37$164001|38$164001|39$164001|40$165001|41$165001|42$165001|43$165001|44$165001|45$165001|46$165001|47$165001|48$165001|49$165001|50</t>
  </si>
  <si>
    <t>10006</t>
  </si>
  <si>
    <t>炼金房</t>
  </si>
  <si>
    <t>img_liandanfang</t>
  </si>
  <si>
    <t>bg_bagualu_liandanf_liangongfang_lianqifang</t>
  </si>
  <si>
    <t>15</t>
  </si>
  <si>
    <t>500</t>
  </si>
  <si>
    <t>100|900|3600|8100|14400|22500|32400|44100|57600|72900|90000|108900|129600|152100|202500</t>
  </si>
  <si>
    <t>10|6|9|12|15</t>
  </si>
  <si>
    <t>60|100|140|180|220|260|300|340|380|420|460|500|540|580|620</t>
  </si>
  <si>
    <t>7|175|448|1008|1575|2527|3388|4732|5887|7623|9072|11200|12943|15463|17500</t>
  </si>
  <si>
    <t>4</t>
  </si>
  <si>
    <t>101101$101102$101103|101104$101201$101202$101203|101204$101301$101302$101303|101304$101401$101402$101403|101404$101501$101502$101503|101504</t>
  </si>
  <si>
    <t>6</t>
  </si>
  <si>
    <t>2</t>
  </si>
  <si>
    <t>$$161001|20$$$162001|40$$$163001|60$$$164001|80$$$165001|100</t>
  </si>
  <si>
    <t>20001</t>
  </si>
  <si>
    <t>基础矿坑</t>
  </si>
  <si>
    <t>img_kuangchang1</t>
  </si>
  <si>
    <t>bg_kuangjing_1_5</t>
  </si>
  <si>
    <t>10|13|16|19|22|25|28|31|34|37|40|43|46|49|52|55|58|61|64|67|70|73|76|79|82|85|88|91|94|97|100|103|106|109|112|115|118|121|124|127|130|133|136|139|142|145|148|151|154|157</t>
  </si>
  <si>
    <t>111001</t>
  </si>
  <si>
    <t>20002</t>
  </si>
  <si>
    <t>进阶矿坑</t>
  </si>
  <si>
    <t>img_kuangchang2</t>
  </si>
  <si>
    <t>2000</t>
  </si>
  <si>
    <t>112001</t>
  </si>
  <si>
    <t>20003</t>
  </si>
  <si>
    <t>高级矿坑</t>
  </si>
  <si>
    <t>img_kuangchang3</t>
  </si>
  <si>
    <t>8000</t>
  </si>
  <si>
    <t>113001</t>
  </si>
  <si>
    <t>20004</t>
  </si>
  <si>
    <t>精英矿坑</t>
  </si>
  <si>
    <t>img_kuangchang4</t>
  </si>
  <si>
    <t>32000</t>
  </si>
  <si>
    <t>114001</t>
  </si>
  <si>
    <t>20005</t>
  </si>
  <si>
    <t>至尊矿坑</t>
  </si>
  <si>
    <t>5</t>
  </si>
  <si>
    <t>img_kuangchang5</t>
  </si>
  <si>
    <t>13000</t>
  </si>
  <si>
    <t>115001</t>
  </si>
  <si>
    <t>30001</t>
  </si>
  <si>
    <t>基础萤光草圃</t>
  </si>
  <si>
    <t>img_lingshu1</t>
  </si>
  <si>
    <t>bg_lingshu_1_2</t>
  </si>
  <si>
    <t>1|2|3|4|5|6|7|8|9|10|11|12|13|14|15|16|17|18|19|20|21|22|23|24|25|26|27|28|29|30|31|32|33|34|35|36|37|38|39|40|41|42|43|44|45|46|47|48|49|50</t>
  </si>
  <si>
    <t>91001</t>
  </si>
  <si>
    <t>30002</t>
  </si>
  <si>
    <t>进阶萤光草圃</t>
  </si>
  <si>
    <t>img_lingshu2</t>
  </si>
  <si>
    <t>92001</t>
  </si>
  <si>
    <t>30003</t>
  </si>
  <si>
    <t>高级萤光草圃</t>
  </si>
  <si>
    <t>img_lingshu3</t>
  </si>
  <si>
    <t>bg_lingshu_3</t>
  </si>
  <si>
    <t>93001</t>
  </si>
  <si>
    <t>30004</t>
  </si>
  <si>
    <t>精英萤光草圃</t>
  </si>
  <si>
    <t>img_lingshu4</t>
  </si>
  <si>
    <t>bg_lingshu_4</t>
  </si>
  <si>
    <t>94001</t>
  </si>
  <si>
    <t>30005</t>
  </si>
  <si>
    <t>至尊萤光草圃</t>
  </si>
  <si>
    <t>img_lingshu5</t>
  </si>
  <si>
    <t>bg_lingshu_5</t>
  </si>
  <si>
    <t>95001</t>
  </si>
  <si>
    <t>40001</t>
  </si>
  <si>
    <t>基础档案馆</t>
  </si>
  <si>
    <t>img_cangjingge1</t>
  </si>
  <si>
    <t>bg_cangjingge1_1</t>
  </si>
  <si>
    <t>121001</t>
  </si>
  <si>
    <t>40002</t>
  </si>
  <si>
    <t>进阶档案馆</t>
  </si>
  <si>
    <t>img_cangjingge2</t>
  </si>
  <si>
    <t>bg_cangjingge2_2</t>
  </si>
  <si>
    <t>122001</t>
  </si>
  <si>
    <t>40003</t>
  </si>
  <si>
    <t>高级档案馆</t>
  </si>
  <si>
    <t>img_cangjingge3</t>
  </si>
  <si>
    <t>bg_cangjingge3_3</t>
  </si>
  <si>
    <t>123001</t>
  </si>
  <si>
    <t>40004</t>
  </si>
  <si>
    <t>精英档案馆</t>
  </si>
  <si>
    <t>img_cangjingge4</t>
  </si>
  <si>
    <t>bg_cangjingge4_4</t>
  </si>
  <si>
    <t>124001</t>
  </si>
  <si>
    <t>40005</t>
  </si>
  <si>
    <t>至尊档案馆</t>
  </si>
  <si>
    <t>img_cangjingge5</t>
  </si>
  <si>
    <t>bg_cangjingge5_5</t>
  </si>
  <si>
    <t>125001</t>
  </si>
  <si>
    <t>50001</t>
  </si>
  <si>
    <t>铁匠铺</t>
  </si>
  <si>
    <t>img_lianqifang</t>
  </si>
  <si>
    <t>1500</t>
  </si>
  <si>
    <t>10000|40000|90000|160000|250000</t>
  </si>
  <si>
    <t>100|500|900|1300|1700</t>
  </si>
  <si>
    <t>7|1008|4032|9072|17500</t>
  </si>
  <si>
    <t>21101|21201$22101$23101|23201$$</t>
  </si>
  <si>
    <t>162001|30$163001|70$164001|110$165001|150</t>
  </si>
  <si>
    <t>60001</t>
  </si>
  <si>
    <t>宝石工坊</t>
  </si>
  <si>
    <t>img_bagualu</t>
  </si>
  <si>
    <t>30</t>
  </si>
  <si>
    <t>灵田</t>
  </si>
  <si>
    <t>升级消耗</t>
  </si>
  <si>
    <t>单价</t>
  </si>
  <si>
    <t>维护费</t>
  </si>
  <si>
    <t>升级用时天</t>
  </si>
  <si>
    <t>额外物品消耗</t>
  </si>
  <si>
    <t>灵田升级消耗</t>
  </si>
  <si>
    <t>灵田升级用时</t>
  </si>
  <si>
    <t>炼器房升级消耗</t>
  </si>
  <si>
    <t>虎王神金</t>
  </si>
  <si>
    <t>玉髓</t>
  </si>
  <si>
    <t>星髓</t>
  </si>
  <si>
    <t>仙柱石</t>
  </si>
  <si>
    <t>补天石</t>
  </si>
  <si>
    <t>K</t>
  </si>
  <si>
    <t>A</t>
  </si>
  <si>
    <t>t</t>
  </si>
  <si>
    <t>y(t)</t>
  </si>
  <si>
    <t>161001</t>
  </si>
  <si>
    <t>162001</t>
  </si>
  <si>
    <t>163001</t>
  </si>
  <si>
    <t>164001</t>
  </si>
  <si>
    <t>165001</t>
  </si>
  <si>
    <t>第一阶段需要总数</t>
  </si>
  <si>
    <t>矿场</t>
  </si>
  <si>
    <t>炼器房升级用时</t>
  </si>
  <si>
    <t>升级用时</t>
  </si>
  <si>
    <t>炼器房</t>
  </si>
  <si>
    <t>炼丹炉升级用时：</t>
  </si>
  <si>
    <t>炼丹炉</t>
  </si>
  <si>
    <t>灵树</t>
  </si>
  <si>
    <t>一品益气丹</t>
  </si>
  <si>
    <t>101101</t>
  </si>
  <si>
    <t>101101|101001</t>
  </si>
  <si>
    <t>101102</t>
  </si>
  <si>
    <t>101103|101104</t>
  </si>
  <si>
    <t>101201|102001</t>
  </si>
  <si>
    <t>101202</t>
  </si>
  <si>
    <t>101203|101204</t>
  </si>
  <si>
    <t>101301|103001</t>
  </si>
  <si>
    <t>101302</t>
  </si>
  <si>
    <t>101303|101304</t>
  </si>
  <si>
    <t>101401|104001</t>
  </si>
  <si>
    <t>101402</t>
  </si>
  <si>
    <t>101403|101404</t>
  </si>
  <si>
    <t>101501|105001</t>
  </si>
  <si>
    <t>101502</t>
  </si>
  <si>
    <t>101503|101504</t>
  </si>
  <si>
    <t>21101|21201</t>
  </si>
  <si>
    <t>22101</t>
  </si>
  <si>
    <t>23101|23201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</si>
</sst>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_);[Red]\(0\)"/>
  </numFmts>
  <fonts count="24">
    <font>
      <sz val="11"/>
      <color theme="1"/>
      <name val="等线"/>
      <charset val="134"/>
      <scheme val="minor"/>
    </font>
    <font>
      <sz val="12"/>
      <color rgb="FF333333"/>
      <name val="Arial"/>
      <charset val="134"/>
    </font>
    <font>
      <sz val="12"/>
      <color rgb="FF000000"/>
      <name val="Microsoft YaHei"/>
      <charset val="134"/>
    </font>
    <font>
      <sz val="10"/>
      <color rgb="FF000000"/>
      <name val="Arial"/>
      <charset val="134"/>
    </font>
    <font>
      <sz val="10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7" tint="0.399914548173467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4" applyNumberFormat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4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</cellStyleXfs>
  <cellXfs count="26">
    <xf numFmtId="0" fontId="0" fillId="0" borderId="0" xfId="0"/>
    <xf numFmtId="49" fontId="0" fillId="0" borderId="0" xfId="0" applyNumberFormat="1" applyAlignment="1">
      <alignment vertical="center" wrapText="1"/>
    </xf>
    <xf numFmtId="49" fontId="0" fillId="0" borderId="0" xfId="0" applyNumberFormat="1"/>
    <xf numFmtId="49" fontId="0" fillId="2" borderId="0" xfId="0" applyNumberFormat="1" applyFill="1" applyAlignment="1">
      <alignment vertical="center"/>
    </xf>
    <xf numFmtId="49" fontId="0" fillId="3" borderId="0" xfId="0" applyNumberFormat="1" applyFill="1" applyAlignment="1">
      <alignment vertical="center"/>
    </xf>
    <xf numFmtId="49" fontId="0" fillId="4" borderId="0" xfId="0" applyNumberFormat="1" applyFill="1" applyAlignment="1">
      <alignment vertical="center"/>
    </xf>
    <xf numFmtId="49" fontId="0" fillId="5" borderId="0" xfId="0" applyNumberFormat="1" applyFill="1" applyAlignment="1">
      <alignment vertical="center"/>
    </xf>
    <xf numFmtId="49" fontId="0" fillId="6" borderId="0" xfId="0" applyNumberFormat="1" applyFill="1" applyAlignment="1">
      <alignment vertical="center"/>
    </xf>
    <xf numFmtId="49" fontId="0" fillId="7" borderId="0" xfId="0" applyNumberFormat="1" applyFill="1" applyAlignment="1">
      <alignment vertical="center"/>
    </xf>
    <xf numFmtId="49" fontId="0" fillId="8" borderId="0" xfId="0" applyNumberFormat="1" applyFill="1" applyAlignment="1">
      <alignment vertical="center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76" fontId="0" fillId="0" borderId="0" xfId="0" applyNumberFormat="1" applyAlignment="1">
      <alignment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49" fontId="0" fillId="0" borderId="0" xfId="0" applyNumberFormat="1" applyAlignment="1">
      <alignment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 vertical="center" wrapText="1"/>
    </xf>
    <xf numFmtId="177" fontId="4" fillId="0" borderId="0" xfId="0" applyNumberFormat="1" applyFont="1" applyAlignment="1">
      <alignment horizontal="left" vertical="center" wrapText="1"/>
    </xf>
    <xf numFmtId="49" fontId="0" fillId="0" borderId="0" xfId="0" applyNumberFormat="1" applyFont="1"/>
    <xf numFmtId="49" fontId="0" fillId="2" borderId="0" xfId="0" applyNumberFormat="1" applyFill="1"/>
    <xf numFmtId="49" fontId="0" fillId="2" borderId="0" xfId="0" applyNumberFormat="1" applyFont="1" applyFill="1"/>
    <xf numFmtId="49" fontId="0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2"/>
  <sheetViews>
    <sheetView tabSelected="1" topLeftCell="J1" workbookViewId="0">
      <selection activeCell="P13" sqref="P13"/>
    </sheetView>
  </sheetViews>
  <sheetFormatPr defaultColWidth="9" defaultRowHeight="14.25"/>
  <cols>
    <col min="1" max="1" width="9" style="2" customWidth="1"/>
    <col min="2" max="2" width="11.375" style="2" customWidth="1"/>
    <col min="3" max="3" width="15.375" style="2" customWidth="1"/>
    <col min="4" max="4" width="11.375" style="2" customWidth="1"/>
    <col min="5" max="5" width="25.375" style="2" customWidth="1"/>
    <col min="6" max="7" width="19" style="2" customWidth="1"/>
    <col min="8" max="8" width="17" style="2" customWidth="1"/>
    <col min="9" max="9" width="17.125" style="2" customWidth="1"/>
    <col min="10" max="10" width="17.625" style="2" customWidth="1"/>
    <col min="11" max="11" width="18.25" style="2" customWidth="1"/>
    <col min="12" max="12" width="22.625" style="2" customWidth="1"/>
    <col min="13" max="13" width="24.875" style="2" customWidth="1"/>
    <col min="14" max="14" width="28.375" style="2" customWidth="1"/>
    <col min="15" max="15" width="11.125" style="2" customWidth="1"/>
    <col min="16" max="16" width="22" style="2" customWidth="1"/>
    <col min="17" max="17" width="12.5" style="2" customWidth="1"/>
    <col min="18" max="18" width="9" style="2" customWidth="1"/>
    <col min="19" max="19" width="9.875" style="2" customWidth="1"/>
    <col min="20" max="20" width="33.5" style="2" customWidth="1"/>
    <col min="21" max="16384" width="9" style="2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22</v>
      </c>
      <c r="O2" t="s">
        <v>22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</row>
    <row r="3" spans="1:21">
      <c r="A3" t="s">
        <v>23</v>
      </c>
      <c r="B3" s="2" t="s">
        <v>1</v>
      </c>
      <c r="C3" s="2" t="s">
        <v>2</v>
      </c>
      <c r="D3" s="22" t="s">
        <v>3</v>
      </c>
      <c r="E3" s="22" t="s">
        <v>4</v>
      </c>
      <c r="F3" s="2" t="s">
        <v>5</v>
      </c>
      <c r="G3" s="2" t="s">
        <v>6</v>
      </c>
      <c r="H3" s="2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2" t="s">
        <v>16</v>
      </c>
      <c r="R3" s="2" t="s">
        <v>17</v>
      </c>
      <c r="S3" s="2" t="s">
        <v>18</v>
      </c>
      <c r="T3" s="2" t="s">
        <v>19</v>
      </c>
      <c r="U3" s="2" t="s">
        <v>20</v>
      </c>
    </row>
    <row r="4" spans="1:21">
      <c r="B4" s="2">
        <v>10001</v>
      </c>
      <c r="C4" s="2" t="s">
        <v>24</v>
      </c>
      <c r="F4" s="2" t="s">
        <v>25</v>
      </c>
      <c r="G4" s="2" t="s">
        <v>26</v>
      </c>
      <c r="H4" s="23" t="s">
        <v>27</v>
      </c>
      <c r="I4" s="2" t="s">
        <v>28</v>
      </c>
      <c r="J4" s="2" t="s">
        <v>29</v>
      </c>
      <c r="K4" s="2" t="s">
        <v>30</v>
      </c>
      <c r="L4" s="2" t="s">
        <v>31</v>
      </c>
      <c r="M4" s="2" t="s">
        <v>32</v>
      </c>
      <c r="N4" s="2" t="s">
        <v>33</v>
      </c>
      <c r="O4" s="2" t="s">
        <v>34</v>
      </c>
      <c r="P4" s="2" t="s">
        <v>35</v>
      </c>
      <c r="R4" s="2" t="s">
        <v>36</v>
      </c>
      <c r="S4" s="2" t="s">
        <v>34</v>
      </c>
      <c r="T4" s="2" t="s">
        <v>37</v>
      </c>
      <c r="U4" s="2" t="s">
        <v>38</v>
      </c>
    </row>
    <row r="5" spans="1:21">
      <c r="B5" s="2" t="s">
        <v>39</v>
      </c>
      <c r="C5" s="22" t="s">
        <v>40</v>
      </c>
      <c r="D5" s="22"/>
      <c r="E5" s="22"/>
      <c r="F5" s="2" t="s">
        <v>41</v>
      </c>
      <c r="G5" s="2" t="s">
        <v>41</v>
      </c>
      <c r="H5" s="2" t="s">
        <v>42</v>
      </c>
      <c r="I5" s="2" t="s">
        <v>43</v>
      </c>
      <c r="J5" s="2" t="s">
        <v>44</v>
      </c>
      <c r="K5" s="2" t="s">
        <v>45</v>
      </c>
      <c r="L5" s="2" t="s">
        <v>46</v>
      </c>
      <c r="M5" s="2" t="s">
        <v>47</v>
      </c>
      <c r="N5" s="2" t="s">
        <v>48</v>
      </c>
      <c r="O5" s="2" t="s">
        <v>49</v>
      </c>
      <c r="P5" t="s">
        <v>50</v>
      </c>
      <c r="R5" s="22" t="s">
        <v>51</v>
      </c>
      <c r="S5" s="2" t="s">
        <v>52</v>
      </c>
      <c r="T5" s="2" t="s">
        <v>34</v>
      </c>
      <c r="U5" s="2" t="s">
        <v>53</v>
      </c>
    </row>
    <row r="6" spans="1:21">
      <c r="B6" s="2" t="s">
        <v>54</v>
      </c>
      <c r="C6" t="s">
        <v>55</v>
      </c>
      <c r="E6" s="22" t="s">
        <v>34</v>
      </c>
      <c r="F6" s="23" t="s">
        <v>56</v>
      </c>
      <c r="G6" s="23" t="s">
        <v>56</v>
      </c>
      <c r="H6" s="23" t="s">
        <v>57</v>
      </c>
      <c r="I6" s="23" t="s">
        <v>43</v>
      </c>
      <c r="J6" s="23" t="s">
        <v>44</v>
      </c>
      <c r="K6" s="2" t="s">
        <v>30</v>
      </c>
      <c r="L6" s="24" t="s">
        <v>58</v>
      </c>
      <c r="M6" s="2" t="s">
        <v>32</v>
      </c>
      <c r="N6" s="23" t="s">
        <v>33</v>
      </c>
      <c r="O6" s="23" t="s">
        <v>52</v>
      </c>
      <c r="P6" s="23" t="s">
        <v>59</v>
      </c>
      <c r="R6" s="23" t="s">
        <v>36</v>
      </c>
      <c r="S6" s="23" t="s">
        <v>34</v>
      </c>
      <c r="T6" s="23" t="s">
        <v>49</v>
      </c>
      <c r="U6" s="2" t="s">
        <v>38</v>
      </c>
    </row>
    <row r="7" spans="1:21">
      <c r="B7" s="2" t="s">
        <v>60</v>
      </c>
      <c r="C7" t="s">
        <v>61</v>
      </c>
      <c r="E7" s="22" t="s">
        <v>52</v>
      </c>
      <c r="F7" s="23" t="s">
        <v>62</v>
      </c>
      <c r="G7" s="23" t="s">
        <v>62</v>
      </c>
      <c r="H7" s="23" t="s">
        <v>57</v>
      </c>
      <c r="I7" s="23" t="s">
        <v>43</v>
      </c>
      <c r="J7" s="23" t="s">
        <v>63</v>
      </c>
      <c r="K7" s="2" t="s">
        <v>30</v>
      </c>
      <c r="L7" s="23" t="s">
        <v>58</v>
      </c>
      <c r="M7" s="2" t="s">
        <v>32</v>
      </c>
      <c r="N7" s="23" t="s">
        <v>33</v>
      </c>
      <c r="O7" s="23" t="s">
        <v>52</v>
      </c>
      <c r="P7" s="23" t="s">
        <v>64</v>
      </c>
      <c r="Q7" s="25" t="s">
        <v>59</v>
      </c>
      <c r="R7" s="23" t="s">
        <v>36</v>
      </c>
      <c r="S7" s="23" t="s">
        <v>34</v>
      </c>
      <c r="T7" s="23" t="s">
        <v>49</v>
      </c>
      <c r="U7" s="2" t="s">
        <v>38</v>
      </c>
    </row>
    <row r="8" spans="1:21">
      <c r="B8" s="2" t="s">
        <v>65</v>
      </c>
      <c r="C8" t="s">
        <v>66</v>
      </c>
      <c r="E8" s="22" t="s">
        <v>36</v>
      </c>
      <c r="F8" s="23" t="s">
        <v>67</v>
      </c>
      <c r="G8" s="23" t="s">
        <v>67</v>
      </c>
      <c r="H8" s="23" t="s">
        <v>57</v>
      </c>
      <c r="I8" s="23" t="s">
        <v>43</v>
      </c>
      <c r="J8" s="23" t="s">
        <v>68</v>
      </c>
      <c r="K8" s="2" t="s">
        <v>30</v>
      </c>
      <c r="L8" s="23" t="s">
        <v>58</v>
      </c>
      <c r="M8" s="2" t="s">
        <v>32</v>
      </c>
      <c r="N8" s="23" t="s">
        <v>33</v>
      </c>
      <c r="O8" s="23" t="s">
        <v>52</v>
      </c>
      <c r="P8" s="23" t="s">
        <v>69</v>
      </c>
      <c r="Q8" s="16" t="s">
        <v>64</v>
      </c>
      <c r="R8" s="23" t="s">
        <v>36</v>
      </c>
      <c r="S8" s="23" t="s">
        <v>34</v>
      </c>
      <c r="T8" s="23" t="s">
        <v>49</v>
      </c>
      <c r="U8" s="2" t="s">
        <v>38</v>
      </c>
    </row>
    <row r="9" spans="1:21">
      <c r="B9" s="2" t="s">
        <v>70</v>
      </c>
      <c r="C9" t="s">
        <v>71</v>
      </c>
      <c r="E9" s="22" t="s">
        <v>49</v>
      </c>
      <c r="F9" s="23" t="s">
        <v>72</v>
      </c>
      <c r="G9" s="23" t="s">
        <v>72</v>
      </c>
      <c r="H9" s="23" t="s">
        <v>57</v>
      </c>
      <c r="I9" s="23" t="s">
        <v>43</v>
      </c>
      <c r="J9" s="23" t="s">
        <v>73</v>
      </c>
      <c r="K9" s="2" t="s">
        <v>30</v>
      </c>
      <c r="L9" s="23" t="s">
        <v>58</v>
      </c>
      <c r="M9" s="2" t="s">
        <v>32</v>
      </c>
      <c r="N9" s="23" t="s">
        <v>33</v>
      </c>
      <c r="O9" s="23" t="s">
        <v>52</v>
      </c>
      <c r="P9" s="23" t="s">
        <v>74</v>
      </c>
      <c r="Q9" s="16" t="s">
        <v>69</v>
      </c>
      <c r="R9" s="23" t="s">
        <v>36</v>
      </c>
      <c r="S9" s="23" t="s">
        <v>34</v>
      </c>
      <c r="T9" s="23" t="s">
        <v>49</v>
      </c>
      <c r="U9" s="2" t="s">
        <v>38</v>
      </c>
    </row>
    <row r="10" spans="1:21">
      <c r="B10" s="2" t="s">
        <v>75</v>
      </c>
      <c r="C10" t="s">
        <v>76</v>
      </c>
      <c r="E10" s="22" t="s">
        <v>77</v>
      </c>
      <c r="F10" s="23" t="s">
        <v>78</v>
      </c>
      <c r="G10" s="23" t="s">
        <v>78</v>
      </c>
      <c r="H10" s="23" t="s">
        <v>57</v>
      </c>
      <c r="I10" s="23" t="s">
        <v>43</v>
      </c>
      <c r="J10" s="23" t="s">
        <v>79</v>
      </c>
      <c r="K10" s="2" t="s">
        <v>30</v>
      </c>
      <c r="L10" s="24" t="s">
        <v>58</v>
      </c>
      <c r="M10" s="2" t="s">
        <v>32</v>
      </c>
      <c r="N10" s="23" t="s">
        <v>33</v>
      </c>
      <c r="O10" s="23" t="s">
        <v>52</v>
      </c>
      <c r="P10" s="23" t="s">
        <v>80</v>
      </c>
      <c r="Q10" s="16" t="s">
        <v>74</v>
      </c>
      <c r="R10" s="23" t="s">
        <v>36</v>
      </c>
      <c r="S10" s="23" t="s">
        <v>34</v>
      </c>
      <c r="T10" s="23" t="s">
        <v>49</v>
      </c>
      <c r="U10" s="2" t="s">
        <v>38</v>
      </c>
    </row>
    <row r="11" spans="1:21">
      <c r="B11" s="2" t="s">
        <v>81</v>
      </c>
      <c r="C11" s="2" t="s">
        <v>82</v>
      </c>
      <c r="E11" s="22" t="s">
        <v>34</v>
      </c>
      <c r="F11" s="23" t="s">
        <v>83</v>
      </c>
      <c r="G11" s="23" t="s">
        <v>83</v>
      </c>
      <c r="H11" s="23" t="s">
        <v>84</v>
      </c>
      <c r="I11" s="23" t="s">
        <v>43</v>
      </c>
      <c r="J11" s="23" t="s">
        <v>44</v>
      </c>
      <c r="K11" s="2" t="s">
        <v>30</v>
      </c>
      <c r="L11" s="23" t="s">
        <v>85</v>
      </c>
      <c r="M11" s="2" t="s">
        <v>32</v>
      </c>
      <c r="N11" s="23" t="s">
        <v>33</v>
      </c>
      <c r="O11" s="23" t="s">
        <v>36</v>
      </c>
      <c r="P11" s="3" t="s">
        <v>86</v>
      </c>
      <c r="Q11" s="3"/>
      <c r="R11" s="23" t="s">
        <v>36</v>
      </c>
      <c r="S11" s="23" t="s">
        <v>34</v>
      </c>
      <c r="T11" s="23" t="s">
        <v>77</v>
      </c>
      <c r="U11" s="2" t="s">
        <v>38</v>
      </c>
    </row>
    <row r="12" spans="1:21">
      <c r="B12" s="2" t="s">
        <v>87</v>
      </c>
      <c r="C12" s="2" t="s">
        <v>88</v>
      </c>
      <c r="E12" s="22" t="s">
        <v>52</v>
      </c>
      <c r="F12" s="23" t="s">
        <v>89</v>
      </c>
      <c r="G12" s="23" t="s">
        <v>89</v>
      </c>
      <c r="H12" s="23" t="s">
        <v>84</v>
      </c>
      <c r="I12" s="23" t="s">
        <v>43</v>
      </c>
      <c r="J12" s="23" t="s">
        <v>63</v>
      </c>
      <c r="K12" s="2" t="s">
        <v>30</v>
      </c>
      <c r="L12" s="23" t="s">
        <v>85</v>
      </c>
      <c r="M12" s="2" t="s">
        <v>32</v>
      </c>
      <c r="N12" s="23" t="s">
        <v>33</v>
      </c>
      <c r="O12" s="23" t="s">
        <v>36</v>
      </c>
      <c r="P12" s="3" t="s">
        <v>90</v>
      </c>
      <c r="Q12" s="16" t="s">
        <v>86</v>
      </c>
      <c r="R12" s="23" t="s">
        <v>36</v>
      </c>
      <c r="S12" s="23" t="s">
        <v>34</v>
      </c>
      <c r="T12" s="23" t="s">
        <v>77</v>
      </c>
      <c r="U12" s="2" t="s">
        <v>38</v>
      </c>
    </row>
    <row r="13" spans="1:21">
      <c r="B13" s="2" t="s">
        <v>91</v>
      </c>
      <c r="C13" s="2" t="s">
        <v>92</v>
      </c>
      <c r="E13" s="22" t="s">
        <v>36</v>
      </c>
      <c r="F13" s="23" t="s">
        <v>93</v>
      </c>
      <c r="G13" s="23" t="s">
        <v>93</v>
      </c>
      <c r="H13" s="23" t="s">
        <v>94</v>
      </c>
      <c r="I13" s="23" t="s">
        <v>43</v>
      </c>
      <c r="J13" s="23" t="s">
        <v>68</v>
      </c>
      <c r="K13" s="2" t="s">
        <v>30</v>
      </c>
      <c r="L13" s="23" t="s">
        <v>85</v>
      </c>
      <c r="M13" s="2" t="s">
        <v>32</v>
      </c>
      <c r="N13" s="23" t="s">
        <v>33</v>
      </c>
      <c r="O13" s="23" t="s">
        <v>36</v>
      </c>
      <c r="P13" s="3" t="s">
        <v>95</v>
      </c>
      <c r="Q13" s="16" t="s">
        <v>90</v>
      </c>
      <c r="R13" s="23" t="s">
        <v>36</v>
      </c>
      <c r="S13" s="23" t="s">
        <v>34</v>
      </c>
      <c r="T13" s="23" t="s">
        <v>77</v>
      </c>
      <c r="U13" s="2" t="s">
        <v>38</v>
      </c>
    </row>
    <row r="14" spans="1:21">
      <c r="B14" s="2" t="s">
        <v>96</v>
      </c>
      <c r="C14" s="2" t="s">
        <v>97</v>
      </c>
      <c r="E14" s="22" t="s">
        <v>49</v>
      </c>
      <c r="F14" s="23" t="s">
        <v>98</v>
      </c>
      <c r="G14" s="23" t="s">
        <v>98</v>
      </c>
      <c r="H14" s="23" t="s">
        <v>99</v>
      </c>
      <c r="I14" s="23" t="s">
        <v>43</v>
      </c>
      <c r="J14" s="23" t="s">
        <v>73</v>
      </c>
      <c r="K14" s="2" t="s">
        <v>30</v>
      </c>
      <c r="L14" s="23" t="s">
        <v>85</v>
      </c>
      <c r="M14" s="2" t="s">
        <v>32</v>
      </c>
      <c r="N14" s="23" t="s">
        <v>33</v>
      </c>
      <c r="O14" s="23" t="s">
        <v>36</v>
      </c>
      <c r="P14" s="3" t="s">
        <v>100</v>
      </c>
      <c r="Q14" s="16" t="s">
        <v>95</v>
      </c>
      <c r="R14" s="23" t="s">
        <v>36</v>
      </c>
      <c r="S14" s="23" t="s">
        <v>34</v>
      </c>
      <c r="T14" s="23" t="s">
        <v>77</v>
      </c>
      <c r="U14" s="2" t="s">
        <v>38</v>
      </c>
    </row>
    <row r="15" spans="1:21">
      <c r="B15" s="2" t="s">
        <v>101</v>
      </c>
      <c r="C15" s="2" t="s">
        <v>102</v>
      </c>
      <c r="E15" s="22" t="s">
        <v>77</v>
      </c>
      <c r="F15" s="23" t="s">
        <v>103</v>
      </c>
      <c r="G15" s="23" t="s">
        <v>103</v>
      </c>
      <c r="H15" s="23" t="s">
        <v>104</v>
      </c>
      <c r="I15" s="23" t="s">
        <v>43</v>
      </c>
      <c r="J15" s="23" t="s">
        <v>79</v>
      </c>
      <c r="K15" s="2" t="s">
        <v>30</v>
      </c>
      <c r="L15" s="23" t="s">
        <v>85</v>
      </c>
      <c r="M15" s="2" t="s">
        <v>32</v>
      </c>
      <c r="N15" s="23" t="s">
        <v>33</v>
      </c>
      <c r="O15" s="23" t="s">
        <v>36</v>
      </c>
      <c r="P15" s="3" t="s">
        <v>105</v>
      </c>
      <c r="Q15" s="16" t="s">
        <v>100</v>
      </c>
      <c r="R15" s="23" t="s">
        <v>36</v>
      </c>
      <c r="S15" s="23" t="s">
        <v>34</v>
      </c>
      <c r="T15" s="23" t="s">
        <v>77</v>
      </c>
      <c r="U15" s="2" t="s">
        <v>38</v>
      </c>
    </row>
    <row r="16" spans="1:21">
      <c r="B16" s="2" t="s">
        <v>106</v>
      </c>
      <c r="C16" s="2" t="s">
        <v>107</v>
      </c>
      <c r="E16" s="22" t="s">
        <v>34</v>
      </c>
      <c r="F16" s="23" t="s">
        <v>108</v>
      </c>
      <c r="G16" s="23" t="s">
        <v>108</v>
      </c>
      <c r="H16" s="23" t="s">
        <v>109</v>
      </c>
      <c r="I16" s="23" t="s">
        <v>43</v>
      </c>
      <c r="J16" s="23" t="s">
        <v>44</v>
      </c>
      <c r="K16" s="2" t="s">
        <v>30</v>
      </c>
      <c r="L16" s="23" t="s">
        <v>85</v>
      </c>
      <c r="M16" s="2" t="s">
        <v>32</v>
      </c>
      <c r="N16" s="23" t="s">
        <v>33</v>
      </c>
      <c r="O16" s="23" t="s">
        <v>28</v>
      </c>
      <c r="P16" s="3" t="s">
        <v>110</v>
      </c>
      <c r="Q16" s="3"/>
      <c r="R16" s="23" t="s">
        <v>36</v>
      </c>
      <c r="S16" s="23" t="s">
        <v>34</v>
      </c>
      <c r="T16" s="23" t="s">
        <v>51</v>
      </c>
      <c r="U16" s="2" t="s">
        <v>38</v>
      </c>
    </row>
    <row r="17" spans="2:21">
      <c r="B17" s="2" t="s">
        <v>111</v>
      </c>
      <c r="C17" s="2" t="s">
        <v>112</v>
      </c>
      <c r="E17" s="22" t="s">
        <v>52</v>
      </c>
      <c r="F17" s="23" t="s">
        <v>113</v>
      </c>
      <c r="G17" s="23" t="s">
        <v>113</v>
      </c>
      <c r="H17" s="23" t="s">
        <v>114</v>
      </c>
      <c r="I17" s="23" t="s">
        <v>43</v>
      </c>
      <c r="J17" s="23" t="s">
        <v>63</v>
      </c>
      <c r="K17" s="2" t="s">
        <v>30</v>
      </c>
      <c r="L17" s="23" t="s">
        <v>85</v>
      </c>
      <c r="M17" s="2" t="s">
        <v>32</v>
      </c>
      <c r="N17" s="23" t="s">
        <v>33</v>
      </c>
      <c r="O17" s="23" t="s">
        <v>28</v>
      </c>
      <c r="P17" s="3" t="s">
        <v>115</v>
      </c>
      <c r="Q17" s="16" t="s">
        <v>110</v>
      </c>
      <c r="R17" s="23" t="s">
        <v>36</v>
      </c>
      <c r="S17" s="23" t="s">
        <v>34</v>
      </c>
      <c r="T17" s="23" t="s">
        <v>51</v>
      </c>
      <c r="U17" s="2" t="s">
        <v>38</v>
      </c>
    </row>
    <row r="18" spans="2:21">
      <c r="B18" s="2" t="s">
        <v>116</v>
      </c>
      <c r="C18" s="2" t="s">
        <v>117</v>
      </c>
      <c r="E18" s="22" t="s">
        <v>36</v>
      </c>
      <c r="F18" s="23" t="s">
        <v>118</v>
      </c>
      <c r="G18" s="23" t="s">
        <v>118</v>
      </c>
      <c r="H18" s="23" t="s">
        <v>119</v>
      </c>
      <c r="I18" s="23" t="s">
        <v>43</v>
      </c>
      <c r="J18" s="23" t="s">
        <v>68</v>
      </c>
      <c r="K18" s="2" t="s">
        <v>30</v>
      </c>
      <c r="L18" s="23" t="s">
        <v>85</v>
      </c>
      <c r="M18" s="2" t="s">
        <v>32</v>
      </c>
      <c r="N18" s="23" t="s">
        <v>33</v>
      </c>
      <c r="O18" s="23" t="s">
        <v>28</v>
      </c>
      <c r="P18" s="3" t="s">
        <v>120</v>
      </c>
      <c r="Q18" s="16" t="s">
        <v>115</v>
      </c>
      <c r="R18" s="23" t="s">
        <v>36</v>
      </c>
      <c r="S18" s="23" t="s">
        <v>34</v>
      </c>
      <c r="T18" s="23" t="s">
        <v>51</v>
      </c>
      <c r="U18" s="2" t="s">
        <v>38</v>
      </c>
    </row>
    <row r="19" spans="2:21">
      <c r="B19" s="2" t="s">
        <v>121</v>
      </c>
      <c r="C19" s="2" t="s">
        <v>122</v>
      </c>
      <c r="E19" s="22" t="s">
        <v>49</v>
      </c>
      <c r="F19" s="23" t="s">
        <v>123</v>
      </c>
      <c r="G19" s="23" t="s">
        <v>123</v>
      </c>
      <c r="H19" s="23" t="s">
        <v>124</v>
      </c>
      <c r="I19" s="23" t="s">
        <v>43</v>
      </c>
      <c r="J19" s="23" t="s">
        <v>73</v>
      </c>
      <c r="K19" s="2" t="s">
        <v>30</v>
      </c>
      <c r="L19" s="23" t="s">
        <v>85</v>
      </c>
      <c r="M19" s="2" t="s">
        <v>32</v>
      </c>
      <c r="N19" s="23" t="s">
        <v>33</v>
      </c>
      <c r="O19" s="23" t="s">
        <v>28</v>
      </c>
      <c r="P19" s="3" t="s">
        <v>125</v>
      </c>
      <c r="Q19" s="16" t="s">
        <v>120</v>
      </c>
      <c r="R19" s="23" t="s">
        <v>36</v>
      </c>
      <c r="S19" s="23" t="s">
        <v>34</v>
      </c>
      <c r="T19" s="23" t="s">
        <v>51</v>
      </c>
      <c r="U19" s="2" t="s">
        <v>38</v>
      </c>
    </row>
    <row r="20" spans="2:21">
      <c r="B20" s="2" t="s">
        <v>126</v>
      </c>
      <c r="C20" s="2" t="s">
        <v>127</v>
      </c>
      <c r="E20" s="22" t="s">
        <v>77</v>
      </c>
      <c r="F20" s="23" t="s">
        <v>128</v>
      </c>
      <c r="G20" s="23" t="s">
        <v>128</v>
      </c>
      <c r="H20" s="23" t="s">
        <v>129</v>
      </c>
      <c r="I20" s="23" t="s">
        <v>43</v>
      </c>
      <c r="J20" s="23" t="s">
        <v>79</v>
      </c>
      <c r="K20" s="2" t="s">
        <v>30</v>
      </c>
      <c r="L20" s="23" t="s">
        <v>85</v>
      </c>
      <c r="M20" s="2" t="s">
        <v>32</v>
      </c>
      <c r="N20" s="23" t="s">
        <v>33</v>
      </c>
      <c r="O20" s="23" t="s">
        <v>28</v>
      </c>
      <c r="P20" s="3" t="s">
        <v>130</v>
      </c>
      <c r="Q20" s="16" t="s">
        <v>125</v>
      </c>
      <c r="R20" s="23" t="s">
        <v>36</v>
      </c>
      <c r="S20" s="23" t="s">
        <v>34</v>
      </c>
      <c r="T20" s="23" t="s">
        <v>51</v>
      </c>
      <c r="U20" s="2" t="s">
        <v>38</v>
      </c>
    </row>
    <row r="21" spans="2:21">
      <c r="B21" s="2" t="s">
        <v>131</v>
      </c>
      <c r="C21" s="2" t="s">
        <v>132</v>
      </c>
      <c r="F21" s="2" t="s">
        <v>133</v>
      </c>
      <c r="G21" s="2" t="s">
        <v>133</v>
      </c>
      <c r="H21" s="2" t="s">
        <v>42</v>
      </c>
      <c r="I21" s="2" t="s">
        <v>43</v>
      </c>
      <c r="J21" s="22" t="s">
        <v>134</v>
      </c>
      <c r="K21" s="2" t="s">
        <v>135</v>
      </c>
      <c r="M21" s="2" t="s">
        <v>136</v>
      </c>
      <c r="N21" s="2" t="s">
        <v>137</v>
      </c>
      <c r="O21" s="2" t="s">
        <v>77</v>
      </c>
      <c r="P21" s="2" t="s">
        <v>138</v>
      </c>
      <c r="R21" s="2" t="s">
        <v>36</v>
      </c>
      <c r="S21" s="2" t="s">
        <v>36</v>
      </c>
      <c r="T21" s="2" t="s">
        <v>52</v>
      </c>
      <c r="U21" s="2" t="s">
        <v>139</v>
      </c>
    </row>
    <row r="22" spans="2:21">
      <c r="B22" s="2" t="s">
        <v>140</v>
      </c>
      <c r="C22" s="2" t="s">
        <v>141</v>
      </c>
      <c r="F22" s="2" t="s">
        <v>142</v>
      </c>
      <c r="G22" s="2" t="s">
        <v>142</v>
      </c>
      <c r="H22" s="2" t="s">
        <v>42</v>
      </c>
      <c r="I22" s="2" t="s">
        <v>43</v>
      </c>
      <c r="J22" s="22" t="s">
        <v>134</v>
      </c>
      <c r="K22" s="2" t="s">
        <v>135</v>
      </c>
      <c r="M22" s="2" t="s">
        <v>136</v>
      </c>
      <c r="N22" s="2" t="s">
        <v>137</v>
      </c>
      <c r="O22" s="2" t="s">
        <v>51</v>
      </c>
      <c r="R22" s="2" t="s">
        <v>143</v>
      </c>
      <c r="S22" s="2" t="s">
        <v>52</v>
      </c>
      <c r="T22" s="2" t="s">
        <v>28</v>
      </c>
      <c r="U22" s="2" t="s">
        <v>139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93"/>
  <sheetViews>
    <sheetView topLeftCell="A28" workbookViewId="0">
      <selection activeCell="H36" sqref="H36"/>
    </sheetView>
  </sheetViews>
  <sheetFormatPr defaultColWidth="9" defaultRowHeight="14.25"/>
  <cols>
    <col min="1" max="5" width="9" style="11" customWidth="1"/>
    <col min="6" max="6" width="12.25" style="11" customWidth="1"/>
    <col min="7" max="7" width="35.125" style="11" customWidth="1"/>
    <col min="8" max="8" width="23.25" style="11" customWidth="1"/>
    <col min="9" max="9" width="20.875" style="11" customWidth="1"/>
    <col min="10" max="10" width="13.375" style="11" customWidth="1"/>
    <col min="11" max="11" width="36.125" style="11" customWidth="1"/>
    <col min="12" max="12" width="15.5" style="11" customWidth="1"/>
    <col min="13" max="15" width="9.125" style="11" customWidth="1"/>
    <col min="16" max="16" width="9" style="11" customWidth="1"/>
    <col min="17" max="17" width="25.25" style="11" customWidth="1"/>
    <col min="18" max="16384" width="9" style="11" customWidth="1"/>
  </cols>
  <sheetData>
    <row r="1" ht="28.5" customHeight="1" spans="1:32">
      <c r="A1" s="11" t="s">
        <v>144</v>
      </c>
      <c r="C1" s="11" t="s">
        <v>145</v>
      </c>
      <c r="D1" s="11" t="s">
        <v>146</v>
      </c>
      <c r="E1" s="11" t="s">
        <v>147</v>
      </c>
      <c r="F1" s="11" t="s">
        <v>148</v>
      </c>
      <c r="K1" s="11" t="s">
        <v>149</v>
      </c>
      <c r="Q1" s="12" t="s">
        <v>150</v>
      </c>
      <c r="V1" s="12" t="s">
        <v>151</v>
      </c>
      <c r="AB1" s="11" t="s">
        <v>152</v>
      </c>
    </row>
    <row r="2" ht="256.5" customHeight="1" spans="1:32">
      <c r="B2" s="11">
        <v>1</v>
      </c>
      <c r="C2" s="11">
        <v>100</v>
      </c>
      <c r="D2" s="11">
        <v>12</v>
      </c>
      <c r="E2" s="11">
        <v>30</v>
      </c>
      <c r="F2" s="13">
        <v>7</v>
      </c>
      <c r="G2" s="11" t="str">
        <f>C2&amp;"|"&amp;C3&amp;"|"&amp;C4&amp;"|"&amp;C5&amp;"|"&amp;C6&amp;"|"&amp;C7&amp;"|"&amp;C8&amp;"|"&amp;C9&amp;"|"&amp;C10&amp;"|"&amp;C11&amp;"|"&amp;C12&amp;"|"&amp;C13&amp;"|"&amp;C14&amp;"|"&amp;C15&amp;"|"&amp;C16&amp;"|"&amp;C17&amp;"|"&amp;C18&amp;"|"&amp;C19&amp;"|"&amp;C20&amp;"|"&amp;C21&amp;"|"&amp;C22&amp;"|"&amp;C23&amp;"|"&amp;C24&amp;"|"&amp;C25&amp;"|"&amp;C26&amp;"|"&amp;C27&amp;"|"&amp;C28&amp;"|"&amp;C29&amp;"|"&amp;C30&amp;"|"&amp;C31&amp;"|"&amp;C32&amp;"|"&amp;C33&amp;"|"&amp;C34&amp;"|"&amp;C35&amp;"|"&amp;C36&amp;"|"&amp;C37&amp;"|"&amp;C38&amp;"|"&amp;C39&amp;"|"&amp;C40&amp;"|"&amp;C41&amp;"|"&amp;C42&amp;"|"&amp;C43&amp;"|"&amp;C44&amp;"|"&amp;C45&amp;"|"&amp;C46&amp;"|"&amp;C47&amp;"|"&amp;C48&amp;"|"&amp;C49&amp;"|"&amp;C50&amp;"|"&amp;C51</f>
        <v>100|400|900|1600|2500|3600|4900|6400|8100|10000|12100|14400|16900|19600|22500|25600|28900|32400|36100|40000|44100|48400|52900|57600|62500|67600|72900|78400|84100|90000|96100|102400|108900|115600|122500|129600|136900|144400|152100|160000|168100|176400|184900|193600|202500|211600|220900|230400|240100|250000</v>
      </c>
      <c r="H2" s="11" t="str">
        <f>D2&amp;"|"&amp;D3&amp;"|"&amp;D4&amp;"|"&amp;D5&amp;"|"&amp;D6&amp;"|"&amp;D7&amp;"|"&amp;D8&amp;"|"&amp;D9&amp;"|"&amp;D10&amp;"|"&amp;D11&amp;"|"&amp;D12&amp;"|"&amp;D13&amp;"|"&amp;D14&amp;"|"&amp;D15&amp;"|"&amp;D16&amp;"|"&amp;D17&amp;"|"&amp;D18&amp;"|"&amp;D19&amp;"|"&amp;D20&amp;"|"&amp;D21&amp;"|"&amp;D22&amp;"|"&amp;D23&amp;"|"&amp;D24&amp;"|"&amp;D25&amp;"|"&amp;D26&amp;"|"&amp;D27&amp;"|"&amp;D28&amp;"|"&amp;D29&amp;"|"&amp;D30&amp;"|"&amp;D31&amp;"|"&amp;D32&amp;"|"&amp;D33&amp;"|"&amp;D34&amp;"|"&amp;D35&amp;"|"&amp;D36&amp;"|"&amp;D37&amp;"|"&amp;D38&amp;"|"&amp;D39&amp;"|"&amp;D40&amp;"|"&amp;D41&amp;"|"&amp;D42&amp;"|"&amp;D43&amp;"|"&amp;D44&amp;"|"&amp;D45&amp;"|"&amp;D46&amp;"|"&amp;D47&amp;"|"&amp;D48&amp;"|"&amp;D49&amp;"|"&amp;D50&amp;"|"&amp;D51</f>
        <v>12|24|36|48|60|72|84|96|108|120|132|144|156|168|180|192|204|216|228|240|252|264|276|288|300|312|324|336|348|360|372|384|396|408|420|432|444|456|468|480|492|504|516|528|540|552|564|576|588|600</v>
      </c>
      <c r="I2" s="11" t="str">
        <f>E2&amp;"|"&amp;E3&amp;"|"&amp;E4&amp;"|"&amp;E5&amp;"|"&amp;E6&amp;"|"&amp;E7&amp;"|"&amp;E8&amp;"|"&amp;E9&amp;"|"&amp;E10&amp;"|"&amp;E11&amp;"|"&amp;E12&amp;"|"&amp;E13&amp;"|"&amp;E14&amp;"|"&amp;E15&amp;"|"&amp;E16&amp;"|"&amp;E17&amp;"|"&amp;E18&amp;"|"&amp;E19&amp;"|"&amp;E20&amp;"|"&amp;E21&amp;"|"&amp;E22&amp;"|"&amp;E23&amp;"|"&amp;E24&amp;"|"&amp;E25&amp;"|"&amp;E26&amp;"|"&amp;E27&amp;"|"&amp;E28&amp;"|"&amp;E29&amp;"|"&amp;E30&amp;"|"&amp;E31&amp;"|"&amp;E32&amp;"|"&amp;E33&amp;"|"&amp;E34&amp;"|"&amp;E35&amp;"|"&amp;E36&amp;"|"&amp;E37&amp;"|"&amp;E38&amp;"|"&amp;E39&amp;"|"&amp;E40&amp;"|"&amp;E41&amp;"|"&amp;E42&amp;"|"&amp;E43&amp;"|"&amp;E44&amp;"|"&amp;E45&amp;"|"&amp;E46&amp;"|"&amp;E47&amp;"|"&amp;E48&amp;"|"&amp;E49&amp;"|"&amp;E50&amp;"|"&amp;E51</f>
        <v>30|50|70|90|110|130|150|170|190|210|230|250|270|290|310|330|350|370|390|410|430|450|470|490|510|530|550|570|590|610|630|650|670|690|710|730|750|770|790|810|830|850|870|890|910|930|950|970|990|1010</v>
      </c>
      <c r="J2" s="11" t="str">
        <f>F2&amp;"|"&amp;F3&amp;"|"&amp;F4&amp;"|"&amp;F5&amp;"|"&amp;F6&amp;"|"&amp;F7&amp;"|"&amp;F8&amp;"|"&amp;F9&amp;"|"&amp;F10&amp;"|"&amp;F11&amp;"|"&amp;F12&amp;"|"&amp;F13&amp;"|"&amp;F14&amp;"|"&amp;F15&amp;"|"&amp;F16&amp;"|"&amp;F17&amp;"|"&amp;F18&amp;"|"&amp;F19&amp;"|"&amp;F20&amp;"|"&amp;F21&amp;"|"&amp;F22&amp;"|"&amp;F23&amp;"|"&amp;F24&amp;"|"&amp;F25&amp;"|"&amp;F26&amp;"|"&amp;F27&amp;"|"&amp;F28&amp;"|"&amp;F29&amp;"|"&amp;F30&amp;"|"&amp;F31&amp;"|"&amp;F32&amp;"|"&amp;F33&amp;"|"&amp;F34&amp;"|"&amp;F35&amp;"|"&amp;F36&amp;"|"&amp;F37&amp;"|"&amp;F38&amp;"|"&amp;F39&amp;"|"&amp;F40&amp;"|"&amp;F41&amp;"|"&amp;F42&amp;"|"&amp;F43&amp;"|"&amp;F44&amp;"|"&amp;F45&amp;"|"&amp;F46&amp;"|"&amp;F47&amp;"|"&amp;F48&amp;"|"&amp;F49&amp;"|"&amp;F50&amp;"|"&amp;F51</f>
        <v>7|28|63|112|175|252|343|448|567|700|847|1008|1183|1372|1575|1792|2023|2268|2527|2800|3087|3388|3703|4032|4375|4732|5103|5488|5887|6300|6727|7168|7623|8092|8575|9072|9583|10108|10647|11200|11767|12348|12943|13552|14175|14812|15463|16128|16807|17500</v>
      </c>
      <c r="K2" s="14" t="s">
        <v>153</v>
      </c>
      <c r="L2" s="15" t="s">
        <v>154</v>
      </c>
      <c r="M2" s="15" t="s">
        <v>155</v>
      </c>
      <c r="N2" s="16" t="s">
        <v>156</v>
      </c>
      <c r="O2" s="16" t="s">
        <v>157</v>
      </c>
      <c r="Q2" s="17" t="s">
        <v>158</v>
      </c>
      <c r="R2" s="17" t="s">
        <v>159</v>
      </c>
      <c r="S2" s="17"/>
      <c r="T2" s="17" t="s">
        <v>160</v>
      </c>
      <c r="U2" s="17" t="s">
        <v>161</v>
      </c>
      <c r="V2" s="17" t="s">
        <v>158</v>
      </c>
      <c r="W2" s="17" t="s">
        <v>159</v>
      </c>
      <c r="X2" s="17"/>
      <c r="Y2" s="17" t="s">
        <v>160</v>
      </c>
      <c r="Z2" s="17" t="s">
        <v>161</v>
      </c>
      <c r="AB2" s="17" t="s">
        <v>158</v>
      </c>
      <c r="AC2" s="17" t="s">
        <v>159</v>
      </c>
      <c r="AD2" s="17"/>
      <c r="AE2" s="17" t="s">
        <v>160</v>
      </c>
      <c r="AF2" s="17" t="s">
        <v>161</v>
      </c>
    </row>
    <row r="3" spans="1:32">
      <c r="B3" s="11">
        <v>2</v>
      </c>
      <c r="C3" s="11">
        <v>400</v>
      </c>
      <c r="D3" s="11">
        <v>24</v>
      </c>
      <c r="E3" s="11">
        <v>50</v>
      </c>
      <c r="F3" s="13">
        <v>28</v>
      </c>
      <c r="K3" s="16" t="s">
        <v>162</v>
      </c>
      <c r="L3" s="16" t="s">
        <v>163</v>
      </c>
      <c r="M3" s="16" t="s">
        <v>164</v>
      </c>
      <c r="N3" s="16" t="s">
        <v>165</v>
      </c>
      <c r="O3" s="16" t="s">
        <v>166</v>
      </c>
      <c r="Q3" s="18">
        <v>100</v>
      </c>
      <c r="R3" s="19">
        <v>2</v>
      </c>
      <c r="S3" s="20"/>
      <c r="T3" s="20">
        <v>1</v>
      </c>
      <c r="U3" s="21">
        <f t="shared" ref="U3:U52" si="0">$Q$3*POWER(T3,$R$3)</f>
        <v>100</v>
      </c>
      <c r="V3" s="18">
        <v>7</v>
      </c>
      <c r="W3" s="19">
        <v>2</v>
      </c>
      <c r="X3" s="20"/>
      <c r="Y3" s="20">
        <v>1</v>
      </c>
      <c r="Z3" s="21">
        <f t="shared" ref="Z3:Z52" si="1">$V$3*POWER(Y3,$W$3)</f>
        <v>7</v>
      </c>
      <c r="AB3" s="18">
        <v>10000</v>
      </c>
      <c r="AC3" s="19">
        <v>2</v>
      </c>
      <c r="AD3" s="20"/>
      <c r="AE3" s="20">
        <v>1</v>
      </c>
      <c r="AF3" s="21">
        <f>$AB$3*POWER(AE3,$AC$3)</f>
        <v>10000</v>
      </c>
    </row>
    <row r="4" spans="1:32">
      <c r="B4" s="11">
        <v>3</v>
      </c>
      <c r="C4" s="11">
        <v>900</v>
      </c>
      <c r="D4" s="11">
        <v>36</v>
      </c>
      <c r="E4" s="11">
        <v>70</v>
      </c>
      <c r="F4" s="13">
        <v>63</v>
      </c>
      <c r="T4" s="11">
        <v>2</v>
      </c>
      <c r="U4" s="21">
        <f t="shared" si="0"/>
        <v>400</v>
      </c>
      <c r="Y4" s="11">
        <v>2</v>
      </c>
      <c r="Z4" s="21">
        <f t="shared" si="1"/>
        <v>28</v>
      </c>
      <c r="AE4" s="11">
        <v>2</v>
      </c>
      <c r="AF4" s="21">
        <f>$AB$3*POWER(AE4,$AC$3)</f>
        <v>40000</v>
      </c>
    </row>
    <row r="5" spans="1:32">
      <c r="B5" s="11">
        <v>4</v>
      </c>
      <c r="C5" s="11">
        <v>1600</v>
      </c>
      <c r="D5" s="11">
        <v>48</v>
      </c>
      <c r="E5" s="11">
        <v>90</v>
      </c>
      <c r="F5" s="13">
        <v>112</v>
      </c>
      <c r="T5" s="20">
        <v>3</v>
      </c>
      <c r="U5" s="21">
        <f t="shared" si="0"/>
        <v>900</v>
      </c>
      <c r="Y5" s="20">
        <v>3</v>
      </c>
      <c r="Z5" s="21">
        <f t="shared" si="1"/>
        <v>63</v>
      </c>
      <c r="AE5" s="11">
        <v>3</v>
      </c>
      <c r="AF5" s="21">
        <f>$AB$3*POWER(AE5,$AC$3)</f>
        <v>90000</v>
      </c>
    </row>
    <row r="6" ht="313.5" customHeight="1" spans="1:32">
      <c r="B6" s="11">
        <v>5</v>
      </c>
      <c r="C6" s="11">
        <v>2500</v>
      </c>
      <c r="D6" s="11">
        <v>60</v>
      </c>
      <c r="E6" s="11">
        <v>110</v>
      </c>
      <c r="F6" s="13">
        <v>175</v>
      </c>
      <c r="G6" s="11">
        <v>5</v>
      </c>
      <c r="H6" s="11" t="str">
        <f t="shared" ref="H6:H11" si="2">$K$3&amp;"|"&amp;G6</f>
        <v>161001|5</v>
      </c>
      <c r="I6" s="11" t="str">
        <f>G1&amp;"$"&amp;H3&amp;"$"&amp;H4&amp;"$"&amp;H5&amp;"$"&amp;H6&amp;"$"&amp;H7&amp;"$"&amp;H8&amp;"$"&amp;H9&amp;"$"&amp;H10&amp;"$"&amp;H11&amp;"$"&amp;H12&amp;"$"&amp;H13&amp;"$"&amp;H14&amp;"$"&amp;H15&amp;"$"&amp;H16&amp;"$"&amp;H17&amp;"$"&amp;H18&amp;"$"&amp;H19&amp;"$"&amp;H20&amp;"$"&amp;H21&amp;"$"&amp;H22&amp;"$"&amp;H23&amp;"$"&amp;H24&amp;"$"&amp;H25&amp;"$"&amp;H26&amp;"$"&amp;H27&amp;"$"&amp;H28&amp;"$"&amp;H29&amp;"$"&amp;H30&amp;"$"&amp;H31&amp;"$"&amp;H32&amp;"$"&amp;H33&amp;"$"&amp;H34&amp;"$"&amp;H35&amp;"$"&amp;H36&amp;"$"&amp;H37&amp;"$"&amp;H38&amp;"$"&amp;H39&amp;"$"&amp;H40&amp;"$"&amp;H41&amp;"$"&amp;H42&amp;"$"&amp;H43&amp;"$"&amp;H44&amp;"$"&amp;H45&amp;"$"&amp;H46&amp;"$"&amp;H47&amp;"$"&amp;H48&amp;"$"&amp;H49&amp;"$"&amp;H50&amp;"$"&amp;H51</f>
        <v>$$$$161001|5$161001|6$161001|7$161001|8$161001|9$161001|10$162001|11$162001|12$162001|13$162001|14$162001|15$162001|16$162001|17$162001|18$162001|19$162001|20$163001|21$163001|22$163001|23$163001|24$163001|25$163001|26$163001|27$163001|28$163001|29$163001|30$164001|31$164001|32$164001|33$164001|34$164001|35$164001|36$164001|37$164001|38$164001|39$164001|40$165001|41$165001|42$165001|43$165001|44$165001|45$165001|46$165001|47$165001|48$165001|49$165001|50</v>
      </c>
      <c r="T6" s="11">
        <v>4</v>
      </c>
      <c r="U6" s="21">
        <f t="shared" si="0"/>
        <v>1600</v>
      </c>
      <c r="Y6" s="11">
        <v>4</v>
      </c>
      <c r="Z6" s="21">
        <f t="shared" si="1"/>
        <v>112</v>
      </c>
      <c r="AE6" s="11">
        <v>4</v>
      </c>
      <c r="AF6" s="21">
        <f>$AB$3*POWER(AE6,$AC$3)</f>
        <v>160000</v>
      </c>
    </row>
    <row r="7" spans="1:32">
      <c r="B7" s="11">
        <v>6</v>
      </c>
      <c r="C7" s="11">
        <v>3600</v>
      </c>
      <c r="D7" s="11">
        <v>72</v>
      </c>
      <c r="E7" s="11">
        <v>130</v>
      </c>
      <c r="F7" s="13">
        <v>252</v>
      </c>
      <c r="G7" s="11">
        <v>6</v>
      </c>
      <c r="H7" s="11" t="str">
        <f t="shared" si="2"/>
        <v>161001|6</v>
      </c>
      <c r="T7" s="20">
        <v>5</v>
      </c>
      <c r="U7" s="21">
        <f t="shared" si="0"/>
        <v>2500</v>
      </c>
      <c r="Y7" s="20">
        <v>5</v>
      </c>
      <c r="Z7" s="21">
        <f t="shared" si="1"/>
        <v>175</v>
      </c>
      <c r="AE7" s="11">
        <v>5</v>
      </c>
      <c r="AF7" s="21">
        <f>$AB$3*POWER(AE7,$AC$3)</f>
        <v>250000</v>
      </c>
    </row>
    <row r="8" spans="1:32">
      <c r="B8" s="11">
        <v>7</v>
      </c>
      <c r="C8" s="11">
        <v>4900</v>
      </c>
      <c r="D8" s="11">
        <v>84</v>
      </c>
      <c r="E8" s="11">
        <v>150</v>
      </c>
      <c r="F8" s="13">
        <v>343</v>
      </c>
      <c r="G8" s="11">
        <v>7</v>
      </c>
      <c r="H8" s="11" t="str">
        <f t="shared" si="2"/>
        <v>161001|7</v>
      </c>
      <c r="T8" s="11">
        <v>6</v>
      </c>
      <c r="U8" s="21">
        <f t="shared" si="0"/>
        <v>3600</v>
      </c>
      <c r="Y8" s="11">
        <v>6</v>
      </c>
      <c r="Z8" s="21">
        <f t="shared" si="1"/>
        <v>252</v>
      </c>
      <c r="AF8" s="21"/>
    </row>
    <row r="9" spans="1:32">
      <c r="B9" s="11">
        <v>8</v>
      </c>
      <c r="C9" s="11">
        <v>6400</v>
      </c>
      <c r="D9" s="11">
        <v>96</v>
      </c>
      <c r="E9" s="11">
        <v>170</v>
      </c>
      <c r="F9" s="13">
        <v>448</v>
      </c>
      <c r="G9" s="11">
        <v>8</v>
      </c>
      <c r="H9" s="11" t="str">
        <f t="shared" si="2"/>
        <v>161001|8</v>
      </c>
      <c r="T9" s="20">
        <v>7</v>
      </c>
      <c r="U9" s="21">
        <f t="shared" si="0"/>
        <v>4900</v>
      </c>
      <c r="Y9" s="20">
        <v>7</v>
      </c>
      <c r="Z9" s="21">
        <f t="shared" si="1"/>
        <v>343</v>
      </c>
    </row>
    <row r="10" spans="1:32">
      <c r="B10" s="11">
        <v>9</v>
      </c>
      <c r="C10" s="11">
        <v>8100</v>
      </c>
      <c r="D10" s="11">
        <v>108</v>
      </c>
      <c r="E10" s="11">
        <v>190</v>
      </c>
      <c r="F10" s="13">
        <v>567</v>
      </c>
      <c r="G10" s="11">
        <v>9</v>
      </c>
      <c r="H10" s="11" t="str">
        <f t="shared" si="2"/>
        <v>161001|9</v>
      </c>
      <c r="T10" s="11">
        <v>8</v>
      </c>
      <c r="U10" s="21">
        <f t="shared" si="0"/>
        <v>6400</v>
      </c>
      <c r="Y10" s="11">
        <v>8</v>
      </c>
      <c r="Z10" s="21">
        <f t="shared" si="1"/>
        <v>448</v>
      </c>
    </row>
    <row r="11" spans="1:32">
      <c r="B11" s="11">
        <v>10</v>
      </c>
      <c r="C11" s="11">
        <v>10000</v>
      </c>
      <c r="D11" s="11">
        <v>120</v>
      </c>
      <c r="E11" s="11">
        <v>210</v>
      </c>
      <c r="F11" s="13">
        <v>700</v>
      </c>
      <c r="G11" s="11">
        <v>10</v>
      </c>
      <c r="H11" s="11" t="str">
        <f t="shared" si="2"/>
        <v>161001|10</v>
      </c>
      <c r="T11" s="20">
        <v>9</v>
      </c>
      <c r="U11" s="21">
        <f t="shared" si="0"/>
        <v>8100</v>
      </c>
      <c r="Y11" s="20">
        <v>9</v>
      </c>
      <c r="Z11" s="21">
        <f t="shared" si="1"/>
        <v>567</v>
      </c>
    </row>
    <row r="12" spans="1:32">
      <c r="B12" s="11">
        <v>11</v>
      </c>
      <c r="C12" s="11">
        <v>12100</v>
      </c>
      <c r="D12" s="11">
        <v>132</v>
      </c>
      <c r="E12" s="11">
        <v>230</v>
      </c>
      <c r="F12" s="13">
        <v>847</v>
      </c>
      <c r="G12" s="11">
        <v>11</v>
      </c>
      <c r="H12" s="11" t="str">
        <f t="shared" ref="H12:H21" si="3">$L$3&amp;"|"&amp;G12</f>
        <v>162001|11</v>
      </c>
      <c r="T12" s="11">
        <v>10</v>
      </c>
      <c r="U12" s="21">
        <f t="shared" si="0"/>
        <v>10000</v>
      </c>
      <c r="Y12" s="11">
        <v>10</v>
      </c>
      <c r="Z12" s="21">
        <f t="shared" si="1"/>
        <v>700</v>
      </c>
    </row>
    <row r="13" spans="1:32">
      <c r="B13" s="11">
        <v>12</v>
      </c>
      <c r="C13" s="11">
        <v>14400</v>
      </c>
      <c r="D13" s="11">
        <v>144</v>
      </c>
      <c r="E13" s="11">
        <v>250</v>
      </c>
      <c r="F13" s="13">
        <v>1008</v>
      </c>
      <c r="G13" s="11">
        <v>12</v>
      </c>
      <c r="H13" s="11" t="str">
        <f t="shared" si="3"/>
        <v>162001|12</v>
      </c>
      <c r="T13" s="20">
        <v>11</v>
      </c>
      <c r="U13" s="21">
        <f t="shared" si="0"/>
        <v>12100</v>
      </c>
      <c r="Y13" s="20">
        <v>11</v>
      </c>
      <c r="Z13" s="21">
        <f t="shared" si="1"/>
        <v>847</v>
      </c>
    </row>
    <row r="14" spans="1:32">
      <c r="B14" s="11">
        <v>13</v>
      </c>
      <c r="C14" s="11">
        <v>16900</v>
      </c>
      <c r="D14" s="11">
        <v>156</v>
      </c>
      <c r="E14" s="11">
        <v>270</v>
      </c>
      <c r="F14" s="13">
        <v>1183</v>
      </c>
      <c r="G14" s="11">
        <v>13</v>
      </c>
      <c r="H14" s="11" t="str">
        <f t="shared" si="3"/>
        <v>162001|13</v>
      </c>
      <c r="T14" s="11">
        <v>12</v>
      </c>
      <c r="U14" s="21">
        <f t="shared" si="0"/>
        <v>14400</v>
      </c>
      <c r="Y14" s="11">
        <v>12</v>
      </c>
      <c r="Z14" s="21">
        <f t="shared" si="1"/>
        <v>1008</v>
      </c>
    </row>
    <row r="15" spans="1:32">
      <c r="B15" s="11">
        <v>14</v>
      </c>
      <c r="C15" s="11">
        <v>19600</v>
      </c>
      <c r="D15" s="11">
        <v>168</v>
      </c>
      <c r="E15" s="11">
        <v>290</v>
      </c>
      <c r="F15" s="13">
        <v>1372</v>
      </c>
      <c r="G15" s="11">
        <v>14</v>
      </c>
      <c r="H15" s="11" t="str">
        <f t="shared" si="3"/>
        <v>162001|14</v>
      </c>
      <c r="T15" s="20">
        <v>13</v>
      </c>
      <c r="U15" s="21">
        <f t="shared" si="0"/>
        <v>16900</v>
      </c>
      <c r="Y15" s="20">
        <v>13</v>
      </c>
      <c r="Z15" s="21">
        <f t="shared" si="1"/>
        <v>1183</v>
      </c>
    </row>
    <row r="16" spans="1:32">
      <c r="B16" s="11">
        <v>15</v>
      </c>
      <c r="C16" s="11">
        <v>22500</v>
      </c>
      <c r="D16" s="11">
        <v>180</v>
      </c>
      <c r="E16" s="11">
        <v>310</v>
      </c>
      <c r="F16" s="13">
        <v>1575</v>
      </c>
      <c r="G16" s="11">
        <v>15</v>
      </c>
      <c r="H16" s="11" t="str">
        <f t="shared" si="3"/>
        <v>162001|15</v>
      </c>
      <c r="T16" s="11">
        <v>14</v>
      </c>
      <c r="U16" s="21">
        <f t="shared" si="0"/>
        <v>19600</v>
      </c>
      <c r="Y16" s="11">
        <v>14</v>
      </c>
      <c r="Z16" s="21">
        <f t="shared" si="1"/>
        <v>1372</v>
      </c>
    </row>
    <row r="17" spans="2:26">
      <c r="B17" s="11">
        <v>16</v>
      </c>
      <c r="C17" s="11">
        <v>25600</v>
      </c>
      <c r="D17" s="11">
        <v>192</v>
      </c>
      <c r="E17" s="11">
        <v>330</v>
      </c>
      <c r="F17" s="13">
        <v>1792</v>
      </c>
      <c r="G17" s="11">
        <v>16</v>
      </c>
      <c r="H17" s="11" t="str">
        <f t="shared" si="3"/>
        <v>162001|16</v>
      </c>
      <c r="T17" s="20">
        <v>15</v>
      </c>
      <c r="U17" s="21">
        <f t="shared" si="0"/>
        <v>22500</v>
      </c>
      <c r="Y17" s="20">
        <v>15</v>
      </c>
      <c r="Z17" s="21">
        <f t="shared" si="1"/>
        <v>1575</v>
      </c>
    </row>
    <row r="18" spans="2:26">
      <c r="B18" s="11">
        <v>17</v>
      </c>
      <c r="C18" s="11">
        <v>28900</v>
      </c>
      <c r="D18" s="11">
        <v>204</v>
      </c>
      <c r="E18" s="11">
        <v>350</v>
      </c>
      <c r="F18" s="13">
        <v>2023</v>
      </c>
      <c r="G18" s="11">
        <v>17</v>
      </c>
      <c r="H18" s="11" t="str">
        <f t="shared" si="3"/>
        <v>162001|17</v>
      </c>
      <c r="T18" s="11">
        <v>16</v>
      </c>
      <c r="U18" s="21">
        <f t="shared" si="0"/>
        <v>25600</v>
      </c>
      <c r="Y18" s="11">
        <v>16</v>
      </c>
      <c r="Z18" s="21">
        <f t="shared" si="1"/>
        <v>1792</v>
      </c>
    </row>
    <row r="19" spans="2:26">
      <c r="B19" s="11">
        <v>18</v>
      </c>
      <c r="C19" s="11">
        <v>32400</v>
      </c>
      <c r="D19" s="11">
        <v>216</v>
      </c>
      <c r="E19" s="11">
        <v>370</v>
      </c>
      <c r="F19" s="13">
        <v>2268</v>
      </c>
      <c r="G19" s="11">
        <v>18</v>
      </c>
      <c r="H19" s="11" t="str">
        <f t="shared" si="3"/>
        <v>162001|18</v>
      </c>
      <c r="T19" s="20">
        <v>17</v>
      </c>
      <c r="U19" s="21">
        <f t="shared" si="0"/>
        <v>28900</v>
      </c>
      <c r="Y19" s="20">
        <v>17</v>
      </c>
      <c r="Z19" s="21">
        <f t="shared" si="1"/>
        <v>2023</v>
      </c>
    </row>
    <row r="20" spans="2:26">
      <c r="B20" s="11">
        <v>19</v>
      </c>
      <c r="C20" s="11">
        <v>36100</v>
      </c>
      <c r="D20" s="11">
        <v>228</v>
      </c>
      <c r="E20" s="11">
        <v>390</v>
      </c>
      <c r="F20" s="13">
        <v>2527</v>
      </c>
      <c r="G20" s="11">
        <v>19</v>
      </c>
      <c r="H20" s="11" t="str">
        <f t="shared" si="3"/>
        <v>162001|19</v>
      </c>
      <c r="T20" s="11">
        <v>18</v>
      </c>
      <c r="U20" s="21">
        <f t="shared" si="0"/>
        <v>32400</v>
      </c>
      <c r="Y20" s="11">
        <v>18</v>
      </c>
      <c r="Z20" s="21">
        <f t="shared" si="1"/>
        <v>2268</v>
      </c>
    </row>
    <row r="21" spans="2:26">
      <c r="B21" s="11">
        <v>20</v>
      </c>
      <c r="C21" s="11">
        <v>40000</v>
      </c>
      <c r="D21" s="11">
        <v>240</v>
      </c>
      <c r="E21" s="11">
        <v>410</v>
      </c>
      <c r="F21" s="13">
        <v>2800</v>
      </c>
      <c r="G21" s="11">
        <v>20</v>
      </c>
      <c r="H21" s="11" t="str">
        <f t="shared" si="3"/>
        <v>162001|20</v>
      </c>
      <c r="T21" s="20">
        <v>19</v>
      </c>
      <c r="U21" s="21">
        <f t="shared" si="0"/>
        <v>36100</v>
      </c>
      <c r="Y21" s="20">
        <v>19</v>
      </c>
      <c r="Z21" s="21">
        <f t="shared" si="1"/>
        <v>2527</v>
      </c>
    </row>
    <row r="22" spans="2:26">
      <c r="B22" s="11">
        <v>21</v>
      </c>
      <c r="C22" s="11">
        <v>44100</v>
      </c>
      <c r="D22" s="11">
        <v>252</v>
      </c>
      <c r="E22" s="11">
        <v>430</v>
      </c>
      <c r="F22" s="13">
        <v>3087</v>
      </c>
      <c r="G22" s="11">
        <v>21</v>
      </c>
      <c r="H22" s="11" t="str">
        <f t="shared" ref="H22:H31" si="4">$M$3&amp;"|"&amp;G22</f>
        <v>163001|21</v>
      </c>
      <c r="T22" s="11">
        <v>20</v>
      </c>
      <c r="U22" s="21">
        <f t="shared" si="0"/>
        <v>40000</v>
      </c>
      <c r="Y22" s="11">
        <v>20</v>
      </c>
      <c r="Z22" s="21">
        <f t="shared" si="1"/>
        <v>2800</v>
      </c>
    </row>
    <row r="23" spans="2:26">
      <c r="B23" s="11">
        <v>22</v>
      </c>
      <c r="C23" s="11">
        <v>48400</v>
      </c>
      <c r="D23" s="11">
        <v>264</v>
      </c>
      <c r="E23" s="11">
        <v>450</v>
      </c>
      <c r="F23" s="13">
        <v>3388</v>
      </c>
      <c r="G23" s="11">
        <v>22</v>
      </c>
      <c r="H23" s="11" t="str">
        <f t="shared" si="4"/>
        <v>163001|22</v>
      </c>
      <c r="T23" s="20">
        <v>21</v>
      </c>
      <c r="U23" s="21">
        <f t="shared" si="0"/>
        <v>44100</v>
      </c>
      <c r="Y23" s="20">
        <v>21</v>
      </c>
      <c r="Z23" s="21">
        <f t="shared" si="1"/>
        <v>3087</v>
      </c>
    </row>
    <row r="24" spans="2:26">
      <c r="B24" s="11">
        <v>23</v>
      </c>
      <c r="C24" s="11">
        <v>52900</v>
      </c>
      <c r="D24" s="11">
        <v>276</v>
      </c>
      <c r="E24" s="11">
        <v>470</v>
      </c>
      <c r="F24" s="13">
        <v>3703</v>
      </c>
      <c r="G24" s="11">
        <v>23</v>
      </c>
      <c r="H24" s="11" t="str">
        <f t="shared" si="4"/>
        <v>163001|23</v>
      </c>
      <c r="T24" s="20">
        <v>22</v>
      </c>
      <c r="U24" s="21">
        <f t="shared" si="0"/>
        <v>48400</v>
      </c>
      <c r="Y24" s="11">
        <v>22</v>
      </c>
      <c r="Z24" s="21">
        <f t="shared" si="1"/>
        <v>3388</v>
      </c>
    </row>
    <row r="25" spans="2:26">
      <c r="B25" s="11">
        <v>24</v>
      </c>
      <c r="C25" s="11">
        <v>57600</v>
      </c>
      <c r="D25" s="11">
        <v>288</v>
      </c>
      <c r="E25" s="11">
        <v>490</v>
      </c>
      <c r="F25" s="13">
        <v>4032</v>
      </c>
      <c r="G25" s="11">
        <v>24</v>
      </c>
      <c r="H25" s="11" t="str">
        <f t="shared" si="4"/>
        <v>163001|24</v>
      </c>
      <c r="T25" s="11">
        <v>23</v>
      </c>
      <c r="U25" s="21">
        <f t="shared" si="0"/>
        <v>52900</v>
      </c>
      <c r="Y25" s="20">
        <v>23</v>
      </c>
      <c r="Z25" s="21">
        <f t="shared" si="1"/>
        <v>3703</v>
      </c>
    </row>
    <row r="26" spans="2:26">
      <c r="B26" s="11">
        <v>25</v>
      </c>
      <c r="C26" s="11">
        <v>62500</v>
      </c>
      <c r="D26" s="11">
        <v>300</v>
      </c>
      <c r="E26" s="11">
        <v>510</v>
      </c>
      <c r="F26" s="13">
        <v>4375</v>
      </c>
      <c r="G26" s="11">
        <v>25</v>
      </c>
      <c r="H26" s="11" t="str">
        <f t="shared" si="4"/>
        <v>163001|25</v>
      </c>
      <c r="T26" s="20">
        <v>24</v>
      </c>
      <c r="U26" s="21">
        <f t="shared" si="0"/>
        <v>57600</v>
      </c>
      <c r="Y26" s="11">
        <v>24</v>
      </c>
      <c r="Z26" s="21">
        <f t="shared" si="1"/>
        <v>4032</v>
      </c>
    </row>
    <row r="27" spans="2:26">
      <c r="B27" s="11">
        <v>26</v>
      </c>
      <c r="C27" s="11">
        <v>67600</v>
      </c>
      <c r="D27" s="11">
        <v>312</v>
      </c>
      <c r="E27" s="11">
        <v>530</v>
      </c>
      <c r="F27" s="13">
        <v>4732</v>
      </c>
      <c r="G27" s="11">
        <v>26</v>
      </c>
      <c r="H27" s="11" t="str">
        <f t="shared" si="4"/>
        <v>163001|26</v>
      </c>
      <c r="T27" s="11">
        <v>25</v>
      </c>
      <c r="U27" s="21">
        <f t="shared" si="0"/>
        <v>62500</v>
      </c>
      <c r="Y27" s="20">
        <v>25</v>
      </c>
      <c r="Z27" s="21">
        <f t="shared" si="1"/>
        <v>4375</v>
      </c>
    </row>
    <row r="28" spans="2:26">
      <c r="B28" s="11">
        <v>27</v>
      </c>
      <c r="C28" s="11">
        <v>72900</v>
      </c>
      <c r="D28" s="11">
        <v>324</v>
      </c>
      <c r="E28" s="11">
        <v>550</v>
      </c>
      <c r="F28" s="13">
        <v>5103</v>
      </c>
      <c r="G28" s="11">
        <v>27</v>
      </c>
      <c r="H28" s="11" t="str">
        <f t="shared" si="4"/>
        <v>163001|27</v>
      </c>
      <c r="T28" s="20">
        <v>26</v>
      </c>
      <c r="U28" s="21">
        <f t="shared" si="0"/>
        <v>67600</v>
      </c>
      <c r="Y28" s="11">
        <v>26</v>
      </c>
      <c r="Z28" s="21">
        <f t="shared" si="1"/>
        <v>4732</v>
      </c>
    </row>
    <row r="29" spans="2:26">
      <c r="B29" s="11">
        <v>28</v>
      </c>
      <c r="C29" s="11">
        <v>78400</v>
      </c>
      <c r="D29" s="11">
        <v>336</v>
      </c>
      <c r="E29" s="11">
        <v>570</v>
      </c>
      <c r="F29" s="13">
        <v>5488</v>
      </c>
      <c r="G29" s="11">
        <v>28</v>
      </c>
      <c r="H29" s="11" t="str">
        <f t="shared" si="4"/>
        <v>163001|28</v>
      </c>
      <c r="T29" s="11">
        <v>27</v>
      </c>
      <c r="U29" s="21">
        <f t="shared" si="0"/>
        <v>72900</v>
      </c>
      <c r="Y29" s="20">
        <v>27</v>
      </c>
      <c r="Z29" s="21">
        <f t="shared" si="1"/>
        <v>5103</v>
      </c>
    </row>
    <row r="30" spans="2:26">
      <c r="B30" s="11">
        <v>29</v>
      </c>
      <c r="C30" s="11">
        <v>84100</v>
      </c>
      <c r="D30" s="11">
        <v>348</v>
      </c>
      <c r="E30" s="11">
        <v>590</v>
      </c>
      <c r="F30" s="13">
        <v>5887</v>
      </c>
      <c r="G30" s="11">
        <v>29</v>
      </c>
      <c r="H30" s="11" t="str">
        <f t="shared" si="4"/>
        <v>163001|29</v>
      </c>
      <c r="T30" s="20">
        <v>28</v>
      </c>
      <c r="U30" s="21">
        <f t="shared" si="0"/>
        <v>78400</v>
      </c>
      <c r="Y30" s="11">
        <v>28</v>
      </c>
      <c r="Z30" s="21">
        <f t="shared" si="1"/>
        <v>5488</v>
      </c>
    </row>
    <row r="31" spans="2:26">
      <c r="B31" s="11">
        <v>30</v>
      </c>
      <c r="C31" s="11">
        <v>90000</v>
      </c>
      <c r="D31" s="11">
        <v>360</v>
      </c>
      <c r="E31" s="11">
        <v>610</v>
      </c>
      <c r="F31" s="13">
        <v>6300</v>
      </c>
      <c r="G31" s="11">
        <v>30</v>
      </c>
      <c r="H31" s="11" t="str">
        <f t="shared" si="4"/>
        <v>163001|30</v>
      </c>
      <c r="T31" s="11">
        <v>29</v>
      </c>
      <c r="U31" s="21">
        <f t="shared" si="0"/>
        <v>84100</v>
      </c>
      <c r="Y31" s="20">
        <v>29</v>
      </c>
      <c r="Z31" s="21">
        <f t="shared" si="1"/>
        <v>5887</v>
      </c>
    </row>
    <row r="32" spans="2:26">
      <c r="B32" s="11">
        <v>31</v>
      </c>
      <c r="C32" s="11">
        <v>96100</v>
      </c>
      <c r="D32" s="11">
        <v>372</v>
      </c>
      <c r="E32" s="11">
        <v>630</v>
      </c>
      <c r="F32" s="13">
        <v>6727</v>
      </c>
      <c r="G32" s="11">
        <v>31</v>
      </c>
      <c r="H32" s="11" t="str">
        <f t="shared" ref="H32:H41" si="5">$N$3&amp;"|"&amp;G32</f>
        <v>164001|31</v>
      </c>
      <c r="T32" s="20">
        <v>30</v>
      </c>
      <c r="U32" s="21">
        <f t="shared" si="0"/>
        <v>90000</v>
      </c>
      <c r="Y32" s="11">
        <v>30</v>
      </c>
      <c r="Z32" s="21">
        <f t="shared" si="1"/>
        <v>6300</v>
      </c>
    </row>
    <row r="33" spans="2:26">
      <c r="B33" s="11">
        <v>32</v>
      </c>
      <c r="C33" s="11">
        <v>102400</v>
      </c>
      <c r="D33" s="11">
        <v>384</v>
      </c>
      <c r="E33" s="11">
        <v>650</v>
      </c>
      <c r="F33" s="13">
        <v>7168</v>
      </c>
      <c r="G33" s="11">
        <v>32</v>
      </c>
      <c r="H33" s="11" t="str">
        <f t="shared" si="5"/>
        <v>164001|32</v>
      </c>
      <c r="T33" s="11">
        <v>31</v>
      </c>
      <c r="U33" s="21">
        <f t="shared" si="0"/>
        <v>96100</v>
      </c>
      <c r="Y33" s="20">
        <v>31</v>
      </c>
      <c r="Z33" s="21">
        <f t="shared" si="1"/>
        <v>6727</v>
      </c>
    </row>
    <row r="34" spans="2:26">
      <c r="B34" s="11">
        <v>33</v>
      </c>
      <c r="C34" s="11">
        <v>108900</v>
      </c>
      <c r="D34" s="11">
        <v>396</v>
      </c>
      <c r="E34" s="11">
        <v>670</v>
      </c>
      <c r="F34" s="13">
        <v>7623</v>
      </c>
      <c r="G34" s="11">
        <v>33</v>
      </c>
      <c r="H34" s="11" t="str">
        <f t="shared" si="5"/>
        <v>164001|33</v>
      </c>
      <c r="T34" s="20">
        <v>32</v>
      </c>
      <c r="U34" s="21">
        <f t="shared" si="0"/>
        <v>102400</v>
      </c>
      <c r="Y34" s="11">
        <v>32</v>
      </c>
      <c r="Z34" s="21">
        <f t="shared" si="1"/>
        <v>7168</v>
      </c>
    </row>
    <row r="35" spans="2:26">
      <c r="B35" s="11">
        <v>34</v>
      </c>
      <c r="C35" s="11">
        <v>115600</v>
      </c>
      <c r="D35" s="11">
        <v>408</v>
      </c>
      <c r="E35" s="11">
        <v>690</v>
      </c>
      <c r="F35" s="13">
        <v>8092</v>
      </c>
      <c r="G35" s="11">
        <v>34</v>
      </c>
      <c r="H35" s="11" t="str">
        <f t="shared" si="5"/>
        <v>164001|34</v>
      </c>
      <c r="T35" s="11">
        <v>33</v>
      </c>
      <c r="U35" s="21">
        <f t="shared" si="0"/>
        <v>108900</v>
      </c>
      <c r="Y35" s="20">
        <v>33</v>
      </c>
      <c r="Z35" s="21">
        <f t="shared" si="1"/>
        <v>7623</v>
      </c>
    </row>
    <row r="36" spans="2:26">
      <c r="B36" s="11">
        <v>35</v>
      </c>
      <c r="C36" s="11">
        <v>122500</v>
      </c>
      <c r="D36" s="11">
        <v>420</v>
      </c>
      <c r="E36" s="11">
        <v>710</v>
      </c>
      <c r="F36" s="13">
        <v>8575</v>
      </c>
      <c r="G36" s="11">
        <v>35</v>
      </c>
      <c r="H36" s="11" t="str">
        <f t="shared" si="5"/>
        <v>164001|35</v>
      </c>
      <c r="T36" s="20">
        <v>34</v>
      </c>
      <c r="U36" s="21">
        <f t="shared" si="0"/>
        <v>115600</v>
      </c>
      <c r="Y36" s="11">
        <v>34</v>
      </c>
      <c r="Z36" s="21">
        <f t="shared" si="1"/>
        <v>8092</v>
      </c>
    </row>
    <row r="37" spans="2:26">
      <c r="B37" s="11">
        <v>36</v>
      </c>
      <c r="C37" s="11">
        <v>129600</v>
      </c>
      <c r="D37" s="11">
        <v>432</v>
      </c>
      <c r="E37" s="11">
        <v>730</v>
      </c>
      <c r="F37" s="13">
        <v>9072</v>
      </c>
      <c r="G37" s="11">
        <v>36</v>
      </c>
      <c r="H37" s="11" t="str">
        <f t="shared" si="5"/>
        <v>164001|36</v>
      </c>
      <c r="T37" s="11">
        <v>35</v>
      </c>
      <c r="U37" s="21">
        <f t="shared" si="0"/>
        <v>122500</v>
      </c>
      <c r="Y37" s="20">
        <v>35</v>
      </c>
      <c r="Z37" s="21">
        <f t="shared" si="1"/>
        <v>8575</v>
      </c>
    </row>
    <row r="38" spans="2:26">
      <c r="B38" s="11">
        <v>37</v>
      </c>
      <c r="C38" s="11">
        <v>136900</v>
      </c>
      <c r="D38" s="11">
        <v>444</v>
      </c>
      <c r="E38" s="11">
        <v>750</v>
      </c>
      <c r="F38" s="13">
        <v>9583</v>
      </c>
      <c r="G38" s="11">
        <v>37</v>
      </c>
      <c r="H38" s="11" t="str">
        <f t="shared" si="5"/>
        <v>164001|37</v>
      </c>
      <c r="T38" s="20">
        <v>36</v>
      </c>
      <c r="U38" s="21">
        <f t="shared" si="0"/>
        <v>129600</v>
      </c>
      <c r="Y38" s="11">
        <v>36</v>
      </c>
      <c r="Z38" s="21">
        <f t="shared" si="1"/>
        <v>9072</v>
      </c>
    </row>
    <row r="39" spans="2:26">
      <c r="B39" s="11">
        <v>38</v>
      </c>
      <c r="C39" s="11">
        <v>144400</v>
      </c>
      <c r="D39" s="11">
        <v>456</v>
      </c>
      <c r="E39" s="11">
        <v>770</v>
      </c>
      <c r="F39" s="13">
        <v>10108</v>
      </c>
      <c r="G39" s="11">
        <v>38</v>
      </c>
      <c r="H39" s="11" t="str">
        <f t="shared" si="5"/>
        <v>164001|38</v>
      </c>
      <c r="T39" s="11">
        <v>37</v>
      </c>
      <c r="U39" s="21">
        <f t="shared" si="0"/>
        <v>136900</v>
      </c>
      <c r="Y39" s="20">
        <v>37</v>
      </c>
      <c r="Z39" s="21">
        <f t="shared" si="1"/>
        <v>9583</v>
      </c>
    </row>
    <row r="40" spans="2:26">
      <c r="B40" s="11">
        <v>39</v>
      </c>
      <c r="C40" s="11">
        <v>152100</v>
      </c>
      <c r="D40" s="11">
        <v>468</v>
      </c>
      <c r="E40" s="11">
        <v>790</v>
      </c>
      <c r="F40" s="13">
        <v>10647</v>
      </c>
      <c r="G40" s="11">
        <v>39</v>
      </c>
      <c r="H40" s="11" t="str">
        <f t="shared" si="5"/>
        <v>164001|39</v>
      </c>
      <c r="T40" s="20">
        <v>38</v>
      </c>
      <c r="U40" s="21">
        <f t="shared" si="0"/>
        <v>144400</v>
      </c>
      <c r="Y40" s="11">
        <v>38</v>
      </c>
      <c r="Z40" s="21">
        <f t="shared" si="1"/>
        <v>10108</v>
      </c>
    </row>
    <row r="41" spans="2:26">
      <c r="B41" s="11">
        <v>40</v>
      </c>
      <c r="C41" s="11">
        <v>160000</v>
      </c>
      <c r="D41" s="11">
        <v>480</v>
      </c>
      <c r="E41" s="11">
        <v>810</v>
      </c>
      <c r="F41" s="13">
        <v>11200</v>
      </c>
      <c r="G41" s="11">
        <v>40</v>
      </c>
      <c r="H41" s="11" t="str">
        <f t="shared" si="5"/>
        <v>164001|40</v>
      </c>
      <c r="T41" s="11">
        <v>39</v>
      </c>
      <c r="U41" s="21">
        <f t="shared" si="0"/>
        <v>152100</v>
      </c>
      <c r="Y41" s="20">
        <v>39</v>
      </c>
      <c r="Z41" s="21">
        <f t="shared" si="1"/>
        <v>10647</v>
      </c>
    </row>
    <row r="42" spans="2:26">
      <c r="B42" s="11">
        <v>41</v>
      </c>
      <c r="C42" s="11">
        <v>168100</v>
      </c>
      <c r="D42" s="11">
        <v>492</v>
      </c>
      <c r="E42" s="11">
        <v>830</v>
      </c>
      <c r="F42" s="13">
        <v>11767</v>
      </c>
      <c r="G42" s="11">
        <v>41</v>
      </c>
      <c r="H42" s="11" t="str">
        <f t="shared" ref="H42:H51" si="6">$O$3&amp;"|"&amp;G42</f>
        <v>165001|41</v>
      </c>
      <c r="T42" s="20">
        <v>40</v>
      </c>
      <c r="U42" s="21">
        <f t="shared" si="0"/>
        <v>160000</v>
      </c>
      <c r="Y42" s="11">
        <v>40</v>
      </c>
      <c r="Z42" s="21">
        <f t="shared" si="1"/>
        <v>11200</v>
      </c>
    </row>
    <row r="43" spans="2:26">
      <c r="B43" s="11">
        <v>42</v>
      </c>
      <c r="C43" s="11">
        <v>176400</v>
      </c>
      <c r="D43" s="11">
        <v>504</v>
      </c>
      <c r="E43" s="11">
        <v>850</v>
      </c>
      <c r="F43" s="13">
        <v>12348</v>
      </c>
      <c r="G43" s="11">
        <v>42</v>
      </c>
      <c r="H43" s="11" t="str">
        <f t="shared" si="6"/>
        <v>165001|42</v>
      </c>
      <c r="T43" s="11">
        <v>41</v>
      </c>
      <c r="U43" s="21">
        <f t="shared" si="0"/>
        <v>168100</v>
      </c>
      <c r="Y43" s="20">
        <v>41</v>
      </c>
      <c r="Z43" s="21">
        <f t="shared" si="1"/>
        <v>11767</v>
      </c>
    </row>
    <row r="44" spans="2:26">
      <c r="B44" s="11">
        <v>43</v>
      </c>
      <c r="C44" s="11">
        <v>184900</v>
      </c>
      <c r="D44" s="11">
        <v>516</v>
      </c>
      <c r="E44" s="11">
        <v>870</v>
      </c>
      <c r="F44" s="13">
        <v>12943</v>
      </c>
      <c r="G44" s="11">
        <v>43</v>
      </c>
      <c r="H44" s="11" t="str">
        <f t="shared" si="6"/>
        <v>165001|43</v>
      </c>
      <c r="T44" s="20">
        <v>42</v>
      </c>
      <c r="U44" s="21">
        <f t="shared" si="0"/>
        <v>176400</v>
      </c>
      <c r="Y44" s="11">
        <v>42</v>
      </c>
      <c r="Z44" s="21">
        <f t="shared" si="1"/>
        <v>12348</v>
      </c>
    </row>
    <row r="45" spans="2:26">
      <c r="B45" s="11">
        <v>44</v>
      </c>
      <c r="C45" s="11">
        <v>193600</v>
      </c>
      <c r="D45" s="11">
        <v>528</v>
      </c>
      <c r="E45" s="11">
        <v>890</v>
      </c>
      <c r="F45" s="13">
        <v>13552</v>
      </c>
      <c r="G45" s="11">
        <v>44</v>
      </c>
      <c r="H45" s="11" t="str">
        <f t="shared" si="6"/>
        <v>165001|44</v>
      </c>
      <c r="T45" s="11">
        <v>43</v>
      </c>
      <c r="U45" s="21">
        <f t="shared" si="0"/>
        <v>184900</v>
      </c>
      <c r="Y45" s="20">
        <v>43</v>
      </c>
      <c r="Z45" s="21">
        <f t="shared" si="1"/>
        <v>12943</v>
      </c>
    </row>
    <row r="46" spans="2:26">
      <c r="B46" s="11">
        <v>45</v>
      </c>
      <c r="C46" s="11">
        <v>202500</v>
      </c>
      <c r="D46" s="11">
        <v>540</v>
      </c>
      <c r="E46" s="11">
        <v>910</v>
      </c>
      <c r="F46" s="13">
        <v>14175</v>
      </c>
      <c r="G46" s="11">
        <v>45</v>
      </c>
      <c r="H46" s="11" t="str">
        <f t="shared" si="6"/>
        <v>165001|45</v>
      </c>
      <c r="T46" s="20">
        <v>44</v>
      </c>
      <c r="U46" s="21">
        <f t="shared" si="0"/>
        <v>193600</v>
      </c>
      <c r="Y46" s="11">
        <v>44</v>
      </c>
      <c r="Z46" s="21">
        <f t="shared" si="1"/>
        <v>13552</v>
      </c>
    </row>
    <row r="47" spans="2:26">
      <c r="B47" s="11">
        <v>46</v>
      </c>
      <c r="C47" s="11">
        <v>211600</v>
      </c>
      <c r="D47" s="11">
        <v>552</v>
      </c>
      <c r="E47" s="11">
        <v>930</v>
      </c>
      <c r="F47" s="13">
        <v>14812</v>
      </c>
      <c r="G47" s="11">
        <v>46</v>
      </c>
      <c r="H47" s="11" t="str">
        <f t="shared" si="6"/>
        <v>165001|46</v>
      </c>
      <c r="T47" s="11">
        <v>45</v>
      </c>
      <c r="U47" s="21">
        <f t="shared" si="0"/>
        <v>202500</v>
      </c>
      <c r="Y47" s="20">
        <v>45</v>
      </c>
      <c r="Z47" s="21">
        <f t="shared" si="1"/>
        <v>14175</v>
      </c>
    </row>
    <row r="48" spans="2:26">
      <c r="B48" s="11">
        <v>47</v>
      </c>
      <c r="C48" s="11">
        <v>220900</v>
      </c>
      <c r="D48" s="11">
        <v>564</v>
      </c>
      <c r="E48" s="11">
        <v>950</v>
      </c>
      <c r="F48" s="13">
        <v>15463</v>
      </c>
      <c r="G48" s="11">
        <v>47</v>
      </c>
      <c r="H48" s="11" t="str">
        <f t="shared" si="6"/>
        <v>165001|47</v>
      </c>
      <c r="T48" s="20">
        <v>46</v>
      </c>
      <c r="U48" s="21">
        <f t="shared" si="0"/>
        <v>211600</v>
      </c>
      <c r="Y48" s="11">
        <v>46</v>
      </c>
      <c r="Z48" s="21">
        <f t="shared" si="1"/>
        <v>14812</v>
      </c>
    </row>
    <row r="49" spans="1:26">
      <c r="B49" s="11">
        <v>48</v>
      </c>
      <c r="C49" s="11">
        <v>230400</v>
      </c>
      <c r="D49" s="11">
        <v>576</v>
      </c>
      <c r="E49" s="11">
        <v>970</v>
      </c>
      <c r="F49" s="13">
        <v>16128</v>
      </c>
      <c r="G49" s="11">
        <v>48</v>
      </c>
      <c r="H49" s="11" t="str">
        <f t="shared" si="6"/>
        <v>165001|48</v>
      </c>
      <c r="T49" s="11">
        <v>47</v>
      </c>
      <c r="U49" s="21">
        <f t="shared" si="0"/>
        <v>220900</v>
      </c>
      <c r="Y49" s="20">
        <v>47</v>
      </c>
      <c r="Z49" s="21">
        <f t="shared" si="1"/>
        <v>15463</v>
      </c>
    </row>
    <row r="50" spans="1:26">
      <c r="B50" s="11">
        <v>49</v>
      </c>
      <c r="C50" s="11">
        <v>240100</v>
      </c>
      <c r="D50" s="11">
        <v>588</v>
      </c>
      <c r="E50" s="11">
        <v>990</v>
      </c>
      <c r="F50" s="13">
        <v>16807</v>
      </c>
      <c r="G50" s="11">
        <v>49</v>
      </c>
      <c r="H50" s="11" t="str">
        <f t="shared" si="6"/>
        <v>165001|49</v>
      </c>
      <c r="T50" s="20">
        <v>48</v>
      </c>
      <c r="U50" s="21">
        <f t="shared" si="0"/>
        <v>230400</v>
      </c>
      <c r="Y50" s="11">
        <v>48</v>
      </c>
      <c r="Z50" s="21">
        <f t="shared" si="1"/>
        <v>16128</v>
      </c>
    </row>
    <row r="51" spans="1:26">
      <c r="B51" s="11">
        <v>50</v>
      </c>
      <c r="C51" s="11">
        <v>250000</v>
      </c>
      <c r="D51" s="11">
        <v>600</v>
      </c>
      <c r="E51" s="11">
        <v>1010</v>
      </c>
      <c r="F51" s="13">
        <v>17500</v>
      </c>
      <c r="G51" s="11">
        <v>50</v>
      </c>
      <c r="H51" s="11" t="str">
        <f t="shared" si="6"/>
        <v>165001|50</v>
      </c>
      <c r="T51" s="11">
        <v>49</v>
      </c>
      <c r="U51" s="21">
        <f t="shared" si="0"/>
        <v>240100</v>
      </c>
      <c r="Y51" s="20">
        <v>49</v>
      </c>
      <c r="Z51" s="21">
        <f t="shared" si="1"/>
        <v>16807</v>
      </c>
    </row>
    <row r="52" ht="28.5" customHeight="1" spans="1:26">
      <c r="C52" s="11" t="s">
        <v>167</v>
      </c>
      <c r="T52" s="20">
        <v>50</v>
      </c>
      <c r="U52" s="21">
        <f t="shared" si="0"/>
        <v>250000</v>
      </c>
      <c r="Y52" s="11">
        <v>50</v>
      </c>
      <c r="Z52" s="21">
        <f t="shared" si="1"/>
        <v>17500</v>
      </c>
    </row>
    <row r="53" spans="1:26">
      <c r="C53" s="11">
        <f>SUM(C2:C11)</f>
        <v>38500</v>
      </c>
    </row>
    <row r="59" ht="99.75" customHeight="1" spans="1:26">
      <c r="A59" s="11" t="s">
        <v>168</v>
      </c>
      <c r="B59" s="11">
        <v>1</v>
      </c>
      <c r="C59" s="11">
        <v>100</v>
      </c>
      <c r="D59" s="11">
        <v>10</v>
      </c>
      <c r="E59" s="11">
        <v>30</v>
      </c>
      <c r="F59" s="11">
        <v>7</v>
      </c>
      <c r="G59" s="11" t="str">
        <f>C59&amp;"|"&amp;C60&amp;"|"&amp;C61&amp;"|"&amp;C62&amp;"|"&amp;C63</f>
        <v>100|246|417|606|810</v>
      </c>
      <c r="H59" s="11" t="str">
        <f>D59&amp;"|"&amp;D60&amp;"|"&amp;D61&amp;"|"&amp;D62&amp;"|"&amp;D63&amp;"|"&amp;D64&amp;"|"&amp;D65&amp;"|"&amp;D66&amp;"|"&amp;D67&amp;"|"&amp;D68&amp;"|"&amp;D69&amp;"|"&amp;D70&amp;"|"&amp;D71&amp;"|"&amp;D72&amp;"|"&amp;D73&amp;"|"&amp;D74&amp;"|"&amp;D75&amp;"|"&amp;D76&amp;"|"&amp;D77&amp;"|"&amp;D78&amp;"|"&amp;D79&amp;"|"&amp;D80&amp;"|"&amp;D81&amp;"|"&amp;D82&amp;"|"&amp;D83&amp;"|"&amp;D84&amp;"|"&amp;D85&amp;"|"&amp;D86&amp;"|"&amp;D87&amp;"|"&amp;D88&amp;"|"&amp;D89&amp;"|"&amp;D90&amp;"|"&amp;D91&amp;"|"&amp;D92&amp;"|"&amp;D93&amp;"|"&amp;D94&amp;"|"&amp;D95&amp;"|"&amp;D96&amp;"|"&amp;D97&amp;"|"&amp;D98&amp;"|"&amp;D99&amp;"|"&amp;D100&amp;"|"&amp;D101&amp;"|"&amp;D102&amp;"|"&amp;D103&amp;"|"&amp;D104&amp;"|"&amp;D105&amp;"|"&amp;D106&amp;"|"&amp;D107&amp;"|"&amp;D108</f>
        <v>10|13|16|19|22|25|28|31|34|37|40|43|46|49|52|55|58|61|64|67|70|73|76|79|82|85|88|91|94|97|100|103|106|109|112|115|118|121|124|127|130|133|136|139|142|145|148|151|154|157</v>
      </c>
      <c r="I59" s="11" t="str">
        <f>E59&amp;"|"&amp;E60&amp;"|"&amp;E61&amp;"|"&amp;E62&amp;"|"&amp;E63</f>
        <v>30|40|50|60|70</v>
      </c>
      <c r="J59" s="11" t="str">
        <f>F59&amp;"|"&amp;G60&amp;"|"&amp;G61&amp;"|"&amp;G62&amp;"|"&amp;G63</f>
        <v>7||||</v>
      </c>
    </row>
    <row r="60" spans="1:26">
      <c r="B60" s="11">
        <v>2</v>
      </c>
      <c r="C60" s="11">
        <v>246</v>
      </c>
      <c r="D60" s="11">
        <v>13</v>
      </c>
      <c r="E60" s="11">
        <v>40</v>
      </c>
    </row>
    <row r="61" spans="1:26">
      <c r="B61" s="11">
        <v>3</v>
      </c>
      <c r="C61" s="11">
        <v>417</v>
      </c>
      <c r="D61" s="11">
        <v>16</v>
      </c>
      <c r="E61" s="11">
        <v>50</v>
      </c>
    </row>
    <row r="62" spans="1:26">
      <c r="B62" s="11">
        <v>4</v>
      </c>
      <c r="C62" s="11">
        <v>606</v>
      </c>
      <c r="D62" s="11">
        <v>19</v>
      </c>
      <c r="E62" s="11">
        <v>60</v>
      </c>
    </row>
    <row r="63" spans="1:26">
      <c r="B63" s="11">
        <v>5</v>
      </c>
      <c r="C63" s="11">
        <v>810</v>
      </c>
      <c r="D63" s="11">
        <v>22</v>
      </c>
      <c r="E63" s="11">
        <v>70</v>
      </c>
    </row>
    <row r="64" spans="1:26">
      <c r="B64" s="11">
        <v>6</v>
      </c>
      <c r="C64" s="11">
        <v>1027</v>
      </c>
      <c r="D64" s="11">
        <v>25</v>
      </c>
      <c r="E64" s="11">
        <v>80</v>
      </c>
    </row>
    <row r="65" spans="2:5">
      <c r="B65" s="11">
        <v>7</v>
      </c>
      <c r="C65" s="11">
        <v>1255</v>
      </c>
      <c r="D65" s="11">
        <v>28</v>
      </c>
      <c r="E65" s="11">
        <v>90</v>
      </c>
    </row>
    <row r="66" spans="2:5">
      <c r="B66" s="11">
        <v>8</v>
      </c>
      <c r="C66" s="11">
        <v>1493</v>
      </c>
      <c r="D66" s="11">
        <v>31</v>
      </c>
      <c r="E66" s="11">
        <v>100</v>
      </c>
    </row>
    <row r="67" spans="2:5">
      <c r="B67" s="11">
        <v>9</v>
      </c>
      <c r="C67" s="11">
        <v>1740</v>
      </c>
      <c r="D67" s="11">
        <v>34</v>
      </c>
      <c r="E67" s="11">
        <v>110</v>
      </c>
    </row>
    <row r="68" spans="2:5">
      <c r="B68" s="11">
        <v>10</v>
      </c>
      <c r="C68" s="11">
        <v>1995</v>
      </c>
      <c r="D68" s="11">
        <v>37</v>
      </c>
      <c r="E68" s="11">
        <v>120</v>
      </c>
    </row>
    <row r="69" spans="2:5">
      <c r="B69" s="11">
        <v>11</v>
      </c>
      <c r="C69" s="11">
        <v>2258</v>
      </c>
      <c r="D69" s="11">
        <v>40</v>
      </c>
      <c r="E69" s="11">
        <v>130</v>
      </c>
    </row>
    <row r="70" spans="2:5">
      <c r="B70" s="11">
        <v>12</v>
      </c>
      <c r="C70" s="11">
        <v>2529</v>
      </c>
      <c r="D70" s="11">
        <v>43</v>
      </c>
      <c r="E70" s="11">
        <v>140</v>
      </c>
    </row>
    <row r="71" spans="2:5">
      <c r="B71" s="11">
        <v>13</v>
      </c>
      <c r="C71" s="11">
        <v>2806</v>
      </c>
      <c r="D71" s="11">
        <v>46</v>
      </c>
      <c r="E71" s="11">
        <v>150</v>
      </c>
    </row>
    <row r="72" spans="2:5">
      <c r="B72" s="11">
        <v>14</v>
      </c>
      <c r="C72" s="11">
        <v>3090</v>
      </c>
      <c r="D72" s="11">
        <v>49</v>
      </c>
      <c r="E72" s="11">
        <v>160</v>
      </c>
    </row>
    <row r="73" spans="2:5">
      <c r="B73" s="11">
        <v>15</v>
      </c>
      <c r="C73" s="11">
        <v>3380</v>
      </c>
      <c r="D73" s="11">
        <v>52</v>
      </c>
      <c r="E73" s="11">
        <v>170</v>
      </c>
    </row>
    <row r="74" spans="2:5">
      <c r="B74" s="11">
        <v>16</v>
      </c>
      <c r="C74" s="11">
        <v>3676</v>
      </c>
      <c r="D74" s="11">
        <v>55</v>
      </c>
      <c r="E74" s="11">
        <v>180</v>
      </c>
    </row>
    <row r="75" spans="2:5">
      <c r="B75" s="11">
        <v>17</v>
      </c>
      <c r="C75" s="11">
        <v>3977</v>
      </c>
      <c r="D75" s="11">
        <v>58</v>
      </c>
      <c r="E75" s="11">
        <v>190</v>
      </c>
    </row>
    <row r="76" spans="2:5">
      <c r="B76" s="11">
        <v>18</v>
      </c>
      <c r="C76" s="11">
        <v>4284</v>
      </c>
      <c r="D76" s="11">
        <v>61</v>
      </c>
      <c r="E76" s="11">
        <v>200</v>
      </c>
    </row>
    <row r="77" spans="2:5">
      <c r="B77" s="11">
        <v>19</v>
      </c>
      <c r="C77" s="11">
        <v>4596</v>
      </c>
      <c r="D77" s="11">
        <v>64</v>
      </c>
      <c r="E77" s="11">
        <v>210</v>
      </c>
    </row>
    <row r="78" spans="2:5">
      <c r="B78" s="11">
        <v>20</v>
      </c>
      <c r="C78" s="11">
        <v>4913</v>
      </c>
      <c r="D78" s="11">
        <v>67</v>
      </c>
      <c r="E78" s="11">
        <v>220</v>
      </c>
    </row>
    <row r="79" spans="2:5">
      <c r="B79" s="11">
        <v>21</v>
      </c>
      <c r="C79" s="11">
        <v>5235</v>
      </c>
      <c r="D79" s="11">
        <v>70</v>
      </c>
      <c r="E79" s="11">
        <v>230</v>
      </c>
    </row>
    <row r="80" spans="2:5">
      <c r="B80" s="11">
        <v>22</v>
      </c>
      <c r="C80" s="11">
        <v>5561</v>
      </c>
      <c r="D80" s="11">
        <v>73</v>
      </c>
      <c r="E80" s="11">
        <v>240</v>
      </c>
    </row>
    <row r="81" spans="2:5">
      <c r="B81" s="11">
        <v>23</v>
      </c>
      <c r="C81" s="11">
        <v>5892</v>
      </c>
      <c r="D81" s="11">
        <v>76</v>
      </c>
      <c r="E81" s="11">
        <v>250</v>
      </c>
    </row>
    <row r="82" spans="2:5">
      <c r="B82" s="11">
        <v>24</v>
      </c>
      <c r="C82" s="11">
        <v>6227</v>
      </c>
      <c r="D82" s="11">
        <v>79</v>
      </c>
      <c r="E82" s="11">
        <v>260</v>
      </c>
    </row>
    <row r="83" spans="2:5">
      <c r="B83" s="11">
        <v>25</v>
      </c>
      <c r="C83" s="11">
        <v>6566</v>
      </c>
      <c r="D83" s="11">
        <v>82</v>
      </c>
      <c r="E83" s="11">
        <v>270</v>
      </c>
    </row>
    <row r="84" spans="2:5">
      <c r="B84" s="11">
        <v>26</v>
      </c>
      <c r="C84" s="11">
        <v>6910</v>
      </c>
      <c r="D84" s="11">
        <v>85</v>
      </c>
      <c r="E84" s="11">
        <v>280</v>
      </c>
    </row>
    <row r="85" spans="2:5">
      <c r="B85" s="11">
        <v>27</v>
      </c>
      <c r="C85" s="11">
        <v>7257</v>
      </c>
      <c r="D85" s="11">
        <v>88</v>
      </c>
      <c r="E85" s="11">
        <v>290</v>
      </c>
    </row>
    <row r="86" spans="2:5">
      <c r="B86" s="11">
        <v>28</v>
      </c>
      <c r="C86" s="11">
        <v>7609</v>
      </c>
      <c r="D86" s="11">
        <v>91</v>
      </c>
      <c r="E86" s="11">
        <v>300</v>
      </c>
    </row>
    <row r="87" spans="2:5">
      <c r="B87" s="11">
        <v>29</v>
      </c>
      <c r="C87" s="11">
        <v>7964</v>
      </c>
      <c r="D87" s="11">
        <v>94</v>
      </c>
      <c r="E87" s="11">
        <v>310</v>
      </c>
    </row>
    <row r="88" spans="2:5">
      <c r="B88" s="11">
        <v>30</v>
      </c>
      <c r="C88" s="11">
        <v>8323</v>
      </c>
      <c r="D88" s="11">
        <v>97</v>
      </c>
      <c r="E88" s="11">
        <v>320</v>
      </c>
    </row>
    <row r="89" spans="2:5">
      <c r="B89" s="11">
        <v>31</v>
      </c>
      <c r="C89" s="11">
        <v>8685</v>
      </c>
      <c r="D89" s="11">
        <v>100</v>
      </c>
      <c r="E89" s="11">
        <v>330</v>
      </c>
    </row>
    <row r="90" spans="2:5">
      <c r="B90" s="11">
        <v>32</v>
      </c>
      <c r="C90" s="11">
        <v>9051</v>
      </c>
      <c r="D90" s="11">
        <v>103</v>
      </c>
      <c r="E90" s="11">
        <v>340</v>
      </c>
    </row>
    <row r="91" spans="2:5">
      <c r="B91" s="11">
        <v>33</v>
      </c>
      <c r="C91" s="11">
        <v>9420</v>
      </c>
      <c r="D91" s="11">
        <v>106</v>
      </c>
      <c r="E91" s="11">
        <v>350</v>
      </c>
    </row>
    <row r="92" spans="2:5">
      <c r="B92" s="11">
        <v>34</v>
      </c>
      <c r="C92" s="11">
        <v>9793</v>
      </c>
      <c r="D92" s="11">
        <v>109</v>
      </c>
      <c r="E92" s="11">
        <v>360</v>
      </c>
    </row>
    <row r="93" spans="2:5">
      <c r="B93" s="11">
        <v>35</v>
      </c>
      <c r="C93" s="11">
        <v>10169</v>
      </c>
      <c r="D93" s="11">
        <v>112</v>
      </c>
      <c r="E93" s="11">
        <v>370</v>
      </c>
    </row>
    <row r="94" spans="2:5">
      <c r="B94" s="11">
        <v>36</v>
      </c>
      <c r="C94" s="11">
        <v>10549</v>
      </c>
      <c r="D94" s="11">
        <v>115</v>
      </c>
      <c r="E94" s="11">
        <v>380</v>
      </c>
    </row>
    <row r="95" spans="2:5">
      <c r="B95" s="11">
        <v>37</v>
      </c>
      <c r="C95" s="11">
        <v>10931</v>
      </c>
      <c r="D95" s="11">
        <v>118</v>
      </c>
      <c r="E95" s="11">
        <v>390</v>
      </c>
    </row>
    <row r="96" spans="2:5">
      <c r="B96" s="11">
        <v>38</v>
      </c>
      <c r="C96" s="11">
        <v>11317</v>
      </c>
      <c r="D96" s="11">
        <v>121</v>
      </c>
      <c r="E96" s="11">
        <v>400</v>
      </c>
    </row>
    <row r="97" spans="2:5">
      <c r="B97" s="11">
        <v>39</v>
      </c>
      <c r="C97" s="11">
        <v>11705</v>
      </c>
      <c r="D97" s="11">
        <v>124</v>
      </c>
      <c r="E97" s="11">
        <v>410</v>
      </c>
    </row>
    <row r="98" spans="2:5">
      <c r="B98" s="11">
        <v>40</v>
      </c>
      <c r="C98" s="11">
        <v>12097</v>
      </c>
      <c r="D98" s="11">
        <v>127</v>
      </c>
      <c r="E98" s="11">
        <v>420</v>
      </c>
    </row>
    <row r="99" spans="2:5">
      <c r="B99" s="11">
        <v>41</v>
      </c>
      <c r="C99" s="11">
        <v>12492</v>
      </c>
      <c r="D99" s="11">
        <v>130</v>
      </c>
      <c r="E99" s="11">
        <v>430</v>
      </c>
    </row>
    <row r="100" spans="2:5">
      <c r="B100" s="11">
        <v>42</v>
      </c>
      <c r="C100" s="11">
        <v>12889</v>
      </c>
      <c r="D100" s="11">
        <v>133</v>
      </c>
      <c r="E100" s="11">
        <v>440</v>
      </c>
    </row>
    <row r="101" spans="2:5">
      <c r="B101" s="11">
        <v>43</v>
      </c>
      <c r="C101" s="11">
        <v>13290</v>
      </c>
      <c r="D101" s="11">
        <v>136</v>
      </c>
      <c r="E101" s="11">
        <v>450</v>
      </c>
    </row>
    <row r="102" spans="2:5">
      <c r="B102" s="11">
        <v>44</v>
      </c>
      <c r="C102" s="11">
        <v>13693</v>
      </c>
      <c r="D102" s="11">
        <v>139</v>
      </c>
      <c r="E102" s="11">
        <v>460</v>
      </c>
    </row>
    <row r="103" spans="2:5">
      <c r="B103" s="11">
        <v>45</v>
      </c>
      <c r="C103" s="11">
        <v>14099</v>
      </c>
      <c r="D103" s="11">
        <v>142</v>
      </c>
      <c r="E103" s="11">
        <v>470</v>
      </c>
    </row>
    <row r="104" spans="2:5">
      <c r="B104" s="11">
        <v>46</v>
      </c>
      <c r="C104" s="11">
        <v>14507</v>
      </c>
      <c r="D104" s="11">
        <v>145</v>
      </c>
      <c r="E104" s="11">
        <v>480</v>
      </c>
    </row>
    <row r="105" spans="2:5">
      <c r="B105" s="11">
        <v>47</v>
      </c>
      <c r="C105" s="11">
        <v>14919</v>
      </c>
      <c r="D105" s="11">
        <v>148</v>
      </c>
      <c r="E105" s="11">
        <v>490</v>
      </c>
    </row>
    <row r="106" spans="2:5">
      <c r="B106" s="11">
        <v>48</v>
      </c>
      <c r="C106" s="11">
        <v>15333</v>
      </c>
      <c r="D106" s="11">
        <v>151</v>
      </c>
      <c r="E106" s="11">
        <v>500</v>
      </c>
    </row>
    <row r="107" spans="2:5">
      <c r="B107" s="11">
        <v>49</v>
      </c>
      <c r="C107" s="11">
        <v>15749</v>
      </c>
      <c r="D107" s="11">
        <v>154</v>
      </c>
      <c r="E107" s="11">
        <v>510</v>
      </c>
    </row>
    <row r="108" spans="2:5">
      <c r="B108" s="11">
        <v>50</v>
      </c>
      <c r="C108" s="11">
        <v>16168</v>
      </c>
      <c r="D108" s="11">
        <v>157</v>
      </c>
      <c r="E108" s="11">
        <v>520</v>
      </c>
    </row>
    <row r="115" spans="1:12">
      <c r="L115" s="11" t="s">
        <v>169</v>
      </c>
    </row>
    <row r="116" ht="28.5" spans="1:12">
      <c r="E116" s="11" t="s">
        <v>170</v>
      </c>
      <c r="L116" s="11" t="str">
        <f>E117&amp;"|"&amp;E118&amp;"|"&amp;E119&amp;"|"&amp;E120&amp;"|"&amp;E121</f>
        <v>7|1008|4032|9072|17500</v>
      </c>
    </row>
    <row r="117" ht="28.5" spans="1:12">
      <c r="A117" s="11" t="s">
        <v>171</v>
      </c>
      <c r="C117" s="11">
        <v>10000</v>
      </c>
      <c r="E117" s="11">
        <v>7</v>
      </c>
      <c r="F117" s="11">
        <v>100</v>
      </c>
      <c r="G117" s="11" t="str">
        <f>C117&amp;"|"&amp;C118&amp;"|"&amp;C119&amp;"|"&amp;C120&amp;"|"&amp;C121</f>
        <v>10000|40000|90000|160000|250000</v>
      </c>
      <c r="H117" s="11" t="str">
        <f>F117&amp;"|"&amp;F118&amp;"|"&amp;F119&amp;"|"&amp;F120&amp;"|"&amp;F121</f>
        <v>100|500|900|1300|1700</v>
      </c>
      <c r="I117" s="11">
        <v>30</v>
      </c>
      <c r="J117" s="11" t="str">
        <f>$L$3&amp;"|"&amp;I117</f>
        <v>162001|30</v>
      </c>
      <c r="K117" s="11" t="str">
        <f>J117&amp;"$"&amp;J118&amp;"$"&amp;J119&amp;"$"&amp;J120</f>
        <v>162001|30$163001|70$164001|110$165001|150</v>
      </c>
    </row>
    <row r="118" spans="1:12">
      <c r="C118" s="11">
        <v>40000</v>
      </c>
      <c r="E118" s="13">
        <v>1008</v>
      </c>
      <c r="F118" s="11">
        <v>500</v>
      </c>
      <c r="I118" s="11">
        <v>70</v>
      </c>
      <c r="J118" s="11" t="str">
        <f>$M$3&amp;"|"&amp;I118</f>
        <v>163001|70</v>
      </c>
    </row>
    <row r="119" spans="1:12">
      <c r="C119" s="11">
        <v>90000</v>
      </c>
      <c r="E119" s="13">
        <v>4032</v>
      </c>
      <c r="F119" s="11">
        <v>900</v>
      </c>
      <c r="I119" s="11">
        <v>110</v>
      </c>
      <c r="J119" s="11" t="str">
        <f>$N$3&amp;"|"&amp;I119</f>
        <v>164001|110</v>
      </c>
    </row>
    <row r="120" spans="1:12">
      <c r="C120" s="11">
        <v>160000</v>
      </c>
      <c r="E120" s="13">
        <v>9072</v>
      </c>
      <c r="F120" s="11">
        <v>1300</v>
      </c>
      <c r="I120" s="11">
        <v>150</v>
      </c>
      <c r="J120" s="11" t="str">
        <f>$O$3&amp;"|"&amp;I120</f>
        <v>165001|150</v>
      </c>
    </row>
    <row r="121" spans="1:12">
      <c r="C121" s="11">
        <v>250000</v>
      </c>
      <c r="E121" s="13">
        <v>17500</v>
      </c>
      <c r="F121" s="11">
        <v>1700</v>
      </c>
      <c r="I121" s="11">
        <v>35</v>
      </c>
    </row>
    <row r="124" ht="28.5" customHeight="1" spans="1:12">
      <c r="E124" s="11" t="s">
        <v>170</v>
      </c>
      <c r="F124" s="11" t="s">
        <v>147</v>
      </c>
      <c r="L124" s="11" t="s">
        <v>172</v>
      </c>
    </row>
    <row r="125" ht="171" customHeight="1" spans="1:12">
      <c r="A125" s="11" t="s">
        <v>173</v>
      </c>
      <c r="C125" s="11">
        <v>100</v>
      </c>
      <c r="E125" s="11">
        <v>7</v>
      </c>
      <c r="F125" s="11">
        <v>60</v>
      </c>
      <c r="K125" s="11" t="str">
        <f>J125&amp;"$"&amp;J126&amp;"$"&amp;J127&amp;"$"&amp;J128&amp;"$"&amp;J129&amp;"$"&amp;J130&amp;"$"&amp;J131&amp;"$"&amp;J132&amp;"$"&amp;J133&amp;"$"&amp;J134&amp;"$"&amp;J135&amp;"$"&amp;J136&amp;"$"&amp;J137&amp;"$"&amp;J138&amp;"$"&amp;J139</f>
        <v>$$161001|20$$$162001|40$$$163001|60$$$164001|80$$$165001|100</v>
      </c>
      <c r="L125" s="11" t="str">
        <f>E125&amp;"|"&amp;E126&amp;"|"&amp;E127&amp;"|"&amp;E128&amp;"|"&amp;E129&amp;"|"&amp;E130&amp;"|"&amp;E131&amp;"|"&amp;E132&amp;"|"&amp;E133&amp;"|"&amp;E134&amp;"|"&amp;E135&amp;"|"&amp;E136&amp;"|"&amp;E137&amp;"|"&amp;E138&amp;"|"&amp;E139</f>
        <v>7|175|448|1008|1575|2527|3388|4732|5887|7623|9072|11200|12943|15463|17500</v>
      </c>
    </row>
    <row r="126" spans="1:12">
      <c r="C126" s="11">
        <v>900</v>
      </c>
      <c r="E126" s="13">
        <v>175</v>
      </c>
      <c r="F126" s="11">
        <v>100</v>
      </c>
    </row>
    <row r="127" spans="1:12">
      <c r="C127" s="11">
        <v>3600</v>
      </c>
      <c r="E127" s="13">
        <v>448</v>
      </c>
      <c r="F127" s="11">
        <v>140</v>
      </c>
      <c r="I127" s="11">
        <v>20</v>
      </c>
      <c r="J127" s="11" t="str">
        <f>$K$3&amp;"|"&amp;I127</f>
        <v>161001|20</v>
      </c>
    </row>
    <row r="128" spans="1:12">
      <c r="C128" s="11">
        <v>8100</v>
      </c>
      <c r="E128" s="13">
        <v>1008</v>
      </c>
      <c r="F128" s="11">
        <v>180</v>
      </c>
    </row>
    <row r="129" spans="1:10">
      <c r="C129" s="11">
        <v>14400</v>
      </c>
      <c r="E129" s="13">
        <v>1575</v>
      </c>
      <c r="F129" s="11">
        <v>220</v>
      </c>
    </row>
    <row r="130" s="10" customFormat="1" spans="1:10">
      <c r="C130" s="10">
        <v>22500</v>
      </c>
      <c r="E130" s="13">
        <v>2527</v>
      </c>
      <c r="F130" s="10">
        <v>260</v>
      </c>
      <c r="I130" s="10">
        <v>40</v>
      </c>
      <c r="J130" s="10" t="str">
        <f>$L$3&amp;"|"&amp;I130</f>
        <v>162001|40</v>
      </c>
    </row>
    <row r="131" spans="1:10">
      <c r="C131" s="11">
        <v>32400</v>
      </c>
      <c r="E131" s="13">
        <v>3388</v>
      </c>
      <c r="F131" s="11">
        <v>300</v>
      </c>
    </row>
    <row r="132" spans="1:10">
      <c r="C132" s="11">
        <v>44100</v>
      </c>
      <c r="E132" s="13">
        <v>4732</v>
      </c>
      <c r="F132" s="11">
        <v>340</v>
      </c>
    </row>
    <row r="133" s="10" customFormat="1" spans="1:10">
      <c r="C133" s="10">
        <v>57600</v>
      </c>
      <c r="E133" s="13">
        <v>5887</v>
      </c>
      <c r="F133" s="10">
        <v>380</v>
      </c>
      <c r="I133" s="11">
        <v>60</v>
      </c>
      <c r="J133" s="11" t="str">
        <f>$M$3&amp;"|"&amp;I133</f>
        <v>163001|60</v>
      </c>
    </row>
    <row r="134" spans="1:10">
      <c r="C134" s="11">
        <v>72900</v>
      </c>
      <c r="E134" s="13">
        <v>7623</v>
      </c>
      <c r="F134" s="11">
        <v>420</v>
      </c>
    </row>
    <row r="135" spans="1:10">
      <c r="C135" s="11">
        <v>90000</v>
      </c>
      <c r="E135" s="13">
        <v>9072</v>
      </c>
      <c r="F135" s="11">
        <v>460</v>
      </c>
    </row>
    <row r="136" s="10" customFormat="1" spans="1:10">
      <c r="C136" s="10">
        <v>108900</v>
      </c>
      <c r="E136" s="13">
        <v>11200</v>
      </c>
      <c r="F136" s="10">
        <v>500</v>
      </c>
      <c r="I136" s="10">
        <v>80</v>
      </c>
      <c r="J136" s="11" t="str">
        <f>$N$3&amp;"|"&amp;I136</f>
        <v>164001|80</v>
      </c>
    </row>
    <row r="137" spans="1:10">
      <c r="C137" s="11">
        <v>129600</v>
      </c>
      <c r="E137" s="13">
        <v>12943</v>
      </c>
      <c r="F137" s="11">
        <v>540</v>
      </c>
    </row>
    <row r="138" spans="1:10">
      <c r="C138" s="11">
        <v>152100</v>
      </c>
      <c r="E138" s="13">
        <v>15463</v>
      </c>
      <c r="F138" s="11">
        <v>580</v>
      </c>
    </row>
    <row r="139" ht="42.75" customHeight="1" spans="1:10">
      <c r="C139" s="11">
        <v>202500</v>
      </c>
      <c r="E139" s="13">
        <v>17500</v>
      </c>
      <c r="F139" s="11">
        <v>620</v>
      </c>
      <c r="G139" s="11" t="str">
        <f>C125&amp;"|"&amp;C126&amp;"|"&amp;C127&amp;"|"&amp;C128&amp;"|"&amp;C129&amp;"|"&amp;C130&amp;"|"&amp;C131&amp;"|"&amp;C132&amp;"|"&amp;C133&amp;"|"&amp;C134&amp;"|"&amp;C135&amp;"|"&amp;C136&amp;"|"&amp;C137&amp;"|"&amp;C138&amp;"|"&amp;C139</f>
        <v>100|900|3600|8100|14400|22500|32400|44100|57600|72900|90000|108900|129600|152100|202500</v>
      </c>
      <c r="H139" s="11" t="str">
        <f>F125&amp;"|"&amp;F126&amp;"|"&amp;F127&amp;"|"&amp;F128&amp;"|"&amp;F129&amp;"|"&amp;F130&amp;"|"&amp;F131&amp;"|"&amp;F132&amp;"|"&amp;F133&amp;"|"&amp;F134&amp;"|"&amp;F135&amp;"|"&amp;F136&amp;"|"&amp;F137&amp;"|"&amp;F138&amp;"|"&amp;F139</f>
        <v>60|100|140|180|220|260|300|340|380|420|460|500|540|580|620</v>
      </c>
      <c r="I139" s="11">
        <v>100</v>
      </c>
      <c r="J139" s="11" t="str">
        <f>$O$3&amp;"|"&amp;I139</f>
        <v>165001|100</v>
      </c>
    </row>
    <row r="144" ht="71.25" spans="1:10">
      <c r="A144" s="11" t="s">
        <v>174</v>
      </c>
      <c r="B144" s="11">
        <v>1</v>
      </c>
      <c r="C144" s="11">
        <v>100</v>
      </c>
      <c r="D144" s="11">
        <v>1</v>
      </c>
      <c r="E144" s="11">
        <v>30</v>
      </c>
      <c r="H144" s="11" t="str">
        <f>D144&amp;"|"&amp;D145&amp;"|"&amp;D146&amp;"|"&amp;D147&amp;"|"&amp;D148&amp;"|"&amp;D149&amp;"|"&amp;D150&amp;"|"&amp;D151&amp;"|"&amp;D152&amp;"|"&amp;D153&amp;"|"&amp;D154&amp;"|"&amp;D155&amp;"|"&amp;D156&amp;"|"&amp;D157&amp;"|"&amp;D158&amp;"|"&amp;D159&amp;"|"&amp;D160&amp;"|"&amp;D161&amp;"|"&amp;D162&amp;"|"&amp;D163&amp;"|"&amp;D164&amp;"|"&amp;D165&amp;"|"&amp;D166&amp;"|"&amp;D167&amp;"|"&amp;D168&amp;"|"&amp;D169&amp;"|"&amp;D170&amp;"|"&amp;D171&amp;"|"&amp;D172&amp;"|"&amp;D173&amp;"|"&amp;D174&amp;"|"&amp;D175&amp;"|"&amp;D176&amp;"|"&amp;D177&amp;"|"&amp;D178&amp;"|"&amp;D179&amp;"|"&amp;D180&amp;"|"&amp;D181&amp;"|"&amp;D182&amp;"|"&amp;D183&amp;"|"&amp;D184&amp;"|"&amp;D185&amp;"|"&amp;D186&amp;"|"&amp;D187&amp;"|"&amp;D188&amp;"|"&amp;D189&amp;"|"&amp;D190&amp;"|"&amp;D191&amp;"|"&amp;D192&amp;"|"&amp;D193</f>
        <v>1|2|3|4|5|6|7|8|9|10|11|12|13|14|15|16|17|18|19|20|21|22|23|24|25|26|27|28|29|30|31|32|33|34|35|36|37|38|39|40|41|42|43|44|45|46|47|48|49|50</v>
      </c>
    </row>
    <row r="145" spans="2:5">
      <c r="B145" s="11">
        <v>2</v>
      </c>
      <c r="C145" s="11">
        <v>246</v>
      </c>
      <c r="D145" s="11">
        <v>2</v>
      </c>
      <c r="E145" s="11">
        <v>40</v>
      </c>
    </row>
    <row r="146" spans="2:5">
      <c r="B146" s="11">
        <v>3</v>
      </c>
      <c r="C146" s="11">
        <v>417</v>
      </c>
      <c r="D146" s="11">
        <v>3</v>
      </c>
      <c r="E146" s="11">
        <v>50</v>
      </c>
    </row>
    <row r="147" spans="2:5">
      <c r="B147" s="11">
        <v>4</v>
      </c>
      <c r="C147" s="11">
        <v>606</v>
      </c>
      <c r="D147" s="11">
        <v>4</v>
      </c>
      <c r="E147" s="11">
        <v>60</v>
      </c>
    </row>
    <row r="148" spans="2:5">
      <c r="B148" s="11">
        <v>5</v>
      </c>
      <c r="C148" s="11">
        <v>810</v>
      </c>
      <c r="D148" s="11">
        <v>5</v>
      </c>
      <c r="E148" s="11">
        <v>70</v>
      </c>
    </row>
    <row r="149" spans="2:5">
      <c r="B149" s="11">
        <v>6</v>
      </c>
      <c r="C149" s="11">
        <v>1027</v>
      </c>
      <c r="D149" s="11">
        <v>6</v>
      </c>
      <c r="E149" s="11">
        <v>80</v>
      </c>
    </row>
    <row r="150" spans="2:5">
      <c r="B150" s="11">
        <v>7</v>
      </c>
      <c r="C150" s="11">
        <v>1255</v>
      </c>
      <c r="D150" s="11">
        <v>7</v>
      </c>
      <c r="E150" s="11">
        <v>90</v>
      </c>
    </row>
    <row r="151" spans="2:5">
      <c r="B151" s="11">
        <v>8</v>
      </c>
      <c r="C151" s="11">
        <v>1493</v>
      </c>
      <c r="D151" s="11">
        <v>8</v>
      </c>
      <c r="E151" s="11">
        <v>100</v>
      </c>
    </row>
    <row r="152" spans="2:5">
      <c r="B152" s="11">
        <v>9</v>
      </c>
      <c r="C152" s="11">
        <v>1740</v>
      </c>
      <c r="D152" s="11">
        <v>9</v>
      </c>
      <c r="E152" s="11">
        <v>110</v>
      </c>
    </row>
    <row r="153" spans="2:5">
      <c r="B153" s="11">
        <v>10</v>
      </c>
      <c r="C153" s="11">
        <v>1995</v>
      </c>
      <c r="D153" s="11">
        <v>10</v>
      </c>
      <c r="E153" s="11">
        <v>120</v>
      </c>
    </row>
    <row r="154" spans="2:5">
      <c r="B154" s="11">
        <v>11</v>
      </c>
      <c r="C154" s="11">
        <v>2258</v>
      </c>
      <c r="D154" s="11">
        <v>11</v>
      </c>
      <c r="E154" s="11">
        <v>130</v>
      </c>
    </row>
    <row r="155" spans="2:5">
      <c r="B155" s="11">
        <v>12</v>
      </c>
      <c r="C155" s="11">
        <v>2529</v>
      </c>
      <c r="D155" s="11">
        <v>12</v>
      </c>
      <c r="E155" s="11">
        <v>140</v>
      </c>
    </row>
    <row r="156" spans="2:5">
      <c r="B156" s="11">
        <v>13</v>
      </c>
      <c r="C156" s="11">
        <v>2806</v>
      </c>
      <c r="D156" s="11">
        <v>13</v>
      </c>
      <c r="E156" s="11">
        <v>150</v>
      </c>
    </row>
    <row r="157" spans="2:5">
      <c r="B157" s="11">
        <v>14</v>
      </c>
      <c r="C157" s="11">
        <v>3090</v>
      </c>
      <c r="D157" s="11">
        <v>14</v>
      </c>
      <c r="E157" s="11">
        <v>160</v>
      </c>
    </row>
    <row r="158" spans="2:5">
      <c r="B158" s="11">
        <v>15</v>
      </c>
      <c r="C158" s="11">
        <v>3380</v>
      </c>
      <c r="D158" s="11">
        <v>15</v>
      </c>
      <c r="E158" s="11">
        <v>170</v>
      </c>
    </row>
    <row r="159" spans="2:5">
      <c r="B159" s="11">
        <v>16</v>
      </c>
      <c r="C159" s="11">
        <v>3676</v>
      </c>
      <c r="D159" s="11">
        <v>16</v>
      </c>
      <c r="E159" s="11">
        <v>180</v>
      </c>
    </row>
    <row r="160" spans="2:5">
      <c r="B160" s="11">
        <v>17</v>
      </c>
      <c r="C160" s="11">
        <v>3977</v>
      </c>
      <c r="D160" s="11">
        <v>17</v>
      </c>
      <c r="E160" s="11">
        <v>190</v>
      </c>
    </row>
    <row r="161" spans="2:5">
      <c r="B161" s="11">
        <v>18</v>
      </c>
      <c r="C161" s="11">
        <v>4284</v>
      </c>
      <c r="D161" s="11">
        <v>18</v>
      </c>
      <c r="E161" s="11">
        <v>200</v>
      </c>
    </row>
    <row r="162" spans="2:5">
      <c r="B162" s="11">
        <v>19</v>
      </c>
      <c r="C162" s="11">
        <v>4596</v>
      </c>
      <c r="D162" s="11">
        <v>19</v>
      </c>
      <c r="E162" s="11">
        <v>210</v>
      </c>
    </row>
    <row r="163" spans="2:5">
      <c r="B163" s="11">
        <v>20</v>
      </c>
      <c r="C163" s="11">
        <v>4913</v>
      </c>
      <c r="D163" s="11">
        <v>20</v>
      </c>
      <c r="E163" s="11">
        <v>220</v>
      </c>
    </row>
    <row r="164" spans="2:5">
      <c r="B164" s="11">
        <v>21</v>
      </c>
      <c r="C164" s="11">
        <v>5235</v>
      </c>
      <c r="D164" s="11">
        <v>21</v>
      </c>
      <c r="E164" s="11">
        <v>230</v>
      </c>
    </row>
    <row r="165" spans="2:5">
      <c r="B165" s="11">
        <v>22</v>
      </c>
      <c r="C165" s="11">
        <v>5561</v>
      </c>
      <c r="D165" s="11">
        <v>22</v>
      </c>
      <c r="E165" s="11">
        <v>240</v>
      </c>
    </row>
    <row r="166" spans="2:5">
      <c r="B166" s="11">
        <v>23</v>
      </c>
      <c r="C166" s="11">
        <v>5892</v>
      </c>
      <c r="D166" s="11">
        <v>23</v>
      </c>
      <c r="E166" s="11">
        <v>250</v>
      </c>
    </row>
    <row r="167" spans="2:5">
      <c r="B167" s="11">
        <v>24</v>
      </c>
      <c r="C167" s="11">
        <v>6227</v>
      </c>
      <c r="D167" s="11">
        <v>24</v>
      </c>
      <c r="E167" s="11">
        <v>260</v>
      </c>
    </row>
    <row r="168" spans="2:5">
      <c r="B168" s="11">
        <v>25</v>
      </c>
      <c r="C168" s="11">
        <v>6566</v>
      </c>
      <c r="D168" s="11">
        <v>25</v>
      </c>
      <c r="E168" s="11">
        <v>270</v>
      </c>
    </row>
    <row r="169" spans="2:5">
      <c r="B169" s="11">
        <v>26</v>
      </c>
      <c r="C169" s="11">
        <v>6910</v>
      </c>
      <c r="D169" s="11">
        <v>26</v>
      </c>
      <c r="E169" s="11">
        <v>280</v>
      </c>
    </row>
    <row r="170" spans="2:5">
      <c r="B170" s="11">
        <v>27</v>
      </c>
      <c r="C170" s="11">
        <v>7257</v>
      </c>
      <c r="D170" s="11">
        <v>27</v>
      </c>
      <c r="E170" s="11">
        <v>290</v>
      </c>
    </row>
    <row r="171" spans="2:5">
      <c r="B171" s="11">
        <v>28</v>
      </c>
      <c r="C171" s="11">
        <v>7609</v>
      </c>
      <c r="D171" s="11">
        <v>28</v>
      </c>
      <c r="E171" s="11">
        <v>300</v>
      </c>
    </row>
    <row r="172" spans="2:5">
      <c r="B172" s="11">
        <v>29</v>
      </c>
      <c r="C172" s="11">
        <v>7964</v>
      </c>
      <c r="D172" s="11">
        <v>29</v>
      </c>
      <c r="E172" s="11">
        <v>310</v>
      </c>
    </row>
    <row r="173" spans="2:5">
      <c r="B173" s="11">
        <v>30</v>
      </c>
      <c r="C173" s="11">
        <v>8323</v>
      </c>
      <c r="D173" s="11">
        <v>30</v>
      </c>
      <c r="E173" s="11">
        <v>320</v>
      </c>
    </row>
    <row r="174" spans="2:5">
      <c r="B174" s="11">
        <v>31</v>
      </c>
      <c r="C174" s="11">
        <v>8685</v>
      </c>
      <c r="D174" s="11">
        <v>31</v>
      </c>
      <c r="E174" s="11">
        <v>330</v>
      </c>
    </row>
    <row r="175" spans="2:5">
      <c r="B175" s="11">
        <v>32</v>
      </c>
      <c r="C175" s="11">
        <v>9051</v>
      </c>
      <c r="D175" s="11">
        <v>32</v>
      </c>
      <c r="E175" s="11">
        <v>340</v>
      </c>
    </row>
    <row r="176" spans="2:5">
      <c r="B176" s="11">
        <v>33</v>
      </c>
      <c r="C176" s="11">
        <v>9420</v>
      </c>
      <c r="D176" s="11">
        <v>33</v>
      </c>
      <c r="E176" s="11">
        <v>350</v>
      </c>
    </row>
    <row r="177" spans="2:5">
      <c r="B177" s="11">
        <v>34</v>
      </c>
      <c r="C177" s="11">
        <v>9793</v>
      </c>
      <c r="D177" s="11">
        <v>34</v>
      </c>
      <c r="E177" s="11">
        <v>360</v>
      </c>
    </row>
    <row r="178" spans="2:5">
      <c r="B178" s="11">
        <v>35</v>
      </c>
      <c r="C178" s="11">
        <v>10169</v>
      </c>
      <c r="D178" s="11">
        <v>35</v>
      </c>
      <c r="E178" s="11">
        <v>370</v>
      </c>
    </row>
    <row r="179" spans="2:5">
      <c r="B179" s="11">
        <v>36</v>
      </c>
      <c r="C179" s="11">
        <v>10549</v>
      </c>
      <c r="D179" s="11">
        <v>36</v>
      </c>
      <c r="E179" s="11">
        <v>380</v>
      </c>
    </row>
    <row r="180" spans="2:5">
      <c r="B180" s="11">
        <v>37</v>
      </c>
      <c r="C180" s="11">
        <v>10931</v>
      </c>
      <c r="D180" s="11">
        <v>37</v>
      </c>
      <c r="E180" s="11">
        <v>390</v>
      </c>
    </row>
    <row r="181" spans="2:5">
      <c r="B181" s="11">
        <v>38</v>
      </c>
      <c r="C181" s="11">
        <v>11317</v>
      </c>
      <c r="D181" s="11">
        <v>38</v>
      </c>
      <c r="E181" s="11">
        <v>400</v>
      </c>
    </row>
    <row r="182" spans="2:5">
      <c r="B182" s="11">
        <v>39</v>
      </c>
      <c r="C182" s="11">
        <v>11705</v>
      </c>
      <c r="D182" s="11">
        <v>39</v>
      </c>
      <c r="E182" s="11">
        <v>410</v>
      </c>
    </row>
    <row r="183" spans="2:5">
      <c r="B183" s="11">
        <v>40</v>
      </c>
      <c r="C183" s="11">
        <v>12097</v>
      </c>
      <c r="D183" s="11">
        <v>40</v>
      </c>
      <c r="E183" s="11">
        <v>420</v>
      </c>
    </row>
    <row r="184" spans="2:5">
      <c r="B184" s="11">
        <v>41</v>
      </c>
      <c r="C184" s="11">
        <v>12492</v>
      </c>
      <c r="D184" s="11">
        <v>41</v>
      </c>
      <c r="E184" s="11">
        <v>430</v>
      </c>
    </row>
    <row r="185" spans="2:5">
      <c r="B185" s="11">
        <v>42</v>
      </c>
      <c r="C185" s="11">
        <v>12889</v>
      </c>
      <c r="D185" s="11">
        <v>42</v>
      </c>
      <c r="E185" s="11">
        <v>440</v>
      </c>
    </row>
    <row r="186" spans="2:5">
      <c r="B186" s="11">
        <v>43</v>
      </c>
      <c r="C186" s="11">
        <v>13290</v>
      </c>
      <c r="D186" s="11">
        <v>43</v>
      </c>
      <c r="E186" s="11">
        <v>450</v>
      </c>
    </row>
    <row r="187" spans="2:5">
      <c r="B187" s="11">
        <v>44</v>
      </c>
      <c r="C187" s="11">
        <v>13693</v>
      </c>
      <c r="D187" s="11">
        <v>44</v>
      </c>
      <c r="E187" s="11">
        <v>460</v>
      </c>
    </row>
    <row r="188" spans="2:5">
      <c r="B188" s="11">
        <v>45</v>
      </c>
      <c r="C188" s="11">
        <v>14099</v>
      </c>
      <c r="D188" s="11">
        <v>45</v>
      </c>
      <c r="E188" s="11">
        <v>470</v>
      </c>
    </row>
    <row r="189" spans="2:5">
      <c r="B189" s="11">
        <v>46</v>
      </c>
      <c r="C189" s="11">
        <v>14507</v>
      </c>
      <c r="D189" s="11">
        <v>46</v>
      </c>
      <c r="E189" s="11">
        <v>480</v>
      </c>
    </row>
    <row r="190" spans="2:5">
      <c r="B190" s="11">
        <v>47</v>
      </c>
      <c r="C190" s="11">
        <v>14919</v>
      </c>
      <c r="D190" s="11">
        <v>47</v>
      </c>
      <c r="E190" s="11">
        <v>490</v>
      </c>
    </row>
    <row r="191" spans="2:5">
      <c r="B191" s="11">
        <v>48</v>
      </c>
      <c r="C191" s="11">
        <v>15333</v>
      </c>
      <c r="D191" s="11">
        <v>48</v>
      </c>
      <c r="E191" s="11">
        <v>500</v>
      </c>
    </row>
    <row r="192" spans="2:5">
      <c r="B192" s="11">
        <v>49</v>
      </c>
      <c r="C192" s="11">
        <v>15749</v>
      </c>
      <c r="D192" s="11">
        <v>49</v>
      </c>
      <c r="E192" s="11">
        <v>510</v>
      </c>
    </row>
    <row r="193" spans="2:5">
      <c r="B193" s="11">
        <v>50</v>
      </c>
      <c r="C193" s="11">
        <v>16168</v>
      </c>
      <c r="D193" s="11">
        <v>50</v>
      </c>
      <c r="E193" s="11">
        <v>520</v>
      </c>
    </row>
  </sheetData>
  <mergeCells count="2">
    <mergeCell ref="Q1:U1"/>
    <mergeCell ref="V1:AA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opLeftCell="C1" workbookViewId="0">
      <selection activeCell="C37" sqref="C37"/>
    </sheetView>
  </sheetViews>
  <sheetFormatPr defaultColWidth="9" defaultRowHeight="14.25" outlineLevelCol="3"/>
  <cols>
    <col min="1" max="1" width="12.875" customWidth="1"/>
    <col min="2" max="2" width="151.625" customWidth="1"/>
    <col min="3" max="3" width="129.375" customWidth="1"/>
    <col min="4" max="4" width="12.375" customWidth="1"/>
  </cols>
  <sheetData>
    <row r="1" spans="1:4">
      <c r="A1" t="s">
        <v>173</v>
      </c>
      <c r="B1" t="s">
        <v>175</v>
      </c>
    </row>
    <row r="2" spans="1:4">
      <c r="B2" s="3" t="s">
        <v>176</v>
      </c>
      <c r="C2" s="4"/>
      <c r="D2" s="5"/>
    </row>
    <row r="3" spans="1:4">
      <c r="A3">
        <v>1</v>
      </c>
      <c r="B3" s="3" t="s">
        <v>177</v>
      </c>
      <c r="C3" s="2" t="s">
        <v>177</v>
      </c>
    </row>
    <row r="4" spans="1:4">
      <c r="A4">
        <v>2</v>
      </c>
      <c r="B4" s="4" t="s">
        <v>178</v>
      </c>
      <c r="C4" t="str">
        <f t="shared" ref="C4:C17" si="0">C3&amp;"|"&amp;B4</f>
        <v>101101|101001|101102</v>
      </c>
    </row>
    <row r="5" spans="1:4">
      <c r="A5">
        <v>3</v>
      </c>
      <c r="B5" s="5" t="s">
        <v>179</v>
      </c>
      <c r="C5" t="str">
        <f t="shared" si="0"/>
        <v>101101|101001|101102|101103|101104</v>
      </c>
    </row>
    <row r="6" spans="1:4">
      <c r="A6">
        <v>4</v>
      </c>
      <c r="B6" s="6" t="s">
        <v>180</v>
      </c>
      <c r="C6" t="str">
        <f t="shared" si="0"/>
        <v>101101|101001|101102|101103|101104|101201|102001</v>
      </c>
    </row>
    <row r="7" spans="1:4">
      <c r="A7">
        <v>5</v>
      </c>
      <c r="B7" s="6" t="s">
        <v>181</v>
      </c>
      <c r="C7" t="str">
        <f t="shared" si="0"/>
        <v>101101|101001|101102|101103|101104|101201|102001|101202</v>
      </c>
    </row>
    <row r="8" spans="1:4">
      <c r="A8">
        <v>6</v>
      </c>
      <c r="B8" s="6" t="s">
        <v>182</v>
      </c>
      <c r="C8" t="str">
        <f t="shared" si="0"/>
        <v>101101|101001|101102|101103|101104|101201|102001|101202|101203|101204</v>
      </c>
    </row>
    <row r="9" spans="1:4">
      <c r="A9">
        <v>7</v>
      </c>
      <c r="B9" s="7" t="s">
        <v>183</v>
      </c>
      <c r="C9" t="str">
        <f t="shared" si="0"/>
        <v>101101|101001|101102|101103|101104|101201|102001|101202|101203|101204|101301|103001</v>
      </c>
    </row>
    <row r="10" spans="1:4">
      <c r="A10">
        <v>8</v>
      </c>
      <c r="B10" s="7" t="s">
        <v>184</v>
      </c>
      <c r="C10" t="str">
        <f t="shared" si="0"/>
        <v>101101|101001|101102|101103|101104|101201|102001|101202|101203|101204|101301|103001|101302</v>
      </c>
    </row>
    <row r="11" spans="1:4">
      <c r="A11">
        <v>9</v>
      </c>
      <c r="B11" s="7" t="s">
        <v>185</v>
      </c>
      <c r="C11" t="str">
        <f t="shared" si="0"/>
        <v>101101|101001|101102|101103|101104|101201|102001|101202|101203|101204|101301|103001|101302|101303|101304</v>
      </c>
    </row>
    <row r="12" spans="1:4">
      <c r="A12">
        <v>10</v>
      </c>
      <c r="B12" s="8" t="s">
        <v>186</v>
      </c>
      <c r="C12" t="str">
        <f t="shared" si="0"/>
        <v>101101|101001|101102|101103|101104|101201|102001|101202|101203|101204|101301|103001|101302|101303|101304|101401|104001</v>
      </c>
    </row>
    <row r="13" spans="1:4">
      <c r="A13">
        <v>11</v>
      </c>
      <c r="B13" s="8" t="s">
        <v>187</v>
      </c>
      <c r="C13" t="str">
        <f t="shared" si="0"/>
        <v>101101|101001|101102|101103|101104|101201|102001|101202|101203|101204|101301|103001|101302|101303|101304|101401|104001|101402</v>
      </c>
    </row>
    <row r="14" spans="1:4">
      <c r="A14">
        <v>12</v>
      </c>
      <c r="B14" s="8" t="s">
        <v>188</v>
      </c>
      <c r="C14" t="str">
        <f t="shared" si="0"/>
        <v>101101|101001|101102|101103|101104|101201|102001|101202|101203|101204|101301|103001|101302|101303|101304|101401|104001|101402|101403|101404</v>
      </c>
    </row>
    <row r="15" spans="1:4">
      <c r="A15">
        <v>13</v>
      </c>
      <c r="B15" s="9" t="s">
        <v>189</v>
      </c>
      <c r="C15" t="str">
        <f t="shared" si="0"/>
        <v>101101|101001|101102|101103|101104|101201|102001|101202|101203|101204|101301|103001|101302|101303|101304|101401|104001|101402|101403|101404|101501|105001</v>
      </c>
    </row>
    <row r="16" spans="1:4">
      <c r="A16">
        <v>14</v>
      </c>
      <c r="B16" s="9" t="s">
        <v>190</v>
      </c>
      <c r="C16" t="str">
        <f t="shared" si="0"/>
        <v>101101|101001|101102|101103|101104|101201|102001|101202|101203|101204|101301|103001|101302|101303|101304|101401|104001|101402|101403|101404|101501|105001|101502</v>
      </c>
    </row>
    <row r="17" spans="1:3">
      <c r="A17">
        <v>15</v>
      </c>
      <c r="B17" s="9" t="s">
        <v>191</v>
      </c>
      <c r="C17" t="str">
        <f t="shared" si="0"/>
        <v>101101|101001|101102|101103|101104|101201|102001|101202|101203|101204|101301|103001|101302|101303|101304|101401|104001|101402|101403|101404|101501|105001|101502|101503|101504</v>
      </c>
    </row>
    <row r="20" spans="1:3">
      <c r="B20" t="str">
        <f>B3&amp;"$"&amp;B4&amp;"$"&amp;B5&amp;"$"&amp;B6&amp;"$"&amp;B7&amp;"$"&amp;B8&amp;"$"&amp;B9&amp;"$"&amp;B10&amp;"$"&amp;B11&amp;"$"&amp;B12&amp;"$"&amp;B13&amp;"$"&amp;B14&amp;"$"&amp;B15&amp;"$"&amp;B16&amp;"$"&amp;B17</f>
        <v>101101|101001$101102$101103|101104$101201|102001$101202$101203|101204$101301|103001$101302$101303|101304$101401|104001$101402$101403|101404$101501|105001$101502$101503|101504</v>
      </c>
      <c r="C20" t="str">
        <f>C3&amp;"$"&amp;C4&amp;"$"&amp;C5&amp;"$"&amp;C6&amp;"$"&amp;C7&amp;"$"&amp;C8&amp;"$"&amp;C9&amp;"$"&amp;C10&amp;"$"&amp;C11&amp;"$"&amp;C12&amp;"$"&amp;C13&amp;"$"&amp;C14&amp;"$"&amp;C15&amp;"$"&amp;C16&amp;"$"&amp;C17</f>
        <v>101101|101001$101101|101001|101102$101101|101001|101102|101103|101104$101101|101001|101102|101103|101104|101201|102001$101101|101001|101102|101103|101104|101201|102001|101202$101101|101001|101102|101103|101104|101201|102001|101202|101203|101204$101101|101001|101102|101103|101104|101201|102001|101202|101203|101204|101301|103001$101101|101001|101102|101103|101104|101201|102001|101202|101203|101204|101301|103001|101302$101101|101001|101102|101103|101104|101201|102001|101202|101203|101204|101301|103001|101302|101303|101304$101101|101001|101102|101103|101104|101201|102001|101202|101203|101204|101301|103001|101302|101303|101304|101401|104001$101101|101001|101102|101103|101104|101201|102001|101202|101203|101204|101301|103001|101302|101303|101304|101401|104001|101402$101101|101001|101102|101103|101104|101201|102001|101202|101203|101204|101301|103001|101302|101303|101304|101401|104001|101402|101403|101404$101101|101001|101102|101103|101104|101201|102001|101202|101203|101204|101301|103001|101302|101303|101304|101401|104001|101402|101403|101404|101501|105001$101101|101001|101102|101103|101104|101201|102001|101202|101203|101204|101301|103001|101302|101303|101304|101401|104001|101402|101403|101404|101501|105001|101502$101101|101001|101102|101103|101104|101201|102001|101202|101203|101204|101301|103001|101302|101303|101304|101401|104001|101402|101403|101404|101501|105001|101502|101503|101504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6"/>
  <sheetViews>
    <sheetView workbookViewId="0">
      <selection activeCell="C6" sqref="C6"/>
    </sheetView>
  </sheetViews>
  <sheetFormatPr defaultColWidth="9" defaultRowHeight="14.25" outlineLevelRow="5" outlineLevelCol="2"/>
  <cols>
    <col min="2" max="2" width="16.75" customWidth="1"/>
    <col min="3" max="3" width="64.25" customWidth="1"/>
  </cols>
  <sheetData>
    <row r="2" spans="1:3">
      <c r="A2">
        <v>1</v>
      </c>
      <c r="B2" s="1" t="s">
        <v>192</v>
      </c>
      <c r="C2" s="2" t="str">
        <f>B2</f>
        <v>21101|21201</v>
      </c>
    </row>
    <row r="3" spans="1:3">
      <c r="A3">
        <v>2</v>
      </c>
      <c r="B3" s="1" t="s">
        <v>193</v>
      </c>
      <c r="C3" t="str">
        <f>C2&amp;"$"&amp;B3</f>
        <v>21101|21201$22101</v>
      </c>
    </row>
    <row r="4" spans="1:3">
      <c r="A4">
        <v>3</v>
      </c>
      <c r="B4" s="1" t="s">
        <v>194</v>
      </c>
      <c r="C4" t="str">
        <f>C3&amp;"$"&amp;B4</f>
        <v>21101|21201$22101$23101|23201</v>
      </c>
    </row>
    <row r="5" spans="1:3">
      <c r="A5">
        <v>4</v>
      </c>
      <c r="B5" s="1"/>
      <c r="C5" t="str">
        <f>C4&amp;"$"&amp;B5</f>
        <v>21101|21201$22101$23101|23201$</v>
      </c>
    </row>
    <row r="6" spans="1:3">
      <c r="A6">
        <v>5</v>
      </c>
      <c r="B6" s="1"/>
      <c r="C6" t="str">
        <f>C5&amp;"$"&amp;B6</f>
        <v>21101|21201$22101$23101|23201$$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升级</vt:lpstr>
      <vt:lpstr>炼丹炉丹方解锁</vt:lpstr>
      <vt:lpstr>炼器房法器解锁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毛绒绒</cp:lastModifiedBy>
  <dcterms:created xsi:type="dcterms:W3CDTF">2015-06-05T18:19:00Z</dcterms:created>
  <dcterms:modified xsi:type="dcterms:W3CDTF">2026-01-26T07:57:25Z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2052-12.1.0.25186</vt:lpwstr>
  </property>
  <property fmtid="{D5CDD505-2E9C-101B-9397-08002B2CF9AE}" pid="3" name="ICV">
    <vt:lpwstr>406E232924B443E19782167FC5F9BB91_12</vt:lpwstr>
  </property>
  <property fmtid="{D5CDD505-2E9C-101B-9397-08002B2CF9AE}" pid="4" name="CalculationRule">
    <vt:i4>0</vt:i4>
  </property>
</Properties>
</file>