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  <sheet name="Sheet2" sheetId="2" r:id="rId2"/>
    <sheet name="消耗" sheetId="3" r:id="rId3"/>
    <sheet name="效果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<sst xmlns="http://schemas.openxmlformats.org/spreadsheetml/2006/main" count="8685" uniqueCount="1588">
  <si>
    <t>##var</t>
  </si>
  <si>
    <t>id</t>
  </si>
  <si>
    <t>skillId</t>
  </si>
  <si>
    <t>level</t>
  </si>
  <si>
    <t>damage</t>
  </si>
  <si>
    <t>consume</t>
  </si>
  <si>
    <t>param2</t>
  </si>
  <si>
    <t>param3</t>
  </si>
  <si>
    <t>upgradeDes</t>
  </si>
  <si>
    <t>desReplace</t>
  </si>
  <si>
    <t>##type</t>
  </si>
  <si>
    <t>string</t>
  </si>
  <si>
    <t>##</t>
  </si>
  <si>
    <t>1</t>
  </si>
  <si>
    <t>-38|-38|-38|-38|-38|-38|-38|-38</t>
  </si>
  <si>
    <t>10001|150$121001|92$121004|8</t>
  </si>
  <si>
    <t>造成八段伤害，每段伤害为[0]%</t>
  </si>
  <si>
    <t>2</t>
  </si>
  <si>
    <t>-37|-37|-37|-37|-37|-37|-37|-37</t>
  </si>
  <si>
    <t>10001|600$121001|368$121004|21</t>
  </si>
  <si>
    <t>3</t>
  </si>
  <si>
    <t>-35|-35|-35|-35|-35|-35|-35|-35</t>
  </si>
  <si>
    <t>10001|1350$121001|828$121004|39</t>
  </si>
  <si>
    <t>4</t>
  </si>
  <si>
    <t>-34|-34|-34|-34|-34|-34|-34|-34</t>
  </si>
  <si>
    <t>10001|2400$121001|1472$121004|60</t>
  </si>
  <si>
    <t>5</t>
  </si>
  <si>
    <t>-32|-32|-32|-32|-32|-32|-32|-32</t>
  </si>
  <si>
    <t>10001|3750$121001|2300$121004|84</t>
  </si>
  <si>
    <t>6</t>
  </si>
  <si>
    <t>-31|-31|-31|-31|-31|-31|-31|-31</t>
  </si>
  <si>
    <t>10001|5400$121001|3312$121004|110</t>
  </si>
  <si>
    <t>7</t>
  </si>
  <si>
    <t>-30|-30|-30|-30|-30|-30|-30|-30</t>
  </si>
  <si>
    <t>10001|7350$121001|4508$121004|139</t>
  </si>
  <si>
    <t>8</t>
  </si>
  <si>
    <t>-28|-28|-28|-28|-28|-28|-28|-28</t>
  </si>
  <si>
    <t>10001|9600$121001|5888$121004|170</t>
  </si>
  <si>
    <t>9</t>
  </si>
  <si>
    <t>-27|-27|-27|-27|-27|-27|-27|-27</t>
  </si>
  <si>
    <t>10001|12150$121001|7452$121004|203</t>
  </si>
  <si>
    <t>10</t>
  </si>
  <si>
    <t>-26|-26|-26|-26|-26|-26|-26|-26</t>
  </si>
  <si>
    <t>10001|15000$122001|9200$122004|237</t>
  </si>
  <si>
    <t>11</t>
  </si>
  <si>
    <t>-24|-24|-24|-24|-24|-24|-24|-24</t>
  </si>
  <si>
    <t>10001|18150$122001|11132$122004|274</t>
  </si>
  <si>
    <t>12</t>
  </si>
  <si>
    <t>-23|-23|-23|-23|-23|-23|-23|-23</t>
  </si>
  <si>
    <t>10001|21600$122001|13248$122004|312</t>
  </si>
  <si>
    <t>13</t>
  </si>
  <si>
    <t>-21|-21|-21|-21|-21|-21|-21|-21</t>
  </si>
  <si>
    <t>10001|25350$122001|15548$122004|352</t>
  </si>
  <si>
    <t>14</t>
  </si>
  <si>
    <t>-20|-20|-20|-20|-20|-20|-20|-20</t>
  </si>
  <si>
    <t>10001|29400$122001|18032$122004|393</t>
  </si>
  <si>
    <t>15</t>
  </si>
  <si>
    <t>-19|-19|-19|-19|-19|-19|-19|-19</t>
  </si>
  <si>
    <t>10001|33750$122001|20700$122004|436</t>
  </si>
  <si>
    <t>16</t>
  </si>
  <si>
    <t>-17|-17|-17|-17|-17|-17|-17|-17</t>
  </si>
  <si>
    <t>10001|38400$122001|23552$122004|480</t>
  </si>
  <si>
    <t>17</t>
  </si>
  <si>
    <t>-16|-16|-16|-16|-16|-16|-16|-16</t>
  </si>
  <si>
    <t>10001|43350$122001|26588$122004|526</t>
  </si>
  <si>
    <t>18</t>
  </si>
  <si>
    <t>-15|-15|-15|-15|-15|-15|-15|-15</t>
  </si>
  <si>
    <t>10001|48600$122001|29808$122004|573</t>
  </si>
  <si>
    <t>19</t>
  </si>
  <si>
    <t>-13|-13|-13|-13|-13|-13|-13|-13</t>
  </si>
  <si>
    <t>10001|54150$122001|33212$122004|621</t>
  </si>
  <si>
    <t>20</t>
  </si>
  <si>
    <t>-12|-12|-12|-12|-12|-12|-12|-12</t>
  </si>
  <si>
    <t>10001|60000$123001|36800$123004|671</t>
  </si>
  <si>
    <t>21</t>
  </si>
  <si>
    <t>-10|-10|-10|-10|-10|-10|-10|-10</t>
  </si>
  <si>
    <t>10001|66150$123001|40572$123004|722</t>
  </si>
  <si>
    <t>22</t>
  </si>
  <si>
    <t>-9|-9|-9|-9|-9|-9|-9|-9</t>
  </si>
  <si>
    <t>10001|72600$123001|44528$123004|774</t>
  </si>
  <si>
    <t>23</t>
  </si>
  <si>
    <t>-8|-8|-8|-8|-8|-8|-8|-8</t>
  </si>
  <si>
    <t>10001|79350$123001|48668$123004|827</t>
  </si>
  <si>
    <t>24</t>
  </si>
  <si>
    <t>-6|-6|-6|-6|-6|-6|-6|-6</t>
  </si>
  <si>
    <t>10001|86400$123001|52992$123004|882</t>
  </si>
  <si>
    <t>25</t>
  </si>
  <si>
    <t>-5|-5|-5|-5|-5|-5|-5|-5</t>
  </si>
  <si>
    <t>10001|93750$123001|57500$123004|938</t>
  </si>
  <si>
    <t>26</t>
  </si>
  <si>
    <t>-4|-4|-4|-4|-4|-4|-4|-4</t>
  </si>
  <si>
    <t>10001|101400$123001|62192$123004|994</t>
  </si>
  <si>
    <t>27</t>
  </si>
  <si>
    <t>-2|-2|-2|-2|-2|-2|-2|-2</t>
  </si>
  <si>
    <t>10001|109350$123001|67068$123004|1052</t>
  </si>
  <si>
    <t>28</t>
  </si>
  <si>
    <t>-1|-1|-1|-1|-1|-1|-1|-1</t>
  </si>
  <si>
    <t>10001|117600$123001|72128$123004|1111</t>
  </si>
  <si>
    <t>29</t>
  </si>
  <si>
    <t>1|1|1|1|1|1|1|1</t>
  </si>
  <si>
    <t>10001|126150$123001|77372$123004|1171</t>
  </si>
  <si>
    <t>30</t>
  </si>
  <si>
    <t>2|2|2|2|2|2|2|2</t>
  </si>
  <si>
    <t>10001|135000$124001|82800$124004|1232</t>
  </si>
  <si>
    <t>31</t>
  </si>
  <si>
    <t>3|3|3|3|3|3|3|3</t>
  </si>
  <si>
    <t>10001|144150$124001|88412$124004|1295</t>
  </si>
  <si>
    <t>32</t>
  </si>
  <si>
    <t>5|5|5|5|5|5|5|5</t>
  </si>
  <si>
    <t>10001|153600$124001|94208$124004|1358</t>
  </si>
  <si>
    <t>33</t>
  </si>
  <si>
    <t>6|6|6|6|6|6|6|6</t>
  </si>
  <si>
    <t>10001|163350$124001|100188$124004|1422</t>
  </si>
  <si>
    <t>34</t>
  </si>
  <si>
    <t>8|8|8|8|8|8|8|8</t>
  </si>
  <si>
    <t>10001|173400$124001|106352$124004|1487</t>
  </si>
  <si>
    <t>35</t>
  </si>
  <si>
    <t>9|9|9|9|9|9|9|9</t>
  </si>
  <si>
    <t>10001|183750$124001|112700$124004|1553</t>
  </si>
  <si>
    <t>36</t>
  </si>
  <si>
    <t>10|10|10|10|10|10|10|10</t>
  </si>
  <si>
    <t>10001|194400$124001|119232$124004|1620</t>
  </si>
  <si>
    <t>37</t>
  </si>
  <si>
    <t>12|12|12|12|12|12|12|12</t>
  </si>
  <si>
    <t>10001|205350$124001|125948$124004|1688</t>
  </si>
  <si>
    <t>38</t>
  </si>
  <si>
    <t>13|13|13|13|13|13|13|13</t>
  </si>
  <si>
    <t>10001|216600$124001|132848$124004|1757</t>
  </si>
  <si>
    <t>39</t>
  </si>
  <si>
    <t>14|14|14|14|14|14|14|14</t>
  </si>
  <si>
    <t>10001|228150$124001|139932$124004|1827</t>
  </si>
  <si>
    <t>40</t>
  </si>
  <si>
    <t>16|16|16|16|16|16|16|16</t>
  </si>
  <si>
    <t>10001|240000$125001|147200$125004|1897</t>
  </si>
  <si>
    <t>41</t>
  </si>
  <si>
    <t>17|17|17|17|17|17|17|17</t>
  </si>
  <si>
    <t>10001|252150$125001|154652$125004|1969</t>
  </si>
  <si>
    <t>42</t>
  </si>
  <si>
    <t>19|19|19|19|19|19|19|19</t>
  </si>
  <si>
    <t>10001|264600$125001|162288$125004|2041</t>
  </si>
  <si>
    <t>43</t>
  </si>
  <si>
    <t>20|20|20|20|20|20|20|20</t>
  </si>
  <si>
    <t>10001|277350$125001|170108$125004|2115</t>
  </si>
  <si>
    <t>44</t>
  </si>
  <si>
    <t>21|21|21|21|21|21|21|21</t>
  </si>
  <si>
    <t>10001|290400$125001|178112$125004|2189</t>
  </si>
  <si>
    <t>45</t>
  </si>
  <si>
    <t>23|23|23|23|23|23|23|23</t>
  </si>
  <si>
    <t>10001|303750$125001|186300$125004|2264</t>
  </si>
  <si>
    <t>46</t>
  </si>
  <si>
    <t>24|24|24|24|24|24|24|24</t>
  </si>
  <si>
    <t>10001|317400$125001|194672$125004|2340</t>
  </si>
  <si>
    <t>47</t>
  </si>
  <si>
    <t>25|25|25|25|25|25|25|25</t>
  </si>
  <si>
    <t>10001|331350$125001|203228$125004|2417</t>
  </si>
  <si>
    <t>48</t>
  </si>
  <si>
    <t>27|27|27|27|27|27|27|27</t>
  </si>
  <si>
    <t>10001|345600$125001|211968$125004|2494</t>
  </si>
  <si>
    <t>49</t>
  </si>
  <si>
    <t>28|28|28|28|28|28|28|28</t>
  </si>
  <si>
    <t>10001|360150$125001|220892$125004|2573</t>
  </si>
  <si>
    <t>50</t>
  </si>
  <si>
    <t>30|30|30|30|30|30|30|30</t>
  </si>
  <si>
    <t>10001|375000$125001|230000$125004|2652</t>
  </si>
  <si>
    <t>211010</t>
  </si>
  <si>
    <t>0</t>
  </si>
  <si>
    <t>10001|19$121001|12</t>
  </si>
  <si>
    <t>10001|53$121001|33</t>
  </si>
  <si>
    <t>10001|97$121001|60</t>
  </si>
  <si>
    <t>10001|150$121001|92</t>
  </si>
  <si>
    <t>10001|210$121001|129</t>
  </si>
  <si>
    <t>10001|276$121001|169</t>
  </si>
  <si>
    <t>10001|347$121001|213</t>
  </si>
  <si>
    <t>10001|424$121001|260</t>
  </si>
  <si>
    <t>10001|506$121001|311</t>
  </si>
  <si>
    <t>10001|593$121001|364</t>
  </si>
  <si>
    <t>10001|684$122001|420</t>
  </si>
  <si>
    <t>55</t>
  </si>
  <si>
    <t>10001|779$122001|478</t>
  </si>
  <si>
    <t>60</t>
  </si>
  <si>
    <t>10001|879$122001|539</t>
  </si>
  <si>
    <t>65</t>
  </si>
  <si>
    <t>10001|982$122001|602</t>
  </si>
  <si>
    <t>70</t>
  </si>
  <si>
    <t>10001|1089$122001|668</t>
  </si>
  <si>
    <t>75</t>
  </si>
  <si>
    <t>10001|1200$122001|736</t>
  </si>
  <si>
    <t>80</t>
  </si>
  <si>
    <t>10001|1314$122001|806</t>
  </si>
  <si>
    <t>85</t>
  </si>
  <si>
    <t>10001|1432$122001|878</t>
  </si>
  <si>
    <t>90</t>
  </si>
  <si>
    <t>10001|1553$122001|952</t>
  </si>
  <si>
    <t>95</t>
  </si>
  <si>
    <t>10001|1677$122001|1029</t>
  </si>
  <si>
    <t>100</t>
  </si>
  <si>
    <t>10001|1804$123001|1107</t>
  </si>
  <si>
    <t>105</t>
  </si>
  <si>
    <t>10001|1935$123001|1187</t>
  </si>
  <si>
    <t>110</t>
  </si>
  <si>
    <t>10001|2068$123001|1268</t>
  </si>
  <si>
    <t>115</t>
  </si>
  <si>
    <t>10001|2205$123001|1352</t>
  </si>
  <si>
    <t>120</t>
  </si>
  <si>
    <t>10001|2344$123001|1438</t>
  </si>
  <si>
    <t>125</t>
  </si>
  <si>
    <t>10001|2486$123001|1525</t>
  </si>
  <si>
    <t>130</t>
  </si>
  <si>
    <t>10001|2631$123001|1613</t>
  </si>
  <si>
    <t>135</t>
  </si>
  <si>
    <t>10001|2778$123001|1704</t>
  </si>
  <si>
    <t>140</t>
  </si>
  <si>
    <t>10001|2928$123001|1796</t>
  </si>
  <si>
    <t>145</t>
  </si>
  <si>
    <t>10001|3081$123001|1890</t>
  </si>
  <si>
    <t>150</t>
  </si>
  <si>
    <t>10001|3236$123001|1985</t>
  </si>
  <si>
    <t>155</t>
  </si>
  <si>
    <t>10001|3394$123001|2082</t>
  </si>
  <si>
    <t>160</t>
  </si>
  <si>
    <t>10001|3554$124001|2180</t>
  </si>
  <si>
    <t>165</t>
  </si>
  <si>
    <t>10001|3717$124001|2280</t>
  </si>
  <si>
    <t>170</t>
  </si>
  <si>
    <t>10001|3882$124001|2381</t>
  </si>
  <si>
    <t>175</t>
  </si>
  <si>
    <t>10001|4050$124001|2484</t>
  </si>
  <si>
    <t>180</t>
  </si>
  <si>
    <t>10001|4220$124001|2588</t>
  </si>
  <si>
    <t>185</t>
  </si>
  <si>
    <t>10001|4392$124001|2694</t>
  </si>
  <si>
    <t>190</t>
  </si>
  <si>
    <t>10001|4567$124001|2801</t>
  </si>
  <si>
    <t>195</t>
  </si>
  <si>
    <t>10001|4743$124001|2909</t>
  </si>
  <si>
    <t>200</t>
  </si>
  <si>
    <t>10001|4922$125001|3019</t>
  </si>
  <si>
    <t>205</t>
  </si>
  <si>
    <t>10001|5104$125001|3130</t>
  </si>
  <si>
    <t>210</t>
  </si>
  <si>
    <t>10001|5287$125001|3243</t>
  </si>
  <si>
    <t>215</t>
  </si>
  <si>
    <t>10001|5472$125001|3356</t>
  </si>
  <si>
    <t>220</t>
  </si>
  <si>
    <t>10001|5660$125001|3471</t>
  </si>
  <si>
    <t>225</t>
  </si>
  <si>
    <t>10001|5850$125001|3588</t>
  </si>
  <si>
    <t>230</t>
  </si>
  <si>
    <t>10001|6042$125001|3705</t>
  </si>
  <si>
    <t>235</t>
  </si>
  <si>
    <t>10001|6235$125001|3824</t>
  </si>
  <si>
    <t>240</t>
  </si>
  <si>
    <t>10001|6431$125001|3945</t>
  </si>
  <si>
    <t>245</t>
  </si>
  <si>
    <t>10001|6629$125001|4066</t>
  </si>
  <si>
    <t>213001</t>
  </si>
  <si>
    <t>10001|150$121001|92$121006|8</t>
  </si>
  <si>
    <t>造成一段[0]伤害，并对敌方造成【失神】状态</t>
  </si>
  <si>
    <t>10001|600$121001|368$121006|21</t>
  </si>
  <si>
    <t>10001|1350$121001|828$121006|39</t>
  </si>
  <si>
    <t>10001|2400$121001|1472$121006|60</t>
  </si>
  <si>
    <t>10001|3750$121001|2300$121006|84</t>
  </si>
  <si>
    <t>10001|5400$121001|3312$121006|110</t>
  </si>
  <si>
    <t>10001|7350$121001|4508$121006|139</t>
  </si>
  <si>
    <t>10001|9600$121001|5888$121006|170</t>
  </si>
  <si>
    <t>10001|12150$121001|7452$121006|203</t>
  </si>
  <si>
    <t>10001|15000$122001|9200$122006|237</t>
  </si>
  <si>
    <t>10001|18150$122001|11132$122006|274</t>
  </si>
  <si>
    <t>10001|21600$122001|13248$122006|312</t>
  </si>
  <si>
    <t>10001|25350$122001|15548$122006|352</t>
  </si>
  <si>
    <t>10001|29400$122001|18032$122006|393</t>
  </si>
  <si>
    <t>10001|33750$122001|20700$122006|436</t>
  </si>
  <si>
    <t>10001|38400$122001|23552$122006|480</t>
  </si>
  <si>
    <t>10001|43350$122001|26588$122006|526</t>
  </si>
  <si>
    <t>10001|48600$122001|29808$122006|573</t>
  </si>
  <si>
    <t>10001|54150$122001|33212$122006|621</t>
  </si>
  <si>
    <t>10001|60000$123001|36800$123006|671</t>
  </si>
  <si>
    <t>10001|66150$123001|40572$123006|722</t>
  </si>
  <si>
    <t>10001|72600$123001|44528$123006|774</t>
  </si>
  <si>
    <t>10001|79350$123001|48668$123006|827</t>
  </si>
  <si>
    <t>10001|86400$123001|52992$123006|882</t>
  </si>
  <si>
    <t>10001|93750$123001|57500$123006|938</t>
  </si>
  <si>
    <t>10001|101400$123001|62192$123006|994</t>
  </si>
  <si>
    <t>10001|109350$123001|67068$123006|1052</t>
  </si>
  <si>
    <t>10001|117600$123001|72128$123006|1111</t>
  </si>
  <si>
    <t>10001|126150$123001|77372$123006|1171</t>
  </si>
  <si>
    <t>10001|135000$124001|82800$124006|1232</t>
  </si>
  <si>
    <t>10001|144150$124001|88412$124006|1295</t>
  </si>
  <si>
    <t>10001|153600$124001|94208$124006|1358</t>
  </si>
  <si>
    <t>10001|163350$124001|100188$124006|1422</t>
  </si>
  <si>
    <t>10001|173400$124001|106352$124006|1487</t>
  </si>
  <si>
    <t>10001|183750$124001|112700$124006|1553</t>
  </si>
  <si>
    <t>10001|194400$124001|119232$124006|1620</t>
  </si>
  <si>
    <t>10001|205350$124001|125948$124006|1688</t>
  </si>
  <si>
    <t>10001|216600$124001|132848$124006|1757</t>
  </si>
  <si>
    <t>10001|228150$124001|139932$124006|1827</t>
  </si>
  <si>
    <t>10001|240000$125001|147200$125006|1897</t>
  </si>
  <si>
    <t>10001|252150$125001|154652$125006|1969</t>
  </si>
  <si>
    <t>10001|264600$125001|162288$125006|2041</t>
  </si>
  <si>
    <t>10001|277350$125001|170108$125006|2115</t>
  </si>
  <si>
    <t>10001|290400$125001|178112$125006|2189</t>
  </si>
  <si>
    <t>10001|303750$125001|186300$125006|2264</t>
  </si>
  <si>
    <t>10001|317400$125001|194672$125006|2340</t>
  </si>
  <si>
    <t>10001|331350$125001|203228$125006|2417</t>
  </si>
  <si>
    <t>10001|345600$125001|211968$125006|2494</t>
  </si>
  <si>
    <t>10001|360150$125001|220892$125006|2573</t>
  </si>
  <si>
    <t>10001|375000$125001|230000$125006|2652</t>
  </si>
  <si>
    <t>660001</t>
  </si>
  <si>
    <t>1000|2</t>
  </si>
  <si>
    <t>护盾量[0]生命+[1]%生命上限</t>
  </si>
  <si>
    <t>1100|2.5</t>
  </si>
  <si>
    <t>1200|3</t>
  </si>
  <si>
    <t>1300|3.5</t>
  </si>
  <si>
    <t>1400|4</t>
  </si>
  <si>
    <t>1500|4.5</t>
  </si>
  <si>
    <t>1600|5</t>
  </si>
  <si>
    <t>1700|5.5</t>
  </si>
  <si>
    <t>1800|6</t>
  </si>
  <si>
    <t>1900|6.5</t>
  </si>
  <si>
    <t>2000|7</t>
  </si>
  <si>
    <t>2100|7.5</t>
  </si>
  <si>
    <t>2200|8</t>
  </si>
  <si>
    <t>2300|8.5</t>
  </si>
  <si>
    <t>2400|9</t>
  </si>
  <si>
    <t>2500|9.5</t>
  </si>
  <si>
    <t>2600|10</t>
  </si>
  <si>
    <t>2700|10.5</t>
  </si>
  <si>
    <t>2800|11</t>
  </si>
  <si>
    <t>2900|11.5</t>
  </si>
  <si>
    <t>3000|12</t>
  </si>
  <si>
    <t>3100|12.5</t>
  </si>
  <si>
    <t>3200|13</t>
  </si>
  <si>
    <t>3300|13.5</t>
  </si>
  <si>
    <t>3400|14</t>
  </si>
  <si>
    <t>3500|14.5</t>
  </si>
  <si>
    <t>3600|15</t>
  </si>
  <si>
    <t>3700|15.5</t>
  </si>
  <si>
    <t>3800|16</t>
  </si>
  <si>
    <t>3900|16.5</t>
  </si>
  <si>
    <t>4000|17</t>
  </si>
  <si>
    <t>4100|17.5</t>
  </si>
  <si>
    <t>4200|18</t>
  </si>
  <si>
    <t>4300|18.5</t>
  </si>
  <si>
    <t>4400|19</t>
  </si>
  <si>
    <t>4500|19.5</t>
  </si>
  <si>
    <t>4600|20</t>
  </si>
  <si>
    <t>4700|20.5</t>
  </si>
  <si>
    <t>4800|21</t>
  </si>
  <si>
    <t>4900|21.5</t>
  </si>
  <si>
    <t>5000|22</t>
  </si>
  <si>
    <t>5100|22.5</t>
  </si>
  <si>
    <t>5200|23</t>
  </si>
  <si>
    <t>5300|23.5</t>
  </si>
  <si>
    <t>5400|24</t>
  </si>
  <si>
    <t>5500|24.5</t>
  </si>
  <si>
    <t>5600|25</t>
  </si>
  <si>
    <t>5700|25.5</t>
  </si>
  <si>
    <t>5800|26</t>
  </si>
  <si>
    <t>5900|26.5</t>
  </si>
  <si>
    <t>110001</t>
  </si>
  <si>
    <t>-60|-60|-60</t>
  </si>
  <si>
    <t>10001|150$121001|92$121003|8</t>
  </si>
  <si>
    <t>造成三段伤害，每段伤害为[0]%</t>
  </si>
  <si>
    <t>10202</t>
  </si>
  <si>
    <t>-56.3333333333333|-56.3333333333333|-56.3333333333333</t>
  </si>
  <si>
    <t>10001|600$121001|368$121003|21</t>
  </si>
  <si>
    <t>-52.6666666666667|-52.6666666666667|-52.6666666666667</t>
  </si>
  <si>
    <t>10001|1350$121001|828$121003|39</t>
  </si>
  <si>
    <t>-49|-49|-49</t>
  </si>
  <si>
    <t>10001|2400$121001|1472$121003|60</t>
  </si>
  <si>
    <t>-45.3333333333333|-45.3333333333333|-45.3333333333333</t>
  </si>
  <si>
    <t>10001|3750$121001|2300$121003|84</t>
  </si>
  <si>
    <t>-41.6666666666667|-41.6666666666667|-41.6666666666667</t>
  </si>
  <si>
    <t>10001|5400$121001|3312$121003|110</t>
  </si>
  <si>
    <t>-38|-38|-38</t>
  </si>
  <si>
    <t>10001|7350$121001|4508$121003|139</t>
  </si>
  <si>
    <t>-34.3333333333333|-34.3333333333333|-34.3333333333333</t>
  </si>
  <si>
    <t>10001|9600$121001|5888$121003|170</t>
  </si>
  <si>
    <t>-30.6666666666667|-30.6666666666667|-30.6666666666667</t>
  </si>
  <si>
    <t>10001|12150$121001|7452$121003|203</t>
  </si>
  <si>
    <t>-27|-27|-27</t>
  </si>
  <si>
    <t>10001|15000$122001|9200$122003|237</t>
  </si>
  <si>
    <t>-23.3333333333333|-23.3333333333333|-23.3333333333333</t>
  </si>
  <si>
    <t>10001|18150$122001|11132$122003|274</t>
  </si>
  <si>
    <t>-19.6666666666667|-19.6666666666667|-19.6666666666667</t>
  </si>
  <si>
    <t>10001|21600$122001|13248$122003|312</t>
  </si>
  <si>
    <t>-16|-16|-16</t>
  </si>
  <si>
    <t>10001|25350$122001|15548$122003|352</t>
  </si>
  <si>
    <t>-12.3333333333333|-12.3333333333333|-12.3333333333333</t>
  </si>
  <si>
    <t>10001|29400$122001|18032$122003|393</t>
  </si>
  <si>
    <t>-8.66666666666666|-8.66666666666666|-8.66666666666666</t>
  </si>
  <si>
    <t>10001|33750$122001|20700$122003|436</t>
  </si>
  <si>
    <t>-4.99999999999999|-4.99999999999999|-4.99999999999999</t>
  </si>
  <si>
    <t>10001|38400$122001|23552$122003|480</t>
  </si>
  <si>
    <t>-1.33333333333333|-1.33333333333333|-1.33333333333333</t>
  </si>
  <si>
    <t>10001|43350$122001|26588$122003|526</t>
  </si>
  <si>
    <t>2.33333333333332|2.33333333333332|2.33333333333332</t>
  </si>
  <si>
    <t>10001|48600$122001|29808$122003|573</t>
  </si>
  <si>
    <t>6.00000000000001|6.00000000000001|6.00000000000001</t>
  </si>
  <si>
    <t>10001|54150$122001|33212$122003|621</t>
  </si>
  <si>
    <t>9.66666666666667|9.66666666666667|9.66666666666667</t>
  </si>
  <si>
    <t>10001|60000$123001|36800$123003|671</t>
  </si>
  <si>
    <t>13.3333333333333|13.3333333333333|13.3333333333333</t>
  </si>
  <si>
    <t>10001|66150$123001|40572$123003|722</t>
  </si>
  <si>
    <t>17|17|17</t>
  </si>
  <si>
    <t>10001|72600$123001|44528$123003|774</t>
  </si>
  <si>
    <t>20.6666666666667|20.6666666666667|20.6666666666667</t>
  </si>
  <si>
    <t>10001|79350$123001|48668$123003|827</t>
  </si>
  <si>
    <t>24.3333333333333|24.3333333333333|24.3333333333333</t>
  </si>
  <si>
    <t>10001|86400$123001|52992$123003|882</t>
  </si>
  <si>
    <t>28|28|28</t>
  </si>
  <si>
    <t>10001|93750$123001|57500$123003|938</t>
  </si>
  <si>
    <t>31.6666666666667|31.6666666666667|31.6666666666667</t>
  </si>
  <si>
    <t>10001|101400$123001|62192$123003|994</t>
  </si>
  <si>
    <t>35.3333333333333|35.3333333333333|35.3333333333333</t>
  </si>
  <si>
    <t>10001|109350$123001|67068$123003|1052</t>
  </si>
  <si>
    <t>39|39|39</t>
  </si>
  <si>
    <t>10001|117600$123001|72128$123003|1111</t>
  </si>
  <si>
    <t>42.6666666666667|42.6666666666667|42.6666666666667</t>
  </si>
  <si>
    <t>10001|126150$123001|77372$123003|1171</t>
  </si>
  <si>
    <t>46.3333333333333|46.3333333333333|46.3333333333333</t>
  </si>
  <si>
    <t>10001|135000$124001|82800$124003|1232</t>
  </si>
  <si>
    <t>50|50|50</t>
  </si>
  <si>
    <t>10001|144150$124001|88412$124003|1295</t>
  </si>
  <si>
    <t>53.6666666666667|53.6666666666667|53.6666666666667</t>
  </si>
  <si>
    <t>10001|153600$124001|94208$124003|1358</t>
  </si>
  <si>
    <t>57.3333333333333|57.3333333333333|57.3333333333333</t>
  </si>
  <si>
    <t>10001|163350$124001|100188$124003|1422</t>
  </si>
  <si>
    <t>61|61|61</t>
  </si>
  <si>
    <t>10001|173400$124001|106352$124003|1487</t>
  </si>
  <si>
    <t>64.6666666666667|64.6666666666667|64.6666666666667</t>
  </si>
  <si>
    <t>10001|183750$124001|112700$124003|1553</t>
  </si>
  <si>
    <t>68.3333333333333|68.3333333333333|68.3333333333333</t>
  </si>
  <si>
    <t>10001|194400$124001|119232$124003|1620</t>
  </si>
  <si>
    <t>72|72|72</t>
  </si>
  <si>
    <t>10001|205350$124001|125948$124003|1688</t>
  </si>
  <si>
    <t>75.6666666666667|75.6666666666667|75.6666666666667</t>
  </si>
  <si>
    <t>10001|216600$124001|132848$124003|1757</t>
  </si>
  <si>
    <t>79.3333333333333|79.3333333333333|79.3333333333333</t>
  </si>
  <si>
    <t>10001|228150$124001|139932$124003|1827</t>
  </si>
  <si>
    <t>83|83|83</t>
  </si>
  <si>
    <t>10001|240000$125001|147200$125003|1897</t>
  </si>
  <si>
    <t>86.6666666666666|86.6666666666666|86.6666666666666</t>
  </si>
  <si>
    <t>10001|252150$125001|154652$125003|1969</t>
  </si>
  <si>
    <t>90.3333333333333|90.3333333333333|90.3333333333333</t>
  </si>
  <si>
    <t>10001|264600$125001|162288$125003|2041</t>
  </si>
  <si>
    <t>94|94|94</t>
  </si>
  <si>
    <t>10001|277350$125001|170108$125003|2115</t>
  </si>
  <si>
    <t>97.6666666666667|97.6666666666667|97.6666666666667</t>
  </si>
  <si>
    <t>10001|290400$125001|178112$125003|2189</t>
  </si>
  <si>
    <t>101.333333333333|101.333333333333|101.333333333333</t>
  </si>
  <si>
    <t>10001|303750$125001|186300$125003|2264</t>
  </si>
  <si>
    <t>105|105|105</t>
  </si>
  <si>
    <t>10001|317400$125001|194672$125003|2340</t>
  </si>
  <si>
    <t>108.666666666667|108.666666666667|108.666666666667</t>
  </si>
  <si>
    <t>10001|331350$125001|203228$125003|2417</t>
  </si>
  <si>
    <t>112.333333333333|112.333333333333|112.333333333333</t>
  </si>
  <si>
    <t>10001|345600$125001|211968$125003|2494</t>
  </si>
  <si>
    <t>116|116|116</t>
  </si>
  <si>
    <t>10001|360150$125001|220892$125003|2573</t>
  </si>
  <si>
    <t>119.666666666667|119.666666666667|119.666666666667</t>
  </si>
  <si>
    <t>10001|375000$125001|230000$125003|2652</t>
  </si>
  <si>
    <t>211011</t>
  </si>
  <si>
    <t>-80|-80|-80|-80|-80</t>
  </si>
  <si>
    <t>造成五段伤害，每段伤害为[0]%</t>
  </si>
  <si>
    <t>-77.6|-77.6|-77.6|-77.6|-77.6</t>
  </si>
  <si>
    <t>-75.2|-75.2|-75.2|-75.2|-75.2</t>
  </si>
  <si>
    <t>-72.8|-72.8|-72.8|-72.8|-72.8</t>
  </si>
  <si>
    <t>-70.4|-70.4|-70.4|-70.4|-70.4</t>
  </si>
  <si>
    <t>-68|-68|-68|-68|-68</t>
  </si>
  <si>
    <t>-65.6|-65.6|-65.6|-65.6|-65.6</t>
  </si>
  <si>
    <t>-63.2|-63.2|-63.2|-63.2|-63.2</t>
  </si>
  <si>
    <t>-60.8|-60.8|-60.8|-60.8|-60.8</t>
  </si>
  <si>
    <t>-58.4|-58.4|-58.4|-58.4|-58.4</t>
  </si>
  <si>
    <t>-56|-56|-56|-56|-56</t>
  </si>
  <si>
    <t>-53.6|-53.6|-53.6|-53.6|-53.6</t>
  </si>
  <si>
    <t>-51.2|-51.2|-51.2|-51.2|-51.2</t>
  </si>
  <si>
    <t>-48.8|-48.8|-48.8|-48.8|-48.8</t>
  </si>
  <si>
    <t>-46.4|-46.4|-46.4|-46.4|-46.4</t>
  </si>
  <si>
    <t>-44|-44|-44|-44|-44</t>
  </si>
  <si>
    <t>-41.6|-41.6|-41.6|-41.6|-41.6</t>
  </si>
  <si>
    <t>-39.2|-39.2|-39.2|-39.2|-39.2</t>
  </si>
  <si>
    <t>-36.8|-36.8|-36.8|-36.8|-36.8</t>
  </si>
  <si>
    <t>-34.4|-34.4|-34.4|-34.4|-34.4</t>
  </si>
  <si>
    <t>-32|-32|-32|-32|-32</t>
  </si>
  <si>
    <t>-29.6|-29.6|-29.6|-29.6|-29.6</t>
  </si>
  <si>
    <t>-27.2|-27.2|-27.2|-27.2|-27.2</t>
  </si>
  <si>
    <t>-24.8|-24.8|-24.8|-24.8|-24.8</t>
  </si>
  <si>
    <t>-22.4|-22.4|-22.4|-22.4|-22.4</t>
  </si>
  <si>
    <t>-20|-20|-20|-20|-20</t>
  </si>
  <si>
    <t>-17.6|-17.6|-17.6|-17.6|-17.6</t>
  </si>
  <si>
    <t>-15.2|-15.2|-15.2|-15.2|-15.2</t>
  </si>
  <si>
    <t>-12.8|-12.8|-12.8|-12.8|-12.8</t>
  </si>
  <si>
    <t>-10.4|-10.4|-10.4|-10.4|-10.4</t>
  </si>
  <si>
    <t>-8.00000000000001|-8.00000000000001|-8.00000000000001|-8.00000000000001|-8.00000000000001</t>
  </si>
  <si>
    <t>-5.6|-5.6|-5.6|-5.6|-5.6</t>
  </si>
  <si>
    <t>-3.2|-3.2|-3.2|-3.2|-3.2</t>
  </si>
  <si>
    <t>-0.800000000000001|-0.800000000000001|-0.800000000000001|-0.800000000000001|-0.800000000000001</t>
  </si>
  <si>
    <t>1.6|1.6|1.6|1.6|1.6</t>
  </si>
  <si>
    <t>4|4|4|4|4</t>
  </si>
  <si>
    <t>6.40000000000001|6.40000000000001|6.40000000000001|6.40000000000001|6.40000000000001</t>
  </si>
  <si>
    <t>8.80000000000001|8.80000000000001|8.80000000000001|8.80000000000001|8.80000000000001</t>
  </si>
  <si>
    <t>11.2|11.2|11.2|11.2|11.2</t>
  </si>
  <si>
    <t>13.6|13.6|13.6|13.6|13.6</t>
  </si>
  <si>
    <t>16|16|16|16|16</t>
  </si>
  <si>
    <t>18.4|18.4|18.4|18.4|18.4</t>
  </si>
  <si>
    <t>20.8|20.8|20.8|20.8|20.8</t>
  </si>
  <si>
    <t>23.2|23.2|23.2|23.2|23.2</t>
  </si>
  <si>
    <t>25.6|25.6|25.6|25.6|25.6</t>
  </si>
  <si>
    <t>28|28|28|28|28</t>
  </si>
  <si>
    <t>30.4|30.4|30.4|30.4|30.4</t>
  </si>
  <si>
    <t>32.8000000000002|32.8000000000002|32.8000000000002|32.8000000000002|32.8000000000002</t>
  </si>
  <si>
    <t>35.2000000000002|35.2000000000002|35.2000000000002|35.2000000000002|35.2000000000002</t>
  </si>
  <si>
    <t>37.6000000000002|37.6000000000002|37.6000000000002|37.6000000000002|37.6000000000002</t>
  </si>
  <si>
    <t>212010</t>
  </si>
  <si>
    <t>212011</t>
  </si>
  <si>
    <t>-83.3333333333333|-83.3333333333333|-83.3333333333333|-83.3333333333333|-83.3333333333333|-83.3333333333333</t>
  </si>
  <si>
    <t>10001|150$121001|92$121007|8</t>
  </si>
  <si>
    <t>造成六段伤害，每段伤害为[0]%</t>
  </si>
  <si>
    <t>-81.1666666666667|-81.1666666666667|-81.1666666666667|-81.1666666666667|-81.1666666666667|-81.1666666666667</t>
  </si>
  <si>
    <t>10001|600$121001|368$121007|21</t>
  </si>
  <si>
    <t>-79|-79|-79|-79|-79|-79</t>
  </si>
  <si>
    <t>10001|1350$121001|828$121007|39</t>
  </si>
  <si>
    <t>-76.8333333333333|-76.8333333333333|-76.8333333333333|-76.8333333333333|-76.8333333333333|-76.8333333333333</t>
  </si>
  <si>
    <t>10001|2400$121001|1472$121007|60</t>
  </si>
  <si>
    <t>-74.6666666666667|-74.6666666666667|-74.6666666666667|-74.6666666666667|-74.6666666666667|-74.6666666666667</t>
  </si>
  <si>
    <t>10001|3750$121001|2300$121007|84</t>
  </si>
  <si>
    <t>-72.5|-72.5|-72.5|-72.5|-72.5|-72.5</t>
  </si>
  <si>
    <t>10001|5400$121001|3312$121007|110</t>
  </si>
  <si>
    <t>-70.3333333333333|-70.3333333333333|-70.3333333333333|-70.3333333333333|-70.3333333333333|-70.3333333333333</t>
  </si>
  <si>
    <t>10001|7350$121001|4508$121007|139</t>
  </si>
  <si>
    <t>-68.1666666666667|-68.1666666666667|-68.1666666666667|-68.1666666666667|-68.1666666666667|-68.1666666666667</t>
  </si>
  <si>
    <t>10001|9600$121001|5888$121007|170</t>
  </si>
  <si>
    <t>-66|-66|-66|-66|-66|-66</t>
  </si>
  <si>
    <t>10001|12150$121001|7452$121007|203</t>
  </si>
  <si>
    <t>-63.8333333333333|-63.8333333333333|-63.8333333333333|-63.8333333333333|-63.8333333333333|-63.8333333333333</t>
  </si>
  <si>
    <t>10001|15000$122001|9200$122007|237</t>
  </si>
  <si>
    <t>-61.6666666666667|-61.6666666666667|-61.6666666666667|-61.6666666666667|-61.6666666666667|-61.6666666666667</t>
  </si>
  <si>
    <t>10001|18150$122001|11132$122007|274</t>
  </si>
  <si>
    <t>-59.5|-59.5|-59.5|-59.5|-59.5|-59.5</t>
  </si>
  <si>
    <t>10001|21600$122001|13248$122007|312</t>
  </si>
  <si>
    <t>-57.3333333333333|-57.3333333333333|-57.3333333333333|-57.3333333333333|-57.3333333333333|-57.3333333333333</t>
  </si>
  <si>
    <t>10001|25350$122001|15548$122007|352</t>
  </si>
  <si>
    <t>-55.1666666666667|-55.1666666666667|-55.1666666666667|-55.1666666666667|-55.1666666666667|-55.1666666666667</t>
  </si>
  <si>
    <t>10001|29400$122001|18032$122007|393</t>
  </si>
  <si>
    <t>-53|-53|-53|-53|-53|-53</t>
  </si>
  <si>
    <t>10001|33750$122001|20700$122007|436</t>
  </si>
  <si>
    <t>-50.8333333333333|-50.8333333333333|-50.8333333333333|-50.8333333333333|-50.8333333333333|-50.8333333333333</t>
  </si>
  <si>
    <t>10001|38400$122001|23552$122007|480</t>
  </si>
  <si>
    <t>-48.6666666666667|-48.6666666666667|-48.6666666666667|-48.6666666666667|-48.6666666666667|-48.6666666666667</t>
  </si>
  <si>
    <t>10001|43350$122001|26588$122007|526</t>
  </si>
  <si>
    <t>-46.5|-46.5|-46.5|-46.5|-46.5|-46.5</t>
  </si>
  <si>
    <t>10001|48600$122001|29808$122007|573</t>
  </si>
  <si>
    <t>-44.3333333333333|-44.3333333333333|-44.3333333333333|-44.3333333333333|-44.3333333333333|-44.3333333333333</t>
  </si>
  <si>
    <t>10001|54150$122001|33212$122007|621</t>
  </si>
  <si>
    <t>-42.1666666666667|-42.1666666666667|-42.1666666666667|-42.1666666666667|-42.1666666666667|-42.1666666666667</t>
  </si>
  <si>
    <t>10001|60000$123001|36800$123007|671</t>
  </si>
  <si>
    <t>-40|-40|-40|-40|-40|-40</t>
  </si>
  <si>
    <t>10001|66150$123001|40572$123007|722</t>
  </si>
  <si>
    <t>-37.8333333333333|-37.8333333333333|-37.8333333333333|-37.8333333333333|-37.8333333333333|-37.8333333333333</t>
  </si>
  <si>
    <t>10001|72600$123001|44528$123007|774</t>
  </si>
  <si>
    <t>-35.6666666666667|-35.6666666666667|-35.6666666666667|-35.6666666666667|-35.6666666666667|-35.6666666666667</t>
  </si>
  <si>
    <t>10001|79350$123001|48668$123007|827</t>
  </si>
  <si>
    <t>-33.5|-33.5|-33.5|-33.5|-33.5|-33.5</t>
  </si>
  <si>
    <t>10001|86400$123001|52992$123007|882</t>
  </si>
  <si>
    <t>-31.3333333333333|-31.3333333333333|-31.3333333333333|-31.3333333333333|-31.3333333333333|-31.3333333333333</t>
  </si>
  <si>
    <t>10001|93750$123001|57500$123007|938</t>
  </si>
  <si>
    <t>-29.1666666666667|-29.1666666666667|-29.1666666666667|-29.1666666666667|-29.1666666666667|-29.1666666666667</t>
  </si>
  <si>
    <t>10001|101400$123001|62192$123007|994</t>
  </si>
  <si>
    <t>-27|-27|-27|-27|-27|-27</t>
  </si>
  <si>
    <t>10001|109350$123001|67068$123007|1052</t>
  </si>
  <si>
    <t>-24.8333333333333|-24.8333333333333|-24.8333333333333|-24.8333333333333|-24.8333333333333|-24.8333333333333</t>
  </si>
  <si>
    <t>10001|117600$123001|72128$123007|1111</t>
  </si>
  <si>
    <t>-22.6666666666667|-22.6666666666667|-22.6666666666667|-22.6666666666667|-22.6666666666667|-22.6666666666667</t>
  </si>
  <si>
    <t>10001|126150$123001|77372$123007|1171</t>
  </si>
  <si>
    <t>-20.5|-20.5|-20.5|-20.5|-20.5|-20.5</t>
  </si>
  <si>
    <t>10001|135000$124001|82800$124007|1232</t>
  </si>
  <si>
    <t>-18.3333333333333|-18.3333333333333|-18.3333333333333|-18.3333333333333|-18.3333333333333|-18.3333333333333</t>
  </si>
  <si>
    <t>10001|144150$124001|88412$124007|1295</t>
  </si>
  <si>
    <t>-16.1666666666667|-16.1666666666667|-16.1666666666667|-16.1666666666667|-16.1666666666667|-16.1666666666667</t>
  </si>
  <si>
    <t>10001|153600$124001|94208$124007|1358</t>
  </si>
  <si>
    <t>-14|-14|-14|-14|-14|-14</t>
  </si>
  <si>
    <t>10001|163350$124001|100188$124007|1422</t>
  </si>
  <si>
    <t>-11.8333333333333|-11.8333333333333|-11.8333333333333|-11.8333333333333|-11.8333333333333|-11.8333333333333</t>
  </si>
  <si>
    <t>10001|173400$124001|106352$124007|1487</t>
  </si>
  <si>
    <t>-9.66666666666667|-9.66666666666667|-9.66666666666667|-9.66666666666667|-9.66666666666667|-9.66666666666667</t>
  </si>
  <si>
    <t>10001|183750$124001|112700$124007|1553</t>
  </si>
  <si>
    <t>-7.50000000000001|-7.50000000000001|-7.50000000000001|-7.50000000000001|-7.50000000000001|-7.50000000000001</t>
  </si>
  <si>
    <t>10001|194400$124001|119232$124007|1620</t>
  </si>
  <si>
    <t>-5.33333333333333|-5.33333333333333|-5.33333333333333|-5.33333333333333|-5.33333333333333|-5.33333333333333</t>
  </si>
  <si>
    <t>10001|205350$124001|125948$124007|1688</t>
  </si>
  <si>
    <t>-3.16666666666667|-3.16666666666667|-3.16666666666667|-3.16666666666667|-3.16666666666667|-3.16666666666667</t>
  </si>
  <si>
    <t>10001|216600$124001|132848$124007|1757</t>
  </si>
  <si>
    <t>-0.99999999999999|-0.99999999999999|-0.99999999999999|-0.99999999999999|-0.99999999999999|-0.99999999999999</t>
  </si>
  <si>
    <t>10001|228150$124001|139932$124007|1827</t>
  </si>
  <si>
    <t>1.16666666666667|1.16666666666667|1.16666666666667|1.16666666666667|1.16666666666667|1.16666666666667</t>
  </si>
  <si>
    <t>10001|240000$125001|147200$125007|1897</t>
  </si>
  <si>
    <t>3.33333333333334|3.33333333333334|3.33333333333334|3.33333333333334|3.33333333333334|3.33333333333334</t>
  </si>
  <si>
    <t>10001|252150$125001|154652$125007|1969</t>
  </si>
  <si>
    <t>5.49999999999999|5.49999999999999|5.49999999999999|5.49999999999999|5.49999999999999|5.49999999999999</t>
  </si>
  <si>
    <t>10001|264600$125001|162288$125007|2041</t>
  </si>
  <si>
    <t>7.66666666666667|7.66666666666667|7.66666666666667|7.66666666666667|7.66666666666667|7.66666666666667</t>
  </si>
  <si>
    <t>10001|277350$125001|170108$125007|2115</t>
  </si>
  <si>
    <t>9.83333333333334|9.83333333333334|9.83333333333334|9.83333333333334|9.83333333333334|9.83333333333334</t>
  </si>
  <si>
    <t>10001|290400$125001|178112$125007|2189</t>
  </si>
  <si>
    <t>12|12|12|12|12|12</t>
  </si>
  <si>
    <t>10001|303750$125001|186300$125007|2264</t>
  </si>
  <si>
    <t>14.1666666666667|14.1666666666667|14.1666666666667|14.1666666666667|14.1666666666667|14.1666666666667</t>
  </si>
  <si>
    <t>10001|317400$125001|194672$125007|2340</t>
  </si>
  <si>
    <t>16.3333333333333|16.3333333333333|16.3333333333333|16.3333333333333|16.3333333333333|16.3333333333333</t>
  </si>
  <si>
    <t>10001|331350$125001|203228$125007|2417</t>
  </si>
  <si>
    <t>18.4999999999998|18.4999999999998|18.4999999999998|18.4999999999998|18.4999999999998|18.4999999999998</t>
  </si>
  <si>
    <t>10001|345600$125001|211968$125007|2494</t>
  </si>
  <si>
    <t>20.6666666666665|20.6666666666665|20.6666666666665|20.6666666666665|20.6666666666665|20.6666666666665</t>
  </si>
  <si>
    <t>10001|360150$125001|220892$125007|2573</t>
  </si>
  <si>
    <t>22.8333333333332|22.8333333333332|22.8333333333332|22.8333333333332|22.8333333333332|22.8333333333332</t>
  </si>
  <si>
    <t>10001|375000$125001|230000$125007|2652</t>
  </si>
  <si>
    <t>770001</t>
  </si>
  <si>
    <t>造成一段伤害，每段伤害为[0]%</t>
  </si>
  <si>
    <t>110002</t>
  </si>
  <si>
    <t>330001</t>
  </si>
  <si>
    <t>400|10</t>
  </si>
  <si>
    <t>治疗量为[0]生命+[1]%生命上限</t>
  </si>
  <si>
    <t>500|10</t>
  </si>
  <si>
    <t>600|10</t>
  </si>
  <si>
    <t>700|10</t>
  </si>
  <si>
    <t>800|10</t>
  </si>
  <si>
    <t>900|11</t>
  </si>
  <si>
    <t>1000|11</t>
  </si>
  <si>
    <t>1100|11</t>
  </si>
  <si>
    <t>1200|11</t>
  </si>
  <si>
    <t>1300|11</t>
  </si>
  <si>
    <t>1400|12</t>
  </si>
  <si>
    <t>1500|12</t>
  </si>
  <si>
    <t>1600|12</t>
  </si>
  <si>
    <t>1700|12</t>
  </si>
  <si>
    <t>1800|12</t>
  </si>
  <si>
    <t>1900|13</t>
  </si>
  <si>
    <t>2000|13</t>
  </si>
  <si>
    <t>2100|13</t>
  </si>
  <si>
    <t>2200|13</t>
  </si>
  <si>
    <t>2300|13</t>
  </si>
  <si>
    <t>2400|14</t>
  </si>
  <si>
    <t>2500|14</t>
  </si>
  <si>
    <t>2600|14</t>
  </si>
  <si>
    <t>2700|14</t>
  </si>
  <si>
    <t>2800|14</t>
  </si>
  <si>
    <t>2900|15</t>
  </si>
  <si>
    <t>3000|15</t>
  </si>
  <si>
    <t>3100|15</t>
  </si>
  <si>
    <t>3200|15</t>
  </si>
  <si>
    <t>3300|15</t>
  </si>
  <si>
    <t>3400|16</t>
  </si>
  <si>
    <t>3500|16</t>
  </si>
  <si>
    <t>3600|16</t>
  </si>
  <si>
    <t>3700|16</t>
  </si>
  <si>
    <t>3900|17</t>
  </si>
  <si>
    <t>4100|17</t>
  </si>
  <si>
    <t>4200|17</t>
  </si>
  <si>
    <t>4300|17</t>
  </si>
  <si>
    <t>4400|18</t>
  </si>
  <si>
    <t>4500|18</t>
  </si>
  <si>
    <t>4600|18</t>
  </si>
  <si>
    <t>4700|18</t>
  </si>
  <si>
    <t>4800|18</t>
  </si>
  <si>
    <t>4900|19</t>
  </si>
  <si>
    <t>5000|19</t>
  </si>
  <si>
    <t>5100|19</t>
  </si>
  <si>
    <t>5200|20</t>
  </si>
  <si>
    <t>5300|20</t>
  </si>
  <si>
    <t>110003</t>
  </si>
  <si>
    <t>-66|-66|-66|-66|-66</t>
  </si>
  <si>
    <t>10001|150$121001|92$121002|8</t>
  </si>
  <si>
    <t>-62.8|-62.8|-62.8|-62.8|-62.8</t>
  </si>
  <si>
    <t>10001|600$121001|368$121002|21</t>
  </si>
  <si>
    <t>-59.6|-59.6|-59.6|-59.6|-59.6</t>
  </si>
  <si>
    <t>10001|1350$121001|828$121002|39</t>
  </si>
  <si>
    <t>-56.4|-56.4|-56.4|-56.4|-56.4</t>
  </si>
  <si>
    <t>10001|2400$121001|1472$121002|60</t>
  </si>
  <si>
    <t>-53.2|-53.2|-53.2|-53.2|-53.2</t>
  </si>
  <si>
    <t>10001|3750$121001|2300$121002|84</t>
  </si>
  <si>
    <t>-50|-50|-50|-50|-50</t>
  </si>
  <si>
    <t>10001|5400$121001|3312$121002|110</t>
  </si>
  <si>
    <t>-46.8|-46.8|-46.8|-46.8|-46.8</t>
  </si>
  <si>
    <t>10001|7350$121001|4508$121002|139</t>
  </si>
  <si>
    <t>-43.6|-43.6|-43.6|-43.6|-43.6</t>
  </si>
  <si>
    <t>10001|9600$121001|5888$121002|170</t>
  </si>
  <si>
    <t>-40.4|-40.4|-40.4|-40.4|-40.4</t>
  </si>
  <si>
    <t>10001|12150$121001|7452$121002|203</t>
  </si>
  <si>
    <t>-37.2|-37.2|-37.2|-37.2|-37.2</t>
  </si>
  <si>
    <t>10001|15000$122001|9200$122002|237</t>
  </si>
  <si>
    <t>-34|-34|-34|-34|-34</t>
  </si>
  <si>
    <t>10001|18150$122001|11132$122002|274</t>
  </si>
  <si>
    <t>-30.8|-30.8|-30.8|-30.8|-30.8</t>
  </si>
  <si>
    <t>10001|21600$122001|13248$122002|312</t>
  </si>
  <si>
    <t>-27.6|-27.6|-27.6|-27.6|-27.6</t>
  </si>
  <si>
    <t>10001|25350$122001|15548$122002|352</t>
  </si>
  <si>
    <t>-24.4|-24.4|-24.4|-24.4|-24.4</t>
  </si>
  <si>
    <t>10001|29400$122001|18032$122002|393</t>
  </si>
  <si>
    <t>-21.2|-21.2|-21.2|-21.2|-21.2</t>
  </si>
  <si>
    <t>10001|33750$122001|20700$122002|436</t>
  </si>
  <si>
    <t>-18|-18|-18|-18|-18</t>
  </si>
  <si>
    <t>10001|38400$122001|23552$122002|480</t>
  </si>
  <si>
    <t>-14.8|-14.8|-14.8|-14.8|-14.8</t>
  </si>
  <si>
    <t>10001|43350$122001|26588$122002|526</t>
  </si>
  <si>
    <t>-11.6|-11.6|-11.6|-11.6|-11.6</t>
  </si>
  <si>
    <t>10001|48600$122001|29808$122002|573</t>
  </si>
  <si>
    <t>-8.4|-8.4|-8.4|-8.4|-8.4</t>
  </si>
  <si>
    <t>10001|54150$122001|33212$122002|621</t>
  </si>
  <si>
    <t>-5.19999999999999|-5.19999999999999|-5.19999999999999|-5.19999999999999|-5.19999999999999</t>
  </si>
  <si>
    <t>10001|60000$123001|36800$123002|671</t>
  </si>
  <si>
    <t>-1.99999999999999|-1.99999999999999|-1.99999999999999|-1.99999999999999|-1.99999999999999</t>
  </si>
  <si>
    <t>10001|66150$123001|40572$123002|722</t>
  </si>
  <si>
    <t>1.2|1.2|1.2|1.2|1.2</t>
  </si>
  <si>
    <t>10001|72600$123001|44528$123002|774</t>
  </si>
  <si>
    <t>4.4|4.4|4.4|4.4|4.4</t>
  </si>
  <si>
    <t>10001|79350$123001|48668$123002|827</t>
  </si>
  <si>
    <t>7.60000000000001|7.60000000000001|7.60000000000001|7.60000000000001|7.60000000000001</t>
  </si>
  <si>
    <t>10001|86400$123001|52992$123002|882</t>
  </si>
  <si>
    <t>10.8|10.8|10.8|10.8|10.8</t>
  </si>
  <si>
    <t>10001|93750$123001|57500$123002|938</t>
  </si>
  <si>
    <t>14|14|14|14|14</t>
  </si>
  <si>
    <t>10001|101400$123001|62192$123002|994</t>
  </si>
  <si>
    <t>17.2|17.2|17.2|17.2|17.2</t>
  </si>
  <si>
    <t>10001|109350$123001|67068$123002|1052</t>
  </si>
  <si>
    <t>20.4|20.4|20.4|20.4|20.4</t>
  </si>
  <si>
    <t>10001|117600$123001|72128$123002|1111</t>
  </si>
  <si>
    <t>23.6|23.6|23.6|23.6|23.6</t>
  </si>
  <si>
    <t>10001|126150$123001|77372$123002|1171</t>
  </si>
  <si>
    <t>26.8|26.8|26.8|26.8|26.8</t>
  </si>
  <si>
    <t>10001|135000$124001|82800$124002|1232</t>
  </si>
  <si>
    <t>30|30|30|30|30</t>
  </si>
  <si>
    <t>10001|144150$124001|88412$124002|1295</t>
  </si>
  <si>
    <t>33.2|33.2|33.2|33.2|33.2</t>
  </si>
  <si>
    <t>10001|153600$124001|94208$124002|1358</t>
  </si>
  <si>
    <t>36.4|36.4|36.4|36.4|36.4</t>
  </si>
  <si>
    <t>10001|163350$124001|100188$124002|1422</t>
  </si>
  <si>
    <t>39.6|39.6|39.6|39.6|39.6</t>
  </si>
  <si>
    <t>10001|173400$124001|106352$124002|1487</t>
  </si>
  <si>
    <t>42.8|42.8|42.8|42.8|42.8</t>
  </si>
  <si>
    <t>10001|183750$124001|112700$124002|1553</t>
  </si>
  <si>
    <t>46|46|46|46|46</t>
  </si>
  <si>
    <t>10001|194400$124001|119232$124002|1620</t>
  </si>
  <si>
    <t>49.2000000000002|49.2000000000002|49.2000000000002|49.2000000000002|49.2000000000002</t>
  </si>
  <si>
    <t>10001|205350$124001|125948$124002|1688</t>
  </si>
  <si>
    <t>52.4000000000002|52.4000000000002|52.4000000000002|52.4000000000002|52.4000000000002</t>
  </si>
  <si>
    <t>10001|216600$124001|132848$124002|1757</t>
  </si>
  <si>
    <t>55.6000000000002|55.6000000000002|55.6000000000002|55.6000000000002|55.6000000000002</t>
  </si>
  <si>
    <t>10001|228150$125001|139932$125002|1827</t>
  </si>
  <si>
    <t>58.8000000000002|58.8000000000002|58.8000000000002|58.8000000000002|58.8000000000002</t>
  </si>
  <si>
    <t>10001|240000$125001|147200$125002|1897</t>
  </si>
  <si>
    <t>62.0000000000002|62.0000000000002|62.0000000000002|62.0000000000002|62.0000000000002</t>
  </si>
  <si>
    <t>10001|252150$125001|154652$125002|1969</t>
  </si>
  <si>
    <t>65.2000000000002|65.2000000000002|65.2000000000002|65.2000000000002|65.2000000000002</t>
  </si>
  <si>
    <t>10001|264600$125001|162288$125002|2041</t>
  </si>
  <si>
    <t>68.4000000000002|68.4000000000002|68.4000000000002|68.4000000000002|68.4000000000002</t>
  </si>
  <si>
    <t>10001|277350$125001|170108$125002|2115</t>
  </si>
  <si>
    <t>71.6000000000002|71.6000000000002|71.6000000000002|71.6000000000002|71.6000000000002</t>
  </si>
  <si>
    <t>10001|290400$125001|178112$125002|2189</t>
  </si>
  <si>
    <t>74.8000000000002|74.8000000000002|74.8000000000002|74.8000000000002|74.8000000000002</t>
  </si>
  <si>
    <t>10001|303750$125001|186300$125002|2264</t>
  </si>
  <si>
    <t>78.0000000000002|78.0000000000002|78.0000000000002|78.0000000000002|78.0000000000002</t>
  </si>
  <si>
    <t>10001|317400$125001|194672$125002|2340</t>
  </si>
  <si>
    <t>81.2000000000002|81.2000000000002|81.2000000000002|81.2000000000002|81.2000000000002</t>
  </si>
  <si>
    <t>10001|331350$125001|203228$125002|2417</t>
  </si>
  <si>
    <t>84.4000000000002|84.4000000000002|84.4000000000002|84.4000000000002|84.4000000000002</t>
  </si>
  <si>
    <t>10001|345600$125001|211968$125002|2494</t>
  </si>
  <si>
    <t>87.6000000000002|87.6000000000002|87.6000000000002|87.6000000000002|87.6000000000002</t>
  </si>
  <si>
    <t>10001|360150$125001|220892$125002|2573</t>
  </si>
  <si>
    <t>90.8000000000002|90.8000000000002|90.8000000000002|90.8000000000002|90.8000000000002</t>
  </si>
  <si>
    <t>10001|375000$125001|230000$125002|2652</t>
  </si>
  <si>
    <t>110004</t>
  </si>
  <si>
    <t>-33.3333333333333|-66.6666666666667</t>
  </si>
  <si>
    <t>造成两段伤害，每段伤害为[0]%</t>
  </si>
  <si>
    <t>-26.6666666666667|-53.3333333333333</t>
  </si>
  <si>
    <t>-20|-40</t>
  </si>
  <si>
    <t>-13.3333333333333|-26.6666666666667</t>
  </si>
  <si>
    <t>-6.66666666666667|-13.3333333333333</t>
  </si>
  <si>
    <t>0|0</t>
  </si>
  <si>
    <t>6.66666666666667|13.3333333333333</t>
  </si>
  <si>
    <t>13.3333333333333|26.6666666666667</t>
  </si>
  <si>
    <t>20|40</t>
  </si>
  <si>
    <t>26.6666666666667|53.3333333333333</t>
  </si>
  <si>
    <t>33.3333333333333|66.6666666666667</t>
  </si>
  <si>
    <t>40|80</t>
  </si>
  <si>
    <t>46.6666666666667|93.3333333333333</t>
  </si>
  <si>
    <t>53.3333333333333|106.666666666667</t>
  </si>
  <si>
    <t>60|120</t>
  </si>
  <si>
    <t>66.6666666666667|133.333333333333</t>
  </si>
  <si>
    <t>73.3333333333333|146.666666666667</t>
  </si>
  <si>
    <t>80|160</t>
  </si>
  <si>
    <t>86.6666666666666|173.333333333333</t>
  </si>
  <si>
    <t>93.3333333333333|186.666666666667</t>
  </si>
  <si>
    <t>100|200</t>
  </si>
  <si>
    <t>106.666666666667|213.333333333333</t>
  </si>
  <si>
    <t>113.333333333333|226.666666666667</t>
  </si>
  <si>
    <t>120|240</t>
  </si>
  <si>
    <t>126.666666666667|253.333333333333</t>
  </si>
  <si>
    <t>133.333333333333|266.666666666667</t>
  </si>
  <si>
    <t>140|280</t>
  </si>
  <si>
    <t>146.666666666667|293.333333333333</t>
  </si>
  <si>
    <t>153.333333333333|306.666666666667</t>
  </si>
  <si>
    <t>160|320</t>
  </si>
  <si>
    <t>166.666666666667|333.333333333333</t>
  </si>
  <si>
    <t>173.333333333333|346.666666666667</t>
  </si>
  <si>
    <t>180|360</t>
  </si>
  <si>
    <t>186.666666666667|373.333333333333</t>
  </si>
  <si>
    <t>193.333333333333|386.666666666667</t>
  </si>
  <si>
    <t>200|400</t>
  </si>
  <si>
    <t>206.666666666667|413.333333333333</t>
  </si>
  <si>
    <t>213.333333333333|426.666666666667</t>
  </si>
  <si>
    <t>220|440</t>
  </si>
  <si>
    <t>226.666666666667|453.333333333333</t>
  </si>
  <si>
    <t>233.333333333333|466.666666666667</t>
  </si>
  <si>
    <t>240|480</t>
  </si>
  <si>
    <t>246.666666666667|493.333333333333</t>
  </si>
  <si>
    <t>253.333333333333|506.666666666667</t>
  </si>
  <si>
    <t>260|520</t>
  </si>
  <si>
    <t>266.666666666667|533.333333333333</t>
  </si>
  <si>
    <t>273.333333333333|546.666666666667</t>
  </si>
  <si>
    <t>280|560</t>
  </si>
  <si>
    <t>286.666666666667|573.333333333333</t>
  </si>
  <si>
    <t>293.333333333333|586.666666666667</t>
  </si>
  <si>
    <t>440001</t>
  </si>
  <si>
    <t>110005</t>
  </si>
  <si>
    <t>0|0|0|0|0</t>
  </si>
  <si>
    <t>2|2|2|2|2</t>
  </si>
  <si>
    <t>6|6|6|6|6</t>
  </si>
  <si>
    <t>8|8|8|8|8</t>
  </si>
  <si>
    <t>10|10|10|10|10</t>
  </si>
  <si>
    <t>12|12|12|12|12</t>
  </si>
  <si>
    <t>18|18|18|18|18</t>
  </si>
  <si>
    <t>20|20|20|20|20</t>
  </si>
  <si>
    <t>22|22|22|22|22</t>
  </si>
  <si>
    <t>24|24|24|24|24</t>
  </si>
  <si>
    <t>26|26|26|26|26</t>
  </si>
  <si>
    <t>32|32|32|32|32</t>
  </si>
  <si>
    <t>34|34|34|34|34</t>
  </si>
  <si>
    <t>36|36|36|36|36</t>
  </si>
  <si>
    <t>38|38|38|38|38</t>
  </si>
  <si>
    <t>40|40|40|40|40</t>
  </si>
  <si>
    <t>42|42|42|42|42</t>
  </si>
  <si>
    <t>44|44|44|44|44</t>
  </si>
  <si>
    <t>48|48|48|48|48</t>
  </si>
  <si>
    <t>50|50|50|50|50</t>
  </si>
  <si>
    <t>52|52|52|52|52</t>
  </si>
  <si>
    <t>54|54|54|54|54</t>
  </si>
  <si>
    <t>56|56|56|56|56</t>
  </si>
  <si>
    <t>58|58|58|58|58</t>
  </si>
  <si>
    <t>60|60|60|60|60</t>
  </si>
  <si>
    <t>62|62|62|62|62</t>
  </si>
  <si>
    <t>64|64|64|64|64</t>
  </si>
  <si>
    <t>66|66|66|66|66</t>
  </si>
  <si>
    <t>68|68|68|68|68</t>
  </si>
  <si>
    <t>70|70|70|70|70</t>
  </si>
  <si>
    <t>72|72|72|72|72</t>
  </si>
  <si>
    <t>74|74|74|74|74</t>
  </si>
  <si>
    <t>76|76|76|76|76</t>
  </si>
  <si>
    <t>78|78|78|78|78</t>
  </si>
  <si>
    <t>80|80|80|80|80</t>
  </si>
  <si>
    <t>82|82|82|82|82</t>
  </si>
  <si>
    <t>84|84|84|84|84</t>
  </si>
  <si>
    <t>86|86|86|86|86</t>
  </si>
  <si>
    <t>88|88|88|88|88</t>
  </si>
  <si>
    <t>90|90|90|90|90</t>
  </si>
  <si>
    <t>92|92|92|92|92</t>
  </si>
  <si>
    <t>94|94|94|94|94</t>
  </si>
  <si>
    <t>96|96|96|96|96</t>
  </si>
  <si>
    <t>98|98|98|98|98</t>
  </si>
  <si>
    <t>880001</t>
  </si>
  <si>
    <t>10001|150$121001|92$121005|8</t>
  </si>
  <si>
    <t>造成一段伤害[0]%伤害</t>
  </si>
  <si>
    <t>10001|600$121001|368$121005|21</t>
  </si>
  <si>
    <t>10001|1350$121001|828$121005|39</t>
  </si>
  <si>
    <t>10001|2400$121001|1472$121005|60</t>
  </si>
  <si>
    <t>10001|3750$121001|2300$121005|84</t>
  </si>
  <si>
    <t>10001|5400$121001|3312$121005|110</t>
  </si>
  <si>
    <t>10001|7350$121001|4508$121005|139</t>
  </si>
  <si>
    <t>10001|9600$121001|5888$121005|170</t>
  </si>
  <si>
    <t>10001|12150$121001|7452$121005|203</t>
  </si>
  <si>
    <t>10001|15000$122001|9200$122005|237</t>
  </si>
  <si>
    <t>10001|18150$122001|11132$122005|274</t>
  </si>
  <si>
    <t>10001|21600$122001|13248$122005|312</t>
  </si>
  <si>
    <t>10001|25350$122001|15548$122005|352</t>
  </si>
  <si>
    <t>10001|29400$122001|18032$122005|393</t>
  </si>
  <si>
    <t>10001|33750$122001|20700$122005|436</t>
  </si>
  <si>
    <t>10001|38400$122001|23552$122005|480</t>
  </si>
  <si>
    <t>10001|43350$122001|26588$122005|526</t>
  </si>
  <si>
    <t>10001|48600$122001|29808$122005|573</t>
  </si>
  <si>
    <t>10001|54150$122001|33212$122005|621</t>
  </si>
  <si>
    <t>10001|60000$123001|36800$123005|671</t>
  </si>
  <si>
    <t>10001|66150$123001|40572$123005|722</t>
  </si>
  <si>
    <t>10001|72600$123001|44528$123005|774</t>
  </si>
  <si>
    <t>10001|79350$123001|48668$123005|827</t>
  </si>
  <si>
    <t>10001|86400$123001|52992$123005|882</t>
  </si>
  <si>
    <t>10001|93750$123001|57500$123005|938</t>
  </si>
  <si>
    <t>10001|101400$123001|62192$123005|994</t>
  </si>
  <si>
    <t>10001|109350$123001|67068$123005|1052</t>
  </si>
  <si>
    <t>10001|117600$123001|72128$123005|1111</t>
  </si>
  <si>
    <t>10001|126150$123001|77372$123005|1171</t>
  </si>
  <si>
    <t>10001|135000$124001|82800$124005|1232</t>
  </si>
  <si>
    <t>10001|144150$124001|88412$124005|1295</t>
  </si>
  <si>
    <t>10001|153600$124001|94208$124005|1358</t>
  </si>
  <si>
    <t>10001|163350$124001|100188$124005|1422</t>
  </si>
  <si>
    <t>10001|173400$124001|106352$124005|1487</t>
  </si>
  <si>
    <t>10001|183750$124001|112700$124005|1553</t>
  </si>
  <si>
    <t>10001|194400$124001|119232$124005|1620</t>
  </si>
  <si>
    <t>10001|205350$124001|125948$124005|1688</t>
  </si>
  <si>
    <t>10001|216600$124001|132848$124005|1757</t>
  </si>
  <si>
    <t>10001|228150$124001|139932$124005|1827</t>
  </si>
  <si>
    <t>10001|240000$125001|147200$125005|1897</t>
  </si>
  <si>
    <t>10001|252150$125001|154652$125005|1969</t>
  </si>
  <si>
    <t>10001|264600$125001|162288$125005|2041</t>
  </si>
  <si>
    <t>10001|277350$125001|170108$125005|2115</t>
  </si>
  <si>
    <t>10001|290400$125001|178112$125005|2189</t>
  </si>
  <si>
    <t>10001|303750$125001|186300$125005|2264</t>
  </si>
  <si>
    <t>10001|317400$125001|194672$125005|2340</t>
  </si>
  <si>
    <t>10001|331350$125001|203228$125005|2417</t>
  </si>
  <si>
    <t>10001|345600$125001|211968$125005|2494</t>
  </si>
  <si>
    <t>10001|360150$125001|220892$125005|2573</t>
  </si>
  <si>
    <t>10001|375000$125001|230000$125005|2652</t>
  </si>
  <si>
    <t>110006</t>
  </si>
  <si>
    <t>550001</t>
  </si>
  <si>
    <t>50|99</t>
  </si>
  <si>
    <t>提高[0]攻速，但降低自身[1]攻击</t>
  </si>
  <si>
    <t>55|98</t>
  </si>
  <si>
    <t>60|97</t>
  </si>
  <si>
    <t>65|96</t>
  </si>
  <si>
    <t>70|95</t>
  </si>
  <si>
    <t>75|94</t>
  </si>
  <si>
    <t>80|93</t>
  </si>
  <si>
    <t>85|92</t>
  </si>
  <si>
    <t>90|91</t>
  </si>
  <si>
    <t>95|90</t>
  </si>
  <si>
    <t>100|89</t>
  </si>
  <si>
    <t>105|88</t>
  </si>
  <si>
    <t>110|87</t>
  </si>
  <si>
    <t>115|86</t>
  </si>
  <si>
    <t>120|85</t>
  </si>
  <si>
    <t>125|84</t>
  </si>
  <si>
    <t>130|83</t>
  </si>
  <si>
    <t>135|82</t>
  </si>
  <si>
    <t>140|81</t>
  </si>
  <si>
    <t>145|80</t>
  </si>
  <si>
    <t>150|79</t>
  </si>
  <si>
    <t>155|78</t>
  </si>
  <si>
    <t>160|77</t>
  </si>
  <si>
    <t>165|76</t>
  </si>
  <si>
    <t>170|75</t>
  </si>
  <si>
    <t>175|74</t>
  </si>
  <si>
    <t>180|73</t>
  </si>
  <si>
    <t>185|72</t>
  </si>
  <si>
    <t>190|71</t>
  </si>
  <si>
    <t>195|70</t>
  </si>
  <si>
    <t>200|69</t>
  </si>
  <si>
    <t>205|68</t>
  </si>
  <si>
    <t>210|67</t>
  </si>
  <si>
    <t>215|66</t>
  </si>
  <si>
    <t>220|65</t>
  </si>
  <si>
    <t>225|64</t>
  </si>
  <si>
    <t>230|63</t>
  </si>
  <si>
    <t>235|62</t>
  </si>
  <si>
    <t>240|61</t>
  </si>
  <si>
    <t>245|60</t>
  </si>
  <si>
    <t>250|59</t>
  </si>
  <si>
    <t>255|58</t>
  </si>
  <si>
    <t>260|57</t>
  </si>
  <si>
    <t>265|56</t>
  </si>
  <si>
    <t>270|55</t>
  </si>
  <si>
    <t>275|54</t>
  </si>
  <si>
    <t>280|53</t>
  </si>
  <si>
    <t>285|52</t>
  </si>
  <si>
    <t>290|51</t>
  </si>
  <si>
    <t>295|50</t>
  </si>
  <si>
    <t>440003</t>
  </si>
  <si>
    <t>攻击力增加[0]</t>
  </si>
  <si>
    <t>220001</t>
  </si>
  <si>
    <t>-90|-90|-90|-90|-90</t>
  </si>
  <si>
    <t>造成五段[0]%伤害，并回复[1]%真气</t>
  </si>
  <si>
    <t>10|10</t>
  </si>
  <si>
    <t>-88|-88|-88|-88|-88</t>
  </si>
  <si>
    <t>12|10.6</t>
  </si>
  <si>
    <t>-86|-86|-86|-86|-86</t>
  </si>
  <si>
    <t>14|11.2</t>
  </si>
  <si>
    <t>-84|-84|-84|-84|-84</t>
  </si>
  <si>
    <t>16|11.8</t>
  </si>
  <si>
    <t>-82|-82|-82|-82|-82</t>
  </si>
  <si>
    <t>18|12.4</t>
  </si>
  <si>
    <t>20|13</t>
  </si>
  <si>
    <t>-78|-78|-78|-78|-78</t>
  </si>
  <si>
    <t>22|13.6</t>
  </si>
  <si>
    <t>-76|-76|-76|-76|-76</t>
  </si>
  <si>
    <t>24|14.2</t>
  </si>
  <si>
    <t>-74|-74|-74|-74|-74</t>
  </si>
  <si>
    <t>26|14.8</t>
  </si>
  <si>
    <t>-72|-72|-72|-72|-72</t>
  </si>
  <si>
    <t>28|15.4</t>
  </si>
  <si>
    <t>-70|-70|-70|-70|-70</t>
  </si>
  <si>
    <t>30|16</t>
  </si>
  <si>
    <t>32|16.6</t>
  </si>
  <si>
    <t>34|17.2</t>
  </si>
  <si>
    <t>-64|-64|-64|-64|-64</t>
  </si>
  <si>
    <t>36|17.8</t>
  </si>
  <si>
    <t>-62|-62|-62|-62|-62</t>
  </si>
  <si>
    <t>38|18.4</t>
  </si>
  <si>
    <t>-60|-60|-60|-60|-60</t>
  </si>
  <si>
    <t>40|19</t>
  </si>
  <si>
    <t>-58|-58|-58|-58|-58</t>
  </si>
  <si>
    <t>42|19.6</t>
  </si>
  <si>
    <t>44|20.2</t>
  </si>
  <si>
    <t>-54|-54|-54|-54|-54</t>
  </si>
  <si>
    <t>46|20.8</t>
  </si>
  <si>
    <t>-52|-52|-52|-52|-52</t>
  </si>
  <si>
    <t>48|21.4</t>
  </si>
  <si>
    <t>50|22</t>
  </si>
  <si>
    <t>-48|-48|-48|-48|-48</t>
  </si>
  <si>
    <t>52|22.6</t>
  </si>
  <si>
    <t>-46|-46|-46|-46|-46</t>
  </si>
  <si>
    <t>54|23.2</t>
  </si>
  <si>
    <t>56|23.8</t>
  </si>
  <si>
    <t>-42|-42|-42|-42|-42</t>
  </si>
  <si>
    <t>58|24.4</t>
  </si>
  <si>
    <t>-40|-40|-40|-40|-40</t>
  </si>
  <si>
    <t>60|25</t>
  </si>
  <si>
    <t>-38|-38|-38|-38|-38</t>
  </si>
  <si>
    <t>62|25.6</t>
  </si>
  <si>
    <t>-36|-36|-36|-36|-36</t>
  </si>
  <si>
    <t>64|26.2</t>
  </si>
  <si>
    <t>66|26.8</t>
  </si>
  <si>
    <t>68|27.4</t>
  </si>
  <si>
    <t>-30|-30|-30|-30|-30</t>
  </si>
  <si>
    <t>70|28</t>
  </si>
  <si>
    <t>-28|-28|-28|-28|-28</t>
  </si>
  <si>
    <t>72|28.6</t>
  </si>
  <si>
    <t>-26|-26|-26|-26|-26</t>
  </si>
  <si>
    <t>74|29.2</t>
  </si>
  <si>
    <t>-24|-24|-24|-24|-24</t>
  </si>
  <si>
    <t>76|29.8</t>
  </si>
  <si>
    <t>-22|-22|-22|-22|-22</t>
  </si>
  <si>
    <t>78|30.4</t>
  </si>
  <si>
    <t>80|31</t>
  </si>
  <si>
    <t>82|31.6</t>
  </si>
  <si>
    <t>-16|-16|-16|-16|-16</t>
  </si>
  <si>
    <t>84|32.2</t>
  </si>
  <si>
    <t>-14|-14|-14|-14|-14</t>
  </si>
  <si>
    <t>86|32.8</t>
  </si>
  <si>
    <t>-12|-12|-12|-12|-12</t>
  </si>
  <si>
    <t>88|33.4</t>
  </si>
  <si>
    <t>-10|-10|-10|-10|-10</t>
  </si>
  <si>
    <t>90|34</t>
  </si>
  <si>
    <t>92|34.6</t>
  </si>
  <si>
    <t>-5.99999999999999|-5.99999999999999|-5.99999999999999|-5.99999999999999|-5.99999999999999</t>
  </si>
  <si>
    <t>94|35.2</t>
  </si>
  <si>
    <t>-4|-4|-4|-4|-4</t>
  </si>
  <si>
    <t>96|35.8</t>
  </si>
  <si>
    <t>98|36.4</t>
  </si>
  <si>
    <t>100|37</t>
  </si>
  <si>
    <t>102|37.6</t>
  </si>
  <si>
    <t>104|38.2</t>
  </si>
  <si>
    <t>6.00000000000001|6.00000000000001|6.00000000000001|6.00000000000001|6.00000000000001</t>
  </si>
  <si>
    <t>106|38.8</t>
  </si>
  <si>
    <t>8.00000000000001|8.00000000000001|8.00000000000001|8.00000000000001|8.00000000000001</t>
  </si>
  <si>
    <t>108|39.4</t>
  </si>
  <si>
    <t>-60</t>
  </si>
  <si>
    <t>110007</t>
  </si>
  <si>
    <t>造成一次[0]%伤害，每层灼烧buff造成[1]%伤害</t>
  </si>
  <si>
    <t>120|1</t>
  </si>
  <si>
    <t>135|2</t>
  </si>
  <si>
    <t>150|3</t>
  </si>
  <si>
    <t>165|4</t>
  </si>
  <si>
    <t>180|5</t>
  </si>
  <si>
    <t>195|6</t>
  </si>
  <si>
    <t>210|7</t>
  </si>
  <si>
    <t>225|8</t>
  </si>
  <si>
    <t>240|9</t>
  </si>
  <si>
    <t>255|10</t>
  </si>
  <si>
    <t>270|11</t>
  </si>
  <si>
    <t>285|12</t>
  </si>
  <si>
    <t>300|13</t>
  </si>
  <si>
    <t>315|14</t>
  </si>
  <si>
    <t>330|15</t>
  </si>
  <si>
    <t>345|16</t>
  </si>
  <si>
    <t>360|17</t>
  </si>
  <si>
    <t>375|18</t>
  </si>
  <si>
    <t>390|19</t>
  </si>
  <si>
    <t>405|20</t>
  </si>
  <si>
    <t>420|21</t>
  </si>
  <si>
    <t>435|22</t>
  </si>
  <si>
    <t>450|23</t>
  </si>
  <si>
    <t>465|24</t>
  </si>
  <si>
    <t>480|25</t>
  </si>
  <si>
    <t>495|26</t>
  </si>
  <si>
    <t>510|27</t>
  </si>
  <si>
    <t>525|28</t>
  </si>
  <si>
    <t>540|29</t>
  </si>
  <si>
    <t>555|30</t>
  </si>
  <si>
    <t>570|31</t>
  </si>
  <si>
    <t>585|32</t>
  </si>
  <si>
    <t>600|33</t>
  </si>
  <si>
    <t>615|34</t>
  </si>
  <si>
    <t>630|35</t>
  </si>
  <si>
    <t>645|36</t>
  </si>
  <si>
    <t>660|37</t>
  </si>
  <si>
    <t>675|38</t>
  </si>
  <si>
    <t>690|39</t>
  </si>
  <si>
    <t>705|40</t>
  </si>
  <si>
    <t>720|41</t>
  </si>
  <si>
    <t>735|42</t>
  </si>
  <si>
    <t>750|43</t>
  </si>
  <si>
    <t>765|44</t>
  </si>
  <si>
    <t>780|45</t>
  </si>
  <si>
    <t>795|46</t>
  </si>
  <si>
    <t>810|47</t>
  </si>
  <si>
    <t>825|48</t>
  </si>
  <si>
    <t>840|49</t>
  </si>
  <si>
    <t>855|50</t>
  </si>
  <si>
    <t>110008</t>
  </si>
  <si>
    <t>造成一次[0]%伤害</t>
  </si>
  <si>
    <t>110009</t>
  </si>
  <si>
    <t>-81.6666666666667|-81.6666666666667|-81.6666666666667|-81.6666666666667|-81.6666666666667|-81.6666666666667</t>
  </si>
  <si>
    <t>-80|-80|-80|-80|-80|-80</t>
  </si>
  <si>
    <t>-78.3333333333333|-78.3333333333333|-78.3333333333333|-78.3333333333333|-78.3333333333333|-78.3333333333333</t>
  </si>
  <si>
    <t>-76.6666666666667|-76.6666666666667|-76.6666666666667|-76.6666666666667|-76.6666666666667|-76.6666666666667</t>
  </si>
  <si>
    <t>-75|-75|-75|-75|-75|-75</t>
  </si>
  <si>
    <t>-73.3333333333333|-73.3333333333333|-73.3333333333333|-73.3333333333333|-73.3333333333333|-73.3333333333333</t>
  </si>
  <si>
    <t>-71.6666666666667|-71.6666666666667|-71.6666666666667|-71.6666666666667|-71.6666666666667|-71.6666666666667</t>
  </si>
  <si>
    <t>-70|-70|-70|-70|-70|-70</t>
  </si>
  <si>
    <t>-68.3333333333333|-68.3333333333333|-68.3333333333333|-68.3333333333333|-68.3333333333333|-68.3333333333333</t>
  </si>
  <si>
    <t>-66.6666666666667|-66.6666666666667|-66.6666666666667|-66.6666666666667|-66.6666666666667|-66.6666666666667</t>
  </si>
  <si>
    <t>-65|-65|-65|-65|-65|-65</t>
  </si>
  <si>
    <t>-63.3333333333333|-63.3333333333333|-63.3333333333333|-63.3333333333333|-63.3333333333333|-63.3333333333333</t>
  </si>
  <si>
    <t>-60|-60|-60|-60|-60|-60</t>
  </si>
  <si>
    <t>-58.3333333333333|-58.3333333333333|-58.3333333333333|-58.3333333333333|-58.3333333333333|-58.3333333333333</t>
  </si>
  <si>
    <t>-56.6666666666667|-56.6666666666667|-56.6666666666667|-56.6666666666667|-56.6666666666667|-56.6666666666667</t>
  </si>
  <si>
    <t>-55|-55|-55|-55|-55|-55</t>
  </si>
  <si>
    <t>-53.3333333333333|-53.3333333333333|-53.3333333333333|-53.3333333333333|-53.3333333333333|-53.3333333333333</t>
  </si>
  <si>
    <t>-51.6666666666667|-51.6666666666667|-51.6666666666667|-51.6666666666667|-51.6666666666667|-51.6666666666667</t>
  </si>
  <si>
    <t>-50|-50|-50|-50|-50|-50</t>
  </si>
  <si>
    <t>-48.3333333333333|-48.3333333333333|-48.3333333333333|-48.3333333333333|-48.3333333333333|-48.3333333333333</t>
  </si>
  <si>
    <t>-46.6666666666667|-46.6666666666667|-46.6666666666667|-46.6666666666667|-46.6666666666667|-46.6666666666667</t>
  </si>
  <si>
    <t>-45|-45|-45|-45|-45|-45</t>
  </si>
  <si>
    <t>-43.3333333333333|-43.3333333333333|-43.3333333333333|-43.3333333333333|-43.3333333333333|-43.3333333333333</t>
  </si>
  <si>
    <t>-41.6666666666667|-41.6666666666667|-41.6666666666667|-41.6666666666667|-41.6666666666667|-41.6666666666667</t>
  </si>
  <si>
    <t>-38.3333333333333|-38.3333333333333|-38.3333333333333|-38.3333333333333|-38.3333333333333|-38.3333333333333</t>
  </si>
  <si>
    <t>-36.6666666666667|-36.6666666666667|-36.6666666666667|-36.6666666666667|-36.6666666666667|-36.6666666666667</t>
  </si>
  <si>
    <t>-35|-35|-35|-35|-35|-35</t>
  </si>
  <si>
    <t>-33.3333333333333|-33.3333333333333|-33.3333333333333|-33.3333333333333|-33.3333333333333|-33.3333333333333</t>
  </si>
  <si>
    <t>-31.6666666666667|-31.6666666666667|-31.6666666666667|-31.6666666666667|-31.6666666666667|-31.6666666666667</t>
  </si>
  <si>
    <t>-30|-30|-30|-30|-30|-30</t>
  </si>
  <si>
    <t>-28.3333333333333|-28.3333333333333|-28.3333333333333|-28.3333333333333|-28.3333333333333|-28.3333333333333</t>
  </si>
  <si>
    <t>-26.6666666666667|-26.6666666666667|-26.6666666666667|-26.6666666666667|-26.6666666666667|-26.6666666666667</t>
  </si>
  <si>
    <t>-25|-25|-25|-25|-25|-25</t>
  </si>
  <si>
    <t>-23.3333333333333|-23.3333333333333|-23.3333333333333|-23.3333333333333|-23.3333333333333|-23.3333333333333</t>
  </si>
  <si>
    <t>-21.6666666666667|-21.6666666666667|-21.6666666666667|-21.6666666666667|-21.6666666666667|-21.6666666666667</t>
  </si>
  <si>
    <t>-20|-20|-20|-20|-20|-20</t>
  </si>
  <si>
    <t>-16.6666666666667|-16.6666666666667|-16.6666666666667|-16.6666666666667|-16.6666666666667|-16.6666666666667</t>
  </si>
  <si>
    <t>-15|-15|-15|-15|-15|-15</t>
  </si>
  <si>
    <t>-13.3333333333333|-13.3333333333333|-13.3333333333333|-13.3333333333333|-13.3333333333333|-13.3333333333333</t>
  </si>
  <si>
    <t>-11.6666666666667|-11.6666666666667|-11.6666666666667|-11.6666666666667|-11.6666666666667|-11.6666666666667</t>
  </si>
  <si>
    <t>-10|-10|-10|-10|-10|-10</t>
  </si>
  <si>
    <t>-8.33333333333334|-8.33333333333334|-8.33333333333334|-8.33333333333334|-8.33333333333334|-8.33333333333334</t>
  </si>
  <si>
    <t>-6.66666666666668|-6.66666666666668|-6.66666666666668|-6.66666666666668|-6.66666666666668|-6.66666666666668</t>
  </si>
  <si>
    <t>-4.99999999999999|-4.99999999999999|-4.99999999999999|-4.99999999999999|-4.99999999999999|-4.99999999999999</t>
  </si>
  <si>
    <t>-3.33333333333333|-3.33333333333333|-3.33333333333333|-3.33333333333333|-3.33333333333333|-3.33333333333333</t>
  </si>
  <si>
    <t>-1.66666666666666|-1.66666666666666|-1.66666666666666|-1.66666666666666|-1.66666666666666|-1.66666666666666</t>
  </si>
  <si>
    <t>110010</t>
  </si>
  <si>
    <t>造成一段[0]%伤害</t>
  </si>
  <si>
    <t>110011</t>
  </si>
  <si>
    <t>34|2</t>
  </si>
  <si>
    <t>造成一段[0]%伤害,每层火魂造成[1]%伤害，并回复[2]%生命</t>
  </si>
  <si>
    <t>30|34|2</t>
  </si>
  <si>
    <t>37.4|2.062</t>
  </si>
  <si>
    <t>43|37.4|2.062</t>
  </si>
  <si>
    <t>40.8|2.124</t>
  </si>
  <si>
    <t>56|40.8|2.124</t>
  </si>
  <si>
    <t>44.2|2.186</t>
  </si>
  <si>
    <t>69|44.2|2.186</t>
  </si>
  <si>
    <t>47.6|2.248</t>
  </si>
  <si>
    <t>82|47.6|2.248</t>
  </si>
  <si>
    <t>51|2.31</t>
  </si>
  <si>
    <t>95|51|2.31</t>
  </si>
  <si>
    <t>54.4|2.372</t>
  </si>
  <si>
    <t>108|54.4|2.372</t>
  </si>
  <si>
    <t>57.8|2.434</t>
  </si>
  <si>
    <t>121|57.8|2.434</t>
  </si>
  <si>
    <t>61.2|2.496</t>
  </si>
  <si>
    <t>134|61.2|2.496</t>
  </si>
  <si>
    <t>64.6|2.558</t>
  </si>
  <si>
    <t>147|64.6|2.558</t>
  </si>
  <si>
    <t>68|2.62</t>
  </si>
  <si>
    <t>160|68|2.62</t>
  </si>
  <si>
    <t>71.4|2.682</t>
  </si>
  <si>
    <t>173|71.4|2.682</t>
  </si>
  <si>
    <t>74.8|2.744</t>
  </si>
  <si>
    <t>186|74.8|2.744</t>
  </si>
  <si>
    <t>78.2|2.806</t>
  </si>
  <si>
    <t>199|78.2|2.806</t>
  </si>
  <si>
    <t>81.6|2.868</t>
  </si>
  <si>
    <t>212|81.6|2.868</t>
  </si>
  <si>
    <t>85|2.93</t>
  </si>
  <si>
    <t>225|85|2.93</t>
  </si>
  <si>
    <t>88.4|2.992</t>
  </si>
  <si>
    <t>238|88.4|2.992</t>
  </si>
  <si>
    <t>91.8|3.054</t>
  </si>
  <si>
    <t>251|91.8|3.054</t>
  </si>
  <si>
    <t>95.2|3.116</t>
  </si>
  <si>
    <t>264|95.2|3.116</t>
  </si>
  <si>
    <t>98.6|3.178</t>
  </si>
  <si>
    <t>277|98.6|3.178</t>
  </si>
  <si>
    <t>102|3.24</t>
  </si>
  <si>
    <t>290|102|3.24</t>
  </si>
  <si>
    <t>105.4|3.302</t>
  </si>
  <si>
    <t>303|105.4|3.302</t>
  </si>
  <si>
    <t>108.8|3.364</t>
  </si>
  <si>
    <t>316|108.8|3.364</t>
  </si>
  <si>
    <t>112.2|3.426</t>
  </si>
  <si>
    <t>329|112.2|3.426</t>
  </si>
  <si>
    <t>115.6|3.488</t>
  </si>
  <si>
    <t>342|115.6|3.488</t>
  </si>
  <si>
    <t>119|3.55</t>
  </si>
  <si>
    <t>355|119|3.55</t>
  </si>
  <si>
    <t>122.4|3.612</t>
  </si>
  <si>
    <t>368|122.4|3.612</t>
  </si>
  <si>
    <t>125.8|3.674</t>
  </si>
  <si>
    <t>381|125.8|3.674</t>
  </si>
  <si>
    <t>129.2|3.736</t>
  </si>
  <si>
    <t>394|129.2|3.736</t>
  </si>
  <si>
    <t>132.6|3.798</t>
  </si>
  <si>
    <t>407|132.6|3.798</t>
  </si>
  <si>
    <t>136|3.85999999999999</t>
  </si>
  <si>
    <t>420|136|3.85999999999999</t>
  </si>
  <si>
    <t>139.4|3.92199999999999</t>
  </si>
  <si>
    <t>433|139.4|3.92199999999999</t>
  </si>
  <si>
    <t>142.8|3.98399999999999</t>
  </si>
  <si>
    <t>446|142.8|3.98399999999999</t>
  </si>
  <si>
    <t>146.2|4.04599999999999</t>
  </si>
  <si>
    <t>459|146.2|4.04599999999999</t>
  </si>
  <si>
    <t>149.6|4.10799999999999</t>
  </si>
  <si>
    <t>472|149.6|4.10799999999999</t>
  </si>
  <si>
    <t>153|4.16999999999999</t>
  </si>
  <si>
    <t>485|153|4.16999999999999</t>
  </si>
  <si>
    <t>156.4|4.23199999999999</t>
  </si>
  <si>
    <t>498|156.4|4.23199999999999</t>
  </si>
  <si>
    <t>159.8|4.29399999999999</t>
  </si>
  <si>
    <t>511|159.8|4.29399999999999</t>
  </si>
  <si>
    <t>163.2|4.35599999999999</t>
  </si>
  <si>
    <t>524|163.2|4.35599999999999</t>
  </si>
  <si>
    <t>166.6|4.41799999999999</t>
  </si>
  <si>
    <t>537|166.6|4.41799999999999</t>
  </si>
  <si>
    <t>170|4.47999999999999</t>
  </si>
  <si>
    <t>550|170|4.47999999999999</t>
  </si>
  <si>
    <t>173.4|4.54199999999999</t>
  </si>
  <si>
    <t>563|173.4|4.54199999999999</t>
  </si>
  <si>
    <t>176.8|4.60399999999999</t>
  </si>
  <si>
    <t>576|176.8|4.60399999999999</t>
  </si>
  <si>
    <t>180.2|4.66599999999999</t>
  </si>
  <si>
    <t>589|180.2|4.66599999999999</t>
  </si>
  <si>
    <t>183.6|4.72799999999999</t>
  </si>
  <si>
    <t>602|183.6|4.72799999999999</t>
  </si>
  <si>
    <t>187|4.78999999999999</t>
  </si>
  <si>
    <t>615|187|4.78999999999999</t>
  </si>
  <si>
    <t>190.4|4.85199999999999</t>
  </si>
  <si>
    <t>628|190.4|4.85199999999999</t>
  </si>
  <si>
    <t>193.8|4.91399999999999</t>
  </si>
  <si>
    <t>640.999999999999|193.8|4.91399999999999</t>
  </si>
  <si>
    <t>197.2|4.97599999999999</t>
  </si>
  <si>
    <t>653.999999999999|197.2|4.97599999999999</t>
  </si>
  <si>
    <t>200.6|5.03799999999999</t>
  </si>
  <si>
    <t>666.999999999999|200.6|5.03799999999999</t>
  </si>
  <si>
    <t>990012</t>
  </si>
  <si>
    <t>990013</t>
  </si>
  <si>
    <t>990014</t>
  </si>
  <si>
    <t>0|40</t>
  </si>
  <si>
    <t>990015</t>
  </si>
  <si>
    <t>990016</t>
  </si>
  <si>
    <t>360</t>
  </si>
  <si>
    <t>990017</t>
  </si>
  <si>
    <t>1000|50</t>
  </si>
  <si>
    <t>990018</t>
  </si>
  <si>
    <t>-33|-33|-33</t>
  </si>
  <si>
    <t>-20|-20|-20</t>
  </si>
  <si>
    <t>-13|-13|-13</t>
  </si>
  <si>
    <t>-7|-7|-7</t>
  </si>
  <si>
    <t>0|0|0</t>
  </si>
  <si>
    <t>7|7|7</t>
  </si>
  <si>
    <t>13|13|13</t>
  </si>
  <si>
    <t>20|20|20</t>
  </si>
  <si>
    <t>27|27|27</t>
  </si>
  <si>
    <t>33|33|33</t>
  </si>
  <si>
    <t>40|40|40</t>
  </si>
  <si>
    <t>47|47|47</t>
  </si>
  <si>
    <t>53|53|53</t>
  </si>
  <si>
    <t>60|60|60</t>
  </si>
  <si>
    <t>67|67|67</t>
  </si>
  <si>
    <t>73|73|73</t>
  </si>
  <si>
    <t>80|80|80</t>
  </si>
  <si>
    <t>87|87|87</t>
  </si>
  <si>
    <t>93|93|93</t>
  </si>
  <si>
    <t>100|100|100</t>
  </si>
  <si>
    <t>107|107|107</t>
  </si>
  <si>
    <t>113|113|113</t>
  </si>
  <si>
    <t>120|120|120</t>
  </si>
  <si>
    <t>127|127|127</t>
  </si>
  <si>
    <t>133|133|133</t>
  </si>
  <si>
    <t>140|140|140</t>
  </si>
  <si>
    <t>147|147|147</t>
  </si>
  <si>
    <t>153|153|153</t>
  </si>
  <si>
    <t>160|160|160</t>
  </si>
  <si>
    <t>167|167|167</t>
  </si>
  <si>
    <t>173|173|173</t>
  </si>
  <si>
    <t>180|180|180</t>
  </si>
  <si>
    <t>187|187|187</t>
  </si>
  <si>
    <t>193|193|193</t>
  </si>
  <si>
    <t>200|200|200</t>
  </si>
  <si>
    <t>207|207|207</t>
  </si>
  <si>
    <t>213|213|213</t>
  </si>
  <si>
    <t>220|220|220</t>
  </si>
  <si>
    <t>227|227|227</t>
  </si>
  <si>
    <t>233|233|233</t>
  </si>
  <si>
    <t>240|240|240</t>
  </si>
  <si>
    <t>247|247|247</t>
  </si>
  <si>
    <t>253|253|253</t>
  </si>
  <si>
    <t>260|260|260</t>
  </si>
  <si>
    <t>267|267|267</t>
  </si>
  <si>
    <t>273|273|273</t>
  </si>
  <si>
    <t>280|280|280</t>
  </si>
  <si>
    <t>287|287|287</t>
  </si>
  <si>
    <t>293|293|293</t>
  </si>
  <si>
    <t>金风玉露</t>
  </si>
  <si>
    <t>等级</t>
  </si>
  <si>
    <t>单段伤害</t>
  </si>
  <si>
    <t>段数</t>
  </si>
  <si>
    <t>总伤害</t>
  </si>
  <si>
    <t>参数替换</t>
  </si>
  <si>
    <t>火焰爆轰</t>
  </si>
  <si>
    <t>九天玄雷</t>
  </si>
  <si>
    <t>天罡镇压</t>
  </si>
  <si>
    <t>莲台守身决</t>
  </si>
  <si>
    <t>固定加成</t>
  </si>
  <si>
    <t>百分比加成</t>
  </si>
  <si>
    <t>神念攻击</t>
  </si>
  <si>
    <t>雾瘴爆裂</t>
  </si>
  <si>
    <t>太上净神诀</t>
  </si>
  <si>
    <t>固定治疗量</t>
  </si>
  <si>
    <t>生命百分比治疗量</t>
  </si>
  <si>
    <t>剑影分光</t>
  </si>
  <si>
    <t>鬼天陨掌</t>
  </si>
  <si>
    <t>神识定身</t>
  </si>
  <si>
    <t>祭神怒吼</t>
  </si>
  <si>
    <t>翩鸿灵动决</t>
  </si>
  <si>
    <t>参数</t>
  </si>
  <si>
    <t>真元赤阳决</t>
  </si>
  <si>
    <t>攻击加成</t>
  </si>
  <si>
    <t>剑芒聚气决</t>
  </si>
  <si>
    <t>参数替换1</t>
  </si>
  <si>
    <t>参数替换2</t>
  </si>
  <si>
    <t>沸血之矛</t>
  </si>
  <si>
    <t>每次叠加buff</t>
  </si>
  <si>
    <t>焚尽</t>
  </si>
  <si>
    <t>灼烧伤害</t>
  </si>
  <si>
    <t xml:space="preserve">参数1 </t>
  </si>
  <si>
    <t>参数2</t>
  </si>
  <si>
    <t>霜爆</t>
  </si>
  <si>
    <t>月曜八荒</t>
  </si>
  <si>
    <t>伤害合并</t>
  </si>
  <si>
    <t>罡气冲击</t>
  </si>
  <si>
    <t>天罡气劲</t>
  </si>
  <si>
    <t>彼岸炽魂</t>
  </si>
  <si>
    <t>火印单层伤害</t>
  </si>
  <si>
    <t>火印单层生命回复</t>
  </si>
  <si>
    <t>参数1</t>
  </si>
  <si>
    <t>大地近卫功法</t>
  </si>
  <si>
    <t>青月冰决</t>
  </si>
  <si>
    <t>治疗量</t>
  </si>
  <si>
    <t>风雷万劫</t>
  </si>
  <si>
    <t>计算公式：见J2</t>
  </si>
  <si>
    <t>先定总伤害和段数</t>
  </si>
  <si>
    <t>单段伤害=(总伤害/段数-1)*100</t>
  </si>
  <si>
    <t>莲台守身诀</t>
  </si>
  <si>
    <t>1000|10</t>
  </si>
  <si>
    <t>护盾最大吸收量：1000+10%血上限</t>
  </si>
  <si>
    <t>1020|10</t>
  </si>
  <si>
    <t>1040|10</t>
  </si>
  <si>
    <t>1060|11</t>
  </si>
  <si>
    <t>1080|11</t>
  </si>
  <si>
    <t>1120|12</t>
  </si>
  <si>
    <t>1140|12</t>
  </si>
  <si>
    <t>1160|12</t>
  </si>
  <si>
    <t>1180|13</t>
  </si>
  <si>
    <t>1200|13</t>
  </si>
  <si>
    <t>1220|13</t>
  </si>
  <si>
    <t>1240|14</t>
  </si>
  <si>
    <t>1260|14</t>
  </si>
  <si>
    <t>1280|14</t>
  </si>
  <si>
    <t>1300|15</t>
  </si>
  <si>
    <t>1320|15</t>
  </si>
  <si>
    <t>1340|15</t>
  </si>
  <si>
    <t>1360|16</t>
  </si>
  <si>
    <t>1380|16</t>
  </si>
  <si>
    <t>1400|16</t>
  </si>
  <si>
    <t>1420|17</t>
  </si>
  <si>
    <t>1460|17</t>
  </si>
  <si>
    <t>1480|17</t>
  </si>
  <si>
    <t>1500|18</t>
  </si>
  <si>
    <t>1520|18</t>
  </si>
  <si>
    <t>1560|18</t>
  </si>
  <si>
    <t>1580|18</t>
  </si>
  <si>
    <t>1600|19</t>
  </si>
  <si>
    <t>1620|19</t>
  </si>
  <si>
    <t>1640|19</t>
  </si>
  <si>
    <t>1680|20</t>
  </si>
  <si>
    <t>1700|20</t>
  </si>
  <si>
    <t>1720|20</t>
  </si>
  <si>
    <t>1740|21</t>
  </si>
  <si>
    <t>1780|21</t>
  </si>
  <si>
    <t>1800|21</t>
  </si>
  <si>
    <t>1820|22</t>
  </si>
  <si>
    <t>1840|22</t>
  </si>
  <si>
    <t>1880|22</t>
  </si>
  <si>
    <t>1900|23</t>
  </si>
  <si>
    <t>1920|23</t>
  </si>
  <si>
    <t>1940|23</t>
  </si>
  <si>
    <t>1980|24</t>
  </si>
  <si>
    <t>2000|24</t>
  </si>
  <si>
    <t>2020|24</t>
  </si>
  <si>
    <t>2040|25</t>
  </si>
  <si>
    <t>2080|25</t>
  </si>
  <si>
    <t>2100|25</t>
  </si>
  <si>
    <t>2120|25</t>
  </si>
  <si>
    <t>回愈净神诀</t>
  </si>
  <si>
    <t>治疗量：400+10%血上限</t>
  </si>
  <si>
    <t>440|10</t>
  </si>
  <si>
    <t>480|10</t>
  </si>
  <si>
    <t>520|10</t>
  </si>
  <si>
    <t>560|10</t>
  </si>
  <si>
    <t>600|11</t>
  </si>
  <si>
    <t>640|11</t>
  </si>
  <si>
    <t>680|11</t>
  </si>
  <si>
    <t>720|11</t>
  </si>
  <si>
    <t>760|11</t>
  </si>
  <si>
    <t>800|12</t>
  </si>
  <si>
    <t>840|12</t>
  </si>
  <si>
    <t>880|12</t>
  </si>
  <si>
    <t>920|12</t>
  </si>
  <si>
    <t>960|12</t>
  </si>
  <si>
    <t>1000|13</t>
  </si>
  <si>
    <t>1040|13</t>
  </si>
  <si>
    <t>1080|13</t>
  </si>
  <si>
    <t>1120|13</t>
  </si>
  <si>
    <t>1160|13</t>
  </si>
  <si>
    <t>1200|14</t>
  </si>
  <si>
    <t>1320|14</t>
  </si>
  <si>
    <t>1360|14</t>
  </si>
  <si>
    <t>1400|15</t>
  </si>
  <si>
    <t>1440|15</t>
  </si>
  <si>
    <t>1480|15</t>
  </si>
  <si>
    <t>1520|15</t>
  </si>
  <si>
    <t>1560|15</t>
  </si>
  <si>
    <t>1600|16</t>
  </si>
  <si>
    <t>1640|16</t>
  </si>
  <si>
    <t>1680|16</t>
  </si>
  <si>
    <t>1720|16</t>
  </si>
  <si>
    <t>1760|16</t>
  </si>
  <si>
    <t>1800|17</t>
  </si>
  <si>
    <t>1840|17</t>
  </si>
  <si>
    <t>1880|17</t>
  </si>
  <si>
    <t>1920|17</t>
  </si>
  <si>
    <t>1960|17</t>
  </si>
  <si>
    <t>2000|18</t>
  </si>
  <si>
    <t>2040|18</t>
  </si>
  <si>
    <t>2080|18</t>
  </si>
  <si>
    <t>2120|18</t>
  </si>
  <si>
    <t>2160|18</t>
  </si>
  <si>
    <t>2200|19</t>
  </si>
  <si>
    <t>2240|19</t>
  </si>
  <si>
    <t>2280|19</t>
  </si>
  <si>
    <t>2320|20</t>
  </si>
  <si>
    <t>2360|20</t>
  </si>
  <si>
    <t>100|80</t>
  </si>
  <si>
    <t>攻速增加100%，攻击降低80%</t>
  </si>
  <si>
    <t>102|80</t>
  </si>
  <si>
    <t>104|80</t>
  </si>
  <si>
    <t>106|80</t>
  </si>
  <si>
    <t>108|80</t>
  </si>
  <si>
    <t>110|80</t>
  </si>
  <si>
    <t>112|80</t>
  </si>
  <si>
    <t>114|80</t>
  </si>
  <si>
    <t>116|80</t>
  </si>
  <si>
    <t>118|70</t>
  </si>
  <si>
    <t>120|70</t>
  </si>
  <si>
    <t>122|70</t>
  </si>
  <si>
    <t>124|70</t>
  </si>
  <si>
    <t>126|70</t>
  </si>
  <si>
    <t>128|70</t>
  </si>
  <si>
    <t>130|70</t>
  </si>
  <si>
    <t>132|70</t>
  </si>
  <si>
    <t>134|70</t>
  </si>
  <si>
    <t>136|70</t>
  </si>
  <si>
    <t>138|60</t>
  </si>
  <si>
    <t>140|60</t>
  </si>
  <si>
    <t>142|60</t>
  </si>
  <si>
    <t>144|60</t>
  </si>
  <si>
    <t>146|60</t>
  </si>
  <si>
    <t>148|60</t>
  </si>
  <si>
    <t>150|60</t>
  </si>
  <si>
    <t>152|60</t>
  </si>
  <si>
    <t>154|60</t>
  </si>
  <si>
    <t>156|60</t>
  </si>
  <si>
    <t>158|50</t>
  </si>
  <si>
    <t>160|50</t>
  </si>
  <si>
    <t>162|50</t>
  </si>
  <si>
    <t>164|50</t>
  </si>
  <si>
    <t>166|50</t>
  </si>
  <si>
    <t>168|50</t>
  </si>
  <si>
    <t>170|50</t>
  </si>
  <si>
    <t>172|50</t>
  </si>
  <si>
    <t>174|50</t>
  </si>
  <si>
    <t>176|50</t>
  </si>
  <si>
    <t>178|40</t>
  </si>
  <si>
    <t>180|40</t>
  </si>
  <si>
    <t>182|40</t>
  </si>
  <si>
    <t>184|40</t>
  </si>
  <si>
    <t>186|40</t>
  </si>
  <si>
    <t>188|40</t>
  </si>
  <si>
    <t>190|40</t>
  </si>
  <si>
    <t>192|40</t>
  </si>
  <si>
    <t>194|40</t>
  </si>
  <si>
    <t>196|40</t>
  </si>
  <si>
    <t>198|40</t>
  </si>
  <si>
    <t>蓝元增攻诀</t>
  </si>
  <si>
    <t>攻击增加10%</t>
  </si>
  <si>
    <t>剑芒聚气诀</t>
  </si>
  <si>
    <t>造成5段34%的伤害，招式结束后回复50%气</t>
  </si>
  <si>
    <t>-65|-65|-65|-65|-65</t>
  </si>
  <si>
    <t>51</t>
  </si>
  <si>
    <t>52</t>
  </si>
  <si>
    <t>53</t>
  </si>
  <si>
    <t>-63|-63|-63|-63|-63</t>
  </si>
  <si>
    <t>54</t>
  </si>
  <si>
    <t>56</t>
  </si>
  <si>
    <t>-61|-61|-61|-61|-61</t>
  </si>
  <si>
    <t>57</t>
  </si>
  <si>
    <t>58</t>
  </si>
  <si>
    <t>59</t>
  </si>
  <si>
    <t>-59|-59|-59|-59|-59</t>
  </si>
  <si>
    <t>61</t>
  </si>
  <si>
    <t>62</t>
  </si>
  <si>
    <t>63</t>
  </si>
  <si>
    <t>-57|-57|-57|-57|-57</t>
  </si>
  <si>
    <t>64</t>
  </si>
  <si>
    <t>66</t>
  </si>
  <si>
    <t>-55|-55|-55|-55|-55</t>
  </si>
  <si>
    <t>67</t>
  </si>
  <si>
    <t>68</t>
  </si>
  <si>
    <t>69</t>
  </si>
  <si>
    <t>-53|-53|-53|-53|-53</t>
  </si>
  <si>
    <t>71</t>
  </si>
  <si>
    <t>72</t>
  </si>
  <si>
    <t>-51|-51|-51|-51|-51</t>
  </si>
  <si>
    <t>73</t>
  </si>
  <si>
    <t>74</t>
  </si>
  <si>
    <t>-49|-49|-49|-49|-49</t>
  </si>
  <si>
    <t>76</t>
  </si>
  <si>
    <t>77</t>
  </si>
  <si>
    <t>78</t>
  </si>
  <si>
    <t>-47|-47|-47|-47|-47</t>
  </si>
  <si>
    <t>79</t>
  </si>
  <si>
    <t>81</t>
  </si>
  <si>
    <t>-45|-45|-45|-45|-45</t>
  </si>
  <si>
    <t>82</t>
  </si>
  <si>
    <t>83</t>
  </si>
  <si>
    <t>84</t>
  </si>
  <si>
    <t>-43|-43|-43|-43|-43</t>
  </si>
  <si>
    <t>86</t>
  </si>
  <si>
    <t>87</t>
  </si>
  <si>
    <t>-41|-41|-41|-41|-41</t>
  </si>
  <si>
    <t>88</t>
  </si>
  <si>
    <t>89</t>
  </si>
  <si>
    <t>-39|-39|-39|-39|-39</t>
  </si>
  <si>
    <t>91</t>
  </si>
  <si>
    <t>92</t>
  </si>
  <si>
    <t>93</t>
  </si>
  <si>
    <t>-37|-37|-37|-37|-37</t>
  </si>
  <si>
    <t>94</t>
  </si>
  <si>
    <t>96</t>
  </si>
  <si>
    <t>-35|-35|-35|-35|-35</t>
  </si>
  <si>
    <t>97</t>
  </si>
  <si>
    <t>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</si>
</sst>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49" fontId="1" fillId="2" borderId="0" xfId="0" applyNumberFormat="1" applyFont="1" applyFill="1" applyAlignment="1">
      <alignment vertical="center"/>
    </xf>
    <xf numFmtId="0" fontId="0" fillId="2" borderId="0" xfId="0" applyFill="1"/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0" fontId="1" fillId="2" borderId="0" xfId="0" applyFont="1" applyFill="1"/>
    <xf numFmtId="177" fontId="1" fillId="0" borderId="0" xfId="0" applyNumberFormat="1" applyFont="1"/>
    <xf numFmtId="177" fontId="0" fillId="2" borderId="0" xfId="0" applyNumberFormat="1" applyFill="1"/>
    <xf numFmtId="176" fontId="0" fillId="3" borderId="0" xfId="0" applyNumberFormat="1" applyFill="1"/>
    <xf numFmtId="0" fontId="0" fillId="3" borderId="0" xfId="0" applyFill="1"/>
    <xf numFmtId="176" fontId="0" fillId="4" borderId="0" xfId="0" applyNumberFormat="1" applyFill="1"/>
    <xf numFmtId="0" fontId="0" fillId="4" borderId="0" xfId="0" applyFill="1"/>
    <xf numFmtId="176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49" fontId="0" fillId="7" borderId="0" xfId="0" applyNumberFormat="1" applyFill="1"/>
    <xf numFmtId="49" fontId="1" fillId="7" borderId="0" xfId="0" applyNumberFormat="1" applyFont="1" applyFill="1"/>
    <xf numFmtId="49" fontId="0" fillId="0" borderId="0" xfId="0" applyNumberFormat="1" applyAlignment="1">
      <alignment vertical="center" wrapText="1"/>
    </xf>
    <xf numFmtId="49" fontId="0" fillId="7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1" fillId="6" borderId="0" xfId="0" applyNumberFormat="1" applyFont="1" applyFill="1"/>
    <xf numFmtId="49" fontId="1" fillId="6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54"/>
  <sheetViews>
    <sheetView tabSelected="1" workbookViewId="0">
      <pane ySplit="1" topLeftCell="A1308" activePane="bottomLeft" state="frozen"/>
      <selection/>
      <selection pane="bottomLeft" activeCell="E1322" sqref="E1322"/>
    </sheetView>
  </sheetViews>
  <sheetFormatPr defaultColWidth="9" defaultRowHeight="14.25"/>
  <cols>
    <col min="1" max="2" width="9" style="2" customWidth="1"/>
    <col min="3" max="3" width="11.625" style="2" customWidth="1"/>
    <col min="4" max="4" width="31.5" style="2" customWidth="1"/>
    <col min="5" max="5" width="39.25" style="2" customWidth="1"/>
    <col min="6" max="7" width="9" style="2" customWidth="1"/>
    <col min="8" max="8" width="32.5" style="2" customWidth="1"/>
    <col min="9" max="16383" width="9" style="2" customWidth="1"/>
    <col min="16384" max="16384" width="9" style="2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>
      <c r="A3" t="s">
        <v>12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4" t="s">
        <v>7</v>
      </c>
      <c r="I3" s="4" t="s">
        <v>8</v>
      </c>
      <c r="J3" s="4" t="s">
        <v>9</v>
      </c>
    </row>
    <row r="4" spans="1:10">
      <c r="B4" s="23">
        <v>10001</v>
      </c>
      <c r="C4" s="23">
        <v>141001</v>
      </c>
      <c r="D4" s="23" t="s">
        <v>13</v>
      </c>
      <c r="E4" s="24" t="s">
        <v>14</v>
      </c>
      <c r="F4" s="23" t="s">
        <v>15</v>
      </c>
      <c r="I4" s="4" t="s">
        <v>16</v>
      </c>
      <c r="J4" s="2">
        <v>12.5</v>
      </c>
    </row>
    <row r="5" spans="1:10">
      <c r="B5" s="23">
        <v>10002</v>
      </c>
      <c r="C5" s="23">
        <v>141001</v>
      </c>
      <c r="D5" s="23" t="s">
        <v>17</v>
      </c>
      <c r="E5" s="23" t="s">
        <v>18</v>
      </c>
      <c r="F5" s="23" t="s">
        <v>19</v>
      </c>
      <c r="I5" s="4" t="s">
        <v>16</v>
      </c>
      <c r="J5" s="2">
        <v>14.875</v>
      </c>
    </row>
    <row r="6" spans="1:10">
      <c r="B6" s="23">
        <v>10003</v>
      </c>
      <c r="C6" s="23">
        <v>141001</v>
      </c>
      <c r="D6" s="23" t="s">
        <v>20</v>
      </c>
      <c r="E6" s="23" t="s">
        <v>21</v>
      </c>
      <c r="F6" s="23" t="s">
        <v>22</v>
      </c>
      <c r="I6" s="4" t="s">
        <v>16</v>
      </c>
      <c r="J6" s="2">
        <v>17.25</v>
      </c>
    </row>
    <row r="7" spans="1:10">
      <c r="B7" s="23">
        <v>10004</v>
      </c>
      <c r="C7" s="23">
        <v>141001</v>
      </c>
      <c r="D7" s="23" t="s">
        <v>23</v>
      </c>
      <c r="E7" s="23" t="s">
        <v>24</v>
      </c>
      <c r="F7" s="23" t="s">
        <v>25</v>
      </c>
      <c r="I7" s="4" t="s">
        <v>16</v>
      </c>
      <c r="J7" s="2">
        <v>19.625</v>
      </c>
    </row>
    <row r="8" spans="1:10">
      <c r="B8" s="23">
        <v>10005</v>
      </c>
      <c r="C8" s="23">
        <v>141001</v>
      </c>
      <c r="D8" s="23" t="s">
        <v>26</v>
      </c>
      <c r="E8" s="23" t="s">
        <v>27</v>
      </c>
      <c r="F8" s="23" t="s">
        <v>28</v>
      </c>
      <c r="I8" s="4" t="s">
        <v>16</v>
      </c>
      <c r="J8" s="2">
        <v>22</v>
      </c>
    </row>
    <row r="9" spans="1:10">
      <c r="B9" s="23">
        <v>10006</v>
      </c>
      <c r="C9" s="23">
        <v>141001</v>
      </c>
      <c r="D9" s="23" t="s">
        <v>29</v>
      </c>
      <c r="E9" s="23" t="s">
        <v>30</v>
      </c>
      <c r="F9" s="23" t="s">
        <v>31</v>
      </c>
      <c r="I9" s="4" t="s">
        <v>16</v>
      </c>
      <c r="J9" s="2">
        <v>24.375</v>
      </c>
    </row>
    <row r="10" spans="1:10">
      <c r="B10" s="23">
        <v>10007</v>
      </c>
      <c r="C10" s="23">
        <v>141001</v>
      </c>
      <c r="D10" s="23" t="s">
        <v>32</v>
      </c>
      <c r="E10" s="23" t="s">
        <v>33</v>
      </c>
      <c r="F10" s="23" t="s">
        <v>34</v>
      </c>
      <c r="I10" s="4" t="s">
        <v>16</v>
      </c>
      <c r="J10" s="2">
        <v>26.75</v>
      </c>
    </row>
    <row r="11" spans="1:10">
      <c r="B11" s="23">
        <v>10008</v>
      </c>
      <c r="C11" s="23">
        <v>141001</v>
      </c>
      <c r="D11" s="23" t="s">
        <v>35</v>
      </c>
      <c r="E11" s="23" t="s">
        <v>36</v>
      </c>
      <c r="F11" s="23" t="s">
        <v>37</v>
      </c>
      <c r="I11" s="4" t="s">
        <v>16</v>
      </c>
      <c r="J11" s="2">
        <v>29.125</v>
      </c>
    </row>
    <row r="12" spans="1:10">
      <c r="B12" s="23">
        <v>10009</v>
      </c>
      <c r="C12" s="23">
        <v>141001</v>
      </c>
      <c r="D12" s="23" t="s">
        <v>38</v>
      </c>
      <c r="E12" s="23" t="s">
        <v>39</v>
      </c>
      <c r="F12" s="23" t="s">
        <v>40</v>
      </c>
      <c r="I12" s="4" t="s">
        <v>16</v>
      </c>
      <c r="J12" s="2">
        <v>31.5</v>
      </c>
    </row>
    <row r="13" spans="1:10">
      <c r="B13" s="23">
        <v>10010</v>
      </c>
      <c r="C13" s="23">
        <v>141001</v>
      </c>
      <c r="D13" s="23" t="s">
        <v>41</v>
      </c>
      <c r="E13" s="23" t="s">
        <v>42</v>
      </c>
      <c r="F13" s="23" t="s">
        <v>43</v>
      </c>
      <c r="I13" s="4" t="s">
        <v>16</v>
      </c>
      <c r="J13" s="2">
        <v>33.875</v>
      </c>
    </row>
    <row r="14" spans="1:10">
      <c r="B14" s="23">
        <v>10011</v>
      </c>
      <c r="C14" s="23">
        <v>141001</v>
      </c>
      <c r="D14" s="23" t="s">
        <v>44</v>
      </c>
      <c r="E14" s="23" t="s">
        <v>45</v>
      </c>
      <c r="F14" s="23" t="s">
        <v>46</v>
      </c>
      <c r="I14" s="4" t="s">
        <v>16</v>
      </c>
      <c r="J14" s="2">
        <v>36.25</v>
      </c>
    </row>
    <row r="15" spans="1:10">
      <c r="B15" s="23">
        <v>10012</v>
      </c>
      <c r="C15" s="23">
        <v>141001</v>
      </c>
      <c r="D15" s="23" t="s">
        <v>47</v>
      </c>
      <c r="E15" s="23" t="s">
        <v>48</v>
      </c>
      <c r="F15" s="23" t="s">
        <v>49</v>
      </c>
      <c r="I15" s="4" t="s">
        <v>16</v>
      </c>
      <c r="J15" s="2">
        <v>38.625</v>
      </c>
    </row>
    <row r="16" spans="1:10">
      <c r="B16" s="23">
        <v>10013</v>
      </c>
      <c r="C16" s="23">
        <v>141001</v>
      </c>
      <c r="D16" s="23" t="s">
        <v>50</v>
      </c>
      <c r="E16" s="23" t="s">
        <v>51</v>
      </c>
      <c r="F16" s="23" t="s">
        <v>52</v>
      </c>
      <c r="I16" s="4" t="s">
        <v>16</v>
      </c>
      <c r="J16" s="2">
        <v>41</v>
      </c>
    </row>
    <row r="17" spans="2:10">
      <c r="B17" s="23">
        <v>10014</v>
      </c>
      <c r="C17" s="23">
        <v>141001</v>
      </c>
      <c r="D17" s="23" t="s">
        <v>53</v>
      </c>
      <c r="E17" s="23" t="s">
        <v>54</v>
      </c>
      <c r="F17" s="23" t="s">
        <v>55</v>
      </c>
      <c r="I17" s="4" t="s">
        <v>16</v>
      </c>
      <c r="J17" s="2">
        <v>43.375</v>
      </c>
    </row>
    <row r="18" spans="2:10">
      <c r="B18" s="23">
        <v>10015</v>
      </c>
      <c r="C18" s="23">
        <v>141001</v>
      </c>
      <c r="D18" s="23" t="s">
        <v>56</v>
      </c>
      <c r="E18" s="23" t="s">
        <v>57</v>
      </c>
      <c r="F18" s="23" t="s">
        <v>58</v>
      </c>
      <c r="I18" s="4" t="s">
        <v>16</v>
      </c>
      <c r="J18" s="2">
        <v>45.75</v>
      </c>
    </row>
    <row r="19" spans="2:10">
      <c r="B19" s="23">
        <v>10016</v>
      </c>
      <c r="C19" s="23">
        <v>141001</v>
      </c>
      <c r="D19" s="23" t="s">
        <v>59</v>
      </c>
      <c r="E19" s="23" t="s">
        <v>60</v>
      </c>
      <c r="F19" s="23" t="s">
        <v>61</v>
      </c>
      <c r="I19" s="4" t="s">
        <v>16</v>
      </c>
      <c r="J19" s="2">
        <v>48.125</v>
      </c>
    </row>
    <row r="20" spans="2:10">
      <c r="B20" s="23">
        <v>10017</v>
      </c>
      <c r="C20" s="23">
        <v>141001</v>
      </c>
      <c r="D20" s="23" t="s">
        <v>62</v>
      </c>
      <c r="E20" s="23" t="s">
        <v>63</v>
      </c>
      <c r="F20" s="23" t="s">
        <v>64</v>
      </c>
      <c r="I20" s="4" t="s">
        <v>16</v>
      </c>
      <c r="J20" s="2">
        <v>50.5</v>
      </c>
    </row>
    <row r="21" spans="2:10">
      <c r="B21" s="23">
        <v>10018</v>
      </c>
      <c r="C21" s="23">
        <v>141001</v>
      </c>
      <c r="D21" s="23" t="s">
        <v>65</v>
      </c>
      <c r="E21" s="23" t="s">
        <v>66</v>
      </c>
      <c r="F21" s="23" t="s">
        <v>67</v>
      </c>
      <c r="I21" s="4" t="s">
        <v>16</v>
      </c>
      <c r="J21" s="2">
        <v>52.875</v>
      </c>
    </row>
    <row r="22" spans="2:10">
      <c r="B22" s="23">
        <v>10019</v>
      </c>
      <c r="C22" s="23">
        <v>141001</v>
      </c>
      <c r="D22" s="23" t="s">
        <v>68</v>
      </c>
      <c r="E22" s="23" t="s">
        <v>69</v>
      </c>
      <c r="F22" s="23" t="s">
        <v>70</v>
      </c>
      <c r="I22" s="4" t="s">
        <v>16</v>
      </c>
      <c r="J22" s="2">
        <v>55.25</v>
      </c>
    </row>
    <row r="23" spans="2:10">
      <c r="B23" s="23">
        <v>10020</v>
      </c>
      <c r="C23" s="23">
        <v>141001</v>
      </c>
      <c r="D23" s="23" t="s">
        <v>71</v>
      </c>
      <c r="E23" s="23" t="s">
        <v>72</v>
      </c>
      <c r="F23" s="23" t="s">
        <v>73</v>
      </c>
      <c r="I23" s="4" t="s">
        <v>16</v>
      </c>
      <c r="J23" s="2">
        <v>57.625</v>
      </c>
    </row>
    <row r="24" spans="2:10">
      <c r="B24" s="23">
        <v>10021</v>
      </c>
      <c r="C24" s="23">
        <v>141001</v>
      </c>
      <c r="D24" s="23" t="s">
        <v>74</v>
      </c>
      <c r="E24" s="23" t="s">
        <v>75</v>
      </c>
      <c r="F24" s="23" t="s">
        <v>76</v>
      </c>
      <c r="I24" s="4" t="s">
        <v>16</v>
      </c>
      <c r="J24" s="2">
        <v>60</v>
      </c>
    </row>
    <row r="25" spans="2:10">
      <c r="B25" s="23">
        <v>10022</v>
      </c>
      <c r="C25" s="23">
        <v>141001</v>
      </c>
      <c r="D25" s="23" t="s">
        <v>77</v>
      </c>
      <c r="E25" s="23" t="s">
        <v>78</v>
      </c>
      <c r="F25" s="23" t="s">
        <v>79</v>
      </c>
      <c r="I25" s="4" t="s">
        <v>16</v>
      </c>
      <c r="J25" s="2">
        <v>62.375</v>
      </c>
    </row>
    <row r="26" spans="2:10">
      <c r="B26" s="23">
        <v>10023</v>
      </c>
      <c r="C26" s="23">
        <v>141001</v>
      </c>
      <c r="D26" s="23" t="s">
        <v>80</v>
      </c>
      <c r="E26" s="23" t="s">
        <v>81</v>
      </c>
      <c r="F26" s="23" t="s">
        <v>82</v>
      </c>
      <c r="I26" s="4" t="s">
        <v>16</v>
      </c>
      <c r="J26" s="2">
        <v>64.75</v>
      </c>
    </row>
    <row r="27" spans="2:10">
      <c r="B27" s="23">
        <v>10024</v>
      </c>
      <c r="C27" s="23">
        <v>141001</v>
      </c>
      <c r="D27" s="23" t="s">
        <v>83</v>
      </c>
      <c r="E27" s="23" t="s">
        <v>84</v>
      </c>
      <c r="F27" s="23" t="s">
        <v>85</v>
      </c>
      <c r="I27" s="4" t="s">
        <v>16</v>
      </c>
      <c r="J27" s="2">
        <v>67.125</v>
      </c>
    </row>
    <row r="28" spans="2:10">
      <c r="B28" s="23">
        <v>10025</v>
      </c>
      <c r="C28" s="23">
        <v>141001</v>
      </c>
      <c r="D28" s="23" t="s">
        <v>86</v>
      </c>
      <c r="E28" s="23" t="s">
        <v>87</v>
      </c>
      <c r="F28" s="23" t="s">
        <v>88</v>
      </c>
      <c r="I28" s="4" t="s">
        <v>16</v>
      </c>
      <c r="J28" s="2">
        <v>69.5</v>
      </c>
    </row>
    <row r="29" spans="2:10">
      <c r="B29" s="23">
        <v>10026</v>
      </c>
      <c r="C29" s="23">
        <v>141001</v>
      </c>
      <c r="D29" s="23" t="s">
        <v>89</v>
      </c>
      <c r="E29" s="23" t="s">
        <v>90</v>
      </c>
      <c r="F29" s="23" t="s">
        <v>91</v>
      </c>
      <c r="I29" s="4" t="s">
        <v>16</v>
      </c>
      <c r="J29" s="2">
        <v>71.875</v>
      </c>
    </row>
    <row r="30" spans="2:10">
      <c r="B30" s="23">
        <v>10027</v>
      </c>
      <c r="C30" s="23">
        <v>141001</v>
      </c>
      <c r="D30" s="23" t="s">
        <v>92</v>
      </c>
      <c r="E30" s="23" t="s">
        <v>93</v>
      </c>
      <c r="F30" s="23" t="s">
        <v>94</v>
      </c>
      <c r="I30" s="4" t="s">
        <v>16</v>
      </c>
      <c r="J30" s="2">
        <v>74.25</v>
      </c>
    </row>
    <row r="31" spans="2:10">
      <c r="B31" s="23">
        <v>10028</v>
      </c>
      <c r="C31" s="23">
        <v>141001</v>
      </c>
      <c r="D31" s="23" t="s">
        <v>95</v>
      </c>
      <c r="E31" s="23" t="s">
        <v>96</v>
      </c>
      <c r="F31" s="23" t="s">
        <v>97</v>
      </c>
      <c r="I31" s="4" t="s">
        <v>16</v>
      </c>
      <c r="J31" s="2">
        <v>76.625</v>
      </c>
    </row>
    <row r="32" spans="2:10">
      <c r="B32" s="23">
        <v>10029</v>
      </c>
      <c r="C32" s="23">
        <v>141001</v>
      </c>
      <c r="D32" s="23" t="s">
        <v>98</v>
      </c>
      <c r="E32" s="23" t="s">
        <v>99</v>
      </c>
      <c r="F32" s="23" t="s">
        <v>100</v>
      </c>
      <c r="I32" s="4" t="s">
        <v>16</v>
      </c>
      <c r="J32" s="2">
        <v>79</v>
      </c>
    </row>
    <row r="33" spans="2:10">
      <c r="B33" s="23">
        <v>10030</v>
      </c>
      <c r="C33" s="23">
        <v>141001</v>
      </c>
      <c r="D33" s="23" t="s">
        <v>101</v>
      </c>
      <c r="E33" s="23" t="s">
        <v>102</v>
      </c>
      <c r="F33" s="23" t="s">
        <v>103</v>
      </c>
      <c r="I33" s="4" t="s">
        <v>16</v>
      </c>
      <c r="J33" s="2">
        <v>81.375</v>
      </c>
    </row>
    <row r="34" spans="2:10">
      <c r="B34" s="23">
        <v>10031</v>
      </c>
      <c r="C34" s="23">
        <v>141001</v>
      </c>
      <c r="D34" s="23" t="s">
        <v>104</v>
      </c>
      <c r="E34" s="23" t="s">
        <v>105</v>
      </c>
      <c r="F34" s="23" t="s">
        <v>106</v>
      </c>
      <c r="I34" s="4" t="s">
        <v>16</v>
      </c>
      <c r="J34" s="2">
        <v>83.75</v>
      </c>
    </row>
    <row r="35" spans="2:10">
      <c r="B35" s="23">
        <v>10032</v>
      </c>
      <c r="C35" s="23">
        <v>141001</v>
      </c>
      <c r="D35" s="23" t="s">
        <v>107</v>
      </c>
      <c r="E35" s="23" t="s">
        <v>108</v>
      </c>
      <c r="F35" s="23" t="s">
        <v>109</v>
      </c>
      <c r="I35" s="4" t="s">
        <v>16</v>
      </c>
      <c r="J35" s="2">
        <v>86.125</v>
      </c>
    </row>
    <row r="36" spans="2:10">
      <c r="B36" s="23">
        <v>10033</v>
      </c>
      <c r="C36" s="23">
        <v>141001</v>
      </c>
      <c r="D36" s="23" t="s">
        <v>110</v>
      </c>
      <c r="E36" s="23" t="s">
        <v>111</v>
      </c>
      <c r="F36" s="23" t="s">
        <v>112</v>
      </c>
      <c r="I36" s="4" t="s">
        <v>16</v>
      </c>
      <c r="J36" s="2">
        <v>88.5</v>
      </c>
    </row>
    <row r="37" spans="2:10">
      <c r="B37" s="23">
        <v>10034</v>
      </c>
      <c r="C37" s="23">
        <v>141001</v>
      </c>
      <c r="D37" s="23" t="s">
        <v>113</v>
      </c>
      <c r="E37" s="23" t="s">
        <v>114</v>
      </c>
      <c r="F37" s="23" t="s">
        <v>115</v>
      </c>
      <c r="I37" s="4" t="s">
        <v>16</v>
      </c>
      <c r="J37" s="2">
        <v>90.875</v>
      </c>
    </row>
    <row r="38" spans="2:10">
      <c r="B38" s="23">
        <v>10035</v>
      </c>
      <c r="C38" s="23">
        <v>141001</v>
      </c>
      <c r="D38" s="23" t="s">
        <v>116</v>
      </c>
      <c r="E38" s="23" t="s">
        <v>117</v>
      </c>
      <c r="F38" s="23" t="s">
        <v>118</v>
      </c>
      <c r="I38" s="4" t="s">
        <v>16</v>
      </c>
      <c r="J38" s="2">
        <v>93.25</v>
      </c>
    </row>
    <row r="39" spans="2:10">
      <c r="B39" s="23">
        <v>10036</v>
      </c>
      <c r="C39" s="23">
        <v>141001</v>
      </c>
      <c r="D39" s="23" t="s">
        <v>119</v>
      </c>
      <c r="E39" s="23" t="s">
        <v>120</v>
      </c>
      <c r="F39" s="23" t="s">
        <v>121</v>
      </c>
      <c r="I39" s="4" t="s">
        <v>16</v>
      </c>
      <c r="J39" s="2">
        <v>95.625</v>
      </c>
    </row>
    <row r="40" spans="2:10">
      <c r="B40" s="23">
        <v>10037</v>
      </c>
      <c r="C40" s="23">
        <v>141001</v>
      </c>
      <c r="D40" s="23" t="s">
        <v>122</v>
      </c>
      <c r="E40" s="23" t="s">
        <v>123</v>
      </c>
      <c r="F40" s="23" t="s">
        <v>124</v>
      </c>
      <c r="I40" s="4" t="s">
        <v>16</v>
      </c>
      <c r="J40" s="2">
        <v>98</v>
      </c>
    </row>
    <row r="41" spans="2:10">
      <c r="B41" s="23">
        <v>10038</v>
      </c>
      <c r="C41" s="23">
        <v>141001</v>
      </c>
      <c r="D41" s="23" t="s">
        <v>125</v>
      </c>
      <c r="E41" s="23" t="s">
        <v>126</v>
      </c>
      <c r="F41" s="23" t="s">
        <v>127</v>
      </c>
      <c r="I41" s="4" t="s">
        <v>16</v>
      </c>
      <c r="J41" s="2">
        <v>100.375</v>
      </c>
    </row>
    <row r="42" spans="2:10">
      <c r="B42" s="23">
        <v>10039</v>
      </c>
      <c r="C42" s="23">
        <v>141001</v>
      </c>
      <c r="D42" s="23" t="s">
        <v>128</v>
      </c>
      <c r="E42" s="23" t="s">
        <v>129</v>
      </c>
      <c r="F42" s="23" t="s">
        <v>130</v>
      </c>
      <c r="I42" s="4" t="s">
        <v>16</v>
      </c>
      <c r="J42" s="2">
        <v>102.75</v>
      </c>
    </row>
    <row r="43" spans="2:10">
      <c r="B43" s="23">
        <v>10040</v>
      </c>
      <c r="C43" s="23">
        <v>141001</v>
      </c>
      <c r="D43" s="23" t="s">
        <v>131</v>
      </c>
      <c r="E43" s="23" t="s">
        <v>132</v>
      </c>
      <c r="F43" s="23" t="s">
        <v>133</v>
      </c>
      <c r="I43" s="4" t="s">
        <v>16</v>
      </c>
      <c r="J43" s="2">
        <v>105.125</v>
      </c>
    </row>
    <row r="44" spans="2:10">
      <c r="B44" s="23">
        <v>10041</v>
      </c>
      <c r="C44" s="23">
        <v>141001</v>
      </c>
      <c r="D44" s="23" t="s">
        <v>134</v>
      </c>
      <c r="E44" s="23" t="s">
        <v>135</v>
      </c>
      <c r="F44" s="23" t="s">
        <v>136</v>
      </c>
      <c r="I44" s="4" t="s">
        <v>16</v>
      </c>
      <c r="J44" s="2">
        <v>107.5</v>
      </c>
    </row>
    <row r="45" spans="2:10">
      <c r="B45" s="23">
        <v>10042</v>
      </c>
      <c r="C45" s="23">
        <v>141001</v>
      </c>
      <c r="D45" s="23" t="s">
        <v>137</v>
      </c>
      <c r="E45" s="23" t="s">
        <v>138</v>
      </c>
      <c r="F45" s="23" t="s">
        <v>139</v>
      </c>
      <c r="I45" s="4" t="s">
        <v>16</v>
      </c>
      <c r="J45" s="2">
        <v>109.875</v>
      </c>
    </row>
    <row r="46" spans="2:10">
      <c r="B46" s="23">
        <v>10043</v>
      </c>
      <c r="C46" s="23">
        <v>141001</v>
      </c>
      <c r="D46" s="23" t="s">
        <v>140</v>
      </c>
      <c r="E46" s="23" t="s">
        <v>141</v>
      </c>
      <c r="F46" s="23" t="s">
        <v>142</v>
      </c>
      <c r="I46" s="4" t="s">
        <v>16</v>
      </c>
      <c r="J46" s="2">
        <v>112.25</v>
      </c>
    </row>
    <row r="47" spans="2:10">
      <c r="B47" s="23">
        <v>10044</v>
      </c>
      <c r="C47" s="23">
        <v>141001</v>
      </c>
      <c r="D47" s="23" t="s">
        <v>143</v>
      </c>
      <c r="E47" s="23" t="s">
        <v>144</v>
      </c>
      <c r="F47" s="23" t="s">
        <v>145</v>
      </c>
      <c r="I47" s="4" t="s">
        <v>16</v>
      </c>
      <c r="J47" s="2">
        <v>114.625</v>
      </c>
    </row>
    <row r="48" spans="2:10">
      <c r="B48" s="23">
        <v>10045</v>
      </c>
      <c r="C48" s="23">
        <v>141001</v>
      </c>
      <c r="D48" s="23" t="s">
        <v>146</v>
      </c>
      <c r="E48" s="23" t="s">
        <v>147</v>
      </c>
      <c r="F48" s="23" t="s">
        <v>148</v>
      </c>
      <c r="I48" s="4" t="s">
        <v>16</v>
      </c>
      <c r="J48" s="2">
        <v>117</v>
      </c>
    </row>
    <row r="49" spans="2:10">
      <c r="B49" s="23">
        <v>10046</v>
      </c>
      <c r="C49" s="23">
        <v>141001</v>
      </c>
      <c r="D49" s="23" t="s">
        <v>149</v>
      </c>
      <c r="E49" s="23" t="s">
        <v>150</v>
      </c>
      <c r="F49" s="23" t="s">
        <v>151</v>
      </c>
      <c r="I49" s="4" t="s">
        <v>16</v>
      </c>
      <c r="J49" s="2">
        <v>119.375</v>
      </c>
    </row>
    <row r="50" spans="2:10">
      <c r="B50" s="23">
        <v>10047</v>
      </c>
      <c r="C50" s="23">
        <v>141001</v>
      </c>
      <c r="D50" s="23" t="s">
        <v>152</v>
      </c>
      <c r="E50" s="23" t="s">
        <v>153</v>
      </c>
      <c r="F50" s="23" t="s">
        <v>154</v>
      </c>
      <c r="I50" s="4" t="s">
        <v>16</v>
      </c>
      <c r="J50" s="2">
        <v>121.75</v>
      </c>
    </row>
    <row r="51" spans="2:10">
      <c r="B51" s="23">
        <v>10048</v>
      </c>
      <c r="C51" s="23">
        <v>141001</v>
      </c>
      <c r="D51" s="23" t="s">
        <v>155</v>
      </c>
      <c r="E51" s="23" t="s">
        <v>156</v>
      </c>
      <c r="F51" s="23" t="s">
        <v>157</v>
      </c>
      <c r="I51" s="4" t="s">
        <v>16</v>
      </c>
      <c r="J51" s="2">
        <v>124.125</v>
      </c>
    </row>
    <row r="52" spans="2:10">
      <c r="B52" s="23">
        <v>10049</v>
      </c>
      <c r="C52" s="23">
        <v>141001</v>
      </c>
      <c r="D52" s="23" t="s">
        <v>158</v>
      </c>
      <c r="E52" s="23" t="s">
        <v>159</v>
      </c>
      <c r="F52" s="23" t="s">
        <v>160</v>
      </c>
      <c r="I52" s="4" t="s">
        <v>16</v>
      </c>
      <c r="J52" s="2">
        <v>126.5</v>
      </c>
    </row>
    <row r="53" spans="2:10">
      <c r="B53" s="23">
        <v>10050</v>
      </c>
      <c r="C53" s="23">
        <v>141001</v>
      </c>
      <c r="D53" s="23" t="s">
        <v>161</v>
      </c>
      <c r="E53" s="23" t="s">
        <v>162</v>
      </c>
      <c r="F53" s="23" t="s">
        <v>163</v>
      </c>
      <c r="I53" s="4" t="s">
        <v>16</v>
      </c>
      <c r="J53" s="2">
        <v>128.875</v>
      </c>
    </row>
    <row r="54" spans="2:10">
      <c r="B54" s="2">
        <v>10051</v>
      </c>
      <c r="C54" s="2" t="s">
        <v>164</v>
      </c>
      <c r="D54" s="2" t="s">
        <v>13</v>
      </c>
      <c r="E54" s="2" t="s">
        <v>165</v>
      </c>
      <c r="F54" s="2" t="s">
        <v>166</v>
      </c>
    </row>
    <row r="55" spans="2:10">
      <c r="B55" s="2">
        <v>10052</v>
      </c>
      <c r="C55" s="2" t="s">
        <v>164</v>
      </c>
      <c r="D55" s="2" t="s">
        <v>17</v>
      </c>
      <c r="E55" s="2" t="s">
        <v>26</v>
      </c>
      <c r="F55" s="2" t="s">
        <v>167</v>
      </c>
    </row>
    <row r="56" spans="2:10">
      <c r="B56" s="2">
        <v>10053</v>
      </c>
      <c r="C56" s="2" t="s">
        <v>164</v>
      </c>
      <c r="D56" s="2" t="s">
        <v>20</v>
      </c>
      <c r="E56" s="2" t="s">
        <v>41</v>
      </c>
      <c r="F56" s="2" t="s">
        <v>168</v>
      </c>
    </row>
    <row r="57" spans="2:10">
      <c r="B57" s="2">
        <v>10054</v>
      </c>
      <c r="C57" s="2" t="s">
        <v>164</v>
      </c>
      <c r="D57" s="2" t="s">
        <v>23</v>
      </c>
      <c r="E57" s="2" t="s">
        <v>56</v>
      </c>
      <c r="F57" s="2" t="s">
        <v>169</v>
      </c>
    </row>
    <row r="58" spans="2:10">
      <c r="B58" s="2">
        <v>10055</v>
      </c>
      <c r="C58" s="2" t="s">
        <v>164</v>
      </c>
      <c r="D58" s="2" t="s">
        <v>26</v>
      </c>
      <c r="E58" s="2" t="s">
        <v>71</v>
      </c>
      <c r="F58" s="2" t="s">
        <v>170</v>
      </c>
    </row>
    <row r="59" spans="2:10">
      <c r="B59" s="2">
        <v>10056</v>
      </c>
      <c r="C59" s="2" t="s">
        <v>164</v>
      </c>
      <c r="D59" s="2" t="s">
        <v>29</v>
      </c>
      <c r="E59" s="2" t="s">
        <v>86</v>
      </c>
      <c r="F59" s="2" t="s">
        <v>171</v>
      </c>
    </row>
    <row r="60" spans="2:10">
      <c r="B60" s="2">
        <v>10057</v>
      </c>
      <c r="C60" s="2" t="s">
        <v>164</v>
      </c>
      <c r="D60" s="2" t="s">
        <v>32</v>
      </c>
      <c r="E60" s="2" t="s">
        <v>101</v>
      </c>
      <c r="F60" s="2" t="s">
        <v>172</v>
      </c>
    </row>
    <row r="61" spans="2:10">
      <c r="B61" s="2">
        <v>10058</v>
      </c>
      <c r="C61" s="2" t="s">
        <v>164</v>
      </c>
      <c r="D61" s="2" t="s">
        <v>35</v>
      </c>
      <c r="E61" s="2" t="s">
        <v>116</v>
      </c>
      <c r="F61" s="2" t="s">
        <v>173</v>
      </c>
    </row>
    <row r="62" spans="2:10">
      <c r="B62" s="2">
        <v>10059</v>
      </c>
      <c r="C62" s="2" t="s">
        <v>164</v>
      </c>
      <c r="D62" s="2" t="s">
        <v>38</v>
      </c>
      <c r="E62" s="2" t="s">
        <v>131</v>
      </c>
      <c r="F62" s="2" t="s">
        <v>174</v>
      </c>
    </row>
    <row r="63" spans="2:10">
      <c r="B63" s="2">
        <v>10060</v>
      </c>
      <c r="C63" s="2" t="s">
        <v>164</v>
      </c>
      <c r="D63" s="2" t="s">
        <v>41</v>
      </c>
      <c r="E63" s="2" t="s">
        <v>146</v>
      </c>
      <c r="F63" s="2" t="s">
        <v>175</v>
      </c>
    </row>
    <row r="64" spans="2:10">
      <c r="B64" s="2">
        <v>10061</v>
      </c>
      <c r="C64" s="2" t="s">
        <v>164</v>
      </c>
      <c r="D64" s="2" t="s">
        <v>44</v>
      </c>
      <c r="E64" s="2" t="s">
        <v>161</v>
      </c>
      <c r="F64" s="2" t="s">
        <v>176</v>
      </c>
    </row>
    <row r="65" spans="2:6">
      <c r="B65" s="2">
        <v>10062</v>
      </c>
      <c r="C65" s="2" t="s">
        <v>164</v>
      </c>
      <c r="D65" s="2" t="s">
        <v>47</v>
      </c>
      <c r="E65" s="2" t="s">
        <v>177</v>
      </c>
      <c r="F65" s="2" t="s">
        <v>178</v>
      </c>
    </row>
    <row r="66" spans="2:6">
      <c r="B66" s="2">
        <v>10063</v>
      </c>
      <c r="C66" s="2" t="s">
        <v>164</v>
      </c>
      <c r="D66" s="2" t="s">
        <v>50</v>
      </c>
      <c r="E66" s="2" t="s">
        <v>179</v>
      </c>
      <c r="F66" s="2" t="s">
        <v>180</v>
      </c>
    </row>
    <row r="67" spans="2:6">
      <c r="B67" s="2">
        <v>10064</v>
      </c>
      <c r="C67" s="2" t="s">
        <v>164</v>
      </c>
      <c r="D67" s="2" t="s">
        <v>53</v>
      </c>
      <c r="E67" s="2" t="s">
        <v>181</v>
      </c>
      <c r="F67" s="2" t="s">
        <v>182</v>
      </c>
    </row>
    <row r="68" spans="2:6">
      <c r="B68" s="2">
        <v>10065</v>
      </c>
      <c r="C68" s="2" t="s">
        <v>164</v>
      </c>
      <c r="D68" s="2" t="s">
        <v>56</v>
      </c>
      <c r="E68" s="2" t="s">
        <v>183</v>
      </c>
      <c r="F68" s="2" t="s">
        <v>184</v>
      </c>
    </row>
    <row r="69" spans="2:6">
      <c r="B69" s="2">
        <v>10066</v>
      </c>
      <c r="C69" s="2" t="s">
        <v>164</v>
      </c>
      <c r="D69" s="2" t="s">
        <v>59</v>
      </c>
      <c r="E69" s="2" t="s">
        <v>185</v>
      </c>
      <c r="F69" s="2" t="s">
        <v>186</v>
      </c>
    </row>
    <row r="70" spans="2:6">
      <c r="B70" s="2">
        <v>10067</v>
      </c>
      <c r="C70" s="2" t="s">
        <v>164</v>
      </c>
      <c r="D70" s="2" t="s">
        <v>62</v>
      </c>
      <c r="E70" s="2" t="s">
        <v>187</v>
      </c>
      <c r="F70" s="2" t="s">
        <v>188</v>
      </c>
    </row>
    <row r="71" spans="2:6">
      <c r="B71" s="2">
        <v>10068</v>
      </c>
      <c r="C71" s="2" t="s">
        <v>164</v>
      </c>
      <c r="D71" s="2" t="s">
        <v>65</v>
      </c>
      <c r="E71" s="2" t="s">
        <v>189</v>
      </c>
      <c r="F71" s="2" t="s">
        <v>190</v>
      </c>
    </row>
    <row r="72" spans="2:6">
      <c r="B72" s="2">
        <v>10069</v>
      </c>
      <c r="C72" s="2" t="s">
        <v>164</v>
      </c>
      <c r="D72" s="2" t="s">
        <v>68</v>
      </c>
      <c r="E72" s="2" t="s">
        <v>191</v>
      </c>
      <c r="F72" s="2" t="s">
        <v>192</v>
      </c>
    </row>
    <row r="73" spans="2:6">
      <c r="B73" s="2">
        <v>10070</v>
      </c>
      <c r="C73" s="2" t="s">
        <v>164</v>
      </c>
      <c r="D73" s="2" t="s">
        <v>71</v>
      </c>
      <c r="E73" s="2" t="s">
        <v>193</v>
      </c>
      <c r="F73" s="2" t="s">
        <v>194</v>
      </c>
    </row>
    <row r="74" spans="2:6">
      <c r="B74" s="2">
        <v>10071</v>
      </c>
      <c r="C74" s="2" t="s">
        <v>164</v>
      </c>
      <c r="D74" s="2" t="s">
        <v>74</v>
      </c>
      <c r="E74" s="2" t="s">
        <v>195</v>
      </c>
      <c r="F74" s="2" t="s">
        <v>196</v>
      </c>
    </row>
    <row r="75" spans="2:6">
      <c r="B75" s="2">
        <v>10072</v>
      </c>
      <c r="C75" s="2" t="s">
        <v>164</v>
      </c>
      <c r="D75" s="2" t="s">
        <v>77</v>
      </c>
      <c r="E75" s="2" t="s">
        <v>197</v>
      </c>
      <c r="F75" s="2" t="s">
        <v>198</v>
      </c>
    </row>
    <row r="76" spans="2:6">
      <c r="B76" s="2">
        <v>10073</v>
      </c>
      <c r="C76" s="2" t="s">
        <v>164</v>
      </c>
      <c r="D76" s="2" t="s">
        <v>80</v>
      </c>
      <c r="E76" s="2" t="s">
        <v>199</v>
      </c>
      <c r="F76" s="2" t="s">
        <v>200</v>
      </c>
    </row>
    <row r="77" spans="2:6">
      <c r="B77" s="2">
        <v>10074</v>
      </c>
      <c r="C77" s="2" t="s">
        <v>164</v>
      </c>
      <c r="D77" s="2" t="s">
        <v>83</v>
      </c>
      <c r="E77" s="2" t="s">
        <v>201</v>
      </c>
      <c r="F77" s="2" t="s">
        <v>202</v>
      </c>
    </row>
    <row r="78" spans="2:6">
      <c r="B78" s="2">
        <v>10075</v>
      </c>
      <c r="C78" s="2" t="s">
        <v>164</v>
      </c>
      <c r="D78" s="2" t="s">
        <v>86</v>
      </c>
      <c r="E78" s="2" t="s">
        <v>203</v>
      </c>
      <c r="F78" s="2" t="s">
        <v>204</v>
      </c>
    </row>
    <row r="79" spans="2:6">
      <c r="B79" s="2">
        <v>10076</v>
      </c>
      <c r="C79" s="2" t="s">
        <v>164</v>
      </c>
      <c r="D79" s="2" t="s">
        <v>89</v>
      </c>
      <c r="E79" s="2" t="s">
        <v>205</v>
      </c>
      <c r="F79" s="2" t="s">
        <v>206</v>
      </c>
    </row>
    <row r="80" spans="2:6">
      <c r="B80" s="2">
        <v>10077</v>
      </c>
      <c r="C80" s="2" t="s">
        <v>164</v>
      </c>
      <c r="D80" s="2" t="s">
        <v>92</v>
      </c>
      <c r="E80" s="2" t="s">
        <v>207</v>
      </c>
      <c r="F80" s="2" t="s">
        <v>208</v>
      </c>
    </row>
    <row r="81" spans="2:6">
      <c r="B81" s="2">
        <v>10078</v>
      </c>
      <c r="C81" s="2" t="s">
        <v>164</v>
      </c>
      <c r="D81" s="2" t="s">
        <v>95</v>
      </c>
      <c r="E81" s="2" t="s">
        <v>209</v>
      </c>
      <c r="F81" s="2" t="s">
        <v>210</v>
      </c>
    </row>
    <row r="82" spans="2:6">
      <c r="B82" s="2">
        <v>10079</v>
      </c>
      <c r="C82" s="2" t="s">
        <v>164</v>
      </c>
      <c r="D82" s="2" t="s">
        <v>98</v>
      </c>
      <c r="E82" s="2" t="s">
        <v>211</v>
      </c>
      <c r="F82" s="2" t="s">
        <v>212</v>
      </c>
    </row>
    <row r="83" spans="2:6">
      <c r="B83" s="2">
        <v>10080</v>
      </c>
      <c r="C83" s="2" t="s">
        <v>164</v>
      </c>
      <c r="D83" s="2" t="s">
        <v>101</v>
      </c>
      <c r="E83" s="2" t="s">
        <v>213</v>
      </c>
      <c r="F83" s="2" t="s">
        <v>214</v>
      </c>
    </row>
    <row r="84" spans="2:6">
      <c r="B84" s="2">
        <v>10081</v>
      </c>
      <c r="C84" s="2" t="s">
        <v>164</v>
      </c>
      <c r="D84" s="2" t="s">
        <v>104</v>
      </c>
      <c r="E84" s="2" t="s">
        <v>215</v>
      </c>
      <c r="F84" s="2" t="s">
        <v>216</v>
      </c>
    </row>
    <row r="85" spans="2:6">
      <c r="B85" s="2">
        <v>10082</v>
      </c>
      <c r="C85" s="2" t="s">
        <v>164</v>
      </c>
      <c r="D85" s="2" t="s">
        <v>107</v>
      </c>
      <c r="E85" s="2" t="s">
        <v>217</v>
      </c>
      <c r="F85" s="2" t="s">
        <v>218</v>
      </c>
    </row>
    <row r="86" spans="2:6">
      <c r="B86" s="2">
        <v>10083</v>
      </c>
      <c r="C86" s="2" t="s">
        <v>164</v>
      </c>
      <c r="D86" s="2" t="s">
        <v>110</v>
      </c>
      <c r="E86" s="2" t="s">
        <v>219</v>
      </c>
      <c r="F86" s="2" t="s">
        <v>220</v>
      </c>
    </row>
    <row r="87" spans="2:6">
      <c r="B87" s="2">
        <v>10084</v>
      </c>
      <c r="C87" s="2" t="s">
        <v>164</v>
      </c>
      <c r="D87" s="2" t="s">
        <v>113</v>
      </c>
      <c r="E87" s="2" t="s">
        <v>221</v>
      </c>
      <c r="F87" s="2" t="s">
        <v>222</v>
      </c>
    </row>
    <row r="88" spans="2:6">
      <c r="B88" s="2">
        <v>10085</v>
      </c>
      <c r="C88" s="2" t="s">
        <v>164</v>
      </c>
      <c r="D88" s="2" t="s">
        <v>116</v>
      </c>
      <c r="E88" s="2" t="s">
        <v>223</v>
      </c>
      <c r="F88" s="2" t="s">
        <v>224</v>
      </c>
    </row>
    <row r="89" spans="2:6">
      <c r="B89" s="2">
        <v>10086</v>
      </c>
      <c r="C89" s="2" t="s">
        <v>164</v>
      </c>
      <c r="D89" s="2" t="s">
        <v>119</v>
      </c>
      <c r="E89" s="2" t="s">
        <v>225</v>
      </c>
      <c r="F89" s="2" t="s">
        <v>226</v>
      </c>
    </row>
    <row r="90" spans="2:6">
      <c r="B90" s="2">
        <v>10087</v>
      </c>
      <c r="C90" s="2" t="s">
        <v>164</v>
      </c>
      <c r="D90" s="2" t="s">
        <v>122</v>
      </c>
      <c r="E90" s="2" t="s">
        <v>227</v>
      </c>
      <c r="F90" s="2" t="s">
        <v>228</v>
      </c>
    </row>
    <row r="91" spans="2:6">
      <c r="B91" s="2">
        <v>10088</v>
      </c>
      <c r="C91" s="2" t="s">
        <v>164</v>
      </c>
      <c r="D91" s="2" t="s">
        <v>125</v>
      </c>
      <c r="E91" s="2" t="s">
        <v>229</v>
      </c>
      <c r="F91" s="2" t="s">
        <v>230</v>
      </c>
    </row>
    <row r="92" spans="2:6">
      <c r="B92" s="2">
        <v>10089</v>
      </c>
      <c r="C92" s="2" t="s">
        <v>164</v>
      </c>
      <c r="D92" s="2" t="s">
        <v>128</v>
      </c>
      <c r="E92" s="2" t="s">
        <v>231</v>
      </c>
      <c r="F92" s="2" t="s">
        <v>232</v>
      </c>
    </row>
    <row r="93" spans="2:6">
      <c r="B93" s="2">
        <v>10090</v>
      </c>
      <c r="C93" s="2" t="s">
        <v>164</v>
      </c>
      <c r="D93" s="2" t="s">
        <v>131</v>
      </c>
      <c r="E93" s="2" t="s">
        <v>233</v>
      </c>
      <c r="F93" s="2" t="s">
        <v>234</v>
      </c>
    </row>
    <row r="94" spans="2:6">
      <c r="B94" s="2">
        <v>10091</v>
      </c>
      <c r="C94" s="2" t="s">
        <v>164</v>
      </c>
      <c r="D94" s="2" t="s">
        <v>134</v>
      </c>
      <c r="E94" s="2" t="s">
        <v>235</v>
      </c>
      <c r="F94" s="2" t="s">
        <v>236</v>
      </c>
    </row>
    <row r="95" spans="2:6">
      <c r="B95" s="2">
        <v>10092</v>
      </c>
      <c r="C95" s="2" t="s">
        <v>164</v>
      </c>
      <c r="D95" s="2" t="s">
        <v>137</v>
      </c>
      <c r="E95" s="2" t="s">
        <v>237</v>
      </c>
      <c r="F95" s="2" t="s">
        <v>238</v>
      </c>
    </row>
    <row r="96" spans="2:6">
      <c r="B96" s="2">
        <v>10093</v>
      </c>
      <c r="C96" s="2" t="s">
        <v>164</v>
      </c>
      <c r="D96" s="2" t="s">
        <v>140</v>
      </c>
      <c r="E96" s="2" t="s">
        <v>239</v>
      </c>
      <c r="F96" s="2" t="s">
        <v>240</v>
      </c>
    </row>
    <row r="97" spans="2:10">
      <c r="B97" s="2">
        <v>10094</v>
      </c>
      <c r="C97" s="2" t="s">
        <v>164</v>
      </c>
      <c r="D97" s="2" t="s">
        <v>143</v>
      </c>
      <c r="E97" s="2" t="s">
        <v>241</v>
      </c>
      <c r="F97" s="2" t="s">
        <v>242</v>
      </c>
    </row>
    <row r="98" spans="2:10">
      <c r="B98" s="2">
        <v>10095</v>
      </c>
      <c r="C98" s="2" t="s">
        <v>164</v>
      </c>
      <c r="D98" s="2" t="s">
        <v>146</v>
      </c>
      <c r="E98" s="2" t="s">
        <v>243</v>
      </c>
      <c r="F98" s="2" t="s">
        <v>244</v>
      </c>
    </row>
    <row r="99" spans="2:10">
      <c r="B99" s="2">
        <v>10096</v>
      </c>
      <c r="C99" s="2" t="s">
        <v>164</v>
      </c>
      <c r="D99" s="2" t="s">
        <v>149</v>
      </c>
      <c r="E99" s="2" t="s">
        <v>245</v>
      </c>
      <c r="F99" s="2" t="s">
        <v>246</v>
      </c>
    </row>
    <row r="100" spans="2:10">
      <c r="B100" s="2">
        <v>10097</v>
      </c>
      <c r="C100" s="2" t="s">
        <v>164</v>
      </c>
      <c r="D100" s="2" t="s">
        <v>152</v>
      </c>
      <c r="E100" s="2" t="s">
        <v>247</v>
      </c>
      <c r="F100" s="2" t="s">
        <v>248</v>
      </c>
    </row>
    <row r="101" spans="2:10">
      <c r="B101" s="2">
        <v>10098</v>
      </c>
      <c r="C101" s="2" t="s">
        <v>164</v>
      </c>
      <c r="D101" s="2" t="s">
        <v>155</v>
      </c>
      <c r="E101" s="2" t="s">
        <v>249</v>
      </c>
      <c r="F101" s="2" t="s">
        <v>250</v>
      </c>
    </row>
    <row r="102" spans="2:10">
      <c r="B102" s="2">
        <v>10099</v>
      </c>
      <c r="C102" s="2" t="s">
        <v>164</v>
      </c>
      <c r="D102" s="2" t="s">
        <v>158</v>
      </c>
      <c r="E102" s="2" t="s">
        <v>251</v>
      </c>
      <c r="F102" s="2" t="s">
        <v>252</v>
      </c>
    </row>
    <row r="103" spans="2:10">
      <c r="B103" s="2">
        <v>10100</v>
      </c>
      <c r="C103" s="2" t="s">
        <v>164</v>
      </c>
      <c r="D103" s="2" t="s">
        <v>161</v>
      </c>
      <c r="E103" s="2" t="s">
        <v>253</v>
      </c>
      <c r="F103" s="2" t="s">
        <v>254</v>
      </c>
    </row>
    <row r="104" spans="2:10">
      <c r="B104" s="2">
        <v>10101</v>
      </c>
      <c r="C104" s="25" t="s">
        <v>255</v>
      </c>
      <c r="D104" s="2" t="s">
        <v>13</v>
      </c>
      <c r="E104" s="4">
        <v>55</v>
      </c>
      <c r="F104" s="2" t="s">
        <v>256</v>
      </c>
      <c r="G104" s="4"/>
      <c r="H104" s="4"/>
      <c r="I104" s="4" t="s">
        <v>257</v>
      </c>
      <c r="J104" s="2">
        <v>155</v>
      </c>
    </row>
    <row r="105" spans="2:10">
      <c r="B105" s="2">
        <v>10102</v>
      </c>
      <c r="C105" s="25" t="s">
        <v>255</v>
      </c>
      <c r="D105" s="2" t="s">
        <v>17</v>
      </c>
      <c r="E105" s="4">
        <v>69</v>
      </c>
      <c r="F105" s="2" t="s">
        <v>258</v>
      </c>
      <c r="I105" s="4" t="s">
        <v>257</v>
      </c>
      <c r="J105" s="2">
        <v>169</v>
      </c>
    </row>
    <row r="106" spans="2:10">
      <c r="B106" s="2">
        <v>10103</v>
      </c>
      <c r="C106" s="25" t="s">
        <v>255</v>
      </c>
      <c r="D106" s="2" t="s">
        <v>20</v>
      </c>
      <c r="E106" s="4">
        <v>83</v>
      </c>
      <c r="F106" s="2" t="s">
        <v>259</v>
      </c>
      <c r="I106" s="4" t="s">
        <v>257</v>
      </c>
      <c r="J106" s="2">
        <v>183</v>
      </c>
    </row>
    <row r="107" spans="2:10">
      <c r="B107" s="2">
        <v>10104</v>
      </c>
      <c r="C107" s="25" t="s">
        <v>255</v>
      </c>
      <c r="D107" s="2" t="s">
        <v>23</v>
      </c>
      <c r="E107" s="4">
        <v>97</v>
      </c>
      <c r="F107" s="2" t="s">
        <v>260</v>
      </c>
      <c r="I107" s="4" t="s">
        <v>257</v>
      </c>
      <c r="J107" s="2">
        <v>197</v>
      </c>
    </row>
    <row r="108" spans="2:10">
      <c r="B108" s="2">
        <v>10105</v>
      </c>
      <c r="C108" s="25" t="s">
        <v>255</v>
      </c>
      <c r="D108" s="2" t="s">
        <v>26</v>
      </c>
      <c r="E108" s="4">
        <v>111</v>
      </c>
      <c r="F108" s="2" t="s">
        <v>261</v>
      </c>
      <c r="I108" s="4" t="s">
        <v>257</v>
      </c>
      <c r="J108" s="2">
        <v>211</v>
      </c>
    </row>
    <row r="109" spans="2:10">
      <c r="B109" s="2">
        <v>10106</v>
      </c>
      <c r="C109" s="25" t="s">
        <v>255</v>
      </c>
      <c r="D109" s="2" t="s">
        <v>29</v>
      </c>
      <c r="E109" s="4">
        <v>125</v>
      </c>
      <c r="F109" s="2" t="s">
        <v>262</v>
      </c>
      <c r="I109" s="4" t="s">
        <v>257</v>
      </c>
      <c r="J109" s="2">
        <v>225</v>
      </c>
    </row>
    <row r="110" spans="2:10">
      <c r="B110" s="2">
        <v>10107</v>
      </c>
      <c r="C110" s="25" t="s">
        <v>255</v>
      </c>
      <c r="D110" s="2" t="s">
        <v>32</v>
      </c>
      <c r="E110" s="4">
        <v>139</v>
      </c>
      <c r="F110" s="2" t="s">
        <v>263</v>
      </c>
      <c r="I110" s="4" t="s">
        <v>257</v>
      </c>
      <c r="J110" s="2">
        <v>239</v>
      </c>
    </row>
    <row r="111" spans="2:10">
      <c r="B111" s="2">
        <v>10108</v>
      </c>
      <c r="C111" s="25" t="s">
        <v>255</v>
      </c>
      <c r="D111" s="2" t="s">
        <v>35</v>
      </c>
      <c r="E111" s="4">
        <v>153</v>
      </c>
      <c r="F111" s="2" t="s">
        <v>264</v>
      </c>
      <c r="I111" s="4" t="s">
        <v>257</v>
      </c>
      <c r="J111" s="2">
        <v>253</v>
      </c>
    </row>
    <row r="112" spans="2:10">
      <c r="B112" s="2">
        <v>10109</v>
      </c>
      <c r="C112" s="25" t="s">
        <v>255</v>
      </c>
      <c r="D112" s="2" t="s">
        <v>38</v>
      </c>
      <c r="E112" s="4">
        <v>167</v>
      </c>
      <c r="F112" s="2" t="s">
        <v>265</v>
      </c>
      <c r="I112" s="4" t="s">
        <v>257</v>
      </c>
      <c r="J112" s="2">
        <v>267</v>
      </c>
    </row>
    <row r="113" spans="2:10">
      <c r="B113" s="2">
        <v>10110</v>
      </c>
      <c r="C113" s="25" t="s">
        <v>255</v>
      </c>
      <c r="D113" s="2" t="s">
        <v>41</v>
      </c>
      <c r="E113" s="4">
        <v>181</v>
      </c>
      <c r="F113" s="2" t="s">
        <v>266</v>
      </c>
      <c r="I113" s="4" t="s">
        <v>257</v>
      </c>
      <c r="J113" s="2">
        <v>281</v>
      </c>
    </row>
    <row r="114" spans="2:10">
      <c r="B114" s="2">
        <v>10111</v>
      </c>
      <c r="C114" s="25" t="s">
        <v>255</v>
      </c>
      <c r="D114" s="2" t="s">
        <v>44</v>
      </c>
      <c r="E114" s="4">
        <v>195</v>
      </c>
      <c r="F114" s="2" t="s">
        <v>267</v>
      </c>
      <c r="I114" s="4" t="s">
        <v>257</v>
      </c>
      <c r="J114" s="2">
        <v>295</v>
      </c>
    </row>
    <row r="115" spans="2:10">
      <c r="B115" s="2">
        <v>10112</v>
      </c>
      <c r="C115" s="25" t="s">
        <v>255</v>
      </c>
      <c r="D115" s="2" t="s">
        <v>47</v>
      </c>
      <c r="E115" s="4">
        <v>209</v>
      </c>
      <c r="F115" s="2" t="s">
        <v>268</v>
      </c>
      <c r="I115" s="4" t="s">
        <v>257</v>
      </c>
      <c r="J115" s="2">
        <v>309</v>
      </c>
    </row>
    <row r="116" spans="2:10">
      <c r="B116" s="2">
        <v>10113</v>
      </c>
      <c r="C116" s="25" t="s">
        <v>255</v>
      </c>
      <c r="D116" s="2" t="s">
        <v>50</v>
      </c>
      <c r="E116" s="4">
        <v>223</v>
      </c>
      <c r="F116" s="2" t="s">
        <v>269</v>
      </c>
      <c r="I116" s="4" t="s">
        <v>257</v>
      </c>
      <c r="J116" s="2">
        <v>323</v>
      </c>
    </row>
    <row r="117" spans="2:10">
      <c r="B117" s="2">
        <v>10114</v>
      </c>
      <c r="C117" s="25" t="s">
        <v>255</v>
      </c>
      <c r="D117" s="2" t="s">
        <v>53</v>
      </c>
      <c r="E117" s="4">
        <v>237</v>
      </c>
      <c r="F117" s="2" t="s">
        <v>270</v>
      </c>
      <c r="I117" s="4" t="s">
        <v>257</v>
      </c>
      <c r="J117" s="2">
        <v>337</v>
      </c>
    </row>
    <row r="118" spans="2:10">
      <c r="B118" s="2">
        <v>10115</v>
      </c>
      <c r="C118" s="25" t="s">
        <v>255</v>
      </c>
      <c r="D118" s="2" t="s">
        <v>56</v>
      </c>
      <c r="E118" s="4">
        <v>251</v>
      </c>
      <c r="F118" s="2" t="s">
        <v>271</v>
      </c>
      <c r="I118" s="4" t="s">
        <v>257</v>
      </c>
      <c r="J118" s="2">
        <v>351</v>
      </c>
    </row>
    <row r="119" spans="2:10">
      <c r="B119" s="2">
        <v>10116</v>
      </c>
      <c r="C119" s="25" t="s">
        <v>255</v>
      </c>
      <c r="D119" s="2" t="s">
        <v>59</v>
      </c>
      <c r="E119" s="4">
        <v>265</v>
      </c>
      <c r="F119" s="2" t="s">
        <v>272</v>
      </c>
      <c r="I119" s="4" t="s">
        <v>257</v>
      </c>
      <c r="J119" s="2">
        <v>365</v>
      </c>
    </row>
    <row r="120" spans="2:10">
      <c r="B120" s="2">
        <v>10117</v>
      </c>
      <c r="C120" s="25" t="s">
        <v>255</v>
      </c>
      <c r="D120" s="2" t="s">
        <v>62</v>
      </c>
      <c r="E120" s="4">
        <v>279</v>
      </c>
      <c r="F120" s="2" t="s">
        <v>273</v>
      </c>
      <c r="I120" s="4" t="s">
        <v>257</v>
      </c>
      <c r="J120" s="2">
        <v>379</v>
      </c>
    </row>
    <row r="121" spans="2:10">
      <c r="B121" s="2">
        <v>10118</v>
      </c>
      <c r="C121" s="25" t="s">
        <v>255</v>
      </c>
      <c r="D121" s="2" t="s">
        <v>65</v>
      </c>
      <c r="E121" s="4">
        <v>293</v>
      </c>
      <c r="F121" s="2" t="s">
        <v>274</v>
      </c>
      <c r="I121" s="4" t="s">
        <v>257</v>
      </c>
      <c r="J121" s="2">
        <v>393</v>
      </c>
    </row>
    <row r="122" spans="2:10">
      <c r="B122" s="2">
        <v>10119</v>
      </c>
      <c r="C122" s="25" t="s">
        <v>255</v>
      </c>
      <c r="D122" s="2" t="s">
        <v>68</v>
      </c>
      <c r="E122" s="4">
        <v>307</v>
      </c>
      <c r="F122" s="2" t="s">
        <v>275</v>
      </c>
      <c r="I122" s="4" t="s">
        <v>257</v>
      </c>
      <c r="J122" s="2">
        <v>407</v>
      </c>
    </row>
    <row r="123" spans="2:10">
      <c r="B123" s="2">
        <v>10120</v>
      </c>
      <c r="C123" s="25" t="s">
        <v>255</v>
      </c>
      <c r="D123" s="2" t="s">
        <v>71</v>
      </c>
      <c r="E123" s="4">
        <v>321</v>
      </c>
      <c r="F123" s="2" t="s">
        <v>276</v>
      </c>
      <c r="I123" s="4" t="s">
        <v>257</v>
      </c>
      <c r="J123" s="2">
        <v>421</v>
      </c>
    </row>
    <row r="124" spans="2:10">
      <c r="B124" s="2">
        <v>10121</v>
      </c>
      <c r="C124" s="25" t="s">
        <v>255</v>
      </c>
      <c r="D124" s="2" t="s">
        <v>74</v>
      </c>
      <c r="E124" s="4">
        <v>335</v>
      </c>
      <c r="F124" s="2" t="s">
        <v>277</v>
      </c>
      <c r="I124" s="4" t="s">
        <v>257</v>
      </c>
      <c r="J124" s="2">
        <v>435</v>
      </c>
    </row>
    <row r="125" spans="2:10">
      <c r="B125" s="2">
        <v>10122</v>
      </c>
      <c r="C125" s="25" t="s">
        <v>255</v>
      </c>
      <c r="D125" s="2" t="s">
        <v>77</v>
      </c>
      <c r="E125" s="4">
        <v>349</v>
      </c>
      <c r="F125" s="2" t="s">
        <v>278</v>
      </c>
      <c r="I125" s="4" t="s">
        <v>257</v>
      </c>
      <c r="J125" s="2">
        <v>449</v>
      </c>
    </row>
    <row r="126" spans="2:10">
      <c r="B126" s="2">
        <v>10123</v>
      </c>
      <c r="C126" s="25" t="s">
        <v>255</v>
      </c>
      <c r="D126" s="2" t="s">
        <v>80</v>
      </c>
      <c r="E126" s="4">
        <v>363</v>
      </c>
      <c r="F126" s="2" t="s">
        <v>279</v>
      </c>
      <c r="I126" s="4" t="s">
        <v>257</v>
      </c>
      <c r="J126" s="2">
        <v>463</v>
      </c>
    </row>
    <row r="127" spans="2:10">
      <c r="B127" s="2">
        <v>10124</v>
      </c>
      <c r="C127" s="25" t="s">
        <v>255</v>
      </c>
      <c r="D127" s="2" t="s">
        <v>83</v>
      </c>
      <c r="E127" s="4">
        <v>377</v>
      </c>
      <c r="F127" s="2" t="s">
        <v>280</v>
      </c>
      <c r="I127" s="4" t="s">
        <v>257</v>
      </c>
      <c r="J127" s="2">
        <v>477</v>
      </c>
    </row>
    <row r="128" spans="2:10">
      <c r="B128" s="2">
        <v>10125</v>
      </c>
      <c r="C128" s="25" t="s">
        <v>255</v>
      </c>
      <c r="D128" s="2" t="s">
        <v>86</v>
      </c>
      <c r="E128" s="4">
        <v>391</v>
      </c>
      <c r="F128" s="2" t="s">
        <v>281</v>
      </c>
      <c r="I128" s="4" t="s">
        <v>257</v>
      </c>
      <c r="J128" s="2">
        <v>491</v>
      </c>
    </row>
    <row r="129" spans="2:10">
      <c r="B129" s="2">
        <v>10126</v>
      </c>
      <c r="C129" s="25" t="s">
        <v>255</v>
      </c>
      <c r="D129" s="2" t="s">
        <v>89</v>
      </c>
      <c r="E129" s="4">
        <v>405</v>
      </c>
      <c r="F129" s="2" t="s">
        <v>282</v>
      </c>
      <c r="I129" s="4" t="s">
        <v>257</v>
      </c>
      <c r="J129" s="2">
        <v>505</v>
      </c>
    </row>
    <row r="130" spans="2:10">
      <c r="B130" s="2">
        <v>10127</v>
      </c>
      <c r="C130" s="25" t="s">
        <v>255</v>
      </c>
      <c r="D130" s="2" t="s">
        <v>92</v>
      </c>
      <c r="E130" s="4">
        <v>419</v>
      </c>
      <c r="F130" s="2" t="s">
        <v>283</v>
      </c>
      <c r="I130" s="4" t="s">
        <v>257</v>
      </c>
      <c r="J130" s="2">
        <v>519</v>
      </c>
    </row>
    <row r="131" spans="2:10">
      <c r="B131" s="2">
        <v>10128</v>
      </c>
      <c r="C131" s="25" t="s">
        <v>255</v>
      </c>
      <c r="D131" s="2" t="s">
        <v>95</v>
      </c>
      <c r="E131" s="4">
        <v>433</v>
      </c>
      <c r="F131" s="2" t="s">
        <v>284</v>
      </c>
      <c r="I131" s="4" t="s">
        <v>257</v>
      </c>
      <c r="J131" s="2">
        <v>533</v>
      </c>
    </row>
    <row r="132" spans="2:10">
      <c r="B132" s="2">
        <v>10129</v>
      </c>
      <c r="C132" s="25" t="s">
        <v>255</v>
      </c>
      <c r="D132" s="2" t="s">
        <v>98</v>
      </c>
      <c r="E132" s="4">
        <v>447</v>
      </c>
      <c r="F132" s="2" t="s">
        <v>285</v>
      </c>
      <c r="I132" s="4" t="s">
        <v>257</v>
      </c>
      <c r="J132" s="2">
        <v>547</v>
      </c>
    </row>
    <row r="133" spans="2:10">
      <c r="B133" s="2">
        <v>10130</v>
      </c>
      <c r="C133" s="25" t="s">
        <v>255</v>
      </c>
      <c r="D133" s="2" t="s">
        <v>101</v>
      </c>
      <c r="E133" s="4">
        <v>461</v>
      </c>
      <c r="F133" s="2" t="s">
        <v>286</v>
      </c>
      <c r="I133" s="4" t="s">
        <v>257</v>
      </c>
      <c r="J133" s="2">
        <v>561</v>
      </c>
    </row>
    <row r="134" spans="2:10">
      <c r="B134" s="2">
        <v>10131</v>
      </c>
      <c r="C134" s="25" t="s">
        <v>255</v>
      </c>
      <c r="D134" s="2" t="s">
        <v>104</v>
      </c>
      <c r="E134" s="4">
        <v>475</v>
      </c>
      <c r="F134" s="2" t="s">
        <v>287</v>
      </c>
      <c r="I134" s="4" t="s">
        <v>257</v>
      </c>
      <c r="J134" s="2">
        <v>575</v>
      </c>
    </row>
    <row r="135" spans="2:10">
      <c r="B135" s="2">
        <v>10132</v>
      </c>
      <c r="C135" s="25" t="s">
        <v>255</v>
      </c>
      <c r="D135" s="2" t="s">
        <v>107</v>
      </c>
      <c r="E135" s="4">
        <v>489</v>
      </c>
      <c r="F135" s="2" t="s">
        <v>288</v>
      </c>
      <c r="I135" s="4" t="s">
        <v>257</v>
      </c>
      <c r="J135" s="2">
        <v>589</v>
      </c>
    </row>
    <row r="136" spans="2:10">
      <c r="B136" s="2">
        <v>10133</v>
      </c>
      <c r="C136" s="25" t="s">
        <v>255</v>
      </c>
      <c r="D136" s="2" t="s">
        <v>110</v>
      </c>
      <c r="E136" s="4">
        <v>503</v>
      </c>
      <c r="F136" s="2" t="s">
        <v>289</v>
      </c>
      <c r="I136" s="4" t="s">
        <v>257</v>
      </c>
      <c r="J136" s="2">
        <v>603</v>
      </c>
    </row>
    <row r="137" spans="2:10">
      <c r="B137" s="2">
        <v>10134</v>
      </c>
      <c r="C137" s="25" t="s">
        <v>255</v>
      </c>
      <c r="D137" s="2" t="s">
        <v>113</v>
      </c>
      <c r="E137" s="4">
        <v>517</v>
      </c>
      <c r="F137" s="2" t="s">
        <v>290</v>
      </c>
      <c r="I137" s="4" t="s">
        <v>257</v>
      </c>
      <c r="J137" s="2">
        <v>617</v>
      </c>
    </row>
    <row r="138" spans="2:10">
      <c r="B138" s="2">
        <v>10135</v>
      </c>
      <c r="C138" s="25" t="s">
        <v>255</v>
      </c>
      <c r="D138" s="2" t="s">
        <v>116</v>
      </c>
      <c r="E138" s="4">
        <v>531</v>
      </c>
      <c r="F138" s="2" t="s">
        <v>291</v>
      </c>
      <c r="I138" s="4" t="s">
        <v>257</v>
      </c>
      <c r="J138" s="2">
        <v>631</v>
      </c>
    </row>
    <row r="139" spans="2:10">
      <c r="B139" s="2">
        <v>10136</v>
      </c>
      <c r="C139" s="25" t="s">
        <v>255</v>
      </c>
      <c r="D139" s="2" t="s">
        <v>119</v>
      </c>
      <c r="E139" s="4">
        <v>545</v>
      </c>
      <c r="F139" s="2" t="s">
        <v>292</v>
      </c>
      <c r="I139" s="4" t="s">
        <v>257</v>
      </c>
      <c r="J139" s="2">
        <v>645</v>
      </c>
    </row>
    <row r="140" spans="2:10">
      <c r="B140" s="2">
        <v>10137</v>
      </c>
      <c r="C140" s="25" t="s">
        <v>255</v>
      </c>
      <c r="D140" s="2" t="s">
        <v>122</v>
      </c>
      <c r="E140" s="4">
        <v>559</v>
      </c>
      <c r="F140" s="2" t="s">
        <v>293</v>
      </c>
      <c r="I140" s="4" t="s">
        <v>257</v>
      </c>
      <c r="J140" s="2">
        <v>659</v>
      </c>
    </row>
    <row r="141" spans="2:10">
      <c r="B141" s="2">
        <v>10138</v>
      </c>
      <c r="C141" s="25" t="s">
        <v>255</v>
      </c>
      <c r="D141" s="2" t="s">
        <v>125</v>
      </c>
      <c r="E141" s="4">
        <v>573</v>
      </c>
      <c r="F141" s="2" t="s">
        <v>294</v>
      </c>
      <c r="I141" s="4" t="s">
        <v>257</v>
      </c>
      <c r="J141" s="2">
        <v>673</v>
      </c>
    </row>
    <row r="142" spans="2:10">
      <c r="B142" s="2">
        <v>10139</v>
      </c>
      <c r="C142" s="25" t="s">
        <v>255</v>
      </c>
      <c r="D142" s="2" t="s">
        <v>128</v>
      </c>
      <c r="E142" s="4">
        <v>587</v>
      </c>
      <c r="F142" s="2" t="s">
        <v>295</v>
      </c>
      <c r="I142" s="4" t="s">
        <v>257</v>
      </c>
      <c r="J142" s="2">
        <v>687</v>
      </c>
    </row>
    <row r="143" spans="2:10">
      <c r="B143" s="2">
        <v>10140</v>
      </c>
      <c r="C143" s="25" t="s">
        <v>255</v>
      </c>
      <c r="D143" s="2" t="s">
        <v>131</v>
      </c>
      <c r="E143" s="4">
        <v>601</v>
      </c>
      <c r="F143" s="2" t="s">
        <v>296</v>
      </c>
      <c r="I143" s="4" t="s">
        <v>257</v>
      </c>
      <c r="J143" s="2">
        <v>701</v>
      </c>
    </row>
    <row r="144" spans="2:10">
      <c r="B144" s="2">
        <v>10141</v>
      </c>
      <c r="C144" s="25" t="s">
        <v>255</v>
      </c>
      <c r="D144" s="2" t="s">
        <v>134</v>
      </c>
      <c r="E144" s="4">
        <v>615</v>
      </c>
      <c r="F144" s="2" t="s">
        <v>297</v>
      </c>
      <c r="I144" s="4" t="s">
        <v>257</v>
      </c>
      <c r="J144" s="2">
        <v>715</v>
      </c>
    </row>
    <row r="145" spans="2:10">
      <c r="B145" s="2">
        <v>10142</v>
      </c>
      <c r="C145" s="25" t="s">
        <v>255</v>
      </c>
      <c r="D145" s="2" t="s">
        <v>137</v>
      </c>
      <c r="E145" s="4">
        <v>629</v>
      </c>
      <c r="F145" s="2" t="s">
        <v>298</v>
      </c>
      <c r="I145" s="4" t="s">
        <v>257</v>
      </c>
      <c r="J145" s="2">
        <v>729</v>
      </c>
    </row>
    <row r="146" spans="2:10">
      <c r="B146" s="2">
        <v>10143</v>
      </c>
      <c r="C146" s="25" t="s">
        <v>255</v>
      </c>
      <c r="D146" s="2" t="s">
        <v>140</v>
      </c>
      <c r="E146" s="4">
        <v>643</v>
      </c>
      <c r="F146" s="2" t="s">
        <v>299</v>
      </c>
      <c r="I146" s="4" t="s">
        <v>257</v>
      </c>
      <c r="J146" s="2">
        <v>743</v>
      </c>
    </row>
    <row r="147" spans="2:10">
      <c r="B147" s="2">
        <v>10144</v>
      </c>
      <c r="C147" s="25" t="s">
        <v>255</v>
      </c>
      <c r="D147" s="2" t="s">
        <v>143</v>
      </c>
      <c r="E147" s="4">
        <v>657</v>
      </c>
      <c r="F147" s="2" t="s">
        <v>300</v>
      </c>
      <c r="I147" s="4" t="s">
        <v>257</v>
      </c>
      <c r="J147" s="2">
        <v>757</v>
      </c>
    </row>
    <row r="148" spans="2:10">
      <c r="B148" s="2">
        <v>10145</v>
      </c>
      <c r="C148" s="25" t="s">
        <v>255</v>
      </c>
      <c r="D148" s="2" t="s">
        <v>146</v>
      </c>
      <c r="E148" s="4">
        <v>671</v>
      </c>
      <c r="F148" s="2" t="s">
        <v>301</v>
      </c>
      <c r="I148" s="4" t="s">
        <v>257</v>
      </c>
      <c r="J148" s="2">
        <v>771</v>
      </c>
    </row>
    <row r="149" spans="2:10">
      <c r="B149" s="2">
        <v>10146</v>
      </c>
      <c r="C149" s="25" t="s">
        <v>255</v>
      </c>
      <c r="D149" s="2" t="s">
        <v>149</v>
      </c>
      <c r="E149" s="4">
        <v>685</v>
      </c>
      <c r="F149" s="2" t="s">
        <v>302</v>
      </c>
      <c r="I149" s="4" t="s">
        <v>257</v>
      </c>
      <c r="J149" s="2">
        <v>785</v>
      </c>
    </row>
    <row r="150" spans="2:10">
      <c r="B150" s="2">
        <v>10147</v>
      </c>
      <c r="C150" s="25" t="s">
        <v>255</v>
      </c>
      <c r="D150" s="2" t="s">
        <v>152</v>
      </c>
      <c r="E150" s="4">
        <v>699</v>
      </c>
      <c r="F150" s="2" t="s">
        <v>303</v>
      </c>
      <c r="I150" s="4" t="s">
        <v>257</v>
      </c>
      <c r="J150" s="2">
        <v>799</v>
      </c>
    </row>
    <row r="151" spans="2:10">
      <c r="B151" s="2">
        <v>10148</v>
      </c>
      <c r="C151" s="25" t="s">
        <v>255</v>
      </c>
      <c r="D151" s="2" t="s">
        <v>155</v>
      </c>
      <c r="E151" s="4">
        <v>713</v>
      </c>
      <c r="F151" s="2" t="s">
        <v>304</v>
      </c>
      <c r="I151" s="4" t="s">
        <v>257</v>
      </c>
      <c r="J151" s="2">
        <v>813</v>
      </c>
    </row>
    <row r="152" spans="2:10">
      <c r="B152" s="2">
        <v>10149</v>
      </c>
      <c r="C152" s="25" t="s">
        <v>255</v>
      </c>
      <c r="D152" s="2" t="s">
        <v>158</v>
      </c>
      <c r="E152" s="4">
        <v>727</v>
      </c>
      <c r="F152" s="2" t="s">
        <v>305</v>
      </c>
      <c r="I152" s="4" t="s">
        <v>257</v>
      </c>
      <c r="J152" s="2">
        <v>827</v>
      </c>
    </row>
    <row r="153" spans="2:10">
      <c r="B153" s="2">
        <v>10150</v>
      </c>
      <c r="C153" s="25" t="s">
        <v>255</v>
      </c>
      <c r="D153" s="2" t="s">
        <v>161</v>
      </c>
      <c r="E153" s="4">
        <v>740.999999999999</v>
      </c>
      <c r="F153" s="2" t="s">
        <v>306</v>
      </c>
      <c r="I153" s="4" t="s">
        <v>257</v>
      </c>
      <c r="J153" s="2">
        <v>841</v>
      </c>
    </row>
    <row r="154" spans="2:10">
      <c r="B154" s="2">
        <v>10151</v>
      </c>
      <c r="C154" s="2" t="s">
        <v>307</v>
      </c>
      <c r="D154" s="2" t="s">
        <v>13</v>
      </c>
      <c r="F154" s="2" t="s">
        <v>256</v>
      </c>
      <c r="G154" s="4" t="s">
        <v>308</v>
      </c>
      <c r="I154" s="4" t="s">
        <v>309</v>
      </c>
    </row>
    <row r="155" spans="2:10">
      <c r="B155" s="2">
        <v>10152</v>
      </c>
      <c r="C155" s="2" t="s">
        <v>307</v>
      </c>
      <c r="D155" s="2" t="s">
        <v>17</v>
      </c>
      <c r="F155" s="2" t="s">
        <v>258</v>
      </c>
      <c r="G155" s="2" t="s">
        <v>310</v>
      </c>
      <c r="I155" s="4" t="s">
        <v>309</v>
      </c>
    </row>
    <row r="156" spans="2:10">
      <c r="B156" s="2">
        <v>10153</v>
      </c>
      <c r="C156" s="2" t="s">
        <v>307</v>
      </c>
      <c r="D156" s="2" t="s">
        <v>20</v>
      </c>
      <c r="F156" s="2" t="s">
        <v>259</v>
      </c>
      <c r="G156" s="2" t="s">
        <v>311</v>
      </c>
      <c r="I156" s="4" t="s">
        <v>309</v>
      </c>
    </row>
    <row r="157" spans="2:10">
      <c r="B157" s="2">
        <v>10154</v>
      </c>
      <c r="C157" s="2" t="s">
        <v>307</v>
      </c>
      <c r="D157" s="2" t="s">
        <v>23</v>
      </c>
      <c r="F157" s="2" t="s">
        <v>260</v>
      </c>
      <c r="G157" s="2" t="s">
        <v>312</v>
      </c>
      <c r="I157" s="4" t="s">
        <v>309</v>
      </c>
    </row>
    <row r="158" spans="2:10">
      <c r="B158" s="2">
        <v>10155</v>
      </c>
      <c r="C158" s="2" t="s">
        <v>307</v>
      </c>
      <c r="D158" s="2" t="s">
        <v>26</v>
      </c>
      <c r="F158" s="2" t="s">
        <v>261</v>
      </c>
      <c r="G158" s="2" t="s">
        <v>313</v>
      </c>
      <c r="I158" s="4" t="s">
        <v>309</v>
      </c>
    </row>
    <row r="159" spans="2:10">
      <c r="B159" s="2">
        <v>10156</v>
      </c>
      <c r="C159" s="2" t="s">
        <v>307</v>
      </c>
      <c r="D159" s="2" t="s">
        <v>29</v>
      </c>
      <c r="F159" s="2" t="s">
        <v>262</v>
      </c>
      <c r="G159" s="2" t="s">
        <v>314</v>
      </c>
      <c r="I159" s="4" t="s">
        <v>309</v>
      </c>
    </row>
    <row r="160" spans="2:10">
      <c r="B160" s="2">
        <v>10157</v>
      </c>
      <c r="C160" s="2" t="s">
        <v>307</v>
      </c>
      <c r="D160" s="2" t="s">
        <v>32</v>
      </c>
      <c r="F160" s="2" t="s">
        <v>263</v>
      </c>
      <c r="G160" s="2" t="s">
        <v>315</v>
      </c>
      <c r="I160" s="4" t="s">
        <v>309</v>
      </c>
    </row>
    <row r="161" spans="2:9">
      <c r="B161" s="2">
        <v>10158</v>
      </c>
      <c r="C161" s="2" t="s">
        <v>307</v>
      </c>
      <c r="D161" s="2" t="s">
        <v>35</v>
      </c>
      <c r="F161" s="2" t="s">
        <v>264</v>
      </c>
      <c r="G161" s="2" t="s">
        <v>316</v>
      </c>
      <c r="I161" s="4" t="s">
        <v>309</v>
      </c>
    </row>
    <row r="162" spans="2:9">
      <c r="B162" s="2">
        <v>10159</v>
      </c>
      <c r="C162" s="2" t="s">
        <v>307</v>
      </c>
      <c r="D162" s="2" t="s">
        <v>38</v>
      </c>
      <c r="F162" s="2" t="s">
        <v>265</v>
      </c>
      <c r="G162" s="2" t="s">
        <v>317</v>
      </c>
      <c r="I162" s="4" t="s">
        <v>309</v>
      </c>
    </row>
    <row r="163" spans="2:9">
      <c r="B163" s="2">
        <v>10160</v>
      </c>
      <c r="C163" s="2" t="s">
        <v>307</v>
      </c>
      <c r="D163" s="2" t="s">
        <v>41</v>
      </c>
      <c r="F163" s="2" t="s">
        <v>266</v>
      </c>
      <c r="G163" s="2" t="s">
        <v>318</v>
      </c>
      <c r="I163" s="4" t="s">
        <v>309</v>
      </c>
    </row>
    <row r="164" spans="2:9">
      <c r="B164" s="2">
        <v>10161</v>
      </c>
      <c r="C164" s="2" t="s">
        <v>307</v>
      </c>
      <c r="D164" s="2" t="s">
        <v>44</v>
      </c>
      <c r="F164" s="2" t="s">
        <v>267</v>
      </c>
      <c r="G164" s="2" t="s">
        <v>319</v>
      </c>
      <c r="I164" s="4" t="s">
        <v>309</v>
      </c>
    </row>
    <row r="165" spans="2:9">
      <c r="B165" s="2">
        <v>10162</v>
      </c>
      <c r="C165" s="2" t="s">
        <v>307</v>
      </c>
      <c r="D165" s="2" t="s">
        <v>47</v>
      </c>
      <c r="F165" s="2" t="s">
        <v>268</v>
      </c>
      <c r="G165" s="2" t="s">
        <v>320</v>
      </c>
      <c r="I165" s="4" t="s">
        <v>309</v>
      </c>
    </row>
    <row r="166" spans="2:9">
      <c r="B166" s="2">
        <v>10163</v>
      </c>
      <c r="C166" s="2" t="s">
        <v>307</v>
      </c>
      <c r="D166" s="2" t="s">
        <v>50</v>
      </c>
      <c r="F166" s="2" t="s">
        <v>269</v>
      </c>
      <c r="G166" s="2" t="s">
        <v>321</v>
      </c>
      <c r="I166" s="4" t="s">
        <v>309</v>
      </c>
    </row>
    <row r="167" spans="2:9">
      <c r="B167" s="2">
        <v>10164</v>
      </c>
      <c r="C167" s="2" t="s">
        <v>307</v>
      </c>
      <c r="D167" s="2" t="s">
        <v>53</v>
      </c>
      <c r="F167" s="2" t="s">
        <v>270</v>
      </c>
      <c r="G167" s="2" t="s">
        <v>322</v>
      </c>
      <c r="I167" s="4" t="s">
        <v>309</v>
      </c>
    </row>
    <row r="168" spans="2:9">
      <c r="B168" s="2">
        <v>10165</v>
      </c>
      <c r="C168" s="2" t="s">
        <v>307</v>
      </c>
      <c r="D168" s="2" t="s">
        <v>56</v>
      </c>
      <c r="F168" s="2" t="s">
        <v>271</v>
      </c>
      <c r="G168" s="2" t="s">
        <v>323</v>
      </c>
      <c r="I168" s="4" t="s">
        <v>309</v>
      </c>
    </row>
    <row r="169" spans="2:9">
      <c r="B169" s="2">
        <v>10166</v>
      </c>
      <c r="C169" s="2" t="s">
        <v>307</v>
      </c>
      <c r="D169" s="2" t="s">
        <v>59</v>
      </c>
      <c r="F169" s="2" t="s">
        <v>272</v>
      </c>
      <c r="G169" s="2" t="s">
        <v>324</v>
      </c>
      <c r="I169" s="4" t="s">
        <v>309</v>
      </c>
    </row>
    <row r="170" spans="2:9">
      <c r="B170" s="2">
        <v>10167</v>
      </c>
      <c r="C170" s="2" t="s">
        <v>307</v>
      </c>
      <c r="D170" s="2" t="s">
        <v>62</v>
      </c>
      <c r="F170" s="2" t="s">
        <v>273</v>
      </c>
      <c r="G170" s="2" t="s">
        <v>325</v>
      </c>
      <c r="I170" s="4" t="s">
        <v>309</v>
      </c>
    </row>
    <row r="171" spans="2:9">
      <c r="B171" s="2">
        <v>10168</v>
      </c>
      <c r="C171" s="2" t="s">
        <v>307</v>
      </c>
      <c r="D171" s="2" t="s">
        <v>65</v>
      </c>
      <c r="F171" s="2" t="s">
        <v>274</v>
      </c>
      <c r="G171" s="2" t="s">
        <v>326</v>
      </c>
      <c r="I171" s="4" t="s">
        <v>309</v>
      </c>
    </row>
    <row r="172" spans="2:9">
      <c r="B172" s="2">
        <v>10169</v>
      </c>
      <c r="C172" s="2" t="s">
        <v>307</v>
      </c>
      <c r="D172" s="2" t="s">
        <v>68</v>
      </c>
      <c r="F172" s="2" t="s">
        <v>275</v>
      </c>
      <c r="G172" s="2" t="s">
        <v>327</v>
      </c>
      <c r="I172" s="4" t="s">
        <v>309</v>
      </c>
    </row>
    <row r="173" spans="2:9">
      <c r="B173" s="2">
        <v>10170</v>
      </c>
      <c r="C173" s="2" t="s">
        <v>307</v>
      </c>
      <c r="D173" s="2" t="s">
        <v>71</v>
      </c>
      <c r="F173" s="2" t="s">
        <v>276</v>
      </c>
      <c r="G173" s="2" t="s">
        <v>328</v>
      </c>
      <c r="I173" s="4" t="s">
        <v>309</v>
      </c>
    </row>
    <row r="174" spans="2:9">
      <c r="B174" s="2">
        <v>10171</v>
      </c>
      <c r="C174" s="2" t="s">
        <v>307</v>
      </c>
      <c r="D174" s="2" t="s">
        <v>74</v>
      </c>
      <c r="F174" s="2" t="s">
        <v>277</v>
      </c>
      <c r="G174" s="2" t="s">
        <v>329</v>
      </c>
      <c r="I174" s="4" t="s">
        <v>309</v>
      </c>
    </row>
    <row r="175" spans="2:9">
      <c r="B175" s="2">
        <v>10172</v>
      </c>
      <c r="C175" s="2" t="s">
        <v>307</v>
      </c>
      <c r="D175" s="2" t="s">
        <v>77</v>
      </c>
      <c r="F175" s="2" t="s">
        <v>278</v>
      </c>
      <c r="G175" s="2" t="s">
        <v>330</v>
      </c>
      <c r="I175" s="4" t="s">
        <v>309</v>
      </c>
    </row>
    <row r="176" spans="2:9">
      <c r="B176" s="2">
        <v>10173</v>
      </c>
      <c r="C176" s="2" t="s">
        <v>307</v>
      </c>
      <c r="D176" s="2" t="s">
        <v>80</v>
      </c>
      <c r="F176" s="2" t="s">
        <v>279</v>
      </c>
      <c r="G176" s="2" t="s">
        <v>331</v>
      </c>
      <c r="I176" s="4" t="s">
        <v>309</v>
      </c>
    </row>
    <row r="177" spans="2:9">
      <c r="B177" s="2">
        <v>10174</v>
      </c>
      <c r="C177" s="2" t="s">
        <v>307</v>
      </c>
      <c r="D177" s="2" t="s">
        <v>83</v>
      </c>
      <c r="F177" s="2" t="s">
        <v>280</v>
      </c>
      <c r="G177" s="2" t="s">
        <v>332</v>
      </c>
      <c r="I177" s="4" t="s">
        <v>309</v>
      </c>
    </row>
    <row r="178" spans="2:9">
      <c r="B178" s="2">
        <v>10175</v>
      </c>
      <c r="C178" s="2" t="s">
        <v>307</v>
      </c>
      <c r="D178" s="2" t="s">
        <v>86</v>
      </c>
      <c r="F178" s="2" t="s">
        <v>281</v>
      </c>
      <c r="G178" s="2" t="s">
        <v>333</v>
      </c>
      <c r="I178" s="4" t="s">
        <v>309</v>
      </c>
    </row>
    <row r="179" spans="2:9">
      <c r="B179" s="2">
        <v>10176</v>
      </c>
      <c r="C179" s="2" t="s">
        <v>307</v>
      </c>
      <c r="D179" s="2" t="s">
        <v>89</v>
      </c>
      <c r="F179" s="2" t="s">
        <v>282</v>
      </c>
      <c r="G179" s="2" t="s">
        <v>334</v>
      </c>
      <c r="I179" s="4" t="s">
        <v>309</v>
      </c>
    </row>
    <row r="180" spans="2:9">
      <c r="B180" s="2">
        <v>10177</v>
      </c>
      <c r="C180" s="2" t="s">
        <v>307</v>
      </c>
      <c r="D180" s="2" t="s">
        <v>92</v>
      </c>
      <c r="F180" s="2" t="s">
        <v>283</v>
      </c>
      <c r="G180" s="2" t="s">
        <v>335</v>
      </c>
      <c r="I180" s="4" t="s">
        <v>309</v>
      </c>
    </row>
    <row r="181" spans="2:9">
      <c r="B181" s="2">
        <v>10178</v>
      </c>
      <c r="C181" s="2" t="s">
        <v>307</v>
      </c>
      <c r="D181" s="2" t="s">
        <v>95</v>
      </c>
      <c r="F181" s="2" t="s">
        <v>284</v>
      </c>
      <c r="G181" s="2" t="s">
        <v>336</v>
      </c>
      <c r="I181" s="4" t="s">
        <v>309</v>
      </c>
    </row>
    <row r="182" spans="2:9">
      <c r="B182" s="2">
        <v>10179</v>
      </c>
      <c r="C182" s="2" t="s">
        <v>307</v>
      </c>
      <c r="D182" s="2" t="s">
        <v>98</v>
      </c>
      <c r="F182" s="2" t="s">
        <v>285</v>
      </c>
      <c r="G182" s="2" t="s">
        <v>337</v>
      </c>
      <c r="I182" s="4" t="s">
        <v>309</v>
      </c>
    </row>
    <row r="183" spans="2:9">
      <c r="B183" s="2">
        <v>10180</v>
      </c>
      <c r="C183" s="2" t="s">
        <v>307</v>
      </c>
      <c r="D183" s="2" t="s">
        <v>101</v>
      </c>
      <c r="F183" s="2" t="s">
        <v>286</v>
      </c>
      <c r="G183" s="2" t="s">
        <v>338</v>
      </c>
      <c r="I183" s="4" t="s">
        <v>309</v>
      </c>
    </row>
    <row r="184" spans="2:9">
      <c r="B184" s="2">
        <v>10181</v>
      </c>
      <c r="C184" s="2" t="s">
        <v>307</v>
      </c>
      <c r="D184" s="2" t="s">
        <v>104</v>
      </c>
      <c r="F184" s="2" t="s">
        <v>287</v>
      </c>
      <c r="G184" s="2" t="s">
        <v>339</v>
      </c>
      <c r="I184" s="4" t="s">
        <v>309</v>
      </c>
    </row>
    <row r="185" spans="2:9">
      <c r="B185" s="2">
        <v>10182</v>
      </c>
      <c r="C185" s="2" t="s">
        <v>307</v>
      </c>
      <c r="D185" s="2" t="s">
        <v>107</v>
      </c>
      <c r="F185" s="2" t="s">
        <v>288</v>
      </c>
      <c r="G185" s="2" t="s">
        <v>340</v>
      </c>
      <c r="I185" s="4" t="s">
        <v>309</v>
      </c>
    </row>
    <row r="186" spans="2:9">
      <c r="B186" s="2">
        <v>10183</v>
      </c>
      <c r="C186" s="2" t="s">
        <v>307</v>
      </c>
      <c r="D186" s="2" t="s">
        <v>110</v>
      </c>
      <c r="F186" s="2" t="s">
        <v>289</v>
      </c>
      <c r="G186" s="2" t="s">
        <v>341</v>
      </c>
      <c r="I186" s="4" t="s">
        <v>309</v>
      </c>
    </row>
    <row r="187" spans="2:9">
      <c r="B187" s="2">
        <v>10184</v>
      </c>
      <c r="C187" s="2" t="s">
        <v>307</v>
      </c>
      <c r="D187" s="2" t="s">
        <v>113</v>
      </c>
      <c r="F187" s="2" t="s">
        <v>290</v>
      </c>
      <c r="G187" s="2" t="s">
        <v>342</v>
      </c>
      <c r="I187" s="4" t="s">
        <v>309</v>
      </c>
    </row>
    <row r="188" spans="2:9">
      <c r="B188" s="2">
        <v>10185</v>
      </c>
      <c r="C188" s="2" t="s">
        <v>307</v>
      </c>
      <c r="D188" s="2" t="s">
        <v>116</v>
      </c>
      <c r="F188" s="2" t="s">
        <v>291</v>
      </c>
      <c r="G188" s="2" t="s">
        <v>343</v>
      </c>
      <c r="I188" s="4" t="s">
        <v>309</v>
      </c>
    </row>
    <row r="189" spans="2:9">
      <c r="B189" s="2">
        <v>10186</v>
      </c>
      <c r="C189" s="2" t="s">
        <v>307</v>
      </c>
      <c r="D189" s="2" t="s">
        <v>119</v>
      </c>
      <c r="F189" s="2" t="s">
        <v>292</v>
      </c>
      <c r="G189" s="2" t="s">
        <v>344</v>
      </c>
      <c r="I189" s="4" t="s">
        <v>309</v>
      </c>
    </row>
    <row r="190" spans="2:9">
      <c r="B190" s="2">
        <v>10187</v>
      </c>
      <c r="C190" s="2" t="s">
        <v>307</v>
      </c>
      <c r="D190" s="2" t="s">
        <v>122</v>
      </c>
      <c r="F190" s="2" t="s">
        <v>293</v>
      </c>
      <c r="G190" s="2" t="s">
        <v>345</v>
      </c>
      <c r="I190" s="4" t="s">
        <v>309</v>
      </c>
    </row>
    <row r="191" spans="2:9">
      <c r="B191" s="2">
        <v>10188</v>
      </c>
      <c r="C191" s="2" t="s">
        <v>307</v>
      </c>
      <c r="D191" s="2" t="s">
        <v>125</v>
      </c>
      <c r="F191" s="2" t="s">
        <v>294</v>
      </c>
      <c r="G191" s="2" t="s">
        <v>346</v>
      </c>
      <c r="I191" s="4" t="s">
        <v>309</v>
      </c>
    </row>
    <row r="192" spans="2:9">
      <c r="B192" s="2">
        <v>10189</v>
      </c>
      <c r="C192" s="2" t="s">
        <v>307</v>
      </c>
      <c r="D192" s="2" t="s">
        <v>128</v>
      </c>
      <c r="F192" s="2" t="s">
        <v>295</v>
      </c>
      <c r="G192" s="2" t="s">
        <v>347</v>
      </c>
      <c r="I192" s="4" t="s">
        <v>309</v>
      </c>
    </row>
    <row r="193" spans="2:10">
      <c r="B193" s="2">
        <v>10190</v>
      </c>
      <c r="C193" s="2" t="s">
        <v>307</v>
      </c>
      <c r="D193" s="2" t="s">
        <v>131</v>
      </c>
      <c r="F193" s="2" t="s">
        <v>296</v>
      </c>
      <c r="G193" s="2" t="s">
        <v>348</v>
      </c>
      <c r="I193" s="4" t="s">
        <v>309</v>
      </c>
    </row>
    <row r="194" spans="2:10">
      <c r="B194" s="2">
        <v>10191</v>
      </c>
      <c r="C194" s="2" t="s">
        <v>307</v>
      </c>
      <c r="D194" s="2" t="s">
        <v>134</v>
      </c>
      <c r="F194" s="2" t="s">
        <v>297</v>
      </c>
      <c r="G194" s="2" t="s">
        <v>349</v>
      </c>
      <c r="I194" s="4" t="s">
        <v>309</v>
      </c>
    </row>
    <row r="195" spans="2:10">
      <c r="B195" s="2">
        <v>10192</v>
      </c>
      <c r="C195" s="2" t="s">
        <v>307</v>
      </c>
      <c r="D195" s="2" t="s">
        <v>137</v>
      </c>
      <c r="F195" s="2" t="s">
        <v>298</v>
      </c>
      <c r="G195" s="2" t="s">
        <v>350</v>
      </c>
      <c r="I195" s="4" t="s">
        <v>309</v>
      </c>
    </row>
    <row r="196" spans="2:10">
      <c r="B196" s="2">
        <v>10193</v>
      </c>
      <c r="C196" s="2" t="s">
        <v>307</v>
      </c>
      <c r="D196" s="2" t="s">
        <v>140</v>
      </c>
      <c r="F196" s="2" t="s">
        <v>299</v>
      </c>
      <c r="G196" s="2" t="s">
        <v>351</v>
      </c>
      <c r="I196" s="4" t="s">
        <v>309</v>
      </c>
    </row>
    <row r="197" spans="2:10">
      <c r="B197" s="2">
        <v>10194</v>
      </c>
      <c r="C197" s="2" t="s">
        <v>307</v>
      </c>
      <c r="D197" s="2" t="s">
        <v>143</v>
      </c>
      <c r="F197" s="2" t="s">
        <v>300</v>
      </c>
      <c r="G197" s="2" t="s">
        <v>352</v>
      </c>
      <c r="I197" s="4" t="s">
        <v>309</v>
      </c>
    </row>
    <row r="198" spans="2:10">
      <c r="B198" s="2">
        <v>10195</v>
      </c>
      <c r="C198" s="2" t="s">
        <v>307</v>
      </c>
      <c r="D198" s="2" t="s">
        <v>146</v>
      </c>
      <c r="F198" s="2" t="s">
        <v>301</v>
      </c>
      <c r="G198" s="2" t="s">
        <v>353</v>
      </c>
      <c r="I198" s="4" t="s">
        <v>309</v>
      </c>
    </row>
    <row r="199" spans="2:10">
      <c r="B199" s="2">
        <v>10196</v>
      </c>
      <c r="C199" s="2" t="s">
        <v>307</v>
      </c>
      <c r="D199" s="2" t="s">
        <v>149</v>
      </c>
      <c r="F199" s="2" t="s">
        <v>302</v>
      </c>
      <c r="G199" s="2" t="s">
        <v>354</v>
      </c>
      <c r="I199" s="4" t="s">
        <v>309</v>
      </c>
    </row>
    <row r="200" spans="2:10">
      <c r="B200" s="2">
        <v>10197</v>
      </c>
      <c r="C200" s="2" t="s">
        <v>307</v>
      </c>
      <c r="D200" s="2" t="s">
        <v>152</v>
      </c>
      <c r="F200" s="2" t="s">
        <v>303</v>
      </c>
      <c r="G200" s="2" t="s">
        <v>355</v>
      </c>
      <c r="I200" s="4" t="s">
        <v>309</v>
      </c>
    </row>
    <row r="201" spans="2:10">
      <c r="B201" s="2">
        <v>10198</v>
      </c>
      <c r="C201" s="2" t="s">
        <v>307</v>
      </c>
      <c r="D201" s="2" t="s">
        <v>155</v>
      </c>
      <c r="F201" s="2" t="s">
        <v>304</v>
      </c>
      <c r="G201" s="2" t="s">
        <v>356</v>
      </c>
      <c r="I201" s="4" t="s">
        <v>309</v>
      </c>
    </row>
    <row r="202" spans="2:10">
      <c r="B202" s="2">
        <v>10199</v>
      </c>
      <c r="C202" s="2" t="s">
        <v>307</v>
      </c>
      <c r="D202" s="2" t="s">
        <v>158</v>
      </c>
      <c r="F202" s="2" t="s">
        <v>305</v>
      </c>
      <c r="G202" s="2" t="s">
        <v>357</v>
      </c>
      <c r="I202" s="4" t="s">
        <v>309</v>
      </c>
    </row>
    <row r="203" spans="2:10">
      <c r="B203" s="2">
        <v>10200</v>
      </c>
      <c r="C203" s="2" t="s">
        <v>307</v>
      </c>
      <c r="D203" s="2" t="s">
        <v>161</v>
      </c>
      <c r="F203" s="2" t="s">
        <v>306</v>
      </c>
      <c r="G203" s="2" t="s">
        <v>358</v>
      </c>
      <c r="I203" s="4" t="s">
        <v>309</v>
      </c>
    </row>
    <row r="204" spans="2:10">
      <c r="B204" s="23">
        <v>10201</v>
      </c>
      <c r="C204" s="26" t="s">
        <v>359</v>
      </c>
      <c r="D204" s="23" t="s">
        <v>13</v>
      </c>
      <c r="E204" s="23" t="s">
        <v>360</v>
      </c>
      <c r="F204" s="23" t="s">
        <v>361</v>
      </c>
      <c r="I204" s="5" t="s">
        <v>362</v>
      </c>
      <c r="J204" s="2">
        <v>40</v>
      </c>
    </row>
    <row r="205" spans="2:10">
      <c r="B205" s="23" t="s">
        <v>363</v>
      </c>
      <c r="C205" s="26" t="s">
        <v>359</v>
      </c>
      <c r="D205" s="23" t="s">
        <v>17</v>
      </c>
      <c r="E205" s="23" t="s">
        <v>364</v>
      </c>
      <c r="F205" s="23" t="s">
        <v>365</v>
      </c>
      <c r="I205" s="5" t="s">
        <v>362</v>
      </c>
      <c r="J205" s="2">
        <v>44</v>
      </c>
    </row>
    <row r="206" spans="2:10">
      <c r="B206" s="23">
        <v>10203</v>
      </c>
      <c r="C206" s="26" t="s">
        <v>359</v>
      </c>
      <c r="D206" s="23" t="s">
        <v>20</v>
      </c>
      <c r="E206" s="23" t="s">
        <v>366</v>
      </c>
      <c r="F206" s="23" t="s">
        <v>367</v>
      </c>
      <c r="I206" s="5" t="s">
        <v>362</v>
      </c>
      <c r="J206" s="2">
        <v>47</v>
      </c>
    </row>
    <row r="207" spans="2:10">
      <c r="B207" s="23">
        <v>10204</v>
      </c>
      <c r="C207" s="26" t="s">
        <v>359</v>
      </c>
      <c r="D207" s="23" t="s">
        <v>23</v>
      </c>
      <c r="E207" s="23" t="s">
        <v>368</v>
      </c>
      <c r="F207" s="23" t="s">
        <v>369</v>
      </c>
      <c r="I207" s="5" t="s">
        <v>362</v>
      </c>
      <c r="J207" s="2">
        <v>51</v>
      </c>
    </row>
    <row r="208" spans="2:10">
      <c r="B208" s="23">
        <v>10205</v>
      </c>
      <c r="C208" s="26" t="s">
        <v>359</v>
      </c>
      <c r="D208" s="23" t="s">
        <v>26</v>
      </c>
      <c r="E208" s="23" t="s">
        <v>370</v>
      </c>
      <c r="F208" s="23" t="s">
        <v>371</v>
      </c>
      <c r="I208" s="5" t="s">
        <v>362</v>
      </c>
      <c r="J208" s="2">
        <v>55</v>
      </c>
    </row>
    <row r="209" spans="2:10">
      <c r="B209" s="23">
        <v>10206</v>
      </c>
      <c r="C209" s="26" t="s">
        <v>359</v>
      </c>
      <c r="D209" s="23" t="s">
        <v>29</v>
      </c>
      <c r="E209" s="23" t="s">
        <v>372</v>
      </c>
      <c r="F209" s="23" t="s">
        <v>373</v>
      </c>
      <c r="I209" s="5" t="s">
        <v>362</v>
      </c>
      <c r="J209" s="2">
        <v>58</v>
      </c>
    </row>
    <row r="210" spans="2:10">
      <c r="B210" s="23">
        <v>10207</v>
      </c>
      <c r="C210" s="26" t="s">
        <v>359</v>
      </c>
      <c r="D210" s="23" t="s">
        <v>32</v>
      </c>
      <c r="E210" s="23" t="s">
        <v>374</v>
      </c>
      <c r="F210" s="23" t="s">
        <v>375</v>
      </c>
      <c r="I210" s="5" t="s">
        <v>362</v>
      </c>
      <c r="J210" s="2">
        <v>62</v>
      </c>
    </row>
    <row r="211" spans="2:10">
      <c r="B211" s="23">
        <v>10208</v>
      </c>
      <c r="C211" s="26" t="s">
        <v>359</v>
      </c>
      <c r="D211" s="23" t="s">
        <v>35</v>
      </c>
      <c r="E211" s="23" t="s">
        <v>376</v>
      </c>
      <c r="F211" s="23" t="s">
        <v>377</v>
      </c>
      <c r="I211" s="5" t="s">
        <v>362</v>
      </c>
      <c r="J211" s="2">
        <v>66</v>
      </c>
    </row>
    <row r="212" spans="2:10">
      <c r="B212" s="23">
        <v>10209</v>
      </c>
      <c r="C212" s="26" t="s">
        <v>359</v>
      </c>
      <c r="D212" s="23" t="s">
        <v>38</v>
      </c>
      <c r="E212" s="23" t="s">
        <v>378</v>
      </c>
      <c r="F212" s="23" t="s">
        <v>379</v>
      </c>
      <c r="I212" s="5" t="s">
        <v>362</v>
      </c>
      <c r="J212" s="2">
        <v>69</v>
      </c>
    </row>
    <row r="213" spans="2:10">
      <c r="B213" s="23">
        <v>10210</v>
      </c>
      <c r="C213" s="26" t="s">
        <v>359</v>
      </c>
      <c r="D213" s="23" t="s">
        <v>41</v>
      </c>
      <c r="E213" s="23" t="s">
        <v>380</v>
      </c>
      <c r="F213" s="23" t="s">
        <v>381</v>
      </c>
      <c r="I213" s="5" t="s">
        <v>362</v>
      </c>
      <c r="J213" s="2">
        <v>73</v>
      </c>
    </row>
    <row r="214" spans="2:10">
      <c r="B214" s="23">
        <v>10211</v>
      </c>
      <c r="C214" s="26" t="s">
        <v>359</v>
      </c>
      <c r="D214" s="23" t="s">
        <v>44</v>
      </c>
      <c r="E214" s="23" t="s">
        <v>382</v>
      </c>
      <c r="F214" s="23" t="s">
        <v>383</v>
      </c>
      <c r="I214" s="5" t="s">
        <v>362</v>
      </c>
      <c r="J214" s="2">
        <v>77</v>
      </c>
    </row>
    <row r="215" spans="2:10">
      <c r="B215" s="23">
        <v>10212</v>
      </c>
      <c r="C215" s="26" t="s">
        <v>359</v>
      </c>
      <c r="D215" s="23" t="s">
        <v>47</v>
      </c>
      <c r="E215" s="23" t="s">
        <v>384</v>
      </c>
      <c r="F215" s="23" t="s">
        <v>385</v>
      </c>
      <c r="I215" s="5" t="s">
        <v>362</v>
      </c>
      <c r="J215" s="2">
        <v>80</v>
      </c>
    </row>
    <row r="216" spans="2:10">
      <c r="B216" s="23">
        <v>10213</v>
      </c>
      <c r="C216" s="26" t="s">
        <v>359</v>
      </c>
      <c r="D216" s="23" t="s">
        <v>50</v>
      </c>
      <c r="E216" s="23" t="s">
        <v>386</v>
      </c>
      <c r="F216" s="23" t="s">
        <v>387</v>
      </c>
      <c r="I216" s="5" t="s">
        <v>362</v>
      </c>
      <c r="J216" s="2">
        <v>84</v>
      </c>
    </row>
    <row r="217" spans="2:10">
      <c r="B217" s="23">
        <v>10214</v>
      </c>
      <c r="C217" s="26" t="s">
        <v>359</v>
      </c>
      <c r="D217" s="23" t="s">
        <v>53</v>
      </c>
      <c r="E217" s="23" t="s">
        <v>388</v>
      </c>
      <c r="F217" s="23" t="s">
        <v>389</v>
      </c>
      <c r="I217" s="5" t="s">
        <v>362</v>
      </c>
      <c r="J217" s="2">
        <v>88</v>
      </c>
    </row>
    <row r="218" spans="2:10">
      <c r="B218" s="23">
        <v>10215</v>
      </c>
      <c r="C218" s="26" t="s">
        <v>359</v>
      </c>
      <c r="D218" s="23" t="s">
        <v>56</v>
      </c>
      <c r="E218" s="23" t="s">
        <v>390</v>
      </c>
      <c r="F218" s="23" t="s">
        <v>391</v>
      </c>
      <c r="I218" s="5" t="s">
        <v>362</v>
      </c>
      <c r="J218" s="2">
        <v>91</v>
      </c>
    </row>
    <row r="219" spans="2:10">
      <c r="B219" s="23">
        <v>10216</v>
      </c>
      <c r="C219" s="26" t="s">
        <v>359</v>
      </c>
      <c r="D219" s="23" t="s">
        <v>59</v>
      </c>
      <c r="E219" s="23" t="s">
        <v>392</v>
      </c>
      <c r="F219" s="23" t="s">
        <v>393</v>
      </c>
      <c r="I219" s="5" t="s">
        <v>362</v>
      </c>
      <c r="J219" s="2">
        <v>95</v>
      </c>
    </row>
    <row r="220" spans="2:10">
      <c r="B220" s="23">
        <v>10217</v>
      </c>
      <c r="C220" s="26" t="s">
        <v>359</v>
      </c>
      <c r="D220" s="23" t="s">
        <v>62</v>
      </c>
      <c r="E220" s="23" t="s">
        <v>394</v>
      </c>
      <c r="F220" s="23" t="s">
        <v>395</v>
      </c>
      <c r="I220" s="5" t="s">
        <v>362</v>
      </c>
      <c r="J220" s="2">
        <v>99</v>
      </c>
    </row>
    <row r="221" spans="2:10">
      <c r="B221" s="23">
        <v>10218</v>
      </c>
      <c r="C221" s="26" t="s">
        <v>359</v>
      </c>
      <c r="D221" s="23" t="s">
        <v>65</v>
      </c>
      <c r="E221" s="23" t="s">
        <v>396</v>
      </c>
      <c r="F221" s="23" t="s">
        <v>397</v>
      </c>
      <c r="I221" s="5" t="s">
        <v>362</v>
      </c>
      <c r="J221" s="2">
        <v>102</v>
      </c>
    </row>
    <row r="222" spans="2:10">
      <c r="B222" s="23">
        <v>10219</v>
      </c>
      <c r="C222" s="26" t="s">
        <v>359</v>
      </c>
      <c r="D222" s="23" t="s">
        <v>68</v>
      </c>
      <c r="E222" s="23" t="s">
        <v>398</v>
      </c>
      <c r="F222" s="23" t="s">
        <v>399</v>
      </c>
      <c r="I222" s="5" t="s">
        <v>362</v>
      </c>
      <c r="J222" s="2">
        <v>106</v>
      </c>
    </row>
    <row r="223" spans="2:10">
      <c r="B223" s="23">
        <v>10220</v>
      </c>
      <c r="C223" s="26" t="s">
        <v>359</v>
      </c>
      <c r="D223" s="23" t="s">
        <v>71</v>
      </c>
      <c r="E223" s="23" t="s">
        <v>400</v>
      </c>
      <c r="F223" s="23" t="s">
        <v>401</v>
      </c>
      <c r="I223" s="5" t="s">
        <v>362</v>
      </c>
      <c r="J223" s="2">
        <v>110</v>
      </c>
    </row>
    <row r="224" spans="2:10">
      <c r="B224" s="23">
        <v>10221</v>
      </c>
      <c r="C224" s="26" t="s">
        <v>359</v>
      </c>
      <c r="D224" s="23" t="s">
        <v>74</v>
      </c>
      <c r="E224" s="23" t="s">
        <v>402</v>
      </c>
      <c r="F224" s="23" t="s">
        <v>403</v>
      </c>
      <c r="I224" s="5" t="s">
        <v>362</v>
      </c>
      <c r="J224" s="2">
        <v>113</v>
      </c>
    </row>
    <row r="225" spans="2:10">
      <c r="B225" s="23">
        <v>10222</v>
      </c>
      <c r="C225" s="26" t="s">
        <v>359</v>
      </c>
      <c r="D225" s="23" t="s">
        <v>77</v>
      </c>
      <c r="E225" s="23" t="s">
        <v>404</v>
      </c>
      <c r="F225" s="23" t="s">
        <v>405</v>
      </c>
      <c r="I225" s="5" t="s">
        <v>362</v>
      </c>
      <c r="J225" s="2">
        <v>117</v>
      </c>
    </row>
    <row r="226" spans="2:10">
      <c r="B226" s="23">
        <v>10223</v>
      </c>
      <c r="C226" s="26" t="s">
        <v>359</v>
      </c>
      <c r="D226" s="23" t="s">
        <v>80</v>
      </c>
      <c r="E226" s="23" t="s">
        <v>406</v>
      </c>
      <c r="F226" s="23" t="s">
        <v>407</v>
      </c>
      <c r="I226" s="5" t="s">
        <v>362</v>
      </c>
      <c r="J226" s="2">
        <v>121</v>
      </c>
    </row>
    <row r="227" spans="2:10">
      <c r="B227" s="23">
        <v>10224</v>
      </c>
      <c r="C227" s="26" t="s">
        <v>359</v>
      </c>
      <c r="D227" s="23" t="s">
        <v>83</v>
      </c>
      <c r="E227" s="23" t="s">
        <v>408</v>
      </c>
      <c r="F227" s="23" t="s">
        <v>409</v>
      </c>
      <c r="I227" s="5" t="s">
        <v>362</v>
      </c>
      <c r="J227" s="2">
        <v>124</v>
      </c>
    </row>
    <row r="228" spans="2:10">
      <c r="B228" s="23">
        <v>10225</v>
      </c>
      <c r="C228" s="26" t="s">
        <v>359</v>
      </c>
      <c r="D228" s="23" t="s">
        <v>86</v>
      </c>
      <c r="E228" s="23" t="s">
        <v>410</v>
      </c>
      <c r="F228" s="23" t="s">
        <v>411</v>
      </c>
      <c r="I228" s="5" t="s">
        <v>362</v>
      </c>
      <c r="J228" s="2">
        <v>128</v>
      </c>
    </row>
    <row r="229" spans="2:10">
      <c r="B229" s="23">
        <v>10226</v>
      </c>
      <c r="C229" s="26" t="s">
        <v>359</v>
      </c>
      <c r="D229" s="23" t="s">
        <v>89</v>
      </c>
      <c r="E229" s="23" t="s">
        <v>412</v>
      </c>
      <c r="F229" s="23" t="s">
        <v>413</v>
      </c>
      <c r="I229" s="5" t="s">
        <v>362</v>
      </c>
      <c r="J229" s="2">
        <v>132</v>
      </c>
    </row>
    <row r="230" spans="2:10">
      <c r="B230" s="23">
        <v>10227</v>
      </c>
      <c r="C230" s="26" t="s">
        <v>359</v>
      </c>
      <c r="D230" s="23" t="s">
        <v>92</v>
      </c>
      <c r="E230" s="23" t="s">
        <v>414</v>
      </c>
      <c r="F230" s="23" t="s">
        <v>415</v>
      </c>
      <c r="I230" s="5" t="s">
        <v>362</v>
      </c>
      <c r="J230" s="2">
        <v>135</v>
      </c>
    </row>
    <row r="231" spans="2:10">
      <c r="B231" s="23">
        <v>10228</v>
      </c>
      <c r="C231" s="26" t="s">
        <v>359</v>
      </c>
      <c r="D231" s="23" t="s">
        <v>95</v>
      </c>
      <c r="E231" s="23" t="s">
        <v>416</v>
      </c>
      <c r="F231" s="23" t="s">
        <v>417</v>
      </c>
      <c r="I231" s="5" t="s">
        <v>362</v>
      </c>
      <c r="J231" s="2">
        <v>139</v>
      </c>
    </row>
    <row r="232" spans="2:10">
      <c r="B232" s="23">
        <v>10229</v>
      </c>
      <c r="C232" s="26" t="s">
        <v>359</v>
      </c>
      <c r="D232" s="23" t="s">
        <v>98</v>
      </c>
      <c r="E232" s="23" t="s">
        <v>418</v>
      </c>
      <c r="F232" s="23" t="s">
        <v>419</v>
      </c>
      <c r="I232" s="5" t="s">
        <v>362</v>
      </c>
      <c r="J232" s="2">
        <v>143</v>
      </c>
    </row>
    <row r="233" spans="2:10">
      <c r="B233" s="23">
        <v>10230</v>
      </c>
      <c r="C233" s="26" t="s">
        <v>359</v>
      </c>
      <c r="D233" s="23" t="s">
        <v>101</v>
      </c>
      <c r="E233" s="23" t="s">
        <v>420</v>
      </c>
      <c r="F233" s="23" t="s">
        <v>421</v>
      </c>
      <c r="I233" s="5" t="s">
        <v>362</v>
      </c>
      <c r="J233" s="2">
        <v>146</v>
      </c>
    </row>
    <row r="234" spans="2:10">
      <c r="B234" s="23">
        <v>10231</v>
      </c>
      <c r="C234" s="26" t="s">
        <v>359</v>
      </c>
      <c r="D234" s="23" t="s">
        <v>104</v>
      </c>
      <c r="E234" s="23" t="s">
        <v>422</v>
      </c>
      <c r="F234" s="23" t="s">
        <v>423</v>
      </c>
      <c r="I234" s="5" t="s">
        <v>362</v>
      </c>
      <c r="J234" s="2">
        <v>150</v>
      </c>
    </row>
    <row r="235" spans="2:10">
      <c r="B235" s="23">
        <v>10232</v>
      </c>
      <c r="C235" s="26" t="s">
        <v>359</v>
      </c>
      <c r="D235" s="23" t="s">
        <v>107</v>
      </c>
      <c r="E235" s="23" t="s">
        <v>424</v>
      </c>
      <c r="F235" s="23" t="s">
        <v>425</v>
      </c>
      <c r="I235" s="5" t="s">
        <v>362</v>
      </c>
      <c r="J235" s="2">
        <v>154</v>
      </c>
    </row>
    <row r="236" spans="2:10">
      <c r="B236" s="23">
        <v>10233</v>
      </c>
      <c r="C236" s="26" t="s">
        <v>359</v>
      </c>
      <c r="D236" s="23" t="s">
        <v>110</v>
      </c>
      <c r="E236" s="23" t="s">
        <v>426</v>
      </c>
      <c r="F236" s="23" t="s">
        <v>427</v>
      </c>
      <c r="I236" s="5" t="s">
        <v>362</v>
      </c>
      <c r="J236" s="2">
        <v>157</v>
      </c>
    </row>
    <row r="237" spans="2:10">
      <c r="B237" s="23">
        <v>10234</v>
      </c>
      <c r="C237" s="26" t="s">
        <v>359</v>
      </c>
      <c r="D237" s="23" t="s">
        <v>113</v>
      </c>
      <c r="E237" s="23" t="s">
        <v>428</v>
      </c>
      <c r="F237" s="23" t="s">
        <v>429</v>
      </c>
      <c r="I237" s="5" t="s">
        <v>362</v>
      </c>
      <c r="J237" s="2">
        <v>161</v>
      </c>
    </row>
    <row r="238" spans="2:10">
      <c r="B238" s="23">
        <v>10235</v>
      </c>
      <c r="C238" s="26" t="s">
        <v>359</v>
      </c>
      <c r="D238" s="23" t="s">
        <v>116</v>
      </c>
      <c r="E238" s="23" t="s">
        <v>430</v>
      </c>
      <c r="F238" s="23" t="s">
        <v>431</v>
      </c>
      <c r="I238" s="5" t="s">
        <v>362</v>
      </c>
      <c r="J238" s="2">
        <v>165</v>
      </c>
    </row>
    <row r="239" spans="2:10">
      <c r="B239" s="23">
        <v>10236</v>
      </c>
      <c r="C239" s="26" t="s">
        <v>359</v>
      </c>
      <c r="D239" s="23" t="s">
        <v>119</v>
      </c>
      <c r="E239" s="23" t="s">
        <v>432</v>
      </c>
      <c r="F239" s="23" t="s">
        <v>433</v>
      </c>
      <c r="I239" s="5" t="s">
        <v>362</v>
      </c>
      <c r="J239" s="2">
        <v>168</v>
      </c>
    </row>
    <row r="240" spans="2:10">
      <c r="B240" s="23">
        <v>10237</v>
      </c>
      <c r="C240" s="26" t="s">
        <v>359</v>
      </c>
      <c r="D240" s="23" t="s">
        <v>122</v>
      </c>
      <c r="E240" s="23" t="s">
        <v>434</v>
      </c>
      <c r="F240" s="23" t="s">
        <v>435</v>
      </c>
      <c r="I240" s="5" t="s">
        <v>362</v>
      </c>
      <c r="J240" s="2">
        <v>172</v>
      </c>
    </row>
    <row r="241" spans="2:10">
      <c r="B241" s="23">
        <v>10238</v>
      </c>
      <c r="C241" s="26" t="s">
        <v>359</v>
      </c>
      <c r="D241" s="23" t="s">
        <v>125</v>
      </c>
      <c r="E241" s="23" t="s">
        <v>436</v>
      </c>
      <c r="F241" s="23" t="s">
        <v>437</v>
      </c>
      <c r="I241" s="5" t="s">
        <v>362</v>
      </c>
      <c r="J241" s="2">
        <v>176</v>
      </c>
    </row>
    <row r="242" spans="2:10">
      <c r="B242" s="23">
        <v>10239</v>
      </c>
      <c r="C242" s="26" t="s">
        <v>359</v>
      </c>
      <c r="D242" s="23" t="s">
        <v>128</v>
      </c>
      <c r="E242" s="23" t="s">
        <v>438</v>
      </c>
      <c r="F242" s="23" t="s">
        <v>439</v>
      </c>
      <c r="I242" s="5" t="s">
        <v>362</v>
      </c>
      <c r="J242" s="2">
        <v>179</v>
      </c>
    </row>
    <row r="243" spans="2:10">
      <c r="B243" s="23">
        <v>10240</v>
      </c>
      <c r="C243" s="26" t="s">
        <v>359</v>
      </c>
      <c r="D243" s="23" t="s">
        <v>131</v>
      </c>
      <c r="E243" s="23" t="s">
        <v>440</v>
      </c>
      <c r="F243" s="23" t="s">
        <v>441</v>
      </c>
      <c r="I243" s="5" t="s">
        <v>362</v>
      </c>
      <c r="J243" s="2">
        <v>183</v>
      </c>
    </row>
    <row r="244" spans="2:10">
      <c r="B244" s="23">
        <v>10241</v>
      </c>
      <c r="C244" s="26" t="s">
        <v>359</v>
      </c>
      <c r="D244" s="23" t="s">
        <v>134</v>
      </c>
      <c r="E244" s="23" t="s">
        <v>442</v>
      </c>
      <c r="F244" s="23" t="s">
        <v>443</v>
      </c>
      <c r="I244" s="5" t="s">
        <v>362</v>
      </c>
      <c r="J244" s="2">
        <v>187</v>
      </c>
    </row>
    <row r="245" spans="2:10">
      <c r="B245" s="23">
        <v>10242</v>
      </c>
      <c r="C245" s="26" t="s">
        <v>359</v>
      </c>
      <c r="D245" s="23" t="s">
        <v>137</v>
      </c>
      <c r="E245" s="23" t="s">
        <v>444</v>
      </c>
      <c r="F245" s="23" t="s">
        <v>445</v>
      </c>
      <c r="I245" s="5" t="s">
        <v>362</v>
      </c>
      <c r="J245" s="2">
        <v>190</v>
      </c>
    </row>
    <row r="246" spans="2:10">
      <c r="B246" s="23">
        <v>10243</v>
      </c>
      <c r="C246" s="26" t="s">
        <v>359</v>
      </c>
      <c r="D246" s="23" t="s">
        <v>140</v>
      </c>
      <c r="E246" s="23" t="s">
        <v>446</v>
      </c>
      <c r="F246" s="23" t="s">
        <v>447</v>
      </c>
      <c r="I246" s="5" t="s">
        <v>362</v>
      </c>
      <c r="J246" s="2">
        <v>194</v>
      </c>
    </row>
    <row r="247" spans="2:10">
      <c r="B247" s="23">
        <v>10244</v>
      </c>
      <c r="C247" s="26" t="s">
        <v>359</v>
      </c>
      <c r="D247" s="23" t="s">
        <v>143</v>
      </c>
      <c r="E247" s="23" t="s">
        <v>448</v>
      </c>
      <c r="F247" s="23" t="s">
        <v>449</v>
      </c>
      <c r="I247" s="5" t="s">
        <v>362</v>
      </c>
      <c r="J247" s="2">
        <v>198</v>
      </c>
    </row>
    <row r="248" spans="2:10">
      <c r="B248" s="23">
        <v>10245</v>
      </c>
      <c r="C248" s="26" t="s">
        <v>359</v>
      </c>
      <c r="D248" s="23" t="s">
        <v>146</v>
      </c>
      <c r="E248" s="23" t="s">
        <v>450</v>
      </c>
      <c r="F248" s="23" t="s">
        <v>451</v>
      </c>
      <c r="I248" s="5" t="s">
        <v>362</v>
      </c>
      <c r="J248" s="2">
        <v>201</v>
      </c>
    </row>
    <row r="249" spans="2:10">
      <c r="B249" s="23">
        <v>10246</v>
      </c>
      <c r="C249" s="26" t="s">
        <v>359</v>
      </c>
      <c r="D249" s="23" t="s">
        <v>149</v>
      </c>
      <c r="E249" s="23" t="s">
        <v>452</v>
      </c>
      <c r="F249" s="23" t="s">
        <v>453</v>
      </c>
      <c r="I249" s="5" t="s">
        <v>362</v>
      </c>
      <c r="J249" s="2">
        <v>205</v>
      </c>
    </row>
    <row r="250" spans="2:10">
      <c r="B250" s="23">
        <v>10247</v>
      </c>
      <c r="C250" s="26" t="s">
        <v>359</v>
      </c>
      <c r="D250" s="23" t="s">
        <v>152</v>
      </c>
      <c r="E250" s="23" t="s">
        <v>454</v>
      </c>
      <c r="F250" s="23" t="s">
        <v>455</v>
      </c>
      <c r="I250" s="5" t="s">
        <v>362</v>
      </c>
      <c r="J250" s="2">
        <v>209</v>
      </c>
    </row>
    <row r="251" spans="2:10">
      <c r="B251" s="23">
        <v>10248</v>
      </c>
      <c r="C251" s="26" t="s">
        <v>359</v>
      </c>
      <c r="D251" s="23" t="s">
        <v>155</v>
      </c>
      <c r="E251" s="23" t="s">
        <v>456</v>
      </c>
      <c r="F251" s="23" t="s">
        <v>457</v>
      </c>
      <c r="I251" s="5" t="s">
        <v>362</v>
      </c>
      <c r="J251" s="2">
        <v>212</v>
      </c>
    </row>
    <row r="252" spans="2:10">
      <c r="B252" s="23">
        <v>10249</v>
      </c>
      <c r="C252" s="26" t="s">
        <v>359</v>
      </c>
      <c r="D252" s="23" t="s">
        <v>158</v>
      </c>
      <c r="E252" s="23" t="s">
        <v>458</v>
      </c>
      <c r="F252" s="23" t="s">
        <v>459</v>
      </c>
      <c r="I252" s="5" t="s">
        <v>362</v>
      </c>
      <c r="J252" s="2">
        <v>216</v>
      </c>
    </row>
    <row r="253" spans="2:10">
      <c r="B253" s="23">
        <v>10250</v>
      </c>
      <c r="C253" s="26" t="s">
        <v>359</v>
      </c>
      <c r="D253" s="23" t="s">
        <v>161</v>
      </c>
      <c r="E253" s="23" t="s">
        <v>460</v>
      </c>
      <c r="F253" s="23" t="s">
        <v>461</v>
      </c>
      <c r="I253" s="5" t="s">
        <v>362</v>
      </c>
      <c r="J253" s="2">
        <v>220</v>
      </c>
    </row>
    <row r="254" spans="2:10">
      <c r="B254" s="2">
        <v>10251</v>
      </c>
      <c r="C254" s="25" t="s">
        <v>462</v>
      </c>
      <c r="D254" s="2">
        <v>1</v>
      </c>
      <c r="E254" s="2" t="s">
        <v>463</v>
      </c>
      <c r="F254" s="2" t="s">
        <v>256</v>
      </c>
      <c r="I254" s="4" t="s">
        <v>464</v>
      </c>
      <c r="J254" s="2">
        <v>20</v>
      </c>
    </row>
    <row r="255" spans="2:10">
      <c r="B255" s="2">
        <v>10252</v>
      </c>
      <c r="C255" s="25" t="s">
        <v>462</v>
      </c>
      <c r="D255" s="2">
        <v>2</v>
      </c>
      <c r="E255" s="2" t="s">
        <v>465</v>
      </c>
      <c r="F255" s="2" t="s">
        <v>258</v>
      </c>
      <c r="I255" s="4" t="s">
        <v>464</v>
      </c>
      <c r="J255" s="2">
        <v>22</v>
      </c>
    </row>
    <row r="256" spans="2:10">
      <c r="B256" s="2">
        <v>10253</v>
      </c>
      <c r="C256" s="25" t="s">
        <v>462</v>
      </c>
      <c r="D256" s="2">
        <v>3</v>
      </c>
      <c r="E256" s="2" t="s">
        <v>466</v>
      </c>
      <c r="F256" s="2" t="s">
        <v>259</v>
      </c>
      <c r="I256" s="4" t="s">
        <v>464</v>
      </c>
      <c r="J256" s="2">
        <v>25</v>
      </c>
    </row>
    <row r="257" spans="2:10">
      <c r="B257" s="2">
        <v>10254</v>
      </c>
      <c r="C257" s="25" t="s">
        <v>462</v>
      </c>
      <c r="D257" s="2">
        <v>4</v>
      </c>
      <c r="E257" s="2" t="s">
        <v>467</v>
      </c>
      <c r="F257" s="2" t="s">
        <v>260</v>
      </c>
      <c r="I257" s="4" t="s">
        <v>464</v>
      </c>
      <c r="J257" s="2">
        <v>27</v>
      </c>
    </row>
    <row r="258" spans="2:10">
      <c r="B258" s="2">
        <v>10255</v>
      </c>
      <c r="C258" s="25" t="s">
        <v>462</v>
      </c>
      <c r="D258" s="2">
        <v>5</v>
      </c>
      <c r="E258" s="2" t="s">
        <v>468</v>
      </c>
      <c r="F258" s="2" t="s">
        <v>261</v>
      </c>
      <c r="I258" s="4" t="s">
        <v>464</v>
      </c>
      <c r="J258" s="2">
        <v>30</v>
      </c>
    </row>
    <row r="259" spans="2:10">
      <c r="B259" s="2">
        <v>10256</v>
      </c>
      <c r="C259" s="25" t="s">
        <v>462</v>
      </c>
      <c r="D259" s="2">
        <v>6</v>
      </c>
      <c r="E259" s="2" t="s">
        <v>469</v>
      </c>
      <c r="F259" s="2" t="s">
        <v>262</v>
      </c>
      <c r="I259" s="4" t="s">
        <v>464</v>
      </c>
      <c r="J259" s="2">
        <v>32</v>
      </c>
    </row>
    <row r="260" spans="2:10">
      <c r="B260" s="2">
        <v>10257</v>
      </c>
      <c r="C260" s="25" t="s">
        <v>462</v>
      </c>
      <c r="D260" s="2">
        <v>7</v>
      </c>
      <c r="E260" s="2" t="s">
        <v>470</v>
      </c>
      <c r="F260" s="2" t="s">
        <v>263</v>
      </c>
      <c r="I260" s="4" t="s">
        <v>464</v>
      </c>
      <c r="J260" s="2">
        <v>34</v>
      </c>
    </row>
    <row r="261" spans="2:10">
      <c r="B261" s="2">
        <v>10258</v>
      </c>
      <c r="C261" s="25" t="s">
        <v>462</v>
      </c>
      <c r="D261" s="2">
        <v>8</v>
      </c>
      <c r="E261" s="2" t="s">
        <v>471</v>
      </c>
      <c r="F261" s="2" t="s">
        <v>264</v>
      </c>
      <c r="I261" s="4" t="s">
        <v>464</v>
      </c>
      <c r="J261" s="2">
        <v>37</v>
      </c>
    </row>
    <row r="262" spans="2:10">
      <c r="B262" s="2">
        <v>10259</v>
      </c>
      <c r="C262" s="25" t="s">
        <v>462</v>
      </c>
      <c r="D262" s="2">
        <v>9</v>
      </c>
      <c r="E262" s="2" t="s">
        <v>472</v>
      </c>
      <c r="F262" s="2" t="s">
        <v>265</v>
      </c>
      <c r="I262" s="4" t="s">
        <v>464</v>
      </c>
      <c r="J262" s="2">
        <v>39</v>
      </c>
    </row>
    <row r="263" spans="2:10">
      <c r="B263" s="2">
        <v>10260</v>
      </c>
      <c r="C263" s="25" t="s">
        <v>462</v>
      </c>
      <c r="D263" s="2">
        <v>10</v>
      </c>
      <c r="E263" s="2" t="s">
        <v>473</v>
      </c>
      <c r="F263" s="2" t="s">
        <v>266</v>
      </c>
      <c r="I263" s="4" t="s">
        <v>464</v>
      </c>
      <c r="J263" s="2">
        <v>42</v>
      </c>
    </row>
    <row r="264" spans="2:10">
      <c r="B264" s="2">
        <v>10261</v>
      </c>
      <c r="C264" s="25" t="s">
        <v>462</v>
      </c>
      <c r="D264" s="2">
        <v>11</v>
      </c>
      <c r="E264" s="2" t="s">
        <v>474</v>
      </c>
      <c r="F264" s="2" t="s">
        <v>267</v>
      </c>
      <c r="I264" s="4" t="s">
        <v>464</v>
      </c>
      <c r="J264" s="2">
        <v>44</v>
      </c>
    </row>
    <row r="265" spans="2:10">
      <c r="B265" s="2">
        <v>10262</v>
      </c>
      <c r="C265" s="25" t="s">
        <v>462</v>
      </c>
      <c r="D265" s="2">
        <v>12</v>
      </c>
      <c r="E265" s="2" t="s">
        <v>475</v>
      </c>
      <c r="F265" s="2" t="s">
        <v>268</v>
      </c>
      <c r="I265" s="4" t="s">
        <v>464</v>
      </c>
      <c r="J265" s="2">
        <v>46</v>
      </c>
    </row>
    <row r="266" spans="2:10">
      <c r="B266" s="2">
        <v>10263</v>
      </c>
      <c r="C266" s="25" t="s">
        <v>462</v>
      </c>
      <c r="D266" s="2">
        <v>13</v>
      </c>
      <c r="E266" s="2" t="s">
        <v>476</v>
      </c>
      <c r="F266" s="2" t="s">
        <v>269</v>
      </c>
      <c r="I266" s="4" t="s">
        <v>464</v>
      </c>
      <c r="J266" s="2">
        <v>49</v>
      </c>
    </row>
    <row r="267" spans="2:10">
      <c r="B267" s="2">
        <v>10264</v>
      </c>
      <c r="C267" s="25" t="s">
        <v>462</v>
      </c>
      <c r="D267" s="2">
        <v>14</v>
      </c>
      <c r="E267" s="2" t="s">
        <v>477</v>
      </c>
      <c r="F267" s="2" t="s">
        <v>270</v>
      </c>
      <c r="I267" s="4" t="s">
        <v>464</v>
      </c>
      <c r="J267" s="2">
        <v>51</v>
      </c>
    </row>
    <row r="268" spans="2:10">
      <c r="B268" s="2">
        <v>10265</v>
      </c>
      <c r="C268" s="25" t="s">
        <v>462</v>
      </c>
      <c r="D268" s="2">
        <v>15</v>
      </c>
      <c r="E268" s="2" t="s">
        <v>478</v>
      </c>
      <c r="F268" s="2" t="s">
        <v>271</v>
      </c>
      <c r="I268" s="4" t="s">
        <v>464</v>
      </c>
      <c r="J268" s="2">
        <v>54</v>
      </c>
    </row>
    <row r="269" spans="2:10">
      <c r="B269" s="2">
        <v>10266</v>
      </c>
      <c r="C269" s="25" t="s">
        <v>462</v>
      </c>
      <c r="D269" s="2">
        <v>16</v>
      </c>
      <c r="E269" s="2" t="s">
        <v>479</v>
      </c>
      <c r="F269" s="2" t="s">
        <v>272</v>
      </c>
      <c r="I269" s="4" t="s">
        <v>464</v>
      </c>
      <c r="J269" s="2">
        <v>56</v>
      </c>
    </row>
    <row r="270" spans="2:10">
      <c r="B270" s="2">
        <v>10267</v>
      </c>
      <c r="C270" s="25" t="s">
        <v>462</v>
      </c>
      <c r="D270" s="2">
        <v>17</v>
      </c>
      <c r="E270" s="2" t="s">
        <v>480</v>
      </c>
      <c r="F270" s="2" t="s">
        <v>273</v>
      </c>
      <c r="I270" s="4" t="s">
        <v>464</v>
      </c>
      <c r="J270" s="2">
        <v>58</v>
      </c>
    </row>
    <row r="271" spans="2:10">
      <c r="B271" s="2">
        <v>10268</v>
      </c>
      <c r="C271" s="25" t="s">
        <v>462</v>
      </c>
      <c r="D271" s="2">
        <v>18</v>
      </c>
      <c r="E271" s="2" t="s">
        <v>481</v>
      </c>
      <c r="F271" s="2" t="s">
        <v>274</v>
      </c>
      <c r="I271" s="4" t="s">
        <v>464</v>
      </c>
      <c r="J271" s="2">
        <v>61</v>
      </c>
    </row>
    <row r="272" spans="2:10">
      <c r="B272" s="2">
        <v>10269</v>
      </c>
      <c r="C272" s="25" t="s">
        <v>462</v>
      </c>
      <c r="D272" s="2">
        <v>19</v>
      </c>
      <c r="E272" s="2" t="s">
        <v>482</v>
      </c>
      <c r="F272" s="2" t="s">
        <v>275</v>
      </c>
      <c r="I272" s="4" t="s">
        <v>464</v>
      </c>
      <c r="J272" s="2">
        <v>63</v>
      </c>
    </row>
    <row r="273" spans="2:10">
      <c r="B273" s="2">
        <v>10270</v>
      </c>
      <c r="C273" s="25" t="s">
        <v>462</v>
      </c>
      <c r="D273" s="2">
        <v>20</v>
      </c>
      <c r="E273" s="2" t="s">
        <v>483</v>
      </c>
      <c r="F273" s="2" t="s">
        <v>276</v>
      </c>
      <c r="I273" s="4" t="s">
        <v>464</v>
      </c>
      <c r="J273" s="2">
        <v>66</v>
      </c>
    </row>
    <row r="274" spans="2:10">
      <c r="B274" s="2">
        <v>10271</v>
      </c>
      <c r="C274" s="25" t="s">
        <v>462</v>
      </c>
      <c r="D274" s="2">
        <v>21</v>
      </c>
      <c r="E274" s="2" t="s">
        <v>484</v>
      </c>
      <c r="F274" s="2" t="s">
        <v>277</v>
      </c>
      <c r="I274" s="4" t="s">
        <v>464</v>
      </c>
      <c r="J274" s="2">
        <v>68</v>
      </c>
    </row>
    <row r="275" spans="2:10">
      <c r="B275" s="2">
        <v>10272</v>
      </c>
      <c r="C275" s="25" t="s">
        <v>462</v>
      </c>
      <c r="D275" s="2">
        <v>22</v>
      </c>
      <c r="E275" s="2" t="s">
        <v>485</v>
      </c>
      <c r="F275" s="2" t="s">
        <v>278</v>
      </c>
      <c r="I275" s="4" t="s">
        <v>464</v>
      </c>
      <c r="J275" s="2">
        <v>70</v>
      </c>
    </row>
    <row r="276" spans="2:10">
      <c r="B276" s="2">
        <v>10273</v>
      </c>
      <c r="C276" s="25" t="s">
        <v>462</v>
      </c>
      <c r="D276" s="2">
        <v>23</v>
      </c>
      <c r="E276" s="2" t="s">
        <v>486</v>
      </c>
      <c r="F276" s="2" t="s">
        <v>279</v>
      </c>
      <c r="I276" s="4" t="s">
        <v>464</v>
      </c>
      <c r="J276" s="2">
        <v>73</v>
      </c>
    </row>
    <row r="277" spans="2:10">
      <c r="B277" s="2">
        <v>10274</v>
      </c>
      <c r="C277" s="25" t="s">
        <v>462</v>
      </c>
      <c r="D277" s="2">
        <v>24</v>
      </c>
      <c r="E277" s="2" t="s">
        <v>487</v>
      </c>
      <c r="F277" s="2" t="s">
        <v>280</v>
      </c>
      <c r="I277" s="4" t="s">
        <v>464</v>
      </c>
      <c r="J277" s="2">
        <v>75</v>
      </c>
    </row>
    <row r="278" spans="2:10">
      <c r="B278" s="2">
        <v>10275</v>
      </c>
      <c r="C278" s="25" t="s">
        <v>462</v>
      </c>
      <c r="D278" s="2">
        <v>25</v>
      </c>
      <c r="E278" s="2" t="s">
        <v>488</v>
      </c>
      <c r="F278" s="2" t="s">
        <v>281</v>
      </c>
      <c r="I278" s="4" t="s">
        <v>464</v>
      </c>
      <c r="J278" s="2">
        <v>78</v>
      </c>
    </row>
    <row r="279" spans="2:10">
      <c r="B279" s="2">
        <v>10276</v>
      </c>
      <c r="C279" s="25" t="s">
        <v>462</v>
      </c>
      <c r="D279" s="2">
        <v>26</v>
      </c>
      <c r="E279" s="2" t="s">
        <v>489</v>
      </c>
      <c r="F279" s="2" t="s">
        <v>282</v>
      </c>
      <c r="I279" s="4" t="s">
        <v>464</v>
      </c>
      <c r="J279" s="2">
        <v>80</v>
      </c>
    </row>
    <row r="280" spans="2:10">
      <c r="B280" s="2">
        <v>10277</v>
      </c>
      <c r="C280" s="25" t="s">
        <v>462</v>
      </c>
      <c r="D280" s="2">
        <v>27</v>
      </c>
      <c r="E280" s="2" t="s">
        <v>490</v>
      </c>
      <c r="F280" s="2" t="s">
        <v>283</v>
      </c>
      <c r="I280" s="4" t="s">
        <v>464</v>
      </c>
      <c r="J280" s="2">
        <v>82</v>
      </c>
    </row>
    <row r="281" spans="2:10">
      <c r="B281" s="2">
        <v>10278</v>
      </c>
      <c r="C281" s="25" t="s">
        <v>462</v>
      </c>
      <c r="D281" s="2">
        <v>28</v>
      </c>
      <c r="E281" s="2" t="s">
        <v>491</v>
      </c>
      <c r="F281" s="2" t="s">
        <v>284</v>
      </c>
      <c r="I281" s="4" t="s">
        <v>464</v>
      </c>
      <c r="J281" s="2">
        <v>85</v>
      </c>
    </row>
    <row r="282" spans="2:10">
      <c r="B282" s="2">
        <v>10279</v>
      </c>
      <c r="C282" s="25" t="s">
        <v>462</v>
      </c>
      <c r="D282" s="2">
        <v>29</v>
      </c>
      <c r="E282" s="2" t="s">
        <v>492</v>
      </c>
      <c r="F282" s="2" t="s">
        <v>285</v>
      </c>
      <c r="I282" s="4" t="s">
        <v>464</v>
      </c>
      <c r="J282" s="2">
        <v>87</v>
      </c>
    </row>
    <row r="283" spans="2:10">
      <c r="B283" s="2">
        <v>10280</v>
      </c>
      <c r="C283" s="25" t="s">
        <v>462</v>
      </c>
      <c r="D283" s="2">
        <v>30</v>
      </c>
      <c r="E283" s="2" t="s">
        <v>493</v>
      </c>
      <c r="F283" s="2" t="s">
        <v>286</v>
      </c>
      <c r="I283" s="4" t="s">
        <v>464</v>
      </c>
      <c r="J283" s="2">
        <v>90</v>
      </c>
    </row>
    <row r="284" spans="2:10">
      <c r="B284" s="2">
        <v>10281</v>
      </c>
      <c r="C284" s="25" t="s">
        <v>462</v>
      </c>
      <c r="D284" s="2">
        <v>31</v>
      </c>
      <c r="E284" s="2" t="s">
        <v>494</v>
      </c>
      <c r="F284" s="2" t="s">
        <v>287</v>
      </c>
      <c r="I284" s="4" t="s">
        <v>464</v>
      </c>
      <c r="J284" s="2">
        <v>92</v>
      </c>
    </row>
    <row r="285" spans="2:10">
      <c r="B285" s="2">
        <v>10282</v>
      </c>
      <c r="C285" s="25" t="s">
        <v>462</v>
      </c>
      <c r="D285" s="2">
        <v>32</v>
      </c>
      <c r="E285" s="2" t="s">
        <v>495</v>
      </c>
      <c r="F285" s="2" t="s">
        <v>288</v>
      </c>
      <c r="I285" s="4" t="s">
        <v>464</v>
      </c>
      <c r="J285" s="2">
        <v>94</v>
      </c>
    </row>
    <row r="286" spans="2:10">
      <c r="B286" s="2">
        <v>10283</v>
      </c>
      <c r="C286" s="25" t="s">
        <v>462</v>
      </c>
      <c r="D286" s="2">
        <v>33</v>
      </c>
      <c r="E286" s="2" t="s">
        <v>496</v>
      </c>
      <c r="F286" s="2" t="s">
        <v>289</v>
      </c>
      <c r="I286" s="4" t="s">
        <v>464</v>
      </c>
      <c r="J286" s="2">
        <v>97</v>
      </c>
    </row>
    <row r="287" spans="2:10">
      <c r="B287" s="2">
        <v>10284</v>
      </c>
      <c r="C287" s="25" t="s">
        <v>462</v>
      </c>
      <c r="D287" s="2">
        <v>34</v>
      </c>
      <c r="E287" s="2" t="s">
        <v>497</v>
      </c>
      <c r="F287" s="2" t="s">
        <v>290</v>
      </c>
      <c r="I287" s="4" t="s">
        <v>464</v>
      </c>
      <c r="J287" s="2">
        <v>99</v>
      </c>
    </row>
    <row r="288" spans="2:10">
      <c r="B288" s="2">
        <v>10285</v>
      </c>
      <c r="C288" s="25" t="s">
        <v>462</v>
      </c>
      <c r="D288" s="2">
        <v>35</v>
      </c>
      <c r="E288" s="2" t="s">
        <v>498</v>
      </c>
      <c r="F288" s="2" t="s">
        <v>291</v>
      </c>
      <c r="I288" s="4" t="s">
        <v>464</v>
      </c>
      <c r="J288" s="2">
        <v>102</v>
      </c>
    </row>
    <row r="289" spans="2:10">
      <c r="B289" s="2">
        <v>10286</v>
      </c>
      <c r="C289" s="25" t="s">
        <v>462</v>
      </c>
      <c r="D289" s="2">
        <v>36</v>
      </c>
      <c r="E289" s="2" t="s">
        <v>499</v>
      </c>
      <c r="F289" s="2" t="s">
        <v>292</v>
      </c>
      <c r="I289" s="4" t="s">
        <v>464</v>
      </c>
      <c r="J289" s="2">
        <v>104</v>
      </c>
    </row>
    <row r="290" spans="2:10">
      <c r="B290" s="2">
        <v>10287</v>
      </c>
      <c r="C290" s="25" t="s">
        <v>462</v>
      </c>
      <c r="D290" s="2">
        <v>37</v>
      </c>
      <c r="E290" s="2" t="s">
        <v>500</v>
      </c>
      <c r="F290" s="2" t="s">
        <v>293</v>
      </c>
      <c r="I290" s="4" t="s">
        <v>464</v>
      </c>
      <c r="J290" s="2">
        <v>106</v>
      </c>
    </row>
    <row r="291" spans="2:10">
      <c r="B291" s="2">
        <v>10288</v>
      </c>
      <c r="C291" s="25" t="s">
        <v>462</v>
      </c>
      <c r="D291" s="2">
        <v>38</v>
      </c>
      <c r="E291" s="2" t="s">
        <v>501</v>
      </c>
      <c r="F291" s="2" t="s">
        <v>294</v>
      </c>
      <c r="I291" s="4" t="s">
        <v>464</v>
      </c>
      <c r="J291" s="2">
        <v>109</v>
      </c>
    </row>
    <row r="292" spans="2:10">
      <c r="B292" s="2">
        <v>10289</v>
      </c>
      <c r="C292" s="25" t="s">
        <v>462</v>
      </c>
      <c r="D292" s="2">
        <v>39</v>
      </c>
      <c r="E292" s="2" t="s">
        <v>502</v>
      </c>
      <c r="F292" s="2" t="s">
        <v>295</v>
      </c>
      <c r="I292" s="4" t="s">
        <v>464</v>
      </c>
      <c r="J292" s="2">
        <v>111</v>
      </c>
    </row>
    <row r="293" spans="2:10">
      <c r="B293" s="2">
        <v>10290</v>
      </c>
      <c r="C293" s="25" t="s">
        <v>462</v>
      </c>
      <c r="D293" s="2">
        <v>40</v>
      </c>
      <c r="E293" s="2" t="s">
        <v>503</v>
      </c>
      <c r="F293" s="2" t="s">
        <v>296</v>
      </c>
      <c r="I293" s="4" t="s">
        <v>464</v>
      </c>
      <c r="J293" s="2">
        <v>114</v>
      </c>
    </row>
    <row r="294" spans="2:10">
      <c r="B294" s="2">
        <v>10291</v>
      </c>
      <c r="C294" s="25" t="s">
        <v>462</v>
      </c>
      <c r="D294" s="2">
        <v>41</v>
      </c>
      <c r="E294" s="2" t="s">
        <v>504</v>
      </c>
      <c r="F294" s="2" t="s">
        <v>297</v>
      </c>
      <c r="I294" s="4" t="s">
        <v>464</v>
      </c>
      <c r="J294" s="2">
        <v>116</v>
      </c>
    </row>
    <row r="295" spans="2:10">
      <c r="B295" s="2">
        <v>10292</v>
      </c>
      <c r="C295" s="25" t="s">
        <v>462</v>
      </c>
      <c r="D295" s="2">
        <v>42</v>
      </c>
      <c r="E295" s="2" t="s">
        <v>505</v>
      </c>
      <c r="F295" s="2" t="s">
        <v>298</v>
      </c>
      <c r="I295" s="4" t="s">
        <v>464</v>
      </c>
      <c r="J295" s="2">
        <v>118</v>
      </c>
    </row>
    <row r="296" spans="2:10">
      <c r="B296" s="2">
        <v>10293</v>
      </c>
      <c r="C296" s="25" t="s">
        <v>462</v>
      </c>
      <c r="D296" s="2">
        <v>43</v>
      </c>
      <c r="E296" s="2" t="s">
        <v>506</v>
      </c>
      <c r="F296" s="2" t="s">
        <v>299</v>
      </c>
      <c r="I296" s="4" t="s">
        <v>464</v>
      </c>
      <c r="J296" s="2">
        <v>121</v>
      </c>
    </row>
    <row r="297" spans="2:10">
      <c r="B297" s="2">
        <v>10294</v>
      </c>
      <c r="C297" s="25" t="s">
        <v>462</v>
      </c>
      <c r="D297" s="2">
        <v>44</v>
      </c>
      <c r="E297" s="2" t="s">
        <v>507</v>
      </c>
      <c r="F297" s="2" t="s">
        <v>300</v>
      </c>
      <c r="I297" s="4" t="s">
        <v>464</v>
      </c>
      <c r="J297" s="2">
        <v>123</v>
      </c>
    </row>
    <row r="298" spans="2:10">
      <c r="B298" s="2">
        <v>10295</v>
      </c>
      <c r="C298" s="25" t="s">
        <v>462</v>
      </c>
      <c r="D298" s="2">
        <v>45</v>
      </c>
      <c r="E298" s="2" t="s">
        <v>508</v>
      </c>
      <c r="F298" s="2" t="s">
        <v>301</v>
      </c>
      <c r="I298" s="4" t="s">
        <v>464</v>
      </c>
      <c r="J298" s="2">
        <v>126</v>
      </c>
    </row>
    <row r="299" spans="2:10">
      <c r="B299" s="2">
        <v>10296</v>
      </c>
      <c r="C299" s="25" t="s">
        <v>462</v>
      </c>
      <c r="D299" s="2">
        <v>46</v>
      </c>
      <c r="E299" s="2" t="s">
        <v>509</v>
      </c>
      <c r="F299" s="2" t="s">
        <v>302</v>
      </c>
      <c r="I299" s="4" t="s">
        <v>464</v>
      </c>
      <c r="J299" s="2">
        <v>128</v>
      </c>
    </row>
    <row r="300" spans="2:10">
      <c r="B300" s="2">
        <v>10297</v>
      </c>
      <c r="C300" s="25" t="s">
        <v>462</v>
      </c>
      <c r="D300" s="2">
        <v>47</v>
      </c>
      <c r="E300" s="2" t="s">
        <v>510</v>
      </c>
      <c r="F300" s="2" t="s">
        <v>303</v>
      </c>
      <c r="I300" s="4" t="s">
        <v>464</v>
      </c>
      <c r="J300" s="2">
        <v>130</v>
      </c>
    </row>
    <row r="301" spans="2:10">
      <c r="B301" s="2">
        <v>10298</v>
      </c>
      <c r="C301" s="25" t="s">
        <v>462</v>
      </c>
      <c r="D301" s="2">
        <v>48</v>
      </c>
      <c r="E301" s="2" t="s">
        <v>511</v>
      </c>
      <c r="F301" s="2" t="s">
        <v>304</v>
      </c>
      <c r="I301" s="4" t="s">
        <v>464</v>
      </c>
      <c r="J301" s="2">
        <v>133</v>
      </c>
    </row>
    <row r="302" spans="2:10">
      <c r="B302" s="2">
        <v>10299</v>
      </c>
      <c r="C302" s="25" t="s">
        <v>462</v>
      </c>
      <c r="D302" s="2">
        <v>49</v>
      </c>
      <c r="E302" s="2" t="s">
        <v>512</v>
      </c>
      <c r="F302" s="2" t="s">
        <v>305</v>
      </c>
      <c r="I302" s="4" t="s">
        <v>464</v>
      </c>
      <c r="J302" s="2">
        <v>135</v>
      </c>
    </row>
    <row r="303" spans="2:10">
      <c r="B303" s="2">
        <v>10300</v>
      </c>
      <c r="C303" s="25" t="s">
        <v>462</v>
      </c>
      <c r="D303" s="2">
        <v>50</v>
      </c>
      <c r="E303" s="2" t="s">
        <v>513</v>
      </c>
      <c r="F303" s="2" t="s">
        <v>306</v>
      </c>
      <c r="I303" s="4" t="s">
        <v>464</v>
      </c>
      <c r="J303" s="2">
        <v>138</v>
      </c>
    </row>
    <row r="304" spans="2:10">
      <c r="B304" s="2">
        <v>10301</v>
      </c>
      <c r="C304" s="11" t="s">
        <v>17</v>
      </c>
      <c r="D304" s="2" t="s">
        <v>13</v>
      </c>
      <c r="E304" s="2" t="s">
        <v>165</v>
      </c>
      <c r="F304" s="2" t="s">
        <v>166</v>
      </c>
    </row>
    <row r="305" spans="2:6">
      <c r="B305" s="2">
        <v>10302</v>
      </c>
      <c r="C305" s="11" t="s">
        <v>17</v>
      </c>
      <c r="D305" s="2" t="s">
        <v>17</v>
      </c>
      <c r="E305" s="2" t="s">
        <v>26</v>
      </c>
      <c r="F305" s="2" t="s">
        <v>167</v>
      </c>
    </row>
    <row r="306" spans="2:6">
      <c r="B306" s="2">
        <v>10303</v>
      </c>
      <c r="C306" s="11" t="s">
        <v>17</v>
      </c>
      <c r="D306" s="2" t="s">
        <v>20</v>
      </c>
      <c r="E306" s="2" t="s">
        <v>41</v>
      </c>
      <c r="F306" s="2" t="s">
        <v>168</v>
      </c>
    </row>
    <row r="307" spans="2:6">
      <c r="B307" s="2">
        <v>10304</v>
      </c>
      <c r="C307" s="11" t="s">
        <v>17</v>
      </c>
      <c r="D307" s="2" t="s">
        <v>23</v>
      </c>
      <c r="E307" s="2" t="s">
        <v>56</v>
      </c>
      <c r="F307" s="2" t="s">
        <v>169</v>
      </c>
    </row>
    <row r="308" spans="2:6">
      <c r="B308" s="2">
        <v>10305</v>
      </c>
      <c r="C308" s="11" t="s">
        <v>17</v>
      </c>
      <c r="D308" s="2" t="s">
        <v>26</v>
      </c>
      <c r="E308" s="2" t="s">
        <v>71</v>
      </c>
      <c r="F308" s="2" t="s">
        <v>170</v>
      </c>
    </row>
    <row r="309" spans="2:6">
      <c r="B309" s="2">
        <v>10306</v>
      </c>
      <c r="C309" s="11" t="s">
        <v>17</v>
      </c>
      <c r="D309" s="2" t="s">
        <v>29</v>
      </c>
      <c r="E309" s="2" t="s">
        <v>86</v>
      </c>
      <c r="F309" s="2" t="s">
        <v>171</v>
      </c>
    </row>
    <row r="310" spans="2:6">
      <c r="B310" s="2">
        <v>10307</v>
      </c>
      <c r="C310" s="11" t="s">
        <v>17</v>
      </c>
      <c r="D310" s="2" t="s">
        <v>32</v>
      </c>
      <c r="E310" s="2" t="s">
        <v>101</v>
      </c>
      <c r="F310" s="2" t="s">
        <v>172</v>
      </c>
    </row>
    <row r="311" spans="2:6">
      <c r="B311" s="2">
        <v>10308</v>
      </c>
      <c r="C311" s="11" t="s">
        <v>17</v>
      </c>
      <c r="D311" s="2" t="s">
        <v>35</v>
      </c>
      <c r="E311" s="2" t="s">
        <v>116</v>
      </c>
      <c r="F311" s="2" t="s">
        <v>173</v>
      </c>
    </row>
    <row r="312" spans="2:6">
      <c r="B312" s="2">
        <v>10309</v>
      </c>
      <c r="C312" s="11" t="s">
        <v>17</v>
      </c>
      <c r="D312" s="2" t="s">
        <v>38</v>
      </c>
      <c r="E312" s="2" t="s">
        <v>131</v>
      </c>
      <c r="F312" s="2" t="s">
        <v>174</v>
      </c>
    </row>
    <row r="313" spans="2:6">
      <c r="B313" s="2">
        <v>10310</v>
      </c>
      <c r="C313" s="11" t="s">
        <v>17</v>
      </c>
      <c r="D313" s="2" t="s">
        <v>41</v>
      </c>
      <c r="E313" s="2" t="s">
        <v>146</v>
      </c>
      <c r="F313" s="2" t="s">
        <v>175</v>
      </c>
    </row>
    <row r="314" spans="2:6">
      <c r="B314" s="2">
        <v>10311</v>
      </c>
      <c r="C314" s="11" t="s">
        <v>17</v>
      </c>
      <c r="D314" s="2" t="s">
        <v>44</v>
      </c>
      <c r="E314" s="2" t="s">
        <v>161</v>
      </c>
      <c r="F314" s="2" t="s">
        <v>176</v>
      </c>
    </row>
    <row r="315" spans="2:6">
      <c r="B315" s="2">
        <v>10312</v>
      </c>
      <c r="C315" s="11" t="s">
        <v>17</v>
      </c>
      <c r="D315" s="2" t="s">
        <v>47</v>
      </c>
      <c r="E315" s="2" t="s">
        <v>177</v>
      </c>
      <c r="F315" s="2" t="s">
        <v>178</v>
      </c>
    </row>
    <row r="316" spans="2:6">
      <c r="B316" s="2">
        <v>10313</v>
      </c>
      <c r="C316" s="11" t="s">
        <v>17</v>
      </c>
      <c r="D316" s="2" t="s">
        <v>50</v>
      </c>
      <c r="E316" s="2" t="s">
        <v>179</v>
      </c>
      <c r="F316" s="2" t="s">
        <v>180</v>
      </c>
    </row>
    <row r="317" spans="2:6">
      <c r="B317" s="2">
        <v>10314</v>
      </c>
      <c r="C317" s="11" t="s">
        <v>17</v>
      </c>
      <c r="D317" s="2" t="s">
        <v>53</v>
      </c>
      <c r="E317" s="2" t="s">
        <v>181</v>
      </c>
      <c r="F317" s="2" t="s">
        <v>182</v>
      </c>
    </row>
    <row r="318" spans="2:6">
      <c r="B318" s="2">
        <v>10315</v>
      </c>
      <c r="C318" s="11" t="s">
        <v>17</v>
      </c>
      <c r="D318" s="2" t="s">
        <v>56</v>
      </c>
      <c r="E318" s="2" t="s">
        <v>183</v>
      </c>
      <c r="F318" s="2" t="s">
        <v>184</v>
      </c>
    </row>
    <row r="319" spans="2:6">
      <c r="B319" s="2">
        <v>10316</v>
      </c>
      <c r="C319" s="11" t="s">
        <v>17</v>
      </c>
      <c r="D319" s="2" t="s">
        <v>59</v>
      </c>
      <c r="E319" s="2" t="s">
        <v>185</v>
      </c>
      <c r="F319" s="2" t="s">
        <v>186</v>
      </c>
    </row>
    <row r="320" spans="2:6">
      <c r="B320" s="2">
        <v>10317</v>
      </c>
      <c r="C320" s="11" t="s">
        <v>17</v>
      </c>
      <c r="D320" s="2" t="s">
        <v>62</v>
      </c>
      <c r="E320" s="2" t="s">
        <v>187</v>
      </c>
      <c r="F320" s="2" t="s">
        <v>188</v>
      </c>
    </row>
    <row r="321" spans="2:6">
      <c r="B321" s="2">
        <v>10318</v>
      </c>
      <c r="C321" s="11" t="s">
        <v>17</v>
      </c>
      <c r="D321" s="2" t="s">
        <v>65</v>
      </c>
      <c r="E321" s="2" t="s">
        <v>189</v>
      </c>
      <c r="F321" s="2" t="s">
        <v>190</v>
      </c>
    </row>
    <row r="322" spans="2:6">
      <c r="B322" s="2">
        <v>10319</v>
      </c>
      <c r="C322" s="11" t="s">
        <v>17</v>
      </c>
      <c r="D322" s="2" t="s">
        <v>68</v>
      </c>
      <c r="E322" s="2" t="s">
        <v>191</v>
      </c>
      <c r="F322" s="2" t="s">
        <v>192</v>
      </c>
    </row>
    <row r="323" spans="2:6">
      <c r="B323" s="2">
        <v>10320</v>
      </c>
      <c r="C323" s="11" t="s">
        <v>17</v>
      </c>
      <c r="D323" s="2" t="s">
        <v>71</v>
      </c>
      <c r="E323" s="2" t="s">
        <v>193</v>
      </c>
      <c r="F323" s="2" t="s">
        <v>194</v>
      </c>
    </row>
    <row r="324" spans="2:6">
      <c r="B324" s="2">
        <v>10321</v>
      </c>
      <c r="C324" s="11" t="s">
        <v>17</v>
      </c>
      <c r="D324" s="2" t="s">
        <v>74</v>
      </c>
      <c r="E324" s="2" t="s">
        <v>195</v>
      </c>
      <c r="F324" s="2" t="s">
        <v>196</v>
      </c>
    </row>
    <row r="325" spans="2:6">
      <c r="B325" s="2">
        <v>10322</v>
      </c>
      <c r="C325" s="11" t="s">
        <v>17</v>
      </c>
      <c r="D325" s="2" t="s">
        <v>77</v>
      </c>
      <c r="E325" s="2" t="s">
        <v>197</v>
      </c>
      <c r="F325" s="2" t="s">
        <v>198</v>
      </c>
    </row>
    <row r="326" spans="2:6">
      <c r="B326" s="2">
        <v>10323</v>
      </c>
      <c r="C326" s="11" t="s">
        <v>17</v>
      </c>
      <c r="D326" s="2" t="s">
        <v>80</v>
      </c>
      <c r="E326" s="2" t="s">
        <v>199</v>
      </c>
      <c r="F326" s="2" t="s">
        <v>200</v>
      </c>
    </row>
    <row r="327" spans="2:6">
      <c r="B327" s="2">
        <v>10324</v>
      </c>
      <c r="C327" s="11" t="s">
        <v>17</v>
      </c>
      <c r="D327" s="2" t="s">
        <v>83</v>
      </c>
      <c r="E327" s="2" t="s">
        <v>201</v>
      </c>
      <c r="F327" s="2" t="s">
        <v>202</v>
      </c>
    </row>
    <row r="328" spans="2:6">
      <c r="B328" s="2">
        <v>10325</v>
      </c>
      <c r="C328" s="11" t="s">
        <v>17</v>
      </c>
      <c r="D328" s="2" t="s">
        <v>86</v>
      </c>
      <c r="E328" s="2" t="s">
        <v>203</v>
      </c>
      <c r="F328" s="2" t="s">
        <v>204</v>
      </c>
    </row>
    <row r="329" spans="2:6">
      <c r="B329" s="2">
        <v>10326</v>
      </c>
      <c r="C329" s="11" t="s">
        <v>17</v>
      </c>
      <c r="D329" s="2" t="s">
        <v>89</v>
      </c>
      <c r="E329" s="2" t="s">
        <v>205</v>
      </c>
      <c r="F329" s="2" t="s">
        <v>206</v>
      </c>
    </row>
    <row r="330" spans="2:6">
      <c r="B330" s="2">
        <v>10327</v>
      </c>
      <c r="C330" s="11" t="s">
        <v>17</v>
      </c>
      <c r="D330" s="2" t="s">
        <v>92</v>
      </c>
      <c r="E330" s="2" t="s">
        <v>207</v>
      </c>
      <c r="F330" s="2" t="s">
        <v>208</v>
      </c>
    </row>
    <row r="331" spans="2:6">
      <c r="B331" s="2">
        <v>10328</v>
      </c>
      <c r="C331" s="11" t="s">
        <v>17</v>
      </c>
      <c r="D331" s="2" t="s">
        <v>95</v>
      </c>
      <c r="E331" s="2" t="s">
        <v>209</v>
      </c>
      <c r="F331" s="2" t="s">
        <v>210</v>
      </c>
    </row>
    <row r="332" spans="2:6">
      <c r="B332" s="2">
        <v>10329</v>
      </c>
      <c r="C332" s="11" t="s">
        <v>17</v>
      </c>
      <c r="D332" s="2" t="s">
        <v>98</v>
      </c>
      <c r="E332" s="2" t="s">
        <v>211</v>
      </c>
      <c r="F332" s="2" t="s">
        <v>212</v>
      </c>
    </row>
    <row r="333" spans="2:6">
      <c r="B333" s="2">
        <v>10330</v>
      </c>
      <c r="C333" s="11" t="s">
        <v>17</v>
      </c>
      <c r="D333" s="2" t="s">
        <v>101</v>
      </c>
      <c r="E333" s="2" t="s">
        <v>213</v>
      </c>
      <c r="F333" s="2" t="s">
        <v>214</v>
      </c>
    </row>
    <row r="334" spans="2:6">
      <c r="B334" s="2">
        <v>10331</v>
      </c>
      <c r="C334" s="11" t="s">
        <v>17</v>
      </c>
      <c r="D334" s="2" t="s">
        <v>104</v>
      </c>
      <c r="E334" s="2" t="s">
        <v>215</v>
      </c>
      <c r="F334" s="2" t="s">
        <v>216</v>
      </c>
    </row>
    <row r="335" spans="2:6">
      <c r="B335" s="2">
        <v>10332</v>
      </c>
      <c r="C335" s="11" t="s">
        <v>17</v>
      </c>
      <c r="D335" s="2" t="s">
        <v>107</v>
      </c>
      <c r="E335" s="2" t="s">
        <v>217</v>
      </c>
      <c r="F335" s="2" t="s">
        <v>218</v>
      </c>
    </row>
    <row r="336" spans="2:6">
      <c r="B336" s="2">
        <v>10333</v>
      </c>
      <c r="C336" s="11" t="s">
        <v>17</v>
      </c>
      <c r="D336" s="2" t="s">
        <v>110</v>
      </c>
      <c r="E336" s="2" t="s">
        <v>219</v>
      </c>
      <c r="F336" s="2" t="s">
        <v>220</v>
      </c>
    </row>
    <row r="337" spans="2:6">
      <c r="B337" s="2">
        <v>10334</v>
      </c>
      <c r="C337" s="11" t="s">
        <v>17</v>
      </c>
      <c r="D337" s="2" t="s">
        <v>113</v>
      </c>
      <c r="E337" s="2" t="s">
        <v>221</v>
      </c>
      <c r="F337" s="2" t="s">
        <v>222</v>
      </c>
    </row>
    <row r="338" spans="2:6">
      <c r="B338" s="2">
        <v>10335</v>
      </c>
      <c r="C338" s="11" t="s">
        <v>17</v>
      </c>
      <c r="D338" s="2" t="s">
        <v>116</v>
      </c>
      <c r="E338" s="2" t="s">
        <v>223</v>
      </c>
      <c r="F338" s="2" t="s">
        <v>224</v>
      </c>
    </row>
    <row r="339" spans="2:6">
      <c r="B339" s="2">
        <v>10336</v>
      </c>
      <c r="C339" s="11" t="s">
        <v>17</v>
      </c>
      <c r="D339" s="2" t="s">
        <v>119</v>
      </c>
      <c r="E339" s="2" t="s">
        <v>225</v>
      </c>
      <c r="F339" s="2" t="s">
        <v>226</v>
      </c>
    </row>
    <row r="340" spans="2:6">
      <c r="B340" s="2">
        <v>10337</v>
      </c>
      <c r="C340" s="11" t="s">
        <v>17</v>
      </c>
      <c r="D340" s="2" t="s">
        <v>122</v>
      </c>
      <c r="E340" s="2" t="s">
        <v>227</v>
      </c>
      <c r="F340" s="2" t="s">
        <v>228</v>
      </c>
    </row>
    <row r="341" spans="2:6">
      <c r="B341" s="2">
        <v>10338</v>
      </c>
      <c r="C341" s="11" t="s">
        <v>17</v>
      </c>
      <c r="D341" s="2" t="s">
        <v>125</v>
      </c>
      <c r="E341" s="2" t="s">
        <v>229</v>
      </c>
      <c r="F341" s="2" t="s">
        <v>230</v>
      </c>
    </row>
    <row r="342" spans="2:6">
      <c r="B342" s="2">
        <v>10339</v>
      </c>
      <c r="C342" s="11" t="s">
        <v>17</v>
      </c>
      <c r="D342" s="2" t="s">
        <v>128</v>
      </c>
      <c r="E342" s="2" t="s">
        <v>231</v>
      </c>
      <c r="F342" s="2" t="s">
        <v>232</v>
      </c>
    </row>
    <row r="343" spans="2:6">
      <c r="B343" s="2">
        <v>10340</v>
      </c>
      <c r="C343" s="11" t="s">
        <v>17</v>
      </c>
      <c r="D343" s="2" t="s">
        <v>131</v>
      </c>
      <c r="E343" s="2" t="s">
        <v>233</v>
      </c>
      <c r="F343" s="2" t="s">
        <v>234</v>
      </c>
    </row>
    <row r="344" spans="2:6">
      <c r="B344" s="2">
        <v>10341</v>
      </c>
      <c r="C344" s="11" t="s">
        <v>17</v>
      </c>
      <c r="D344" s="2" t="s">
        <v>134</v>
      </c>
      <c r="E344" s="2" t="s">
        <v>235</v>
      </c>
      <c r="F344" s="2" t="s">
        <v>236</v>
      </c>
    </row>
    <row r="345" spans="2:6">
      <c r="B345" s="2">
        <v>10342</v>
      </c>
      <c r="C345" s="11" t="s">
        <v>17</v>
      </c>
      <c r="D345" s="2" t="s">
        <v>137</v>
      </c>
      <c r="E345" s="2" t="s">
        <v>237</v>
      </c>
      <c r="F345" s="2" t="s">
        <v>238</v>
      </c>
    </row>
    <row r="346" spans="2:6">
      <c r="B346" s="2">
        <v>10343</v>
      </c>
      <c r="C346" s="11" t="s">
        <v>17</v>
      </c>
      <c r="D346" s="2" t="s">
        <v>140</v>
      </c>
      <c r="E346" s="2" t="s">
        <v>239</v>
      </c>
      <c r="F346" s="2" t="s">
        <v>240</v>
      </c>
    </row>
    <row r="347" spans="2:6">
      <c r="B347" s="2">
        <v>10344</v>
      </c>
      <c r="C347" s="11" t="s">
        <v>17</v>
      </c>
      <c r="D347" s="2" t="s">
        <v>143</v>
      </c>
      <c r="E347" s="2" t="s">
        <v>241</v>
      </c>
      <c r="F347" s="2" t="s">
        <v>242</v>
      </c>
    </row>
    <row r="348" spans="2:6">
      <c r="B348" s="2">
        <v>10345</v>
      </c>
      <c r="C348" s="11" t="s">
        <v>17</v>
      </c>
      <c r="D348" s="2" t="s">
        <v>146</v>
      </c>
      <c r="E348" s="2" t="s">
        <v>243</v>
      </c>
      <c r="F348" s="2" t="s">
        <v>244</v>
      </c>
    </row>
    <row r="349" spans="2:6">
      <c r="B349" s="2">
        <v>10346</v>
      </c>
      <c r="C349" s="11" t="s">
        <v>17</v>
      </c>
      <c r="D349" s="2" t="s">
        <v>149</v>
      </c>
      <c r="E349" s="2" t="s">
        <v>245</v>
      </c>
      <c r="F349" s="2" t="s">
        <v>246</v>
      </c>
    </row>
    <row r="350" spans="2:6">
      <c r="B350" s="2">
        <v>10347</v>
      </c>
      <c r="C350" s="11" t="s">
        <v>17</v>
      </c>
      <c r="D350" s="2" t="s">
        <v>152</v>
      </c>
      <c r="E350" s="2" t="s">
        <v>247</v>
      </c>
      <c r="F350" s="2" t="s">
        <v>248</v>
      </c>
    </row>
    <row r="351" spans="2:6">
      <c r="B351" s="2">
        <v>10348</v>
      </c>
      <c r="C351" s="11" t="s">
        <v>17</v>
      </c>
      <c r="D351" s="2" t="s">
        <v>155</v>
      </c>
      <c r="E351" s="2" t="s">
        <v>249</v>
      </c>
      <c r="F351" s="2" t="s">
        <v>250</v>
      </c>
    </row>
    <row r="352" spans="2:6">
      <c r="B352" s="2">
        <v>10349</v>
      </c>
      <c r="C352" s="11" t="s">
        <v>17</v>
      </c>
      <c r="D352" s="2" t="s">
        <v>158</v>
      </c>
      <c r="E352" s="2" t="s">
        <v>251</v>
      </c>
      <c r="F352" s="2" t="s">
        <v>252</v>
      </c>
    </row>
    <row r="353" spans="2:6">
      <c r="B353" s="2">
        <v>10350</v>
      </c>
      <c r="C353" s="11" t="s">
        <v>17</v>
      </c>
      <c r="D353" s="2" t="s">
        <v>161</v>
      </c>
      <c r="E353" s="2" t="s">
        <v>253</v>
      </c>
      <c r="F353" s="2" t="s">
        <v>254</v>
      </c>
    </row>
    <row r="354" spans="2:6">
      <c r="B354" s="2">
        <v>10351</v>
      </c>
      <c r="C354" s="25" t="s">
        <v>514</v>
      </c>
      <c r="D354" s="2" t="s">
        <v>13</v>
      </c>
      <c r="E354" s="2" t="s">
        <v>165</v>
      </c>
      <c r="F354" s="2" t="s">
        <v>166</v>
      </c>
    </row>
    <row r="355" spans="2:6">
      <c r="B355" s="2">
        <v>10352</v>
      </c>
      <c r="C355" s="25" t="s">
        <v>514</v>
      </c>
      <c r="D355" s="2" t="s">
        <v>17</v>
      </c>
      <c r="E355" s="2" t="s">
        <v>26</v>
      </c>
      <c r="F355" s="2" t="s">
        <v>167</v>
      </c>
    </row>
    <row r="356" spans="2:6">
      <c r="B356" s="2">
        <v>10353</v>
      </c>
      <c r="C356" s="25" t="s">
        <v>514</v>
      </c>
      <c r="D356" s="2" t="s">
        <v>20</v>
      </c>
      <c r="E356" s="2" t="s">
        <v>41</v>
      </c>
      <c r="F356" s="2" t="s">
        <v>168</v>
      </c>
    </row>
    <row r="357" spans="2:6">
      <c r="B357" s="2">
        <v>10354</v>
      </c>
      <c r="C357" s="25" t="s">
        <v>514</v>
      </c>
      <c r="D357" s="2" t="s">
        <v>23</v>
      </c>
      <c r="E357" s="2" t="s">
        <v>56</v>
      </c>
      <c r="F357" s="2" t="s">
        <v>169</v>
      </c>
    </row>
    <row r="358" spans="2:6">
      <c r="B358" s="2">
        <v>10355</v>
      </c>
      <c r="C358" s="25" t="s">
        <v>514</v>
      </c>
      <c r="D358" s="2" t="s">
        <v>26</v>
      </c>
      <c r="E358" s="2" t="s">
        <v>71</v>
      </c>
      <c r="F358" s="2" t="s">
        <v>170</v>
      </c>
    </row>
    <row r="359" spans="2:6">
      <c r="B359" s="2">
        <v>10356</v>
      </c>
      <c r="C359" s="25" t="s">
        <v>514</v>
      </c>
      <c r="D359" s="2" t="s">
        <v>29</v>
      </c>
      <c r="E359" s="2" t="s">
        <v>86</v>
      </c>
      <c r="F359" s="2" t="s">
        <v>171</v>
      </c>
    </row>
    <row r="360" spans="2:6">
      <c r="B360" s="2">
        <v>10357</v>
      </c>
      <c r="C360" s="25" t="s">
        <v>514</v>
      </c>
      <c r="D360" s="2" t="s">
        <v>32</v>
      </c>
      <c r="E360" s="2" t="s">
        <v>101</v>
      </c>
      <c r="F360" s="2" t="s">
        <v>172</v>
      </c>
    </row>
    <row r="361" spans="2:6">
      <c r="B361" s="2">
        <v>10358</v>
      </c>
      <c r="C361" s="25" t="s">
        <v>514</v>
      </c>
      <c r="D361" s="2" t="s">
        <v>35</v>
      </c>
      <c r="E361" s="2" t="s">
        <v>116</v>
      </c>
      <c r="F361" s="2" t="s">
        <v>173</v>
      </c>
    </row>
    <row r="362" spans="2:6">
      <c r="B362" s="2">
        <v>10359</v>
      </c>
      <c r="C362" s="25" t="s">
        <v>514</v>
      </c>
      <c r="D362" s="2" t="s">
        <v>38</v>
      </c>
      <c r="E362" s="2" t="s">
        <v>131</v>
      </c>
      <c r="F362" s="2" t="s">
        <v>174</v>
      </c>
    </row>
    <row r="363" spans="2:6">
      <c r="B363" s="2">
        <v>10360</v>
      </c>
      <c r="C363" s="25" t="s">
        <v>514</v>
      </c>
      <c r="D363" s="2" t="s">
        <v>41</v>
      </c>
      <c r="E363" s="2" t="s">
        <v>146</v>
      </c>
      <c r="F363" s="2" t="s">
        <v>175</v>
      </c>
    </row>
    <row r="364" spans="2:6">
      <c r="B364" s="2">
        <v>10361</v>
      </c>
      <c r="C364" s="25" t="s">
        <v>514</v>
      </c>
      <c r="D364" s="2" t="s">
        <v>44</v>
      </c>
      <c r="E364" s="2" t="s">
        <v>161</v>
      </c>
      <c r="F364" s="2" t="s">
        <v>176</v>
      </c>
    </row>
    <row r="365" spans="2:6">
      <c r="B365" s="2">
        <v>10362</v>
      </c>
      <c r="C365" s="25" t="s">
        <v>514</v>
      </c>
      <c r="D365" s="2" t="s">
        <v>47</v>
      </c>
      <c r="E365" s="2" t="s">
        <v>177</v>
      </c>
      <c r="F365" s="2" t="s">
        <v>178</v>
      </c>
    </row>
    <row r="366" spans="2:6">
      <c r="B366" s="2">
        <v>10363</v>
      </c>
      <c r="C366" s="25" t="s">
        <v>514</v>
      </c>
      <c r="D366" s="2" t="s">
        <v>50</v>
      </c>
      <c r="E366" s="2" t="s">
        <v>179</v>
      </c>
      <c r="F366" s="2" t="s">
        <v>180</v>
      </c>
    </row>
    <row r="367" spans="2:6">
      <c r="B367" s="2">
        <v>10364</v>
      </c>
      <c r="C367" s="25" t="s">
        <v>514</v>
      </c>
      <c r="D367" s="2" t="s">
        <v>53</v>
      </c>
      <c r="E367" s="2" t="s">
        <v>181</v>
      </c>
      <c r="F367" s="2" t="s">
        <v>182</v>
      </c>
    </row>
    <row r="368" spans="2:6">
      <c r="B368" s="2">
        <v>10365</v>
      </c>
      <c r="C368" s="25" t="s">
        <v>514</v>
      </c>
      <c r="D368" s="2" t="s">
        <v>56</v>
      </c>
      <c r="E368" s="2" t="s">
        <v>183</v>
      </c>
      <c r="F368" s="2" t="s">
        <v>184</v>
      </c>
    </row>
    <row r="369" spans="2:6">
      <c r="B369" s="2">
        <v>10366</v>
      </c>
      <c r="C369" s="25" t="s">
        <v>514</v>
      </c>
      <c r="D369" s="2" t="s">
        <v>59</v>
      </c>
      <c r="E369" s="2" t="s">
        <v>185</v>
      </c>
      <c r="F369" s="2" t="s">
        <v>186</v>
      </c>
    </row>
    <row r="370" spans="2:6">
      <c r="B370" s="2">
        <v>10367</v>
      </c>
      <c r="C370" s="25" t="s">
        <v>514</v>
      </c>
      <c r="D370" s="2" t="s">
        <v>62</v>
      </c>
      <c r="E370" s="2" t="s">
        <v>187</v>
      </c>
      <c r="F370" s="2" t="s">
        <v>188</v>
      </c>
    </row>
    <row r="371" spans="2:6">
      <c r="B371" s="2">
        <v>10368</v>
      </c>
      <c r="C371" s="25" t="s">
        <v>514</v>
      </c>
      <c r="D371" s="2" t="s">
        <v>65</v>
      </c>
      <c r="E371" s="2" t="s">
        <v>189</v>
      </c>
      <c r="F371" s="2" t="s">
        <v>190</v>
      </c>
    </row>
    <row r="372" spans="2:6">
      <c r="B372" s="2">
        <v>10369</v>
      </c>
      <c r="C372" s="25" t="s">
        <v>514</v>
      </c>
      <c r="D372" s="2" t="s">
        <v>68</v>
      </c>
      <c r="E372" s="2" t="s">
        <v>191</v>
      </c>
      <c r="F372" s="2" t="s">
        <v>192</v>
      </c>
    </row>
    <row r="373" spans="2:6">
      <c r="B373" s="2">
        <v>10370</v>
      </c>
      <c r="C373" s="25" t="s">
        <v>514</v>
      </c>
      <c r="D373" s="2" t="s">
        <v>71</v>
      </c>
      <c r="E373" s="2" t="s">
        <v>193</v>
      </c>
      <c r="F373" s="2" t="s">
        <v>194</v>
      </c>
    </row>
    <row r="374" spans="2:6">
      <c r="B374" s="2">
        <v>10371</v>
      </c>
      <c r="C374" s="25" t="s">
        <v>514</v>
      </c>
      <c r="D374" s="2" t="s">
        <v>74</v>
      </c>
      <c r="E374" s="2" t="s">
        <v>195</v>
      </c>
      <c r="F374" s="2" t="s">
        <v>196</v>
      </c>
    </row>
    <row r="375" spans="2:6">
      <c r="B375" s="2">
        <v>10372</v>
      </c>
      <c r="C375" s="25" t="s">
        <v>514</v>
      </c>
      <c r="D375" s="2" t="s">
        <v>77</v>
      </c>
      <c r="E375" s="2" t="s">
        <v>197</v>
      </c>
      <c r="F375" s="2" t="s">
        <v>198</v>
      </c>
    </row>
    <row r="376" spans="2:6">
      <c r="B376" s="2">
        <v>10373</v>
      </c>
      <c r="C376" s="25" t="s">
        <v>514</v>
      </c>
      <c r="D376" s="2" t="s">
        <v>80</v>
      </c>
      <c r="E376" s="2" t="s">
        <v>199</v>
      </c>
      <c r="F376" s="2" t="s">
        <v>200</v>
      </c>
    </row>
    <row r="377" spans="2:6">
      <c r="B377" s="2">
        <v>10374</v>
      </c>
      <c r="C377" s="25" t="s">
        <v>514</v>
      </c>
      <c r="D377" s="2" t="s">
        <v>83</v>
      </c>
      <c r="E377" s="2" t="s">
        <v>201</v>
      </c>
      <c r="F377" s="2" t="s">
        <v>202</v>
      </c>
    </row>
    <row r="378" spans="2:6">
      <c r="B378" s="2">
        <v>10375</v>
      </c>
      <c r="C378" s="25" t="s">
        <v>514</v>
      </c>
      <c r="D378" s="2" t="s">
        <v>86</v>
      </c>
      <c r="E378" s="2" t="s">
        <v>203</v>
      </c>
      <c r="F378" s="2" t="s">
        <v>204</v>
      </c>
    </row>
    <row r="379" spans="2:6">
      <c r="B379" s="2">
        <v>10376</v>
      </c>
      <c r="C379" s="25" t="s">
        <v>514</v>
      </c>
      <c r="D379" s="2" t="s">
        <v>89</v>
      </c>
      <c r="E379" s="2" t="s">
        <v>205</v>
      </c>
      <c r="F379" s="2" t="s">
        <v>206</v>
      </c>
    </row>
    <row r="380" spans="2:6">
      <c r="B380" s="2">
        <v>10377</v>
      </c>
      <c r="C380" s="25" t="s">
        <v>514</v>
      </c>
      <c r="D380" s="2" t="s">
        <v>92</v>
      </c>
      <c r="E380" s="2" t="s">
        <v>207</v>
      </c>
      <c r="F380" s="2" t="s">
        <v>208</v>
      </c>
    </row>
    <row r="381" spans="2:6">
      <c r="B381" s="2">
        <v>10378</v>
      </c>
      <c r="C381" s="25" t="s">
        <v>514</v>
      </c>
      <c r="D381" s="2" t="s">
        <v>95</v>
      </c>
      <c r="E381" s="2" t="s">
        <v>209</v>
      </c>
      <c r="F381" s="2" t="s">
        <v>210</v>
      </c>
    </row>
    <row r="382" spans="2:6">
      <c r="B382" s="2">
        <v>10379</v>
      </c>
      <c r="C382" s="25" t="s">
        <v>514</v>
      </c>
      <c r="D382" s="2" t="s">
        <v>98</v>
      </c>
      <c r="E382" s="2" t="s">
        <v>211</v>
      </c>
      <c r="F382" s="2" t="s">
        <v>212</v>
      </c>
    </row>
    <row r="383" spans="2:6">
      <c r="B383" s="2">
        <v>10380</v>
      </c>
      <c r="C383" s="25" t="s">
        <v>514</v>
      </c>
      <c r="D383" s="2" t="s">
        <v>101</v>
      </c>
      <c r="E383" s="2" t="s">
        <v>213</v>
      </c>
      <c r="F383" s="2" t="s">
        <v>214</v>
      </c>
    </row>
    <row r="384" spans="2:6">
      <c r="B384" s="2">
        <v>10381</v>
      </c>
      <c r="C384" s="25" t="s">
        <v>514</v>
      </c>
      <c r="D384" s="2" t="s">
        <v>104</v>
      </c>
      <c r="E384" s="2" t="s">
        <v>215</v>
      </c>
      <c r="F384" s="2" t="s">
        <v>216</v>
      </c>
    </row>
    <row r="385" spans="2:6">
      <c r="B385" s="2">
        <v>10382</v>
      </c>
      <c r="C385" s="25" t="s">
        <v>514</v>
      </c>
      <c r="D385" s="2" t="s">
        <v>107</v>
      </c>
      <c r="E385" s="2" t="s">
        <v>217</v>
      </c>
      <c r="F385" s="2" t="s">
        <v>218</v>
      </c>
    </row>
    <row r="386" spans="2:6">
      <c r="B386" s="2">
        <v>10383</v>
      </c>
      <c r="C386" s="25" t="s">
        <v>514</v>
      </c>
      <c r="D386" s="2" t="s">
        <v>110</v>
      </c>
      <c r="E386" s="2" t="s">
        <v>219</v>
      </c>
      <c r="F386" s="2" t="s">
        <v>220</v>
      </c>
    </row>
    <row r="387" spans="2:6">
      <c r="B387" s="2">
        <v>10384</v>
      </c>
      <c r="C387" s="25" t="s">
        <v>514</v>
      </c>
      <c r="D387" s="2" t="s">
        <v>113</v>
      </c>
      <c r="E387" s="2" t="s">
        <v>221</v>
      </c>
      <c r="F387" s="2" t="s">
        <v>222</v>
      </c>
    </row>
    <row r="388" spans="2:6">
      <c r="B388" s="2">
        <v>10385</v>
      </c>
      <c r="C388" s="25" t="s">
        <v>514</v>
      </c>
      <c r="D388" s="2" t="s">
        <v>116</v>
      </c>
      <c r="E388" s="2" t="s">
        <v>223</v>
      </c>
      <c r="F388" s="2" t="s">
        <v>224</v>
      </c>
    </row>
    <row r="389" spans="2:6">
      <c r="B389" s="2">
        <v>10386</v>
      </c>
      <c r="C389" s="25" t="s">
        <v>514</v>
      </c>
      <c r="D389" s="2" t="s">
        <v>119</v>
      </c>
      <c r="E389" s="2" t="s">
        <v>225</v>
      </c>
      <c r="F389" s="2" t="s">
        <v>226</v>
      </c>
    </row>
    <row r="390" spans="2:6">
      <c r="B390" s="2">
        <v>10387</v>
      </c>
      <c r="C390" s="25" t="s">
        <v>514</v>
      </c>
      <c r="D390" s="2" t="s">
        <v>122</v>
      </c>
      <c r="E390" s="2" t="s">
        <v>227</v>
      </c>
      <c r="F390" s="2" t="s">
        <v>228</v>
      </c>
    </row>
    <row r="391" spans="2:6">
      <c r="B391" s="2">
        <v>10388</v>
      </c>
      <c r="C391" s="25" t="s">
        <v>514</v>
      </c>
      <c r="D391" s="2" t="s">
        <v>125</v>
      </c>
      <c r="E391" s="2" t="s">
        <v>229</v>
      </c>
      <c r="F391" s="2" t="s">
        <v>230</v>
      </c>
    </row>
    <row r="392" spans="2:6">
      <c r="B392" s="2">
        <v>10389</v>
      </c>
      <c r="C392" s="25" t="s">
        <v>514</v>
      </c>
      <c r="D392" s="2" t="s">
        <v>128</v>
      </c>
      <c r="E392" s="2" t="s">
        <v>231</v>
      </c>
      <c r="F392" s="2" t="s">
        <v>232</v>
      </c>
    </row>
    <row r="393" spans="2:6">
      <c r="B393" s="2">
        <v>10390</v>
      </c>
      <c r="C393" s="25" t="s">
        <v>514</v>
      </c>
      <c r="D393" s="2" t="s">
        <v>131</v>
      </c>
      <c r="E393" s="2" t="s">
        <v>233</v>
      </c>
      <c r="F393" s="2" t="s">
        <v>234</v>
      </c>
    </row>
    <row r="394" spans="2:6">
      <c r="B394" s="2">
        <v>10391</v>
      </c>
      <c r="C394" s="25" t="s">
        <v>514</v>
      </c>
      <c r="D394" s="2" t="s">
        <v>134</v>
      </c>
      <c r="E394" s="2" t="s">
        <v>235</v>
      </c>
      <c r="F394" s="2" t="s">
        <v>236</v>
      </c>
    </row>
    <row r="395" spans="2:6">
      <c r="B395" s="2">
        <v>10392</v>
      </c>
      <c r="C395" s="25" t="s">
        <v>514</v>
      </c>
      <c r="D395" s="2" t="s">
        <v>137</v>
      </c>
      <c r="E395" s="2" t="s">
        <v>237</v>
      </c>
      <c r="F395" s="2" t="s">
        <v>238</v>
      </c>
    </row>
    <row r="396" spans="2:6">
      <c r="B396" s="2">
        <v>10393</v>
      </c>
      <c r="C396" s="25" t="s">
        <v>514</v>
      </c>
      <c r="D396" s="2" t="s">
        <v>140</v>
      </c>
      <c r="E396" s="2" t="s">
        <v>239</v>
      </c>
      <c r="F396" s="2" t="s">
        <v>240</v>
      </c>
    </row>
    <row r="397" spans="2:6">
      <c r="B397" s="2">
        <v>10394</v>
      </c>
      <c r="C397" s="25" t="s">
        <v>514</v>
      </c>
      <c r="D397" s="2" t="s">
        <v>143</v>
      </c>
      <c r="E397" s="2" t="s">
        <v>241</v>
      </c>
      <c r="F397" s="2" t="s">
        <v>242</v>
      </c>
    </row>
    <row r="398" spans="2:6">
      <c r="B398" s="2">
        <v>10395</v>
      </c>
      <c r="C398" s="25" t="s">
        <v>514</v>
      </c>
      <c r="D398" s="2" t="s">
        <v>146</v>
      </c>
      <c r="E398" s="2" t="s">
        <v>243</v>
      </c>
      <c r="F398" s="2" t="s">
        <v>244</v>
      </c>
    </row>
    <row r="399" spans="2:6">
      <c r="B399" s="2">
        <v>10396</v>
      </c>
      <c r="C399" s="25" t="s">
        <v>514</v>
      </c>
      <c r="D399" s="2" t="s">
        <v>149</v>
      </c>
      <c r="E399" s="2" t="s">
        <v>245</v>
      </c>
      <c r="F399" s="2" t="s">
        <v>246</v>
      </c>
    </row>
    <row r="400" spans="2:6">
      <c r="B400" s="2">
        <v>10397</v>
      </c>
      <c r="C400" s="25" t="s">
        <v>514</v>
      </c>
      <c r="D400" s="2" t="s">
        <v>152</v>
      </c>
      <c r="E400" s="2" t="s">
        <v>247</v>
      </c>
      <c r="F400" s="2" t="s">
        <v>248</v>
      </c>
    </row>
    <row r="401" spans="2:10">
      <c r="B401" s="2">
        <v>10398</v>
      </c>
      <c r="C401" s="25" t="s">
        <v>514</v>
      </c>
      <c r="D401" s="2" t="s">
        <v>155</v>
      </c>
      <c r="E401" s="2" t="s">
        <v>249</v>
      </c>
      <c r="F401" s="2" t="s">
        <v>250</v>
      </c>
    </row>
    <row r="402" spans="2:10">
      <c r="B402" s="2">
        <v>10399</v>
      </c>
      <c r="C402" s="25" t="s">
        <v>514</v>
      </c>
      <c r="D402" s="2" t="s">
        <v>158</v>
      </c>
      <c r="E402" s="2" t="s">
        <v>251</v>
      </c>
      <c r="F402" s="2" t="s">
        <v>252</v>
      </c>
    </row>
    <row r="403" spans="2:10">
      <c r="B403" s="2">
        <v>10400</v>
      </c>
      <c r="C403" s="25" t="s">
        <v>514</v>
      </c>
      <c r="D403" s="2" t="s">
        <v>161</v>
      </c>
      <c r="E403" s="2" t="s">
        <v>253</v>
      </c>
      <c r="F403" s="2" t="s">
        <v>254</v>
      </c>
    </row>
    <row r="404" spans="2:10">
      <c r="B404" s="2">
        <v>10401</v>
      </c>
      <c r="C404" s="25" t="s">
        <v>515</v>
      </c>
      <c r="D404" s="2" t="s">
        <v>13</v>
      </c>
      <c r="E404" s="2" t="s">
        <v>516</v>
      </c>
      <c r="F404" s="2" t="s">
        <v>517</v>
      </c>
      <c r="I404" s="4" t="s">
        <v>518</v>
      </c>
      <c r="J404" s="2">
        <v>17</v>
      </c>
    </row>
    <row r="405" spans="2:10">
      <c r="B405" s="2">
        <v>10402</v>
      </c>
      <c r="C405" s="25" t="s">
        <v>515</v>
      </c>
      <c r="D405" s="2" t="s">
        <v>17</v>
      </c>
      <c r="E405" s="2" t="s">
        <v>519</v>
      </c>
      <c r="F405" s="2" t="s">
        <v>520</v>
      </c>
      <c r="I405" s="4" t="s">
        <v>518</v>
      </c>
      <c r="J405" s="2">
        <v>19</v>
      </c>
    </row>
    <row r="406" spans="2:10">
      <c r="B406" s="2">
        <v>10403</v>
      </c>
      <c r="C406" s="25" t="s">
        <v>515</v>
      </c>
      <c r="D406" s="2" t="s">
        <v>20</v>
      </c>
      <c r="E406" s="2" t="s">
        <v>521</v>
      </c>
      <c r="F406" s="2" t="s">
        <v>522</v>
      </c>
      <c r="I406" s="4" t="s">
        <v>518</v>
      </c>
      <c r="J406" s="2">
        <v>21</v>
      </c>
    </row>
    <row r="407" spans="2:10">
      <c r="B407" s="2">
        <v>10404</v>
      </c>
      <c r="C407" s="25" t="s">
        <v>515</v>
      </c>
      <c r="D407" s="2" t="s">
        <v>23</v>
      </c>
      <c r="E407" s="2" t="s">
        <v>523</v>
      </c>
      <c r="F407" s="2" t="s">
        <v>524</v>
      </c>
      <c r="I407" s="4" t="s">
        <v>518</v>
      </c>
      <c r="J407" s="2">
        <v>23</v>
      </c>
    </row>
    <row r="408" spans="2:10">
      <c r="B408" s="2">
        <v>10405</v>
      </c>
      <c r="C408" s="25" t="s">
        <v>515</v>
      </c>
      <c r="D408" s="2" t="s">
        <v>26</v>
      </c>
      <c r="E408" s="2" t="s">
        <v>525</v>
      </c>
      <c r="F408" s="2" t="s">
        <v>526</v>
      </c>
      <c r="I408" s="4" t="s">
        <v>518</v>
      </c>
      <c r="J408" s="2">
        <v>25</v>
      </c>
    </row>
    <row r="409" spans="2:10">
      <c r="B409" s="2">
        <v>10406</v>
      </c>
      <c r="C409" s="25" t="s">
        <v>515</v>
      </c>
      <c r="D409" s="2" t="s">
        <v>29</v>
      </c>
      <c r="E409" s="2" t="s">
        <v>527</v>
      </c>
      <c r="F409" s="2" t="s">
        <v>528</v>
      </c>
      <c r="I409" s="4" t="s">
        <v>518</v>
      </c>
      <c r="J409" s="2">
        <v>28</v>
      </c>
    </row>
    <row r="410" spans="2:10">
      <c r="B410" s="2">
        <v>10407</v>
      </c>
      <c r="C410" s="25" t="s">
        <v>515</v>
      </c>
      <c r="D410" s="2" t="s">
        <v>32</v>
      </c>
      <c r="E410" s="2" t="s">
        <v>529</v>
      </c>
      <c r="F410" s="2" t="s">
        <v>530</v>
      </c>
      <c r="I410" s="4" t="s">
        <v>518</v>
      </c>
      <c r="J410" s="2">
        <v>30</v>
      </c>
    </row>
    <row r="411" spans="2:10">
      <c r="B411" s="2">
        <v>10408</v>
      </c>
      <c r="C411" s="25" t="s">
        <v>515</v>
      </c>
      <c r="D411" s="2" t="s">
        <v>35</v>
      </c>
      <c r="E411" s="2" t="s">
        <v>531</v>
      </c>
      <c r="F411" s="2" t="s">
        <v>532</v>
      </c>
      <c r="I411" s="4" t="s">
        <v>518</v>
      </c>
      <c r="J411" s="2">
        <v>32</v>
      </c>
    </row>
    <row r="412" spans="2:10">
      <c r="B412" s="2">
        <v>10409</v>
      </c>
      <c r="C412" s="25" t="s">
        <v>515</v>
      </c>
      <c r="D412" s="2" t="s">
        <v>38</v>
      </c>
      <c r="E412" s="2" t="s">
        <v>533</v>
      </c>
      <c r="F412" s="2" t="s">
        <v>534</v>
      </c>
      <c r="I412" s="4" t="s">
        <v>518</v>
      </c>
      <c r="J412" s="2">
        <v>34</v>
      </c>
    </row>
    <row r="413" spans="2:10">
      <c r="B413" s="2">
        <v>10410</v>
      </c>
      <c r="C413" s="25" t="s">
        <v>515</v>
      </c>
      <c r="D413" s="2" t="s">
        <v>41</v>
      </c>
      <c r="E413" s="2" t="s">
        <v>535</v>
      </c>
      <c r="F413" s="2" t="s">
        <v>536</v>
      </c>
      <c r="I413" s="4" t="s">
        <v>518</v>
      </c>
      <c r="J413" s="2">
        <v>36</v>
      </c>
    </row>
    <row r="414" spans="2:10">
      <c r="B414" s="2">
        <v>10411</v>
      </c>
      <c r="C414" s="25" t="s">
        <v>515</v>
      </c>
      <c r="D414" s="2" t="s">
        <v>44</v>
      </c>
      <c r="E414" s="2" t="s">
        <v>537</v>
      </c>
      <c r="F414" s="2" t="s">
        <v>538</v>
      </c>
      <c r="I414" s="4" t="s">
        <v>518</v>
      </c>
      <c r="J414" s="2">
        <v>38</v>
      </c>
    </row>
    <row r="415" spans="2:10">
      <c r="B415" s="2">
        <v>10412</v>
      </c>
      <c r="C415" s="25" t="s">
        <v>515</v>
      </c>
      <c r="D415" s="2" t="s">
        <v>47</v>
      </c>
      <c r="E415" s="2" t="s">
        <v>539</v>
      </c>
      <c r="F415" s="2" t="s">
        <v>540</v>
      </c>
      <c r="I415" s="4" t="s">
        <v>518</v>
      </c>
      <c r="J415" s="2">
        <v>41</v>
      </c>
    </row>
    <row r="416" spans="2:10">
      <c r="B416" s="2">
        <v>10413</v>
      </c>
      <c r="C416" s="25" t="s">
        <v>515</v>
      </c>
      <c r="D416" s="2" t="s">
        <v>50</v>
      </c>
      <c r="E416" s="2" t="s">
        <v>541</v>
      </c>
      <c r="F416" s="2" t="s">
        <v>542</v>
      </c>
      <c r="I416" s="4" t="s">
        <v>518</v>
      </c>
      <c r="J416" s="2">
        <v>43</v>
      </c>
    </row>
    <row r="417" spans="2:10">
      <c r="B417" s="2">
        <v>10414</v>
      </c>
      <c r="C417" s="25" t="s">
        <v>515</v>
      </c>
      <c r="D417" s="2" t="s">
        <v>53</v>
      </c>
      <c r="E417" s="2" t="s">
        <v>543</v>
      </c>
      <c r="F417" s="2" t="s">
        <v>544</v>
      </c>
      <c r="I417" s="4" t="s">
        <v>518</v>
      </c>
      <c r="J417" s="2">
        <v>45</v>
      </c>
    </row>
    <row r="418" spans="2:10">
      <c r="B418" s="2">
        <v>10415</v>
      </c>
      <c r="C418" s="25" t="s">
        <v>515</v>
      </c>
      <c r="D418" s="2" t="s">
        <v>56</v>
      </c>
      <c r="E418" s="2" t="s">
        <v>545</v>
      </c>
      <c r="F418" s="2" t="s">
        <v>546</v>
      </c>
      <c r="I418" s="4" t="s">
        <v>518</v>
      </c>
      <c r="J418" s="2">
        <v>47</v>
      </c>
    </row>
    <row r="419" spans="2:10">
      <c r="B419" s="2">
        <v>10416</v>
      </c>
      <c r="C419" s="25" t="s">
        <v>515</v>
      </c>
      <c r="D419" s="2" t="s">
        <v>59</v>
      </c>
      <c r="E419" s="2" t="s">
        <v>547</v>
      </c>
      <c r="F419" s="2" t="s">
        <v>548</v>
      </c>
      <c r="I419" s="4" t="s">
        <v>518</v>
      </c>
      <c r="J419" s="2">
        <v>49</v>
      </c>
    </row>
    <row r="420" spans="2:10">
      <c r="B420" s="2">
        <v>10417</v>
      </c>
      <c r="C420" s="25" t="s">
        <v>515</v>
      </c>
      <c r="D420" s="2" t="s">
        <v>62</v>
      </c>
      <c r="E420" s="2" t="s">
        <v>549</v>
      </c>
      <c r="F420" s="2" t="s">
        <v>550</v>
      </c>
      <c r="I420" s="4" t="s">
        <v>518</v>
      </c>
      <c r="J420" s="2">
        <v>51</v>
      </c>
    </row>
    <row r="421" spans="2:10">
      <c r="B421" s="2">
        <v>10418</v>
      </c>
      <c r="C421" s="25" t="s">
        <v>515</v>
      </c>
      <c r="D421" s="2" t="s">
        <v>65</v>
      </c>
      <c r="E421" s="2" t="s">
        <v>551</v>
      </c>
      <c r="F421" s="2" t="s">
        <v>552</v>
      </c>
      <c r="I421" s="4" t="s">
        <v>518</v>
      </c>
      <c r="J421" s="2">
        <v>54</v>
      </c>
    </row>
    <row r="422" spans="2:10">
      <c r="B422" s="2">
        <v>10419</v>
      </c>
      <c r="C422" s="25" t="s">
        <v>515</v>
      </c>
      <c r="D422" s="2" t="s">
        <v>68</v>
      </c>
      <c r="E422" s="2" t="s">
        <v>553</v>
      </c>
      <c r="F422" s="2" t="s">
        <v>554</v>
      </c>
      <c r="I422" s="4" t="s">
        <v>518</v>
      </c>
      <c r="J422" s="2">
        <v>56</v>
      </c>
    </row>
    <row r="423" spans="2:10">
      <c r="B423" s="2">
        <v>10420</v>
      </c>
      <c r="C423" s="25" t="s">
        <v>515</v>
      </c>
      <c r="D423" s="2" t="s">
        <v>71</v>
      </c>
      <c r="E423" s="2" t="s">
        <v>555</v>
      </c>
      <c r="F423" s="2" t="s">
        <v>556</v>
      </c>
      <c r="I423" s="4" t="s">
        <v>518</v>
      </c>
      <c r="J423" s="2">
        <v>58</v>
      </c>
    </row>
    <row r="424" spans="2:10">
      <c r="B424" s="2">
        <v>10421</v>
      </c>
      <c r="C424" s="25" t="s">
        <v>515</v>
      </c>
      <c r="D424" s="2" t="s">
        <v>74</v>
      </c>
      <c r="E424" s="2" t="s">
        <v>557</v>
      </c>
      <c r="F424" s="2" t="s">
        <v>558</v>
      </c>
      <c r="I424" s="4" t="s">
        <v>518</v>
      </c>
      <c r="J424" s="2">
        <v>60</v>
      </c>
    </row>
    <row r="425" spans="2:10">
      <c r="B425" s="2">
        <v>10422</v>
      </c>
      <c r="C425" s="25" t="s">
        <v>515</v>
      </c>
      <c r="D425" s="2" t="s">
        <v>77</v>
      </c>
      <c r="E425" s="2" t="s">
        <v>559</v>
      </c>
      <c r="F425" s="2" t="s">
        <v>560</v>
      </c>
      <c r="I425" s="4" t="s">
        <v>518</v>
      </c>
      <c r="J425" s="2">
        <v>62</v>
      </c>
    </row>
    <row r="426" spans="2:10">
      <c r="B426" s="2">
        <v>10423</v>
      </c>
      <c r="C426" s="25" t="s">
        <v>515</v>
      </c>
      <c r="D426" s="2" t="s">
        <v>80</v>
      </c>
      <c r="E426" s="2" t="s">
        <v>561</v>
      </c>
      <c r="F426" s="2" t="s">
        <v>562</v>
      </c>
      <c r="I426" s="4" t="s">
        <v>518</v>
      </c>
      <c r="J426" s="2">
        <v>64</v>
      </c>
    </row>
    <row r="427" spans="2:10">
      <c r="B427" s="2">
        <v>10424</v>
      </c>
      <c r="C427" s="25" t="s">
        <v>515</v>
      </c>
      <c r="D427" s="2" t="s">
        <v>83</v>
      </c>
      <c r="E427" s="2" t="s">
        <v>563</v>
      </c>
      <c r="F427" s="2" t="s">
        <v>564</v>
      </c>
      <c r="I427" s="4" t="s">
        <v>518</v>
      </c>
      <c r="J427" s="2">
        <v>67</v>
      </c>
    </row>
    <row r="428" spans="2:10">
      <c r="B428" s="2">
        <v>10425</v>
      </c>
      <c r="C428" s="25" t="s">
        <v>515</v>
      </c>
      <c r="D428" s="2" t="s">
        <v>86</v>
      </c>
      <c r="E428" s="2" t="s">
        <v>565</v>
      </c>
      <c r="F428" s="2" t="s">
        <v>566</v>
      </c>
      <c r="I428" s="4" t="s">
        <v>518</v>
      </c>
      <c r="J428" s="2">
        <v>69</v>
      </c>
    </row>
    <row r="429" spans="2:10">
      <c r="B429" s="2">
        <v>10426</v>
      </c>
      <c r="C429" s="25" t="s">
        <v>515</v>
      </c>
      <c r="D429" s="2" t="s">
        <v>89</v>
      </c>
      <c r="E429" s="2" t="s">
        <v>567</v>
      </c>
      <c r="F429" s="2" t="s">
        <v>568</v>
      </c>
      <c r="I429" s="4" t="s">
        <v>518</v>
      </c>
      <c r="J429" s="2">
        <v>71</v>
      </c>
    </row>
    <row r="430" spans="2:10">
      <c r="B430" s="2">
        <v>10427</v>
      </c>
      <c r="C430" s="25" t="s">
        <v>515</v>
      </c>
      <c r="D430" s="2" t="s">
        <v>92</v>
      </c>
      <c r="E430" s="2" t="s">
        <v>569</v>
      </c>
      <c r="F430" s="2" t="s">
        <v>570</v>
      </c>
      <c r="I430" s="4" t="s">
        <v>518</v>
      </c>
      <c r="J430" s="2">
        <v>73</v>
      </c>
    </row>
    <row r="431" spans="2:10">
      <c r="B431" s="2">
        <v>10428</v>
      </c>
      <c r="C431" s="25" t="s">
        <v>515</v>
      </c>
      <c r="D431" s="2" t="s">
        <v>95</v>
      </c>
      <c r="E431" s="2" t="s">
        <v>571</v>
      </c>
      <c r="F431" s="2" t="s">
        <v>572</v>
      </c>
      <c r="I431" s="4" t="s">
        <v>518</v>
      </c>
      <c r="J431" s="2">
        <v>75</v>
      </c>
    </row>
    <row r="432" spans="2:10">
      <c r="B432" s="2">
        <v>10429</v>
      </c>
      <c r="C432" s="25" t="s">
        <v>515</v>
      </c>
      <c r="D432" s="2" t="s">
        <v>98</v>
      </c>
      <c r="E432" s="2" t="s">
        <v>573</v>
      </c>
      <c r="F432" s="2" t="s">
        <v>574</v>
      </c>
      <c r="I432" s="4" t="s">
        <v>518</v>
      </c>
      <c r="J432" s="2">
        <v>77</v>
      </c>
    </row>
    <row r="433" spans="2:10">
      <c r="B433" s="2">
        <v>10430</v>
      </c>
      <c r="C433" s="25" t="s">
        <v>515</v>
      </c>
      <c r="D433" s="2" t="s">
        <v>101</v>
      </c>
      <c r="E433" s="2" t="s">
        <v>575</v>
      </c>
      <c r="F433" s="2" t="s">
        <v>576</v>
      </c>
      <c r="I433" s="4" t="s">
        <v>518</v>
      </c>
      <c r="J433" s="2">
        <v>80</v>
      </c>
    </row>
    <row r="434" spans="2:10">
      <c r="B434" s="2">
        <v>10431</v>
      </c>
      <c r="C434" s="25" t="s">
        <v>515</v>
      </c>
      <c r="D434" s="2" t="s">
        <v>104</v>
      </c>
      <c r="E434" s="2" t="s">
        <v>577</v>
      </c>
      <c r="F434" s="2" t="s">
        <v>578</v>
      </c>
      <c r="I434" s="4" t="s">
        <v>518</v>
      </c>
      <c r="J434" s="2">
        <v>82</v>
      </c>
    </row>
    <row r="435" spans="2:10">
      <c r="B435" s="2">
        <v>10432</v>
      </c>
      <c r="C435" s="25" t="s">
        <v>515</v>
      </c>
      <c r="D435" s="2" t="s">
        <v>107</v>
      </c>
      <c r="E435" s="2" t="s">
        <v>579</v>
      </c>
      <c r="F435" s="2" t="s">
        <v>580</v>
      </c>
      <c r="I435" s="4" t="s">
        <v>518</v>
      </c>
      <c r="J435" s="2">
        <v>84</v>
      </c>
    </row>
    <row r="436" spans="2:10">
      <c r="B436" s="2">
        <v>10433</v>
      </c>
      <c r="C436" s="25" t="s">
        <v>515</v>
      </c>
      <c r="D436" s="2" t="s">
        <v>110</v>
      </c>
      <c r="E436" s="2" t="s">
        <v>581</v>
      </c>
      <c r="F436" s="2" t="s">
        <v>582</v>
      </c>
      <c r="I436" s="4" t="s">
        <v>518</v>
      </c>
      <c r="J436" s="2">
        <v>86</v>
      </c>
    </row>
    <row r="437" spans="2:10">
      <c r="B437" s="2">
        <v>10434</v>
      </c>
      <c r="C437" s="25" t="s">
        <v>515</v>
      </c>
      <c r="D437" s="2" t="s">
        <v>113</v>
      </c>
      <c r="E437" s="2" t="s">
        <v>583</v>
      </c>
      <c r="F437" s="2" t="s">
        <v>584</v>
      </c>
      <c r="I437" s="4" t="s">
        <v>518</v>
      </c>
      <c r="J437" s="2">
        <v>88</v>
      </c>
    </row>
    <row r="438" spans="2:10">
      <c r="B438" s="2">
        <v>10435</v>
      </c>
      <c r="C438" s="25" t="s">
        <v>515</v>
      </c>
      <c r="D438" s="2" t="s">
        <v>116</v>
      </c>
      <c r="E438" s="2" t="s">
        <v>585</v>
      </c>
      <c r="F438" s="2" t="s">
        <v>586</v>
      </c>
      <c r="I438" s="4" t="s">
        <v>518</v>
      </c>
      <c r="J438" s="2">
        <v>90</v>
      </c>
    </row>
    <row r="439" spans="2:10">
      <c r="B439" s="2">
        <v>10436</v>
      </c>
      <c r="C439" s="25" t="s">
        <v>515</v>
      </c>
      <c r="D439" s="2" t="s">
        <v>119</v>
      </c>
      <c r="E439" s="2" t="s">
        <v>587</v>
      </c>
      <c r="F439" s="2" t="s">
        <v>588</v>
      </c>
      <c r="I439" s="4" t="s">
        <v>518</v>
      </c>
      <c r="J439" s="2">
        <v>93</v>
      </c>
    </row>
    <row r="440" spans="2:10">
      <c r="B440" s="2">
        <v>10437</v>
      </c>
      <c r="C440" s="25" t="s">
        <v>515</v>
      </c>
      <c r="D440" s="2" t="s">
        <v>122</v>
      </c>
      <c r="E440" s="2" t="s">
        <v>589</v>
      </c>
      <c r="F440" s="2" t="s">
        <v>590</v>
      </c>
      <c r="I440" s="4" t="s">
        <v>518</v>
      </c>
      <c r="J440" s="2">
        <v>95</v>
      </c>
    </row>
    <row r="441" spans="2:10">
      <c r="B441" s="2">
        <v>10438</v>
      </c>
      <c r="C441" s="25" t="s">
        <v>515</v>
      </c>
      <c r="D441" s="2" t="s">
        <v>125</v>
      </c>
      <c r="E441" s="2" t="s">
        <v>591</v>
      </c>
      <c r="F441" s="2" t="s">
        <v>592</v>
      </c>
      <c r="I441" s="4" t="s">
        <v>518</v>
      </c>
      <c r="J441" s="2">
        <v>97</v>
      </c>
    </row>
    <row r="442" spans="2:10">
      <c r="B442" s="2">
        <v>10439</v>
      </c>
      <c r="C442" s="25" t="s">
        <v>515</v>
      </c>
      <c r="D442" s="2" t="s">
        <v>128</v>
      </c>
      <c r="E442" s="2" t="s">
        <v>593</v>
      </c>
      <c r="F442" s="2" t="s">
        <v>594</v>
      </c>
      <c r="I442" s="4" t="s">
        <v>518</v>
      </c>
      <c r="J442" s="2">
        <v>99</v>
      </c>
    </row>
    <row r="443" spans="2:10">
      <c r="B443" s="2">
        <v>10440</v>
      </c>
      <c r="C443" s="25" t="s">
        <v>515</v>
      </c>
      <c r="D443" s="2" t="s">
        <v>131</v>
      </c>
      <c r="E443" s="2" t="s">
        <v>595</v>
      </c>
      <c r="F443" s="2" t="s">
        <v>596</v>
      </c>
      <c r="I443" s="4" t="s">
        <v>518</v>
      </c>
      <c r="J443" s="2">
        <v>101</v>
      </c>
    </row>
    <row r="444" spans="2:10">
      <c r="B444" s="2">
        <v>10441</v>
      </c>
      <c r="C444" s="25" t="s">
        <v>515</v>
      </c>
      <c r="D444" s="2" t="s">
        <v>134</v>
      </c>
      <c r="E444" s="2" t="s">
        <v>597</v>
      </c>
      <c r="F444" s="2" t="s">
        <v>598</v>
      </c>
      <c r="I444" s="4" t="s">
        <v>518</v>
      </c>
      <c r="J444" s="2">
        <v>103</v>
      </c>
    </row>
    <row r="445" spans="2:10">
      <c r="B445" s="2">
        <v>10442</v>
      </c>
      <c r="C445" s="25" t="s">
        <v>515</v>
      </c>
      <c r="D445" s="2" t="s">
        <v>137</v>
      </c>
      <c r="E445" s="2" t="s">
        <v>599</v>
      </c>
      <c r="F445" s="2" t="s">
        <v>600</v>
      </c>
      <c r="I445" s="4" t="s">
        <v>518</v>
      </c>
      <c r="J445" s="2">
        <v>106</v>
      </c>
    </row>
    <row r="446" spans="2:10">
      <c r="B446" s="2">
        <v>10443</v>
      </c>
      <c r="C446" s="25" t="s">
        <v>515</v>
      </c>
      <c r="D446" s="2" t="s">
        <v>140</v>
      </c>
      <c r="E446" s="2" t="s">
        <v>601</v>
      </c>
      <c r="F446" s="2" t="s">
        <v>602</v>
      </c>
      <c r="I446" s="4" t="s">
        <v>518</v>
      </c>
      <c r="J446" s="2">
        <v>108</v>
      </c>
    </row>
    <row r="447" spans="2:10">
      <c r="B447" s="2">
        <v>10444</v>
      </c>
      <c r="C447" s="25" t="s">
        <v>515</v>
      </c>
      <c r="D447" s="2" t="s">
        <v>143</v>
      </c>
      <c r="E447" s="2" t="s">
        <v>603</v>
      </c>
      <c r="F447" s="2" t="s">
        <v>604</v>
      </c>
      <c r="I447" s="4" t="s">
        <v>518</v>
      </c>
      <c r="J447" s="2">
        <v>110</v>
      </c>
    </row>
    <row r="448" spans="2:10">
      <c r="B448" s="2">
        <v>10445</v>
      </c>
      <c r="C448" s="25" t="s">
        <v>515</v>
      </c>
      <c r="D448" s="2" t="s">
        <v>146</v>
      </c>
      <c r="E448" s="2" t="s">
        <v>605</v>
      </c>
      <c r="F448" s="2" t="s">
        <v>606</v>
      </c>
      <c r="I448" s="4" t="s">
        <v>518</v>
      </c>
      <c r="J448" s="2">
        <v>112</v>
      </c>
    </row>
    <row r="449" spans="2:10">
      <c r="B449" s="2">
        <v>10446</v>
      </c>
      <c r="C449" s="25" t="s">
        <v>515</v>
      </c>
      <c r="D449" s="2" t="s">
        <v>149</v>
      </c>
      <c r="E449" s="2" t="s">
        <v>607</v>
      </c>
      <c r="F449" s="2" t="s">
        <v>608</v>
      </c>
      <c r="I449" s="4" t="s">
        <v>518</v>
      </c>
      <c r="J449" s="2">
        <v>114</v>
      </c>
    </row>
    <row r="450" spans="2:10">
      <c r="B450" s="2">
        <v>10447</v>
      </c>
      <c r="C450" s="25" t="s">
        <v>515</v>
      </c>
      <c r="D450" s="2" t="s">
        <v>152</v>
      </c>
      <c r="E450" s="2" t="s">
        <v>609</v>
      </c>
      <c r="F450" s="2" t="s">
        <v>610</v>
      </c>
      <c r="I450" s="4" t="s">
        <v>518</v>
      </c>
      <c r="J450" s="2">
        <v>116</v>
      </c>
    </row>
    <row r="451" spans="2:10">
      <c r="B451" s="2">
        <v>10448</v>
      </c>
      <c r="C451" s="25" t="s">
        <v>515</v>
      </c>
      <c r="D451" s="2" t="s">
        <v>155</v>
      </c>
      <c r="E451" s="2" t="s">
        <v>611</v>
      </c>
      <c r="F451" s="2" t="s">
        <v>612</v>
      </c>
      <c r="I451" s="4" t="s">
        <v>518</v>
      </c>
      <c r="J451" s="2">
        <v>119</v>
      </c>
    </row>
    <row r="452" spans="2:10">
      <c r="B452" s="2">
        <v>10449</v>
      </c>
      <c r="C452" s="25" t="s">
        <v>515</v>
      </c>
      <c r="D452" s="2" t="s">
        <v>158</v>
      </c>
      <c r="E452" s="2" t="s">
        <v>613</v>
      </c>
      <c r="F452" s="2" t="s">
        <v>614</v>
      </c>
      <c r="I452" s="4" t="s">
        <v>518</v>
      </c>
      <c r="J452" s="2">
        <v>121</v>
      </c>
    </row>
    <row r="453" spans="2:10">
      <c r="B453" s="2">
        <v>10450</v>
      </c>
      <c r="C453" s="25" t="s">
        <v>515</v>
      </c>
      <c r="D453" s="2" t="s">
        <v>161</v>
      </c>
      <c r="E453" s="2" t="s">
        <v>615</v>
      </c>
      <c r="F453" s="2" t="s">
        <v>616</v>
      </c>
      <c r="I453" s="4" t="s">
        <v>518</v>
      </c>
      <c r="J453" s="2">
        <v>123</v>
      </c>
    </row>
    <row r="454" spans="2:10">
      <c r="B454" s="23">
        <v>10451</v>
      </c>
      <c r="C454" s="23" t="s">
        <v>617</v>
      </c>
      <c r="D454" s="23" t="s">
        <v>13</v>
      </c>
      <c r="E454" s="23">
        <v>0</v>
      </c>
      <c r="F454" s="23" t="s">
        <v>517</v>
      </c>
      <c r="I454" s="5" t="s">
        <v>618</v>
      </c>
      <c r="J454" s="2">
        <v>0</v>
      </c>
    </row>
    <row r="455" spans="2:10">
      <c r="B455" s="23">
        <v>10452</v>
      </c>
      <c r="C455" s="23" t="s">
        <v>617</v>
      </c>
      <c r="D455" s="23" t="s">
        <v>17</v>
      </c>
      <c r="E455" s="23">
        <v>10</v>
      </c>
      <c r="F455" s="23" t="s">
        <v>520</v>
      </c>
      <c r="I455" s="5" t="s">
        <v>618</v>
      </c>
      <c r="J455" s="2">
        <v>10</v>
      </c>
    </row>
    <row r="456" spans="2:10">
      <c r="B456" s="23">
        <v>10453</v>
      </c>
      <c r="C456" s="23" t="s">
        <v>617</v>
      </c>
      <c r="D456" s="23" t="s">
        <v>20</v>
      </c>
      <c r="E456" s="23">
        <v>20</v>
      </c>
      <c r="F456" s="23" t="s">
        <v>522</v>
      </c>
      <c r="I456" s="5" t="s">
        <v>618</v>
      </c>
      <c r="J456" s="2">
        <v>20</v>
      </c>
    </row>
    <row r="457" spans="2:10">
      <c r="B457" s="23">
        <v>10454</v>
      </c>
      <c r="C457" s="23" t="s">
        <v>617</v>
      </c>
      <c r="D457" s="23" t="s">
        <v>23</v>
      </c>
      <c r="E457" s="23">
        <v>30</v>
      </c>
      <c r="F457" s="23" t="s">
        <v>524</v>
      </c>
      <c r="I457" s="5" t="s">
        <v>618</v>
      </c>
      <c r="J457" s="2">
        <v>30</v>
      </c>
    </row>
    <row r="458" spans="2:10">
      <c r="B458" s="23">
        <v>10455</v>
      </c>
      <c r="C458" s="23" t="s">
        <v>617</v>
      </c>
      <c r="D458" s="23" t="s">
        <v>26</v>
      </c>
      <c r="E458" s="23">
        <v>40</v>
      </c>
      <c r="F458" s="23" t="s">
        <v>526</v>
      </c>
      <c r="I458" s="5" t="s">
        <v>618</v>
      </c>
      <c r="J458" s="2">
        <v>40</v>
      </c>
    </row>
    <row r="459" spans="2:10">
      <c r="B459" s="23">
        <v>10456</v>
      </c>
      <c r="C459" s="23" t="s">
        <v>617</v>
      </c>
      <c r="D459" s="23" t="s">
        <v>29</v>
      </c>
      <c r="E459" s="23">
        <v>50</v>
      </c>
      <c r="F459" s="23" t="s">
        <v>528</v>
      </c>
      <c r="I459" s="5" t="s">
        <v>618</v>
      </c>
      <c r="J459" s="2">
        <v>50</v>
      </c>
    </row>
    <row r="460" spans="2:10">
      <c r="B460" s="23">
        <v>10457</v>
      </c>
      <c r="C460" s="23" t="s">
        <v>617</v>
      </c>
      <c r="D460" s="23" t="s">
        <v>32</v>
      </c>
      <c r="E460" s="23">
        <v>60</v>
      </c>
      <c r="F460" s="23" t="s">
        <v>530</v>
      </c>
      <c r="I460" s="5" t="s">
        <v>618</v>
      </c>
      <c r="J460" s="2">
        <v>60</v>
      </c>
    </row>
    <row r="461" spans="2:10">
      <c r="B461" s="23">
        <v>10458</v>
      </c>
      <c r="C461" s="23" t="s">
        <v>617</v>
      </c>
      <c r="D461" s="23" t="s">
        <v>35</v>
      </c>
      <c r="E461" s="23">
        <v>70</v>
      </c>
      <c r="F461" s="23" t="s">
        <v>532</v>
      </c>
      <c r="I461" s="5" t="s">
        <v>618</v>
      </c>
      <c r="J461" s="2">
        <v>70</v>
      </c>
    </row>
    <row r="462" spans="2:10">
      <c r="B462" s="23">
        <v>10459</v>
      </c>
      <c r="C462" s="23" t="s">
        <v>617</v>
      </c>
      <c r="D462" s="23" t="s">
        <v>38</v>
      </c>
      <c r="E462" s="23">
        <v>80</v>
      </c>
      <c r="F462" s="23" t="s">
        <v>534</v>
      </c>
      <c r="I462" s="5" t="s">
        <v>618</v>
      </c>
      <c r="J462" s="2">
        <v>80</v>
      </c>
    </row>
    <row r="463" spans="2:10">
      <c r="B463" s="23">
        <v>10460</v>
      </c>
      <c r="C463" s="23" t="s">
        <v>617</v>
      </c>
      <c r="D463" s="23" t="s">
        <v>41</v>
      </c>
      <c r="E463" s="23">
        <v>90</v>
      </c>
      <c r="F463" s="23" t="s">
        <v>536</v>
      </c>
      <c r="I463" s="5" t="s">
        <v>618</v>
      </c>
      <c r="J463" s="2">
        <v>90</v>
      </c>
    </row>
    <row r="464" spans="2:10">
      <c r="B464" s="23">
        <v>10461</v>
      </c>
      <c r="C464" s="23" t="s">
        <v>617</v>
      </c>
      <c r="D464" s="23" t="s">
        <v>44</v>
      </c>
      <c r="E464" s="23">
        <v>100</v>
      </c>
      <c r="F464" s="23" t="s">
        <v>538</v>
      </c>
      <c r="I464" s="5" t="s">
        <v>618</v>
      </c>
      <c r="J464" s="2">
        <v>100</v>
      </c>
    </row>
    <row r="465" spans="2:10">
      <c r="B465" s="23">
        <v>10462</v>
      </c>
      <c r="C465" s="23" t="s">
        <v>617</v>
      </c>
      <c r="D465" s="23" t="s">
        <v>47</v>
      </c>
      <c r="E465" s="23">
        <v>110</v>
      </c>
      <c r="F465" s="23" t="s">
        <v>540</v>
      </c>
      <c r="I465" s="5" t="s">
        <v>618</v>
      </c>
      <c r="J465" s="2">
        <v>110</v>
      </c>
    </row>
    <row r="466" spans="2:10">
      <c r="B466" s="23">
        <v>10463</v>
      </c>
      <c r="C466" s="23" t="s">
        <v>617</v>
      </c>
      <c r="D466" s="23" t="s">
        <v>50</v>
      </c>
      <c r="E466" s="23">
        <v>120</v>
      </c>
      <c r="F466" s="23" t="s">
        <v>542</v>
      </c>
      <c r="I466" s="5" t="s">
        <v>618</v>
      </c>
      <c r="J466" s="2">
        <v>120</v>
      </c>
    </row>
    <row r="467" spans="2:10">
      <c r="B467" s="23">
        <v>10464</v>
      </c>
      <c r="C467" s="23" t="s">
        <v>617</v>
      </c>
      <c r="D467" s="23" t="s">
        <v>53</v>
      </c>
      <c r="E467" s="23">
        <v>130</v>
      </c>
      <c r="F467" s="23" t="s">
        <v>544</v>
      </c>
      <c r="I467" s="5" t="s">
        <v>618</v>
      </c>
      <c r="J467" s="2">
        <v>130</v>
      </c>
    </row>
    <row r="468" spans="2:10">
      <c r="B468" s="23">
        <v>10465</v>
      </c>
      <c r="C468" s="23" t="s">
        <v>617</v>
      </c>
      <c r="D468" s="23" t="s">
        <v>56</v>
      </c>
      <c r="E468" s="23">
        <v>140</v>
      </c>
      <c r="F468" s="23" t="s">
        <v>546</v>
      </c>
      <c r="I468" s="5" t="s">
        <v>618</v>
      </c>
      <c r="J468" s="2">
        <v>140</v>
      </c>
    </row>
    <row r="469" spans="2:10">
      <c r="B469" s="23">
        <v>10466</v>
      </c>
      <c r="C469" s="23" t="s">
        <v>617</v>
      </c>
      <c r="D469" s="23" t="s">
        <v>59</v>
      </c>
      <c r="E469" s="23">
        <v>150</v>
      </c>
      <c r="F469" s="23" t="s">
        <v>548</v>
      </c>
      <c r="I469" s="5" t="s">
        <v>618</v>
      </c>
      <c r="J469" s="2">
        <v>150</v>
      </c>
    </row>
    <row r="470" spans="2:10">
      <c r="B470" s="23">
        <v>10467</v>
      </c>
      <c r="C470" s="23" t="s">
        <v>617</v>
      </c>
      <c r="D470" s="23" t="s">
        <v>62</v>
      </c>
      <c r="E470" s="23">
        <v>160</v>
      </c>
      <c r="F470" s="23" t="s">
        <v>550</v>
      </c>
      <c r="I470" s="5" t="s">
        <v>618</v>
      </c>
      <c r="J470" s="2">
        <v>160</v>
      </c>
    </row>
    <row r="471" spans="2:10">
      <c r="B471" s="23">
        <v>10468</v>
      </c>
      <c r="C471" s="23" t="s">
        <v>617</v>
      </c>
      <c r="D471" s="23" t="s">
        <v>65</v>
      </c>
      <c r="E471" s="23">
        <v>170</v>
      </c>
      <c r="F471" s="23" t="s">
        <v>552</v>
      </c>
      <c r="I471" s="5" t="s">
        <v>618</v>
      </c>
      <c r="J471" s="2">
        <v>170</v>
      </c>
    </row>
    <row r="472" spans="2:10">
      <c r="B472" s="23">
        <v>10469</v>
      </c>
      <c r="C472" s="23" t="s">
        <v>617</v>
      </c>
      <c r="D472" s="23" t="s">
        <v>68</v>
      </c>
      <c r="E472" s="23">
        <v>180</v>
      </c>
      <c r="F472" s="23" t="s">
        <v>554</v>
      </c>
      <c r="I472" s="5" t="s">
        <v>618</v>
      </c>
      <c r="J472" s="2">
        <v>180</v>
      </c>
    </row>
    <row r="473" spans="2:10">
      <c r="B473" s="23">
        <v>10470</v>
      </c>
      <c r="C473" s="23" t="s">
        <v>617</v>
      </c>
      <c r="D473" s="23" t="s">
        <v>71</v>
      </c>
      <c r="E473" s="23">
        <v>190</v>
      </c>
      <c r="F473" s="23" t="s">
        <v>556</v>
      </c>
      <c r="I473" s="5" t="s">
        <v>618</v>
      </c>
      <c r="J473" s="2">
        <v>190</v>
      </c>
    </row>
    <row r="474" spans="2:10">
      <c r="B474" s="23">
        <v>10471</v>
      </c>
      <c r="C474" s="23" t="s">
        <v>617</v>
      </c>
      <c r="D474" s="23" t="s">
        <v>74</v>
      </c>
      <c r="E474" s="23">
        <v>200</v>
      </c>
      <c r="F474" s="23" t="s">
        <v>558</v>
      </c>
      <c r="I474" s="5" t="s">
        <v>618</v>
      </c>
      <c r="J474" s="2">
        <v>200</v>
      </c>
    </row>
    <row r="475" spans="2:10">
      <c r="B475" s="23">
        <v>10472</v>
      </c>
      <c r="C475" s="23" t="s">
        <v>617</v>
      </c>
      <c r="D475" s="23" t="s">
        <v>77</v>
      </c>
      <c r="E475" s="23">
        <v>210</v>
      </c>
      <c r="F475" s="23" t="s">
        <v>560</v>
      </c>
      <c r="I475" s="5" t="s">
        <v>618</v>
      </c>
      <c r="J475" s="2">
        <v>210</v>
      </c>
    </row>
    <row r="476" spans="2:10">
      <c r="B476" s="23">
        <v>10473</v>
      </c>
      <c r="C476" s="23" t="s">
        <v>617</v>
      </c>
      <c r="D476" s="23" t="s">
        <v>80</v>
      </c>
      <c r="E476" s="23">
        <v>220</v>
      </c>
      <c r="F476" s="23" t="s">
        <v>562</v>
      </c>
      <c r="I476" s="5" t="s">
        <v>618</v>
      </c>
      <c r="J476" s="2">
        <v>220</v>
      </c>
    </row>
    <row r="477" spans="2:10">
      <c r="B477" s="23">
        <v>10474</v>
      </c>
      <c r="C477" s="23" t="s">
        <v>617</v>
      </c>
      <c r="D477" s="23" t="s">
        <v>83</v>
      </c>
      <c r="E477" s="23">
        <v>230</v>
      </c>
      <c r="F477" s="23" t="s">
        <v>564</v>
      </c>
      <c r="I477" s="5" t="s">
        <v>618</v>
      </c>
      <c r="J477" s="2">
        <v>230</v>
      </c>
    </row>
    <row r="478" spans="2:10">
      <c r="B478" s="23">
        <v>10475</v>
      </c>
      <c r="C478" s="23" t="s">
        <v>617</v>
      </c>
      <c r="D478" s="23" t="s">
        <v>86</v>
      </c>
      <c r="E478" s="23">
        <v>240</v>
      </c>
      <c r="F478" s="23" t="s">
        <v>566</v>
      </c>
      <c r="I478" s="5" t="s">
        <v>618</v>
      </c>
      <c r="J478" s="2">
        <v>240</v>
      </c>
    </row>
    <row r="479" spans="2:10">
      <c r="B479" s="23">
        <v>10476</v>
      </c>
      <c r="C479" s="23" t="s">
        <v>617</v>
      </c>
      <c r="D479" s="23" t="s">
        <v>89</v>
      </c>
      <c r="E479" s="23">
        <v>250</v>
      </c>
      <c r="F479" s="23" t="s">
        <v>568</v>
      </c>
      <c r="I479" s="5" t="s">
        <v>618</v>
      </c>
      <c r="J479" s="2">
        <v>250</v>
      </c>
    </row>
    <row r="480" spans="2:10">
      <c r="B480" s="23">
        <v>10477</v>
      </c>
      <c r="C480" s="23" t="s">
        <v>617</v>
      </c>
      <c r="D480" s="23" t="s">
        <v>92</v>
      </c>
      <c r="E480" s="23">
        <v>260</v>
      </c>
      <c r="F480" s="23" t="s">
        <v>570</v>
      </c>
      <c r="I480" s="5" t="s">
        <v>618</v>
      </c>
      <c r="J480" s="2">
        <v>260</v>
      </c>
    </row>
    <row r="481" spans="2:10">
      <c r="B481" s="23">
        <v>10478</v>
      </c>
      <c r="C481" s="23" t="s">
        <v>617</v>
      </c>
      <c r="D481" s="23" t="s">
        <v>95</v>
      </c>
      <c r="E481" s="23">
        <v>270</v>
      </c>
      <c r="F481" s="23" t="s">
        <v>572</v>
      </c>
      <c r="I481" s="5" t="s">
        <v>618</v>
      </c>
      <c r="J481" s="2">
        <v>270</v>
      </c>
    </row>
    <row r="482" spans="2:10">
      <c r="B482" s="23">
        <v>10479</v>
      </c>
      <c r="C482" s="23" t="s">
        <v>617</v>
      </c>
      <c r="D482" s="23" t="s">
        <v>98</v>
      </c>
      <c r="E482" s="23">
        <v>280</v>
      </c>
      <c r="F482" s="23" t="s">
        <v>574</v>
      </c>
      <c r="I482" s="5" t="s">
        <v>618</v>
      </c>
      <c r="J482" s="2">
        <v>280</v>
      </c>
    </row>
    <row r="483" spans="2:10">
      <c r="B483" s="23">
        <v>10480</v>
      </c>
      <c r="C483" s="23" t="s">
        <v>617</v>
      </c>
      <c r="D483" s="23" t="s">
        <v>101</v>
      </c>
      <c r="E483" s="23">
        <v>290</v>
      </c>
      <c r="F483" s="23" t="s">
        <v>576</v>
      </c>
      <c r="I483" s="5" t="s">
        <v>618</v>
      </c>
      <c r="J483" s="2">
        <v>290</v>
      </c>
    </row>
    <row r="484" spans="2:10">
      <c r="B484" s="23">
        <v>10481</v>
      </c>
      <c r="C484" s="23" t="s">
        <v>617</v>
      </c>
      <c r="D484" s="23" t="s">
        <v>104</v>
      </c>
      <c r="E484" s="23">
        <v>300</v>
      </c>
      <c r="F484" s="23" t="s">
        <v>578</v>
      </c>
      <c r="I484" s="5" t="s">
        <v>618</v>
      </c>
      <c r="J484" s="2">
        <v>300</v>
      </c>
    </row>
    <row r="485" spans="2:10">
      <c r="B485" s="23">
        <v>10482</v>
      </c>
      <c r="C485" s="23" t="s">
        <v>617</v>
      </c>
      <c r="D485" s="23" t="s">
        <v>107</v>
      </c>
      <c r="E485" s="23">
        <v>310</v>
      </c>
      <c r="F485" s="23" t="s">
        <v>580</v>
      </c>
      <c r="I485" s="5" t="s">
        <v>618</v>
      </c>
      <c r="J485" s="2">
        <v>310</v>
      </c>
    </row>
    <row r="486" spans="2:10">
      <c r="B486" s="23">
        <v>10483</v>
      </c>
      <c r="C486" s="23" t="s">
        <v>617</v>
      </c>
      <c r="D486" s="23" t="s">
        <v>110</v>
      </c>
      <c r="E486" s="23">
        <v>320</v>
      </c>
      <c r="F486" s="23" t="s">
        <v>582</v>
      </c>
      <c r="I486" s="5" t="s">
        <v>618</v>
      </c>
      <c r="J486" s="2">
        <v>320</v>
      </c>
    </row>
    <row r="487" spans="2:10">
      <c r="B487" s="23">
        <v>10484</v>
      </c>
      <c r="C487" s="23" t="s">
        <v>617</v>
      </c>
      <c r="D487" s="23" t="s">
        <v>113</v>
      </c>
      <c r="E487" s="23">
        <v>330</v>
      </c>
      <c r="F487" s="23" t="s">
        <v>584</v>
      </c>
      <c r="I487" s="5" t="s">
        <v>618</v>
      </c>
      <c r="J487" s="2">
        <v>330</v>
      </c>
    </row>
    <row r="488" spans="2:10">
      <c r="B488" s="23">
        <v>10485</v>
      </c>
      <c r="C488" s="23" t="s">
        <v>617</v>
      </c>
      <c r="D488" s="23" t="s">
        <v>116</v>
      </c>
      <c r="E488" s="23">
        <v>340</v>
      </c>
      <c r="F488" s="23" t="s">
        <v>586</v>
      </c>
      <c r="I488" s="5" t="s">
        <v>618</v>
      </c>
      <c r="J488" s="2">
        <v>340</v>
      </c>
    </row>
    <row r="489" spans="2:10">
      <c r="B489" s="23">
        <v>10486</v>
      </c>
      <c r="C489" s="23" t="s">
        <v>617</v>
      </c>
      <c r="D489" s="23" t="s">
        <v>119</v>
      </c>
      <c r="E489" s="23">
        <v>350</v>
      </c>
      <c r="F489" s="23" t="s">
        <v>588</v>
      </c>
      <c r="I489" s="5" t="s">
        <v>618</v>
      </c>
      <c r="J489" s="2">
        <v>350</v>
      </c>
    </row>
    <row r="490" spans="2:10">
      <c r="B490" s="23">
        <v>10487</v>
      </c>
      <c r="C490" s="23" t="s">
        <v>617</v>
      </c>
      <c r="D490" s="23" t="s">
        <v>122</v>
      </c>
      <c r="E490" s="23">
        <v>360</v>
      </c>
      <c r="F490" s="23" t="s">
        <v>590</v>
      </c>
      <c r="I490" s="5" t="s">
        <v>618</v>
      </c>
      <c r="J490" s="2">
        <v>360</v>
      </c>
    </row>
    <row r="491" spans="2:10">
      <c r="B491" s="23">
        <v>10488</v>
      </c>
      <c r="C491" s="23" t="s">
        <v>617</v>
      </c>
      <c r="D491" s="23" t="s">
        <v>125</v>
      </c>
      <c r="E491" s="23">
        <v>370</v>
      </c>
      <c r="F491" s="23" t="s">
        <v>592</v>
      </c>
      <c r="I491" s="5" t="s">
        <v>618</v>
      </c>
      <c r="J491" s="2">
        <v>370</v>
      </c>
    </row>
    <row r="492" spans="2:10">
      <c r="B492" s="23">
        <v>10489</v>
      </c>
      <c r="C492" s="23" t="s">
        <v>617</v>
      </c>
      <c r="D492" s="23" t="s">
        <v>128</v>
      </c>
      <c r="E492" s="23">
        <v>380</v>
      </c>
      <c r="F492" s="23" t="s">
        <v>594</v>
      </c>
      <c r="I492" s="5" t="s">
        <v>618</v>
      </c>
      <c r="J492" s="2">
        <v>380</v>
      </c>
    </row>
    <row r="493" spans="2:10">
      <c r="B493" s="23">
        <v>10490</v>
      </c>
      <c r="C493" s="23" t="s">
        <v>617</v>
      </c>
      <c r="D493" s="23" t="s">
        <v>131</v>
      </c>
      <c r="E493" s="23">
        <v>390</v>
      </c>
      <c r="F493" s="23" t="s">
        <v>596</v>
      </c>
      <c r="I493" s="5" t="s">
        <v>618</v>
      </c>
      <c r="J493" s="2">
        <v>390</v>
      </c>
    </row>
    <row r="494" spans="2:10">
      <c r="B494" s="23">
        <v>10491</v>
      </c>
      <c r="C494" s="23" t="s">
        <v>617</v>
      </c>
      <c r="D494" s="23" t="s">
        <v>134</v>
      </c>
      <c r="E494" s="23">
        <v>400</v>
      </c>
      <c r="F494" s="23" t="s">
        <v>598</v>
      </c>
      <c r="I494" s="5" t="s">
        <v>618</v>
      </c>
      <c r="J494" s="2">
        <v>400</v>
      </c>
    </row>
    <row r="495" spans="2:10">
      <c r="B495" s="23">
        <v>10492</v>
      </c>
      <c r="C495" s="23" t="s">
        <v>617</v>
      </c>
      <c r="D495" s="23" t="s">
        <v>137</v>
      </c>
      <c r="E495" s="23">
        <v>410</v>
      </c>
      <c r="F495" s="23" t="s">
        <v>600</v>
      </c>
      <c r="I495" s="5" t="s">
        <v>618</v>
      </c>
      <c r="J495" s="2">
        <v>410</v>
      </c>
    </row>
    <row r="496" spans="2:10">
      <c r="B496" s="23">
        <v>10493</v>
      </c>
      <c r="C496" s="23" t="s">
        <v>617</v>
      </c>
      <c r="D496" s="23" t="s">
        <v>140</v>
      </c>
      <c r="E496" s="23">
        <v>420</v>
      </c>
      <c r="F496" s="23" t="s">
        <v>602</v>
      </c>
      <c r="I496" s="5" t="s">
        <v>618</v>
      </c>
      <c r="J496" s="2">
        <v>420</v>
      </c>
    </row>
    <row r="497" spans="2:10">
      <c r="B497" s="23">
        <v>10494</v>
      </c>
      <c r="C497" s="23" t="s">
        <v>617</v>
      </c>
      <c r="D497" s="23" t="s">
        <v>143</v>
      </c>
      <c r="E497" s="23">
        <v>430</v>
      </c>
      <c r="F497" s="23" t="s">
        <v>604</v>
      </c>
      <c r="I497" s="5" t="s">
        <v>618</v>
      </c>
      <c r="J497" s="2">
        <v>430</v>
      </c>
    </row>
    <row r="498" spans="2:10">
      <c r="B498" s="23">
        <v>10495</v>
      </c>
      <c r="C498" s="23" t="s">
        <v>617</v>
      </c>
      <c r="D498" s="23" t="s">
        <v>146</v>
      </c>
      <c r="E498" s="23">
        <v>440</v>
      </c>
      <c r="F498" s="23" t="s">
        <v>606</v>
      </c>
      <c r="I498" s="5" t="s">
        <v>618</v>
      </c>
      <c r="J498" s="2">
        <v>440</v>
      </c>
    </row>
    <row r="499" spans="2:10">
      <c r="B499" s="23">
        <v>10496</v>
      </c>
      <c r="C499" s="23" t="s">
        <v>617</v>
      </c>
      <c r="D499" s="23" t="s">
        <v>149</v>
      </c>
      <c r="E499" s="23">
        <v>450</v>
      </c>
      <c r="F499" s="23" t="s">
        <v>608</v>
      </c>
      <c r="I499" s="5" t="s">
        <v>618</v>
      </c>
      <c r="J499" s="2">
        <v>450</v>
      </c>
    </row>
    <row r="500" spans="2:10">
      <c r="B500" s="23">
        <v>10497</v>
      </c>
      <c r="C500" s="23" t="s">
        <v>617</v>
      </c>
      <c r="D500" s="23" t="s">
        <v>152</v>
      </c>
      <c r="E500" s="23">
        <v>460</v>
      </c>
      <c r="F500" s="23" t="s">
        <v>610</v>
      </c>
      <c r="I500" s="5" t="s">
        <v>618</v>
      </c>
      <c r="J500" s="2">
        <v>460</v>
      </c>
    </row>
    <row r="501" spans="2:10">
      <c r="B501" s="23">
        <v>10498</v>
      </c>
      <c r="C501" s="23" t="s">
        <v>617</v>
      </c>
      <c r="D501" s="23" t="s">
        <v>155</v>
      </c>
      <c r="E501" s="23">
        <v>470</v>
      </c>
      <c r="F501" s="23" t="s">
        <v>612</v>
      </c>
      <c r="I501" s="5" t="s">
        <v>618</v>
      </c>
      <c r="J501" s="2">
        <v>470</v>
      </c>
    </row>
    <row r="502" spans="2:10">
      <c r="B502" s="23">
        <v>10499</v>
      </c>
      <c r="C502" s="23" t="s">
        <v>617</v>
      </c>
      <c r="D502" s="23" t="s">
        <v>158</v>
      </c>
      <c r="E502" s="23">
        <v>480</v>
      </c>
      <c r="F502" s="23" t="s">
        <v>614</v>
      </c>
      <c r="I502" s="5" t="s">
        <v>618</v>
      </c>
      <c r="J502" s="2">
        <v>480</v>
      </c>
    </row>
    <row r="503" spans="2:10">
      <c r="B503" s="23">
        <v>10500</v>
      </c>
      <c r="C503" s="23" t="s">
        <v>617</v>
      </c>
      <c r="D503" s="23" t="s">
        <v>161</v>
      </c>
      <c r="E503" s="23">
        <v>490</v>
      </c>
      <c r="F503" s="23" t="s">
        <v>616</v>
      </c>
      <c r="I503" s="5" t="s">
        <v>618</v>
      </c>
      <c r="J503" s="2">
        <v>490</v>
      </c>
    </row>
    <row r="504" spans="2:10">
      <c r="B504" s="23">
        <v>10501</v>
      </c>
      <c r="C504" s="26" t="s">
        <v>619</v>
      </c>
      <c r="D504" s="23" t="s">
        <v>13</v>
      </c>
      <c r="E504" s="23">
        <v>100</v>
      </c>
      <c r="F504" s="23" t="s">
        <v>517</v>
      </c>
      <c r="I504" s="5" t="s">
        <v>618</v>
      </c>
      <c r="J504" s="2">
        <v>200</v>
      </c>
    </row>
    <row r="505" spans="2:10">
      <c r="B505" s="23">
        <v>10502</v>
      </c>
      <c r="C505" s="26" t="s">
        <v>619</v>
      </c>
      <c r="D505" s="23" t="s">
        <v>17</v>
      </c>
      <c r="E505" s="23">
        <v>120</v>
      </c>
      <c r="F505" s="23" t="s">
        <v>520</v>
      </c>
      <c r="I505" s="5" t="s">
        <v>618</v>
      </c>
      <c r="J505" s="2">
        <v>220</v>
      </c>
    </row>
    <row r="506" spans="2:10">
      <c r="B506" s="23">
        <v>10503</v>
      </c>
      <c r="C506" s="26" t="s">
        <v>619</v>
      </c>
      <c r="D506" s="23" t="s">
        <v>20</v>
      </c>
      <c r="E506" s="23">
        <v>140</v>
      </c>
      <c r="F506" s="23" t="s">
        <v>522</v>
      </c>
      <c r="I506" s="5" t="s">
        <v>618</v>
      </c>
      <c r="J506" s="2">
        <v>240</v>
      </c>
    </row>
    <row r="507" spans="2:10">
      <c r="B507" s="23">
        <v>10504</v>
      </c>
      <c r="C507" s="26" t="s">
        <v>619</v>
      </c>
      <c r="D507" s="23" t="s">
        <v>23</v>
      </c>
      <c r="E507" s="23">
        <v>160</v>
      </c>
      <c r="F507" s="23" t="s">
        <v>524</v>
      </c>
      <c r="I507" s="5" t="s">
        <v>618</v>
      </c>
      <c r="J507" s="2">
        <v>260</v>
      </c>
    </row>
    <row r="508" spans="2:10">
      <c r="B508" s="23">
        <v>10505</v>
      </c>
      <c r="C508" s="26" t="s">
        <v>619</v>
      </c>
      <c r="D508" s="23" t="s">
        <v>26</v>
      </c>
      <c r="E508" s="23">
        <v>180</v>
      </c>
      <c r="F508" s="23" t="s">
        <v>526</v>
      </c>
      <c r="I508" s="5" t="s">
        <v>618</v>
      </c>
      <c r="J508" s="2">
        <v>280</v>
      </c>
    </row>
    <row r="509" spans="2:10">
      <c r="B509" s="23">
        <v>10506</v>
      </c>
      <c r="C509" s="26" t="s">
        <v>619</v>
      </c>
      <c r="D509" s="23" t="s">
        <v>29</v>
      </c>
      <c r="E509" s="23">
        <v>200</v>
      </c>
      <c r="F509" s="23" t="s">
        <v>528</v>
      </c>
      <c r="I509" s="5" t="s">
        <v>618</v>
      </c>
      <c r="J509" s="2">
        <v>300</v>
      </c>
    </row>
    <row r="510" spans="2:10">
      <c r="B510" s="23">
        <v>10507</v>
      </c>
      <c r="C510" s="26" t="s">
        <v>619</v>
      </c>
      <c r="D510" s="23" t="s">
        <v>32</v>
      </c>
      <c r="E510" s="23">
        <v>220</v>
      </c>
      <c r="F510" s="23" t="s">
        <v>530</v>
      </c>
      <c r="I510" s="5" t="s">
        <v>618</v>
      </c>
      <c r="J510" s="2">
        <v>320</v>
      </c>
    </row>
    <row r="511" spans="2:10">
      <c r="B511" s="23">
        <v>10508</v>
      </c>
      <c r="C511" s="26" t="s">
        <v>619</v>
      </c>
      <c r="D511" s="23" t="s">
        <v>35</v>
      </c>
      <c r="E511" s="23">
        <v>240</v>
      </c>
      <c r="F511" s="23" t="s">
        <v>532</v>
      </c>
      <c r="I511" s="5" t="s">
        <v>618</v>
      </c>
      <c r="J511" s="2">
        <v>340</v>
      </c>
    </row>
    <row r="512" spans="2:10">
      <c r="B512" s="23">
        <v>10509</v>
      </c>
      <c r="C512" s="26" t="s">
        <v>619</v>
      </c>
      <c r="D512" s="23" t="s">
        <v>38</v>
      </c>
      <c r="E512" s="23">
        <v>260</v>
      </c>
      <c r="F512" s="23" t="s">
        <v>534</v>
      </c>
      <c r="I512" s="5" t="s">
        <v>618</v>
      </c>
      <c r="J512" s="2">
        <v>360</v>
      </c>
    </row>
    <row r="513" spans="2:10">
      <c r="B513" s="23">
        <v>10510</v>
      </c>
      <c r="C513" s="26" t="s">
        <v>619</v>
      </c>
      <c r="D513" s="23" t="s">
        <v>41</v>
      </c>
      <c r="E513" s="23">
        <v>280</v>
      </c>
      <c r="F513" s="23" t="s">
        <v>536</v>
      </c>
      <c r="I513" s="5" t="s">
        <v>618</v>
      </c>
      <c r="J513" s="2">
        <v>380</v>
      </c>
    </row>
    <row r="514" spans="2:10">
      <c r="B514" s="23">
        <v>10511</v>
      </c>
      <c r="C514" s="26" t="s">
        <v>619</v>
      </c>
      <c r="D514" s="23" t="s">
        <v>44</v>
      </c>
      <c r="E514" s="23">
        <v>300</v>
      </c>
      <c r="F514" s="23" t="s">
        <v>538</v>
      </c>
      <c r="I514" s="5" t="s">
        <v>618</v>
      </c>
      <c r="J514" s="2">
        <v>400</v>
      </c>
    </row>
    <row r="515" spans="2:10">
      <c r="B515" s="23">
        <v>10512</v>
      </c>
      <c r="C515" s="26" t="s">
        <v>619</v>
      </c>
      <c r="D515" s="23" t="s">
        <v>47</v>
      </c>
      <c r="E515" s="23">
        <v>320</v>
      </c>
      <c r="F515" s="23" t="s">
        <v>540</v>
      </c>
      <c r="I515" s="5" t="s">
        <v>618</v>
      </c>
      <c r="J515" s="2">
        <v>420</v>
      </c>
    </row>
    <row r="516" spans="2:10">
      <c r="B516" s="23">
        <v>10513</v>
      </c>
      <c r="C516" s="26" t="s">
        <v>619</v>
      </c>
      <c r="D516" s="23" t="s">
        <v>50</v>
      </c>
      <c r="E516" s="23">
        <v>340</v>
      </c>
      <c r="F516" s="23" t="s">
        <v>542</v>
      </c>
      <c r="I516" s="5" t="s">
        <v>618</v>
      </c>
      <c r="J516" s="2">
        <v>440</v>
      </c>
    </row>
    <row r="517" spans="2:10">
      <c r="B517" s="23">
        <v>10514</v>
      </c>
      <c r="C517" s="26" t="s">
        <v>619</v>
      </c>
      <c r="D517" s="23" t="s">
        <v>53</v>
      </c>
      <c r="E517" s="23">
        <v>360</v>
      </c>
      <c r="F517" s="23" t="s">
        <v>544</v>
      </c>
      <c r="I517" s="5" t="s">
        <v>618</v>
      </c>
      <c r="J517" s="2">
        <v>460</v>
      </c>
    </row>
    <row r="518" spans="2:10">
      <c r="B518" s="23">
        <v>10515</v>
      </c>
      <c r="C518" s="26" t="s">
        <v>619</v>
      </c>
      <c r="D518" s="23" t="s">
        <v>56</v>
      </c>
      <c r="E518" s="23">
        <v>380</v>
      </c>
      <c r="F518" s="23" t="s">
        <v>546</v>
      </c>
      <c r="I518" s="5" t="s">
        <v>618</v>
      </c>
      <c r="J518" s="2">
        <v>480</v>
      </c>
    </row>
    <row r="519" spans="2:10">
      <c r="B519" s="23">
        <v>10516</v>
      </c>
      <c r="C519" s="26" t="s">
        <v>619</v>
      </c>
      <c r="D519" s="23" t="s">
        <v>59</v>
      </c>
      <c r="E519" s="23">
        <v>400</v>
      </c>
      <c r="F519" s="23" t="s">
        <v>548</v>
      </c>
      <c r="I519" s="5" t="s">
        <v>618</v>
      </c>
      <c r="J519" s="2">
        <v>500</v>
      </c>
    </row>
    <row r="520" spans="2:10">
      <c r="B520" s="23">
        <v>10517</v>
      </c>
      <c r="C520" s="26" t="s">
        <v>619</v>
      </c>
      <c r="D520" s="23" t="s">
        <v>62</v>
      </c>
      <c r="E520" s="23">
        <v>420</v>
      </c>
      <c r="F520" s="23" t="s">
        <v>550</v>
      </c>
      <c r="I520" s="5" t="s">
        <v>618</v>
      </c>
      <c r="J520" s="2">
        <v>520</v>
      </c>
    </row>
    <row r="521" spans="2:10">
      <c r="B521" s="23">
        <v>10518</v>
      </c>
      <c r="C521" s="26" t="s">
        <v>619</v>
      </c>
      <c r="D521" s="23" t="s">
        <v>65</v>
      </c>
      <c r="E521" s="23">
        <v>440</v>
      </c>
      <c r="F521" s="23" t="s">
        <v>552</v>
      </c>
      <c r="I521" s="5" t="s">
        <v>618</v>
      </c>
      <c r="J521" s="2">
        <v>540</v>
      </c>
    </row>
    <row r="522" spans="2:10">
      <c r="B522" s="23">
        <v>10519</v>
      </c>
      <c r="C522" s="26" t="s">
        <v>619</v>
      </c>
      <c r="D522" s="23" t="s">
        <v>68</v>
      </c>
      <c r="E522" s="23">
        <v>460</v>
      </c>
      <c r="F522" s="23" t="s">
        <v>554</v>
      </c>
      <c r="I522" s="5" t="s">
        <v>618</v>
      </c>
      <c r="J522" s="2">
        <v>560</v>
      </c>
    </row>
    <row r="523" spans="2:10">
      <c r="B523" s="23">
        <v>10520</v>
      </c>
      <c r="C523" s="26" t="s">
        <v>619</v>
      </c>
      <c r="D523" s="23" t="s">
        <v>71</v>
      </c>
      <c r="E523" s="23">
        <v>480</v>
      </c>
      <c r="F523" s="23" t="s">
        <v>556</v>
      </c>
      <c r="I523" s="5" t="s">
        <v>618</v>
      </c>
      <c r="J523" s="2">
        <v>580</v>
      </c>
    </row>
    <row r="524" spans="2:10">
      <c r="B524" s="23">
        <v>10521</v>
      </c>
      <c r="C524" s="26" t="s">
        <v>619</v>
      </c>
      <c r="D524" s="23" t="s">
        <v>74</v>
      </c>
      <c r="E524" s="23">
        <v>500</v>
      </c>
      <c r="F524" s="23" t="s">
        <v>558</v>
      </c>
      <c r="I524" s="5" t="s">
        <v>618</v>
      </c>
      <c r="J524" s="2">
        <v>600</v>
      </c>
    </row>
    <row r="525" spans="2:10">
      <c r="B525" s="23">
        <v>10522</v>
      </c>
      <c r="C525" s="26" t="s">
        <v>619</v>
      </c>
      <c r="D525" s="23" t="s">
        <v>77</v>
      </c>
      <c r="E525" s="23">
        <v>520</v>
      </c>
      <c r="F525" s="23" t="s">
        <v>560</v>
      </c>
      <c r="I525" s="5" t="s">
        <v>618</v>
      </c>
      <c r="J525" s="2">
        <v>620</v>
      </c>
    </row>
    <row r="526" spans="2:10">
      <c r="B526" s="23">
        <v>10523</v>
      </c>
      <c r="C526" s="26" t="s">
        <v>619</v>
      </c>
      <c r="D526" s="23" t="s">
        <v>80</v>
      </c>
      <c r="E526" s="23">
        <v>540</v>
      </c>
      <c r="F526" s="23" t="s">
        <v>562</v>
      </c>
      <c r="I526" s="5" t="s">
        <v>618</v>
      </c>
      <c r="J526" s="2">
        <v>640</v>
      </c>
    </row>
    <row r="527" spans="2:10">
      <c r="B527" s="23">
        <v>10524</v>
      </c>
      <c r="C527" s="26" t="s">
        <v>619</v>
      </c>
      <c r="D527" s="23" t="s">
        <v>83</v>
      </c>
      <c r="E527" s="23">
        <v>560</v>
      </c>
      <c r="F527" s="23" t="s">
        <v>564</v>
      </c>
      <c r="I527" s="5" t="s">
        <v>618</v>
      </c>
      <c r="J527" s="2">
        <v>660</v>
      </c>
    </row>
    <row r="528" spans="2:10">
      <c r="B528" s="23">
        <v>10525</v>
      </c>
      <c r="C528" s="26" t="s">
        <v>619</v>
      </c>
      <c r="D528" s="23" t="s">
        <v>86</v>
      </c>
      <c r="E528" s="23">
        <v>580</v>
      </c>
      <c r="F528" s="23" t="s">
        <v>566</v>
      </c>
      <c r="I528" s="5" t="s">
        <v>618</v>
      </c>
      <c r="J528" s="2">
        <v>680</v>
      </c>
    </row>
    <row r="529" spans="2:10">
      <c r="B529" s="23">
        <v>10526</v>
      </c>
      <c r="C529" s="26" t="s">
        <v>619</v>
      </c>
      <c r="D529" s="23" t="s">
        <v>89</v>
      </c>
      <c r="E529" s="23">
        <v>600</v>
      </c>
      <c r="F529" s="23" t="s">
        <v>568</v>
      </c>
      <c r="I529" s="5" t="s">
        <v>618</v>
      </c>
      <c r="J529" s="2">
        <v>700</v>
      </c>
    </row>
    <row r="530" spans="2:10">
      <c r="B530" s="23">
        <v>10527</v>
      </c>
      <c r="C530" s="26" t="s">
        <v>619</v>
      </c>
      <c r="D530" s="23" t="s">
        <v>92</v>
      </c>
      <c r="E530" s="23">
        <v>620</v>
      </c>
      <c r="F530" s="23" t="s">
        <v>570</v>
      </c>
      <c r="I530" s="5" t="s">
        <v>618</v>
      </c>
      <c r="J530" s="2">
        <v>720</v>
      </c>
    </row>
    <row r="531" spans="2:10">
      <c r="B531" s="23">
        <v>10528</v>
      </c>
      <c r="C531" s="26" t="s">
        <v>619</v>
      </c>
      <c r="D531" s="23" t="s">
        <v>95</v>
      </c>
      <c r="E531" s="23">
        <v>640</v>
      </c>
      <c r="F531" s="23" t="s">
        <v>572</v>
      </c>
      <c r="I531" s="5" t="s">
        <v>618</v>
      </c>
      <c r="J531" s="2">
        <v>740</v>
      </c>
    </row>
    <row r="532" spans="2:10">
      <c r="B532" s="23">
        <v>10529</v>
      </c>
      <c r="C532" s="26" t="s">
        <v>619</v>
      </c>
      <c r="D532" s="23" t="s">
        <v>98</v>
      </c>
      <c r="E532" s="23">
        <v>660</v>
      </c>
      <c r="F532" s="23" t="s">
        <v>574</v>
      </c>
      <c r="I532" s="5" t="s">
        <v>618</v>
      </c>
      <c r="J532" s="2">
        <v>760</v>
      </c>
    </row>
    <row r="533" spans="2:10">
      <c r="B533" s="23">
        <v>10530</v>
      </c>
      <c r="C533" s="26" t="s">
        <v>619</v>
      </c>
      <c r="D533" s="23" t="s">
        <v>101</v>
      </c>
      <c r="E533" s="23">
        <v>680.000000000001</v>
      </c>
      <c r="F533" s="23" t="s">
        <v>576</v>
      </c>
      <c r="I533" s="5" t="s">
        <v>618</v>
      </c>
      <c r="J533" s="2">
        <v>780</v>
      </c>
    </row>
    <row r="534" spans="2:10">
      <c r="B534" s="23">
        <v>10531</v>
      </c>
      <c r="C534" s="26" t="s">
        <v>619</v>
      </c>
      <c r="D534" s="23" t="s">
        <v>104</v>
      </c>
      <c r="E534" s="23">
        <v>700.000000000001</v>
      </c>
      <c r="F534" s="23" t="s">
        <v>578</v>
      </c>
      <c r="I534" s="5" t="s">
        <v>618</v>
      </c>
      <c r="J534" s="2">
        <v>800</v>
      </c>
    </row>
    <row r="535" spans="2:10">
      <c r="B535" s="23">
        <v>10532</v>
      </c>
      <c r="C535" s="26" t="s">
        <v>619</v>
      </c>
      <c r="D535" s="23" t="s">
        <v>107</v>
      </c>
      <c r="E535" s="23">
        <v>720.000000000001</v>
      </c>
      <c r="F535" s="23" t="s">
        <v>580</v>
      </c>
      <c r="I535" s="5" t="s">
        <v>618</v>
      </c>
      <c r="J535" s="2">
        <v>820</v>
      </c>
    </row>
    <row r="536" spans="2:10">
      <c r="B536" s="23">
        <v>10533</v>
      </c>
      <c r="C536" s="26" t="s">
        <v>619</v>
      </c>
      <c r="D536" s="23" t="s">
        <v>110</v>
      </c>
      <c r="E536" s="23">
        <v>740.000000000001</v>
      </c>
      <c r="F536" s="23" t="s">
        <v>582</v>
      </c>
      <c r="I536" s="5" t="s">
        <v>618</v>
      </c>
      <c r="J536" s="2">
        <v>840</v>
      </c>
    </row>
    <row r="537" spans="2:10">
      <c r="B537" s="23">
        <v>10534</v>
      </c>
      <c r="C537" s="26" t="s">
        <v>619</v>
      </c>
      <c r="D537" s="23" t="s">
        <v>113</v>
      </c>
      <c r="E537" s="23">
        <v>760.000000000001</v>
      </c>
      <c r="F537" s="23" t="s">
        <v>584</v>
      </c>
      <c r="I537" s="5" t="s">
        <v>618</v>
      </c>
      <c r="J537" s="2">
        <v>860</v>
      </c>
    </row>
    <row r="538" spans="2:10">
      <c r="B538" s="23">
        <v>10535</v>
      </c>
      <c r="C538" s="26" t="s">
        <v>619</v>
      </c>
      <c r="D538" s="23" t="s">
        <v>116</v>
      </c>
      <c r="E538" s="23">
        <v>780.000000000001</v>
      </c>
      <c r="F538" s="23" t="s">
        <v>586</v>
      </c>
      <c r="I538" s="5" t="s">
        <v>618</v>
      </c>
      <c r="J538" s="2">
        <v>880</v>
      </c>
    </row>
    <row r="539" spans="2:10">
      <c r="B539" s="23">
        <v>10536</v>
      </c>
      <c r="C539" s="26" t="s">
        <v>619</v>
      </c>
      <c r="D539" s="23" t="s">
        <v>119</v>
      </c>
      <c r="E539" s="23">
        <v>800.000000000001</v>
      </c>
      <c r="F539" s="23" t="s">
        <v>588</v>
      </c>
      <c r="I539" s="5" t="s">
        <v>618</v>
      </c>
      <c r="J539" s="2">
        <v>900</v>
      </c>
    </row>
    <row r="540" spans="2:10">
      <c r="B540" s="23">
        <v>10537</v>
      </c>
      <c r="C540" s="26" t="s">
        <v>619</v>
      </c>
      <c r="D540" s="23" t="s">
        <v>122</v>
      </c>
      <c r="E540" s="23">
        <v>820.000000000001</v>
      </c>
      <c r="F540" s="23" t="s">
        <v>590</v>
      </c>
      <c r="I540" s="5" t="s">
        <v>618</v>
      </c>
      <c r="J540" s="2">
        <v>920</v>
      </c>
    </row>
    <row r="541" spans="2:10">
      <c r="B541" s="23">
        <v>10538</v>
      </c>
      <c r="C541" s="26" t="s">
        <v>619</v>
      </c>
      <c r="D541" s="23" t="s">
        <v>125</v>
      </c>
      <c r="E541" s="23">
        <v>840.000000000001</v>
      </c>
      <c r="F541" s="23" t="s">
        <v>592</v>
      </c>
      <c r="I541" s="5" t="s">
        <v>618</v>
      </c>
      <c r="J541" s="2">
        <v>940</v>
      </c>
    </row>
    <row r="542" spans="2:10">
      <c r="B542" s="23">
        <v>10539</v>
      </c>
      <c r="C542" s="26" t="s">
        <v>619</v>
      </c>
      <c r="D542" s="23" t="s">
        <v>128</v>
      </c>
      <c r="E542" s="23">
        <v>860.000000000001</v>
      </c>
      <c r="F542" s="23" t="s">
        <v>594</v>
      </c>
      <c r="I542" s="5" t="s">
        <v>618</v>
      </c>
      <c r="J542" s="2">
        <v>960</v>
      </c>
    </row>
    <row r="543" spans="2:10">
      <c r="B543" s="23">
        <v>10540</v>
      </c>
      <c r="C543" s="26" t="s">
        <v>619</v>
      </c>
      <c r="D543" s="23" t="s">
        <v>131</v>
      </c>
      <c r="E543" s="23">
        <v>880.000000000001</v>
      </c>
      <c r="F543" s="23" t="s">
        <v>596</v>
      </c>
      <c r="I543" s="5" t="s">
        <v>618</v>
      </c>
      <c r="J543" s="2">
        <v>980</v>
      </c>
    </row>
    <row r="544" spans="2:10">
      <c r="B544" s="23">
        <v>10541</v>
      </c>
      <c r="C544" s="26" t="s">
        <v>619</v>
      </c>
      <c r="D544" s="23" t="s">
        <v>134</v>
      </c>
      <c r="E544" s="23">
        <v>900</v>
      </c>
      <c r="F544" s="23" t="s">
        <v>598</v>
      </c>
      <c r="I544" s="5" t="s">
        <v>618</v>
      </c>
      <c r="J544" s="2">
        <v>1000</v>
      </c>
    </row>
    <row r="545" spans="2:10">
      <c r="B545" s="23">
        <v>10542</v>
      </c>
      <c r="C545" s="26" t="s">
        <v>619</v>
      </c>
      <c r="D545" s="23" t="s">
        <v>137</v>
      </c>
      <c r="E545" s="23">
        <v>920</v>
      </c>
      <c r="F545" s="23" t="s">
        <v>600</v>
      </c>
      <c r="I545" s="5" t="s">
        <v>618</v>
      </c>
      <c r="J545" s="2">
        <v>1020</v>
      </c>
    </row>
    <row r="546" spans="2:10">
      <c r="B546" s="23">
        <v>10543</v>
      </c>
      <c r="C546" s="26" t="s">
        <v>619</v>
      </c>
      <c r="D546" s="23" t="s">
        <v>140</v>
      </c>
      <c r="E546" s="23">
        <v>940</v>
      </c>
      <c r="F546" s="23" t="s">
        <v>602</v>
      </c>
      <c r="I546" s="5" t="s">
        <v>618</v>
      </c>
      <c r="J546" s="2">
        <v>1040</v>
      </c>
    </row>
    <row r="547" spans="2:10">
      <c r="B547" s="23">
        <v>10544</v>
      </c>
      <c r="C547" s="26" t="s">
        <v>619</v>
      </c>
      <c r="D547" s="23" t="s">
        <v>143</v>
      </c>
      <c r="E547" s="23">
        <v>960</v>
      </c>
      <c r="F547" s="23" t="s">
        <v>604</v>
      </c>
      <c r="I547" s="5" t="s">
        <v>618</v>
      </c>
      <c r="J547" s="2">
        <v>1060</v>
      </c>
    </row>
    <row r="548" spans="2:10">
      <c r="B548" s="23">
        <v>10545</v>
      </c>
      <c r="C548" s="26" t="s">
        <v>619</v>
      </c>
      <c r="D548" s="23" t="s">
        <v>146</v>
      </c>
      <c r="E548" s="23">
        <v>980</v>
      </c>
      <c r="F548" s="23" t="s">
        <v>606</v>
      </c>
      <c r="I548" s="5" t="s">
        <v>618</v>
      </c>
      <c r="J548" s="2">
        <v>1080</v>
      </c>
    </row>
    <row r="549" spans="2:10">
      <c r="B549" s="23">
        <v>10546</v>
      </c>
      <c r="C549" s="26" t="s">
        <v>619</v>
      </c>
      <c r="D549" s="23" t="s">
        <v>149</v>
      </c>
      <c r="E549" s="23">
        <v>1000</v>
      </c>
      <c r="F549" s="23" t="s">
        <v>608</v>
      </c>
      <c r="I549" s="5" t="s">
        <v>618</v>
      </c>
      <c r="J549" s="2">
        <v>1100</v>
      </c>
    </row>
    <row r="550" spans="2:10">
      <c r="B550" s="23">
        <v>10547</v>
      </c>
      <c r="C550" s="26" t="s">
        <v>619</v>
      </c>
      <c r="D550" s="23" t="s">
        <v>152</v>
      </c>
      <c r="E550" s="23">
        <v>1020</v>
      </c>
      <c r="F550" s="23" t="s">
        <v>610</v>
      </c>
      <c r="I550" s="5" t="s">
        <v>618</v>
      </c>
      <c r="J550" s="2">
        <v>1120</v>
      </c>
    </row>
    <row r="551" spans="2:10">
      <c r="B551" s="23">
        <v>10548</v>
      </c>
      <c r="C551" s="26" t="s">
        <v>619</v>
      </c>
      <c r="D551" s="23" t="s">
        <v>155</v>
      </c>
      <c r="E551" s="23">
        <v>1040</v>
      </c>
      <c r="F551" s="23" t="s">
        <v>612</v>
      </c>
      <c r="I551" s="5" t="s">
        <v>618</v>
      </c>
      <c r="J551" s="2">
        <v>1140</v>
      </c>
    </row>
    <row r="552" spans="2:10">
      <c r="B552" s="23">
        <v>10549</v>
      </c>
      <c r="C552" s="26" t="s">
        <v>619</v>
      </c>
      <c r="D552" s="23" t="s">
        <v>158</v>
      </c>
      <c r="E552" s="23">
        <v>1060</v>
      </c>
      <c r="F552" s="23" t="s">
        <v>614</v>
      </c>
      <c r="I552" s="5" t="s">
        <v>618</v>
      </c>
      <c r="J552" s="2">
        <v>1160</v>
      </c>
    </row>
    <row r="553" spans="2:10">
      <c r="B553" s="23">
        <v>10550</v>
      </c>
      <c r="C553" s="26" t="s">
        <v>619</v>
      </c>
      <c r="D553" s="23" t="s">
        <v>161</v>
      </c>
      <c r="E553" s="23">
        <v>1080</v>
      </c>
      <c r="F553" s="23" t="s">
        <v>616</v>
      </c>
      <c r="I553" s="5" t="s">
        <v>618</v>
      </c>
      <c r="J553" s="2">
        <v>1180</v>
      </c>
    </row>
    <row r="554" spans="2:10">
      <c r="B554" s="2">
        <v>10551</v>
      </c>
      <c r="C554" s="11" t="s">
        <v>620</v>
      </c>
      <c r="D554" s="2" t="s">
        <v>13</v>
      </c>
      <c r="F554" s="2" t="s">
        <v>256</v>
      </c>
      <c r="G554" s="2" t="s">
        <v>621</v>
      </c>
      <c r="I554" s="4" t="s">
        <v>622</v>
      </c>
      <c r="J554" s="2" t="s">
        <v>621</v>
      </c>
    </row>
    <row r="555" spans="2:10">
      <c r="B555" s="2">
        <v>10552</v>
      </c>
      <c r="C555" s="11" t="s">
        <v>620</v>
      </c>
      <c r="D555" s="2" t="s">
        <v>17</v>
      </c>
      <c r="F555" s="2" t="s">
        <v>258</v>
      </c>
      <c r="G555" s="2" t="s">
        <v>623</v>
      </c>
      <c r="I555" s="4" t="s">
        <v>622</v>
      </c>
      <c r="J555" s="2" t="s">
        <v>623</v>
      </c>
    </row>
    <row r="556" spans="2:10">
      <c r="B556" s="2">
        <v>10553</v>
      </c>
      <c r="C556" s="11" t="s">
        <v>620</v>
      </c>
      <c r="D556" s="2" t="s">
        <v>20</v>
      </c>
      <c r="F556" s="2" t="s">
        <v>259</v>
      </c>
      <c r="G556" s="2" t="s">
        <v>624</v>
      </c>
      <c r="I556" s="4" t="s">
        <v>622</v>
      </c>
      <c r="J556" s="2" t="s">
        <v>624</v>
      </c>
    </row>
    <row r="557" spans="2:10">
      <c r="B557" s="2">
        <v>10554</v>
      </c>
      <c r="C557" s="11" t="s">
        <v>620</v>
      </c>
      <c r="D557" s="2" t="s">
        <v>23</v>
      </c>
      <c r="F557" s="2" t="s">
        <v>260</v>
      </c>
      <c r="G557" s="2" t="s">
        <v>625</v>
      </c>
      <c r="I557" s="4" t="s">
        <v>622</v>
      </c>
      <c r="J557" s="2" t="s">
        <v>625</v>
      </c>
    </row>
    <row r="558" spans="2:10">
      <c r="B558" s="2">
        <v>10555</v>
      </c>
      <c r="C558" s="11" t="s">
        <v>620</v>
      </c>
      <c r="D558" s="2" t="s">
        <v>26</v>
      </c>
      <c r="F558" s="2" t="s">
        <v>261</v>
      </c>
      <c r="G558" s="2" t="s">
        <v>626</v>
      </c>
      <c r="I558" s="4" t="s">
        <v>622</v>
      </c>
      <c r="J558" s="2" t="s">
        <v>626</v>
      </c>
    </row>
    <row r="559" spans="2:10">
      <c r="B559" s="2">
        <v>10556</v>
      </c>
      <c r="C559" s="11" t="s">
        <v>620</v>
      </c>
      <c r="D559" s="2" t="s">
        <v>29</v>
      </c>
      <c r="F559" s="2" t="s">
        <v>262</v>
      </c>
      <c r="G559" s="2" t="s">
        <v>627</v>
      </c>
      <c r="I559" s="4" t="s">
        <v>622</v>
      </c>
      <c r="J559" s="2" t="s">
        <v>627</v>
      </c>
    </row>
    <row r="560" spans="2:10">
      <c r="B560" s="2">
        <v>10557</v>
      </c>
      <c r="C560" s="11" t="s">
        <v>620</v>
      </c>
      <c r="D560" s="2" t="s">
        <v>32</v>
      </c>
      <c r="F560" s="2" t="s">
        <v>263</v>
      </c>
      <c r="G560" s="2" t="s">
        <v>628</v>
      </c>
      <c r="I560" s="4" t="s">
        <v>622</v>
      </c>
      <c r="J560" s="2" t="s">
        <v>628</v>
      </c>
    </row>
    <row r="561" spans="2:10">
      <c r="B561" s="2">
        <v>10558</v>
      </c>
      <c r="C561" s="11" t="s">
        <v>620</v>
      </c>
      <c r="D561" s="2" t="s">
        <v>35</v>
      </c>
      <c r="F561" s="2" t="s">
        <v>264</v>
      </c>
      <c r="G561" s="2" t="s">
        <v>629</v>
      </c>
      <c r="I561" s="4" t="s">
        <v>622</v>
      </c>
      <c r="J561" s="2" t="s">
        <v>629</v>
      </c>
    </row>
    <row r="562" spans="2:10">
      <c r="B562" s="2">
        <v>10559</v>
      </c>
      <c r="C562" s="11" t="s">
        <v>620</v>
      </c>
      <c r="D562" s="2" t="s">
        <v>38</v>
      </c>
      <c r="F562" s="2" t="s">
        <v>265</v>
      </c>
      <c r="G562" s="2" t="s">
        <v>630</v>
      </c>
      <c r="I562" s="4" t="s">
        <v>622</v>
      </c>
      <c r="J562" s="2" t="s">
        <v>630</v>
      </c>
    </row>
    <row r="563" spans="2:10">
      <c r="B563" s="2">
        <v>10560</v>
      </c>
      <c r="C563" s="11" t="s">
        <v>620</v>
      </c>
      <c r="D563" s="2" t="s">
        <v>41</v>
      </c>
      <c r="F563" s="2" t="s">
        <v>266</v>
      </c>
      <c r="G563" s="2" t="s">
        <v>631</v>
      </c>
      <c r="I563" s="4" t="s">
        <v>622</v>
      </c>
      <c r="J563" s="2" t="s">
        <v>631</v>
      </c>
    </row>
    <row r="564" spans="2:10">
      <c r="B564" s="2">
        <v>10561</v>
      </c>
      <c r="C564" s="11" t="s">
        <v>620</v>
      </c>
      <c r="D564" s="2" t="s">
        <v>44</v>
      </c>
      <c r="F564" s="2" t="s">
        <v>267</v>
      </c>
      <c r="G564" s="2" t="s">
        <v>632</v>
      </c>
      <c r="I564" s="4" t="s">
        <v>622</v>
      </c>
      <c r="J564" s="2" t="s">
        <v>632</v>
      </c>
    </row>
    <row r="565" spans="2:10">
      <c r="B565" s="2">
        <v>10562</v>
      </c>
      <c r="C565" s="11" t="s">
        <v>620</v>
      </c>
      <c r="D565" s="2" t="s">
        <v>47</v>
      </c>
      <c r="F565" s="2" t="s">
        <v>268</v>
      </c>
      <c r="G565" s="2" t="s">
        <v>633</v>
      </c>
      <c r="I565" s="4" t="s">
        <v>622</v>
      </c>
      <c r="J565" s="2" t="s">
        <v>633</v>
      </c>
    </row>
    <row r="566" spans="2:10">
      <c r="B566" s="2">
        <v>10563</v>
      </c>
      <c r="C566" s="11" t="s">
        <v>620</v>
      </c>
      <c r="D566" s="2" t="s">
        <v>50</v>
      </c>
      <c r="F566" s="2" t="s">
        <v>269</v>
      </c>
      <c r="G566" s="2" t="s">
        <v>634</v>
      </c>
      <c r="I566" s="4" t="s">
        <v>622</v>
      </c>
      <c r="J566" s="2" t="s">
        <v>634</v>
      </c>
    </row>
    <row r="567" spans="2:10">
      <c r="B567" s="2">
        <v>10564</v>
      </c>
      <c r="C567" s="11" t="s">
        <v>620</v>
      </c>
      <c r="D567" s="2" t="s">
        <v>53</v>
      </c>
      <c r="F567" s="2" t="s">
        <v>270</v>
      </c>
      <c r="G567" s="2" t="s">
        <v>635</v>
      </c>
      <c r="I567" s="4" t="s">
        <v>622</v>
      </c>
      <c r="J567" s="2" t="s">
        <v>635</v>
      </c>
    </row>
    <row r="568" spans="2:10">
      <c r="B568" s="2">
        <v>10565</v>
      </c>
      <c r="C568" s="11" t="s">
        <v>620</v>
      </c>
      <c r="D568" s="2" t="s">
        <v>56</v>
      </c>
      <c r="F568" s="2" t="s">
        <v>271</v>
      </c>
      <c r="G568" s="2" t="s">
        <v>636</v>
      </c>
      <c r="I568" s="4" t="s">
        <v>622</v>
      </c>
      <c r="J568" s="2" t="s">
        <v>636</v>
      </c>
    </row>
    <row r="569" spans="2:10">
      <c r="B569" s="2">
        <v>10566</v>
      </c>
      <c r="C569" s="11" t="s">
        <v>620</v>
      </c>
      <c r="D569" s="2" t="s">
        <v>59</v>
      </c>
      <c r="F569" s="2" t="s">
        <v>272</v>
      </c>
      <c r="G569" s="2" t="s">
        <v>637</v>
      </c>
      <c r="I569" s="4" t="s">
        <v>622</v>
      </c>
      <c r="J569" s="2" t="s">
        <v>637</v>
      </c>
    </row>
    <row r="570" spans="2:10">
      <c r="B570" s="2">
        <v>10567</v>
      </c>
      <c r="C570" s="11" t="s">
        <v>620</v>
      </c>
      <c r="D570" s="2" t="s">
        <v>62</v>
      </c>
      <c r="F570" s="2" t="s">
        <v>273</v>
      </c>
      <c r="G570" s="2" t="s">
        <v>638</v>
      </c>
      <c r="I570" s="4" t="s">
        <v>622</v>
      </c>
      <c r="J570" s="2" t="s">
        <v>638</v>
      </c>
    </row>
    <row r="571" spans="2:10">
      <c r="B571" s="2">
        <v>10568</v>
      </c>
      <c r="C571" s="11" t="s">
        <v>620</v>
      </c>
      <c r="D571" s="2" t="s">
        <v>65</v>
      </c>
      <c r="F571" s="2" t="s">
        <v>274</v>
      </c>
      <c r="G571" s="2" t="s">
        <v>639</v>
      </c>
      <c r="I571" s="4" t="s">
        <v>622</v>
      </c>
      <c r="J571" s="2" t="s">
        <v>639</v>
      </c>
    </row>
    <row r="572" spans="2:10">
      <c r="B572" s="2">
        <v>10569</v>
      </c>
      <c r="C572" s="11" t="s">
        <v>620</v>
      </c>
      <c r="D572" s="2" t="s">
        <v>68</v>
      </c>
      <c r="F572" s="2" t="s">
        <v>275</v>
      </c>
      <c r="G572" s="2" t="s">
        <v>640</v>
      </c>
      <c r="I572" s="4" t="s">
        <v>622</v>
      </c>
      <c r="J572" s="2" t="s">
        <v>640</v>
      </c>
    </row>
    <row r="573" spans="2:10">
      <c r="B573" s="2">
        <v>10570</v>
      </c>
      <c r="C573" s="11" t="s">
        <v>620</v>
      </c>
      <c r="D573" s="2" t="s">
        <v>71</v>
      </c>
      <c r="F573" s="2" t="s">
        <v>276</v>
      </c>
      <c r="G573" s="2" t="s">
        <v>641</v>
      </c>
      <c r="I573" s="4" t="s">
        <v>622</v>
      </c>
      <c r="J573" s="2" t="s">
        <v>641</v>
      </c>
    </row>
    <row r="574" spans="2:10">
      <c r="B574" s="2">
        <v>10571</v>
      </c>
      <c r="C574" s="11" t="s">
        <v>620</v>
      </c>
      <c r="D574" s="2" t="s">
        <v>74</v>
      </c>
      <c r="F574" s="2" t="s">
        <v>277</v>
      </c>
      <c r="G574" s="2" t="s">
        <v>642</v>
      </c>
      <c r="I574" s="4" t="s">
        <v>622</v>
      </c>
      <c r="J574" s="2" t="s">
        <v>642</v>
      </c>
    </row>
    <row r="575" spans="2:10">
      <c r="B575" s="2">
        <v>10572</v>
      </c>
      <c r="C575" s="11" t="s">
        <v>620</v>
      </c>
      <c r="D575" s="2" t="s">
        <v>77</v>
      </c>
      <c r="F575" s="2" t="s">
        <v>278</v>
      </c>
      <c r="G575" s="2" t="s">
        <v>643</v>
      </c>
      <c r="I575" s="4" t="s">
        <v>622</v>
      </c>
      <c r="J575" s="2" t="s">
        <v>643</v>
      </c>
    </row>
    <row r="576" spans="2:10">
      <c r="B576" s="2">
        <v>10573</v>
      </c>
      <c r="C576" s="11" t="s">
        <v>620</v>
      </c>
      <c r="D576" s="2" t="s">
        <v>80</v>
      </c>
      <c r="F576" s="2" t="s">
        <v>279</v>
      </c>
      <c r="G576" s="2" t="s">
        <v>644</v>
      </c>
      <c r="I576" s="4" t="s">
        <v>622</v>
      </c>
      <c r="J576" s="2" t="s">
        <v>644</v>
      </c>
    </row>
    <row r="577" spans="2:10">
      <c r="B577" s="2">
        <v>10574</v>
      </c>
      <c r="C577" s="11" t="s">
        <v>620</v>
      </c>
      <c r="D577" s="2" t="s">
        <v>83</v>
      </c>
      <c r="F577" s="2" t="s">
        <v>280</v>
      </c>
      <c r="G577" s="2" t="s">
        <v>645</v>
      </c>
      <c r="I577" s="4" t="s">
        <v>622</v>
      </c>
      <c r="J577" s="2" t="s">
        <v>645</v>
      </c>
    </row>
    <row r="578" spans="2:10">
      <c r="B578" s="2">
        <v>10575</v>
      </c>
      <c r="C578" s="11" t="s">
        <v>620</v>
      </c>
      <c r="D578" s="2" t="s">
        <v>86</v>
      </c>
      <c r="F578" s="2" t="s">
        <v>281</v>
      </c>
      <c r="G578" s="2" t="s">
        <v>646</v>
      </c>
      <c r="I578" s="4" t="s">
        <v>622</v>
      </c>
      <c r="J578" s="2" t="s">
        <v>646</v>
      </c>
    </row>
    <row r="579" spans="2:10">
      <c r="B579" s="2">
        <v>10576</v>
      </c>
      <c r="C579" s="11" t="s">
        <v>620</v>
      </c>
      <c r="D579" s="2" t="s">
        <v>89</v>
      </c>
      <c r="F579" s="2" t="s">
        <v>282</v>
      </c>
      <c r="G579" s="2" t="s">
        <v>647</v>
      </c>
      <c r="I579" s="4" t="s">
        <v>622</v>
      </c>
      <c r="J579" s="2" t="s">
        <v>647</v>
      </c>
    </row>
    <row r="580" spans="2:10">
      <c r="B580" s="2">
        <v>10577</v>
      </c>
      <c r="C580" s="11" t="s">
        <v>620</v>
      </c>
      <c r="D580" s="2" t="s">
        <v>92</v>
      </c>
      <c r="F580" s="2" t="s">
        <v>283</v>
      </c>
      <c r="G580" s="2" t="s">
        <v>648</v>
      </c>
      <c r="I580" s="4" t="s">
        <v>622</v>
      </c>
      <c r="J580" s="2" t="s">
        <v>648</v>
      </c>
    </row>
    <row r="581" spans="2:10">
      <c r="B581" s="2">
        <v>10578</v>
      </c>
      <c r="C581" s="11" t="s">
        <v>620</v>
      </c>
      <c r="D581" s="2" t="s">
        <v>95</v>
      </c>
      <c r="F581" s="2" t="s">
        <v>284</v>
      </c>
      <c r="G581" s="2" t="s">
        <v>649</v>
      </c>
      <c r="I581" s="4" t="s">
        <v>622</v>
      </c>
      <c r="J581" s="2" t="s">
        <v>649</v>
      </c>
    </row>
    <row r="582" spans="2:10">
      <c r="B582" s="2">
        <v>10579</v>
      </c>
      <c r="C582" s="11" t="s">
        <v>620</v>
      </c>
      <c r="D582" s="2" t="s">
        <v>98</v>
      </c>
      <c r="F582" s="2" t="s">
        <v>285</v>
      </c>
      <c r="G582" s="2" t="s">
        <v>650</v>
      </c>
      <c r="I582" s="4" t="s">
        <v>622</v>
      </c>
      <c r="J582" s="2" t="s">
        <v>650</v>
      </c>
    </row>
    <row r="583" spans="2:10">
      <c r="B583" s="2">
        <v>10580</v>
      </c>
      <c r="C583" s="11" t="s">
        <v>620</v>
      </c>
      <c r="D583" s="2" t="s">
        <v>101</v>
      </c>
      <c r="F583" s="2" t="s">
        <v>286</v>
      </c>
      <c r="G583" s="2" t="s">
        <v>651</v>
      </c>
      <c r="I583" s="4" t="s">
        <v>622</v>
      </c>
      <c r="J583" s="2" t="s">
        <v>651</v>
      </c>
    </row>
    <row r="584" spans="2:10">
      <c r="B584" s="2">
        <v>10581</v>
      </c>
      <c r="C584" s="11" t="s">
        <v>620</v>
      </c>
      <c r="D584" s="2" t="s">
        <v>104</v>
      </c>
      <c r="F584" s="2" t="s">
        <v>287</v>
      </c>
      <c r="G584" s="2" t="s">
        <v>652</v>
      </c>
      <c r="I584" s="4" t="s">
        <v>622</v>
      </c>
      <c r="J584" s="2" t="s">
        <v>652</v>
      </c>
    </row>
    <row r="585" spans="2:10">
      <c r="B585" s="2">
        <v>10582</v>
      </c>
      <c r="C585" s="11" t="s">
        <v>620</v>
      </c>
      <c r="D585" s="2" t="s">
        <v>107</v>
      </c>
      <c r="F585" s="2" t="s">
        <v>288</v>
      </c>
      <c r="G585" s="2" t="s">
        <v>653</v>
      </c>
      <c r="I585" s="4" t="s">
        <v>622</v>
      </c>
      <c r="J585" s="2" t="s">
        <v>653</v>
      </c>
    </row>
    <row r="586" spans="2:10">
      <c r="B586" s="2">
        <v>10583</v>
      </c>
      <c r="C586" s="11" t="s">
        <v>620</v>
      </c>
      <c r="D586" s="2" t="s">
        <v>110</v>
      </c>
      <c r="F586" s="2" t="s">
        <v>289</v>
      </c>
      <c r="G586" s="2" t="s">
        <v>654</v>
      </c>
      <c r="I586" s="4" t="s">
        <v>622</v>
      </c>
      <c r="J586" s="2" t="s">
        <v>654</v>
      </c>
    </row>
    <row r="587" spans="2:10">
      <c r="B587" s="2">
        <v>10584</v>
      </c>
      <c r="C587" s="11" t="s">
        <v>620</v>
      </c>
      <c r="D587" s="2" t="s">
        <v>113</v>
      </c>
      <c r="F587" s="2" t="s">
        <v>290</v>
      </c>
      <c r="G587" s="2" t="s">
        <v>655</v>
      </c>
      <c r="I587" s="4" t="s">
        <v>622</v>
      </c>
      <c r="J587" s="2" t="s">
        <v>655</v>
      </c>
    </row>
    <row r="588" spans="2:10">
      <c r="B588" s="2">
        <v>10585</v>
      </c>
      <c r="C588" s="11" t="s">
        <v>620</v>
      </c>
      <c r="D588" s="2" t="s">
        <v>116</v>
      </c>
      <c r="F588" s="2" t="s">
        <v>291</v>
      </c>
      <c r="G588" s="2" t="s">
        <v>337</v>
      </c>
      <c r="I588" s="4" t="s">
        <v>622</v>
      </c>
      <c r="J588" s="2" t="s">
        <v>337</v>
      </c>
    </row>
    <row r="589" spans="2:10">
      <c r="B589" s="2">
        <v>10586</v>
      </c>
      <c r="C589" s="11" t="s">
        <v>620</v>
      </c>
      <c r="D589" s="2" t="s">
        <v>119</v>
      </c>
      <c r="F589" s="2" t="s">
        <v>292</v>
      </c>
      <c r="G589" s="2" t="s">
        <v>656</v>
      </c>
      <c r="I589" s="4" t="s">
        <v>622</v>
      </c>
      <c r="J589" s="2" t="s">
        <v>656</v>
      </c>
    </row>
    <row r="590" spans="2:10">
      <c r="B590" s="2">
        <v>10587</v>
      </c>
      <c r="C590" s="11" t="s">
        <v>620</v>
      </c>
      <c r="D590" s="2" t="s">
        <v>122</v>
      </c>
      <c r="F590" s="2" t="s">
        <v>293</v>
      </c>
      <c r="G590" s="2" t="s">
        <v>339</v>
      </c>
      <c r="I590" s="4" t="s">
        <v>622</v>
      </c>
      <c r="J590" s="2" t="s">
        <v>339</v>
      </c>
    </row>
    <row r="591" spans="2:10">
      <c r="B591" s="2">
        <v>10588</v>
      </c>
      <c r="C591" s="11" t="s">
        <v>620</v>
      </c>
      <c r="D591" s="2" t="s">
        <v>125</v>
      </c>
      <c r="F591" s="2" t="s">
        <v>294</v>
      </c>
      <c r="G591" s="2" t="s">
        <v>657</v>
      </c>
      <c r="I591" s="4" t="s">
        <v>622</v>
      </c>
      <c r="J591" s="2" t="s">
        <v>657</v>
      </c>
    </row>
    <row r="592" spans="2:10">
      <c r="B592" s="2">
        <v>10589</v>
      </c>
      <c r="C592" s="11" t="s">
        <v>620</v>
      </c>
      <c r="D592" s="2" t="s">
        <v>128</v>
      </c>
      <c r="F592" s="2" t="s">
        <v>295</v>
      </c>
      <c r="G592" s="2" t="s">
        <v>658</v>
      </c>
      <c r="I592" s="4" t="s">
        <v>622</v>
      </c>
      <c r="J592" s="2" t="s">
        <v>658</v>
      </c>
    </row>
    <row r="593" spans="2:10">
      <c r="B593" s="2">
        <v>10590</v>
      </c>
      <c r="C593" s="11" t="s">
        <v>620</v>
      </c>
      <c r="D593" s="2" t="s">
        <v>131</v>
      </c>
      <c r="F593" s="2" t="s">
        <v>296</v>
      </c>
      <c r="G593" s="2" t="s">
        <v>659</v>
      </c>
      <c r="I593" s="4" t="s">
        <v>622</v>
      </c>
      <c r="J593" s="2" t="s">
        <v>659</v>
      </c>
    </row>
    <row r="594" spans="2:10">
      <c r="B594" s="2">
        <v>10591</v>
      </c>
      <c r="C594" s="11" t="s">
        <v>620</v>
      </c>
      <c r="D594" s="2" t="s">
        <v>134</v>
      </c>
      <c r="F594" s="2" t="s">
        <v>297</v>
      </c>
      <c r="G594" s="2" t="s">
        <v>660</v>
      </c>
      <c r="I594" s="4" t="s">
        <v>622</v>
      </c>
      <c r="J594" s="2" t="s">
        <v>660</v>
      </c>
    </row>
    <row r="595" spans="2:10">
      <c r="B595" s="2">
        <v>10592</v>
      </c>
      <c r="C595" s="11" t="s">
        <v>620</v>
      </c>
      <c r="D595" s="2" t="s">
        <v>137</v>
      </c>
      <c r="F595" s="2" t="s">
        <v>298</v>
      </c>
      <c r="G595" s="2" t="s">
        <v>661</v>
      </c>
      <c r="I595" s="4" t="s">
        <v>622</v>
      </c>
      <c r="J595" s="2" t="s">
        <v>661</v>
      </c>
    </row>
    <row r="596" spans="2:10">
      <c r="B596" s="2">
        <v>10593</v>
      </c>
      <c r="C596" s="11" t="s">
        <v>620</v>
      </c>
      <c r="D596" s="2" t="s">
        <v>140</v>
      </c>
      <c r="F596" s="2" t="s">
        <v>299</v>
      </c>
      <c r="G596" s="2" t="s">
        <v>662</v>
      </c>
      <c r="I596" s="4" t="s">
        <v>622</v>
      </c>
      <c r="J596" s="2" t="s">
        <v>662</v>
      </c>
    </row>
    <row r="597" spans="2:10">
      <c r="B597" s="2">
        <v>10594</v>
      </c>
      <c r="C597" s="11" t="s">
        <v>620</v>
      </c>
      <c r="D597" s="2" t="s">
        <v>143</v>
      </c>
      <c r="F597" s="2" t="s">
        <v>300</v>
      </c>
      <c r="G597" s="2" t="s">
        <v>663</v>
      </c>
      <c r="I597" s="4" t="s">
        <v>622</v>
      </c>
      <c r="J597" s="2" t="s">
        <v>663</v>
      </c>
    </row>
    <row r="598" spans="2:10">
      <c r="B598" s="2">
        <v>10595</v>
      </c>
      <c r="C598" s="11" t="s">
        <v>620</v>
      </c>
      <c r="D598" s="2" t="s">
        <v>146</v>
      </c>
      <c r="F598" s="2" t="s">
        <v>301</v>
      </c>
      <c r="G598" s="2" t="s">
        <v>664</v>
      </c>
      <c r="I598" s="4" t="s">
        <v>622</v>
      </c>
      <c r="J598" s="2" t="s">
        <v>664</v>
      </c>
    </row>
    <row r="599" spans="2:10">
      <c r="B599" s="2">
        <v>10596</v>
      </c>
      <c r="C599" s="11" t="s">
        <v>620</v>
      </c>
      <c r="D599" s="2" t="s">
        <v>149</v>
      </c>
      <c r="F599" s="2" t="s">
        <v>302</v>
      </c>
      <c r="G599" s="2" t="s">
        <v>665</v>
      </c>
      <c r="I599" s="4" t="s">
        <v>622</v>
      </c>
      <c r="J599" s="2" t="s">
        <v>665</v>
      </c>
    </row>
    <row r="600" spans="2:10">
      <c r="B600" s="2">
        <v>10597</v>
      </c>
      <c r="C600" s="11" t="s">
        <v>620</v>
      </c>
      <c r="D600" s="2" t="s">
        <v>152</v>
      </c>
      <c r="F600" s="2" t="s">
        <v>303</v>
      </c>
      <c r="G600" s="2" t="s">
        <v>666</v>
      </c>
      <c r="I600" s="4" t="s">
        <v>622</v>
      </c>
      <c r="J600" s="2" t="s">
        <v>666</v>
      </c>
    </row>
    <row r="601" spans="2:10">
      <c r="B601" s="2">
        <v>10598</v>
      </c>
      <c r="C601" s="11" t="s">
        <v>620</v>
      </c>
      <c r="D601" s="2" t="s">
        <v>155</v>
      </c>
      <c r="F601" s="2" t="s">
        <v>304</v>
      </c>
      <c r="G601" s="2" t="s">
        <v>667</v>
      </c>
      <c r="I601" s="4" t="s">
        <v>622</v>
      </c>
      <c r="J601" s="2" t="s">
        <v>667</v>
      </c>
    </row>
    <row r="602" spans="2:10">
      <c r="B602" s="2">
        <v>10599</v>
      </c>
      <c r="C602" s="11" t="s">
        <v>620</v>
      </c>
      <c r="D602" s="2" t="s">
        <v>158</v>
      </c>
      <c r="F602" s="2" t="s">
        <v>305</v>
      </c>
      <c r="G602" s="2" t="s">
        <v>668</v>
      </c>
      <c r="I602" s="4" t="s">
        <v>622</v>
      </c>
      <c r="J602" s="2" t="s">
        <v>668</v>
      </c>
    </row>
    <row r="603" spans="2:10">
      <c r="B603" s="2">
        <v>10600</v>
      </c>
      <c r="C603" s="11" t="s">
        <v>620</v>
      </c>
      <c r="D603" s="2" t="s">
        <v>161</v>
      </c>
      <c r="F603" s="2" t="s">
        <v>306</v>
      </c>
      <c r="G603" s="2" t="s">
        <v>669</v>
      </c>
      <c r="I603" s="4" t="s">
        <v>622</v>
      </c>
      <c r="J603" s="2" t="s">
        <v>669</v>
      </c>
    </row>
    <row r="604" spans="2:10">
      <c r="B604" s="23">
        <v>10601</v>
      </c>
      <c r="C604" s="26" t="s">
        <v>670</v>
      </c>
      <c r="D604" s="23" t="s">
        <v>13</v>
      </c>
      <c r="E604" s="23" t="s">
        <v>671</v>
      </c>
      <c r="F604" s="23" t="s">
        <v>672</v>
      </c>
      <c r="I604" s="4" t="s">
        <v>464</v>
      </c>
      <c r="J604" s="2">
        <v>34</v>
      </c>
    </row>
    <row r="605" spans="2:10">
      <c r="B605" s="23">
        <v>10602</v>
      </c>
      <c r="C605" s="26" t="s">
        <v>670</v>
      </c>
      <c r="D605" s="23" t="s">
        <v>17</v>
      </c>
      <c r="E605" s="23" t="s">
        <v>673</v>
      </c>
      <c r="F605" s="23" t="s">
        <v>674</v>
      </c>
      <c r="I605" s="4" t="s">
        <v>464</v>
      </c>
      <c r="J605" s="2">
        <v>37</v>
      </c>
    </row>
    <row r="606" spans="2:10">
      <c r="B606" s="23">
        <v>10603</v>
      </c>
      <c r="C606" s="26" t="s">
        <v>670</v>
      </c>
      <c r="D606" s="23" t="s">
        <v>20</v>
      </c>
      <c r="E606" s="23" t="s">
        <v>675</v>
      </c>
      <c r="F606" s="23" t="s">
        <v>676</v>
      </c>
      <c r="I606" s="4" t="s">
        <v>464</v>
      </c>
      <c r="J606" s="2">
        <v>40</v>
      </c>
    </row>
    <row r="607" spans="2:10">
      <c r="B607" s="23">
        <v>10604</v>
      </c>
      <c r="C607" s="26" t="s">
        <v>670</v>
      </c>
      <c r="D607" s="23" t="s">
        <v>23</v>
      </c>
      <c r="E607" s="23" t="s">
        <v>677</v>
      </c>
      <c r="F607" s="23" t="s">
        <v>678</v>
      </c>
      <c r="I607" s="4" t="s">
        <v>464</v>
      </c>
      <c r="J607" s="2">
        <v>44</v>
      </c>
    </row>
    <row r="608" spans="2:10">
      <c r="B608" s="23">
        <v>10605</v>
      </c>
      <c r="C608" s="26" t="s">
        <v>670</v>
      </c>
      <c r="D608" s="23" t="s">
        <v>26</v>
      </c>
      <c r="E608" s="23" t="s">
        <v>679</v>
      </c>
      <c r="F608" s="23" t="s">
        <v>680</v>
      </c>
      <c r="I608" s="4" t="s">
        <v>464</v>
      </c>
      <c r="J608" s="2">
        <v>47</v>
      </c>
    </row>
    <row r="609" spans="2:10">
      <c r="B609" s="23">
        <v>10606</v>
      </c>
      <c r="C609" s="26" t="s">
        <v>670</v>
      </c>
      <c r="D609" s="23" t="s">
        <v>29</v>
      </c>
      <c r="E609" s="23" t="s">
        <v>681</v>
      </c>
      <c r="F609" s="23" t="s">
        <v>682</v>
      </c>
      <c r="I609" s="4" t="s">
        <v>464</v>
      </c>
      <c r="J609" s="2">
        <v>50</v>
      </c>
    </row>
    <row r="610" spans="2:10">
      <c r="B610" s="23">
        <v>10607</v>
      </c>
      <c r="C610" s="26" t="s">
        <v>670</v>
      </c>
      <c r="D610" s="23" t="s">
        <v>32</v>
      </c>
      <c r="E610" s="23" t="s">
        <v>683</v>
      </c>
      <c r="F610" s="23" t="s">
        <v>684</v>
      </c>
      <c r="I610" s="4" t="s">
        <v>464</v>
      </c>
      <c r="J610" s="2">
        <v>53</v>
      </c>
    </row>
    <row r="611" spans="2:10">
      <c r="B611" s="23">
        <v>10608</v>
      </c>
      <c r="C611" s="26" t="s">
        <v>670</v>
      </c>
      <c r="D611" s="23" t="s">
        <v>35</v>
      </c>
      <c r="E611" s="23" t="s">
        <v>685</v>
      </c>
      <c r="F611" s="23" t="s">
        <v>686</v>
      </c>
      <c r="I611" s="4" t="s">
        <v>464</v>
      </c>
      <c r="J611" s="2">
        <v>56</v>
      </c>
    </row>
    <row r="612" spans="2:10">
      <c r="B612" s="23">
        <v>10609</v>
      </c>
      <c r="C612" s="26" t="s">
        <v>670</v>
      </c>
      <c r="D612" s="23" t="s">
        <v>38</v>
      </c>
      <c r="E612" s="23" t="s">
        <v>687</v>
      </c>
      <c r="F612" s="23" t="s">
        <v>688</v>
      </c>
      <c r="I612" s="4" t="s">
        <v>464</v>
      </c>
      <c r="J612" s="2">
        <v>60</v>
      </c>
    </row>
    <row r="613" spans="2:10">
      <c r="B613" s="23">
        <v>10610</v>
      </c>
      <c r="C613" s="26" t="s">
        <v>670</v>
      </c>
      <c r="D613" s="23" t="s">
        <v>41</v>
      </c>
      <c r="E613" s="23" t="s">
        <v>689</v>
      </c>
      <c r="F613" s="23" t="s">
        <v>690</v>
      </c>
      <c r="I613" s="4" t="s">
        <v>464</v>
      </c>
      <c r="J613" s="2">
        <v>63</v>
      </c>
    </row>
    <row r="614" spans="2:10">
      <c r="B614" s="23">
        <v>10611</v>
      </c>
      <c r="C614" s="26" t="s">
        <v>670</v>
      </c>
      <c r="D614" s="23" t="s">
        <v>44</v>
      </c>
      <c r="E614" s="23" t="s">
        <v>691</v>
      </c>
      <c r="F614" s="23" t="s">
        <v>692</v>
      </c>
      <c r="I614" s="4" t="s">
        <v>464</v>
      </c>
      <c r="J614" s="2">
        <v>66</v>
      </c>
    </row>
    <row r="615" spans="2:10">
      <c r="B615" s="23">
        <v>10612</v>
      </c>
      <c r="C615" s="26" t="s">
        <v>670</v>
      </c>
      <c r="D615" s="23" t="s">
        <v>47</v>
      </c>
      <c r="E615" s="23" t="s">
        <v>693</v>
      </c>
      <c r="F615" s="23" t="s">
        <v>694</v>
      </c>
      <c r="I615" s="4" t="s">
        <v>464</v>
      </c>
      <c r="J615" s="2">
        <v>69</v>
      </c>
    </row>
    <row r="616" spans="2:10">
      <c r="B616" s="23">
        <v>10613</v>
      </c>
      <c r="C616" s="26" t="s">
        <v>670</v>
      </c>
      <c r="D616" s="23" t="s">
        <v>50</v>
      </c>
      <c r="E616" s="23" t="s">
        <v>695</v>
      </c>
      <c r="F616" s="23" t="s">
        <v>696</v>
      </c>
      <c r="I616" s="4" t="s">
        <v>464</v>
      </c>
      <c r="J616" s="2">
        <v>72</v>
      </c>
    </row>
    <row r="617" spans="2:10">
      <c r="B617" s="23">
        <v>10614</v>
      </c>
      <c r="C617" s="26" t="s">
        <v>670</v>
      </c>
      <c r="D617" s="23" t="s">
        <v>53</v>
      </c>
      <c r="E617" s="23" t="s">
        <v>697</v>
      </c>
      <c r="F617" s="23" t="s">
        <v>698</v>
      </c>
      <c r="I617" s="4" t="s">
        <v>464</v>
      </c>
      <c r="J617" s="2">
        <v>76</v>
      </c>
    </row>
    <row r="618" spans="2:10">
      <c r="B618" s="23">
        <v>10615</v>
      </c>
      <c r="C618" s="26" t="s">
        <v>670</v>
      </c>
      <c r="D618" s="23" t="s">
        <v>56</v>
      </c>
      <c r="E618" s="23" t="s">
        <v>699</v>
      </c>
      <c r="F618" s="23" t="s">
        <v>700</v>
      </c>
      <c r="I618" s="4" t="s">
        <v>464</v>
      </c>
      <c r="J618" s="2">
        <v>79</v>
      </c>
    </row>
    <row r="619" spans="2:10">
      <c r="B619" s="23">
        <v>10616</v>
      </c>
      <c r="C619" s="26" t="s">
        <v>670</v>
      </c>
      <c r="D619" s="23" t="s">
        <v>59</v>
      </c>
      <c r="E619" s="23" t="s">
        <v>701</v>
      </c>
      <c r="F619" s="23" t="s">
        <v>702</v>
      </c>
      <c r="I619" s="4" t="s">
        <v>464</v>
      </c>
      <c r="J619" s="2">
        <v>82</v>
      </c>
    </row>
    <row r="620" spans="2:10">
      <c r="B620" s="23">
        <v>10617</v>
      </c>
      <c r="C620" s="26" t="s">
        <v>670</v>
      </c>
      <c r="D620" s="23" t="s">
        <v>62</v>
      </c>
      <c r="E620" s="23" t="s">
        <v>703</v>
      </c>
      <c r="F620" s="23" t="s">
        <v>704</v>
      </c>
      <c r="I620" s="4" t="s">
        <v>464</v>
      </c>
      <c r="J620" s="2">
        <v>85</v>
      </c>
    </row>
    <row r="621" spans="2:10">
      <c r="B621" s="23">
        <v>10618</v>
      </c>
      <c r="C621" s="26" t="s">
        <v>670</v>
      </c>
      <c r="D621" s="23" t="s">
        <v>65</v>
      </c>
      <c r="E621" s="23" t="s">
        <v>705</v>
      </c>
      <c r="F621" s="23" t="s">
        <v>706</v>
      </c>
      <c r="I621" s="4" t="s">
        <v>464</v>
      </c>
      <c r="J621" s="2">
        <v>88</v>
      </c>
    </row>
    <row r="622" spans="2:10">
      <c r="B622" s="23">
        <v>10619</v>
      </c>
      <c r="C622" s="26" t="s">
        <v>670</v>
      </c>
      <c r="D622" s="23" t="s">
        <v>68</v>
      </c>
      <c r="E622" s="23" t="s">
        <v>707</v>
      </c>
      <c r="F622" s="23" t="s">
        <v>708</v>
      </c>
      <c r="I622" s="4" t="s">
        <v>464</v>
      </c>
      <c r="J622" s="2">
        <v>92</v>
      </c>
    </row>
    <row r="623" spans="2:10">
      <c r="B623" s="23">
        <v>10620</v>
      </c>
      <c r="C623" s="26" t="s">
        <v>670</v>
      </c>
      <c r="D623" s="23" t="s">
        <v>71</v>
      </c>
      <c r="E623" s="23" t="s">
        <v>709</v>
      </c>
      <c r="F623" s="23" t="s">
        <v>710</v>
      </c>
      <c r="I623" s="4" t="s">
        <v>464</v>
      </c>
      <c r="J623" s="2">
        <v>95</v>
      </c>
    </row>
    <row r="624" spans="2:10">
      <c r="B624" s="23">
        <v>10621</v>
      </c>
      <c r="C624" s="26" t="s">
        <v>670</v>
      </c>
      <c r="D624" s="23" t="s">
        <v>74</v>
      </c>
      <c r="E624" s="23" t="s">
        <v>711</v>
      </c>
      <c r="F624" s="23" t="s">
        <v>712</v>
      </c>
      <c r="I624" s="4" t="s">
        <v>464</v>
      </c>
      <c r="J624" s="2">
        <v>98</v>
      </c>
    </row>
    <row r="625" spans="2:10">
      <c r="B625" s="23">
        <v>10622</v>
      </c>
      <c r="C625" s="26" t="s">
        <v>670</v>
      </c>
      <c r="D625" s="23" t="s">
        <v>77</v>
      </c>
      <c r="E625" s="23" t="s">
        <v>713</v>
      </c>
      <c r="F625" s="23" t="s">
        <v>714</v>
      </c>
      <c r="I625" s="4" t="s">
        <v>464</v>
      </c>
      <c r="J625" s="2">
        <v>101</v>
      </c>
    </row>
    <row r="626" spans="2:10">
      <c r="B626" s="23">
        <v>10623</v>
      </c>
      <c r="C626" s="26" t="s">
        <v>670</v>
      </c>
      <c r="D626" s="23" t="s">
        <v>80</v>
      </c>
      <c r="E626" s="23" t="s">
        <v>715</v>
      </c>
      <c r="F626" s="23" t="s">
        <v>716</v>
      </c>
      <c r="I626" s="4" t="s">
        <v>464</v>
      </c>
      <c r="J626" s="2">
        <v>104</v>
      </c>
    </row>
    <row r="627" spans="2:10">
      <c r="B627" s="23">
        <v>10624</v>
      </c>
      <c r="C627" s="26" t="s">
        <v>670</v>
      </c>
      <c r="D627" s="23" t="s">
        <v>83</v>
      </c>
      <c r="E627" s="23" t="s">
        <v>717</v>
      </c>
      <c r="F627" s="23" t="s">
        <v>718</v>
      </c>
      <c r="I627" s="4" t="s">
        <v>464</v>
      </c>
      <c r="J627" s="2">
        <v>108</v>
      </c>
    </row>
    <row r="628" spans="2:10">
      <c r="B628" s="23">
        <v>10625</v>
      </c>
      <c r="C628" s="26" t="s">
        <v>670</v>
      </c>
      <c r="D628" s="23" t="s">
        <v>86</v>
      </c>
      <c r="E628" s="23" t="s">
        <v>719</v>
      </c>
      <c r="F628" s="23" t="s">
        <v>720</v>
      </c>
      <c r="I628" s="4" t="s">
        <v>464</v>
      </c>
      <c r="J628" s="2">
        <v>111</v>
      </c>
    </row>
    <row r="629" spans="2:10">
      <c r="B629" s="23">
        <v>10626</v>
      </c>
      <c r="C629" s="26" t="s">
        <v>670</v>
      </c>
      <c r="D629" s="23" t="s">
        <v>89</v>
      </c>
      <c r="E629" s="23" t="s">
        <v>721</v>
      </c>
      <c r="F629" s="23" t="s">
        <v>722</v>
      </c>
      <c r="I629" s="4" t="s">
        <v>464</v>
      </c>
      <c r="J629" s="2">
        <v>114</v>
      </c>
    </row>
    <row r="630" spans="2:10">
      <c r="B630" s="23">
        <v>10627</v>
      </c>
      <c r="C630" s="26" t="s">
        <v>670</v>
      </c>
      <c r="D630" s="23" t="s">
        <v>92</v>
      </c>
      <c r="E630" s="23" t="s">
        <v>723</v>
      </c>
      <c r="F630" s="23" t="s">
        <v>724</v>
      </c>
      <c r="I630" s="4" t="s">
        <v>464</v>
      </c>
      <c r="J630" s="2">
        <v>117</v>
      </c>
    </row>
    <row r="631" spans="2:10">
      <c r="B631" s="23">
        <v>10628</v>
      </c>
      <c r="C631" s="26" t="s">
        <v>670</v>
      </c>
      <c r="D631" s="23" t="s">
        <v>95</v>
      </c>
      <c r="E631" s="23" t="s">
        <v>725</v>
      </c>
      <c r="F631" s="23" t="s">
        <v>726</v>
      </c>
      <c r="I631" s="4" t="s">
        <v>464</v>
      </c>
      <c r="J631" s="2">
        <v>120</v>
      </c>
    </row>
    <row r="632" spans="2:10">
      <c r="B632" s="23">
        <v>10629</v>
      </c>
      <c r="C632" s="26" t="s">
        <v>670</v>
      </c>
      <c r="D632" s="23" t="s">
        <v>98</v>
      </c>
      <c r="E632" s="23" t="s">
        <v>727</v>
      </c>
      <c r="F632" s="23" t="s">
        <v>728</v>
      </c>
      <c r="I632" s="4" t="s">
        <v>464</v>
      </c>
      <c r="J632" s="2">
        <v>124</v>
      </c>
    </row>
    <row r="633" spans="2:10">
      <c r="B633" s="23">
        <v>10630</v>
      </c>
      <c r="C633" s="26" t="s">
        <v>670</v>
      </c>
      <c r="D633" s="23" t="s">
        <v>101</v>
      </c>
      <c r="E633" s="23" t="s">
        <v>729</v>
      </c>
      <c r="F633" s="23" t="s">
        <v>730</v>
      </c>
      <c r="I633" s="4" t="s">
        <v>464</v>
      </c>
      <c r="J633" s="2">
        <v>127</v>
      </c>
    </row>
    <row r="634" spans="2:10">
      <c r="B634" s="23">
        <v>10631</v>
      </c>
      <c r="C634" s="26" t="s">
        <v>670</v>
      </c>
      <c r="D634" s="23" t="s">
        <v>104</v>
      </c>
      <c r="E634" s="23" t="s">
        <v>731</v>
      </c>
      <c r="F634" s="23" t="s">
        <v>732</v>
      </c>
      <c r="I634" s="4" t="s">
        <v>464</v>
      </c>
      <c r="J634" s="2">
        <v>130</v>
      </c>
    </row>
    <row r="635" spans="2:10">
      <c r="B635" s="23">
        <v>10632</v>
      </c>
      <c r="C635" s="26" t="s">
        <v>670</v>
      </c>
      <c r="D635" s="23" t="s">
        <v>107</v>
      </c>
      <c r="E635" s="23" t="s">
        <v>733</v>
      </c>
      <c r="F635" s="23" t="s">
        <v>734</v>
      </c>
      <c r="I635" s="4" t="s">
        <v>464</v>
      </c>
      <c r="J635" s="2">
        <v>133</v>
      </c>
    </row>
    <row r="636" spans="2:10">
      <c r="B636" s="23">
        <v>10633</v>
      </c>
      <c r="C636" s="26" t="s">
        <v>670</v>
      </c>
      <c r="D636" s="23" t="s">
        <v>110</v>
      </c>
      <c r="E636" s="23" t="s">
        <v>735</v>
      </c>
      <c r="F636" s="23" t="s">
        <v>736</v>
      </c>
      <c r="I636" s="4" t="s">
        <v>464</v>
      </c>
      <c r="J636" s="2">
        <v>136</v>
      </c>
    </row>
    <row r="637" spans="2:10">
      <c r="B637" s="23">
        <v>10634</v>
      </c>
      <c r="C637" s="26" t="s">
        <v>670</v>
      </c>
      <c r="D637" s="23" t="s">
        <v>113</v>
      </c>
      <c r="E637" s="23" t="s">
        <v>737</v>
      </c>
      <c r="F637" s="23" t="s">
        <v>738</v>
      </c>
      <c r="I637" s="4" t="s">
        <v>464</v>
      </c>
      <c r="J637" s="2">
        <v>140</v>
      </c>
    </row>
    <row r="638" spans="2:10">
      <c r="B638" s="23">
        <v>10635</v>
      </c>
      <c r="C638" s="26" t="s">
        <v>670</v>
      </c>
      <c r="D638" s="23" t="s">
        <v>116</v>
      </c>
      <c r="E638" s="23" t="s">
        <v>739</v>
      </c>
      <c r="F638" s="23" t="s">
        <v>740</v>
      </c>
      <c r="I638" s="4" t="s">
        <v>464</v>
      </c>
      <c r="J638" s="2">
        <v>143</v>
      </c>
    </row>
    <row r="639" spans="2:10">
      <c r="B639" s="23">
        <v>10636</v>
      </c>
      <c r="C639" s="26" t="s">
        <v>670</v>
      </c>
      <c r="D639" s="23" t="s">
        <v>119</v>
      </c>
      <c r="E639" s="23" t="s">
        <v>741</v>
      </c>
      <c r="F639" s="23" t="s">
        <v>742</v>
      </c>
      <c r="I639" s="4" t="s">
        <v>464</v>
      </c>
      <c r="J639" s="2">
        <v>146</v>
      </c>
    </row>
    <row r="640" spans="2:10">
      <c r="B640" s="23">
        <v>10637</v>
      </c>
      <c r="C640" s="26" t="s">
        <v>670</v>
      </c>
      <c r="D640" s="23" t="s">
        <v>122</v>
      </c>
      <c r="E640" s="23" t="s">
        <v>743</v>
      </c>
      <c r="F640" s="23" t="s">
        <v>744</v>
      </c>
      <c r="I640" s="4" t="s">
        <v>464</v>
      </c>
      <c r="J640" s="2">
        <v>149</v>
      </c>
    </row>
    <row r="641" spans="2:10">
      <c r="B641" s="23">
        <v>10638</v>
      </c>
      <c r="C641" s="26" t="s">
        <v>670</v>
      </c>
      <c r="D641" s="23" t="s">
        <v>125</v>
      </c>
      <c r="E641" s="23" t="s">
        <v>745</v>
      </c>
      <c r="F641" s="23" t="s">
        <v>746</v>
      </c>
      <c r="I641" s="4" t="s">
        <v>464</v>
      </c>
      <c r="J641" s="2">
        <v>152</v>
      </c>
    </row>
    <row r="642" spans="2:10">
      <c r="B642" s="23">
        <v>10639</v>
      </c>
      <c r="C642" s="26" t="s">
        <v>670</v>
      </c>
      <c r="D642" s="23" t="s">
        <v>128</v>
      </c>
      <c r="E642" s="23" t="s">
        <v>747</v>
      </c>
      <c r="F642" s="23" t="s">
        <v>748</v>
      </c>
      <c r="I642" s="4" t="s">
        <v>464</v>
      </c>
      <c r="J642" s="2">
        <v>156</v>
      </c>
    </row>
    <row r="643" spans="2:10">
      <c r="B643" s="23">
        <v>10640</v>
      </c>
      <c r="C643" s="26" t="s">
        <v>670</v>
      </c>
      <c r="D643" s="23" t="s">
        <v>131</v>
      </c>
      <c r="E643" s="23" t="s">
        <v>749</v>
      </c>
      <c r="F643" s="23" t="s">
        <v>750</v>
      </c>
      <c r="I643" s="4" t="s">
        <v>464</v>
      </c>
      <c r="J643" s="2">
        <v>159</v>
      </c>
    </row>
    <row r="644" spans="2:10">
      <c r="B644" s="23">
        <v>10641</v>
      </c>
      <c r="C644" s="26" t="s">
        <v>670</v>
      </c>
      <c r="D644" s="23" t="s">
        <v>134</v>
      </c>
      <c r="E644" s="23" t="s">
        <v>751</v>
      </c>
      <c r="F644" s="23" t="s">
        <v>752</v>
      </c>
      <c r="I644" s="4" t="s">
        <v>464</v>
      </c>
      <c r="J644" s="2">
        <v>162</v>
      </c>
    </row>
    <row r="645" spans="2:10">
      <c r="B645" s="23">
        <v>10642</v>
      </c>
      <c r="C645" s="26" t="s">
        <v>670</v>
      </c>
      <c r="D645" s="23" t="s">
        <v>137</v>
      </c>
      <c r="E645" s="23" t="s">
        <v>753</v>
      </c>
      <c r="F645" s="23" t="s">
        <v>754</v>
      </c>
      <c r="I645" s="4" t="s">
        <v>464</v>
      </c>
      <c r="J645" s="2">
        <v>165</v>
      </c>
    </row>
    <row r="646" spans="2:10">
      <c r="B646" s="23">
        <v>10643</v>
      </c>
      <c r="C646" s="26" t="s">
        <v>670</v>
      </c>
      <c r="D646" s="23" t="s">
        <v>140</v>
      </c>
      <c r="E646" s="23" t="s">
        <v>755</v>
      </c>
      <c r="F646" s="23" t="s">
        <v>756</v>
      </c>
      <c r="I646" s="4" t="s">
        <v>464</v>
      </c>
      <c r="J646" s="2">
        <v>168</v>
      </c>
    </row>
    <row r="647" spans="2:10">
      <c r="B647" s="23">
        <v>10644</v>
      </c>
      <c r="C647" s="26" t="s">
        <v>670</v>
      </c>
      <c r="D647" s="23" t="s">
        <v>143</v>
      </c>
      <c r="E647" s="23" t="s">
        <v>757</v>
      </c>
      <c r="F647" s="23" t="s">
        <v>758</v>
      </c>
      <c r="I647" s="4" t="s">
        <v>464</v>
      </c>
      <c r="J647" s="2">
        <v>172</v>
      </c>
    </row>
    <row r="648" spans="2:10">
      <c r="B648" s="23">
        <v>10645</v>
      </c>
      <c r="C648" s="26" t="s">
        <v>670</v>
      </c>
      <c r="D648" s="23" t="s">
        <v>146</v>
      </c>
      <c r="E648" s="23" t="s">
        <v>759</v>
      </c>
      <c r="F648" s="23" t="s">
        <v>760</v>
      </c>
      <c r="I648" s="4" t="s">
        <v>464</v>
      </c>
      <c r="J648" s="2">
        <v>175</v>
      </c>
    </row>
    <row r="649" spans="2:10">
      <c r="B649" s="23">
        <v>10646</v>
      </c>
      <c r="C649" s="26" t="s">
        <v>670</v>
      </c>
      <c r="D649" s="23" t="s">
        <v>149</v>
      </c>
      <c r="E649" s="23" t="s">
        <v>761</v>
      </c>
      <c r="F649" s="23" t="s">
        <v>762</v>
      </c>
      <c r="I649" s="4" t="s">
        <v>464</v>
      </c>
      <c r="J649" s="2">
        <v>178</v>
      </c>
    </row>
    <row r="650" spans="2:10">
      <c r="B650" s="23">
        <v>10647</v>
      </c>
      <c r="C650" s="26" t="s">
        <v>670</v>
      </c>
      <c r="D650" s="23" t="s">
        <v>152</v>
      </c>
      <c r="E650" s="23" t="s">
        <v>763</v>
      </c>
      <c r="F650" s="23" t="s">
        <v>764</v>
      </c>
      <c r="I650" s="4" t="s">
        <v>464</v>
      </c>
      <c r="J650" s="2">
        <v>181</v>
      </c>
    </row>
    <row r="651" spans="2:10">
      <c r="B651" s="23">
        <v>10648</v>
      </c>
      <c r="C651" s="26" t="s">
        <v>670</v>
      </c>
      <c r="D651" s="23" t="s">
        <v>155</v>
      </c>
      <c r="E651" s="23" t="s">
        <v>765</v>
      </c>
      <c r="F651" s="23" t="s">
        <v>766</v>
      </c>
      <c r="I651" s="4" t="s">
        <v>464</v>
      </c>
      <c r="J651" s="2">
        <v>184</v>
      </c>
    </row>
    <row r="652" spans="2:10">
      <c r="B652" s="23">
        <v>10649</v>
      </c>
      <c r="C652" s="26" t="s">
        <v>670</v>
      </c>
      <c r="D652" s="23" t="s">
        <v>158</v>
      </c>
      <c r="E652" s="23" t="s">
        <v>767</v>
      </c>
      <c r="F652" s="23" t="s">
        <v>768</v>
      </c>
      <c r="I652" s="4" t="s">
        <v>464</v>
      </c>
      <c r="J652" s="2">
        <v>188</v>
      </c>
    </row>
    <row r="653" spans="2:10">
      <c r="B653" s="23">
        <v>10650</v>
      </c>
      <c r="C653" s="26" t="s">
        <v>670</v>
      </c>
      <c r="D653" s="23" t="s">
        <v>161</v>
      </c>
      <c r="E653" s="23" t="s">
        <v>769</v>
      </c>
      <c r="F653" s="23" t="s">
        <v>770</v>
      </c>
      <c r="I653" s="4" t="s">
        <v>464</v>
      </c>
      <c r="J653" s="2">
        <v>191</v>
      </c>
    </row>
    <row r="654" spans="2:10">
      <c r="B654" s="23">
        <v>10651</v>
      </c>
      <c r="C654" s="26" t="s">
        <v>771</v>
      </c>
      <c r="D654" s="23" t="s">
        <v>13</v>
      </c>
      <c r="E654" s="24" t="s">
        <v>772</v>
      </c>
      <c r="F654" s="23" t="s">
        <v>517</v>
      </c>
      <c r="I654" s="4" t="s">
        <v>773</v>
      </c>
      <c r="J654" s="2">
        <v>50</v>
      </c>
    </row>
    <row r="655" spans="2:10">
      <c r="B655" s="23">
        <v>10652</v>
      </c>
      <c r="C655" s="26" t="s">
        <v>771</v>
      </c>
      <c r="D655" s="23" t="s">
        <v>17</v>
      </c>
      <c r="E655" s="23" t="s">
        <v>774</v>
      </c>
      <c r="F655" s="23" t="s">
        <v>520</v>
      </c>
      <c r="I655" s="4" t="s">
        <v>773</v>
      </c>
      <c r="J655" s="2">
        <v>60</v>
      </c>
    </row>
    <row r="656" spans="2:10">
      <c r="B656" s="23">
        <v>10653</v>
      </c>
      <c r="C656" s="26" t="s">
        <v>771</v>
      </c>
      <c r="D656" s="23" t="s">
        <v>20</v>
      </c>
      <c r="E656" s="23" t="s">
        <v>775</v>
      </c>
      <c r="F656" s="23" t="s">
        <v>522</v>
      </c>
      <c r="I656" s="4" t="s">
        <v>773</v>
      </c>
      <c r="J656" s="2">
        <v>70</v>
      </c>
    </row>
    <row r="657" spans="2:10">
      <c r="B657" s="23">
        <v>10654</v>
      </c>
      <c r="C657" s="26" t="s">
        <v>771</v>
      </c>
      <c r="D657" s="23" t="s">
        <v>23</v>
      </c>
      <c r="E657" s="23" t="s">
        <v>776</v>
      </c>
      <c r="F657" s="23" t="s">
        <v>524</v>
      </c>
      <c r="I657" s="4" t="s">
        <v>773</v>
      </c>
      <c r="J657" s="2">
        <v>80</v>
      </c>
    </row>
    <row r="658" spans="2:10">
      <c r="B658" s="23">
        <v>10655</v>
      </c>
      <c r="C658" s="26" t="s">
        <v>771</v>
      </c>
      <c r="D658" s="23" t="s">
        <v>26</v>
      </c>
      <c r="E658" s="23" t="s">
        <v>777</v>
      </c>
      <c r="F658" s="23" t="s">
        <v>526</v>
      </c>
      <c r="I658" s="4" t="s">
        <v>773</v>
      </c>
      <c r="J658" s="2">
        <v>90</v>
      </c>
    </row>
    <row r="659" spans="2:10">
      <c r="B659" s="23">
        <v>10656</v>
      </c>
      <c r="C659" s="26" t="s">
        <v>771</v>
      </c>
      <c r="D659" s="23" t="s">
        <v>29</v>
      </c>
      <c r="E659" s="23" t="s">
        <v>778</v>
      </c>
      <c r="F659" s="23" t="s">
        <v>528</v>
      </c>
      <c r="I659" s="4" t="s">
        <v>773</v>
      </c>
      <c r="J659" s="2">
        <v>100</v>
      </c>
    </row>
    <row r="660" spans="2:10">
      <c r="B660" s="23">
        <v>10657</v>
      </c>
      <c r="C660" s="26" t="s">
        <v>771</v>
      </c>
      <c r="D660" s="23" t="s">
        <v>32</v>
      </c>
      <c r="E660" s="23" t="s">
        <v>779</v>
      </c>
      <c r="F660" s="23" t="s">
        <v>530</v>
      </c>
      <c r="I660" s="4" t="s">
        <v>773</v>
      </c>
      <c r="J660" s="2">
        <v>110</v>
      </c>
    </row>
    <row r="661" spans="2:10">
      <c r="B661" s="23">
        <v>10658</v>
      </c>
      <c r="C661" s="26" t="s">
        <v>771</v>
      </c>
      <c r="D661" s="23" t="s">
        <v>35</v>
      </c>
      <c r="E661" s="23" t="s">
        <v>780</v>
      </c>
      <c r="F661" s="23" t="s">
        <v>532</v>
      </c>
      <c r="I661" s="4" t="s">
        <v>773</v>
      </c>
      <c r="J661" s="2">
        <v>120</v>
      </c>
    </row>
    <row r="662" spans="2:10">
      <c r="B662" s="23">
        <v>10659</v>
      </c>
      <c r="C662" s="26" t="s">
        <v>771</v>
      </c>
      <c r="D662" s="23" t="s">
        <v>38</v>
      </c>
      <c r="E662" s="23" t="s">
        <v>781</v>
      </c>
      <c r="F662" s="23" t="s">
        <v>534</v>
      </c>
      <c r="I662" s="4" t="s">
        <v>773</v>
      </c>
      <c r="J662" s="2">
        <v>130</v>
      </c>
    </row>
    <row r="663" spans="2:10">
      <c r="B663" s="23">
        <v>10660</v>
      </c>
      <c r="C663" s="26" t="s">
        <v>771</v>
      </c>
      <c r="D663" s="23" t="s">
        <v>41</v>
      </c>
      <c r="E663" s="23" t="s">
        <v>782</v>
      </c>
      <c r="F663" s="23" t="s">
        <v>536</v>
      </c>
      <c r="I663" s="4" t="s">
        <v>773</v>
      </c>
      <c r="J663" s="2">
        <v>140</v>
      </c>
    </row>
    <row r="664" spans="2:10">
      <c r="B664" s="23">
        <v>10661</v>
      </c>
      <c r="C664" s="26" t="s">
        <v>771</v>
      </c>
      <c r="D664" s="23" t="s">
        <v>44</v>
      </c>
      <c r="E664" s="23" t="s">
        <v>783</v>
      </c>
      <c r="F664" s="23" t="s">
        <v>538</v>
      </c>
      <c r="I664" s="4" t="s">
        <v>773</v>
      </c>
      <c r="J664" s="2">
        <v>150</v>
      </c>
    </row>
    <row r="665" spans="2:10">
      <c r="B665" s="23">
        <v>10662</v>
      </c>
      <c r="C665" s="26" t="s">
        <v>771</v>
      </c>
      <c r="D665" s="23" t="s">
        <v>47</v>
      </c>
      <c r="E665" s="23" t="s">
        <v>784</v>
      </c>
      <c r="F665" s="23" t="s">
        <v>540</v>
      </c>
      <c r="I665" s="4" t="s">
        <v>773</v>
      </c>
      <c r="J665" s="2">
        <v>160</v>
      </c>
    </row>
    <row r="666" spans="2:10">
      <c r="B666" s="23">
        <v>10663</v>
      </c>
      <c r="C666" s="26" t="s">
        <v>771</v>
      </c>
      <c r="D666" s="23" t="s">
        <v>50</v>
      </c>
      <c r="E666" s="23" t="s">
        <v>785</v>
      </c>
      <c r="F666" s="23" t="s">
        <v>542</v>
      </c>
      <c r="I666" s="4" t="s">
        <v>773</v>
      </c>
      <c r="J666" s="2">
        <v>170</v>
      </c>
    </row>
    <row r="667" spans="2:10">
      <c r="B667" s="23">
        <v>10664</v>
      </c>
      <c r="C667" s="26" t="s">
        <v>771</v>
      </c>
      <c r="D667" s="23" t="s">
        <v>53</v>
      </c>
      <c r="E667" s="23" t="s">
        <v>786</v>
      </c>
      <c r="F667" s="23" t="s">
        <v>544</v>
      </c>
      <c r="I667" s="4" t="s">
        <v>773</v>
      </c>
      <c r="J667" s="2">
        <v>180</v>
      </c>
    </row>
    <row r="668" spans="2:10">
      <c r="B668" s="23">
        <v>10665</v>
      </c>
      <c r="C668" s="26" t="s">
        <v>771</v>
      </c>
      <c r="D668" s="23" t="s">
        <v>56</v>
      </c>
      <c r="E668" s="23" t="s">
        <v>787</v>
      </c>
      <c r="F668" s="23" t="s">
        <v>546</v>
      </c>
      <c r="I668" s="4" t="s">
        <v>773</v>
      </c>
      <c r="J668" s="2">
        <v>190</v>
      </c>
    </row>
    <row r="669" spans="2:10">
      <c r="B669" s="23">
        <v>10666</v>
      </c>
      <c r="C669" s="26" t="s">
        <v>771</v>
      </c>
      <c r="D669" s="23" t="s">
        <v>59</v>
      </c>
      <c r="E669" s="23" t="s">
        <v>788</v>
      </c>
      <c r="F669" s="23" t="s">
        <v>548</v>
      </c>
      <c r="I669" s="4" t="s">
        <v>773</v>
      </c>
      <c r="J669" s="2">
        <v>200</v>
      </c>
    </row>
    <row r="670" spans="2:10">
      <c r="B670" s="23">
        <v>10667</v>
      </c>
      <c r="C670" s="26" t="s">
        <v>771</v>
      </c>
      <c r="D670" s="23" t="s">
        <v>62</v>
      </c>
      <c r="E670" s="23" t="s">
        <v>789</v>
      </c>
      <c r="F670" s="23" t="s">
        <v>550</v>
      </c>
      <c r="I670" s="4" t="s">
        <v>773</v>
      </c>
      <c r="J670" s="2">
        <v>210</v>
      </c>
    </row>
    <row r="671" spans="2:10">
      <c r="B671" s="23">
        <v>10668</v>
      </c>
      <c r="C671" s="26" t="s">
        <v>771</v>
      </c>
      <c r="D671" s="23" t="s">
        <v>65</v>
      </c>
      <c r="E671" s="23" t="s">
        <v>790</v>
      </c>
      <c r="F671" s="23" t="s">
        <v>552</v>
      </c>
      <c r="I671" s="4" t="s">
        <v>773</v>
      </c>
      <c r="J671" s="2">
        <v>220</v>
      </c>
    </row>
    <row r="672" spans="2:10">
      <c r="B672" s="23">
        <v>10669</v>
      </c>
      <c r="C672" s="26" t="s">
        <v>771</v>
      </c>
      <c r="D672" s="23" t="s">
        <v>68</v>
      </c>
      <c r="E672" s="23" t="s">
        <v>791</v>
      </c>
      <c r="F672" s="23" t="s">
        <v>554</v>
      </c>
      <c r="I672" s="4" t="s">
        <v>773</v>
      </c>
      <c r="J672" s="2">
        <v>230</v>
      </c>
    </row>
    <row r="673" spans="2:10">
      <c r="B673" s="23">
        <v>10670</v>
      </c>
      <c r="C673" s="26" t="s">
        <v>771</v>
      </c>
      <c r="D673" s="23" t="s">
        <v>71</v>
      </c>
      <c r="E673" s="23" t="s">
        <v>792</v>
      </c>
      <c r="F673" s="23" t="s">
        <v>556</v>
      </c>
      <c r="I673" s="4" t="s">
        <v>773</v>
      </c>
      <c r="J673" s="2">
        <v>240</v>
      </c>
    </row>
    <row r="674" spans="2:10">
      <c r="B674" s="23">
        <v>10671</v>
      </c>
      <c r="C674" s="26" t="s">
        <v>771</v>
      </c>
      <c r="D674" s="23" t="s">
        <v>74</v>
      </c>
      <c r="E674" s="23" t="s">
        <v>793</v>
      </c>
      <c r="F674" s="23" t="s">
        <v>558</v>
      </c>
      <c r="I674" s="4" t="s">
        <v>773</v>
      </c>
      <c r="J674" s="2">
        <v>250</v>
      </c>
    </row>
    <row r="675" spans="2:10">
      <c r="B675" s="23">
        <v>10672</v>
      </c>
      <c r="C675" s="26" t="s">
        <v>771</v>
      </c>
      <c r="D675" s="23" t="s">
        <v>77</v>
      </c>
      <c r="E675" s="23" t="s">
        <v>794</v>
      </c>
      <c r="F675" s="23" t="s">
        <v>560</v>
      </c>
      <c r="I675" s="4" t="s">
        <v>773</v>
      </c>
      <c r="J675" s="2">
        <v>260</v>
      </c>
    </row>
    <row r="676" spans="2:10">
      <c r="B676" s="23">
        <v>10673</v>
      </c>
      <c r="C676" s="26" t="s">
        <v>771</v>
      </c>
      <c r="D676" s="23" t="s">
        <v>80</v>
      </c>
      <c r="E676" s="23" t="s">
        <v>795</v>
      </c>
      <c r="F676" s="23" t="s">
        <v>562</v>
      </c>
      <c r="I676" s="4" t="s">
        <v>773</v>
      </c>
      <c r="J676" s="2">
        <v>270</v>
      </c>
    </row>
    <row r="677" spans="2:10">
      <c r="B677" s="23">
        <v>10674</v>
      </c>
      <c r="C677" s="26" t="s">
        <v>771</v>
      </c>
      <c r="D677" s="23" t="s">
        <v>83</v>
      </c>
      <c r="E677" s="23" t="s">
        <v>796</v>
      </c>
      <c r="F677" s="23" t="s">
        <v>564</v>
      </c>
      <c r="I677" s="4" t="s">
        <v>773</v>
      </c>
      <c r="J677" s="2">
        <v>280</v>
      </c>
    </row>
    <row r="678" spans="2:10">
      <c r="B678" s="23">
        <v>10675</v>
      </c>
      <c r="C678" s="26" t="s">
        <v>771</v>
      </c>
      <c r="D678" s="23" t="s">
        <v>86</v>
      </c>
      <c r="E678" s="23" t="s">
        <v>797</v>
      </c>
      <c r="F678" s="23" t="s">
        <v>566</v>
      </c>
      <c r="I678" s="4" t="s">
        <v>773</v>
      </c>
      <c r="J678" s="2">
        <v>290</v>
      </c>
    </row>
    <row r="679" spans="2:10">
      <c r="B679" s="23">
        <v>10676</v>
      </c>
      <c r="C679" s="26" t="s">
        <v>771</v>
      </c>
      <c r="D679" s="23" t="s">
        <v>89</v>
      </c>
      <c r="E679" s="23" t="s">
        <v>798</v>
      </c>
      <c r="F679" s="23" t="s">
        <v>568</v>
      </c>
      <c r="I679" s="4" t="s">
        <v>773</v>
      </c>
      <c r="J679" s="2">
        <v>300</v>
      </c>
    </row>
    <row r="680" spans="2:10">
      <c r="B680" s="23">
        <v>10677</v>
      </c>
      <c r="C680" s="26" t="s">
        <v>771</v>
      </c>
      <c r="D680" s="23" t="s">
        <v>92</v>
      </c>
      <c r="E680" s="23" t="s">
        <v>799</v>
      </c>
      <c r="F680" s="23" t="s">
        <v>570</v>
      </c>
      <c r="I680" s="4" t="s">
        <v>773</v>
      </c>
      <c r="J680" s="2">
        <v>310</v>
      </c>
    </row>
    <row r="681" spans="2:10">
      <c r="B681" s="23">
        <v>10678</v>
      </c>
      <c r="C681" s="26" t="s">
        <v>771</v>
      </c>
      <c r="D681" s="23" t="s">
        <v>95</v>
      </c>
      <c r="E681" s="23" t="s">
        <v>800</v>
      </c>
      <c r="F681" s="23" t="s">
        <v>572</v>
      </c>
      <c r="I681" s="4" t="s">
        <v>773</v>
      </c>
      <c r="J681" s="2">
        <v>320</v>
      </c>
    </row>
    <row r="682" spans="2:10">
      <c r="B682" s="23">
        <v>10679</v>
      </c>
      <c r="C682" s="26" t="s">
        <v>771</v>
      </c>
      <c r="D682" s="23" t="s">
        <v>98</v>
      </c>
      <c r="E682" s="23" t="s">
        <v>801</v>
      </c>
      <c r="F682" s="23" t="s">
        <v>574</v>
      </c>
      <c r="I682" s="4" t="s">
        <v>773</v>
      </c>
      <c r="J682" s="2">
        <v>330</v>
      </c>
    </row>
    <row r="683" spans="2:10">
      <c r="B683" s="23">
        <v>10680</v>
      </c>
      <c r="C683" s="26" t="s">
        <v>771</v>
      </c>
      <c r="D683" s="23" t="s">
        <v>101</v>
      </c>
      <c r="E683" s="23" t="s">
        <v>802</v>
      </c>
      <c r="F683" s="23" t="s">
        <v>576</v>
      </c>
      <c r="I683" s="4" t="s">
        <v>773</v>
      </c>
      <c r="J683" s="2">
        <v>340</v>
      </c>
    </row>
    <row r="684" spans="2:10">
      <c r="B684" s="23">
        <v>10681</v>
      </c>
      <c r="C684" s="26" t="s">
        <v>771</v>
      </c>
      <c r="D684" s="23" t="s">
        <v>104</v>
      </c>
      <c r="E684" s="23" t="s">
        <v>803</v>
      </c>
      <c r="F684" s="23" t="s">
        <v>578</v>
      </c>
      <c r="I684" s="4" t="s">
        <v>773</v>
      </c>
      <c r="J684" s="2">
        <v>350</v>
      </c>
    </row>
    <row r="685" spans="2:10">
      <c r="B685" s="23">
        <v>10682</v>
      </c>
      <c r="C685" s="26" t="s">
        <v>771</v>
      </c>
      <c r="D685" s="23" t="s">
        <v>107</v>
      </c>
      <c r="E685" s="23" t="s">
        <v>804</v>
      </c>
      <c r="F685" s="23" t="s">
        <v>580</v>
      </c>
      <c r="I685" s="4" t="s">
        <v>773</v>
      </c>
      <c r="J685" s="2">
        <v>360</v>
      </c>
    </row>
    <row r="686" spans="2:10">
      <c r="B686" s="23">
        <v>10683</v>
      </c>
      <c r="C686" s="26" t="s">
        <v>771</v>
      </c>
      <c r="D686" s="23" t="s">
        <v>110</v>
      </c>
      <c r="E686" s="23" t="s">
        <v>805</v>
      </c>
      <c r="F686" s="23" t="s">
        <v>582</v>
      </c>
      <c r="I686" s="4" t="s">
        <v>773</v>
      </c>
      <c r="J686" s="2">
        <v>370</v>
      </c>
    </row>
    <row r="687" spans="2:10">
      <c r="B687" s="23">
        <v>10684</v>
      </c>
      <c r="C687" s="26" t="s">
        <v>771</v>
      </c>
      <c r="D687" s="23" t="s">
        <v>113</v>
      </c>
      <c r="E687" s="23" t="s">
        <v>806</v>
      </c>
      <c r="F687" s="23" t="s">
        <v>584</v>
      </c>
      <c r="I687" s="4" t="s">
        <v>773</v>
      </c>
      <c r="J687" s="2">
        <v>380</v>
      </c>
    </row>
    <row r="688" spans="2:10">
      <c r="B688" s="23">
        <v>10685</v>
      </c>
      <c r="C688" s="26" t="s">
        <v>771</v>
      </c>
      <c r="D688" s="23" t="s">
        <v>116</v>
      </c>
      <c r="E688" s="23" t="s">
        <v>807</v>
      </c>
      <c r="F688" s="23" t="s">
        <v>586</v>
      </c>
      <c r="I688" s="4" t="s">
        <v>773</v>
      </c>
      <c r="J688" s="2">
        <v>390</v>
      </c>
    </row>
    <row r="689" spans="2:10">
      <c r="B689" s="23">
        <v>10686</v>
      </c>
      <c r="C689" s="26" t="s">
        <v>771</v>
      </c>
      <c r="D689" s="23" t="s">
        <v>119</v>
      </c>
      <c r="E689" s="23" t="s">
        <v>808</v>
      </c>
      <c r="F689" s="23" t="s">
        <v>588</v>
      </c>
      <c r="I689" s="4" t="s">
        <v>773</v>
      </c>
      <c r="J689" s="2">
        <v>400</v>
      </c>
    </row>
    <row r="690" spans="2:10">
      <c r="B690" s="23">
        <v>10687</v>
      </c>
      <c r="C690" s="26" t="s">
        <v>771</v>
      </c>
      <c r="D690" s="23" t="s">
        <v>122</v>
      </c>
      <c r="E690" s="23" t="s">
        <v>809</v>
      </c>
      <c r="F690" s="23" t="s">
        <v>590</v>
      </c>
      <c r="I690" s="4" t="s">
        <v>773</v>
      </c>
      <c r="J690" s="2">
        <v>410</v>
      </c>
    </row>
    <row r="691" spans="2:10">
      <c r="B691" s="23">
        <v>10688</v>
      </c>
      <c r="C691" s="26" t="s">
        <v>771</v>
      </c>
      <c r="D691" s="23" t="s">
        <v>125</v>
      </c>
      <c r="E691" s="23" t="s">
        <v>810</v>
      </c>
      <c r="F691" s="23" t="s">
        <v>592</v>
      </c>
      <c r="I691" s="4" t="s">
        <v>773</v>
      </c>
      <c r="J691" s="2">
        <v>420</v>
      </c>
    </row>
    <row r="692" spans="2:10">
      <c r="B692" s="23">
        <v>10689</v>
      </c>
      <c r="C692" s="26" t="s">
        <v>771</v>
      </c>
      <c r="D692" s="23" t="s">
        <v>128</v>
      </c>
      <c r="E692" s="23" t="s">
        <v>811</v>
      </c>
      <c r="F692" s="23" t="s">
        <v>594</v>
      </c>
      <c r="I692" s="4" t="s">
        <v>773</v>
      </c>
      <c r="J692" s="2">
        <v>430</v>
      </c>
    </row>
    <row r="693" spans="2:10">
      <c r="B693" s="23">
        <v>10690</v>
      </c>
      <c r="C693" s="26" t="s">
        <v>771</v>
      </c>
      <c r="D693" s="23" t="s">
        <v>131</v>
      </c>
      <c r="E693" s="23" t="s">
        <v>812</v>
      </c>
      <c r="F693" s="23" t="s">
        <v>596</v>
      </c>
      <c r="I693" s="4" t="s">
        <v>773</v>
      </c>
      <c r="J693" s="2">
        <v>440</v>
      </c>
    </row>
    <row r="694" spans="2:10">
      <c r="B694" s="23">
        <v>10691</v>
      </c>
      <c r="C694" s="26" t="s">
        <v>771</v>
      </c>
      <c r="D694" s="23" t="s">
        <v>134</v>
      </c>
      <c r="E694" s="23" t="s">
        <v>813</v>
      </c>
      <c r="F694" s="23" t="s">
        <v>598</v>
      </c>
      <c r="I694" s="4" t="s">
        <v>773</v>
      </c>
      <c r="J694" s="2">
        <v>450</v>
      </c>
    </row>
    <row r="695" spans="2:10">
      <c r="B695" s="23">
        <v>10692</v>
      </c>
      <c r="C695" s="26" t="s">
        <v>771</v>
      </c>
      <c r="D695" s="23" t="s">
        <v>137</v>
      </c>
      <c r="E695" s="23" t="s">
        <v>814</v>
      </c>
      <c r="F695" s="23" t="s">
        <v>600</v>
      </c>
      <c r="I695" s="4" t="s">
        <v>773</v>
      </c>
      <c r="J695" s="2">
        <v>460</v>
      </c>
    </row>
    <row r="696" spans="2:10">
      <c r="B696" s="23">
        <v>10693</v>
      </c>
      <c r="C696" s="26" t="s">
        <v>771</v>
      </c>
      <c r="D696" s="23" t="s">
        <v>140</v>
      </c>
      <c r="E696" s="23" t="s">
        <v>815</v>
      </c>
      <c r="F696" s="23" t="s">
        <v>602</v>
      </c>
      <c r="I696" s="4" t="s">
        <v>773</v>
      </c>
      <c r="J696" s="2">
        <v>470</v>
      </c>
    </row>
    <row r="697" spans="2:10">
      <c r="B697" s="23">
        <v>10694</v>
      </c>
      <c r="C697" s="26" t="s">
        <v>771</v>
      </c>
      <c r="D697" s="23" t="s">
        <v>143</v>
      </c>
      <c r="E697" s="23" t="s">
        <v>816</v>
      </c>
      <c r="F697" s="23" t="s">
        <v>604</v>
      </c>
      <c r="I697" s="4" t="s">
        <v>773</v>
      </c>
      <c r="J697" s="2">
        <v>480</v>
      </c>
    </row>
    <row r="698" spans="2:10">
      <c r="B698" s="23">
        <v>10695</v>
      </c>
      <c r="C698" s="26" t="s">
        <v>771</v>
      </c>
      <c r="D698" s="23" t="s">
        <v>146</v>
      </c>
      <c r="E698" s="23" t="s">
        <v>817</v>
      </c>
      <c r="F698" s="23" t="s">
        <v>606</v>
      </c>
      <c r="I698" s="4" t="s">
        <v>773</v>
      </c>
      <c r="J698" s="2">
        <v>490</v>
      </c>
    </row>
    <row r="699" spans="2:10">
      <c r="B699" s="23">
        <v>10696</v>
      </c>
      <c r="C699" s="26" t="s">
        <v>771</v>
      </c>
      <c r="D699" s="23" t="s">
        <v>149</v>
      </c>
      <c r="E699" s="23" t="s">
        <v>818</v>
      </c>
      <c r="F699" s="23" t="s">
        <v>608</v>
      </c>
      <c r="I699" s="4" t="s">
        <v>773</v>
      </c>
      <c r="J699" s="2">
        <v>500</v>
      </c>
    </row>
    <row r="700" spans="2:10">
      <c r="B700" s="23">
        <v>10697</v>
      </c>
      <c r="C700" s="26" t="s">
        <v>771</v>
      </c>
      <c r="D700" s="23" t="s">
        <v>152</v>
      </c>
      <c r="E700" s="23" t="s">
        <v>819</v>
      </c>
      <c r="F700" s="23" t="s">
        <v>610</v>
      </c>
      <c r="I700" s="4" t="s">
        <v>773</v>
      </c>
      <c r="J700" s="2">
        <v>510</v>
      </c>
    </row>
    <row r="701" spans="2:10">
      <c r="B701" s="23">
        <v>10698</v>
      </c>
      <c r="C701" s="26" t="s">
        <v>771</v>
      </c>
      <c r="D701" s="23" t="s">
        <v>155</v>
      </c>
      <c r="E701" s="23" t="s">
        <v>820</v>
      </c>
      <c r="F701" s="23" t="s">
        <v>612</v>
      </c>
      <c r="I701" s="4" t="s">
        <v>773</v>
      </c>
      <c r="J701" s="2">
        <v>520</v>
      </c>
    </row>
    <row r="702" spans="2:10">
      <c r="B702" s="23">
        <v>10699</v>
      </c>
      <c r="C702" s="26" t="s">
        <v>771</v>
      </c>
      <c r="D702" s="23" t="s">
        <v>158</v>
      </c>
      <c r="E702" s="23" t="s">
        <v>821</v>
      </c>
      <c r="F702" s="23" t="s">
        <v>614</v>
      </c>
      <c r="I702" s="4" t="s">
        <v>773</v>
      </c>
      <c r="J702" s="2">
        <v>530</v>
      </c>
    </row>
    <row r="703" spans="2:10">
      <c r="B703" s="23">
        <v>10700</v>
      </c>
      <c r="C703" s="26" t="s">
        <v>771</v>
      </c>
      <c r="D703" s="23" t="s">
        <v>161</v>
      </c>
      <c r="E703" s="23" t="s">
        <v>822</v>
      </c>
      <c r="F703" s="23" t="s">
        <v>616</v>
      </c>
      <c r="I703" s="4" t="s">
        <v>773</v>
      </c>
      <c r="J703" s="2">
        <v>540</v>
      </c>
    </row>
    <row r="704" spans="2:10">
      <c r="B704" s="2">
        <v>10701</v>
      </c>
      <c r="C704" s="11" t="s">
        <v>823</v>
      </c>
      <c r="D704" s="2" t="s">
        <v>13</v>
      </c>
      <c r="E704" s="2" t="s">
        <v>13</v>
      </c>
      <c r="F704" s="2" t="s">
        <v>166</v>
      </c>
    </row>
    <row r="705" spans="2:6">
      <c r="B705" s="2">
        <v>10702</v>
      </c>
      <c r="C705" s="11" t="s">
        <v>824</v>
      </c>
      <c r="D705" s="2" t="s">
        <v>13</v>
      </c>
      <c r="E705" s="2" t="s">
        <v>825</v>
      </c>
      <c r="F705" s="2" t="s">
        <v>672</v>
      </c>
    </row>
    <row r="706" spans="2:6">
      <c r="B706" s="2">
        <v>10703</v>
      </c>
      <c r="C706" s="11" t="s">
        <v>824</v>
      </c>
      <c r="D706" s="2" t="s">
        <v>17</v>
      </c>
      <c r="E706" s="2" t="s">
        <v>826</v>
      </c>
      <c r="F706" s="2" t="s">
        <v>674</v>
      </c>
    </row>
    <row r="707" spans="2:6">
      <c r="B707" s="2">
        <v>10704</v>
      </c>
      <c r="C707" s="11" t="s">
        <v>824</v>
      </c>
      <c r="D707" s="2" t="s">
        <v>20</v>
      </c>
      <c r="E707" s="2" t="s">
        <v>499</v>
      </c>
      <c r="F707" s="2" t="s">
        <v>676</v>
      </c>
    </row>
    <row r="708" spans="2:6">
      <c r="B708" s="2">
        <v>10705</v>
      </c>
      <c r="C708" s="11" t="s">
        <v>824</v>
      </c>
      <c r="D708" s="2" t="s">
        <v>23</v>
      </c>
      <c r="E708" s="2" t="s">
        <v>827</v>
      </c>
      <c r="F708" s="2" t="s">
        <v>678</v>
      </c>
    </row>
    <row r="709" spans="2:6">
      <c r="B709" s="2">
        <v>10706</v>
      </c>
      <c r="C709" s="11" t="s">
        <v>824</v>
      </c>
      <c r="D709" s="2" t="s">
        <v>26</v>
      </c>
      <c r="E709" s="2" t="s">
        <v>828</v>
      </c>
      <c r="F709" s="2" t="s">
        <v>680</v>
      </c>
    </row>
    <row r="710" spans="2:6">
      <c r="B710" s="2">
        <v>10707</v>
      </c>
      <c r="C710" s="11" t="s">
        <v>824</v>
      </c>
      <c r="D710" s="2" t="s">
        <v>29</v>
      </c>
      <c r="E710" s="2" t="s">
        <v>829</v>
      </c>
      <c r="F710" s="2" t="s">
        <v>682</v>
      </c>
    </row>
    <row r="711" spans="2:6">
      <c r="B711" s="2">
        <v>10708</v>
      </c>
      <c r="C711" s="11" t="s">
        <v>824</v>
      </c>
      <c r="D711" s="2" t="s">
        <v>32</v>
      </c>
      <c r="E711" s="2" t="s">
        <v>830</v>
      </c>
      <c r="F711" s="2" t="s">
        <v>684</v>
      </c>
    </row>
    <row r="712" spans="2:6">
      <c r="B712" s="2">
        <v>10709</v>
      </c>
      <c r="C712" s="11" t="s">
        <v>824</v>
      </c>
      <c r="D712" s="2" t="s">
        <v>35</v>
      </c>
      <c r="E712" s="2" t="s">
        <v>721</v>
      </c>
      <c r="F712" s="2" t="s">
        <v>686</v>
      </c>
    </row>
    <row r="713" spans="2:6">
      <c r="B713" s="2">
        <v>10710</v>
      </c>
      <c r="C713" s="11" t="s">
        <v>824</v>
      </c>
      <c r="D713" s="2" t="s">
        <v>38</v>
      </c>
      <c r="E713" s="2" t="s">
        <v>504</v>
      </c>
      <c r="F713" s="2" t="s">
        <v>688</v>
      </c>
    </row>
    <row r="714" spans="2:6">
      <c r="B714" s="2">
        <v>10711</v>
      </c>
      <c r="C714" s="11" t="s">
        <v>824</v>
      </c>
      <c r="D714" s="2" t="s">
        <v>41</v>
      </c>
      <c r="E714" s="2" t="s">
        <v>831</v>
      </c>
      <c r="F714" s="2" t="s">
        <v>690</v>
      </c>
    </row>
    <row r="715" spans="2:6">
      <c r="B715" s="2">
        <v>10712</v>
      </c>
      <c r="C715" s="11" t="s">
        <v>824</v>
      </c>
      <c r="D715" s="2" t="s">
        <v>44</v>
      </c>
      <c r="E715" s="2" t="s">
        <v>832</v>
      </c>
      <c r="F715" s="2" t="s">
        <v>692</v>
      </c>
    </row>
    <row r="716" spans="2:6">
      <c r="B716" s="2">
        <v>10713</v>
      </c>
      <c r="C716" s="11" t="s">
        <v>824</v>
      </c>
      <c r="D716" s="2" t="s">
        <v>47</v>
      </c>
      <c r="E716" s="2" t="s">
        <v>833</v>
      </c>
      <c r="F716" s="2" t="s">
        <v>694</v>
      </c>
    </row>
    <row r="717" spans="2:6">
      <c r="B717" s="2">
        <v>10714</v>
      </c>
      <c r="C717" s="11" t="s">
        <v>824</v>
      </c>
      <c r="D717" s="2" t="s">
        <v>50</v>
      </c>
      <c r="E717" s="2" t="s">
        <v>834</v>
      </c>
      <c r="F717" s="2" t="s">
        <v>696</v>
      </c>
    </row>
    <row r="718" spans="2:6">
      <c r="B718" s="2">
        <v>10715</v>
      </c>
      <c r="C718" s="11" t="s">
        <v>824</v>
      </c>
      <c r="D718" s="2" t="s">
        <v>53</v>
      </c>
      <c r="E718" s="2" t="s">
        <v>835</v>
      </c>
      <c r="F718" s="2" t="s">
        <v>698</v>
      </c>
    </row>
    <row r="719" spans="2:6">
      <c r="B719" s="2">
        <v>10716</v>
      </c>
      <c r="C719" s="11" t="s">
        <v>824</v>
      </c>
      <c r="D719" s="2" t="s">
        <v>56</v>
      </c>
      <c r="E719" s="2" t="s">
        <v>509</v>
      </c>
      <c r="F719" s="2" t="s">
        <v>700</v>
      </c>
    </row>
    <row r="720" spans="2:6">
      <c r="B720" s="2">
        <v>10717</v>
      </c>
      <c r="C720" s="11" t="s">
        <v>824</v>
      </c>
      <c r="D720" s="2" t="s">
        <v>59</v>
      </c>
      <c r="E720" s="2" t="s">
        <v>731</v>
      </c>
      <c r="F720" s="2" t="s">
        <v>702</v>
      </c>
    </row>
    <row r="721" spans="2:6">
      <c r="B721" s="2">
        <v>10718</v>
      </c>
      <c r="C721" s="11" t="s">
        <v>824</v>
      </c>
      <c r="D721" s="2" t="s">
        <v>62</v>
      </c>
      <c r="E721" s="2" t="s">
        <v>836</v>
      </c>
      <c r="F721" s="2" t="s">
        <v>704</v>
      </c>
    </row>
    <row r="722" spans="2:6">
      <c r="B722" s="2">
        <v>10719</v>
      </c>
      <c r="C722" s="11" t="s">
        <v>824</v>
      </c>
      <c r="D722" s="2" t="s">
        <v>65</v>
      </c>
      <c r="E722" s="2" t="s">
        <v>837</v>
      </c>
      <c r="F722" s="2" t="s">
        <v>706</v>
      </c>
    </row>
    <row r="723" spans="2:6">
      <c r="B723" s="2">
        <v>10720</v>
      </c>
      <c r="C723" s="11" t="s">
        <v>824</v>
      </c>
      <c r="D723" s="2" t="s">
        <v>68</v>
      </c>
      <c r="E723" s="2" t="s">
        <v>838</v>
      </c>
      <c r="F723" s="2" t="s">
        <v>708</v>
      </c>
    </row>
    <row r="724" spans="2:6">
      <c r="B724" s="2">
        <v>10721</v>
      </c>
      <c r="C724" s="11" t="s">
        <v>824</v>
      </c>
      <c r="D724" s="2" t="s">
        <v>71</v>
      </c>
      <c r="E724" s="2" t="s">
        <v>839</v>
      </c>
      <c r="F724" s="2" t="s">
        <v>710</v>
      </c>
    </row>
    <row r="725" spans="2:6">
      <c r="B725" s="2">
        <v>10722</v>
      </c>
      <c r="C725" s="11" t="s">
        <v>824</v>
      </c>
      <c r="D725" s="2" t="s">
        <v>74</v>
      </c>
      <c r="E725" s="2" t="s">
        <v>840</v>
      </c>
      <c r="F725" s="2" t="s">
        <v>712</v>
      </c>
    </row>
    <row r="726" spans="2:6">
      <c r="B726" s="2">
        <v>10723</v>
      </c>
      <c r="C726" s="11" t="s">
        <v>824</v>
      </c>
      <c r="D726" s="2" t="s">
        <v>77</v>
      </c>
      <c r="E726" s="2" t="s">
        <v>841</v>
      </c>
      <c r="F726" s="2" t="s">
        <v>714</v>
      </c>
    </row>
    <row r="727" spans="2:6">
      <c r="B727" s="2">
        <v>10724</v>
      </c>
      <c r="C727" s="11" t="s">
        <v>824</v>
      </c>
      <c r="D727" s="2" t="s">
        <v>80</v>
      </c>
      <c r="E727" s="2" t="s">
        <v>842</v>
      </c>
      <c r="F727" s="2" t="s">
        <v>716</v>
      </c>
    </row>
    <row r="728" spans="2:6">
      <c r="B728" s="2">
        <v>10725</v>
      </c>
      <c r="C728" s="11" t="s">
        <v>824</v>
      </c>
      <c r="D728" s="2" t="s">
        <v>83</v>
      </c>
      <c r="E728" s="2" t="s">
        <v>741</v>
      </c>
      <c r="F728" s="2" t="s">
        <v>718</v>
      </c>
    </row>
    <row r="729" spans="2:6">
      <c r="B729" s="2">
        <v>10726</v>
      </c>
      <c r="C729" s="11" t="s">
        <v>824</v>
      </c>
      <c r="D729" s="2" t="s">
        <v>86</v>
      </c>
      <c r="E729" s="2" t="s">
        <v>843</v>
      </c>
      <c r="F729" s="2" t="s">
        <v>720</v>
      </c>
    </row>
    <row r="730" spans="2:6">
      <c r="B730" s="2">
        <v>10727</v>
      </c>
      <c r="C730" s="11" t="s">
        <v>824</v>
      </c>
      <c r="D730" s="2" t="s">
        <v>89</v>
      </c>
      <c r="E730" s="2" t="s">
        <v>844</v>
      </c>
      <c r="F730" s="2" t="s">
        <v>722</v>
      </c>
    </row>
    <row r="731" spans="2:6">
      <c r="B731" s="2">
        <v>10728</v>
      </c>
      <c r="C731" s="11" t="s">
        <v>824</v>
      </c>
      <c r="D731" s="2" t="s">
        <v>92</v>
      </c>
      <c r="E731" s="2" t="s">
        <v>845</v>
      </c>
      <c r="F731" s="2" t="s">
        <v>724</v>
      </c>
    </row>
    <row r="732" spans="2:6">
      <c r="B732" s="2">
        <v>10729</v>
      </c>
      <c r="C732" s="11" t="s">
        <v>824</v>
      </c>
      <c r="D732" s="2" t="s">
        <v>95</v>
      </c>
      <c r="E732" s="2" t="s">
        <v>846</v>
      </c>
      <c r="F732" s="2" t="s">
        <v>726</v>
      </c>
    </row>
    <row r="733" spans="2:6">
      <c r="B733" s="2">
        <v>10730</v>
      </c>
      <c r="C733" s="11" t="s">
        <v>824</v>
      </c>
      <c r="D733" s="2" t="s">
        <v>98</v>
      </c>
      <c r="E733" s="2" t="s">
        <v>847</v>
      </c>
      <c r="F733" s="2" t="s">
        <v>728</v>
      </c>
    </row>
    <row r="734" spans="2:6">
      <c r="B734" s="2">
        <v>10731</v>
      </c>
      <c r="C734" s="11" t="s">
        <v>824</v>
      </c>
      <c r="D734" s="2" t="s">
        <v>101</v>
      </c>
      <c r="E734" s="2" t="s">
        <v>848</v>
      </c>
      <c r="F734" s="2" t="s">
        <v>730</v>
      </c>
    </row>
    <row r="735" spans="2:6">
      <c r="B735" s="2">
        <v>10732</v>
      </c>
      <c r="C735" s="11" t="s">
        <v>824</v>
      </c>
      <c r="D735" s="2" t="s">
        <v>104</v>
      </c>
      <c r="E735" s="2" t="s">
        <v>849</v>
      </c>
      <c r="F735" s="2" t="s">
        <v>732</v>
      </c>
    </row>
    <row r="736" spans="2:6">
      <c r="B736" s="2">
        <v>10733</v>
      </c>
      <c r="C736" s="11" t="s">
        <v>824</v>
      </c>
      <c r="D736" s="2" t="s">
        <v>107</v>
      </c>
      <c r="E736" s="2" t="s">
        <v>850</v>
      </c>
      <c r="F736" s="2" t="s">
        <v>734</v>
      </c>
    </row>
    <row r="737" spans="2:6">
      <c r="B737" s="2">
        <v>10734</v>
      </c>
      <c r="C737" s="11" t="s">
        <v>824</v>
      </c>
      <c r="D737" s="2" t="s">
        <v>110</v>
      </c>
      <c r="E737" s="2" t="s">
        <v>851</v>
      </c>
      <c r="F737" s="2" t="s">
        <v>736</v>
      </c>
    </row>
    <row r="738" spans="2:6">
      <c r="B738" s="2">
        <v>10735</v>
      </c>
      <c r="C738" s="11" t="s">
        <v>824</v>
      </c>
      <c r="D738" s="2" t="s">
        <v>113</v>
      </c>
      <c r="E738" s="2" t="s">
        <v>852</v>
      </c>
      <c r="F738" s="2" t="s">
        <v>738</v>
      </c>
    </row>
    <row r="739" spans="2:6">
      <c r="B739" s="2">
        <v>10736</v>
      </c>
      <c r="C739" s="11" t="s">
        <v>824</v>
      </c>
      <c r="D739" s="2" t="s">
        <v>116</v>
      </c>
      <c r="E739" s="2" t="s">
        <v>853</v>
      </c>
      <c r="F739" s="2" t="s">
        <v>740</v>
      </c>
    </row>
    <row r="740" spans="2:6">
      <c r="B740" s="2">
        <v>10737</v>
      </c>
      <c r="C740" s="11" t="s">
        <v>824</v>
      </c>
      <c r="D740" s="2" t="s">
        <v>119</v>
      </c>
      <c r="E740" s="2" t="s">
        <v>854</v>
      </c>
      <c r="F740" s="2" t="s">
        <v>742</v>
      </c>
    </row>
    <row r="741" spans="2:6">
      <c r="B741" s="2">
        <v>10738</v>
      </c>
      <c r="C741" s="11" t="s">
        <v>824</v>
      </c>
      <c r="D741" s="2" t="s">
        <v>122</v>
      </c>
      <c r="E741" s="2" t="s">
        <v>855</v>
      </c>
      <c r="F741" s="2" t="s">
        <v>744</v>
      </c>
    </row>
    <row r="742" spans="2:6">
      <c r="B742" s="2">
        <v>10739</v>
      </c>
      <c r="C742" s="11" t="s">
        <v>824</v>
      </c>
      <c r="D742" s="2" t="s">
        <v>125</v>
      </c>
      <c r="E742" s="2" t="s">
        <v>856</v>
      </c>
      <c r="F742" s="2" t="s">
        <v>746</v>
      </c>
    </row>
    <row r="743" spans="2:6">
      <c r="B743" s="2">
        <v>10740</v>
      </c>
      <c r="C743" s="11" t="s">
        <v>824</v>
      </c>
      <c r="D743" s="2" t="s">
        <v>128</v>
      </c>
      <c r="E743" s="2" t="s">
        <v>857</v>
      </c>
      <c r="F743" s="2" t="s">
        <v>748</v>
      </c>
    </row>
    <row r="744" spans="2:6">
      <c r="B744" s="2">
        <v>10741</v>
      </c>
      <c r="C744" s="11" t="s">
        <v>824</v>
      </c>
      <c r="D744" s="2" t="s">
        <v>131</v>
      </c>
      <c r="E744" s="2" t="s">
        <v>858</v>
      </c>
      <c r="F744" s="2" t="s">
        <v>750</v>
      </c>
    </row>
    <row r="745" spans="2:6">
      <c r="B745" s="2">
        <v>10742</v>
      </c>
      <c r="C745" s="11" t="s">
        <v>824</v>
      </c>
      <c r="D745" s="2" t="s">
        <v>134</v>
      </c>
      <c r="E745" s="2" t="s">
        <v>859</v>
      </c>
      <c r="F745" s="2" t="s">
        <v>752</v>
      </c>
    </row>
    <row r="746" spans="2:6">
      <c r="B746" s="2">
        <v>10743</v>
      </c>
      <c r="C746" s="11" t="s">
        <v>824</v>
      </c>
      <c r="D746" s="2" t="s">
        <v>137</v>
      </c>
      <c r="E746" s="2" t="s">
        <v>860</v>
      </c>
      <c r="F746" s="2" t="s">
        <v>754</v>
      </c>
    </row>
    <row r="747" spans="2:6">
      <c r="B747" s="2">
        <v>10744</v>
      </c>
      <c r="C747" s="11" t="s">
        <v>824</v>
      </c>
      <c r="D747" s="2" t="s">
        <v>140</v>
      </c>
      <c r="E747" s="2" t="s">
        <v>861</v>
      </c>
      <c r="F747" s="2" t="s">
        <v>756</v>
      </c>
    </row>
    <row r="748" spans="2:6">
      <c r="B748" s="2">
        <v>10745</v>
      </c>
      <c r="C748" s="11" t="s">
        <v>824</v>
      </c>
      <c r="D748" s="2" t="s">
        <v>143</v>
      </c>
      <c r="E748" s="2" t="s">
        <v>862</v>
      </c>
      <c r="F748" s="2" t="s">
        <v>758</v>
      </c>
    </row>
    <row r="749" spans="2:6">
      <c r="B749" s="2">
        <v>10746</v>
      </c>
      <c r="C749" s="11" t="s">
        <v>824</v>
      </c>
      <c r="D749" s="2" t="s">
        <v>146</v>
      </c>
      <c r="E749" s="2" t="s">
        <v>863</v>
      </c>
      <c r="F749" s="2" t="s">
        <v>760</v>
      </c>
    </row>
    <row r="750" spans="2:6">
      <c r="B750" s="2">
        <v>10747</v>
      </c>
      <c r="C750" s="11" t="s">
        <v>824</v>
      </c>
      <c r="D750" s="2" t="s">
        <v>149</v>
      </c>
      <c r="E750" s="2" t="s">
        <v>864</v>
      </c>
      <c r="F750" s="2" t="s">
        <v>762</v>
      </c>
    </row>
    <row r="751" spans="2:6">
      <c r="B751" s="2">
        <v>10748</v>
      </c>
      <c r="C751" s="11" t="s">
        <v>824</v>
      </c>
      <c r="D751" s="2" t="s">
        <v>152</v>
      </c>
      <c r="E751" s="2" t="s">
        <v>865</v>
      </c>
      <c r="F751" s="2" t="s">
        <v>764</v>
      </c>
    </row>
    <row r="752" spans="2:6">
      <c r="B752" s="2">
        <v>10749</v>
      </c>
      <c r="C752" s="11" t="s">
        <v>824</v>
      </c>
      <c r="D752" s="2" t="s">
        <v>155</v>
      </c>
      <c r="E752" s="2" t="s">
        <v>866</v>
      </c>
      <c r="F752" s="2" t="s">
        <v>766</v>
      </c>
    </row>
    <row r="753" spans="2:10">
      <c r="B753" s="2">
        <v>10750</v>
      </c>
      <c r="C753" s="11" t="s">
        <v>824</v>
      </c>
      <c r="D753" s="2" t="s">
        <v>158</v>
      </c>
      <c r="E753" s="2" t="s">
        <v>867</v>
      </c>
      <c r="F753" s="2" t="s">
        <v>768</v>
      </c>
    </row>
    <row r="754" spans="2:10">
      <c r="B754" s="2">
        <v>10751</v>
      </c>
      <c r="C754" s="11" t="s">
        <v>824</v>
      </c>
      <c r="D754" s="2" t="s">
        <v>161</v>
      </c>
      <c r="E754" s="2" t="s">
        <v>868</v>
      </c>
      <c r="F754" s="2" t="s">
        <v>770</v>
      </c>
    </row>
    <row r="755" spans="2:10">
      <c r="B755" s="23">
        <v>10752</v>
      </c>
      <c r="C755" s="26" t="s">
        <v>869</v>
      </c>
      <c r="D755" s="23" t="s">
        <v>13</v>
      </c>
      <c r="E755" s="23">
        <v>0</v>
      </c>
      <c r="F755" s="23" t="s">
        <v>870</v>
      </c>
      <c r="I755" s="5" t="s">
        <v>871</v>
      </c>
      <c r="J755" s="2">
        <v>100</v>
      </c>
    </row>
    <row r="756" spans="2:10">
      <c r="B756" s="23">
        <v>10753</v>
      </c>
      <c r="C756" s="26" t="s">
        <v>869</v>
      </c>
      <c r="D756" s="23" t="s">
        <v>17</v>
      </c>
      <c r="E756" s="23">
        <v>10</v>
      </c>
      <c r="F756" s="23" t="s">
        <v>872</v>
      </c>
      <c r="I756" s="5" t="s">
        <v>871</v>
      </c>
      <c r="J756" s="2">
        <v>110</v>
      </c>
    </row>
    <row r="757" spans="2:10">
      <c r="B757" s="23">
        <v>10754</v>
      </c>
      <c r="C757" s="26" t="s">
        <v>869</v>
      </c>
      <c r="D757" s="23" t="s">
        <v>20</v>
      </c>
      <c r="E757" s="23">
        <v>20</v>
      </c>
      <c r="F757" s="23" t="s">
        <v>873</v>
      </c>
      <c r="I757" s="5" t="s">
        <v>871</v>
      </c>
      <c r="J757" s="2">
        <v>120</v>
      </c>
    </row>
    <row r="758" spans="2:10">
      <c r="B758" s="23">
        <v>10755</v>
      </c>
      <c r="C758" s="26" t="s">
        <v>869</v>
      </c>
      <c r="D758" s="23" t="s">
        <v>23</v>
      </c>
      <c r="E758" s="23">
        <v>30</v>
      </c>
      <c r="F758" s="23" t="s">
        <v>874</v>
      </c>
      <c r="I758" s="5" t="s">
        <v>871</v>
      </c>
      <c r="J758" s="2">
        <v>130</v>
      </c>
    </row>
    <row r="759" spans="2:10">
      <c r="B759" s="23">
        <v>10756</v>
      </c>
      <c r="C759" s="26" t="s">
        <v>869</v>
      </c>
      <c r="D759" s="23" t="s">
        <v>26</v>
      </c>
      <c r="E759" s="23">
        <v>40</v>
      </c>
      <c r="F759" s="23" t="s">
        <v>875</v>
      </c>
      <c r="I759" s="5" t="s">
        <v>871</v>
      </c>
      <c r="J759" s="2">
        <v>140</v>
      </c>
    </row>
    <row r="760" spans="2:10">
      <c r="B760" s="23">
        <v>10757</v>
      </c>
      <c r="C760" s="26" t="s">
        <v>869</v>
      </c>
      <c r="D760" s="23" t="s">
        <v>29</v>
      </c>
      <c r="E760" s="23">
        <v>50</v>
      </c>
      <c r="F760" s="23" t="s">
        <v>876</v>
      </c>
      <c r="I760" s="5" t="s">
        <v>871</v>
      </c>
      <c r="J760" s="2">
        <v>150</v>
      </c>
    </row>
    <row r="761" spans="2:10">
      <c r="B761" s="23">
        <v>10758</v>
      </c>
      <c r="C761" s="26" t="s">
        <v>869</v>
      </c>
      <c r="D761" s="23" t="s">
        <v>32</v>
      </c>
      <c r="E761" s="23">
        <v>60</v>
      </c>
      <c r="F761" s="23" t="s">
        <v>877</v>
      </c>
      <c r="I761" s="5" t="s">
        <v>871</v>
      </c>
      <c r="J761" s="2">
        <v>160</v>
      </c>
    </row>
    <row r="762" spans="2:10">
      <c r="B762" s="23">
        <v>10759</v>
      </c>
      <c r="C762" s="26" t="s">
        <v>869</v>
      </c>
      <c r="D762" s="23" t="s">
        <v>35</v>
      </c>
      <c r="E762" s="23">
        <v>70</v>
      </c>
      <c r="F762" s="23" t="s">
        <v>878</v>
      </c>
      <c r="I762" s="5" t="s">
        <v>871</v>
      </c>
      <c r="J762" s="2">
        <v>170</v>
      </c>
    </row>
    <row r="763" spans="2:10">
      <c r="B763" s="23">
        <v>10760</v>
      </c>
      <c r="C763" s="26" t="s">
        <v>869</v>
      </c>
      <c r="D763" s="23" t="s">
        <v>38</v>
      </c>
      <c r="E763" s="23">
        <v>80</v>
      </c>
      <c r="F763" s="23" t="s">
        <v>879</v>
      </c>
      <c r="I763" s="5" t="s">
        <v>871</v>
      </c>
      <c r="J763" s="2">
        <v>180</v>
      </c>
    </row>
    <row r="764" spans="2:10">
      <c r="B764" s="23">
        <v>10761</v>
      </c>
      <c r="C764" s="26" t="s">
        <v>869</v>
      </c>
      <c r="D764" s="23" t="s">
        <v>41</v>
      </c>
      <c r="E764" s="23">
        <v>90</v>
      </c>
      <c r="F764" s="23" t="s">
        <v>880</v>
      </c>
      <c r="I764" s="5" t="s">
        <v>871</v>
      </c>
      <c r="J764" s="2">
        <v>190</v>
      </c>
    </row>
    <row r="765" spans="2:10">
      <c r="B765" s="23">
        <v>10762</v>
      </c>
      <c r="C765" s="26" t="s">
        <v>869</v>
      </c>
      <c r="D765" s="23" t="s">
        <v>44</v>
      </c>
      <c r="E765" s="23">
        <v>100</v>
      </c>
      <c r="F765" s="23" t="s">
        <v>881</v>
      </c>
      <c r="I765" s="5" t="s">
        <v>871</v>
      </c>
      <c r="J765" s="2">
        <v>200</v>
      </c>
    </row>
    <row r="766" spans="2:10">
      <c r="B766" s="23">
        <v>10763</v>
      </c>
      <c r="C766" s="26" t="s">
        <v>869</v>
      </c>
      <c r="D766" s="23" t="s">
        <v>47</v>
      </c>
      <c r="E766" s="23">
        <v>110</v>
      </c>
      <c r="F766" s="23" t="s">
        <v>882</v>
      </c>
      <c r="I766" s="5" t="s">
        <v>871</v>
      </c>
      <c r="J766" s="2">
        <v>210</v>
      </c>
    </row>
    <row r="767" spans="2:10">
      <c r="B767" s="23">
        <v>10764</v>
      </c>
      <c r="C767" s="26" t="s">
        <v>869</v>
      </c>
      <c r="D767" s="23" t="s">
        <v>50</v>
      </c>
      <c r="E767" s="23">
        <v>120</v>
      </c>
      <c r="F767" s="23" t="s">
        <v>883</v>
      </c>
      <c r="I767" s="5" t="s">
        <v>871</v>
      </c>
      <c r="J767" s="2">
        <v>220</v>
      </c>
    </row>
    <row r="768" spans="2:10">
      <c r="B768" s="23">
        <v>10765</v>
      </c>
      <c r="C768" s="26" t="s">
        <v>869</v>
      </c>
      <c r="D768" s="23" t="s">
        <v>53</v>
      </c>
      <c r="E768" s="23">
        <v>130</v>
      </c>
      <c r="F768" s="23" t="s">
        <v>884</v>
      </c>
      <c r="I768" s="5" t="s">
        <v>871</v>
      </c>
      <c r="J768" s="2">
        <v>230</v>
      </c>
    </row>
    <row r="769" spans="2:10">
      <c r="B769" s="23">
        <v>10766</v>
      </c>
      <c r="C769" s="26" t="s">
        <v>869</v>
      </c>
      <c r="D769" s="23" t="s">
        <v>56</v>
      </c>
      <c r="E769" s="23">
        <v>140</v>
      </c>
      <c r="F769" s="23" t="s">
        <v>885</v>
      </c>
      <c r="I769" s="5" t="s">
        <v>871</v>
      </c>
      <c r="J769" s="2">
        <v>240</v>
      </c>
    </row>
    <row r="770" spans="2:10">
      <c r="B770" s="23">
        <v>10767</v>
      </c>
      <c r="C770" s="26" t="s">
        <v>869</v>
      </c>
      <c r="D770" s="23" t="s">
        <v>59</v>
      </c>
      <c r="E770" s="23">
        <v>150</v>
      </c>
      <c r="F770" s="23" t="s">
        <v>886</v>
      </c>
      <c r="I770" s="5" t="s">
        <v>871</v>
      </c>
      <c r="J770" s="2">
        <v>250</v>
      </c>
    </row>
    <row r="771" spans="2:10">
      <c r="B771" s="23">
        <v>10768</v>
      </c>
      <c r="C771" s="26" t="s">
        <v>869</v>
      </c>
      <c r="D771" s="23" t="s">
        <v>62</v>
      </c>
      <c r="E771" s="23">
        <v>160</v>
      </c>
      <c r="F771" s="23" t="s">
        <v>887</v>
      </c>
      <c r="I771" s="5" t="s">
        <v>871</v>
      </c>
      <c r="J771" s="2">
        <v>260</v>
      </c>
    </row>
    <row r="772" spans="2:10">
      <c r="B772" s="23">
        <v>10769</v>
      </c>
      <c r="C772" s="26" t="s">
        <v>869</v>
      </c>
      <c r="D772" s="23" t="s">
        <v>65</v>
      </c>
      <c r="E772" s="23">
        <v>170</v>
      </c>
      <c r="F772" s="23" t="s">
        <v>888</v>
      </c>
      <c r="I772" s="5" t="s">
        <v>871</v>
      </c>
      <c r="J772" s="2">
        <v>270</v>
      </c>
    </row>
    <row r="773" spans="2:10">
      <c r="B773" s="23">
        <v>10770</v>
      </c>
      <c r="C773" s="26" t="s">
        <v>869</v>
      </c>
      <c r="D773" s="23" t="s">
        <v>68</v>
      </c>
      <c r="E773" s="23">
        <v>180</v>
      </c>
      <c r="F773" s="23" t="s">
        <v>889</v>
      </c>
      <c r="I773" s="5" t="s">
        <v>871</v>
      </c>
      <c r="J773" s="2">
        <v>280</v>
      </c>
    </row>
    <row r="774" spans="2:10">
      <c r="B774" s="23">
        <v>10771</v>
      </c>
      <c r="C774" s="26" t="s">
        <v>869</v>
      </c>
      <c r="D774" s="23" t="s">
        <v>71</v>
      </c>
      <c r="E774" s="23">
        <v>190</v>
      </c>
      <c r="F774" s="23" t="s">
        <v>890</v>
      </c>
      <c r="I774" s="5" t="s">
        <v>871</v>
      </c>
      <c r="J774" s="2">
        <v>290</v>
      </c>
    </row>
    <row r="775" spans="2:10">
      <c r="B775" s="23">
        <v>10772</v>
      </c>
      <c r="C775" s="26" t="s">
        <v>869</v>
      </c>
      <c r="D775" s="23" t="s">
        <v>74</v>
      </c>
      <c r="E775" s="23">
        <v>200</v>
      </c>
      <c r="F775" s="23" t="s">
        <v>891</v>
      </c>
      <c r="I775" s="5" t="s">
        <v>871</v>
      </c>
      <c r="J775" s="2">
        <v>300</v>
      </c>
    </row>
    <row r="776" spans="2:10">
      <c r="B776" s="23">
        <v>10773</v>
      </c>
      <c r="C776" s="26" t="s">
        <v>869</v>
      </c>
      <c r="D776" s="23" t="s">
        <v>77</v>
      </c>
      <c r="E776" s="23">
        <v>210</v>
      </c>
      <c r="F776" s="23" t="s">
        <v>892</v>
      </c>
      <c r="I776" s="5" t="s">
        <v>871</v>
      </c>
      <c r="J776" s="2">
        <v>310</v>
      </c>
    </row>
    <row r="777" spans="2:10">
      <c r="B777" s="23">
        <v>10774</v>
      </c>
      <c r="C777" s="26" t="s">
        <v>869</v>
      </c>
      <c r="D777" s="23" t="s">
        <v>80</v>
      </c>
      <c r="E777" s="23">
        <v>220</v>
      </c>
      <c r="F777" s="23" t="s">
        <v>893</v>
      </c>
      <c r="I777" s="5" t="s">
        <v>871</v>
      </c>
      <c r="J777" s="2">
        <v>320</v>
      </c>
    </row>
    <row r="778" spans="2:10">
      <c r="B778" s="23">
        <v>10775</v>
      </c>
      <c r="C778" s="26" t="s">
        <v>869</v>
      </c>
      <c r="D778" s="23" t="s">
        <v>83</v>
      </c>
      <c r="E778" s="23">
        <v>230</v>
      </c>
      <c r="F778" s="23" t="s">
        <v>894</v>
      </c>
      <c r="I778" s="5" t="s">
        <v>871</v>
      </c>
      <c r="J778" s="2">
        <v>330</v>
      </c>
    </row>
    <row r="779" spans="2:10">
      <c r="B779" s="23">
        <v>10776</v>
      </c>
      <c r="C779" s="26" t="s">
        <v>869</v>
      </c>
      <c r="D779" s="23" t="s">
        <v>86</v>
      </c>
      <c r="E779" s="23">
        <v>240</v>
      </c>
      <c r="F779" s="23" t="s">
        <v>895</v>
      </c>
      <c r="I779" s="5" t="s">
        <v>871</v>
      </c>
      <c r="J779" s="2">
        <v>340</v>
      </c>
    </row>
    <row r="780" spans="2:10">
      <c r="B780" s="23">
        <v>10777</v>
      </c>
      <c r="C780" s="26" t="s">
        <v>869</v>
      </c>
      <c r="D780" s="23" t="s">
        <v>89</v>
      </c>
      <c r="E780" s="23">
        <v>250</v>
      </c>
      <c r="F780" s="23" t="s">
        <v>896</v>
      </c>
      <c r="I780" s="5" t="s">
        <v>871</v>
      </c>
      <c r="J780" s="2">
        <v>350</v>
      </c>
    </row>
    <row r="781" spans="2:10">
      <c r="B781" s="23">
        <v>10778</v>
      </c>
      <c r="C781" s="26" t="s">
        <v>869</v>
      </c>
      <c r="D781" s="23" t="s">
        <v>92</v>
      </c>
      <c r="E781" s="23">
        <v>260</v>
      </c>
      <c r="F781" s="23" t="s">
        <v>897</v>
      </c>
      <c r="I781" s="5" t="s">
        <v>871</v>
      </c>
      <c r="J781" s="2">
        <v>360</v>
      </c>
    </row>
    <row r="782" spans="2:10">
      <c r="B782" s="23">
        <v>10779</v>
      </c>
      <c r="C782" s="26" t="s">
        <v>869</v>
      </c>
      <c r="D782" s="23" t="s">
        <v>95</v>
      </c>
      <c r="E782" s="23">
        <v>270</v>
      </c>
      <c r="F782" s="23" t="s">
        <v>898</v>
      </c>
      <c r="I782" s="5" t="s">
        <v>871</v>
      </c>
      <c r="J782" s="2">
        <v>370</v>
      </c>
    </row>
    <row r="783" spans="2:10">
      <c r="B783" s="23">
        <v>10780</v>
      </c>
      <c r="C783" s="26" t="s">
        <v>869</v>
      </c>
      <c r="D783" s="23" t="s">
        <v>98</v>
      </c>
      <c r="E783" s="23">
        <v>280</v>
      </c>
      <c r="F783" s="23" t="s">
        <v>899</v>
      </c>
      <c r="I783" s="5" t="s">
        <v>871</v>
      </c>
      <c r="J783" s="2">
        <v>380</v>
      </c>
    </row>
    <row r="784" spans="2:10">
      <c r="B784" s="23">
        <v>10781</v>
      </c>
      <c r="C784" s="26" t="s">
        <v>869</v>
      </c>
      <c r="D784" s="23" t="s">
        <v>101</v>
      </c>
      <c r="E784" s="23">
        <v>290</v>
      </c>
      <c r="F784" s="23" t="s">
        <v>900</v>
      </c>
      <c r="I784" s="5" t="s">
        <v>871</v>
      </c>
      <c r="J784" s="2">
        <v>390</v>
      </c>
    </row>
    <row r="785" spans="2:10">
      <c r="B785" s="23">
        <v>10782</v>
      </c>
      <c r="C785" s="26" t="s">
        <v>869</v>
      </c>
      <c r="D785" s="23" t="s">
        <v>104</v>
      </c>
      <c r="E785" s="23">
        <v>300</v>
      </c>
      <c r="F785" s="23" t="s">
        <v>901</v>
      </c>
      <c r="I785" s="5" t="s">
        <v>871</v>
      </c>
      <c r="J785" s="2">
        <v>400</v>
      </c>
    </row>
    <row r="786" spans="2:10">
      <c r="B786" s="23">
        <v>10783</v>
      </c>
      <c r="C786" s="26" t="s">
        <v>869</v>
      </c>
      <c r="D786" s="23" t="s">
        <v>107</v>
      </c>
      <c r="E786" s="23">
        <v>310</v>
      </c>
      <c r="F786" s="23" t="s">
        <v>902</v>
      </c>
      <c r="I786" s="5" t="s">
        <v>871</v>
      </c>
      <c r="J786" s="2">
        <v>410</v>
      </c>
    </row>
    <row r="787" spans="2:10">
      <c r="B787" s="23">
        <v>10784</v>
      </c>
      <c r="C787" s="26" t="s">
        <v>869</v>
      </c>
      <c r="D787" s="23" t="s">
        <v>110</v>
      </c>
      <c r="E787" s="23">
        <v>320</v>
      </c>
      <c r="F787" s="23" t="s">
        <v>903</v>
      </c>
      <c r="I787" s="5" t="s">
        <v>871</v>
      </c>
      <c r="J787" s="2">
        <v>420</v>
      </c>
    </row>
    <row r="788" spans="2:10">
      <c r="B788" s="23">
        <v>10785</v>
      </c>
      <c r="C788" s="26" t="s">
        <v>869</v>
      </c>
      <c r="D788" s="23" t="s">
        <v>113</v>
      </c>
      <c r="E788" s="23">
        <v>330</v>
      </c>
      <c r="F788" s="23" t="s">
        <v>904</v>
      </c>
      <c r="I788" s="5" t="s">
        <v>871</v>
      </c>
      <c r="J788" s="2">
        <v>430</v>
      </c>
    </row>
    <row r="789" spans="2:10">
      <c r="B789" s="23">
        <v>10786</v>
      </c>
      <c r="C789" s="26" t="s">
        <v>869</v>
      </c>
      <c r="D789" s="23" t="s">
        <v>116</v>
      </c>
      <c r="E789" s="23">
        <v>340</v>
      </c>
      <c r="F789" s="23" t="s">
        <v>905</v>
      </c>
      <c r="I789" s="5" t="s">
        <v>871</v>
      </c>
      <c r="J789" s="2">
        <v>440</v>
      </c>
    </row>
    <row r="790" spans="2:10">
      <c r="B790" s="23">
        <v>10787</v>
      </c>
      <c r="C790" s="26" t="s">
        <v>869</v>
      </c>
      <c r="D790" s="23" t="s">
        <v>119</v>
      </c>
      <c r="E790" s="23">
        <v>350</v>
      </c>
      <c r="F790" s="23" t="s">
        <v>906</v>
      </c>
      <c r="I790" s="5" t="s">
        <v>871</v>
      </c>
      <c r="J790" s="2">
        <v>450</v>
      </c>
    </row>
    <row r="791" spans="2:10">
      <c r="B791" s="23">
        <v>10788</v>
      </c>
      <c r="C791" s="26" t="s">
        <v>869</v>
      </c>
      <c r="D791" s="23" t="s">
        <v>122</v>
      </c>
      <c r="E791" s="23">
        <v>360</v>
      </c>
      <c r="F791" s="23" t="s">
        <v>907</v>
      </c>
      <c r="I791" s="5" t="s">
        <v>871</v>
      </c>
      <c r="J791" s="2">
        <v>460</v>
      </c>
    </row>
    <row r="792" spans="2:10">
      <c r="B792" s="23">
        <v>10789</v>
      </c>
      <c r="C792" s="26" t="s">
        <v>869</v>
      </c>
      <c r="D792" s="23" t="s">
        <v>125</v>
      </c>
      <c r="E792" s="23">
        <v>370</v>
      </c>
      <c r="F792" s="23" t="s">
        <v>908</v>
      </c>
      <c r="I792" s="5" t="s">
        <v>871</v>
      </c>
      <c r="J792" s="2">
        <v>470</v>
      </c>
    </row>
    <row r="793" spans="2:10">
      <c r="B793" s="23">
        <v>10790</v>
      </c>
      <c r="C793" s="26" t="s">
        <v>869</v>
      </c>
      <c r="D793" s="23" t="s">
        <v>128</v>
      </c>
      <c r="E793" s="23">
        <v>380</v>
      </c>
      <c r="F793" s="23" t="s">
        <v>909</v>
      </c>
      <c r="I793" s="5" t="s">
        <v>871</v>
      </c>
      <c r="J793" s="2">
        <v>480</v>
      </c>
    </row>
    <row r="794" spans="2:10">
      <c r="B794" s="23">
        <v>10791</v>
      </c>
      <c r="C794" s="26" t="s">
        <v>869</v>
      </c>
      <c r="D794" s="23" t="s">
        <v>131</v>
      </c>
      <c r="E794" s="23">
        <v>390</v>
      </c>
      <c r="F794" s="23" t="s">
        <v>910</v>
      </c>
      <c r="I794" s="5" t="s">
        <v>871</v>
      </c>
      <c r="J794" s="2">
        <v>490</v>
      </c>
    </row>
    <row r="795" spans="2:10">
      <c r="B795" s="23">
        <v>10792</v>
      </c>
      <c r="C795" s="26" t="s">
        <v>869</v>
      </c>
      <c r="D795" s="23" t="s">
        <v>134</v>
      </c>
      <c r="E795" s="23">
        <v>400</v>
      </c>
      <c r="F795" s="23" t="s">
        <v>911</v>
      </c>
      <c r="I795" s="5" t="s">
        <v>871</v>
      </c>
      <c r="J795" s="2">
        <v>500</v>
      </c>
    </row>
    <row r="796" spans="2:10">
      <c r="B796" s="23">
        <v>10793</v>
      </c>
      <c r="C796" s="26" t="s">
        <v>869</v>
      </c>
      <c r="D796" s="23" t="s">
        <v>137</v>
      </c>
      <c r="E796" s="23">
        <v>410</v>
      </c>
      <c r="F796" s="23" t="s">
        <v>912</v>
      </c>
      <c r="I796" s="5" t="s">
        <v>871</v>
      </c>
      <c r="J796" s="2">
        <v>510</v>
      </c>
    </row>
    <row r="797" spans="2:10">
      <c r="B797" s="23">
        <v>10794</v>
      </c>
      <c r="C797" s="26" t="s">
        <v>869</v>
      </c>
      <c r="D797" s="23" t="s">
        <v>140</v>
      </c>
      <c r="E797" s="23">
        <v>420</v>
      </c>
      <c r="F797" s="23" t="s">
        <v>913</v>
      </c>
      <c r="I797" s="5" t="s">
        <v>871</v>
      </c>
      <c r="J797" s="2">
        <v>520</v>
      </c>
    </row>
    <row r="798" spans="2:10">
      <c r="B798" s="23">
        <v>10795</v>
      </c>
      <c r="C798" s="26" t="s">
        <v>869</v>
      </c>
      <c r="D798" s="23" t="s">
        <v>143</v>
      </c>
      <c r="E798" s="23">
        <v>430</v>
      </c>
      <c r="F798" s="23" t="s">
        <v>914</v>
      </c>
      <c r="I798" s="5" t="s">
        <v>871</v>
      </c>
      <c r="J798" s="2">
        <v>530</v>
      </c>
    </row>
    <row r="799" spans="2:10">
      <c r="B799" s="23">
        <v>10796</v>
      </c>
      <c r="C799" s="26" t="s">
        <v>869</v>
      </c>
      <c r="D799" s="23" t="s">
        <v>146</v>
      </c>
      <c r="E799" s="23">
        <v>440</v>
      </c>
      <c r="F799" s="23" t="s">
        <v>915</v>
      </c>
      <c r="I799" s="5" t="s">
        <v>871</v>
      </c>
      <c r="J799" s="2">
        <v>540</v>
      </c>
    </row>
    <row r="800" spans="2:10">
      <c r="B800" s="23">
        <v>10797</v>
      </c>
      <c r="C800" s="26" t="s">
        <v>869</v>
      </c>
      <c r="D800" s="23" t="s">
        <v>149</v>
      </c>
      <c r="E800" s="23">
        <v>450</v>
      </c>
      <c r="F800" s="23" t="s">
        <v>916</v>
      </c>
      <c r="I800" s="5" t="s">
        <v>871</v>
      </c>
      <c r="J800" s="2">
        <v>550</v>
      </c>
    </row>
    <row r="801" spans="2:10">
      <c r="B801" s="23">
        <v>10798</v>
      </c>
      <c r="C801" s="26" t="s">
        <v>869</v>
      </c>
      <c r="D801" s="23" t="s">
        <v>152</v>
      </c>
      <c r="E801" s="23">
        <v>460</v>
      </c>
      <c r="F801" s="23" t="s">
        <v>917</v>
      </c>
      <c r="I801" s="5" t="s">
        <v>871</v>
      </c>
      <c r="J801" s="2">
        <v>560</v>
      </c>
    </row>
    <row r="802" spans="2:10">
      <c r="B802" s="23">
        <v>10799</v>
      </c>
      <c r="C802" s="26" t="s">
        <v>869</v>
      </c>
      <c r="D802" s="23" t="s">
        <v>155</v>
      </c>
      <c r="E802" s="23">
        <v>470</v>
      </c>
      <c r="F802" s="23" t="s">
        <v>918</v>
      </c>
      <c r="I802" s="5" t="s">
        <v>871</v>
      </c>
      <c r="J802" s="2">
        <v>570</v>
      </c>
    </row>
    <row r="803" spans="2:10">
      <c r="B803" s="23">
        <v>10800</v>
      </c>
      <c r="C803" s="26" t="s">
        <v>869</v>
      </c>
      <c r="D803" s="23" t="s">
        <v>158</v>
      </c>
      <c r="E803" s="23">
        <v>480</v>
      </c>
      <c r="F803" s="23" t="s">
        <v>919</v>
      </c>
      <c r="I803" s="5" t="s">
        <v>871</v>
      </c>
      <c r="J803" s="2">
        <v>580</v>
      </c>
    </row>
    <row r="804" spans="2:10">
      <c r="B804" s="23">
        <v>10801</v>
      </c>
      <c r="C804" s="26" t="s">
        <v>869</v>
      </c>
      <c r="D804" s="23" t="s">
        <v>161</v>
      </c>
      <c r="E804" s="23">
        <v>490</v>
      </c>
      <c r="F804" s="23" t="s">
        <v>920</v>
      </c>
      <c r="I804" s="5" t="s">
        <v>871</v>
      </c>
      <c r="J804" s="2">
        <v>590</v>
      </c>
    </row>
    <row r="805" spans="2:10">
      <c r="B805" s="2">
        <v>10802</v>
      </c>
      <c r="C805" s="11" t="s">
        <v>921</v>
      </c>
      <c r="D805" s="2" t="s">
        <v>13</v>
      </c>
      <c r="E805" s="2">
        <v>300</v>
      </c>
      <c r="F805" s="2" t="s">
        <v>672</v>
      </c>
    </row>
    <row r="806" spans="2:10">
      <c r="B806" s="2">
        <v>10803</v>
      </c>
      <c r="C806" s="11" t="s">
        <v>921</v>
      </c>
      <c r="D806" s="2" t="s">
        <v>17</v>
      </c>
      <c r="E806" s="2">
        <v>308</v>
      </c>
      <c r="F806" s="2" t="s">
        <v>674</v>
      </c>
    </row>
    <row r="807" spans="2:10">
      <c r="B807" s="2">
        <v>10804</v>
      </c>
      <c r="C807" s="11" t="s">
        <v>921</v>
      </c>
      <c r="D807" s="2" t="s">
        <v>20</v>
      </c>
      <c r="E807" s="2">
        <v>316</v>
      </c>
      <c r="F807" s="2" t="s">
        <v>676</v>
      </c>
    </row>
    <row r="808" spans="2:10">
      <c r="B808" s="2">
        <v>10805</v>
      </c>
      <c r="C808" s="11" t="s">
        <v>921</v>
      </c>
      <c r="D808" s="2" t="s">
        <v>23</v>
      </c>
      <c r="E808" s="2">
        <v>324</v>
      </c>
      <c r="F808" s="2" t="s">
        <v>678</v>
      </c>
    </row>
    <row r="809" spans="2:10">
      <c r="B809" s="2">
        <v>10806</v>
      </c>
      <c r="C809" s="11" t="s">
        <v>921</v>
      </c>
      <c r="D809" s="2" t="s">
        <v>26</v>
      </c>
      <c r="E809" s="2">
        <v>332</v>
      </c>
      <c r="F809" s="2" t="s">
        <v>680</v>
      </c>
    </row>
    <row r="810" spans="2:10">
      <c r="B810" s="2">
        <v>10807</v>
      </c>
      <c r="C810" s="11" t="s">
        <v>921</v>
      </c>
      <c r="D810" s="2" t="s">
        <v>29</v>
      </c>
      <c r="E810" s="2">
        <v>340</v>
      </c>
      <c r="F810" s="2" t="s">
        <v>682</v>
      </c>
    </row>
    <row r="811" spans="2:10">
      <c r="B811" s="2">
        <v>10808</v>
      </c>
      <c r="C811" s="11" t="s">
        <v>921</v>
      </c>
      <c r="D811" s="2" t="s">
        <v>32</v>
      </c>
      <c r="E811" s="2">
        <v>348</v>
      </c>
      <c r="F811" s="2" t="s">
        <v>684</v>
      </c>
    </row>
    <row r="812" spans="2:10">
      <c r="B812" s="2">
        <v>10809</v>
      </c>
      <c r="C812" s="11" t="s">
        <v>921</v>
      </c>
      <c r="D812" s="2" t="s">
        <v>35</v>
      </c>
      <c r="E812" s="2">
        <v>356</v>
      </c>
      <c r="F812" s="2" t="s">
        <v>686</v>
      </c>
    </row>
    <row r="813" spans="2:10">
      <c r="B813" s="2">
        <v>10810</v>
      </c>
      <c r="C813" s="11" t="s">
        <v>921</v>
      </c>
      <c r="D813" s="2" t="s">
        <v>38</v>
      </c>
      <c r="E813" s="2">
        <v>364</v>
      </c>
      <c r="F813" s="2" t="s">
        <v>688</v>
      </c>
    </row>
    <row r="814" spans="2:10">
      <c r="B814" s="2">
        <v>10811</v>
      </c>
      <c r="C814" s="11" t="s">
        <v>921</v>
      </c>
      <c r="D814" s="2" t="s">
        <v>41</v>
      </c>
      <c r="E814" s="2">
        <v>372</v>
      </c>
      <c r="F814" s="2" t="s">
        <v>690</v>
      </c>
    </row>
    <row r="815" spans="2:10">
      <c r="B815" s="2">
        <v>10812</v>
      </c>
      <c r="C815" s="11" t="s">
        <v>921</v>
      </c>
      <c r="D815" s="2" t="s">
        <v>44</v>
      </c>
      <c r="E815" s="2">
        <v>380</v>
      </c>
      <c r="F815" s="2" t="s">
        <v>692</v>
      </c>
    </row>
    <row r="816" spans="2:10">
      <c r="B816" s="2">
        <v>10813</v>
      </c>
      <c r="C816" s="11" t="s">
        <v>921</v>
      </c>
      <c r="D816" s="2" t="s">
        <v>47</v>
      </c>
      <c r="E816" s="2">
        <v>388</v>
      </c>
      <c r="F816" s="2" t="s">
        <v>694</v>
      </c>
    </row>
    <row r="817" spans="2:6">
      <c r="B817" s="2">
        <v>10814</v>
      </c>
      <c r="C817" s="11" t="s">
        <v>921</v>
      </c>
      <c r="D817" s="2" t="s">
        <v>50</v>
      </c>
      <c r="E817" s="2">
        <v>396</v>
      </c>
      <c r="F817" s="2" t="s">
        <v>696</v>
      </c>
    </row>
    <row r="818" spans="2:6">
      <c r="B818" s="2">
        <v>10815</v>
      </c>
      <c r="C818" s="11" t="s">
        <v>921</v>
      </c>
      <c r="D818" s="2" t="s">
        <v>53</v>
      </c>
      <c r="E818" s="2">
        <v>404</v>
      </c>
      <c r="F818" s="2" t="s">
        <v>698</v>
      </c>
    </row>
    <row r="819" spans="2:6">
      <c r="B819" s="2">
        <v>10816</v>
      </c>
      <c r="C819" s="11" t="s">
        <v>921</v>
      </c>
      <c r="D819" s="2" t="s">
        <v>56</v>
      </c>
      <c r="E819" s="2">
        <v>412</v>
      </c>
      <c r="F819" s="2" t="s">
        <v>700</v>
      </c>
    </row>
    <row r="820" spans="2:6">
      <c r="B820" s="2">
        <v>10817</v>
      </c>
      <c r="C820" s="11" t="s">
        <v>921</v>
      </c>
      <c r="D820" s="2" t="s">
        <v>59</v>
      </c>
      <c r="E820" s="2">
        <v>420</v>
      </c>
      <c r="F820" s="2" t="s">
        <v>702</v>
      </c>
    </row>
    <row r="821" spans="2:6">
      <c r="B821" s="2">
        <v>10818</v>
      </c>
      <c r="C821" s="11" t="s">
        <v>921</v>
      </c>
      <c r="D821" s="2" t="s">
        <v>62</v>
      </c>
      <c r="E821" s="2">
        <v>428</v>
      </c>
      <c r="F821" s="2" t="s">
        <v>704</v>
      </c>
    </row>
    <row r="822" spans="2:6">
      <c r="B822" s="2">
        <v>10819</v>
      </c>
      <c r="C822" s="11" t="s">
        <v>921</v>
      </c>
      <c r="D822" s="2" t="s">
        <v>65</v>
      </c>
      <c r="E822" s="2">
        <v>436</v>
      </c>
      <c r="F822" s="2" t="s">
        <v>706</v>
      </c>
    </row>
    <row r="823" spans="2:6">
      <c r="B823" s="2">
        <v>10820</v>
      </c>
      <c r="C823" s="11" t="s">
        <v>921</v>
      </c>
      <c r="D823" s="2" t="s">
        <v>68</v>
      </c>
      <c r="E823" s="2">
        <v>444</v>
      </c>
      <c r="F823" s="2" t="s">
        <v>708</v>
      </c>
    </row>
    <row r="824" spans="2:6">
      <c r="B824" s="2">
        <v>10821</v>
      </c>
      <c r="C824" s="11" t="s">
        <v>921</v>
      </c>
      <c r="D824" s="2" t="s">
        <v>71</v>
      </c>
      <c r="E824" s="2">
        <v>452</v>
      </c>
      <c r="F824" s="2" t="s">
        <v>710</v>
      </c>
    </row>
    <row r="825" spans="2:6">
      <c r="B825" s="2">
        <v>10822</v>
      </c>
      <c r="C825" s="11" t="s">
        <v>921</v>
      </c>
      <c r="D825" s="2" t="s">
        <v>74</v>
      </c>
      <c r="E825" s="2">
        <v>460</v>
      </c>
      <c r="F825" s="2" t="s">
        <v>712</v>
      </c>
    </row>
    <row r="826" spans="2:6">
      <c r="B826" s="2">
        <v>10823</v>
      </c>
      <c r="C826" s="11" t="s">
        <v>921</v>
      </c>
      <c r="D826" s="2" t="s">
        <v>77</v>
      </c>
      <c r="E826" s="2">
        <v>468</v>
      </c>
      <c r="F826" s="2" t="s">
        <v>714</v>
      </c>
    </row>
    <row r="827" spans="2:6">
      <c r="B827" s="2">
        <v>10824</v>
      </c>
      <c r="C827" s="11" t="s">
        <v>921</v>
      </c>
      <c r="D827" s="2" t="s">
        <v>80</v>
      </c>
      <c r="E827" s="2">
        <v>476</v>
      </c>
      <c r="F827" s="2" t="s">
        <v>716</v>
      </c>
    </row>
    <row r="828" spans="2:6">
      <c r="B828" s="2">
        <v>10825</v>
      </c>
      <c r="C828" s="11" t="s">
        <v>921</v>
      </c>
      <c r="D828" s="2" t="s">
        <v>83</v>
      </c>
      <c r="E828" s="2">
        <v>484</v>
      </c>
      <c r="F828" s="2" t="s">
        <v>718</v>
      </c>
    </row>
    <row r="829" spans="2:6">
      <c r="B829" s="2">
        <v>10826</v>
      </c>
      <c r="C829" s="11" t="s">
        <v>921</v>
      </c>
      <c r="D829" s="2" t="s">
        <v>86</v>
      </c>
      <c r="E829" s="2">
        <v>492</v>
      </c>
      <c r="F829" s="2" t="s">
        <v>720</v>
      </c>
    </row>
    <row r="830" spans="2:6">
      <c r="B830" s="2">
        <v>10827</v>
      </c>
      <c r="C830" s="11" t="s">
        <v>921</v>
      </c>
      <c r="D830" s="2" t="s">
        <v>89</v>
      </c>
      <c r="E830" s="2">
        <v>500</v>
      </c>
      <c r="F830" s="2" t="s">
        <v>722</v>
      </c>
    </row>
    <row r="831" spans="2:6">
      <c r="B831" s="2">
        <v>10828</v>
      </c>
      <c r="C831" s="11" t="s">
        <v>921</v>
      </c>
      <c r="D831" s="2" t="s">
        <v>92</v>
      </c>
      <c r="E831" s="2">
        <v>508</v>
      </c>
      <c r="F831" s="2" t="s">
        <v>724</v>
      </c>
    </row>
    <row r="832" spans="2:6">
      <c r="B832" s="2">
        <v>10829</v>
      </c>
      <c r="C832" s="11" t="s">
        <v>921</v>
      </c>
      <c r="D832" s="2" t="s">
        <v>95</v>
      </c>
      <c r="E832" s="2">
        <v>516</v>
      </c>
      <c r="F832" s="2" t="s">
        <v>726</v>
      </c>
    </row>
    <row r="833" spans="2:6">
      <c r="B833" s="2">
        <v>10830</v>
      </c>
      <c r="C833" s="11" t="s">
        <v>921</v>
      </c>
      <c r="D833" s="2" t="s">
        <v>98</v>
      </c>
      <c r="E833" s="2">
        <v>524</v>
      </c>
      <c r="F833" s="2" t="s">
        <v>728</v>
      </c>
    </row>
    <row r="834" spans="2:6">
      <c r="B834" s="2">
        <v>10831</v>
      </c>
      <c r="C834" s="11" t="s">
        <v>921</v>
      </c>
      <c r="D834" s="2" t="s">
        <v>101</v>
      </c>
      <c r="E834" s="2">
        <v>532</v>
      </c>
      <c r="F834" s="2" t="s">
        <v>730</v>
      </c>
    </row>
    <row r="835" spans="2:6">
      <c r="B835" s="2">
        <v>10832</v>
      </c>
      <c r="C835" s="11" t="s">
        <v>921</v>
      </c>
      <c r="D835" s="2" t="s">
        <v>104</v>
      </c>
      <c r="E835" s="2">
        <v>540</v>
      </c>
      <c r="F835" s="2" t="s">
        <v>732</v>
      </c>
    </row>
    <row r="836" spans="2:6">
      <c r="B836" s="2">
        <v>10833</v>
      </c>
      <c r="C836" s="11" t="s">
        <v>921</v>
      </c>
      <c r="D836" s="2" t="s">
        <v>107</v>
      </c>
      <c r="E836" s="2">
        <v>548</v>
      </c>
      <c r="F836" s="2" t="s">
        <v>734</v>
      </c>
    </row>
    <row r="837" spans="2:6">
      <c r="B837" s="2">
        <v>10834</v>
      </c>
      <c r="C837" s="11" t="s">
        <v>921</v>
      </c>
      <c r="D837" s="2" t="s">
        <v>110</v>
      </c>
      <c r="E837" s="2">
        <v>556</v>
      </c>
      <c r="F837" s="2" t="s">
        <v>736</v>
      </c>
    </row>
    <row r="838" spans="2:6">
      <c r="B838" s="2">
        <v>10835</v>
      </c>
      <c r="C838" s="11" t="s">
        <v>921</v>
      </c>
      <c r="D838" s="2" t="s">
        <v>113</v>
      </c>
      <c r="E838" s="2">
        <v>564</v>
      </c>
      <c r="F838" s="2" t="s">
        <v>738</v>
      </c>
    </row>
    <row r="839" spans="2:6">
      <c r="B839" s="2">
        <v>10836</v>
      </c>
      <c r="C839" s="11" t="s">
        <v>921</v>
      </c>
      <c r="D839" s="2" t="s">
        <v>116</v>
      </c>
      <c r="E839" s="2">
        <v>572</v>
      </c>
      <c r="F839" s="2" t="s">
        <v>740</v>
      </c>
    </row>
    <row r="840" spans="2:6">
      <c r="B840" s="2">
        <v>10837</v>
      </c>
      <c r="C840" s="11" t="s">
        <v>921</v>
      </c>
      <c r="D840" s="2" t="s">
        <v>119</v>
      </c>
      <c r="E840" s="2">
        <v>580</v>
      </c>
      <c r="F840" s="2" t="s">
        <v>742</v>
      </c>
    </row>
    <row r="841" spans="2:6">
      <c r="B841" s="2">
        <v>10838</v>
      </c>
      <c r="C841" s="11" t="s">
        <v>921</v>
      </c>
      <c r="D841" s="2" t="s">
        <v>122</v>
      </c>
      <c r="E841" s="2">
        <v>588</v>
      </c>
      <c r="F841" s="2" t="s">
        <v>744</v>
      </c>
    </row>
    <row r="842" spans="2:6">
      <c r="B842" s="2">
        <v>10839</v>
      </c>
      <c r="C842" s="11" t="s">
        <v>921</v>
      </c>
      <c r="D842" s="2" t="s">
        <v>125</v>
      </c>
      <c r="E842" s="2">
        <v>596</v>
      </c>
      <c r="F842" s="2" t="s">
        <v>746</v>
      </c>
    </row>
    <row r="843" spans="2:6">
      <c r="B843" s="2">
        <v>10840</v>
      </c>
      <c r="C843" s="11" t="s">
        <v>921</v>
      </c>
      <c r="D843" s="2" t="s">
        <v>128</v>
      </c>
      <c r="E843" s="2">
        <v>604</v>
      </c>
      <c r="F843" s="2" t="s">
        <v>748</v>
      </c>
    </row>
    <row r="844" spans="2:6">
      <c r="B844" s="2">
        <v>10841</v>
      </c>
      <c r="C844" s="11" t="s">
        <v>921</v>
      </c>
      <c r="D844" s="2" t="s">
        <v>131</v>
      </c>
      <c r="E844" s="2">
        <v>612</v>
      </c>
      <c r="F844" s="2" t="s">
        <v>750</v>
      </c>
    </row>
    <row r="845" spans="2:6">
      <c r="B845" s="2">
        <v>10842</v>
      </c>
      <c r="C845" s="11" t="s">
        <v>921</v>
      </c>
      <c r="D845" s="2" t="s">
        <v>134</v>
      </c>
      <c r="E845" s="2">
        <v>620</v>
      </c>
      <c r="F845" s="2" t="s">
        <v>752</v>
      </c>
    </row>
    <row r="846" spans="2:6">
      <c r="B846" s="2">
        <v>10843</v>
      </c>
      <c r="C846" s="11" t="s">
        <v>921</v>
      </c>
      <c r="D846" s="2" t="s">
        <v>137</v>
      </c>
      <c r="E846" s="2">
        <v>628</v>
      </c>
      <c r="F846" s="2" t="s">
        <v>754</v>
      </c>
    </row>
    <row r="847" spans="2:6">
      <c r="B847" s="2">
        <v>10844</v>
      </c>
      <c r="C847" s="11" t="s">
        <v>921</v>
      </c>
      <c r="D847" s="2" t="s">
        <v>140</v>
      </c>
      <c r="E847" s="2">
        <v>636</v>
      </c>
      <c r="F847" s="2" t="s">
        <v>756</v>
      </c>
    </row>
    <row r="848" spans="2:6">
      <c r="B848" s="2">
        <v>10845</v>
      </c>
      <c r="C848" s="11" t="s">
        <v>921</v>
      </c>
      <c r="D848" s="2" t="s">
        <v>143</v>
      </c>
      <c r="E848" s="2">
        <v>644</v>
      </c>
      <c r="F848" s="2" t="s">
        <v>758</v>
      </c>
    </row>
    <row r="849" spans="2:10">
      <c r="B849" s="2">
        <v>10846</v>
      </c>
      <c r="C849" s="11" t="s">
        <v>921</v>
      </c>
      <c r="D849" s="2" t="s">
        <v>146</v>
      </c>
      <c r="E849" s="2">
        <v>652</v>
      </c>
      <c r="F849" s="2" t="s">
        <v>760</v>
      </c>
    </row>
    <row r="850" spans="2:10">
      <c r="B850" s="2">
        <v>10847</v>
      </c>
      <c r="C850" s="11" t="s">
        <v>921</v>
      </c>
      <c r="D850" s="2" t="s">
        <v>149</v>
      </c>
      <c r="E850" s="2">
        <v>660</v>
      </c>
      <c r="F850" s="2" t="s">
        <v>762</v>
      </c>
    </row>
    <row r="851" spans="2:10">
      <c r="B851" s="2">
        <v>10848</v>
      </c>
      <c r="C851" s="11" t="s">
        <v>921</v>
      </c>
      <c r="D851" s="2" t="s">
        <v>152</v>
      </c>
      <c r="E851" s="2">
        <v>668</v>
      </c>
      <c r="F851" s="2" t="s">
        <v>764</v>
      </c>
    </row>
    <row r="852" spans="2:10">
      <c r="B852" s="2">
        <v>10849</v>
      </c>
      <c r="C852" s="11" t="s">
        <v>921</v>
      </c>
      <c r="D852" s="2" t="s">
        <v>155</v>
      </c>
      <c r="E852" s="2">
        <v>676</v>
      </c>
      <c r="F852" s="2" t="s">
        <v>766</v>
      </c>
    </row>
    <row r="853" s="22" customFormat="1" spans="2:10">
      <c r="B853" s="2">
        <v>10850</v>
      </c>
      <c r="C853" s="11" t="s">
        <v>921</v>
      </c>
      <c r="D853" s="2" t="s">
        <v>158</v>
      </c>
      <c r="E853" s="2">
        <v>684</v>
      </c>
      <c r="F853" s="2" t="s">
        <v>768</v>
      </c>
    </row>
    <row r="854" s="22" customFormat="1" spans="2:10">
      <c r="B854" s="2">
        <v>10851</v>
      </c>
      <c r="C854" s="11" t="s">
        <v>921</v>
      </c>
      <c r="D854" s="2" t="s">
        <v>161</v>
      </c>
      <c r="E854" s="2">
        <v>692</v>
      </c>
      <c r="F854" s="2" t="s">
        <v>770</v>
      </c>
    </row>
    <row r="855" s="22" customFormat="1" spans="2:10">
      <c r="B855" s="22">
        <v>10852</v>
      </c>
      <c r="C855" s="27" t="s">
        <v>922</v>
      </c>
      <c r="D855" s="22" t="s">
        <v>13</v>
      </c>
      <c r="E855" s="28" t="s">
        <v>923</v>
      </c>
      <c r="F855" s="22" t="s">
        <v>256</v>
      </c>
      <c r="I855" s="28" t="s">
        <v>924</v>
      </c>
      <c r="J855" s="28" t="s">
        <v>923</v>
      </c>
    </row>
    <row r="856" s="22" customFormat="1" spans="2:10">
      <c r="B856" s="22">
        <v>10853</v>
      </c>
      <c r="C856" s="27" t="s">
        <v>922</v>
      </c>
      <c r="D856" s="22" t="s">
        <v>17</v>
      </c>
      <c r="E856" s="22" t="s">
        <v>925</v>
      </c>
      <c r="F856" s="22" t="s">
        <v>258</v>
      </c>
      <c r="I856" s="28" t="s">
        <v>924</v>
      </c>
      <c r="J856" s="22" t="s">
        <v>925</v>
      </c>
    </row>
    <row r="857" s="22" customFormat="1" spans="2:10">
      <c r="B857" s="22">
        <v>10854</v>
      </c>
      <c r="C857" s="27" t="s">
        <v>922</v>
      </c>
      <c r="D857" s="22" t="s">
        <v>20</v>
      </c>
      <c r="E857" s="22" t="s">
        <v>926</v>
      </c>
      <c r="F857" s="22" t="s">
        <v>259</v>
      </c>
      <c r="I857" s="28" t="s">
        <v>924</v>
      </c>
      <c r="J857" s="22" t="s">
        <v>926</v>
      </c>
    </row>
    <row r="858" s="22" customFormat="1" spans="2:10">
      <c r="B858" s="22">
        <v>10855</v>
      </c>
      <c r="C858" s="27" t="s">
        <v>922</v>
      </c>
      <c r="D858" s="22" t="s">
        <v>23</v>
      </c>
      <c r="E858" s="22" t="s">
        <v>927</v>
      </c>
      <c r="F858" s="22" t="s">
        <v>260</v>
      </c>
      <c r="I858" s="28" t="s">
        <v>924</v>
      </c>
      <c r="J858" s="22" t="s">
        <v>927</v>
      </c>
    </row>
    <row r="859" s="22" customFormat="1" spans="2:10">
      <c r="B859" s="22">
        <v>10856</v>
      </c>
      <c r="C859" s="27" t="s">
        <v>922</v>
      </c>
      <c r="D859" s="22" t="s">
        <v>26</v>
      </c>
      <c r="E859" s="22" t="s">
        <v>928</v>
      </c>
      <c r="F859" s="22" t="s">
        <v>261</v>
      </c>
      <c r="I859" s="28" t="s">
        <v>924</v>
      </c>
      <c r="J859" s="22" t="s">
        <v>928</v>
      </c>
    </row>
    <row r="860" s="22" customFormat="1" spans="2:10">
      <c r="B860" s="22">
        <v>10857</v>
      </c>
      <c r="C860" s="27" t="s">
        <v>922</v>
      </c>
      <c r="D860" s="22" t="s">
        <v>29</v>
      </c>
      <c r="E860" s="22" t="s">
        <v>929</v>
      </c>
      <c r="F860" s="22" t="s">
        <v>262</v>
      </c>
      <c r="I860" s="28" t="s">
        <v>924</v>
      </c>
      <c r="J860" s="22" t="s">
        <v>929</v>
      </c>
    </row>
    <row r="861" s="22" customFormat="1" spans="2:10">
      <c r="B861" s="22">
        <v>10858</v>
      </c>
      <c r="C861" s="27" t="s">
        <v>922</v>
      </c>
      <c r="D861" s="22" t="s">
        <v>32</v>
      </c>
      <c r="E861" s="22" t="s">
        <v>930</v>
      </c>
      <c r="F861" s="22" t="s">
        <v>263</v>
      </c>
      <c r="I861" s="28" t="s">
        <v>924</v>
      </c>
      <c r="J861" s="22" t="s">
        <v>930</v>
      </c>
    </row>
    <row r="862" s="22" customFormat="1" spans="2:10">
      <c r="B862" s="22">
        <v>10859</v>
      </c>
      <c r="C862" s="27" t="s">
        <v>922</v>
      </c>
      <c r="D862" s="22" t="s">
        <v>35</v>
      </c>
      <c r="E862" s="22" t="s">
        <v>931</v>
      </c>
      <c r="F862" s="22" t="s">
        <v>264</v>
      </c>
      <c r="I862" s="28" t="s">
        <v>924</v>
      </c>
      <c r="J862" s="22" t="s">
        <v>931</v>
      </c>
    </row>
    <row r="863" s="22" customFormat="1" spans="2:10">
      <c r="B863" s="22">
        <v>10860</v>
      </c>
      <c r="C863" s="27" t="s">
        <v>922</v>
      </c>
      <c r="D863" s="22" t="s">
        <v>38</v>
      </c>
      <c r="E863" s="22" t="s">
        <v>932</v>
      </c>
      <c r="F863" s="22" t="s">
        <v>265</v>
      </c>
      <c r="I863" s="28" t="s">
        <v>924</v>
      </c>
      <c r="J863" s="22" t="s">
        <v>932</v>
      </c>
    </row>
    <row r="864" s="22" customFormat="1" spans="2:10">
      <c r="B864" s="22">
        <v>10861</v>
      </c>
      <c r="C864" s="27" t="s">
        <v>922</v>
      </c>
      <c r="D864" s="22" t="s">
        <v>41</v>
      </c>
      <c r="E864" s="22" t="s">
        <v>933</v>
      </c>
      <c r="F864" s="22" t="s">
        <v>266</v>
      </c>
      <c r="I864" s="28" t="s">
        <v>924</v>
      </c>
      <c r="J864" s="22" t="s">
        <v>933</v>
      </c>
    </row>
    <row r="865" s="22" customFormat="1" spans="2:10">
      <c r="B865" s="22">
        <v>10862</v>
      </c>
      <c r="C865" s="27" t="s">
        <v>922</v>
      </c>
      <c r="D865" s="22" t="s">
        <v>44</v>
      </c>
      <c r="E865" s="22" t="s">
        <v>934</v>
      </c>
      <c r="F865" s="22" t="s">
        <v>267</v>
      </c>
      <c r="I865" s="28" t="s">
        <v>924</v>
      </c>
      <c r="J865" s="22" t="s">
        <v>934</v>
      </c>
    </row>
    <row r="866" s="22" customFormat="1" spans="2:10">
      <c r="B866" s="22">
        <v>10863</v>
      </c>
      <c r="C866" s="27" t="s">
        <v>922</v>
      </c>
      <c r="D866" s="22" t="s">
        <v>47</v>
      </c>
      <c r="E866" s="22" t="s">
        <v>935</v>
      </c>
      <c r="F866" s="22" t="s">
        <v>268</v>
      </c>
      <c r="I866" s="28" t="s">
        <v>924</v>
      </c>
      <c r="J866" s="22" t="s">
        <v>935</v>
      </c>
    </row>
    <row r="867" s="22" customFormat="1" spans="2:10">
      <c r="B867" s="22">
        <v>10864</v>
      </c>
      <c r="C867" s="27" t="s">
        <v>922</v>
      </c>
      <c r="D867" s="22" t="s">
        <v>50</v>
      </c>
      <c r="E867" s="22" t="s">
        <v>936</v>
      </c>
      <c r="F867" s="22" t="s">
        <v>269</v>
      </c>
      <c r="I867" s="28" t="s">
        <v>924</v>
      </c>
      <c r="J867" s="22" t="s">
        <v>936</v>
      </c>
    </row>
    <row r="868" s="22" customFormat="1" spans="2:10">
      <c r="B868" s="22">
        <v>10865</v>
      </c>
      <c r="C868" s="27" t="s">
        <v>922</v>
      </c>
      <c r="D868" s="22" t="s">
        <v>53</v>
      </c>
      <c r="E868" s="22" t="s">
        <v>937</v>
      </c>
      <c r="F868" s="22" t="s">
        <v>270</v>
      </c>
      <c r="I868" s="28" t="s">
        <v>924</v>
      </c>
      <c r="J868" s="22" t="s">
        <v>937</v>
      </c>
    </row>
    <row r="869" s="22" customFormat="1" spans="2:10">
      <c r="B869" s="22">
        <v>10866</v>
      </c>
      <c r="C869" s="27" t="s">
        <v>922</v>
      </c>
      <c r="D869" s="22" t="s">
        <v>56</v>
      </c>
      <c r="E869" s="22" t="s">
        <v>938</v>
      </c>
      <c r="F869" s="22" t="s">
        <v>271</v>
      </c>
      <c r="I869" s="28" t="s">
        <v>924</v>
      </c>
      <c r="J869" s="22" t="s">
        <v>938</v>
      </c>
    </row>
    <row r="870" s="22" customFormat="1" spans="2:10">
      <c r="B870" s="22">
        <v>10867</v>
      </c>
      <c r="C870" s="27" t="s">
        <v>922</v>
      </c>
      <c r="D870" s="22" t="s">
        <v>59</v>
      </c>
      <c r="E870" s="22" t="s">
        <v>939</v>
      </c>
      <c r="F870" s="22" t="s">
        <v>272</v>
      </c>
      <c r="I870" s="28" t="s">
        <v>924</v>
      </c>
      <c r="J870" s="22" t="s">
        <v>939</v>
      </c>
    </row>
    <row r="871" s="22" customFormat="1" spans="2:10">
      <c r="B871" s="22">
        <v>10868</v>
      </c>
      <c r="C871" s="27" t="s">
        <v>922</v>
      </c>
      <c r="D871" s="22" t="s">
        <v>62</v>
      </c>
      <c r="E871" s="22" t="s">
        <v>940</v>
      </c>
      <c r="F871" s="22" t="s">
        <v>273</v>
      </c>
      <c r="I871" s="28" t="s">
        <v>924</v>
      </c>
      <c r="J871" s="22" t="s">
        <v>940</v>
      </c>
    </row>
    <row r="872" s="22" customFormat="1" spans="2:10">
      <c r="B872" s="22">
        <v>10869</v>
      </c>
      <c r="C872" s="27" t="s">
        <v>922</v>
      </c>
      <c r="D872" s="22" t="s">
        <v>65</v>
      </c>
      <c r="E872" s="22" t="s">
        <v>941</v>
      </c>
      <c r="F872" s="22" t="s">
        <v>274</v>
      </c>
      <c r="I872" s="28" t="s">
        <v>924</v>
      </c>
      <c r="J872" s="22" t="s">
        <v>941</v>
      </c>
    </row>
    <row r="873" s="22" customFormat="1" spans="2:10">
      <c r="B873" s="22">
        <v>10870</v>
      </c>
      <c r="C873" s="27" t="s">
        <v>922</v>
      </c>
      <c r="D873" s="22" t="s">
        <v>68</v>
      </c>
      <c r="E873" s="22" t="s">
        <v>942</v>
      </c>
      <c r="F873" s="22" t="s">
        <v>275</v>
      </c>
      <c r="I873" s="28" t="s">
        <v>924</v>
      </c>
      <c r="J873" s="22" t="s">
        <v>942</v>
      </c>
    </row>
    <row r="874" s="22" customFormat="1" spans="2:10">
      <c r="B874" s="22">
        <v>10871</v>
      </c>
      <c r="C874" s="27" t="s">
        <v>922</v>
      </c>
      <c r="D874" s="22" t="s">
        <v>71</v>
      </c>
      <c r="E874" s="22" t="s">
        <v>943</v>
      </c>
      <c r="F874" s="22" t="s">
        <v>276</v>
      </c>
      <c r="I874" s="28" t="s">
        <v>924</v>
      </c>
      <c r="J874" s="22" t="s">
        <v>943</v>
      </c>
    </row>
    <row r="875" s="22" customFormat="1" spans="2:10">
      <c r="B875" s="22">
        <v>10872</v>
      </c>
      <c r="C875" s="27" t="s">
        <v>922</v>
      </c>
      <c r="D875" s="22" t="s">
        <v>74</v>
      </c>
      <c r="E875" s="22" t="s">
        <v>944</v>
      </c>
      <c r="F875" s="22" t="s">
        <v>277</v>
      </c>
      <c r="I875" s="28" t="s">
        <v>924</v>
      </c>
      <c r="J875" s="22" t="s">
        <v>944</v>
      </c>
    </row>
    <row r="876" s="22" customFormat="1" spans="2:10">
      <c r="B876" s="22">
        <v>10873</v>
      </c>
      <c r="C876" s="27" t="s">
        <v>922</v>
      </c>
      <c r="D876" s="22" t="s">
        <v>77</v>
      </c>
      <c r="E876" s="22" t="s">
        <v>945</v>
      </c>
      <c r="F876" s="22" t="s">
        <v>278</v>
      </c>
      <c r="I876" s="28" t="s">
        <v>924</v>
      </c>
      <c r="J876" s="22" t="s">
        <v>945</v>
      </c>
    </row>
    <row r="877" s="22" customFormat="1" spans="2:10">
      <c r="B877" s="22">
        <v>10874</v>
      </c>
      <c r="C877" s="27" t="s">
        <v>922</v>
      </c>
      <c r="D877" s="22" t="s">
        <v>80</v>
      </c>
      <c r="E877" s="22" t="s">
        <v>946</v>
      </c>
      <c r="F877" s="22" t="s">
        <v>279</v>
      </c>
      <c r="I877" s="28" t="s">
        <v>924</v>
      </c>
      <c r="J877" s="22" t="s">
        <v>946</v>
      </c>
    </row>
    <row r="878" s="22" customFormat="1" spans="2:10">
      <c r="B878" s="22">
        <v>10875</v>
      </c>
      <c r="C878" s="27" t="s">
        <v>922</v>
      </c>
      <c r="D878" s="22" t="s">
        <v>83</v>
      </c>
      <c r="E878" s="22" t="s">
        <v>947</v>
      </c>
      <c r="F878" s="22" t="s">
        <v>280</v>
      </c>
      <c r="I878" s="28" t="s">
        <v>924</v>
      </c>
      <c r="J878" s="22" t="s">
        <v>947</v>
      </c>
    </row>
    <row r="879" s="22" customFormat="1" spans="2:10">
      <c r="B879" s="22">
        <v>10876</v>
      </c>
      <c r="C879" s="27" t="s">
        <v>922</v>
      </c>
      <c r="D879" s="22" t="s">
        <v>86</v>
      </c>
      <c r="E879" s="22" t="s">
        <v>948</v>
      </c>
      <c r="F879" s="22" t="s">
        <v>281</v>
      </c>
      <c r="I879" s="28" t="s">
        <v>924</v>
      </c>
      <c r="J879" s="22" t="s">
        <v>948</v>
      </c>
    </row>
    <row r="880" s="22" customFormat="1" spans="2:10">
      <c r="B880" s="22">
        <v>10877</v>
      </c>
      <c r="C880" s="27" t="s">
        <v>922</v>
      </c>
      <c r="D880" s="22" t="s">
        <v>89</v>
      </c>
      <c r="E880" s="22" t="s">
        <v>949</v>
      </c>
      <c r="F880" s="22" t="s">
        <v>282</v>
      </c>
      <c r="I880" s="28" t="s">
        <v>924</v>
      </c>
      <c r="J880" s="22" t="s">
        <v>949</v>
      </c>
    </row>
    <row r="881" s="22" customFormat="1" spans="2:10">
      <c r="B881" s="22">
        <v>10878</v>
      </c>
      <c r="C881" s="27" t="s">
        <v>922</v>
      </c>
      <c r="D881" s="22" t="s">
        <v>92</v>
      </c>
      <c r="E881" s="22" t="s">
        <v>950</v>
      </c>
      <c r="F881" s="22" t="s">
        <v>283</v>
      </c>
      <c r="I881" s="28" t="s">
        <v>924</v>
      </c>
      <c r="J881" s="22" t="s">
        <v>950</v>
      </c>
    </row>
    <row r="882" s="22" customFormat="1" spans="2:10">
      <c r="B882" s="22">
        <v>10879</v>
      </c>
      <c r="C882" s="27" t="s">
        <v>922</v>
      </c>
      <c r="D882" s="22" t="s">
        <v>95</v>
      </c>
      <c r="E882" s="22" t="s">
        <v>951</v>
      </c>
      <c r="F882" s="22" t="s">
        <v>284</v>
      </c>
      <c r="I882" s="28" t="s">
        <v>924</v>
      </c>
      <c r="J882" s="22" t="s">
        <v>951</v>
      </c>
    </row>
    <row r="883" s="22" customFormat="1" spans="2:10">
      <c r="B883" s="22">
        <v>10880</v>
      </c>
      <c r="C883" s="27" t="s">
        <v>922</v>
      </c>
      <c r="D883" s="22" t="s">
        <v>98</v>
      </c>
      <c r="E883" s="22" t="s">
        <v>952</v>
      </c>
      <c r="F883" s="22" t="s">
        <v>285</v>
      </c>
      <c r="I883" s="28" t="s">
        <v>924</v>
      </c>
      <c r="J883" s="22" t="s">
        <v>952</v>
      </c>
    </row>
    <row r="884" s="22" customFormat="1" spans="2:10">
      <c r="B884" s="22">
        <v>10881</v>
      </c>
      <c r="C884" s="27" t="s">
        <v>922</v>
      </c>
      <c r="D884" s="22" t="s">
        <v>101</v>
      </c>
      <c r="E884" s="22" t="s">
        <v>953</v>
      </c>
      <c r="F884" s="22" t="s">
        <v>286</v>
      </c>
      <c r="I884" s="28" t="s">
        <v>924</v>
      </c>
      <c r="J884" s="22" t="s">
        <v>953</v>
      </c>
    </row>
    <row r="885" s="22" customFormat="1" spans="2:10">
      <c r="B885" s="22">
        <v>10882</v>
      </c>
      <c r="C885" s="27" t="s">
        <v>922</v>
      </c>
      <c r="D885" s="22" t="s">
        <v>104</v>
      </c>
      <c r="E885" s="22" t="s">
        <v>954</v>
      </c>
      <c r="F885" s="22" t="s">
        <v>287</v>
      </c>
      <c r="I885" s="28" t="s">
        <v>924</v>
      </c>
      <c r="J885" s="22" t="s">
        <v>954</v>
      </c>
    </row>
    <row r="886" s="22" customFormat="1" spans="2:10">
      <c r="B886" s="22">
        <v>10883</v>
      </c>
      <c r="C886" s="27" t="s">
        <v>922</v>
      </c>
      <c r="D886" s="22" t="s">
        <v>107</v>
      </c>
      <c r="E886" s="22" t="s">
        <v>955</v>
      </c>
      <c r="F886" s="22" t="s">
        <v>288</v>
      </c>
      <c r="I886" s="28" t="s">
        <v>924</v>
      </c>
      <c r="J886" s="22" t="s">
        <v>955</v>
      </c>
    </row>
    <row r="887" s="22" customFormat="1" spans="2:10">
      <c r="B887" s="22">
        <v>10884</v>
      </c>
      <c r="C887" s="27" t="s">
        <v>922</v>
      </c>
      <c r="D887" s="22" t="s">
        <v>110</v>
      </c>
      <c r="E887" s="22" t="s">
        <v>956</v>
      </c>
      <c r="F887" s="22" t="s">
        <v>289</v>
      </c>
      <c r="I887" s="28" t="s">
        <v>924</v>
      </c>
      <c r="J887" s="22" t="s">
        <v>956</v>
      </c>
    </row>
    <row r="888" s="22" customFormat="1" spans="2:10">
      <c r="B888" s="22">
        <v>10885</v>
      </c>
      <c r="C888" s="27" t="s">
        <v>922</v>
      </c>
      <c r="D888" s="22" t="s">
        <v>113</v>
      </c>
      <c r="E888" s="22" t="s">
        <v>957</v>
      </c>
      <c r="F888" s="22" t="s">
        <v>290</v>
      </c>
      <c r="I888" s="28" t="s">
        <v>924</v>
      </c>
      <c r="J888" s="22" t="s">
        <v>957</v>
      </c>
    </row>
    <row r="889" s="22" customFormat="1" spans="2:10">
      <c r="B889" s="22">
        <v>10886</v>
      </c>
      <c r="C889" s="27" t="s">
        <v>922</v>
      </c>
      <c r="D889" s="22" t="s">
        <v>116</v>
      </c>
      <c r="E889" s="22" t="s">
        <v>958</v>
      </c>
      <c r="F889" s="22" t="s">
        <v>291</v>
      </c>
      <c r="I889" s="28" t="s">
        <v>924</v>
      </c>
      <c r="J889" s="22" t="s">
        <v>958</v>
      </c>
    </row>
    <row r="890" s="22" customFormat="1" spans="2:10">
      <c r="B890" s="22">
        <v>10887</v>
      </c>
      <c r="C890" s="27" t="s">
        <v>922</v>
      </c>
      <c r="D890" s="22" t="s">
        <v>119</v>
      </c>
      <c r="E890" s="22" t="s">
        <v>959</v>
      </c>
      <c r="F890" s="22" t="s">
        <v>292</v>
      </c>
      <c r="I890" s="28" t="s">
        <v>924</v>
      </c>
      <c r="J890" s="22" t="s">
        <v>959</v>
      </c>
    </row>
    <row r="891" s="22" customFormat="1" spans="2:10">
      <c r="B891" s="22">
        <v>10888</v>
      </c>
      <c r="C891" s="27" t="s">
        <v>922</v>
      </c>
      <c r="D891" s="22" t="s">
        <v>122</v>
      </c>
      <c r="E891" s="22" t="s">
        <v>960</v>
      </c>
      <c r="F891" s="22" t="s">
        <v>293</v>
      </c>
      <c r="I891" s="28" t="s">
        <v>924</v>
      </c>
      <c r="J891" s="22" t="s">
        <v>960</v>
      </c>
    </row>
    <row r="892" s="22" customFormat="1" spans="2:10">
      <c r="B892" s="22">
        <v>10889</v>
      </c>
      <c r="C892" s="27" t="s">
        <v>922</v>
      </c>
      <c r="D892" s="22" t="s">
        <v>125</v>
      </c>
      <c r="E892" s="22" t="s">
        <v>961</v>
      </c>
      <c r="F892" s="22" t="s">
        <v>294</v>
      </c>
      <c r="I892" s="28" t="s">
        <v>924</v>
      </c>
      <c r="J892" s="22" t="s">
        <v>961</v>
      </c>
    </row>
    <row r="893" s="22" customFormat="1" spans="2:10">
      <c r="B893" s="22">
        <v>10890</v>
      </c>
      <c r="C893" s="27" t="s">
        <v>922</v>
      </c>
      <c r="D893" s="22" t="s">
        <v>128</v>
      </c>
      <c r="E893" s="22" t="s">
        <v>962</v>
      </c>
      <c r="F893" s="22" t="s">
        <v>295</v>
      </c>
      <c r="I893" s="28" t="s">
        <v>924</v>
      </c>
      <c r="J893" s="22" t="s">
        <v>962</v>
      </c>
    </row>
    <row r="894" s="22" customFormat="1" spans="2:10">
      <c r="B894" s="22">
        <v>10891</v>
      </c>
      <c r="C894" s="27" t="s">
        <v>922</v>
      </c>
      <c r="D894" s="22" t="s">
        <v>131</v>
      </c>
      <c r="E894" s="22" t="s">
        <v>963</v>
      </c>
      <c r="F894" s="22" t="s">
        <v>296</v>
      </c>
      <c r="I894" s="28" t="s">
        <v>924</v>
      </c>
      <c r="J894" s="22" t="s">
        <v>963</v>
      </c>
    </row>
    <row r="895" s="22" customFormat="1" spans="2:10">
      <c r="B895" s="22">
        <v>10892</v>
      </c>
      <c r="C895" s="27" t="s">
        <v>922</v>
      </c>
      <c r="D895" s="22" t="s">
        <v>134</v>
      </c>
      <c r="E895" s="22" t="s">
        <v>964</v>
      </c>
      <c r="F895" s="22" t="s">
        <v>297</v>
      </c>
      <c r="I895" s="28" t="s">
        <v>924</v>
      </c>
      <c r="J895" s="22" t="s">
        <v>964</v>
      </c>
    </row>
    <row r="896" s="22" customFormat="1" spans="2:10">
      <c r="B896" s="22">
        <v>10893</v>
      </c>
      <c r="C896" s="27" t="s">
        <v>922</v>
      </c>
      <c r="D896" s="22" t="s">
        <v>137</v>
      </c>
      <c r="E896" s="22" t="s">
        <v>965</v>
      </c>
      <c r="F896" s="22" t="s">
        <v>298</v>
      </c>
      <c r="I896" s="28" t="s">
        <v>924</v>
      </c>
      <c r="J896" s="22" t="s">
        <v>965</v>
      </c>
    </row>
    <row r="897" s="22" customFormat="1" spans="2:10">
      <c r="B897" s="22">
        <v>10894</v>
      </c>
      <c r="C897" s="27" t="s">
        <v>922</v>
      </c>
      <c r="D897" s="22" t="s">
        <v>140</v>
      </c>
      <c r="E897" s="22" t="s">
        <v>966</v>
      </c>
      <c r="F897" s="22" t="s">
        <v>299</v>
      </c>
      <c r="I897" s="28" t="s">
        <v>924</v>
      </c>
      <c r="J897" s="22" t="s">
        <v>966</v>
      </c>
    </row>
    <row r="898" s="22" customFormat="1" spans="2:10">
      <c r="B898" s="22">
        <v>10895</v>
      </c>
      <c r="C898" s="27" t="s">
        <v>922</v>
      </c>
      <c r="D898" s="22" t="s">
        <v>143</v>
      </c>
      <c r="E898" s="22" t="s">
        <v>967</v>
      </c>
      <c r="F898" s="22" t="s">
        <v>300</v>
      </c>
      <c r="I898" s="28" t="s">
        <v>924</v>
      </c>
      <c r="J898" s="22" t="s">
        <v>967</v>
      </c>
    </row>
    <row r="899" s="22" customFormat="1" spans="2:10">
      <c r="B899" s="22">
        <v>10896</v>
      </c>
      <c r="C899" s="27" t="s">
        <v>922</v>
      </c>
      <c r="D899" s="22" t="s">
        <v>146</v>
      </c>
      <c r="E899" s="22" t="s">
        <v>968</v>
      </c>
      <c r="F899" s="22" t="s">
        <v>301</v>
      </c>
      <c r="I899" s="28" t="s">
        <v>924</v>
      </c>
      <c r="J899" s="22" t="s">
        <v>968</v>
      </c>
    </row>
    <row r="900" s="22" customFormat="1" spans="2:10">
      <c r="B900" s="22">
        <v>10897</v>
      </c>
      <c r="C900" s="27" t="s">
        <v>922</v>
      </c>
      <c r="D900" s="22" t="s">
        <v>149</v>
      </c>
      <c r="E900" s="22" t="s">
        <v>969</v>
      </c>
      <c r="F900" s="22" t="s">
        <v>302</v>
      </c>
      <c r="I900" s="28" t="s">
        <v>924</v>
      </c>
      <c r="J900" s="22" t="s">
        <v>969</v>
      </c>
    </row>
    <row r="901" s="22" customFormat="1" spans="2:10">
      <c r="B901" s="22">
        <v>10898</v>
      </c>
      <c r="C901" s="27" t="s">
        <v>922</v>
      </c>
      <c r="D901" s="22" t="s">
        <v>152</v>
      </c>
      <c r="E901" s="22" t="s">
        <v>970</v>
      </c>
      <c r="F901" s="22" t="s">
        <v>303</v>
      </c>
      <c r="I901" s="28" t="s">
        <v>924</v>
      </c>
      <c r="J901" s="22" t="s">
        <v>970</v>
      </c>
    </row>
    <row r="902" s="22" customFormat="1" spans="2:10">
      <c r="B902" s="22">
        <v>10899</v>
      </c>
      <c r="C902" s="27" t="s">
        <v>922</v>
      </c>
      <c r="D902" s="22" t="s">
        <v>155</v>
      </c>
      <c r="E902" s="22" t="s">
        <v>971</v>
      </c>
      <c r="F902" s="22" t="s">
        <v>304</v>
      </c>
      <c r="I902" s="28" t="s">
        <v>924</v>
      </c>
      <c r="J902" s="22" t="s">
        <v>971</v>
      </c>
    </row>
    <row r="903" spans="2:10">
      <c r="B903" s="22">
        <v>10900</v>
      </c>
      <c r="C903" s="27" t="s">
        <v>922</v>
      </c>
      <c r="D903" s="22" t="s">
        <v>158</v>
      </c>
      <c r="E903" s="22" t="s">
        <v>972</v>
      </c>
      <c r="F903" s="22" t="s">
        <v>305</v>
      </c>
      <c r="I903" s="28" t="s">
        <v>924</v>
      </c>
      <c r="J903" s="22" t="s">
        <v>972</v>
      </c>
    </row>
    <row r="904" spans="2:10">
      <c r="B904" s="22">
        <v>10901</v>
      </c>
      <c r="C904" s="27" t="s">
        <v>922</v>
      </c>
      <c r="D904" s="22" t="s">
        <v>161</v>
      </c>
      <c r="E904" s="28" t="s">
        <v>973</v>
      </c>
      <c r="F904" s="22" t="s">
        <v>306</v>
      </c>
      <c r="I904" s="28" t="s">
        <v>924</v>
      </c>
      <c r="J904" s="28" t="s">
        <v>973</v>
      </c>
    </row>
    <row r="905" spans="2:10">
      <c r="B905" s="2">
        <v>10902</v>
      </c>
      <c r="C905" s="2" t="s">
        <v>974</v>
      </c>
      <c r="D905" s="2" t="s">
        <v>13</v>
      </c>
      <c r="E905" s="2">
        <v>10</v>
      </c>
      <c r="F905" s="2" t="s">
        <v>256</v>
      </c>
      <c r="I905" s="4" t="s">
        <v>975</v>
      </c>
      <c r="J905" s="2">
        <v>10</v>
      </c>
    </row>
    <row r="906" spans="2:10">
      <c r="B906" s="2">
        <v>10903</v>
      </c>
      <c r="C906" s="2" t="s">
        <v>974</v>
      </c>
      <c r="D906" s="2" t="s">
        <v>17</v>
      </c>
      <c r="E906" s="2">
        <v>12</v>
      </c>
      <c r="F906" s="2" t="s">
        <v>258</v>
      </c>
      <c r="I906" s="4" t="s">
        <v>975</v>
      </c>
      <c r="J906" s="2">
        <v>12</v>
      </c>
    </row>
    <row r="907" spans="2:10">
      <c r="B907" s="2">
        <v>10904</v>
      </c>
      <c r="C907" s="2" t="s">
        <v>974</v>
      </c>
      <c r="D907" s="2" t="s">
        <v>20</v>
      </c>
      <c r="E907" s="2">
        <v>13</v>
      </c>
      <c r="F907" s="2" t="s">
        <v>259</v>
      </c>
      <c r="I907" s="4" t="s">
        <v>975</v>
      </c>
      <c r="J907" s="2">
        <v>13</v>
      </c>
    </row>
    <row r="908" spans="2:10">
      <c r="B908" s="2">
        <v>10905</v>
      </c>
      <c r="C908" s="2" t="s">
        <v>974</v>
      </c>
      <c r="D908" s="2" t="s">
        <v>23</v>
      </c>
      <c r="E908" s="2">
        <v>15</v>
      </c>
      <c r="F908" s="2" t="s">
        <v>260</v>
      </c>
      <c r="I908" s="4" t="s">
        <v>975</v>
      </c>
      <c r="J908" s="2">
        <v>15</v>
      </c>
    </row>
    <row r="909" spans="2:10">
      <c r="B909" s="2">
        <v>10906</v>
      </c>
      <c r="C909" s="2" t="s">
        <v>974</v>
      </c>
      <c r="D909" s="2" t="s">
        <v>26</v>
      </c>
      <c r="E909" s="2">
        <v>16</v>
      </c>
      <c r="F909" s="2" t="s">
        <v>261</v>
      </c>
      <c r="I909" s="4" t="s">
        <v>975</v>
      </c>
      <c r="J909" s="2">
        <v>16</v>
      </c>
    </row>
    <row r="910" spans="2:10">
      <c r="B910" s="2">
        <v>10907</v>
      </c>
      <c r="C910" s="2" t="s">
        <v>974</v>
      </c>
      <c r="D910" s="2" t="s">
        <v>29</v>
      </c>
      <c r="E910" s="2">
        <v>18</v>
      </c>
      <c r="F910" s="2" t="s">
        <v>262</v>
      </c>
      <c r="I910" s="4" t="s">
        <v>975</v>
      </c>
      <c r="J910" s="2">
        <v>18</v>
      </c>
    </row>
    <row r="911" spans="2:10">
      <c r="B911" s="2">
        <v>10908</v>
      </c>
      <c r="C911" s="2" t="s">
        <v>974</v>
      </c>
      <c r="D911" s="2" t="s">
        <v>32</v>
      </c>
      <c r="E911" s="2">
        <v>19</v>
      </c>
      <c r="F911" s="2" t="s">
        <v>263</v>
      </c>
      <c r="I911" s="4" t="s">
        <v>975</v>
      </c>
      <c r="J911" s="2">
        <v>19</v>
      </c>
    </row>
    <row r="912" spans="2:10">
      <c r="B912" s="2">
        <v>10909</v>
      </c>
      <c r="C912" s="2" t="s">
        <v>974</v>
      </c>
      <c r="D912" s="2" t="s">
        <v>35</v>
      </c>
      <c r="E912" s="2">
        <v>21</v>
      </c>
      <c r="F912" s="2" t="s">
        <v>264</v>
      </c>
      <c r="I912" s="4" t="s">
        <v>975</v>
      </c>
      <c r="J912" s="2">
        <v>21</v>
      </c>
    </row>
    <row r="913" spans="2:10">
      <c r="B913" s="2">
        <v>10910</v>
      </c>
      <c r="C913" s="2" t="s">
        <v>974</v>
      </c>
      <c r="D913" s="2" t="s">
        <v>38</v>
      </c>
      <c r="E913" s="2">
        <v>22</v>
      </c>
      <c r="F913" s="2" t="s">
        <v>265</v>
      </c>
      <c r="I913" s="4" t="s">
        <v>975</v>
      </c>
      <c r="J913" s="2">
        <v>22</v>
      </c>
    </row>
    <row r="914" spans="2:10">
      <c r="B914" s="2">
        <v>10911</v>
      </c>
      <c r="C914" s="2" t="s">
        <v>974</v>
      </c>
      <c r="D914" s="2" t="s">
        <v>41</v>
      </c>
      <c r="E914" s="2">
        <v>24</v>
      </c>
      <c r="F914" s="2" t="s">
        <v>266</v>
      </c>
      <c r="I914" s="4" t="s">
        <v>975</v>
      </c>
      <c r="J914" s="2">
        <v>24</v>
      </c>
    </row>
    <row r="915" spans="2:10">
      <c r="B915" s="2">
        <v>10912</v>
      </c>
      <c r="C915" s="2" t="s">
        <v>974</v>
      </c>
      <c r="D915" s="2" t="s">
        <v>44</v>
      </c>
      <c r="E915" s="2">
        <v>25</v>
      </c>
      <c r="F915" s="2" t="s">
        <v>267</v>
      </c>
      <c r="I915" s="4" t="s">
        <v>975</v>
      </c>
      <c r="J915" s="2">
        <v>25</v>
      </c>
    </row>
    <row r="916" spans="2:10">
      <c r="B916" s="2">
        <v>10913</v>
      </c>
      <c r="C916" s="2" t="s">
        <v>974</v>
      </c>
      <c r="D916" s="2" t="s">
        <v>47</v>
      </c>
      <c r="E916" s="2">
        <v>27</v>
      </c>
      <c r="F916" s="2" t="s">
        <v>268</v>
      </c>
      <c r="I916" s="4" t="s">
        <v>975</v>
      </c>
      <c r="J916" s="2">
        <v>27</v>
      </c>
    </row>
    <row r="917" spans="2:10">
      <c r="B917" s="2">
        <v>10914</v>
      </c>
      <c r="C917" s="2" t="s">
        <v>974</v>
      </c>
      <c r="D917" s="2" t="s">
        <v>50</v>
      </c>
      <c r="E917" s="2">
        <v>28</v>
      </c>
      <c r="F917" s="2" t="s">
        <v>269</v>
      </c>
      <c r="I917" s="4" t="s">
        <v>975</v>
      </c>
      <c r="J917" s="2">
        <v>28</v>
      </c>
    </row>
    <row r="918" spans="2:10">
      <c r="B918" s="2">
        <v>10915</v>
      </c>
      <c r="C918" s="2" t="s">
        <v>974</v>
      </c>
      <c r="D918" s="2" t="s">
        <v>53</v>
      </c>
      <c r="E918" s="2">
        <v>30</v>
      </c>
      <c r="F918" s="2" t="s">
        <v>270</v>
      </c>
      <c r="I918" s="4" t="s">
        <v>975</v>
      </c>
      <c r="J918" s="2">
        <v>30</v>
      </c>
    </row>
    <row r="919" spans="2:10">
      <c r="B919" s="2">
        <v>10916</v>
      </c>
      <c r="C919" s="2" t="s">
        <v>974</v>
      </c>
      <c r="D919" s="2" t="s">
        <v>56</v>
      </c>
      <c r="E919" s="2">
        <v>31</v>
      </c>
      <c r="F919" s="2" t="s">
        <v>271</v>
      </c>
      <c r="I919" s="4" t="s">
        <v>975</v>
      </c>
      <c r="J919" s="2">
        <v>31</v>
      </c>
    </row>
    <row r="920" spans="2:10">
      <c r="B920" s="2">
        <v>10917</v>
      </c>
      <c r="C920" s="2" t="s">
        <v>974</v>
      </c>
      <c r="D920" s="2" t="s">
        <v>59</v>
      </c>
      <c r="E920" s="2">
        <v>33</v>
      </c>
      <c r="F920" s="2" t="s">
        <v>272</v>
      </c>
      <c r="I920" s="4" t="s">
        <v>975</v>
      </c>
      <c r="J920" s="2">
        <v>33</v>
      </c>
    </row>
    <row r="921" spans="2:10">
      <c r="B921" s="2">
        <v>10918</v>
      </c>
      <c r="C921" s="2" t="s">
        <v>974</v>
      </c>
      <c r="D921" s="2" t="s">
        <v>62</v>
      </c>
      <c r="E921" s="2">
        <v>34</v>
      </c>
      <c r="F921" s="2" t="s">
        <v>273</v>
      </c>
      <c r="I921" s="4" t="s">
        <v>975</v>
      </c>
      <c r="J921" s="2">
        <v>34</v>
      </c>
    </row>
    <row r="922" spans="2:10">
      <c r="B922" s="2">
        <v>10919</v>
      </c>
      <c r="C922" s="2" t="s">
        <v>974</v>
      </c>
      <c r="D922" s="2" t="s">
        <v>65</v>
      </c>
      <c r="E922" s="2">
        <v>36</v>
      </c>
      <c r="F922" s="2" t="s">
        <v>274</v>
      </c>
      <c r="I922" s="4" t="s">
        <v>975</v>
      </c>
      <c r="J922" s="2">
        <v>36</v>
      </c>
    </row>
    <row r="923" spans="2:10">
      <c r="B923" s="2">
        <v>10920</v>
      </c>
      <c r="C923" s="2" t="s">
        <v>974</v>
      </c>
      <c r="D923" s="2" t="s">
        <v>68</v>
      </c>
      <c r="E923" s="2">
        <v>37</v>
      </c>
      <c r="F923" s="2" t="s">
        <v>275</v>
      </c>
      <c r="I923" s="4" t="s">
        <v>975</v>
      </c>
      <c r="J923" s="2">
        <v>37</v>
      </c>
    </row>
    <row r="924" spans="2:10">
      <c r="B924" s="2">
        <v>10921</v>
      </c>
      <c r="C924" s="2" t="s">
        <v>974</v>
      </c>
      <c r="D924" s="2" t="s">
        <v>71</v>
      </c>
      <c r="E924" s="2">
        <v>39</v>
      </c>
      <c r="F924" s="2" t="s">
        <v>276</v>
      </c>
      <c r="I924" s="4" t="s">
        <v>975</v>
      </c>
      <c r="J924" s="2">
        <v>39</v>
      </c>
    </row>
    <row r="925" spans="2:10">
      <c r="B925" s="2">
        <v>10922</v>
      </c>
      <c r="C925" s="2" t="s">
        <v>974</v>
      </c>
      <c r="D925" s="2" t="s">
        <v>74</v>
      </c>
      <c r="E925" s="2">
        <v>40</v>
      </c>
      <c r="F925" s="2" t="s">
        <v>277</v>
      </c>
      <c r="I925" s="4" t="s">
        <v>975</v>
      </c>
      <c r="J925" s="2">
        <v>40</v>
      </c>
    </row>
    <row r="926" spans="2:10">
      <c r="B926" s="2">
        <v>10923</v>
      </c>
      <c r="C926" s="2" t="s">
        <v>974</v>
      </c>
      <c r="D926" s="2" t="s">
        <v>77</v>
      </c>
      <c r="E926" s="2">
        <v>42</v>
      </c>
      <c r="F926" s="2" t="s">
        <v>278</v>
      </c>
      <c r="I926" s="4" t="s">
        <v>975</v>
      </c>
      <c r="J926" s="2">
        <v>42</v>
      </c>
    </row>
    <row r="927" spans="2:10">
      <c r="B927" s="2">
        <v>10924</v>
      </c>
      <c r="C927" s="2" t="s">
        <v>974</v>
      </c>
      <c r="D927" s="2" t="s">
        <v>80</v>
      </c>
      <c r="E927" s="2">
        <v>43</v>
      </c>
      <c r="F927" s="2" t="s">
        <v>279</v>
      </c>
      <c r="I927" s="4" t="s">
        <v>975</v>
      </c>
      <c r="J927" s="2">
        <v>43</v>
      </c>
    </row>
    <row r="928" spans="2:10">
      <c r="B928" s="2">
        <v>10925</v>
      </c>
      <c r="C928" s="2" t="s">
        <v>974</v>
      </c>
      <c r="D928" s="2" t="s">
        <v>83</v>
      </c>
      <c r="E928" s="2">
        <v>45</v>
      </c>
      <c r="F928" s="2" t="s">
        <v>280</v>
      </c>
      <c r="I928" s="4" t="s">
        <v>975</v>
      </c>
      <c r="J928" s="2">
        <v>45</v>
      </c>
    </row>
    <row r="929" spans="2:10">
      <c r="B929" s="2">
        <v>10926</v>
      </c>
      <c r="C929" s="2" t="s">
        <v>974</v>
      </c>
      <c r="D929" s="2" t="s">
        <v>86</v>
      </c>
      <c r="E929" s="2">
        <v>46</v>
      </c>
      <c r="F929" s="2" t="s">
        <v>281</v>
      </c>
      <c r="I929" s="4" t="s">
        <v>975</v>
      </c>
      <c r="J929" s="2">
        <v>46</v>
      </c>
    </row>
    <row r="930" spans="2:10">
      <c r="B930" s="2">
        <v>10927</v>
      </c>
      <c r="C930" s="2" t="s">
        <v>974</v>
      </c>
      <c r="D930" s="2" t="s">
        <v>89</v>
      </c>
      <c r="E930" s="2">
        <v>48</v>
      </c>
      <c r="F930" s="2" t="s">
        <v>282</v>
      </c>
      <c r="I930" s="4" t="s">
        <v>975</v>
      </c>
      <c r="J930" s="2">
        <v>48</v>
      </c>
    </row>
    <row r="931" spans="2:10">
      <c r="B931" s="2">
        <v>10928</v>
      </c>
      <c r="C931" s="2" t="s">
        <v>974</v>
      </c>
      <c r="D931" s="2" t="s">
        <v>92</v>
      </c>
      <c r="E931" s="2">
        <v>49</v>
      </c>
      <c r="F931" s="2" t="s">
        <v>283</v>
      </c>
      <c r="I931" s="4" t="s">
        <v>975</v>
      </c>
      <c r="J931" s="2">
        <v>49</v>
      </c>
    </row>
    <row r="932" spans="2:10">
      <c r="B932" s="2">
        <v>10929</v>
      </c>
      <c r="C932" s="2" t="s">
        <v>974</v>
      </c>
      <c r="D932" s="2" t="s">
        <v>95</v>
      </c>
      <c r="E932" s="2">
        <v>51</v>
      </c>
      <c r="F932" s="2" t="s">
        <v>284</v>
      </c>
      <c r="I932" s="4" t="s">
        <v>975</v>
      </c>
      <c r="J932" s="2">
        <v>51</v>
      </c>
    </row>
    <row r="933" spans="2:10">
      <c r="B933" s="2">
        <v>10930</v>
      </c>
      <c r="C933" s="2" t="s">
        <v>974</v>
      </c>
      <c r="D933" s="2" t="s">
        <v>98</v>
      </c>
      <c r="E933" s="2">
        <v>52</v>
      </c>
      <c r="F933" s="2" t="s">
        <v>285</v>
      </c>
      <c r="I933" s="4" t="s">
        <v>975</v>
      </c>
      <c r="J933" s="2">
        <v>52</v>
      </c>
    </row>
    <row r="934" spans="2:10">
      <c r="B934" s="2">
        <v>10931</v>
      </c>
      <c r="C934" s="2" t="s">
        <v>974</v>
      </c>
      <c r="D934" s="2" t="s">
        <v>101</v>
      </c>
      <c r="E934" s="2">
        <v>54</v>
      </c>
      <c r="F934" s="2" t="s">
        <v>286</v>
      </c>
      <c r="I934" s="4" t="s">
        <v>975</v>
      </c>
      <c r="J934" s="2">
        <v>54</v>
      </c>
    </row>
    <row r="935" spans="2:10">
      <c r="B935" s="2">
        <v>10932</v>
      </c>
      <c r="C935" s="2" t="s">
        <v>974</v>
      </c>
      <c r="D935" s="2" t="s">
        <v>104</v>
      </c>
      <c r="E935" s="2">
        <v>55</v>
      </c>
      <c r="F935" s="2" t="s">
        <v>287</v>
      </c>
      <c r="I935" s="4" t="s">
        <v>975</v>
      </c>
      <c r="J935" s="2">
        <v>55</v>
      </c>
    </row>
    <row r="936" spans="2:10">
      <c r="B936" s="2">
        <v>10933</v>
      </c>
      <c r="C936" s="2" t="s">
        <v>974</v>
      </c>
      <c r="D936" s="2" t="s">
        <v>107</v>
      </c>
      <c r="E936" s="2">
        <v>57</v>
      </c>
      <c r="F936" s="2" t="s">
        <v>288</v>
      </c>
      <c r="I936" s="4" t="s">
        <v>975</v>
      </c>
      <c r="J936" s="2">
        <v>57</v>
      </c>
    </row>
    <row r="937" spans="2:10">
      <c r="B937" s="2">
        <v>10934</v>
      </c>
      <c r="C937" s="2" t="s">
        <v>974</v>
      </c>
      <c r="D937" s="2" t="s">
        <v>110</v>
      </c>
      <c r="E937" s="2">
        <v>58</v>
      </c>
      <c r="F937" s="2" t="s">
        <v>289</v>
      </c>
      <c r="I937" s="4" t="s">
        <v>975</v>
      </c>
      <c r="J937" s="2">
        <v>58</v>
      </c>
    </row>
    <row r="938" spans="2:10">
      <c r="B938" s="2">
        <v>10935</v>
      </c>
      <c r="C938" s="2" t="s">
        <v>974</v>
      </c>
      <c r="D938" s="2" t="s">
        <v>113</v>
      </c>
      <c r="E938" s="2">
        <v>60</v>
      </c>
      <c r="F938" s="2" t="s">
        <v>290</v>
      </c>
      <c r="I938" s="4" t="s">
        <v>975</v>
      </c>
      <c r="J938" s="2">
        <v>60</v>
      </c>
    </row>
    <row r="939" spans="2:10">
      <c r="B939" s="2">
        <v>10936</v>
      </c>
      <c r="C939" s="2" t="s">
        <v>974</v>
      </c>
      <c r="D939" s="2" t="s">
        <v>116</v>
      </c>
      <c r="E939" s="2">
        <v>61</v>
      </c>
      <c r="F939" s="2" t="s">
        <v>291</v>
      </c>
      <c r="I939" s="4" t="s">
        <v>975</v>
      </c>
      <c r="J939" s="2">
        <v>61</v>
      </c>
    </row>
    <row r="940" spans="2:10">
      <c r="B940" s="2">
        <v>10937</v>
      </c>
      <c r="C940" s="2" t="s">
        <v>974</v>
      </c>
      <c r="D940" s="2" t="s">
        <v>119</v>
      </c>
      <c r="E940" s="2">
        <v>63</v>
      </c>
      <c r="F940" s="2" t="s">
        <v>292</v>
      </c>
      <c r="I940" s="4" t="s">
        <v>975</v>
      </c>
      <c r="J940" s="2">
        <v>63</v>
      </c>
    </row>
    <row r="941" spans="2:10">
      <c r="B941" s="2">
        <v>10938</v>
      </c>
      <c r="C941" s="2" t="s">
        <v>974</v>
      </c>
      <c r="D941" s="2" t="s">
        <v>122</v>
      </c>
      <c r="E941" s="2">
        <v>64</v>
      </c>
      <c r="F941" s="2" t="s">
        <v>293</v>
      </c>
      <c r="I941" s="4" t="s">
        <v>975</v>
      </c>
      <c r="J941" s="2">
        <v>64</v>
      </c>
    </row>
    <row r="942" spans="2:10">
      <c r="B942" s="2">
        <v>10939</v>
      </c>
      <c r="C942" s="2" t="s">
        <v>974</v>
      </c>
      <c r="D942" s="2" t="s">
        <v>125</v>
      </c>
      <c r="E942" s="2">
        <v>66</v>
      </c>
      <c r="F942" s="2" t="s">
        <v>294</v>
      </c>
      <c r="I942" s="4" t="s">
        <v>975</v>
      </c>
      <c r="J942" s="2">
        <v>66</v>
      </c>
    </row>
    <row r="943" spans="2:10">
      <c r="B943" s="2">
        <v>10940</v>
      </c>
      <c r="C943" s="2" t="s">
        <v>974</v>
      </c>
      <c r="D943" s="2" t="s">
        <v>128</v>
      </c>
      <c r="E943" s="2">
        <v>67</v>
      </c>
      <c r="F943" s="2" t="s">
        <v>295</v>
      </c>
      <c r="I943" s="4" t="s">
        <v>975</v>
      </c>
      <c r="J943" s="2">
        <v>67</v>
      </c>
    </row>
    <row r="944" spans="2:10">
      <c r="B944" s="2">
        <v>10941</v>
      </c>
      <c r="C944" s="2" t="s">
        <v>974</v>
      </c>
      <c r="D944" s="2" t="s">
        <v>131</v>
      </c>
      <c r="E944" s="2">
        <v>69</v>
      </c>
      <c r="F944" s="2" t="s">
        <v>296</v>
      </c>
      <c r="I944" s="4" t="s">
        <v>975</v>
      </c>
      <c r="J944" s="2">
        <v>69</v>
      </c>
    </row>
    <row r="945" spans="2:10">
      <c r="B945" s="2">
        <v>10942</v>
      </c>
      <c r="C945" s="2" t="s">
        <v>974</v>
      </c>
      <c r="D945" s="2" t="s">
        <v>134</v>
      </c>
      <c r="E945" s="2">
        <v>70</v>
      </c>
      <c r="F945" s="2" t="s">
        <v>297</v>
      </c>
      <c r="I945" s="4" t="s">
        <v>975</v>
      </c>
      <c r="J945" s="2">
        <v>70</v>
      </c>
    </row>
    <row r="946" spans="2:10">
      <c r="B946" s="2">
        <v>10943</v>
      </c>
      <c r="C946" s="2" t="s">
        <v>974</v>
      </c>
      <c r="D946" s="2" t="s">
        <v>137</v>
      </c>
      <c r="E946" s="2">
        <v>72</v>
      </c>
      <c r="F946" s="2" t="s">
        <v>298</v>
      </c>
      <c r="I946" s="4" t="s">
        <v>975</v>
      </c>
      <c r="J946" s="2">
        <v>72</v>
      </c>
    </row>
    <row r="947" spans="2:10">
      <c r="B947" s="2">
        <v>10944</v>
      </c>
      <c r="C947" s="2" t="s">
        <v>974</v>
      </c>
      <c r="D947" s="2" t="s">
        <v>140</v>
      </c>
      <c r="E947" s="2">
        <v>73</v>
      </c>
      <c r="F947" s="2" t="s">
        <v>299</v>
      </c>
      <c r="I947" s="4" t="s">
        <v>975</v>
      </c>
      <c r="J947" s="2">
        <v>73</v>
      </c>
    </row>
    <row r="948" spans="2:10">
      <c r="B948" s="2">
        <v>10945</v>
      </c>
      <c r="C948" s="2" t="s">
        <v>974</v>
      </c>
      <c r="D948" s="2" t="s">
        <v>143</v>
      </c>
      <c r="E948" s="2">
        <v>75</v>
      </c>
      <c r="F948" s="2" t="s">
        <v>300</v>
      </c>
      <c r="I948" s="4" t="s">
        <v>975</v>
      </c>
      <c r="J948" s="2">
        <v>75</v>
      </c>
    </row>
    <row r="949" spans="2:10">
      <c r="B949" s="2">
        <v>10946</v>
      </c>
      <c r="C949" s="2" t="s">
        <v>974</v>
      </c>
      <c r="D949" s="2" t="s">
        <v>146</v>
      </c>
      <c r="E949" s="2">
        <v>76</v>
      </c>
      <c r="F949" s="2" t="s">
        <v>301</v>
      </c>
      <c r="I949" s="4" t="s">
        <v>975</v>
      </c>
      <c r="J949" s="2">
        <v>76</v>
      </c>
    </row>
    <row r="950" spans="2:10">
      <c r="B950" s="2">
        <v>10947</v>
      </c>
      <c r="C950" s="2" t="s">
        <v>974</v>
      </c>
      <c r="D950" s="2" t="s">
        <v>149</v>
      </c>
      <c r="E950" s="2">
        <v>78</v>
      </c>
      <c r="F950" s="2" t="s">
        <v>302</v>
      </c>
      <c r="I950" s="4" t="s">
        <v>975</v>
      </c>
      <c r="J950" s="2">
        <v>78</v>
      </c>
    </row>
    <row r="951" spans="2:10">
      <c r="B951" s="2">
        <v>10948</v>
      </c>
      <c r="C951" s="2" t="s">
        <v>974</v>
      </c>
      <c r="D951" s="2" t="s">
        <v>152</v>
      </c>
      <c r="E951" s="2">
        <v>79</v>
      </c>
      <c r="F951" s="2" t="s">
        <v>303</v>
      </c>
      <c r="I951" s="4" t="s">
        <v>975</v>
      </c>
      <c r="J951" s="2">
        <v>79</v>
      </c>
    </row>
    <row r="952" spans="2:10">
      <c r="B952" s="2">
        <v>10949</v>
      </c>
      <c r="C952" s="2" t="s">
        <v>974</v>
      </c>
      <c r="D952" s="2" t="s">
        <v>155</v>
      </c>
      <c r="E952" s="2">
        <v>81</v>
      </c>
      <c r="F952" s="2" t="s">
        <v>304</v>
      </c>
      <c r="I952" s="4" t="s">
        <v>975</v>
      </c>
      <c r="J952" s="2">
        <v>81</v>
      </c>
    </row>
    <row r="953" spans="2:10">
      <c r="B953" s="2">
        <v>10950</v>
      </c>
      <c r="C953" s="2" t="s">
        <v>974</v>
      </c>
      <c r="D953" s="2" t="s">
        <v>158</v>
      </c>
      <c r="E953" s="2">
        <v>82</v>
      </c>
      <c r="F953" s="2" t="s">
        <v>305</v>
      </c>
      <c r="I953" s="4" t="s">
        <v>975</v>
      </c>
      <c r="J953" s="2">
        <v>82</v>
      </c>
    </row>
    <row r="954" spans="2:10">
      <c r="B954" s="2">
        <v>10951</v>
      </c>
      <c r="C954" s="2" t="s">
        <v>974</v>
      </c>
      <c r="D954" s="2" t="s">
        <v>161</v>
      </c>
      <c r="E954" s="2">
        <v>84</v>
      </c>
      <c r="F954" s="2" t="s">
        <v>306</v>
      </c>
      <c r="I954" s="4" t="s">
        <v>975</v>
      </c>
      <c r="J954" s="2">
        <v>84</v>
      </c>
    </row>
    <row r="955" spans="2:10">
      <c r="B955" s="2">
        <v>10952</v>
      </c>
      <c r="C955" s="11" t="s">
        <v>976</v>
      </c>
      <c r="D955" s="2" t="s">
        <v>13</v>
      </c>
      <c r="E955" s="2" t="s">
        <v>977</v>
      </c>
      <c r="F955" s="2" t="s">
        <v>256</v>
      </c>
      <c r="G955" s="4">
        <v>10</v>
      </c>
      <c r="I955" s="4" t="s">
        <v>978</v>
      </c>
      <c r="J955" s="2" t="s">
        <v>979</v>
      </c>
    </row>
    <row r="956" spans="2:10">
      <c r="B956" s="2">
        <v>10953</v>
      </c>
      <c r="C956" s="11" t="s">
        <v>976</v>
      </c>
      <c r="D956" s="2" t="s">
        <v>17</v>
      </c>
      <c r="E956" s="2" t="s">
        <v>980</v>
      </c>
      <c r="F956" s="2" t="s">
        <v>258</v>
      </c>
      <c r="G956" s="4">
        <v>10.6</v>
      </c>
      <c r="I956" s="4" t="s">
        <v>978</v>
      </c>
      <c r="J956" s="2" t="s">
        <v>981</v>
      </c>
    </row>
    <row r="957" spans="2:10">
      <c r="B957" s="2">
        <v>10954</v>
      </c>
      <c r="C957" s="11" t="s">
        <v>976</v>
      </c>
      <c r="D957" s="2" t="s">
        <v>20</v>
      </c>
      <c r="E957" s="2" t="s">
        <v>982</v>
      </c>
      <c r="F957" s="2" t="s">
        <v>259</v>
      </c>
      <c r="G957" s="4">
        <v>11.2</v>
      </c>
      <c r="I957" s="4" t="s">
        <v>978</v>
      </c>
      <c r="J957" s="2" t="s">
        <v>983</v>
      </c>
    </row>
    <row r="958" spans="2:10">
      <c r="B958" s="2">
        <v>10955</v>
      </c>
      <c r="C958" s="11" t="s">
        <v>976</v>
      </c>
      <c r="D958" s="2" t="s">
        <v>23</v>
      </c>
      <c r="E958" s="2" t="s">
        <v>984</v>
      </c>
      <c r="F958" s="2" t="s">
        <v>260</v>
      </c>
      <c r="G958" s="4">
        <v>11.8</v>
      </c>
      <c r="I958" s="4" t="s">
        <v>978</v>
      </c>
      <c r="J958" s="2" t="s">
        <v>985</v>
      </c>
    </row>
    <row r="959" spans="2:10">
      <c r="B959" s="2">
        <v>10956</v>
      </c>
      <c r="C959" s="11" t="s">
        <v>976</v>
      </c>
      <c r="D959" s="2" t="s">
        <v>26</v>
      </c>
      <c r="E959" s="2" t="s">
        <v>986</v>
      </c>
      <c r="F959" s="2" t="s">
        <v>261</v>
      </c>
      <c r="G959" s="4">
        <v>12.4</v>
      </c>
      <c r="I959" s="4" t="s">
        <v>978</v>
      </c>
      <c r="J959" s="2" t="s">
        <v>987</v>
      </c>
    </row>
    <row r="960" spans="2:10">
      <c r="B960" s="2">
        <v>10957</v>
      </c>
      <c r="C960" s="11" t="s">
        <v>976</v>
      </c>
      <c r="D960" s="2" t="s">
        <v>29</v>
      </c>
      <c r="E960" s="2" t="s">
        <v>463</v>
      </c>
      <c r="F960" s="2" t="s">
        <v>262</v>
      </c>
      <c r="G960" s="4">
        <v>13</v>
      </c>
      <c r="I960" s="4" t="s">
        <v>978</v>
      </c>
      <c r="J960" s="2" t="s">
        <v>988</v>
      </c>
    </row>
    <row r="961" spans="2:10">
      <c r="B961" s="2">
        <v>10958</v>
      </c>
      <c r="C961" s="11" t="s">
        <v>976</v>
      </c>
      <c r="D961" s="2" t="s">
        <v>32</v>
      </c>
      <c r="E961" s="2" t="s">
        <v>989</v>
      </c>
      <c r="F961" s="2" t="s">
        <v>263</v>
      </c>
      <c r="G961" s="4">
        <v>13.6</v>
      </c>
      <c r="I961" s="4" t="s">
        <v>978</v>
      </c>
      <c r="J961" s="2" t="s">
        <v>990</v>
      </c>
    </row>
    <row r="962" spans="2:10">
      <c r="B962" s="2">
        <v>10959</v>
      </c>
      <c r="C962" s="11" t="s">
        <v>976</v>
      </c>
      <c r="D962" s="2" t="s">
        <v>35</v>
      </c>
      <c r="E962" s="2" t="s">
        <v>991</v>
      </c>
      <c r="F962" s="2" t="s">
        <v>264</v>
      </c>
      <c r="G962" s="4">
        <v>14.2</v>
      </c>
      <c r="I962" s="4" t="s">
        <v>978</v>
      </c>
      <c r="J962" s="2" t="s">
        <v>992</v>
      </c>
    </row>
    <row r="963" spans="2:10">
      <c r="B963" s="2">
        <v>10960</v>
      </c>
      <c r="C963" s="11" t="s">
        <v>976</v>
      </c>
      <c r="D963" s="2" t="s">
        <v>38</v>
      </c>
      <c r="E963" s="2" t="s">
        <v>993</v>
      </c>
      <c r="F963" s="2" t="s">
        <v>265</v>
      </c>
      <c r="G963" s="4">
        <v>14.8</v>
      </c>
      <c r="I963" s="4" t="s">
        <v>978</v>
      </c>
      <c r="J963" s="2" t="s">
        <v>994</v>
      </c>
    </row>
    <row r="964" spans="2:10">
      <c r="B964" s="2">
        <v>10961</v>
      </c>
      <c r="C964" s="11" t="s">
        <v>976</v>
      </c>
      <c r="D964" s="2" t="s">
        <v>41</v>
      </c>
      <c r="E964" s="2" t="s">
        <v>995</v>
      </c>
      <c r="F964" s="2" t="s">
        <v>266</v>
      </c>
      <c r="G964" s="4">
        <v>15.4</v>
      </c>
      <c r="I964" s="4" t="s">
        <v>978</v>
      </c>
      <c r="J964" s="2" t="s">
        <v>996</v>
      </c>
    </row>
    <row r="965" spans="2:10">
      <c r="B965" s="2">
        <v>10962</v>
      </c>
      <c r="C965" s="11" t="s">
        <v>976</v>
      </c>
      <c r="D965" s="2" t="s">
        <v>44</v>
      </c>
      <c r="E965" s="2" t="s">
        <v>997</v>
      </c>
      <c r="F965" s="2" t="s">
        <v>267</v>
      </c>
      <c r="G965" s="4">
        <v>16</v>
      </c>
      <c r="I965" s="4" t="s">
        <v>978</v>
      </c>
      <c r="J965" s="2" t="s">
        <v>998</v>
      </c>
    </row>
    <row r="966" spans="2:10">
      <c r="B966" s="2">
        <v>10963</v>
      </c>
      <c r="C966" s="11" t="s">
        <v>976</v>
      </c>
      <c r="D966" s="2" t="s">
        <v>47</v>
      </c>
      <c r="E966" s="2" t="s">
        <v>469</v>
      </c>
      <c r="F966" s="2" t="s">
        <v>268</v>
      </c>
      <c r="G966" s="4">
        <v>16.6</v>
      </c>
      <c r="I966" s="4" t="s">
        <v>978</v>
      </c>
      <c r="J966" s="2" t="s">
        <v>999</v>
      </c>
    </row>
    <row r="967" spans="2:10">
      <c r="B967" s="2">
        <v>10964</v>
      </c>
      <c r="C967" s="11" t="s">
        <v>976</v>
      </c>
      <c r="D967" s="2" t="s">
        <v>50</v>
      </c>
      <c r="E967" s="2" t="s">
        <v>671</v>
      </c>
      <c r="F967" s="2" t="s">
        <v>269</v>
      </c>
      <c r="G967" s="4">
        <v>17.2</v>
      </c>
      <c r="I967" s="4" t="s">
        <v>978</v>
      </c>
      <c r="J967" s="2" t="s">
        <v>1000</v>
      </c>
    </row>
    <row r="968" spans="2:10">
      <c r="B968" s="2">
        <v>10965</v>
      </c>
      <c r="C968" s="11" t="s">
        <v>976</v>
      </c>
      <c r="D968" s="2" t="s">
        <v>53</v>
      </c>
      <c r="E968" s="2" t="s">
        <v>1001</v>
      </c>
      <c r="F968" s="2" t="s">
        <v>270</v>
      </c>
      <c r="G968" s="4">
        <v>17.8</v>
      </c>
      <c r="I968" s="4" t="s">
        <v>978</v>
      </c>
      <c r="J968" s="2" t="s">
        <v>1002</v>
      </c>
    </row>
    <row r="969" spans="2:10">
      <c r="B969" s="2">
        <v>10966</v>
      </c>
      <c r="C969" s="11" t="s">
        <v>976</v>
      </c>
      <c r="D969" s="2" t="s">
        <v>56</v>
      </c>
      <c r="E969" s="2" t="s">
        <v>1003</v>
      </c>
      <c r="F969" s="2" t="s">
        <v>271</v>
      </c>
      <c r="G969" s="4">
        <v>18.4</v>
      </c>
      <c r="I969" s="4" t="s">
        <v>978</v>
      </c>
      <c r="J969" s="2" t="s">
        <v>1004</v>
      </c>
    </row>
    <row r="970" spans="2:10">
      <c r="B970" s="2">
        <v>10967</v>
      </c>
      <c r="C970" s="11" t="s">
        <v>976</v>
      </c>
      <c r="D970" s="2" t="s">
        <v>59</v>
      </c>
      <c r="E970" s="2" t="s">
        <v>1005</v>
      </c>
      <c r="F970" s="2" t="s">
        <v>272</v>
      </c>
      <c r="G970" s="4">
        <v>19</v>
      </c>
      <c r="I970" s="4" t="s">
        <v>978</v>
      </c>
      <c r="J970" s="2" t="s">
        <v>1006</v>
      </c>
    </row>
    <row r="971" spans="2:10">
      <c r="B971" s="2">
        <v>10968</v>
      </c>
      <c r="C971" s="11" t="s">
        <v>976</v>
      </c>
      <c r="D971" s="2" t="s">
        <v>62</v>
      </c>
      <c r="E971" s="2" t="s">
        <v>1007</v>
      </c>
      <c r="F971" s="2" t="s">
        <v>273</v>
      </c>
      <c r="G971" s="4">
        <v>19.6</v>
      </c>
      <c r="I971" s="4" t="s">
        <v>978</v>
      </c>
      <c r="J971" s="2" t="s">
        <v>1008</v>
      </c>
    </row>
    <row r="972" spans="2:10">
      <c r="B972" s="2">
        <v>10969</v>
      </c>
      <c r="C972" s="11" t="s">
        <v>976</v>
      </c>
      <c r="D972" s="2" t="s">
        <v>65</v>
      </c>
      <c r="E972" s="2" t="s">
        <v>474</v>
      </c>
      <c r="F972" s="2" t="s">
        <v>274</v>
      </c>
      <c r="G972" s="4">
        <v>20.2</v>
      </c>
      <c r="I972" s="4" t="s">
        <v>978</v>
      </c>
      <c r="J972" s="2" t="s">
        <v>1009</v>
      </c>
    </row>
    <row r="973" spans="2:10">
      <c r="B973" s="2">
        <v>10970</v>
      </c>
      <c r="C973" s="11" t="s">
        <v>976</v>
      </c>
      <c r="D973" s="2" t="s">
        <v>68</v>
      </c>
      <c r="E973" s="2" t="s">
        <v>1010</v>
      </c>
      <c r="F973" s="2" t="s">
        <v>275</v>
      </c>
      <c r="G973" s="4">
        <v>20.8</v>
      </c>
      <c r="I973" s="4" t="s">
        <v>978</v>
      </c>
      <c r="J973" s="2" t="s">
        <v>1011</v>
      </c>
    </row>
    <row r="974" spans="2:10">
      <c r="B974" s="2">
        <v>10971</v>
      </c>
      <c r="C974" s="11" t="s">
        <v>976</v>
      </c>
      <c r="D974" s="2" t="s">
        <v>71</v>
      </c>
      <c r="E974" s="2" t="s">
        <v>1012</v>
      </c>
      <c r="F974" s="2" t="s">
        <v>276</v>
      </c>
      <c r="G974" s="4">
        <v>21.4</v>
      </c>
      <c r="I974" s="4" t="s">
        <v>978</v>
      </c>
      <c r="J974" s="2" t="s">
        <v>1013</v>
      </c>
    </row>
    <row r="975" spans="2:10">
      <c r="B975" s="2">
        <v>10972</v>
      </c>
      <c r="C975" s="11" t="s">
        <v>976</v>
      </c>
      <c r="D975" s="2" t="s">
        <v>74</v>
      </c>
      <c r="E975" s="2" t="s">
        <v>681</v>
      </c>
      <c r="F975" s="2" t="s">
        <v>277</v>
      </c>
      <c r="G975" s="4">
        <v>22</v>
      </c>
      <c r="I975" s="4" t="s">
        <v>978</v>
      </c>
      <c r="J975" s="2" t="s">
        <v>1014</v>
      </c>
    </row>
    <row r="976" spans="2:10">
      <c r="B976" s="2">
        <v>10973</v>
      </c>
      <c r="C976" s="11" t="s">
        <v>976</v>
      </c>
      <c r="D976" s="2" t="s">
        <v>77</v>
      </c>
      <c r="E976" s="2" t="s">
        <v>1015</v>
      </c>
      <c r="F976" s="2" t="s">
        <v>278</v>
      </c>
      <c r="G976" s="4">
        <v>22.6</v>
      </c>
      <c r="I976" s="4" t="s">
        <v>978</v>
      </c>
      <c r="J976" s="2" t="s">
        <v>1016</v>
      </c>
    </row>
    <row r="977" spans="2:10">
      <c r="B977" s="2">
        <v>10974</v>
      </c>
      <c r="C977" s="11" t="s">
        <v>976</v>
      </c>
      <c r="D977" s="2" t="s">
        <v>80</v>
      </c>
      <c r="E977" s="2" t="s">
        <v>1017</v>
      </c>
      <c r="F977" s="2" t="s">
        <v>279</v>
      </c>
      <c r="G977" s="4">
        <v>23.2</v>
      </c>
      <c r="I977" s="4" t="s">
        <v>978</v>
      </c>
      <c r="J977" s="2" t="s">
        <v>1018</v>
      </c>
    </row>
    <row r="978" spans="2:10">
      <c r="B978" s="2">
        <v>10975</v>
      </c>
      <c r="C978" s="11" t="s">
        <v>976</v>
      </c>
      <c r="D978" s="2" t="s">
        <v>83</v>
      </c>
      <c r="E978" s="2" t="s">
        <v>479</v>
      </c>
      <c r="F978" s="2" t="s">
        <v>280</v>
      </c>
      <c r="G978" s="4">
        <v>23.8</v>
      </c>
      <c r="I978" s="4" t="s">
        <v>978</v>
      </c>
      <c r="J978" s="2" t="s">
        <v>1019</v>
      </c>
    </row>
    <row r="979" spans="2:10">
      <c r="B979" s="2">
        <v>10976</v>
      </c>
      <c r="C979" s="11" t="s">
        <v>976</v>
      </c>
      <c r="D979" s="2" t="s">
        <v>86</v>
      </c>
      <c r="E979" s="2" t="s">
        <v>1020</v>
      </c>
      <c r="F979" s="2" t="s">
        <v>281</v>
      </c>
      <c r="G979" s="4">
        <v>24.4</v>
      </c>
      <c r="I979" s="4" t="s">
        <v>978</v>
      </c>
      <c r="J979" s="2" t="s">
        <v>1021</v>
      </c>
    </row>
    <row r="980" spans="2:10">
      <c r="B980" s="2">
        <v>10977</v>
      </c>
      <c r="C980" s="11" t="s">
        <v>976</v>
      </c>
      <c r="D980" s="2" t="s">
        <v>89</v>
      </c>
      <c r="E980" s="2" t="s">
        <v>1022</v>
      </c>
      <c r="F980" s="2" t="s">
        <v>282</v>
      </c>
      <c r="G980" s="4">
        <v>25</v>
      </c>
      <c r="I980" s="4" t="s">
        <v>978</v>
      </c>
      <c r="J980" s="2" t="s">
        <v>1023</v>
      </c>
    </row>
    <row r="981" spans="2:10">
      <c r="B981" s="2">
        <v>10978</v>
      </c>
      <c r="C981" s="11" t="s">
        <v>976</v>
      </c>
      <c r="D981" s="2" t="s">
        <v>92</v>
      </c>
      <c r="E981" s="2" t="s">
        <v>1024</v>
      </c>
      <c r="F981" s="2" t="s">
        <v>283</v>
      </c>
      <c r="G981" s="4">
        <v>25.6</v>
      </c>
      <c r="I981" s="4" t="s">
        <v>978</v>
      </c>
      <c r="J981" s="2" t="s">
        <v>1025</v>
      </c>
    </row>
    <row r="982" spans="2:10">
      <c r="B982" s="2">
        <v>10979</v>
      </c>
      <c r="C982" s="11" t="s">
        <v>976</v>
      </c>
      <c r="D982" s="2" t="s">
        <v>95</v>
      </c>
      <c r="E982" s="2" t="s">
        <v>1026</v>
      </c>
      <c r="F982" s="2" t="s">
        <v>284</v>
      </c>
      <c r="G982" s="4">
        <v>26.2</v>
      </c>
      <c r="I982" s="4" t="s">
        <v>978</v>
      </c>
      <c r="J982" s="2" t="s">
        <v>1027</v>
      </c>
    </row>
    <row r="983" spans="2:10">
      <c r="B983" s="2">
        <v>10980</v>
      </c>
      <c r="C983" s="11" t="s">
        <v>976</v>
      </c>
      <c r="D983" s="2" t="s">
        <v>98</v>
      </c>
      <c r="E983" s="2" t="s">
        <v>691</v>
      </c>
      <c r="F983" s="2" t="s">
        <v>285</v>
      </c>
      <c r="G983" s="4">
        <v>26.8</v>
      </c>
      <c r="I983" s="4" t="s">
        <v>978</v>
      </c>
      <c r="J983" s="2" t="s">
        <v>1028</v>
      </c>
    </row>
    <row r="984" spans="2:10">
      <c r="B984" s="2">
        <v>10981</v>
      </c>
      <c r="C984" s="11" t="s">
        <v>976</v>
      </c>
      <c r="D984" s="2" t="s">
        <v>101</v>
      </c>
      <c r="E984" s="2" t="s">
        <v>484</v>
      </c>
      <c r="F984" s="2" t="s">
        <v>286</v>
      </c>
      <c r="G984" s="4">
        <v>27.4</v>
      </c>
      <c r="I984" s="4" t="s">
        <v>978</v>
      </c>
      <c r="J984" s="2" t="s">
        <v>1029</v>
      </c>
    </row>
    <row r="985" spans="2:10">
      <c r="B985" s="2">
        <v>10982</v>
      </c>
      <c r="C985" s="11" t="s">
        <v>976</v>
      </c>
      <c r="D985" s="2" t="s">
        <v>104</v>
      </c>
      <c r="E985" s="2" t="s">
        <v>1030</v>
      </c>
      <c r="F985" s="2" t="s">
        <v>287</v>
      </c>
      <c r="G985" s="4">
        <v>28</v>
      </c>
      <c r="I985" s="4" t="s">
        <v>978</v>
      </c>
      <c r="J985" s="2" t="s">
        <v>1031</v>
      </c>
    </row>
    <row r="986" spans="2:10">
      <c r="B986" s="2">
        <v>10983</v>
      </c>
      <c r="C986" s="11" t="s">
        <v>976</v>
      </c>
      <c r="D986" s="2" t="s">
        <v>107</v>
      </c>
      <c r="E986" s="2" t="s">
        <v>1032</v>
      </c>
      <c r="F986" s="2" t="s">
        <v>288</v>
      </c>
      <c r="G986" s="4">
        <v>28.6</v>
      </c>
      <c r="I986" s="4" t="s">
        <v>978</v>
      </c>
      <c r="J986" s="2" t="s">
        <v>1033</v>
      </c>
    </row>
    <row r="987" spans="2:10">
      <c r="B987" s="2">
        <v>10984</v>
      </c>
      <c r="C987" s="11" t="s">
        <v>976</v>
      </c>
      <c r="D987" s="2" t="s">
        <v>110</v>
      </c>
      <c r="E987" s="2" t="s">
        <v>1034</v>
      </c>
      <c r="F987" s="2" t="s">
        <v>289</v>
      </c>
      <c r="G987" s="4">
        <v>29.2</v>
      </c>
      <c r="I987" s="4" t="s">
        <v>978</v>
      </c>
      <c r="J987" s="2" t="s">
        <v>1035</v>
      </c>
    </row>
    <row r="988" spans="2:10">
      <c r="B988" s="2">
        <v>10985</v>
      </c>
      <c r="C988" s="11" t="s">
        <v>976</v>
      </c>
      <c r="D988" s="2" t="s">
        <v>113</v>
      </c>
      <c r="E988" s="2" t="s">
        <v>1036</v>
      </c>
      <c r="F988" s="2" t="s">
        <v>290</v>
      </c>
      <c r="G988" s="4">
        <v>29.8</v>
      </c>
      <c r="I988" s="4" t="s">
        <v>978</v>
      </c>
      <c r="J988" s="2" t="s">
        <v>1037</v>
      </c>
    </row>
    <row r="989" spans="2:10">
      <c r="B989" s="2">
        <v>10986</v>
      </c>
      <c r="C989" s="11" t="s">
        <v>976</v>
      </c>
      <c r="D989" s="2" t="s">
        <v>116</v>
      </c>
      <c r="E989" s="2" t="s">
        <v>1038</v>
      </c>
      <c r="F989" s="2" t="s">
        <v>291</v>
      </c>
      <c r="G989" s="4">
        <v>30.4</v>
      </c>
      <c r="I989" s="4" t="s">
        <v>978</v>
      </c>
      <c r="J989" s="2" t="s">
        <v>1039</v>
      </c>
    </row>
    <row r="990" spans="2:10">
      <c r="B990" s="2">
        <v>10987</v>
      </c>
      <c r="C990" s="11" t="s">
        <v>976</v>
      </c>
      <c r="D990" s="2" t="s">
        <v>119</v>
      </c>
      <c r="E990" s="2" t="s">
        <v>489</v>
      </c>
      <c r="F990" s="2" t="s">
        <v>292</v>
      </c>
      <c r="G990" s="4">
        <v>31</v>
      </c>
      <c r="I990" s="4" t="s">
        <v>978</v>
      </c>
      <c r="J990" s="2" t="s">
        <v>1040</v>
      </c>
    </row>
    <row r="991" spans="2:10">
      <c r="B991" s="2">
        <v>10988</v>
      </c>
      <c r="C991" s="11" t="s">
        <v>976</v>
      </c>
      <c r="D991" s="2" t="s">
        <v>122</v>
      </c>
      <c r="E991" s="2" t="s">
        <v>701</v>
      </c>
      <c r="F991" s="2" t="s">
        <v>293</v>
      </c>
      <c r="G991" s="4">
        <v>31.6</v>
      </c>
      <c r="I991" s="4" t="s">
        <v>978</v>
      </c>
      <c r="J991" s="2" t="s">
        <v>1041</v>
      </c>
    </row>
    <row r="992" spans="2:10">
      <c r="B992" s="2">
        <v>10989</v>
      </c>
      <c r="C992" s="11" t="s">
        <v>976</v>
      </c>
      <c r="D992" s="2" t="s">
        <v>125</v>
      </c>
      <c r="E992" s="2" t="s">
        <v>1042</v>
      </c>
      <c r="F992" s="2" t="s">
        <v>294</v>
      </c>
      <c r="G992" s="4">
        <v>32.2</v>
      </c>
      <c r="I992" s="4" t="s">
        <v>978</v>
      </c>
      <c r="J992" s="2" t="s">
        <v>1043</v>
      </c>
    </row>
    <row r="993" spans="2:10">
      <c r="B993" s="2">
        <v>10990</v>
      </c>
      <c r="C993" s="11" t="s">
        <v>976</v>
      </c>
      <c r="D993" s="2" t="s">
        <v>128</v>
      </c>
      <c r="E993" s="2" t="s">
        <v>1044</v>
      </c>
      <c r="F993" s="2" t="s">
        <v>295</v>
      </c>
      <c r="G993" s="4">
        <v>32.8</v>
      </c>
      <c r="I993" s="4" t="s">
        <v>978</v>
      </c>
      <c r="J993" s="2" t="s">
        <v>1045</v>
      </c>
    </row>
    <row r="994" spans="2:10">
      <c r="B994" s="2">
        <v>10991</v>
      </c>
      <c r="C994" s="11" t="s">
        <v>976</v>
      </c>
      <c r="D994" s="2" t="s">
        <v>131</v>
      </c>
      <c r="E994" s="2" t="s">
        <v>1046</v>
      </c>
      <c r="F994" s="2" t="s">
        <v>296</v>
      </c>
      <c r="G994" s="4">
        <v>33.4</v>
      </c>
      <c r="I994" s="4" t="s">
        <v>978</v>
      </c>
      <c r="J994" s="2" t="s">
        <v>1047</v>
      </c>
    </row>
    <row r="995" spans="2:10">
      <c r="B995" s="2">
        <v>10992</v>
      </c>
      <c r="C995" s="11" t="s">
        <v>976</v>
      </c>
      <c r="D995" s="2" t="s">
        <v>134</v>
      </c>
      <c r="E995" s="2" t="s">
        <v>1048</v>
      </c>
      <c r="F995" s="2" t="s">
        <v>297</v>
      </c>
      <c r="G995" s="4">
        <v>34</v>
      </c>
      <c r="I995" s="4" t="s">
        <v>978</v>
      </c>
      <c r="J995" s="2" t="s">
        <v>1049</v>
      </c>
    </row>
    <row r="996" spans="2:10">
      <c r="B996" s="2">
        <v>10993</v>
      </c>
      <c r="C996" s="11" t="s">
        <v>976</v>
      </c>
      <c r="D996" s="2" t="s">
        <v>137</v>
      </c>
      <c r="E996" s="2" t="s">
        <v>494</v>
      </c>
      <c r="F996" s="2" t="s">
        <v>298</v>
      </c>
      <c r="G996" s="4">
        <v>34.6</v>
      </c>
      <c r="I996" s="4" t="s">
        <v>978</v>
      </c>
      <c r="J996" s="2" t="s">
        <v>1050</v>
      </c>
    </row>
    <row r="997" spans="2:10">
      <c r="B997" s="2">
        <v>10994</v>
      </c>
      <c r="C997" s="11" t="s">
        <v>976</v>
      </c>
      <c r="D997" s="2" t="s">
        <v>140</v>
      </c>
      <c r="E997" s="2" t="s">
        <v>1051</v>
      </c>
      <c r="F997" s="2" t="s">
        <v>299</v>
      </c>
      <c r="G997" s="4">
        <v>35.2</v>
      </c>
      <c r="I997" s="4" t="s">
        <v>978</v>
      </c>
      <c r="J997" s="2" t="s">
        <v>1052</v>
      </c>
    </row>
    <row r="998" spans="2:10">
      <c r="B998" s="2">
        <v>10995</v>
      </c>
      <c r="C998" s="11" t="s">
        <v>976</v>
      </c>
      <c r="D998" s="2" t="s">
        <v>143</v>
      </c>
      <c r="E998" s="2" t="s">
        <v>1053</v>
      </c>
      <c r="F998" s="2" t="s">
        <v>300</v>
      </c>
      <c r="G998" s="4">
        <v>35.8</v>
      </c>
      <c r="I998" s="4" t="s">
        <v>978</v>
      </c>
      <c r="J998" s="2" t="s">
        <v>1054</v>
      </c>
    </row>
    <row r="999" spans="2:10">
      <c r="B999" s="2">
        <v>10996</v>
      </c>
      <c r="C999" s="11" t="s">
        <v>976</v>
      </c>
      <c r="D999" s="2" t="s">
        <v>146</v>
      </c>
      <c r="E999" s="2" t="s">
        <v>711</v>
      </c>
      <c r="F999" s="2" t="s">
        <v>301</v>
      </c>
      <c r="G999" s="4">
        <v>36.4</v>
      </c>
      <c r="I999" s="4" t="s">
        <v>978</v>
      </c>
      <c r="J999" s="2" t="s">
        <v>1055</v>
      </c>
    </row>
    <row r="1000" spans="2:10">
      <c r="B1000" s="2">
        <v>10997</v>
      </c>
      <c r="C1000" s="11" t="s">
        <v>976</v>
      </c>
      <c r="D1000" s="2" t="s">
        <v>149</v>
      </c>
      <c r="E1000" s="2" t="s">
        <v>825</v>
      </c>
      <c r="F1000" s="2" t="s">
        <v>302</v>
      </c>
      <c r="G1000" s="4">
        <v>37</v>
      </c>
      <c r="I1000" s="4" t="s">
        <v>978</v>
      </c>
      <c r="J1000" s="2" t="s">
        <v>1056</v>
      </c>
    </row>
    <row r="1001" spans="2:10">
      <c r="B1001" s="2">
        <v>10998</v>
      </c>
      <c r="C1001" s="11" t="s">
        <v>976</v>
      </c>
      <c r="D1001" s="2" t="s">
        <v>152</v>
      </c>
      <c r="E1001" s="2" t="s">
        <v>826</v>
      </c>
      <c r="F1001" s="2" t="s">
        <v>303</v>
      </c>
      <c r="G1001" s="4">
        <v>37.6</v>
      </c>
      <c r="I1001" s="4" t="s">
        <v>978</v>
      </c>
      <c r="J1001" s="2" t="s">
        <v>1057</v>
      </c>
    </row>
    <row r="1002" spans="2:10">
      <c r="B1002" s="2">
        <v>10999</v>
      </c>
      <c r="C1002" s="11" t="s">
        <v>976</v>
      </c>
      <c r="D1002" s="2" t="s">
        <v>155</v>
      </c>
      <c r="E1002" s="2" t="s">
        <v>499</v>
      </c>
      <c r="F1002" s="2" t="s">
        <v>304</v>
      </c>
      <c r="G1002" s="4">
        <v>38.2</v>
      </c>
      <c r="I1002" s="4" t="s">
        <v>978</v>
      </c>
      <c r="J1002" s="2" t="s">
        <v>1058</v>
      </c>
    </row>
    <row r="1003" spans="2:10">
      <c r="B1003" s="2">
        <v>11000</v>
      </c>
      <c r="C1003" s="11" t="s">
        <v>976</v>
      </c>
      <c r="D1003" s="2" t="s">
        <v>158</v>
      </c>
      <c r="E1003" s="2" t="s">
        <v>1059</v>
      </c>
      <c r="F1003" s="2" t="s">
        <v>305</v>
      </c>
      <c r="G1003" s="4">
        <v>38.8</v>
      </c>
      <c r="I1003" s="4" t="s">
        <v>978</v>
      </c>
      <c r="J1003" s="2" t="s">
        <v>1060</v>
      </c>
    </row>
    <row r="1004" spans="2:10">
      <c r="B1004" s="2">
        <v>11001</v>
      </c>
      <c r="C1004" s="11" t="s">
        <v>976</v>
      </c>
      <c r="D1004" s="2" t="s">
        <v>161</v>
      </c>
      <c r="E1004" s="2" t="s">
        <v>1061</v>
      </c>
      <c r="F1004" s="2" t="s">
        <v>306</v>
      </c>
      <c r="G1004" s="4">
        <v>39.4</v>
      </c>
      <c r="I1004" s="4" t="s">
        <v>978</v>
      </c>
      <c r="J1004" s="2" t="s">
        <v>1062</v>
      </c>
    </row>
    <row r="1005" spans="2:10">
      <c r="B1005" s="2">
        <v>11002</v>
      </c>
      <c r="C1005" s="25" t="s">
        <v>20</v>
      </c>
      <c r="D1005" s="2" t="s">
        <v>13</v>
      </c>
      <c r="E1005" s="2">
        <v>2</v>
      </c>
      <c r="F1005" s="2" t="s">
        <v>166</v>
      </c>
      <c r="G1005" s="4" t="s">
        <v>1063</v>
      </c>
      <c r="H1005" s="4"/>
    </row>
    <row r="1006" spans="2:10">
      <c r="B1006" s="2">
        <v>11003</v>
      </c>
      <c r="C1006" s="25" t="s">
        <v>20</v>
      </c>
      <c r="D1006" s="2" t="s">
        <v>17</v>
      </c>
      <c r="E1006" s="2">
        <v>2</v>
      </c>
      <c r="F1006" s="2" t="s">
        <v>167</v>
      </c>
      <c r="G1006" s="4" t="s">
        <v>1063</v>
      </c>
      <c r="H1006" s="4"/>
    </row>
    <row r="1007" spans="2:10">
      <c r="B1007" s="2">
        <v>11004</v>
      </c>
      <c r="C1007" s="25" t="s">
        <v>20</v>
      </c>
      <c r="D1007" s="2" t="s">
        <v>20</v>
      </c>
      <c r="E1007" s="2">
        <v>3</v>
      </c>
      <c r="F1007" s="2" t="s">
        <v>168</v>
      </c>
      <c r="G1007" s="4" t="s">
        <v>1063</v>
      </c>
      <c r="H1007" s="4"/>
    </row>
    <row r="1008" spans="2:10">
      <c r="B1008" s="2">
        <v>11005</v>
      </c>
      <c r="C1008" s="25" t="s">
        <v>20</v>
      </c>
      <c r="D1008" s="2" t="s">
        <v>23</v>
      </c>
      <c r="E1008" s="2">
        <v>5</v>
      </c>
      <c r="F1008" s="2" t="s">
        <v>169</v>
      </c>
      <c r="G1008" s="4" t="s">
        <v>1063</v>
      </c>
      <c r="H1008" s="4"/>
    </row>
    <row r="1009" spans="2:8">
      <c r="B1009" s="2">
        <v>11006</v>
      </c>
      <c r="C1009" s="25" t="s">
        <v>20</v>
      </c>
      <c r="D1009" s="2" t="s">
        <v>26</v>
      </c>
      <c r="E1009" s="2">
        <v>7</v>
      </c>
      <c r="F1009" s="2" t="s">
        <v>170</v>
      </c>
      <c r="G1009" s="4" t="s">
        <v>1063</v>
      </c>
      <c r="H1009" s="4"/>
    </row>
    <row r="1010" spans="2:8">
      <c r="B1010" s="2">
        <v>11007</v>
      </c>
      <c r="C1010" s="25" t="s">
        <v>20</v>
      </c>
      <c r="D1010" s="2" t="s">
        <v>29</v>
      </c>
      <c r="E1010" s="2">
        <v>8</v>
      </c>
      <c r="F1010" s="2" t="s">
        <v>171</v>
      </c>
      <c r="G1010" s="4" t="s">
        <v>1063</v>
      </c>
      <c r="H1010" s="4"/>
    </row>
    <row r="1011" spans="2:8">
      <c r="B1011" s="2">
        <v>11008</v>
      </c>
      <c r="C1011" s="25" t="s">
        <v>20</v>
      </c>
      <c r="D1011" s="2" t="s">
        <v>32</v>
      </c>
      <c r="E1011" s="2">
        <v>10</v>
      </c>
      <c r="F1011" s="2" t="s">
        <v>172</v>
      </c>
      <c r="G1011" s="4" t="s">
        <v>1063</v>
      </c>
      <c r="H1011" s="4"/>
    </row>
    <row r="1012" spans="2:8">
      <c r="B1012" s="2">
        <v>11009</v>
      </c>
      <c r="C1012" s="25" t="s">
        <v>20</v>
      </c>
      <c r="D1012" s="2" t="s">
        <v>35</v>
      </c>
      <c r="E1012" s="2">
        <v>12</v>
      </c>
      <c r="F1012" s="2" t="s">
        <v>173</v>
      </c>
      <c r="G1012" s="4" t="s">
        <v>1063</v>
      </c>
      <c r="H1012" s="4"/>
    </row>
    <row r="1013" spans="2:8">
      <c r="B1013" s="2">
        <v>11010</v>
      </c>
      <c r="C1013" s="25" t="s">
        <v>20</v>
      </c>
      <c r="D1013" s="2" t="s">
        <v>38</v>
      </c>
      <c r="E1013" s="2">
        <v>13</v>
      </c>
      <c r="F1013" s="2" t="s">
        <v>174</v>
      </c>
      <c r="G1013" s="4" t="s">
        <v>1063</v>
      </c>
      <c r="H1013" s="4"/>
    </row>
    <row r="1014" spans="2:8">
      <c r="B1014" s="2">
        <v>11011</v>
      </c>
      <c r="C1014" s="25" t="s">
        <v>20</v>
      </c>
      <c r="D1014" s="2" t="s">
        <v>41</v>
      </c>
      <c r="E1014" s="2">
        <v>15</v>
      </c>
      <c r="F1014" s="2" t="s">
        <v>175</v>
      </c>
      <c r="G1014" s="4" t="s">
        <v>1063</v>
      </c>
      <c r="H1014" s="4"/>
    </row>
    <row r="1015" spans="2:8">
      <c r="B1015" s="2">
        <v>11012</v>
      </c>
      <c r="C1015" s="25" t="s">
        <v>20</v>
      </c>
      <c r="D1015" s="2" t="s">
        <v>44</v>
      </c>
      <c r="E1015" s="2">
        <v>17</v>
      </c>
      <c r="F1015" s="2" t="s">
        <v>176</v>
      </c>
      <c r="G1015" s="4" t="s">
        <v>1063</v>
      </c>
      <c r="H1015" s="4"/>
    </row>
    <row r="1016" spans="2:8">
      <c r="B1016" s="2">
        <v>11013</v>
      </c>
      <c r="C1016" s="25" t="s">
        <v>20</v>
      </c>
      <c r="D1016" s="2" t="s">
        <v>47</v>
      </c>
      <c r="E1016" s="2">
        <v>18</v>
      </c>
      <c r="F1016" s="2" t="s">
        <v>178</v>
      </c>
      <c r="G1016" s="4" t="s">
        <v>1063</v>
      </c>
      <c r="H1016" s="4"/>
    </row>
    <row r="1017" spans="2:8">
      <c r="B1017" s="2">
        <v>11014</v>
      </c>
      <c r="C1017" s="25" t="s">
        <v>20</v>
      </c>
      <c r="D1017" s="2" t="s">
        <v>50</v>
      </c>
      <c r="E1017" s="2">
        <v>20</v>
      </c>
      <c r="F1017" s="2" t="s">
        <v>180</v>
      </c>
      <c r="G1017" s="4" t="s">
        <v>1063</v>
      </c>
      <c r="H1017" s="4"/>
    </row>
    <row r="1018" spans="2:8">
      <c r="B1018" s="2">
        <v>11015</v>
      </c>
      <c r="C1018" s="25" t="s">
        <v>20</v>
      </c>
      <c r="D1018" s="2" t="s">
        <v>53</v>
      </c>
      <c r="E1018" s="2">
        <v>22</v>
      </c>
      <c r="F1018" s="2" t="s">
        <v>182</v>
      </c>
      <c r="G1018" s="4" t="s">
        <v>1063</v>
      </c>
      <c r="H1018" s="4"/>
    </row>
    <row r="1019" spans="2:8">
      <c r="B1019" s="2">
        <v>11016</v>
      </c>
      <c r="C1019" s="25" t="s">
        <v>20</v>
      </c>
      <c r="D1019" s="2" t="s">
        <v>56</v>
      </c>
      <c r="E1019" s="2">
        <v>23</v>
      </c>
      <c r="F1019" s="2" t="s">
        <v>184</v>
      </c>
      <c r="G1019" s="4" t="s">
        <v>1063</v>
      </c>
      <c r="H1019" s="4"/>
    </row>
    <row r="1020" spans="2:8">
      <c r="B1020" s="2">
        <v>11017</v>
      </c>
      <c r="C1020" s="25" t="s">
        <v>20</v>
      </c>
      <c r="D1020" s="2" t="s">
        <v>59</v>
      </c>
      <c r="E1020" s="2">
        <v>25</v>
      </c>
      <c r="F1020" s="2" t="s">
        <v>186</v>
      </c>
      <c r="G1020" s="4" t="s">
        <v>1063</v>
      </c>
      <c r="H1020" s="4"/>
    </row>
    <row r="1021" spans="2:8">
      <c r="B1021" s="2">
        <v>11018</v>
      </c>
      <c r="C1021" s="25" t="s">
        <v>20</v>
      </c>
      <c r="D1021" s="2" t="s">
        <v>62</v>
      </c>
      <c r="E1021" s="2">
        <v>27</v>
      </c>
      <c r="F1021" s="2" t="s">
        <v>188</v>
      </c>
      <c r="G1021" s="4" t="s">
        <v>1063</v>
      </c>
      <c r="H1021" s="4"/>
    </row>
    <row r="1022" spans="2:8">
      <c r="B1022" s="2">
        <v>11019</v>
      </c>
      <c r="C1022" s="25" t="s">
        <v>20</v>
      </c>
      <c r="D1022" s="2" t="s">
        <v>65</v>
      </c>
      <c r="E1022" s="2">
        <v>28</v>
      </c>
      <c r="F1022" s="2" t="s">
        <v>190</v>
      </c>
      <c r="G1022" s="4" t="s">
        <v>1063</v>
      </c>
      <c r="H1022" s="4"/>
    </row>
    <row r="1023" spans="2:8">
      <c r="B1023" s="2">
        <v>11020</v>
      </c>
      <c r="C1023" s="25" t="s">
        <v>20</v>
      </c>
      <c r="D1023" s="2" t="s">
        <v>68</v>
      </c>
      <c r="E1023" s="2">
        <v>30</v>
      </c>
      <c r="F1023" s="2" t="s">
        <v>192</v>
      </c>
      <c r="G1023" s="4" t="s">
        <v>1063</v>
      </c>
      <c r="H1023" s="4"/>
    </row>
    <row r="1024" spans="2:8">
      <c r="B1024" s="2">
        <v>11021</v>
      </c>
      <c r="C1024" s="25" t="s">
        <v>20</v>
      </c>
      <c r="D1024" s="2" t="s">
        <v>71</v>
      </c>
      <c r="E1024" s="2">
        <v>32</v>
      </c>
      <c r="F1024" s="2" t="s">
        <v>194</v>
      </c>
      <c r="G1024" s="4" t="s">
        <v>1063</v>
      </c>
      <c r="H1024" s="4"/>
    </row>
    <row r="1025" spans="2:8">
      <c r="B1025" s="2">
        <v>11022</v>
      </c>
      <c r="C1025" s="25" t="s">
        <v>20</v>
      </c>
      <c r="D1025" s="2" t="s">
        <v>74</v>
      </c>
      <c r="E1025" s="2">
        <v>33</v>
      </c>
      <c r="F1025" s="2" t="s">
        <v>196</v>
      </c>
      <c r="G1025" s="4" t="s">
        <v>1063</v>
      </c>
      <c r="H1025" s="4"/>
    </row>
    <row r="1026" spans="2:8">
      <c r="B1026" s="2">
        <v>11023</v>
      </c>
      <c r="C1026" s="25" t="s">
        <v>20</v>
      </c>
      <c r="D1026" s="2" t="s">
        <v>77</v>
      </c>
      <c r="E1026" s="2">
        <v>35</v>
      </c>
      <c r="F1026" s="2" t="s">
        <v>198</v>
      </c>
      <c r="G1026" s="4" t="s">
        <v>1063</v>
      </c>
      <c r="H1026" s="4"/>
    </row>
    <row r="1027" spans="2:8">
      <c r="B1027" s="2">
        <v>11024</v>
      </c>
      <c r="C1027" s="25" t="s">
        <v>20</v>
      </c>
      <c r="D1027" s="2" t="s">
        <v>80</v>
      </c>
      <c r="E1027" s="2">
        <v>37</v>
      </c>
      <c r="F1027" s="2" t="s">
        <v>200</v>
      </c>
      <c r="G1027" s="4" t="s">
        <v>1063</v>
      </c>
      <c r="H1027" s="4"/>
    </row>
    <row r="1028" spans="2:8">
      <c r="B1028" s="2">
        <v>11025</v>
      </c>
      <c r="C1028" s="25" t="s">
        <v>20</v>
      </c>
      <c r="D1028" s="2" t="s">
        <v>83</v>
      </c>
      <c r="E1028" s="2">
        <v>38</v>
      </c>
      <c r="F1028" s="2" t="s">
        <v>202</v>
      </c>
      <c r="G1028" s="4" t="s">
        <v>1063</v>
      </c>
      <c r="H1028" s="4"/>
    </row>
    <row r="1029" spans="2:8">
      <c r="B1029" s="2">
        <v>11026</v>
      </c>
      <c r="C1029" s="25" t="s">
        <v>20</v>
      </c>
      <c r="D1029" s="2" t="s">
        <v>86</v>
      </c>
      <c r="E1029" s="2">
        <v>40</v>
      </c>
      <c r="F1029" s="2" t="s">
        <v>204</v>
      </c>
      <c r="G1029" s="4" t="s">
        <v>1063</v>
      </c>
      <c r="H1029" s="4"/>
    </row>
    <row r="1030" spans="2:8">
      <c r="B1030" s="2">
        <v>11027</v>
      </c>
      <c r="C1030" s="25" t="s">
        <v>20</v>
      </c>
      <c r="D1030" s="2" t="s">
        <v>89</v>
      </c>
      <c r="E1030" s="2">
        <v>42</v>
      </c>
      <c r="F1030" s="2" t="s">
        <v>206</v>
      </c>
      <c r="G1030" s="4" t="s">
        <v>1063</v>
      </c>
      <c r="H1030" s="4"/>
    </row>
    <row r="1031" spans="2:8">
      <c r="B1031" s="2">
        <v>11028</v>
      </c>
      <c r="C1031" s="25" t="s">
        <v>20</v>
      </c>
      <c r="D1031" s="2" t="s">
        <v>92</v>
      </c>
      <c r="E1031" s="2">
        <v>43</v>
      </c>
      <c r="F1031" s="2" t="s">
        <v>208</v>
      </c>
      <c r="G1031" s="4" t="s">
        <v>1063</v>
      </c>
      <c r="H1031" s="4"/>
    </row>
    <row r="1032" spans="2:8">
      <c r="B1032" s="2">
        <v>11029</v>
      </c>
      <c r="C1032" s="25" t="s">
        <v>20</v>
      </c>
      <c r="D1032" s="2" t="s">
        <v>95</v>
      </c>
      <c r="E1032" s="2">
        <v>45</v>
      </c>
      <c r="F1032" s="2" t="s">
        <v>210</v>
      </c>
      <c r="G1032" s="4" t="s">
        <v>1063</v>
      </c>
      <c r="H1032" s="4"/>
    </row>
    <row r="1033" spans="2:8">
      <c r="B1033" s="2">
        <v>11030</v>
      </c>
      <c r="C1033" s="25" t="s">
        <v>20</v>
      </c>
      <c r="D1033" s="2" t="s">
        <v>98</v>
      </c>
      <c r="E1033" s="2">
        <v>47</v>
      </c>
      <c r="F1033" s="2" t="s">
        <v>212</v>
      </c>
      <c r="G1033" s="4" t="s">
        <v>1063</v>
      </c>
      <c r="H1033" s="4"/>
    </row>
    <row r="1034" spans="2:8">
      <c r="B1034" s="2">
        <v>11031</v>
      </c>
      <c r="C1034" s="25" t="s">
        <v>20</v>
      </c>
      <c r="D1034" s="2" t="s">
        <v>101</v>
      </c>
      <c r="E1034" s="2">
        <v>48</v>
      </c>
      <c r="F1034" s="2" t="s">
        <v>214</v>
      </c>
      <c r="G1034" s="4" t="s">
        <v>1063</v>
      </c>
      <c r="H1034" s="4"/>
    </row>
    <row r="1035" spans="2:8">
      <c r="B1035" s="2">
        <v>11032</v>
      </c>
      <c r="C1035" s="25" t="s">
        <v>20</v>
      </c>
      <c r="D1035" s="2" t="s">
        <v>104</v>
      </c>
      <c r="E1035" s="2">
        <v>50</v>
      </c>
      <c r="F1035" s="2" t="s">
        <v>216</v>
      </c>
      <c r="G1035" s="4" t="s">
        <v>1063</v>
      </c>
      <c r="H1035" s="4"/>
    </row>
    <row r="1036" spans="2:8">
      <c r="B1036" s="2">
        <v>11033</v>
      </c>
      <c r="C1036" s="25" t="s">
        <v>20</v>
      </c>
      <c r="D1036" s="2" t="s">
        <v>107</v>
      </c>
      <c r="E1036" s="2">
        <v>52</v>
      </c>
      <c r="F1036" s="2" t="s">
        <v>218</v>
      </c>
      <c r="G1036" s="4" t="s">
        <v>1063</v>
      </c>
      <c r="H1036" s="4"/>
    </row>
    <row r="1037" spans="2:8">
      <c r="B1037" s="2">
        <v>11034</v>
      </c>
      <c r="C1037" s="25" t="s">
        <v>20</v>
      </c>
      <c r="D1037" s="2" t="s">
        <v>110</v>
      </c>
      <c r="E1037" s="2">
        <v>53</v>
      </c>
      <c r="F1037" s="2" t="s">
        <v>220</v>
      </c>
      <c r="G1037" s="4" t="s">
        <v>1063</v>
      </c>
      <c r="H1037" s="4"/>
    </row>
    <row r="1038" spans="2:8">
      <c r="B1038" s="2">
        <v>11035</v>
      </c>
      <c r="C1038" s="25" t="s">
        <v>20</v>
      </c>
      <c r="D1038" s="2" t="s">
        <v>113</v>
      </c>
      <c r="E1038" s="2">
        <v>55</v>
      </c>
      <c r="F1038" s="2" t="s">
        <v>222</v>
      </c>
      <c r="G1038" s="4" t="s">
        <v>1063</v>
      </c>
      <c r="H1038" s="4"/>
    </row>
    <row r="1039" spans="2:8">
      <c r="B1039" s="2">
        <v>11036</v>
      </c>
      <c r="C1039" s="25" t="s">
        <v>20</v>
      </c>
      <c r="D1039" s="2" t="s">
        <v>116</v>
      </c>
      <c r="E1039" s="2">
        <v>57</v>
      </c>
      <c r="F1039" s="2" t="s">
        <v>224</v>
      </c>
      <c r="G1039" s="4" t="s">
        <v>1063</v>
      </c>
      <c r="H1039" s="4"/>
    </row>
    <row r="1040" spans="2:8">
      <c r="B1040" s="2">
        <v>11037</v>
      </c>
      <c r="C1040" s="25" t="s">
        <v>20</v>
      </c>
      <c r="D1040" s="2" t="s">
        <v>119</v>
      </c>
      <c r="E1040" s="2">
        <v>58</v>
      </c>
      <c r="F1040" s="2" t="s">
        <v>226</v>
      </c>
      <c r="G1040" s="4" t="s">
        <v>1063</v>
      </c>
      <c r="H1040" s="4"/>
    </row>
    <row r="1041" spans="2:10">
      <c r="B1041" s="2">
        <v>11038</v>
      </c>
      <c r="C1041" s="25" t="s">
        <v>20</v>
      </c>
      <c r="D1041" s="2" t="s">
        <v>122</v>
      </c>
      <c r="E1041" s="2">
        <v>60</v>
      </c>
      <c r="F1041" s="2" t="s">
        <v>228</v>
      </c>
      <c r="G1041" s="4" t="s">
        <v>1063</v>
      </c>
      <c r="H1041" s="4"/>
    </row>
    <row r="1042" spans="2:10">
      <c r="B1042" s="2">
        <v>11039</v>
      </c>
      <c r="C1042" s="25" t="s">
        <v>20</v>
      </c>
      <c r="D1042" s="2" t="s">
        <v>125</v>
      </c>
      <c r="E1042" s="2">
        <v>62</v>
      </c>
      <c r="F1042" s="2" t="s">
        <v>230</v>
      </c>
      <c r="G1042" s="4" t="s">
        <v>1063</v>
      </c>
      <c r="H1042" s="4"/>
    </row>
    <row r="1043" spans="2:10">
      <c r="B1043" s="2">
        <v>11040</v>
      </c>
      <c r="C1043" s="25" t="s">
        <v>20</v>
      </c>
      <c r="D1043" s="2" t="s">
        <v>128</v>
      </c>
      <c r="E1043" s="2">
        <v>63</v>
      </c>
      <c r="F1043" s="2" t="s">
        <v>232</v>
      </c>
      <c r="G1043" s="4" t="s">
        <v>1063</v>
      </c>
      <c r="H1043" s="4"/>
    </row>
    <row r="1044" spans="2:10">
      <c r="B1044" s="2">
        <v>11041</v>
      </c>
      <c r="C1044" s="25" t="s">
        <v>20</v>
      </c>
      <c r="D1044" s="2" t="s">
        <v>131</v>
      </c>
      <c r="E1044" s="2">
        <v>65</v>
      </c>
      <c r="F1044" s="2" t="s">
        <v>234</v>
      </c>
      <c r="G1044" s="4" t="s">
        <v>1063</v>
      </c>
      <c r="H1044" s="4"/>
    </row>
    <row r="1045" spans="2:10">
      <c r="B1045" s="2">
        <v>11042</v>
      </c>
      <c r="C1045" s="25" t="s">
        <v>20</v>
      </c>
      <c r="D1045" s="2" t="s">
        <v>134</v>
      </c>
      <c r="E1045" s="2">
        <v>67</v>
      </c>
      <c r="F1045" s="2" t="s">
        <v>236</v>
      </c>
      <c r="G1045" s="4" t="s">
        <v>1063</v>
      </c>
      <c r="H1045" s="4"/>
    </row>
    <row r="1046" spans="2:10">
      <c r="B1046" s="2">
        <v>11043</v>
      </c>
      <c r="C1046" s="25" t="s">
        <v>20</v>
      </c>
      <c r="D1046" s="2" t="s">
        <v>137</v>
      </c>
      <c r="E1046" s="2">
        <v>68</v>
      </c>
      <c r="F1046" s="2" t="s">
        <v>238</v>
      </c>
      <c r="G1046" s="4" t="s">
        <v>1063</v>
      </c>
      <c r="H1046" s="4"/>
    </row>
    <row r="1047" spans="2:10">
      <c r="B1047" s="2">
        <v>11044</v>
      </c>
      <c r="C1047" s="25" t="s">
        <v>20</v>
      </c>
      <c r="D1047" s="2" t="s">
        <v>140</v>
      </c>
      <c r="E1047" s="2">
        <v>70</v>
      </c>
      <c r="F1047" s="2" t="s">
        <v>240</v>
      </c>
      <c r="G1047" s="4" t="s">
        <v>1063</v>
      </c>
      <c r="H1047" s="4"/>
    </row>
    <row r="1048" spans="2:10">
      <c r="B1048" s="2">
        <v>11045</v>
      </c>
      <c r="C1048" s="25" t="s">
        <v>20</v>
      </c>
      <c r="D1048" s="2" t="s">
        <v>143</v>
      </c>
      <c r="E1048" s="2">
        <v>72</v>
      </c>
      <c r="F1048" s="2" t="s">
        <v>242</v>
      </c>
      <c r="G1048" s="4" t="s">
        <v>1063</v>
      </c>
      <c r="H1048" s="4"/>
    </row>
    <row r="1049" spans="2:10">
      <c r="B1049" s="2">
        <v>11046</v>
      </c>
      <c r="C1049" s="25" t="s">
        <v>20</v>
      </c>
      <c r="D1049" s="2" t="s">
        <v>146</v>
      </c>
      <c r="E1049" s="2">
        <v>73</v>
      </c>
      <c r="F1049" s="2" t="s">
        <v>244</v>
      </c>
      <c r="G1049" s="4" t="s">
        <v>1063</v>
      </c>
      <c r="H1049" s="4"/>
    </row>
    <row r="1050" spans="2:10">
      <c r="B1050" s="2">
        <v>11047</v>
      </c>
      <c r="C1050" s="25" t="s">
        <v>20</v>
      </c>
      <c r="D1050" s="2" t="s">
        <v>149</v>
      </c>
      <c r="E1050" s="2">
        <v>75</v>
      </c>
      <c r="F1050" s="2" t="s">
        <v>246</v>
      </c>
      <c r="G1050" s="4" t="s">
        <v>1063</v>
      </c>
      <c r="H1050" s="4"/>
    </row>
    <row r="1051" spans="2:10">
      <c r="B1051" s="2">
        <v>11048</v>
      </c>
      <c r="C1051" s="25" t="s">
        <v>20</v>
      </c>
      <c r="D1051" s="2" t="s">
        <v>152</v>
      </c>
      <c r="E1051" s="2">
        <v>77</v>
      </c>
      <c r="F1051" s="2" t="s">
        <v>248</v>
      </c>
      <c r="G1051" s="4" t="s">
        <v>1063</v>
      </c>
      <c r="H1051" s="4"/>
    </row>
    <row r="1052" spans="2:10">
      <c r="B1052" s="2">
        <v>11049</v>
      </c>
      <c r="C1052" s="25" t="s">
        <v>20</v>
      </c>
      <c r="D1052" s="2" t="s">
        <v>155</v>
      </c>
      <c r="E1052" s="2">
        <v>78</v>
      </c>
      <c r="F1052" s="2" t="s">
        <v>250</v>
      </c>
      <c r="G1052" s="4" t="s">
        <v>1063</v>
      </c>
      <c r="H1052" s="4"/>
    </row>
    <row r="1053" s="22" customFormat="1" spans="2:10">
      <c r="B1053" s="2">
        <v>11050</v>
      </c>
      <c r="C1053" s="25" t="s">
        <v>20</v>
      </c>
      <c r="D1053" s="2" t="s">
        <v>158</v>
      </c>
      <c r="E1053" s="2">
        <v>80</v>
      </c>
      <c r="F1053" s="2" t="s">
        <v>252</v>
      </c>
      <c r="G1053" s="4" t="s">
        <v>1063</v>
      </c>
      <c r="H1053" s="4"/>
    </row>
    <row r="1054" s="22" customFormat="1" spans="2:10">
      <c r="B1054" s="2">
        <v>11051</v>
      </c>
      <c r="C1054" s="25" t="s">
        <v>20</v>
      </c>
      <c r="D1054" s="2" t="s">
        <v>161</v>
      </c>
      <c r="E1054" s="2">
        <v>82</v>
      </c>
      <c r="F1054" s="2" t="s">
        <v>254</v>
      </c>
      <c r="G1054" s="4" t="s">
        <v>1063</v>
      </c>
      <c r="H1054" s="4"/>
    </row>
    <row r="1055" s="22" customFormat="1" spans="2:10">
      <c r="B1055" s="22">
        <v>11052</v>
      </c>
      <c r="C1055" s="27" t="s">
        <v>1064</v>
      </c>
      <c r="D1055" s="22" t="s">
        <v>13</v>
      </c>
      <c r="E1055" s="28">
        <v>20</v>
      </c>
      <c r="F1055" s="22" t="s">
        <v>361</v>
      </c>
      <c r="G1055" s="28">
        <v>-99</v>
      </c>
      <c r="H1055" s="28"/>
      <c r="I1055" s="28" t="s">
        <v>1065</v>
      </c>
      <c r="J1055" s="22" t="s">
        <v>1066</v>
      </c>
    </row>
    <row r="1056" s="22" customFormat="1" spans="2:10">
      <c r="B1056" s="22">
        <v>11053</v>
      </c>
      <c r="C1056" s="27" t="s">
        <v>1064</v>
      </c>
      <c r="D1056" s="22" t="s">
        <v>17</v>
      </c>
      <c r="E1056" s="28">
        <v>35</v>
      </c>
      <c r="F1056" s="22" t="s">
        <v>365</v>
      </c>
      <c r="G1056" s="28">
        <v>-98</v>
      </c>
      <c r="H1056" s="28"/>
      <c r="I1056" s="28" t="s">
        <v>1065</v>
      </c>
      <c r="J1056" s="22" t="s">
        <v>1067</v>
      </c>
    </row>
    <row r="1057" s="22" customFormat="1" spans="2:10">
      <c r="B1057" s="22">
        <v>11054</v>
      </c>
      <c r="C1057" s="27" t="s">
        <v>1064</v>
      </c>
      <c r="D1057" s="22" t="s">
        <v>20</v>
      </c>
      <c r="E1057" s="28">
        <v>50</v>
      </c>
      <c r="F1057" s="22" t="s">
        <v>367</v>
      </c>
      <c r="G1057" s="28">
        <v>-97</v>
      </c>
      <c r="H1057" s="28"/>
      <c r="I1057" s="28" t="s">
        <v>1065</v>
      </c>
      <c r="J1057" s="22" t="s">
        <v>1068</v>
      </c>
    </row>
    <row r="1058" s="22" customFormat="1" spans="2:10">
      <c r="B1058" s="22">
        <v>11055</v>
      </c>
      <c r="C1058" s="27" t="s">
        <v>1064</v>
      </c>
      <c r="D1058" s="22" t="s">
        <v>23</v>
      </c>
      <c r="E1058" s="28">
        <v>65</v>
      </c>
      <c r="F1058" s="22" t="s">
        <v>369</v>
      </c>
      <c r="G1058" s="28">
        <v>-96</v>
      </c>
      <c r="H1058" s="28"/>
      <c r="I1058" s="28" t="s">
        <v>1065</v>
      </c>
      <c r="J1058" s="22" t="s">
        <v>1069</v>
      </c>
    </row>
    <row r="1059" s="22" customFormat="1" spans="2:10">
      <c r="B1059" s="22">
        <v>11056</v>
      </c>
      <c r="C1059" s="27" t="s">
        <v>1064</v>
      </c>
      <c r="D1059" s="22" t="s">
        <v>26</v>
      </c>
      <c r="E1059" s="28">
        <v>80</v>
      </c>
      <c r="F1059" s="22" t="s">
        <v>371</v>
      </c>
      <c r="G1059" s="28">
        <v>-95</v>
      </c>
      <c r="H1059" s="28"/>
      <c r="I1059" s="28" t="s">
        <v>1065</v>
      </c>
      <c r="J1059" s="22" t="s">
        <v>1070</v>
      </c>
    </row>
    <row r="1060" s="22" customFormat="1" spans="2:10">
      <c r="B1060" s="22">
        <v>11057</v>
      </c>
      <c r="C1060" s="27" t="s">
        <v>1064</v>
      </c>
      <c r="D1060" s="22" t="s">
        <v>29</v>
      </c>
      <c r="E1060" s="28">
        <v>95</v>
      </c>
      <c r="F1060" s="22" t="s">
        <v>373</v>
      </c>
      <c r="G1060" s="28">
        <v>-94</v>
      </c>
      <c r="H1060" s="28"/>
      <c r="I1060" s="28" t="s">
        <v>1065</v>
      </c>
      <c r="J1060" s="22" t="s">
        <v>1071</v>
      </c>
    </row>
    <row r="1061" s="22" customFormat="1" spans="2:10">
      <c r="B1061" s="22">
        <v>11058</v>
      </c>
      <c r="C1061" s="27" t="s">
        <v>1064</v>
      </c>
      <c r="D1061" s="22" t="s">
        <v>32</v>
      </c>
      <c r="E1061" s="28">
        <v>110</v>
      </c>
      <c r="F1061" s="22" t="s">
        <v>375</v>
      </c>
      <c r="G1061" s="28">
        <v>-93</v>
      </c>
      <c r="H1061" s="28"/>
      <c r="I1061" s="28" t="s">
        <v>1065</v>
      </c>
      <c r="J1061" s="22" t="s">
        <v>1072</v>
      </c>
    </row>
    <row r="1062" s="22" customFormat="1" spans="2:10">
      <c r="B1062" s="22">
        <v>11059</v>
      </c>
      <c r="C1062" s="27" t="s">
        <v>1064</v>
      </c>
      <c r="D1062" s="22" t="s">
        <v>35</v>
      </c>
      <c r="E1062" s="28">
        <v>125</v>
      </c>
      <c r="F1062" s="22" t="s">
        <v>377</v>
      </c>
      <c r="G1062" s="28">
        <v>-92</v>
      </c>
      <c r="H1062" s="28"/>
      <c r="I1062" s="28" t="s">
        <v>1065</v>
      </c>
      <c r="J1062" s="22" t="s">
        <v>1073</v>
      </c>
    </row>
    <row r="1063" s="22" customFormat="1" spans="2:10">
      <c r="B1063" s="22">
        <v>11060</v>
      </c>
      <c r="C1063" s="27" t="s">
        <v>1064</v>
      </c>
      <c r="D1063" s="22" t="s">
        <v>38</v>
      </c>
      <c r="E1063" s="28">
        <v>140</v>
      </c>
      <c r="F1063" s="22" t="s">
        <v>379</v>
      </c>
      <c r="G1063" s="28">
        <v>-91</v>
      </c>
      <c r="H1063" s="28"/>
      <c r="I1063" s="28" t="s">
        <v>1065</v>
      </c>
      <c r="J1063" s="22" t="s">
        <v>1074</v>
      </c>
    </row>
    <row r="1064" s="22" customFormat="1" spans="2:10">
      <c r="B1064" s="22">
        <v>11061</v>
      </c>
      <c r="C1064" s="27" t="s">
        <v>1064</v>
      </c>
      <c r="D1064" s="22" t="s">
        <v>41</v>
      </c>
      <c r="E1064" s="28">
        <v>155</v>
      </c>
      <c r="F1064" s="22" t="s">
        <v>381</v>
      </c>
      <c r="G1064" s="28">
        <v>-90</v>
      </c>
      <c r="H1064" s="28"/>
      <c r="I1064" s="28" t="s">
        <v>1065</v>
      </c>
      <c r="J1064" s="22" t="s">
        <v>1075</v>
      </c>
    </row>
    <row r="1065" s="22" customFormat="1" spans="2:10">
      <c r="B1065" s="22">
        <v>11062</v>
      </c>
      <c r="C1065" s="27" t="s">
        <v>1064</v>
      </c>
      <c r="D1065" s="22" t="s">
        <v>44</v>
      </c>
      <c r="E1065" s="28">
        <v>170</v>
      </c>
      <c r="F1065" s="22" t="s">
        <v>383</v>
      </c>
      <c r="G1065" s="28">
        <v>-89</v>
      </c>
      <c r="H1065" s="28"/>
      <c r="I1065" s="28" t="s">
        <v>1065</v>
      </c>
      <c r="J1065" s="22" t="s">
        <v>1076</v>
      </c>
    </row>
    <row r="1066" s="22" customFormat="1" spans="2:10">
      <c r="B1066" s="22">
        <v>11063</v>
      </c>
      <c r="C1066" s="27" t="s">
        <v>1064</v>
      </c>
      <c r="D1066" s="22" t="s">
        <v>47</v>
      </c>
      <c r="E1066" s="28">
        <v>185</v>
      </c>
      <c r="F1066" s="22" t="s">
        <v>385</v>
      </c>
      <c r="G1066" s="28">
        <v>-88</v>
      </c>
      <c r="H1066" s="28"/>
      <c r="I1066" s="28" t="s">
        <v>1065</v>
      </c>
      <c r="J1066" s="22" t="s">
        <v>1077</v>
      </c>
    </row>
    <row r="1067" s="22" customFormat="1" spans="2:10">
      <c r="B1067" s="22">
        <v>11064</v>
      </c>
      <c r="C1067" s="27" t="s">
        <v>1064</v>
      </c>
      <c r="D1067" s="22" t="s">
        <v>50</v>
      </c>
      <c r="E1067" s="28">
        <v>200</v>
      </c>
      <c r="F1067" s="22" t="s">
        <v>387</v>
      </c>
      <c r="G1067" s="28">
        <v>-87</v>
      </c>
      <c r="H1067" s="28"/>
      <c r="I1067" s="28" t="s">
        <v>1065</v>
      </c>
      <c r="J1067" s="22" t="s">
        <v>1078</v>
      </c>
    </row>
    <row r="1068" s="22" customFormat="1" spans="2:10">
      <c r="B1068" s="22">
        <v>11065</v>
      </c>
      <c r="C1068" s="27" t="s">
        <v>1064</v>
      </c>
      <c r="D1068" s="22" t="s">
        <v>53</v>
      </c>
      <c r="E1068" s="28">
        <v>215</v>
      </c>
      <c r="F1068" s="22" t="s">
        <v>389</v>
      </c>
      <c r="G1068" s="28">
        <v>-86</v>
      </c>
      <c r="H1068" s="28"/>
      <c r="I1068" s="28" t="s">
        <v>1065</v>
      </c>
      <c r="J1068" s="22" t="s">
        <v>1079</v>
      </c>
    </row>
    <row r="1069" s="22" customFormat="1" spans="2:10">
      <c r="B1069" s="22">
        <v>11066</v>
      </c>
      <c r="C1069" s="27" t="s">
        <v>1064</v>
      </c>
      <c r="D1069" s="22" t="s">
        <v>56</v>
      </c>
      <c r="E1069" s="28">
        <v>230</v>
      </c>
      <c r="F1069" s="22" t="s">
        <v>391</v>
      </c>
      <c r="G1069" s="28">
        <v>-85</v>
      </c>
      <c r="H1069" s="28"/>
      <c r="I1069" s="28" t="s">
        <v>1065</v>
      </c>
      <c r="J1069" s="22" t="s">
        <v>1080</v>
      </c>
    </row>
    <row r="1070" s="22" customFormat="1" spans="2:10">
      <c r="B1070" s="22">
        <v>11067</v>
      </c>
      <c r="C1070" s="27" t="s">
        <v>1064</v>
      </c>
      <c r="D1070" s="22" t="s">
        <v>59</v>
      </c>
      <c r="E1070" s="28">
        <v>245</v>
      </c>
      <c r="F1070" s="22" t="s">
        <v>393</v>
      </c>
      <c r="G1070" s="28">
        <v>-84</v>
      </c>
      <c r="H1070" s="28"/>
      <c r="I1070" s="28" t="s">
        <v>1065</v>
      </c>
      <c r="J1070" s="22" t="s">
        <v>1081</v>
      </c>
    </row>
    <row r="1071" s="22" customFormat="1" spans="2:10">
      <c r="B1071" s="22">
        <v>11068</v>
      </c>
      <c r="C1071" s="27" t="s">
        <v>1064</v>
      </c>
      <c r="D1071" s="22" t="s">
        <v>62</v>
      </c>
      <c r="E1071" s="28">
        <v>260</v>
      </c>
      <c r="F1071" s="22" t="s">
        <v>395</v>
      </c>
      <c r="G1071" s="28">
        <v>-83</v>
      </c>
      <c r="H1071" s="28"/>
      <c r="I1071" s="28" t="s">
        <v>1065</v>
      </c>
      <c r="J1071" s="22" t="s">
        <v>1082</v>
      </c>
    </row>
    <row r="1072" s="22" customFormat="1" spans="2:10">
      <c r="B1072" s="22">
        <v>11069</v>
      </c>
      <c r="C1072" s="27" t="s">
        <v>1064</v>
      </c>
      <c r="D1072" s="22" t="s">
        <v>65</v>
      </c>
      <c r="E1072" s="28">
        <v>275</v>
      </c>
      <c r="F1072" s="22" t="s">
        <v>397</v>
      </c>
      <c r="G1072" s="28">
        <v>-82</v>
      </c>
      <c r="H1072" s="28"/>
      <c r="I1072" s="28" t="s">
        <v>1065</v>
      </c>
      <c r="J1072" s="22" t="s">
        <v>1083</v>
      </c>
    </row>
    <row r="1073" s="22" customFormat="1" spans="2:10">
      <c r="B1073" s="22">
        <v>11070</v>
      </c>
      <c r="C1073" s="27" t="s">
        <v>1064</v>
      </c>
      <c r="D1073" s="22" t="s">
        <v>68</v>
      </c>
      <c r="E1073" s="28">
        <v>290</v>
      </c>
      <c r="F1073" s="22" t="s">
        <v>399</v>
      </c>
      <c r="G1073" s="28">
        <v>-81</v>
      </c>
      <c r="H1073" s="28"/>
      <c r="I1073" s="28" t="s">
        <v>1065</v>
      </c>
      <c r="J1073" s="22" t="s">
        <v>1084</v>
      </c>
    </row>
    <row r="1074" s="22" customFormat="1" spans="2:10">
      <c r="B1074" s="22">
        <v>11071</v>
      </c>
      <c r="C1074" s="27" t="s">
        <v>1064</v>
      </c>
      <c r="D1074" s="22" t="s">
        <v>71</v>
      </c>
      <c r="E1074" s="28">
        <v>305</v>
      </c>
      <c r="F1074" s="22" t="s">
        <v>401</v>
      </c>
      <c r="G1074" s="28">
        <v>-80</v>
      </c>
      <c r="H1074" s="28"/>
      <c r="I1074" s="28" t="s">
        <v>1065</v>
      </c>
      <c r="J1074" s="22" t="s">
        <v>1085</v>
      </c>
    </row>
    <row r="1075" s="22" customFormat="1" spans="2:10">
      <c r="B1075" s="22">
        <v>11072</v>
      </c>
      <c r="C1075" s="27" t="s">
        <v>1064</v>
      </c>
      <c r="D1075" s="22" t="s">
        <v>74</v>
      </c>
      <c r="E1075" s="28">
        <v>320</v>
      </c>
      <c r="F1075" s="22" t="s">
        <v>403</v>
      </c>
      <c r="G1075" s="28">
        <v>-79</v>
      </c>
      <c r="H1075" s="28"/>
      <c r="I1075" s="28" t="s">
        <v>1065</v>
      </c>
      <c r="J1075" s="22" t="s">
        <v>1086</v>
      </c>
    </row>
    <row r="1076" s="22" customFormat="1" spans="2:10">
      <c r="B1076" s="22">
        <v>11073</v>
      </c>
      <c r="C1076" s="27" t="s">
        <v>1064</v>
      </c>
      <c r="D1076" s="22" t="s">
        <v>77</v>
      </c>
      <c r="E1076" s="28">
        <v>335</v>
      </c>
      <c r="F1076" s="22" t="s">
        <v>405</v>
      </c>
      <c r="G1076" s="28">
        <v>-78</v>
      </c>
      <c r="H1076" s="28"/>
      <c r="I1076" s="28" t="s">
        <v>1065</v>
      </c>
      <c r="J1076" s="22" t="s">
        <v>1087</v>
      </c>
    </row>
    <row r="1077" s="22" customFormat="1" spans="2:10">
      <c r="B1077" s="22">
        <v>11074</v>
      </c>
      <c r="C1077" s="27" t="s">
        <v>1064</v>
      </c>
      <c r="D1077" s="22" t="s">
        <v>80</v>
      </c>
      <c r="E1077" s="28">
        <v>350</v>
      </c>
      <c r="F1077" s="22" t="s">
        <v>407</v>
      </c>
      <c r="G1077" s="28">
        <v>-77</v>
      </c>
      <c r="H1077" s="28"/>
      <c r="I1077" s="28" t="s">
        <v>1065</v>
      </c>
      <c r="J1077" s="22" t="s">
        <v>1088</v>
      </c>
    </row>
    <row r="1078" s="22" customFormat="1" spans="2:10">
      <c r="B1078" s="22">
        <v>11075</v>
      </c>
      <c r="C1078" s="27" t="s">
        <v>1064</v>
      </c>
      <c r="D1078" s="22" t="s">
        <v>83</v>
      </c>
      <c r="E1078" s="28">
        <v>365</v>
      </c>
      <c r="F1078" s="22" t="s">
        <v>409</v>
      </c>
      <c r="G1078" s="28">
        <v>-76</v>
      </c>
      <c r="H1078" s="28"/>
      <c r="I1078" s="28" t="s">
        <v>1065</v>
      </c>
      <c r="J1078" s="22" t="s">
        <v>1089</v>
      </c>
    </row>
    <row r="1079" s="22" customFormat="1" spans="2:10">
      <c r="B1079" s="22">
        <v>11076</v>
      </c>
      <c r="C1079" s="27" t="s">
        <v>1064</v>
      </c>
      <c r="D1079" s="22" t="s">
        <v>86</v>
      </c>
      <c r="E1079" s="28">
        <v>380</v>
      </c>
      <c r="F1079" s="22" t="s">
        <v>411</v>
      </c>
      <c r="G1079" s="28">
        <v>-75</v>
      </c>
      <c r="H1079" s="28"/>
      <c r="I1079" s="28" t="s">
        <v>1065</v>
      </c>
      <c r="J1079" s="22" t="s">
        <v>1090</v>
      </c>
    </row>
    <row r="1080" s="22" customFormat="1" spans="2:10">
      <c r="B1080" s="22">
        <v>11077</v>
      </c>
      <c r="C1080" s="27" t="s">
        <v>1064</v>
      </c>
      <c r="D1080" s="22" t="s">
        <v>89</v>
      </c>
      <c r="E1080" s="28">
        <v>395</v>
      </c>
      <c r="F1080" s="22" t="s">
        <v>413</v>
      </c>
      <c r="G1080" s="28">
        <v>-74</v>
      </c>
      <c r="H1080" s="28"/>
      <c r="I1080" s="28" t="s">
        <v>1065</v>
      </c>
      <c r="J1080" s="22" t="s">
        <v>1091</v>
      </c>
    </row>
    <row r="1081" s="22" customFormat="1" spans="2:10">
      <c r="B1081" s="22">
        <v>11078</v>
      </c>
      <c r="C1081" s="27" t="s">
        <v>1064</v>
      </c>
      <c r="D1081" s="22" t="s">
        <v>92</v>
      </c>
      <c r="E1081" s="28">
        <v>410</v>
      </c>
      <c r="F1081" s="22" t="s">
        <v>415</v>
      </c>
      <c r="G1081" s="28">
        <v>-73</v>
      </c>
      <c r="H1081" s="28"/>
      <c r="I1081" s="28" t="s">
        <v>1065</v>
      </c>
      <c r="J1081" s="22" t="s">
        <v>1092</v>
      </c>
    </row>
    <row r="1082" s="22" customFormat="1" spans="2:10">
      <c r="B1082" s="22">
        <v>11079</v>
      </c>
      <c r="C1082" s="27" t="s">
        <v>1064</v>
      </c>
      <c r="D1082" s="22" t="s">
        <v>95</v>
      </c>
      <c r="E1082" s="28">
        <v>425</v>
      </c>
      <c r="F1082" s="22" t="s">
        <v>417</v>
      </c>
      <c r="G1082" s="28">
        <v>-72</v>
      </c>
      <c r="H1082" s="28"/>
      <c r="I1082" s="28" t="s">
        <v>1065</v>
      </c>
      <c r="J1082" s="22" t="s">
        <v>1093</v>
      </c>
    </row>
    <row r="1083" s="22" customFormat="1" spans="2:10">
      <c r="B1083" s="22">
        <v>11080</v>
      </c>
      <c r="C1083" s="27" t="s">
        <v>1064</v>
      </c>
      <c r="D1083" s="22" t="s">
        <v>98</v>
      </c>
      <c r="E1083" s="28">
        <v>440</v>
      </c>
      <c r="F1083" s="22" t="s">
        <v>419</v>
      </c>
      <c r="G1083" s="28">
        <v>-71</v>
      </c>
      <c r="H1083" s="28"/>
      <c r="I1083" s="28" t="s">
        <v>1065</v>
      </c>
      <c r="J1083" s="22" t="s">
        <v>1094</v>
      </c>
    </row>
    <row r="1084" s="22" customFormat="1" spans="2:10">
      <c r="B1084" s="22">
        <v>11081</v>
      </c>
      <c r="C1084" s="27" t="s">
        <v>1064</v>
      </c>
      <c r="D1084" s="22" t="s">
        <v>101</v>
      </c>
      <c r="E1084" s="28">
        <v>455</v>
      </c>
      <c r="F1084" s="22" t="s">
        <v>421</v>
      </c>
      <c r="G1084" s="28">
        <v>-70</v>
      </c>
      <c r="H1084" s="28"/>
      <c r="I1084" s="28" t="s">
        <v>1065</v>
      </c>
      <c r="J1084" s="22" t="s">
        <v>1095</v>
      </c>
    </row>
    <row r="1085" s="22" customFormat="1" spans="2:10">
      <c r="B1085" s="22">
        <v>11082</v>
      </c>
      <c r="C1085" s="27" t="s">
        <v>1064</v>
      </c>
      <c r="D1085" s="22" t="s">
        <v>104</v>
      </c>
      <c r="E1085" s="28">
        <v>470</v>
      </c>
      <c r="F1085" s="22" t="s">
        <v>423</v>
      </c>
      <c r="G1085" s="28">
        <v>-69</v>
      </c>
      <c r="H1085" s="28"/>
      <c r="I1085" s="28" t="s">
        <v>1065</v>
      </c>
      <c r="J1085" s="22" t="s">
        <v>1096</v>
      </c>
    </row>
    <row r="1086" s="22" customFormat="1" spans="2:10">
      <c r="B1086" s="22">
        <v>11083</v>
      </c>
      <c r="C1086" s="27" t="s">
        <v>1064</v>
      </c>
      <c r="D1086" s="22" t="s">
        <v>107</v>
      </c>
      <c r="E1086" s="28">
        <v>485</v>
      </c>
      <c r="F1086" s="22" t="s">
        <v>425</v>
      </c>
      <c r="G1086" s="28">
        <v>-68</v>
      </c>
      <c r="H1086" s="28"/>
      <c r="I1086" s="28" t="s">
        <v>1065</v>
      </c>
      <c r="J1086" s="22" t="s">
        <v>1097</v>
      </c>
    </row>
    <row r="1087" s="22" customFormat="1" spans="2:10">
      <c r="B1087" s="22">
        <v>11084</v>
      </c>
      <c r="C1087" s="27" t="s">
        <v>1064</v>
      </c>
      <c r="D1087" s="22" t="s">
        <v>110</v>
      </c>
      <c r="E1087" s="28">
        <v>500</v>
      </c>
      <c r="F1087" s="22" t="s">
        <v>427</v>
      </c>
      <c r="G1087" s="28">
        <v>-67</v>
      </c>
      <c r="H1087" s="28"/>
      <c r="I1087" s="28" t="s">
        <v>1065</v>
      </c>
      <c r="J1087" s="22" t="s">
        <v>1098</v>
      </c>
    </row>
    <row r="1088" s="22" customFormat="1" spans="2:10">
      <c r="B1088" s="22">
        <v>11085</v>
      </c>
      <c r="C1088" s="27" t="s">
        <v>1064</v>
      </c>
      <c r="D1088" s="22" t="s">
        <v>113</v>
      </c>
      <c r="E1088" s="28">
        <v>515</v>
      </c>
      <c r="F1088" s="22" t="s">
        <v>429</v>
      </c>
      <c r="G1088" s="28">
        <v>-66</v>
      </c>
      <c r="H1088" s="28"/>
      <c r="I1088" s="28" t="s">
        <v>1065</v>
      </c>
      <c r="J1088" s="22" t="s">
        <v>1099</v>
      </c>
    </row>
    <row r="1089" s="22" customFormat="1" spans="2:10">
      <c r="B1089" s="22">
        <v>11086</v>
      </c>
      <c r="C1089" s="27" t="s">
        <v>1064</v>
      </c>
      <c r="D1089" s="22" t="s">
        <v>116</v>
      </c>
      <c r="E1089" s="28">
        <v>530</v>
      </c>
      <c r="F1089" s="22" t="s">
        <v>431</v>
      </c>
      <c r="G1089" s="28">
        <v>-65</v>
      </c>
      <c r="H1089" s="28"/>
      <c r="I1089" s="28" t="s">
        <v>1065</v>
      </c>
      <c r="J1089" s="22" t="s">
        <v>1100</v>
      </c>
    </row>
    <row r="1090" s="22" customFormat="1" spans="2:10">
      <c r="B1090" s="22">
        <v>11087</v>
      </c>
      <c r="C1090" s="27" t="s">
        <v>1064</v>
      </c>
      <c r="D1090" s="22" t="s">
        <v>119</v>
      </c>
      <c r="E1090" s="28">
        <v>545</v>
      </c>
      <c r="F1090" s="22" t="s">
        <v>433</v>
      </c>
      <c r="G1090" s="28">
        <v>-64</v>
      </c>
      <c r="H1090" s="28"/>
      <c r="I1090" s="28" t="s">
        <v>1065</v>
      </c>
      <c r="J1090" s="22" t="s">
        <v>1101</v>
      </c>
    </row>
    <row r="1091" s="22" customFormat="1" spans="2:10">
      <c r="B1091" s="22">
        <v>11088</v>
      </c>
      <c r="C1091" s="27" t="s">
        <v>1064</v>
      </c>
      <c r="D1091" s="22" t="s">
        <v>122</v>
      </c>
      <c r="E1091" s="28">
        <v>560</v>
      </c>
      <c r="F1091" s="22" t="s">
        <v>435</v>
      </c>
      <c r="G1091" s="28">
        <v>-63</v>
      </c>
      <c r="H1091" s="28"/>
      <c r="I1091" s="28" t="s">
        <v>1065</v>
      </c>
      <c r="J1091" s="22" t="s">
        <v>1102</v>
      </c>
    </row>
    <row r="1092" s="22" customFormat="1" spans="2:10">
      <c r="B1092" s="22">
        <v>11089</v>
      </c>
      <c r="C1092" s="27" t="s">
        <v>1064</v>
      </c>
      <c r="D1092" s="22" t="s">
        <v>125</v>
      </c>
      <c r="E1092" s="28">
        <v>575.000000000001</v>
      </c>
      <c r="F1092" s="22" t="s">
        <v>437</v>
      </c>
      <c r="G1092" s="28">
        <v>-62</v>
      </c>
      <c r="H1092" s="28"/>
      <c r="I1092" s="28" t="s">
        <v>1065</v>
      </c>
      <c r="J1092" s="22" t="s">
        <v>1103</v>
      </c>
    </row>
    <row r="1093" s="22" customFormat="1" spans="2:10">
      <c r="B1093" s="22">
        <v>11090</v>
      </c>
      <c r="C1093" s="27" t="s">
        <v>1064</v>
      </c>
      <c r="D1093" s="22" t="s">
        <v>128</v>
      </c>
      <c r="E1093" s="28">
        <v>590</v>
      </c>
      <c r="F1093" s="22" t="s">
        <v>439</v>
      </c>
      <c r="G1093" s="28">
        <v>-61</v>
      </c>
      <c r="H1093" s="28"/>
      <c r="I1093" s="28" t="s">
        <v>1065</v>
      </c>
      <c r="J1093" s="22" t="s">
        <v>1104</v>
      </c>
    </row>
    <row r="1094" s="22" customFormat="1" spans="2:10">
      <c r="B1094" s="22">
        <v>11091</v>
      </c>
      <c r="C1094" s="27" t="s">
        <v>1064</v>
      </c>
      <c r="D1094" s="22" t="s">
        <v>131</v>
      </c>
      <c r="E1094" s="28">
        <v>605</v>
      </c>
      <c r="F1094" s="22" t="s">
        <v>441</v>
      </c>
      <c r="G1094" s="28">
        <v>-60</v>
      </c>
      <c r="H1094" s="28"/>
      <c r="I1094" s="28" t="s">
        <v>1065</v>
      </c>
      <c r="J1094" s="22" t="s">
        <v>1105</v>
      </c>
    </row>
    <row r="1095" s="22" customFormat="1" spans="2:10">
      <c r="B1095" s="22">
        <v>11092</v>
      </c>
      <c r="C1095" s="27" t="s">
        <v>1064</v>
      </c>
      <c r="D1095" s="22" t="s">
        <v>134</v>
      </c>
      <c r="E1095" s="28">
        <v>620.000000000001</v>
      </c>
      <c r="F1095" s="22" t="s">
        <v>443</v>
      </c>
      <c r="G1095" s="28">
        <v>-59</v>
      </c>
      <c r="H1095" s="28"/>
      <c r="I1095" s="28" t="s">
        <v>1065</v>
      </c>
      <c r="J1095" s="22" t="s">
        <v>1106</v>
      </c>
    </row>
    <row r="1096" s="22" customFormat="1" spans="2:10">
      <c r="B1096" s="22">
        <v>11093</v>
      </c>
      <c r="C1096" s="27" t="s">
        <v>1064</v>
      </c>
      <c r="D1096" s="22" t="s">
        <v>137</v>
      </c>
      <c r="E1096" s="28">
        <v>635.000000000001</v>
      </c>
      <c r="F1096" s="22" t="s">
        <v>445</v>
      </c>
      <c r="G1096" s="28">
        <v>-58</v>
      </c>
      <c r="H1096" s="28"/>
      <c r="I1096" s="28" t="s">
        <v>1065</v>
      </c>
      <c r="J1096" s="22" t="s">
        <v>1107</v>
      </c>
    </row>
    <row r="1097" s="22" customFormat="1" spans="2:10">
      <c r="B1097" s="22">
        <v>11094</v>
      </c>
      <c r="C1097" s="27" t="s">
        <v>1064</v>
      </c>
      <c r="D1097" s="22" t="s">
        <v>140</v>
      </c>
      <c r="E1097" s="28">
        <v>650.000000000001</v>
      </c>
      <c r="F1097" s="22" t="s">
        <v>447</v>
      </c>
      <c r="G1097" s="28">
        <v>-57</v>
      </c>
      <c r="H1097" s="28"/>
      <c r="I1097" s="28" t="s">
        <v>1065</v>
      </c>
      <c r="J1097" s="22" t="s">
        <v>1108</v>
      </c>
    </row>
    <row r="1098" s="22" customFormat="1" spans="2:10">
      <c r="B1098" s="22">
        <v>11095</v>
      </c>
      <c r="C1098" s="27" t="s">
        <v>1064</v>
      </c>
      <c r="D1098" s="22" t="s">
        <v>143</v>
      </c>
      <c r="E1098" s="28">
        <v>665.000000000001</v>
      </c>
      <c r="F1098" s="22" t="s">
        <v>449</v>
      </c>
      <c r="G1098" s="28">
        <v>-56</v>
      </c>
      <c r="H1098" s="28"/>
      <c r="I1098" s="28" t="s">
        <v>1065</v>
      </c>
      <c r="J1098" s="22" t="s">
        <v>1109</v>
      </c>
    </row>
    <row r="1099" s="22" customFormat="1" spans="2:10">
      <c r="B1099" s="22">
        <v>11096</v>
      </c>
      <c r="C1099" s="27" t="s">
        <v>1064</v>
      </c>
      <c r="D1099" s="22" t="s">
        <v>146</v>
      </c>
      <c r="E1099" s="28">
        <v>680.000000000001</v>
      </c>
      <c r="F1099" s="22" t="s">
        <v>451</v>
      </c>
      <c r="G1099" s="28">
        <v>-55</v>
      </c>
      <c r="H1099" s="28"/>
      <c r="I1099" s="28" t="s">
        <v>1065</v>
      </c>
      <c r="J1099" s="22" t="s">
        <v>1110</v>
      </c>
    </row>
    <row r="1100" s="22" customFormat="1" spans="2:10">
      <c r="B1100" s="22">
        <v>11097</v>
      </c>
      <c r="C1100" s="27" t="s">
        <v>1064</v>
      </c>
      <c r="D1100" s="22" t="s">
        <v>149</v>
      </c>
      <c r="E1100" s="28">
        <v>695.000000000001</v>
      </c>
      <c r="F1100" s="22" t="s">
        <v>453</v>
      </c>
      <c r="G1100" s="28">
        <v>-54</v>
      </c>
      <c r="H1100" s="28"/>
      <c r="I1100" s="28" t="s">
        <v>1065</v>
      </c>
      <c r="J1100" s="22" t="s">
        <v>1111</v>
      </c>
    </row>
    <row r="1101" s="22" customFormat="1" spans="2:10">
      <c r="B1101" s="22">
        <v>11098</v>
      </c>
      <c r="C1101" s="27" t="s">
        <v>1064</v>
      </c>
      <c r="D1101" s="22" t="s">
        <v>152</v>
      </c>
      <c r="E1101" s="28">
        <v>710.000000000001</v>
      </c>
      <c r="F1101" s="22" t="s">
        <v>455</v>
      </c>
      <c r="G1101" s="28">
        <v>-53</v>
      </c>
      <c r="H1101" s="28"/>
      <c r="I1101" s="28" t="s">
        <v>1065</v>
      </c>
      <c r="J1101" s="22" t="s">
        <v>1112</v>
      </c>
    </row>
    <row r="1102" s="22" customFormat="1" spans="2:10">
      <c r="B1102" s="22">
        <v>11099</v>
      </c>
      <c r="C1102" s="27" t="s">
        <v>1064</v>
      </c>
      <c r="D1102" s="22" t="s">
        <v>155</v>
      </c>
      <c r="E1102" s="28">
        <v>725.000000000001</v>
      </c>
      <c r="F1102" s="22" t="s">
        <v>457</v>
      </c>
      <c r="G1102" s="28">
        <v>-52</v>
      </c>
      <c r="H1102" s="28"/>
      <c r="I1102" s="28" t="s">
        <v>1065</v>
      </c>
      <c r="J1102" s="22" t="s">
        <v>1113</v>
      </c>
    </row>
    <row r="1103" spans="2:10">
      <c r="B1103" s="22">
        <v>11100</v>
      </c>
      <c r="C1103" s="27" t="s">
        <v>1064</v>
      </c>
      <c r="D1103" s="22" t="s">
        <v>158</v>
      </c>
      <c r="E1103" s="28">
        <v>740.000000000001</v>
      </c>
      <c r="F1103" s="22" t="s">
        <v>459</v>
      </c>
      <c r="G1103" s="28">
        <v>-51</v>
      </c>
      <c r="H1103" s="28"/>
      <c r="I1103" s="28" t="s">
        <v>1065</v>
      </c>
      <c r="J1103" s="22" t="s">
        <v>1114</v>
      </c>
    </row>
    <row r="1104" spans="2:10">
      <c r="B1104" s="22">
        <v>11101</v>
      </c>
      <c r="C1104" s="27" t="s">
        <v>1064</v>
      </c>
      <c r="D1104" s="22" t="s">
        <v>161</v>
      </c>
      <c r="E1104" s="28">
        <v>755.000000000001</v>
      </c>
      <c r="F1104" s="22" t="s">
        <v>461</v>
      </c>
      <c r="G1104" s="28">
        <v>-50</v>
      </c>
      <c r="H1104" s="28"/>
      <c r="I1104" s="28" t="s">
        <v>1065</v>
      </c>
      <c r="J1104" s="22" t="s">
        <v>1115</v>
      </c>
    </row>
    <row r="1105" spans="2:10">
      <c r="B1105" s="2">
        <v>11102</v>
      </c>
      <c r="C1105" s="11" t="s">
        <v>1116</v>
      </c>
      <c r="D1105" s="4" t="s">
        <v>13</v>
      </c>
      <c r="E1105" s="4">
        <v>20</v>
      </c>
      <c r="F1105" s="23" t="s">
        <v>870</v>
      </c>
      <c r="I1105" s="4" t="s">
        <v>1117</v>
      </c>
      <c r="J1105" s="2">
        <v>120</v>
      </c>
    </row>
    <row r="1106" spans="2:10">
      <c r="B1106" s="2">
        <v>11103</v>
      </c>
      <c r="C1106" s="11" t="s">
        <v>1116</v>
      </c>
      <c r="D1106" s="4" t="s">
        <v>17</v>
      </c>
      <c r="E1106" s="4">
        <v>32</v>
      </c>
      <c r="F1106" s="23" t="s">
        <v>872</v>
      </c>
      <c r="I1106" s="4" t="s">
        <v>1117</v>
      </c>
      <c r="J1106" s="2">
        <v>132</v>
      </c>
    </row>
    <row r="1107" spans="2:10">
      <c r="B1107" s="2">
        <v>11104</v>
      </c>
      <c r="C1107" s="11" t="s">
        <v>1116</v>
      </c>
      <c r="D1107" s="4" t="s">
        <v>20</v>
      </c>
      <c r="E1107" s="4">
        <v>44</v>
      </c>
      <c r="F1107" s="23" t="s">
        <v>873</v>
      </c>
      <c r="I1107" s="4" t="s">
        <v>1117</v>
      </c>
      <c r="J1107" s="2">
        <v>144</v>
      </c>
    </row>
    <row r="1108" spans="2:10">
      <c r="B1108" s="2">
        <v>11105</v>
      </c>
      <c r="C1108" s="11" t="s">
        <v>1116</v>
      </c>
      <c r="D1108" s="4" t="s">
        <v>23</v>
      </c>
      <c r="E1108" s="4">
        <v>56</v>
      </c>
      <c r="F1108" s="23" t="s">
        <v>874</v>
      </c>
      <c r="I1108" s="4" t="s">
        <v>1117</v>
      </c>
      <c r="J1108" s="2">
        <v>156</v>
      </c>
    </row>
    <row r="1109" spans="2:10">
      <c r="B1109" s="2">
        <v>11106</v>
      </c>
      <c r="C1109" s="11" t="s">
        <v>1116</v>
      </c>
      <c r="D1109" s="4" t="s">
        <v>26</v>
      </c>
      <c r="E1109" s="4">
        <v>68</v>
      </c>
      <c r="F1109" s="23" t="s">
        <v>875</v>
      </c>
      <c r="I1109" s="4" t="s">
        <v>1117</v>
      </c>
      <c r="J1109" s="2">
        <v>168</v>
      </c>
    </row>
    <row r="1110" spans="2:10">
      <c r="B1110" s="2">
        <v>11107</v>
      </c>
      <c r="C1110" s="11" t="s">
        <v>1116</v>
      </c>
      <c r="D1110" s="4" t="s">
        <v>29</v>
      </c>
      <c r="E1110" s="4">
        <v>80</v>
      </c>
      <c r="F1110" s="23" t="s">
        <v>876</v>
      </c>
      <c r="I1110" s="4" t="s">
        <v>1117</v>
      </c>
      <c r="J1110" s="2">
        <v>180</v>
      </c>
    </row>
    <row r="1111" spans="2:10">
      <c r="B1111" s="2">
        <v>11108</v>
      </c>
      <c r="C1111" s="11" t="s">
        <v>1116</v>
      </c>
      <c r="D1111" s="4" t="s">
        <v>32</v>
      </c>
      <c r="E1111" s="4">
        <v>92</v>
      </c>
      <c r="F1111" s="23" t="s">
        <v>877</v>
      </c>
      <c r="I1111" s="4" t="s">
        <v>1117</v>
      </c>
      <c r="J1111" s="2">
        <v>192</v>
      </c>
    </row>
    <row r="1112" spans="2:10">
      <c r="B1112" s="2">
        <v>11109</v>
      </c>
      <c r="C1112" s="11" t="s">
        <v>1116</v>
      </c>
      <c r="D1112" s="4" t="s">
        <v>35</v>
      </c>
      <c r="E1112" s="4">
        <v>104</v>
      </c>
      <c r="F1112" s="23" t="s">
        <v>878</v>
      </c>
      <c r="I1112" s="4" t="s">
        <v>1117</v>
      </c>
      <c r="J1112" s="2">
        <v>204</v>
      </c>
    </row>
    <row r="1113" spans="2:10">
      <c r="B1113" s="2">
        <v>11110</v>
      </c>
      <c r="C1113" s="11" t="s">
        <v>1116</v>
      </c>
      <c r="D1113" s="4" t="s">
        <v>38</v>
      </c>
      <c r="E1113" s="4">
        <v>116</v>
      </c>
      <c r="F1113" s="23" t="s">
        <v>879</v>
      </c>
      <c r="I1113" s="4" t="s">
        <v>1117</v>
      </c>
      <c r="J1113" s="2">
        <v>216</v>
      </c>
    </row>
    <row r="1114" spans="2:10">
      <c r="B1114" s="2">
        <v>11111</v>
      </c>
      <c r="C1114" s="11" t="s">
        <v>1116</v>
      </c>
      <c r="D1114" s="4" t="s">
        <v>41</v>
      </c>
      <c r="E1114" s="4">
        <v>128</v>
      </c>
      <c r="F1114" s="23" t="s">
        <v>880</v>
      </c>
      <c r="I1114" s="4" t="s">
        <v>1117</v>
      </c>
      <c r="J1114" s="2">
        <v>228</v>
      </c>
    </row>
    <row r="1115" spans="2:10">
      <c r="B1115" s="2">
        <v>11112</v>
      </c>
      <c r="C1115" s="11" t="s">
        <v>1116</v>
      </c>
      <c r="D1115" s="4" t="s">
        <v>44</v>
      </c>
      <c r="E1115" s="4">
        <v>140</v>
      </c>
      <c r="F1115" s="23" t="s">
        <v>881</v>
      </c>
      <c r="I1115" s="4" t="s">
        <v>1117</v>
      </c>
      <c r="J1115" s="2">
        <v>240</v>
      </c>
    </row>
    <row r="1116" spans="2:10">
      <c r="B1116" s="2">
        <v>11113</v>
      </c>
      <c r="C1116" s="11" t="s">
        <v>1116</v>
      </c>
      <c r="D1116" s="4" t="s">
        <v>47</v>
      </c>
      <c r="E1116" s="4">
        <v>152</v>
      </c>
      <c r="F1116" s="23" t="s">
        <v>882</v>
      </c>
      <c r="I1116" s="4" t="s">
        <v>1117</v>
      </c>
      <c r="J1116" s="2">
        <v>252</v>
      </c>
    </row>
    <row r="1117" spans="2:10">
      <c r="B1117" s="2">
        <v>11114</v>
      </c>
      <c r="C1117" s="11" t="s">
        <v>1116</v>
      </c>
      <c r="D1117" s="4" t="s">
        <v>50</v>
      </c>
      <c r="E1117" s="4">
        <v>164</v>
      </c>
      <c r="F1117" s="23" t="s">
        <v>883</v>
      </c>
      <c r="I1117" s="4" t="s">
        <v>1117</v>
      </c>
      <c r="J1117" s="2">
        <v>264</v>
      </c>
    </row>
    <row r="1118" spans="2:10">
      <c r="B1118" s="2">
        <v>11115</v>
      </c>
      <c r="C1118" s="11" t="s">
        <v>1116</v>
      </c>
      <c r="D1118" s="4" t="s">
        <v>53</v>
      </c>
      <c r="E1118" s="4">
        <v>176</v>
      </c>
      <c r="F1118" s="23" t="s">
        <v>884</v>
      </c>
      <c r="I1118" s="4" t="s">
        <v>1117</v>
      </c>
      <c r="J1118" s="2">
        <v>276</v>
      </c>
    </row>
    <row r="1119" spans="2:10">
      <c r="B1119" s="2">
        <v>11116</v>
      </c>
      <c r="C1119" s="11" t="s">
        <v>1116</v>
      </c>
      <c r="D1119" s="4" t="s">
        <v>56</v>
      </c>
      <c r="E1119" s="4">
        <v>188</v>
      </c>
      <c r="F1119" s="23" t="s">
        <v>885</v>
      </c>
      <c r="I1119" s="4" t="s">
        <v>1117</v>
      </c>
      <c r="J1119" s="2">
        <v>288</v>
      </c>
    </row>
    <row r="1120" spans="2:10">
      <c r="B1120" s="2">
        <v>11117</v>
      </c>
      <c r="C1120" s="11" t="s">
        <v>1116</v>
      </c>
      <c r="D1120" s="4" t="s">
        <v>59</v>
      </c>
      <c r="E1120" s="4">
        <v>200</v>
      </c>
      <c r="F1120" s="23" t="s">
        <v>886</v>
      </c>
      <c r="I1120" s="4" t="s">
        <v>1117</v>
      </c>
      <c r="J1120" s="2">
        <v>300</v>
      </c>
    </row>
    <row r="1121" spans="2:10">
      <c r="B1121" s="2">
        <v>11118</v>
      </c>
      <c r="C1121" s="11" t="s">
        <v>1116</v>
      </c>
      <c r="D1121" s="4" t="s">
        <v>62</v>
      </c>
      <c r="E1121" s="4">
        <v>212</v>
      </c>
      <c r="F1121" s="23" t="s">
        <v>887</v>
      </c>
      <c r="I1121" s="4" t="s">
        <v>1117</v>
      </c>
      <c r="J1121" s="2">
        <v>312</v>
      </c>
    </row>
    <row r="1122" spans="2:10">
      <c r="B1122" s="2">
        <v>11119</v>
      </c>
      <c r="C1122" s="11" t="s">
        <v>1116</v>
      </c>
      <c r="D1122" s="4" t="s">
        <v>65</v>
      </c>
      <c r="E1122" s="4">
        <v>224</v>
      </c>
      <c r="F1122" s="23" t="s">
        <v>888</v>
      </c>
      <c r="I1122" s="4" t="s">
        <v>1117</v>
      </c>
      <c r="J1122" s="2">
        <v>324</v>
      </c>
    </row>
    <row r="1123" spans="2:10">
      <c r="B1123" s="2">
        <v>11120</v>
      </c>
      <c r="C1123" s="11" t="s">
        <v>1116</v>
      </c>
      <c r="D1123" s="4" t="s">
        <v>68</v>
      </c>
      <c r="E1123" s="4">
        <v>236</v>
      </c>
      <c r="F1123" s="23" t="s">
        <v>889</v>
      </c>
      <c r="I1123" s="4" t="s">
        <v>1117</v>
      </c>
      <c r="J1123" s="2">
        <v>336</v>
      </c>
    </row>
    <row r="1124" spans="2:10">
      <c r="B1124" s="2">
        <v>11121</v>
      </c>
      <c r="C1124" s="11" t="s">
        <v>1116</v>
      </c>
      <c r="D1124" s="4" t="s">
        <v>71</v>
      </c>
      <c r="E1124" s="4">
        <v>248</v>
      </c>
      <c r="F1124" s="23" t="s">
        <v>890</v>
      </c>
      <c r="I1124" s="4" t="s">
        <v>1117</v>
      </c>
      <c r="J1124" s="2">
        <v>348</v>
      </c>
    </row>
    <row r="1125" spans="2:10">
      <c r="B1125" s="2">
        <v>11122</v>
      </c>
      <c r="C1125" s="11" t="s">
        <v>1116</v>
      </c>
      <c r="D1125" s="4" t="s">
        <v>74</v>
      </c>
      <c r="E1125" s="4">
        <v>260</v>
      </c>
      <c r="F1125" s="23" t="s">
        <v>891</v>
      </c>
      <c r="I1125" s="4" t="s">
        <v>1117</v>
      </c>
      <c r="J1125" s="2">
        <v>360</v>
      </c>
    </row>
    <row r="1126" spans="2:10">
      <c r="B1126" s="2">
        <v>11123</v>
      </c>
      <c r="C1126" s="11" t="s">
        <v>1116</v>
      </c>
      <c r="D1126" s="4" t="s">
        <v>77</v>
      </c>
      <c r="E1126" s="4">
        <v>272</v>
      </c>
      <c r="F1126" s="23" t="s">
        <v>892</v>
      </c>
      <c r="I1126" s="4" t="s">
        <v>1117</v>
      </c>
      <c r="J1126" s="2">
        <v>372</v>
      </c>
    </row>
    <row r="1127" spans="2:10">
      <c r="B1127" s="2">
        <v>11124</v>
      </c>
      <c r="C1127" s="11" t="s">
        <v>1116</v>
      </c>
      <c r="D1127" s="4" t="s">
        <v>80</v>
      </c>
      <c r="E1127" s="4">
        <v>284</v>
      </c>
      <c r="F1127" s="23" t="s">
        <v>893</v>
      </c>
      <c r="I1127" s="4" t="s">
        <v>1117</v>
      </c>
      <c r="J1127" s="2">
        <v>384</v>
      </c>
    </row>
    <row r="1128" spans="2:10">
      <c r="B1128" s="2">
        <v>11125</v>
      </c>
      <c r="C1128" s="11" t="s">
        <v>1116</v>
      </c>
      <c r="D1128" s="4" t="s">
        <v>83</v>
      </c>
      <c r="E1128" s="4">
        <v>296</v>
      </c>
      <c r="F1128" s="23" t="s">
        <v>894</v>
      </c>
      <c r="I1128" s="4" t="s">
        <v>1117</v>
      </c>
      <c r="J1128" s="2">
        <v>396</v>
      </c>
    </row>
    <row r="1129" spans="2:10">
      <c r="B1129" s="2">
        <v>11126</v>
      </c>
      <c r="C1129" s="11" t="s">
        <v>1116</v>
      </c>
      <c r="D1129" s="4" t="s">
        <v>86</v>
      </c>
      <c r="E1129" s="4">
        <v>308</v>
      </c>
      <c r="F1129" s="23" t="s">
        <v>895</v>
      </c>
      <c r="I1129" s="4" t="s">
        <v>1117</v>
      </c>
      <c r="J1129" s="2">
        <v>408</v>
      </c>
    </row>
    <row r="1130" spans="2:10">
      <c r="B1130" s="2">
        <v>11127</v>
      </c>
      <c r="C1130" s="11" t="s">
        <v>1116</v>
      </c>
      <c r="D1130" s="4" t="s">
        <v>89</v>
      </c>
      <c r="E1130" s="4">
        <v>320</v>
      </c>
      <c r="F1130" s="23" t="s">
        <v>896</v>
      </c>
      <c r="I1130" s="4" t="s">
        <v>1117</v>
      </c>
      <c r="J1130" s="2">
        <v>420</v>
      </c>
    </row>
    <row r="1131" spans="2:10">
      <c r="B1131" s="2">
        <v>11128</v>
      </c>
      <c r="C1131" s="11" t="s">
        <v>1116</v>
      </c>
      <c r="D1131" s="4" t="s">
        <v>92</v>
      </c>
      <c r="E1131" s="4">
        <v>332</v>
      </c>
      <c r="F1131" s="23" t="s">
        <v>897</v>
      </c>
      <c r="I1131" s="4" t="s">
        <v>1117</v>
      </c>
      <c r="J1131" s="2">
        <v>432</v>
      </c>
    </row>
    <row r="1132" spans="2:10">
      <c r="B1132" s="2">
        <v>11129</v>
      </c>
      <c r="C1132" s="11" t="s">
        <v>1116</v>
      </c>
      <c r="D1132" s="4" t="s">
        <v>95</v>
      </c>
      <c r="E1132" s="4">
        <v>344</v>
      </c>
      <c r="F1132" s="23" t="s">
        <v>898</v>
      </c>
      <c r="I1132" s="4" t="s">
        <v>1117</v>
      </c>
      <c r="J1132" s="2">
        <v>444</v>
      </c>
    </row>
    <row r="1133" spans="2:10">
      <c r="B1133" s="2">
        <v>11130</v>
      </c>
      <c r="C1133" s="11" t="s">
        <v>1116</v>
      </c>
      <c r="D1133" s="4" t="s">
        <v>98</v>
      </c>
      <c r="E1133" s="4">
        <v>356</v>
      </c>
      <c r="F1133" s="23" t="s">
        <v>899</v>
      </c>
      <c r="I1133" s="4" t="s">
        <v>1117</v>
      </c>
      <c r="J1133" s="2">
        <v>456</v>
      </c>
    </row>
    <row r="1134" spans="2:10">
      <c r="B1134" s="2">
        <v>11131</v>
      </c>
      <c r="C1134" s="11" t="s">
        <v>1116</v>
      </c>
      <c r="D1134" s="4" t="s">
        <v>101</v>
      </c>
      <c r="E1134" s="4">
        <v>368</v>
      </c>
      <c r="F1134" s="23" t="s">
        <v>900</v>
      </c>
      <c r="I1134" s="4" t="s">
        <v>1117</v>
      </c>
      <c r="J1134" s="2">
        <v>468</v>
      </c>
    </row>
    <row r="1135" spans="2:10">
      <c r="B1135" s="2">
        <v>11132</v>
      </c>
      <c r="C1135" s="11" t="s">
        <v>1116</v>
      </c>
      <c r="D1135" s="4" t="s">
        <v>104</v>
      </c>
      <c r="E1135" s="4">
        <v>380</v>
      </c>
      <c r="F1135" s="23" t="s">
        <v>901</v>
      </c>
      <c r="I1135" s="4" t="s">
        <v>1117</v>
      </c>
      <c r="J1135" s="2">
        <v>480</v>
      </c>
    </row>
    <row r="1136" spans="2:10">
      <c r="B1136" s="2">
        <v>11133</v>
      </c>
      <c r="C1136" s="11" t="s">
        <v>1116</v>
      </c>
      <c r="D1136" s="4" t="s">
        <v>107</v>
      </c>
      <c r="E1136" s="4">
        <v>392</v>
      </c>
      <c r="F1136" s="23" t="s">
        <v>902</v>
      </c>
      <c r="I1136" s="4" t="s">
        <v>1117</v>
      </c>
      <c r="J1136" s="2">
        <v>492</v>
      </c>
    </row>
    <row r="1137" spans="2:10">
      <c r="B1137" s="2">
        <v>11134</v>
      </c>
      <c r="C1137" s="11" t="s">
        <v>1116</v>
      </c>
      <c r="D1137" s="4" t="s">
        <v>110</v>
      </c>
      <c r="E1137" s="4">
        <v>404</v>
      </c>
      <c r="F1137" s="23" t="s">
        <v>903</v>
      </c>
      <c r="I1137" s="4" t="s">
        <v>1117</v>
      </c>
      <c r="J1137" s="2">
        <v>504</v>
      </c>
    </row>
    <row r="1138" spans="2:10">
      <c r="B1138" s="2">
        <v>11135</v>
      </c>
      <c r="C1138" s="11" t="s">
        <v>1116</v>
      </c>
      <c r="D1138" s="4" t="s">
        <v>113</v>
      </c>
      <c r="E1138" s="4">
        <v>416</v>
      </c>
      <c r="F1138" s="23" t="s">
        <v>904</v>
      </c>
      <c r="I1138" s="4" t="s">
        <v>1117</v>
      </c>
      <c r="J1138" s="2">
        <v>516</v>
      </c>
    </row>
    <row r="1139" spans="2:10">
      <c r="B1139" s="2">
        <v>11136</v>
      </c>
      <c r="C1139" s="11" t="s">
        <v>1116</v>
      </c>
      <c r="D1139" s="4" t="s">
        <v>116</v>
      </c>
      <c r="E1139" s="4">
        <v>428</v>
      </c>
      <c r="F1139" s="23" t="s">
        <v>905</v>
      </c>
      <c r="I1139" s="4" t="s">
        <v>1117</v>
      </c>
      <c r="J1139" s="2">
        <v>528</v>
      </c>
    </row>
    <row r="1140" spans="2:10">
      <c r="B1140" s="2">
        <v>11137</v>
      </c>
      <c r="C1140" s="11" t="s">
        <v>1116</v>
      </c>
      <c r="D1140" s="4" t="s">
        <v>119</v>
      </c>
      <c r="E1140" s="4">
        <v>440</v>
      </c>
      <c r="F1140" s="23" t="s">
        <v>906</v>
      </c>
      <c r="I1140" s="4" t="s">
        <v>1117</v>
      </c>
      <c r="J1140" s="2">
        <v>540</v>
      </c>
    </row>
    <row r="1141" spans="2:10">
      <c r="B1141" s="2">
        <v>11138</v>
      </c>
      <c r="C1141" s="11" t="s">
        <v>1116</v>
      </c>
      <c r="D1141" s="4" t="s">
        <v>122</v>
      </c>
      <c r="E1141" s="4">
        <v>452</v>
      </c>
      <c r="F1141" s="23" t="s">
        <v>907</v>
      </c>
      <c r="I1141" s="4" t="s">
        <v>1117</v>
      </c>
      <c r="J1141" s="2">
        <v>552</v>
      </c>
    </row>
    <row r="1142" spans="2:10">
      <c r="B1142" s="2">
        <v>11139</v>
      </c>
      <c r="C1142" s="11" t="s">
        <v>1116</v>
      </c>
      <c r="D1142" s="4" t="s">
        <v>125</v>
      </c>
      <c r="E1142" s="4">
        <v>464</v>
      </c>
      <c r="F1142" s="23" t="s">
        <v>908</v>
      </c>
      <c r="I1142" s="4" t="s">
        <v>1117</v>
      </c>
      <c r="J1142" s="2">
        <v>564</v>
      </c>
    </row>
    <row r="1143" spans="2:10">
      <c r="B1143" s="2">
        <v>11140</v>
      </c>
      <c r="C1143" s="11" t="s">
        <v>1116</v>
      </c>
      <c r="D1143" s="4" t="s">
        <v>128</v>
      </c>
      <c r="E1143" s="4">
        <v>476</v>
      </c>
      <c r="F1143" s="23" t="s">
        <v>909</v>
      </c>
      <c r="I1143" s="4" t="s">
        <v>1117</v>
      </c>
      <c r="J1143" s="2">
        <v>576</v>
      </c>
    </row>
    <row r="1144" spans="2:10">
      <c r="B1144" s="2">
        <v>11141</v>
      </c>
      <c r="C1144" s="11" t="s">
        <v>1116</v>
      </c>
      <c r="D1144" s="4" t="s">
        <v>131</v>
      </c>
      <c r="E1144" s="4">
        <v>488</v>
      </c>
      <c r="F1144" s="23" t="s">
        <v>910</v>
      </c>
      <c r="I1144" s="4" t="s">
        <v>1117</v>
      </c>
      <c r="J1144" s="2">
        <v>588</v>
      </c>
    </row>
    <row r="1145" spans="2:10">
      <c r="B1145" s="2">
        <v>11142</v>
      </c>
      <c r="C1145" s="11" t="s">
        <v>1116</v>
      </c>
      <c r="D1145" s="4" t="s">
        <v>134</v>
      </c>
      <c r="E1145" s="4">
        <v>500</v>
      </c>
      <c r="F1145" s="23" t="s">
        <v>911</v>
      </c>
      <c r="I1145" s="4" t="s">
        <v>1117</v>
      </c>
      <c r="J1145" s="2">
        <v>600</v>
      </c>
    </row>
    <row r="1146" spans="2:10">
      <c r="B1146" s="2">
        <v>11143</v>
      </c>
      <c r="C1146" s="11" t="s">
        <v>1116</v>
      </c>
      <c r="D1146" s="4" t="s">
        <v>137</v>
      </c>
      <c r="E1146" s="4">
        <v>512</v>
      </c>
      <c r="F1146" s="23" t="s">
        <v>912</v>
      </c>
      <c r="I1146" s="4" t="s">
        <v>1117</v>
      </c>
      <c r="J1146" s="2">
        <v>612</v>
      </c>
    </row>
    <row r="1147" spans="2:10">
      <c r="B1147" s="2">
        <v>11144</v>
      </c>
      <c r="C1147" s="11" t="s">
        <v>1116</v>
      </c>
      <c r="D1147" s="4" t="s">
        <v>140</v>
      </c>
      <c r="E1147" s="4">
        <v>524</v>
      </c>
      <c r="F1147" s="23" t="s">
        <v>913</v>
      </c>
      <c r="I1147" s="4" t="s">
        <v>1117</v>
      </c>
      <c r="J1147" s="2">
        <v>624</v>
      </c>
    </row>
    <row r="1148" spans="2:10">
      <c r="B1148" s="2">
        <v>11145</v>
      </c>
      <c r="C1148" s="11" t="s">
        <v>1116</v>
      </c>
      <c r="D1148" s="4" t="s">
        <v>143</v>
      </c>
      <c r="E1148" s="4">
        <v>536</v>
      </c>
      <c r="F1148" s="23" t="s">
        <v>914</v>
      </c>
      <c r="I1148" s="4" t="s">
        <v>1117</v>
      </c>
      <c r="J1148" s="2">
        <v>636</v>
      </c>
    </row>
    <row r="1149" spans="2:10">
      <c r="B1149" s="2">
        <v>11146</v>
      </c>
      <c r="C1149" s="11" t="s">
        <v>1116</v>
      </c>
      <c r="D1149" s="4" t="s">
        <v>146</v>
      </c>
      <c r="E1149" s="4">
        <v>548</v>
      </c>
      <c r="F1149" s="23" t="s">
        <v>915</v>
      </c>
      <c r="I1149" s="4" t="s">
        <v>1117</v>
      </c>
      <c r="J1149" s="2">
        <v>648</v>
      </c>
    </row>
    <row r="1150" spans="2:10">
      <c r="B1150" s="2">
        <v>11147</v>
      </c>
      <c r="C1150" s="11" t="s">
        <v>1116</v>
      </c>
      <c r="D1150" s="4" t="s">
        <v>149</v>
      </c>
      <c r="E1150" s="4">
        <v>560</v>
      </c>
      <c r="F1150" s="23" t="s">
        <v>916</v>
      </c>
      <c r="I1150" s="4" t="s">
        <v>1117</v>
      </c>
      <c r="J1150" s="2">
        <v>660</v>
      </c>
    </row>
    <row r="1151" spans="2:10">
      <c r="B1151" s="2">
        <v>11148</v>
      </c>
      <c r="C1151" s="11" t="s">
        <v>1116</v>
      </c>
      <c r="D1151" s="4" t="s">
        <v>152</v>
      </c>
      <c r="E1151" s="4">
        <v>572</v>
      </c>
      <c r="F1151" s="23" t="s">
        <v>917</v>
      </c>
      <c r="I1151" s="4" t="s">
        <v>1117</v>
      </c>
      <c r="J1151" s="2">
        <v>672</v>
      </c>
    </row>
    <row r="1152" spans="2:10">
      <c r="B1152" s="2">
        <v>11149</v>
      </c>
      <c r="C1152" s="11" t="s">
        <v>1116</v>
      </c>
      <c r="D1152" s="4" t="s">
        <v>155</v>
      </c>
      <c r="E1152" s="4">
        <v>584.000000000001</v>
      </c>
      <c r="F1152" s="23" t="s">
        <v>918</v>
      </c>
      <c r="I1152" s="4" t="s">
        <v>1117</v>
      </c>
      <c r="J1152" s="2">
        <v>684</v>
      </c>
    </row>
    <row r="1153" spans="2:10">
      <c r="B1153" s="2">
        <v>11150</v>
      </c>
      <c r="C1153" s="11" t="s">
        <v>1116</v>
      </c>
      <c r="D1153" s="4" t="s">
        <v>158</v>
      </c>
      <c r="E1153" s="4">
        <v>596.000000000001</v>
      </c>
      <c r="F1153" s="23" t="s">
        <v>919</v>
      </c>
      <c r="I1153" s="4" t="s">
        <v>1117</v>
      </c>
      <c r="J1153" s="2">
        <v>696</v>
      </c>
    </row>
    <row r="1154" spans="2:10">
      <c r="B1154" s="2">
        <v>11151</v>
      </c>
      <c r="C1154" s="11" t="s">
        <v>1116</v>
      </c>
      <c r="D1154" s="4" t="s">
        <v>161</v>
      </c>
      <c r="E1154" s="4">
        <v>608.000000000001</v>
      </c>
      <c r="F1154" s="23" t="s">
        <v>920</v>
      </c>
      <c r="I1154" s="4" t="s">
        <v>1117</v>
      </c>
      <c r="J1154" s="2">
        <v>708</v>
      </c>
    </row>
    <row r="1155" spans="2:10">
      <c r="B1155" s="2">
        <v>11152</v>
      </c>
      <c r="C1155" s="6" t="s">
        <v>23</v>
      </c>
      <c r="D1155" s="2" t="s">
        <v>13</v>
      </c>
      <c r="E1155" s="2" t="s">
        <v>165</v>
      </c>
      <c r="F1155" s="2" t="s">
        <v>166</v>
      </c>
    </row>
    <row r="1156" spans="2:10">
      <c r="B1156" s="2">
        <v>11153</v>
      </c>
      <c r="C1156" s="6" t="s">
        <v>23</v>
      </c>
      <c r="D1156" s="2" t="s">
        <v>17</v>
      </c>
      <c r="E1156" s="2" t="s">
        <v>26</v>
      </c>
      <c r="F1156" s="2" t="s">
        <v>167</v>
      </c>
    </row>
    <row r="1157" spans="2:10">
      <c r="B1157" s="2">
        <v>11154</v>
      </c>
      <c r="C1157" s="6" t="s">
        <v>23</v>
      </c>
      <c r="D1157" s="2" t="s">
        <v>20</v>
      </c>
      <c r="E1157" s="2" t="s">
        <v>41</v>
      </c>
      <c r="F1157" s="2" t="s">
        <v>168</v>
      </c>
    </row>
    <row r="1158" spans="2:10">
      <c r="B1158" s="2">
        <v>11155</v>
      </c>
      <c r="C1158" s="6" t="s">
        <v>23</v>
      </c>
      <c r="D1158" s="2" t="s">
        <v>23</v>
      </c>
      <c r="E1158" s="2" t="s">
        <v>56</v>
      </c>
      <c r="F1158" s="2" t="s">
        <v>169</v>
      </c>
    </row>
    <row r="1159" spans="2:10">
      <c r="B1159" s="2">
        <v>11156</v>
      </c>
      <c r="C1159" s="6" t="s">
        <v>23</v>
      </c>
      <c r="D1159" s="2" t="s">
        <v>26</v>
      </c>
      <c r="E1159" s="2" t="s">
        <v>71</v>
      </c>
      <c r="F1159" s="2" t="s">
        <v>170</v>
      </c>
    </row>
    <row r="1160" spans="2:10">
      <c r="B1160" s="2">
        <v>11157</v>
      </c>
      <c r="C1160" s="6" t="s">
        <v>23</v>
      </c>
      <c r="D1160" s="2" t="s">
        <v>29</v>
      </c>
      <c r="E1160" s="2" t="s">
        <v>86</v>
      </c>
      <c r="F1160" s="2" t="s">
        <v>171</v>
      </c>
    </row>
    <row r="1161" spans="2:10">
      <c r="B1161" s="2">
        <v>11158</v>
      </c>
      <c r="C1161" s="6" t="s">
        <v>23</v>
      </c>
      <c r="D1161" s="2" t="s">
        <v>32</v>
      </c>
      <c r="E1161" s="2" t="s">
        <v>101</v>
      </c>
      <c r="F1161" s="2" t="s">
        <v>172</v>
      </c>
    </row>
    <row r="1162" spans="2:10">
      <c r="B1162" s="2">
        <v>11159</v>
      </c>
      <c r="C1162" s="6" t="s">
        <v>23</v>
      </c>
      <c r="D1162" s="2" t="s">
        <v>35</v>
      </c>
      <c r="E1162" s="2" t="s">
        <v>116</v>
      </c>
      <c r="F1162" s="2" t="s">
        <v>173</v>
      </c>
    </row>
    <row r="1163" spans="2:10">
      <c r="B1163" s="2">
        <v>11160</v>
      </c>
      <c r="C1163" s="6" t="s">
        <v>23</v>
      </c>
      <c r="D1163" s="2" t="s">
        <v>38</v>
      </c>
      <c r="E1163" s="2" t="s">
        <v>131</v>
      </c>
      <c r="F1163" s="2" t="s">
        <v>174</v>
      </c>
    </row>
    <row r="1164" spans="2:10">
      <c r="B1164" s="2">
        <v>11161</v>
      </c>
      <c r="C1164" s="6" t="s">
        <v>23</v>
      </c>
      <c r="D1164" s="2" t="s">
        <v>41</v>
      </c>
      <c r="E1164" s="2" t="s">
        <v>146</v>
      </c>
      <c r="F1164" s="2" t="s">
        <v>175</v>
      </c>
    </row>
    <row r="1165" spans="2:10">
      <c r="B1165" s="2">
        <v>11162</v>
      </c>
      <c r="C1165" s="6" t="s">
        <v>23</v>
      </c>
      <c r="D1165" s="2" t="s">
        <v>44</v>
      </c>
      <c r="E1165" s="2" t="s">
        <v>161</v>
      </c>
      <c r="F1165" s="2" t="s">
        <v>176</v>
      </c>
    </row>
    <row r="1166" spans="2:10">
      <c r="B1166" s="2">
        <v>11163</v>
      </c>
      <c r="C1166" s="6" t="s">
        <v>23</v>
      </c>
      <c r="D1166" s="2" t="s">
        <v>47</v>
      </c>
      <c r="E1166" s="2" t="s">
        <v>177</v>
      </c>
      <c r="F1166" s="2" t="s">
        <v>178</v>
      </c>
    </row>
    <row r="1167" spans="2:10">
      <c r="B1167" s="2">
        <v>11164</v>
      </c>
      <c r="C1167" s="6" t="s">
        <v>23</v>
      </c>
      <c r="D1167" s="2" t="s">
        <v>50</v>
      </c>
      <c r="E1167" s="2" t="s">
        <v>179</v>
      </c>
      <c r="F1167" s="2" t="s">
        <v>180</v>
      </c>
    </row>
    <row r="1168" spans="2:10">
      <c r="B1168" s="2">
        <v>11165</v>
      </c>
      <c r="C1168" s="6" t="s">
        <v>23</v>
      </c>
      <c r="D1168" s="2" t="s">
        <v>53</v>
      </c>
      <c r="E1168" s="2" t="s">
        <v>181</v>
      </c>
      <c r="F1168" s="2" t="s">
        <v>182</v>
      </c>
    </row>
    <row r="1169" spans="2:6">
      <c r="B1169" s="2">
        <v>11166</v>
      </c>
      <c r="C1169" s="6" t="s">
        <v>23</v>
      </c>
      <c r="D1169" s="2" t="s">
        <v>56</v>
      </c>
      <c r="E1169" s="2" t="s">
        <v>183</v>
      </c>
      <c r="F1169" s="2" t="s">
        <v>184</v>
      </c>
    </row>
    <row r="1170" spans="2:6">
      <c r="B1170" s="2">
        <v>11167</v>
      </c>
      <c r="C1170" s="6" t="s">
        <v>23</v>
      </c>
      <c r="D1170" s="2" t="s">
        <v>59</v>
      </c>
      <c r="E1170" s="2" t="s">
        <v>185</v>
      </c>
      <c r="F1170" s="2" t="s">
        <v>186</v>
      </c>
    </row>
    <row r="1171" spans="2:6">
      <c r="B1171" s="2">
        <v>11168</v>
      </c>
      <c r="C1171" s="6" t="s">
        <v>23</v>
      </c>
      <c r="D1171" s="2" t="s">
        <v>62</v>
      </c>
      <c r="E1171" s="2" t="s">
        <v>187</v>
      </c>
      <c r="F1171" s="2" t="s">
        <v>188</v>
      </c>
    </row>
    <row r="1172" spans="2:6">
      <c r="B1172" s="2">
        <v>11169</v>
      </c>
      <c r="C1172" s="6" t="s">
        <v>23</v>
      </c>
      <c r="D1172" s="2" t="s">
        <v>65</v>
      </c>
      <c r="E1172" s="2" t="s">
        <v>189</v>
      </c>
      <c r="F1172" s="2" t="s">
        <v>190</v>
      </c>
    </row>
    <row r="1173" spans="2:6">
      <c r="B1173" s="2">
        <v>11170</v>
      </c>
      <c r="C1173" s="6" t="s">
        <v>23</v>
      </c>
      <c r="D1173" s="2" t="s">
        <v>68</v>
      </c>
      <c r="E1173" s="2" t="s">
        <v>191</v>
      </c>
      <c r="F1173" s="2" t="s">
        <v>192</v>
      </c>
    </row>
    <row r="1174" spans="2:6">
      <c r="B1174" s="2">
        <v>11171</v>
      </c>
      <c r="C1174" s="6" t="s">
        <v>23</v>
      </c>
      <c r="D1174" s="2" t="s">
        <v>71</v>
      </c>
      <c r="E1174" s="2" t="s">
        <v>193</v>
      </c>
      <c r="F1174" s="2" t="s">
        <v>194</v>
      </c>
    </row>
    <row r="1175" spans="2:6">
      <c r="B1175" s="2">
        <v>11172</v>
      </c>
      <c r="C1175" s="6" t="s">
        <v>23</v>
      </c>
      <c r="D1175" s="2" t="s">
        <v>74</v>
      </c>
      <c r="E1175" s="2" t="s">
        <v>195</v>
      </c>
      <c r="F1175" s="2" t="s">
        <v>196</v>
      </c>
    </row>
    <row r="1176" spans="2:6">
      <c r="B1176" s="2">
        <v>11173</v>
      </c>
      <c r="C1176" s="6" t="s">
        <v>23</v>
      </c>
      <c r="D1176" s="2" t="s">
        <v>77</v>
      </c>
      <c r="E1176" s="2" t="s">
        <v>197</v>
      </c>
      <c r="F1176" s="2" t="s">
        <v>198</v>
      </c>
    </row>
    <row r="1177" spans="2:6">
      <c r="B1177" s="2">
        <v>11174</v>
      </c>
      <c r="C1177" s="6" t="s">
        <v>23</v>
      </c>
      <c r="D1177" s="2" t="s">
        <v>80</v>
      </c>
      <c r="E1177" s="2" t="s">
        <v>199</v>
      </c>
      <c r="F1177" s="2" t="s">
        <v>200</v>
      </c>
    </row>
    <row r="1178" spans="2:6">
      <c r="B1178" s="2">
        <v>11175</v>
      </c>
      <c r="C1178" s="6" t="s">
        <v>23</v>
      </c>
      <c r="D1178" s="2" t="s">
        <v>83</v>
      </c>
      <c r="E1178" s="2" t="s">
        <v>201</v>
      </c>
      <c r="F1178" s="2" t="s">
        <v>202</v>
      </c>
    </row>
    <row r="1179" spans="2:6">
      <c r="B1179" s="2">
        <v>11176</v>
      </c>
      <c r="C1179" s="6" t="s">
        <v>23</v>
      </c>
      <c r="D1179" s="2" t="s">
        <v>86</v>
      </c>
      <c r="E1179" s="2" t="s">
        <v>203</v>
      </c>
      <c r="F1179" s="2" t="s">
        <v>204</v>
      </c>
    </row>
    <row r="1180" spans="2:6">
      <c r="B1180" s="2">
        <v>11177</v>
      </c>
      <c r="C1180" s="6" t="s">
        <v>23</v>
      </c>
      <c r="D1180" s="2" t="s">
        <v>89</v>
      </c>
      <c r="E1180" s="2" t="s">
        <v>205</v>
      </c>
      <c r="F1180" s="2" t="s">
        <v>206</v>
      </c>
    </row>
    <row r="1181" spans="2:6">
      <c r="B1181" s="2">
        <v>11178</v>
      </c>
      <c r="C1181" s="6" t="s">
        <v>23</v>
      </c>
      <c r="D1181" s="2" t="s">
        <v>92</v>
      </c>
      <c r="E1181" s="2" t="s">
        <v>207</v>
      </c>
      <c r="F1181" s="2" t="s">
        <v>208</v>
      </c>
    </row>
    <row r="1182" spans="2:6">
      <c r="B1182" s="2">
        <v>11179</v>
      </c>
      <c r="C1182" s="6" t="s">
        <v>23</v>
      </c>
      <c r="D1182" s="2" t="s">
        <v>95</v>
      </c>
      <c r="E1182" s="2" t="s">
        <v>209</v>
      </c>
      <c r="F1182" s="2" t="s">
        <v>210</v>
      </c>
    </row>
    <row r="1183" spans="2:6">
      <c r="B1183" s="2">
        <v>11180</v>
      </c>
      <c r="C1183" s="6" t="s">
        <v>23</v>
      </c>
      <c r="D1183" s="2" t="s">
        <v>98</v>
      </c>
      <c r="E1183" s="2" t="s">
        <v>211</v>
      </c>
      <c r="F1183" s="2" t="s">
        <v>212</v>
      </c>
    </row>
    <row r="1184" spans="2:6">
      <c r="B1184" s="2">
        <v>11181</v>
      </c>
      <c r="C1184" s="6" t="s">
        <v>23</v>
      </c>
      <c r="D1184" s="2" t="s">
        <v>101</v>
      </c>
      <c r="E1184" s="2" t="s">
        <v>213</v>
      </c>
      <c r="F1184" s="2" t="s">
        <v>214</v>
      </c>
    </row>
    <row r="1185" spans="2:6">
      <c r="B1185" s="2">
        <v>11182</v>
      </c>
      <c r="C1185" s="6" t="s">
        <v>23</v>
      </c>
      <c r="D1185" s="2" t="s">
        <v>104</v>
      </c>
      <c r="E1185" s="2" t="s">
        <v>215</v>
      </c>
      <c r="F1185" s="2" t="s">
        <v>216</v>
      </c>
    </row>
    <row r="1186" spans="2:6">
      <c r="B1186" s="2">
        <v>11183</v>
      </c>
      <c r="C1186" s="6" t="s">
        <v>23</v>
      </c>
      <c r="D1186" s="2" t="s">
        <v>107</v>
      </c>
      <c r="E1186" s="2" t="s">
        <v>217</v>
      </c>
      <c r="F1186" s="2" t="s">
        <v>218</v>
      </c>
    </row>
    <row r="1187" spans="2:6">
      <c r="B1187" s="2">
        <v>11184</v>
      </c>
      <c r="C1187" s="6" t="s">
        <v>23</v>
      </c>
      <c r="D1187" s="2" t="s">
        <v>110</v>
      </c>
      <c r="E1187" s="2" t="s">
        <v>219</v>
      </c>
      <c r="F1187" s="2" t="s">
        <v>220</v>
      </c>
    </row>
    <row r="1188" spans="2:6">
      <c r="B1188" s="2">
        <v>11185</v>
      </c>
      <c r="C1188" s="6" t="s">
        <v>23</v>
      </c>
      <c r="D1188" s="2" t="s">
        <v>113</v>
      </c>
      <c r="E1188" s="2" t="s">
        <v>221</v>
      </c>
      <c r="F1188" s="2" t="s">
        <v>222</v>
      </c>
    </row>
    <row r="1189" spans="2:6">
      <c r="B1189" s="2">
        <v>11186</v>
      </c>
      <c r="C1189" s="6" t="s">
        <v>23</v>
      </c>
      <c r="D1189" s="2" t="s">
        <v>116</v>
      </c>
      <c r="E1189" s="2" t="s">
        <v>223</v>
      </c>
      <c r="F1189" s="2" t="s">
        <v>224</v>
      </c>
    </row>
    <row r="1190" spans="2:6">
      <c r="B1190" s="2">
        <v>11187</v>
      </c>
      <c r="C1190" s="6" t="s">
        <v>23</v>
      </c>
      <c r="D1190" s="2" t="s">
        <v>119</v>
      </c>
      <c r="E1190" s="2" t="s">
        <v>225</v>
      </c>
      <c r="F1190" s="2" t="s">
        <v>226</v>
      </c>
    </row>
    <row r="1191" spans="2:6">
      <c r="B1191" s="2">
        <v>11188</v>
      </c>
      <c r="C1191" s="6" t="s">
        <v>23</v>
      </c>
      <c r="D1191" s="2" t="s">
        <v>122</v>
      </c>
      <c r="E1191" s="2" t="s">
        <v>227</v>
      </c>
      <c r="F1191" s="2" t="s">
        <v>228</v>
      </c>
    </row>
    <row r="1192" spans="2:6">
      <c r="B1192" s="2">
        <v>11189</v>
      </c>
      <c r="C1192" s="6" t="s">
        <v>23</v>
      </c>
      <c r="D1192" s="2" t="s">
        <v>125</v>
      </c>
      <c r="E1192" s="2" t="s">
        <v>229</v>
      </c>
      <c r="F1192" s="2" t="s">
        <v>230</v>
      </c>
    </row>
    <row r="1193" spans="2:6">
      <c r="B1193" s="2">
        <v>11190</v>
      </c>
      <c r="C1193" s="6" t="s">
        <v>23</v>
      </c>
      <c r="D1193" s="2" t="s">
        <v>128</v>
      </c>
      <c r="E1193" s="2" t="s">
        <v>231</v>
      </c>
      <c r="F1193" s="2" t="s">
        <v>232</v>
      </c>
    </row>
    <row r="1194" spans="2:6">
      <c r="B1194" s="2">
        <v>11191</v>
      </c>
      <c r="C1194" s="6" t="s">
        <v>23</v>
      </c>
      <c r="D1194" s="2" t="s">
        <v>131</v>
      </c>
      <c r="E1194" s="2" t="s">
        <v>233</v>
      </c>
      <c r="F1194" s="2" t="s">
        <v>234</v>
      </c>
    </row>
    <row r="1195" spans="2:6">
      <c r="B1195" s="2">
        <v>11192</v>
      </c>
      <c r="C1195" s="6" t="s">
        <v>23</v>
      </c>
      <c r="D1195" s="2" t="s">
        <v>134</v>
      </c>
      <c r="E1195" s="2" t="s">
        <v>235</v>
      </c>
      <c r="F1195" s="2" t="s">
        <v>236</v>
      </c>
    </row>
    <row r="1196" spans="2:6">
      <c r="B1196" s="2">
        <v>11193</v>
      </c>
      <c r="C1196" s="6" t="s">
        <v>23</v>
      </c>
      <c r="D1196" s="2" t="s">
        <v>137</v>
      </c>
      <c r="E1196" s="2" t="s">
        <v>237</v>
      </c>
      <c r="F1196" s="2" t="s">
        <v>238</v>
      </c>
    </row>
    <row r="1197" spans="2:6">
      <c r="B1197" s="2">
        <v>11194</v>
      </c>
      <c r="C1197" s="6" t="s">
        <v>23</v>
      </c>
      <c r="D1197" s="2" t="s">
        <v>140</v>
      </c>
      <c r="E1197" s="2" t="s">
        <v>239</v>
      </c>
      <c r="F1197" s="2" t="s">
        <v>240</v>
      </c>
    </row>
    <row r="1198" spans="2:6">
      <c r="B1198" s="2">
        <v>11195</v>
      </c>
      <c r="C1198" s="6" t="s">
        <v>23</v>
      </c>
      <c r="D1198" s="2" t="s">
        <v>143</v>
      </c>
      <c r="E1198" s="2" t="s">
        <v>241</v>
      </c>
      <c r="F1198" s="2" t="s">
        <v>242</v>
      </c>
    </row>
    <row r="1199" spans="2:6">
      <c r="B1199" s="2">
        <v>11196</v>
      </c>
      <c r="C1199" s="6" t="s">
        <v>23</v>
      </c>
      <c r="D1199" s="2" t="s">
        <v>146</v>
      </c>
      <c r="E1199" s="2" t="s">
        <v>243</v>
      </c>
      <c r="F1199" s="2" t="s">
        <v>244</v>
      </c>
    </row>
    <row r="1200" spans="2:6">
      <c r="B1200" s="2">
        <v>11197</v>
      </c>
      <c r="C1200" s="6" t="s">
        <v>23</v>
      </c>
      <c r="D1200" s="2" t="s">
        <v>149</v>
      </c>
      <c r="E1200" s="2" t="s">
        <v>245</v>
      </c>
      <c r="F1200" s="2" t="s">
        <v>246</v>
      </c>
    </row>
    <row r="1201" spans="2:6">
      <c r="B1201" s="2">
        <v>11198</v>
      </c>
      <c r="C1201" s="6" t="s">
        <v>23</v>
      </c>
      <c r="D1201" s="2" t="s">
        <v>152</v>
      </c>
      <c r="E1201" s="2" t="s">
        <v>247</v>
      </c>
      <c r="F1201" s="2" t="s">
        <v>248</v>
      </c>
    </row>
    <row r="1202" spans="2:6">
      <c r="B1202" s="2">
        <v>11199</v>
      </c>
      <c r="C1202" s="6" t="s">
        <v>23</v>
      </c>
      <c r="D1202" s="2" t="s">
        <v>155</v>
      </c>
      <c r="E1202" s="2" t="s">
        <v>249</v>
      </c>
      <c r="F1202" s="2" t="s">
        <v>250</v>
      </c>
    </row>
    <row r="1203" spans="2:6">
      <c r="B1203" s="2">
        <v>11200</v>
      </c>
      <c r="C1203" s="6" t="s">
        <v>23</v>
      </c>
      <c r="D1203" s="2" t="s">
        <v>158</v>
      </c>
      <c r="E1203" s="2" t="s">
        <v>251</v>
      </c>
      <c r="F1203" s="2" t="s">
        <v>252</v>
      </c>
    </row>
    <row r="1204" spans="2:6">
      <c r="B1204" s="2">
        <v>11201</v>
      </c>
      <c r="C1204" s="6" t="s">
        <v>23</v>
      </c>
      <c r="D1204" s="2" t="s">
        <v>161</v>
      </c>
      <c r="E1204" s="2" t="s">
        <v>253</v>
      </c>
      <c r="F1204" s="2" t="s">
        <v>254</v>
      </c>
    </row>
    <row r="1205" spans="2:6">
      <c r="B1205" s="2">
        <v>11202</v>
      </c>
      <c r="C1205" s="6" t="s">
        <v>26</v>
      </c>
      <c r="D1205" s="2" t="s">
        <v>13</v>
      </c>
      <c r="E1205" s="2" t="s">
        <v>165</v>
      </c>
      <c r="F1205" s="2" t="s">
        <v>166</v>
      </c>
    </row>
    <row r="1206" spans="2:6">
      <c r="B1206" s="2">
        <v>11203</v>
      </c>
      <c r="C1206" s="6" t="s">
        <v>26</v>
      </c>
      <c r="D1206" s="2" t="s">
        <v>17</v>
      </c>
      <c r="E1206" s="2" t="s">
        <v>26</v>
      </c>
      <c r="F1206" s="2" t="s">
        <v>167</v>
      </c>
    </row>
    <row r="1207" spans="2:6">
      <c r="B1207" s="2">
        <v>11204</v>
      </c>
      <c r="C1207" s="6" t="s">
        <v>26</v>
      </c>
      <c r="D1207" s="2" t="s">
        <v>20</v>
      </c>
      <c r="E1207" s="2" t="s">
        <v>41</v>
      </c>
      <c r="F1207" s="2" t="s">
        <v>168</v>
      </c>
    </row>
    <row r="1208" spans="2:6">
      <c r="B1208" s="2">
        <v>11205</v>
      </c>
      <c r="C1208" s="6" t="s">
        <v>26</v>
      </c>
      <c r="D1208" s="2" t="s">
        <v>23</v>
      </c>
      <c r="E1208" s="2" t="s">
        <v>56</v>
      </c>
      <c r="F1208" s="2" t="s">
        <v>169</v>
      </c>
    </row>
    <row r="1209" spans="2:6">
      <c r="B1209" s="2">
        <v>11206</v>
      </c>
      <c r="C1209" s="6" t="s">
        <v>26</v>
      </c>
      <c r="D1209" s="2" t="s">
        <v>26</v>
      </c>
      <c r="E1209" s="2" t="s">
        <v>71</v>
      </c>
      <c r="F1209" s="2" t="s">
        <v>170</v>
      </c>
    </row>
    <row r="1210" spans="2:6">
      <c r="B1210" s="2">
        <v>11207</v>
      </c>
      <c r="C1210" s="6" t="s">
        <v>26</v>
      </c>
      <c r="D1210" s="2" t="s">
        <v>29</v>
      </c>
      <c r="E1210" s="2" t="s">
        <v>86</v>
      </c>
      <c r="F1210" s="2" t="s">
        <v>171</v>
      </c>
    </row>
    <row r="1211" spans="2:6">
      <c r="B1211" s="2">
        <v>11208</v>
      </c>
      <c r="C1211" s="6" t="s">
        <v>26</v>
      </c>
      <c r="D1211" s="2" t="s">
        <v>32</v>
      </c>
      <c r="E1211" s="2" t="s">
        <v>101</v>
      </c>
      <c r="F1211" s="2" t="s">
        <v>172</v>
      </c>
    </row>
    <row r="1212" spans="2:6">
      <c r="B1212" s="2">
        <v>11209</v>
      </c>
      <c r="C1212" s="6" t="s">
        <v>26</v>
      </c>
      <c r="D1212" s="2" t="s">
        <v>35</v>
      </c>
      <c r="E1212" s="2" t="s">
        <v>116</v>
      </c>
      <c r="F1212" s="2" t="s">
        <v>173</v>
      </c>
    </row>
    <row r="1213" spans="2:6">
      <c r="B1213" s="2">
        <v>11210</v>
      </c>
      <c r="C1213" s="6" t="s">
        <v>26</v>
      </c>
      <c r="D1213" s="2" t="s">
        <v>38</v>
      </c>
      <c r="E1213" s="2" t="s">
        <v>131</v>
      </c>
      <c r="F1213" s="2" t="s">
        <v>174</v>
      </c>
    </row>
    <row r="1214" spans="2:6">
      <c r="B1214" s="2">
        <v>11211</v>
      </c>
      <c r="C1214" s="6" t="s">
        <v>26</v>
      </c>
      <c r="D1214" s="2" t="s">
        <v>41</v>
      </c>
      <c r="E1214" s="2" t="s">
        <v>146</v>
      </c>
      <c r="F1214" s="2" t="s">
        <v>175</v>
      </c>
    </row>
    <row r="1215" spans="2:6">
      <c r="B1215" s="2">
        <v>11212</v>
      </c>
      <c r="C1215" s="6" t="s">
        <v>26</v>
      </c>
      <c r="D1215" s="2" t="s">
        <v>44</v>
      </c>
      <c r="E1215" s="2" t="s">
        <v>161</v>
      </c>
      <c r="F1215" s="2" t="s">
        <v>176</v>
      </c>
    </row>
    <row r="1216" spans="2:6">
      <c r="B1216" s="2">
        <v>11213</v>
      </c>
      <c r="C1216" s="6" t="s">
        <v>26</v>
      </c>
      <c r="D1216" s="2" t="s">
        <v>47</v>
      </c>
      <c r="E1216" s="2" t="s">
        <v>177</v>
      </c>
      <c r="F1216" s="2" t="s">
        <v>178</v>
      </c>
    </row>
    <row r="1217" spans="2:6">
      <c r="B1217" s="2">
        <v>11214</v>
      </c>
      <c r="C1217" s="6" t="s">
        <v>26</v>
      </c>
      <c r="D1217" s="2" t="s">
        <v>50</v>
      </c>
      <c r="E1217" s="2" t="s">
        <v>179</v>
      </c>
      <c r="F1217" s="2" t="s">
        <v>180</v>
      </c>
    </row>
    <row r="1218" spans="2:6">
      <c r="B1218" s="2">
        <v>11215</v>
      </c>
      <c r="C1218" s="6" t="s">
        <v>26</v>
      </c>
      <c r="D1218" s="2" t="s">
        <v>53</v>
      </c>
      <c r="E1218" s="2" t="s">
        <v>181</v>
      </c>
      <c r="F1218" s="2" t="s">
        <v>182</v>
      </c>
    </row>
    <row r="1219" spans="2:6">
      <c r="B1219" s="2">
        <v>11216</v>
      </c>
      <c r="C1219" s="6" t="s">
        <v>26</v>
      </c>
      <c r="D1219" s="2" t="s">
        <v>56</v>
      </c>
      <c r="E1219" s="2" t="s">
        <v>183</v>
      </c>
      <c r="F1219" s="2" t="s">
        <v>184</v>
      </c>
    </row>
    <row r="1220" spans="2:6">
      <c r="B1220" s="2">
        <v>11217</v>
      </c>
      <c r="C1220" s="6" t="s">
        <v>26</v>
      </c>
      <c r="D1220" s="2" t="s">
        <v>59</v>
      </c>
      <c r="E1220" s="2" t="s">
        <v>185</v>
      </c>
      <c r="F1220" s="2" t="s">
        <v>186</v>
      </c>
    </row>
    <row r="1221" spans="2:6">
      <c r="B1221" s="2">
        <v>11218</v>
      </c>
      <c r="C1221" s="6" t="s">
        <v>26</v>
      </c>
      <c r="D1221" s="2" t="s">
        <v>62</v>
      </c>
      <c r="E1221" s="2" t="s">
        <v>187</v>
      </c>
      <c r="F1221" s="2" t="s">
        <v>188</v>
      </c>
    </row>
    <row r="1222" spans="2:6">
      <c r="B1222" s="2">
        <v>11219</v>
      </c>
      <c r="C1222" s="6" t="s">
        <v>26</v>
      </c>
      <c r="D1222" s="2" t="s">
        <v>65</v>
      </c>
      <c r="E1222" s="2" t="s">
        <v>189</v>
      </c>
      <c r="F1222" s="2" t="s">
        <v>190</v>
      </c>
    </row>
    <row r="1223" spans="2:6">
      <c r="B1223" s="2">
        <v>11220</v>
      </c>
      <c r="C1223" s="6" t="s">
        <v>26</v>
      </c>
      <c r="D1223" s="2" t="s">
        <v>68</v>
      </c>
      <c r="E1223" s="2" t="s">
        <v>191</v>
      </c>
      <c r="F1223" s="2" t="s">
        <v>192</v>
      </c>
    </row>
    <row r="1224" spans="2:6">
      <c r="B1224" s="2">
        <v>11221</v>
      </c>
      <c r="C1224" s="6" t="s">
        <v>26</v>
      </c>
      <c r="D1224" s="2" t="s">
        <v>71</v>
      </c>
      <c r="E1224" s="2" t="s">
        <v>193</v>
      </c>
      <c r="F1224" s="2" t="s">
        <v>194</v>
      </c>
    </row>
    <row r="1225" spans="2:6">
      <c r="B1225" s="2">
        <v>11222</v>
      </c>
      <c r="C1225" s="6" t="s">
        <v>26</v>
      </c>
      <c r="D1225" s="2" t="s">
        <v>74</v>
      </c>
      <c r="E1225" s="2" t="s">
        <v>195</v>
      </c>
      <c r="F1225" s="2" t="s">
        <v>196</v>
      </c>
    </row>
    <row r="1226" spans="2:6">
      <c r="B1226" s="2">
        <v>11223</v>
      </c>
      <c r="C1226" s="6" t="s">
        <v>26</v>
      </c>
      <c r="D1226" s="2" t="s">
        <v>77</v>
      </c>
      <c r="E1226" s="2" t="s">
        <v>197</v>
      </c>
      <c r="F1226" s="2" t="s">
        <v>198</v>
      </c>
    </row>
    <row r="1227" spans="2:6">
      <c r="B1227" s="2">
        <v>11224</v>
      </c>
      <c r="C1227" s="6" t="s">
        <v>26</v>
      </c>
      <c r="D1227" s="2" t="s">
        <v>80</v>
      </c>
      <c r="E1227" s="2" t="s">
        <v>199</v>
      </c>
      <c r="F1227" s="2" t="s">
        <v>200</v>
      </c>
    </row>
    <row r="1228" spans="2:6">
      <c r="B1228" s="2">
        <v>11225</v>
      </c>
      <c r="C1228" s="6" t="s">
        <v>26</v>
      </c>
      <c r="D1228" s="2" t="s">
        <v>83</v>
      </c>
      <c r="E1228" s="2" t="s">
        <v>201</v>
      </c>
      <c r="F1228" s="2" t="s">
        <v>202</v>
      </c>
    </row>
    <row r="1229" spans="2:6">
      <c r="B1229" s="2">
        <v>11226</v>
      </c>
      <c r="C1229" s="6" t="s">
        <v>26</v>
      </c>
      <c r="D1229" s="2" t="s">
        <v>86</v>
      </c>
      <c r="E1229" s="2" t="s">
        <v>203</v>
      </c>
      <c r="F1229" s="2" t="s">
        <v>204</v>
      </c>
    </row>
    <row r="1230" spans="2:6">
      <c r="B1230" s="2">
        <v>11227</v>
      </c>
      <c r="C1230" s="6" t="s">
        <v>26</v>
      </c>
      <c r="D1230" s="2" t="s">
        <v>89</v>
      </c>
      <c r="E1230" s="2" t="s">
        <v>205</v>
      </c>
      <c r="F1230" s="2" t="s">
        <v>206</v>
      </c>
    </row>
    <row r="1231" spans="2:6">
      <c r="B1231" s="2">
        <v>11228</v>
      </c>
      <c r="C1231" s="6" t="s">
        <v>26</v>
      </c>
      <c r="D1231" s="2" t="s">
        <v>92</v>
      </c>
      <c r="E1231" s="2" t="s">
        <v>207</v>
      </c>
      <c r="F1231" s="2" t="s">
        <v>208</v>
      </c>
    </row>
    <row r="1232" spans="2:6">
      <c r="B1232" s="2">
        <v>11229</v>
      </c>
      <c r="C1232" s="6" t="s">
        <v>26</v>
      </c>
      <c r="D1232" s="2" t="s">
        <v>95</v>
      </c>
      <c r="E1232" s="2" t="s">
        <v>209</v>
      </c>
      <c r="F1232" s="2" t="s">
        <v>210</v>
      </c>
    </row>
    <row r="1233" spans="2:6">
      <c r="B1233" s="2">
        <v>11230</v>
      </c>
      <c r="C1233" s="6" t="s">
        <v>26</v>
      </c>
      <c r="D1233" s="2" t="s">
        <v>98</v>
      </c>
      <c r="E1233" s="2" t="s">
        <v>211</v>
      </c>
      <c r="F1233" s="2" t="s">
        <v>212</v>
      </c>
    </row>
    <row r="1234" spans="2:6">
      <c r="B1234" s="2">
        <v>11231</v>
      </c>
      <c r="C1234" s="6" t="s">
        <v>26</v>
      </c>
      <c r="D1234" s="2" t="s">
        <v>101</v>
      </c>
      <c r="E1234" s="2" t="s">
        <v>213</v>
      </c>
      <c r="F1234" s="2" t="s">
        <v>214</v>
      </c>
    </row>
    <row r="1235" spans="2:6">
      <c r="B1235" s="2">
        <v>11232</v>
      </c>
      <c r="C1235" s="6" t="s">
        <v>26</v>
      </c>
      <c r="D1235" s="2" t="s">
        <v>104</v>
      </c>
      <c r="E1235" s="2" t="s">
        <v>215</v>
      </c>
      <c r="F1235" s="2" t="s">
        <v>216</v>
      </c>
    </row>
    <row r="1236" spans="2:6">
      <c r="B1236" s="2">
        <v>11233</v>
      </c>
      <c r="C1236" s="6" t="s">
        <v>26</v>
      </c>
      <c r="D1236" s="2" t="s">
        <v>107</v>
      </c>
      <c r="E1236" s="2" t="s">
        <v>217</v>
      </c>
      <c r="F1236" s="2" t="s">
        <v>218</v>
      </c>
    </row>
    <row r="1237" spans="2:6">
      <c r="B1237" s="2">
        <v>11234</v>
      </c>
      <c r="C1237" s="6" t="s">
        <v>26</v>
      </c>
      <c r="D1237" s="2" t="s">
        <v>110</v>
      </c>
      <c r="E1237" s="2" t="s">
        <v>219</v>
      </c>
      <c r="F1237" s="2" t="s">
        <v>220</v>
      </c>
    </row>
    <row r="1238" spans="2:6">
      <c r="B1238" s="2">
        <v>11235</v>
      </c>
      <c r="C1238" s="6" t="s">
        <v>26</v>
      </c>
      <c r="D1238" s="2" t="s">
        <v>113</v>
      </c>
      <c r="E1238" s="2" t="s">
        <v>221</v>
      </c>
      <c r="F1238" s="2" t="s">
        <v>222</v>
      </c>
    </row>
    <row r="1239" spans="2:6">
      <c r="B1239" s="2">
        <v>11236</v>
      </c>
      <c r="C1239" s="6" t="s">
        <v>26</v>
      </c>
      <c r="D1239" s="2" t="s">
        <v>116</v>
      </c>
      <c r="E1239" s="2" t="s">
        <v>223</v>
      </c>
      <c r="F1239" s="2" t="s">
        <v>224</v>
      </c>
    </row>
    <row r="1240" spans="2:6">
      <c r="B1240" s="2">
        <v>11237</v>
      </c>
      <c r="C1240" s="6" t="s">
        <v>26</v>
      </c>
      <c r="D1240" s="2" t="s">
        <v>119</v>
      </c>
      <c r="E1240" s="2" t="s">
        <v>225</v>
      </c>
      <c r="F1240" s="2" t="s">
        <v>226</v>
      </c>
    </row>
    <row r="1241" spans="2:6">
      <c r="B1241" s="2">
        <v>11238</v>
      </c>
      <c r="C1241" s="6" t="s">
        <v>26</v>
      </c>
      <c r="D1241" s="2" t="s">
        <v>122</v>
      </c>
      <c r="E1241" s="2" t="s">
        <v>227</v>
      </c>
      <c r="F1241" s="2" t="s">
        <v>228</v>
      </c>
    </row>
    <row r="1242" spans="2:6">
      <c r="B1242" s="2">
        <v>11239</v>
      </c>
      <c r="C1242" s="6" t="s">
        <v>26</v>
      </c>
      <c r="D1242" s="2" t="s">
        <v>125</v>
      </c>
      <c r="E1242" s="2" t="s">
        <v>229</v>
      </c>
      <c r="F1242" s="2" t="s">
        <v>230</v>
      </c>
    </row>
    <row r="1243" spans="2:6">
      <c r="B1243" s="2">
        <v>11240</v>
      </c>
      <c r="C1243" s="6" t="s">
        <v>26</v>
      </c>
      <c r="D1243" s="2" t="s">
        <v>128</v>
      </c>
      <c r="E1243" s="2" t="s">
        <v>231</v>
      </c>
      <c r="F1243" s="2" t="s">
        <v>232</v>
      </c>
    </row>
    <row r="1244" spans="2:6">
      <c r="B1244" s="2">
        <v>11241</v>
      </c>
      <c r="C1244" s="6" t="s">
        <v>26</v>
      </c>
      <c r="D1244" s="2" t="s">
        <v>131</v>
      </c>
      <c r="E1244" s="2" t="s">
        <v>233</v>
      </c>
      <c r="F1244" s="2" t="s">
        <v>234</v>
      </c>
    </row>
    <row r="1245" spans="2:6">
      <c r="B1245" s="2">
        <v>11242</v>
      </c>
      <c r="C1245" s="6" t="s">
        <v>26</v>
      </c>
      <c r="D1245" s="2" t="s">
        <v>134</v>
      </c>
      <c r="E1245" s="2" t="s">
        <v>235</v>
      </c>
      <c r="F1245" s="2" t="s">
        <v>236</v>
      </c>
    </row>
    <row r="1246" spans="2:6">
      <c r="B1246" s="2">
        <v>11243</v>
      </c>
      <c r="C1246" s="6" t="s">
        <v>26</v>
      </c>
      <c r="D1246" s="2" t="s">
        <v>137</v>
      </c>
      <c r="E1246" s="2" t="s">
        <v>237</v>
      </c>
      <c r="F1246" s="2" t="s">
        <v>238</v>
      </c>
    </row>
    <row r="1247" spans="2:6">
      <c r="B1247" s="2">
        <v>11244</v>
      </c>
      <c r="C1247" s="6" t="s">
        <v>26</v>
      </c>
      <c r="D1247" s="2" t="s">
        <v>140</v>
      </c>
      <c r="E1247" s="2" t="s">
        <v>239</v>
      </c>
      <c r="F1247" s="2" t="s">
        <v>240</v>
      </c>
    </row>
    <row r="1248" spans="2:6">
      <c r="B1248" s="2">
        <v>11245</v>
      </c>
      <c r="C1248" s="6" t="s">
        <v>26</v>
      </c>
      <c r="D1248" s="2" t="s">
        <v>143</v>
      </c>
      <c r="E1248" s="2" t="s">
        <v>241</v>
      </c>
      <c r="F1248" s="2" t="s">
        <v>242</v>
      </c>
    </row>
    <row r="1249" spans="2:6">
      <c r="B1249" s="2">
        <v>11246</v>
      </c>
      <c r="C1249" s="6" t="s">
        <v>26</v>
      </c>
      <c r="D1249" s="2" t="s">
        <v>146</v>
      </c>
      <c r="E1249" s="2" t="s">
        <v>243</v>
      </c>
      <c r="F1249" s="2" t="s">
        <v>244</v>
      </c>
    </row>
    <row r="1250" spans="2:6">
      <c r="B1250" s="2">
        <v>11247</v>
      </c>
      <c r="C1250" s="6" t="s">
        <v>26</v>
      </c>
      <c r="D1250" s="2" t="s">
        <v>149</v>
      </c>
      <c r="E1250" s="2" t="s">
        <v>245</v>
      </c>
      <c r="F1250" s="2" t="s">
        <v>246</v>
      </c>
    </row>
    <row r="1251" spans="2:6">
      <c r="B1251" s="2">
        <v>11248</v>
      </c>
      <c r="C1251" s="6" t="s">
        <v>26</v>
      </c>
      <c r="D1251" s="2" t="s">
        <v>152</v>
      </c>
      <c r="E1251" s="2" t="s">
        <v>247</v>
      </c>
      <c r="F1251" s="2" t="s">
        <v>248</v>
      </c>
    </row>
    <row r="1252" spans="2:6">
      <c r="B1252" s="2">
        <v>11249</v>
      </c>
      <c r="C1252" s="6" t="s">
        <v>26</v>
      </c>
      <c r="D1252" s="2" t="s">
        <v>155</v>
      </c>
      <c r="E1252" s="2" t="s">
        <v>249</v>
      </c>
      <c r="F1252" s="2" t="s">
        <v>250</v>
      </c>
    </row>
    <row r="1253" spans="2:6">
      <c r="B1253" s="2">
        <v>11250</v>
      </c>
      <c r="C1253" s="6" t="s">
        <v>26</v>
      </c>
      <c r="D1253" s="2" t="s">
        <v>158</v>
      </c>
      <c r="E1253" s="2" t="s">
        <v>251</v>
      </c>
      <c r="F1253" s="2" t="s">
        <v>252</v>
      </c>
    </row>
    <row r="1254" spans="2:6">
      <c r="B1254" s="2">
        <v>11251</v>
      </c>
      <c r="C1254" s="6" t="s">
        <v>26</v>
      </c>
      <c r="D1254" s="2" t="s">
        <v>161</v>
      </c>
      <c r="E1254" s="2" t="s">
        <v>253</v>
      </c>
      <c r="F1254" s="2" t="s">
        <v>254</v>
      </c>
    </row>
    <row r="1255" spans="2:6">
      <c r="B1255" s="2">
        <v>11252</v>
      </c>
      <c r="C1255" s="6" t="s">
        <v>29</v>
      </c>
      <c r="D1255" s="2" t="s">
        <v>13</v>
      </c>
      <c r="E1255" s="2" t="s">
        <v>165</v>
      </c>
      <c r="F1255" s="2" t="s">
        <v>166</v>
      </c>
    </row>
    <row r="1256" spans="2:6">
      <c r="B1256" s="2">
        <v>11253</v>
      </c>
      <c r="C1256" s="6" t="s">
        <v>29</v>
      </c>
      <c r="D1256" s="2" t="s">
        <v>17</v>
      </c>
      <c r="E1256" s="2" t="s">
        <v>26</v>
      </c>
      <c r="F1256" s="2" t="s">
        <v>167</v>
      </c>
    </row>
    <row r="1257" spans="2:6">
      <c r="B1257" s="2">
        <v>11254</v>
      </c>
      <c r="C1257" s="6" t="s">
        <v>29</v>
      </c>
      <c r="D1257" s="2" t="s">
        <v>20</v>
      </c>
      <c r="E1257" s="2" t="s">
        <v>41</v>
      </c>
      <c r="F1257" s="2" t="s">
        <v>168</v>
      </c>
    </row>
    <row r="1258" spans="2:6">
      <c r="B1258" s="2">
        <v>11255</v>
      </c>
      <c r="C1258" s="6" t="s">
        <v>29</v>
      </c>
      <c r="D1258" s="2" t="s">
        <v>23</v>
      </c>
      <c r="E1258" s="2" t="s">
        <v>56</v>
      </c>
      <c r="F1258" s="2" t="s">
        <v>169</v>
      </c>
    </row>
    <row r="1259" spans="2:6">
      <c r="B1259" s="2">
        <v>11256</v>
      </c>
      <c r="C1259" s="6" t="s">
        <v>29</v>
      </c>
      <c r="D1259" s="2" t="s">
        <v>26</v>
      </c>
      <c r="E1259" s="2" t="s">
        <v>71</v>
      </c>
      <c r="F1259" s="2" t="s">
        <v>170</v>
      </c>
    </row>
    <row r="1260" spans="2:6">
      <c r="B1260" s="2">
        <v>11257</v>
      </c>
      <c r="C1260" s="6" t="s">
        <v>29</v>
      </c>
      <c r="D1260" s="2" t="s">
        <v>29</v>
      </c>
      <c r="E1260" s="2" t="s">
        <v>86</v>
      </c>
      <c r="F1260" s="2" t="s">
        <v>171</v>
      </c>
    </row>
    <row r="1261" spans="2:6">
      <c r="B1261" s="2">
        <v>11258</v>
      </c>
      <c r="C1261" s="6" t="s">
        <v>29</v>
      </c>
      <c r="D1261" s="2" t="s">
        <v>32</v>
      </c>
      <c r="E1261" s="2" t="s">
        <v>101</v>
      </c>
      <c r="F1261" s="2" t="s">
        <v>172</v>
      </c>
    </row>
    <row r="1262" spans="2:6">
      <c r="B1262" s="2">
        <v>11259</v>
      </c>
      <c r="C1262" s="6" t="s">
        <v>29</v>
      </c>
      <c r="D1262" s="2" t="s">
        <v>35</v>
      </c>
      <c r="E1262" s="2" t="s">
        <v>116</v>
      </c>
      <c r="F1262" s="2" t="s">
        <v>173</v>
      </c>
    </row>
    <row r="1263" spans="2:6">
      <c r="B1263" s="2">
        <v>11260</v>
      </c>
      <c r="C1263" s="6" t="s">
        <v>29</v>
      </c>
      <c r="D1263" s="2" t="s">
        <v>38</v>
      </c>
      <c r="E1263" s="2" t="s">
        <v>131</v>
      </c>
      <c r="F1263" s="2" t="s">
        <v>174</v>
      </c>
    </row>
    <row r="1264" spans="2:6">
      <c r="B1264" s="2">
        <v>11261</v>
      </c>
      <c r="C1264" s="6" t="s">
        <v>29</v>
      </c>
      <c r="D1264" s="2" t="s">
        <v>41</v>
      </c>
      <c r="E1264" s="2" t="s">
        <v>146</v>
      </c>
      <c r="F1264" s="2" t="s">
        <v>175</v>
      </c>
    </row>
    <row r="1265" spans="2:6">
      <c r="B1265" s="2">
        <v>11262</v>
      </c>
      <c r="C1265" s="6" t="s">
        <v>29</v>
      </c>
      <c r="D1265" s="2" t="s">
        <v>44</v>
      </c>
      <c r="E1265" s="2" t="s">
        <v>161</v>
      </c>
      <c r="F1265" s="2" t="s">
        <v>176</v>
      </c>
    </row>
    <row r="1266" spans="2:6">
      <c r="B1266" s="2">
        <v>11263</v>
      </c>
      <c r="C1266" s="6" t="s">
        <v>29</v>
      </c>
      <c r="D1266" s="2" t="s">
        <v>47</v>
      </c>
      <c r="E1266" s="2" t="s">
        <v>177</v>
      </c>
      <c r="F1266" s="2" t="s">
        <v>178</v>
      </c>
    </row>
    <row r="1267" spans="2:6">
      <c r="B1267" s="2">
        <v>11264</v>
      </c>
      <c r="C1267" s="6" t="s">
        <v>29</v>
      </c>
      <c r="D1267" s="2" t="s">
        <v>50</v>
      </c>
      <c r="E1267" s="2" t="s">
        <v>179</v>
      </c>
      <c r="F1267" s="2" t="s">
        <v>180</v>
      </c>
    </row>
    <row r="1268" spans="2:6">
      <c r="B1268" s="2">
        <v>11265</v>
      </c>
      <c r="C1268" s="6" t="s">
        <v>29</v>
      </c>
      <c r="D1268" s="2" t="s">
        <v>53</v>
      </c>
      <c r="E1268" s="2" t="s">
        <v>181</v>
      </c>
      <c r="F1268" s="2" t="s">
        <v>182</v>
      </c>
    </row>
    <row r="1269" spans="2:6">
      <c r="B1269" s="2">
        <v>11266</v>
      </c>
      <c r="C1269" s="6" t="s">
        <v>29</v>
      </c>
      <c r="D1269" s="2" t="s">
        <v>56</v>
      </c>
      <c r="E1269" s="2" t="s">
        <v>183</v>
      </c>
      <c r="F1269" s="2" t="s">
        <v>184</v>
      </c>
    </row>
    <row r="1270" spans="2:6">
      <c r="B1270" s="2">
        <v>11267</v>
      </c>
      <c r="C1270" s="6" t="s">
        <v>29</v>
      </c>
      <c r="D1270" s="2" t="s">
        <v>59</v>
      </c>
      <c r="E1270" s="2" t="s">
        <v>185</v>
      </c>
      <c r="F1270" s="2" t="s">
        <v>186</v>
      </c>
    </row>
    <row r="1271" spans="2:6">
      <c r="B1271" s="2">
        <v>11268</v>
      </c>
      <c r="C1271" s="6" t="s">
        <v>29</v>
      </c>
      <c r="D1271" s="2" t="s">
        <v>62</v>
      </c>
      <c r="E1271" s="2" t="s">
        <v>187</v>
      </c>
      <c r="F1271" s="2" t="s">
        <v>188</v>
      </c>
    </row>
    <row r="1272" spans="2:6">
      <c r="B1272" s="2">
        <v>11269</v>
      </c>
      <c r="C1272" s="6" t="s">
        <v>29</v>
      </c>
      <c r="D1272" s="2" t="s">
        <v>65</v>
      </c>
      <c r="E1272" s="2" t="s">
        <v>189</v>
      </c>
      <c r="F1272" s="2" t="s">
        <v>190</v>
      </c>
    </row>
    <row r="1273" spans="2:6">
      <c r="B1273" s="2">
        <v>11270</v>
      </c>
      <c r="C1273" s="6" t="s">
        <v>29</v>
      </c>
      <c r="D1273" s="2" t="s">
        <v>68</v>
      </c>
      <c r="E1273" s="2" t="s">
        <v>191</v>
      </c>
      <c r="F1273" s="2" t="s">
        <v>192</v>
      </c>
    </row>
    <row r="1274" spans="2:6">
      <c r="B1274" s="2">
        <v>11271</v>
      </c>
      <c r="C1274" s="6" t="s">
        <v>29</v>
      </c>
      <c r="D1274" s="2" t="s">
        <v>71</v>
      </c>
      <c r="E1274" s="2" t="s">
        <v>193</v>
      </c>
      <c r="F1274" s="2" t="s">
        <v>194</v>
      </c>
    </row>
    <row r="1275" spans="2:6">
      <c r="B1275" s="2">
        <v>11272</v>
      </c>
      <c r="C1275" s="6" t="s">
        <v>29</v>
      </c>
      <c r="D1275" s="2" t="s">
        <v>74</v>
      </c>
      <c r="E1275" s="2" t="s">
        <v>195</v>
      </c>
      <c r="F1275" s="2" t="s">
        <v>196</v>
      </c>
    </row>
    <row r="1276" spans="2:6">
      <c r="B1276" s="2">
        <v>11273</v>
      </c>
      <c r="C1276" s="6" t="s">
        <v>29</v>
      </c>
      <c r="D1276" s="2" t="s">
        <v>77</v>
      </c>
      <c r="E1276" s="2" t="s">
        <v>197</v>
      </c>
      <c r="F1276" s="2" t="s">
        <v>198</v>
      </c>
    </row>
    <row r="1277" spans="2:6">
      <c r="B1277" s="2">
        <v>11274</v>
      </c>
      <c r="C1277" s="6" t="s">
        <v>29</v>
      </c>
      <c r="D1277" s="2" t="s">
        <v>80</v>
      </c>
      <c r="E1277" s="2" t="s">
        <v>199</v>
      </c>
      <c r="F1277" s="2" t="s">
        <v>200</v>
      </c>
    </row>
    <row r="1278" spans="2:6">
      <c r="B1278" s="2">
        <v>11275</v>
      </c>
      <c r="C1278" s="6" t="s">
        <v>29</v>
      </c>
      <c r="D1278" s="2" t="s">
        <v>83</v>
      </c>
      <c r="E1278" s="2" t="s">
        <v>201</v>
      </c>
      <c r="F1278" s="2" t="s">
        <v>202</v>
      </c>
    </row>
    <row r="1279" spans="2:6">
      <c r="B1279" s="2">
        <v>11276</v>
      </c>
      <c r="C1279" s="6" t="s">
        <v>29</v>
      </c>
      <c r="D1279" s="2" t="s">
        <v>86</v>
      </c>
      <c r="E1279" s="2" t="s">
        <v>203</v>
      </c>
      <c r="F1279" s="2" t="s">
        <v>204</v>
      </c>
    </row>
    <row r="1280" spans="2:6">
      <c r="B1280" s="2">
        <v>11277</v>
      </c>
      <c r="C1280" s="6" t="s">
        <v>29</v>
      </c>
      <c r="D1280" s="2" t="s">
        <v>89</v>
      </c>
      <c r="E1280" s="2" t="s">
        <v>205</v>
      </c>
      <c r="F1280" s="2" t="s">
        <v>206</v>
      </c>
    </row>
    <row r="1281" spans="2:6">
      <c r="B1281" s="2">
        <v>11278</v>
      </c>
      <c r="C1281" s="6" t="s">
        <v>29</v>
      </c>
      <c r="D1281" s="2" t="s">
        <v>92</v>
      </c>
      <c r="E1281" s="2" t="s">
        <v>207</v>
      </c>
      <c r="F1281" s="2" t="s">
        <v>208</v>
      </c>
    </row>
    <row r="1282" spans="2:6">
      <c r="B1282" s="2">
        <v>11279</v>
      </c>
      <c r="C1282" s="6" t="s">
        <v>29</v>
      </c>
      <c r="D1282" s="2" t="s">
        <v>95</v>
      </c>
      <c r="E1282" s="2" t="s">
        <v>209</v>
      </c>
      <c r="F1282" s="2" t="s">
        <v>210</v>
      </c>
    </row>
    <row r="1283" spans="2:6">
      <c r="B1283" s="2">
        <v>11280</v>
      </c>
      <c r="C1283" s="6" t="s">
        <v>29</v>
      </c>
      <c r="D1283" s="2" t="s">
        <v>98</v>
      </c>
      <c r="E1283" s="2" t="s">
        <v>211</v>
      </c>
      <c r="F1283" s="2" t="s">
        <v>212</v>
      </c>
    </row>
    <row r="1284" spans="2:6">
      <c r="B1284" s="2">
        <v>11281</v>
      </c>
      <c r="C1284" s="6" t="s">
        <v>29</v>
      </c>
      <c r="D1284" s="2" t="s">
        <v>101</v>
      </c>
      <c r="E1284" s="2" t="s">
        <v>213</v>
      </c>
      <c r="F1284" s="2" t="s">
        <v>214</v>
      </c>
    </row>
    <row r="1285" spans="2:6">
      <c r="B1285" s="2">
        <v>11282</v>
      </c>
      <c r="C1285" s="6" t="s">
        <v>29</v>
      </c>
      <c r="D1285" s="2" t="s">
        <v>104</v>
      </c>
      <c r="E1285" s="2" t="s">
        <v>215</v>
      </c>
      <c r="F1285" s="2" t="s">
        <v>216</v>
      </c>
    </row>
    <row r="1286" spans="2:6">
      <c r="B1286" s="2">
        <v>11283</v>
      </c>
      <c r="C1286" s="6" t="s">
        <v>29</v>
      </c>
      <c r="D1286" s="2" t="s">
        <v>107</v>
      </c>
      <c r="E1286" s="2" t="s">
        <v>217</v>
      </c>
      <c r="F1286" s="2" t="s">
        <v>218</v>
      </c>
    </row>
    <row r="1287" spans="2:6">
      <c r="B1287" s="2">
        <v>11284</v>
      </c>
      <c r="C1287" s="6" t="s">
        <v>29</v>
      </c>
      <c r="D1287" s="2" t="s">
        <v>110</v>
      </c>
      <c r="E1287" s="2" t="s">
        <v>219</v>
      </c>
      <c r="F1287" s="2" t="s">
        <v>220</v>
      </c>
    </row>
    <row r="1288" spans="2:6">
      <c r="B1288" s="2">
        <v>11285</v>
      </c>
      <c r="C1288" s="6" t="s">
        <v>29</v>
      </c>
      <c r="D1288" s="2" t="s">
        <v>113</v>
      </c>
      <c r="E1288" s="2" t="s">
        <v>221</v>
      </c>
      <c r="F1288" s="2" t="s">
        <v>222</v>
      </c>
    </row>
    <row r="1289" spans="2:6">
      <c r="B1289" s="2">
        <v>11286</v>
      </c>
      <c r="C1289" s="6" t="s">
        <v>29</v>
      </c>
      <c r="D1289" s="2" t="s">
        <v>116</v>
      </c>
      <c r="E1289" s="2" t="s">
        <v>223</v>
      </c>
      <c r="F1289" s="2" t="s">
        <v>224</v>
      </c>
    </row>
    <row r="1290" spans="2:6">
      <c r="B1290" s="2">
        <v>11287</v>
      </c>
      <c r="C1290" s="6" t="s">
        <v>29</v>
      </c>
      <c r="D1290" s="2" t="s">
        <v>119</v>
      </c>
      <c r="E1290" s="2" t="s">
        <v>225</v>
      </c>
      <c r="F1290" s="2" t="s">
        <v>226</v>
      </c>
    </row>
    <row r="1291" spans="2:6">
      <c r="B1291" s="2">
        <v>11288</v>
      </c>
      <c r="C1291" s="6" t="s">
        <v>29</v>
      </c>
      <c r="D1291" s="2" t="s">
        <v>122</v>
      </c>
      <c r="E1291" s="2" t="s">
        <v>227</v>
      </c>
      <c r="F1291" s="2" t="s">
        <v>228</v>
      </c>
    </row>
    <row r="1292" spans="2:6">
      <c r="B1292" s="2">
        <v>11289</v>
      </c>
      <c r="C1292" s="6" t="s">
        <v>29</v>
      </c>
      <c r="D1292" s="2" t="s">
        <v>125</v>
      </c>
      <c r="E1292" s="2" t="s">
        <v>229</v>
      </c>
      <c r="F1292" s="2" t="s">
        <v>230</v>
      </c>
    </row>
    <row r="1293" spans="2:6">
      <c r="B1293" s="2">
        <v>11290</v>
      </c>
      <c r="C1293" s="6" t="s">
        <v>29</v>
      </c>
      <c r="D1293" s="2" t="s">
        <v>128</v>
      </c>
      <c r="E1293" s="2" t="s">
        <v>231</v>
      </c>
      <c r="F1293" s="2" t="s">
        <v>232</v>
      </c>
    </row>
    <row r="1294" spans="2:6">
      <c r="B1294" s="2">
        <v>11291</v>
      </c>
      <c r="C1294" s="6" t="s">
        <v>29</v>
      </c>
      <c r="D1294" s="2" t="s">
        <v>131</v>
      </c>
      <c r="E1294" s="2" t="s">
        <v>233</v>
      </c>
      <c r="F1294" s="2" t="s">
        <v>234</v>
      </c>
    </row>
    <row r="1295" spans="2:6">
      <c r="B1295" s="2">
        <v>11292</v>
      </c>
      <c r="C1295" s="6" t="s">
        <v>29</v>
      </c>
      <c r="D1295" s="2" t="s">
        <v>134</v>
      </c>
      <c r="E1295" s="2" t="s">
        <v>235</v>
      </c>
      <c r="F1295" s="2" t="s">
        <v>236</v>
      </c>
    </row>
    <row r="1296" spans="2:6">
      <c r="B1296" s="2">
        <v>11293</v>
      </c>
      <c r="C1296" s="6" t="s">
        <v>29</v>
      </c>
      <c r="D1296" s="2" t="s">
        <v>137</v>
      </c>
      <c r="E1296" s="2" t="s">
        <v>237</v>
      </c>
      <c r="F1296" s="2" t="s">
        <v>238</v>
      </c>
    </row>
    <row r="1297" spans="2:6">
      <c r="B1297" s="2">
        <v>11294</v>
      </c>
      <c r="C1297" s="6" t="s">
        <v>29</v>
      </c>
      <c r="D1297" s="2" t="s">
        <v>140</v>
      </c>
      <c r="E1297" s="2" t="s">
        <v>239</v>
      </c>
      <c r="F1297" s="2" t="s">
        <v>240</v>
      </c>
    </row>
    <row r="1298" spans="2:6">
      <c r="B1298" s="2">
        <v>11295</v>
      </c>
      <c r="C1298" s="6" t="s">
        <v>29</v>
      </c>
      <c r="D1298" s="2" t="s">
        <v>143</v>
      </c>
      <c r="E1298" s="2" t="s">
        <v>241</v>
      </c>
      <c r="F1298" s="2" t="s">
        <v>242</v>
      </c>
    </row>
    <row r="1299" spans="2:6">
      <c r="B1299" s="2">
        <v>11296</v>
      </c>
      <c r="C1299" s="6" t="s">
        <v>29</v>
      </c>
      <c r="D1299" s="2" t="s">
        <v>146</v>
      </c>
      <c r="E1299" s="2" t="s">
        <v>243</v>
      </c>
      <c r="F1299" s="2" t="s">
        <v>244</v>
      </c>
    </row>
    <row r="1300" spans="2:6">
      <c r="B1300" s="2">
        <v>11297</v>
      </c>
      <c r="C1300" s="6" t="s">
        <v>29</v>
      </c>
      <c r="D1300" s="2" t="s">
        <v>149</v>
      </c>
      <c r="E1300" s="2" t="s">
        <v>245</v>
      </c>
      <c r="F1300" s="2" t="s">
        <v>246</v>
      </c>
    </row>
    <row r="1301" spans="2:6">
      <c r="B1301" s="2">
        <v>11298</v>
      </c>
      <c r="C1301" s="6" t="s">
        <v>29</v>
      </c>
      <c r="D1301" s="2" t="s">
        <v>152</v>
      </c>
      <c r="E1301" s="2" t="s">
        <v>247</v>
      </c>
      <c r="F1301" s="2" t="s">
        <v>248</v>
      </c>
    </row>
    <row r="1302" spans="2:6">
      <c r="B1302" s="2">
        <v>11299</v>
      </c>
      <c r="C1302" s="6" t="s">
        <v>29</v>
      </c>
      <c r="D1302" s="2" t="s">
        <v>155</v>
      </c>
      <c r="E1302" s="2" t="s">
        <v>249</v>
      </c>
      <c r="F1302" s="2" t="s">
        <v>250</v>
      </c>
    </row>
    <row r="1303" spans="2:6">
      <c r="B1303" s="2">
        <v>11300</v>
      </c>
      <c r="C1303" s="6" t="s">
        <v>29</v>
      </c>
      <c r="D1303" s="2" t="s">
        <v>158</v>
      </c>
      <c r="E1303" s="2" t="s">
        <v>251</v>
      </c>
      <c r="F1303" s="2" t="s">
        <v>252</v>
      </c>
    </row>
    <row r="1304" spans="2:6">
      <c r="B1304" s="2">
        <v>11301</v>
      </c>
      <c r="C1304" s="6" t="s">
        <v>29</v>
      </c>
      <c r="D1304" s="2" t="s">
        <v>161</v>
      </c>
      <c r="E1304" s="2" t="s">
        <v>253</v>
      </c>
      <c r="F1304" s="2" t="s">
        <v>254</v>
      </c>
    </row>
    <row r="1305" spans="2:6">
      <c r="B1305" s="2">
        <v>11302</v>
      </c>
      <c r="C1305" s="6" t="s">
        <v>32</v>
      </c>
      <c r="D1305" s="2" t="s">
        <v>13</v>
      </c>
      <c r="E1305" s="2" t="s">
        <v>165</v>
      </c>
      <c r="F1305" s="2" t="s">
        <v>166</v>
      </c>
    </row>
    <row r="1306" spans="2:6">
      <c r="B1306" s="2">
        <v>11303</v>
      </c>
      <c r="C1306" s="6" t="s">
        <v>32</v>
      </c>
      <c r="D1306" s="2" t="s">
        <v>17</v>
      </c>
      <c r="E1306" s="2" t="s">
        <v>26</v>
      </c>
      <c r="F1306" s="2" t="s">
        <v>167</v>
      </c>
    </row>
    <row r="1307" spans="2:6">
      <c r="B1307" s="2">
        <v>11304</v>
      </c>
      <c r="C1307" s="6" t="s">
        <v>32</v>
      </c>
      <c r="D1307" s="2" t="s">
        <v>20</v>
      </c>
      <c r="E1307" s="2" t="s">
        <v>41</v>
      </c>
      <c r="F1307" s="2" t="s">
        <v>168</v>
      </c>
    </row>
    <row r="1308" spans="2:6">
      <c r="B1308" s="2">
        <v>11305</v>
      </c>
      <c r="C1308" s="6" t="s">
        <v>32</v>
      </c>
      <c r="D1308" s="2" t="s">
        <v>23</v>
      </c>
      <c r="E1308" s="2" t="s">
        <v>56</v>
      </c>
      <c r="F1308" s="2" t="s">
        <v>169</v>
      </c>
    </row>
    <row r="1309" spans="2:6">
      <c r="B1309" s="2">
        <v>11306</v>
      </c>
      <c r="C1309" s="6" t="s">
        <v>32</v>
      </c>
      <c r="D1309" s="2" t="s">
        <v>26</v>
      </c>
      <c r="E1309" s="2" t="s">
        <v>71</v>
      </c>
      <c r="F1309" s="2" t="s">
        <v>170</v>
      </c>
    </row>
    <row r="1310" spans="2:6">
      <c r="B1310" s="2">
        <v>11307</v>
      </c>
      <c r="C1310" s="6" t="s">
        <v>32</v>
      </c>
      <c r="D1310" s="2" t="s">
        <v>29</v>
      </c>
      <c r="E1310" s="2" t="s">
        <v>86</v>
      </c>
      <c r="F1310" s="2" t="s">
        <v>171</v>
      </c>
    </row>
    <row r="1311" spans="2:6">
      <c r="B1311" s="2">
        <v>11308</v>
      </c>
      <c r="C1311" s="6" t="s">
        <v>32</v>
      </c>
      <c r="D1311" s="2" t="s">
        <v>32</v>
      </c>
      <c r="E1311" s="2" t="s">
        <v>101</v>
      </c>
      <c r="F1311" s="2" t="s">
        <v>172</v>
      </c>
    </row>
    <row r="1312" spans="2:6">
      <c r="B1312" s="2">
        <v>11309</v>
      </c>
      <c r="C1312" s="6" t="s">
        <v>32</v>
      </c>
      <c r="D1312" s="2" t="s">
        <v>35</v>
      </c>
      <c r="E1312" s="2" t="s">
        <v>116</v>
      </c>
      <c r="F1312" s="2" t="s">
        <v>173</v>
      </c>
    </row>
    <row r="1313" spans="2:6">
      <c r="B1313" s="2">
        <v>11310</v>
      </c>
      <c r="C1313" s="6" t="s">
        <v>32</v>
      </c>
      <c r="D1313" s="2" t="s">
        <v>38</v>
      </c>
      <c r="E1313" s="2" t="s">
        <v>131</v>
      </c>
      <c r="F1313" s="2" t="s">
        <v>174</v>
      </c>
    </row>
    <row r="1314" spans="2:6">
      <c r="B1314" s="2">
        <v>11311</v>
      </c>
      <c r="C1314" s="6" t="s">
        <v>32</v>
      </c>
      <c r="D1314" s="2" t="s">
        <v>41</v>
      </c>
      <c r="E1314" s="2" t="s">
        <v>146</v>
      </c>
      <c r="F1314" s="2" t="s">
        <v>175</v>
      </c>
    </row>
    <row r="1315" spans="2:6">
      <c r="B1315" s="2">
        <v>11312</v>
      </c>
      <c r="C1315" s="6" t="s">
        <v>32</v>
      </c>
      <c r="D1315" s="2" t="s">
        <v>44</v>
      </c>
      <c r="E1315" s="2" t="s">
        <v>161</v>
      </c>
      <c r="F1315" s="2" t="s">
        <v>176</v>
      </c>
    </row>
    <row r="1316" spans="2:6">
      <c r="B1316" s="2">
        <v>11313</v>
      </c>
      <c r="C1316" s="6" t="s">
        <v>32</v>
      </c>
      <c r="D1316" s="2" t="s">
        <v>47</v>
      </c>
      <c r="E1316" s="2" t="s">
        <v>177</v>
      </c>
      <c r="F1316" s="2" t="s">
        <v>178</v>
      </c>
    </row>
    <row r="1317" spans="2:6">
      <c r="B1317" s="2">
        <v>11314</v>
      </c>
      <c r="C1317" s="6" t="s">
        <v>32</v>
      </c>
      <c r="D1317" s="2" t="s">
        <v>50</v>
      </c>
      <c r="E1317" s="2" t="s">
        <v>179</v>
      </c>
      <c r="F1317" s="2" t="s">
        <v>180</v>
      </c>
    </row>
    <row r="1318" spans="2:6">
      <c r="B1318" s="2">
        <v>11315</v>
      </c>
      <c r="C1318" s="6" t="s">
        <v>32</v>
      </c>
      <c r="D1318" s="2" t="s">
        <v>53</v>
      </c>
      <c r="E1318" s="2" t="s">
        <v>181</v>
      </c>
      <c r="F1318" s="2" t="s">
        <v>182</v>
      </c>
    </row>
    <row r="1319" spans="2:6">
      <c r="B1319" s="2">
        <v>11316</v>
      </c>
      <c r="C1319" s="6" t="s">
        <v>32</v>
      </c>
      <c r="D1319" s="2" t="s">
        <v>56</v>
      </c>
      <c r="E1319" s="2" t="s">
        <v>183</v>
      </c>
      <c r="F1319" s="2" t="s">
        <v>184</v>
      </c>
    </row>
    <row r="1320" spans="2:6">
      <c r="B1320" s="2">
        <v>11317</v>
      </c>
      <c r="C1320" s="6" t="s">
        <v>32</v>
      </c>
      <c r="D1320" s="2" t="s">
        <v>59</v>
      </c>
      <c r="E1320" s="2" t="s">
        <v>185</v>
      </c>
      <c r="F1320" s="2" t="s">
        <v>186</v>
      </c>
    </row>
    <row r="1321" spans="2:6">
      <c r="B1321" s="2">
        <v>11318</v>
      </c>
      <c r="C1321" s="6" t="s">
        <v>32</v>
      </c>
      <c r="D1321" s="2" t="s">
        <v>62</v>
      </c>
      <c r="E1321" s="2" t="s">
        <v>187</v>
      </c>
      <c r="F1321" s="2" t="s">
        <v>188</v>
      </c>
    </row>
    <row r="1322" spans="2:6">
      <c r="B1322" s="2">
        <v>11319</v>
      </c>
      <c r="C1322" s="6" t="s">
        <v>32</v>
      </c>
      <c r="D1322" s="2" t="s">
        <v>65</v>
      </c>
      <c r="E1322" s="2" t="s">
        <v>189</v>
      </c>
      <c r="F1322" s="2" t="s">
        <v>190</v>
      </c>
    </row>
    <row r="1323" spans="2:6">
      <c r="B1323" s="2">
        <v>11320</v>
      </c>
      <c r="C1323" s="6" t="s">
        <v>32</v>
      </c>
      <c r="D1323" s="2" t="s">
        <v>68</v>
      </c>
      <c r="E1323" s="2" t="s">
        <v>191</v>
      </c>
      <c r="F1323" s="2" t="s">
        <v>192</v>
      </c>
    </row>
    <row r="1324" spans="2:6">
      <c r="B1324" s="2">
        <v>11321</v>
      </c>
      <c r="C1324" s="6" t="s">
        <v>32</v>
      </c>
      <c r="D1324" s="2" t="s">
        <v>71</v>
      </c>
      <c r="E1324" s="2" t="s">
        <v>193</v>
      </c>
      <c r="F1324" s="2" t="s">
        <v>194</v>
      </c>
    </row>
    <row r="1325" spans="2:6">
      <c r="B1325" s="2">
        <v>11322</v>
      </c>
      <c r="C1325" s="6" t="s">
        <v>32</v>
      </c>
      <c r="D1325" s="2" t="s">
        <v>74</v>
      </c>
      <c r="E1325" s="2" t="s">
        <v>195</v>
      </c>
      <c r="F1325" s="2" t="s">
        <v>196</v>
      </c>
    </row>
    <row r="1326" spans="2:6">
      <c r="B1326" s="2">
        <v>11323</v>
      </c>
      <c r="C1326" s="6" t="s">
        <v>32</v>
      </c>
      <c r="D1326" s="2" t="s">
        <v>77</v>
      </c>
      <c r="E1326" s="2" t="s">
        <v>197</v>
      </c>
      <c r="F1326" s="2" t="s">
        <v>198</v>
      </c>
    </row>
    <row r="1327" spans="2:6">
      <c r="B1327" s="2">
        <v>11324</v>
      </c>
      <c r="C1327" s="6" t="s">
        <v>32</v>
      </c>
      <c r="D1327" s="2" t="s">
        <v>80</v>
      </c>
      <c r="E1327" s="2" t="s">
        <v>199</v>
      </c>
      <c r="F1327" s="2" t="s">
        <v>200</v>
      </c>
    </row>
    <row r="1328" spans="2:6">
      <c r="B1328" s="2">
        <v>11325</v>
      </c>
      <c r="C1328" s="6" t="s">
        <v>32</v>
      </c>
      <c r="D1328" s="2" t="s">
        <v>83</v>
      </c>
      <c r="E1328" s="2" t="s">
        <v>201</v>
      </c>
      <c r="F1328" s="2" t="s">
        <v>202</v>
      </c>
    </row>
    <row r="1329" spans="2:6">
      <c r="B1329" s="2">
        <v>11326</v>
      </c>
      <c r="C1329" s="6" t="s">
        <v>32</v>
      </c>
      <c r="D1329" s="2" t="s">
        <v>86</v>
      </c>
      <c r="E1329" s="2" t="s">
        <v>203</v>
      </c>
      <c r="F1329" s="2" t="s">
        <v>204</v>
      </c>
    </row>
    <row r="1330" spans="2:6">
      <c r="B1330" s="2">
        <v>11327</v>
      </c>
      <c r="C1330" s="6" t="s">
        <v>32</v>
      </c>
      <c r="D1330" s="2" t="s">
        <v>89</v>
      </c>
      <c r="E1330" s="2" t="s">
        <v>205</v>
      </c>
      <c r="F1330" s="2" t="s">
        <v>206</v>
      </c>
    </row>
    <row r="1331" spans="2:6">
      <c r="B1331" s="2">
        <v>11328</v>
      </c>
      <c r="C1331" s="6" t="s">
        <v>32</v>
      </c>
      <c r="D1331" s="2" t="s">
        <v>92</v>
      </c>
      <c r="E1331" s="2" t="s">
        <v>207</v>
      </c>
      <c r="F1331" s="2" t="s">
        <v>208</v>
      </c>
    </row>
    <row r="1332" spans="2:6">
      <c r="B1332" s="2">
        <v>11329</v>
      </c>
      <c r="C1332" s="6" t="s">
        <v>32</v>
      </c>
      <c r="D1332" s="2" t="s">
        <v>95</v>
      </c>
      <c r="E1332" s="2" t="s">
        <v>209</v>
      </c>
      <c r="F1332" s="2" t="s">
        <v>210</v>
      </c>
    </row>
    <row r="1333" spans="2:6">
      <c r="B1333" s="2">
        <v>11330</v>
      </c>
      <c r="C1333" s="6" t="s">
        <v>32</v>
      </c>
      <c r="D1333" s="2" t="s">
        <v>98</v>
      </c>
      <c r="E1333" s="2" t="s">
        <v>211</v>
      </c>
      <c r="F1333" s="2" t="s">
        <v>212</v>
      </c>
    </row>
    <row r="1334" spans="2:6">
      <c r="B1334" s="2">
        <v>11331</v>
      </c>
      <c r="C1334" s="6" t="s">
        <v>32</v>
      </c>
      <c r="D1334" s="2" t="s">
        <v>101</v>
      </c>
      <c r="E1334" s="2" t="s">
        <v>213</v>
      </c>
      <c r="F1334" s="2" t="s">
        <v>214</v>
      </c>
    </row>
    <row r="1335" spans="2:6">
      <c r="B1335" s="2">
        <v>11332</v>
      </c>
      <c r="C1335" s="6" t="s">
        <v>32</v>
      </c>
      <c r="D1335" s="2" t="s">
        <v>104</v>
      </c>
      <c r="E1335" s="2" t="s">
        <v>215</v>
      </c>
      <c r="F1335" s="2" t="s">
        <v>216</v>
      </c>
    </row>
    <row r="1336" spans="2:6">
      <c r="B1336" s="2">
        <v>11333</v>
      </c>
      <c r="C1336" s="6" t="s">
        <v>32</v>
      </c>
      <c r="D1336" s="2" t="s">
        <v>107</v>
      </c>
      <c r="E1336" s="2" t="s">
        <v>217</v>
      </c>
      <c r="F1336" s="2" t="s">
        <v>218</v>
      </c>
    </row>
    <row r="1337" spans="2:6">
      <c r="B1337" s="2">
        <v>11334</v>
      </c>
      <c r="C1337" s="6" t="s">
        <v>32</v>
      </c>
      <c r="D1337" s="2" t="s">
        <v>110</v>
      </c>
      <c r="E1337" s="2" t="s">
        <v>219</v>
      </c>
      <c r="F1337" s="2" t="s">
        <v>220</v>
      </c>
    </row>
    <row r="1338" spans="2:6">
      <c r="B1338" s="2">
        <v>11335</v>
      </c>
      <c r="C1338" s="6" t="s">
        <v>32</v>
      </c>
      <c r="D1338" s="2" t="s">
        <v>113</v>
      </c>
      <c r="E1338" s="2" t="s">
        <v>221</v>
      </c>
      <c r="F1338" s="2" t="s">
        <v>222</v>
      </c>
    </row>
    <row r="1339" spans="2:6">
      <c r="B1339" s="2">
        <v>11336</v>
      </c>
      <c r="C1339" s="6" t="s">
        <v>32</v>
      </c>
      <c r="D1339" s="2" t="s">
        <v>116</v>
      </c>
      <c r="E1339" s="2" t="s">
        <v>223</v>
      </c>
      <c r="F1339" s="2" t="s">
        <v>224</v>
      </c>
    </row>
    <row r="1340" spans="2:6">
      <c r="B1340" s="2">
        <v>11337</v>
      </c>
      <c r="C1340" s="6" t="s">
        <v>32</v>
      </c>
      <c r="D1340" s="2" t="s">
        <v>119</v>
      </c>
      <c r="E1340" s="2" t="s">
        <v>225</v>
      </c>
      <c r="F1340" s="2" t="s">
        <v>226</v>
      </c>
    </row>
    <row r="1341" spans="2:6">
      <c r="B1341" s="2">
        <v>11338</v>
      </c>
      <c r="C1341" s="6" t="s">
        <v>32</v>
      </c>
      <c r="D1341" s="2" t="s">
        <v>122</v>
      </c>
      <c r="E1341" s="2" t="s">
        <v>227</v>
      </c>
      <c r="F1341" s="2" t="s">
        <v>228</v>
      </c>
    </row>
    <row r="1342" spans="2:6">
      <c r="B1342" s="2">
        <v>11339</v>
      </c>
      <c r="C1342" s="6" t="s">
        <v>32</v>
      </c>
      <c r="D1342" s="2" t="s">
        <v>125</v>
      </c>
      <c r="E1342" s="2" t="s">
        <v>229</v>
      </c>
      <c r="F1342" s="2" t="s">
        <v>230</v>
      </c>
    </row>
    <row r="1343" spans="2:6">
      <c r="B1343" s="2">
        <v>11340</v>
      </c>
      <c r="C1343" s="6" t="s">
        <v>32</v>
      </c>
      <c r="D1343" s="2" t="s">
        <v>128</v>
      </c>
      <c r="E1343" s="2" t="s">
        <v>231</v>
      </c>
      <c r="F1343" s="2" t="s">
        <v>232</v>
      </c>
    </row>
    <row r="1344" spans="2:6">
      <c r="B1344" s="2">
        <v>11341</v>
      </c>
      <c r="C1344" s="6" t="s">
        <v>32</v>
      </c>
      <c r="D1344" s="2" t="s">
        <v>131</v>
      </c>
      <c r="E1344" s="2" t="s">
        <v>233</v>
      </c>
      <c r="F1344" s="2" t="s">
        <v>234</v>
      </c>
    </row>
    <row r="1345" spans="2:10">
      <c r="B1345" s="2">
        <v>11342</v>
      </c>
      <c r="C1345" s="6" t="s">
        <v>32</v>
      </c>
      <c r="D1345" s="2" t="s">
        <v>134</v>
      </c>
      <c r="E1345" s="2" t="s">
        <v>235</v>
      </c>
      <c r="F1345" s="2" t="s">
        <v>236</v>
      </c>
    </row>
    <row r="1346" spans="2:10">
      <c r="B1346" s="2">
        <v>11343</v>
      </c>
      <c r="C1346" s="6" t="s">
        <v>32</v>
      </c>
      <c r="D1346" s="2" t="s">
        <v>137</v>
      </c>
      <c r="E1346" s="2" t="s">
        <v>237</v>
      </c>
      <c r="F1346" s="2" t="s">
        <v>238</v>
      </c>
    </row>
    <row r="1347" spans="2:10">
      <c r="B1347" s="2">
        <v>11344</v>
      </c>
      <c r="C1347" s="6" t="s">
        <v>32</v>
      </c>
      <c r="D1347" s="2" t="s">
        <v>140</v>
      </c>
      <c r="E1347" s="2" t="s">
        <v>239</v>
      </c>
      <c r="F1347" s="2" t="s">
        <v>240</v>
      </c>
    </row>
    <row r="1348" spans="2:10">
      <c r="B1348" s="2">
        <v>11345</v>
      </c>
      <c r="C1348" s="6" t="s">
        <v>32</v>
      </c>
      <c r="D1348" s="2" t="s">
        <v>143</v>
      </c>
      <c r="E1348" s="2" t="s">
        <v>241</v>
      </c>
      <c r="F1348" s="2" t="s">
        <v>242</v>
      </c>
    </row>
    <row r="1349" spans="2:10">
      <c r="B1349" s="2">
        <v>11346</v>
      </c>
      <c r="C1349" s="6" t="s">
        <v>32</v>
      </c>
      <c r="D1349" s="2" t="s">
        <v>146</v>
      </c>
      <c r="E1349" s="2" t="s">
        <v>243</v>
      </c>
      <c r="F1349" s="2" t="s">
        <v>244</v>
      </c>
    </row>
    <row r="1350" spans="2:10">
      <c r="B1350" s="2">
        <v>11347</v>
      </c>
      <c r="C1350" s="6" t="s">
        <v>32</v>
      </c>
      <c r="D1350" s="2" t="s">
        <v>149</v>
      </c>
      <c r="E1350" s="2" t="s">
        <v>245</v>
      </c>
      <c r="F1350" s="2" t="s">
        <v>246</v>
      </c>
    </row>
    <row r="1351" spans="2:10">
      <c r="B1351" s="2">
        <v>11348</v>
      </c>
      <c r="C1351" s="6" t="s">
        <v>32</v>
      </c>
      <c r="D1351" s="2" t="s">
        <v>152</v>
      </c>
      <c r="E1351" s="2" t="s">
        <v>247</v>
      </c>
      <c r="F1351" s="2" t="s">
        <v>248</v>
      </c>
    </row>
    <row r="1352" spans="2:10">
      <c r="B1352" s="2">
        <v>11349</v>
      </c>
      <c r="C1352" s="6" t="s">
        <v>32</v>
      </c>
      <c r="D1352" s="2" t="s">
        <v>155</v>
      </c>
      <c r="E1352" s="2" t="s">
        <v>249</v>
      </c>
      <c r="F1352" s="2" t="s">
        <v>250</v>
      </c>
    </row>
    <row r="1353" spans="2:10">
      <c r="B1353" s="2">
        <v>11350</v>
      </c>
      <c r="C1353" s="6" t="s">
        <v>32</v>
      </c>
      <c r="D1353" s="2" t="s">
        <v>158</v>
      </c>
      <c r="E1353" s="2" t="s">
        <v>251</v>
      </c>
      <c r="F1353" s="2" t="s">
        <v>252</v>
      </c>
    </row>
    <row r="1354" spans="2:10">
      <c r="B1354" s="2">
        <v>11351</v>
      </c>
      <c r="C1354" s="6" t="s">
        <v>32</v>
      </c>
      <c r="D1354" s="2" t="s">
        <v>161</v>
      </c>
      <c r="E1354" s="2" t="s">
        <v>253</v>
      </c>
      <c r="F1354" s="2" t="s">
        <v>254</v>
      </c>
    </row>
    <row r="1355" spans="2:10">
      <c r="B1355" s="2">
        <v>11352</v>
      </c>
      <c r="C1355" s="6" t="s">
        <v>1118</v>
      </c>
      <c r="D1355" s="2" t="s">
        <v>13</v>
      </c>
      <c r="E1355" s="2" t="s">
        <v>516</v>
      </c>
      <c r="F1355" s="23" t="s">
        <v>256</v>
      </c>
      <c r="I1355" s="4" t="s">
        <v>518</v>
      </c>
      <c r="J1355" s="2">
        <v>17</v>
      </c>
    </row>
    <row r="1356" spans="2:10">
      <c r="B1356" s="2">
        <v>11353</v>
      </c>
      <c r="C1356" s="6" t="s">
        <v>1118</v>
      </c>
      <c r="D1356" s="2" t="s">
        <v>17</v>
      </c>
      <c r="E1356" s="2" t="s">
        <v>1119</v>
      </c>
      <c r="F1356" s="23" t="s">
        <v>258</v>
      </c>
      <c r="I1356" s="4" t="s">
        <v>518</v>
      </c>
      <c r="J1356" s="2">
        <v>18</v>
      </c>
    </row>
    <row r="1357" spans="2:10">
      <c r="B1357" s="2">
        <v>11354</v>
      </c>
      <c r="C1357" s="6" t="s">
        <v>1118</v>
      </c>
      <c r="D1357" s="2" t="s">
        <v>20</v>
      </c>
      <c r="E1357" s="2" t="s">
        <v>1120</v>
      </c>
      <c r="F1357" s="23" t="s">
        <v>259</v>
      </c>
      <c r="I1357" s="4" t="s">
        <v>518</v>
      </c>
      <c r="J1357" s="2">
        <v>20</v>
      </c>
    </row>
    <row r="1358" spans="2:10">
      <c r="B1358" s="2">
        <v>11355</v>
      </c>
      <c r="C1358" s="6" t="s">
        <v>1118</v>
      </c>
      <c r="D1358" s="2" t="s">
        <v>23</v>
      </c>
      <c r="E1358" s="2" t="s">
        <v>1121</v>
      </c>
      <c r="F1358" s="23" t="s">
        <v>260</v>
      </c>
      <c r="I1358" s="4" t="s">
        <v>518</v>
      </c>
      <c r="J1358" s="2">
        <v>22</v>
      </c>
    </row>
    <row r="1359" spans="2:10">
      <c r="B1359" s="2">
        <v>11356</v>
      </c>
      <c r="C1359" s="6" t="s">
        <v>1118</v>
      </c>
      <c r="D1359" s="2" t="s">
        <v>26</v>
      </c>
      <c r="E1359" s="2" t="s">
        <v>1122</v>
      </c>
      <c r="F1359" s="23" t="s">
        <v>261</v>
      </c>
      <c r="I1359" s="4" t="s">
        <v>518</v>
      </c>
      <c r="J1359" s="2">
        <v>23</v>
      </c>
    </row>
    <row r="1360" spans="2:10">
      <c r="B1360" s="2">
        <v>11357</v>
      </c>
      <c r="C1360" s="6" t="s">
        <v>1118</v>
      </c>
      <c r="D1360" s="2" t="s">
        <v>29</v>
      </c>
      <c r="E1360" s="2" t="s">
        <v>1123</v>
      </c>
      <c r="F1360" s="23" t="s">
        <v>262</v>
      </c>
      <c r="I1360" s="4" t="s">
        <v>518</v>
      </c>
      <c r="J1360" s="2">
        <v>25</v>
      </c>
    </row>
    <row r="1361" spans="2:10">
      <c r="B1361" s="2">
        <v>11358</v>
      </c>
      <c r="C1361" s="6" t="s">
        <v>1118</v>
      </c>
      <c r="D1361" s="2" t="s">
        <v>32</v>
      </c>
      <c r="E1361" s="2" t="s">
        <v>1124</v>
      </c>
      <c r="F1361" s="23" t="s">
        <v>263</v>
      </c>
      <c r="I1361" s="4" t="s">
        <v>518</v>
      </c>
      <c r="J1361" s="2">
        <v>27</v>
      </c>
    </row>
    <row r="1362" spans="2:10">
      <c r="B1362" s="2">
        <v>11359</v>
      </c>
      <c r="C1362" s="6" t="s">
        <v>1118</v>
      </c>
      <c r="D1362" s="2" t="s">
        <v>35</v>
      </c>
      <c r="E1362" s="2" t="s">
        <v>1125</v>
      </c>
      <c r="F1362" s="23" t="s">
        <v>264</v>
      </c>
      <c r="I1362" s="4" t="s">
        <v>518</v>
      </c>
      <c r="J1362" s="2">
        <v>28</v>
      </c>
    </row>
    <row r="1363" spans="2:10">
      <c r="B1363" s="2">
        <v>11360</v>
      </c>
      <c r="C1363" s="6" t="s">
        <v>1118</v>
      </c>
      <c r="D1363" s="2" t="s">
        <v>38</v>
      </c>
      <c r="E1363" s="2" t="s">
        <v>1126</v>
      </c>
      <c r="F1363" s="23" t="s">
        <v>265</v>
      </c>
      <c r="I1363" s="4" t="s">
        <v>518</v>
      </c>
      <c r="J1363" s="2">
        <v>30</v>
      </c>
    </row>
    <row r="1364" spans="2:10">
      <c r="B1364" s="2">
        <v>11361</v>
      </c>
      <c r="C1364" s="6" t="s">
        <v>1118</v>
      </c>
      <c r="D1364" s="2" t="s">
        <v>41</v>
      </c>
      <c r="E1364" s="2" t="s">
        <v>1127</v>
      </c>
      <c r="F1364" s="23" t="s">
        <v>266</v>
      </c>
      <c r="I1364" s="4" t="s">
        <v>518</v>
      </c>
      <c r="J1364" s="2">
        <v>32</v>
      </c>
    </row>
    <row r="1365" spans="2:10">
      <c r="B1365" s="2">
        <v>11362</v>
      </c>
      <c r="C1365" s="6" t="s">
        <v>1118</v>
      </c>
      <c r="D1365" s="2" t="s">
        <v>44</v>
      </c>
      <c r="E1365" s="2" t="s">
        <v>1128</v>
      </c>
      <c r="F1365" s="23" t="s">
        <v>267</v>
      </c>
      <c r="I1365" s="4" t="s">
        <v>518</v>
      </c>
      <c r="J1365" s="2">
        <v>33</v>
      </c>
    </row>
    <row r="1366" spans="2:10">
      <c r="B1366" s="2">
        <v>11363</v>
      </c>
      <c r="C1366" s="6" t="s">
        <v>1118</v>
      </c>
      <c r="D1366" s="2" t="s">
        <v>47</v>
      </c>
      <c r="E1366" s="2" t="s">
        <v>1129</v>
      </c>
      <c r="F1366" s="23" t="s">
        <v>268</v>
      </c>
      <c r="I1366" s="4" t="s">
        <v>518</v>
      </c>
      <c r="J1366" s="2">
        <v>35</v>
      </c>
    </row>
    <row r="1367" spans="2:10">
      <c r="B1367" s="2">
        <v>11364</v>
      </c>
      <c r="C1367" s="6" t="s">
        <v>1118</v>
      </c>
      <c r="D1367" s="2" t="s">
        <v>50</v>
      </c>
      <c r="E1367" s="2" t="s">
        <v>1130</v>
      </c>
      <c r="F1367" s="23" t="s">
        <v>269</v>
      </c>
      <c r="I1367" s="4" t="s">
        <v>518</v>
      </c>
      <c r="J1367" s="2">
        <v>37</v>
      </c>
    </row>
    <row r="1368" spans="2:10">
      <c r="B1368" s="2">
        <v>11365</v>
      </c>
      <c r="C1368" s="6" t="s">
        <v>1118</v>
      </c>
      <c r="D1368" s="2" t="s">
        <v>53</v>
      </c>
      <c r="E1368" s="2" t="s">
        <v>537</v>
      </c>
      <c r="F1368" s="23" t="s">
        <v>270</v>
      </c>
      <c r="I1368" s="4" t="s">
        <v>518</v>
      </c>
      <c r="J1368" s="2">
        <v>38</v>
      </c>
    </row>
    <row r="1369" spans="2:10">
      <c r="B1369" s="2">
        <v>11366</v>
      </c>
      <c r="C1369" s="6" t="s">
        <v>1118</v>
      </c>
      <c r="D1369" s="2" t="s">
        <v>56</v>
      </c>
      <c r="E1369" s="2" t="s">
        <v>1131</v>
      </c>
      <c r="F1369" s="23" t="s">
        <v>271</v>
      </c>
      <c r="I1369" s="4" t="s">
        <v>518</v>
      </c>
      <c r="J1369" s="2">
        <v>40</v>
      </c>
    </row>
    <row r="1370" spans="2:10">
      <c r="B1370" s="2">
        <v>11367</v>
      </c>
      <c r="C1370" s="6" t="s">
        <v>1118</v>
      </c>
      <c r="D1370" s="2" t="s">
        <v>59</v>
      </c>
      <c r="E1370" s="2" t="s">
        <v>1132</v>
      </c>
      <c r="F1370" s="23" t="s">
        <v>272</v>
      </c>
      <c r="I1370" s="4" t="s">
        <v>518</v>
      </c>
      <c r="J1370" s="2">
        <v>42</v>
      </c>
    </row>
    <row r="1371" spans="2:10">
      <c r="B1371" s="2">
        <v>11368</v>
      </c>
      <c r="C1371" s="6" t="s">
        <v>1118</v>
      </c>
      <c r="D1371" s="2" t="s">
        <v>62</v>
      </c>
      <c r="E1371" s="2" t="s">
        <v>1133</v>
      </c>
      <c r="F1371" s="23" t="s">
        <v>273</v>
      </c>
      <c r="I1371" s="4" t="s">
        <v>518</v>
      </c>
      <c r="J1371" s="2">
        <v>43</v>
      </c>
    </row>
    <row r="1372" spans="2:10">
      <c r="B1372" s="2">
        <v>11369</v>
      </c>
      <c r="C1372" s="6" t="s">
        <v>1118</v>
      </c>
      <c r="D1372" s="2" t="s">
        <v>65</v>
      </c>
      <c r="E1372" s="2" t="s">
        <v>1134</v>
      </c>
      <c r="F1372" s="23" t="s">
        <v>274</v>
      </c>
      <c r="I1372" s="4" t="s">
        <v>518</v>
      </c>
      <c r="J1372" s="2">
        <v>45</v>
      </c>
    </row>
    <row r="1373" spans="2:10">
      <c r="B1373" s="2">
        <v>11370</v>
      </c>
      <c r="C1373" s="6" t="s">
        <v>1118</v>
      </c>
      <c r="D1373" s="2" t="s">
        <v>68</v>
      </c>
      <c r="E1373" s="2" t="s">
        <v>1135</v>
      </c>
      <c r="F1373" s="23" t="s">
        <v>275</v>
      </c>
      <c r="I1373" s="4" t="s">
        <v>518</v>
      </c>
      <c r="J1373" s="2">
        <v>47</v>
      </c>
    </row>
    <row r="1374" spans="2:10">
      <c r="B1374" s="2">
        <v>11371</v>
      </c>
      <c r="C1374" s="6" t="s">
        <v>1118</v>
      </c>
      <c r="D1374" s="2" t="s">
        <v>71</v>
      </c>
      <c r="E1374" s="2" t="s">
        <v>1136</v>
      </c>
      <c r="F1374" s="23" t="s">
        <v>276</v>
      </c>
      <c r="I1374" s="4" t="s">
        <v>518</v>
      </c>
      <c r="J1374" s="2">
        <v>48</v>
      </c>
    </row>
    <row r="1375" spans="2:10">
      <c r="B1375" s="2">
        <v>11372</v>
      </c>
      <c r="C1375" s="6" t="s">
        <v>1118</v>
      </c>
      <c r="D1375" s="2" t="s">
        <v>74</v>
      </c>
      <c r="E1375" s="2" t="s">
        <v>1137</v>
      </c>
      <c r="F1375" s="23" t="s">
        <v>277</v>
      </c>
      <c r="I1375" s="4" t="s">
        <v>518</v>
      </c>
      <c r="J1375" s="2">
        <v>50</v>
      </c>
    </row>
    <row r="1376" spans="2:10">
      <c r="B1376" s="2">
        <v>11373</v>
      </c>
      <c r="C1376" s="6" t="s">
        <v>1118</v>
      </c>
      <c r="D1376" s="2" t="s">
        <v>77</v>
      </c>
      <c r="E1376" s="2" t="s">
        <v>1138</v>
      </c>
      <c r="F1376" s="23" t="s">
        <v>278</v>
      </c>
      <c r="I1376" s="4" t="s">
        <v>518</v>
      </c>
      <c r="J1376" s="2">
        <v>52</v>
      </c>
    </row>
    <row r="1377" spans="2:10">
      <c r="B1377" s="2">
        <v>11374</v>
      </c>
      <c r="C1377" s="6" t="s">
        <v>1118</v>
      </c>
      <c r="D1377" s="2" t="s">
        <v>80</v>
      </c>
      <c r="E1377" s="2" t="s">
        <v>1139</v>
      </c>
      <c r="F1377" s="23" t="s">
        <v>279</v>
      </c>
      <c r="I1377" s="4" t="s">
        <v>518</v>
      </c>
      <c r="J1377" s="2">
        <v>53</v>
      </c>
    </row>
    <row r="1378" spans="2:10">
      <c r="B1378" s="2">
        <v>11375</v>
      </c>
      <c r="C1378" s="6" t="s">
        <v>1118</v>
      </c>
      <c r="D1378" s="2" t="s">
        <v>83</v>
      </c>
      <c r="E1378" s="2" t="s">
        <v>1140</v>
      </c>
      <c r="F1378" s="23" t="s">
        <v>280</v>
      </c>
      <c r="I1378" s="4" t="s">
        <v>518</v>
      </c>
      <c r="J1378" s="2">
        <v>55</v>
      </c>
    </row>
    <row r="1379" spans="2:10">
      <c r="B1379" s="2">
        <v>11376</v>
      </c>
      <c r="C1379" s="6" t="s">
        <v>1118</v>
      </c>
      <c r="D1379" s="2" t="s">
        <v>86</v>
      </c>
      <c r="E1379" s="2" t="s">
        <v>1141</v>
      </c>
      <c r="F1379" s="23" t="s">
        <v>281</v>
      </c>
      <c r="I1379" s="4" t="s">
        <v>518</v>
      </c>
      <c r="J1379" s="2">
        <v>57</v>
      </c>
    </row>
    <row r="1380" spans="2:10">
      <c r="B1380" s="2">
        <v>11377</v>
      </c>
      <c r="C1380" s="6" t="s">
        <v>1118</v>
      </c>
      <c r="D1380" s="2" t="s">
        <v>89</v>
      </c>
      <c r="E1380" s="2" t="s">
        <v>1142</v>
      </c>
      <c r="F1380" s="23" t="s">
        <v>282</v>
      </c>
      <c r="I1380" s="4" t="s">
        <v>518</v>
      </c>
      <c r="J1380" s="2">
        <v>58</v>
      </c>
    </row>
    <row r="1381" spans="2:10">
      <c r="B1381" s="2">
        <v>11378</v>
      </c>
      <c r="C1381" s="6" t="s">
        <v>1118</v>
      </c>
      <c r="D1381" s="2" t="s">
        <v>92</v>
      </c>
      <c r="E1381" s="2" t="s">
        <v>557</v>
      </c>
      <c r="F1381" s="23" t="s">
        <v>283</v>
      </c>
      <c r="I1381" s="4" t="s">
        <v>518</v>
      </c>
      <c r="J1381" s="2">
        <v>60</v>
      </c>
    </row>
    <row r="1382" spans="2:10">
      <c r="B1382" s="2">
        <v>11379</v>
      </c>
      <c r="C1382" s="6" t="s">
        <v>1118</v>
      </c>
      <c r="D1382" s="2" t="s">
        <v>95</v>
      </c>
      <c r="E1382" s="2" t="s">
        <v>1143</v>
      </c>
      <c r="F1382" s="23" t="s">
        <v>284</v>
      </c>
      <c r="I1382" s="4" t="s">
        <v>518</v>
      </c>
      <c r="J1382" s="2">
        <v>62</v>
      </c>
    </row>
    <row r="1383" spans="2:10">
      <c r="B1383" s="2">
        <v>11380</v>
      </c>
      <c r="C1383" s="6" t="s">
        <v>1118</v>
      </c>
      <c r="D1383" s="2" t="s">
        <v>98</v>
      </c>
      <c r="E1383" s="2" t="s">
        <v>1144</v>
      </c>
      <c r="F1383" s="23" t="s">
        <v>285</v>
      </c>
      <c r="I1383" s="4" t="s">
        <v>518</v>
      </c>
      <c r="J1383" s="2">
        <v>63</v>
      </c>
    </row>
    <row r="1384" spans="2:10">
      <c r="B1384" s="2">
        <v>11381</v>
      </c>
      <c r="C1384" s="6" t="s">
        <v>1118</v>
      </c>
      <c r="D1384" s="2" t="s">
        <v>101</v>
      </c>
      <c r="E1384" s="2" t="s">
        <v>1145</v>
      </c>
      <c r="F1384" s="23" t="s">
        <v>286</v>
      </c>
      <c r="I1384" s="4" t="s">
        <v>518</v>
      </c>
      <c r="J1384" s="2">
        <v>65</v>
      </c>
    </row>
    <row r="1385" spans="2:10">
      <c r="B1385" s="2">
        <v>11382</v>
      </c>
      <c r="C1385" s="6" t="s">
        <v>1118</v>
      </c>
      <c r="D1385" s="2" t="s">
        <v>104</v>
      </c>
      <c r="E1385" s="2" t="s">
        <v>1146</v>
      </c>
      <c r="F1385" s="23" t="s">
        <v>287</v>
      </c>
      <c r="I1385" s="4" t="s">
        <v>518</v>
      </c>
      <c r="J1385" s="2">
        <v>67</v>
      </c>
    </row>
    <row r="1386" spans="2:10">
      <c r="B1386" s="2">
        <v>11383</v>
      </c>
      <c r="C1386" s="6" t="s">
        <v>1118</v>
      </c>
      <c r="D1386" s="2" t="s">
        <v>107</v>
      </c>
      <c r="E1386" s="2" t="s">
        <v>1147</v>
      </c>
      <c r="F1386" s="23" t="s">
        <v>288</v>
      </c>
      <c r="I1386" s="4" t="s">
        <v>518</v>
      </c>
      <c r="J1386" s="2">
        <v>68</v>
      </c>
    </row>
    <row r="1387" spans="2:10">
      <c r="B1387" s="2">
        <v>11384</v>
      </c>
      <c r="C1387" s="6" t="s">
        <v>1118</v>
      </c>
      <c r="D1387" s="2" t="s">
        <v>110</v>
      </c>
      <c r="E1387" s="2" t="s">
        <v>1148</v>
      </c>
      <c r="F1387" s="23" t="s">
        <v>289</v>
      </c>
      <c r="I1387" s="4" t="s">
        <v>518</v>
      </c>
      <c r="J1387" s="2">
        <v>70</v>
      </c>
    </row>
    <row r="1388" spans="2:10">
      <c r="B1388" s="2">
        <v>11385</v>
      </c>
      <c r="C1388" s="6" t="s">
        <v>1118</v>
      </c>
      <c r="D1388" s="2" t="s">
        <v>113</v>
      </c>
      <c r="E1388" s="2" t="s">
        <v>1149</v>
      </c>
      <c r="F1388" s="23" t="s">
        <v>290</v>
      </c>
      <c r="I1388" s="4" t="s">
        <v>518</v>
      </c>
      <c r="J1388" s="2">
        <v>72</v>
      </c>
    </row>
    <row r="1389" spans="2:10">
      <c r="B1389" s="2">
        <v>11386</v>
      </c>
      <c r="C1389" s="6" t="s">
        <v>1118</v>
      </c>
      <c r="D1389" s="2" t="s">
        <v>116</v>
      </c>
      <c r="E1389" s="2" t="s">
        <v>1150</v>
      </c>
      <c r="F1389" s="23" t="s">
        <v>291</v>
      </c>
      <c r="I1389" s="4" t="s">
        <v>518</v>
      </c>
      <c r="J1389" s="2">
        <v>73</v>
      </c>
    </row>
    <row r="1390" spans="2:10">
      <c r="B1390" s="2">
        <v>11387</v>
      </c>
      <c r="C1390" s="6" t="s">
        <v>1118</v>
      </c>
      <c r="D1390" s="2" t="s">
        <v>119</v>
      </c>
      <c r="E1390" s="2" t="s">
        <v>1151</v>
      </c>
      <c r="F1390" s="23" t="s">
        <v>292</v>
      </c>
      <c r="I1390" s="4" t="s">
        <v>518</v>
      </c>
      <c r="J1390" s="2">
        <v>75</v>
      </c>
    </row>
    <row r="1391" spans="2:10">
      <c r="B1391" s="2">
        <v>11388</v>
      </c>
      <c r="C1391" s="6" t="s">
        <v>1118</v>
      </c>
      <c r="D1391" s="2" t="s">
        <v>122</v>
      </c>
      <c r="E1391" s="2" t="s">
        <v>1152</v>
      </c>
      <c r="F1391" s="23" t="s">
        <v>293</v>
      </c>
      <c r="I1391" s="4" t="s">
        <v>518</v>
      </c>
      <c r="J1391" s="2">
        <v>77</v>
      </c>
    </row>
    <row r="1392" spans="2:10">
      <c r="B1392" s="2">
        <v>11389</v>
      </c>
      <c r="C1392" s="6" t="s">
        <v>1118</v>
      </c>
      <c r="D1392" s="2" t="s">
        <v>125</v>
      </c>
      <c r="E1392" s="2" t="s">
        <v>1153</v>
      </c>
      <c r="F1392" s="23" t="s">
        <v>294</v>
      </c>
      <c r="I1392" s="4" t="s">
        <v>518</v>
      </c>
      <c r="J1392" s="2">
        <v>78</v>
      </c>
    </row>
    <row r="1393" spans="2:10">
      <c r="B1393" s="2">
        <v>11390</v>
      </c>
      <c r="C1393" s="6" t="s">
        <v>1118</v>
      </c>
      <c r="D1393" s="2" t="s">
        <v>128</v>
      </c>
      <c r="E1393" s="2" t="s">
        <v>1154</v>
      </c>
      <c r="F1393" s="23" t="s">
        <v>295</v>
      </c>
      <c r="I1393" s="4" t="s">
        <v>518</v>
      </c>
      <c r="J1393" s="2">
        <v>80</v>
      </c>
    </row>
    <row r="1394" spans="2:10">
      <c r="B1394" s="2">
        <v>11391</v>
      </c>
      <c r="C1394" s="6" t="s">
        <v>1118</v>
      </c>
      <c r="D1394" s="2" t="s">
        <v>131</v>
      </c>
      <c r="E1394" s="2" t="s">
        <v>577</v>
      </c>
      <c r="F1394" s="23" t="s">
        <v>296</v>
      </c>
      <c r="I1394" s="4" t="s">
        <v>518</v>
      </c>
      <c r="J1394" s="2">
        <v>82</v>
      </c>
    </row>
    <row r="1395" spans="2:10">
      <c r="B1395" s="2">
        <v>11392</v>
      </c>
      <c r="C1395" s="6" t="s">
        <v>1118</v>
      </c>
      <c r="D1395" s="2" t="s">
        <v>134</v>
      </c>
      <c r="E1395" s="2" t="s">
        <v>1155</v>
      </c>
      <c r="F1395" s="23" t="s">
        <v>297</v>
      </c>
      <c r="I1395" s="4" t="s">
        <v>518</v>
      </c>
      <c r="J1395" s="2">
        <v>83</v>
      </c>
    </row>
    <row r="1396" spans="2:10">
      <c r="B1396" s="2">
        <v>11393</v>
      </c>
      <c r="C1396" s="6" t="s">
        <v>1118</v>
      </c>
      <c r="D1396" s="2" t="s">
        <v>137</v>
      </c>
      <c r="E1396" s="2" t="s">
        <v>1156</v>
      </c>
      <c r="F1396" s="23" t="s">
        <v>298</v>
      </c>
      <c r="I1396" s="4" t="s">
        <v>518</v>
      </c>
      <c r="J1396" s="2">
        <v>85</v>
      </c>
    </row>
    <row r="1397" spans="2:10">
      <c r="B1397" s="2">
        <v>11394</v>
      </c>
      <c r="C1397" s="6" t="s">
        <v>1118</v>
      </c>
      <c r="D1397" s="2" t="s">
        <v>140</v>
      </c>
      <c r="E1397" s="2" t="s">
        <v>1157</v>
      </c>
      <c r="F1397" s="23" t="s">
        <v>299</v>
      </c>
      <c r="I1397" s="4" t="s">
        <v>518</v>
      </c>
      <c r="J1397" s="2">
        <v>87</v>
      </c>
    </row>
    <row r="1398" spans="2:10">
      <c r="B1398" s="2">
        <v>11395</v>
      </c>
      <c r="C1398" s="6" t="s">
        <v>1118</v>
      </c>
      <c r="D1398" s="2" t="s">
        <v>143</v>
      </c>
      <c r="E1398" s="2" t="s">
        <v>1158</v>
      </c>
      <c r="F1398" s="23" t="s">
        <v>300</v>
      </c>
      <c r="I1398" s="4" t="s">
        <v>518</v>
      </c>
      <c r="J1398" s="2">
        <v>88</v>
      </c>
    </row>
    <row r="1399" spans="2:10">
      <c r="B1399" s="2">
        <v>11396</v>
      </c>
      <c r="C1399" s="6" t="s">
        <v>1118</v>
      </c>
      <c r="D1399" s="2" t="s">
        <v>146</v>
      </c>
      <c r="E1399" s="2" t="s">
        <v>1159</v>
      </c>
      <c r="F1399" s="23" t="s">
        <v>301</v>
      </c>
      <c r="I1399" s="4" t="s">
        <v>518</v>
      </c>
      <c r="J1399" s="2">
        <v>90</v>
      </c>
    </row>
    <row r="1400" spans="2:10">
      <c r="B1400" s="2">
        <v>11397</v>
      </c>
      <c r="C1400" s="6" t="s">
        <v>1118</v>
      </c>
      <c r="D1400" s="2" t="s">
        <v>149</v>
      </c>
      <c r="E1400" s="2" t="s">
        <v>1160</v>
      </c>
      <c r="F1400" s="23" t="s">
        <v>302</v>
      </c>
      <c r="I1400" s="4" t="s">
        <v>518</v>
      </c>
      <c r="J1400" s="2">
        <v>92</v>
      </c>
    </row>
    <row r="1401" spans="2:10">
      <c r="B1401" s="2">
        <v>11398</v>
      </c>
      <c r="C1401" s="6" t="s">
        <v>1118</v>
      </c>
      <c r="D1401" s="2" t="s">
        <v>152</v>
      </c>
      <c r="E1401" s="2" t="s">
        <v>1161</v>
      </c>
      <c r="F1401" s="23" t="s">
        <v>303</v>
      </c>
      <c r="I1401" s="4" t="s">
        <v>518</v>
      </c>
      <c r="J1401" s="2">
        <v>93</v>
      </c>
    </row>
    <row r="1402" spans="2:10">
      <c r="B1402" s="2">
        <v>11399</v>
      </c>
      <c r="C1402" s="6" t="s">
        <v>1118</v>
      </c>
      <c r="D1402" s="2" t="s">
        <v>155</v>
      </c>
      <c r="E1402" s="2" t="s">
        <v>1162</v>
      </c>
      <c r="F1402" s="23" t="s">
        <v>304</v>
      </c>
      <c r="I1402" s="4" t="s">
        <v>518</v>
      </c>
      <c r="J1402" s="2">
        <v>95</v>
      </c>
    </row>
    <row r="1403" s="22" customFormat="1" spans="2:10">
      <c r="B1403" s="2">
        <v>11400</v>
      </c>
      <c r="C1403" s="6" t="s">
        <v>1118</v>
      </c>
      <c r="D1403" s="2" t="s">
        <v>158</v>
      </c>
      <c r="E1403" s="2" t="s">
        <v>1163</v>
      </c>
      <c r="F1403" s="23" t="s">
        <v>305</v>
      </c>
      <c r="I1403" s="4" t="s">
        <v>518</v>
      </c>
      <c r="J1403" s="2">
        <v>97</v>
      </c>
    </row>
    <row r="1404" s="22" customFormat="1" spans="2:10">
      <c r="B1404" s="2">
        <v>11401</v>
      </c>
      <c r="C1404" s="6" t="s">
        <v>1118</v>
      </c>
      <c r="D1404" s="2" t="s">
        <v>161</v>
      </c>
      <c r="E1404" s="2" t="s">
        <v>1164</v>
      </c>
      <c r="F1404" s="23" t="s">
        <v>306</v>
      </c>
      <c r="I1404" s="4" t="s">
        <v>518</v>
      </c>
      <c r="J1404" s="2">
        <v>98</v>
      </c>
    </row>
    <row r="1405" s="22" customFormat="1" spans="2:10">
      <c r="B1405" s="22">
        <v>11402</v>
      </c>
      <c r="C1405" s="29" t="s">
        <v>1165</v>
      </c>
      <c r="E1405" s="28">
        <v>50</v>
      </c>
      <c r="F1405" s="22" t="s">
        <v>256</v>
      </c>
      <c r="I1405" s="28" t="s">
        <v>1166</v>
      </c>
      <c r="J1405" s="22">
        <v>150</v>
      </c>
    </row>
    <row r="1406" s="22" customFormat="1" spans="2:10">
      <c r="B1406" s="22">
        <v>11403</v>
      </c>
      <c r="C1406" s="29" t="s">
        <v>1165</v>
      </c>
      <c r="E1406" s="28">
        <v>65</v>
      </c>
      <c r="F1406" s="22" t="s">
        <v>258</v>
      </c>
      <c r="I1406" s="28" t="s">
        <v>1166</v>
      </c>
      <c r="J1406" s="22">
        <v>165</v>
      </c>
    </row>
    <row r="1407" s="22" customFormat="1" spans="2:10">
      <c r="B1407" s="22">
        <v>11404</v>
      </c>
      <c r="C1407" s="29" t="s">
        <v>1165</v>
      </c>
      <c r="E1407" s="28">
        <v>80</v>
      </c>
      <c r="F1407" s="22" t="s">
        <v>259</v>
      </c>
      <c r="I1407" s="28" t="s">
        <v>1166</v>
      </c>
      <c r="J1407" s="22">
        <v>180</v>
      </c>
    </row>
    <row r="1408" s="22" customFormat="1" spans="2:10">
      <c r="B1408" s="22">
        <v>11405</v>
      </c>
      <c r="C1408" s="29" t="s">
        <v>1165</v>
      </c>
      <c r="E1408" s="28">
        <v>95</v>
      </c>
      <c r="F1408" s="22" t="s">
        <v>260</v>
      </c>
      <c r="I1408" s="28" t="s">
        <v>1166</v>
      </c>
      <c r="J1408" s="22">
        <v>195</v>
      </c>
    </row>
    <row r="1409" s="22" customFormat="1" spans="2:10">
      <c r="B1409" s="22">
        <v>11406</v>
      </c>
      <c r="C1409" s="29" t="s">
        <v>1165</v>
      </c>
      <c r="E1409" s="28">
        <v>110</v>
      </c>
      <c r="F1409" s="22" t="s">
        <v>261</v>
      </c>
      <c r="I1409" s="28" t="s">
        <v>1166</v>
      </c>
      <c r="J1409" s="22">
        <v>210</v>
      </c>
    </row>
    <row r="1410" s="22" customFormat="1" spans="2:10">
      <c r="B1410" s="22">
        <v>11407</v>
      </c>
      <c r="C1410" s="29" t="s">
        <v>1165</v>
      </c>
      <c r="E1410" s="28">
        <v>125</v>
      </c>
      <c r="F1410" s="22" t="s">
        <v>262</v>
      </c>
      <c r="I1410" s="28" t="s">
        <v>1166</v>
      </c>
      <c r="J1410" s="22">
        <v>225</v>
      </c>
    </row>
    <row r="1411" s="22" customFormat="1" spans="2:10">
      <c r="B1411" s="22">
        <v>11408</v>
      </c>
      <c r="C1411" s="29" t="s">
        <v>1165</v>
      </c>
      <c r="E1411" s="28">
        <v>140</v>
      </c>
      <c r="F1411" s="22" t="s">
        <v>263</v>
      </c>
      <c r="I1411" s="28" t="s">
        <v>1166</v>
      </c>
      <c r="J1411" s="22">
        <v>240</v>
      </c>
    </row>
    <row r="1412" s="22" customFormat="1" spans="2:10">
      <c r="B1412" s="22">
        <v>11409</v>
      </c>
      <c r="C1412" s="29" t="s">
        <v>1165</v>
      </c>
      <c r="E1412" s="28">
        <v>155</v>
      </c>
      <c r="F1412" s="22" t="s">
        <v>264</v>
      </c>
      <c r="I1412" s="28" t="s">
        <v>1166</v>
      </c>
      <c r="J1412" s="22">
        <v>255</v>
      </c>
    </row>
    <row r="1413" s="22" customFormat="1" spans="2:10">
      <c r="B1413" s="22">
        <v>11410</v>
      </c>
      <c r="C1413" s="29" t="s">
        <v>1165</v>
      </c>
      <c r="E1413" s="28">
        <v>170</v>
      </c>
      <c r="F1413" s="22" t="s">
        <v>265</v>
      </c>
      <c r="I1413" s="28" t="s">
        <v>1166</v>
      </c>
      <c r="J1413" s="22">
        <v>270</v>
      </c>
    </row>
    <row r="1414" s="22" customFormat="1" spans="2:10">
      <c r="B1414" s="22">
        <v>11411</v>
      </c>
      <c r="C1414" s="29" t="s">
        <v>1165</v>
      </c>
      <c r="E1414" s="28">
        <v>185</v>
      </c>
      <c r="F1414" s="22" t="s">
        <v>266</v>
      </c>
      <c r="I1414" s="28" t="s">
        <v>1166</v>
      </c>
      <c r="J1414" s="22">
        <v>285</v>
      </c>
    </row>
    <row r="1415" s="22" customFormat="1" spans="2:10">
      <c r="B1415" s="22">
        <v>11412</v>
      </c>
      <c r="C1415" s="29" t="s">
        <v>1165</v>
      </c>
      <c r="E1415" s="28">
        <v>200</v>
      </c>
      <c r="F1415" s="22" t="s">
        <v>267</v>
      </c>
      <c r="I1415" s="28" t="s">
        <v>1166</v>
      </c>
      <c r="J1415" s="22">
        <v>300</v>
      </c>
    </row>
    <row r="1416" s="22" customFormat="1" spans="2:10">
      <c r="B1416" s="22">
        <v>11413</v>
      </c>
      <c r="C1416" s="29" t="s">
        <v>1165</v>
      </c>
      <c r="E1416" s="28">
        <v>215</v>
      </c>
      <c r="F1416" s="22" t="s">
        <v>268</v>
      </c>
      <c r="I1416" s="28" t="s">
        <v>1166</v>
      </c>
      <c r="J1416" s="22">
        <v>315</v>
      </c>
    </row>
    <row r="1417" s="22" customFormat="1" spans="2:10">
      <c r="B1417" s="22">
        <v>11414</v>
      </c>
      <c r="C1417" s="29" t="s">
        <v>1165</v>
      </c>
      <c r="E1417" s="28">
        <v>230</v>
      </c>
      <c r="F1417" s="22" t="s">
        <v>269</v>
      </c>
      <c r="I1417" s="28" t="s">
        <v>1166</v>
      </c>
      <c r="J1417" s="22">
        <v>330</v>
      </c>
    </row>
    <row r="1418" s="22" customFormat="1" spans="2:10">
      <c r="B1418" s="22">
        <v>11415</v>
      </c>
      <c r="C1418" s="29" t="s">
        <v>1165</v>
      </c>
      <c r="E1418" s="28">
        <v>245</v>
      </c>
      <c r="F1418" s="22" t="s">
        <v>270</v>
      </c>
      <c r="I1418" s="28" t="s">
        <v>1166</v>
      </c>
      <c r="J1418" s="22">
        <v>345</v>
      </c>
    </row>
    <row r="1419" s="22" customFormat="1" spans="2:10">
      <c r="B1419" s="22">
        <v>11416</v>
      </c>
      <c r="C1419" s="29" t="s">
        <v>1165</v>
      </c>
      <c r="E1419" s="28">
        <v>260</v>
      </c>
      <c r="F1419" s="22" t="s">
        <v>271</v>
      </c>
      <c r="I1419" s="28" t="s">
        <v>1166</v>
      </c>
      <c r="J1419" s="22">
        <v>360</v>
      </c>
    </row>
    <row r="1420" s="22" customFormat="1" spans="2:10">
      <c r="B1420" s="22">
        <v>11417</v>
      </c>
      <c r="C1420" s="29" t="s">
        <v>1165</v>
      </c>
      <c r="E1420" s="28">
        <v>275</v>
      </c>
      <c r="F1420" s="22" t="s">
        <v>272</v>
      </c>
      <c r="I1420" s="28" t="s">
        <v>1166</v>
      </c>
      <c r="J1420" s="22">
        <v>375</v>
      </c>
    </row>
    <row r="1421" s="22" customFormat="1" spans="2:10">
      <c r="B1421" s="22">
        <v>11418</v>
      </c>
      <c r="C1421" s="29" t="s">
        <v>1165</v>
      </c>
      <c r="E1421" s="28">
        <v>290</v>
      </c>
      <c r="F1421" s="22" t="s">
        <v>273</v>
      </c>
      <c r="I1421" s="28" t="s">
        <v>1166</v>
      </c>
      <c r="J1421" s="22">
        <v>390</v>
      </c>
    </row>
    <row r="1422" s="22" customFormat="1" spans="2:10">
      <c r="B1422" s="22">
        <v>11419</v>
      </c>
      <c r="C1422" s="29" t="s">
        <v>1165</v>
      </c>
      <c r="E1422" s="28">
        <v>305</v>
      </c>
      <c r="F1422" s="22" t="s">
        <v>274</v>
      </c>
      <c r="I1422" s="28" t="s">
        <v>1166</v>
      </c>
      <c r="J1422" s="22">
        <v>405</v>
      </c>
    </row>
    <row r="1423" s="22" customFormat="1" spans="2:10">
      <c r="B1423" s="22">
        <v>11420</v>
      </c>
      <c r="C1423" s="29" t="s">
        <v>1165</v>
      </c>
      <c r="E1423" s="28">
        <v>320</v>
      </c>
      <c r="F1423" s="22" t="s">
        <v>275</v>
      </c>
      <c r="I1423" s="28" t="s">
        <v>1166</v>
      </c>
      <c r="J1423" s="22">
        <v>420</v>
      </c>
    </row>
    <row r="1424" s="22" customFormat="1" spans="2:10">
      <c r="B1424" s="22">
        <v>11421</v>
      </c>
      <c r="C1424" s="29" t="s">
        <v>1165</v>
      </c>
      <c r="E1424" s="28">
        <v>335</v>
      </c>
      <c r="F1424" s="22" t="s">
        <v>276</v>
      </c>
      <c r="I1424" s="28" t="s">
        <v>1166</v>
      </c>
      <c r="J1424" s="22">
        <v>435</v>
      </c>
    </row>
    <row r="1425" s="22" customFormat="1" spans="2:10">
      <c r="B1425" s="22">
        <v>11422</v>
      </c>
      <c r="C1425" s="29" t="s">
        <v>1165</v>
      </c>
      <c r="E1425" s="28">
        <v>350</v>
      </c>
      <c r="F1425" s="22" t="s">
        <v>277</v>
      </c>
      <c r="I1425" s="28" t="s">
        <v>1166</v>
      </c>
      <c r="J1425" s="22">
        <v>450</v>
      </c>
    </row>
    <row r="1426" s="22" customFormat="1" spans="2:10">
      <c r="B1426" s="22">
        <v>11423</v>
      </c>
      <c r="C1426" s="29" t="s">
        <v>1165</v>
      </c>
      <c r="E1426" s="28">
        <v>365</v>
      </c>
      <c r="F1426" s="22" t="s">
        <v>278</v>
      </c>
      <c r="I1426" s="28" t="s">
        <v>1166</v>
      </c>
      <c r="J1426" s="22">
        <v>465</v>
      </c>
    </row>
    <row r="1427" s="22" customFormat="1" spans="2:10">
      <c r="B1427" s="22">
        <v>11424</v>
      </c>
      <c r="C1427" s="29" t="s">
        <v>1165</v>
      </c>
      <c r="E1427" s="28">
        <v>380</v>
      </c>
      <c r="F1427" s="22" t="s">
        <v>279</v>
      </c>
      <c r="I1427" s="28" t="s">
        <v>1166</v>
      </c>
      <c r="J1427" s="22">
        <v>480</v>
      </c>
    </row>
    <row r="1428" s="22" customFormat="1" spans="2:10">
      <c r="B1428" s="22">
        <v>11425</v>
      </c>
      <c r="C1428" s="29" t="s">
        <v>1165</v>
      </c>
      <c r="E1428" s="28">
        <v>395</v>
      </c>
      <c r="F1428" s="22" t="s">
        <v>280</v>
      </c>
      <c r="I1428" s="28" t="s">
        <v>1166</v>
      </c>
      <c r="J1428" s="22">
        <v>495</v>
      </c>
    </row>
    <row r="1429" s="22" customFormat="1" spans="2:10">
      <c r="B1429" s="22">
        <v>11426</v>
      </c>
      <c r="C1429" s="29" t="s">
        <v>1165</v>
      </c>
      <c r="E1429" s="28">
        <v>410</v>
      </c>
      <c r="F1429" s="22" t="s">
        <v>281</v>
      </c>
      <c r="I1429" s="28" t="s">
        <v>1166</v>
      </c>
      <c r="J1429" s="22">
        <v>510</v>
      </c>
    </row>
    <row r="1430" s="22" customFormat="1" spans="2:10">
      <c r="B1430" s="22">
        <v>11427</v>
      </c>
      <c r="C1430" s="29" t="s">
        <v>1165</v>
      </c>
      <c r="E1430" s="28">
        <v>425</v>
      </c>
      <c r="F1430" s="22" t="s">
        <v>282</v>
      </c>
      <c r="I1430" s="28" t="s">
        <v>1166</v>
      </c>
      <c r="J1430" s="22">
        <v>525</v>
      </c>
    </row>
    <row r="1431" s="22" customFormat="1" spans="2:10">
      <c r="B1431" s="22">
        <v>11428</v>
      </c>
      <c r="C1431" s="29" t="s">
        <v>1165</v>
      </c>
      <c r="E1431" s="28">
        <v>440</v>
      </c>
      <c r="F1431" s="22" t="s">
        <v>283</v>
      </c>
      <c r="I1431" s="28" t="s">
        <v>1166</v>
      </c>
      <c r="J1431" s="22">
        <v>540</v>
      </c>
    </row>
    <row r="1432" s="22" customFormat="1" spans="2:10">
      <c r="B1432" s="22">
        <v>11429</v>
      </c>
      <c r="C1432" s="29" t="s">
        <v>1165</v>
      </c>
      <c r="E1432" s="28">
        <v>455</v>
      </c>
      <c r="F1432" s="22" t="s">
        <v>284</v>
      </c>
      <c r="I1432" s="28" t="s">
        <v>1166</v>
      </c>
      <c r="J1432" s="22">
        <v>555</v>
      </c>
    </row>
    <row r="1433" s="22" customFormat="1" spans="2:10">
      <c r="B1433" s="22">
        <v>11430</v>
      </c>
      <c r="C1433" s="29" t="s">
        <v>1165</v>
      </c>
      <c r="E1433" s="28">
        <v>470</v>
      </c>
      <c r="F1433" s="22" t="s">
        <v>285</v>
      </c>
      <c r="I1433" s="28" t="s">
        <v>1166</v>
      </c>
      <c r="J1433" s="22">
        <v>570</v>
      </c>
    </row>
    <row r="1434" s="22" customFormat="1" spans="2:10">
      <c r="B1434" s="22">
        <v>11431</v>
      </c>
      <c r="C1434" s="29" t="s">
        <v>1165</v>
      </c>
      <c r="E1434" s="28">
        <v>485</v>
      </c>
      <c r="F1434" s="22" t="s">
        <v>286</v>
      </c>
      <c r="I1434" s="28" t="s">
        <v>1166</v>
      </c>
      <c r="J1434" s="22">
        <v>585</v>
      </c>
    </row>
    <row r="1435" s="22" customFormat="1" spans="2:10">
      <c r="B1435" s="22">
        <v>11432</v>
      </c>
      <c r="C1435" s="29" t="s">
        <v>1165</v>
      </c>
      <c r="E1435" s="28">
        <v>500</v>
      </c>
      <c r="F1435" s="22" t="s">
        <v>287</v>
      </c>
      <c r="I1435" s="28" t="s">
        <v>1166</v>
      </c>
      <c r="J1435" s="22">
        <v>600</v>
      </c>
    </row>
    <row r="1436" s="22" customFormat="1" spans="2:10">
      <c r="B1436" s="22">
        <v>11433</v>
      </c>
      <c r="C1436" s="29" t="s">
        <v>1165</v>
      </c>
      <c r="E1436" s="28">
        <v>515</v>
      </c>
      <c r="F1436" s="22" t="s">
        <v>288</v>
      </c>
      <c r="I1436" s="28" t="s">
        <v>1166</v>
      </c>
      <c r="J1436" s="22">
        <v>615</v>
      </c>
    </row>
    <row r="1437" s="22" customFormat="1" spans="2:10">
      <c r="B1437" s="22">
        <v>11434</v>
      </c>
      <c r="C1437" s="29" t="s">
        <v>1165</v>
      </c>
      <c r="E1437" s="28">
        <v>530</v>
      </c>
      <c r="F1437" s="22" t="s">
        <v>289</v>
      </c>
      <c r="I1437" s="28" t="s">
        <v>1166</v>
      </c>
      <c r="J1437" s="22">
        <v>630</v>
      </c>
    </row>
    <row r="1438" s="22" customFormat="1" spans="2:10">
      <c r="B1438" s="22">
        <v>11435</v>
      </c>
      <c r="C1438" s="29" t="s">
        <v>1165</v>
      </c>
      <c r="E1438" s="28">
        <v>545</v>
      </c>
      <c r="F1438" s="22" t="s">
        <v>290</v>
      </c>
      <c r="I1438" s="28" t="s">
        <v>1166</v>
      </c>
      <c r="J1438" s="22">
        <v>645</v>
      </c>
    </row>
    <row r="1439" s="22" customFormat="1" spans="2:10">
      <c r="B1439" s="22">
        <v>11436</v>
      </c>
      <c r="C1439" s="29" t="s">
        <v>1165</v>
      </c>
      <c r="E1439" s="28">
        <v>560</v>
      </c>
      <c r="F1439" s="22" t="s">
        <v>291</v>
      </c>
      <c r="I1439" s="28" t="s">
        <v>1166</v>
      </c>
      <c r="J1439" s="22">
        <v>660</v>
      </c>
    </row>
    <row r="1440" s="22" customFormat="1" spans="2:10">
      <c r="B1440" s="22">
        <v>11437</v>
      </c>
      <c r="C1440" s="29" t="s">
        <v>1165</v>
      </c>
      <c r="E1440" s="28">
        <v>575</v>
      </c>
      <c r="F1440" s="22" t="s">
        <v>292</v>
      </c>
      <c r="I1440" s="28" t="s">
        <v>1166</v>
      </c>
      <c r="J1440" s="22">
        <v>675</v>
      </c>
    </row>
    <row r="1441" s="22" customFormat="1" spans="2:10">
      <c r="B1441" s="22">
        <v>11438</v>
      </c>
      <c r="C1441" s="29" t="s">
        <v>1165</v>
      </c>
      <c r="E1441" s="28">
        <v>590</v>
      </c>
      <c r="F1441" s="22" t="s">
        <v>293</v>
      </c>
      <c r="I1441" s="28" t="s">
        <v>1166</v>
      </c>
      <c r="J1441" s="22">
        <v>690</v>
      </c>
    </row>
    <row r="1442" s="22" customFormat="1" spans="2:10">
      <c r="B1442" s="22">
        <v>11439</v>
      </c>
      <c r="C1442" s="29" t="s">
        <v>1165</v>
      </c>
      <c r="E1442" s="28">
        <v>605</v>
      </c>
      <c r="F1442" s="22" t="s">
        <v>294</v>
      </c>
      <c r="I1442" s="28" t="s">
        <v>1166</v>
      </c>
      <c r="J1442" s="22">
        <v>705</v>
      </c>
    </row>
    <row r="1443" s="22" customFormat="1" spans="2:10">
      <c r="B1443" s="22">
        <v>11440</v>
      </c>
      <c r="C1443" s="29" t="s">
        <v>1165</v>
      </c>
      <c r="E1443" s="28">
        <v>620</v>
      </c>
      <c r="F1443" s="22" t="s">
        <v>295</v>
      </c>
      <c r="I1443" s="28" t="s">
        <v>1166</v>
      </c>
      <c r="J1443" s="22">
        <v>720</v>
      </c>
    </row>
    <row r="1444" s="22" customFormat="1" spans="2:10">
      <c r="B1444" s="22">
        <v>11441</v>
      </c>
      <c r="C1444" s="29" t="s">
        <v>1165</v>
      </c>
      <c r="E1444" s="28">
        <v>635</v>
      </c>
      <c r="F1444" s="22" t="s">
        <v>296</v>
      </c>
      <c r="I1444" s="28" t="s">
        <v>1166</v>
      </c>
      <c r="J1444" s="22">
        <v>735</v>
      </c>
    </row>
    <row r="1445" s="22" customFormat="1" spans="2:10">
      <c r="B1445" s="22">
        <v>11442</v>
      </c>
      <c r="C1445" s="29" t="s">
        <v>1165</v>
      </c>
      <c r="E1445" s="28">
        <v>650</v>
      </c>
      <c r="F1445" s="22" t="s">
        <v>297</v>
      </c>
      <c r="I1445" s="28" t="s">
        <v>1166</v>
      </c>
      <c r="J1445" s="22">
        <v>750</v>
      </c>
    </row>
    <row r="1446" s="22" customFormat="1" spans="2:10">
      <c r="B1446" s="22">
        <v>11443</v>
      </c>
      <c r="C1446" s="29" t="s">
        <v>1165</v>
      </c>
      <c r="E1446" s="28">
        <v>665</v>
      </c>
      <c r="F1446" s="22" t="s">
        <v>298</v>
      </c>
      <c r="I1446" s="28" t="s">
        <v>1166</v>
      </c>
      <c r="J1446" s="22">
        <v>765</v>
      </c>
    </row>
    <row r="1447" s="22" customFormat="1" spans="2:10">
      <c r="B1447" s="22">
        <v>11444</v>
      </c>
      <c r="C1447" s="29" t="s">
        <v>1165</v>
      </c>
      <c r="E1447" s="28">
        <v>680</v>
      </c>
      <c r="F1447" s="22" t="s">
        <v>299</v>
      </c>
      <c r="I1447" s="28" t="s">
        <v>1166</v>
      </c>
      <c r="J1447" s="22">
        <v>780</v>
      </c>
    </row>
    <row r="1448" s="22" customFormat="1" spans="2:10">
      <c r="B1448" s="22">
        <v>11445</v>
      </c>
      <c r="C1448" s="29" t="s">
        <v>1165</v>
      </c>
      <c r="E1448" s="28">
        <v>695</v>
      </c>
      <c r="F1448" s="22" t="s">
        <v>300</v>
      </c>
      <c r="I1448" s="28" t="s">
        <v>1166</v>
      </c>
      <c r="J1448" s="22">
        <v>795</v>
      </c>
    </row>
    <row r="1449" s="22" customFormat="1" spans="2:10">
      <c r="B1449" s="22">
        <v>11446</v>
      </c>
      <c r="C1449" s="29" t="s">
        <v>1165</v>
      </c>
      <c r="E1449" s="28">
        <v>710</v>
      </c>
      <c r="F1449" s="22" t="s">
        <v>301</v>
      </c>
      <c r="I1449" s="28" t="s">
        <v>1166</v>
      </c>
      <c r="J1449" s="22">
        <v>810</v>
      </c>
    </row>
    <row r="1450" s="22" customFormat="1" spans="2:10">
      <c r="B1450" s="22">
        <v>11447</v>
      </c>
      <c r="C1450" s="29" t="s">
        <v>1165</v>
      </c>
      <c r="E1450" s="28">
        <v>725</v>
      </c>
      <c r="F1450" s="22" t="s">
        <v>302</v>
      </c>
      <c r="I1450" s="28" t="s">
        <v>1166</v>
      </c>
      <c r="J1450" s="22">
        <v>825</v>
      </c>
    </row>
    <row r="1451" s="22" customFormat="1" spans="2:10">
      <c r="B1451" s="22">
        <v>11448</v>
      </c>
      <c r="C1451" s="29" t="s">
        <v>1165</v>
      </c>
      <c r="E1451" s="28">
        <v>740</v>
      </c>
      <c r="F1451" s="22" t="s">
        <v>303</v>
      </c>
      <c r="I1451" s="28" t="s">
        <v>1166</v>
      </c>
      <c r="J1451" s="22">
        <v>840</v>
      </c>
    </row>
    <row r="1452" s="22" customFormat="1" spans="2:10">
      <c r="B1452" s="22">
        <v>11449</v>
      </c>
      <c r="C1452" s="29" t="s">
        <v>1165</v>
      </c>
      <c r="E1452" s="28">
        <v>755</v>
      </c>
      <c r="F1452" s="22" t="s">
        <v>304</v>
      </c>
      <c r="I1452" s="28" t="s">
        <v>1166</v>
      </c>
      <c r="J1452" s="22">
        <v>855</v>
      </c>
    </row>
    <row r="1453" spans="2:10">
      <c r="B1453" s="22">
        <v>11450</v>
      </c>
      <c r="C1453" s="29" t="s">
        <v>1165</v>
      </c>
      <c r="E1453" s="28">
        <v>770</v>
      </c>
      <c r="F1453" s="22" t="s">
        <v>305</v>
      </c>
      <c r="I1453" s="28" t="s">
        <v>1166</v>
      </c>
      <c r="J1453" s="22">
        <v>870</v>
      </c>
    </row>
    <row r="1454" spans="2:10">
      <c r="B1454" s="22">
        <v>11451</v>
      </c>
      <c r="C1454" s="29" t="s">
        <v>1165</v>
      </c>
      <c r="E1454" s="28">
        <v>785</v>
      </c>
      <c r="F1454" s="22" t="s">
        <v>306</v>
      </c>
      <c r="I1454" s="28" t="s">
        <v>1166</v>
      </c>
      <c r="J1454" s="22">
        <v>885</v>
      </c>
    </row>
    <row r="1455" spans="2:10">
      <c r="B1455" s="2">
        <v>11452</v>
      </c>
      <c r="C1455" s="6" t="s">
        <v>1167</v>
      </c>
      <c r="D1455" s="2" t="s">
        <v>13</v>
      </c>
      <c r="E1455" s="4">
        <v>30</v>
      </c>
      <c r="F1455" s="2" t="s">
        <v>361</v>
      </c>
      <c r="G1455" s="2" t="s">
        <v>1168</v>
      </c>
      <c r="I1455" s="4" t="s">
        <v>1169</v>
      </c>
      <c r="J1455" s="2" t="s">
        <v>1170</v>
      </c>
    </row>
    <row r="1456" spans="2:10">
      <c r="B1456" s="2">
        <v>11453</v>
      </c>
      <c r="C1456" s="6" t="s">
        <v>1167</v>
      </c>
      <c r="D1456" s="2" t="s">
        <v>17</v>
      </c>
      <c r="E1456" s="4">
        <v>43</v>
      </c>
      <c r="F1456" s="2" t="s">
        <v>365</v>
      </c>
      <c r="G1456" s="2" t="s">
        <v>1171</v>
      </c>
      <c r="I1456" s="4" t="s">
        <v>1169</v>
      </c>
      <c r="J1456" s="2" t="s">
        <v>1172</v>
      </c>
    </row>
    <row r="1457" spans="2:10">
      <c r="B1457" s="2">
        <v>11454</v>
      </c>
      <c r="C1457" s="6" t="s">
        <v>1167</v>
      </c>
      <c r="D1457" s="2" t="s">
        <v>20</v>
      </c>
      <c r="E1457" s="4">
        <v>56</v>
      </c>
      <c r="F1457" s="2" t="s">
        <v>367</v>
      </c>
      <c r="G1457" s="2" t="s">
        <v>1173</v>
      </c>
      <c r="I1457" s="4" t="s">
        <v>1169</v>
      </c>
      <c r="J1457" s="2" t="s">
        <v>1174</v>
      </c>
    </row>
    <row r="1458" spans="2:10">
      <c r="B1458" s="2">
        <v>11455</v>
      </c>
      <c r="C1458" s="6" t="s">
        <v>1167</v>
      </c>
      <c r="D1458" s="2" t="s">
        <v>23</v>
      </c>
      <c r="E1458" s="4">
        <v>69</v>
      </c>
      <c r="F1458" s="2" t="s">
        <v>369</v>
      </c>
      <c r="G1458" s="2" t="s">
        <v>1175</v>
      </c>
      <c r="I1458" s="4" t="s">
        <v>1169</v>
      </c>
      <c r="J1458" s="2" t="s">
        <v>1176</v>
      </c>
    </row>
    <row r="1459" spans="2:10">
      <c r="B1459" s="2">
        <v>11456</v>
      </c>
      <c r="C1459" s="6" t="s">
        <v>1167</v>
      </c>
      <c r="D1459" s="2" t="s">
        <v>26</v>
      </c>
      <c r="E1459" s="4">
        <v>82</v>
      </c>
      <c r="F1459" s="2" t="s">
        <v>371</v>
      </c>
      <c r="G1459" s="2" t="s">
        <v>1177</v>
      </c>
      <c r="I1459" s="4" t="s">
        <v>1169</v>
      </c>
      <c r="J1459" s="2" t="s">
        <v>1178</v>
      </c>
    </row>
    <row r="1460" spans="2:10">
      <c r="B1460" s="2">
        <v>11457</v>
      </c>
      <c r="C1460" s="6" t="s">
        <v>1167</v>
      </c>
      <c r="D1460" s="2" t="s">
        <v>29</v>
      </c>
      <c r="E1460" s="4">
        <v>95</v>
      </c>
      <c r="F1460" s="2" t="s">
        <v>373</v>
      </c>
      <c r="G1460" s="2" t="s">
        <v>1179</v>
      </c>
      <c r="I1460" s="4" t="s">
        <v>1169</v>
      </c>
      <c r="J1460" s="2" t="s">
        <v>1180</v>
      </c>
    </row>
    <row r="1461" spans="2:10">
      <c r="B1461" s="2">
        <v>11458</v>
      </c>
      <c r="C1461" s="6" t="s">
        <v>1167</v>
      </c>
      <c r="D1461" s="2" t="s">
        <v>32</v>
      </c>
      <c r="E1461" s="4">
        <v>108</v>
      </c>
      <c r="F1461" s="2" t="s">
        <v>375</v>
      </c>
      <c r="G1461" s="2" t="s">
        <v>1181</v>
      </c>
      <c r="I1461" s="4" t="s">
        <v>1169</v>
      </c>
      <c r="J1461" s="2" t="s">
        <v>1182</v>
      </c>
    </row>
    <row r="1462" spans="2:10">
      <c r="B1462" s="2">
        <v>11459</v>
      </c>
      <c r="C1462" s="6" t="s">
        <v>1167</v>
      </c>
      <c r="D1462" s="2" t="s">
        <v>35</v>
      </c>
      <c r="E1462" s="4">
        <v>121</v>
      </c>
      <c r="F1462" s="2" t="s">
        <v>377</v>
      </c>
      <c r="G1462" s="2" t="s">
        <v>1183</v>
      </c>
      <c r="I1462" s="4" t="s">
        <v>1169</v>
      </c>
      <c r="J1462" s="2" t="s">
        <v>1184</v>
      </c>
    </row>
    <row r="1463" spans="2:10">
      <c r="B1463" s="2">
        <v>11460</v>
      </c>
      <c r="C1463" s="6" t="s">
        <v>1167</v>
      </c>
      <c r="D1463" s="2" t="s">
        <v>38</v>
      </c>
      <c r="E1463" s="4">
        <v>134</v>
      </c>
      <c r="F1463" s="2" t="s">
        <v>379</v>
      </c>
      <c r="G1463" s="2" t="s">
        <v>1185</v>
      </c>
      <c r="I1463" s="4" t="s">
        <v>1169</v>
      </c>
      <c r="J1463" s="2" t="s">
        <v>1186</v>
      </c>
    </row>
    <row r="1464" spans="2:10">
      <c r="B1464" s="2">
        <v>11461</v>
      </c>
      <c r="C1464" s="6" t="s">
        <v>1167</v>
      </c>
      <c r="D1464" s="2" t="s">
        <v>41</v>
      </c>
      <c r="E1464" s="4">
        <v>147</v>
      </c>
      <c r="F1464" s="2" t="s">
        <v>381</v>
      </c>
      <c r="G1464" s="2" t="s">
        <v>1187</v>
      </c>
      <c r="I1464" s="4" t="s">
        <v>1169</v>
      </c>
      <c r="J1464" s="2" t="s">
        <v>1188</v>
      </c>
    </row>
    <row r="1465" spans="2:10">
      <c r="B1465" s="2">
        <v>11462</v>
      </c>
      <c r="C1465" s="6" t="s">
        <v>1167</v>
      </c>
      <c r="D1465" s="2" t="s">
        <v>44</v>
      </c>
      <c r="E1465" s="4">
        <v>160</v>
      </c>
      <c r="F1465" s="2" t="s">
        <v>383</v>
      </c>
      <c r="G1465" s="2" t="s">
        <v>1189</v>
      </c>
      <c r="I1465" s="4" t="s">
        <v>1169</v>
      </c>
      <c r="J1465" s="2" t="s">
        <v>1190</v>
      </c>
    </row>
    <row r="1466" spans="2:10">
      <c r="B1466" s="2">
        <v>11463</v>
      </c>
      <c r="C1466" s="6" t="s">
        <v>1167</v>
      </c>
      <c r="D1466" s="2" t="s">
        <v>47</v>
      </c>
      <c r="E1466" s="4">
        <v>173</v>
      </c>
      <c r="F1466" s="2" t="s">
        <v>385</v>
      </c>
      <c r="G1466" s="2" t="s">
        <v>1191</v>
      </c>
      <c r="I1466" s="4" t="s">
        <v>1169</v>
      </c>
      <c r="J1466" s="2" t="s">
        <v>1192</v>
      </c>
    </row>
    <row r="1467" spans="2:10">
      <c r="B1467" s="2">
        <v>11464</v>
      </c>
      <c r="C1467" s="6" t="s">
        <v>1167</v>
      </c>
      <c r="D1467" s="2" t="s">
        <v>50</v>
      </c>
      <c r="E1467" s="4">
        <v>186</v>
      </c>
      <c r="F1467" s="2" t="s">
        <v>387</v>
      </c>
      <c r="G1467" s="2" t="s">
        <v>1193</v>
      </c>
      <c r="I1467" s="4" t="s">
        <v>1169</v>
      </c>
      <c r="J1467" s="2" t="s">
        <v>1194</v>
      </c>
    </row>
    <row r="1468" spans="2:10">
      <c r="B1468" s="2">
        <v>11465</v>
      </c>
      <c r="C1468" s="6" t="s">
        <v>1167</v>
      </c>
      <c r="D1468" s="2" t="s">
        <v>53</v>
      </c>
      <c r="E1468" s="4">
        <v>199</v>
      </c>
      <c r="F1468" s="2" t="s">
        <v>389</v>
      </c>
      <c r="G1468" s="2" t="s">
        <v>1195</v>
      </c>
      <c r="I1468" s="4" t="s">
        <v>1169</v>
      </c>
      <c r="J1468" s="2" t="s">
        <v>1196</v>
      </c>
    </row>
    <row r="1469" spans="2:10">
      <c r="B1469" s="2">
        <v>11466</v>
      </c>
      <c r="C1469" s="6" t="s">
        <v>1167</v>
      </c>
      <c r="D1469" s="2" t="s">
        <v>56</v>
      </c>
      <c r="E1469" s="4">
        <v>212</v>
      </c>
      <c r="F1469" s="2" t="s">
        <v>391</v>
      </c>
      <c r="G1469" s="2" t="s">
        <v>1197</v>
      </c>
      <c r="I1469" s="4" t="s">
        <v>1169</v>
      </c>
      <c r="J1469" s="2" t="s">
        <v>1198</v>
      </c>
    </row>
    <row r="1470" spans="2:10">
      <c r="B1470" s="2">
        <v>11467</v>
      </c>
      <c r="C1470" s="6" t="s">
        <v>1167</v>
      </c>
      <c r="D1470" s="2" t="s">
        <v>59</v>
      </c>
      <c r="E1470" s="4">
        <v>225</v>
      </c>
      <c r="F1470" s="2" t="s">
        <v>393</v>
      </c>
      <c r="G1470" s="2" t="s">
        <v>1199</v>
      </c>
      <c r="I1470" s="4" t="s">
        <v>1169</v>
      </c>
      <c r="J1470" s="2" t="s">
        <v>1200</v>
      </c>
    </row>
    <row r="1471" spans="2:10">
      <c r="B1471" s="2">
        <v>11468</v>
      </c>
      <c r="C1471" s="6" t="s">
        <v>1167</v>
      </c>
      <c r="D1471" s="2" t="s">
        <v>62</v>
      </c>
      <c r="E1471" s="4">
        <v>238</v>
      </c>
      <c r="F1471" s="2" t="s">
        <v>395</v>
      </c>
      <c r="G1471" s="2" t="s">
        <v>1201</v>
      </c>
      <c r="I1471" s="4" t="s">
        <v>1169</v>
      </c>
      <c r="J1471" s="2" t="s">
        <v>1202</v>
      </c>
    </row>
    <row r="1472" spans="2:10">
      <c r="B1472" s="2">
        <v>11469</v>
      </c>
      <c r="C1472" s="6" t="s">
        <v>1167</v>
      </c>
      <c r="D1472" s="2" t="s">
        <v>65</v>
      </c>
      <c r="E1472" s="4">
        <v>251</v>
      </c>
      <c r="F1472" s="2" t="s">
        <v>397</v>
      </c>
      <c r="G1472" s="2" t="s">
        <v>1203</v>
      </c>
      <c r="I1472" s="4" t="s">
        <v>1169</v>
      </c>
      <c r="J1472" s="2" t="s">
        <v>1204</v>
      </c>
    </row>
    <row r="1473" spans="2:10">
      <c r="B1473" s="2">
        <v>11470</v>
      </c>
      <c r="C1473" s="6" t="s">
        <v>1167</v>
      </c>
      <c r="D1473" s="2" t="s">
        <v>68</v>
      </c>
      <c r="E1473" s="4">
        <v>264</v>
      </c>
      <c r="F1473" s="2" t="s">
        <v>399</v>
      </c>
      <c r="G1473" s="2" t="s">
        <v>1205</v>
      </c>
      <c r="I1473" s="4" t="s">
        <v>1169</v>
      </c>
      <c r="J1473" s="2" t="s">
        <v>1206</v>
      </c>
    </row>
    <row r="1474" spans="2:10">
      <c r="B1474" s="2">
        <v>11471</v>
      </c>
      <c r="C1474" s="6" t="s">
        <v>1167</v>
      </c>
      <c r="D1474" s="2" t="s">
        <v>71</v>
      </c>
      <c r="E1474" s="4">
        <v>277</v>
      </c>
      <c r="F1474" s="2" t="s">
        <v>401</v>
      </c>
      <c r="G1474" s="2" t="s">
        <v>1207</v>
      </c>
      <c r="I1474" s="4" t="s">
        <v>1169</v>
      </c>
      <c r="J1474" s="2" t="s">
        <v>1208</v>
      </c>
    </row>
    <row r="1475" spans="2:10">
      <c r="B1475" s="2">
        <v>11472</v>
      </c>
      <c r="C1475" s="6" t="s">
        <v>1167</v>
      </c>
      <c r="D1475" s="2" t="s">
        <v>74</v>
      </c>
      <c r="E1475" s="4">
        <v>290</v>
      </c>
      <c r="F1475" s="2" t="s">
        <v>403</v>
      </c>
      <c r="G1475" s="2" t="s">
        <v>1209</v>
      </c>
      <c r="I1475" s="4" t="s">
        <v>1169</v>
      </c>
      <c r="J1475" s="2" t="s">
        <v>1210</v>
      </c>
    </row>
    <row r="1476" spans="2:10">
      <c r="B1476" s="2">
        <v>11473</v>
      </c>
      <c r="C1476" s="6" t="s">
        <v>1167</v>
      </c>
      <c r="D1476" s="2" t="s">
        <v>77</v>
      </c>
      <c r="E1476" s="4">
        <v>303</v>
      </c>
      <c r="F1476" s="2" t="s">
        <v>405</v>
      </c>
      <c r="G1476" s="2" t="s">
        <v>1211</v>
      </c>
      <c r="I1476" s="4" t="s">
        <v>1169</v>
      </c>
      <c r="J1476" s="2" t="s">
        <v>1212</v>
      </c>
    </row>
    <row r="1477" spans="2:10">
      <c r="B1477" s="2">
        <v>11474</v>
      </c>
      <c r="C1477" s="6" t="s">
        <v>1167</v>
      </c>
      <c r="D1477" s="2" t="s">
        <v>80</v>
      </c>
      <c r="E1477" s="4">
        <v>316</v>
      </c>
      <c r="F1477" s="2" t="s">
        <v>407</v>
      </c>
      <c r="G1477" s="2" t="s">
        <v>1213</v>
      </c>
      <c r="I1477" s="4" t="s">
        <v>1169</v>
      </c>
      <c r="J1477" s="2" t="s">
        <v>1214</v>
      </c>
    </row>
    <row r="1478" spans="2:10">
      <c r="B1478" s="2">
        <v>11475</v>
      </c>
      <c r="C1478" s="6" t="s">
        <v>1167</v>
      </c>
      <c r="D1478" s="2" t="s">
        <v>83</v>
      </c>
      <c r="E1478" s="4">
        <v>329</v>
      </c>
      <c r="F1478" s="2" t="s">
        <v>409</v>
      </c>
      <c r="G1478" s="2" t="s">
        <v>1215</v>
      </c>
      <c r="I1478" s="4" t="s">
        <v>1169</v>
      </c>
      <c r="J1478" s="2" t="s">
        <v>1216</v>
      </c>
    </row>
    <row r="1479" spans="2:10">
      <c r="B1479" s="2">
        <v>11476</v>
      </c>
      <c r="C1479" s="6" t="s">
        <v>1167</v>
      </c>
      <c r="D1479" s="2" t="s">
        <v>86</v>
      </c>
      <c r="E1479" s="4">
        <v>342</v>
      </c>
      <c r="F1479" s="2" t="s">
        <v>411</v>
      </c>
      <c r="G1479" s="2" t="s">
        <v>1217</v>
      </c>
      <c r="I1479" s="4" t="s">
        <v>1169</v>
      </c>
      <c r="J1479" s="2" t="s">
        <v>1218</v>
      </c>
    </row>
    <row r="1480" spans="2:10">
      <c r="B1480" s="2">
        <v>11477</v>
      </c>
      <c r="C1480" s="6" t="s">
        <v>1167</v>
      </c>
      <c r="D1480" s="2" t="s">
        <v>89</v>
      </c>
      <c r="E1480" s="4">
        <v>355</v>
      </c>
      <c r="F1480" s="2" t="s">
        <v>413</v>
      </c>
      <c r="G1480" s="2" t="s">
        <v>1219</v>
      </c>
      <c r="I1480" s="4" t="s">
        <v>1169</v>
      </c>
      <c r="J1480" s="2" t="s">
        <v>1220</v>
      </c>
    </row>
    <row r="1481" spans="2:10">
      <c r="B1481" s="2">
        <v>11478</v>
      </c>
      <c r="C1481" s="6" t="s">
        <v>1167</v>
      </c>
      <c r="D1481" s="2" t="s">
        <v>92</v>
      </c>
      <c r="E1481" s="4">
        <v>368</v>
      </c>
      <c r="F1481" s="2" t="s">
        <v>415</v>
      </c>
      <c r="G1481" s="2" t="s">
        <v>1221</v>
      </c>
      <c r="I1481" s="4" t="s">
        <v>1169</v>
      </c>
      <c r="J1481" s="2" t="s">
        <v>1222</v>
      </c>
    </row>
    <row r="1482" spans="2:10">
      <c r="B1482" s="2">
        <v>11479</v>
      </c>
      <c r="C1482" s="6" t="s">
        <v>1167</v>
      </c>
      <c r="D1482" s="2" t="s">
        <v>95</v>
      </c>
      <c r="E1482" s="4">
        <v>381</v>
      </c>
      <c r="F1482" s="2" t="s">
        <v>417</v>
      </c>
      <c r="G1482" s="2" t="s">
        <v>1223</v>
      </c>
      <c r="I1482" s="4" t="s">
        <v>1169</v>
      </c>
      <c r="J1482" s="2" t="s">
        <v>1224</v>
      </c>
    </row>
    <row r="1483" spans="2:10">
      <c r="B1483" s="2">
        <v>11480</v>
      </c>
      <c r="C1483" s="6" t="s">
        <v>1167</v>
      </c>
      <c r="D1483" s="2" t="s">
        <v>98</v>
      </c>
      <c r="E1483" s="4">
        <v>394</v>
      </c>
      <c r="F1483" s="2" t="s">
        <v>419</v>
      </c>
      <c r="G1483" s="2" t="s">
        <v>1225</v>
      </c>
      <c r="I1483" s="4" t="s">
        <v>1169</v>
      </c>
      <c r="J1483" s="2" t="s">
        <v>1226</v>
      </c>
    </row>
    <row r="1484" spans="2:10">
      <c r="B1484" s="2">
        <v>11481</v>
      </c>
      <c r="C1484" s="6" t="s">
        <v>1167</v>
      </c>
      <c r="D1484" s="2" t="s">
        <v>101</v>
      </c>
      <c r="E1484" s="4">
        <v>407</v>
      </c>
      <c r="F1484" s="2" t="s">
        <v>421</v>
      </c>
      <c r="G1484" s="2" t="s">
        <v>1227</v>
      </c>
      <c r="I1484" s="4" t="s">
        <v>1169</v>
      </c>
      <c r="J1484" s="2" t="s">
        <v>1228</v>
      </c>
    </row>
    <row r="1485" spans="2:10">
      <c r="B1485" s="2">
        <v>11482</v>
      </c>
      <c r="C1485" s="6" t="s">
        <v>1167</v>
      </c>
      <c r="D1485" s="2" t="s">
        <v>104</v>
      </c>
      <c r="E1485" s="4">
        <v>420</v>
      </c>
      <c r="F1485" s="2" t="s">
        <v>423</v>
      </c>
      <c r="G1485" s="2" t="s">
        <v>1229</v>
      </c>
      <c r="I1485" s="4" t="s">
        <v>1169</v>
      </c>
      <c r="J1485" s="2" t="s">
        <v>1230</v>
      </c>
    </row>
    <row r="1486" spans="2:10">
      <c r="B1486" s="2">
        <v>11483</v>
      </c>
      <c r="C1486" s="6" t="s">
        <v>1167</v>
      </c>
      <c r="D1486" s="2" t="s">
        <v>107</v>
      </c>
      <c r="E1486" s="4">
        <v>433</v>
      </c>
      <c r="F1486" s="2" t="s">
        <v>425</v>
      </c>
      <c r="G1486" s="2" t="s">
        <v>1231</v>
      </c>
      <c r="I1486" s="4" t="s">
        <v>1169</v>
      </c>
      <c r="J1486" s="2" t="s">
        <v>1232</v>
      </c>
    </row>
    <row r="1487" spans="2:10">
      <c r="B1487" s="2">
        <v>11484</v>
      </c>
      <c r="C1487" s="6" t="s">
        <v>1167</v>
      </c>
      <c r="D1487" s="2" t="s">
        <v>110</v>
      </c>
      <c r="E1487" s="4">
        <v>446</v>
      </c>
      <c r="F1487" s="2" t="s">
        <v>427</v>
      </c>
      <c r="G1487" s="2" t="s">
        <v>1233</v>
      </c>
      <c r="I1487" s="4" t="s">
        <v>1169</v>
      </c>
      <c r="J1487" s="2" t="s">
        <v>1234</v>
      </c>
    </row>
    <row r="1488" spans="2:10">
      <c r="B1488" s="2">
        <v>11485</v>
      </c>
      <c r="C1488" s="6" t="s">
        <v>1167</v>
      </c>
      <c r="D1488" s="2" t="s">
        <v>113</v>
      </c>
      <c r="E1488" s="4">
        <v>459</v>
      </c>
      <c r="F1488" s="2" t="s">
        <v>429</v>
      </c>
      <c r="G1488" s="2" t="s">
        <v>1235</v>
      </c>
      <c r="I1488" s="4" t="s">
        <v>1169</v>
      </c>
      <c r="J1488" s="2" t="s">
        <v>1236</v>
      </c>
    </row>
    <row r="1489" spans="2:10">
      <c r="B1489" s="2">
        <v>11486</v>
      </c>
      <c r="C1489" s="6" t="s">
        <v>1167</v>
      </c>
      <c r="D1489" s="2" t="s">
        <v>116</v>
      </c>
      <c r="E1489" s="4">
        <v>472</v>
      </c>
      <c r="F1489" s="2" t="s">
        <v>431</v>
      </c>
      <c r="G1489" s="2" t="s">
        <v>1237</v>
      </c>
      <c r="I1489" s="4" t="s">
        <v>1169</v>
      </c>
      <c r="J1489" s="2" t="s">
        <v>1238</v>
      </c>
    </row>
    <row r="1490" spans="2:10">
      <c r="B1490" s="2">
        <v>11487</v>
      </c>
      <c r="C1490" s="6" t="s">
        <v>1167</v>
      </c>
      <c r="D1490" s="2" t="s">
        <v>119</v>
      </c>
      <c r="E1490" s="4">
        <v>485</v>
      </c>
      <c r="F1490" s="2" t="s">
        <v>433</v>
      </c>
      <c r="G1490" s="2" t="s">
        <v>1239</v>
      </c>
      <c r="I1490" s="4" t="s">
        <v>1169</v>
      </c>
      <c r="J1490" s="2" t="s">
        <v>1240</v>
      </c>
    </row>
    <row r="1491" spans="2:10">
      <c r="B1491" s="2">
        <v>11488</v>
      </c>
      <c r="C1491" s="6" t="s">
        <v>1167</v>
      </c>
      <c r="D1491" s="2" t="s">
        <v>122</v>
      </c>
      <c r="E1491" s="4">
        <v>498</v>
      </c>
      <c r="F1491" s="2" t="s">
        <v>435</v>
      </c>
      <c r="G1491" s="2" t="s">
        <v>1241</v>
      </c>
      <c r="I1491" s="4" t="s">
        <v>1169</v>
      </c>
      <c r="J1491" s="2" t="s">
        <v>1242</v>
      </c>
    </row>
    <row r="1492" spans="2:10">
      <c r="B1492" s="2">
        <v>11489</v>
      </c>
      <c r="C1492" s="6" t="s">
        <v>1167</v>
      </c>
      <c r="D1492" s="2" t="s">
        <v>125</v>
      </c>
      <c r="E1492" s="4">
        <v>511</v>
      </c>
      <c r="F1492" s="2" t="s">
        <v>437</v>
      </c>
      <c r="G1492" s="2" t="s">
        <v>1243</v>
      </c>
      <c r="I1492" s="4" t="s">
        <v>1169</v>
      </c>
      <c r="J1492" s="2" t="s">
        <v>1244</v>
      </c>
    </row>
    <row r="1493" spans="2:10">
      <c r="B1493" s="2">
        <v>11490</v>
      </c>
      <c r="C1493" s="6" t="s">
        <v>1167</v>
      </c>
      <c r="D1493" s="2" t="s">
        <v>128</v>
      </c>
      <c r="E1493" s="4">
        <v>524</v>
      </c>
      <c r="F1493" s="2" t="s">
        <v>439</v>
      </c>
      <c r="G1493" s="2" t="s">
        <v>1245</v>
      </c>
      <c r="I1493" s="4" t="s">
        <v>1169</v>
      </c>
      <c r="J1493" s="2" t="s">
        <v>1246</v>
      </c>
    </row>
    <row r="1494" spans="2:10">
      <c r="B1494" s="2">
        <v>11491</v>
      </c>
      <c r="C1494" s="6" t="s">
        <v>1167</v>
      </c>
      <c r="D1494" s="2" t="s">
        <v>131</v>
      </c>
      <c r="E1494" s="4">
        <v>537</v>
      </c>
      <c r="F1494" s="2" t="s">
        <v>441</v>
      </c>
      <c r="G1494" s="2" t="s">
        <v>1247</v>
      </c>
      <c r="I1494" s="4" t="s">
        <v>1169</v>
      </c>
      <c r="J1494" s="2" t="s">
        <v>1248</v>
      </c>
    </row>
    <row r="1495" spans="2:10">
      <c r="B1495" s="2">
        <v>11492</v>
      </c>
      <c r="C1495" s="6" t="s">
        <v>1167</v>
      </c>
      <c r="D1495" s="2" t="s">
        <v>134</v>
      </c>
      <c r="E1495" s="4">
        <v>550</v>
      </c>
      <c r="F1495" s="2" t="s">
        <v>443</v>
      </c>
      <c r="G1495" s="2" t="s">
        <v>1249</v>
      </c>
      <c r="I1495" s="4" t="s">
        <v>1169</v>
      </c>
      <c r="J1495" s="2" t="s">
        <v>1250</v>
      </c>
    </row>
    <row r="1496" spans="2:10">
      <c r="B1496" s="2">
        <v>11493</v>
      </c>
      <c r="C1496" s="6" t="s">
        <v>1167</v>
      </c>
      <c r="D1496" s="2" t="s">
        <v>137</v>
      </c>
      <c r="E1496" s="4">
        <v>563</v>
      </c>
      <c r="F1496" s="2" t="s">
        <v>445</v>
      </c>
      <c r="G1496" s="2" t="s">
        <v>1251</v>
      </c>
      <c r="I1496" s="4" t="s">
        <v>1169</v>
      </c>
      <c r="J1496" s="2" t="s">
        <v>1252</v>
      </c>
    </row>
    <row r="1497" spans="2:10">
      <c r="B1497" s="2">
        <v>11494</v>
      </c>
      <c r="C1497" s="6" t="s">
        <v>1167</v>
      </c>
      <c r="D1497" s="2" t="s">
        <v>140</v>
      </c>
      <c r="E1497" s="4">
        <v>576</v>
      </c>
      <c r="F1497" s="2" t="s">
        <v>447</v>
      </c>
      <c r="G1497" s="2" t="s">
        <v>1253</v>
      </c>
      <c r="I1497" s="4" t="s">
        <v>1169</v>
      </c>
      <c r="J1497" s="2" t="s">
        <v>1254</v>
      </c>
    </row>
    <row r="1498" spans="2:10">
      <c r="B1498" s="2">
        <v>11495</v>
      </c>
      <c r="C1498" s="6" t="s">
        <v>1167</v>
      </c>
      <c r="D1498" s="2" t="s">
        <v>143</v>
      </c>
      <c r="E1498" s="4">
        <v>589</v>
      </c>
      <c r="F1498" s="2" t="s">
        <v>449</v>
      </c>
      <c r="G1498" s="2" t="s">
        <v>1255</v>
      </c>
      <c r="I1498" s="4" t="s">
        <v>1169</v>
      </c>
      <c r="J1498" s="2" t="s">
        <v>1256</v>
      </c>
    </row>
    <row r="1499" spans="2:10">
      <c r="B1499" s="2">
        <v>11496</v>
      </c>
      <c r="C1499" s="6" t="s">
        <v>1167</v>
      </c>
      <c r="D1499" s="2" t="s">
        <v>146</v>
      </c>
      <c r="E1499" s="4">
        <v>602</v>
      </c>
      <c r="F1499" s="2" t="s">
        <v>451</v>
      </c>
      <c r="G1499" s="2" t="s">
        <v>1257</v>
      </c>
      <c r="I1499" s="4" t="s">
        <v>1169</v>
      </c>
      <c r="J1499" s="2" t="s">
        <v>1258</v>
      </c>
    </row>
    <row r="1500" spans="2:10">
      <c r="B1500" s="2">
        <v>11497</v>
      </c>
      <c r="C1500" s="6" t="s">
        <v>1167</v>
      </c>
      <c r="D1500" s="2" t="s">
        <v>149</v>
      </c>
      <c r="E1500" s="4">
        <v>615</v>
      </c>
      <c r="F1500" s="2" t="s">
        <v>453</v>
      </c>
      <c r="G1500" s="2" t="s">
        <v>1259</v>
      </c>
      <c r="I1500" s="4" t="s">
        <v>1169</v>
      </c>
      <c r="J1500" s="2" t="s">
        <v>1260</v>
      </c>
    </row>
    <row r="1501" spans="2:10">
      <c r="B1501" s="2">
        <v>11498</v>
      </c>
      <c r="C1501" s="6" t="s">
        <v>1167</v>
      </c>
      <c r="D1501" s="2" t="s">
        <v>152</v>
      </c>
      <c r="E1501" s="4">
        <v>628</v>
      </c>
      <c r="F1501" s="2" t="s">
        <v>455</v>
      </c>
      <c r="G1501" s="2" t="s">
        <v>1261</v>
      </c>
      <c r="I1501" s="4" t="s">
        <v>1169</v>
      </c>
      <c r="J1501" s="2" t="s">
        <v>1262</v>
      </c>
    </row>
    <row r="1502" spans="2:10">
      <c r="B1502" s="2">
        <v>11499</v>
      </c>
      <c r="C1502" s="6" t="s">
        <v>1167</v>
      </c>
      <c r="D1502" s="2" t="s">
        <v>155</v>
      </c>
      <c r="E1502" s="4">
        <v>640.999999999999</v>
      </c>
      <c r="F1502" s="2" t="s">
        <v>457</v>
      </c>
      <c r="G1502" s="2" t="s">
        <v>1263</v>
      </c>
      <c r="I1502" s="4" t="s">
        <v>1169</v>
      </c>
      <c r="J1502" s="2" t="s">
        <v>1264</v>
      </c>
    </row>
    <row r="1503" spans="2:10">
      <c r="B1503" s="2">
        <v>11500</v>
      </c>
      <c r="C1503" s="6" t="s">
        <v>1167</v>
      </c>
      <c r="D1503" s="2" t="s">
        <v>158</v>
      </c>
      <c r="E1503" s="4">
        <v>653.999999999999</v>
      </c>
      <c r="F1503" s="2" t="s">
        <v>459</v>
      </c>
      <c r="G1503" s="2" t="s">
        <v>1265</v>
      </c>
      <c r="I1503" s="4" t="s">
        <v>1169</v>
      </c>
      <c r="J1503" s="2" t="s">
        <v>1266</v>
      </c>
    </row>
    <row r="1504" spans="2:10">
      <c r="B1504" s="2">
        <v>11501</v>
      </c>
      <c r="C1504" s="6" t="s">
        <v>1167</v>
      </c>
      <c r="D1504" s="2" t="s">
        <v>161</v>
      </c>
      <c r="E1504" s="4">
        <v>666.999999999999</v>
      </c>
      <c r="F1504" s="2" t="s">
        <v>461</v>
      </c>
      <c r="G1504" s="2" t="s">
        <v>1267</v>
      </c>
      <c r="I1504" s="4" t="s">
        <v>1169</v>
      </c>
      <c r="J1504" s="2" t="s">
        <v>1268</v>
      </c>
    </row>
    <row r="1505" spans="2:5">
      <c r="B1505" s="2">
        <v>11502</v>
      </c>
      <c r="C1505" s="6" t="s">
        <v>1269</v>
      </c>
      <c r="D1505" s="2" t="s">
        <v>13</v>
      </c>
      <c r="E1505" s="2">
        <v>100</v>
      </c>
    </row>
    <row r="1506" spans="2:5">
      <c r="B1506" s="2">
        <v>11503</v>
      </c>
      <c r="C1506" s="6" t="s">
        <v>1269</v>
      </c>
      <c r="D1506" s="2" t="s">
        <v>17</v>
      </c>
      <c r="E1506" s="2">
        <v>120</v>
      </c>
    </row>
    <row r="1507" spans="2:5">
      <c r="B1507" s="2">
        <v>11504</v>
      </c>
      <c r="C1507" s="6" t="s">
        <v>1269</v>
      </c>
      <c r="D1507" s="2" t="s">
        <v>20</v>
      </c>
      <c r="E1507" s="2">
        <v>140</v>
      </c>
    </row>
    <row r="1508" spans="2:5">
      <c r="B1508" s="2">
        <v>11505</v>
      </c>
      <c r="C1508" s="6" t="s">
        <v>1269</v>
      </c>
      <c r="D1508" s="2" t="s">
        <v>23</v>
      </c>
      <c r="E1508" s="2">
        <v>160</v>
      </c>
    </row>
    <row r="1509" spans="2:5">
      <c r="B1509" s="2">
        <v>11506</v>
      </c>
      <c r="C1509" s="6" t="s">
        <v>1269</v>
      </c>
      <c r="D1509" s="2" t="s">
        <v>26</v>
      </c>
      <c r="E1509" s="2">
        <v>180</v>
      </c>
    </row>
    <row r="1510" spans="2:5">
      <c r="B1510" s="2">
        <v>11507</v>
      </c>
      <c r="C1510" s="6" t="s">
        <v>1269</v>
      </c>
      <c r="D1510" s="2" t="s">
        <v>29</v>
      </c>
      <c r="E1510" s="2">
        <v>200</v>
      </c>
    </row>
    <row r="1511" spans="2:5">
      <c r="B1511" s="2">
        <v>11508</v>
      </c>
      <c r="C1511" s="6" t="s">
        <v>1269</v>
      </c>
      <c r="D1511" s="2" t="s">
        <v>32</v>
      </c>
      <c r="E1511" s="2">
        <v>220</v>
      </c>
    </row>
    <row r="1512" spans="2:5">
      <c r="B1512" s="2">
        <v>11509</v>
      </c>
      <c r="C1512" s="6" t="s">
        <v>1269</v>
      </c>
      <c r="D1512" s="2" t="s">
        <v>35</v>
      </c>
      <c r="E1512" s="2">
        <v>240</v>
      </c>
    </row>
    <row r="1513" spans="2:5">
      <c r="B1513" s="2">
        <v>11510</v>
      </c>
      <c r="C1513" s="6" t="s">
        <v>1269</v>
      </c>
      <c r="D1513" s="2" t="s">
        <v>38</v>
      </c>
      <c r="E1513" s="2">
        <v>260</v>
      </c>
    </row>
    <row r="1514" spans="2:5">
      <c r="B1514" s="2">
        <v>11511</v>
      </c>
      <c r="C1514" s="6" t="s">
        <v>1269</v>
      </c>
      <c r="D1514" s="2" t="s">
        <v>41</v>
      </c>
      <c r="E1514" s="2">
        <v>280</v>
      </c>
    </row>
    <row r="1515" spans="2:5">
      <c r="B1515" s="2">
        <v>11512</v>
      </c>
      <c r="C1515" s="6" t="s">
        <v>1269</v>
      </c>
      <c r="D1515" s="2" t="s">
        <v>44</v>
      </c>
      <c r="E1515" s="2">
        <v>300</v>
      </c>
    </row>
    <row r="1516" spans="2:5">
      <c r="B1516" s="2">
        <v>11513</v>
      </c>
      <c r="C1516" s="6" t="s">
        <v>1269</v>
      </c>
      <c r="D1516" s="2" t="s">
        <v>47</v>
      </c>
      <c r="E1516" s="2">
        <v>320</v>
      </c>
    </row>
    <row r="1517" spans="2:5">
      <c r="B1517" s="2">
        <v>11514</v>
      </c>
      <c r="C1517" s="6" t="s">
        <v>1269</v>
      </c>
      <c r="D1517" s="2" t="s">
        <v>50</v>
      </c>
      <c r="E1517" s="2">
        <v>340</v>
      </c>
    </row>
    <row r="1518" spans="2:5">
      <c r="B1518" s="2">
        <v>11515</v>
      </c>
      <c r="C1518" s="6" t="s">
        <v>1269</v>
      </c>
      <c r="D1518" s="2" t="s">
        <v>53</v>
      </c>
      <c r="E1518" s="2">
        <v>360</v>
      </c>
    </row>
    <row r="1519" spans="2:5">
      <c r="B1519" s="2">
        <v>11516</v>
      </c>
      <c r="C1519" s="6" t="s">
        <v>1269</v>
      </c>
      <c r="D1519" s="2" t="s">
        <v>56</v>
      </c>
      <c r="E1519" s="2">
        <v>380</v>
      </c>
    </row>
    <row r="1520" spans="2:5">
      <c r="B1520" s="2">
        <v>11517</v>
      </c>
      <c r="C1520" s="6" t="s">
        <v>1269</v>
      </c>
      <c r="D1520" s="2" t="s">
        <v>59</v>
      </c>
      <c r="E1520" s="2">
        <v>400</v>
      </c>
    </row>
    <row r="1521" spans="2:5">
      <c r="B1521" s="2">
        <v>11518</v>
      </c>
      <c r="C1521" s="6" t="s">
        <v>1269</v>
      </c>
      <c r="D1521" s="2" t="s">
        <v>62</v>
      </c>
      <c r="E1521" s="2">
        <v>420</v>
      </c>
    </row>
    <row r="1522" spans="2:5">
      <c r="B1522" s="2">
        <v>11519</v>
      </c>
      <c r="C1522" s="6" t="s">
        <v>1269</v>
      </c>
      <c r="D1522" s="2" t="s">
        <v>65</v>
      </c>
      <c r="E1522" s="2">
        <v>440</v>
      </c>
    </row>
    <row r="1523" spans="2:5">
      <c r="B1523" s="2">
        <v>11520</v>
      </c>
      <c r="C1523" s="6" t="s">
        <v>1269</v>
      </c>
      <c r="D1523" s="2" t="s">
        <v>68</v>
      </c>
      <c r="E1523" s="2">
        <v>460</v>
      </c>
    </row>
    <row r="1524" spans="2:5">
      <c r="B1524" s="2">
        <v>11521</v>
      </c>
      <c r="C1524" s="6" t="s">
        <v>1269</v>
      </c>
      <c r="D1524" s="2" t="s">
        <v>71</v>
      </c>
      <c r="E1524" s="2">
        <v>480</v>
      </c>
    </row>
    <row r="1525" spans="2:5">
      <c r="B1525" s="2">
        <v>11522</v>
      </c>
      <c r="C1525" s="6" t="s">
        <v>1269</v>
      </c>
      <c r="D1525" s="2" t="s">
        <v>74</v>
      </c>
      <c r="E1525" s="2">
        <v>500</v>
      </c>
    </row>
    <row r="1526" spans="2:5">
      <c r="B1526" s="2">
        <v>11523</v>
      </c>
      <c r="C1526" s="6" t="s">
        <v>1269</v>
      </c>
      <c r="D1526" s="2" t="s">
        <v>77</v>
      </c>
      <c r="E1526" s="2">
        <v>520</v>
      </c>
    </row>
    <row r="1527" spans="2:5">
      <c r="B1527" s="2">
        <v>11524</v>
      </c>
      <c r="C1527" s="6" t="s">
        <v>1269</v>
      </c>
      <c r="D1527" s="2" t="s">
        <v>80</v>
      </c>
      <c r="E1527" s="2">
        <v>540</v>
      </c>
    </row>
    <row r="1528" spans="2:5">
      <c r="B1528" s="2">
        <v>11525</v>
      </c>
      <c r="C1528" s="6" t="s">
        <v>1269</v>
      </c>
      <c r="D1528" s="2" t="s">
        <v>83</v>
      </c>
      <c r="E1528" s="2">
        <v>560</v>
      </c>
    </row>
    <row r="1529" spans="2:5">
      <c r="B1529" s="2">
        <v>11526</v>
      </c>
      <c r="C1529" s="6" t="s">
        <v>1269</v>
      </c>
      <c r="D1529" s="2" t="s">
        <v>86</v>
      </c>
      <c r="E1529" s="2">
        <v>580</v>
      </c>
    </row>
    <row r="1530" spans="2:5">
      <c r="B1530" s="2">
        <v>11527</v>
      </c>
      <c r="C1530" s="6" t="s">
        <v>1269</v>
      </c>
      <c r="D1530" s="2" t="s">
        <v>89</v>
      </c>
      <c r="E1530" s="2">
        <v>600</v>
      </c>
    </row>
    <row r="1531" spans="2:5">
      <c r="B1531" s="2">
        <v>11528</v>
      </c>
      <c r="C1531" s="6" t="s">
        <v>1269</v>
      </c>
      <c r="D1531" s="2" t="s">
        <v>92</v>
      </c>
      <c r="E1531" s="2">
        <v>620</v>
      </c>
    </row>
    <row r="1532" spans="2:5">
      <c r="B1532" s="2">
        <v>11529</v>
      </c>
      <c r="C1532" s="6" t="s">
        <v>1269</v>
      </c>
      <c r="D1532" s="2" t="s">
        <v>95</v>
      </c>
      <c r="E1532" s="2">
        <v>640</v>
      </c>
    </row>
    <row r="1533" spans="2:5">
      <c r="B1533" s="2">
        <v>11530</v>
      </c>
      <c r="C1533" s="6" t="s">
        <v>1269</v>
      </c>
      <c r="D1533" s="2" t="s">
        <v>98</v>
      </c>
      <c r="E1533" s="2">
        <v>660</v>
      </c>
    </row>
    <row r="1534" spans="2:5">
      <c r="B1534" s="2">
        <v>11531</v>
      </c>
      <c r="C1534" s="6" t="s">
        <v>1269</v>
      </c>
      <c r="D1534" s="2" t="s">
        <v>101</v>
      </c>
      <c r="E1534" s="2">
        <v>680</v>
      </c>
    </row>
    <row r="1535" spans="2:5">
      <c r="B1535" s="2">
        <v>11532</v>
      </c>
      <c r="C1535" s="6" t="s">
        <v>1269</v>
      </c>
      <c r="D1535" s="2" t="s">
        <v>104</v>
      </c>
      <c r="E1535" s="2">
        <v>700</v>
      </c>
    </row>
    <row r="1536" spans="2:5">
      <c r="B1536" s="2">
        <v>11533</v>
      </c>
      <c r="C1536" s="6" t="s">
        <v>1269</v>
      </c>
      <c r="D1536" s="2" t="s">
        <v>107</v>
      </c>
      <c r="E1536" s="2">
        <v>720</v>
      </c>
    </row>
    <row r="1537" spans="2:5">
      <c r="B1537" s="2">
        <v>11534</v>
      </c>
      <c r="C1537" s="6" t="s">
        <v>1269</v>
      </c>
      <c r="D1537" s="2" t="s">
        <v>110</v>
      </c>
      <c r="E1537" s="2">
        <v>740</v>
      </c>
    </row>
    <row r="1538" spans="2:5">
      <c r="B1538" s="2">
        <v>11535</v>
      </c>
      <c r="C1538" s="6" t="s">
        <v>1269</v>
      </c>
      <c r="D1538" s="2" t="s">
        <v>113</v>
      </c>
      <c r="E1538" s="2">
        <v>760</v>
      </c>
    </row>
    <row r="1539" spans="2:5">
      <c r="B1539" s="2">
        <v>11536</v>
      </c>
      <c r="C1539" s="6" t="s">
        <v>1269</v>
      </c>
      <c r="D1539" s="2" t="s">
        <v>116</v>
      </c>
      <c r="E1539" s="2">
        <v>780</v>
      </c>
    </row>
    <row r="1540" spans="2:5">
      <c r="B1540" s="2">
        <v>11537</v>
      </c>
      <c r="C1540" s="6" t="s">
        <v>1269</v>
      </c>
      <c r="D1540" s="2" t="s">
        <v>119</v>
      </c>
      <c r="E1540" s="2">
        <v>800</v>
      </c>
    </row>
    <row r="1541" spans="2:5">
      <c r="B1541" s="2">
        <v>11538</v>
      </c>
      <c r="C1541" s="6" t="s">
        <v>1269</v>
      </c>
      <c r="D1541" s="2" t="s">
        <v>122</v>
      </c>
      <c r="E1541" s="2">
        <v>820</v>
      </c>
    </row>
    <row r="1542" spans="2:5">
      <c r="B1542" s="2">
        <v>11539</v>
      </c>
      <c r="C1542" s="6" t="s">
        <v>1269</v>
      </c>
      <c r="D1542" s="2" t="s">
        <v>125</v>
      </c>
      <c r="E1542" s="2">
        <v>840</v>
      </c>
    </row>
    <row r="1543" spans="2:5">
      <c r="B1543" s="2">
        <v>11540</v>
      </c>
      <c r="C1543" s="6" t="s">
        <v>1269</v>
      </c>
      <c r="D1543" s="2" t="s">
        <v>128</v>
      </c>
      <c r="E1543" s="2">
        <v>860</v>
      </c>
    </row>
    <row r="1544" spans="2:5">
      <c r="B1544" s="2">
        <v>11541</v>
      </c>
      <c r="C1544" s="6" t="s">
        <v>1269</v>
      </c>
      <c r="D1544" s="2" t="s">
        <v>131</v>
      </c>
      <c r="E1544" s="2">
        <v>880</v>
      </c>
    </row>
    <row r="1545" spans="2:5">
      <c r="B1545" s="2">
        <v>11542</v>
      </c>
      <c r="C1545" s="6" t="s">
        <v>1269</v>
      </c>
      <c r="D1545" s="2" t="s">
        <v>134</v>
      </c>
      <c r="E1545" s="2">
        <v>900</v>
      </c>
    </row>
    <row r="1546" spans="2:5">
      <c r="B1546" s="2">
        <v>11543</v>
      </c>
      <c r="C1546" s="6" t="s">
        <v>1269</v>
      </c>
      <c r="D1546" s="2" t="s">
        <v>137</v>
      </c>
      <c r="E1546" s="2">
        <v>920</v>
      </c>
    </row>
    <row r="1547" spans="2:5">
      <c r="B1547" s="2">
        <v>11544</v>
      </c>
      <c r="C1547" s="6" t="s">
        <v>1269</v>
      </c>
      <c r="D1547" s="2" t="s">
        <v>140</v>
      </c>
      <c r="E1547" s="2">
        <v>940</v>
      </c>
    </row>
    <row r="1548" spans="2:5">
      <c r="B1548" s="2">
        <v>11545</v>
      </c>
      <c r="C1548" s="6" t="s">
        <v>1269</v>
      </c>
      <c r="D1548" s="2" t="s">
        <v>143</v>
      </c>
      <c r="E1548" s="2">
        <v>960</v>
      </c>
    </row>
    <row r="1549" spans="2:5">
      <c r="B1549" s="2">
        <v>11546</v>
      </c>
      <c r="C1549" s="6" t="s">
        <v>1269</v>
      </c>
      <c r="D1549" s="2" t="s">
        <v>146</v>
      </c>
      <c r="E1549" s="2">
        <v>980</v>
      </c>
    </row>
    <row r="1550" spans="2:5">
      <c r="B1550" s="2">
        <v>11547</v>
      </c>
      <c r="C1550" s="6" t="s">
        <v>1269</v>
      </c>
      <c r="D1550" s="2" t="s">
        <v>149</v>
      </c>
      <c r="E1550" s="2">
        <v>1000</v>
      </c>
    </row>
    <row r="1551" spans="2:5">
      <c r="B1551" s="2">
        <v>11548</v>
      </c>
      <c r="C1551" s="6" t="s">
        <v>1269</v>
      </c>
      <c r="D1551" s="2" t="s">
        <v>152</v>
      </c>
      <c r="E1551" s="2">
        <v>1020</v>
      </c>
    </row>
    <row r="1552" spans="2:5">
      <c r="B1552" s="2">
        <v>11549</v>
      </c>
      <c r="C1552" s="6" t="s">
        <v>1269</v>
      </c>
      <c r="D1552" s="2" t="s">
        <v>155</v>
      </c>
      <c r="E1552" s="2">
        <v>1040</v>
      </c>
    </row>
    <row r="1553" spans="2:5">
      <c r="B1553" s="2">
        <v>11550</v>
      </c>
      <c r="C1553" s="6" t="s">
        <v>1269</v>
      </c>
      <c r="D1553" s="2" t="s">
        <v>158</v>
      </c>
      <c r="E1553" s="2">
        <v>1060</v>
      </c>
    </row>
    <row r="1554" spans="2:5">
      <c r="B1554" s="2">
        <v>11551</v>
      </c>
      <c r="C1554" s="6" t="s">
        <v>1269</v>
      </c>
      <c r="D1554" s="2" t="s">
        <v>161</v>
      </c>
      <c r="E1554" s="2">
        <v>1080</v>
      </c>
    </row>
    <row r="1555" spans="2:5">
      <c r="B1555" s="2">
        <v>11552</v>
      </c>
      <c r="C1555" s="6" t="s">
        <v>1270</v>
      </c>
      <c r="D1555" s="2" t="s">
        <v>13</v>
      </c>
      <c r="E1555" s="2">
        <v>100</v>
      </c>
    </row>
    <row r="1556" spans="2:5">
      <c r="B1556" s="2">
        <v>11553</v>
      </c>
      <c r="C1556" s="6" t="s">
        <v>1270</v>
      </c>
      <c r="D1556" s="2" t="s">
        <v>17</v>
      </c>
      <c r="E1556" s="2">
        <v>120</v>
      </c>
    </row>
    <row r="1557" spans="2:5">
      <c r="B1557" s="2">
        <v>11554</v>
      </c>
      <c r="C1557" s="6" t="s">
        <v>1270</v>
      </c>
      <c r="D1557" s="2" t="s">
        <v>20</v>
      </c>
      <c r="E1557" s="2">
        <v>140</v>
      </c>
    </row>
    <row r="1558" spans="2:5">
      <c r="B1558" s="2">
        <v>11555</v>
      </c>
      <c r="C1558" s="6" t="s">
        <v>1270</v>
      </c>
      <c r="D1558" s="2" t="s">
        <v>23</v>
      </c>
      <c r="E1558" s="2">
        <v>160</v>
      </c>
    </row>
    <row r="1559" spans="2:5">
      <c r="B1559" s="2">
        <v>11556</v>
      </c>
      <c r="C1559" s="6" t="s">
        <v>1270</v>
      </c>
      <c r="D1559" s="2" t="s">
        <v>26</v>
      </c>
      <c r="E1559" s="2">
        <v>180</v>
      </c>
    </row>
    <row r="1560" spans="2:5">
      <c r="B1560" s="2">
        <v>11557</v>
      </c>
      <c r="C1560" s="6" t="s">
        <v>1270</v>
      </c>
      <c r="D1560" s="2" t="s">
        <v>29</v>
      </c>
      <c r="E1560" s="2">
        <v>200</v>
      </c>
    </row>
    <row r="1561" spans="2:5">
      <c r="B1561" s="2">
        <v>11558</v>
      </c>
      <c r="C1561" s="6" t="s">
        <v>1270</v>
      </c>
      <c r="D1561" s="2" t="s">
        <v>32</v>
      </c>
      <c r="E1561" s="2">
        <v>220</v>
      </c>
    </row>
    <row r="1562" spans="2:5">
      <c r="B1562" s="2">
        <v>11559</v>
      </c>
      <c r="C1562" s="6" t="s">
        <v>1270</v>
      </c>
      <c r="D1562" s="2" t="s">
        <v>35</v>
      </c>
      <c r="E1562" s="2">
        <v>240</v>
      </c>
    </row>
    <row r="1563" spans="2:5">
      <c r="B1563" s="2">
        <v>11560</v>
      </c>
      <c r="C1563" s="6" t="s">
        <v>1270</v>
      </c>
      <c r="D1563" s="2" t="s">
        <v>38</v>
      </c>
      <c r="E1563" s="2">
        <v>260</v>
      </c>
    </row>
    <row r="1564" spans="2:5">
      <c r="B1564" s="2">
        <v>11561</v>
      </c>
      <c r="C1564" s="6" t="s">
        <v>1270</v>
      </c>
      <c r="D1564" s="2" t="s">
        <v>41</v>
      </c>
      <c r="E1564" s="2">
        <v>280</v>
      </c>
    </row>
    <row r="1565" spans="2:5">
      <c r="B1565" s="2">
        <v>11562</v>
      </c>
      <c r="C1565" s="6" t="s">
        <v>1270</v>
      </c>
      <c r="D1565" s="2" t="s">
        <v>44</v>
      </c>
      <c r="E1565" s="2">
        <v>300</v>
      </c>
    </row>
    <row r="1566" spans="2:5">
      <c r="B1566" s="2">
        <v>11563</v>
      </c>
      <c r="C1566" s="6" t="s">
        <v>1270</v>
      </c>
      <c r="D1566" s="2" t="s">
        <v>47</v>
      </c>
      <c r="E1566" s="2">
        <v>320</v>
      </c>
    </row>
    <row r="1567" spans="2:5">
      <c r="B1567" s="2">
        <v>11564</v>
      </c>
      <c r="C1567" s="6" t="s">
        <v>1270</v>
      </c>
      <c r="D1567" s="2" t="s">
        <v>50</v>
      </c>
      <c r="E1567" s="2">
        <v>340</v>
      </c>
    </row>
    <row r="1568" spans="2:5">
      <c r="B1568" s="2">
        <v>11565</v>
      </c>
      <c r="C1568" s="6" t="s">
        <v>1270</v>
      </c>
      <c r="D1568" s="2" t="s">
        <v>53</v>
      </c>
      <c r="E1568" s="2">
        <v>360</v>
      </c>
    </row>
    <row r="1569" spans="2:5">
      <c r="B1569" s="2">
        <v>11566</v>
      </c>
      <c r="C1569" s="6" t="s">
        <v>1270</v>
      </c>
      <c r="D1569" s="2" t="s">
        <v>56</v>
      </c>
      <c r="E1569" s="2">
        <v>380</v>
      </c>
    </row>
    <row r="1570" spans="2:5">
      <c r="B1570" s="2">
        <v>11567</v>
      </c>
      <c r="C1570" s="6" t="s">
        <v>1270</v>
      </c>
      <c r="D1570" s="2" t="s">
        <v>59</v>
      </c>
      <c r="E1570" s="2">
        <v>400</v>
      </c>
    </row>
    <row r="1571" spans="2:5">
      <c r="B1571" s="2">
        <v>11568</v>
      </c>
      <c r="C1571" s="6" t="s">
        <v>1270</v>
      </c>
      <c r="D1571" s="2" t="s">
        <v>62</v>
      </c>
      <c r="E1571" s="2">
        <v>420</v>
      </c>
    </row>
    <row r="1572" spans="2:5">
      <c r="B1572" s="2">
        <v>11569</v>
      </c>
      <c r="C1572" s="6" t="s">
        <v>1270</v>
      </c>
      <c r="D1572" s="2" t="s">
        <v>65</v>
      </c>
      <c r="E1572" s="2">
        <v>440</v>
      </c>
    </row>
    <row r="1573" spans="2:5">
      <c r="B1573" s="2">
        <v>11570</v>
      </c>
      <c r="C1573" s="6" t="s">
        <v>1270</v>
      </c>
      <c r="D1573" s="2" t="s">
        <v>68</v>
      </c>
      <c r="E1573" s="2">
        <v>460</v>
      </c>
    </row>
    <row r="1574" spans="2:5">
      <c r="B1574" s="2">
        <v>11571</v>
      </c>
      <c r="C1574" s="6" t="s">
        <v>1270</v>
      </c>
      <c r="D1574" s="2" t="s">
        <v>71</v>
      </c>
      <c r="E1574" s="2">
        <v>480</v>
      </c>
    </row>
    <row r="1575" spans="2:5">
      <c r="B1575" s="2">
        <v>11572</v>
      </c>
      <c r="C1575" s="6" t="s">
        <v>1270</v>
      </c>
      <c r="D1575" s="2" t="s">
        <v>74</v>
      </c>
      <c r="E1575" s="2">
        <v>500</v>
      </c>
    </row>
    <row r="1576" spans="2:5">
      <c r="B1576" s="2">
        <v>11573</v>
      </c>
      <c r="C1576" s="6" t="s">
        <v>1270</v>
      </c>
      <c r="D1576" s="2" t="s">
        <v>77</v>
      </c>
      <c r="E1576" s="2">
        <v>520</v>
      </c>
    </row>
    <row r="1577" spans="2:5">
      <c r="B1577" s="2">
        <v>11574</v>
      </c>
      <c r="C1577" s="6" t="s">
        <v>1270</v>
      </c>
      <c r="D1577" s="2" t="s">
        <v>80</v>
      </c>
      <c r="E1577" s="2">
        <v>540</v>
      </c>
    </row>
    <row r="1578" spans="2:5">
      <c r="B1578" s="2">
        <v>11575</v>
      </c>
      <c r="C1578" s="6" t="s">
        <v>1270</v>
      </c>
      <c r="D1578" s="2" t="s">
        <v>83</v>
      </c>
      <c r="E1578" s="2">
        <v>560</v>
      </c>
    </row>
    <row r="1579" spans="2:5">
      <c r="B1579" s="2">
        <v>11576</v>
      </c>
      <c r="C1579" s="6" t="s">
        <v>1270</v>
      </c>
      <c r="D1579" s="2" t="s">
        <v>86</v>
      </c>
      <c r="E1579" s="2">
        <v>580</v>
      </c>
    </row>
    <row r="1580" spans="2:5">
      <c r="B1580" s="2">
        <v>11577</v>
      </c>
      <c r="C1580" s="6" t="s">
        <v>1270</v>
      </c>
      <c r="D1580" s="2" t="s">
        <v>89</v>
      </c>
      <c r="E1580" s="2">
        <v>600</v>
      </c>
    </row>
    <row r="1581" spans="2:5">
      <c r="B1581" s="2">
        <v>11578</v>
      </c>
      <c r="C1581" s="6" t="s">
        <v>1270</v>
      </c>
      <c r="D1581" s="2" t="s">
        <v>92</v>
      </c>
      <c r="E1581" s="2">
        <v>620</v>
      </c>
    </row>
    <row r="1582" spans="2:5">
      <c r="B1582" s="2">
        <v>11579</v>
      </c>
      <c r="C1582" s="6" t="s">
        <v>1270</v>
      </c>
      <c r="D1582" s="2" t="s">
        <v>95</v>
      </c>
      <c r="E1582" s="2">
        <v>640</v>
      </c>
    </row>
    <row r="1583" spans="2:5">
      <c r="B1583" s="2">
        <v>11580</v>
      </c>
      <c r="C1583" s="6" t="s">
        <v>1270</v>
      </c>
      <c r="D1583" s="2" t="s">
        <v>98</v>
      </c>
      <c r="E1583" s="2">
        <v>660</v>
      </c>
    </row>
    <row r="1584" spans="2:5">
      <c r="B1584" s="2">
        <v>11581</v>
      </c>
      <c r="C1584" s="6" t="s">
        <v>1270</v>
      </c>
      <c r="D1584" s="2" t="s">
        <v>101</v>
      </c>
      <c r="E1584" s="2">
        <v>680</v>
      </c>
    </row>
    <row r="1585" spans="2:5">
      <c r="B1585" s="2">
        <v>11582</v>
      </c>
      <c r="C1585" s="6" t="s">
        <v>1270</v>
      </c>
      <c r="D1585" s="2" t="s">
        <v>104</v>
      </c>
      <c r="E1585" s="2">
        <v>700</v>
      </c>
    </row>
    <row r="1586" spans="2:5">
      <c r="B1586" s="2">
        <v>11583</v>
      </c>
      <c r="C1586" s="6" t="s">
        <v>1270</v>
      </c>
      <c r="D1586" s="2" t="s">
        <v>107</v>
      </c>
      <c r="E1586" s="2">
        <v>720</v>
      </c>
    </row>
    <row r="1587" spans="2:5">
      <c r="B1587" s="2">
        <v>11584</v>
      </c>
      <c r="C1587" s="6" t="s">
        <v>1270</v>
      </c>
      <c r="D1587" s="2" t="s">
        <v>110</v>
      </c>
      <c r="E1587" s="2">
        <v>740</v>
      </c>
    </row>
    <row r="1588" spans="2:5">
      <c r="B1588" s="2">
        <v>11585</v>
      </c>
      <c r="C1588" s="6" t="s">
        <v>1270</v>
      </c>
      <c r="D1588" s="2" t="s">
        <v>113</v>
      </c>
      <c r="E1588" s="2">
        <v>760</v>
      </c>
    </row>
    <row r="1589" spans="2:5">
      <c r="B1589" s="2">
        <v>11586</v>
      </c>
      <c r="C1589" s="6" t="s">
        <v>1270</v>
      </c>
      <c r="D1589" s="2" t="s">
        <v>116</v>
      </c>
      <c r="E1589" s="2">
        <v>780</v>
      </c>
    </row>
    <row r="1590" spans="2:5">
      <c r="B1590" s="2">
        <v>11587</v>
      </c>
      <c r="C1590" s="6" t="s">
        <v>1270</v>
      </c>
      <c r="D1590" s="2" t="s">
        <v>119</v>
      </c>
      <c r="E1590" s="2">
        <v>800</v>
      </c>
    </row>
    <row r="1591" spans="2:5">
      <c r="B1591" s="2">
        <v>11588</v>
      </c>
      <c r="C1591" s="6" t="s">
        <v>1270</v>
      </c>
      <c r="D1591" s="2" t="s">
        <v>122</v>
      </c>
      <c r="E1591" s="2">
        <v>820</v>
      </c>
    </row>
    <row r="1592" spans="2:5">
      <c r="B1592" s="2">
        <v>11589</v>
      </c>
      <c r="C1592" s="6" t="s">
        <v>1270</v>
      </c>
      <c r="D1592" s="2" t="s">
        <v>125</v>
      </c>
      <c r="E1592" s="2">
        <v>840</v>
      </c>
    </row>
    <row r="1593" spans="2:5">
      <c r="B1593" s="2">
        <v>11590</v>
      </c>
      <c r="C1593" s="6" t="s">
        <v>1270</v>
      </c>
      <c r="D1593" s="2" t="s">
        <v>128</v>
      </c>
      <c r="E1593" s="2">
        <v>860</v>
      </c>
    </row>
    <row r="1594" spans="2:5">
      <c r="B1594" s="2">
        <v>11591</v>
      </c>
      <c r="C1594" s="6" t="s">
        <v>1270</v>
      </c>
      <c r="D1594" s="2" t="s">
        <v>131</v>
      </c>
      <c r="E1594" s="2">
        <v>880</v>
      </c>
    </row>
    <row r="1595" spans="2:5">
      <c r="B1595" s="2">
        <v>11592</v>
      </c>
      <c r="C1595" s="6" t="s">
        <v>1270</v>
      </c>
      <c r="D1595" s="2" t="s">
        <v>134</v>
      </c>
      <c r="E1595" s="2">
        <v>900</v>
      </c>
    </row>
    <row r="1596" spans="2:5">
      <c r="B1596" s="2">
        <v>11593</v>
      </c>
      <c r="C1596" s="6" t="s">
        <v>1270</v>
      </c>
      <c r="D1596" s="2" t="s">
        <v>137</v>
      </c>
      <c r="E1596" s="2">
        <v>920</v>
      </c>
    </row>
    <row r="1597" spans="2:5">
      <c r="B1597" s="2">
        <v>11594</v>
      </c>
      <c r="C1597" s="6" t="s">
        <v>1270</v>
      </c>
      <c r="D1597" s="2" t="s">
        <v>140</v>
      </c>
      <c r="E1597" s="2">
        <v>940</v>
      </c>
    </row>
    <row r="1598" spans="2:5">
      <c r="B1598" s="2">
        <v>11595</v>
      </c>
      <c r="C1598" s="6" t="s">
        <v>1270</v>
      </c>
      <c r="D1598" s="2" t="s">
        <v>143</v>
      </c>
      <c r="E1598" s="2">
        <v>960</v>
      </c>
    </row>
    <row r="1599" spans="2:5">
      <c r="B1599" s="2">
        <v>11596</v>
      </c>
      <c r="C1599" s="6" t="s">
        <v>1270</v>
      </c>
      <c r="D1599" s="2" t="s">
        <v>146</v>
      </c>
      <c r="E1599" s="2">
        <v>980</v>
      </c>
    </row>
    <row r="1600" spans="2:5">
      <c r="B1600" s="2">
        <v>11597</v>
      </c>
      <c r="C1600" s="6" t="s">
        <v>1270</v>
      </c>
      <c r="D1600" s="2" t="s">
        <v>149</v>
      </c>
      <c r="E1600" s="2">
        <v>1000</v>
      </c>
    </row>
    <row r="1601" spans="2:7">
      <c r="B1601" s="2">
        <v>11598</v>
      </c>
      <c r="C1601" s="6" t="s">
        <v>1270</v>
      </c>
      <c r="D1601" s="2" t="s">
        <v>152</v>
      </c>
      <c r="E1601" s="2">
        <v>1020</v>
      </c>
    </row>
    <row r="1602" spans="2:7">
      <c r="B1602" s="2">
        <v>11599</v>
      </c>
      <c r="C1602" s="6" t="s">
        <v>1270</v>
      </c>
      <c r="D1602" s="2" t="s">
        <v>155</v>
      </c>
      <c r="E1602" s="2">
        <v>1040</v>
      </c>
    </row>
    <row r="1603" spans="2:7">
      <c r="B1603" s="2">
        <v>11600</v>
      </c>
      <c r="C1603" s="6" t="s">
        <v>1270</v>
      </c>
      <c r="D1603" s="2" t="s">
        <v>158</v>
      </c>
      <c r="E1603" s="2">
        <v>1060</v>
      </c>
    </row>
    <row r="1604" spans="2:7">
      <c r="B1604" s="2">
        <v>11601</v>
      </c>
      <c r="C1604" s="6" t="s">
        <v>1270</v>
      </c>
      <c r="D1604" s="2" t="s">
        <v>161</v>
      </c>
      <c r="E1604" s="2">
        <v>1080</v>
      </c>
    </row>
    <row r="1605" spans="2:7">
      <c r="B1605" s="2">
        <v>11602</v>
      </c>
      <c r="C1605" s="6" t="s">
        <v>1271</v>
      </c>
      <c r="D1605" s="2" t="s">
        <v>13</v>
      </c>
      <c r="E1605" s="2">
        <v>100</v>
      </c>
      <c r="G1605" s="2" t="s">
        <v>1272</v>
      </c>
    </row>
    <row r="1606" spans="2:7">
      <c r="B1606" s="2">
        <v>11603</v>
      </c>
      <c r="C1606" s="6" t="s">
        <v>1271</v>
      </c>
      <c r="D1606" s="2" t="s">
        <v>17</v>
      </c>
      <c r="E1606" s="2">
        <v>120</v>
      </c>
      <c r="G1606" s="2" t="s">
        <v>1272</v>
      </c>
    </row>
    <row r="1607" spans="2:7">
      <c r="B1607" s="2">
        <v>11604</v>
      </c>
      <c r="C1607" s="6" t="s">
        <v>1271</v>
      </c>
      <c r="D1607" s="2" t="s">
        <v>20</v>
      </c>
      <c r="E1607" s="2">
        <v>140</v>
      </c>
      <c r="G1607" s="2" t="s">
        <v>1272</v>
      </c>
    </row>
    <row r="1608" spans="2:7">
      <c r="B1608" s="2">
        <v>11605</v>
      </c>
      <c r="C1608" s="6" t="s">
        <v>1271</v>
      </c>
      <c r="D1608" s="2" t="s">
        <v>23</v>
      </c>
      <c r="E1608" s="2">
        <v>160</v>
      </c>
      <c r="G1608" s="2" t="s">
        <v>1272</v>
      </c>
    </row>
    <row r="1609" spans="2:7">
      <c r="B1609" s="2">
        <v>11606</v>
      </c>
      <c r="C1609" s="6" t="s">
        <v>1271</v>
      </c>
      <c r="D1609" s="2" t="s">
        <v>26</v>
      </c>
      <c r="E1609" s="2">
        <v>180</v>
      </c>
      <c r="G1609" s="2" t="s">
        <v>1272</v>
      </c>
    </row>
    <row r="1610" spans="2:7">
      <c r="B1610" s="2">
        <v>11607</v>
      </c>
      <c r="C1610" s="6" t="s">
        <v>1271</v>
      </c>
      <c r="D1610" s="2" t="s">
        <v>29</v>
      </c>
      <c r="E1610" s="2">
        <v>200</v>
      </c>
      <c r="G1610" s="2" t="s">
        <v>1272</v>
      </c>
    </row>
    <row r="1611" spans="2:7">
      <c r="B1611" s="2">
        <v>11608</v>
      </c>
      <c r="C1611" s="6" t="s">
        <v>1271</v>
      </c>
      <c r="D1611" s="2" t="s">
        <v>32</v>
      </c>
      <c r="E1611" s="2">
        <v>220</v>
      </c>
      <c r="G1611" s="2" t="s">
        <v>1272</v>
      </c>
    </row>
    <row r="1612" spans="2:7">
      <c r="B1612" s="2">
        <v>11609</v>
      </c>
      <c r="C1612" s="6" t="s">
        <v>1271</v>
      </c>
      <c r="D1612" s="2" t="s">
        <v>35</v>
      </c>
      <c r="E1612" s="2">
        <v>240</v>
      </c>
      <c r="G1612" s="2" t="s">
        <v>1272</v>
      </c>
    </row>
    <row r="1613" spans="2:7">
      <c r="B1613" s="2">
        <v>11610</v>
      </c>
      <c r="C1613" s="6" t="s">
        <v>1271</v>
      </c>
      <c r="D1613" s="2" t="s">
        <v>38</v>
      </c>
      <c r="E1613" s="2">
        <v>260</v>
      </c>
      <c r="G1613" s="2" t="s">
        <v>1272</v>
      </c>
    </row>
    <row r="1614" spans="2:7">
      <c r="B1614" s="2">
        <v>11611</v>
      </c>
      <c r="C1614" s="6" t="s">
        <v>1271</v>
      </c>
      <c r="D1614" s="2" t="s">
        <v>41</v>
      </c>
      <c r="E1614" s="2">
        <v>280</v>
      </c>
      <c r="G1614" s="2" t="s">
        <v>1272</v>
      </c>
    </row>
    <row r="1615" spans="2:7">
      <c r="B1615" s="2">
        <v>11612</v>
      </c>
      <c r="C1615" s="6" t="s">
        <v>1271</v>
      </c>
      <c r="D1615" s="2" t="s">
        <v>44</v>
      </c>
      <c r="E1615" s="2">
        <v>300</v>
      </c>
      <c r="G1615" s="2" t="s">
        <v>1272</v>
      </c>
    </row>
    <row r="1616" spans="2:7">
      <c r="B1616" s="2">
        <v>11613</v>
      </c>
      <c r="C1616" s="6" t="s">
        <v>1271</v>
      </c>
      <c r="D1616" s="2" t="s">
        <v>47</v>
      </c>
      <c r="E1616" s="2">
        <v>320</v>
      </c>
      <c r="G1616" s="2" t="s">
        <v>1272</v>
      </c>
    </row>
    <row r="1617" spans="2:7">
      <c r="B1617" s="2">
        <v>11614</v>
      </c>
      <c r="C1617" s="6" t="s">
        <v>1271</v>
      </c>
      <c r="D1617" s="2" t="s">
        <v>50</v>
      </c>
      <c r="E1617" s="2">
        <v>340</v>
      </c>
      <c r="G1617" s="2" t="s">
        <v>1272</v>
      </c>
    </row>
    <row r="1618" spans="2:7">
      <c r="B1618" s="2">
        <v>11615</v>
      </c>
      <c r="C1618" s="6" t="s">
        <v>1271</v>
      </c>
      <c r="D1618" s="2" t="s">
        <v>53</v>
      </c>
      <c r="E1618" s="2">
        <v>360</v>
      </c>
      <c r="G1618" s="2" t="s">
        <v>1272</v>
      </c>
    </row>
    <row r="1619" spans="2:7">
      <c r="B1619" s="2">
        <v>11616</v>
      </c>
      <c r="C1619" s="6" t="s">
        <v>1271</v>
      </c>
      <c r="D1619" s="2" t="s">
        <v>56</v>
      </c>
      <c r="E1619" s="2">
        <v>380</v>
      </c>
      <c r="G1619" s="2" t="s">
        <v>1272</v>
      </c>
    </row>
    <row r="1620" spans="2:7">
      <c r="B1620" s="2">
        <v>11617</v>
      </c>
      <c r="C1620" s="6" t="s">
        <v>1271</v>
      </c>
      <c r="D1620" s="2" t="s">
        <v>59</v>
      </c>
      <c r="E1620" s="2">
        <v>400</v>
      </c>
      <c r="G1620" s="2" t="s">
        <v>1272</v>
      </c>
    </row>
    <row r="1621" spans="2:7">
      <c r="B1621" s="2">
        <v>11618</v>
      </c>
      <c r="C1621" s="6" t="s">
        <v>1271</v>
      </c>
      <c r="D1621" s="2" t="s">
        <v>62</v>
      </c>
      <c r="E1621" s="2">
        <v>420</v>
      </c>
      <c r="G1621" s="2" t="s">
        <v>1272</v>
      </c>
    </row>
    <row r="1622" spans="2:7">
      <c r="B1622" s="2">
        <v>11619</v>
      </c>
      <c r="C1622" s="6" t="s">
        <v>1271</v>
      </c>
      <c r="D1622" s="2" t="s">
        <v>65</v>
      </c>
      <c r="E1622" s="2">
        <v>440</v>
      </c>
      <c r="G1622" s="2" t="s">
        <v>1272</v>
      </c>
    </row>
    <row r="1623" spans="2:7">
      <c r="B1623" s="2">
        <v>11620</v>
      </c>
      <c r="C1623" s="6" t="s">
        <v>1271</v>
      </c>
      <c r="D1623" s="2" t="s">
        <v>68</v>
      </c>
      <c r="E1623" s="2">
        <v>460</v>
      </c>
      <c r="G1623" s="2" t="s">
        <v>1272</v>
      </c>
    </row>
    <row r="1624" spans="2:7">
      <c r="B1624" s="2">
        <v>11621</v>
      </c>
      <c r="C1624" s="6" t="s">
        <v>1271</v>
      </c>
      <c r="D1624" s="2" t="s">
        <v>71</v>
      </c>
      <c r="E1624" s="2">
        <v>480</v>
      </c>
      <c r="G1624" s="2" t="s">
        <v>1272</v>
      </c>
    </row>
    <row r="1625" spans="2:7">
      <c r="B1625" s="2">
        <v>11622</v>
      </c>
      <c r="C1625" s="6" t="s">
        <v>1271</v>
      </c>
      <c r="D1625" s="2" t="s">
        <v>74</v>
      </c>
      <c r="E1625" s="2">
        <v>500</v>
      </c>
      <c r="G1625" s="2" t="s">
        <v>1272</v>
      </c>
    </row>
    <row r="1626" spans="2:7">
      <c r="B1626" s="2">
        <v>11623</v>
      </c>
      <c r="C1626" s="6" t="s">
        <v>1271</v>
      </c>
      <c r="D1626" s="2" t="s">
        <v>77</v>
      </c>
      <c r="E1626" s="2">
        <v>520</v>
      </c>
      <c r="G1626" s="2" t="s">
        <v>1272</v>
      </c>
    </row>
    <row r="1627" spans="2:7">
      <c r="B1627" s="2">
        <v>11624</v>
      </c>
      <c r="C1627" s="6" t="s">
        <v>1271</v>
      </c>
      <c r="D1627" s="2" t="s">
        <v>80</v>
      </c>
      <c r="E1627" s="2">
        <v>540</v>
      </c>
      <c r="G1627" s="2" t="s">
        <v>1272</v>
      </c>
    </row>
    <row r="1628" spans="2:7">
      <c r="B1628" s="2">
        <v>11625</v>
      </c>
      <c r="C1628" s="6" t="s">
        <v>1271</v>
      </c>
      <c r="D1628" s="2" t="s">
        <v>83</v>
      </c>
      <c r="E1628" s="2">
        <v>560</v>
      </c>
      <c r="G1628" s="2" t="s">
        <v>1272</v>
      </c>
    </row>
    <row r="1629" spans="2:7">
      <c r="B1629" s="2">
        <v>11626</v>
      </c>
      <c r="C1629" s="6" t="s">
        <v>1271</v>
      </c>
      <c r="D1629" s="2" t="s">
        <v>86</v>
      </c>
      <c r="E1629" s="2">
        <v>580</v>
      </c>
      <c r="G1629" s="2" t="s">
        <v>1272</v>
      </c>
    </row>
    <row r="1630" spans="2:7">
      <c r="B1630" s="2">
        <v>11627</v>
      </c>
      <c r="C1630" s="6" t="s">
        <v>1271</v>
      </c>
      <c r="D1630" s="2" t="s">
        <v>89</v>
      </c>
      <c r="E1630" s="2">
        <v>600</v>
      </c>
      <c r="G1630" s="2" t="s">
        <v>1272</v>
      </c>
    </row>
    <row r="1631" spans="2:7">
      <c r="B1631" s="2">
        <v>11628</v>
      </c>
      <c r="C1631" s="6" t="s">
        <v>1271</v>
      </c>
      <c r="D1631" s="2" t="s">
        <v>92</v>
      </c>
      <c r="E1631" s="2">
        <v>620</v>
      </c>
      <c r="G1631" s="2" t="s">
        <v>1272</v>
      </c>
    </row>
    <row r="1632" spans="2:7">
      <c r="B1632" s="2">
        <v>11629</v>
      </c>
      <c r="C1632" s="6" t="s">
        <v>1271</v>
      </c>
      <c r="D1632" s="2" t="s">
        <v>95</v>
      </c>
      <c r="E1632" s="2">
        <v>640</v>
      </c>
      <c r="G1632" s="2" t="s">
        <v>1272</v>
      </c>
    </row>
    <row r="1633" spans="2:7">
      <c r="B1633" s="2">
        <v>11630</v>
      </c>
      <c r="C1633" s="6" t="s">
        <v>1271</v>
      </c>
      <c r="D1633" s="2" t="s">
        <v>98</v>
      </c>
      <c r="E1633" s="2">
        <v>660</v>
      </c>
      <c r="G1633" s="2" t="s">
        <v>1272</v>
      </c>
    </row>
    <row r="1634" spans="2:7">
      <c r="B1634" s="2">
        <v>11631</v>
      </c>
      <c r="C1634" s="6" t="s">
        <v>1271</v>
      </c>
      <c r="D1634" s="2" t="s">
        <v>101</v>
      </c>
      <c r="E1634" s="2">
        <v>680</v>
      </c>
      <c r="G1634" s="2" t="s">
        <v>1272</v>
      </c>
    </row>
    <row r="1635" spans="2:7">
      <c r="B1635" s="2">
        <v>11632</v>
      </c>
      <c r="C1635" s="6" t="s">
        <v>1271</v>
      </c>
      <c r="D1635" s="2" t="s">
        <v>104</v>
      </c>
      <c r="E1635" s="2">
        <v>700</v>
      </c>
      <c r="G1635" s="2" t="s">
        <v>1272</v>
      </c>
    </row>
    <row r="1636" spans="2:7">
      <c r="B1636" s="2">
        <v>11633</v>
      </c>
      <c r="C1636" s="6" t="s">
        <v>1271</v>
      </c>
      <c r="D1636" s="2" t="s">
        <v>107</v>
      </c>
      <c r="E1636" s="2">
        <v>720</v>
      </c>
      <c r="G1636" s="2" t="s">
        <v>1272</v>
      </c>
    </row>
    <row r="1637" spans="2:7">
      <c r="B1637" s="2">
        <v>11634</v>
      </c>
      <c r="C1637" s="6" t="s">
        <v>1271</v>
      </c>
      <c r="D1637" s="2" t="s">
        <v>110</v>
      </c>
      <c r="E1637" s="2">
        <v>740</v>
      </c>
      <c r="G1637" s="2" t="s">
        <v>1272</v>
      </c>
    </row>
    <row r="1638" spans="2:7">
      <c r="B1638" s="2">
        <v>11635</v>
      </c>
      <c r="C1638" s="6" t="s">
        <v>1271</v>
      </c>
      <c r="D1638" s="2" t="s">
        <v>113</v>
      </c>
      <c r="E1638" s="2">
        <v>760</v>
      </c>
      <c r="G1638" s="2" t="s">
        <v>1272</v>
      </c>
    </row>
    <row r="1639" spans="2:7">
      <c r="B1639" s="2">
        <v>11636</v>
      </c>
      <c r="C1639" s="6" t="s">
        <v>1271</v>
      </c>
      <c r="D1639" s="2" t="s">
        <v>116</v>
      </c>
      <c r="E1639" s="2">
        <v>780</v>
      </c>
      <c r="G1639" s="2" t="s">
        <v>1272</v>
      </c>
    </row>
    <row r="1640" spans="2:7">
      <c r="B1640" s="2">
        <v>11637</v>
      </c>
      <c r="C1640" s="6" t="s">
        <v>1271</v>
      </c>
      <c r="D1640" s="2" t="s">
        <v>119</v>
      </c>
      <c r="E1640" s="2">
        <v>800</v>
      </c>
      <c r="G1640" s="2" t="s">
        <v>1272</v>
      </c>
    </row>
    <row r="1641" spans="2:7">
      <c r="B1641" s="2">
        <v>11638</v>
      </c>
      <c r="C1641" s="6" t="s">
        <v>1271</v>
      </c>
      <c r="D1641" s="2" t="s">
        <v>122</v>
      </c>
      <c r="E1641" s="2">
        <v>820</v>
      </c>
      <c r="G1641" s="2" t="s">
        <v>1272</v>
      </c>
    </row>
    <row r="1642" spans="2:7">
      <c r="B1642" s="2">
        <v>11639</v>
      </c>
      <c r="C1642" s="6" t="s">
        <v>1271</v>
      </c>
      <c r="D1642" s="2" t="s">
        <v>125</v>
      </c>
      <c r="E1642" s="2">
        <v>840</v>
      </c>
      <c r="G1642" s="2" t="s">
        <v>1272</v>
      </c>
    </row>
    <row r="1643" spans="2:7">
      <c r="B1643" s="2">
        <v>11640</v>
      </c>
      <c r="C1643" s="6" t="s">
        <v>1271</v>
      </c>
      <c r="D1643" s="2" t="s">
        <v>128</v>
      </c>
      <c r="E1643" s="2">
        <v>860</v>
      </c>
      <c r="G1643" s="2" t="s">
        <v>1272</v>
      </c>
    </row>
    <row r="1644" spans="2:7">
      <c r="B1644" s="2">
        <v>11641</v>
      </c>
      <c r="C1644" s="6" t="s">
        <v>1271</v>
      </c>
      <c r="D1644" s="2" t="s">
        <v>131</v>
      </c>
      <c r="E1644" s="2">
        <v>880</v>
      </c>
      <c r="G1644" s="2" t="s">
        <v>1272</v>
      </c>
    </row>
    <row r="1645" spans="2:7">
      <c r="B1645" s="2">
        <v>11642</v>
      </c>
      <c r="C1645" s="6" t="s">
        <v>1271</v>
      </c>
      <c r="D1645" s="2" t="s">
        <v>134</v>
      </c>
      <c r="E1645" s="2">
        <v>900</v>
      </c>
      <c r="G1645" s="2" t="s">
        <v>1272</v>
      </c>
    </row>
    <row r="1646" spans="2:7">
      <c r="B1646" s="2">
        <v>11643</v>
      </c>
      <c r="C1646" s="6" t="s">
        <v>1271</v>
      </c>
      <c r="D1646" s="2" t="s">
        <v>137</v>
      </c>
      <c r="E1646" s="2">
        <v>920</v>
      </c>
      <c r="G1646" s="2" t="s">
        <v>1272</v>
      </c>
    </row>
    <row r="1647" spans="2:7">
      <c r="B1647" s="2">
        <v>11644</v>
      </c>
      <c r="C1647" s="6" t="s">
        <v>1271</v>
      </c>
      <c r="D1647" s="2" t="s">
        <v>140</v>
      </c>
      <c r="E1647" s="2">
        <v>940</v>
      </c>
      <c r="G1647" s="2" t="s">
        <v>1272</v>
      </c>
    </row>
    <row r="1648" spans="2:7">
      <c r="B1648" s="2">
        <v>11645</v>
      </c>
      <c r="C1648" s="6" t="s">
        <v>1271</v>
      </c>
      <c r="D1648" s="2" t="s">
        <v>143</v>
      </c>
      <c r="E1648" s="2">
        <v>960</v>
      </c>
      <c r="G1648" s="2" t="s">
        <v>1272</v>
      </c>
    </row>
    <row r="1649" spans="2:7">
      <c r="B1649" s="2">
        <v>11646</v>
      </c>
      <c r="C1649" s="6" t="s">
        <v>1271</v>
      </c>
      <c r="D1649" s="2" t="s">
        <v>146</v>
      </c>
      <c r="E1649" s="2">
        <v>980</v>
      </c>
      <c r="G1649" s="2" t="s">
        <v>1272</v>
      </c>
    </row>
    <row r="1650" spans="2:7">
      <c r="B1650" s="2">
        <v>11647</v>
      </c>
      <c r="C1650" s="6" t="s">
        <v>1271</v>
      </c>
      <c r="D1650" s="2" t="s">
        <v>149</v>
      </c>
      <c r="E1650" s="2">
        <v>1000</v>
      </c>
      <c r="G1650" s="2" t="s">
        <v>1272</v>
      </c>
    </row>
    <row r="1651" spans="2:7">
      <c r="B1651" s="2">
        <v>11648</v>
      </c>
      <c r="C1651" s="6" t="s">
        <v>1271</v>
      </c>
      <c r="D1651" s="2" t="s">
        <v>152</v>
      </c>
      <c r="E1651" s="2">
        <v>1020</v>
      </c>
      <c r="G1651" s="2" t="s">
        <v>1272</v>
      </c>
    </row>
    <row r="1652" spans="2:7">
      <c r="B1652" s="2">
        <v>11649</v>
      </c>
      <c r="C1652" s="6" t="s">
        <v>1271</v>
      </c>
      <c r="D1652" s="2" t="s">
        <v>155</v>
      </c>
      <c r="E1652" s="2">
        <v>1040</v>
      </c>
      <c r="G1652" s="2" t="s">
        <v>1272</v>
      </c>
    </row>
    <row r="1653" spans="2:7">
      <c r="B1653" s="2">
        <v>11650</v>
      </c>
      <c r="C1653" s="6" t="s">
        <v>1271</v>
      </c>
      <c r="D1653" s="2" t="s">
        <v>158</v>
      </c>
      <c r="E1653" s="2">
        <v>1060</v>
      </c>
      <c r="G1653" s="2" t="s">
        <v>1272</v>
      </c>
    </row>
    <row r="1654" spans="2:7">
      <c r="B1654" s="2">
        <v>11651</v>
      </c>
      <c r="C1654" s="6" t="s">
        <v>1271</v>
      </c>
      <c r="D1654" s="2" t="s">
        <v>161</v>
      </c>
      <c r="E1654" s="2">
        <v>1080</v>
      </c>
      <c r="G1654" s="2" t="s">
        <v>1272</v>
      </c>
    </row>
    <row r="1655" spans="2:7">
      <c r="B1655" s="2">
        <v>11652</v>
      </c>
      <c r="C1655" s="6" t="s">
        <v>1273</v>
      </c>
      <c r="D1655" s="2" t="s">
        <v>13</v>
      </c>
      <c r="E1655" s="2">
        <v>100</v>
      </c>
      <c r="F1655" s="4"/>
    </row>
    <row r="1656" spans="2:7">
      <c r="B1656" s="2">
        <v>11653</v>
      </c>
      <c r="C1656" s="6" t="s">
        <v>1273</v>
      </c>
      <c r="D1656" s="2" t="s">
        <v>17</v>
      </c>
      <c r="E1656" s="2">
        <v>120</v>
      </c>
    </row>
    <row r="1657" spans="2:7">
      <c r="B1657" s="2">
        <v>11654</v>
      </c>
      <c r="C1657" s="6" t="s">
        <v>1273</v>
      </c>
      <c r="D1657" s="2" t="s">
        <v>20</v>
      </c>
      <c r="E1657" s="2">
        <v>140</v>
      </c>
    </row>
    <row r="1658" spans="2:7">
      <c r="B1658" s="2">
        <v>11655</v>
      </c>
      <c r="C1658" s="6" t="s">
        <v>1273</v>
      </c>
      <c r="D1658" s="2" t="s">
        <v>23</v>
      </c>
      <c r="E1658" s="2">
        <v>160</v>
      </c>
    </row>
    <row r="1659" spans="2:7">
      <c r="B1659" s="2">
        <v>11656</v>
      </c>
      <c r="C1659" s="6" t="s">
        <v>1273</v>
      </c>
      <c r="D1659" s="2" t="s">
        <v>26</v>
      </c>
      <c r="E1659" s="2">
        <v>180</v>
      </c>
    </row>
    <row r="1660" spans="2:7">
      <c r="B1660" s="2">
        <v>11657</v>
      </c>
      <c r="C1660" s="6" t="s">
        <v>1273</v>
      </c>
      <c r="D1660" s="2" t="s">
        <v>29</v>
      </c>
      <c r="E1660" s="2">
        <v>200</v>
      </c>
    </row>
    <row r="1661" spans="2:7">
      <c r="B1661" s="2">
        <v>11658</v>
      </c>
      <c r="C1661" s="6" t="s">
        <v>1273</v>
      </c>
      <c r="D1661" s="2" t="s">
        <v>32</v>
      </c>
      <c r="E1661" s="2">
        <v>220</v>
      </c>
    </row>
    <row r="1662" spans="2:7">
      <c r="B1662" s="2">
        <v>11659</v>
      </c>
      <c r="C1662" s="6" t="s">
        <v>1273</v>
      </c>
      <c r="D1662" s="2" t="s">
        <v>35</v>
      </c>
      <c r="E1662" s="2">
        <v>240</v>
      </c>
    </row>
    <row r="1663" spans="2:7">
      <c r="B1663" s="2">
        <v>11660</v>
      </c>
      <c r="C1663" s="6" t="s">
        <v>1273</v>
      </c>
      <c r="D1663" s="2" t="s">
        <v>38</v>
      </c>
      <c r="E1663" s="2">
        <v>260</v>
      </c>
    </row>
    <row r="1664" spans="2:7">
      <c r="B1664" s="2">
        <v>11661</v>
      </c>
      <c r="C1664" s="6" t="s">
        <v>1273</v>
      </c>
      <c r="D1664" s="2" t="s">
        <v>41</v>
      </c>
      <c r="E1664" s="2">
        <v>280</v>
      </c>
    </row>
    <row r="1665" spans="2:5">
      <c r="B1665" s="2">
        <v>11662</v>
      </c>
      <c r="C1665" s="6" t="s">
        <v>1273</v>
      </c>
      <c r="D1665" s="2" t="s">
        <v>44</v>
      </c>
      <c r="E1665" s="2">
        <v>300</v>
      </c>
    </row>
    <row r="1666" spans="2:5">
      <c r="B1666" s="2">
        <v>11663</v>
      </c>
      <c r="C1666" s="6" t="s">
        <v>1273</v>
      </c>
      <c r="D1666" s="2" t="s">
        <v>47</v>
      </c>
      <c r="E1666" s="2">
        <v>320</v>
      </c>
    </row>
    <row r="1667" spans="2:5">
      <c r="B1667" s="2">
        <v>11664</v>
      </c>
      <c r="C1667" s="6" t="s">
        <v>1273</v>
      </c>
      <c r="D1667" s="2" t="s">
        <v>50</v>
      </c>
      <c r="E1667" s="2">
        <v>340</v>
      </c>
    </row>
    <row r="1668" spans="2:5">
      <c r="B1668" s="2">
        <v>11665</v>
      </c>
      <c r="C1668" s="6" t="s">
        <v>1273</v>
      </c>
      <c r="D1668" s="2" t="s">
        <v>53</v>
      </c>
      <c r="E1668" s="2">
        <v>360</v>
      </c>
    </row>
    <row r="1669" spans="2:5">
      <c r="B1669" s="2">
        <v>11666</v>
      </c>
      <c r="C1669" s="6" t="s">
        <v>1273</v>
      </c>
      <c r="D1669" s="2" t="s">
        <v>56</v>
      </c>
      <c r="E1669" s="2">
        <v>380</v>
      </c>
    </row>
    <row r="1670" spans="2:5">
      <c r="B1670" s="2">
        <v>11667</v>
      </c>
      <c r="C1670" s="6" t="s">
        <v>1273</v>
      </c>
      <c r="D1670" s="2" t="s">
        <v>59</v>
      </c>
      <c r="E1670" s="2">
        <v>400</v>
      </c>
    </row>
    <row r="1671" spans="2:5">
      <c r="B1671" s="2">
        <v>11668</v>
      </c>
      <c r="C1671" s="6" t="s">
        <v>1273</v>
      </c>
      <c r="D1671" s="2" t="s">
        <v>62</v>
      </c>
      <c r="E1671" s="2">
        <v>420</v>
      </c>
    </row>
    <row r="1672" spans="2:5">
      <c r="B1672" s="2">
        <v>11669</v>
      </c>
      <c r="C1672" s="6" t="s">
        <v>1273</v>
      </c>
      <c r="D1672" s="2" t="s">
        <v>65</v>
      </c>
      <c r="E1672" s="2">
        <v>440</v>
      </c>
    </row>
    <row r="1673" spans="2:5">
      <c r="B1673" s="2">
        <v>11670</v>
      </c>
      <c r="C1673" s="6" t="s">
        <v>1273</v>
      </c>
      <c r="D1673" s="2" t="s">
        <v>68</v>
      </c>
      <c r="E1673" s="2">
        <v>460</v>
      </c>
    </row>
    <row r="1674" spans="2:5">
      <c r="B1674" s="2">
        <v>11671</v>
      </c>
      <c r="C1674" s="6" t="s">
        <v>1273</v>
      </c>
      <c r="D1674" s="2" t="s">
        <v>71</v>
      </c>
      <c r="E1674" s="2">
        <v>480</v>
      </c>
    </row>
    <row r="1675" spans="2:5">
      <c r="B1675" s="2">
        <v>11672</v>
      </c>
      <c r="C1675" s="6" t="s">
        <v>1273</v>
      </c>
      <c r="D1675" s="2" t="s">
        <v>74</v>
      </c>
      <c r="E1675" s="2">
        <v>500</v>
      </c>
    </row>
    <row r="1676" spans="2:5">
      <c r="B1676" s="2">
        <v>11673</v>
      </c>
      <c r="C1676" s="6" t="s">
        <v>1273</v>
      </c>
      <c r="D1676" s="2" t="s">
        <v>77</v>
      </c>
      <c r="E1676" s="2">
        <v>520</v>
      </c>
    </row>
    <row r="1677" spans="2:5">
      <c r="B1677" s="2">
        <v>11674</v>
      </c>
      <c r="C1677" s="6" t="s">
        <v>1273</v>
      </c>
      <c r="D1677" s="2" t="s">
        <v>80</v>
      </c>
      <c r="E1677" s="2">
        <v>540</v>
      </c>
    </row>
    <row r="1678" spans="2:5">
      <c r="B1678" s="2">
        <v>11675</v>
      </c>
      <c r="C1678" s="6" t="s">
        <v>1273</v>
      </c>
      <c r="D1678" s="2" t="s">
        <v>83</v>
      </c>
      <c r="E1678" s="2">
        <v>560</v>
      </c>
    </row>
    <row r="1679" spans="2:5">
      <c r="B1679" s="2">
        <v>11676</v>
      </c>
      <c r="C1679" s="6" t="s">
        <v>1273</v>
      </c>
      <c r="D1679" s="2" t="s">
        <v>86</v>
      </c>
      <c r="E1679" s="2">
        <v>580</v>
      </c>
    </row>
    <row r="1680" spans="2:5">
      <c r="B1680" s="2">
        <v>11677</v>
      </c>
      <c r="C1680" s="6" t="s">
        <v>1273</v>
      </c>
      <c r="D1680" s="2" t="s">
        <v>89</v>
      </c>
      <c r="E1680" s="2">
        <v>600</v>
      </c>
    </row>
    <row r="1681" spans="2:5">
      <c r="B1681" s="2">
        <v>11678</v>
      </c>
      <c r="C1681" s="6" t="s">
        <v>1273</v>
      </c>
      <c r="D1681" s="2" t="s">
        <v>92</v>
      </c>
      <c r="E1681" s="2">
        <v>620</v>
      </c>
    </row>
    <row r="1682" spans="2:5">
      <c r="B1682" s="2">
        <v>11679</v>
      </c>
      <c r="C1682" s="6" t="s">
        <v>1273</v>
      </c>
      <c r="D1682" s="2" t="s">
        <v>95</v>
      </c>
      <c r="E1682" s="2">
        <v>640</v>
      </c>
    </row>
    <row r="1683" spans="2:5">
      <c r="B1683" s="2">
        <v>11680</v>
      </c>
      <c r="C1683" s="6" t="s">
        <v>1273</v>
      </c>
      <c r="D1683" s="2" t="s">
        <v>98</v>
      </c>
      <c r="E1683" s="2">
        <v>660</v>
      </c>
    </row>
    <row r="1684" spans="2:5">
      <c r="B1684" s="2">
        <v>11681</v>
      </c>
      <c r="C1684" s="6" t="s">
        <v>1273</v>
      </c>
      <c r="D1684" s="2" t="s">
        <v>101</v>
      </c>
      <c r="E1684" s="2">
        <v>680</v>
      </c>
    </row>
    <row r="1685" spans="2:5">
      <c r="B1685" s="2">
        <v>11682</v>
      </c>
      <c r="C1685" s="6" t="s">
        <v>1273</v>
      </c>
      <c r="D1685" s="2" t="s">
        <v>104</v>
      </c>
      <c r="E1685" s="2">
        <v>700</v>
      </c>
    </row>
    <row r="1686" spans="2:5">
      <c r="B1686" s="2">
        <v>11683</v>
      </c>
      <c r="C1686" s="6" t="s">
        <v>1273</v>
      </c>
      <c r="D1686" s="2" t="s">
        <v>107</v>
      </c>
      <c r="E1686" s="2">
        <v>720</v>
      </c>
    </row>
    <row r="1687" spans="2:5">
      <c r="B1687" s="2">
        <v>11684</v>
      </c>
      <c r="C1687" s="6" t="s">
        <v>1273</v>
      </c>
      <c r="D1687" s="2" t="s">
        <v>110</v>
      </c>
      <c r="E1687" s="2">
        <v>740</v>
      </c>
    </row>
    <row r="1688" spans="2:5">
      <c r="B1688" s="2">
        <v>11685</v>
      </c>
      <c r="C1688" s="6" t="s">
        <v>1273</v>
      </c>
      <c r="D1688" s="2" t="s">
        <v>113</v>
      </c>
      <c r="E1688" s="2">
        <v>760</v>
      </c>
    </row>
    <row r="1689" spans="2:5">
      <c r="B1689" s="2">
        <v>11686</v>
      </c>
      <c r="C1689" s="6" t="s">
        <v>1273</v>
      </c>
      <c r="D1689" s="2" t="s">
        <v>116</v>
      </c>
      <c r="E1689" s="2">
        <v>780</v>
      </c>
    </row>
    <row r="1690" spans="2:5">
      <c r="B1690" s="2">
        <v>11687</v>
      </c>
      <c r="C1690" s="6" t="s">
        <v>1273</v>
      </c>
      <c r="D1690" s="2" t="s">
        <v>119</v>
      </c>
      <c r="E1690" s="2">
        <v>800</v>
      </c>
    </row>
    <row r="1691" spans="2:5">
      <c r="B1691" s="2">
        <v>11688</v>
      </c>
      <c r="C1691" s="6" t="s">
        <v>1273</v>
      </c>
      <c r="D1691" s="2" t="s">
        <v>122</v>
      </c>
      <c r="E1691" s="2">
        <v>820</v>
      </c>
    </row>
    <row r="1692" spans="2:5">
      <c r="B1692" s="2">
        <v>11689</v>
      </c>
      <c r="C1692" s="6" t="s">
        <v>1273</v>
      </c>
      <c r="D1692" s="2" t="s">
        <v>125</v>
      </c>
      <c r="E1692" s="2">
        <v>840</v>
      </c>
    </row>
    <row r="1693" spans="2:5">
      <c r="B1693" s="2">
        <v>11690</v>
      </c>
      <c r="C1693" s="6" t="s">
        <v>1273</v>
      </c>
      <c r="D1693" s="2" t="s">
        <v>128</v>
      </c>
      <c r="E1693" s="2">
        <v>860</v>
      </c>
    </row>
    <row r="1694" spans="2:5">
      <c r="B1694" s="2">
        <v>11691</v>
      </c>
      <c r="C1694" s="6" t="s">
        <v>1273</v>
      </c>
      <c r="D1694" s="2" t="s">
        <v>131</v>
      </c>
      <c r="E1694" s="2">
        <v>880</v>
      </c>
    </row>
    <row r="1695" spans="2:5">
      <c r="B1695" s="2">
        <v>11692</v>
      </c>
      <c r="C1695" s="6" t="s">
        <v>1273</v>
      </c>
      <c r="D1695" s="2" t="s">
        <v>134</v>
      </c>
      <c r="E1695" s="2">
        <v>900</v>
      </c>
    </row>
    <row r="1696" spans="2:5">
      <c r="B1696" s="2">
        <v>11693</v>
      </c>
      <c r="C1696" s="6" t="s">
        <v>1273</v>
      </c>
      <c r="D1696" s="2" t="s">
        <v>137</v>
      </c>
      <c r="E1696" s="2">
        <v>920</v>
      </c>
    </row>
    <row r="1697" spans="2:5">
      <c r="B1697" s="2">
        <v>11694</v>
      </c>
      <c r="C1697" s="6" t="s">
        <v>1273</v>
      </c>
      <c r="D1697" s="2" t="s">
        <v>140</v>
      </c>
      <c r="E1697" s="2">
        <v>940</v>
      </c>
    </row>
    <row r="1698" spans="2:5">
      <c r="B1698" s="2">
        <v>11695</v>
      </c>
      <c r="C1698" s="6" t="s">
        <v>1273</v>
      </c>
      <c r="D1698" s="2" t="s">
        <v>143</v>
      </c>
      <c r="E1698" s="2">
        <v>960</v>
      </c>
    </row>
    <row r="1699" spans="2:5">
      <c r="B1699" s="2">
        <v>11696</v>
      </c>
      <c r="C1699" s="6" t="s">
        <v>1273</v>
      </c>
      <c r="D1699" s="2" t="s">
        <v>146</v>
      </c>
      <c r="E1699" s="2">
        <v>980</v>
      </c>
    </row>
    <row r="1700" spans="2:5">
      <c r="B1700" s="2">
        <v>11697</v>
      </c>
      <c r="C1700" s="6" t="s">
        <v>1273</v>
      </c>
      <c r="D1700" s="2" t="s">
        <v>149</v>
      </c>
      <c r="E1700" s="2">
        <v>1000</v>
      </c>
    </row>
    <row r="1701" spans="2:5">
      <c r="B1701" s="2">
        <v>11698</v>
      </c>
      <c r="C1701" s="6" t="s">
        <v>1273</v>
      </c>
      <c r="D1701" s="2" t="s">
        <v>152</v>
      </c>
      <c r="E1701" s="2">
        <v>1020</v>
      </c>
    </row>
    <row r="1702" spans="2:5">
      <c r="B1702" s="2">
        <v>11699</v>
      </c>
      <c r="C1702" s="6" t="s">
        <v>1273</v>
      </c>
      <c r="D1702" s="2" t="s">
        <v>155</v>
      </c>
      <c r="E1702" s="2">
        <v>1040</v>
      </c>
    </row>
    <row r="1703" spans="2:5">
      <c r="B1703" s="2">
        <v>11700</v>
      </c>
      <c r="C1703" s="6" t="s">
        <v>1273</v>
      </c>
      <c r="D1703" s="2" t="s">
        <v>158</v>
      </c>
      <c r="E1703" s="2">
        <v>1060</v>
      </c>
    </row>
    <row r="1704" spans="2:5">
      <c r="B1704" s="2">
        <v>11701</v>
      </c>
      <c r="C1704" s="6" t="s">
        <v>1273</v>
      </c>
      <c r="D1704" s="2" t="s">
        <v>161</v>
      </c>
      <c r="E1704" s="2">
        <v>1080</v>
      </c>
    </row>
    <row r="1705" spans="2:5">
      <c r="B1705" s="2">
        <v>11702</v>
      </c>
      <c r="C1705" s="6" t="s">
        <v>1274</v>
      </c>
      <c r="D1705" s="2" t="s">
        <v>13</v>
      </c>
      <c r="E1705" s="4" t="s">
        <v>1275</v>
      </c>
    </row>
    <row r="1706" spans="2:5">
      <c r="B1706" s="2">
        <v>11703</v>
      </c>
      <c r="C1706" s="6" t="s">
        <v>1274</v>
      </c>
      <c r="D1706" s="2" t="s">
        <v>17</v>
      </c>
      <c r="E1706" s="4" t="s">
        <v>1275</v>
      </c>
    </row>
    <row r="1707" spans="2:5">
      <c r="B1707" s="2">
        <v>11704</v>
      </c>
      <c r="C1707" s="6" t="s">
        <v>1274</v>
      </c>
      <c r="D1707" s="2" t="s">
        <v>20</v>
      </c>
      <c r="E1707" s="4" t="s">
        <v>1275</v>
      </c>
    </row>
    <row r="1708" spans="2:5">
      <c r="B1708" s="2">
        <v>11705</v>
      </c>
      <c r="C1708" s="6" t="s">
        <v>1274</v>
      </c>
      <c r="D1708" s="2" t="s">
        <v>23</v>
      </c>
      <c r="E1708" s="4" t="s">
        <v>1275</v>
      </c>
    </row>
    <row r="1709" spans="2:5">
      <c r="B1709" s="2">
        <v>11706</v>
      </c>
      <c r="C1709" s="6" t="s">
        <v>1274</v>
      </c>
      <c r="D1709" s="2" t="s">
        <v>26</v>
      </c>
      <c r="E1709" s="4" t="s">
        <v>1275</v>
      </c>
    </row>
    <row r="1710" spans="2:5">
      <c r="B1710" s="2">
        <v>11707</v>
      </c>
      <c r="C1710" s="6" t="s">
        <v>1274</v>
      </c>
      <c r="D1710" s="2" t="s">
        <v>29</v>
      </c>
      <c r="E1710" s="4" t="s">
        <v>1275</v>
      </c>
    </row>
    <row r="1711" spans="2:5">
      <c r="B1711" s="2">
        <v>11708</v>
      </c>
      <c r="C1711" s="6" t="s">
        <v>1274</v>
      </c>
      <c r="D1711" s="2" t="s">
        <v>32</v>
      </c>
      <c r="E1711" s="4" t="s">
        <v>1275</v>
      </c>
    </row>
    <row r="1712" spans="2:5">
      <c r="B1712" s="2">
        <v>11709</v>
      </c>
      <c r="C1712" s="6" t="s">
        <v>1274</v>
      </c>
      <c r="D1712" s="2" t="s">
        <v>35</v>
      </c>
      <c r="E1712" s="4" t="s">
        <v>1275</v>
      </c>
    </row>
    <row r="1713" spans="2:5">
      <c r="B1713" s="2">
        <v>11710</v>
      </c>
      <c r="C1713" s="6" t="s">
        <v>1274</v>
      </c>
      <c r="D1713" s="2" t="s">
        <v>38</v>
      </c>
      <c r="E1713" s="4" t="s">
        <v>1275</v>
      </c>
    </row>
    <row r="1714" spans="2:5">
      <c r="B1714" s="2">
        <v>11711</v>
      </c>
      <c r="C1714" s="6" t="s">
        <v>1274</v>
      </c>
      <c r="D1714" s="2" t="s">
        <v>41</v>
      </c>
      <c r="E1714" s="4" t="s">
        <v>1275</v>
      </c>
    </row>
    <row r="1715" spans="2:5">
      <c r="B1715" s="2">
        <v>11712</v>
      </c>
      <c r="C1715" s="6" t="s">
        <v>1274</v>
      </c>
      <c r="D1715" s="2" t="s">
        <v>44</v>
      </c>
      <c r="E1715" s="4" t="s">
        <v>1275</v>
      </c>
    </row>
    <row r="1716" spans="2:5">
      <c r="B1716" s="2">
        <v>11713</v>
      </c>
      <c r="C1716" s="6" t="s">
        <v>1274</v>
      </c>
      <c r="D1716" s="2" t="s">
        <v>47</v>
      </c>
      <c r="E1716" s="4" t="s">
        <v>1275</v>
      </c>
    </row>
    <row r="1717" spans="2:5">
      <c r="B1717" s="2">
        <v>11714</v>
      </c>
      <c r="C1717" s="6" t="s">
        <v>1274</v>
      </c>
      <c r="D1717" s="2" t="s">
        <v>50</v>
      </c>
      <c r="E1717" s="4" t="s">
        <v>1275</v>
      </c>
    </row>
    <row r="1718" spans="2:5">
      <c r="B1718" s="2">
        <v>11715</v>
      </c>
      <c r="C1718" s="6" t="s">
        <v>1274</v>
      </c>
      <c r="D1718" s="2" t="s">
        <v>53</v>
      </c>
      <c r="E1718" s="4" t="s">
        <v>1275</v>
      </c>
    </row>
    <row r="1719" spans="2:5">
      <c r="B1719" s="2">
        <v>11716</v>
      </c>
      <c r="C1719" s="6" t="s">
        <v>1274</v>
      </c>
      <c r="D1719" s="2" t="s">
        <v>56</v>
      </c>
      <c r="E1719" s="4" t="s">
        <v>1275</v>
      </c>
    </row>
    <row r="1720" spans="2:5">
      <c r="B1720" s="2">
        <v>11717</v>
      </c>
      <c r="C1720" s="6" t="s">
        <v>1274</v>
      </c>
      <c r="D1720" s="2" t="s">
        <v>59</v>
      </c>
      <c r="E1720" s="4" t="s">
        <v>1275</v>
      </c>
    </row>
    <row r="1721" spans="2:5">
      <c r="B1721" s="2">
        <v>11718</v>
      </c>
      <c r="C1721" s="6" t="s">
        <v>1274</v>
      </c>
      <c r="D1721" s="2" t="s">
        <v>62</v>
      </c>
      <c r="E1721" s="4" t="s">
        <v>1275</v>
      </c>
    </row>
    <row r="1722" spans="2:5">
      <c r="B1722" s="2">
        <v>11719</v>
      </c>
      <c r="C1722" s="6" t="s">
        <v>1274</v>
      </c>
      <c r="D1722" s="2" t="s">
        <v>65</v>
      </c>
      <c r="E1722" s="4" t="s">
        <v>1275</v>
      </c>
    </row>
    <row r="1723" spans="2:5">
      <c r="B1723" s="2">
        <v>11720</v>
      </c>
      <c r="C1723" s="6" t="s">
        <v>1274</v>
      </c>
      <c r="D1723" s="2" t="s">
        <v>68</v>
      </c>
      <c r="E1723" s="4" t="s">
        <v>1275</v>
      </c>
    </row>
    <row r="1724" spans="2:5">
      <c r="B1724" s="2">
        <v>11721</v>
      </c>
      <c r="C1724" s="6" t="s">
        <v>1274</v>
      </c>
      <c r="D1724" s="2" t="s">
        <v>71</v>
      </c>
      <c r="E1724" s="4" t="s">
        <v>1275</v>
      </c>
    </row>
    <row r="1725" spans="2:5">
      <c r="B1725" s="2">
        <v>11722</v>
      </c>
      <c r="C1725" s="6" t="s">
        <v>1274</v>
      </c>
      <c r="D1725" s="2" t="s">
        <v>74</v>
      </c>
      <c r="E1725" s="4" t="s">
        <v>1275</v>
      </c>
    </row>
    <row r="1726" spans="2:5">
      <c r="B1726" s="2">
        <v>11723</v>
      </c>
      <c r="C1726" s="6" t="s">
        <v>1274</v>
      </c>
      <c r="D1726" s="2" t="s">
        <v>77</v>
      </c>
      <c r="E1726" s="4" t="s">
        <v>1275</v>
      </c>
    </row>
    <row r="1727" spans="2:5">
      <c r="B1727" s="2">
        <v>11724</v>
      </c>
      <c r="C1727" s="6" t="s">
        <v>1274</v>
      </c>
      <c r="D1727" s="2" t="s">
        <v>80</v>
      </c>
      <c r="E1727" s="4" t="s">
        <v>1275</v>
      </c>
    </row>
    <row r="1728" spans="2:5">
      <c r="B1728" s="2">
        <v>11725</v>
      </c>
      <c r="C1728" s="6" t="s">
        <v>1274</v>
      </c>
      <c r="D1728" s="2" t="s">
        <v>83</v>
      </c>
      <c r="E1728" s="4" t="s">
        <v>1275</v>
      </c>
    </row>
    <row r="1729" spans="2:5">
      <c r="B1729" s="2">
        <v>11726</v>
      </c>
      <c r="C1729" s="6" t="s">
        <v>1274</v>
      </c>
      <c r="D1729" s="2" t="s">
        <v>86</v>
      </c>
      <c r="E1729" s="4" t="s">
        <v>1275</v>
      </c>
    </row>
    <row r="1730" spans="2:5">
      <c r="B1730" s="2">
        <v>11727</v>
      </c>
      <c r="C1730" s="6" t="s">
        <v>1274</v>
      </c>
      <c r="D1730" s="2" t="s">
        <v>89</v>
      </c>
      <c r="E1730" s="4" t="s">
        <v>1275</v>
      </c>
    </row>
    <row r="1731" spans="2:5">
      <c r="B1731" s="2">
        <v>11728</v>
      </c>
      <c r="C1731" s="6" t="s">
        <v>1274</v>
      </c>
      <c r="D1731" s="2" t="s">
        <v>92</v>
      </c>
      <c r="E1731" s="4" t="s">
        <v>1275</v>
      </c>
    </row>
    <row r="1732" spans="2:5">
      <c r="B1732" s="2">
        <v>11729</v>
      </c>
      <c r="C1732" s="6" t="s">
        <v>1274</v>
      </c>
      <c r="D1732" s="2" t="s">
        <v>95</v>
      </c>
      <c r="E1732" s="4" t="s">
        <v>1275</v>
      </c>
    </row>
    <row r="1733" spans="2:5">
      <c r="B1733" s="2">
        <v>11730</v>
      </c>
      <c r="C1733" s="6" t="s">
        <v>1274</v>
      </c>
      <c r="D1733" s="2" t="s">
        <v>98</v>
      </c>
      <c r="E1733" s="4" t="s">
        <v>1275</v>
      </c>
    </row>
    <row r="1734" spans="2:5">
      <c r="B1734" s="2">
        <v>11731</v>
      </c>
      <c r="C1734" s="6" t="s">
        <v>1274</v>
      </c>
      <c r="D1734" s="2" t="s">
        <v>101</v>
      </c>
      <c r="E1734" s="4" t="s">
        <v>1275</v>
      </c>
    </row>
    <row r="1735" spans="2:5">
      <c r="B1735" s="2">
        <v>11732</v>
      </c>
      <c r="C1735" s="6" t="s">
        <v>1274</v>
      </c>
      <c r="D1735" s="2" t="s">
        <v>104</v>
      </c>
      <c r="E1735" s="4" t="s">
        <v>1275</v>
      </c>
    </row>
    <row r="1736" spans="2:5">
      <c r="B1736" s="2">
        <v>11733</v>
      </c>
      <c r="C1736" s="6" t="s">
        <v>1274</v>
      </c>
      <c r="D1736" s="2" t="s">
        <v>107</v>
      </c>
      <c r="E1736" s="4" t="s">
        <v>1275</v>
      </c>
    </row>
    <row r="1737" spans="2:5">
      <c r="B1737" s="2">
        <v>11734</v>
      </c>
      <c r="C1737" s="6" t="s">
        <v>1274</v>
      </c>
      <c r="D1737" s="2" t="s">
        <v>110</v>
      </c>
      <c r="E1737" s="4" t="s">
        <v>1275</v>
      </c>
    </row>
    <row r="1738" spans="2:5">
      <c r="B1738" s="2">
        <v>11735</v>
      </c>
      <c r="C1738" s="6" t="s">
        <v>1274</v>
      </c>
      <c r="D1738" s="2" t="s">
        <v>113</v>
      </c>
      <c r="E1738" s="4" t="s">
        <v>1275</v>
      </c>
    </row>
    <row r="1739" spans="2:5">
      <c r="B1739" s="2">
        <v>11736</v>
      </c>
      <c r="C1739" s="6" t="s">
        <v>1274</v>
      </c>
      <c r="D1739" s="2" t="s">
        <v>116</v>
      </c>
      <c r="E1739" s="4" t="s">
        <v>1275</v>
      </c>
    </row>
    <row r="1740" spans="2:5">
      <c r="B1740" s="2">
        <v>11737</v>
      </c>
      <c r="C1740" s="6" t="s">
        <v>1274</v>
      </c>
      <c r="D1740" s="2" t="s">
        <v>119</v>
      </c>
      <c r="E1740" s="4" t="s">
        <v>1275</v>
      </c>
    </row>
    <row r="1741" spans="2:5">
      <c r="B1741" s="2">
        <v>11738</v>
      </c>
      <c r="C1741" s="6" t="s">
        <v>1274</v>
      </c>
      <c r="D1741" s="2" t="s">
        <v>122</v>
      </c>
      <c r="E1741" s="4" t="s">
        <v>1275</v>
      </c>
    </row>
    <row r="1742" spans="2:5">
      <c r="B1742" s="2">
        <v>11739</v>
      </c>
      <c r="C1742" s="6" t="s">
        <v>1274</v>
      </c>
      <c r="D1742" s="2" t="s">
        <v>125</v>
      </c>
      <c r="E1742" s="4" t="s">
        <v>1275</v>
      </c>
    </row>
    <row r="1743" spans="2:5">
      <c r="B1743" s="2">
        <v>11740</v>
      </c>
      <c r="C1743" s="6" t="s">
        <v>1274</v>
      </c>
      <c r="D1743" s="2" t="s">
        <v>128</v>
      </c>
      <c r="E1743" s="4" t="s">
        <v>1275</v>
      </c>
    </row>
    <row r="1744" spans="2:5">
      <c r="B1744" s="2">
        <v>11741</v>
      </c>
      <c r="C1744" s="6" t="s">
        <v>1274</v>
      </c>
      <c r="D1744" s="2" t="s">
        <v>131</v>
      </c>
      <c r="E1744" s="4" t="s">
        <v>1275</v>
      </c>
    </row>
    <row r="1745" spans="2:8">
      <c r="B1745" s="2">
        <v>11742</v>
      </c>
      <c r="C1745" s="6" t="s">
        <v>1274</v>
      </c>
      <c r="D1745" s="2" t="s">
        <v>134</v>
      </c>
      <c r="E1745" s="4" t="s">
        <v>1275</v>
      </c>
    </row>
    <row r="1746" spans="2:8">
      <c r="B1746" s="2">
        <v>11743</v>
      </c>
      <c r="C1746" s="6" t="s">
        <v>1274</v>
      </c>
      <c r="D1746" s="2" t="s">
        <v>137</v>
      </c>
      <c r="E1746" s="4" t="s">
        <v>1275</v>
      </c>
    </row>
    <row r="1747" spans="2:8">
      <c r="B1747" s="2">
        <v>11744</v>
      </c>
      <c r="C1747" s="6" t="s">
        <v>1274</v>
      </c>
      <c r="D1747" s="2" t="s">
        <v>140</v>
      </c>
      <c r="E1747" s="4" t="s">
        <v>1275</v>
      </c>
    </row>
    <row r="1748" spans="2:8">
      <c r="B1748" s="2">
        <v>11745</v>
      </c>
      <c r="C1748" s="6" t="s">
        <v>1274</v>
      </c>
      <c r="D1748" s="2" t="s">
        <v>143</v>
      </c>
      <c r="E1748" s="4" t="s">
        <v>1275</v>
      </c>
    </row>
    <row r="1749" spans="2:8">
      <c r="B1749" s="2">
        <v>11746</v>
      </c>
      <c r="C1749" s="6" t="s">
        <v>1274</v>
      </c>
      <c r="D1749" s="2" t="s">
        <v>146</v>
      </c>
      <c r="E1749" s="4" t="s">
        <v>1275</v>
      </c>
    </row>
    <row r="1750" spans="2:8">
      <c r="B1750" s="2">
        <v>11747</v>
      </c>
      <c r="C1750" s="6" t="s">
        <v>1274</v>
      </c>
      <c r="D1750" s="2" t="s">
        <v>149</v>
      </c>
      <c r="E1750" s="4" t="s">
        <v>1275</v>
      </c>
    </row>
    <row r="1751" spans="2:8">
      <c r="B1751" s="2">
        <v>11748</v>
      </c>
      <c r="C1751" s="6" t="s">
        <v>1274</v>
      </c>
      <c r="D1751" s="2" t="s">
        <v>152</v>
      </c>
      <c r="E1751" s="4" t="s">
        <v>1275</v>
      </c>
    </row>
    <row r="1752" spans="2:8">
      <c r="B1752" s="2">
        <v>11749</v>
      </c>
      <c r="C1752" s="6" t="s">
        <v>1274</v>
      </c>
      <c r="D1752" s="2" t="s">
        <v>155</v>
      </c>
      <c r="E1752" s="4" t="s">
        <v>1275</v>
      </c>
    </row>
    <row r="1753" spans="2:8">
      <c r="B1753" s="2">
        <v>11750</v>
      </c>
      <c r="C1753" s="6" t="s">
        <v>1274</v>
      </c>
      <c r="D1753" s="2" t="s">
        <v>158</v>
      </c>
      <c r="E1753" s="4" t="s">
        <v>1275</v>
      </c>
    </row>
    <row r="1754" spans="2:8">
      <c r="B1754" s="2">
        <v>11751</v>
      </c>
      <c r="C1754" s="6" t="s">
        <v>1274</v>
      </c>
      <c r="D1754" s="2" t="s">
        <v>161</v>
      </c>
      <c r="E1754" s="4" t="s">
        <v>1275</v>
      </c>
    </row>
    <row r="1755" spans="2:8">
      <c r="B1755" s="2">
        <v>11752</v>
      </c>
      <c r="C1755" s="6" t="s">
        <v>1276</v>
      </c>
      <c r="D1755" s="2" t="s">
        <v>13</v>
      </c>
      <c r="E1755" s="2">
        <v>100</v>
      </c>
      <c r="F1755" s="2" t="s">
        <v>256</v>
      </c>
      <c r="G1755" s="4" t="s">
        <v>1277</v>
      </c>
      <c r="H1755" s="4"/>
    </row>
    <row r="1756" spans="2:8">
      <c r="B1756" s="2">
        <v>11753</v>
      </c>
      <c r="C1756" s="6" t="s">
        <v>1276</v>
      </c>
      <c r="D1756" s="2" t="s">
        <v>17</v>
      </c>
      <c r="E1756" s="2">
        <v>120</v>
      </c>
      <c r="F1756" s="2" t="s">
        <v>258</v>
      </c>
      <c r="G1756" s="4" t="s">
        <v>1277</v>
      </c>
      <c r="H1756" s="4"/>
    </row>
    <row r="1757" spans="2:8">
      <c r="B1757" s="2">
        <v>11754</v>
      </c>
      <c r="C1757" s="6" t="s">
        <v>1276</v>
      </c>
      <c r="D1757" s="2" t="s">
        <v>20</v>
      </c>
      <c r="E1757" s="2">
        <v>140</v>
      </c>
      <c r="F1757" s="2" t="s">
        <v>259</v>
      </c>
      <c r="G1757" s="4" t="s">
        <v>1277</v>
      </c>
      <c r="H1757" s="4"/>
    </row>
    <row r="1758" spans="2:8">
      <c r="B1758" s="2">
        <v>11755</v>
      </c>
      <c r="C1758" s="6" t="s">
        <v>1276</v>
      </c>
      <c r="D1758" s="2" t="s">
        <v>23</v>
      </c>
      <c r="E1758" s="2">
        <v>160</v>
      </c>
      <c r="F1758" s="2" t="s">
        <v>260</v>
      </c>
      <c r="G1758" s="4" t="s">
        <v>1277</v>
      </c>
      <c r="H1758" s="4"/>
    </row>
    <row r="1759" spans="2:8">
      <c r="B1759" s="2">
        <v>11756</v>
      </c>
      <c r="C1759" s="6" t="s">
        <v>1276</v>
      </c>
      <c r="D1759" s="2" t="s">
        <v>26</v>
      </c>
      <c r="E1759" s="2">
        <v>180</v>
      </c>
      <c r="F1759" s="2" t="s">
        <v>261</v>
      </c>
      <c r="G1759" s="4" t="s">
        <v>1277</v>
      </c>
      <c r="H1759" s="4"/>
    </row>
    <row r="1760" spans="2:8">
      <c r="B1760" s="2">
        <v>11757</v>
      </c>
      <c r="C1760" s="6" t="s">
        <v>1276</v>
      </c>
      <c r="D1760" s="2" t="s">
        <v>29</v>
      </c>
      <c r="E1760" s="2">
        <v>200</v>
      </c>
      <c r="F1760" s="2" t="s">
        <v>262</v>
      </c>
      <c r="G1760" s="4" t="s">
        <v>1277</v>
      </c>
      <c r="H1760" s="4"/>
    </row>
    <row r="1761" spans="2:8">
      <c r="B1761" s="2">
        <v>11758</v>
      </c>
      <c r="C1761" s="6" t="s">
        <v>1276</v>
      </c>
      <c r="D1761" s="2" t="s">
        <v>32</v>
      </c>
      <c r="E1761" s="2">
        <v>220</v>
      </c>
      <c r="F1761" s="2" t="s">
        <v>263</v>
      </c>
      <c r="G1761" s="4" t="s">
        <v>1277</v>
      </c>
      <c r="H1761" s="4"/>
    </row>
    <row r="1762" spans="2:8">
      <c r="B1762" s="2">
        <v>11759</v>
      </c>
      <c r="C1762" s="6" t="s">
        <v>1276</v>
      </c>
      <c r="D1762" s="2" t="s">
        <v>35</v>
      </c>
      <c r="E1762" s="2">
        <v>240</v>
      </c>
      <c r="F1762" s="2" t="s">
        <v>264</v>
      </c>
      <c r="G1762" s="4" t="s">
        <v>1277</v>
      </c>
      <c r="H1762" s="4"/>
    </row>
    <row r="1763" spans="2:8">
      <c r="B1763" s="2">
        <v>11760</v>
      </c>
      <c r="C1763" s="6" t="s">
        <v>1276</v>
      </c>
      <c r="D1763" s="2" t="s">
        <v>38</v>
      </c>
      <c r="E1763" s="2">
        <v>260</v>
      </c>
      <c r="F1763" s="2" t="s">
        <v>265</v>
      </c>
      <c r="G1763" s="4" t="s">
        <v>1277</v>
      </c>
      <c r="H1763" s="4"/>
    </row>
    <row r="1764" spans="2:8">
      <c r="B1764" s="2">
        <v>11761</v>
      </c>
      <c r="C1764" s="6" t="s">
        <v>1276</v>
      </c>
      <c r="D1764" s="2" t="s">
        <v>41</v>
      </c>
      <c r="E1764" s="2">
        <v>280</v>
      </c>
      <c r="F1764" s="2" t="s">
        <v>266</v>
      </c>
      <c r="G1764" s="4" t="s">
        <v>1277</v>
      </c>
      <c r="H1764" s="4"/>
    </row>
    <row r="1765" spans="2:8">
      <c r="B1765" s="2">
        <v>11762</v>
      </c>
      <c r="C1765" s="6" t="s">
        <v>1276</v>
      </c>
      <c r="D1765" s="2" t="s">
        <v>44</v>
      </c>
      <c r="E1765" s="2">
        <v>300</v>
      </c>
      <c r="F1765" s="2" t="s">
        <v>267</v>
      </c>
      <c r="G1765" s="4" t="s">
        <v>1277</v>
      </c>
      <c r="H1765" s="4"/>
    </row>
    <row r="1766" spans="2:8">
      <c r="B1766" s="2">
        <v>11763</v>
      </c>
      <c r="C1766" s="6" t="s">
        <v>1276</v>
      </c>
      <c r="D1766" s="2" t="s">
        <v>47</v>
      </c>
      <c r="E1766" s="2">
        <v>320</v>
      </c>
      <c r="F1766" s="2" t="s">
        <v>268</v>
      </c>
      <c r="G1766" s="4" t="s">
        <v>1277</v>
      </c>
      <c r="H1766" s="4"/>
    </row>
    <row r="1767" spans="2:8">
      <c r="B1767" s="2">
        <v>11764</v>
      </c>
      <c r="C1767" s="6" t="s">
        <v>1276</v>
      </c>
      <c r="D1767" s="2" t="s">
        <v>50</v>
      </c>
      <c r="E1767" s="2">
        <v>340</v>
      </c>
      <c r="F1767" s="2" t="s">
        <v>269</v>
      </c>
      <c r="G1767" s="4" t="s">
        <v>1277</v>
      </c>
      <c r="H1767" s="4"/>
    </row>
    <row r="1768" spans="2:8">
      <c r="B1768" s="2">
        <v>11765</v>
      </c>
      <c r="C1768" s="6" t="s">
        <v>1276</v>
      </c>
      <c r="D1768" s="2" t="s">
        <v>53</v>
      </c>
      <c r="E1768" s="2">
        <v>360</v>
      </c>
      <c r="F1768" s="2" t="s">
        <v>270</v>
      </c>
      <c r="G1768" s="4" t="s">
        <v>1277</v>
      </c>
      <c r="H1768" s="4"/>
    </row>
    <row r="1769" spans="2:8">
      <c r="B1769" s="2">
        <v>11766</v>
      </c>
      <c r="C1769" s="6" t="s">
        <v>1276</v>
      </c>
      <c r="D1769" s="2" t="s">
        <v>56</v>
      </c>
      <c r="E1769" s="2">
        <v>380</v>
      </c>
      <c r="F1769" s="2" t="s">
        <v>271</v>
      </c>
      <c r="G1769" s="4" t="s">
        <v>1277</v>
      </c>
      <c r="H1769" s="4"/>
    </row>
    <row r="1770" spans="2:8">
      <c r="B1770" s="2">
        <v>11767</v>
      </c>
      <c r="C1770" s="6" t="s">
        <v>1276</v>
      </c>
      <c r="D1770" s="2" t="s">
        <v>59</v>
      </c>
      <c r="E1770" s="2">
        <v>400</v>
      </c>
      <c r="F1770" s="2" t="s">
        <v>272</v>
      </c>
      <c r="G1770" s="4" t="s">
        <v>1277</v>
      </c>
      <c r="H1770" s="4"/>
    </row>
    <row r="1771" spans="2:8">
      <c r="B1771" s="2">
        <v>11768</v>
      </c>
      <c r="C1771" s="6" t="s">
        <v>1276</v>
      </c>
      <c r="D1771" s="2" t="s">
        <v>62</v>
      </c>
      <c r="E1771" s="2">
        <v>420</v>
      </c>
      <c r="F1771" s="2" t="s">
        <v>273</v>
      </c>
      <c r="G1771" s="4" t="s">
        <v>1277</v>
      </c>
      <c r="H1771" s="4"/>
    </row>
    <row r="1772" spans="2:8">
      <c r="B1772" s="2">
        <v>11769</v>
      </c>
      <c r="C1772" s="6" t="s">
        <v>1276</v>
      </c>
      <c r="D1772" s="2" t="s">
        <v>65</v>
      </c>
      <c r="E1772" s="2">
        <v>440</v>
      </c>
      <c r="F1772" s="2" t="s">
        <v>274</v>
      </c>
      <c r="G1772" s="4" t="s">
        <v>1277</v>
      </c>
      <c r="H1772" s="4"/>
    </row>
    <row r="1773" spans="2:8">
      <c r="B1773" s="2">
        <v>11770</v>
      </c>
      <c r="C1773" s="6" t="s">
        <v>1276</v>
      </c>
      <c r="D1773" s="2" t="s">
        <v>68</v>
      </c>
      <c r="E1773" s="2">
        <v>460</v>
      </c>
      <c r="F1773" s="2" t="s">
        <v>275</v>
      </c>
      <c r="G1773" s="4" t="s">
        <v>1277</v>
      </c>
      <c r="H1773" s="4"/>
    </row>
    <row r="1774" spans="2:8">
      <c r="B1774" s="2">
        <v>11771</v>
      </c>
      <c r="C1774" s="6" t="s">
        <v>1276</v>
      </c>
      <c r="D1774" s="2" t="s">
        <v>71</v>
      </c>
      <c r="E1774" s="2">
        <v>480</v>
      </c>
      <c r="F1774" s="2" t="s">
        <v>276</v>
      </c>
      <c r="G1774" s="4" t="s">
        <v>1277</v>
      </c>
      <c r="H1774" s="4"/>
    </row>
    <row r="1775" spans="2:8">
      <c r="B1775" s="2">
        <v>11772</v>
      </c>
      <c r="C1775" s="6" t="s">
        <v>1276</v>
      </c>
      <c r="D1775" s="2" t="s">
        <v>74</v>
      </c>
      <c r="E1775" s="2">
        <v>500</v>
      </c>
      <c r="F1775" s="2" t="s">
        <v>277</v>
      </c>
      <c r="G1775" s="4" t="s">
        <v>1277</v>
      </c>
      <c r="H1775" s="4"/>
    </row>
    <row r="1776" spans="2:8">
      <c r="B1776" s="2">
        <v>11773</v>
      </c>
      <c r="C1776" s="6" t="s">
        <v>1276</v>
      </c>
      <c r="D1776" s="2" t="s">
        <v>77</v>
      </c>
      <c r="E1776" s="2">
        <v>520</v>
      </c>
      <c r="F1776" s="2" t="s">
        <v>278</v>
      </c>
      <c r="G1776" s="4" t="s">
        <v>1277</v>
      </c>
      <c r="H1776" s="4"/>
    </row>
    <row r="1777" spans="2:8">
      <c r="B1777" s="2">
        <v>11774</v>
      </c>
      <c r="C1777" s="6" t="s">
        <v>1276</v>
      </c>
      <c r="D1777" s="2" t="s">
        <v>80</v>
      </c>
      <c r="E1777" s="2">
        <v>540</v>
      </c>
      <c r="F1777" s="2" t="s">
        <v>279</v>
      </c>
      <c r="G1777" s="4" t="s">
        <v>1277</v>
      </c>
      <c r="H1777" s="4"/>
    </row>
    <row r="1778" spans="2:8">
      <c r="B1778" s="2">
        <v>11775</v>
      </c>
      <c r="C1778" s="6" t="s">
        <v>1276</v>
      </c>
      <c r="D1778" s="2" t="s">
        <v>83</v>
      </c>
      <c r="E1778" s="2">
        <v>560</v>
      </c>
      <c r="F1778" s="2" t="s">
        <v>280</v>
      </c>
      <c r="G1778" s="4" t="s">
        <v>1277</v>
      </c>
      <c r="H1778" s="4"/>
    </row>
    <row r="1779" spans="2:8">
      <c r="B1779" s="2">
        <v>11776</v>
      </c>
      <c r="C1779" s="6" t="s">
        <v>1276</v>
      </c>
      <c r="D1779" s="2" t="s">
        <v>86</v>
      </c>
      <c r="E1779" s="2">
        <v>580</v>
      </c>
      <c r="F1779" s="2" t="s">
        <v>281</v>
      </c>
      <c r="G1779" s="4" t="s">
        <v>1277</v>
      </c>
      <c r="H1779" s="4"/>
    </row>
    <row r="1780" spans="2:8">
      <c r="B1780" s="2">
        <v>11777</v>
      </c>
      <c r="C1780" s="6" t="s">
        <v>1276</v>
      </c>
      <c r="D1780" s="2" t="s">
        <v>89</v>
      </c>
      <c r="E1780" s="2">
        <v>600</v>
      </c>
      <c r="F1780" s="2" t="s">
        <v>282</v>
      </c>
      <c r="G1780" s="4" t="s">
        <v>1277</v>
      </c>
      <c r="H1780" s="4"/>
    </row>
    <row r="1781" spans="2:8">
      <c r="B1781" s="2">
        <v>11778</v>
      </c>
      <c r="C1781" s="6" t="s">
        <v>1276</v>
      </c>
      <c r="D1781" s="2" t="s">
        <v>92</v>
      </c>
      <c r="E1781" s="2">
        <v>620</v>
      </c>
      <c r="F1781" s="2" t="s">
        <v>283</v>
      </c>
      <c r="G1781" s="4" t="s">
        <v>1277</v>
      </c>
      <c r="H1781" s="4"/>
    </row>
    <row r="1782" spans="2:8">
      <c r="B1782" s="2">
        <v>11779</v>
      </c>
      <c r="C1782" s="6" t="s">
        <v>1276</v>
      </c>
      <c r="D1782" s="2" t="s">
        <v>95</v>
      </c>
      <c r="E1782" s="2">
        <v>640</v>
      </c>
      <c r="F1782" s="2" t="s">
        <v>284</v>
      </c>
      <c r="G1782" s="4" t="s">
        <v>1277</v>
      </c>
      <c r="H1782" s="4"/>
    </row>
    <row r="1783" spans="2:8">
      <c r="B1783" s="2">
        <v>11780</v>
      </c>
      <c r="C1783" s="6" t="s">
        <v>1276</v>
      </c>
      <c r="D1783" s="2" t="s">
        <v>98</v>
      </c>
      <c r="E1783" s="2">
        <v>660</v>
      </c>
      <c r="F1783" s="2" t="s">
        <v>285</v>
      </c>
      <c r="G1783" s="4" t="s">
        <v>1277</v>
      </c>
      <c r="H1783" s="4"/>
    </row>
    <row r="1784" spans="2:8">
      <c r="B1784" s="2">
        <v>11781</v>
      </c>
      <c r="C1784" s="6" t="s">
        <v>1276</v>
      </c>
      <c r="D1784" s="2" t="s">
        <v>101</v>
      </c>
      <c r="E1784" s="2">
        <v>680</v>
      </c>
      <c r="F1784" s="2" t="s">
        <v>286</v>
      </c>
      <c r="G1784" s="4" t="s">
        <v>1277</v>
      </c>
      <c r="H1784" s="4"/>
    </row>
    <row r="1785" spans="2:8">
      <c r="B1785" s="2">
        <v>11782</v>
      </c>
      <c r="C1785" s="6" t="s">
        <v>1276</v>
      </c>
      <c r="D1785" s="2" t="s">
        <v>104</v>
      </c>
      <c r="E1785" s="2">
        <v>700</v>
      </c>
      <c r="F1785" s="2" t="s">
        <v>287</v>
      </c>
      <c r="G1785" s="4" t="s">
        <v>1277</v>
      </c>
      <c r="H1785" s="4"/>
    </row>
    <row r="1786" spans="2:8">
      <c r="B1786" s="2">
        <v>11783</v>
      </c>
      <c r="C1786" s="6" t="s">
        <v>1276</v>
      </c>
      <c r="D1786" s="2" t="s">
        <v>107</v>
      </c>
      <c r="E1786" s="2">
        <v>720</v>
      </c>
      <c r="F1786" s="2" t="s">
        <v>288</v>
      </c>
      <c r="G1786" s="4" t="s">
        <v>1277</v>
      </c>
      <c r="H1786" s="4"/>
    </row>
    <row r="1787" spans="2:8">
      <c r="B1787" s="2">
        <v>11784</v>
      </c>
      <c r="C1787" s="6" t="s">
        <v>1276</v>
      </c>
      <c r="D1787" s="2" t="s">
        <v>110</v>
      </c>
      <c r="E1787" s="2">
        <v>740</v>
      </c>
      <c r="F1787" s="2" t="s">
        <v>289</v>
      </c>
      <c r="G1787" s="4" t="s">
        <v>1277</v>
      </c>
      <c r="H1787" s="4"/>
    </row>
    <row r="1788" spans="2:8">
      <c r="B1788" s="2">
        <v>11785</v>
      </c>
      <c r="C1788" s="6" t="s">
        <v>1276</v>
      </c>
      <c r="D1788" s="2" t="s">
        <v>113</v>
      </c>
      <c r="E1788" s="2">
        <v>760</v>
      </c>
      <c r="F1788" s="2" t="s">
        <v>290</v>
      </c>
      <c r="G1788" s="4" t="s">
        <v>1277</v>
      </c>
      <c r="H1788" s="4"/>
    </row>
    <row r="1789" spans="2:8">
      <c r="B1789" s="2">
        <v>11786</v>
      </c>
      <c r="C1789" s="6" t="s">
        <v>1276</v>
      </c>
      <c r="D1789" s="2" t="s">
        <v>116</v>
      </c>
      <c r="E1789" s="2">
        <v>780</v>
      </c>
      <c r="F1789" s="2" t="s">
        <v>291</v>
      </c>
      <c r="G1789" s="4" t="s">
        <v>1277</v>
      </c>
      <c r="H1789" s="4"/>
    </row>
    <row r="1790" spans="2:8">
      <c r="B1790" s="2">
        <v>11787</v>
      </c>
      <c r="C1790" s="6" t="s">
        <v>1276</v>
      </c>
      <c r="D1790" s="2" t="s">
        <v>119</v>
      </c>
      <c r="E1790" s="2">
        <v>800</v>
      </c>
      <c r="F1790" s="2" t="s">
        <v>292</v>
      </c>
      <c r="G1790" s="4" t="s">
        <v>1277</v>
      </c>
      <c r="H1790" s="4"/>
    </row>
    <row r="1791" spans="2:8">
      <c r="B1791" s="2">
        <v>11788</v>
      </c>
      <c r="C1791" s="6" t="s">
        <v>1276</v>
      </c>
      <c r="D1791" s="2" t="s">
        <v>122</v>
      </c>
      <c r="E1791" s="2">
        <v>820</v>
      </c>
      <c r="F1791" s="2" t="s">
        <v>293</v>
      </c>
      <c r="G1791" s="4" t="s">
        <v>1277</v>
      </c>
      <c r="H1791" s="4"/>
    </row>
    <row r="1792" spans="2:8">
      <c r="B1792" s="2">
        <v>11789</v>
      </c>
      <c r="C1792" s="6" t="s">
        <v>1276</v>
      </c>
      <c r="D1792" s="2" t="s">
        <v>125</v>
      </c>
      <c r="E1792" s="2">
        <v>840</v>
      </c>
      <c r="F1792" s="2" t="s">
        <v>294</v>
      </c>
      <c r="G1792" s="4" t="s">
        <v>1277</v>
      </c>
      <c r="H1792" s="4"/>
    </row>
    <row r="1793" spans="2:8">
      <c r="B1793" s="2">
        <v>11790</v>
      </c>
      <c r="C1793" s="6" t="s">
        <v>1276</v>
      </c>
      <c r="D1793" s="2" t="s">
        <v>128</v>
      </c>
      <c r="E1793" s="2">
        <v>860</v>
      </c>
      <c r="F1793" s="2" t="s">
        <v>295</v>
      </c>
      <c r="G1793" s="4" t="s">
        <v>1277</v>
      </c>
      <c r="H1793" s="4"/>
    </row>
    <row r="1794" spans="2:8">
      <c r="B1794" s="2">
        <v>11791</v>
      </c>
      <c r="C1794" s="6" t="s">
        <v>1276</v>
      </c>
      <c r="D1794" s="2" t="s">
        <v>131</v>
      </c>
      <c r="E1794" s="2">
        <v>880</v>
      </c>
      <c r="F1794" s="2" t="s">
        <v>296</v>
      </c>
      <c r="G1794" s="4" t="s">
        <v>1277</v>
      </c>
      <c r="H1794" s="4"/>
    </row>
    <row r="1795" spans="2:8">
      <c r="B1795" s="2">
        <v>11792</v>
      </c>
      <c r="C1795" s="6" t="s">
        <v>1276</v>
      </c>
      <c r="D1795" s="2" t="s">
        <v>134</v>
      </c>
      <c r="E1795" s="2">
        <v>900</v>
      </c>
      <c r="F1795" s="2" t="s">
        <v>297</v>
      </c>
      <c r="G1795" s="4" t="s">
        <v>1277</v>
      </c>
      <c r="H1795" s="4"/>
    </row>
    <row r="1796" spans="2:8">
      <c r="B1796" s="2">
        <v>11793</v>
      </c>
      <c r="C1796" s="6" t="s">
        <v>1276</v>
      </c>
      <c r="D1796" s="2" t="s">
        <v>137</v>
      </c>
      <c r="E1796" s="2">
        <v>920</v>
      </c>
      <c r="F1796" s="2" t="s">
        <v>298</v>
      </c>
      <c r="G1796" s="4" t="s">
        <v>1277</v>
      </c>
      <c r="H1796" s="4"/>
    </row>
    <row r="1797" spans="2:8">
      <c r="B1797" s="2">
        <v>11794</v>
      </c>
      <c r="C1797" s="6" t="s">
        <v>1276</v>
      </c>
      <c r="D1797" s="2" t="s">
        <v>140</v>
      </c>
      <c r="E1797" s="2">
        <v>940</v>
      </c>
      <c r="F1797" s="2" t="s">
        <v>299</v>
      </c>
      <c r="G1797" s="4" t="s">
        <v>1277</v>
      </c>
      <c r="H1797" s="4"/>
    </row>
    <row r="1798" spans="2:8">
      <c r="B1798" s="2">
        <v>11795</v>
      </c>
      <c r="C1798" s="6" t="s">
        <v>1276</v>
      </c>
      <c r="D1798" s="2" t="s">
        <v>143</v>
      </c>
      <c r="E1798" s="2">
        <v>960</v>
      </c>
      <c r="F1798" s="2" t="s">
        <v>300</v>
      </c>
      <c r="G1798" s="4" t="s">
        <v>1277</v>
      </c>
      <c r="H1798" s="4"/>
    </row>
    <row r="1799" spans="2:8">
      <c r="B1799" s="2">
        <v>11796</v>
      </c>
      <c r="C1799" s="6" t="s">
        <v>1276</v>
      </c>
      <c r="D1799" s="2" t="s">
        <v>146</v>
      </c>
      <c r="E1799" s="2">
        <v>980</v>
      </c>
      <c r="F1799" s="2" t="s">
        <v>301</v>
      </c>
      <c r="G1799" s="4" t="s">
        <v>1277</v>
      </c>
      <c r="H1799" s="4"/>
    </row>
    <row r="1800" spans="2:8">
      <c r="B1800" s="2">
        <v>11797</v>
      </c>
      <c r="C1800" s="6" t="s">
        <v>1276</v>
      </c>
      <c r="D1800" s="2" t="s">
        <v>149</v>
      </c>
      <c r="E1800" s="2">
        <v>1000</v>
      </c>
      <c r="F1800" s="2" t="s">
        <v>302</v>
      </c>
      <c r="G1800" s="4" t="s">
        <v>1277</v>
      </c>
      <c r="H1800" s="4"/>
    </row>
    <row r="1801" spans="2:8">
      <c r="B1801" s="2">
        <v>11798</v>
      </c>
      <c r="C1801" s="6" t="s">
        <v>1276</v>
      </c>
      <c r="D1801" s="2" t="s">
        <v>152</v>
      </c>
      <c r="E1801" s="2">
        <v>1020</v>
      </c>
      <c r="F1801" s="2" t="s">
        <v>303</v>
      </c>
      <c r="G1801" s="4" t="s">
        <v>1277</v>
      </c>
      <c r="H1801" s="4"/>
    </row>
    <row r="1802" spans="2:8">
      <c r="B1802" s="2">
        <v>11799</v>
      </c>
      <c r="C1802" s="6" t="s">
        <v>1276</v>
      </c>
      <c r="D1802" s="2" t="s">
        <v>155</v>
      </c>
      <c r="E1802" s="2">
        <v>1040</v>
      </c>
      <c r="F1802" s="2" t="s">
        <v>304</v>
      </c>
      <c r="G1802" s="4" t="s">
        <v>1277</v>
      </c>
      <c r="H1802" s="4"/>
    </row>
    <row r="1803" spans="2:8">
      <c r="B1803" s="2">
        <v>11800</v>
      </c>
      <c r="C1803" s="6" t="s">
        <v>1276</v>
      </c>
      <c r="D1803" s="2" t="s">
        <v>158</v>
      </c>
      <c r="E1803" s="2">
        <v>1060</v>
      </c>
      <c r="F1803" s="2" t="s">
        <v>305</v>
      </c>
      <c r="G1803" s="4" t="s">
        <v>1277</v>
      </c>
      <c r="H1803" s="4"/>
    </row>
    <row r="1804" spans="2:8">
      <c r="B1804" s="2">
        <v>11801</v>
      </c>
      <c r="C1804" s="6" t="s">
        <v>1276</v>
      </c>
      <c r="D1804" s="2" t="s">
        <v>161</v>
      </c>
      <c r="E1804" s="2">
        <v>1080</v>
      </c>
      <c r="F1804" s="2" t="s">
        <v>306</v>
      </c>
      <c r="G1804" s="4" t="s">
        <v>1277</v>
      </c>
      <c r="H1804" s="4"/>
    </row>
    <row r="1805" spans="2:8">
      <c r="B1805" s="2">
        <v>11802</v>
      </c>
      <c r="C1805" s="4" t="s">
        <v>1278</v>
      </c>
      <c r="D1805" s="2" t="s">
        <v>13</v>
      </c>
      <c r="E1805" s="2" t="s">
        <v>1279</v>
      </c>
      <c r="F1805" s="23" t="s">
        <v>15</v>
      </c>
    </row>
    <row r="1806" spans="2:8">
      <c r="B1806" s="2">
        <v>11803</v>
      </c>
      <c r="C1806" s="4" t="s">
        <v>1278</v>
      </c>
      <c r="D1806" s="2" t="s">
        <v>17</v>
      </c>
      <c r="E1806" s="2" t="s">
        <v>380</v>
      </c>
      <c r="F1806" s="23" t="s">
        <v>19</v>
      </c>
    </row>
    <row r="1807" spans="2:8">
      <c r="B1807" s="2">
        <v>11804</v>
      </c>
      <c r="C1807" s="4" t="s">
        <v>1278</v>
      </c>
      <c r="D1807" s="2" t="s">
        <v>20</v>
      </c>
      <c r="E1807" s="2" t="s">
        <v>1280</v>
      </c>
      <c r="F1807" s="23" t="s">
        <v>22</v>
      </c>
    </row>
    <row r="1808" spans="2:8">
      <c r="B1808" s="2">
        <v>11805</v>
      </c>
      <c r="C1808" s="4" t="s">
        <v>1278</v>
      </c>
      <c r="D1808" s="2" t="s">
        <v>23</v>
      </c>
      <c r="E1808" s="2" t="s">
        <v>1281</v>
      </c>
      <c r="F1808" s="23" t="s">
        <v>25</v>
      </c>
    </row>
    <row r="1809" spans="2:6">
      <c r="B1809" s="2">
        <v>11806</v>
      </c>
      <c r="C1809" s="4" t="s">
        <v>1278</v>
      </c>
      <c r="D1809" s="2" t="s">
        <v>26</v>
      </c>
      <c r="E1809" s="2" t="s">
        <v>1282</v>
      </c>
      <c r="F1809" s="23" t="s">
        <v>28</v>
      </c>
    </row>
    <row r="1810" spans="2:6">
      <c r="B1810" s="2">
        <v>11807</v>
      </c>
      <c r="C1810" s="4" t="s">
        <v>1278</v>
      </c>
      <c r="D1810" s="2" t="s">
        <v>29</v>
      </c>
      <c r="E1810" s="2" t="s">
        <v>1283</v>
      </c>
      <c r="F1810" s="23" t="s">
        <v>31</v>
      </c>
    </row>
    <row r="1811" spans="2:6">
      <c r="B1811" s="2">
        <v>11808</v>
      </c>
      <c r="C1811" s="4" t="s">
        <v>1278</v>
      </c>
      <c r="D1811" s="2" t="s">
        <v>32</v>
      </c>
      <c r="E1811" s="2" t="s">
        <v>1284</v>
      </c>
      <c r="F1811" s="23" t="s">
        <v>34</v>
      </c>
    </row>
    <row r="1812" spans="2:6">
      <c r="B1812" s="2">
        <v>11809</v>
      </c>
      <c r="C1812" s="4" t="s">
        <v>1278</v>
      </c>
      <c r="D1812" s="2" t="s">
        <v>35</v>
      </c>
      <c r="E1812" s="2" t="s">
        <v>1285</v>
      </c>
      <c r="F1812" s="23" t="s">
        <v>37</v>
      </c>
    </row>
    <row r="1813" spans="2:6">
      <c r="B1813" s="2">
        <v>11810</v>
      </c>
      <c r="C1813" s="4" t="s">
        <v>1278</v>
      </c>
      <c r="D1813" s="2" t="s">
        <v>38</v>
      </c>
      <c r="E1813" s="2" t="s">
        <v>1286</v>
      </c>
      <c r="F1813" s="23" t="s">
        <v>40</v>
      </c>
    </row>
    <row r="1814" spans="2:6">
      <c r="B1814" s="2">
        <v>11811</v>
      </c>
      <c r="C1814" s="4" t="s">
        <v>1278</v>
      </c>
      <c r="D1814" s="2" t="s">
        <v>41</v>
      </c>
      <c r="E1814" s="2" t="s">
        <v>1287</v>
      </c>
      <c r="F1814" s="23" t="s">
        <v>43</v>
      </c>
    </row>
    <row r="1815" spans="2:6">
      <c r="B1815" s="2">
        <v>11812</v>
      </c>
      <c r="C1815" s="4" t="s">
        <v>1278</v>
      </c>
      <c r="D1815" s="2" t="s">
        <v>44</v>
      </c>
      <c r="E1815" s="2" t="s">
        <v>1288</v>
      </c>
      <c r="F1815" s="23" t="s">
        <v>46</v>
      </c>
    </row>
    <row r="1816" spans="2:6">
      <c r="B1816" s="2">
        <v>11813</v>
      </c>
      <c r="C1816" s="4" t="s">
        <v>1278</v>
      </c>
      <c r="D1816" s="2" t="s">
        <v>47</v>
      </c>
      <c r="E1816" s="2" t="s">
        <v>1289</v>
      </c>
      <c r="F1816" s="23" t="s">
        <v>49</v>
      </c>
    </row>
    <row r="1817" spans="2:6">
      <c r="B1817" s="2">
        <v>11814</v>
      </c>
      <c r="C1817" s="4" t="s">
        <v>1278</v>
      </c>
      <c r="D1817" s="2" t="s">
        <v>50</v>
      </c>
      <c r="E1817" s="2" t="s">
        <v>1290</v>
      </c>
      <c r="F1817" s="23" t="s">
        <v>52</v>
      </c>
    </row>
    <row r="1818" spans="2:6">
      <c r="B1818" s="2">
        <v>11815</v>
      </c>
      <c r="C1818" s="4" t="s">
        <v>1278</v>
      </c>
      <c r="D1818" s="2" t="s">
        <v>53</v>
      </c>
      <c r="E1818" s="2" t="s">
        <v>1291</v>
      </c>
      <c r="F1818" s="23" t="s">
        <v>55</v>
      </c>
    </row>
    <row r="1819" spans="2:6">
      <c r="B1819" s="2">
        <v>11816</v>
      </c>
      <c r="C1819" s="4" t="s">
        <v>1278</v>
      </c>
      <c r="D1819" s="2" t="s">
        <v>56</v>
      </c>
      <c r="E1819" s="2" t="s">
        <v>1292</v>
      </c>
      <c r="F1819" s="23" t="s">
        <v>58</v>
      </c>
    </row>
    <row r="1820" spans="2:6">
      <c r="B1820" s="2">
        <v>11817</v>
      </c>
      <c r="C1820" s="4" t="s">
        <v>1278</v>
      </c>
      <c r="D1820" s="2" t="s">
        <v>59</v>
      </c>
      <c r="E1820" s="2" t="s">
        <v>1293</v>
      </c>
      <c r="F1820" s="23" t="s">
        <v>61</v>
      </c>
    </row>
    <row r="1821" spans="2:6">
      <c r="B1821" s="2">
        <v>11818</v>
      </c>
      <c r="C1821" s="4" t="s">
        <v>1278</v>
      </c>
      <c r="D1821" s="2" t="s">
        <v>62</v>
      </c>
      <c r="E1821" s="2" t="s">
        <v>1294</v>
      </c>
      <c r="F1821" s="23" t="s">
        <v>64</v>
      </c>
    </row>
    <row r="1822" spans="2:6">
      <c r="B1822" s="2">
        <v>11819</v>
      </c>
      <c r="C1822" s="4" t="s">
        <v>1278</v>
      </c>
      <c r="D1822" s="2" t="s">
        <v>65</v>
      </c>
      <c r="E1822" s="2" t="s">
        <v>1295</v>
      </c>
      <c r="F1822" s="23" t="s">
        <v>67</v>
      </c>
    </row>
    <row r="1823" spans="2:6">
      <c r="B1823" s="2">
        <v>11820</v>
      </c>
      <c r="C1823" s="4" t="s">
        <v>1278</v>
      </c>
      <c r="D1823" s="2" t="s">
        <v>68</v>
      </c>
      <c r="E1823" s="2" t="s">
        <v>1296</v>
      </c>
      <c r="F1823" s="23" t="s">
        <v>70</v>
      </c>
    </row>
    <row r="1824" spans="2:6">
      <c r="B1824" s="2">
        <v>11821</v>
      </c>
      <c r="C1824" s="4" t="s">
        <v>1278</v>
      </c>
      <c r="D1824" s="2" t="s">
        <v>71</v>
      </c>
      <c r="E1824" s="2" t="s">
        <v>1297</v>
      </c>
      <c r="F1824" s="23" t="s">
        <v>73</v>
      </c>
    </row>
    <row r="1825" spans="2:6">
      <c r="B1825" s="2">
        <v>11822</v>
      </c>
      <c r="C1825" s="4" t="s">
        <v>1278</v>
      </c>
      <c r="D1825" s="2" t="s">
        <v>74</v>
      </c>
      <c r="E1825" s="2" t="s">
        <v>1298</v>
      </c>
      <c r="F1825" s="23" t="s">
        <v>76</v>
      </c>
    </row>
    <row r="1826" spans="2:6">
      <c r="B1826" s="2">
        <v>11823</v>
      </c>
      <c r="C1826" s="4" t="s">
        <v>1278</v>
      </c>
      <c r="D1826" s="2" t="s">
        <v>77</v>
      </c>
      <c r="E1826" s="2" t="s">
        <v>1299</v>
      </c>
      <c r="F1826" s="23" t="s">
        <v>79</v>
      </c>
    </row>
    <row r="1827" spans="2:6">
      <c r="B1827" s="2">
        <v>11824</v>
      </c>
      <c r="C1827" s="4" t="s">
        <v>1278</v>
      </c>
      <c r="D1827" s="2" t="s">
        <v>80</v>
      </c>
      <c r="E1827" s="2" t="s">
        <v>1300</v>
      </c>
      <c r="F1827" s="23" t="s">
        <v>82</v>
      </c>
    </row>
    <row r="1828" spans="2:6">
      <c r="B1828" s="2">
        <v>11825</v>
      </c>
      <c r="C1828" s="4" t="s">
        <v>1278</v>
      </c>
      <c r="D1828" s="2" t="s">
        <v>83</v>
      </c>
      <c r="E1828" s="2" t="s">
        <v>1301</v>
      </c>
      <c r="F1828" s="23" t="s">
        <v>85</v>
      </c>
    </row>
    <row r="1829" spans="2:6">
      <c r="B1829" s="2">
        <v>11826</v>
      </c>
      <c r="C1829" s="4" t="s">
        <v>1278</v>
      </c>
      <c r="D1829" s="2" t="s">
        <v>86</v>
      </c>
      <c r="E1829" s="2" t="s">
        <v>1302</v>
      </c>
      <c r="F1829" s="23" t="s">
        <v>88</v>
      </c>
    </row>
    <row r="1830" spans="2:6">
      <c r="B1830" s="2">
        <v>11827</v>
      </c>
      <c r="C1830" s="4" t="s">
        <v>1278</v>
      </c>
      <c r="D1830" s="2" t="s">
        <v>89</v>
      </c>
      <c r="E1830" s="2" t="s">
        <v>1303</v>
      </c>
      <c r="F1830" s="23" t="s">
        <v>91</v>
      </c>
    </row>
    <row r="1831" spans="2:6">
      <c r="B1831" s="2">
        <v>11828</v>
      </c>
      <c r="C1831" s="4" t="s">
        <v>1278</v>
      </c>
      <c r="D1831" s="2" t="s">
        <v>92</v>
      </c>
      <c r="E1831" s="2" t="s">
        <v>1304</v>
      </c>
      <c r="F1831" s="23" t="s">
        <v>94</v>
      </c>
    </row>
    <row r="1832" spans="2:6">
      <c r="B1832" s="2">
        <v>11829</v>
      </c>
      <c r="C1832" s="4" t="s">
        <v>1278</v>
      </c>
      <c r="D1832" s="2" t="s">
        <v>95</v>
      </c>
      <c r="E1832" s="2" t="s">
        <v>1305</v>
      </c>
      <c r="F1832" s="23" t="s">
        <v>97</v>
      </c>
    </row>
    <row r="1833" spans="2:6">
      <c r="B1833" s="2">
        <v>11830</v>
      </c>
      <c r="C1833" s="4" t="s">
        <v>1278</v>
      </c>
      <c r="D1833" s="2" t="s">
        <v>98</v>
      </c>
      <c r="E1833" s="2" t="s">
        <v>1306</v>
      </c>
      <c r="F1833" s="23" t="s">
        <v>100</v>
      </c>
    </row>
    <row r="1834" spans="2:6">
      <c r="B1834" s="2">
        <v>11831</v>
      </c>
      <c r="C1834" s="4" t="s">
        <v>1278</v>
      </c>
      <c r="D1834" s="2" t="s">
        <v>101</v>
      </c>
      <c r="E1834" s="2" t="s">
        <v>1307</v>
      </c>
      <c r="F1834" s="23" t="s">
        <v>103</v>
      </c>
    </row>
    <row r="1835" spans="2:6">
      <c r="B1835" s="2">
        <v>11832</v>
      </c>
      <c r="C1835" s="4" t="s">
        <v>1278</v>
      </c>
      <c r="D1835" s="2" t="s">
        <v>104</v>
      </c>
      <c r="E1835" s="2" t="s">
        <v>1308</v>
      </c>
      <c r="F1835" s="23" t="s">
        <v>106</v>
      </c>
    </row>
    <row r="1836" spans="2:6">
      <c r="B1836" s="2">
        <v>11833</v>
      </c>
      <c r="C1836" s="4" t="s">
        <v>1278</v>
      </c>
      <c r="D1836" s="2" t="s">
        <v>107</v>
      </c>
      <c r="E1836" s="2" t="s">
        <v>1309</v>
      </c>
      <c r="F1836" s="23" t="s">
        <v>109</v>
      </c>
    </row>
    <row r="1837" spans="2:6">
      <c r="B1837" s="2">
        <v>11834</v>
      </c>
      <c r="C1837" s="4" t="s">
        <v>1278</v>
      </c>
      <c r="D1837" s="2" t="s">
        <v>110</v>
      </c>
      <c r="E1837" s="2" t="s">
        <v>1310</v>
      </c>
      <c r="F1837" s="23" t="s">
        <v>112</v>
      </c>
    </row>
    <row r="1838" spans="2:6">
      <c r="B1838" s="2">
        <v>11835</v>
      </c>
      <c r="C1838" s="4" t="s">
        <v>1278</v>
      </c>
      <c r="D1838" s="2" t="s">
        <v>113</v>
      </c>
      <c r="E1838" s="2" t="s">
        <v>1311</v>
      </c>
      <c r="F1838" s="23" t="s">
        <v>115</v>
      </c>
    </row>
    <row r="1839" spans="2:6">
      <c r="B1839" s="2">
        <v>11836</v>
      </c>
      <c r="C1839" s="4" t="s">
        <v>1278</v>
      </c>
      <c r="D1839" s="2" t="s">
        <v>116</v>
      </c>
      <c r="E1839" s="2" t="s">
        <v>1312</v>
      </c>
      <c r="F1839" s="23" t="s">
        <v>118</v>
      </c>
    </row>
    <row r="1840" spans="2:6">
      <c r="B1840" s="2">
        <v>11837</v>
      </c>
      <c r="C1840" s="4" t="s">
        <v>1278</v>
      </c>
      <c r="D1840" s="2" t="s">
        <v>119</v>
      </c>
      <c r="E1840" s="2" t="s">
        <v>1313</v>
      </c>
      <c r="F1840" s="23" t="s">
        <v>121</v>
      </c>
    </row>
    <row r="1841" spans="2:6">
      <c r="B1841" s="2">
        <v>11838</v>
      </c>
      <c r="C1841" s="4" t="s">
        <v>1278</v>
      </c>
      <c r="D1841" s="2" t="s">
        <v>122</v>
      </c>
      <c r="E1841" s="2" t="s">
        <v>1314</v>
      </c>
      <c r="F1841" s="23" t="s">
        <v>124</v>
      </c>
    </row>
    <row r="1842" spans="2:6">
      <c r="B1842" s="2">
        <v>11839</v>
      </c>
      <c r="C1842" s="4" t="s">
        <v>1278</v>
      </c>
      <c r="D1842" s="2" t="s">
        <v>125</v>
      </c>
      <c r="E1842" s="2" t="s">
        <v>1315</v>
      </c>
      <c r="F1842" s="23" t="s">
        <v>127</v>
      </c>
    </row>
    <row r="1843" spans="2:6">
      <c r="B1843" s="2">
        <v>11840</v>
      </c>
      <c r="C1843" s="4" t="s">
        <v>1278</v>
      </c>
      <c r="D1843" s="2" t="s">
        <v>128</v>
      </c>
      <c r="E1843" s="2" t="s">
        <v>1316</v>
      </c>
      <c r="F1843" s="23" t="s">
        <v>130</v>
      </c>
    </row>
    <row r="1844" spans="2:6">
      <c r="B1844" s="2">
        <v>11841</v>
      </c>
      <c r="C1844" s="4" t="s">
        <v>1278</v>
      </c>
      <c r="D1844" s="2" t="s">
        <v>131</v>
      </c>
      <c r="E1844" s="2" t="s">
        <v>1317</v>
      </c>
      <c r="F1844" s="23" t="s">
        <v>133</v>
      </c>
    </row>
    <row r="1845" spans="2:6">
      <c r="B1845" s="2">
        <v>11842</v>
      </c>
      <c r="C1845" s="4" t="s">
        <v>1278</v>
      </c>
      <c r="D1845" s="2" t="s">
        <v>134</v>
      </c>
      <c r="E1845" s="2" t="s">
        <v>1318</v>
      </c>
      <c r="F1845" s="23" t="s">
        <v>136</v>
      </c>
    </row>
    <row r="1846" spans="2:6">
      <c r="B1846" s="2">
        <v>11843</v>
      </c>
      <c r="C1846" s="4" t="s">
        <v>1278</v>
      </c>
      <c r="D1846" s="2" t="s">
        <v>137</v>
      </c>
      <c r="E1846" s="2" t="s">
        <v>1319</v>
      </c>
      <c r="F1846" s="23" t="s">
        <v>139</v>
      </c>
    </row>
    <row r="1847" spans="2:6">
      <c r="B1847" s="2">
        <v>11844</v>
      </c>
      <c r="C1847" s="4" t="s">
        <v>1278</v>
      </c>
      <c r="D1847" s="2" t="s">
        <v>140</v>
      </c>
      <c r="E1847" s="2" t="s">
        <v>1320</v>
      </c>
      <c r="F1847" s="23" t="s">
        <v>142</v>
      </c>
    </row>
    <row r="1848" spans="2:6">
      <c r="B1848" s="2">
        <v>11845</v>
      </c>
      <c r="C1848" s="4" t="s">
        <v>1278</v>
      </c>
      <c r="D1848" s="2" t="s">
        <v>143</v>
      </c>
      <c r="E1848" s="2" t="s">
        <v>1321</v>
      </c>
      <c r="F1848" s="23" t="s">
        <v>145</v>
      </c>
    </row>
    <row r="1849" spans="2:6">
      <c r="B1849" s="2">
        <v>11846</v>
      </c>
      <c r="C1849" s="4" t="s">
        <v>1278</v>
      </c>
      <c r="D1849" s="2" t="s">
        <v>146</v>
      </c>
      <c r="E1849" s="2" t="s">
        <v>1322</v>
      </c>
      <c r="F1849" s="23" t="s">
        <v>148</v>
      </c>
    </row>
    <row r="1850" spans="2:6">
      <c r="B1850" s="2">
        <v>11847</v>
      </c>
      <c r="C1850" s="4" t="s">
        <v>1278</v>
      </c>
      <c r="D1850" s="2" t="s">
        <v>149</v>
      </c>
      <c r="E1850" s="2" t="s">
        <v>1323</v>
      </c>
      <c r="F1850" s="23" t="s">
        <v>151</v>
      </c>
    </row>
    <row r="1851" spans="2:6">
      <c r="B1851" s="2">
        <v>11848</v>
      </c>
      <c r="C1851" s="4" t="s">
        <v>1278</v>
      </c>
      <c r="D1851" s="2" t="s">
        <v>152</v>
      </c>
      <c r="E1851" s="2" t="s">
        <v>1324</v>
      </c>
      <c r="F1851" s="23" t="s">
        <v>154</v>
      </c>
    </row>
    <row r="1852" spans="2:6">
      <c r="B1852" s="2">
        <v>11849</v>
      </c>
      <c r="C1852" s="4" t="s">
        <v>1278</v>
      </c>
      <c r="D1852" s="2" t="s">
        <v>155</v>
      </c>
      <c r="E1852" s="2" t="s">
        <v>1325</v>
      </c>
      <c r="F1852" s="23" t="s">
        <v>157</v>
      </c>
    </row>
    <row r="1853" spans="2:6">
      <c r="B1853" s="2">
        <v>11850</v>
      </c>
      <c r="C1853" s="4" t="s">
        <v>1278</v>
      </c>
      <c r="D1853" s="2" t="s">
        <v>158</v>
      </c>
      <c r="E1853" s="2" t="s">
        <v>1326</v>
      </c>
      <c r="F1853" s="23" t="s">
        <v>160</v>
      </c>
    </row>
    <row r="1854" spans="2:6">
      <c r="B1854" s="2">
        <v>11851</v>
      </c>
      <c r="C1854" s="4" t="s">
        <v>1278</v>
      </c>
      <c r="D1854" s="2" t="s">
        <v>161</v>
      </c>
      <c r="E1854" s="2" t="s">
        <v>1327</v>
      </c>
      <c r="F1854" s="23" t="s">
        <v>163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55"/>
  <sheetViews>
    <sheetView topLeftCell="FC22" workbookViewId="0">
      <selection activeCell="FT2" sqref="FT2:FT51"/>
    </sheetView>
  </sheetViews>
  <sheetFormatPr defaultColWidth="9" defaultRowHeight="14.25"/>
  <cols>
    <col min="1" max="1" width="9" style="7" customWidth="1"/>
    <col min="2" max="2" width="12" customWidth="1"/>
    <col min="3" max="3" width="12.125" customWidth="1"/>
    <col min="11" max="11" width="25.5" customWidth="1"/>
    <col min="15" max="15" width="18.875" customWidth="1"/>
    <col min="16" max="16" width="8.125" customWidth="1"/>
    <col min="17" max="17" width="9.75" customWidth="1"/>
    <col min="18" max="18" width="14.625" customWidth="1"/>
    <col min="20" max="20" width="14.5" customWidth="1"/>
    <col min="22" max="22" width="9" customWidth="1"/>
    <col min="25" max="25" width="28.625" customWidth="1"/>
    <col min="33" max="33" width="6.25" customWidth="1"/>
    <col min="34" max="38" width="8.625" customWidth="1"/>
    <col min="39" max="39" width="11.625" customWidth="1"/>
    <col min="40" max="42" width="8.625" customWidth="1"/>
    <col min="55" max="55" width="10.75" customWidth="1"/>
    <col min="56" max="56" width="11" customWidth="1"/>
    <col min="57" max="57" width="16.75" customWidth="1"/>
    <col min="64" max="64" width="20.625" customWidth="1"/>
    <col min="66" max="66" width="9" style="8" customWidth="1"/>
    <col min="67" max="67" width="7" style="8" customWidth="1"/>
    <col min="68" max="69" width="9" style="8" customWidth="1"/>
    <col min="70" max="70" width="7.25" style="8" customWidth="1"/>
    <col min="76" max="77" width="7.25" customWidth="1"/>
    <col min="79" max="80" width="9" style="8" customWidth="1"/>
    <col min="87" max="87" width="7.25" customWidth="1"/>
    <col min="94" max="95" width="10.75" customWidth="1"/>
    <col min="96" max="96" width="16.75" customWidth="1"/>
    <col min="99" max="99" width="12.625" customWidth="1"/>
    <col min="101" max="101" width="10.5" customWidth="1"/>
    <col min="102" max="102" width="27.875" customWidth="1"/>
    <col min="103" max="104" width="10" customWidth="1"/>
    <col min="106" max="108" width="9.625" customWidth="1"/>
    <col min="114" max="114" width="12.5" customWidth="1"/>
    <col min="119" max="119" width="9" customWidth="1"/>
    <col min="120" max="122" width="12.125" customWidth="1"/>
    <col min="123" max="130" width="9.625" customWidth="1"/>
    <col min="133" max="133" width="9" style="8" customWidth="1"/>
    <col min="137" max="137" width="8.5" customWidth="1"/>
    <col min="138" max="138" width="13.5" customWidth="1"/>
    <col min="139" max="139" width="30.125" customWidth="1"/>
    <col min="144" max="144" width="10" customWidth="1"/>
    <col min="145" max="151" width="8.5" customWidth="1"/>
    <col min="152" max="152" width="9" customWidth="1"/>
    <col min="156" max="156" width="9.75" customWidth="1"/>
    <col min="157" max="157" width="15.125" customWidth="1"/>
    <col min="158" max="158" width="11.875" customWidth="1"/>
    <col min="159" max="159" width="13.5" customWidth="1"/>
    <col min="160" max="160" width="12" customWidth="1"/>
    <col min="165" max="165" width="12" customWidth="1"/>
  </cols>
  <sheetData>
    <row r="1" spans="1:176">
      <c r="F1" t="s">
        <v>1328</v>
      </c>
      <c r="G1" t="s">
        <v>1329</v>
      </c>
      <c r="H1" t="s">
        <v>1330</v>
      </c>
      <c r="I1" t="s">
        <v>1331</v>
      </c>
      <c r="J1" t="s">
        <v>1332</v>
      </c>
      <c r="L1" s="3" t="s">
        <v>1333</v>
      </c>
      <c r="M1" s="3" t="s">
        <v>1334</v>
      </c>
      <c r="N1" t="s">
        <v>1329</v>
      </c>
      <c r="O1" t="s">
        <v>1330</v>
      </c>
      <c r="P1" t="s">
        <v>1331</v>
      </c>
      <c r="Q1" t="s">
        <v>1332</v>
      </c>
      <c r="S1" s="3" t="s">
        <v>1333</v>
      </c>
      <c r="T1" t="s">
        <v>1335</v>
      </c>
      <c r="U1" t="s">
        <v>1329</v>
      </c>
      <c r="V1" t="s">
        <v>1330</v>
      </c>
      <c r="W1" t="s">
        <v>1331</v>
      </c>
      <c r="X1" t="s">
        <v>1332</v>
      </c>
      <c r="Z1" s="3" t="s">
        <v>1333</v>
      </c>
      <c r="AB1" s="3" t="s">
        <v>1336</v>
      </c>
      <c r="AC1" t="s">
        <v>1329</v>
      </c>
      <c r="AD1" t="s">
        <v>1330</v>
      </c>
      <c r="AE1" t="s">
        <v>1331</v>
      </c>
      <c r="AF1" t="s">
        <v>1332</v>
      </c>
      <c r="AH1" s="3" t="s">
        <v>1333</v>
      </c>
      <c r="AI1" s="3" t="s">
        <v>1337</v>
      </c>
      <c r="AJ1" t="s">
        <v>1329</v>
      </c>
      <c r="AK1" t="s">
        <v>1330</v>
      </c>
      <c r="AL1" s="3" t="s">
        <v>1338</v>
      </c>
      <c r="AM1" s="3" t="s">
        <v>1339</v>
      </c>
      <c r="AN1" t="s">
        <v>1332</v>
      </c>
      <c r="AO1" s="3" t="s">
        <v>1333</v>
      </c>
      <c r="AP1" s="3"/>
      <c r="AQ1" t="s">
        <v>1340</v>
      </c>
      <c r="AR1" t="s">
        <v>1329</v>
      </c>
      <c r="AS1" t="s">
        <v>1330</v>
      </c>
      <c r="AT1" t="s">
        <v>1331</v>
      </c>
      <c r="AU1" t="s">
        <v>1332</v>
      </c>
      <c r="AV1" s="3" t="s">
        <v>1333</v>
      </c>
      <c r="AW1" s="9" t="s">
        <v>1341</v>
      </c>
      <c r="AX1" s="10" t="s">
        <v>1329</v>
      </c>
      <c r="AY1" s="10" t="s">
        <v>1330</v>
      </c>
      <c r="AZ1" s="10" t="s">
        <v>1331</v>
      </c>
      <c r="BA1" s="10" t="s">
        <v>1332</v>
      </c>
      <c r="BB1" s="3" t="s">
        <v>1333</v>
      </c>
      <c r="BC1" s="1" t="s">
        <v>1342</v>
      </c>
      <c r="BD1" t="s">
        <v>1343</v>
      </c>
      <c r="BE1" t="s">
        <v>1344</v>
      </c>
      <c r="BG1" s="3" t="s">
        <v>1345</v>
      </c>
      <c r="BH1" t="s">
        <v>1329</v>
      </c>
      <c r="BI1" t="s">
        <v>1330</v>
      </c>
      <c r="BJ1" t="s">
        <v>1331</v>
      </c>
      <c r="BK1" t="s">
        <v>1332</v>
      </c>
      <c r="BM1" s="3" t="s">
        <v>1333</v>
      </c>
      <c r="BS1" s="11" t="s">
        <v>1346</v>
      </c>
      <c r="BT1" t="s">
        <v>1329</v>
      </c>
      <c r="BU1" t="s">
        <v>1330</v>
      </c>
      <c r="BV1" t="s">
        <v>1331</v>
      </c>
      <c r="BW1" t="s">
        <v>1332</v>
      </c>
      <c r="BY1" s="3" t="s">
        <v>1333</v>
      </c>
      <c r="CC1" s="6" t="s">
        <v>1347</v>
      </c>
      <c r="CD1" t="s">
        <v>1329</v>
      </c>
      <c r="CE1" t="s">
        <v>1330</v>
      </c>
      <c r="CF1" t="s">
        <v>1331</v>
      </c>
      <c r="CG1" t="s">
        <v>1332</v>
      </c>
      <c r="CI1" s="3" t="s">
        <v>1333</v>
      </c>
      <c r="CJ1" s="11" t="s">
        <v>1348</v>
      </c>
      <c r="CK1" t="s">
        <v>1329</v>
      </c>
      <c r="CL1" t="s">
        <v>1330</v>
      </c>
      <c r="CM1" t="s">
        <v>1331</v>
      </c>
      <c r="CN1" t="s">
        <v>1332</v>
      </c>
      <c r="CP1" t="s">
        <v>1349</v>
      </c>
      <c r="CR1" t="s">
        <v>1350</v>
      </c>
      <c r="CS1" s="3"/>
      <c r="CT1" s="3"/>
      <c r="CU1" t="s">
        <v>1351</v>
      </c>
      <c r="CV1" t="s">
        <v>1352</v>
      </c>
      <c r="CW1" s="3" t="s">
        <v>1353</v>
      </c>
      <c r="CY1" s="3" t="s">
        <v>1332</v>
      </c>
      <c r="CZ1" s="3" t="s">
        <v>1331</v>
      </c>
      <c r="DA1" t="s">
        <v>1330</v>
      </c>
      <c r="DB1" s="3" t="s">
        <v>1354</v>
      </c>
      <c r="DC1" s="3" t="s">
        <v>1355</v>
      </c>
      <c r="DD1" s="3" t="s">
        <v>1333</v>
      </c>
      <c r="DE1" t="s">
        <v>1356</v>
      </c>
      <c r="DF1" t="s">
        <v>1329</v>
      </c>
      <c r="DG1" t="s">
        <v>1330</v>
      </c>
      <c r="DH1" t="s">
        <v>1331</v>
      </c>
      <c r="DI1" t="s">
        <v>1332</v>
      </c>
      <c r="DJ1" t="s">
        <v>1357</v>
      </c>
      <c r="DK1" s="12" t="s">
        <v>1358</v>
      </c>
      <c r="DL1" s="10" t="s">
        <v>1329</v>
      </c>
      <c r="DM1" s="10" t="s">
        <v>1330</v>
      </c>
      <c r="DN1" s="10" t="s">
        <v>1331</v>
      </c>
      <c r="DO1" s="10" t="s">
        <v>1332</v>
      </c>
      <c r="DP1" s="13" t="s">
        <v>1359</v>
      </c>
      <c r="DQ1" s="13" t="s">
        <v>1360</v>
      </c>
      <c r="DR1" s="13" t="s">
        <v>1361</v>
      </c>
      <c r="DS1" s="3" t="s">
        <v>1333</v>
      </c>
      <c r="DT1" s="3" t="s">
        <v>1362</v>
      </c>
      <c r="DU1" t="s">
        <v>1329</v>
      </c>
      <c r="DV1" t="s">
        <v>1330</v>
      </c>
      <c r="DW1" t="s">
        <v>1331</v>
      </c>
      <c r="DX1" t="s">
        <v>1332</v>
      </c>
      <c r="DZ1" s="3" t="s">
        <v>1333</v>
      </c>
      <c r="EA1" s="3" t="s">
        <v>1363</v>
      </c>
      <c r="EB1" t="s">
        <v>1329</v>
      </c>
      <c r="EC1" s="8" t="s">
        <v>1330</v>
      </c>
      <c r="ED1" t="s">
        <v>1331</v>
      </c>
      <c r="EE1" t="s">
        <v>1332</v>
      </c>
      <c r="EF1" s="3" t="s">
        <v>1364</v>
      </c>
      <c r="EG1" s="3" t="s">
        <v>1333</v>
      </c>
      <c r="EI1" s="3" t="s">
        <v>1365</v>
      </c>
      <c r="EJ1" t="s">
        <v>1329</v>
      </c>
      <c r="EK1" s="8" t="s">
        <v>1330</v>
      </c>
      <c r="EL1" t="s">
        <v>1331</v>
      </c>
      <c r="EM1" t="s">
        <v>1332</v>
      </c>
      <c r="EO1" s="3" t="s">
        <v>1333</v>
      </c>
      <c r="EP1" s="3" t="s">
        <v>1366</v>
      </c>
      <c r="EQ1" t="s">
        <v>1329</v>
      </c>
      <c r="ER1" s="8" t="s">
        <v>1330</v>
      </c>
      <c r="ES1" t="s">
        <v>1331</v>
      </c>
      <c r="ET1" t="s">
        <v>1332</v>
      </c>
      <c r="EV1" s="3" t="s">
        <v>1333</v>
      </c>
      <c r="EW1" s="3" t="s">
        <v>1367</v>
      </c>
      <c r="EX1" s="3" t="s">
        <v>1332</v>
      </c>
      <c r="EY1" s="3" t="s">
        <v>1331</v>
      </c>
      <c r="EZ1" s="3" t="s">
        <v>1368</v>
      </c>
      <c r="FA1" s="3" t="s">
        <v>1369</v>
      </c>
      <c r="FB1" s="3" t="s">
        <v>1370</v>
      </c>
      <c r="FD1" s="6" t="s">
        <v>1371</v>
      </c>
      <c r="FE1" t="s">
        <v>1329</v>
      </c>
      <c r="FF1" s="8" t="s">
        <v>1330</v>
      </c>
      <c r="FG1" t="s">
        <v>1331</v>
      </c>
      <c r="FH1" t="s">
        <v>1332</v>
      </c>
      <c r="FI1" s="6" t="s">
        <v>1372</v>
      </c>
      <c r="FJ1" t="s">
        <v>1329</v>
      </c>
      <c r="FK1" s="8" t="s">
        <v>1330</v>
      </c>
      <c r="FL1" s="14" t="s">
        <v>1373</v>
      </c>
      <c r="FM1" t="s">
        <v>1331</v>
      </c>
      <c r="FN1" t="s">
        <v>1332</v>
      </c>
      <c r="FO1" s="6" t="s">
        <v>1374</v>
      </c>
      <c r="FP1" t="s">
        <v>1329</v>
      </c>
      <c r="FQ1" s="8" t="s">
        <v>1330</v>
      </c>
      <c r="FR1" t="s">
        <v>1331</v>
      </c>
      <c r="FS1" t="s">
        <v>1332</v>
      </c>
    </row>
    <row r="2" spans="1:176">
      <c r="G2">
        <v>1</v>
      </c>
      <c r="H2">
        <f t="shared" ref="H2:H51" si="0">(J2/I2-1)*100</f>
        <v>-80</v>
      </c>
      <c r="I2">
        <v>5</v>
      </c>
      <c r="J2">
        <v>1</v>
      </c>
      <c r="K2" s="7" t="str">
        <f t="shared" ref="K2:K51" si="1">H2&amp;"|"&amp;H2&amp;"|"&amp;H2&amp;"|"&amp;H2&amp;"|"&amp;H2</f>
        <v>-80|-80|-80|-80|-80</v>
      </c>
      <c r="L2">
        <f t="shared" ref="L2:L51" si="2">ROUND(100+H2,0)</f>
        <v>20</v>
      </c>
      <c r="M2" s="7"/>
      <c r="N2" s="7">
        <v>1</v>
      </c>
      <c r="O2">
        <f t="shared" ref="O2:O51" si="3">(Q2/P2-1)*100</f>
        <v>-60</v>
      </c>
      <c r="P2">
        <v>3</v>
      </c>
      <c r="Q2">
        <v>1.2</v>
      </c>
      <c r="R2" s="7" t="str">
        <f t="shared" ref="R2:R51" si="4">O2&amp;"|"&amp;O2&amp;"|"&amp;O2</f>
        <v>-60|-60|-60</v>
      </c>
      <c r="S2">
        <f t="shared" ref="S2:S51" si="5">ROUND(100+O2,0)</f>
        <v>40</v>
      </c>
      <c r="U2">
        <v>1</v>
      </c>
      <c r="V2">
        <f t="shared" ref="V2:V51" si="6">(X2/W2-1)*100</f>
        <v>-87.5</v>
      </c>
      <c r="W2">
        <v>8</v>
      </c>
      <c r="X2">
        <v>1</v>
      </c>
      <c r="Y2" s="7" t="str">
        <f t="shared" ref="Y2:Y51" si="7">V2&amp;"|"&amp;V2&amp;"|"&amp;V2&amp;"|"&amp;V2&amp;"|"&amp;V2&amp;"|"&amp;V2&amp;"|"&amp;V2&amp;"|"&amp;V2</f>
        <v>-87.5|-87.5|-87.5|-87.5|-87.5|-87.5|-87.5|-87.5</v>
      </c>
      <c r="Z2">
        <f t="shared" ref="Z2:Z51" si="8">ROUND(100+V2,0)</f>
        <v>13</v>
      </c>
      <c r="AA2">
        <f t="shared" ref="AA2:AA51" si="9">1.38*U2-39.38</f>
        <v>-38</v>
      </c>
      <c r="AC2">
        <v>1</v>
      </c>
      <c r="AD2">
        <f t="shared" ref="AD2:AD51" si="10">(AF2/AE2-1)*100</f>
        <v>55</v>
      </c>
      <c r="AE2">
        <v>1</v>
      </c>
      <c r="AF2">
        <v>1.55</v>
      </c>
      <c r="AG2" s="7">
        <f t="shared" ref="AG2:AG7" si="11">AD2</f>
        <v>55</v>
      </c>
      <c r="AH2">
        <f t="shared" ref="AH2:AH51" si="12">ROUND(100+AD2,0)</f>
        <v>155</v>
      </c>
      <c r="AJ2">
        <v>1</v>
      </c>
      <c r="AK2">
        <f>(AN2/AL2-1)*100</f>
        <v>-99.845</v>
      </c>
      <c r="AL2">
        <v>1000</v>
      </c>
      <c r="AM2">
        <v>2</v>
      </c>
      <c r="AN2">
        <v>1.55</v>
      </c>
      <c r="AO2" t="str">
        <f t="shared" ref="AO2:AO51" si="13">_xlfn.TEXTJOIN("|",TRUE,AL2:AM2)</f>
        <v>1000|2</v>
      </c>
      <c r="AR2">
        <v>1</v>
      </c>
      <c r="AS2">
        <f t="shared" ref="AS2:AS51" si="14">(AU2/AT2-1)*100</f>
        <v>0</v>
      </c>
      <c r="AT2">
        <v>1</v>
      </c>
      <c r="AU2">
        <v>1</v>
      </c>
      <c r="AV2">
        <f t="shared" ref="AV2:AV51" si="15">ROUND(100+AS2,0)</f>
        <v>100</v>
      </c>
      <c r="AW2" s="10"/>
      <c r="AX2" s="10">
        <v>1</v>
      </c>
      <c r="AY2" s="10">
        <f t="shared" ref="AY2:AY51" si="16">(BA2/$AZ$2-1)*100</f>
        <v>100</v>
      </c>
      <c r="AZ2" s="10">
        <v>1</v>
      </c>
      <c r="BA2" s="10">
        <v>2</v>
      </c>
      <c r="BB2">
        <f t="shared" ref="BB2:BB51" si="17">ROUND(100+AY2,0)</f>
        <v>200</v>
      </c>
      <c r="BD2">
        <v>400</v>
      </c>
      <c r="BE2" s="8">
        <v>10</v>
      </c>
      <c r="BF2" t="str">
        <f t="shared" ref="BF2:BF51" si="18">BD2&amp;"|"&amp;BE2</f>
        <v>400|10</v>
      </c>
      <c r="BH2">
        <v>1</v>
      </c>
      <c r="BI2" s="10">
        <f t="shared" ref="BI2:BI51" si="19">(BK2/BJ2-1)*100</f>
        <v>-66</v>
      </c>
      <c r="BJ2">
        <v>5</v>
      </c>
      <c r="BK2">
        <v>1.7</v>
      </c>
      <c r="BL2" s="3" t="str">
        <f t="shared" ref="BL2:BL51" si="20">_xlfn.TEXTJOIN("|",TRUE,BI2,BI2,BI2,BI2,BI2)</f>
        <v>-66|-66|-66|-66|-66</v>
      </c>
      <c r="BM2">
        <f t="shared" ref="BM2:BM51" si="21">ROUND(100+BI2,0)</f>
        <v>34</v>
      </c>
      <c r="BT2">
        <v>1</v>
      </c>
      <c r="BU2">
        <f t="shared" ref="BU2:BU51" si="22">(BW2/$BV$2-1)*100</f>
        <v>-50</v>
      </c>
      <c r="BV2">
        <v>2</v>
      </c>
      <c r="BW2">
        <v>1</v>
      </c>
      <c r="BX2" s="7" t="str">
        <f t="shared" ref="BX2:BX51" si="23">CA2&amp;"|"&amp;CB2</f>
        <v>-33.3333333333333|-66.6666666666667</v>
      </c>
      <c r="BY2">
        <f t="shared" ref="BY2:BY51" si="24">ROUND(100+BU2,0)</f>
        <v>50</v>
      </c>
      <c r="BZ2">
        <f t="shared" ref="BZ2:BZ51" si="25">2*BU2</f>
        <v>-100</v>
      </c>
      <c r="CA2" s="8">
        <f t="shared" ref="CA2:CA51" si="26">BZ2/3</f>
        <v>-33.3333333333333</v>
      </c>
      <c r="CB2" s="8">
        <f t="shared" ref="CB2:CB51" si="27">CA2*2</f>
        <v>-66.6666666666667</v>
      </c>
      <c r="CD2">
        <v>1</v>
      </c>
      <c r="CE2" s="8">
        <f t="shared" ref="CE2:CE51" si="28">((CG2/$CF$2-1)*100)</f>
        <v>0</v>
      </c>
      <c r="CF2">
        <v>1</v>
      </c>
      <c r="CG2">
        <v>1</v>
      </c>
      <c r="CH2" s="7">
        <f t="shared" ref="CH2:CH51" si="29">CE2</f>
        <v>0</v>
      </c>
      <c r="CI2">
        <f t="shared" ref="CI2:CI51" si="30">ROUND(100+CE2,0)</f>
        <v>100</v>
      </c>
      <c r="CK2">
        <v>1</v>
      </c>
      <c r="CL2">
        <f t="shared" ref="CL2:CL51" si="31">(CN2/$CF$2-1)*100</f>
        <v>300</v>
      </c>
      <c r="CM2">
        <v>1</v>
      </c>
      <c r="CN2">
        <f t="shared" ref="CN2:CN51" si="32">0.08*CK2+3.92</f>
        <v>4</v>
      </c>
      <c r="CO2" s="7">
        <f t="shared" ref="CO2:CO51" si="33">CL2</f>
        <v>300</v>
      </c>
      <c r="CP2">
        <v>50</v>
      </c>
      <c r="CQ2">
        <v>99</v>
      </c>
      <c r="CR2" t="str">
        <f t="shared" ref="CR2:CR51" si="34">CP2&amp;"|"&amp;CQ2</f>
        <v>50|99</v>
      </c>
      <c r="CT2" s="2"/>
      <c r="CV2" s="8">
        <v>10</v>
      </c>
      <c r="CW2">
        <v>1</v>
      </c>
      <c r="CX2" t="str">
        <f t="shared" ref="CX2:CX51" si="35">DA2&amp;"|"&amp;DA2&amp;"|"&amp;DA2&amp;"|"&amp;DA2&amp;"|"&amp;DA2</f>
        <v>-90|-90|-90|-90|-90</v>
      </c>
      <c r="CY2">
        <v>0.5</v>
      </c>
      <c r="CZ2">
        <v>5</v>
      </c>
      <c r="DA2">
        <f t="shared" ref="DA2:DA51" si="36">(CY2/CZ2-1)*100</f>
        <v>-90</v>
      </c>
      <c r="DB2" s="8">
        <f t="shared" ref="DB2:DB51" si="37">ROUND(100+DA2,0)</f>
        <v>10</v>
      </c>
      <c r="DC2">
        <v>10</v>
      </c>
      <c r="DD2" t="str">
        <f t="shared" ref="DD2:DD51" si="38">_xlfn.TEXTJOIN("|",TRUE,DB2:DC2)</f>
        <v>10|10</v>
      </c>
      <c r="DF2">
        <v>1</v>
      </c>
      <c r="DG2">
        <v>400</v>
      </c>
      <c r="DH2">
        <v>1</v>
      </c>
      <c r="DI2" s="8">
        <v>-99</v>
      </c>
      <c r="DJ2" s="8">
        <v>-95</v>
      </c>
      <c r="DK2" s="10"/>
      <c r="DL2" s="10">
        <v>1</v>
      </c>
      <c r="DM2">
        <f t="shared" ref="DM2:DM51" si="39">(DO2/$DN$2-1)*100</f>
        <v>20</v>
      </c>
      <c r="DN2" s="10">
        <v>1</v>
      </c>
      <c r="DO2" s="10">
        <v>1.2</v>
      </c>
      <c r="DP2" s="15">
        <v>-99</v>
      </c>
      <c r="DQ2" s="8">
        <f t="shared" ref="DQ2:DQ51" si="40">ROUND(100+DM2,0)</f>
        <v>120</v>
      </c>
      <c r="DR2" s="8">
        <f t="shared" ref="DR2:DR51" si="41">ROUND(100+DP2,0)</f>
        <v>1</v>
      </c>
      <c r="DS2" t="str">
        <f t="shared" ref="DS2:DS51" si="42">_xlfn.TEXTJOIN("|",TRUE,DQ2:DR2)</f>
        <v>120|1</v>
      </c>
      <c r="DU2">
        <v>1</v>
      </c>
      <c r="DV2" s="10">
        <f t="shared" ref="DV2:DV51" si="43">(DX2/DW2-1)*100</f>
        <v>20</v>
      </c>
      <c r="DW2">
        <v>1</v>
      </c>
      <c r="DX2">
        <v>1.2</v>
      </c>
      <c r="DY2" s="3">
        <f>DV2</f>
        <v>20</v>
      </c>
      <c r="DZ2">
        <f t="shared" ref="DZ2:DZ51" si="44">ROUND(100+DV2,0)</f>
        <v>120</v>
      </c>
      <c r="EB2">
        <v>1</v>
      </c>
      <c r="EC2" s="8">
        <f t="shared" ref="EC2:EC51" si="45">(EE2/$ED$2-1)*100</f>
        <v>-83.3333333333333</v>
      </c>
      <c r="ED2">
        <v>6</v>
      </c>
      <c r="EE2">
        <v>1</v>
      </c>
      <c r="EF2" s="3" t="str">
        <f t="shared" ref="EF2:EF51" si="46">_xlfn.TEXTJOIN("|",TRUE,EC2,EC2,EC2,EC2,EC2,EC2)</f>
        <v>-83.3333333333333|-83.3333333333333|-83.3333333333333|-83.3333333333333|-83.3333333333333|-83.3333333333333</v>
      </c>
      <c r="EG2" s="8">
        <f t="shared" ref="EG2:EG51" si="47">ROUND(100+EC2,0)</f>
        <v>17</v>
      </c>
      <c r="EH2" s="3"/>
      <c r="EJ2">
        <v>1</v>
      </c>
      <c r="EK2" s="8">
        <f t="shared" ref="EK2:EK51" si="48">(EM2/EL2-1)*100</f>
        <v>-83.3333333333333</v>
      </c>
      <c r="EL2">
        <v>6</v>
      </c>
      <c r="EM2">
        <v>1</v>
      </c>
      <c r="EN2" s="3" t="str">
        <f t="shared" ref="EN2:EN51" si="49">EK2&amp;"|"&amp;EK2&amp;"|"&amp;EK2&amp;"|"&amp;EK2&amp;"|"&amp;EK2&amp;"|"&amp;EK2</f>
        <v>-83.3333333333333|-83.3333333333333|-83.3333333333333|-83.3333333333333|-83.3333333333333|-83.3333333333333</v>
      </c>
      <c r="EO2" s="8">
        <f t="shared" ref="EO2:EO51" si="50">ROUND(100+EK2,0)</f>
        <v>17</v>
      </c>
      <c r="EQ2">
        <v>1</v>
      </c>
      <c r="ER2" s="8">
        <f t="shared" ref="ER2:ER51" si="51">(ET2/ES2-1)*100</f>
        <v>50</v>
      </c>
      <c r="ES2">
        <v>1</v>
      </c>
      <c r="ET2">
        <v>1.5</v>
      </c>
      <c r="EU2" s="3"/>
      <c r="EV2" s="8">
        <f t="shared" ref="EV2:EV51" si="52">ROUND(100+ER2,0)</f>
        <v>150</v>
      </c>
      <c r="EW2" s="8">
        <f t="shared" ref="EW2:EW51" si="53">(EX2/EY2-1)*100</f>
        <v>30</v>
      </c>
      <c r="EX2">
        <v>1.3</v>
      </c>
      <c r="EY2">
        <v>1</v>
      </c>
      <c r="EZ2">
        <v>34</v>
      </c>
      <c r="FA2">
        <v>2</v>
      </c>
      <c r="FB2" s="8">
        <f t="shared" ref="FB2:FB51" si="54">ROUND(100+EW2,0)</f>
        <v>130</v>
      </c>
      <c r="FC2" t="str">
        <f t="shared" ref="FC2:FC51" si="55">EW2&amp;"|"&amp;EZ2&amp;"|"&amp;FA2</f>
        <v>30|34|2</v>
      </c>
      <c r="FE2">
        <v>1</v>
      </c>
      <c r="FF2" s="8">
        <f t="shared" ref="FF2:FF51" si="56">(FH2/FG2-1)*100</f>
        <v>100</v>
      </c>
      <c r="FG2">
        <v>1</v>
      </c>
      <c r="FH2">
        <v>2</v>
      </c>
      <c r="FJ2">
        <v>1</v>
      </c>
      <c r="FK2" s="8">
        <f t="shared" ref="FK2:FK51" si="57">(FN2/FM2-1)*100</f>
        <v>100</v>
      </c>
      <c r="FL2" s="14" t="s">
        <v>1272</v>
      </c>
      <c r="FM2">
        <v>1</v>
      </c>
      <c r="FN2">
        <v>2</v>
      </c>
      <c r="FP2">
        <v>1</v>
      </c>
      <c r="FQ2" s="8">
        <f t="shared" ref="FQ2:FQ51" si="58">ROUND((FS2/FR2-1)*100,0)</f>
        <v>-33</v>
      </c>
      <c r="FR2">
        <v>3</v>
      </c>
      <c r="FS2">
        <v>2</v>
      </c>
      <c r="FT2" t="str">
        <f t="shared" ref="FT2:FT51" si="59">_xlfn.TEXTJOIN("|",TRUE,FQ2,FQ2,FQ2)</f>
        <v>-33|-33|-33</v>
      </c>
    </row>
    <row r="3" spans="1:176">
      <c r="A3" s="7" t="s">
        <v>1375</v>
      </c>
      <c r="G3">
        <v>2</v>
      </c>
      <c r="H3">
        <f t="shared" si="0"/>
        <v>-77.6</v>
      </c>
      <c r="I3">
        <f t="shared" ref="I3:I51" si="60">I2</f>
        <v>5</v>
      </c>
      <c r="J3">
        <v>1.12</v>
      </c>
      <c r="K3" s="7" t="str">
        <f t="shared" si="1"/>
        <v>-77.6|-77.6|-77.6|-77.6|-77.6</v>
      </c>
      <c r="L3">
        <f t="shared" si="2"/>
        <v>22</v>
      </c>
      <c r="M3" s="7"/>
      <c r="N3" s="7">
        <v>2</v>
      </c>
      <c r="O3">
        <f t="shared" si="3"/>
        <v>-56.3333333333333</v>
      </c>
      <c r="P3">
        <f t="shared" ref="P3:P51" si="61">P2</f>
        <v>3</v>
      </c>
      <c r="Q3">
        <v>1.31</v>
      </c>
      <c r="R3" s="7" t="str">
        <f t="shared" si="4"/>
        <v>-56.3333333333333|-56.3333333333333|-56.3333333333333</v>
      </c>
      <c r="S3">
        <f t="shared" si="5"/>
        <v>44</v>
      </c>
      <c r="U3">
        <v>2</v>
      </c>
      <c r="V3">
        <f t="shared" si="6"/>
        <v>-85.125</v>
      </c>
      <c r="W3">
        <f t="shared" ref="W3:W51" si="62">W2</f>
        <v>8</v>
      </c>
      <c r="X3">
        <v>1.19</v>
      </c>
      <c r="Y3" s="7" t="str">
        <f t="shared" si="7"/>
        <v>-85.125|-85.125|-85.125|-85.125|-85.125|-85.125|-85.125|-85.125</v>
      </c>
      <c r="Z3">
        <f t="shared" si="8"/>
        <v>15</v>
      </c>
      <c r="AA3">
        <f t="shared" si="9"/>
        <v>-36.62</v>
      </c>
      <c r="AC3">
        <v>2</v>
      </c>
      <c r="AD3">
        <f t="shared" si="10"/>
        <v>69</v>
      </c>
      <c r="AE3">
        <v>1</v>
      </c>
      <c r="AF3">
        <v>1.69</v>
      </c>
      <c r="AG3" s="7">
        <f t="shared" si="11"/>
        <v>69</v>
      </c>
      <c r="AH3">
        <f t="shared" si="12"/>
        <v>169</v>
      </c>
      <c r="AJ3">
        <v>2</v>
      </c>
      <c r="AL3">
        <v>1100</v>
      </c>
      <c r="AM3">
        <v>2.5</v>
      </c>
      <c r="AO3" t="str">
        <f t="shared" si="13"/>
        <v>1100|2.5</v>
      </c>
      <c r="AR3">
        <v>2</v>
      </c>
      <c r="AS3">
        <f t="shared" si="14"/>
        <v>10</v>
      </c>
      <c r="AT3">
        <f t="shared" ref="AT3:AT51" si="63">AT2</f>
        <v>1</v>
      </c>
      <c r="AU3">
        <v>1.1</v>
      </c>
      <c r="AV3">
        <f t="shared" si="15"/>
        <v>110</v>
      </c>
      <c r="AW3" s="10"/>
      <c r="AX3" s="10">
        <v>2</v>
      </c>
      <c r="AY3" s="10">
        <f t="shared" si="16"/>
        <v>120</v>
      </c>
      <c r="AZ3" s="10"/>
      <c r="BA3" s="10">
        <v>2.2</v>
      </c>
      <c r="BB3">
        <f t="shared" si="17"/>
        <v>220</v>
      </c>
      <c r="BD3">
        <v>500</v>
      </c>
      <c r="BE3" s="8" t="s">
        <v>41</v>
      </c>
      <c r="BF3" t="str">
        <f t="shared" si="18"/>
        <v>500|10</v>
      </c>
      <c r="BH3">
        <v>2</v>
      </c>
      <c r="BI3" s="10">
        <f t="shared" si="19"/>
        <v>-62.8</v>
      </c>
      <c r="BJ3">
        <f t="shared" ref="BJ3:BJ51" si="64">BJ2</f>
        <v>5</v>
      </c>
      <c r="BK3">
        <v>1.86</v>
      </c>
      <c r="BL3" s="3" t="str">
        <f t="shared" si="20"/>
        <v>-62.8|-62.8|-62.8|-62.8|-62.8</v>
      </c>
      <c r="BM3">
        <f t="shared" si="21"/>
        <v>37</v>
      </c>
      <c r="BN3" s="8">
        <f t="shared" ref="BN3:BN51" si="65">BM3/10</f>
        <v>3.7</v>
      </c>
      <c r="BO3" s="8">
        <f t="shared" ref="BO3:BO51" si="66">1.5*BM3/10</f>
        <v>5.55</v>
      </c>
      <c r="BP3" s="8">
        <f t="shared" ref="BP3:BP51" si="67">2*BM3/10</f>
        <v>7.4</v>
      </c>
      <c r="BQ3" s="8">
        <f t="shared" ref="BQ3:BQ51" si="68">2.5*BM3/10</f>
        <v>9.25</v>
      </c>
      <c r="BR3" s="8">
        <f t="shared" ref="BR3:BR51" si="69">3*BM3/10</f>
        <v>11.1</v>
      </c>
      <c r="BT3">
        <v>2</v>
      </c>
      <c r="BU3">
        <f t="shared" si="22"/>
        <v>-40</v>
      </c>
      <c r="BW3">
        <v>1.2</v>
      </c>
      <c r="BX3" s="7" t="str">
        <f t="shared" si="23"/>
        <v>-26.6666666666667|-53.3333333333333</v>
      </c>
      <c r="BY3">
        <f t="shared" si="24"/>
        <v>60</v>
      </c>
      <c r="BZ3">
        <f t="shared" si="25"/>
        <v>-80</v>
      </c>
      <c r="CA3" s="8">
        <f t="shared" si="26"/>
        <v>-26.6666666666667</v>
      </c>
      <c r="CB3" s="8">
        <f t="shared" si="27"/>
        <v>-53.3333333333333</v>
      </c>
      <c r="CD3">
        <v>2</v>
      </c>
      <c r="CE3" s="8">
        <f t="shared" si="28"/>
        <v>10</v>
      </c>
      <c r="CG3">
        <v>1.1</v>
      </c>
      <c r="CH3" s="7">
        <f t="shared" si="29"/>
        <v>10</v>
      </c>
      <c r="CI3">
        <f t="shared" si="30"/>
        <v>110</v>
      </c>
      <c r="CK3">
        <v>2</v>
      </c>
      <c r="CL3">
        <f t="shared" si="31"/>
        <v>308</v>
      </c>
      <c r="CN3">
        <f t="shared" si="32"/>
        <v>4.08</v>
      </c>
      <c r="CO3" s="7">
        <f t="shared" si="33"/>
        <v>308</v>
      </c>
      <c r="CP3">
        <v>55</v>
      </c>
      <c r="CQ3">
        <v>98</v>
      </c>
      <c r="CR3" t="str">
        <f t="shared" si="34"/>
        <v>55|98</v>
      </c>
      <c r="CT3" s="4"/>
      <c r="CV3" s="8">
        <v>12</v>
      </c>
      <c r="CW3">
        <v>2</v>
      </c>
      <c r="CX3" t="str">
        <f t="shared" si="35"/>
        <v>-88|-88|-88|-88|-88</v>
      </c>
      <c r="CY3">
        <v>0.6</v>
      </c>
      <c r="CZ3">
        <f t="shared" ref="CZ3:CZ51" si="70">CZ2</f>
        <v>5</v>
      </c>
      <c r="DA3">
        <f t="shared" si="36"/>
        <v>-88</v>
      </c>
      <c r="DB3" s="8">
        <f t="shared" si="37"/>
        <v>12</v>
      </c>
      <c r="DC3">
        <v>10.6</v>
      </c>
      <c r="DD3" t="str">
        <f t="shared" si="38"/>
        <v>12|10.6</v>
      </c>
      <c r="DF3">
        <v>2</v>
      </c>
      <c r="DG3">
        <v>410</v>
      </c>
      <c r="DI3" s="8">
        <v>-98</v>
      </c>
      <c r="DJ3" s="8">
        <v>-95</v>
      </c>
      <c r="DK3" s="10"/>
      <c r="DL3" s="10">
        <v>2</v>
      </c>
      <c r="DM3">
        <f t="shared" si="39"/>
        <v>35</v>
      </c>
      <c r="DN3" s="10"/>
      <c r="DO3" s="10">
        <v>1.35</v>
      </c>
      <c r="DP3" s="15">
        <v>-98</v>
      </c>
      <c r="DQ3" s="8">
        <f t="shared" si="40"/>
        <v>135</v>
      </c>
      <c r="DR3" s="8">
        <f t="shared" si="41"/>
        <v>2</v>
      </c>
      <c r="DS3" t="str">
        <f t="shared" si="42"/>
        <v>135|2</v>
      </c>
      <c r="DU3">
        <v>2</v>
      </c>
      <c r="DV3" s="10">
        <f t="shared" si="43"/>
        <v>32</v>
      </c>
      <c r="DW3">
        <f t="shared" ref="DW3:DW51" si="71">DW2</f>
        <v>1</v>
      </c>
      <c r="DX3">
        <v>1.32</v>
      </c>
      <c r="DZ3">
        <f t="shared" si="44"/>
        <v>132</v>
      </c>
      <c r="EB3">
        <v>2</v>
      </c>
      <c r="EC3" s="8">
        <f t="shared" si="45"/>
        <v>-81.1666666666667</v>
      </c>
      <c r="ED3">
        <f t="shared" ref="ED3:ED51" si="72">ED2</f>
        <v>6</v>
      </c>
      <c r="EE3">
        <v>1.13</v>
      </c>
      <c r="EF3" s="3" t="str">
        <f t="shared" si="46"/>
        <v>-81.1666666666667|-81.1666666666667|-81.1666666666667|-81.1666666666667|-81.1666666666667|-81.1666666666667</v>
      </c>
      <c r="EG3" s="8">
        <f t="shared" si="47"/>
        <v>19</v>
      </c>
      <c r="EH3" s="3"/>
      <c r="EJ3">
        <v>2</v>
      </c>
      <c r="EK3" s="8">
        <f t="shared" si="48"/>
        <v>-81.6666666666667</v>
      </c>
      <c r="EL3">
        <f t="shared" ref="EL3:EL51" si="73">EL2</f>
        <v>6</v>
      </c>
      <c r="EM3">
        <v>1.1</v>
      </c>
      <c r="EN3" s="3" t="str">
        <f t="shared" si="49"/>
        <v>-81.6666666666667|-81.6666666666667|-81.6666666666667|-81.6666666666667|-81.6666666666667|-81.6666666666667</v>
      </c>
      <c r="EO3" s="8">
        <f t="shared" si="50"/>
        <v>18</v>
      </c>
      <c r="EP3" s="8"/>
      <c r="EQ3" s="8"/>
      <c r="ER3" s="8">
        <f t="shared" si="51"/>
        <v>65</v>
      </c>
      <c r="ES3" s="8">
        <f t="shared" ref="ES3:ES51" si="74">ES2</f>
        <v>1</v>
      </c>
      <c r="ET3">
        <v>1.65</v>
      </c>
      <c r="EU3" s="8"/>
      <c r="EV3" s="8">
        <f t="shared" si="52"/>
        <v>165</v>
      </c>
      <c r="EW3" s="8">
        <f t="shared" si="53"/>
        <v>43</v>
      </c>
      <c r="EX3">
        <v>1.43</v>
      </c>
      <c r="EY3">
        <f t="shared" ref="EY3:EY51" si="75">EY2</f>
        <v>1</v>
      </c>
      <c r="EZ3">
        <v>37.4</v>
      </c>
      <c r="FA3">
        <v>2.062</v>
      </c>
      <c r="FB3" s="8">
        <f t="shared" si="54"/>
        <v>143</v>
      </c>
      <c r="FC3" t="str">
        <f t="shared" si="55"/>
        <v>43|37.4|2.062</v>
      </c>
      <c r="FE3">
        <v>2</v>
      </c>
      <c r="FF3" s="8">
        <f t="shared" si="56"/>
        <v>120</v>
      </c>
      <c r="FG3">
        <f t="shared" ref="FG3:FG51" si="76">FG2</f>
        <v>1</v>
      </c>
      <c r="FH3">
        <f t="shared" ref="FH3:FH51" si="77">2*(1+FE2*0.1)</f>
        <v>2.2</v>
      </c>
      <c r="FJ3">
        <v>2</v>
      </c>
      <c r="FK3" s="8">
        <f t="shared" si="57"/>
        <v>120</v>
      </c>
      <c r="FL3" s="8" t="str">
        <f t="shared" ref="FL3:FL51" si="78">FL2</f>
        <v>0|40</v>
      </c>
      <c r="FM3">
        <f t="shared" ref="FM3:FM51" si="79">FM2</f>
        <v>1</v>
      </c>
      <c r="FN3">
        <f t="shared" ref="FN3:FN51" si="80">2*(1+FJ2*0.1)</f>
        <v>2.2</v>
      </c>
      <c r="FP3">
        <v>2</v>
      </c>
      <c r="FQ3" s="8">
        <f t="shared" si="58"/>
        <v>-27</v>
      </c>
      <c r="FR3">
        <f t="shared" ref="FR3:FR51" si="81">FR2</f>
        <v>3</v>
      </c>
      <c r="FS3">
        <f t="shared" ref="FS3:FS51" si="82">2*(1+FP2*0.1)</f>
        <v>2.2</v>
      </c>
      <c r="FT3" t="str">
        <f t="shared" si="59"/>
        <v>-27|-27|-27</v>
      </c>
    </row>
    <row r="4" spans="1:176">
      <c r="B4" t="s">
        <v>1376</v>
      </c>
      <c r="G4">
        <v>3</v>
      </c>
      <c r="H4">
        <f t="shared" si="0"/>
        <v>-75.2</v>
      </c>
      <c r="I4">
        <f t="shared" si="60"/>
        <v>5</v>
      </c>
      <c r="J4">
        <v>1.24</v>
      </c>
      <c r="K4" s="7" t="str">
        <f t="shared" si="1"/>
        <v>-75.2|-75.2|-75.2|-75.2|-75.2</v>
      </c>
      <c r="L4">
        <f t="shared" si="2"/>
        <v>25</v>
      </c>
      <c r="M4" s="7"/>
      <c r="N4" s="7">
        <v>3</v>
      </c>
      <c r="O4">
        <f t="shared" si="3"/>
        <v>-52.6666666666667</v>
      </c>
      <c r="P4">
        <f t="shared" si="61"/>
        <v>3</v>
      </c>
      <c r="Q4">
        <v>1.42</v>
      </c>
      <c r="R4" s="7" t="str">
        <f t="shared" si="4"/>
        <v>-52.6666666666667|-52.6666666666667|-52.6666666666667</v>
      </c>
      <c r="S4">
        <f t="shared" si="5"/>
        <v>47</v>
      </c>
      <c r="U4">
        <v>3</v>
      </c>
      <c r="V4">
        <f t="shared" si="6"/>
        <v>-82.75</v>
      </c>
      <c r="W4">
        <f t="shared" si="62"/>
        <v>8</v>
      </c>
      <c r="X4">
        <v>1.38</v>
      </c>
      <c r="Y4" s="7" t="str">
        <f t="shared" si="7"/>
        <v>-82.75|-82.75|-82.75|-82.75|-82.75|-82.75|-82.75|-82.75</v>
      </c>
      <c r="Z4">
        <f t="shared" si="8"/>
        <v>17</v>
      </c>
      <c r="AA4">
        <f t="shared" si="9"/>
        <v>-35.24</v>
      </c>
      <c r="AC4">
        <v>3</v>
      </c>
      <c r="AD4">
        <f t="shared" si="10"/>
        <v>83</v>
      </c>
      <c r="AE4">
        <v>1</v>
      </c>
      <c r="AF4">
        <v>1.83</v>
      </c>
      <c r="AG4" s="7">
        <f t="shared" si="11"/>
        <v>83</v>
      </c>
      <c r="AH4">
        <f t="shared" si="12"/>
        <v>183</v>
      </c>
      <c r="AJ4">
        <v>3</v>
      </c>
      <c r="AL4">
        <v>1200</v>
      </c>
      <c r="AM4">
        <v>3</v>
      </c>
      <c r="AO4" t="str">
        <f t="shared" si="13"/>
        <v>1200|3</v>
      </c>
      <c r="AR4">
        <v>3</v>
      </c>
      <c r="AS4">
        <f t="shared" si="14"/>
        <v>20</v>
      </c>
      <c r="AT4">
        <f t="shared" si="63"/>
        <v>1</v>
      </c>
      <c r="AU4">
        <v>1.2</v>
      </c>
      <c r="AV4">
        <f t="shared" si="15"/>
        <v>120</v>
      </c>
      <c r="AW4" s="10"/>
      <c r="AX4" s="10">
        <v>3</v>
      </c>
      <c r="AY4" s="10">
        <f t="shared" si="16"/>
        <v>140</v>
      </c>
      <c r="AZ4" s="10"/>
      <c r="BA4" s="10">
        <v>2.4</v>
      </c>
      <c r="BB4">
        <f t="shared" si="17"/>
        <v>240</v>
      </c>
      <c r="BD4">
        <v>600</v>
      </c>
      <c r="BE4" s="8" t="s">
        <v>41</v>
      </c>
      <c r="BF4" t="str">
        <f t="shared" si="18"/>
        <v>600|10</v>
      </c>
      <c r="BH4">
        <v>3</v>
      </c>
      <c r="BI4" s="10">
        <f t="shared" si="19"/>
        <v>-59.6</v>
      </c>
      <c r="BJ4">
        <f t="shared" si="64"/>
        <v>5</v>
      </c>
      <c r="BK4">
        <v>2.02</v>
      </c>
      <c r="BL4" s="3" t="str">
        <f t="shared" si="20"/>
        <v>-59.6|-59.6|-59.6|-59.6|-59.6</v>
      </c>
      <c r="BM4">
        <f t="shared" si="21"/>
        <v>40</v>
      </c>
      <c r="BN4" s="8">
        <f t="shared" si="65"/>
        <v>4</v>
      </c>
      <c r="BO4" s="8">
        <f t="shared" si="66"/>
        <v>6</v>
      </c>
      <c r="BP4" s="8">
        <f t="shared" si="67"/>
        <v>8</v>
      </c>
      <c r="BQ4" s="8">
        <f t="shared" si="68"/>
        <v>10</v>
      </c>
      <c r="BR4" s="8">
        <f t="shared" si="69"/>
        <v>12</v>
      </c>
      <c r="BT4">
        <v>3</v>
      </c>
      <c r="BU4">
        <f t="shared" si="22"/>
        <v>-30</v>
      </c>
      <c r="BW4">
        <v>1.4</v>
      </c>
      <c r="BX4" s="7" t="str">
        <f t="shared" si="23"/>
        <v>-20|-40</v>
      </c>
      <c r="BY4">
        <f t="shared" si="24"/>
        <v>70</v>
      </c>
      <c r="BZ4">
        <f t="shared" si="25"/>
        <v>-60</v>
      </c>
      <c r="CA4" s="8">
        <f t="shared" si="26"/>
        <v>-20</v>
      </c>
      <c r="CB4" s="8">
        <f t="shared" si="27"/>
        <v>-40</v>
      </c>
      <c r="CD4">
        <v>3</v>
      </c>
      <c r="CE4" s="8">
        <f t="shared" si="28"/>
        <v>20</v>
      </c>
      <c r="CG4">
        <v>1.2</v>
      </c>
      <c r="CH4" s="7">
        <f t="shared" si="29"/>
        <v>20</v>
      </c>
      <c r="CI4">
        <f t="shared" si="30"/>
        <v>120</v>
      </c>
      <c r="CK4">
        <v>3</v>
      </c>
      <c r="CL4">
        <f t="shared" si="31"/>
        <v>316</v>
      </c>
      <c r="CN4">
        <f t="shared" si="32"/>
        <v>4.16</v>
      </c>
      <c r="CO4" s="7">
        <f t="shared" si="33"/>
        <v>316</v>
      </c>
      <c r="CP4">
        <v>60</v>
      </c>
      <c r="CQ4">
        <v>97</v>
      </c>
      <c r="CR4" t="str">
        <f t="shared" si="34"/>
        <v>60|97</v>
      </c>
      <c r="CT4" s="4"/>
      <c r="CV4" s="8">
        <v>13</v>
      </c>
      <c r="CW4">
        <v>3</v>
      </c>
      <c r="CX4" t="str">
        <f t="shared" si="35"/>
        <v>-86|-86|-86|-86|-86</v>
      </c>
      <c r="CY4">
        <v>0.7</v>
      </c>
      <c r="CZ4">
        <f t="shared" si="70"/>
        <v>5</v>
      </c>
      <c r="DA4">
        <f t="shared" si="36"/>
        <v>-86</v>
      </c>
      <c r="DB4" s="8">
        <f t="shared" si="37"/>
        <v>14</v>
      </c>
      <c r="DC4">
        <v>11.2</v>
      </c>
      <c r="DD4" t="str">
        <f t="shared" si="38"/>
        <v>14|11.2</v>
      </c>
      <c r="DF4">
        <v>3</v>
      </c>
      <c r="DG4">
        <v>420</v>
      </c>
      <c r="DI4" s="8">
        <v>-98</v>
      </c>
      <c r="DJ4" s="8">
        <v>-95</v>
      </c>
      <c r="DK4" s="10"/>
      <c r="DL4" s="10">
        <v>3</v>
      </c>
      <c r="DM4">
        <f t="shared" si="39"/>
        <v>50</v>
      </c>
      <c r="DN4" s="10"/>
      <c r="DO4" s="10">
        <v>1.5</v>
      </c>
      <c r="DP4" s="15">
        <v>-97</v>
      </c>
      <c r="DQ4" s="8">
        <f t="shared" si="40"/>
        <v>150</v>
      </c>
      <c r="DR4" s="8">
        <f t="shared" si="41"/>
        <v>3</v>
      </c>
      <c r="DS4" t="str">
        <f t="shared" si="42"/>
        <v>150|3</v>
      </c>
      <c r="DU4">
        <v>3</v>
      </c>
      <c r="DV4" s="10">
        <f t="shared" si="43"/>
        <v>44</v>
      </c>
      <c r="DW4">
        <f t="shared" si="71"/>
        <v>1</v>
      </c>
      <c r="DX4">
        <v>1.44</v>
      </c>
      <c r="DZ4">
        <f t="shared" si="44"/>
        <v>144</v>
      </c>
      <c r="EB4">
        <v>3</v>
      </c>
      <c r="EC4" s="8">
        <f t="shared" si="45"/>
        <v>-79</v>
      </c>
      <c r="ED4">
        <f t="shared" si="72"/>
        <v>6</v>
      </c>
      <c r="EE4">
        <v>1.26</v>
      </c>
      <c r="EF4" s="3" t="str">
        <f t="shared" si="46"/>
        <v>-79|-79|-79|-79|-79|-79</v>
      </c>
      <c r="EG4" s="8">
        <f t="shared" si="47"/>
        <v>21</v>
      </c>
      <c r="EH4" s="3"/>
      <c r="EJ4">
        <v>3</v>
      </c>
      <c r="EK4" s="8">
        <f t="shared" si="48"/>
        <v>-80</v>
      </c>
      <c r="EL4">
        <f t="shared" si="73"/>
        <v>6</v>
      </c>
      <c r="EM4">
        <v>1.2</v>
      </c>
      <c r="EN4" s="3" t="str">
        <f t="shared" si="49"/>
        <v>-80|-80|-80|-80|-80|-80</v>
      </c>
      <c r="EO4" s="8">
        <f t="shared" si="50"/>
        <v>20</v>
      </c>
      <c r="EP4" s="8"/>
      <c r="EQ4" s="8"/>
      <c r="ER4" s="8">
        <f t="shared" si="51"/>
        <v>80</v>
      </c>
      <c r="ES4" s="8">
        <f t="shared" si="74"/>
        <v>1</v>
      </c>
      <c r="ET4">
        <v>1.8</v>
      </c>
      <c r="EU4" s="8"/>
      <c r="EV4" s="8">
        <f t="shared" si="52"/>
        <v>180</v>
      </c>
      <c r="EW4" s="8">
        <f t="shared" si="53"/>
        <v>56</v>
      </c>
      <c r="EX4">
        <v>1.56</v>
      </c>
      <c r="EY4">
        <f t="shared" si="75"/>
        <v>1</v>
      </c>
      <c r="EZ4">
        <v>40.8</v>
      </c>
      <c r="FA4">
        <v>2.124</v>
      </c>
      <c r="FB4" s="8">
        <f t="shared" si="54"/>
        <v>156</v>
      </c>
      <c r="FC4" t="str">
        <f t="shared" si="55"/>
        <v>56|40.8|2.124</v>
      </c>
      <c r="FE4">
        <v>3</v>
      </c>
      <c r="FF4" s="8">
        <f t="shared" si="56"/>
        <v>140</v>
      </c>
      <c r="FG4">
        <f t="shared" si="76"/>
        <v>1</v>
      </c>
      <c r="FH4">
        <f t="shared" si="77"/>
        <v>2.4</v>
      </c>
      <c r="FJ4">
        <v>3</v>
      </c>
      <c r="FK4" s="8">
        <f t="shared" si="57"/>
        <v>140</v>
      </c>
      <c r="FL4" s="8" t="str">
        <f t="shared" si="78"/>
        <v>0|40</v>
      </c>
      <c r="FM4">
        <f t="shared" si="79"/>
        <v>1</v>
      </c>
      <c r="FN4">
        <f t="shared" si="80"/>
        <v>2.4</v>
      </c>
      <c r="FP4">
        <v>3</v>
      </c>
      <c r="FQ4" s="8">
        <f t="shared" si="58"/>
        <v>-20</v>
      </c>
      <c r="FR4">
        <f t="shared" si="81"/>
        <v>3</v>
      </c>
      <c r="FS4">
        <f t="shared" si="82"/>
        <v>2.4</v>
      </c>
      <c r="FT4" t="str">
        <f t="shared" si="59"/>
        <v>-20|-20|-20</v>
      </c>
    </row>
    <row r="5" spans="1:176">
      <c r="B5" t="s">
        <v>1377</v>
      </c>
      <c r="G5">
        <v>4</v>
      </c>
      <c r="H5">
        <f t="shared" si="0"/>
        <v>-72.8</v>
      </c>
      <c r="I5">
        <f t="shared" si="60"/>
        <v>5</v>
      </c>
      <c r="J5">
        <v>1.36</v>
      </c>
      <c r="K5" s="7" t="str">
        <f t="shared" si="1"/>
        <v>-72.8|-72.8|-72.8|-72.8|-72.8</v>
      </c>
      <c r="L5">
        <f t="shared" si="2"/>
        <v>27</v>
      </c>
      <c r="M5" s="7"/>
      <c r="N5" s="7">
        <v>4</v>
      </c>
      <c r="O5">
        <f t="shared" si="3"/>
        <v>-49</v>
      </c>
      <c r="P5">
        <f t="shared" si="61"/>
        <v>3</v>
      </c>
      <c r="Q5">
        <v>1.53</v>
      </c>
      <c r="R5" s="7" t="str">
        <f t="shared" si="4"/>
        <v>-49|-49|-49</v>
      </c>
      <c r="S5">
        <f t="shared" si="5"/>
        <v>51</v>
      </c>
      <c r="U5">
        <v>4</v>
      </c>
      <c r="V5">
        <f t="shared" si="6"/>
        <v>-80.375</v>
      </c>
      <c r="W5">
        <f t="shared" si="62"/>
        <v>8</v>
      </c>
      <c r="X5">
        <v>1.57</v>
      </c>
      <c r="Y5" s="7" t="str">
        <f t="shared" si="7"/>
        <v>-80.375|-80.375|-80.375|-80.375|-80.375|-80.375|-80.375|-80.375</v>
      </c>
      <c r="Z5">
        <f t="shared" si="8"/>
        <v>20</v>
      </c>
      <c r="AA5">
        <f t="shared" si="9"/>
        <v>-33.86</v>
      </c>
      <c r="AC5">
        <v>4</v>
      </c>
      <c r="AD5">
        <f t="shared" si="10"/>
        <v>97</v>
      </c>
      <c r="AE5">
        <v>1</v>
      </c>
      <c r="AF5">
        <v>1.97</v>
      </c>
      <c r="AG5" s="7">
        <f t="shared" si="11"/>
        <v>97</v>
      </c>
      <c r="AH5">
        <f t="shared" si="12"/>
        <v>197</v>
      </c>
      <c r="AJ5">
        <v>4</v>
      </c>
      <c r="AL5">
        <v>1300</v>
      </c>
      <c r="AM5">
        <v>3.5</v>
      </c>
      <c r="AO5" t="str">
        <f t="shared" si="13"/>
        <v>1300|3.5</v>
      </c>
      <c r="AR5">
        <v>4</v>
      </c>
      <c r="AS5">
        <f t="shared" si="14"/>
        <v>30</v>
      </c>
      <c r="AT5">
        <f t="shared" si="63"/>
        <v>1</v>
      </c>
      <c r="AU5">
        <v>1.3</v>
      </c>
      <c r="AV5">
        <f t="shared" si="15"/>
        <v>130</v>
      </c>
      <c r="AW5" s="10"/>
      <c r="AX5" s="10">
        <v>4</v>
      </c>
      <c r="AY5" s="10">
        <f t="shared" si="16"/>
        <v>160</v>
      </c>
      <c r="AZ5" s="10"/>
      <c r="BA5" s="10">
        <v>2.6</v>
      </c>
      <c r="BB5">
        <f t="shared" si="17"/>
        <v>260</v>
      </c>
      <c r="BD5">
        <v>700</v>
      </c>
      <c r="BE5" s="8" t="s">
        <v>41</v>
      </c>
      <c r="BF5" t="str">
        <f t="shared" si="18"/>
        <v>700|10</v>
      </c>
      <c r="BH5">
        <v>4</v>
      </c>
      <c r="BI5" s="10">
        <f t="shared" si="19"/>
        <v>-56.4</v>
      </c>
      <c r="BJ5">
        <f t="shared" si="64"/>
        <v>5</v>
      </c>
      <c r="BK5">
        <v>2.18</v>
      </c>
      <c r="BL5" s="3" t="str">
        <f t="shared" si="20"/>
        <v>-56.4|-56.4|-56.4|-56.4|-56.4</v>
      </c>
      <c r="BM5">
        <f t="shared" si="21"/>
        <v>44</v>
      </c>
      <c r="BN5" s="8">
        <f t="shared" si="65"/>
        <v>4.4</v>
      </c>
      <c r="BO5" s="8">
        <f t="shared" si="66"/>
        <v>6.6</v>
      </c>
      <c r="BP5" s="8">
        <f t="shared" si="67"/>
        <v>8.8</v>
      </c>
      <c r="BQ5" s="8">
        <f t="shared" si="68"/>
        <v>11</v>
      </c>
      <c r="BR5" s="8">
        <f t="shared" si="69"/>
        <v>13.2</v>
      </c>
      <c r="BT5">
        <v>4</v>
      </c>
      <c r="BU5">
        <f t="shared" si="22"/>
        <v>-20</v>
      </c>
      <c r="BW5">
        <v>1.6</v>
      </c>
      <c r="BX5" s="7" t="str">
        <f t="shared" si="23"/>
        <v>-13.3333333333333|-26.6666666666667</v>
      </c>
      <c r="BY5">
        <f t="shared" si="24"/>
        <v>80</v>
      </c>
      <c r="BZ5">
        <f t="shared" si="25"/>
        <v>-40</v>
      </c>
      <c r="CA5" s="8">
        <f t="shared" si="26"/>
        <v>-13.3333333333333</v>
      </c>
      <c r="CB5" s="8">
        <f t="shared" si="27"/>
        <v>-26.6666666666667</v>
      </c>
      <c r="CD5">
        <v>4</v>
      </c>
      <c r="CE5" s="8">
        <f t="shared" si="28"/>
        <v>30</v>
      </c>
      <c r="CG5">
        <v>1.3</v>
      </c>
      <c r="CH5" s="7">
        <f t="shared" si="29"/>
        <v>30</v>
      </c>
      <c r="CI5">
        <f t="shared" si="30"/>
        <v>130</v>
      </c>
      <c r="CK5">
        <v>4</v>
      </c>
      <c r="CL5">
        <f t="shared" si="31"/>
        <v>324</v>
      </c>
      <c r="CN5">
        <f t="shared" si="32"/>
        <v>4.24</v>
      </c>
      <c r="CO5" s="7">
        <f t="shared" si="33"/>
        <v>324</v>
      </c>
      <c r="CP5">
        <v>65</v>
      </c>
      <c r="CQ5">
        <v>96</v>
      </c>
      <c r="CR5" t="str">
        <f t="shared" si="34"/>
        <v>65|96</v>
      </c>
      <c r="CT5" s="4"/>
      <c r="CV5" s="8">
        <v>15</v>
      </c>
      <c r="CW5">
        <v>4</v>
      </c>
      <c r="CX5" t="str">
        <f t="shared" si="35"/>
        <v>-84|-84|-84|-84|-84</v>
      </c>
      <c r="CY5">
        <v>0.8</v>
      </c>
      <c r="CZ5">
        <f t="shared" si="70"/>
        <v>5</v>
      </c>
      <c r="DA5">
        <f t="shared" si="36"/>
        <v>-84</v>
      </c>
      <c r="DB5" s="8">
        <f t="shared" si="37"/>
        <v>16</v>
      </c>
      <c r="DC5">
        <v>11.8</v>
      </c>
      <c r="DD5" t="str">
        <f t="shared" si="38"/>
        <v>16|11.8</v>
      </c>
      <c r="DF5">
        <v>4</v>
      </c>
      <c r="DG5">
        <v>430</v>
      </c>
      <c r="DI5" s="8">
        <v>-96</v>
      </c>
      <c r="DJ5" s="8">
        <v>-93</v>
      </c>
      <c r="DK5" s="10"/>
      <c r="DL5" s="10">
        <v>4</v>
      </c>
      <c r="DM5">
        <f t="shared" si="39"/>
        <v>65</v>
      </c>
      <c r="DN5" s="10"/>
      <c r="DO5" s="10">
        <v>1.65</v>
      </c>
      <c r="DP5" s="15">
        <v>-96</v>
      </c>
      <c r="DQ5" s="8">
        <f t="shared" si="40"/>
        <v>165</v>
      </c>
      <c r="DR5" s="8">
        <f t="shared" si="41"/>
        <v>4</v>
      </c>
      <c r="DS5" t="str">
        <f t="shared" si="42"/>
        <v>165|4</v>
      </c>
      <c r="DU5">
        <v>4</v>
      </c>
      <c r="DV5" s="10">
        <f t="shared" si="43"/>
        <v>56</v>
      </c>
      <c r="DW5">
        <f t="shared" si="71"/>
        <v>1</v>
      </c>
      <c r="DX5">
        <v>1.56</v>
      </c>
      <c r="DZ5">
        <f t="shared" si="44"/>
        <v>156</v>
      </c>
      <c r="EB5">
        <v>4</v>
      </c>
      <c r="EC5" s="8">
        <f t="shared" si="45"/>
        <v>-76.8333333333333</v>
      </c>
      <c r="ED5">
        <f t="shared" si="72"/>
        <v>6</v>
      </c>
      <c r="EE5">
        <v>1.39</v>
      </c>
      <c r="EF5" s="3" t="str">
        <f t="shared" si="46"/>
        <v>-76.8333333333333|-76.8333333333333|-76.8333333333333|-76.8333333333333|-76.8333333333333|-76.8333333333333</v>
      </c>
      <c r="EG5" s="8">
        <f t="shared" si="47"/>
        <v>23</v>
      </c>
      <c r="EH5" s="3"/>
      <c r="EJ5">
        <v>4</v>
      </c>
      <c r="EK5" s="8">
        <f t="shared" si="48"/>
        <v>-78.3333333333333</v>
      </c>
      <c r="EL5">
        <f t="shared" si="73"/>
        <v>6</v>
      </c>
      <c r="EM5">
        <v>1.3</v>
      </c>
      <c r="EN5" s="3" t="str">
        <f t="shared" si="49"/>
        <v>-78.3333333333333|-78.3333333333333|-78.3333333333333|-78.3333333333333|-78.3333333333333|-78.3333333333333</v>
      </c>
      <c r="EO5" s="8">
        <f t="shared" si="50"/>
        <v>22</v>
      </c>
      <c r="EP5" s="8"/>
      <c r="EQ5" s="8"/>
      <c r="ER5" s="8">
        <f t="shared" si="51"/>
        <v>95</v>
      </c>
      <c r="ES5" s="8">
        <f t="shared" si="74"/>
        <v>1</v>
      </c>
      <c r="ET5">
        <v>1.95</v>
      </c>
      <c r="EU5" s="8"/>
      <c r="EV5" s="8">
        <f t="shared" si="52"/>
        <v>195</v>
      </c>
      <c r="EW5" s="8">
        <f t="shared" si="53"/>
        <v>69</v>
      </c>
      <c r="EX5">
        <v>1.69</v>
      </c>
      <c r="EY5">
        <f t="shared" si="75"/>
        <v>1</v>
      </c>
      <c r="EZ5">
        <v>44.2</v>
      </c>
      <c r="FA5">
        <v>2.186</v>
      </c>
      <c r="FB5" s="8">
        <f t="shared" si="54"/>
        <v>169</v>
      </c>
      <c r="FC5" t="str">
        <f t="shared" si="55"/>
        <v>69|44.2|2.186</v>
      </c>
      <c r="FE5">
        <v>4</v>
      </c>
      <c r="FF5" s="8">
        <f t="shared" si="56"/>
        <v>160</v>
      </c>
      <c r="FG5">
        <f t="shared" si="76"/>
        <v>1</v>
      </c>
      <c r="FH5">
        <f t="shared" si="77"/>
        <v>2.6</v>
      </c>
      <c r="FJ5">
        <v>4</v>
      </c>
      <c r="FK5" s="8">
        <f t="shared" si="57"/>
        <v>160</v>
      </c>
      <c r="FL5" s="8" t="str">
        <f t="shared" si="78"/>
        <v>0|40</v>
      </c>
      <c r="FM5">
        <f t="shared" si="79"/>
        <v>1</v>
      </c>
      <c r="FN5">
        <f t="shared" si="80"/>
        <v>2.6</v>
      </c>
      <c r="FP5">
        <v>4</v>
      </c>
      <c r="FQ5" s="8">
        <f t="shared" si="58"/>
        <v>-13</v>
      </c>
      <c r="FR5">
        <f t="shared" si="81"/>
        <v>3</v>
      </c>
      <c r="FS5">
        <f t="shared" si="82"/>
        <v>2.6</v>
      </c>
      <c r="FT5" t="str">
        <f t="shared" si="59"/>
        <v>-13|-13|-13</v>
      </c>
    </row>
    <row r="6" spans="1:176">
      <c r="G6">
        <v>5</v>
      </c>
      <c r="H6">
        <f t="shared" si="0"/>
        <v>-70.4</v>
      </c>
      <c r="I6">
        <f t="shared" si="60"/>
        <v>5</v>
      </c>
      <c r="J6">
        <v>1.48</v>
      </c>
      <c r="K6" s="7" t="str">
        <f t="shared" si="1"/>
        <v>-70.4|-70.4|-70.4|-70.4|-70.4</v>
      </c>
      <c r="L6">
        <f t="shared" si="2"/>
        <v>30</v>
      </c>
      <c r="M6" s="7"/>
      <c r="N6" s="7">
        <v>5</v>
      </c>
      <c r="O6">
        <f t="shared" si="3"/>
        <v>-45.3333333333333</v>
      </c>
      <c r="P6">
        <f t="shared" si="61"/>
        <v>3</v>
      </c>
      <c r="Q6">
        <v>1.64</v>
      </c>
      <c r="R6" s="7" t="str">
        <f t="shared" si="4"/>
        <v>-45.3333333333333|-45.3333333333333|-45.3333333333333</v>
      </c>
      <c r="S6">
        <f t="shared" si="5"/>
        <v>55</v>
      </c>
      <c r="U6">
        <v>5</v>
      </c>
      <c r="V6">
        <f t="shared" si="6"/>
        <v>-78</v>
      </c>
      <c r="W6">
        <f t="shared" si="62"/>
        <v>8</v>
      </c>
      <c r="X6">
        <v>1.76</v>
      </c>
      <c r="Y6" s="7" t="str">
        <f t="shared" si="7"/>
        <v>-78|-78|-78|-78|-78|-78|-78|-78</v>
      </c>
      <c r="Z6">
        <f t="shared" si="8"/>
        <v>22</v>
      </c>
      <c r="AA6">
        <f t="shared" si="9"/>
        <v>-32.48</v>
      </c>
      <c r="AC6">
        <v>5</v>
      </c>
      <c r="AD6">
        <f t="shared" si="10"/>
        <v>111</v>
      </c>
      <c r="AE6">
        <v>1</v>
      </c>
      <c r="AF6">
        <v>2.11</v>
      </c>
      <c r="AG6" s="7">
        <f t="shared" si="11"/>
        <v>111</v>
      </c>
      <c r="AH6">
        <f t="shared" si="12"/>
        <v>211</v>
      </c>
      <c r="AJ6">
        <v>5</v>
      </c>
      <c r="AL6">
        <v>1400</v>
      </c>
      <c r="AM6">
        <v>4</v>
      </c>
      <c r="AO6" t="str">
        <f t="shared" si="13"/>
        <v>1400|4</v>
      </c>
      <c r="AR6">
        <v>5</v>
      </c>
      <c r="AS6">
        <f t="shared" si="14"/>
        <v>40</v>
      </c>
      <c r="AT6">
        <f t="shared" si="63"/>
        <v>1</v>
      </c>
      <c r="AU6">
        <v>1.4</v>
      </c>
      <c r="AV6">
        <f t="shared" si="15"/>
        <v>140</v>
      </c>
      <c r="AW6" s="10"/>
      <c r="AX6" s="10">
        <v>5</v>
      </c>
      <c r="AY6" s="10">
        <f t="shared" si="16"/>
        <v>180</v>
      </c>
      <c r="AZ6" s="10"/>
      <c r="BA6" s="10">
        <v>2.8</v>
      </c>
      <c r="BB6">
        <f t="shared" si="17"/>
        <v>280</v>
      </c>
      <c r="BD6">
        <v>800</v>
      </c>
      <c r="BE6" s="8" t="s">
        <v>41</v>
      </c>
      <c r="BF6" t="str">
        <f t="shared" si="18"/>
        <v>800|10</v>
      </c>
      <c r="BH6">
        <v>5</v>
      </c>
      <c r="BI6" s="10">
        <f t="shared" si="19"/>
        <v>-53.2</v>
      </c>
      <c r="BJ6">
        <f t="shared" si="64"/>
        <v>5</v>
      </c>
      <c r="BK6">
        <v>2.34</v>
      </c>
      <c r="BL6" s="3" t="str">
        <f t="shared" si="20"/>
        <v>-53.2|-53.2|-53.2|-53.2|-53.2</v>
      </c>
      <c r="BM6">
        <f t="shared" si="21"/>
        <v>47</v>
      </c>
      <c r="BN6" s="8">
        <f t="shared" si="65"/>
        <v>4.7</v>
      </c>
      <c r="BO6" s="8">
        <f t="shared" si="66"/>
        <v>7.05</v>
      </c>
      <c r="BP6" s="8">
        <f t="shared" si="67"/>
        <v>9.4</v>
      </c>
      <c r="BQ6" s="8">
        <f t="shared" si="68"/>
        <v>11.75</v>
      </c>
      <c r="BR6" s="8">
        <f t="shared" si="69"/>
        <v>14.1</v>
      </c>
      <c r="BT6">
        <v>5</v>
      </c>
      <c r="BU6">
        <f t="shared" si="22"/>
        <v>-10</v>
      </c>
      <c r="BW6">
        <v>1.8</v>
      </c>
      <c r="BX6" s="7" t="str">
        <f t="shared" si="23"/>
        <v>-6.66666666666667|-13.3333333333333</v>
      </c>
      <c r="BY6">
        <f t="shared" si="24"/>
        <v>90</v>
      </c>
      <c r="BZ6">
        <f t="shared" si="25"/>
        <v>-20</v>
      </c>
      <c r="CA6" s="8">
        <f t="shared" si="26"/>
        <v>-6.66666666666667</v>
      </c>
      <c r="CB6" s="8">
        <f t="shared" si="27"/>
        <v>-13.3333333333333</v>
      </c>
      <c r="CD6">
        <v>5</v>
      </c>
      <c r="CE6" s="8">
        <f t="shared" si="28"/>
        <v>40</v>
      </c>
      <c r="CG6">
        <v>1.4</v>
      </c>
      <c r="CH6" s="7">
        <f t="shared" si="29"/>
        <v>40</v>
      </c>
      <c r="CI6">
        <f t="shared" si="30"/>
        <v>140</v>
      </c>
      <c r="CK6">
        <v>5</v>
      </c>
      <c r="CL6">
        <f t="shared" si="31"/>
        <v>332</v>
      </c>
      <c r="CN6">
        <f t="shared" si="32"/>
        <v>4.32</v>
      </c>
      <c r="CO6" s="7">
        <f t="shared" si="33"/>
        <v>332</v>
      </c>
      <c r="CP6">
        <v>70</v>
      </c>
      <c r="CQ6">
        <v>95</v>
      </c>
      <c r="CR6" t="str">
        <f t="shared" si="34"/>
        <v>70|95</v>
      </c>
      <c r="CT6" s="4"/>
      <c r="CV6" s="8">
        <v>16</v>
      </c>
      <c r="CW6">
        <v>5</v>
      </c>
      <c r="CX6" t="str">
        <f t="shared" si="35"/>
        <v>-82|-82|-82|-82|-82</v>
      </c>
      <c r="CY6">
        <v>0.9</v>
      </c>
      <c r="CZ6">
        <f t="shared" si="70"/>
        <v>5</v>
      </c>
      <c r="DA6">
        <f t="shared" si="36"/>
        <v>-82</v>
      </c>
      <c r="DB6" s="8">
        <f t="shared" si="37"/>
        <v>18</v>
      </c>
      <c r="DC6">
        <v>12.4</v>
      </c>
      <c r="DD6" t="str">
        <f t="shared" si="38"/>
        <v>18|12.4</v>
      </c>
      <c r="DF6">
        <v>5</v>
      </c>
      <c r="DG6">
        <v>440</v>
      </c>
      <c r="DI6" s="8">
        <v>-95</v>
      </c>
      <c r="DJ6" s="8">
        <v>-93</v>
      </c>
      <c r="DK6" s="10"/>
      <c r="DL6" s="10">
        <v>5</v>
      </c>
      <c r="DM6">
        <f t="shared" si="39"/>
        <v>80</v>
      </c>
      <c r="DN6" s="10"/>
      <c r="DO6" s="10">
        <v>1.8</v>
      </c>
      <c r="DP6" s="15">
        <v>-95</v>
      </c>
      <c r="DQ6" s="8">
        <f t="shared" si="40"/>
        <v>180</v>
      </c>
      <c r="DR6" s="8">
        <f t="shared" si="41"/>
        <v>5</v>
      </c>
      <c r="DS6" t="str">
        <f t="shared" si="42"/>
        <v>180|5</v>
      </c>
      <c r="DU6">
        <v>5</v>
      </c>
      <c r="DV6" s="10">
        <f t="shared" si="43"/>
        <v>68</v>
      </c>
      <c r="DW6">
        <f t="shared" si="71"/>
        <v>1</v>
      </c>
      <c r="DX6">
        <v>1.68</v>
      </c>
      <c r="DZ6">
        <f t="shared" si="44"/>
        <v>168</v>
      </c>
      <c r="EB6">
        <v>5</v>
      </c>
      <c r="EC6" s="8">
        <f t="shared" si="45"/>
        <v>-74.6666666666667</v>
      </c>
      <c r="ED6">
        <f t="shared" si="72"/>
        <v>6</v>
      </c>
      <c r="EE6">
        <v>1.52</v>
      </c>
      <c r="EF6" s="3" t="str">
        <f t="shared" si="46"/>
        <v>-74.6666666666667|-74.6666666666667|-74.6666666666667|-74.6666666666667|-74.6666666666667|-74.6666666666667</v>
      </c>
      <c r="EG6" s="8">
        <f t="shared" si="47"/>
        <v>25</v>
      </c>
      <c r="EH6" s="3"/>
      <c r="EJ6">
        <v>5</v>
      </c>
      <c r="EK6" s="8">
        <f t="shared" si="48"/>
        <v>-76.6666666666667</v>
      </c>
      <c r="EL6">
        <f t="shared" si="73"/>
        <v>6</v>
      </c>
      <c r="EM6">
        <v>1.4</v>
      </c>
      <c r="EN6" s="3" t="str">
        <f t="shared" si="49"/>
        <v>-76.6666666666667|-76.6666666666667|-76.6666666666667|-76.6666666666667|-76.6666666666667|-76.6666666666667</v>
      </c>
      <c r="EO6" s="8">
        <f t="shared" si="50"/>
        <v>23</v>
      </c>
      <c r="EP6" s="8"/>
      <c r="EQ6" s="8"/>
      <c r="ER6" s="8">
        <f t="shared" si="51"/>
        <v>110</v>
      </c>
      <c r="ES6" s="8">
        <f t="shared" si="74"/>
        <v>1</v>
      </c>
      <c r="ET6">
        <v>2.1</v>
      </c>
      <c r="EU6" s="8"/>
      <c r="EV6" s="8">
        <f t="shared" si="52"/>
        <v>210</v>
      </c>
      <c r="EW6" s="8">
        <f t="shared" si="53"/>
        <v>82</v>
      </c>
      <c r="EX6">
        <v>1.82</v>
      </c>
      <c r="EY6">
        <f t="shared" si="75"/>
        <v>1</v>
      </c>
      <c r="EZ6">
        <v>47.6</v>
      </c>
      <c r="FA6">
        <v>2.248</v>
      </c>
      <c r="FB6" s="8">
        <f t="shared" si="54"/>
        <v>182</v>
      </c>
      <c r="FC6" t="str">
        <f t="shared" si="55"/>
        <v>82|47.6|2.248</v>
      </c>
      <c r="FE6">
        <v>5</v>
      </c>
      <c r="FF6" s="8">
        <f t="shared" si="56"/>
        <v>180</v>
      </c>
      <c r="FG6">
        <f t="shared" si="76"/>
        <v>1</v>
      </c>
      <c r="FH6">
        <f t="shared" si="77"/>
        <v>2.8</v>
      </c>
      <c r="FJ6">
        <v>5</v>
      </c>
      <c r="FK6" s="8">
        <f t="shared" si="57"/>
        <v>180</v>
      </c>
      <c r="FL6" s="8" t="str">
        <f t="shared" si="78"/>
        <v>0|40</v>
      </c>
      <c r="FM6">
        <f t="shared" si="79"/>
        <v>1</v>
      </c>
      <c r="FN6">
        <f t="shared" si="80"/>
        <v>2.8</v>
      </c>
      <c r="FP6">
        <v>5</v>
      </c>
      <c r="FQ6" s="8">
        <f t="shared" si="58"/>
        <v>-7</v>
      </c>
      <c r="FR6">
        <f t="shared" si="81"/>
        <v>3</v>
      </c>
      <c r="FS6">
        <f t="shared" si="82"/>
        <v>2.8</v>
      </c>
      <c r="FT6" t="str">
        <f t="shared" si="59"/>
        <v>-7|-7|-7</v>
      </c>
    </row>
    <row r="7" spans="1:176">
      <c r="G7">
        <v>6</v>
      </c>
      <c r="H7">
        <f t="shared" si="0"/>
        <v>-68</v>
      </c>
      <c r="I7">
        <f t="shared" si="60"/>
        <v>5</v>
      </c>
      <c r="J7">
        <v>1.6</v>
      </c>
      <c r="K7" s="7" t="str">
        <f t="shared" si="1"/>
        <v>-68|-68|-68|-68|-68</v>
      </c>
      <c r="L7">
        <f t="shared" si="2"/>
        <v>32</v>
      </c>
      <c r="M7" s="7"/>
      <c r="N7" s="7">
        <v>6</v>
      </c>
      <c r="O7">
        <f t="shared" si="3"/>
        <v>-41.6666666666667</v>
      </c>
      <c r="P7">
        <f t="shared" si="61"/>
        <v>3</v>
      </c>
      <c r="Q7">
        <v>1.75</v>
      </c>
      <c r="R7" s="7" t="str">
        <f t="shared" si="4"/>
        <v>-41.6666666666667|-41.6666666666667|-41.6666666666667</v>
      </c>
      <c r="S7">
        <f t="shared" si="5"/>
        <v>58</v>
      </c>
      <c r="U7">
        <v>6</v>
      </c>
      <c r="V7">
        <f t="shared" si="6"/>
        <v>-75.625</v>
      </c>
      <c r="W7">
        <f t="shared" si="62"/>
        <v>8</v>
      </c>
      <c r="X7">
        <v>1.95</v>
      </c>
      <c r="Y7" s="7" t="str">
        <f t="shared" si="7"/>
        <v>-75.625|-75.625|-75.625|-75.625|-75.625|-75.625|-75.625|-75.625</v>
      </c>
      <c r="Z7">
        <f t="shared" si="8"/>
        <v>24</v>
      </c>
      <c r="AA7">
        <f t="shared" si="9"/>
        <v>-31.1</v>
      </c>
      <c r="AC7">
        <v>6</v>
      </c>
      <c r="AD7">
        <f t="shared" si="10"/>
        <v>125</v>
      </c>
      <c r="AE7">
        <v>1</v>
      </c>
      <c r="AF7">
        <v>2.25</v>
      </c>
      <c r="AG7" s="7">
        <f t="shared" si="11"/>
        <v>125</v>
      </c>
      <c r="AH7">
        <f t="shared" si="12"/>
        <v>225</v>
      </c>
      <c r="AJ7">
        <v>6</v>
      </c>
      <c r="AL7">
        <v>1500</v>
      </c>
      <c r="AM7">
        <v>4.5</v>
      </c>
      <c r="AO7" t="str">
        <f t="shared" si="13"/>
        <v>1500|4.5</v>
      </c>
      <c r="AR7">
        <v>6</v>
      </c>
      <c r="AS7">
        <f t="shared" si="14"/>
        <v>50</v>
      </c>
      <c r="AT7">
        <f t="shared" si="63"/>
        <v>1</v>
      </c>
      <c r="AU7">
        <v>1.5</v>
      </c>
      <c r="AV7">
        <f t="shared" si="15"/>
        <v>150</v>
      </c>
      <c r="AW7" s="10"/>
      <c r="AX7" s="10">
        <v>6</v>
      </c>
      <c r="AY7" s="10">
        <f t="shared" si="16"/>
        <v>200</v>
      </c>
      <c r="AZ7" s="10"/>
      <c r="BA7" s="10">
        <v>3</v>
      </c>
      <c r="BB7">
        <f t="shared" si="17"/>
        <v>300</v>
      </c>
      <c r="BD7">
        <v>900</v>
      </c>
      <c r="BE7" s="8" t="s">
        <v>44</v>
      </c>
      <c r="BF7" t="str">
        <f t="shared" si="18"/>
        <v>900|11</v>
      </c>
      <c r="BH7">
        <v>6</v>
      </c>
      <c r="BI7" s="10">
        <f t="shared" si="19"/>
        <v>-50</v>
      </c>
      <c r="BJ7">
        <f t="shared" si="64"/>
        <v>5</v>
      </c>
      <c r="BK7">
        <v>2.5</v>
      </c>
      <c r="BL7" s="3" t="str">
        <f t="shared" si="20"/>
        <v>-50|-50|-50|-50|-50</v>
      </c>
      <c r="BM7">
        <f t="shared" si="21"/>
        <v>50</v>
      </c>
      <c r="BN7" s="8">
        <f t="shared" si="65"/>
        <v>5</v>
      </c>
      <c r="BO7" s="8">
        <f t="shared" si="66"/>
        <v>7.5</v>
      </c>
      <c r="BP7" s="8">
        <f t="shared" si="67"/>
        <v>10</v>
      </c>
      <c r="BQ7" s="8">
        <f t="shared" si="68"/>
        <v>12.5</v>
      </c>
      <c r="BR7" s="8">
        <f t="shared" si="69"/>
        <v>15</v>
      </c>
      <c r="BT7">
        <v>6</v>
      </c>
      <c r="BU7">
        <f t="shared" si="22"/>
        <v>0</v>
      </c>
      <c r="BW7">
        <v>2</v>
      </c>
      <c r="BX7" s="7" t="str">
        <f t="shared" si="23"/>
        <v>0|0</v>
      </c>
      <c r="BY7">
        <f t="shared" si="24"/>
        <v>100</v>
      </c>
      <c r="BZ7">
        <f t="shared" si="25"/>
        <v>0</v>
      </c>
      <c r="CA7" s="8">
        <f t="shared" si="26"/>
        <v>0</v>
      </c>
      <c r="CB7" s="8">
        <f t="shared" si="27"/>
        <v>0</v>
      </c>
      <c r="CD7">
        <v>6</v>
      </c>
      <c r="CE7" s="8">
        <f t="shared" si="28"/>
        <v>50</v>
      </c>
      <c r="CG7">
        <v>1.5</v>
      </c>
      <c r="CH7" s="7">
        <f t="shared" si="29"/>
        <v>50</v>
      </c>
      <c r="CI7">
        <f t="shared" si="30"/>
        <v>150</v>
      </c>
      <c r="CK7">
        <v>6</v>
      </c>
      <c r="CL7">
        <f t="shared" si="31"/>
        <v>340</v>
      </c>
      <c r="CN7">
        <f t="shared" si="32"/>
        <v>4.4</v>
      </c>
      <c r="CO7" s="7">
        <f t="shared" si="33"/>
        <v>340</v>
      </c>
      <c r="CP7">
        <v>75</v>
      </c>
      <c r="CQ7">
        <v>94</v>
      </c>
      <c r="CR7" t="str">
        <f t="shared" si="34"/>
        <v>75|94</v>
      </c>
      <c r="CT7" s="4"/>
      <c r="CV7" s="8">
        <v>18</v>
      </c>
      <c r="CW7">
        <v>6</v>
      </c>
      <c r="CX7" t="str">
        <f t="shared" si="35"/>
        <v>-80|-80|-80|-80|-80</v>
      </c>
      <c r="CY7">
        <v>1</v>
      </c>
      <c r="CZ7">
        <f t="shared" si="70"/>
        <v>5</v>
      </c>
      <c r="DA7">
        <f t="shared" si="36"/>
        <v>-80</v>
      </c>
      <c r="DB7" s="8">
        <f t="shared" si="37"/>
        <v>20</v>
      </c>
      <c r="DC7">
        <v>13</v>
      </c>
      <c r="DD7" t="str">
        <f t="shared" si="38"/>
        <v>20|13</v>
      </c>
      <c r="DF7">
        <v>6</v>
      </c>
      <c r="DG7">
        <v>450</v>
      </c>
      <c r="DI7" s="8">
        <v>-95</v>
      </c>
      <c r="DJ7" s="8">
        <v>-93</v>
      </c>
      <c r="DK7" s="10"/>
      <c r="DL7" s="10">
        <v>6</v>
      </c>
      <c r="DM7">
        <f t="shared" si="39"/>
        <v>95</v>
      </c>
      <c r="DN7" s="10"/>
      <c r="DO7" s="10">
        <v>1.95</v>
      </c>
      <c r="DP7" s="15">
        <v>-94</v>
      </c>
      <c r="DQ7" s="8">
        <f t="shared" si="40"/>
        <v>195</v>
      </c>
      <c r="DR7" s="8">
        <f t="shared" si="41"/>
        <v>6</v>
      </c>
      <c r="DS7" t="str">
        <f t="shared" si="42"/>
        <v>195|6</v>
      </c>
      <c r="DU7">
        <v>6</v>
      </c>
      <c r="DV7" s="10">
        <f t="shared" si="43"/>
        <v>80</v>
      </c>
      <c r="DW7">
        <f t="shared" si="71"/>
        <v>1</v>
      </c>
      <c r="DX7">
        <v>1.8</v>
      </c>
      <c r="DZ7">
        <f t="shared" si="44"/>
        <v>180</v>
      </c>
      <c r="EB7">
        <v>6</v>
      </c>
      <c r="EC7" s="8">
        <f t="shared" si="45"/>
        <v>-72.5</v>
      </c>
      <c r="ED7">
        <f t="shared" si="72"/>
        <v>6</v>
      </c>
      <c r="EE7">
        <v>1.65</v>
      </c>
      <c r="EF7" s="3" t="str">
        <f t="shared" si="46"/>
        <v>-72.5|-72.5|-72.5|-72.5|-72.5|-72.5</v>
      </c>
      <c r="EG7" s="8">
        <f t="shared" si="47"/>
        <v>28</v>
      </c>
      <c r="EH7" s="3"/>
      <c r="EJ7">
        <v>6</v>
      </c>
      <c r="EK7" s="8">
        <f t="shared" si="48"/>
        <v>-75</v>
      </c>
      <c r="EL7">
        <f t="shared" si="73"/>
        <v>6</v>
      </c>
      <c r="EM7">
        <v>1.5</v>
      </c>
      <c r="EN7" s="3" t="str">
        <f t="shared" si="49"/>
        <v>-75|-75|-75|-75|-75|-75</v>
      </c>
      <c r="EO7" s="8">
        <f t="shared" si="50"/>
        <v>25</v>
      </c>
      <c r="EP7" s="8"/>
      <c r="EQ7" s="8"/>
      <c r="ER7" s="8">
        <f t="shared" si="51"/>
        <v>125</v>
      </c>
      <c r="ES7" s="8">
        <f t="shared" si="74"/>
        <v>1</v>
      </c>
      <c r="ET7">
        <v>2.25</v>
      </c>
      <c r="EU7" s="8"/>
      <c r="EV7" s="8">
        <f t="shared" si="52"/>
        <v>225</v>
      </c>
      <c r="EW7" s="8">
        <f t="shared" si="53"/>
        <v>95</v>
      </c>
      <c r="EX7">
        <v>1.95</v>
      </c>
      <c r="EY7">
        <f t="shared" si="75"/>
        <v>1</v>
      </c>
      <c r="EZ7">
        <v>51</v>
      </c>
      <c r="FA7">
        <v>2.31</v>
      </c>
      <c r="FB7" s="8">
        <f t="shared" si="54"/>
        <v>195</v>
      </c>
      <c r="FC7" t="str">
        <f t="shared" si="55"/>
        <v>95|51|2.31</v>
      </c>
      <c r="FE7">
        <v>6</v>
      </c>
      <c r="FF7" s="8">
        <f t="shared" si="56"/>
        <v>200</v>
      </c>
      <c r="FG7">
        <f t="shared" si="76"/>
        <v>1</v>
      </c>
      <c r="FH7">
        <f t="shared" si="77"/>
        <v>3</v>
      </c>
      <c r="FJ7">
        <v>6</v>
      </c>
      <c r="FK7" s="8">
        <f t="shared" si="57"/>
        <v>200</v>
      </c>
      <c r="FL7" s="8" t="str">
        <f t="shared" si="78"/>
        <v>0|40</v>
      </c>
      <c r="FM7">
        <f t="shared" si="79"/>
        <v>1</v>
      </c>
      <c r="FN7">
        <f t="shared" si="80"/>
        <v>3</v>
      </c>
      <c r="FP7">
        <v>6</v>
      </c>
      <c r="FQ7" s="8">
        <f t="shared" si="58"/>
        <v>0</v>
      </c>
      <c r="FR7">
        <f t="shared" si="81"/>
        <v>3</v>
      </c>
      <c r="FS7">
        <f t="shared" si="82"/>
        <v>3</v>
      </c>
      <c r="FT7" t="str">
        <f t="shared" si="59"/>
        <v>0|0|0</v>
      </c>
    </row>
    <row r="8" spans="1:176">
      <c r="G8">
        <v>7</v>
      </c>
      <c r="H8">
        <f t="shared" si="0"/>
        <v>-65.6</v>
      </c>
      <c r="I8">
        <f t="shared" si="60"/>
        <v>5</v>
      </c>
      <c r="J8">
        <v>1.72</v>
      </c>
      <c r="K8" s="7" t="str">
        <f t="shared" si="1"/>
        <v>-65.6|-65.6|-65.6|-65.6|-65.6</v>
      </c>
      <c r="L8">
        <f t="shared" si="2"/>
        <v>34</v>
      </c>
      <c r="M8" s="7"/>
      <c r="N8" s="7">
        <v>7</v>
      </c>
      <c r="O8">
        <f t="shared" si="3"/>
        <v>-38</v>
      </c>
      <c r="P8">
        <f t="shared" si="61"/>
        <v>3</v>
      </c>
      <c r="Q8">
        <v>1.86</v>
      </c>
      <c r="R8" s="7" t="str">
        <f t="shared" si="4"/>
        <v>-38|-38|-38</v>
      </c>
      <c r="S8">
        <f t="shared" si="5"/>
        <v>62</v>
      </c>
      <c r="U8">
        <v>7</v>
      </c>
      <c r="V8">
        <f t="shared" si="6"/>
        <v>-73.25</v>
      </c>
      <c r="W8">
        <f t="shared" si="62"/>
        <v>8</v>
      </c>
      <c r="X8">
        <v>2.14</v>
      </c>
      <c r="Y8" s="7" t="str">
        <f t="shared" si="7"/>
        <v>-73.25|-73.25|-73.25|-73.25|-73.25|-73.25|-73.25|-73.25</v>
      </c>
      <c r="Z8">
        <f t="shared" si="8"/>
        <v>27</v>
      </c>
      <c r="AA8">
        <f t="shared" si="9"/>
        <v>-29.72</v>
      </c>
      <c r="AC8">
        <v>7</v>
      </c>
      <c r="AD8">
        <f t="shared" si="10"/>
        <v>139</v>
      </c>
      <c r="AE8">
        <v>1</v>
      </c>
      <c r="AF8">
        <v>2.39</v>
      </c>
      <c r="AH8">
        <f t="shared" si="12"/>
        <v>239</v>
      </c>
      <c r="AJ8">
        <v>7</v>
      </c>
      <c r="AL8">
        <v>1600</v>
      </c>
      <c r="AM8">
        <v>5</v>
      </c>
      <c r="AO8" t="str">
        <f t="shared" si="13"/>
        <v>1600|5</v>
      </c>
      <c r="AR8">
        <v>7</v>
      </c>
      <c r="AS8">
        <f t="shared" si="14"/>
        <v>60</v>
      </c>
      <c r="AT8">
        <f t="shared" si="63"/>
        <v>1</v>
      </c>
      <c r="AU8">
        <v>1.6</v>
      </c>
      <c r="AV8">
        <f t="shared" si="15"/>
        <v>160</v>
      </c>
      <c r="AW8" s="10"/>
      <c r="AX8" s="10">
        <v>7</v>
      </c>
      <c r="AY8" s="10">
        <f t="shared" si="16"/>
        <v>220</v>
      </c>
      <c r="AZ8" s="10"/>
      <c r="BA8" s="10">
        <v>3.2</v>
      </c>
      <c r="BB8">
        <f t="shared" si="17"/>
        <v>320</v>
      </c>
      <c r="BD8">
        <v>1000</v>
      </c>
      <c r="BE8" s="8" t="s">
        <v>44</v>
      </c>
      <c r="BF8" t="str">
        <f t="shared" si="18"/>
        <v>1000|11</v>
      </c>
      <c r="BH8">
        <v>7</v>
      </c>
      <c r="BI8" s="10">
        <f t="shared" si="19"/>
        <v>-46.8</v>
      </c>
      <c r="BJ8">
        <f t="shared" si="64"/>
        <v>5</v>
      </c>
      <c r="BK8">
        <v>2.66</v>
      </c>
      <c r="BL8" s="3" t="str">
        <f t="shared" si="20"/>
        <v>-46.8|-46.8|-46.8|-46.8|-46.8</v>
      </c>
      <c r="BM8">
        <f t="shared" si="21"/>
        <v>53</v>
      </c>
      <c r="BN8" s="8">
        <f t="shared" si="65"/>
        <v>5.3</v>
      </c>
      <c r="BO8" s="8">
        <f t="shared" si="66"/>
        <v>7.95</v>
      </c>
      <c r="BP8" s="8">
        <f t="shared" si="67"/>
        <v>10.6</v>
      </c>
      <c r="BQ8" s="8">
        <f t="shared" si="68"/>
        <v>13.25</v>
      </c>
      <c r="BR8" s="8">
        <f t="shared" si="69"/>
        <v>15.9</v>
      </c>
      <c r="BT8">
        <v>7</v>
      </c>
      <c r="BU8">
        <f t="shared" si="22"/>
        <v>10</v>
      </c>
      <c r="BW8">
        <v>2.2</v>
      </c>
      <c r="BX8" s="7" t="str">
        <f t="shared" si="23"/>
        <v>6.66666666666667|13.3333333333333</v>
      </c>
      <c r="BY8">
        <f t="shared" si="24"/>
        <v>110</v>
      </c>
      <c r="BZ8">
        <f t="shared" si="25"/>
        <v>20</v>
      </c>
      <c r="CA8" s="8">
        <f t="shared" si="26"/>
        <v>6.66666666666667</v>
      </c>
      <c r="CB8" s="8">
        <f t="shared" si="27"/>
        <v>13.3333333333333</v>
      </c>
      <c r="CD8">
        <v>7</v>
      </c>
      <c r="CE8" s="8">
        <f t="shared" si="28"/>
        <v>60</v>
      </c>
      <c r="CG8">
        <v>1.6</v>
      </c>
      <c r="CH8" s="7">
        <f t="shared" si="29"/>
        <v>60</v>
      </c>
      <c r="CI8">
        <f t="shared" si="30"/>
        <v>160</v>
      </c>
      <c r="CK8">
        <v>7</v>
      </c>
      <c r="CL8">
        <f t="shared" si="31"/>
        <v>348</v>
      </c>
      <c r="CN8">
        <f t="shared" si="32"/>
        <v>4.48</v>
      </c>
      <c r="CO8" s="7">
        <f t="shared" si="33"/>
        <v>348</v>
      </c>
      <c r="CP8">
        <v>80</v>
      </c>
      <c r="CQ8">
        <v>93</v>
      </c>
      <c r="CR8" t="str">
        <f t="shared" si="34"/>
        <v>80|93</v>
      </c>
      <c r="CT8" s="4"/>
      <c r="CV8" s="8">
        <v>19</v>
      </c>
      <c r="CW8">
        <v>7</v>
      </c>
      <c r="CX8" t="str">
        <f t="shared" si="35"/>
        <v>-78|-78|-78|-78|-78</v>
      </c>
      <c r="CY8">
        <v>1.1</v>
      </c>
      <c r="CZ8">
        <f t="shared" si="70"/>
        <v>5</v>
      </c>
      <c r="DA8">
        <f t="shared" si="36"/>
        <v>-78</v>
      </c>
      <c r="DB8" s="8">
        <f t="shared" si="37"/>
        <v>22</v>
      </c>
      <c r="DC8">
        <v>13.6</v>
      </c>
      <c r="DD8" t="str">
        <f t="shared" si="38"/>
        <v>22|13.6</v>
      </c>
      <c r="DF8">
        <v>7</v>
      </c>
      <c r="DG8">
        <v>460</v>
      </c>
      <c r="DI8" s="8">
        <v>-93</v>
      </c>
      <c r="DJ8" s="8">
        <v>-90</v>
      </c>
      <c r="DK8" s="10"/>
      <c r="DL8" s="10">
        <v>7</v>
      </c>
      <c r="DM8">
        <f t="shared" si="39"/>
        <v>110</v>
      </c>
      <c r="DN8" s="10"/>
      <c r="DO8" s="10">
        <v>2.1</v>
      </c>
      <c r="DP8" s="15">
        <v>-93</v>
      </c>
      <c r="DQ8" s="8">
        <f t="shared" si="40"/>
        <v>210</v>
      </c>
      <c r="DR8" s="8">
        <f t="shared" si="41"/>
        <v>7</v>
      </c>
      <c r="DS8" t="str">
        <f t="shared" si="42"/>
        <v>210|7</v>
      </c>
      <c r="DU8">
        <v>7</v>
      </c>
      <c r="DV8" s="10">
        <f t="shared" si="43"/>
        <v>92</v>
      </c>
      <c r="DW8">
        <f t="shared" si="71"/>
        <v>1</v>
      </c>
      <c r="DX8">
        <v>1.92</v>
      </c>
      <c r="DZ8">
        <f t="shared" si="44"/>
        <v>192</v>
      </c>
      <c r="EB8">
        <v>7</v>
      </c>
      <c r="EC8" s="8">
        <f t="shared" si="45"/>
        <v>-70.3333333333333</v>
      </c>
      <c r="ED8">
        <f t="shared" si="72"/>
        <v>6</v>
      </c>
      <c r="EE8">
        <v>1.78</v>
      </c>
      <c r="EF8" s="3" t="str">
        <f t="shared" si="46"/>
        <v>-70.3333333333333|-70.3333333333333|-70.3333333333333|-70.3333333333333|-70.3333333333333|-70.3333333333333</v>
      </c>
      <c r="EG8" s="8">
        <f t="shared" si="47"/>
        <v>30</v>
      </c>
      <c r="EH8" s="3"/>
      <c r="EJ8">
        <v>7</v>
      </c>
      <c r="EK8" s="8">
        <f t="shared" si="48"/>
        <v>-73.3333333333333</v>
      </c>
      <c r="EL8">
        <f t="shared" si="73"/>
        <v>6</v>
      </c>
      <c r="EM8">
        <v>1.6</v>
      </c>
      <c r="EN8" s="3" t="str">
        <f t="shared" si="49"/>
        <v>-73.3333333333333|-73.3333333333333|-73.3333333333333|-73.3333333333333|-73.3333333333333|-73.3333333333333</v>
      </c>
      <c r="EO8" s="8">
        <f t="shared" si="50"/>
        <v>27</v>
      </c>
      <c r="EP8" s="8"/>
      <c r="EQ8" s="8"/>
      <c r="ER8" s="8">
        <f t="shared" si="51"/>
        <v>140</v>
      </c>
      <c r="ES8" s="8">
        <f t="shared" si="74"/>
        <v>1</v>
      </c>
      <c r="ET8">
        <v>2.4</v>
      </c>
      <c r="EU8" s="8"/>
      <c r="EV8" s="8">
        <f t="shared" si="52"/>
        <v>240</v>
      </c>
      <c r="EW8" s="8">
        <f t="shared" si="53"/>
        <v>108</v>
      </c>
      <c r="EX8">
        <v>2.08</v>
      </c>
      <c r="EY8">
        <f t="shared" si="75"/>
        <v>1</v>
      </c>
      <c r="EZ8">
        <v>54.4</v>
      </c>
      <c r="FA8">
        <v>2.372</v>
      </c>
      <c r="FB8" s="8">
        <f t="shared" si="54"/>
        <v>208</v>
      </c>
      <c r="FC8" t="str">
        <f t="shared" si="55"/>
        <v>108|54.4|2.372</v>
      </c>
      <c r="FE8">
        <v>7</v>
      </c>
      <c r="FF8" s="8">
        <f t="shared" si="56"/>
        <v>220</v>
      </c>
      <c r="FG8">
        <f t="shared" si="76"/>
        <v>1</v>
      </c>
      <c r="FH8">
        <f t="shared" si="77"/>
        <v>3.2</v>
      </c>
      <c r="FJ8">
        <v>7</v>
      </c>
      <c r="FK8" s="8">
        <f t="shared" si="57"/>
        <v>220</v>
      </c>
      <c r="FL8" s="8" t="str">
        <f t="shared" si="78"/>
        <v>0|40</v>
      </c>
      <c r="FM8">
        <f t="shared" si="79"/>
        <v>1</v>
      </c>
      <c r="FN8">
        <f t="shared" si="80"/>
        <v>3.2</v>
      </c>
      <c r="FP8">
        <v>7</v>
      </c>
      <c r="FQ8" s="8">
        <f t="shared" si="58"/>
        <v>7</v>
      </c>
      <c r="FR8">
        <f t="shared" si="81"/>
        <v>3</v>
      </c>
      <c r="FS8">
        <f t="shared" si="82"/>
        <v>3.2</v>
      </c>
      <c r="FT8" t="str">
        <f t="shared" si="59"/>
        <v>7|7|7</v>
      </c>
    </row>
    <row r="9" spans="1:176">
      <c r="G9">
        <v>8</v>
      </c>
      <c r="H9">
        <f t="shared" si="0"/>
        <v>-63.2</v>
      </c>
      <c r="I9">
        <f t="shared" si="60"/>
        <v>5</v>
      </c>
      <c r="J9">
        <v>1.84</v>
      </c>
      <c r="K9" s="7" t="str">
        <f t="shared" si="1"/>
        <v>-63.2|-63.2|-63.2|-63.2|-63.2</v>
      </c>
      <c r="L9">
        <f t="shared" si="2"/>
        <v>37</v>
      </c>
      <c r="M9" s="7"/>
      <c r="N9" s="7">
        <v>8</v>
      </c>
      <c r="O9">
        <f t="shared" si="3"/>
        <v>-34.3333333333333</v>
      </c>
      <c r="P9">
        <f t="shared" si="61"/>
        <v>3</v>
      </c>
      <c r="Q9">
        <v>1.97</v>
      </c>
      <c r="R9" s="7" t="str">
        <f t="shared" si="4"/>
        <v>-34.3333333333333|-34.3333333333333|-34.3333333333333</v>
      </c>
      <c r="S9">
        <f t="shared" si="5"/>
        <v>66</v>
      </c>
      <c r="U9">
        <v>8</v>
      </c>
      <c r="V9">
        <f t="shared" si="6"/>
        <v>-70.875</v>
      </c>
      <c r="W9">
        <f t="shared" si="62"/>
        <v>8</v>
      </c>
      <c r="X9">
        <v>2.33</v>
      </c>
      <c r="Y9" s="7" t="str">
        <f t="shared" si="7"/>
        <v>-70.875|-70.875|-70.875|-70.875|-70.875|-70.875|-70.875|-70.875</v>
      </c>
      <c r="Z9">
        <f t="shared" si="8"/>
        <v>29</v>
      </c>
      <c r="AA9">
        <f t="shared" si="9"/>
        <v>-28.34</v>
      </c>
      <c r="AC9">
        <v>8</v>
      </c>
      <c r="AD9">
        <f t="shared" si="10"/>
        <v>153</v>
      </c>
      <c r="AE9">
        <v>1</v>
      </c>
      <c r="AF9">
        <v>2.53</v>
      </c>
      <c r="AH9">
        <f t="shared" si="12"/>
        <v>253</v>
      </c>
      <c r="AJ9">
        <v>8</v>
      </c>
      <c r="AL9">
        <v>1700</v>
      </c>
      <c r="AM9">
        <v>5.5</v>
      </c>
      <c r="AO9" t="str">
        <f t="shared" si="13"/>
        <v>1700|5.5</v>
      </c>
      <c r="AR9">
        <v>8</v>
      </c>
      <c r="AS9">
        <f t="shared" si="14"/>
        <v>70</v>
      </c>
      <c r="AT9">
        <f t="shared" si="63"/>
        <v>1</v>
      </c>
      <c r="AU9">
        <v>1.7</v>
      </c>
      <c r="AV9">
        <f t="shared" si="15"/>
        <v>170</v>
      </c>
      <c r="AW9" s="10"/>
      <c r="AX9" s="10">
        <v>8</v>
      </c>
      <c r="AY9" s="10">
        <f t="shared" si="16"/>
        <v>240</v>
      </c>
      <c r="AZ9" s="10"/>
      <c r="BA9" s="10">
        <v>3.4</v>
      </c>
      <c r="BB9">
        <f t="shared" si="17"/>
        <v>340</v>
      </c>
      <c r="BD9">
        <v>1100</v>
      </c>
      <c r="BE9" s="8" t="s">
        <v>44</v>
      </c>
      <c r="BF9" t="str">
        <f t="shared" si="18"/>
        <v>1100|11</v>
      </c>
      <c r="BH9">
        <v>8</v>
      </c>
      <c r="BI9" s="10">
        <f t="shared" si="19"/>
        <v>-43.6</v>
      </c>
      <c r="BJ9">
        <f t="shared" si="64"/>
        <v>5</v>
      </c>
      <c r="BK9">
        <v>2.82</v>
      </c>
      <c r="BL9" s="3" t="str">
        <f t="shared" si="20"/>
        <v>-43.6|-43.6|-43.6|-43.6|-43.6</v>
      </c>
      <c r="BM9">
        <f t="shared" si="21"/>
        <v>56</v>
      </c>
      <c r="BN9" s="8">
        <f t="shared" si="65"/>
        <v>5.6</v>
      </c>
      <c r="BO9" s="8">
        <f t="shared" si="66"/>
        <v>8.4</v>
      </c>
      <c r="BP9" s="8">
        <f t="shared" si="67"/>
        <v>11.2</v>
      </c>
      <c r="BQ9" s="8">
        <f t="shared" si="68"/>
        <v>14</v>
      </c>
      <c r="BR9" s="8">
        <f t="shared" si="69"/>
        <v>16.8</v>
      </c>
      <c r="BT9">
        <v>8</v>
      </c>
      <c r="BU9">
        <f t="shared" si="22"/>
        <v>20</v>
      </c>
      <c r="BW9">
        <v>2.4</v>
      </c>
      <c r="BX9" s="7" t="str">
        <f t="shared" si="23"/>
        <v>13.3333333333333|26.6666666666667</v>
      </c>
      <c r="BY9">
        <f t="shared" si="24"/>
        <v>120</v>
      </c>
      <c r="BZ9">
        <f t="shared" si="25"/>
        <v>40</v>
      </c>
      <c r="CA9" s="8">
        <f t="shared" si="26"/>
        <v>13.3333333333333</v>
      </c>
      <c r="CB9" s="8">
        <f t="shared" si="27"/>
        <v>26.6666666666667</v>
      </c>
      <c r="CD9">
        <v>8</v>
      </c>
      <c r="CE9" s="8">
        <f t="shared" si="28"/>
        <v>70</v>
      </c>
      <c r="CG9">
        <v>1.7</v>
      </c>
      <c r="CH9" s="7">
        <f t="shared" si="29"/>
        <v>70</v>
      </c>
      <c r="CI9">
        <f t="shared" si="30"/>
        <v>170</v>
      </c>
      <c r="CK9">
        <v>8</v>
      </c>
      <c r="CL9">
        <f t="shared" si="31"/>
        <v>356</v>
      </c>
      <c r="CN9">
        <f t="shared" si="32"/>
        <v>4.56</v>
      </c>
      <c r="CO9" s="7">
        <f t="shared" si="33"/>
        <v>356</v>
      </c>
      <c r="CP9">
        <v>85</v>
      </c>
      <c r="CQ9">
        <v>92</v>
      </c>
      <c r="CR9" t="str">
        <f t="shared" si="34"/>
        <v>85|92</v>
      </c>
      <c r="CT9" s="4"/>
      <c r="CV9" s="8">
        <v>21</v>
      </c>
      <c r="CW9">
        <v>8</v>
      </c>
      <c r="CX9" t="str">
        <f t="shared" si="35"/>
        <v>-76|-76|-76|-76|-76</v>
      </c>
      <c r="CY9">
        <v>1.2</v>
      </c>
      <c r="CZ9">
        <f t="shared" si="70"/>
        <v>5</v>
      </c>
      <c r="DA9">
        <f t="shared" si="36"/>
        <v>-76</v>
      </c>
      <c r="DB9" s="8">
        <f t="shared" si="37"/>
        <v>24</v>
      </c>
      <c r="DC9">
        <v>14.2</v>
      </c>
      <c r="DD9" t="str">
        <f t="shared" si="38"/>
        <v>24|14.2</v>
      </c>
      <c r="DF9">
        <v>8</v>
      </c>
      <c r="DG9">
        <v>470</v>
      </c>
      <c r="DI9" s="8">
        <v>-92</v>
      </c>
      <c r="DJ9" s="8">
        <v>-89</v>
      </c>
      <c r="DK9" s="10"/>
      <c r="DL9" s="10">
        <v>8</v>
      </c>
      <c r="DM9">
        <f t="shared" si="39"/>
        <v>125</v>
      </c>
      <c r="DN9" s="10"/>
      <c r="DO9" s="10">
        <v>2.25</v>
      </c>
      <c r="DP9" s="15">
        <v>-92</v>
      </c>
      <c r="DQ9" s="8">
        <f t="shared" si="40"/>
        <v>225</v>
      </c>
      <c r="DR9" s="8">
        <f t="shared" si="41"/>
        <v>8</v>
      </c>
      <c r="DS9" t="str">
        <f t="shared" si="42"/>
        <v>225|8</v>
      </c>
      <c r="DU9">
        <v>8</v>
      </c>
      <c r="DV9" s="10">
        <f t="shared" si="43"/>
        <v>104</v>
      </c>
      <c r="DW9">
        <f t="shared" si="71"/>
        <v>1</v>
      </c>
      <c r="DX9">
        <v>2.04</v>
      </c>
      <c r="DZ9">
        <f t="shared" si="44"/>
        <v>204</v>
      </c>
      <c r="EB9">
        <v>8</v>
      </c>
      <c r="EC9" s="8">
        <f t="shared" si="45"/>
        <v>-68.1666666666667</v>
      </c>
      <c r="ED9">
        <f t="shared" si="72"/>
        <v>6</v>
      </c>
      <c r="EE9">
        <v>1.91</v>
      </c>
      <c r="EF9" s="3" t="str">
        <f t="shared" si="46"/>
        <v>-68.1666666666667|-68.1666666666667|-68.1666666666667|-68.1666666666667|-68.1666666666667|-68.1666666666667</v>
      </c>
      <c r="EG9" s="8">
        <f t="shared" si="47"/>
        <v>32</v>
      </c>
      <c r="EH9" s="3"/>
      <c r="EJ9">
        <v>8</v>
      </c>
      <c r="EK9" s="8">
        <f t="shared" si="48"/>
        <v>-71.6666666666667</v>
      </c>
      <c r="EL9">
        <f t="shared" si="73"/>
        <v>6</v>
      </c>
      <c r="EM9">
        <v>1.7</v>
      </c>
      <c r="EN9" s="3" t="str">
        <f t="shared" si="49"/>
        <v>-71.6666666666667|-71.6666666666667|-71.6666666666667|-71.6666666666667|-71.6666666666667|-71.6666666666667</v>
      </c>
      <c r="EO9" s="8">
        <f t="shared" si="50"/>
        <v>28</v>
      </c>
      <c r="EP9" s="8"/>
      <c r="EQ9" s="8"/>
      <c r="ER9" s="8">
        <f t="shared" si="51"/>
        <v>155</v>
      </c>
      <c r="ES9" s="8">
        <f t="shared" si="74"/>
        <v>1</v>
      </c>
      <c r="ET9">
        <v>2.55</v>
      </c>
      <c r="EU9" s="8"/>
      <c r="EV9" s="8">
        <f t="shared" si="52"/>
        <v>255</v>
      </c>
      <c r="EW9" s="8">
        <f t="shared" si="53"/>
        <v>121</v>
      </c>
      <c r="EX9">
        <v>2.21</v>
      </c>
      <c r="EY9">
        <f t="shared" si="75"/>
        <v>1</v>
      </c>
      <c r="EZ9">
        <v>57.8</v>
      </c>
      <c r="FA9">
        <v>2.434</v>
      </c>
      <c r="FB9" s="8">
        <f t="shared" si="54"/>
        <v>221</v>
      </c>
      <c r="FC9" t="str">
        <f t="shared" si="55"/>
        <v>121|57.8|2.434</v>
      </c>
      <c r="FE9">
        <v>8</v>
      </c>
      <c r="FF9" s="8">
        <f t="shared" si="56"/>
        <v>240</v>
      </c>
      <c r="FG9">
        <f t="shared" si="76"/>
        <v>1</v>
      </c>
      <c r="FH9">
        <f t="shared" si="77"/>
        <v>3.4</v>
      </c>
      <c r="FJ9">
        <v>8</v>
      </c>
      <c r="FK9" s="8">
        <f t="shared" si="57"/>
        <v>240</v>
      </c>
      <c r="FL9" s="8" t="str">
        <f t="shared" si="78"/>
        <v>0|40</v>
      </c>
      <c r="FM9">
        <f t="shared" si="79"/>
        <v>1</v>
      </c>
      <c r="FN9">
        <f t="shared" si="80"/>
        <v>3.4</v>
      </c>
      <c r="FP9">
        <v>8</v>
      </c>
      <c r="FQ9" s="8">
        <f t="shared" si="58"/>
        <v>13</v>
      </c>
      <c r="FR9">
        <f t="shared" si="81"/>
        <v>3</v>
      </c>
      <c r="FS9">
        <f t="shared" si="82"/>
        <v>3.4</v>
      </c>
      <c r="FT9" t="str">
        <f t="shared" si="59"/>
        <v>13|13|13</v>
      </c>
    </row>
    <row r="10" spans="1:176">
      <c r="G10">
        <v>9</v>
      </c>
      <c r="H10">
        <f t="shared" si="0"/>
        <v>-60.8</v>
      </c>
      <c r="I10">
        <f t="shared" si="60"/>
        <v>5</v>
      </c>
      <c r="J10">
        <v>1.96</v>
      </c>
      <c r="K10" s="7" t="str">
        <f t="shared" si="1"/>
        <v>-60.8|-60.8|-60.8|-60.8|-60.8</v>
      </c>
      <c r="L10">
        <f t="shared" si="2"/>
        <v>39</v>
      </c>
      <c r="M10" s="7"/>
      <c r="N10" s="7">
        <v>9</v>
      </c>
      <c r="O10">
        <f t="shared" si="3"/>
        <v>-30.6666666666667</v>
      </c>
      <c r="P10">
        <f t="shared" si="61"/>
        <v>3</v>
      </c>
      <c r="Q10">
        <v>2.08</v>
      </c>
      <c r="R10" s="7" t="str">
        <f t="shared" si="4"/>
        <v>-30.6666666666667|-30.6666666666667|-30.6666666666667</v>
      </c>
      <c r="S10">
        <f t="shared" si="5"/>
        <v>69</v>
      </c>
      <c r="U10">
        <v>9</v>
      </c>
      <c r="V10">
        <f t="shared" si="6"/>
        <v>-68.5</v>
      </c>
      <c r="W10">
        <f t="shared" si="62"/>
        <v>8</v>
      </c>
      <c r="X10">
        <v>2.52</v>
      </c>
      <c r="Y10" s="7" t="str">
        <f t="shared" si="7"/>
        <v>-68.5|-68.5|-68.5|-68.5|-68.5|-68.5|-68.5|-68.5</v>
      </c>
      <c r="Z10">
        <f t="shared" si="8"/>
        <v>32</v>
      </c>
      <c r="AA10">
        <f t="shared" si="9"/>
        <v>-26.96</v>
      </c>
      <c r="AC10">
        <v>9</v>
      </c>
      <c r="AD10">
        <f t="shared" si="10"/>
        <v>167</v>
      </c>
      <c r="AE10">
        <v>1</v>
      </c>
      <c r="AF10">
        <v>2.67</v>
      </c>
      <c r="AH10">
        <f t="shared" si="12"/>
        <v>267</v>
      </c>
      <c r="AJ10">
        <v>9</v>
      </c>
      <c r="AL10">
        <v>1800</v>
      </c>
      <c r="AM10">
        <v>6</v>
      </c>
      <c r="AO10" t="str">
        <f t="shared" si="13"/>
        <v>1800|6</v>
      </c>
      <c r="AR10">
        <v>9</v>
      </c>
      <c r="AS10">
        <f t="shared" si="14"/>
        <v>80</v>
      </c>
      <c r="AT10">
        <f t="shared" si="63"/>
        <v>1</v>
      </c>
      <c r="AU10">
        <v>1.8</v>
      </c>
      <c r="AV10">
        <f t="shared" si="15"/>
        <v>180</v>
      </c>
      <c r="AW10" s="10"/>
      <c r="AX10" s="10">
        <v>9</v>
      </c>
      <c r="AY10" s="10">
        <f t="shared" si="16"/>
        <v>260</v>
      </c>
      <c r="AZ10" s="10"/>
      <c r="BA10" s="10">
        <v>3.6</v>
      </c>
      <c r="BB10">
        <f t="shared" si="17"/>
        <v>360</v>
      </c>
      <c r="BD10">
        <v>1200</v>
      </c>
      <c r="BE10" s="8" t="s">
        <v>44</v>
      </c>
      <c r="BF10" t="str">
        <f t="shared" si="18"/>
        <v>1200|11</v>
      </c>
      <c r="BH10">
        <v>9</v>
      </c>
      <c r="BI10" s="10">
        <f t="shared" si="19"/>
        <v>-40.4</v>
      </c>
      <c r="BJ10">
        <f t="shared" si="64"/>
        <v>5</v>
      </c>
      <c r="BK10">
        <v>2.98</v>
      </c>
      <c r="BL10" s="3" t="str">
        <f t="shared" si="20"/>
        <v>-40.4|-40.4|-40.4|-40.4|-40.4</v>
      </c>
      <c r="BM10">
        <f t="shared" si="21"/>
        <v>60</v>
      </c>
      <c r="BN10" s="8">
        <f t="shared" si="65"/>
        <v>6</v>
      </c>
      <c r="BO10" s="8">
        <f t="shared" si="66"/>
        <v>9</v>
      </c>
      <c r="BP10" s="8">
        <f t="shared" si="67"/>
        <v>12</v>
      </c>
      <c r="BQ10" s="8">
        <f t="shared" si="68"/>
        <v>15</v>
      </c>
      <c r="BR10" s="8">
        <f t="shared" si="69"/>
        <v>18</v>
      </c>
      <c r="BT10">
        <v>9</v>
      </c>
      <c r="BU10">
        <f t="shared" si="22"/>
        <v>30</v>
      </c>
      <c r="BW10">
        <v>2.6</v>
      </c>
      <c r="BX10" s="7" t="str">
        <f t="shared" si="23"/>
        <v>20|40</v>
      </c>
      <c r="BY10">
        <f t="shared" si="24"/>
        <v>130</v>
      </c>
      <c r="BZ10">
        <f t="shared" si="25"/>
        <v>60</v>
      </c>
      <c r="CA10" s="8">
        <f t="shared" si="26"/>
        <v>20</v>
      </c>
      <c r="CB10" s="8">
        <f t="shared" si="27"/>
        <v>40</v>
      </c>
      <c r="CD10">
        <v>9</v>
      </c>
      <c r="CE10" s="8">
        <f t="shared" si="28"/>
        <v>80</v>
      </c>
      <c r="CG10">
        <v>1.8</v>
      </c>
      <c r="CH10" s="7">
        <f t="shared" si="29"/>
        <v>80</v>
      </c>
      <c r="CI10">
        <f t="shared" si="30"/>
        <v>180</v>
      </c>
      <c r="CK10">
        <v>9</v>
      </c>
      <c r="CL10">
        <f t="shared" si="31"/>
        <v>364</v>
      </c>
      <c r="CN10">
        <f t="shared" si="32"/>
        <v>4.64</v>
      </c>
      <c r="CO10" s="7">
        <f t="shared" si="33"/>
        <v>364</v>
      </c>
      <c r="CP10">
        <v>90</v>
      </c>
      <c r="CQ10">
        <v>91</v>
      </c>
      <c r="CR10" t="str">
        <f t="shared" si="34"/>
        <v>90|91</v>
      </c>
      <c r="CT10" s="4"/>
      <c r="CV10" s="8">
        <v>22</v>
      </c>
      <c r="CW10">
        <v>9</v>
      </c>
      <c r="CX10" t="str">
        <f t="shared" si="35"/>
        <v>-74|-74|-74|-74|-74</v>
      </c>
      <c r="CY10">
        <v>1.3</v>
      </c>
      <c r="CZ10">
        <f t="shared" si="70"/>
        <v>5</v>
      </c>
      <c r="DA10">
        <f t="shared" si="36"/>
        <v>-74</v>
      </c>
      <c r="DB10" s="8">
        <f t="shared" si="37"/>
        <v>26</v>
      </c>
      <c r="DC10">
        <v>14.8</v>
      </c>
      <c r="DD10" t="str">
        <f t="shared" si="38"/>
        <v>26|14.8</v>
      </c>
      <c r="DF10">
        <v>9</v>
      </c>
      <c r="DG10">
        <v>480</v>
      </c>
      <c r="DI10" s="8">
        <v>-92</v>
      </c>
      <c r="DJ10" s="8">
        <v>-89</v>
      </c>
      <c r="DK10" s="10"/>
      <c r="DL10" s="10">
        <v>9</v>
      </c>
      <c r="DM10">
        <f t="shared" si="39"/>
        <v>140</v>
      </c>
      <c r="DN10" s="10"/>
      <c r="DO10" s="10">
        <v>2.4</v>
      </c>
      <c r="DP10" s="15">
        <v>-91</v>
      </c>
      <c r="DQ10" s="8">
        <f t="shared" si="40"/>
        <v>240</v>
      </c>
      <c r="DR10" s="8">
        <f t="shared" si="41"/>
        <v>9</v>
      </c>
      <c r="DS10" t="str">
        <f t="shared" si="42"/>
        <v>240|9</v>
      </c>
      <c r="DU10">
        <v>9</v>
      </c>
      <c r="DV10" s="10">
        <f t="shared" si="43"/>
        <v>116</v>
      </c>
      <c r="DW10">
        <f t="shared" si="71"/>
        <v>1</v>
      </c>
      <c r="DX10">
        <v>2.16</v>
      </c>
      <c r="DZ10">
        <f t="shared" si="44"/>
        <v>216</v>
      </c>
      <c r="EB10">
        <v>9</v>
      </c>
      <c r="EC10" s="8">
        <f t="shared" si="45"/>
        <v>-66</v>
      </c>
      <c r="ED10">
        <f t="shared" si="72"/>
        <v>6</v>
      </c>
      <c r="EE10">
        <v>2.04</v>
      </c>
      <c r="EF10" s="3" t="str">
        <f t="shared" si="46"/>
        <v>-66|-66|-66|-66|-66|-66</v>
      </c>
      <c r="EG10" s="8">
        <f t="shared" si="47"/>
        <v>34</v>
      </c>
      <c r="EH10" s="3"/>
      <c r="EJ10">
        <v>9</v>
      </c>
      <c r="EK10" s="8">
        <f t="shared" si="48"/>
        <v>-70</v>
      </c>
      <c r="EL10">
        <f t="shared" si="73"/>
        <v>6</v>
      </c>
      <c r="EM10">
        <v>1.8</v>
      </c>
      <c r="EN10" s="3" t="str">
        <f t="shared" si="49"/>
        <v>-70|-70|-70|-70|-70|-70</v>
      </c>
      <c r="EO10" s="8">
        <f t="shared" si="50"/>
        <v>30</v>
      </c>
      <c r="EP10" s="8"/>
      <c r="EQ10" s="8"/>
      <c r="ER10" s="8">
        <f t="shared" si="51"/>
        <v>170</v>
      </c>
      <c r="ES10" s="8">
        <f t="shared" si="74"/>
        <v>1</v>
      </c>
      <c r="ET10">
        <v>2.7</v>
      </c>
      <c r="EU10" s="8"/>
      <c r="EV10" s="8">
        <f t="shared" si="52"/>
        <v>270</v>
      </c>
      <c r="EW10" s="8">
        <f t="shared" si="53"/>
        <v>134</v>
      </c>
      <c r="EX10">
        <v>2.34</v>
      </c>
      <c r="EY10">
        <f t="shared" si="75"/>
        <v>1</v>
      </c>
      <c r="EZ10">
        <v>61.2</v>
      </c>
      <c r="FA10">
        <v>2.496</v>
      </c>
      <c r="FB10" s="8">
        <f t="shared" si="54"/>
        <v>234</v>
      </c>
      <c r="FC10" t="str">
        <f t="shared" si="55"/>
        <v>134|61.2|2.496</v>
      </c>
      <c r="FE10">
        <v>9</v>
      </c>
      <c r="FF10" s="8">
        <f t="shared" si="56"/>
        <v>260</v>
      </c>
      <c r="FG10">
        <f t="shared" si="76"/>
        <v>1</v>
      </c>
      <c r="FH10">
        <f t="shared" si="77"/>
        <v>3.6</v>
      </c>
      <c r="FJ10">
        <v>9</v>
      </c>
      <c r="FK10" s="8">
        <f t="shared" si="57"/>
        <v>260</v>
      </c>
      <c r="FL10" s="8" t="str">
        <f t="shared" si="78"/>
        <v>0|40</v>
      </c>
      <c r="FM10">
        <f t="shared" si="79"/>
        <v>1</v>
      </c>
      <c r="FN10">
        <f t="shared" si="80"/>
        <v>3.6</v>
      </c>
      <c r="FP10">
        <v>9</v>
      </c>
      <c r="FQ10" s="8">
        <f t="shared" si="58"/>
        <v>20</v>
      </c>
      <c r="FR10">
        <f t="shared" si="81"/>
        <v>3</v>
      </c>
      <c r="FS10">
        <f t="shared" si="82"/>
        <v>3.6</v>
      </c>
      <c r="FT10" t="str">
        <f t="shared" si="59"/>
        <v>20|20|20</v>
      </c>
    </row>
    <row r="11" spans="1:176">
      <c r="G11">
        <v>10</v>
      </c>
      <c r="H11">
        <f t="shared" si="0"/>
        <v>-58.4</v>
      </c>
      <c r="I11">
        <f t="shared" si="60"/>
        <v>5</v>
      </c>
      <c r="J11">
        <v>2.08</v>
      </c>
      <c r="K11" s="7" t="str">
        <f t="shared" si="1"/>
        <v>-58.4|-58.4|-58.4|-58.4|-58.4</v>
      </c>
      <c r="L11">
        <f t="shared" si="2"/>
        <v>42</v>
      </c>
      <c r="M11" s="7"/>
      <c r="N11" s="7">
        <v>10</v>
      </c>
      <c r="O11">
        <f t="shared" si="3"/>
        <v>-27</v>
      </c>
      <c r="P11">
        <f t="shared" si="61"/>
        <v>3</v>
      </c>
      <c r="Q11">
        <v>2.19</v>
      </c>
      <c r="R11" s="7" t="str">
        <f t="shared" si="4"/>
        <v>-27|-27|-27</v>
      </c>
      <c r="S11">
        <f t="shared" si="5"/>
        <v>73</v>
      </c>
      <c r="U11">
        <v>10</v>
      </c>
      <c r="V11">
        <f t="shared" si="6"/>
        <v>-66.125</v>
      </c>
      <c r="W11">
        <f t="shared" si="62"/>
        <v>8</v>
      </c>
      <c r="X11">
        <v>2.71</v>
      </c>
      <c r="Y11" s="7" t="str">
        <f t="shared" si="7"/>
        <v>-66.125|-66.125|-66.125|-66.125|-66.125|-66.125|-66.125|-66.125</v>
      </c>
      <c r="Z11">
        <f t="shared" si="8"/>
        <v>34</v>
      </c>
      <c r="AA11">
        <f t="shared" si="9"/>
        <v>-25.58</v>
      </c>
      <c r="AC11">
        <v>10</v>
      </c>
      <c r="AD11">
        <f t="shared" si="10"/>
        <v>181</v>
      </c>
      <c r="AE11">
        <v>1</v>
      </c>
      <c r="AF11">
        <v>2.81</v>
      </c>
      <c r="AH11">
        <f t="shared" si="12"/>
        <v>281</v>
      </c>
      <c r="AJ11">
        <v>10</v>
      </c>
      <c r="AL11">
        <v>1900</v>
      </c>
      <c r="AM11">
        <v>6.5</v>
      </c>
      <c r="AO11" t="str">
        <f t="shared" si="13"/>
        <v>1900|6.5</v>
      </c>
      <c r="AR11">
        <v>10</v>
      </c>
      <c r="AS11">
        <f t="shared" si="14"/>
        <v>90</v>
      </c>
      <c r="AT11">
        <f t="shared" si="63"/>
        <v>1</v>
      </c>
      <c r="AU11">
        <v>1.9</v>
      </c>
      <c r="AV11">
        <f t="shared" si="15"/>
        <v>190</v>
      </c>
      <c r="AW11" s="10"/>
      <c r="AX11" s="10">
        <v>10</v>
      </c>
      <c r="AY11" s="10">
        <f t="shared" si="16"/>
        <v>280</v>
      </c>
      <c r="AZ11" s="10"/>
      <c r="BA11" s="10">
        <v>3.8</v>
      </c>
      <c r="BB11">
        <f t="shared" si="17"/>
        <v>380</v>
      </c>
      <c r="BD11">
        <v>1300</v>
      </c>
      <c r="BE11" s="8" t="s">
        <v>44</v>
      </c>
      <c r="BF11" t="str">
        <f t="shared" si="18"/>
        <v>1300|11</v>
      </c>
      <c r="BH11">
        <v>10</v>
      </c>
      <c r="BI11" s="10">
        <f t="shared" si="19"/>
        <v>-37.2</v>
      </c>
      <c r="BJ11">
        <f t="shared" si="64"/>
        <v>5</v>
      </c>
      <c r="BK11">
        <v>3.14</v>
      </c>
      <c r="BL11" s="3" t="str">
        <f t="shared" si="20"/>
        <v>-37.2|-37.2|-37.2|-37.2|-37.2</v>
      </c>
      <c r="BM11">
        <f t="shared" si="21"/>
        <v>63</v>
      </c>
      <c r="BN11" s="8">
        <f t="shared" si="65"/>
        <v>6.3</v>
      </c>
      <c r="BO11" s="8">
        <f t="shared" si="66"/>
        <v>9.45</v>
      </c>
      <c r="BP11" s="8">
        <f t="shared" si="67"/>
        <v>12.6</v>
      </c>
      <c r="BQ11" s="8">
        <f t="shared" si="68"/>
        <v>15.75</v>
      </c>
      <c r="BR11" s="8">
        <f t="shared" si="69"/>
        <v>18.9</v>
      </c>
      <c r="BT11">
        <v>10</v>
      </c>
      <c r="BU11">
        <f t="shared" si="22"/>
        <v>40</v>
      </c>
      <c r="BW11">
        <v>2.8</v>
      </c>
      <c r="BX11" s="7" t="str">
        <f t="shared" si="23"/>
        <v>26.6666666666667|53.3333333333333</v>
      </c>
      <c r="BY11">
        <f t="shared" si="24"/>
        <v>140</v>
      </c>
      <c r="BZ11">
        <f t="shared" si="25"/>
        <v>80</v>
      </c>
      <c r="CA11" s="8">
        <f t="shared" si="26"/>
        <v>26.6666666666667</v>
      </c>
      <c r="CB11" s="8">
        <f t="shared" si="27"/>
        <v>53.3333333333333</v>
      </c>
      <c r="CD11">
        <v>10</v>
      </c>
      <c r="CE11" s="8">
        <f t="shared" si="28"/>
        <v>90</v>
      </c>
      <c r="CG11">
        <v>1.9</v>
      </c>
      <c r="CH11" s="16">
        <f t="shared" si="29"/>
        <v>90</v>
      </c>
      <c r="CI11">
        <f t="shared" si="30"/>
        <v>190</v>
      </c>
      <c r="CJ11" s="17"/>
      <c r="CK11" s="17">
        <v>10</v>
      </c>
      <c r="CL11" s="17">
        <f t="shared" si="31"/>
        <v>372</v>
      </c>
      <c r="CM11" s="17"/>
      <c r="CN11" s="17">
        <f t="shared" si="32"/>
        <v>4.72</v>
      </c>
      <c r="CO11" s="16">
        <f t="shared" si="33"/>
        <v>372</v>
      </c>
      <c r="CP11">
        <v>95</v>
      </c>
      <c r="CQ11">
        <v>90</v>
      </c>
      <c r="CR11" t="str">
        <f t="shared" si="34"/>
        <v>95|90</v>
      </c>
      <c r="CT11" s="4"/>
      <c r="CV11" s="8">
        <v>24</v>
      </c>
      <c r="CW11">
        <v>10</v>
      </c>
      <c r="CX11" t="str">
        <f t="shared" si="35"/>
        <v>-72|-72|-72|-72|-72</v>
      </c>
      <c r="CY11">
        <v>1.4</v>
      </c>
      <c r="CZ11">
        <f t="shared" si="70"/>
        <v>5</v>
      </c>
      <c r="DA11">
        <f t="shared" si="36"/>
        <v>-72</v>
      </c>
      <c r="DB11" s="8">
        <f t="shared" si="37"/>
        <v>28</v>
      </c>
      <c r="DC11">
        <v>15.4</v>
      </c>
      <c r="DD11" t="str">
        <f t="shared" si="38"/>
        <v>28|15.4</v>
      </c>
      <c r="DF11">
        <v>10</v>
      </c>
      <c r="DG11">
        <v>490</v>
      </c>
      <c r="DI11" s="8">
        <v>-90</v>
      </c>
      <c r="DJ11" s="8">
        <v>-86</v>
      </c>
      <c r="DK11" s="10"/>
      <c r="DL11" s="10">
        <v>10</v>
      </c>
      <c r="DM11">
        <f t="shared" si="39"/>
        <v>155</v>
      </c>
      <c r="DN11" s="10"/>
      <c r="DO11" s="10">
        <v>2.55</v>
      </c>
      <c r="DP11" s="15">
        <v>-90</v>
      </c>
      <c r="DQ11" s="8">
        <f t="shared" si="40"/>
        <v>255</v>
      </c>
      <c r="DR11" s="8">
        <f t="shared" si="41"/>
        <v>10</v>
      </c>
      <c r="DS11" t="str">
        <f t="shared" si="42"/>
        <v>255|10</v>
      </c>
      <c r="DU11">
        <v>10</v>
      </c>
      <c r="DV11" s="10">
        <f t="shared" si="43"/>
        <v>128</v>
      </c>
      <c r="DW11">
        <f t="shared" si="71"/>
        <v>1</v>
      </c>
      <c r="DX11">
        <v>2.28</v>
      </c>
      <c r="DZ11">
        <f t="shared" si="44"/>
        <v>228</v>
      </c>
      <c r="EB11">
        <v>10</v>
      </c>
      <c r="EC11" s="8">
        <f t="shared" si="45"/>
        <v>-63.8333333333333</v>
      </c>
      <c r="ED11">
        <f t="shared" si="72"/>
        <v>6</v>
      </c>
      <c r="EE11">
        <v>2.17</v>
      </c>
      <c r="EF11" s="3" t="str">
        <f t="shared" si="46"/>
        <v>-63.8333333333333|-63.8333333333333|-63.8333333333333|-63.8333333333333|-63.8333333333333|-63.8333333333333</v>
      </c>
      <c r="EG11" s="8">
        <f t="shared" si="47"/>
        <v>36</v>
      </c>
      <c r="EH11" s="3"/>
      <c r="EJ11">
        <v>10</v>
      </c>
      <c r="EK11" s="8">
        <f t="shared" si="48"/>
        <v>-68.3333333333333</v>
      </c>
      <c r="EL11">
        <f t="shared" si="73"/>
        <v>6</v>
      </c>
      <c r="EM11">
        <v>1.9</v>
      </c>
      <c r="EN11" s="3" t="str">
        <f t="shared" si="49"/>
        <v>-68.3333333333333|-68.3333333333333|-68.3333333333333|-68.3333333333333|-68.3333333333333|-68.3333333333333</v>
      </c>
      <c r="EO11" s="8">
        <f t="shared" si="50"/>
        <v>32</v>
      </c>
      <c r="EP11" s="8"/>
      <c r="EQ11" s="8"/>
      <c r="ER11" s="8">
        <f t="shared" si="51"/>
        <v>185</v>
      </c>
      <c r="ES11" s="8">
        <f t="shared" si="74"/>
        <v>1</v>
      </c>
      <c r="ET11">
        <v>2.85</v>
      </c>
      <c r="EU11" s="8"/>
      <c r="EV11" s="8">
        <f t="shared" si="52"/>
        <v>285</v>
      </c>
      <c r="EW11" s="8">
        <f t="shared" si="53"/>
        <v>147</v>
      </c>
      <c r="EX11">
        <v>2.47</v>
      </c>
      <c r="EY11">
        <f t="shared" si="75"/>
        <v>1</v>
      </c>
      <c r="EZ11">
        <v>64.6</v>
      </c>
      <c r="FA11">
        <v>2.558</v>
      </c>
      <c r="FB11" s="8">
        <f t="shared" si="54"/>
        <v>247</v>
      </c>
      <c r="FC11" t="str">
        <f t="shared" si="55"/>
        <v>147|64.6|2.558</v>
      </c>
      <c r="FE11">
        <v>10</v>
      </c>
      <c r="FF11" s="8">
        <f t="shared" si="56"/>
        <v>280</v>
      </c>
      <c r="FG11">
        <f t="shared" si="76"/>
        <v>1</v>
      </c>
      <c r="FH11">
        <f t="shared" si="77"/>
        <v>3.8</v>
      </c>
      <c r="FJ11">
        <v>10</v>
      </c>
      <c r="FK11" s="8">
        <f t="shared" si="57"/>
        <v>280</v>
      </c>
      <c r="FL11" s="8" t="str">
        <f t="shared" si="78"/>
        <v>0|40</v>
      </c>
      <c r="FM11">
        <f t="shared" si="79"/>
        <v>1</v>
      </c>
      <c r="FN11">
        <f t="shared" si="80"/>
        <v>3.8</v>
      </c>
      <c r="FP11">
        <v>10</v>
      </c>
      <c r="FQ11" s="8">
        <f t="shared" si="58"/>
        <v>27</v>
      </c>
      <c r="FR11">
        <f t="shared" si="81"/>
        <v>3</v>
      </c>
      <c r="FS11">
        <f t="shared" si="82"/>
        <v>3.8</v>
      </c>
      <c r="FT11" t="str">
        <f t="shared" si="59"/>
        <v>27|27|27</v>
      </c>
    </row>
    <row r="12" spans="1:176">
      <c r="G12">
        <v>11</v>
      </c>
      <c r="H12">
        <f t="shared" si="0"/>
        <v>-56</v>
      </c>
      <c r="I12">
        <f t="shared" si="60"/>
        <v>5</v>
      </c>
      <c r="J12">
        <v>2.2</v>
      </c>
      <c r="K12" s="7" t="str">
        <f t="shared" si="1"/>
        <v>-56|-56|-56|-56|-56</v>
      </c>
      <c r="L12">
        <f t="shared" si="2"/>
        <v>44</v>
      </c>
      <c r="M12" s="7"/>
      <c r="N12" s="7">
        <v>11</v>
      </c>
      <c r="O12">
        <f t="shared" si="3"/>
        <v>-23.3333333333333</v>
      </c>
      <c r="P12">
        <f t="shared" si="61"/>
        <v>3</v>
      </c>
      <c r="Q12">
        <v>2.3</v>
      </c>
      <c r="R12" s="7" t="str">
        <f t="shared" si="4"/>
        <v>-23.3333333333333|-23.3333333333333|-23.3333333333333</v>
      </c>
      <c r="S12">
        <f t="shared" si="5"/>
        <v>77</v>
      </c>
      <c r="U12">
        <v>11</v>
      </c>
      <c r="V12">
        <f t="shared" si="6"/>
        <v>-63.75</v>
      </c>
      <c r="W12">
        <f t="shared" si="62"/>
        <v>8</v>
      </c>
      <c r="X12">
        <v>2.9</v>
      </c>
      <c r="Y12" s="7" t="str">
        <f t="shared" si="7"/>
        <v>-63.75|-63.75|-63.75|-63.75|-63.75|-63.75|-63.75|-63.75</v>
      </c>
      <c r="Z12">
        <f t="shared" si="8"/>
        <v>36</v>
      </c>
      <c r="AA12">
        <f t="shared" si="9"/>
        <v>-24.2</v>
      </c>
      <c r="AC12">
        <v>11</v>
      </c>
      <c r="AD12">
        <f t="shared" si="10"/>
        <v>195</v>
      </c>
      <c r="AE12">
        <v>1</v>
      </c>
      <c r="AF12">
        <v>2.95</v>
      </c>
      <c r="AH12">
        <f t="shared" si="12"/>
        <v>295</v>
      </c>
      <c r="AJ12">
        <v>11</v>
      </c>
      <c r="AL12">
        <v>2000</v>
      </c>
      <c r="AM12">
        <v>7</v>
      </c>
      <c r="AO12" t="str">
        <f t="shared" si="13"/>
        <v>2000|7</v>
      </c>
      <c r="AR12">
        <v>11</v>
      </c>
      <c r="AS12">
        <f t="shared" si="14"/>
        <v>100</v>
      </c>
      <c r="AT12">
        <f t="shared" si="63"/>
        <v>1</v>
      </c>
      <c r="AU12">
        <v>2</v>
      </c>
      <c r="AV12">
        <f t="shared" si="15"/>
        <v>200</v>
      </c>
      <c r="AW12" s="10"/>
      <c r="AX12" s="10">
        <v>11</v>
      </c>
      <c r="AY12" s="10">
        <f t="shared" si="16"/>
        <v>300</v>
      </c>
      <c r="AZ12" s="10"/>
      <c r="BA12" s="10">
        <v>4</v>
      </c>
      <c r="BB12">
        <f t="shared" si="17"/>
        <v>400</v>
      </c>
      <c r="BD12">
        <v>1400</v>
      </c>
      <c r="BE12" s="8" t="s">
        <v>47</v>
      </c>
      <c r="BF12" t="str">
        <f t="shared" si="18"/>
        <v>1400|12</v>
      </c>
      <c r="BH12">
        <v>11</v>
      </c>
      <c r="BI12" s="10">
        <f t="shared" si="19"/>
        <v>-34</v>
      </c>
      <c r="BJ12">
        <f t="shared" si="64"/>
        <v>5</v>
      </c>
      <c r="BK12">
        <v>3.3</v>
      </c>
      <c r="BL12" s="3" t="str">
        <f t="shared" si="20"/>
        <v>-34|-34|-34|-34|-34</v>
      </c>
      <c r="BM12">
        <f t="shared" si="21"/>
        <v>66</v>
      </c>
      <c r="BN12" s="8">
        <f t="shared" si="65"/>
        <v>6.6</v>
      </c>
      <c r="BO12" s="8">
        <f t="shared" si="66"/>
        <v>9.9</v>
      </c>
      <c r="BP12" s="8">
        <f t="shared" si="67"/>
        <v>13.2</v>
      </c>
      <c r="BQ12" s="8">
        <f t="shared" si="68"/>
        <v>16.5</v>
      </c>
      <c r="BR12" s="8">
        <f t="shared" si="69"/>
        <v>19.8</v>
      </c>
      <c r="BT12">
        <v>11</v>
      </c>
      <c r="BU12">
        <f t="shared" si="22"/>
        <v>50</v>
      </c>
      <c r="BW12">
        <v>3</v>
      </c>
      <c r="BX12" s="7" t="str">
        <f t="shared" si="23"/>
        <v>33.3333333333333|66.6666666666667</v>
      </c>
      <c r="BY12">
        <f t="shared" si="24"/>
        <v>150</v>
      </c>
      <c r="BZ12">
        <f t="shared" si="25"/>
        <v>100</v>
      </c>
      <c r="CA12" s="8">
        <f t="shared" si="26"/>
        <v>33.3333333333333</v>
      </c>
      <c r="CB12" s="8">
        <f t="shared" si="27"/>
        <v>66.6666666666667</v>
      </c>
      <c r="CD12">
        <v>11</v>
      </c>
      <c r="CE12" s="8">
        <f t="shared" si="28"/>
        <v>100</v>
      </c>
      <c r="CG12">
        <v>2</v>
      </c>
      <c r="CH12" s="16">
        <f t="shared" si="29"/>
        <v>100</v>
      </c>
      <c r="CI12">
        <f t="shared" si="30"/>
        <v>200</v>
      </c>
      <c r="CJ12" s="17"/>
      <c r="CK12" s="17">
        <v>11</v>
      </c>
      <c r="CL12" s="17">
        <f t="shared" si="31"/>
        <v>380</v>
      </c>
      <c r="CM12" s="17"/>
      <c r="CN12" s="17">
        <f t="shared" si="32"/>
        <v>4.8</v>
      </c>
      <c r="CO12" s="16">
        <f t="shared" si="33"/>
        <v>380</v>
      </c>
      <c r="CP12">
        <v>100</v>
      </c>
      <c r="CQ12">
        <v>89</v>
      </c>
      <c r="CR12" t="str">
        <f t="shared" si="34"/>
        <v>100|89</v>
      </c>
      <c r="CT12" s="4"/>
      <c r="CV12" s="8">
        <v>25</v>
      </c>
      <c r="CW12">
        <v>11</v>
      </c>
      <c r="CX12" t="str">
        <f t="shared" si="35"/>
        <v>-70|-70|-70|-70|-70</v>
      </c>
      <c r="CY12">
        <v>1.5</v>
      </c>
      <c r="CZ12">
        <f t="shared" si="70"/>
        <v>5</v>
      </c>
      <c r="DA12">
        <f t="shared" si="36"/>
        <v>-70</v>
      </c>
      <c r="DB12" s="8">
        <f t="shared" si="37"/>
        <v>30</v>
      </c>
      <c r="DC12">
        <v>16</v>
      </c>
      <c r="DD12" t="str">
        <f t="shared" si="38"/>
        <v>30|16</v>
      </c>
      <c r="DF12">
        <v>11</v>
      </c>
      <c r="DG12">
        <v>500</v>
      </c>
      <c r="DI12" s="8">
        <v>-89</v>
      </c>
      <c r="DJ12" s="8">
        <v>-86</v>
      </c>
      <c r="DK12" s="10"/>
      <c r="DL12" s="10">
        <v>11</v>
      </c>
      <c r="DM12">
        <f t="shared" si="39"/>
        <v>170</v>
      </c>
      <c r="DN12" s="10"/>
      <c r="DO12" s="10">
        <v>2.7</v>
      </c>
      <c r="DP12" s="15">
        <v>-89</v>
      </c>
      <c r="DQ12" s="8">
        <f t="shared" si="40"/>
        <v>270</v>
      </c>
      <c r="DR12" s="8">
        <f t="shared" si="41"/>
        <v>11</v>
      </c>
      <c r="DS12" t="str">
        <f t="shared" si="42"/>
        <v>270|11</v>
      </c>
      <c r="DU12">
        <v>11</v>
      </c>
      <c r="DV12" s="10">
        <f t="shared" si="43"/>
        <v>140</v>
      </c>
      <c r="DW12">
        <f t="shared" si="71"/>
        <v>1</v>
      </c>
      <c r="DX12">
        <v>2.4</v>
      </c>
      <c r="DZ12">
        <f t="shared" si="44"/>
        <v>240</v>
      </c>
      <c r="EB12">
        <v>11</v>
      </c>
      <c r="EC12" s="8">
        <f t="shared" si="45"/>
        <v>-61.6666666666667</v>
      </c>
      <c r="ED12">
        <f t="shared" si="72"/>
        <v>6</v>
      </c>
      <c r="EE12">
        <v>2.3</v>
      </c>
      <c r="EF12" s="3" t="str">
        <f t="shared" si="46"/>
        <v>-61.6666666666667|-61.6666666666667|-61.6666666666667|-61.6666666666667|-61.6666666666667|-61.6666666666667</v>
      </c>
      <c r="EG12" s="8">
        <f t="shared" si="47"/>
        <v>38</v>
      </c>
      <c r="EH12" s="3"/>
      <c r="EJ12">
        <v>11</v>
      </c>
      <c r="EK12" s="8">
        <f t="shared" si="48"/>
        <v>-66.6666666666667</v>
      </c>
      <c r="EL12">
        <f t="shared" si="73"/>
        <v>6</v>
      </c>
      <c r="EM12">
        <v>2</v>
      </c>
      <c r="EN12" s="3" t="str">
        <f t="shared" si="49"/>
        <v>-66.6666666666667|-66.6666666666667|-66.6666666666667|-66.6666666666667|-66.6666666666667|-66.6666666666667</v>
      </c>
      <c r="EO12" s="8">
        <f t="shared" si="50"/>
        <v>33</v>
      </c>
      <c r="EP12" s="8"/>
      <c r="EQ12" s="8"/>
      <c r="ER12" s="8">
        <f t="shared" si="51"/>
        <v>200</v>
      </c>
      <c r="ES12" s="8">
        <f t="shared" si="74"/>
        <v>1</v>
      </c>
      <c r="ET12">
        <v>3</v>
      </c>
      <c r="EU12" s="8"/>
      <c r="EV12" s="8">
        <f t="shared" si="52"/>
        <v>300</v>
      </c>
      <c r="EW12" s="8">
        <f t="shared" si="53"/>
        <v>160</v>
      </c>
      <c r="EX12">
        <v>2.6</v>
      </c>
      <c r="EY12">
        <f t="shared" si="75"/>
        <v>1</v>
      </c>
      <c r="EZ12">
        <v>68</v>
      </c>
      <c r="FA12">
        <v>2.62</v>
      </c>
      <c r="FB12" s="8">
        <f t="shared" si="54"/>
        <v>260</v>
      </c>
      <c r="FC12" t="str">
        <f t="shared" si="55"/>
        <v>160|68|2.62</v>
      </c>
      <c r="FE12">
        <v>11</v>
      </c>
      <c r="FF12" s="8">
        <f t="shared" si="56"/>
        <v>300</v>
      </c>
      <c r="FG12">
        <f t="shared" si="76"/>
        <v>1</v>
      </c>
      <c r="FH12">
        <f t="shared" si="77"/>
        <v>4</v>
      </c>
      <c r="FJ12">
        <v>11</v>
      </c>
      <c r="FK12" s="8">
        <f t="shared" si="57"/>
        <v>300</v>
      </c>
      <c r="FL12" s="8" t="str">
        <f t="shared" si="78"/>
        <v>0|40</v>
      </c>
      <c r="FM12">
        <f t="shared" si="79"/>
        <v>1</v>
      </c>
      <c r="FN12">
        <f t="shared" si="80"/>
        <v>4</v>
      </c>
      <c r="FP12">
        <v>11</v>
      </c>
      <c r="FQ12" s="8">
        <f t="shared" si="58"/>
        <v>33</v>
      </c>
      <c r="FR12">
        <f t="shared" si="81"/>
        <v>3</v>
      </c>
      <c r="FS12">
        <f t="shared" si="82"/>
        <v>4</v>
      </c>
      <c r="FT12" t="str">
        <f t="shared" si="59"/>
        <v>33|33|33</v>
      </c>
    </row>
    <row r="13" spans="1:176">
      <c r="G13">
        <v>12</v>
      </c>
      <c r="H13">
        <f t="shared" si="0"/>
        <v>-53.6</v>
      </c>
      <c r="I13">
        <f t="shared" si="60"/>
        <v>5</v>
      </c>
      <c r="J13">
        <v>2.32</v>
      </c>
      <c r="K13" s="7" t="str">
        <f t="shared" si="1"/>
        <v>-53.6|-53.6|-53.6|-53.6|-53.6</v>
      </c>
      <c r="L13">
        <f t="shared" si="2"/>
        <v>46</v>
      </c>
      <c r="M13" s="7"/>
      <c r="N13" s="7">
        <v>12</v>
      </c>
      <c r="O13">
        <f t="shared" si="3"/>
        <v>-19.6666666666667</v>
      </c>
      <c r="P13">
        <f t="shared" si="61"/>
        <v>3</v>
      </c>
      <c r="Q13">
        <v>2.41</v>
      </c>
      <c r="R13" s="7" t="str">
        <f t="shared" si="4"/>
        <v>-19.6666666666667|-19.6666666666667|-19.6666666666667</v>
      </c>
      <c r="S13">
        <f t="shared" si="5"/>
        <v>80</v>
      </c>
      <c r="U13">
        <v>12</v>
      </c>
      <c r="V13">
        <f t="shared" si="6"/>
        <v>-61.375</v>
      </c>
      <c r="W13">
        <f t="shared" si="62"/>
        <v>8</v>
      </c>
      <c r="X13">
        <v>3.09</v>
      </c>
      <c r="Y13" s="7" t="str">
        <f t="shared" si="7"/>
        <v>-61.375|-61.375|-61.375|-61.375|-61.375|-61.375|-61.375|-61.375</v>
      </c>
      <c r="Z13">
        <f t="shared" si="8"/>
        <v>39</v>
      </c>
      <c r="AA13">
        <f t="shared" si="9"/>
        <v>-22.82</v>
      </c>
      <c r="AC13">
        <v>12</v>
      </c>
      <c r="AD13">
        <f t="shared" si="10"/>
        <v>209</v>
      </c>
      <c r="AE13">
        <v>1</v>
      </c>
      <c r="AF13">
        <v>3.09</v>
      </c>
      <c r="AH13">
        <f t="shared" si="12"/>
        <v>309</v>
      </c>
      <c r="AJ13">
        <v>12</v>
      </c>
      <c r="AL13">
        <v>2100</v>
      </c>
      <c r="AM13">
        <v>7.5</v>
      </c>
      <c r="AO13" t="str">
        <f t="shared" si="13"/>
        <v>2100|7.5</v>
      </c>
      <c r="AR13">
        <v>12</v>
      </c>
      <c r="AS13">
        <f t="shared" si="14"/>
        <v>110</v>
      </c>
      <c r="AT13">
        <f t="shared" si="63"/>
        <v>1</v>
      </c>
      <c r="AU13">
        <v>2.1</v>
      </c>
      <c r="AV13">
        <f t="shared" si="15"/>
        <v>210</v>
      </c>
      <c r="AW13" s="10"/>
      <c r="AX13" s="10">
        <v>12</v>
      </c>
      <c r="AY13" s="10">
        <f t="shared" si="16"/>
        <v>320</v>
      </c>
      <c r="AZ13" s="10"/>
      <c r="BA13" s="10">
        <v>4.2</v>
      </c>
      <c r="BB13">
        <f t="shared" si="17"/>
        <v>420</v>
      </c>
      <c r="BD13">
        <v>1500</v>
      </c>
      <c r="BE13" s="8" t="s">
        <v>47</v>
      </c>
      <c r="BF13" t="str">
        <f t="shared" si="18"/>
        <v>1500|12</v>
      </c>
      <c r="BH13">
        <v>12</v>
      </c>
      <c r="BI13" s="10">
        <f t="shared" si="19"/>
        <v>-30.8</v>
      </c>
      <c r="BJ13">
        <f t="shared" si="64"/>
        <v>5</v>
      </c>
      <c r="BK13">
        <v>3.46</v>
      </c>
      <c r="BL13" s="3" t="str">
        <f t="shared" si="20"/>
        <v>-30.8|-30.8|-30.8|-30.8|-30.8</v>
      </c>
      <c r="BM13">
        <f t="shared" si="21"/>
        <v>69</v>
      </c>
      <c r="BN13" s="8">
        <f t="shared" si="65"/>
        <v>6.9</v>
      </c>
      <c r="BO13" s="8">
        <f t="shared" si="66"/>
        <v>10.35</v>
      </c>
      <c r="BP13" s="8">
        <f t="shared" si="67"/>
        <v>13.8</v>
      </c>
      <c r="BQ13" s="8">
        <f t="shared" si="68"/>
        <v>17.25</v>
      </c>
      <c r="BR13" s="8">
        <f t="shared" si="69"/>
        <v>20.7</v>
      </c>
      <c r="BT13">
        <v>12</v>
      </c>
      <c r="BU13">
        <f t="shared" si="22"/>
        <v>60</v>
      </c>
      <c r="BW13">
        <v>3.2</v>
      </c>
      <c r="BX13" s="7" t="str">
        <f t="shared" si="23"/>
        <v>40|80</v>
      </c>
      <c r="BY13">
        <f t="shared" si="24"/>
        <v>160</v>
      </c>
      <c r="BZ13">
        <f t="shared" si="25"/>
        <v>120</v>
      </c>
      <c r="CA13" s="8">
        <f t="shared" si="26"/>
        <v>40</v>
      </c>
      <c r="CB13" s="8">
        <f t="shared" si="27"/>
        <v>80</v>
      </c>
      <c r="CD13">
        <v>12</v>
      </c>
      <c r="CE13" s="8">
        <f t="shared" si="28"/>
        <v>110</v>
      </c>
      <c r="CG13">
        <v>2.1</v>
      </c>
      <c r="CH13" s="16">
        <f t="shared" si="29"/>
        <v>110</v>
      </c>
      <c r="CI13">
        <f t="shared" si="30"/>
        <v>210</v>
      </c>
      <c r="CJ13" s="17"/>
      <c r="CK13" s="17">
        <v>12</v>
      </c>
      <c r="CL13" s="17">
        <f t="shared" si="31"/>
        <v>388</v>
      </c>
      <c r="CM13" s="17"/>
      <c r="CN13" s="17">
        <f t="shared" si="32"/>
        <v>4.88</v>
      </c>
      <c r="CO13" s="16">
        <f t="shared" si="33"/>
        <v>388</v>
      </c>
      <c r="CP13">
        <v>105</v>
      </c>
      <c r="CQ13">
        <v>88</v>
      </c>
      <c r="CR13" t="str">
        <f t="shared" si="34"/>
        <v>105|88</v>
      </c>
      <c r="CT13" s="4"/>
      <c r="CV13" s="8">
        <v>27</v>
      </c>
      <c r="CW13">
        <v>12</v>
      </c>
      <c r="CX13" t="str">
        <f t="shared" si="35"/>
        <v>-68|-68|-68|-68|-68</v>
      </c>
      <c r="CY13">
        <v>1.6</v>
      </c>
      <c r="CZ13">
        <f t="shared" si="70"/>
        <v>5</v>
      </c>
      <c r="DA13">
        <f t="shared" si="36"/>
        <v>-68</v>
      </c>
      <c r="DB13" s="8">
        <f t="shared" si="37"/>
        <v>32</v>
      </c>
      <c r="DC13">
        <v>16.6</v>
      </c>
      <c r="DD13" t="str">
        <f t="shared" si="38"/>
        <v>32|16.6</v>
      </c>
      <c r="DF13">
        <v>12</v>
      </c>
      <c r="DG13">
        <v>510</v>
      </c>
      <c r="DI13" s="8">
        <v>-89</v>
      </c>
      <c r="DJ13" s="8">
        <v>-86</v>
      </c>
      <c r="DK13" s="10"/>
      <c r="DL13" s="10">
        <v>12</v>
      </c>
      <c r="DM13">
        <f t="shared" si="39"/>
        <v>185</v>
      </c>
      <c r="DN13" s="10"/>
      <c r="DO13" s="10">
        <v>2.85</v>
      </c>
      <c r="DP13" s="15">
        <v>-88</v>
      </c>
      <c r="DQ13" s="8">
        <f t="shared" si="40"/>
        <v>285</v>
      </c>
      <c r="DR13" s="8">
        <f t="shared" si="41"/>
        <v>12</v>
      </c>
      <c r="DS13" t="str">
        <f t="shared" si="42"/>
        <v>285|12</v>
      </c>
      <c r="DU13">
        <v>12</v>
      </c>
      <c r="DV13" s="10">
        <f t="shared" si="43"/>
        <v>152</v>
      </c>
      <c r="DW13">
        <f t="shared" si="71"/>
        <v>1</v>
      </c>
      <c r="DX13">
        <v>2.52</v>
      </c>
      <c r="DZ13">
        <f t="shared" si="44"/>
        <v>252</v>
      </c>
      <c r="EB13">
        <v>12</v>
      </c>
      <c r="EC13" s="8">
        <f t="shared" si="45"/>
        <v>-59.5</v>
      </c>
      <c r="ED13">
        <f t="shared" si="72"/>
        <v>6</v>
      </c>
      <c r="EE13">
        <v>2.43</v>
      </c>
      <c r="EF13" s="3" t="str">
        <f t="shared" si="46"/>
        <v>-59.5|-59.5|-59.5|-59.5|-59.5|-59.5</v>
      </c>
      <c r="EG13" s="8">
        <f t="shared" si="47"/>
        <v>41</v>
      </c>
      <c r="EH13" s="3"/>
      <c r="EJ13">
        <v>12</v>
      </c>
      <c r="EK13" s="8">
        <f t="shared" si="48"/>
        <v>-65</v>
      </c>
      <c r="EL13">
        <f t="shared" si="73"/>
        <v>6</v>
      </c>
      <c r="EM13">
        <v>2.1</v>
      </c>
      <c r="EN13" s="3" t="str">
        <f t="shared" si="49"/>
        <v>-65|-65|-65|-65|-65|-65</v>
      </c>
      <c r="EO13" s="8">
        <f t="shared" si="50"/>
        <v>35</v>
      </c>
      <c r="EP13" s="8"/>
      <c r="EQ13" s="8"/>
      <c r="ER13" s="8">
        <f t="shared" si="51"/>
        <v>215</v>
      </c>
      <c r="ES13" s="8">
        <f t="shared" si="74"/>
        <v>1</v>
      </c>
      <c r="ET13">
        <v>3.15</v>
      </c>
      <c r="EU13" s="8"/>
      <c r="EV13" s="8">
        <f t="shared" si="52"/>
        <v>315</v>
      </c>
      <c r="EW13" s="8">
        <f t="shared" si="53"/>
        <v>173</v>
      </c>
      <c r="EX13">
        <v>2.73</v>
      </c>
      <c r="EY13">
        <f t="shared" si="75"/>
        <v>1</v>
      </c>
      <c r="EZ13">
        <v>71.4</v>
      </c>
      <c r="FA13">
        <v>2.682</v>
      </c>
      <c r="FB13" s="8">
        <f t="shared" si="54"/>
        <v>273</v>
      </c>
      <c r="FC13" t="str">
        <f t="shared" si="55"/>
        <v>173|71.4|2.682</v>
      </c>
      <c r="FE13">
        <v>12</v>
      </c>
      <c r="FF13" s="8">
        <f t="shared" si="56"/>
        <v>320</v>
      </c>
      <c r="FG13">
        <f t="shared" si="76"/>
        <v>1</v>
      </c>
      <c r="FH13">
        <f t="shared" si="77"/>
        <v>4.2</v>
      </c>
      <c r="FJ13">
        <v>12</v>
      </c>
      <c r="FK13" s="8">
        <f t="shared" si="57"/>
        <v>320</v>
      </c>
      <c r="FL13" s="8" t="str">
        <f t="shared" si="78"/>
        <v>0|40</v>
      </c>
      <c r="FM13">
        <f t="shared" si="79"/>
        <v>1</v>
      </c>
      <c r="FN13">
        <f t="shared" si="80"/>
        <v>4.2</v>
      </c>
      <c r="FP13">
        <v>12</v>
      </c>
      <c r="FQ13" s="8">
        <f t="shared" si="58"/>
        <v>40</v>
      </c>
      <c r="FR13">
        <f t="shared" si="81"/>
        <v>3</v>
      </c>
      <c r="FS13">
        <f t="shared" si="82"/>
        <v>4.2</v>
      </c>
      <c r="FT13" t="str">
        <f t="shared" si="59"/>
        <v>40|40|40</v>
      </c>
    </row>
    <row r="14" spans="1:176">
      <c r="G14">
        <v>13</v>
      </c>
      <c r="H14">
        <f t="shared" si="0"/>
        <v>-51.2</v>
      </c>
      <c r="I14">
        <f t="shared" si="60"/>
        <v>5</v>
      </c>
      <c r="J14">
        <v>2.44</v>
      </c>
      <c r="K14" s="7" t="str">
        <f t="shared" si="1"/>
        <v>-51.2|-51.2|-51.2|-51.2|-51.2</v>
      </c>
      <c r="L14">
        <f t="shared" si="2"/>
        <v>49</v>
      </c>
      <c r="M14" s="7"/>
      <c r="N14" s="7">
        <v>13</v>
      </c>
      <c r="O14">
        <f t="shared" si="3"/>
        <v>-16</v>
      </c>
      <c r="P14">
        <f t="shared" si="61"/>
        <v>3</v>
      </c>
      <c r="Q14">
        <v>2.52</v>
      </c>
      <c r="R14" s="7" t="str">
        <f t="shared" si="4"/>
        <v>-16|-16|-16</v>
      </c>
      <c r="S14">
        <f t="shared" si="5"/>
        <v>84</v>
      </c>
      <c r="U14">
        <v>13</v>
      </c>
      <c r="V14">
        <f t="shared" si="6"/>
        <v>-59</v>
      </c>
      <c r="W14">
        <f t="shared" si="62"/>
        <v>8</v>
      </c>
      <c r="X14">
        <v>3.28</v>
      </c>
      <c r="Y14" s="7" t="str">
        <f t="shared" si="7"/>
        <v>-59|-59|-59|-59|-59|-59|-59|-59</v>
      </c>
      <c r="Z14">
        <f t="shared" si="8"/>
        <v>41</v>
      </c>
      <c r="AA14">
        <f t="shared" si="9"/>
        <v>-21.44</v>
      </c>
      <c r="AC14">
        <v>13</v>
      </c>
      <c r="AD14">
        <f t="shared" si="10"/>
        <v>223</v>
      </c>
      <c r="AE14">
        <v>1</v>
      </c>
      <c r="AF14">
        <v>3.23</v>
      </c>
      <c r="AH14">
        <f t="shared" si="12"/>
        <v>323</v>
      </c>
      <c r="AJ14">
        <v>13</v>
      </c>
      <c r="AL14">
        <v>2200</v>
      </c>
      <c r="AM14">
        <v>8</v>
      </c>
      <c r="AO14" t="str">
        <f t="shared" si="13"/>
        <v>2200|8</v>
      </c>
      <c r="AR14">
        <v>13</v>
      </c>
      <c r="AS14">
        <f t="shared" si="14"/>
        <v>120</v>
      </c>
      <c r="AT14">
        <f t="shared" si="63"/>
        <v>1</v>
      </c>
      <c r="AU14">
        <v>2.2</v>
      </c>
      <c r="AV14">
        <f t="shared" si="15"/>
        <v>220</v>
      </c>
      <c r="AW14" s="10"/>
      <c r="AX14" s="10">
        <v>13</v>
      </c>
      <c r="AY14" s="10">
        <f t="shared" si="16"/>
        <v>340</v>
      </c>
      <c r="AZ14" s="10"/>
      <c r="BA14" s="10">
        <v>4.4</v>
      </c>
      <c r="BB14">
        <f t="shared" si="17"/>
        <v>440</v>
      </c>
      <c r="BD14">
        <v>1600</v>
      </c>
      <c r="BE14" s="8" t="s">
        <v>47</v>
      </c>
      <c r="BF14" t="str">
        <f t="shared" si="18"/>
        <v>1600|12</v>
      </c>
      <c r="BH14">
        <v>13</v>
      </c>
      <c r="BI14" s="10">
        <f t="shared" si="19"/>
        <v>-27.6</v>
      </c>
      <c r="BJ14">
        <f t="shared" si="64"/>
        <v>5</v>
      </c>
      <c r="BK14">
        <v>3.62</v>
      </c>
      <c r="BL14" s="3" t="str">
        <f t="shared" si="20"/>
        <v>-27.6|-27.6|-27.6|-27.6|-27.6</v>
      </c>
      <c r="BM14">
        <f t="shared" si="21"/>
        <v>72</v>
      </c>
      <c r="BN14" s="8">
        <f t="shared" si="65"/>
        <v>7.2</v>
      </c>
      <c r="BO14" s="8">
        <f t="shared" si="66"/>
        <v>10.8</v>
      </c>
      <c r="BP14" s="8">
        <f t="shared" si="67"/>
        <v>14.4</v>
      </c>
      <c r="BQ14" s="8">
        <f t="shared" si="68"/>
        <v>18</v>
      </c>
      <c r="BR14" s="8">
        <f t="shared" si="69"/>
        <v>21.6</v>
      </c>
      <c r="BT14">
        <v>13</v>
      </c>
      <c r="BU14">
        <f t="shared" si="22"/>
        <v>70</v>
      </c>
      <c r="BW14">
        <v>3.4</v>
      </c>
      <c r="BX14" s="7" t="str">
        <f t="shared" si="23"/>
        <v>46.6666666666667|93.3333333333333</v>
      </c>
      <c r="BY14">
        <f t="shared" si="24"/>
        <v>170</v>
      </c>
      <c r="BZ14">
        <f t="shared" si="25"/>
        <v>140</v>
      </c>
      <c r="CA14" s="8">
        <f t="shared" si="26"/>
        <v>46.6666666666667</v>
      </c>
      <c r="CB14" s="8">
        <f t="shared" si="27"/>
        <v>93.3333333333333</v>
      </c>
      <c r="CD14">
        <v>13</v>
      </c>
      <c r="CE14" s="8">
        <f t="shared" si="28"/>
        <v>120</v>
      </c>
      <c r="CG14">
        <v>2.2</v>
      </c>
      <c r="CH14" s="16">
        <f t="shared" si="29"/>
        <v>120</v>
      </c>
      <c r="CI14">
        <f t="shared" si="30"/>
        <v>220</v>
      </c>
      <c r="CJ14" s="17"/>
      <c r="CK14" s="17">
        <v>13</v>
      </c>
      <c r="CL14" s="17">
        <f t="shared" si="31"/>
        <v>396</v>
      </c>
      <c r="CM14" s="17"/>
      <c r="CN14" s="17">
        <f t="shared" si="32"/>
        <v>4.96</v>
      </c>
      <c r="CO14" s="16">
        <f t="shared" si="33"/>
        <v>396</v>
      </c>
      <c r="CP14">
        <v>110</v>
      </c>
      <c r="CQ14">
        <v>87</v>
      </c>
      <c r="CR14" t="str">
        <f t="shared" si="34"/>
        <v>110|87</v>
      </c>
      <c r="CT14" s="4"/>
      <c r="CV14" s="8">
        <v>28</v>
      </c>
      <c r="CW14">
        <v>13</v>
      </c>
      <c r="CX14" t="str">
        <f t="shared" si="35"/>
        <v>-66|-66|-66|-66|-66</v>
      </c>
      <c r="CY14">
        <v>1.7</v>
      </c>
      <c r="CZ14">
        <f t="shared" si="70"/>
        <v>5</v>
      </c>
      <c r="DA14">
        <f t="shared" si="36"/>
        <v>-66</v>
      </c>
      <c r="DB14" s="8">
        <f t="shared" si="37"/>
        <v>34</v>
      </c>
      <c r="DC14">
        <v>17.2</v>
      </c>
      <c r="DD14" t="str">
        <f t="shared" si="38"/>
        <v>34|17.2</v>
      </c>
      <c r="DF14">
        <v>13</v>
      </c>
      <c r="DG14">
        <v>520</v>
      </c>
      <c r="DI14" s="8">
        <v>-87</v>
      </c>
      <c r="DJ14" s="8">
        <v>-85</v>
      </c>
      <c r="DK14" s="10"/>
      <c r="DL14" s="10">
        <v>13</v>
      </c>
      <c r="DM14">
        <f t="shared" si="39"/>
        <v>200</v>
      </c>
      <c r="DN14" s="10"/>
      <c r="DO14" s="10">
        <v>3</v>
      </c>
      <c r="DP14" s="15">
        <v>-87</v>
      </c>
      <c r="DQ14" s="8">
        <f t="shared" si="40"/>
        <v>300</v>
      </c>
      <c r="DR14" s="8">
        <f t="shared" si="41"/>
        <v>13</v>
      </c>
      <c r="DS14" t="str">
        <f t="shared" si="42"/>
        <v>300|13</v>
      </c>
      <c r="DU14">
        <v>13</v>
      </c>
      <c r="DV14" s="10">
        <f t="shared" si="43"/>
        <v>164</v>
      </c>
      <c r="DW14">
        <f t="shared" si="71"/>
        <v>1</v>
      </c>
      <c r="DX14">
        <v>2.64</v>
      </c>
      <c r="DZ14">
        <f t="shared" si="44"/>
        <v>264</v>
      </c>
      <c r="EB14">
        <v>13</v>
      </c>
      <c r="EC14" s="8">
        <f t="shared" si="45"/>
        <v>-57.3333333333333</v>
      </c>
      <c r="ED14">
        <f t="shared" si="72"/>
        <v>6</v>
      </c>
      <c r="EE14">
        <v>2.56</v>
      </c>
      <c r="EF14" s="3" t="str">
        <f t="shared" si="46"/>
        <v>-57.3333333333333|-57.3333333333333|-57.3333333333333|-57.3333333333333|-57.3333333333333|-57.3333333333333</v>
      </c>
      <c r="EG14" s="8">
        <f t="shared" si="47"/>
        <v>43</v>
      </c>
      <c r="EH14" s="3"/>
      <c r="EJ14">
        <v>13</v>
      </c>
      <c r="EK14" s="8">
        <f t="shared" si="48"/>
        <v>-63.3333333333333</v>
      </c>
      <c r="EL14">
        <f t="shared" si="73"/>
        <v>6</v>
      </c>
      <c r="EM14">
        <v>2.2</v>
      </c>
      <c r="EN14" s="3" t="str">
        <f t="shared" si="49"/>
        <v>-63.3333333333333|-63.3333333333333|-63.3333333333333|-63.3333333333333|-63.3333333333333|-63.3333333333333</v>
      </c>
      <c r="EO14" s="8">
        <f t="shared" si="50"/>
        <v>37</v>
      </c>
      <c r="EP14" s="8"/>
      <c r="EQ14" s="8"/>
      <c r="ER14" s="8">
        <f t="shared" si="51"/>
        <v>230</v>
      </c>
      <c r="ES14" s="8">
        <f t="shared" si="74"/>
        <v>1</v>
      </c>
      <c r="ET14">
        <v>3.3</v>
      </c>
      <c r="EU14" s="8"/>
      <c r="EV14" s="8">
        <f t="shared" si="52"/>
        <v>330</v>
      </c>
      <c r="EW14" s="8">
        <f t="shared" si="53"/>
        <v>186</v>
      </c>
      <c r="EX14">
        <v>2.86</v>
      </c>
      <c r="EY14">
        <f t="shared" si="75"/>
        <v>1</v>
      </c>
      <c r="EZ14">
        <v>74.8</v>
      </c>
      <c r="FA14">
        <v>2.744</v>
      </c>
      <c r="FB14" s="8">
        <f t="shared" si="54"/>
        <v>286</v>
      </c>
      <c r="FC14" t="str">
        <f t="shared" si="55"/>
        <v>186|74.8|2.744</v>
      </c>
      <c r="FE14">
        <v>13</v>
      </c>
      <c r="FF14" s="8">
        <f t="shared" si="56"/>
        <v>340</v>
      </c>
      <c r="FG14">
        <f t="shared" si="76"/>
        <v>1</v>
      </c>
      <c r="FH14">
        <f t="shared" si="77"/>
        <v>4.4</v>
      </c>
      <c r="FJ14">
        <v>13</v>
      </c>
      <c r="FK14" s="8">
        <f t="shared" si="57"/>
        <v>340</v>
      </c>
      <c r="FL14" s="8" t="str">
        <f t="shared" si="78"/>
        <v>0|40</v>
      </c>
      <c r="FM14">
        <f t="shared" si="79"/>
        <v>1</v>
      </c>
      <c r="FN14">
        <f t="shared" si="80"/>
        <v>4.4</v>
      </c>
      <c r="FP14">
        <v>13</v>
      </c>
      <c r="FQ14" s="8">
        <f t="shared" si="58"/>
        <v>47</v>
      </c>
      <c r="FR14">
        <f t="shared" si="81"/>
        <v>3</v>
      </c>
      <c r="FS14">
        <f t="shared" si="82"/>
        <v>4.4</v>
      </c>
      <c r="FT14" t="str">
        <f t="shared" si="59"/>
        <v>47|47|47</v>
      </c>
    </row>
    <row r="15" spans="1:176">
      <c r="G15">
        <v>14</v>
      </c>
      <c r="H15">
        <f t="shared" si="0"/>
        <v>-48.8</v>
      </c>
      <c r="I15">
        <f t="shared" si="60"/>
        <v>5</v>
      </c>
      <c r="J15">
        <v>2.56</v>
      </c>
      <c r="K15" s="7" t="str">
        <f t="shared" si="1"/>
        <v>-48.8|-48.8|-48.8|-48.8|-48.8</v>
      </c>
      <c r="L15">
        <f t="shared" si="2"/>
        <v>51</v>
      </c>
      <c r="M15" s="7"/>
      <c r="N15" s="7">
        <v>14</v>
      </c>
      <c r="O15">
        <f t="shared" si="3"/>
        <v>-12.3333333333333</v>
      </c>
      <c r="P15">
        <f t="shared" si="61"/>
        <v>3</v>
      </c>
      <c r="Q15">
        <v>2.63</v>
      </c>
      <c r="R15" s="7" t="str">
        <f t="shared" si="4"/>
        <v>-12.3333333333333|-12.3333333333333|-12.3333333333333</v>
      </c>
      <c r="S15">
        <f t="shared" si="5"/>
        <v>88</v>
      </c>
      <c r="U15">
        <v>14</v>
      </c>
      <c r="V15">
        <f t="shared" si="6"/>
        <v>-56.625</v>
      </c>
      <c r="W15">
        <f t="shared" si="62"/>
        <v>8</v>
      </c>
      <c r="X15">
        <v>3.47</v>
      </c>
      <c r="Y15" s="7" t="str">
        <f t="shared" si="7"/>
        <v>-56.625|-56.625|-56.625|-56.625|-56.625|-56.625|-56.625|-56.625</v>
      </c>
      <c r="Z15">
        <f t="shared" si="8"/>
        <v>43</v>
      </c>
      <c r="AA15">
        <f t="shared" si="9"/>
        <v>-20.06</v>
      </c>
      <c r="AC15">
        <v>14</v>
      </c>
      <c r="AD15">
        <f t="shared" si="10"/>
        <v>237</v>
      </c>
      <c r="AE15">
        <v>1</v>
      </c>
      <c r="AF15">
        <v>3.37</v>
      </c>
      <c r="AH15">
        <f t="shared" si="12"/>
        <v>337</v>
      </c>
      <c r="AJ15">
        <v>14</v>
      </c>
      <c r="AL15">
        <v>2300</v>
      </c>
      <c r="AM15">
        <v>8.5</v>
      </c>
      <c r="AO15" t="str">
        <f t="shared" si="13"/>
        <v>2300|8.5</v>
      </c>
      <c r="AR15">
        <v>14</v>
      </c>
      <c r="AS15">
        <f t="shared" si="14"/>
        <v>130</v>
      </c>
      <c r="AT15">
        <f t="shared" si="63"/>
        <v>1</v>
      </c>
      <c r="AU15">
        <v>2.3</v>
      </c>
      <c r="AV15">
        <f t="shared" si="15"/>
        <v>230</v>
      </c>
      <c r="AW15" s="10"/>
      <c r="AX15" s="10">
        <v>14</v>
      </c>
      <c r="AY15" s="10">
        <f t="shared" si="16"/>
        <v>360</v>
      </c>
      <c r="AZ15" s="10"/>
      <c r="BA15" s="10">
        <v>4.6</v>
      </c>
      <c r="BB15">
        <f t="shared" si="17"/>
        <v>460</v>
      </c>
      <c r="BD15">
        <v>1700</v>
      </c>
      <c r="BE15" s="8" t="s">
        <v>47</v>
      </c>
      <c r="BF15" t="str">
        <f t="shared" si="18"/>
        <v>1700|12</v>
      </c>
      <c r="BH15">
        <v>14</v>
      </c>
      <c r="BI15" s="10">
        <f t="shared" si="19"/>
        <v>-24.4</v>
      </c>
      <c r="BJ15">
        <f t="shared" si="64"/>
        <v>5</v>
      </c>
      <c r="BK15">
        <v>3.78</v>
      </c>
      <c r="BL15" s="3" t="str">
        <f t="shared" si="20"/>
        <v>-24.4|-24.4|-24.4|-24.4|-24.4</v>
      </c>
      <c r="BM15">
        <f t="shared" si="21"/>
        <v>76</v>
      </c>
      <c r="BN15" s="8">
        <f t="shared" si="65"/>
        <v>7.6</v>
      </c>
      <c r="BO15" s="8">
        <f t="shared" si="66"/>
        <v>11.4</v>
      </c>
      <c r="BP15" s="8">
        <f t="shared" si="67"/>
        <v>15.2</v>
      </c>
      <c r="BQ15" s="8">
        <f t="shared" si="68"/>
        <v>19</v>
      </c>
      <c r="BR15" s="8">
        <f t="shared" si="69"/>
        <v>22.8</v>
      </c>
      <c r="BT15">
        <v>14</v>
      </c>
      <c r="BU15">
        <f t="shared" si="22"/>
        <v>80</v>
      </c>
      <c r="BW15">
        <v>3.6</v>
      </c>
      <c r="BX15" s="7" t="str">
        <f t="shared" si="23"/>
        <v>53.3333333333333|106.666666666667</v>
      </c>
      <c r="BY15">
        <f t="shared" si="24"/>
        <v>180</v>
      </c>
      <c r="BZ15">
        <f t="shared" si="25"/>
        <v>160</v>
      </c>
      <c r="CA15" s="8">
        <f t="shared" si="26"/>
        <v>53.3333333333333</v>
      </c>
      <c r="CB15" s="8">
        <f t="shared" si="27"/>
        <v>106.666666666667</v>
      </c>
      <c r="CD15">
        <v>14</v>
      </c>
      <c r="CE15" s="8">
        <f t="shared" si="28"/>
        <v>130</v>
      </c>
      <c r="CG15">
        <v>2.3</v>
      </c>
      <c r="CH15" s="16">
        <f t="shared" si="29"/>
        <v>130</v>
      </c>
      <c r="CI15">
        <f t="shared" si="30"/>
        <v>230</v>
      </c>
      <c r="CJ15" s="17"/>
      <c r="CK15" s="17">
        <v>14</v>
      </c>
      <c r="CL15" s="17">
        <f t="shared" si="31"/>
        <v>404</v>
      </c>
      <c r="CM15" s="17"/>
      <c r="CN15" s="17">
        <f t="shared" si="32"/>
        <v>5.04</v>
      </c>
      <c r="CO15" s="16">
        <f t="shared" si="33"/>
        <v>404</v>
      </c>
      <c r="CP15">
        <v>115</v>
      </c>
      <c r="CQ15">
        <v>86</v>
      </c>
      <c r="CR15" t="str">
        <f t="shared" si="34"/>
        <v>115|86</v>
      </c>
      <c r="CT15" s="4"/>
      <c r="CV15" s="8">
        <v>30</v>
      </c>
      <c r="CW15">
        <v>14</v>
      </c>
      <c r="CX15" t="str">
        <f t="shared" si="35"/>
        <v>-64|-64|-64|-64|-64</v>
      </c>
      <c r="CY15">
        <v>1.8</v>
      </c>
      <c r="CZ15">
        <f t="shared" si="70"/>
        <v>5</v>
      </c>
      <c r="DA15">
        <f t="shared" si="36"/>
        <v>-64</v>
      </c>
      <c r="DB15" s="8">
        <f t="shared" si="37"/>
        <v>36</v>
      </c>
      <c r="DC15">
        <v>17.8</v>
      </c>
      <c r="DD15" t="str">
        <f t="shared" si="38"/>
        <v>36|17.8</v>
      </c>
      <c r="DF15">
        <v>14</v>
      </c>
      <c r="DG15">
        <v>530</v>
      </c>
      <c r="DI15" s="8">
        <v>-87</v>
      </c>
      <c r="DJ15" s="8">
        <v>-85</v>
      </c>
      <c r="DK15" s="10"/>
      <c r="DL15" s="10">
        <v>14</v>
      </c>
      <c r="DM15">
        <f t="shared" si="39"/>
        <v>215</v>
      </c>
      <c r="DN15" s="10"/>
      <c r="DO15" s="10">
        <v>3.15</v>
      </c>
      <c r="DP15" s="15">
        <v>-86</v>
      </c>
      <c r="DQ15" s="8">
        <f t="shared" si="40"/>
        <v>315</v>
      </c>
      <c r="DR15" s="8">
        <f t="shared" si="41"/>
        <v>14</v>
      </c>
      <c r="DS15" t="str">
        <f t="shared" si="42"/>
        <v>315|14</v>
      </c>
      <c r="DU15">
        <v>14</v>
      </c>
      <c r="DV15" s="10">
        <f t="shared" si="43"/>
        <v>176</v>
      </c>
      <c r="DW15">
        <f t="shared" si="71"/>
        <v>1</v>
      </c>
      <c r="DX15">
        <v>2.76</v>
      </c>
      <c r="DZ15">
        <f t="shared" si="44"/>
        <v>276</v>
      </c>
      <c r="EB15">
        <v>14</v>
      </c>
      <c r="EC15" s="8">
        <f t="shared" si="45"/>
        <v>-55.1666666666667</v>
      </c>
      <c r="ED15">
        <f t="shared" si="72"/>
        <v>6</v>
      </c>
      <c r="EE15">
        <v>2.69</v>
      </c>
      <c r="EF15" s="3" t="str">
        <f t="shared" si="46"/>
        <v>-55.1666666666667|-55.1666666666667|-55.1666666666667|-55.1666666666667|-55.1666666666667|-55.1666666666667</v>
      </c>
      <c r="EG15" s="8">
        <f t="shared" si="47"/>
        <v>45</v>
      </c>
      <c r="EH15" s="3"/>
      <c r="EJ15">
        <v>14</v>
      </c>
      <c r="EK15" s="8">
        <f t="shared" si="48"/>
        <v>-61.6666666666667</v>
      </c>
      <c r="EL15">
        <f t="shared" si="73"/>
        <v>6</v>
      </c>
      <c r="EM15">
        <v>2.3</v>
      </c>
      <c r="EN15" s="3" t="str">
        <f t="shared" si="49"/>
        <v>-61.6666666666667|-61.6666666666667|-61.6666666666667|-61.6666666666667|-61.6666666666667|-61.6666666666667</v>
      </c>
      <c r="EO15" s="8">
        <f t="shared" si="50"/>
        <v>38</v>
      </c>
      <c r="EP15" s="8"/>
      <c r="EQ15" s="8"/>
      <c r="ER15" s="8">
        <f t="shared" si="51"/>
        <v>245</v>
      </c>
      <c r="ES15" s="8">
        <f t="shared" si="74"/>
        <v>1</v>
      </c>
      <c r="ET15">
        <v>3.45</v>
      </c>
      <c r="EU15" s="8"/>
      <c r="EV15" s="8">
        <f t="shared" si="52"/>
        <v>345</v>
      </c>
      <c r="EW15" s="8">
        <f t="shared" si="53"/>
        <v>199</v>
      </c>
      <c r="EX15">
        <v>2.99</v>
      </c>
      <c r="EY15">
        <f t="shared" si="75"/>
        <v>1</v>
      </c>
      <c r="EZ15">
        <v>78.2</v>
      </c>
      <c r="FA15">
        <v>2.806</v>
      </c>
      <c r="FB15" s="8">
        <f t="shared" si="54"/>
        <v>299</v>
      </c>
      <c r="FC15" t="str">
        <f t="shared" si="55"/>
        <v>199|78.2|2.806</v>
      </c>
      <c r="FE15">
        <v>14</v>
      </c>
      <c r="FF15" s="8">
        <f t="shared" si="56"/>
        <v>360</v>
      </c>
      <c r="FG15">
        <f t="shared" si="76"/>
        <v>1</v>
      </c>
      <c r="FH15">
        <f t="shared" si="77"/>
        <v>4.6</v>
      </c>
      <c r="FJ15">
        <v>14</v>
      </c>
      <c r="FK15" s="8">
        <f t="shared" si="57"/>
        <v>360</v>
      </c>
      <c r="FL15" s="8" t="str">
        <f t="shared" si="78"/>
        <v>0|40</v>
      </c>
      <c r="FM15">
        <f t="shared" si="79"/>
        <v>1</v>
      </c>
      <c r="FN15">
        <f t="shared" si="80"/>
        <v>4.6</v>
      </c>
      <c r="FP15">
        <v>14</v>
      </c>
      <c r="FQ15" s="8">
        <f t="shared" si="58"/>
        <v>53</v>
      </c>
      <c r="FR15">
        <f t="shared" si="81"/>
        <v>3</v>
      </c>
      <c r="FS15">
        <f t="shared" si="82"/>
        <v>4.6</v>
      </c>
      <c r="FT15" t="str">
        <f t="shared" si="59"/>
        <v>53|53|53</v>
      </c>
    </row>
    <row r="16" spans="1:176">
      <c r="G16">
        <v>15</v>
      </c>
      <c r="H16">
        <f t="shared" si="0"/>
        <v>-46.4</v>
      </c>
      <c r="I16">
        <f t="shared" si="60"/>
        <v>5</v>
      </c>
      <c r="J16">
        <v>2.68</v>
      </c>
      <c r="K16" s="7" t="str">
        <f t="shared" si="1"/>
        <v>-46.4|-46.4|-46.4|-46.4|-46.4</v>
      </c>
      <c r="L16">
        <f t="shared" si="2"/>
        <v>54</v>
      </c>
      <c r="M16" s="7"/>
      <c r="N16" s="7">
        <v>15</v>
      </c>
      <c r="O16">
        <f t="shared" si="3"/>
        <v>-8.66666666666666</v>
      </c>
      <c r="P16">
        <f t="shared" si="61"/>
        <v>3</v>
      </c>
      <c r="Q16">
        <v>2.74</v>
      </c>
      <c r="R16" s="7" t="str">
        <f t="shared" si="4"/>
        <v>-8.66666666666666|-8.66666666666666|-8.66666666666666</v>
      </c>
      <c r="S16">
        <f t="shared" si="5"/>
        <v>91</v>
      </c>
      <c r="U16">
        <v>15</v>
      </c>
      <c r="V16">
        <f t="shared" si="6"/>
        <v>-54.25</v>
      </c>
      <c r="W16">
        <f t="shared" si="62"/>
        <v>8</v>
      </c>
      <c r="X16">
        <v>3.66</v>
      </c>
      <c r="Y16" s="7" t="str">
        <f t="shared" si="7"/>
        <v>-54.25|-54.25|-54.25|-54.25|-54.25|-54.25|-54.25|-54.25</v>
      </c>
      <c r="Z16">
        <f t="shared" si="8"/>
        <v>46</v>
      </c>
      <c r="AA16">
        <f t="shared" si="9"/>
        <v>-18.68</v>
      </c>
      <c r="AC16">
        <v>15</v>
      </c>
      <c r="AD16">
        <f t="shared" si="10"/>
        <v>251</v>
      </c>
      <c r="AE16">
        <v>1</v>
      </c>
      <c r="AF16">
        <v>3.51</v>
      </c>
      <c r="AH16">
        <f t="shared" si="12"/>
        <v>351</v>
      </c>
      <c r="AJ16">
        <v>15</v>
      </c>
      <c r="AL16">
        <v>2400</v>
      </c>
      <c r="AM16">
        <v>9</v>
      </c>
      <c r="AO16" t="str">
        <f t="shared" si="13"/>
        <v>2400|9</v>
      </c>
      <c r="AR16">
        <v>15</v>
      </c>
      <c r="AS16">
        <f t="shared" si="14"/>
        <v>140</v>
      </c>
      <c r="AT16">
        <f t="shared" si="63"/>
        <v>1</v>
      </c>
      <c r="AU16">
        <v>2.4</v>
      </c>
      <c r="AV16">
        <f t="shared" si="15"/>
        <v>240</v>
      </c>
      <c r="AW16" s="10"/>
      <c r="AX16" s="10">
        <v>15</v>
      </c>
      <c r="AY16" s="10">
        <f t="shared" si="16"/>
        <v>380</v>
      </c>
      <c r="AZ16" s="10"/>
      <c r="BA16" s="10">
        <v>4.8</v>
      </c>
      <c r="BB16">
        <f t="shared" si="17"/>
        <v>480</v>
      </c>
      <c r="BD16">
        <v>1800</v>
      </c>
      <c r="BE16" s="8" t="s">
        <v>47</v>
      </c>
      <c r="BF16" t="str">
        <f t="shared" si="18"/>
        <v>1800|12</v>
      </c>
      <c r="BH16">
        <v>15</v>
      </c>
      <c r="BI16" s="10">
        <f t="shared" si="19"/>
        <v>-21.2</v>
      </c>
      <c r="BJ16">
        <f t="shared" si="64"/>
        <v>5</v>
      </c>
      <c r="BK16">
        <v>3.94</v>
      </c>
      <c r="BL16" s="3" t="str">
        <f t="shared" si="20"/>
        <v>-21.2|-21.2|-21.2|-21.2|-21.2</v>
      </c>
      <c r="BM16">
        <f t="shared" si="21"/>
        <v>79</v>
      </c>
      <c r="BN16" s="8">
        <f t="shared" si="65"/>
        <v>7.9</v>
      </c>
      <c r="BO16" s="8">
        <f t="shared" si="66"/>
        <v>11.85</v>
      </c>
      <c r="BP16" s="8">
        <f t="shared" si="67"/>
        <v>15.8</v>
      </c>
      <c r="BQ16" s="8">
        <f t="shared" si="68"/>
        <v>19.75</v>
      </c>
      <c r="BR16" s="8">
        <f t="shared" si="69"/>
        <v>23.7</v>
      </c>
      <c r="BT16">
        <v>15</v>
      </c>
      <c r="BU16">
        <f t="shared" si="22"/>
        <v>90</v>
      </c>
      <c r="BW16">
        <v>3.8</v>
      </c>
      <c r="BX16" s="7" t="str">
        <f t="shared" si="23"/>
        <v>60|120</v>
      </c>
      <c r="BY16">
        <f t="shared" si="24"/>
        <v>190</v>
      </c>
      <c r="BZ16">
        <f t="shared" si="25"/>
        <v>180</v>
      </c>
      <c r="CA16" s="8">
        <f t="shared" si="26"/>
        <v>60</v>
      </c>
      <c r="CB16" s="8">
        <f t="shared" si="27"/>
        <v>120</v>
      </c>
      <c r="CD16">
        <v>15</v>
      </c>
      <c r="CE16" s="8">
        <f t="shared" si="28"/>
        <v>140</v>
      </c>
      <c r="CG16">
        <v>2.4</v>
      </c>
      <c r="CH16" s="16">
        <f t="shared" si="29"/>
        <v>140</v>
      </c>
      <c r="CI16">
        <f t="shared" si="30"/>
        <v>240</v>
      </c>
      <c r="CJ16" s="17"/>
      <c r="CK16" s="17">
        <v>15</v>
      </c>
      <c r="CL16" s="17">
        <f t="shared" si="31"/>
        <v>412</v>
      </c>
      <c r="CM16" s="17"/>
      <c r="CN16" s="17">
        <f t="shared" si="32"/>
        <v>5.12</v>
      </c>
      <c r="CO16" s="16">
        <f t="shared" si="33"/>
        <v>412</v>
      </c>
      <c r="CP16">
        <v>120</v>
      </c>
      <c r="CQ16">
        <v>85</v>
      </c>
      <c r="CR16" t="str">
        <f t="shared" si="34"/>
        <v>120|85</v>
      </c>
      <c r="CT16" s="4"/>
      <c r="CV16" s="8">
        <v>31</v>
      </c>
      <c r="CW16">
        <v>15</v>
      </c>
      <c r="CX16" t="str">
        <f t="shared" si="35"/>
        <v>-62|-62|-62|-62|-62</v>
      </c>
      <c r="CY16">
        <v>1.9</v>
      </c>
      <c r="CZ16">
        <f t="shared" si="70"/>
        <v>5</v>
      </c>
      <c r="DA16">
        <f t="shared" si="36"/>
        <v>-62</v>
      </c>
      <c r="DB16" s="8">
        <f t="shared" si="37"/>
        <v>38</v>
      </c>
      <c r="DC16">
        <v>18.4</v>
      </c>
      <c r="DD16" t="str">
        <f t="shared" si="38"/>
        <v>38|18.4</v>
      </c>
      <c r="DF16">
        <v>15</v>
      </c>
      <c r="DG16">
        <v>540</v>
      </c>
      <c r="DI16" s="8">
        <v>-86</v>
      </c>
      <c r="DJ16" s="8">
        <v>-83</v>
      </c>
      <c r="DK16" s="10"/>
      <c r="DL16" s="10">
        <v>15</v>
      </c>
      <c r="DM16">
        <f t="shared" si="39"/>
        <v>230</v>
      </c>
      <c r="DN16" s="10"/>
      <c r="DO16" s="10">
        <v>3.3</v>
      </c>
      <c r="DP16" s="15">
        <v>-85</v>
      </c>
      <c r="DQ16" s="8">
        <f t="shared" si="40"/>
        <v>330</v>
      </c>
      <c r="DR16" s="8">
        <f t="shared" si="41"/>
        <v>15</v>
      </c>
      <c r="DS16" t="str">
        <f t="shared" si="42"/>
        <v>330|15</v>
      </c>
      <c r="DU16">
        <v>15</v>
      </c>
      <c r="DV16" s="10">
        <f t="shared" si="43"/>
        <v>188</v>
      </c>
      <c r="DW16">
        <f t="shared" si="71"/>
        <v>1</v>
      </c>
      <c r="DX16">
        <v>2.88</v>
      </c>
      <c r="DZ16">
        <f t="shared" si="44"/>
        <v>288</v>
      </c>
      <c r="EB16">
        <v>15</v>
      </c>
      <c r="EC16" s="8">
        <f t="shared" si="45"/>
        <v>-53</v>
      </c>
      <c r="ED16">
        <f t="shared" si="72"/>
        <v>6</v>
      </c>
      <c r="EE16">
        <v>2.82</v>
      </c>
      <c r="EF16" s="3" t="str">
        <f t="shared" si="46"/>
        <v>-53|-53|-53|-53|-53|-53</v>
      </c>
      <c r="EG16" s="8">
        <f t="shared" si="47"/>
        <v>47</v>
      </c>
      <c r="EH16" s="3"/>
      <c r="EJ16">
        <v>15</v>
      </c>
      <c r="EK16" s="8">
        <f t="shared" si="48"/>
        <v>-60</v>
      </c>
      <c r="EL16">
        <f t="shared" si="73"/>
        <v>6</v>
      </c>
      <c r="EM16">
        <v>2.4</v>
      </c>
      <c r="EN16" s="3" t="str">
        <f t="shared" si="49"/>
        <v>-60|-60|-60|-60|-60|-60</v>
      </c>
      <c r="EO16" s="8">
        <f t="shared" si="50"/>
        <v>40</v>
      </c>
      <c r="EP16" s="8"/>
      <c r="EQ16" s="8"/>
      <c r="ER16" s="8">
        <f t="shared" si="51"/>
        <v>260</v>
      </c>
      <c r="ES16" s="8">
        <f t="shared" si="74"/>
        <v>1</v>
      </c>
      <c r="ET16">
        <v>3.6</v>
      </c>
      <c r="EU16" s="8"/>
      <c r="EV16" s="8">
        <f t="shared" si="52"/>
        <v>360</v>
      </c>
      <c r="EW16" s="8">
        <f t="shared" si="53"/>
        <v>212</v>
      </c>
      <c r="EX16">
        <v>3.12</v>
      </c>
      <c r="EY16">
        <f t="shared" si="75"/>
        <v>1</v>
      </c>
      <c r="EZ16">
        <v>81.6</v>
      </c>
      <c r="FA16">
        <v>2.868</v>
      </c>
      <c r="FB16" s="8">
        <f t="shared" si="54"/>
        <v>312</v>
      </c>
      <c r="FC16" t="str">
        <f t="shared" si="55"/>
        <v>212|81.6|2.868</v>
      </c>
      <c r="FE16">
        <v>15</v>
      </c>
      <c r="FF16" s="8">
        <f t="shared" si="56"/>
        <v>380</v>
      </c>
      <c r="FG16">
        <f t="shared" si="76"/>
        <v>1</v>
      </c>
      <c r="FH16">
        <f t="shared" si="77"/>
        <v>4.8</v>
      </c>
      <c r="FJ16">
        <v>15</v>
      </c>
      <c r="FK16" s="8">
        <f t="shared" si="57"/>
        <v>380</v>
      </c>
      <c r="FL16" s="8" t="str">
        <f t="shared" si="78"/>
        <v>0|40</v>
      </c>
      <c r="FM16">
        <f t="shared" si="79"/>
        <v>1</v>
      </c>
      <c r="FN16">
        <f t="shared" si="80"/>
        <v>4.8</v>
      </c>
      <c r="FP16">
        <v>15</v>
      </c>
      <c r="FQ16" s="8">
        <f t="shared" si="58"/>
        <v>60</v>
      </c>
      <c r="FR16">
        <f t="shared" si="81"/>
        <v>3</v>
      </c>
      <c r="FS16">
        <f t="shared" si="82"/>
        <v>4.8</v>
      </c>
      <c r="FT16" t="str">
        <f t="shared" si="59"/>
        <v>60|60|60</v>
      </c>
    </row>
    <row r="17" spans="7:176">
      <c r="G17">
        <v>16</v>
      </c>
      <c r="H17">
        <f t="shared" si="0"/>
        <v>-44</v>
      </c>
      <c r="I17">
        <f t="shared" si="60"/>
        <v>5</v>
      </c>
      <c r="J17">
        <v>2.8</v>
      </c>
      <c r="K17" s="7" t="str">
        <f t="shared" si="1"/>
        <v>-44|-44|-44|-44|-44</v>
      </c>
      <c r="L17">
        <f t="shared" si="2"/>
        <v>56</v>
      </c>
      <c r="M17" s="7"/>
      <c r="N17" s="7">
        <v>16</v>
      </c>
      <c r="O17">
        <f t="shared" si="3"/>
        <v>-4.99999999999999</v>
      </c>
      <c r="P17">
        <f t="shared" si="61"/>
        <v>3</v>
      </c>
      <c r="Q17">
        <v>2.85</v>
      </c>
      <c r="R17" s="7" t="str">
        <f t="shared" si="4"/>
        <v>-4.99999999999999|-4.99999999999999|-4.99999999999999</v>
      </c>
      <c r="S17">
        <f t="shared" si="5"/>
        <v>95</v>
      </c>
      <c r="U17">
        <v>16</v>
      </c>
      <c r="V17">
        <f t="shared" si="6"/>
        <v>-51.875</v>
      </c>
      <c r="W17">
        <f t="shared" si="62"/>
        <v>8</v>
      </c>
      <c r="X17">
        <v>3.85</v>
      </c>
      <c r="Y17" s="7" t="str">
        <f t="shared" si="7"/>
        <v>-51.875|-51.875|-51.875|-51.875|-51.875|-51.875|-51.875|-51.875</v>
      </c>
      <c r="Z17">
        <f t="shared" si="8"/>
        <v>48</v>
      </c>
      <c r="AA17">
        <f t="shared" si="9"/>
        <v>-17.3</v>
      </c>
      <c r="AC17">
        <v>16</v>
      </c>
      <c r="AD17">
        <f t="shared" si="10"/>
        <v>265</v>
      </c>
      <c r="AE17">
        <v>1</v>
      </c>
      <c r="AF17">
        <v>3.65</v>
      </c>
      <c r="AH17">
        <f t="shared" si="12"/>
        <v>365</v>
      </c>
      <c r="AJ17">
        <v>16</v>
      </c>
      <c r="AL17">
        <v>2500</v>
      </c>
      <c r="AM17">
        <v>9.5</v>
      </c>
      <c r="AO17" t="str">
        <f t="shared" si="13"/>
        <v>2500|9.5</v>
      </c>
      <c r="AR17">
        <v>16</v>
      </c>
      <c r="AS17">
        <f t="shared" si="14"/>
        <v>150</v>
      </c>
      <c r="AT17">
        <f t="shared" si="63"/>
        <v>1</v>
      </c>
      <c r="AU17">
        <v>2.5</v>
      </c>
      <c r="AV17">
        <f t="shared" si="15"/>
        <v>250</v>
      </c>
      <c r="AW17" s="10"/>
      <c r="AX17" s="10">
        <v>16</v>
      </c>
      <c r="AY17" s="10">
        <f t="shared" si="16"/>
        <v>400</v>
      </c>
      <c r="AZ17" s="10"/>
      <c r="BA17" s="10">
        <v>5</v>
      </c>
      <c r="BB17">
        <f t="shared" si="17"/>
        <v>500</v>
      </c>
      <c r="BD17">
        <v>1900</v>
      </c>
      <c r="BE17" s="8" t="s">
        <v>50</v>
      </c>
      <c r="BF17" t="str">
        <f t="shared" si="18"/>
        <v>1900|13</v>
      </c>
      <c r="BH17">
        <v>16</v>
      </c>
      <c r="BI17" s="10">
        <f t="shared" si="19"/>
        <v>-18</v>
      </c>
      <c r="BJ17">
        <f t="shared" si="64"/>
        <v>5</v>
      </c>
      <c r="BK17">
        <v>4.1</v>
      </c>
      <c r="BL17" s="3" t="str">
        <f t="shared" si="20"/>
        <v>-18|-18|-18|-18|-18</v>
      </c>
      <c r="BM17">
        <f t="shared" si="21"/>
        <v>82</v>
      </c>
      <c r="BN17" s="8">
        <f t="shared" si="65"/>
        <v>8.2</v>
      </c>
      <c r="BO17" s="8">
        <f t="shared" si="66"/>
        <v>12.3</v>
      </c>
      <c r="BP17" s="8">
        <f t="shared" si="67"/>
        <v>16.4</v>
      </c>
      <c r="BQ17" s="8">
        <f t="shared" si="68"/>
        <v>20.5</v>
      </c>
      <c r="BR17" s="8">
        <f t="shared" si="69"/>
        <v>24.6</v>
      </c>
      <c r="BT17">
        <v>16</v>
      </c>
      <c r="BU17">
        <f t="shared" si="22"/>
        <v>100</v>
      </c>
      <c r="BW17">
        <v>4</v>
      </c>
      <c r="BX17" s="7" t="str">
        <f t="shared" si="23"/>
        <v>66.6666666666667|133.333333333333</v>
      </c>
      <c r="BY17">
        <f t="shared" si="24"/>
        <v>200</v>
      </c>
      <c r="BZ17">
        <f t="shared" si="25"/>
        <v>200</v>
      </c>
      <c r="CA17" s="8">
        <f t="shared" si="26"/>
        <v>66.6666666666667</v>
      </c>
      <c r="CB17" s="8">
        <f t="shared" si="27"/>
        <v>133.333333333333</v>
      </c>
      <c r="CD17">
        <v>16</v>
      </c>
      <c r="CE17" s="8">
        <f t="shared" si="28"/>
        <v>150</v>
      </c>
      <c r="CG17">
        <v>2.5</v>
      </c>
      <c r="CH17" s="16">
        <f t="shared" si="29"/>
        <v>150</v>
      </c>
      <c r="CI17">
        <f t="shared" si="30"/>
        <v>250</v>
      </c>
      <c r="CJ17" s="17"/>
      <c r="CK17" s="17">
        <v>16</v>
      </c>
      <c r="CL17" s="17">
        <f t="shared" si="31"/>
        <v>420</v>
      </c>
      <c r="CM17" s="17"/>
      <c r="CN17" s="17">
        <f t="shared" si="32"/>
        <v>5.2</v>
      </c>
      <c r="CO17" s="16">
        <f t="shared" si="33"/>
        <v>420</v>
      </c>
      <c r="CP17">
        <v>125</v>
      </c>
      <c r="CQ17">
        <v>84</v>
      </c>
      <c r="CR17" t="str">
        <f t="shared" si="34"/>
        <v>125|84</v>
      </c>
      <c r="CT17" s="4"/>
      <c r="CV17" s="8">
        <v>33</v>
      </c>
      <c r="CW17">
        <v>16</v>
      </c>
      <c r="CX17" t="str">
        <f t="shared" si="35"/>
        <v>-60|-60|-60|-60|-60</v>
      </c>
      <c r="CY17">
        <v>2</v>
      </c>
      <c r="CZ17">
        <f t="shared" si="70"/>
        <v>5</v>
      </c>
      <c r="DA17">
        <f t="shared" si="36"/>
        <v>-60</v>
      </c>
      <c r="DB17" s="8">
        <f t="shared" si="37"/>
        <v>40</v>
      </c>
      <c r="DC17">
        <v>19</v>
      </c>
      <c r="DD17" t="str">
        <f t="shared" si="38"/>
        <v>40|19</v>
      </c>
      <c r="DF17">
        <v>16</v>
      </c>
      <c r="DG17">
        <v>550</v>
      </c>
      <c r="DI17" s="8">
        <v>-84</v>
      </c>
      <c r="DJ17" s="8">
        <v>-82</v>
      </c>
      <c r="DK17" s="10"/>
      <c r="DL17" s="10">
        <v>16</v>
      </c>
      <c r="DM17">
        <f t="shared" si="39"/>
        <v>245</v>
      </c>
      <c r="DN17" s="10"/>
      <c r="DO17" s="10">
        <v>3.45</v>
      </c>
      <c r="DP17" s="15">
        <v>-84</v>
      </c>
      <c r="DQ17" s="8">
        <f t="shared" si="40"/>
        <v>345</v>
      </c>
      <c r="DR17" s="8">
        <f t="shared" si="41"/>
        <v>16</v>
      </c>
      <c r="DS17" t="str">
        <f t="shared" si="42"/>
        <v>345|16</v>
      </c>
      <c r="DU17">
        <v>16</v>
      </c>
      <c r="DV17" s="10">
        <f t="shared" si="43"/>
        <v>200</v>
      </c>
      <c r="DW17">
        <f t="shared" si="71"/>
        <v>1</v>
      </c>
      <c r="DX17">
        <v>3</v>
      </c>
      <c r="DZ17">
        <f t="shared" si="44"/>
        <v>300</v>
      </c>
      <c r="EB17">
        <v>16</v>
      </c>
      <c r="EC17" s="8">
        <f t="shared" si="45"/>
        <v>-50.8333333333333</v>
      </c>
      <c r="ED17">
        <f t="shared" si="72"/>
        <v>6</v>
      </c>
      <c r="EE17">
        <v>2.95</v>
      </c>
      <c r="EF17" s="3" t="str">
        <f t="shared" si="46"/>
        <v>-50.8333333333333|-50.8333333333333|-50.8333333333333|-50.8333333333333|-50.8333333333333|-50.8333333333333</v>
      </c>
      <c r="EG17" s="8">
        <f t="shared" si="47"/>
        <v>49</v>
      </c>
      <c r="EH17" s="3"/>
      <c r="EJ17">
        <v>16</v>
      </c>
      <c r="EK17" s="8">
        <f t="shared" si="48"/>
        <v>-58.3333333333333</v>
      </c>
      <c r="EL17">
        <f t="shared" si="73"/>
        <v>6</v>
      </c>
      <c r="EM17">
        <v>2.5</v>
      </c>
      <c r="EN17" s="3" t="str">
        <f t="shared" si="49"/>
        <v>-58.3333333333333|-58.3333333333333|-58.3333333333333|-58.3333333333333|-58.3333333333333|-58.3333333333333</v>
      </c>
      <c r="EO17" s="8">
        <f t="shared" si="50"/>
        <v>42</v>
      </c>
      <c r="EP17" s="8"/>
      <c r="EQ17" s="8"/>
      <c r="ER17" s="8">
        <f t="shared" si="51"/>
        <v>275</v>
      </c>
      <c r="ES17" s="8">
        <f t="shared" si="74"/>
        <v>1</v>
      </c>
      <c r="ET17">
        <v>3.75</v>
      </c>
      <c r="EU17" s="8"/>
      <c r="EV17" s="8">
        <f t="shared" si="52"/>
        <v>375</v>
      </c>
      <c r="EW17" s="8">
        <f t="shared" si="53"/>
        <v>225</v>
      </c>
      <c r="EX17">
        <v>3.25</v>
      </c>
      <c r="EY17">
        <f t="shared" si="75"/>
        <v>1</v>
      </c>
      <c r="EZ17">
        <v>85</v>
      </c>
      <c r="FA17">
        <v>2.93</v>
      </c>
      <c r="FB17" s="8">
        <f t="shared" si="54"/>
        <v>325</v>
      </c>
      <c r="FC17" t="str">
        <f t="shared" si="55"/>
        <v>225|85|2.93</v>
      </c>
      <c r="FE17">
        <v>16</v>
      </c>
      <c r="FF17" s="8">
        <f t="shared" si="56"/>
        <v>400</v>
      </c>
      <c r="FG17">
        <f t="shared" si="76"/>
        <v>1</v>
      </c>
      <c r="FH17">
        <f t="shared" si="77"/>
        <v>5</v>
      </c>
      <c r="FJ17">
        <v>16</v>
      </c>
      <c r="FK17" s="8">
        <f t="shared" si="57"/>
        <v>400</v>
      </c>
      <c r="FL17" s="8" t="str">
        <f t="shared" si="78"/>
        <v>0|40</v>
      </c>
      <c r="FM17">
        <f t="shared" si="79"/>
        <v>1</v>
      </c>
      <c r="FN17">
        <f t="shared" si="80"/>
        <v>5</v>
      </c>
      <c r="FP17">
        <v>16</v>
      </c>
      <c r="FQ17" s="8">
        <f t="shared" si="58"/>
        <v>67</v>
      </c>
      <c r="FR17">
        <f t="shared" si="81"/>
        <v>3</v>
      </c>
      <c r="FS17">
        <f t="shared" si="82"/>
        <v>5</v>
      </c>
      <c r="FT17" t="str">
        <f t="shared" si="59"/>
        <v>67|67|67</v>
      </c>
    </row>
    <row r="18" spans="7:176">
      <c r="G18">
        <v>17</v>
      </c>
      <c r="H18">
        <f t="shared" si="0"/>
        <v>-41.6</v>
      </c>
      <c r="I18">
        <f t="shared" si="60"/>
        <v>5</v>
      </c>
      <c r="J18">
        <v>2.92</v>
      </c>
      <c r="K18" s="7" t="str">
        <f t="shared" si="1"/>
        <v>-41.6|-41.6|-41.6|-41.6|-41.6</v>
      </c>
      <c r="L18">
        <f t="shared" si="2"/>
        <v>58</v>
      </c>
      <c r="M18" s="7"/>
      <c r="N18" s="7">
        <v>17</v>
      </c>
      <c r="O18">
        <f t="shared" si="3"/>
        <v>-1.33333333333333</v>
      </c>
      <c r="P18">
        <f t="shared" si="61"/>
        <v>3</v>
      </c>
      <c r="Q18">
        <v>2.96</v>
      </c>
      <c r="R18" s="7" t="str">
        <f t="shared" si="4"/>
        <v>-1.33333333333333|-1.33333333333333|-1.33333333333333</v>
      </c>
      <c r="S18">
        <f t="shared" si="5"/>
        <v>99</v>
      </c>
      <c r="U18">
        <v>17</v>
      </c>
      <c r="V18">
        <f t="shared" si="6"/>
        <v>-49.5</v>
      </c>
      <c r="W18">
        <f t="shared" si="62"/>
        <v>8</v>
      </c>
      <c r="X18">
        <v>4.04</v>
      </c>
      <c r="Y18" s="7" t="str">
        <f t="shared" si="7"/>
        <v>-49.5|-49.5|-49.5|-49.5|-49.5|-49.5|-49.5|-49.5</v>
      </c>
      <c r="Z18">
        <f t="shared" si="8"/>
        <v>51</v>
      </c>
      <c r="AA18">
        <f t="shared" si="9"/>
        <v>-15.92</v>
      </c>
      <c r="AC18">
        <v>17</v>
      </c>
      <c r="AD18">
        <f t="shared" si="10"/>
        <v>279</v>
      </c>
      <c r="AE18">
        <v>1</v>
      </c>
      <c r="AF18">
        <v>3.79</v>
      </c>
      <c r="AH18">
        <f t="shared" si="12"/>
        <v>379</v>
      </c>
      <c r="AJ18">
        <v>17</v>
      </c>
      <c r="AL18">
        <v>2600</v>
      </c>
      <c r="AM18">
        <v>10</v>
      </c>
      <c r="AO18" t="str">
        <f t="shared" si="13"/>
        <v>2600|10</v>
      </c>
      <c r="AR18">
        <v>17</v>
      </c>
      <c r="AS18">
        <f t="shared" si="14"/>
        <v>160</v>
      </c>
      <c r="AT18">
        <f t="shared" si="63"/>
        <v>1</v>
      </c>
      <c r="AU18">
        <v>2.6</v>
      </c>
      <c r="AV18">
        <f t="shared" si="15"/>
        <v>260</v>
      </c>
      <c r="AW18" s="10"/>
      <c r="AX18" s="10">
        <v>17</v>
      </c>
      <c r="AY18" s="10">
        <f t="shared" si="16"/>
        <v>420</v>
      </c>
      <c r="AZ18" s="10"/>
      <c r="BA18" s="10">
        <v>5.2</v>
      </c>
      <c r="BB18">
        <f t="shared" si="17"/>
        <v>520</v>
      </c>
      <c r="BD18">
        <v>2000</v>
      </c>
      <c r="BE18" s="8" t="s">
        <v>50</v>
      </c>
      <c r="BF18" t="str">
        <f t="shared" si="18"/>
        <v>2000|13</v>
      </c>
      <c r="BH18">
        <v>17</v>
      </c>
      <c r="BI18" s="10">
        <f t="shared" si="19"/>
        <v>-14.8</v>
      </c>
      <c r="BJ18">
        <f t="shared" si="64"/>
        <v>5</v>
      </c>
      <c r="BK18">
        <v>4.26</v>
      </c>
      <c r="BL18" s="3" t="str">
        <f t="shared" si="20"/>
        <v>-14.8|-14.8|-14.8|-14.8|-14.8</v>
      </c>
      <c r="BM18">
        <f t="shared" si="21"/>
        <v>85</v>
      </c>
      <c r="BN18" s="8">
        <f t="shared" si="65"/>
        <v>8.5</v>
      </c>
      <c r="BO18" s="8">
        <f t="shared" si="66"/>
        <v>12.75</v>
      </c>
      <c r="BP18" s="8">
        <f t="shared" si="67"/>
        <v>17</v>
      </c>
      <c r="BQ18" s="8">
        <f t="shared" si="68"/>
        <v>21.25</v>
      </c>
      <c r="BR18" s="8">
        <f t="shared" si="69"/>
        <v>25.5</v>
      </c>
      <c r="BT18">
        <v>17</v>
      </c>
      <c r="BU18">
        <f t="shared" si="22"/>
        <v>110</v>
      </c>
      <c r="BW18">
        <v>4.2</v>
      </c>
      <c r="BX18" s="7" t="str">
        <f t="shared" si="23"/>
        <v>73.3333333333333|146.666666666667</v>
      </c>
      <c r="BY18">
        <f t="shared" si="24"/>
        <v>210</v>
      </c>
      <c r="BZ18">
        <f t="shared" si="25"/>
        <v>220</v>
      </c>
      <c r="CA18" s="8">
        <f t="shared" si="26"/>
        <v>73.3333333333333</v>
      </c>
      <c r="CB18" s="8">
        <f t="shared" si="27"/>
        <v>146.666666666667</v>
      </c>
      <c r="CD18">
        <v>17</v>
      </c>
      <c r="CE18" s="8">
        <f t="shared" si="28"/>
        <v>160</v>
      </c>
      <c r="CG18">
        <v>2.6</v>
      </c>
      <c r="CH18" s="16">
        <f t="shared" si="29"/>
        <v>160</v>
      </c>
      <c r="CI18">
        <f t="shared" si="30"/>
        <v>260</v>
      </c>
      <c r="CJ18" s="17"/>
      <c r="CK18" s="17">
        <v>17</v>
      </c>
      <c r="CL18" s="17">
        <f t="shared" si="31"/>
        <v>428</v>
      </c>
      <c r="CM18" s="17"/>
      <c r="CN18" s="17">
        <f t="shared" si="32"/>
        <v>5.28</v>
      </c>
      <c r="CO18" s="16">
        <f t="shared" si="33"/>
        <v>428</v>
      </c>
      <c r="CP18">
        <v>130</v>
      </c>
      <c r="CQ18">
        <v>83</v>
      </c>
      <c r="CR18" t="str">
        <f t="shared" si="34"/>
        <v>130|83</v>
      </c>
      <c r="CT18" s="4"/>
      <c r="CV18" s="8">
        <v>34</v>
      </c>
      <c r="CW18">
        <v>17</v>
      </c>
      <c r="CX18" t="str">
        <f t="shared" si="35"/>
        <v>-58|-58|-58|-58|-58</v>
      </c>
      <c r="CY18">
        <v>2.1</v>
      </c>
      <c r="CZ18">
        <f t="shared" si="70"/>
        <v>5</v>
      </c>
      <c r="DA18">
        <f t="shared" si="36"/>
        <v>-58</v>
      </c>
      <c r="DB18" s="8">
        <f t="shared" si="37"/>
        <v>42</v>
      </c>
      <c r="DC18">
        <v>19.6</v>
      </c>
      <c r="DD18" t="str">
        <f t="shared" si="38"/>
        <v>42|19.6</v>
      </c>
      <c r="DF18">
        <v>17</v>
      </c>
      <c r="DG18">
        <v>560</v>
      </c>
      <c r="DI18" s="8">
        <v>-84</v>
      </c>
      <c r="DJ18" s="8">
        <v>-82</v>
      </c>
      <c r="DK18" s="10"/>
      <c r="DL18" s="10">
        <v>17</v>
      </c>
      <c r="DM18">
        <f t="shared" si="39"/>
        <v>260</v>
      </c>
      <c r="DN18" s="10"/>
      <c r="DO18" s="10">
        <v>3.6</v>
      </c>
      <c r="DP18" s="15">
        <v>-83</v>
      </c>
      <c r="DQ18" s="8">
        <f t="shared" si="40"/>
        <v>360</v>
      </c>
      <c r="DR18" s="8">
        <f t="shared" si="41"/>
        <v>17</v>
      </c>
      <c r="DS18" t="str">
        <f t="shared" si="42"/>
        <v>360|17</v>
      </c>
      <c r="DU18">
        <v>17</v>
      </c>
      <c r="DV18" s="10">
        <f t="shared" si="43"/>
        <v>212</v>
      </c>
      <c r="DW18">
        <f t="shared" si="71"/>
        <v>1</v>
      </c>
      <c r="DX18">
        <v>3.12</v>
      </c>
      <c r="DZ18">
        <f t="shared" si="44"/>
        <v>312</v>
      </c>
      <c r="EB18">
        <v>17</v>
      </c>
      <c r="EC18" s="8">
        <f t="shared" si="45"/>
        <v>-48.6666666666667</v>
      </c>
      <c r="ED18">
        <f t="shared" si="72"/>
        <v>6</v>
      </c>
      <c r="EE18">
        <v>3.08</v>
      </c>
      <c r="EF18" s="3" t="str">
        <f t="shared" si="46"/>
        <v>-48.6666666666667|-48.6666666666667|-48.6666666666667|-48.6666666666667|-48.6666666666667|-48.6666666666667</v>
      </c>
      <c r="EG18" s="8">
        <f t="shared" si="47"/>
        <v>51</v>
      </c>
      <c r="EH18" s="3"/>
      <c r="EJ18">
        <v>17</v>
      </c>
      <c r="EK18" s="8">
        <f t="shared" si="48"/>
        <v>-56.6666666666667</v>
      </c>
      <c r="EL18">
        <f t="shared" si="73"/>
        <v>6</v>
      </c>
      <c r="EM18">
        <v>2.6</v>
      </c>
      <c r="EN18" s="3" t="str">
        <f t="shared" si="49"/>
        <v>-56.6666666666667|-56.6666666666667|-56.6666666666667|-56.6666666666667|-56.6666666666667|-56.6666666666667</v>
      </c>
      <c r="EO18" s="8">
        <f t="shared" si="50"/>
        <v>43</v>
      </c>
      <c r="EP18" s="8"/>
      <c r="EQ18" s="8"/>
      <c r="ER18" s="8">
        <f t="shared" si="51"/>
        <v>290</v>
      </c>
      <c r="ES18" s="8">
        <f t="shared" si="74"/>
        <v>1</v>
      </c>
      <c r="ET18">
        <v>3.9</v>
      </c>
      <c r="EU18" s="8"/>
      <c r="EV18" s="8">
        <f t="shared" si="52"/>
        <v>390</v>
      </c>
      <c r="EW18" s="8">
        <f t="shared" si="53"/>
        <v>238</v>
      </c>
      <c r="EX18">
        <v>3.38</v>
      </c>
      <c r="EY18">
        <f t="shared" si="75"/>
        <v>1</v>
      </c>
      <c r="EZ18">
        <v>88.4</v>
      </c>
      <c r="FA18">
        <v>2.992</v>
      </c>
      <c r="FB18" s="8">
        <f t="shared" si="54"/>
        <v>338</v>
      </c>
      <c r="FC18" t="str">
        <f t="shared" si="55"/>
        <v>238|88.4|2.992</v>
      </c>
      <c r="FE18">
        <v>17</v>
      </c>
      <c r="FF18" s="8">
        <f t="shared" si="56"/>
        <v>420</v>
      </c>
      <c r="FG18">
        <f t="shared" si="76"/>
        <v>1</v>
      </c>
      <c r="FH18">
        <f t="shared" si="77"/>
        <v>5.2</v>
      </c>
      <c r="FJ18">
        <v>17</v>
      </c>
      <c r="FK18" s="8">
        <f t="shared" si="57"/>
        <v>420</v>
      </c>
      <c r="FL18" s="8" t="str">
        <f t="shared" si="78"/>
        <v>0|40</v>
      </c>
      <c r="FM18">
        <f t="shared" si="79"/>
        <v>1</v>
      </c>
      <c r="FN18">
        <f t="shared" si="80"/>
        <v>5.2</v>
      </c>
      <c r="FP18">
        <v>17</v>
      </c>
      <c r="FQ18" s="8">
        <f t="shared" si="58"/>
        <v>73</v>
      </c>
      <c r="FR18">
        <f t="shared" si="81"/>
        <v>3</v>
      </c>
      <c r="FS18">
        <f t="shared" si="82"/>
        <v>5.2</v>
      </c>
      <c r="FT18" t="str">
        <f t="shared" si="59"/>
        <v>73|73|73</v>
      </c>
    </row>
    <row r="19" spans="7:176">
      <c r="G19">
        <v>18</v>
      </c>
      <c r="H19">
        <f t="shared" si="0"/>
        <v>-39.2</v>
      </c>
      <c r="I19">
        <f t="shared" si="60"/>
        <v>5</v>
      </c>
      <c r="J19">
        <v>3.04</v>
      </c>
      <c r="K19" s="7" t="str">
        <f t="shared" si="1"/>
        <v>-39.2|-39.2|-39.2|-39.2|-39.2</v>
      </c>
      <c r="L19">
        <f t="shared" si="2"/>
        <v>61</v>
      </c>
      <c r="M19" s="7"/>
      <c r="N19" s="7">
        <v>18</v>
      </c>
      <c r="O19">
        <f t="shared" si="3"/>
        <v>2.33333333333332</v>
      </c>
      <c r="P19">
        <f t="shared" si="61"/>
        <v>3</v>
      </c>
      <c r="Q19">
        <v>3.07</v>
      </c>
      <c r="R19" s="7" t="str">
        <f t="shared" si="4"/>
        <v>2.33333333333332|2.33333333333332|2.33333333333332</v>
      </c>
      <c r="S19">
        <f t="shared" si="5"/>
        <v>102</v>
      </c>
      <c r="U19">
        <v>18</v>
      </c>
      <c r="V19">
        <f t="shared" si="6"/>
        <v>-47.125</v>
      </c>
      <c r="W19">
        <f t="shared" si="62"/>
        <v>8</v>
      </c>
      <c r="X19">
        <v>4.23</v>
      </c>
      <c r="Y19" s="7" t="str">
        <f t="shared" si="7"/>
        <v>-47.125|-47.125|-47.125|-47.125|-47.125|-47.125|-47.125|-47.125</v>
      </c>
      <c r="Z19">
        <f t="shared" si="8"/>
        <v>53</v>
      </c>
      <c r="AA19">
        <f t="shared" si="9"/>
        <v>-14.54</v>
      </c>
      <c r="AC19">
        <v>18</v>
      </c>
      <c r="AD19">
        <f t="shared" si="10"/>
        <v>293</v>
      </c>
      <c r="AE19">
        <v>1</v>
      </c>
      <c r="AF19">
        <v>3.93</v>
      </c>
      <c r="AH19">
        <f t="shared" si="12"/>
        <v>393</v>
      </c>
      <c r="AJ19">
        <v>18</v>
      </c>
      <c r="AL19">
        <v>2700</v>
      </c>
      <c r="AM19">
        <v>10.5</v>
      </c>
      <c r="AO19" t="str">
        <f t="shared" si="13"/>
        <v>2700|10.5</v>
      </c>
      <c r="AR19">
        <v>18</v>
      </c>
      <c r="AS19">
        <f t="shared" si="14"/>
        <v>170</v>
      </c>
      <c r="AT19">
        <f t="shared" si="63"/>
        <v>1</v>
      </c>
      <c r="AU19">
        <v>2.7</v>
      </c>
      <c r="AV19">
        <f t="shared" si="15"/>
        <v>270</v>
      </c>
      <c r="AW19" s="10"/>
      <c r="AX19" s="10">
        <v>18</v>
      </c>
      <c r="AY19" s="10">
        <f t="shared" si="16"/>
        <v>440</v>
      </c>
      <c r="AZ19" s="10"/>
      <c r="BA19" s="10">
        <v>5.4</v>
      </c>
      <c r="BB19">
        <f t="shared" si="17"/>
        <v>540</v>
      </c>
      <c r="BD19">
        <v>2100</v>
      </c>
      <c r="BE19" s="8" t="s">
        <v>50</v>
      </c>
      <c r="BF19" t="str">
        <f t="shared" si="18"/>
        <v>2100|13</v>
      </c>
      <c r="BH19">
        <v>18</v>
      </c>
      <c r="BI19" s="10">
        <f t="shared" si="19"/>
        <v>-11.6</v>
      </c>
      <c r="BJ19">
        <f t="shared" si="64"/>
        <v>5</v>
      </c>
      <c r="BK19">
        <v>4.42</v>
      </c>
      <c r="BL19" s="3" t="str">
        <f t="shared" si="20"/>
        <v>-11.6|-11.6|-11.6|-11.6|-11.6</v>
      </c>
      <c r="BM19">
        <f t="shared" si="21"/>
        <v>88</v>
      </c>
      <c r="BN19" s="8">
        <f t="shared" si="65"/>
        <v>8.8</v>
      </c>
      <c r="BO19" s="8">
        <f t="shared" si="66"/>
        <v>13.2</v>
      </c>
      <c r="BP19" s="8">
        <f t="shared" si="67"/>
        <v>17.6</v>
      </c>
      <c r="BQ19" s="8">
        <f t="shared" si="68"/>
        <v>22</v>
      </c>
      <c r="BR19" s="8">
        <f t="shared" si="69"/>
        <v>26.4</v>
      </c>
      <c r="BT19">
        <v>18</v>
      </c>
      <c r="BU19">
        <f t="shared" si="22"/>
        <v>120</v>
      </c>
      <c r="BW19">
        <v>4.4</v>
      </c>
      <c r="BX19" s="7" t="str">
        <f t="shared" si="23"/>
        <v>80|160</v>
      </c>
      <c r="BY19">
        <f t="shared" si="24"/>
        <v>220</v>
      </c>
      <c r="BZ19">
        <f t="shared" si="25"/>
        <v>240</v>
      </c>
      <c r="CA19" s="8">
        <f t="shared" si="26"/>
        <v>80</v>
      </c>
      <c r="CB19" s="8">
        <f t="shared" si="27"/>
        <v>160</v>
      </c>
      <c r="CD19">
        <v>18</v>
      </c>
      <c r="CE19" s="8">
        <f t="shared" si="28"/>
        <v>170</v>
      </c>
      <c r="CG19">
        <v>2.7</v>
      </c>
      <c r="CH19" s="16">
        <f t="shared" si="29"/>
        <v>170</v>
      </c>
      <c r="CI19">
        <f t="shared" si="30"/>
        <v>270</v>
      </c>
      <c r="CJ19" s="17"/>
      <c r="CK19" s="17">
        <v>18</v>
      </c>
      <c r="CL19" s="17">
        <f t="shared" si="31"/>
        <v>436</v>
      </c>
      <c r="CM19" s="17"/>
      <c r="CN19" s="17">
        <f t="shared" si="32"/>
        <v>5.36</v>
      </c>
      <c r="CO19" s="16">
        <f t="shared" si="33"/>
        <v>436</v>
      </c>
      <c r="CP19">
        <v>135</v>
      </c>
      <c r="CQ19">
        <v>82</v>
      </c>
      <c r="CR19" t="str">
        <f t="shared" si="34"/>
        <v>135|82</v>
      </c>
      <c r="CT19" s="4"/>
      <c r="CV19" s="8">
        <v>36</v>
      </c>
      <c r="CW19">
        <v>18</v>
      </c>
      <c r="CX19" t="str">
        <f t="shared" si="35"/>
        <v>-56|-56|-56|-56|-56</v>
      </c>
      <c r="CY19">
        <v>2.2</v>
      </c>
      <c r="CZ19">
        <f t="shared" si="70"/>
        <v>5</v>
      </c>
      <c r="DA19">
        <f t="shared" si="36"/>
        <v>-56</v>
      </c>
      <c r="DB19" s="8">
        <f t="shared" si="37"/>
        <v>44</v>
      </c>
      <c r="DC19">
        <v>20.2</v>
      </c>
      <c r="DD19" t="str">
        <f t="shared" si="38"/>
        <v>44|20.2</v>
      </c>
      <c r="DF19">
        <v>18</v>
      </c>
      <c r="DG19">
        <v>570</v>
      </c>
      <c r="DI19" s="8">
        <v>-83</v>
      </c>
      <c r="DJ19" s="8">
        <v>-79</v>
      </c>
      <c r="DK19" s="10"/>
      <c r="DL19" s="10">
        <v>18</v>
      </c>
      <c r="DM19">
        <f t="shared" si="39"/>
        <v>275</v>
      </c>
      <c r="DN19" s="10"/>
      <c r="DO19" s="10">
        <v>3.75</v>
      </c>
      <c r="DP19" s="15">
        <v>-82</v>
      </c>
      <c r="DQ19" s="8">
        <f t="shared" si="40"/>
        <v>375</v>
      </c>
      <c r="DR19" s="8">
        <f t="shared" si="41"/>
        <v>18</v>
      </c>
      <c r="DS19" t="str">
        <f t="shared" si="42"/>
        <v>375|18</v>
      </c>
      <c r="DU19">
        <v>18</v>
      </c>
      <c r="DV19" s="10">
        <f t="shared" si="43"/>
        <v>224</v>
      </c>
      <c r="DW19">
        <f t="shared" si="71"/>
        <v>1</v>
      </c>
      <c r="DX19">
        <v>3.24</v>
      </c>
      <c r="DZ19">
        <f t="shared" si="44"/>
        <v>324</v>
      </c>
      <c r="EB19">
        <v>18</v>
      </c>
      <c r="EC19" s="8">
        <f t="shared" si="45"/>
        <v>-46.5</v>
      </c>
      <c r="ED19">
        <f t="shared" si="72"/>
        <v>6</v>
      </c>
      <c r="EE19">
        <v>3.21</v>
      </c>
      <c r="EF19" s="3" t="str">
        <f t="shared" si="46"/>
        <v>-46.5|-46.5|-46.5|-46.5|-46.5|-46.5</v>
      </c>
      <c r="EG19" s="8">
        <f t="shared" si="47"/>
        <v>54</v>
      </c>
      <c r="EH19" s="3"/>
      <c r="EJ19">
        <v>18</v>
      </c>
      <c r="EK19" s="8">
        <f t="shared" si="48"/>
        <v>-55</v>
      </c>
      <c r="EL19">
        <f t="shared" si="73"/>
        <v>6</v>
      </c>
      <c r="EM19">
        <v>2.7</v>
      </c>
      <c r="EN19" s="3" t="str">
        <f t="shared" si="49"/>
        <v>-55|-55|-55|-55|-55|-55</v>
      </c>
      <c r="EO19" s="8">
        <f t="shared" si="50"/>
        <v>45</v>
      </c>
      <c r="EP19" s="8"/>
      <c r="EQ19" s="8"/>
      <c r="ER19" s="8">
        <f t="shared" si="51"/>
        <v>305</v>
      </c>
      <c r="ES19" s="8">
        <f t="shared" si="74"/>
        <v>1</v>
      </c>
      <c r="ET19">
        <v>4.05</v>
      </c>
      <c r="EU19" s="8"/>
      <c r="EV19" s="8">
        <f t="shared" si="52"/>
        <v>405</v>
      </c>
      <c r="EW19" s="8">
        <f t="shared" si="53"/>
        <v>251</v>
      </c>
      <c r="EX19">
        <v>3.51</v>
      </c>
      <c r="EY19">
        <f t="shared" si="75"/>
        <v>1</v>
      </c>
      <c r="EZ19">
        <v>91.8</v>
      </c>
      <c r="FA19">
        <v>3.054</v>
      </c>
      <c r="FB19" s="8">
        <f t="shared" si="54"/>
        <v>351</v>
      </c>
      <c r="FC19" t="str">
        <f t="shared" si="55"/>
        <v>251|91.8|3.054</v>
      </c>
      <c r="FE19">
        <v>18</v>
      </c>
      <c r="FF19" s="8">
        <f t="shared" si="56"/>
        <v>440</v>
      </c>
      <c r="FG19">
        <f t="shared" si="76"/>
        <v>1</v>
      </c>
      <c r="FH19">
        <f t="shared" si="77"/>
        <v>5.4</v>
      </c>
      <c r="FJ19">
        <v>18</v>
      </c>
      <c r="FK19" s="8">
        <f t="shared" si="57"/>
        <v>440</v>
      </c>
      <c r="FL19" s="8" t="str">
        <f t="shared" si="78"/>
        <v>0|40</v>
      </c>
      <c r="FM19">
        <f t="shared" si="79"/>
        <v>1</v>
      </c>
      <c r="FN19">
        <f t="shared" si="80"/>
        <v>5.4</v>
      </c>
      <c r="FP19">
        <v>18</v>
      </c>
      <c r="FQ19" s="8">
        <f t="shared" si="58"/>
        <v>80</v>
      </c>
      <c r="FR19">
        <f t="shared" si="81"/>
        <v>3</v>
      </c>
      <c r="FS19">
        <f t="shared" si="82"/>
        <v>5.4</v>
      </c>
      <c r="FT19" t="str">
        <f t="shared" si="59"/>
        <v>80|80|80</v>
      </c>
    </row>
    <row r="20" spans="7:176">
      <c r="G20">
        <v>19</v>
      </c>
      <c r="H20">
        <f t="shared" si="0"/>
        <v>-36.8</v>
      </c>
      <c r="I20">
        <f t="shared" si="60"/>
        <v>5</v>
      </c>
      <c r="J20">
        <v>3.16</v>
      </c>
      <c r="K20" s="7" t="str">
        <f t="shared" si="1"/>
        <v>-36.8|-36.8|-36.8|-36.8|-36.8</v>
      </c>
      <c r="L20">
        <f t="shared" si="2"/>
        <v>63</v>
      </c>
      <c r="M20" s="7"/>
      <c r="N20" s="7">
        <v>19</v>
      </c>
      <c r="O20">
        <f t="shared" si="3"/>
        <v>6.00000000000001</v>
      </c>
      <c r="P20">
        <f t="shared" si="61"/>
        <v>3</v>
      </c>
      <c r="Q20">
        <v>3.18</v>
      </c>
      <c r="R20" s="7" t="str">
        <f t="shared" si="4"/>
        <v>6.00000000000001|6.00000000000001|6.00000000000001</v>
      </c>
      <c r="S20">
        <f t="shared" si="5"/>
        <v>106</v>
      </c>
      <c r="U20">
        <v>19</v>
      </c>
      <c r="V20">
        <f t="shared" si="6"/>
        <v>-44.75</v>
      </c>
      <c r="W20">
        <f t="shared" si="62"/>
        <v>8</v>
      </c>
      <c r="X20">
        <v>4.42</v>
      </c>
      <c r="Y20" s="7" t="str">
        <f t="shared" si="7"/>
        <v>-44.75|-44.75|-44.75|-44.75|-44.75|-44.75|-44.75|-44.75</v>
      </c>
      <c r="Z20">
        <f t="shared" si="8"/>
        <v>55</v>
      </c>
      <c r="AA20">
        <f t="shared" si="9"/>
        <v>-13.16</v>
      </c>
      <c r="AC20">
        <v>19</v>
      </c>
      <c r="AD20">
        <f t="shared" si="10"/>
        <v>307</v>
      </c>
      <c r="AE20">
        <v>1</v>
      </c>
      <c r="AF20">
        <v>4.07</v>
      </c>
      <c r="AH20">
        <f t="shared" si="12"/>
        <v>407</v>
      </c>
      <c r="AJ20">
        <v>19</v>
      </c>
      <c r="AL20">
        <v>2800</v>
      </c>
      <c r="AM20">
        <v>11</v>
      </c>
      <c r="AO20" t="str">
        <f t="shared" si="13"/>
        <v>2800|11</v>
      </c>
      <c r="AR20">
        <v>19</v>
      </c>
      <c r="AS20">
        <f t="shared" si="14"/>
        <v>180</v>
      </c>
      <c r="AT20">
        <f t="shared" si="63"/>
        <v>1</v>
      </c>
      <c r="AU20">
        <v>2.8</v>
      </c>
      <c r="AV20">
        <f t="shared" si="15"/>
        <v>280</v>
      </c>
      <c r="AW20" s="10"/>
      <c r="AX20" s="10">
        <v>19</v>
      </c>
      <c r="AY20" s="10">
        <f t="shared" si="16"/>
        <v>460</v>
      </c>
      <c r="AZ20" s="10"/>
      <c r="BA20" s="10">
        <v>5.6</v>
      </c>
      <c r="BB20">
        <f t="shared" si="17"/>
        <v>560</v>
      </c>
      <c r="BD20">
        <v>2200</v>
      </c>
      <c r="BE20" s="8" t="s">
        <v>50</v>
      </c>
      <c r="BF20" t="str">
        <f t="shared" si="18"/>
        <v>2200|13</v>
      </c>
      <c r="BH20">
        <v>19</v>
      </c>
      <c r="BI20" s="10">
        <f t="shared" si="19"/>
        <v>-8.4</v>
      </c>
      <c r="BJ20">
        <f t="shared" si="64"/>
        <v>5</v>
      </c>
      <c r="BK20">
        <v>4.58</v>
      </c>
      <c r="BL20" s="3" t="str">
        <f t="shared" si="20"/>
        <v>-8.4|-8.4|-8.4|-8.4|-8.4</v>
      </c>
      <c r="BM20">
        <f t="shared" si="21"/>
        <v>92</v>
      </c>
      <c r="BN20" s="8">
        <f t="shared" si="65"/>
        <v>9.2</v>
      </c>
      <c r="BO20" s="8">
        <f t="shared" si="66"/>
        <v>13.8</v>
      </c>
      <c r="BP20" s="8">
        <f t="shared" si="67"/>
        <v>18.4</v>
      </c>
      <c r="BQ20" s="8">
        <f t="shared" si="68"/>
        <v>23</v>
      </c>
      <c r="BR20" s="8">
        <f t="shared" si="69"/>
        <v>27.6</v>
      </c>
      <c r="BT20">
        <v>19</v>
      </c>
      <c r="BU20">
        <f t="shared" si="22"/>
        <v>130</v>
      </c>
      <c r="BW20">
        <v>4.6</v>
      </c>
      <c r="BX20" s="7" t="str">
        <f t="shared" si="23"/>
        <v>86.6666666666666|173.333333333333</v>
      </c>
      <c r="BY20">
        <f t="shared" si="24"/>
        <v>230</v>
      </c>
      <c r="BZ20">
        <f t="shared" si="25"/>
        <v>260</v>
      </c>
      <c r="CA20" s="8">
        <f t="shared" si="26"/>
        <v>86.6666666666666</v>
      </c>
      <c r="CB20" s="8">
        <f t="shared" si="27"/>
        <v>173.333333333333</v>
      </c>
      <c r="CD20">
        <v>19</v>
      </c>
      <c r="CE20" s="8">
        <f t="shared" si="28"/>
        <v>180</v>
      </c>
      <c r="CG20">
        <v>2.8</v>
      </c>
      <c r="CH20" s="16">
        <f t="shared" si="29"/>
        <v>180</v>
      </c>
      <c r="CI20">
        <f t="shared" si="30"/>
        <v>280</v>
      </c>
      <c r="CJ20" s="17"/>
      <c r="CK20" s="17">
        <v>19</v>
      </c>
      <c r="CL20" s="17">
        <f t="shared" si="31"/>
        <v>444</v>
      </c>
      <c r="CM20" s="17"/>
      <c r="CN20" s="17">
        <f t="shared" si="32"/>
        <v>5.44</v>
      </c>
      <c r="CO20" s="16">
        <f t="shared" si="33"/>
        <v>444</v>
      </c>
      <c r="CP20">
        <v>140</v>
      </c>
      <c r="CQ20">
        <v>81</v>
      </c>
      <c r="CR20" t="str">
        <f t="shared" si="34"/>
        <v>140|81</v>
      </c>
      <c r="CT20" s="4"/>
      <c r="CV20" s="8">
        <v>37</v>
      </c>
      <c r="CW20">
        <v>19</v>
      </c>
      <c r="CX20" t="str">
        <f t="shared" si="35"/>
        <v>-54|-54|-54|-54|-54</v>
      </c>
      <c r="CY20">
        <v>2.3</v>
      </c>
      <c r="CZ20">
        <f t="shared" si="70"/>
        <v>5</v>
      </c>
      <c r="DA20">
        <f t="shared" si="36"/>
        <v>-54</v>
      </c>
      <c r="DB20" s="8">
        <f t="shared" si="37"/>
        <v>46</v>
      </c>
      <c r="DC20">
        <v>20.8</v>
      </c>
      <c r="DD20" t="str">
        <f t="shared" si="38"/>
        <v>46|20.8</v>
      </c>
      <c r="DF20">
        <v>19</v>
      </c>
      <c r="DG20">
        <v>580</v>
      </c>
      <c r="DI20" s="8">
        <v>-81</v>
      </c>
      <c r="DJ20" s="8">
        <v>-79</v>
      </c>
      <c r="DK20" s="10"/>
      <c r="DL20" s="10">
        <v>19</v>
      </c>
      <c r="DM20">
        <f t="shared" si="39"/>
        <v>290</v>
      </c>
      <c r="DN20" s="10"/>
      <c r="DO20" s="10">
        <v>3.9</v>
      </c>
      <c r="DP20" s="15">
        <v>-81</v>
      </c>
      <c r="DQ20" s="8">
        <f t="shared" si="40"/>
        <v>390</v>
      </c>
      <c r="DR20" s="8">
        <f t="shared" si="41"/>
        <v>19</v>
      </c>
      <c r="DS20" t="str">
        <f t="shared" si="42"/>
        <v>390|19</v>
      </c>
      <c r="DU20">
        <v>19</v>
      </c>
      <c r="DV20" s="10">
        <f t="shared" si="43"/>
        <v>236</v>
      </c>
      <c r="DW20">
        <f t="shared" si="71"/>
        <v>1</v>
      </c>
      <c r="DX20">
        <v>3.36</v>
      </c>
      <c r="DZ20">
        <f t="shared" si="44"/>
        <v>336</v>
      </c>
      <c r="EB20">
        <v>19</v>
      </c>
      <c r="EC20" s="8">
        <f t="shared" si="45"/>
        <v>-44.3333333333333</v>
      </c>
      <c r="ED20">
        <f t="shared" si="72"/>
        <v>6</v>
      </c>
      <c r="EE20">
        <v>3.34</v>
      </c>
      <c r="EF20" s="3" t="str">
        <f t="shared" si="46"/>
        <v>-44.3333333333333|-44.3333333333333|-44.3333333333333|-44.3333333333333|-44.3333333333333|-44.3333333333333</v>
      </c>
      <c r="EG20" s="8">
        <f t="shared" si="47"/>
        <v>56</v>
      </c>
      <c r="EH20" s="3"/>
      <c r="EJ20">
        <v>19</v>
      </c>
      <c r="EK20" s="8">
        <f t="shared" si="48"/>
        <v>-53.3333333333333</v>
      </c>
      <c r="EL20">
        <f t="shared" si="73"/>
        <v>6</v>
      </c>
      <c r="EM20">
        <v>2.8</v>
      </c>
      <c r="EN20" s="3" t="str">
        <f t="shared" si="49"/>
        <v>-53.3333333333333|-53.3333333333333|-53.3333333333333|-53.3333333333333|-53.3333333333333|-53.3333333333333</v>
      </c>
      <c r="EO20" s="8">
        <f t="shared" si="50"/>
        <v>47</v>
      </c>
      <c r="EP20" s="8"/>
      <c r="EQ20" s="8"/>
      <c r="ER20" s="8">
        <f t="shared" si="51"/>
        <v>320</v>
      </c>
      <c r="ES20" s="8">
        <f t="shared" si="74"/>
        <v>1</v>
      </c>
      <c r="ET20">
        <v>4.2</v>
      </c>
      <c r="EU20" s="8"/>
      <c r="EV20" s="8">
        <f t="shared" si="52"/>
        <v>420</v>
      </c>
      <c r="EW20" s="8">
        <f t="shared" si="53"/>
        <v>264</v>
      </c>
      <c r="EX20">
        <v>3.64</v>
      </c>
      <c r="EY20">
        <f t="shared" si="75"/>
        <v>1</v>
      </c>
      <c r="EZ20">
        <v>95.2</v>
      </c>
      <c r="FA20">
        <v>3.116</v>
      </c>
      <c r="FB20" s="8">
        <f t="shared" si="54"/>
        <v>364</v>
      </c>
      <c r="FC20" t="str">
        <f t="shared" si="55"/>
        <v>264|95.2|3.116</v>
      </c>
      <c r="FE20">
        <v>19</v>
      </c>
      <c r="FF20" s="8">
        <f t="shared" si="56"/>
        <v>460</v>
      </c>
      <c r="FG20">
        <f t="shared" si="76"/>
        <v>1</v>
      </c>
      <c r="FH20">
        <f t="shared" si="77"/>
        <v>5.6</v>
      </c>
      <c r="FJ20">
        <v>19</v>
      </c>
      <c r="FK20" s="8">
        <f t="shared" si="57"/>
        <v>460</v>
      </c>
      <c r="FL20" s="8" t="str">
        <f t="shared" si="78"/>
        <v>0|40</v>
      </c>
      <c r="FM20">
        <f t="shared" si="79"/>
        <v>1</v>
      </c>
      <c r="FN20">
        <f t="shared" si="80"/>
        <v>5.6</v>
      </c>
      <c r="FP20">
        <v>19</v>
      </c>
      <c r="FQ20" s="8">
        <f t="shared" si="58"/>
        <v>87</v>
      </c>
      <c r="FR20">
        <f t="shared" si="81"/>
        <v>3</v>
      </c>
      <c r="FS20">
        <f t="shared" si="82"/>
        <v>5.6</v>
      </c>
      <c r="FT20" t="str">
        <f t="shared" si="59"/>
        <v>87|87|87</v>
      </c>
    </row>
    <row r="21" spans="7:176">
      <c r="G21">
        <v>20</v>
      </c>
      <c r="H21">
        <f t="shared" si="0"/>
        <v>-34.4</v>
      </c>
      <c r="I21">
        <f t="shared" si="60"/>
        <v>5</v>
      </c>
      <c r="J21">
        <v>3.28</v>
      </c>
      <c r="K21" s="7" t="str">
        <f t="shared" si="1"/>
        <v>-34.4|-34.4|-34.4|-34.4|-34.4</v>
      </c>
      <c r="L21">
        <f t="shared" si="2"/>
        <v>66</v>
      </c>
      <c r="M21" s="7"/>
      <c r="N21" s="7">
        <v>20</v>
      </c>
      <c r="O21">
        <f t="shared" si="3"/>
        <v>9.66666666666667</v>
      </c>
      <c r="P21">
        <f t="shared" si="61"/>
        <v>3</v>
      </c>
      <c r="Q21">
        <v>3.29</v>
      </c>
      <c r="R21" s="7" t="str">
        <f t="shared" si="4"/>
        <v>9.66666666666667|9.66666666666667|9.66666666666667</v>
      </c>
      <c r="S21">
        <f t="shared" si="5"/>
        <v>110</v>
      </c>
      <c r="U21">
        <v>20</v>
      </c>
      <c r="V21">
        <f t="shared" si="6"/>
        <v>-42.375</v>
      </c>
      <c r="W21">
        <f t="shared" si="62"/>
        <v>8</v>
      </c>
      <c r="X21">
        <v>4.61</v>
      </c>
      <c r="Y21" s="7" t="str">
        <f t="shared" si="7"/>
        <v>-42.375|-42.375|-42.375|-42.375|-42.375|-42.375|-42.375|-42.375</v>
      </c>
      <c r="Z21">
        <f t="shared" si="8"/>
        <v>58</v>
      </c>
      <c r="AA21">
        <f t="shared" si="9"/>
        <v>-11.78</v>
      </c>
      <c r="AC21">
        <v>20</v>
      </c>
      <c r="AD21">
        <f t="shared" si="10"/>
        <v>321</v>
      </c>
      <c r="AE21">
        <v>1</v>
      </c>
      <c r="AF21">
        <v>4.21</v>
      </c>
      <c r="AH21">
        <f t="shared" si="12"/>
        <v>421</v>
      </c>
      <c r="AJ21">
        <v>20</v>
      </c>
      <c r="AL21">
        <v>2900</v>
      </c>
      <c r="AM21">
        <v>11.5</v>
      </c>
      <c r="AO21" t="str">
        <f t="shared" si="13"/>
        <v>2900|11.5</v>
      </c>
      <c r="AR21">
        <v>20</v>
      </c>
      <c r="AS21">
        <f t="shared" si="14"/>
        <v>190</v>
      </c>
      <c r="AT21">
        <f t="shared" si="63"/>
        <v>1</v>
      </c>
      <c r="AU21">
        <v>2.9</v>
      </c>
      <c r="AV21">
        <f t="shared" si="15"/>
        <v>290</v>
      </c>
      <c r="AW21" s="10"/>
      <c r="AX21" s="10">
        <v>20</v>
      </c>
      <c r="AY21" s="10">
        <f t="shared" si="16"/>
        <v>480</v>
      </c>
      <c r="AZ21" s="10"/>
      <c r="BA21" s="10">
        <v>5.8</v>
      </c>
      <c r="BB21">
        <f t="shared" si="17"/>
        <v>580</v>
      </c>
      <c r="BD21">
        <v>2300</v>
      </c>
      <c r="BE21" s="8" t="s">
        <v>50</v>
      </c>
      <c r="BF21" t="str">
        <f t="shared" si="18"/>
        <v>2300|13</v>
      </c>
      <c r="BH21">
        <v>20</v>
      </c>
      <c r="BI21" s="10">
        <f t="shared" si="19"/>
        <v>-5.19999999999999</v>
      </c>
      <c r="BJ21">
        <f t="shared" si="64"/>
        <v>5</v>
      </c>
      <c r="BK21">
        <v>4.74</v>
      </c>
      <c r="BL21" s="3" t="str">
        <f t="shared" si="20"/>
        <v>-5.19999999999999|-5.19999999999999|-5.19999999999999|-5.19999999999999|-5.19999999999999</v>
      </c>
      <c r="BM21">
        <f t="shared" si="21"/>
        <v>95</v>
      </c>
      <c r="BN21" s="8">
        <f t="shared" si="65"/>
        <v>9.5</v>
      </c>
      <c r="BO21" s="8">
        <f t="shared" si="66"/>
        <v>14.25</v>
      </c>
      <c r="BP21" s="8">
        <f t="shared" si="67"/>
        <v>19</v>
      </c>
      <c r="BQ21" s="8">
        <f t="shared" si="68"/>
        <v>23.75</v>
      </c>
      <c r="BR21" s="8">
        <f t="shared" si="69"/>
        <v>28.5</v>
      </c>
      <c r="BT21">
        <v>20</v>
      </c>
      <c r="BU21">
        <f t="shared" si="22"/>
        <v>140</v>
      </c>
      <c r="BW21">
        <v>4.8</v>
      </c>
      <c r="BX21" s="7" t="str">
        <f t="shared" si="23"/>
        <v>93.3333333333333|186.666666666667</v>
      </c>
      <c r="BY21">
        <f t="shared" si="24"/>
        <v>240</v>
      </c>
      <c r="BZ21">
        <f t="shared" si="25"/>
        <v>280</v>
      </c>
      <c r="CA21" s="8">
        <f t="shared" si="26"/>
        <v>93.3333333333333</v>
      </c>
      <c r="CB21" s="8">
        <f t="shared" si="27"/>
        <v>186.666666666667</v>
      </c>
      <c r="CD21">
        <v>20</v>
      </c>
      <c r="CE21" s="8">
        <f t="shared" si="28"/>
        <v>190</v>
      </c>
      <c r="CG21">
        <v>2.9</v>
      </c>
      <c r="CH21" s="18">
        <f t="shared" si="29"/>
        <v>190</v>
      </c>
      <c r="CI21">
        <f t="shared" si="30"/>
        <v>290</v>
      </c>
      <c r="CJ21" s="19"/>
      <c r="CK21" s="19">
        <v>20</v>
      </c>
      <c r="CL21" s="19">
        <f t="shared" si="31"/>
        <v>452</v>
      </c>
      <c r="CM21" s="19"/>
      <c r="CN21" s="19">
        <f t="shared" si="32"/>
        <v>5.52</v>
      </c>
      <c r="CO21" s="18">
        <f t="shared" si="33"/>
        <v>452</v>
      </c>
      <c r="CP21">
        <v>145</v>
      </c>
      <c r="CQ21">
        <v>80</v>
      </c>
      <c r="CR21" t="str">
        <f t="shared" si="34"/>
        <v>145|80</v>
      </c>
      <c r="CT21" s="4"/>
      <c r="CV21" s="8">
        <v>39</v>
      </c>
      <c r="CW21">
        <v>20</v>
      </c>
      <c r="CX21" t="str">
        <f t="shared" si="35"/>
        <v>-52|-52|-52|-52|-52</v>
      </c>
      <c r="CY21">
        <v>2.4</v>
      </c>
      <c r="CZ21">
        <f t="shared" si="70"/>
        <v>5</v>
      </c>
      <c r="DA21">
        <f t="shared" si="36"/>
        <v>-52</v>
      </c>
      <c r="DB21" s="8">
        <f t="shared" si="37"/>
        <v>48</v>
      </c>
      <c r="DC21">
        <v>21.4</v>
      </c>
      <c r="DD21" t="str">
        <f t="shared" si="38"/>
        <v>48|21.4</v>
      </c>
      <c r="DF21">
        <v>20</v>
      </c>
      <c r="DG21">
        <v>590</v>
      </c>
      <c r="DI21" s="8">
        <v>-81</v>
      </c>
      <c r="DJ21" s="8">
        <v>-79</v>
      </c>
      <c r="DK21" s="10"/>
      <c r="DL21" s="10">
        <v>20</v>
      </c>
      <c r="DM21">
        <f t="shared" si="39"/>
        <v>305</v>
      </c>
      <c r="DN21" s="10"/>
      <c r="DO21" s="10">
        <v>4.05</v>
      </c>
      <c r="DP21" s="15">
        <v>-80</v>
      </c>
      <c r="DQ21" s="8">
        <f t="shared" si="40"/>
        <v>405</v>
      </c>
      <c r="DR21" s="8">
        <f t="shared" si="41"/>
        <v>20</v>
      </c>
      <c r="DS21" t="str">
        <f t="shared" si="42"/>
        <v>405|20</v>
      </c>
      <c r="DU21">
        <v>20</v>
      </c>
      <c r="DV21" s="10">
        <f t="shared" si="43"/>
        <v>248</v>
      </c>
      <c r="DW21">
        <f t="shared" si="71"/>
        <v>1</v>
      </c>
      <c r="DX21">
        <v>3.48</v>
      </c>
      <c r="DZ21">
        <f t="shared" si="44"/>
        <v>348</v>
      </c>
      <c r="EB21">
        <v>20</v>
      </c>
      <c r="EC21" s="8">
        <f t="shared" si="45"/>
        <v>-42.1666666666667</v>
      </c>
      <c r="ED21">
        <f t="shared" si="72"/>
        <v>6</v>
      </c>
      <c r="EE21">
        <v>3.47</v>
      </c>
      <c r="EF21" s="3" t="str">
        <f t="shared" si="46"/>
        <v>-42.1666666666667|-42.1666666666667|-42.1666666666667|-42.1666666666667|-42.1666666666667|-42.1666666666667</v>
      </c>
      <c r="EG21" s="8">
        <f t="shared" si="47"/>
        <v>58</v>
      </c>
      <c r="EH21" s="3"/>
      <c r="EJ21">
        <v>20</v>
      </c>
      <c r="EK21" s="8">
        <f t="shared" si="48"/>
        <v>-51.6666666666667</v>
      </c>
      <c r="EL21">
        <f t="shared" si="73"/>
        <v>6</v>
      </c>
      <c r="EM21">
        <v>2.9</v>
      </c>
      <c r="EN21" s="3" t="str">
        <f t="shared" si="49"/>
        <v>-51.6666666666667|-51.6666666666667|-51.6666666666667|-51.6666666666667|-51.6666666666667|-51.6666666666667</v>
      </c>
      <c r="EO21" s="8">
        <f t="shared" si="50"/>
        <v>48</v>
      </c>
      <c r="EP21" s="8"/>
      <c r="EQ21" s="8"/>
      <c r="ER21" s="8">
        <f t="shared" si="51"/>
        <v>335</v>
      </c>
      <c r="ES21" s="8">
        <f t="shared" si="74"/>
        <v>1</v>
      </c>
      <c r="ET21">
        <v>4.35</v>
      </c>
      <c r="EU21" s="8"/>
      <c r="EV21" s="8">
        <f t="shared" si="52"/>
        <v>435</v>
      </c>
      <c r="EW21" s="8">
        <f t="shared" si="53"/>
        <v>277</v>
      </c>
      <c r="EX21">
        <v>3.77</v>
      </c>
      <c r="EY21">
        <f t="shared" si="75"/>
        <v>1</v>
      </c>
      <c r="EZ21">
        <v>98.6</v>
      </c>
      <c r="FA21">
        <v>3.178</v>
      </c>
      <c r="FB21" s="8">
        <f t="shared" si="54"/>
        <v>377</v>
      </c>
      <c r="FC21" t="str">
        <f t="shared" si="55"/>
        <v>277|98.6|3.178</v>
      </c>
      <c r="FE21">
        <v>20</v>
      </c>
      <c r="FF21" s="8">
        <f t="shared" si="56"/>
        <v>480</v>
      </c>
      <c r="FG21">
        <f t="shared" si="76"/>
        <v>1</v>
      </c>
      <c r="FH21">
        <f t="shared" si="77"/>
        <v>5.8</v>
      </c>
      <c r="FJ21">
        <v>20</v>
      </c>
      <c r="FK21" s="8">
        <f t="shared" si="57"/>
        <v>480</v>
      </c>
      <c r="FL21" s="8" t="str">
        <f t="shared" si="78"/>
        <v>0|40</v>
      </c>
      <c r="FM21">
        <f t="shared" si="79"/>
        <v>1</v>
      </c>
      <c r="FN21">
        <f t="shared" si="80"/>
        <v>5.8</v>
      </c>
      <c r="FP21">
        <v>20</v>
      </c>
      <c r="FQ21" s="8">
        <f t="shared" si="58"/>
        <v>93</v>
      </c>
      <c r="FR21">
        <f t="shared" si="81"/>
        <v>3</v>
      </c>
      <c r="FS21">
        <f t="shared" si="82"/>
        <v>5.8</v>
      </c>
      <c r="FT21" t="str">
        <f t="shared" si="59"/>
        <v>93|93|93</v>
      </c>
    </row>
    <row r="22" spans="7:176">
      <c r="G22">
        <v>21</v>
      </c>
      <c r="H22">
        <f t="shared" si="0"/>
        <v>-32</v>
      </c>
      <c r="I22">
        <f t="shared" si="60"/>
        <v>5</v>
      </c>
      <c r="J22">
        <v>3.4</v>
      </c>
      <c r="K22" s="7" t="str">
        <f t="shared" si="1"/>
        <v>-32|-32|-32|-32|-32</v>
      </c>
      <c r="L22">
        <f t="shared" si="2"/>
        <v>68</v>
      </c>
      <c r="M22" s="7"/>
      <c r="N22" s="7">
        <v>21</v>
      </c>
      <c r="O22">
        <f t="shared" si="3"/>
        <v>13.3333333333333</v>
      </c>
      <c r="P22">
        <f t="shared" si="61"/>
        <v>3</v>
      </c>
      <c r="Q22">
        <v>3.4</v>
      </c>
      <c r="R22" s="7" t="str">
        <f t="shared" si="4"/>
        <v>13.3333333333333|13.3333333333333|13.3333333333333</v>
      </c>
      <c r="S22">
        <f t="shared" si="5"/>
        <v>113</v>
      </c>
      <c r="U22">
        <v>21</v>
      </c>
      <c r="V22">
        <f t="shared" si="6"/>
        <v>-40</v>
      </c>
      <c r="W22">
        <f t="shared" si="62"/>
        <v>8</v>
      </c>
      <c r="X22">
        <v>4.8</v>
      </c>
      <c r="Y22" s="7" t="str">
        <f t="shared" si="7"/>
        <v>-40|-40|-40|-40|-40|-40|-40|-40</v>
      </c>
      <c r="Z22">
        <f t="shared" si="8"/>
        <v>60</v>
      </c>
      <c r="AA22">
        <f t="shared" si="9"/>
        <v>-10.4</v>
      </c>
      <c r="AC22">
        <v>21</v>
      </c>
      <c r="AD22">
        <f t="shared" si="10"/>
        <v>335</v>
      </c>
      <c r="AE22">
        <v>1</v>
      </c>
      <c r="AF22">
        <v>4.35</v>
      </c>
      <c r="AH22">
        <f t="shared" si="12"/>
        <v>435</v>
      </c>
      <c r="AJ22">
        <v>21</v>
      </c>
      <c r="AL22">
        <v>3000</v>
      </c>
      <c r="AM22">
        <v>12</v>
      </c>
      <c r="AO22" t="str">
        <f t="shared" si="13"/>
        <v>3000|12</v>
      </c>
      <c r="AR22">
        <v>21</v>
      </c>
      <c r="AS22">
        <f t="shared" si="14"/>
        <v>200</v>
      </c>
      <c r="AT22">
        <f t="shared" si="63"/>
        <v>1</v>
      </c>
      <c r="AU22">
        <v>3</v>
      </c>
      <c r="AV22">
        <f t="shared" si="15"/>
        <v>300</v>
      </c>
      <c r="AW22" s="10"/>
      <c r="AX22" s="10">
        <v>21</v>
      </c>
      <c r="AY22" s="10">
        <f t="shared" si="16"/>
        <v>500</v>
      </c>
      <c r="AZ22" s="10"/>
      <c r="BA22" s="10">
        <v>6</v>
      </c>
      <c r="BB22">
        <f t="shared" si="17"/>
        <v>600</v>
      </c>
      <c r="BD22">
        <v>2400</v>
      </c>
      <c r="BE22" s="8" t="s">
        <v>53</v>
      </c>
      <c r="BF22" t="str">
        <f t="shared" si="18"/>
        <v>2400|14</v>
      </c>
      <c r="BH22">
        <v>21</v>
      </c>
      <c r="BI22" s="10">
        <f t="shared" si="19"/>
        <v>-1.99999999999999</v>
      </c>
      <c r="BJ22">
        <f t="shared" si="64"/>
        <v>5</v>
      </c>
      <c r="BK22">
        <v>4.9</v>
      </c>
      <c r="BL22" s="3" t="str">
        <f t="shared" si="20"/>
        <v>-1.99999999999999|-1.99999999999999|-1.99999999999999|-1.99999999999999|-1.99999999999999</v>
      </c>
      <c r="BM22">
        <f t="shared" si="21"/>
        <v>98</v>
      </c>
      <c r="BN22" s="8">
        <f t="shared" si="65"/>
        <v>9.8</v>
      </c>
      <c r="BO22" s="8">
        <f t="shared" si="66"/>
        <v>14.7</v>
      </c>
      <c r="BP22" s="8">
        <f t="shared" si="67"/>
        <v>19.6</v>
      </c>
      <c r="BQ22" s="8">
        <f t="shared" si="68"/>
        <v>24.5</v>
      </c>
      <c r="BR22" s="8">
        <f t="shared" si="69"/>
        <v>29.4</v>
      </c>
      <c r="BT22">
        <v>21</v>
      </c>
      <c r="BU22">
        <f t="shared" si="22"/>
        <v>150</v>
      </c>
      <c r="BW22">
        <v>5</v>
      </c>
      <c r="BX22" s="7" t="str">
        <f t="shared" si="23"/>
        <v>100|200</v>
      </c>
      <c r="BY22">
        <f t="shared" si="24"/>
        <v>250</v>
      </c>
      <c r="BZ22">
        <f t="shared" si="25"/>
        <v>300</v>
      </c>
      <c r="CA22" s="8">
        <f t="shared" si="26"/>
        <v>100</v>
      </c>
      <c r="CB22" s="8">
        <f t="shared" si="27"/>
        <v>200</v>
      </c>
      <c r="CD22">
        <v>21</v>
      </c>
      <c r="CE22" s="8">
        <f t="shared" si="28"/>
        <v>200</v>
      </c>
      <c r="CG22">
        <v>3</v>
      </c>
      <c r="CH22" s="18">
        <f t="shared" si="29"/>
        <v>200</v>
      </c>
      <c r="CI22">
        <f t="shared" si="30"/>
        <v>300</v>
      </c>
      <c r="CJ22" s="19"/>
      <c r="CK22" s="19">
        <v>21</v>
      </c>
      <c r="CL22" s="19">
        <f t="shared" si="31"/>
        <v>460</v>
      </c>
      <c r="CM22" s="19"/>
      <c r="CN22" s="19">
        <f t="shared" si="32"/>
        <v>5.6</v>
      </c>
      <c r="CO22" s="18">
        <f t="shared" si="33"/>
        <v>460</v>
      </c>
      <c r="CP22">
        <v>150</v>
      </c>
      <c r="CQ22">
        <v>79</v>
      </c>
      <c r="CR22" t="str">
        <f t="shared" si="34"/>
        <v>150|79</v>
      </c>
      <c r="CT22" s="4"/>
      <c r="CV22" s="8">
        <v>40</v>
      </c>
      <c r="CW22">
        <v>21</v>
      </c>
      <c r="CX22" t="str">
        <f t="shared" si="35"/>
        <v>-50|-50|-50|-50|-50</v>
      </c>
      <c r="CY22">
        <v>2.5</v>
      </c>
      <c r="CZ22">
        <f t="shared" si="70"/>
        <v>5</v>
      </c>
      <c r="DA22">
        <f t="shared" si="36"/>
        <v>-50</v>
      </c>
      <c r="DB22" s="8">
        <f t="shared" si="37"/>
        <v>50</v>
      </c>
      <c r="DC22">
        <v>22</v>
      </c>
      <c r="DD22" t="str">
        <f t="shared" si="38"/>
        <v>50|22</v>
      </c>
      <c r="DF22">
        <v>21</v>
      </c>
      <c r="DG22">
        <v>600</v>
      </c>
      <c r="DI22" s="8">
        <v>-80</v>
      </c>
      <c r="DJ22" s="8">
        <v>-78</v>
      </c>
      <c r="DK22" s="10"/>
      <c r="DL22" s="10">
        <v>21</v>
      </c>
      <c r="DM22">
        <f t="shared" si="39"/>
        <v>320</v>
      </c>
      <c r="DN22" s="10"/>
      <c r="DO22" s="10">
        <v>4.2</v>
      </c>
      <c r="DP22" s="15">
        <v>-79</v>
      </c>
      <c r="DQ22" s="8">
        <f t="shared" si="40"/>
        <v>420</v>
      </c>
      <c r="DR22" s="8">
        <f t="shared" si="41"/>
        <v>21</v>
      </c>
      <c r="DS22" t="str">
        <f t="shared" si="42"/>
        <v>420|21</v>
      </c>
      <c r="DU22">
        <v>21</v>
      </c>
      <c r="DV22" s="10">
        <f t="shared" si="43"/>
        <v>260</v>
      </c>
      <c r="DW22">
        <f t="shared" si="71"/>
        <v>1</v>
      </c>
      <c r="DX22">
        <v>3.6</v>
      </c>
      <c r="DZ22">
        <f t="shared" si="44"/>
        <v>360</v>
      </c>
      <c r="EB22">
        <v>21</v>
      </c>
      <c r="EC22" s="8">
        <f t="shared" si="45"/>
        <v>-40</v>
      </c>
      <c r="ED22">
        <f t="shared" si="72"/>
        <v>6</v>
      </c>
      <c r="EE22">
        <v>3.6</v>
      </c>
      <c r="EF22" s="3" t="str">
        <f t="shared" si="46"/>
        <v>-40|-40|-40|-40|-40|-40</v>
      </c>
      <c r="EG22" s="8">
        <f t="shared" si="47"/>
        <v>60</v>
      </c>
      <c r="EH22" s="3"/>
      <c r="EJ22">
        <v>21</v>
      </c>
      <c r="EK22" s="8">
        <f t="shared" si="48"/>
        <v>-50</v>
      </c>
      <c r="EL22">
        <f t="shared" si="73"/>
        <v>6</v>
      </c>
      <c r="EM22">
        <v>3</v>
      </c>
      <c r="EN22" s="3" t="str">
        <f t="shared" si="49"/>
        <v>-50|-50|-50|-50|-50|-50</v>
      </c>
      <c r="EO22" s="8">
        <f t="shared" si="50"/>
        <v>50</v>
      </c>
      <c r="EP22" s="8"/>
      <c r="EQ22" s="8"/>
      <c r="ER22" s="8">
        <f t="shared" si="51"/>
        <v>350</v>
      </c>
      <c r="ES22" s="8">
        <f t="shared" si="74"/>
        <v>1</v>
      </c>
      <c r="ET22">
        <v>4.5</v>
      </c>
      <c r="EU22" s="8"/>
      <c r="EV22" s="8">
        <f t="shared" si="52"/>
        <v>450</v>
      </c>
      <c r="EW22" s="8">
        <f t="shared" si="53"/>
        <v>290</v>
      </c>
      <c r="EX22">
        <v>3.9</v>
      </c>
      <c r="EY22">
        <f t="shared" si="75"/>
        <v>1</v>
      </c>
      <c r="EZ22">
        <v>102</v>
      </c>
      <c r="FA22">
        <v>3.24</v>
      </c>
      <c r="FB22" s="8">
        <f t="shared" si="54"/>
        <v>390</v>
      </c>
      <c r="FC22" t="str">
        <f t="shared" si="55"/>
        <v>290|102|3.24</v>
      </c>
      <c r="FE22">
        <v>21</v>
      </c>
      <c r="FF22" s="8">
        <f t="shared" si="56"/>
        <v>500</v>
      </c>
      <c r="FG22">
        <f t="shared" si="76"/>
        <v>1</v>
      </c>
      <c r="FH22">
        <f t="shared" si="77"/>
        <v>6</v>
      </c>
      <c r="FJ22">
        <v>21</v>
      </c>
      <c r="FK22" s="8">
        <f t="shared" si="57"/>
        <v>500</v>
      </c>
      <c r="FL22" s="8" t="str">
        <f t="shared" si="78"/>
        <v>0|40</v>
      </c>
      <c r="FM22">
        <f t="shared" si="79"/>
        <v>1</v>
      </c>
      <c r="FN22">
        <f t="shared" si="80"/>
        <v>6</v>
      </c>
      <c r="FP22">
        <v>21</v>
      </c>
      <c r="FQ22" s="8">
        <f t="shared" si="58"/>
        <v>100</v>
      </c>
      <c r="FR22">
        <f t="shared" si="81"/>
        <v>3</v>
      </c>
      <c r="FS22">
        <f t="shared" si="82"/>
        <v>6</v>
      </c>
      <c r="FT22" t="str">
        <f t="shared" si="59"/>
        <v>100|100|100</v>
      </c>
    </row>
    <row r="23" spans="7:176">
      <c r="G23">
        <v>22</v>
      </c>
      <c r="H23">
        <f t="shared" si="0"/>
        <v>-29.6</v>
      </c>
      <c r="I23">
        <f t="shared" si="60"/>
        <v>5</v>
      </c>
      <c r="J23">
        <v>3.52</v>
      </c>
      <c r="K23" s="7" t="str">
        <f t="shared" si="1"/>
        <v>-29.6|-29.6|-29.6|-29.6|-29.6</v>
      </c>
      <c r="L23">
        <f t="shared" si="2"/>
        <v>70</v>
      </c>
      <c r="M23" s="7"/>
      <c r="N23" s="7">
        <v>22</v>
      </c>
      <c r="O23">
        <f t="shared" si="3"/>
        <v>17</v>
      </c>
      <c r="P23">
        <f t="shared" si="61"/>
        <v>3</v>
      </c>
      <c r="Q23">
        <v>3.51</v>
      </c>
      <c r="R23" s="7" t="str">
        <f t="shared" si="4"/>
        <v>17|17|17</v>
      </c>
      <c r="S23">
        <f t="shared" si="5"/>
        <v>117</v>
      </c>
      <c r="U23">
        <v>22</v>
      </c>
      <c r="V23">
        <f t="shared" si="6"/>
        <v>-37.625</v>
      </c>
      <c r="W23">
        <f t="shared" si="62"/>
        <v>8</v>
      </c>
      <c r="X23">
        <v>4.99</v>
      </c>
      <c r="Y23" s="7" t="str">
        <f t="shared" si="7"/>
        <v>-37.625|-37.625|-37.625|-37.625|-37.625|-37.625|-37.625|-37.625</v>
      </c>
      <c r="Z23">
        <f t="shared" si="8"/>
        <v>62</v>
      </c>
      <c r="AA23">
        <f t="shared" si="9"/>
        <v>-9.02</v>
      </c>
      <c r="AC23">
        <v>22</v>
      </c>
      <c r="AD23">
        <f t="shared" si="10"/>
        <v>349</v>
      </c>
      <c r="AE23">
        <v>1</v>
      </c>
      <c r="AF23">
        <v>4.49</v>
      </c>
      <c r="AH23">
        <f t="shared" si="12"/>
        <v>449</v>
      </c>
      <c r="AJ23">
        <v>22</v>
      </c>
      <c r="AL23">
        <v>3100</v>
      </c>
      <c r="AM23">
        <v>12.5</v>
      </c>
      <c r="AO23" t="str">
        <f t="shared" si="13"/>
        <v>3100|12.5</v>
      </c>
      <c r="AR23">
        <v>22</v>
      </c>
      <c r="AS23">
        <f t="shared" si="14"/>
        <v>210</v>
      </c>
      <c r="AT23">
        <f t="shared" si="63"/>
        <v>1</v>
      </c>
      <c r="AU23">
        <v>3.1</v>
      </c>
      <c r="AV23">
        <f t="shared" si="15"/>
        <v>310</v>
      </c>
      <c r="AW23" s="10"/>
      <c r="AX23" s="10">
        <v>22</v>
      </c>
      <c r="AY23" s="10">
        <f t="shared" si="16"/>
        <v>520</v>
      </c>
      <c r="AZ23" s="10"/>
      <c r="BA23" s="10">
        <v>6.2</v>
      </c>
      <c r="BB23">
        <f t="shared" si="17"/>
        <v>620</v>
      </c>
      <c r="BD23">
        <v>2500</v>
      </c>
      <c r="BE23" s="8" t="s">
        <v>53</v>
      </c>
      <c r="BF23" t="str">
        <f t="shared" si="18"/>
        <v>2500|14</v>
      </c>
      <c r="BH23">
        <v>22</v>
      </c>
      <c r="BI23" s="10">
        <f t="shared" si="19"/>
        <v>1.2</v>
      </c>
      <c r="BJ23">
        <f t="shared" si="64"/>
        <v>5</v>
      </c>
      <c r="BK23">
        <v>5.06</v>
      </c>
      <c r="BL23" s="3" t="str">
        <f t="shared" si="20"/>
        <v>1.2|1.2|1.2|1.2|1.2</v>
      </c>
      <c r="BM23">
        <f t="shared" si="21"/>
        <v>101</v>
      </c>
      <c r="BN23" s="8">
        <f t="shared" si="65"/>
        <v>10.1</v>
      </c>
      <c r="BO23" s="8">
        <f t="shared" si="66"/>
        <v>15.15</v>
      </c>
      <c r="BP23" s="8">
        <f t="shared" si="67"/>
        <v>20.2</v>
      </c>
      <c r="BQ23" s="8">
        <f t="shared" si="68"/>
        <v>25.25</v>
      </c>
      <c r="BR23" s="8">
        <f t="shared" si="69"/>
        <v>30.3</v>
      </c>
      <c r="BT23">
        <v>22</v>
      </c>
      <c r="BU23">
        <f t="shared" si="22"/>
        <v>160</v>
      </c>
      <c r="BW23">
        <v>5.2</v>
      </c>
      <c r="BX23" s="7" t="str">
        <f t="shared" si="23"/>
        <v>106.666666666667|213.333333333333</v>
      </c>
      <c r="BY23">
        <f t="shared" si="24"/>
        <v>260</v>
      </c>
      <c r="BZ23">
        <f t="shared" si="25"/>
        <v>320</v>
      </c>
      <c r="CA23" s="8">
        <f t="shared" si="26"/>
        <v>106.666666666667</v>
      </c>
      <c r="CB23" s="8">
        <f t="shared" si="27"/>
        <v>213.333333333333</v>
      </c>
      <c r="CD23">
        <v>22</v>
      </c>
      <c r="CE23" s="8">
        <f t="shared" si="28"/>
        <v>210</v>
      </c>
      <c r="CG23">
        <v>3.1</v>
      </c>
      <c r="CH23" s="18">
        <f t="shared" si="29"/>
        <v>210</v>
      </c>
      <c r="CI23">
        <f t="shared" si="30"/>
        <v>310</v>
      </c>
      <c r="CJ23" s="19"/>
      <c r="CK23" s="19">
        <v>22</v>
      </c>
      <c r="CL23" s="19">
        <f t="shared" si="31"/>
        <v>468</v>
      </c>
      <c r="CM23" s="19"/>
      <c r="CN23" s="19">
        <f t="shared" si="32"/>
        <v>5.68</v>
      </c>
      <c r="CO23" s="18">
        <f t="shared" si="33"/>
        <v>468</v>
      </c>
      <c r="CP23">
        <v>155</v>
      </c>
      <c r="CQ23">
        <v>78</v>
      </c>
      <c r="CR23" t="str">
        <f t="shared" si="34"/>
        <v>155|78</v>
      </c>
      <c r="CT23" s="4"/>
      <c r="CV23" s="8">
        <v>42</v>
      </c>
      <c r="CW23">
        <v>22</v>
      </c>
      <c r="CX23" t="str">
        <f t="shared" si="35"/>
        <v>-48|-48|-48|-48|-48</v>
      </c>
      <c r="CY23">
        <v>2.6</v>
      </c>
      <c r="CZ23">
        <f t="shared" si="70"/>
        <v>5</v>
      </c>
      <c r="DA23">
        <f t="shared" si="36"/>
        <v>-48</v>
      </c>
      <c r="DB23" s="8">
        <f t="shared" si="37"/>
        <v>52</v>
      </c>
      <c r="DC23">
        <v>22.6</v>
      </c>
      <c r="DD23" t="str">
        <f t="shared" si="38"/>
        <v>52|22.6</v>
      </c>
      <c r="DF23">
        <v>22</v>
      </c>
      <c r="DG23">
        <v>610</v>
      </c>
      <c r="DI23" s="8">
        <v>-78</v>
      </c>
      <c r="DJ23" s="8">
        <v>-76</v>
      </c>
      <c r="DK23" s="10"/>
      <c r="DL23" s="10">
        <v>22</v>
      </c>
      <c r="DM23">
        <f t="shared" si="39"/>
        <v>335</v>
      </c>
      <c r="DN23" s="10"/>
      <c r="DO23" s="10">
        <v>4.35</v>
      </c>
      <c r="DP23" s="15">
        <v>-78</v>
      </c>
      <c r="DQ23" s="8">
        <f t="shared" si="40"/>
        <v>435</v>
      </c>
      <c r="DR23" s="8">
        <f t="shared" si="41"/>
        <v>22</v>
      </c>
      <c r="DS23" t="str">
        <f t="shared" si="42"/>
        <v>435|22</v>
      </c>
      <c r="DU23">
        <v>22</v>
      </c>
      <c r="DV23" s="10">
        <f t="shared" si="43"/>
        <v>272</v>
      </c>
      <c r="DW23">
        <f t="shared" si="71"/>
        <v>1</v>
      </c>
      <c r="DX23">
        <v>3.72</v>
      </c>
      <c r="DZ23">
        <f t="shared" si="44"/>
        <v>372</v>
      </c>
      <c r="EB23">
        <v>22</v>
      </c>
      <c r="EC23" s="8">
        <f t="shared" si="45"/>
        <v>-37.8333333333333</v>
      </c>
      <c r="ED23">
        <f t="shared" si="72"/>
        <v>6</v>
      </c>
      <c r="EE23">
        <v>3.73</v>
      </c>
      <c r="EF23" s="3" t="str">
        <f t="shared" si="46"/>
        <v>-37.8333333333333|-37.8333333333333|-37.8333333333333|-37.8333333333333|-37.8333333333333|-37.8333333333333</v>
      </c>
      <c r="EG23" s="8">
        <f t="shared" si="47"/>
        <v>62</v>
      </c>
      <c r="EH23" s="3"/>
      <c r="EJ23">
        <v>22</v>
      </c>
      <c r="EK23" s="8">
        <f t="shared" si="48"/>
        <v>-48.3333333333333</v>
      </c>
      <c r="EL23">
        <f t="shared" si="73"/>
        <v>6</v>
      </c>
      <c r="EM23">
        <v>3.1</v>
      </c>
      <c r="EN23" s="3" t="str">
        <f t="shared" si="49"/>
        <v>-48.3333333333333|-48.3333333333333|-48.3333333333333|-48.3333333333333|-48.3333333333333|-48.3333333333333</v>
      </c>
      <c r="EO23" s="8">
        <f t="shared" si="50"/>
        <v>52</v>
      </c>
      <c r="EP23" s="8"/>
      <c r="EQ23" s="8"/>
      <c r="ER23" s="8">
        <f t="shared" si="51"/>
        <v>365</v>
      </c>
      <c r="ES23" s="8">
        <f t="shared" si="74"/>
        <v>1</v>
      </c>
      <c r="ET23">
        <v>4.65</v>
      </c>
      <c r="EU23" s="8"/>
      <c r="EV23" s="8">
        <f t="shared" si="52"/>
        <v>465</v>
      </c>
      <c r="EW23" s="8">
        <f t="shared" si="53"/>
        <v>303</v>
      </c>
      <c r="EX23">
        <v>4.03</v>
      </c>
      <c r="EY23">
        <f t="shared" si="75"/>
        <v>1</v>
      </c>
      <c r="EZ23">
        <v>105.4</v>
      </c>
      <c r="FA23">
        <v>3.302</v>
      </c>
      <c r="FB23" s="8">
        <f t="shared" si="54"/>
        <v>403</v>
      </c>
      <c r="FC23" t="str">
        <f t="shared" si="55"/>
        <v>303|105.4|3.302</v>
      </c>
      <c r="FE23">
        <v>22</v>
      </c>
      <c r="FF23" s="8">
        <f t="shared" si="56"/>
        <v>520</v>
      </c>
      <c r="FG23">
        <f t="shared" si="76"/>
        <v>1</v>
      </c>
      <c r="FH23">
        <f t="shared" si="77"/>
        <v>6.2</v>
      </c>
      <c r="FJ23">
        <v>22</v>
      </c>
      <c r="FK23" s="8">
        <f t="shared" si="57"/>
        <v>520</v>
      </c>
      <c r="FL23" s="8" t="str">
        <f t="shared" si="78"/>
        <v>0|40</v>
      </c>
      <c r="FM23">
        <f t="shared" si="79"/>
        <v>1</v>
      </c>
      <c r="FN23">
        <f t="shared" si="80"/>
        <v>6.2</v>
      </c>
      <c r="FP23">
        <v>22</v>
      </c>
      <c r="FQ23" s="8">
        <f t="shared" si="58"/>
        <v>107</v>
      </c>
      <c r="FR23">
        <f t="shared" si="81"/>
        <v>3</v>
      </c>
      <c r="FS23">
        <f t="shared" si="82"/>
        <v>6.2</v>
      </c>
      <c r="FT23" t="str">
        <f t="shared" si="59"/>
        <v>107|107|107</v>
      </c>
    </row>
    <row r="24" spans="7:176">
      <c r="G24">
        <v>23</v>
      </c>
      <c r="H24">
        <f t="shared" si="0"/>
        <v>-27.2</v>
      </c>
      <c r="I24">
        <f t="shared" si="60"/>
        <v>5</v>
      </c>
      <c r="J24">
        <v>3.64</v>
      </c>
      <c r="K24" s="7" t="str">
        <f t="shared" si="1"/>
        <v>-27.2|-27.2|-27.2|-27.2|-27.2</v>
      </c>
      <c r="L24">
        <f t="shared" si="2"/>
        <v>73</v>
      </c>
      <c r="M24" s="7"/>
      <c r="N24" s="7">
        <v>23</v>
      </c>
      <c r="O24">
        <f t="shared" si="3"/>
        <v>20.6666666666667</v>
      </c>
      <c r="P24">
        <f t="shared" si="61"/>
        <v>3</v>
      </c>
      <c r="Q24">
        <v>3.62</v>
      </c>
      <c r="R24" s="7" t="str">
        <f t="shared" si="4"/>
        <v>20.6666666666667|20.6666666666667|20.6666666666667</v>
      </c>
      <c r="S24">
        <f t="shared" si="5"/>
        <v>121</v>
      </c>
      <c r="U24">
        <v>23</v>
      </c>
      <c r="V24">
        <f t="shared" si="6"/>
        <v>-35.25</v>
      </c>
      <c r="W24">
        <f t="shared" si="62"/>
        <v>8</v>
      </c>
      <c r="X24">
        <v>5.18</v>
      </c>
      <c r="Y24" s="7" t="str">
        <f t="shared" si="7"/>
        <v>-35.25|-35.25|-35.25|-35.25|-35.25|-35.25|-35.25|-35.25</v>
      </c>
      <c r="Z24">
        <f t="shared" si="8"/>
        <v>65</v>
      </c>
      <c r="AA24">
        <f t="shared" si="9"/>
        <v>-7.64</v>
      </c>
      <c r="AC24">
        <v>23</v>
      </c>
      <c r="AD24">
        <f t="shared" si="10"/>
        <v>363</v>
      </c>
      <c r="AE24">
        <v>1</v>
      </c>
      <c r="AF24">
        <v>4.63</v>
      </c>
      <c r="AH24">
        <f t="shared" si="12"/>
        <v>463</v>
      </c>
      <c r="AJ24">
        <v>23</v>
      </c>
      <c r="AL24">
        <v>3200</v>
      </c>
      <c r="AM24">
        <v>13</v>
      </c>
      <c r="AO24" t="str">
        <f t="shared" si="13"/>
        <v>3200|13</v>
      </c>
      <c r="AR24">
        <v>23</v>
      </c>
      <c r="AS24">
        <f t="shared" si="14"/>
        <v>220</v>
      </c>
      <c r="AT24">
        <f t="shared" si="63"/>
        <v>1</v>
      </c>
      <c r="AU24">
        <v>3.2</v>
      </c>
      <c r="AV24">
        <f t="shared" si="15"/>
        <v>320</v>
      </c>
      <c r="AW24" s="10"/>
      <c r="AX24" s="10">
        <v>23</v>
      </c>
      <c r="AY24" s="10">
        <f t="shared" si="16"/>
        <v>540</v>
      </c>
      <c r="AZ24" s="10"/>
      <c r="BA24" s="10">
        <v>6.4</v>
      </c>
      <c r="BB24">
        <f t="shared" si="17"/>
        <v>640</v>
      </c>
      <c r="BD24">
        <v>2600</v>
      </c>
      <c r="BE24" s="8" t="s">
        <v>53</v>
      </c>
      <c r="BF24" t="str">
        <f t="shared" si="18"/>
        <v>2600|14</v>
      </c>
      <c r="BH24">
        <v>23</v>
      </c>
      <c r="BI24" s="10">
        <f t="shared" si="19"/>
        <v>4.4</v>
      </c>
      <c r="BJ24">
        <f t="shared" si="64"/>
        <v>5</v>
      </c>
      <c r="BK24">
        <v>5.22</v>
      </c>
      <c r="BL24" s="3" t="str">
        <f t="shared" si="20"/>
        <v>4.4|4.4|4.4|4.4|4.4</v>
      </c>
      <c r="BM24">
        <f t="shared" si="21"/>
        <v>104</v>
      </c>
      <c r="BN24" s="8">
        <f t="shared" si="65"/>
        <v>10.4</v>
      </c>
      <c r="BO24" s="8">
        <f t="shared" si="66"/>
        <v>15.6</v>
      </c>
      <c r="BP24" s="8">
        <f t="shared" si="67"/>
        <v>20.8</v>
      </c>
      <c r="BQ24" s="8">
        <f t="shared" si="68"/>
        <v>26</v>
      </c>
      <c r="BR24" s="8">
        <f t="shared" si="69"/>
        <v>31.2</v>
      </c>
      <c r="BT24">
        <v>23</v>
      </c>
      <c r="BU24">
        <f t="shared" si="22"/>
        <v>170</v>
      </c>
      <c r="BW24">
        <v>5.4</v>
      </c>
      <c r="BX24" s="7" t="str">
        <f t="shared" si="23"/>
        <v>113.333333333333|226.666666666667</v>
      </c>
      <c r="BY24">
        <f t="shared" si="24"/>
        <v>270</v>
      </c>
      <c r="BZ24">
        <f t="shared" si="25"/>
        <v>340</v>
      </c>
      <c r="CA24" s="8">
        <f t="shared" si="26"/>
        <v>113.333333333333</v>
      </c>
      <c r="CB24" s="8">
        <f t="shared" si="27"/>
        <v>226.666666666667</v>
      </c>
      <c r="CD24">
        <v>23</v>
      </c>
      <c r="CE24" s="8">
        <f t="shared" si="28"/>
        <v>220</v>
      </c>
      <c r="CG24">
        <v>3.2</v>
      </c>
      <c r="CH24" s="18">
        <f t="shared" si="29"/>
        <v>220</v>
      </c>
      <c r="CI24">
        <f t="shared" si="30"/>
        <v>320</v>
      </c>
      <c r="CJ24" s="19"/>
      <c r="CK24" s="19">
        <v>23</v>
      </c>
      <c r="CL24" s="19">
        <f t="shared" si="31"/>
        <v>476</v>
      </c>
      <c r="CM24" s="19"/>
      <c r="CN24" s="19">
        <f t="shared" si="32"/>
        <v>5.76</v>
      </c>
      <c r="CO24" s="18">
        <f t="shared" si="33"/>
        <v>476</v>
      </c>
      <c r="CP24">
        <v>160</v>
      </c>
      <c r="CQ24">
        <v>77</v>
      </c>
      <c r="CR24" t="str">
        <f t="shared" si="34"/>
        <v>160|77</v>
      </c>
      <c r="CT24" s="4"/>
      <c r="CV24" s="8">
        <v>43</v>
      </c>
      <c r="CW24">
        <v>23</v>
      </c>
      <c r="CX24" t="str">
        <f t="shared" si="35"/>
        <v>-46|-46|-46|-46|-46</v>
      </c>
      <c r="CY24">
        <v>2.7</v>
      </c>
      <c r="CZ24">
        <f t="shared" si="70"/>
        <v>5</v>
      </c>
      <c r="DA24">
        <f t="shared" si="36"/>
        <v>-46</v>
      </c>
      <c r="DB24" s="8">
        <f t="shared" si="37"/>
        <v>54</v>
      </c>
      <c r="DC24">
        <v>23.2</v>
      </c>
      <c r="DD24" t="str">
        <f t="shared" si="38"/>
        <v>54|23.2</v>
      </c>
      <c r="DF24">
        <v>23</v>
      </c>
      <c r="DG24">
        <v>620</v>
      </c>
      <c r="DI24" s="8">
        <v>-78</v>
      </c>
      <c r="DJ24" s="8">
        <v>-76</v>
      </c>
      <c r="DK24" s="10"/>
      <c r="DL24" s="10">
        <v>23</v>
      </c>
      <c r="DM24">
        <f t="shared" si="39"/>
        <v>350</v>
      </c>
      <c r="DN24" s="10"/>
      <c r="DO24" s="10">
        <v>4.5</v>
      </c>
      <c r="DP24" s="15">
        <v>-77</v>
      </c>
      <c r="DQ24" s="8">
        <f t="shared" si="40"/>
        <v>450</v>
      </c>
      <c r="DR24" s="8">
        <f t="shared" si="41"/>
        <v>23</v>
      </c>
      <c r="DS24" t="str">
        <f t="shared" si="42"/>
        <v>450|23</v>
      </c>
      <c r="DU24">
        <v>23</v>
      </c>
      <c r="DV24" s="10">
        <f t="shared" si="43"/>
        <v>284</v>
      </c>
      <c r="DW24">
        <f t="shared" si="71"/>
        <v>1</v>
      </c>
      <c r="DX24">
        <v>3.84</v>
      </c>
      <c r="DZ24">
        <f t="shared" si="44"/>
        <v>384</v>
      </c>
      <c r="EB24">
        <v>23</v>
      </c>
      <c r="EC24" s="8">
        <f t="shared" si="45"/>
        <v>-35.6666666666667</v>
      </c>
      <c r="ED24">
        <f t="shared" si="72"/>
        <v>6</v>
      </c>
      <c r="EE24">
        <v>3.86</v>
      </c>
      <c r="EF24" s="3" t="str">
        <f t="shared" si="46"/>
        <v>-35.6666666666667|-35.6666666666667|-35.6666666666667|-35.6666666666667|-35.6666666666667|-35.6666666666667</v>
      </c>
      <c r="EG24" s="8">
        <f t="shared" si="47"/>
        <v>64</v>
      </c>
      <c r="EH24" s="3"/>
      <c r="EJ24">
        <v>23</v>
      </c>
      <c r="EK24" s="8">
        <f t="shared" si="48"/>
        <v>-46.6666666666667</v>
      </c>
      <c r="EL24">
        <f t="shared" si="73"/>
        <v>6</v>
      </c>
      <c r="EM24">
        <v>3.2</v>
      </c>
      <c r="EN24" s="3" t="str">
        <f t="shared" si="49"/>
        <v>-46.6666666666667|-46.6666666666667|-46.6666666666667|-46.6666666666667|-46.6666666666667|-46.6666666666667</v>
      </c>
      <c r="EO24" s="8">
        <f t="shared" si="50"/>
        <v>53</v>
      </c>
      <c r="EP24" s="8"/>
      <c r="EQ24" s="8"/>
      <c r="ER24" s="8">
        <f t="shared" si="51"/>
        <v>380</v>
      </c>
      <c r="ES24" s="8">
        <f t="shared" si="74"/>
        <v>1</v>
      </c>
      <c r="ET24">
        <v>4.8</v>
      </c>
      <c r="EU24" s="8"/>
      <c r="EV24" s="8">
        <f t="shared" si="52"/>
        <v>480</v>
      </c>
      <c r="EW24" s="8">
        <f t="shared" si="53"/>
        <v>316</v>
      </c>
      <c r="EX24">
        <v>4.16</v>
      </c>
      <c r="EY24">
        <f t="shared" si="75"/>
        <v>1</v>
      </c>
      <c r="EZ24">
        <v>108.8</v>
      </c>
      <c r="FA24">
        <v>3.364</v>
      </c>
      <c r="FB24" s="8">
        <f t="shared" si="54"/>
        <v>416</v>
      </c>
      <c r="FC24" t="str">
        <f t="shared" si="55"/>
        <v>316|108.8|3.364</v>
      </c>
      <c r="FE24">
        <v>23</v>
      </c>
      <c r="FF24" s="8">
        <f t="shared" si="56"/>
        <v>540</v>
      </c>
      <c r="FG24">
        <f t="shared" si="76"/>
        <v>1</v>
      </c>
      <c r="FH24">
        <f t="shared" si="77"/>
        <v>6.4</v>
      </c>
      <c r="FJ24">
        <v>23</v>
      </c>
      <c r="FK24" s="8">
        <f t="shared" si="57"/>
        <v>540</v>
      </c>
      <c r="FL24" s="8" t="str">
        <f t="shared" si="78"/>
        <v>0|40</v>
      </c>
      <c r="FM24">
        <f t="shared" si="79"/>
        <v>1</v>
      </c>
      <c r="FN24">
        <f t="shared" si="80"/>
        <v>6.4</v>
      </c>
      <c r="FP24">
        <v>23</v>
      </c>
      <c r="FQ24" s="8">
        <f t="shared" si="58"/>
        <v>113</v>
      </c>
      <c r="FR24">
        <f t="shared" si="81"/>
        <v>3</v>
      </c>
      <c r="FS24">
        <f t="shared" si="82"/>
        <v>6.4</v>
      </c>
      <c r="FT24" t="str">
        <f t="shared" si="59"/>
        <v>113|113|113</v>
      </c>
    </row>
    <row r="25" spans="7:176">
      <c r="G25">
        <v>24</v>
      </c>
      <c r="H25">
        <f t="shared" si="0"/>
        <v>-24.8</v>
      </c>
      <c r="I25">
        <f t="shared" si="60"/>
        <v>5</v>
      </c>
      <c r="J25">
        <v>3.76</v>
      </c>
      <c r="K25" s="7" t="str">
        <f t="shared" si="1"/>
        <v>-24.8|-24.8|-24.8|-24.8|-24.8</v>
      </c>
      <c r="L25">
        <f t="shared" si="2"/>
        <v>75</v>
      </c>
      <c r="M25" s="7"/>
      <c r="N25" s="7">
        <v>24</v>
      </c>
      <c r="O25">
        <f t="shared" si="3"/>
        <v>24.3333333333333</v>
      </c>
      <c r="P25">
        <f t="shared" si="61"/>
        <v>3</v>
      </c>
      <c r="Q25">
        <v>3.73</v>
      </c>
      <c r="R25" s="7" t="str">
        <f t="shared" si="4"/>
        <v>24.3333333333333|24.3333333333333|24.3333333333333</v>
      </c>
      <c r="S25">
        <f t="shared" si="5"/>
        <v>124</v>
      </c>
      <c r="U25">
        <v>24</v>
      </c>
      <c r="V25">
        <f t="shared" si="6"/>
        <v>-32.875</v>
      </c>
      <c r="W25">
        <f t="shared" si="62"/>
        <v>8</v>
      </c>
      <c r="X25">
        <v>5.37</v>
      </c>
      <c r="Y25" s="7" t="str">
        <f t="shared" si="7"/>
        <v>-32.875|-32.875|-32.875|-32.875|-32.875|-32.875|-32.875|-32.875</v>
      </c>
      <c r="Z25">
        <f t="shared" si="8"/>
        <v>67</v>
      </c>
      <c r="AA25">
        <f t="shared" si="9"/>
        <v>-6.26000000000001</v>
      </c>
      <c r="AC25">
        <v>24</v>
      </c>
      <c r="AD25">
        <f t="shared" si="10"/>
        <v>377</v>
      </c>
      <c r="AE25">
        <v>1</v>
      </c>
      <c r="AF25">
        <v>4.77</v>
      </c>
      <c r="AH25">
        <f t="shared" si="12"/>
        <v>477</v>
      </c>
      <c r="AJ25">
        <v>24</v>
      </c>
      <c r="AL25">
        <v>3300</v>
      </c>
      <c r="AM25">
        <v>13.5</v>
      </c>
      <c r="AO25" t="str">
        <f t="shared" si="13"/>
        <v>3300|13.5</v>
      </c>
      <c r="AR25">
        <v>24</v>
      </c>
      <c r="AS25">
        <f t="shared" si="14"/>
        <v>230</v>
      </c>
      <c r="AT25">
        <f t="shared" si="63"/>
        <v>1</v>
      </c>
      <c r="AU25">
        <v>3.3</v>
      </c>
      <c r="AV25">
        <f t="shared" si="15"/>
        <v>330</v>
      </c>
      <c r="AW25" s="10"/>
      <c r="AX25" s="10">
        <v>24</v>
      </c>
      <c r="AY25" s="10">
        <f t="shared" si="16"/>
        <v>560</v>
      </c>
      <c r="AZ25" s="10"/>
      <c r="BA25" s="10">
        <v>6.6</v>
      </c>
      <c r="BB25">
        <f t="shared" si="17"/>
        <v>660</v>
      </c>
      <c r="BD25">
        <v>2700</v>
      </c>
      <c r="BE25" s="8" t="s">
        <v>53</v>
      </c>
      <c r="BF25" t="str">
        <f t="shared" si="18"/>
        <v>2700|14</v>
      </c>
      <c r="BH25">
        <v>24</v>
      </c>
      <c r="BI25" s="10">
        <f t="shared" si="19"/>
        <v>7.60000000000001</v>
      </c>
      <c r="BJ25">
        <f t="shared" si="64"/>
        <v>5</v>
      </c>
      <c r="BK25">
        <v>5.38</v>
      </c>
      <c r="BL25" s="3" t="str">
        <f t="shared" si="20"/>
        <v>7.60000000000001|7.60000000000001|7.60000000000001|7.60000000000001|7.60000000000001</v>
      </c>
      <c r="BM25">
        <f t="shared" si="21"/>
        <v>108</v>
      </c>
      <c r="BN25" s="8">
        <f t="shared" si="65"/>
        <v>10.8</v>
      </c>
      <c r="BO25" s="8">
        <f t="shared" si="66"/>
        <v>16.2</v>
      </c>
      <c r="BP25" s="8">
        <f t="shared" si="67"/>
        <v>21.6</v>
      </c>
      <c r="BQ25" s="8">
        <f t="shared" si="68"/>
        <v>27</v>
      </c>
      <c r="BR25" s="8">
        <f t="shared" si="69"/>
        <v>32.4</v>
      </c>
      <c r="BT25">
        <v>24</v>
      </c>
      <c r="BU25">
        <f t="shared" si="22"/>
        <v>180</v>
      </c>
      <c r="BW25">
        <v>5.6</v>
      </c>
      <c r="BX25" s="7" t="str">
        <f t="shared" si="23"/>
        <v>120|240</v>
      </c>
      <c r="BY25">
        <f t="shared" si="24"/>
        <v>280</v>
      </c>
      <c r="BZ25">
        <f t="shared" si="25"/>
        <v>360</v>
      </c>
      <c r="CA25" s="8">
        <f t="shared" si="26"/>
        <v>120</v>
      </c>
      <c r="CB25" s="8">
        <f t="shared" si="27"/>
        <v>240</v>
      </c>
      <c r="CD25">
        <v>24</v>
      </c>
      <c r="CE25" s="8">
        <f t="shared" si="28"/>
        <v>230</v>
      </c>
      <c r="CG25">
        <v>3.3</v>
      </c>
      <c r="CH25" s="18">
        <f t="shared" si="29"/>
        <v>230</v>
      </c>
      <c r="CI25">
        <f t="shared" si="30"/>
        <v>330</v>
      </c>
      <c r="CJ25" s="19"/>
      <c r="CK25" s="19">
        <v>24</v>
      </c>
      <c r="CL25" s="19">
        <f t="shared" si="31"/>
        <v>484</v>
      </c>
      <c r="CM25" s="19"/>
      <c r="CN25" s="19">
        <f t="shared" si="32"/>
        <v>5.84</v>
      </c>
      <c r="CO25" s="18">
        <f t="shared" si="33"/>
        <v>484</v>
      </c>
      <c r="CP25">
        <v>165</v>
      </c>
      <c r="CQ25">
        <v>76</v>
      </c>
      <c r="CR25" t="str">
        <f t="shared" si="34"/>
        <v>165|76</v>
      </c>
      <c r="CT25" s="4"/>
      <c r="CV25" s="8">
        <v>45</v>
      </c>
      <c r="CW25">
        <v>24</v>
      </c>
      <c r="CX25" t="str">
        <f t="shared" si="35"/>
        <v>-44|-44|-44|-44|-44</v>
      </c>
      <c r="CY25">
        <v>2.8</v>
      </c>
      <c r="CZ25">
        <f t="shared" si="70"/>
        <v>5</v>
      </c>
      <c r="DA25">
        <f t="shared" si="36"/>
        <v>-44</v>
      </c>
      <c r="DB25" s="8">
        <f t="shared" si="37"/>
        <v>56</v>
      </c>
      <c r="DC25">
        <v>23.8</v>
      </c>
      <c r="DD25" t="str">
        <f t="shared" si="38"/>
        <v>56|23.8</v>
      </c>
      <c r="DF25">
        <v>24</v>
      </c>
      <c r="DG25">
        <v>630</v>
      </c>
      <c r="DI25" s="8">
        <v>-77</v>
      </c>
      <c r="DJ25" s="8">
        <v>-75</v>
      </c>
      <c r="DK25" s="10"/>
      <c r="DL25" s="10">
        <v>24</v>
      </c>
      <c r="DM25">
        <f t="shared" si="39"/>
        <v>365</v>
      </c>
      <c r="DN25" s="10"/>
      <c r="DO25" s="10">
        <v>4.65</v>
      </c>
      <c r="DP25" s="15">
        <v>-76</v>
      </c>
      <c r="DQ25" s="8">
        <f t="shared" si="40"/>
        <v>465</v>
      </c>
      <c r="DR25" s="8">
        <f t="shared" si="41"/>
        <v>24</v>
      </c>
      <c r="DS25" t="str">
        <f t="shared" si="42"/>
        <v>465|24</v>
      </c>
      <c r="DU25">
        <v>24</v>
      </c>
      <c r="DV25" s="10">
        <f t="shared" si="43"/>
        <v>296</v>
      </c>
      <c r="DW25">
        <f t="shared" si="71"/>
        <v>1</v>
      </c>
      <c r="DX25">
        <v>3.96</v>
      </c>
      <c r="DZ25">
        <f t="shared" si="44"/>
        <v>396</v>
      </c>
      <c r="EB25">
        <v>24</v>
      </c>
      <c r="EC25" s="8">
        <f t="shared" si="45"/>
        <v>-33.5</v>
      </c>
      <c r="ED25">
        <f t="shared" si="72"/>
        <v>6</v>
      </c>
      <c r="EE25">
        <v>3.99</v>
      </c>
      <c r="EF25" s="3" t="str">
        <f t="shared" si="46"/>
        <v>-33.5|-33.5|-33.5|-33.5|-33.5|-33.5</v>
      </c>
      <c r="EG25" s="8">
        <f t="shared" si="47"/>
        <v>67</v>
      </c>
      <c r="EH25" s="3"/>
      <c r="EJ25">
        <v>24</v>
      </c>
      <c r="EK25" s="8">
        <f t="shared" si="48"/>
        <v>-45</v>
      </c>
      <c r="EL25">
        <f t="shared" si="73"/>
        <v>6</v>
      </c>
      <c r="EM25">
        <v>3.3</v>
      </c>
      <c r="EN25" s="3" t="str">
        <f t="shared" si="49"/>
        <v>-45|-45|-45|-45|-45|-45</v>
      </c>
      <c r="EO25" s="8">
        <f t="shared" si="50"/>
        <v>55</v>
      </c>
      <c r="EP25" s="8"/>
      <c r="EQ25" s="8"/>
      <c r="ER25" s="8">
        <f t="shared" si="51"/>
        <v>395</v>
      </c>
      <c r="ES25" s="8">
        <f t="shared" si="74"/>
        <v>1</v>
      </c>
      <c r="ET25">
        <v>4.95</v>
      </c>
      <c r="EU25" s="8"/>
      <c r="EV25" s="8">
        <f t="shared" si="52"/>
        <v>495</v>
      </c>
      <c r="EW25" s="8">
        <f t="shared" si="53"/>
        <v>329</v>
      </c>
      <c r="EX25">
        <v>4.29</v>
      </c>
      <c r="EY25">
        <f t="shared" si="75"/>
        <v>1</v>
      </c>
      <c r="EZ25">
        <v>112.2</v>
      </c>
      <c r="FA25">
        <v>3.426</v>
      </c>
      <c r="FB25" s="8">
        <f t="shared" si="54"/>
        <v>429</v>
      </c>
      <c r="FC25" t="str">
        <f t="shared" si="55"/>
        <v>329|112.2|3.426</v>
      </c>
      <c r="FE25">
        <v>24</v>
      </c>
      <c r="FF25" s="8">
        <f t="shared" si="56"/>
        <v>560</v>
      </c>
      <c r="FG25">
        <f t="shared" si="76"/>
        <v>1</v>
      </c>
      <c r="FH25">
        <f t="shared" si="77"/>
        <v>6.6</v>
      </c>
      <c r="FJ25">
        <v>24</v>
      </c>
      <c r="FK25" s="8">
        <f t="shared" si="57"/>
        <v>560</v>
      </c>
      <c r="FL25" s="8" t="str">
        <f t="shared" si="78"/>
        <v>0|40</v>
      </c>
      <c r="FM25">
        <f t="shared" si="79"/>
        <v>1</v>
      </c>
      <c r="FN25">
        <f t="shared" si="80"/>
        <v>6.6</v>
      </c>
      <c r="FP25">
        <v>24</v>
      </c>
      <c r="FQ25" s="8">
        <f t="shared" si="58"/>
        <v>120</v>
      </c>
      <c r="FR25">
        <f t="shared" si="81"/>
        <v>3</v>
      </c>
      <c r="FS25">
        <f t="shared" si="82"/>
        <v>6.6</v>
      </c>
      <c r="FT25" t="str">
        <f t="shared" si="59"/>
        <v>120|120|120</v>
      </c>
    </row>
    <row r="26" spans="7:176">
      <c r="G26">
        <v>25</v>
      </c>
      <c r="H26">
        <f t="shared" si="0"/>
        <v>-22.4</v>
      </c>
      <c r="I26">
        <f t="shared" si="60"/>
        <v>5</v>
      </c>
      <c r="J26">
        <v>3.88</v>
      </c>
      <c r="K26" s="7" t="str">
        <f t="shared" si="1"/>
        <v>-22.4|-22.4|-22.4|-22.4|-22.4</v>
      </c>
      <c r="L26">
        <f t="shared" si="2"/>
        <v>78</v>
      </c>
      <c r="M26" s="7"/>
      <c r="N26" s="7">
        <v>25</v>
      </c>
      <c r="O26">
        <f t="shared" si="3"/>
        <v>28</v>
      </c>
      <c r="P26">
        <f t="shared" si="61"/>
        <v>3</v>
      </c>
      <c r="Q26">
        <v>3.84</v>
      </c>
      <c r="R26" s="7" t="str">
        <f t="shared" si="4"/>
        <v>28|28|28</v>
      </c>
      <c r="S26">
        <f t="shared" si="5"/>
        <v>128</v>
      </c>
      <c r="U26">
        <v>25</v>
      </c>
      <c r="V26">
        <f t="shared" si="6"/>
        <v>-30.5</v>
      </c>
      <c r="W26">
        <f t="shared" si="62"/>
        <v>8</v>
      </c>
      <c r="X26">
        <v>5.56</v>
      </c>
      <c r="Y26" s="7" t="str">
        <f t="shared" si="7"/>
        <v>-30.5|-30.5|-30.5|-30.5|-30.5|-30.5|-30.5|-30.5</v>
      </c>
      <c r="Z26">
        <f t="shared" si="8"/>
        <v>70</v>
      </c>
      <c r="AA26">
        <f t="shared" si="9"/>
        <v>-4.88</v>
      </c>
      <c r="AC26">
        <v>25</v>
      </c>
      <c r="AD26">
        <f t="shared" si="10"/>
        <v>391</v>
      </c>
      <c r="AE26">
        <v>1</v>
      </c>
      <c r="AF26">
        <v>4.91</v>
      </c>
      <c r="AH26">
        <f t="shared" si="12"/>
        <v>491</v>
      </c>
      <c r="AJ26">
        <v>25</v>
      </c>
      <c r="AL26">
        <v>3400</v>
      </c>
      <c r="AM26">
        <v>14</v>
      </c>
      <c r="AO26" t="str">
        <f t="shared" si="13"/>
        <v>3400|14</v>
      </c>
      <c r="AR26">
        <v>25</v>
      </c>
      <c r="AS26">
        <f t="shared" si="14"/>
        <v>240</v>
      </c>
      <c r="AT26">
        <f t="shared" si="63"/>
        <v>1</v>
      </c>
      <c r="AU26">
        <v>3.4</v>
      </c>
      <c r="AV26">
        <f t="shared" si="15"/>
        <v>340</v>
      </c>
      <c r="AW26" s="10"/>
      <c r="AX26" s="10">
        <v>25</v>
      </c>
      <c r="AY26" s="10">
        <f t="shared" si="16"/>
        <v>580</v>
      </c>
      <c r="AZ26" s="10"/>
      <c r="BA26" s="10">
        <v>6.8</v>
      </c>
      <c r="BB26">
        <f t="shared" si="17"/>
        <v>680</v>
      </c>
      <c r="BD26">
        <v>2800</v>
      </c>
      <c r="BE26" s="8" t="s">
        <v>53</v>
      </c>
      <c r="BF26" t="str">
        <f t="shared" si="18"/>
        <v>2800|14</v>
      </c>
      <c r="BH26">
        <v>25</v>
      </c>
      <c r="BI26" s="10">
        <f t="shared" si="19"/>
        <v>10.8</v>
      </c>
      <c r="BJ26">
        <f t="shared" si="64"/>
        <v>5</v>
      </c>
      <c r="BK26">
        <v>5.54</v>
      </c>
      <c r="BL26" s="3" t="str">
        <f t="shared" si="20"/>
        <v>10.8|10.8|10.8|10.8|10.8</v>
      </c>
      <c r="BM26">
        <f t="shared" si="21"/>
        <v>111</v>
      </c>
      <c r="BN26" s="8">
        <f t="shared" si="65"/>
        <v>11.1</v>
      </c>
      <c r="BO26" s="8">
        <f t="shared" si="66"/>
        <v>16.65</v>
      </c>
      <c r="BP26" s="8">
        <f t="shared" si="67"/>
        <v>22.2</v>
      </c>
      <c r="BQ26" s="8">
        <f t="shared" si="68"/>
        <v>27.75</v>
      </c>
      <c r="BR26" s="8">
        <f t="shared" si="69"/>
        <v>33.3</v>
      </c>
      <c r="BT26">
        <v>25</v>
      </c>
      <c r="BU26">
        <f t="shared" si="22"/>
        <v>190</v>
      </c>
      <c r="BW26">
        <v>5.8</v>
      </c>
      <c r="BX26" s="7" t="str">
        <f t="shared" si="23"/>
        <v>126.666666666667|253.333333333333</v>
      </c>
      <c r="BY26">
        <f t="shared" si="24"/>
        <v>290</v>
      </c>
      <c r="BZ26">
        <f t="shared" si="25"/>
        <v>380</v>
      </c>
      <c r="CA26" s="8">
        <f t="shared" si="26"/>
        <v>126.666666666667</v>
      </c>
      <c r="CB26" s="8">
        <f t="shared" si="27"/>
        <v>253.333333333333</v>
      </c>
      <c r="CD26">
        <v>25</v>
      </c>
      <c r="CE26" s="8">
        <f t="shared" si="28"/>
        <v>240</v>
      </c>
      <c r="CG26">
        <v>3.4</v>
      </c>
      <c r="CH26" s="18">
        <f t="shared" si="29"/>
        <v>240</v>
      </c>
      <c r="CI26">
        <f t="shared" si="30"/>
        <v>340</v>
      </c>
      <c r="CJ26" s="19"/>
      <c r="CK26" s="19">
        <v>25</v>
      </c>
      <c r="CL26" s="19">
        <f t="shared" si="31"/>
        <v>492</v>
      </c>
      <c r="CM26" s="19"/>
      <c r="CN26" s="19">
        <f t="shared" si="32"/>
        <v>5.92</v>
      </c>
      <c r="CO26" s="18">
        <f t="shared" si="33"/>
        <v>492</v>
      </c>
      <c r="CP26">
        <v>170</v>
      </c>
      <c r="CQ26">
        <v>75</v>
      </c>
      <c r="CR26" t="str">
        <f t="shared" si="34"/>
        <v>170|75</v>
      </c>
      <c r="CT26" s="4"/>
      <c r="CV26" s="8">
        <v>46</v>
      </c>
      <c r="CW26">
        <v>25</v>
      </c>
      <c r="CX26" t="str">
        <f t="shared" si="35"/>
        <v>-42|-42|-42|-42|-42</v>
      </c>
      <c r="CY26">
        <v>2.9</v>
      </c>
      <c r="CZ26">
        <f t="shared" si="70"/>
        <v>5</v>
      </c>
      <c r="DA26">
        <f t="shared" si="36"/>
        <v>-42</v>
      </c>
      <c r="DB26" s="8">
        <f t="shared" si="37"/>
        <v>58</v>
      </c>
      <c r="DC26">
        <v>24.4</v>
      </c>
      <c r="DD26" t="str">
        <f t="shared" si="38"/>
        <v>58|24.4</v>
      </c>
      <c r="DF26">
        <v>25</v>
      </c>
      <c r="DG26">
        <v>640</v>
      </c>
      <c r="DI26" s="8">
        <v>-75</v>
      </c>
      <c r="DJ26" s="8">
        <v>-72</v>
      </c>
      <c r="DK26" s="10"/>
      <c r="DL26" s="10">
        <v>25</v>
      </c>
      <c r="DM26">
        <f t="shared" si="39"/>
        <v>380</v>
      </c>
      <c r="DN26" s="10"/>
      <c r="DO26" s="10">
        <v>4.8</v>
      </c>
      <c r="DP26" s="15">
        <v>-75</v>
      </c>
      <c r="DQ26" s="8">
        <f t="shared" si="40"/>
        <v>480</v>
      </c>
      <c r="DR26" s="8">
        <f t="shared" si="41"/>
        <v>25</v>
      </c>
      <c r="DS26" t="str">
        <f t="shared" si="42"/>
        <v>480|25</v>
      </c>
      <c r="DU26">
        <v>25</v>
      </c>
      <c r="DV26" s="10">
        <f t="shared" si="43"/>
        <v>308</v>
      </c>
      <c r="DW26">
        <f t="shared" si="71"/>
        <v>1</v>
      </c>
      <c r="DX26">
        <v>4.08</v>
      </c>
      <c r="DZ26">
        <f t="shared" si="44"/>
        <v>408</v>
      </c>
      <c r="EB26">
        <v>25</v>
      </c>
      <c r="EC26" s="8">
        <f t="shared" si="45"/>
        <v>-31.3333333333333</v>
      </c>
      <c r="ED26">
        <f t="shared" si="72"/>
        <v>6</v>
      </c>
      <c r="EE26">
        <v>4.12</v>
      </c>
      <c r="EF26" s="3" t="str">
        <f t="shared" si="46"/>
        <v>-31.3333333333333|-31.3333333333333|-31.3333333333333|-31.3333333333333|-31.3333333333333|-31.3333333333333</v>
      </c>
      <c r="EG26" s="8">
        <f t="shared" si="47"/>
        <v>69</v>
      </c>
      <c r="EH26" s="3"/>
      <c r="EJ26">
        <v>25</v>
      </c>
      <c r="EK26" s="8">
        <f t="shared" si="48"/>
        <v>-43.3333333333333</v>
      </c>
      <c r="EL26">
        <f t="shared" si="73"/>
        <v>6</v>
      </c>
      <c r="EM26">
        <v>3.4</v>
      </c>
      <c r="EN26" s="3" t="str">
        <f t="shared" si="49"/>
        <v>-43.3333333333333|-43.3333333333333|-43.3333333333333|-43.3333333333333|-43.3333333333333|-43.3333333333333</v>
      </c>
      <c r="EO26" s="8">
        <f t="shared" si="50"/>
        <v>57</v>
      </c>
      <c r="EP26" s="8"/>
      <c r="EQ26" s="8"/>
      <c r="ER26" s="8">
        <f t="shared" si="51"/>
        <v>410</v>
      </c>
      <c r="ES26" s="8">
        <f t="shared" si="74"/>
        <v>1</v>
      </c>
      <c r="ET26">
        <v>5.1</v>
      </c>
      <c r="EU26" s="8"/>
      <c r="EV26" s="8">
        <f t="shared" si="52"/>
        <v>510</v>
      </c>
      <c r="EW26" s="8">
        <f t="shared" si="53"/>
        <v>342</v>
      </c>
      <c r="EX26">
        <v>4.42</v>
      </c>
      <c r="EY26">
        <f t="shared" si="75"/>
        <v>1</v>
      </c>
      <c r="EZ26">
        <v>115.6</v>
      </c>
      <c r="FA26">
        <v>3.488</v>
      </c>
      <c r="FB26" s="8">
        <f t="shared" si="54"/>
        <v>442</v>
      </c>
      <c r="FC26" t="str">
        <f t="shared" si="55"/>
        <v>342|115.6|3.488</v>
      </c>
      <c r="FE26">
        <v>25</v>
      </c>
      <c r="FF26" s="8">
        <f t="shared" si="56"/>
        <v>580</v>
      </c>
      <c r="FG26">
        <f t="shared" si="76"/>
        <v>1</v>
      </c>
      <c r="FH26">
        <f t="shared" si="77"/>
        <v>6.8</v>
      </c>
      <c r="FJ26">
        <v>25</v>
      </c>
      <c r="FK26" s="8">
        <f t="shared" si="57"/>
        <v>580</v>
      </c>
      <c r="FL26" s="8" t="str">
        <f t="shared" si="78"/>
        <v>0|40</v>
      </c>
      <c r="FM26">
        <f t="shared" si="79"/>
        <v>1</v>
      </c>
      <c r="FN26">
        <f t="shared" si="80"/>
        <v>6.8</v>
      </c>
      <c r="FP26">
        <v>25</v>
      </c>
      <c r="FQ26" s="8">
        <f t="shared" si="58"/>
        <v>127</v>
      </c>
      <c r="FR26">
        <f t="shared" si="81"/>
        <v>3</v>
      </c>
      <c r="FS26">
        <f t="shared" si="82"/>
        <v>6.8</v>
      </c>
      <c r="FT26" t="str">
        <f t="shared" si="59"/>
        <v>127|127|127</v>
      </c>
    </row>
    <row r="27" spans="7:176">
      <c r="G27">
        <v>26</v>
      </c>
      <c r="H27">
        <f t="shared" si="0"/>
        <v>-20</v>
      </c>
      <c r="I27">
        <f t="shared" si="60"/>
        <v>5</v>
      </c>
      <c r="J27">
        <v>4</v>
      </c>
      <c r="K27" s="7" t="str">
        <f t="shared" si="1"/>
        <v>-20|-20|-20|-20|-20</v>
      </c>
      <c r="L27">
        <f t="shared" si="2"/>
        <v>80</v>
      </c>
      <c r="M27" s="7"/>
      <c r="N27" s="7">
        <v>26</v>
      </c>
      <c r="O27">
        <f t="shared" si="3"/>
        <v>31.6666666666667</v>
      </c>
      <c r="P27">
        <f t="shared" si="61"/>
        <v>3</v>
      </c>
      <c r="Q27">
        <v>3.95</v>
      </c>
      <c r="R27" s="7" t="str">
        <f t="shared" si="4"/>
        <v>31.6666666666667|31.6666666666667|31.6666666666667</v>
      </c>
      <c r="S27">
        <f t="shared" si="5"/>
        <v>132</v>
      </c>
      <c r="U27">
        <v>26</v>
      </c>
      <c r="V27">
        <f t="shared" si="6"/>
        <v>-28.125</v>
      </c>
      <c r="W27">
        <f t="shared" si="62"/>
        <v>8</v>
      </c>
      <c r="X27">
        <v>5.75</v>
      </c>
      <c r="Y27" s="7" t="str">
        <f t="shared" si="7"/>
        <v>-28.125|-28.125|-28.125|-28.125|-28.125|-28.125|-28.125|-28.125</v>
      </c>
      <c r="Z27">
        <f t="shared" si="8"/>
        <v>72</v>
      </c>
      <c r="AA27">
        <f t="shared" si="9"/>
        <v>-3.50000000000001</v>
      </c>
      <c r="AC27">
        <v>26</v>
      </c>
      <c r="AD27">
        <f t="shared" si="10"/>
        <v>405</v>
      </c>
      <c r="AE27">
        <v>1</v>
      </c>
      <c r="AF27">
        <v>5.05</v>
      </c>
      <c r="AH27">
        <f t="shared" si="12"/>
        <v>505</v>
      </c>
      <c r="AJ27">
        <v>26</v>
      </c>
      <c r="AL27">
        <v>3500</v>
      </c>
      <c r="AM27">
        <v>14.5</v>
      </c>
      <c r="AO27" t="str">
        <f t="shared" si="13"/>
        <v>3500|14.5</v>
      </c>
      <c r="AR27">
        <v>26</v>
      </c>
      <c r="AS27">
        <f t="shared" si="14"/>
        <v>250</v>
      </c>
      <c r="AT27">
        <f t="shared" si="63"/>
        <v>1</v>
      </c>
      <c r="AU27">
        <v>3.5</v>
      </c>
      <c r="AV27">
        <f t="shared" si="15"/>
        <v>350</v>
      </c>
      <c r="AW27" s="10"/>
      <c r="AX27" s="10">
        <v>26</v>
      </c>
      <c r="AY27" s="10">
        <f t="shared" si="16"/>
        <v>600</v>
      </c>
      <c r="AZ27" s="10"/>
      <c r="BA27" s="10">
        <v>7</v>
      </c>
      <c r="BB27">
        <f t="shared" si="17"/>
        <v>700</v>
      </c>
      <c r="BD27">
        <v>2900</v>
      </c>
      <c r="BE27" s="8" t="s">
        <v>56</v>
      </c>
      <c r="BF27" t="str">
        <f t="shared" si="18"/>
        <v>2900|15</v>
      </c>
      <c r="BH27">
        <v>26</v>
      </c>
      <c r="BI27" s="10">
        <f t="shared" si="19"/>
        <v>14</v>
      </c>
      <c r="BJ27">
        <f t="shared" si="64"/>
        <v>5</v>
      </c>
      <c r="BK27">
        <v>5.7</v>
      </c>
      <c r="BL27" s="3" t="str">
        <f t="shared" si="20"/>
        <v>14|14|14|14|14</v>
      </c>
      <c r="BM27">
        <f t="shared" si="21"/>
        <v>114</v>
      </c>
      <c r="BN27" s="8">
        <f t="shared" si="65"/>
        <v>11.4</v>
      </c>
      <c r="BO27" s="8">
        <f t="shared" si="66"/>
        <v>17.1</v>
      </c>
      <c r="BP27" s="8">
        <f t="shared" si="67"/>
        <v>22.8</v>
      </c>
      <c r="BQ27" s="8">
        <f t="shared" si="68"/>
        <v>28.5</v>
      </c>
      <c r="BR27" s="8">
        <f t="shared" si="69"/>
        <v>34.2</v>
      </c>
      <c r="BT27">
        <v>26</v>
      </c>
      <c r="BU27">
        <f t="shared" si="22"/>
        <v>200</v>
      </c>
      <c r="BW27">
        <v>6</v>
      </c>
      <c r="BX27" s="7" t="str">
        <f t="shared" si="23"/>
        <v>133.333333333333|266.666666666667</v>
      </c>
      <c r="BY27">
        <f t="shared" si="24"/>
        <v>300</v>
      </c>
      <c r="BZ27">
        <f t="shared" si="25"/>
        <v>400</v>
      </c>
      <c r="CA27" s="8">
        <f t="shared" si="26"/>
        <v>133.333333333333</v>
      </c>
      <c r="CB27" s="8">
        <f t="shared" si="27"/>
        <v>266.666666666667</v>
      </c>
      <c r="CD27">
        <v>26</v>
      </c>
      <c r="CE27" s="8">
        <f t="shared" si="28"/>
        <v>250</v>
      </c>
      <c r="CG27">
        <v>3.5</v>
      </c>
      <c r="CH27" s="18">
        <f t="shared" si="29"/>
        <v>250</v>
      </c>
      <c r="CI27">
        <f t="shared" si="30"/>
        <v>350</v>
      </c>
      <c r="CJ27" s="19"/>
      <c r="CK27" s="19">
        <v>26</v>
      </c>
      <c r="CL27" s="19">
        <f t="shared" si="31"/>
        <v>500</v>
      </c>
      <c r="CM27" s="19"/>
      <c r="CN27" s="19">
        <f t="shared" si="32"/>
        <v>6</v>
      </c>
      <c r="CO27" s="18">
        <f t="shared" si="33"/>
        <v>500</v>
      </c>
      <c r="CP27">
        <v>175</v>
      </c>
      <c r="CQ27">
        <v>74</v>
      </c>
      <c r="CR27" t="str">
        <f t="shared" si="34"/>
        <v>175|74</v>
      </c>
      <c r="CT27" s="4"/>
      <c r="CV27" s="8">
        <v>48</v>
      </c>
      <c r="CW27">
        <v>26</v>
      </c>
      <c r="CX27" t="str">
        <f t="shared" si="35"/>
        <v>-40|-40|-40|-40|-40</v>
      </c>
      <c r="CY27">
        <v>3</v>
      </c>
      <c r="CZ27">
        <f t="shared" si="70"/>
        <v>5</v>
      </c>
      <c r="DA27">
        <f t="shared" si="36"/>
        <v>-40</v>
      </c>
      <c r="DB27" s="8">
        <f t="shared" si="37"/>
        <v>60</v>
      </c>
      <c r="DC27">
        <v>25</v>
      </c>
      <c r="DD27" t="str">
        <f t="shared" si="38"/>
        <v>60|25</v>
      </c>
      <c r="DF27">
        <v>26</v>
      </c>
      <c r="DG27">
        <v>650</v>
      </c>
      <c r="DI27" s="8">
        <v>-75</v>
      </c>
      <c r="DJ27" s="8">
        <v>-72</v>
      </c>
      <c r="DK27" s="10"/>
      <c r="DL27" s="10">
        <v>26</v>
      </c>
      <c r="DM27">
        <f t="shared" si="39"/>
        <v>395</v>
      </c>
      <c r="DN27" s="10"/>
      <c r="DO27" s="10">
        <v>4.95</v>
      </c>
      <c r="DP27" s="15">
        <v>-74</v>
      </c>
      <c r="DQ27" s="8">
        <f t="shared" si="40"/>
        <v>495</v>
      </c>
      <c r="DR27" s="8">
        <f t="shared" si="41"/>
        <v>26</v>
      </c>
      <c r="DS27" t="str">
        <f t="shared" si="42"/>
        <v>495|26</v>
      </c>
      <c r="DU27">
        <v>26</v>
      </c>
      <c r="DV27" s="10">
        <f t="shared" si="43"/>
        <v>320</v>
      </c>
      <c r="DW27">
        <f t="shared" si="71"/>
        <v>1</v>
      </c>
      <c r="DX27">
        <v>4.2</v>
      </c>
      <c r="DZ27">
        <f t="shared" si="44"/>
        <v>420</v>
      </c>
      <c r="EB27">
        <v>26</v>
      </c>
      <c r="EC27" s="8">
        <f t="shared" si="45"/>
        <v>-29.1666666666667</v>
      </c>
      <c r="ED27">
        <f t="shared" si="72"/>
        <v>6</v>
      </c>
      <c r="EE27">
        <v>4.25</v>
      </c>
      <c r="EF27" s="3" t="str">
        <f t="shared" si="46"/>
        <v>-29.1666666666667|-29.1666666666667|-29.1666666666667|-29.1666666666667|-29.1666666666667|-29.1666666666667</v>
      </c>
      <c r="EG27" s="8">
        <f t="shared" si="47"/>
        <v>71</v>
      </c>
      <c r="EH27" s="3"/>
      <c r="EJ27">
        <v>26</v>
      </c>
      <c r="EK27" s="8">
        <f t="shared" si="48"/>
        <v>-41.6666666666667</v>
      </c>
      <c r="EL27">
        <f t="shared" si="73"/>
        <v>6</v>
      </c>
      <c r="EM27">
        <v>3.5</v>
      </c>
      <c r="EN27" s="3" t="str">
        <f t="shared" si="49"/>
        <v>-41.6666666666667|-41.6666666666667|-41.6666666666667|-41.6666666666667|-41.6666666666667|-41.6666666666667</v>
      </c>
      <c r="EO27" s="8">
        <f t="shared" si="50"/>
        <v>58</v>
      </c>
      <c r="EP27" s="8"/>
      <c r="EQ27" s="8"/>
      <c r="ER27" s="8">
        <f t="shared" si="51"/>
        <v>425</v>
      </c>
      <c r="ES27" s="8">
        <f t="shared" si="74"/>
        <v>1</v>
      </c>
      <c r="ET27">
        <v>5.25</v>
      </c>
      <c r="EU27" s="8"/>
      <c r="EV27" s="8">
        <f t="shared" si="52"/>
        <v>525</v>
      </c>
      <c r="EW27" s="8">
        <f t="shared" si="53"/>
        <v>355</v>
      </c>
      <c r="EX27">
        <v>4.55</v>
      </c>
      <c r="EY27">
        <f t="shared" si="75"/>
        <v>1</v>
      </c>
      <c r="EZ27">
        <v>119</v>
      </c>
      <c r="FA27">
        <v>3.55</v>
      </c>
      <c r="FB27" s="8">
        <f t="shared" si="54"/>
        <v>455</v>
      </c>
      <c r="FC27" t="str">
        <f t="shared" si="55"/>
        <v>355|119|3.55</v>
      </c>
      <c r="FE27">
        <v>26</v>
      </c>
      <c r="FF27" s="8">
        <f t="shared" si="56"/>
        <v>600</v>
      </c>
      <c r="FG27">
        <f t="shared" si="76"/>
        <v>1</v>
      </c>
      <c r="FH27">
        <f t="shared" si="77"/>
        <v>7</v>
      </c>
      <c r="FJ27">
        <v>26</v>
      </c>
      <c r="FK27" s="8">
        <f t="shared" si="57"/>
        <v>600</v>
      </c>
      <c r="FL27" s="8" t="str">
        <f t="shared" si="78"/>
        <v>0|40</v>
      </c>
      <c r="FM27">
        <f t="shared" si="79"/>
        <v>1</v>
      </c>
      <c r="FN27">
        <f t="shared" si="80"/>
        <v>7</v>
      </c>
      <c r="FP27">
        <v>26</v>
      </c>
      <c r="FQ27" s="8">
        <f t="shared" si="58"/>
        <v>133</v>
      </c>
      <c r="FR27">
        <f t="shared" si="81"/>
        <v>3</v>
      </c>
      <c r="FS27">
        <f t="shared" si="82"/>
        <v>7</v>
      </c>
      <c r="FT27" t="str">
        <f t="shared" si="59"/>
        <v>133|133|133</v>
      </c>
    </row>
    <row r="28" spans="7:176">
      <c r="G28">
        <v>27</v>
      </c>
      <c r="H28">
        <f t="shared" si="0"/>
        <v>-17.6</v>
      </c>
      <c r="I28">
        <f t="shared" si="60"/>
        <v>5</v>
      </c>
      <c r="J28">
        <v>4.12</v>
      </c>
      <c r="K28" s="7" t="str">
        <f t="shared" si="1"/>
        <v>-17.6|-17.6|-17.6|-17.6|-17.6</v>
      </c>
      <c r="L28">
        <f t="shared" si="2"/>
        <v>82</v>
      </c>
      <c r="M28" s="7"/>
      <c r="N28" s="7">
        <v>27</v>
      </c>
      <c r="O28">
        <f t="shared" si="3"/>
        <v>35.3333333333333</v>
      </c>
      <c r="P28">
        <f t="shared" si="61"/>
        <v>3</v>
      </c>
      <c r="Q28">
        <v>4.06</v>
      </c>
      <c r="R28" s="7" t="str">
        <f t="shared" si="4"/>
        <v>35.3333333333333|35.3333333333333|35.3333333333333</v>
      </c>
      <c r="S28">
        <f t="shared" si="5"/>
        <v>135</v>
      </c>
      <c r="U28">
        <v>27</v>
      </c>
      <c r="V28">
        <f t="shared" si="6"/>
        <v>-25.75</v>
      </c>
      <c r="W28">
        <f t="shared" si="62"/>
        <v>8</v>
      </c>
      <c r="X28">
        <v>5.94</v>
      </c>
      <c r="Y28" s="7" t="str">
        <f t="shared" si="7"/>
        <v>-25.75|-25.75|-25.75|-25.75|-25.75|-25.75|-25.75|-25.75</v>
      </c>
      <c r="Z28">
        <f t="shared" si="8"/>
        <v>74</v>
      </c>
      <c r="AA28">
        <f t="shared" si="9"/>
        <v>-2.12</v>
      </c>
      <c r="AC28">
        <v>27</v>
      </c>
      <c r="AD28">
        <f t="shared" si="10"/>
        <v>419</v>
      </c>
      <c r="AE28">
        <v>1</v>
      </c>
      <c r="AF28">
        <v>5.19</v>
      </c>
      <c r="AH28">
        <f t="shared" si="12"/>
        <v>519</v>
      </c>
      <c r="AJ28">
        <v>27</v>
      </c>
      <c r="AL28">
        <v>3600</v>
      </c>
      <c r="AM28">
        <v>15</v>
      </c>
      <c r="AO28" t="str">
        <f t="shared" si="13"/>
        <v>3600|15</v>
      </c>
      <c r="AR28">
        <v>27</v>
      </c>
      <c r="AS28">
        <f t="shared" si="14"/>
        <v>260</v>
      </c>
      <c r="AT28">
        <f t="shared" si="63"/>
        <v>1</v>
      </c>
      <c r="AU28">
        <v>3.6</v>
      </c>
      <c r="AV28">
        <f t="shared" si="15"/>
        <v>360</v>
      </c>
      <c r="AW28" s="10"/>
      <c r="AX28" s="10">
        <v>27</v>
      </c>
      <c r="AY28" s="10">
        <f t="shared" si="16"/>
        <v>620</v>
      </c>
      <c r="AZ28" s="10"/>
      <c r="BA28" s="10">
        <v>7.2</v>
      </c>
      <c r="BB28">
        <f t="shared" si="17"/>
        <v>720</v>
      </c>
      <c r="BD28">
        <v>3000</v>
      </c>
      <c r="BE28" s="8" t="s">
        <v>56</v>
      </c>
      <c r="BF28" t="str">
        <f t="shared" si="18"/>
        <v>3000|15</v>
      </c>
      <c r="BH28">
        <v>27</v>
      </c>
      <c r="BI28" s="10">
        <f t="shared" si="19"/>
        <v>17.2</v>
      </c>
      <c r="BJ28">
        <f t="shared" si="64"/>
        <v>5</v>
      </c>
      <c r="BK28">
        <v>5.86</v>
      </c>
      <c r="BL28" s="3" t="str">
        <f t="shared" si="20"/>
        <v>17.2|17.2|17.2|17.2|17.2</v>
      </c>
      <c r="BM28">
        <f t="shared" si="21"/>
        <v>117</v>
      </c>
      <c r="BN28" s="8">
        <f t="shared" si="65"/>
        <v>11.7</v>
      </c>
      <c r="BO28" s="8">
        <f t="shared" si="66"/>
        <v>17.55</v>
      </c>
      <c r="BP28" s="8">
        <f t="shared" si="67"/>
        <v>23.4</v>
      </c>
      <c r="BQ28" s="8">
        <f t="shared" si="68"/>
        <v>29.25</v>
      </c>
      <c r="BR28" s="8">
        <f t="shared" si="69"/>
        <v>35.1</v>
      </c>
      <c r="BT28">
        <v>27</v>
      </c>
      <c r="BU28">
        <f t="shared" si="22"/>
        <v>210</v>
      </c>
      <c r="BW28">
        <v>6.2</v>
      </c>
      <c r="BX28" s="7" t="str">
        <f t="shared" si="23"/>
        <v>140|280</v>
      </c>
      <c r="BY28">
        <f t="shared" si="24"/>
        <v>310</v>
      </c>
      <c r="BZ28">
        <f t="shared" si="25"/>
        <v>420</v>
      </c>
      <c r="CA28" s="8">
        <f t="shared" si="26"/>
        <v>140</v>
      </c>
      <c r="CB28" s="8">
        <f t="shared" si="27"/>
        <v>280</v>
      </c>
      <c r="CD28">
        <v>27</v>
      </c>
      <c r="CE28" s="8">
        <f t="shared" si="28"/>
        <v>260</v>
      </c>
      <c r="CG28">
        <v>3.6</v>
      </c>
      <c r="CH28" s="18">
        <f t="shared" si="29"/>
        <v>260</v>
      </c>
      <c r="CI28">
        <f t="shared" si="30"/>
        <v>360</v>
      </c>
      <c r="CJ28" s="19"/>
      <c r="CK28" s="19">
        <v>27</v>
      </c>
      <c r="CL28" s="19">
        <f t="shared" si="31"/>
        <v>508</v>
      </c>
      <c r="CM28" s="19"/>
      <c r="CN28" s="19">
        <f t="shared" si="32"/>
        <v>6.08</v>
      </c>
      <c r="CO28" s="18">
        <f t="shared" si="33"/>
        <v>508</v>
      </c>
      <c r="CP28">
        <v>180</v>
      </c>
      <c r="CQ28">
        <v>73</v>
      </c>
      <c r="CR28" t="str">
        <f t="shared" si="34"/>
        <v>180|73</v>
      </c>
      <c r="CT28" s="4"/>
      <c r="CV28" s="8">
        <v>49</v>
      </c>
      <c r="CW28">
        <v>27</v>
      </c>
      <c r="CX28" t="str">
        <f t="shared" si="35"/>
        <v>-38|-38|-38|-38|-38</v>
      </c>
      <c r="CY28">
        <v>3.1</v>
      </c>
      <c r="CZ28">
        <f t="shared" si="70"/>
        <v>5</v>
      </c>
      <c r="DA28">
        <f t="shared" si="36"/>
        <v>-38</v>
      </c>
      <c r="DB28" s="8">
        <f t="shared" si="37"/>
        <v>62</v>
      </c>
      <c r="DC28">
        <v>25.6</v>
      </c>
      <c r="DD28" t="str">
        <f t="shared" si="38"/>
        <v>62|25.6</v>
      </c>
      <c r="DF28">
        <v>27</v>
      </c>
      <c r="DG28">
        <v>660</v>
      </c>
      <c r="DI28" s="8">
        <v>-74</v>
      </c>
      <c r="DJ28" s="8">
        <v>-72</v>
      </c>
      <c r="DK28" s="10"/>
      <c r="DL28" s="10">
        <v>27</v>
      </c>
      <c r="DM28">
        <f t="shared" si="39"/>
        <v>410</v>
      </c>
      <c r="DN28" s="10"/>
      <c r="DO28" s="10">
        <v>5.1</v>
      </c>
      <c r="DP28" s="15">
        <v>-73</v>
      </c>
      <c r="DQ28" s="8">
        <f t="shared" si="40"/>
        <v>510</v>
      </c>
      <c r="DR28" s="8">
        <f t="shared" si="41"/>
        <v>27</v>
      </c>
      <c r="DS28" t="str">
        <f t="shared" si="42"/>
        <v>510|27</v>
      </c>
      <c r="DU28">
        <v>27</v>
      </c>
      <c r="DV28" s="10">
        <f t="shared" si="43"/>
        <v>332</v>
      </c>
      <c r="DW28">
        <f t="shared" si="71"/>
        <v>1</v>
      </c>
      <c r="DX28">
        <v>4.32</v>
      </c>
      <c r="DZ28">
        <f t="shared" si="44"/>
        <v>432</v>
      </c>
      <c r="EB28">
        <v>27</v>
      </c>
      <c r="EC28" s="8">
        <f t="shared" si="45"/>
        <v>-27</v>
      </c>
      <c r="ED28">
        <f t="shared" si="72"/>
        <v>6</v>
      </c>
      <c r="EE28">
        <v>4.38</v>
      </c>
      <c r="EF28" s="3" t="str">
        <f t="shared" si="46"/>
        <v>-27|-27|-27|-27|-27|-27</v>
      </c>
      <c r="EG28" s="8">
        <f t="shared" si="47"/>
        <v>73</v>
      </c>
      <c r="EH28" s="3"/>
      <c r="EJ28">
        <v>27</v>
      </c>
      <c r="EK28" s="8">
        <f t="shared" si="48"/>
        <v>-40</v>
      </c>
      <c r="EL28">
        <f t="shared" si="73"/>
        <v>6</v>
      </c>
      <c r="EM28">
        <v>3.6</v>
      </c>
      <c r="EN28" s="3" t="str">
        <f t="shared" si="49"/>
        <v>-40|-40|-40|-40|-40|-40</v>
      </c>
      <c r="EO28" s="8">
        <f t="shared" si="50"/>
        <v>60</v>
      </c>
      <c r="EP28" s="8"/>
      <c r="EQ28" s="8"/>
      <c r="ER28" s="8">
        <f t="shared" si="51"/>
        <v>440</v>
      </c>
      <c r="ES28" s="8">
        <f t="shared" si="74"/>
        <v>1</v>
      </c>
      <c r="ET28">
        <v>5.4</v>
      </c>
      <c r="EU28" s="8"/>
      <c r="EV28" s="8">
        <f t="shared" si="52"/>
        <v>540</v>
      </c>
      <c r="EW28" s="8">
        <f t="shared" si="53"/>
        <v>368</v>
      </c>
      <c r="EX28">
        <v>4.68</v>
      </c>
      <c r="EY28">
        <f t="shared" si="75"/>
        <v>1</v>
      </c>
      <c r="EZ28">
        <v>122.4</v>
      </c>
      <c r="FA28">
        <v>3.612</v>
      </c>
      <c r="FB28" s="8">
        <f t="shared" si="54"/>
        <v>468</v>
      </c>
      <c r="FC28" t="str">
        <f t="shared" si="55"/>
        <v>368|122.4|3.612</v>
      </c>
      <c r="FE28">
        <v>27</v>
      </c>
      <c r="FF28" s="8">
        <f t="shared" si="56"/>
        <v>620</v>
      </c>
      <c r="FG28">
        <f t="shared" si="76"/>
        <v>1</v>
      </c>
      <c r="FH28">
        <f t="shared" si="77"/>
        <v>7.2</v>
      </c>
      <c r="FJ28">
        <v>27</v>
      </c>
      <c r="FK28" s="8">
        <f t="shared" si="57"/>
        <v>620</v>
      </c>
      <c r="FL28" s="8" t="str">
        <f t="shared" si="78"/>
        <v>0|40</v>
      </c>
      <c r="FM28">
        <f t="shared" si="79"/>
        <v>1</v>
      </c>
      <c r="FN28">
        <f t="shared" si="80"/>
        <v>7.2</v>
      </c>
      <c r="FP28">
        <v>27</v>
      </c>
      <c r="FQ28" s="8">
        <f t="shared" si="58"/>
        <v>140</v>
      </c>
      <c r="FR28">
        <f t="shared" si="81"/>
        <v>3</v>
      </c>
      <c r="FS28">
        <f t="shared" si="82"/>
        <v>7.2</v>
      </c>
      <c r="FT28" t="str">
        <f t="shared" si="59"/>
        <v>140|140|140</v>
      </c>
    </row>
    <row r="29" spans="7:176">
      <c r="G29">
        <v>28</v>
      </c>
      <c r="H29">
        <f t="shared" si="0"/>
        <v>-15.2</v>
      </c>
      <c r="I29">
        <f t="shared" si="60"/>
        <v>5</v>
      </c>
      <c r="J29">
        <v>4.24</v>
      </c>
      <c r="K29" s="7" t="str">
        <f t="shared" si="1"/>
        <v>-15.2|-15.2|-15.2|-15.2|-15.2</v>
      </c>
      <c r="L29">
        <f t="shared" si="2"/>
        <v>85</v>
      </c>
      <c r="M29" s="7"/>
      <c r="N29" s="7">
        <v>28</v>
      </c>
      <c r="O29">
        <f t="shared" si="3"/>
        <v>39</v>
      </c>
      <c r="P29">
        <f t="shared" si="61"/>
        <v>3</v>
      </c>
      <c r="Q29">
        <v>4.17</v>
      </c>
      <c r="R29" s="7" t="str">
        <f t="shared" si="4"/>
        <v>39|39|39</v>
      </c>
      <c r="S29">
        <f t="shared" si="5"/>
        <v>139</v>
      </c>
      <c r="U29">
        <v>28</v>
      </c>
      <c r="V29">
        <f t="shared" si="6"/>
        <v>-23.375</v>
      </c>
      <c r="W29">
        <f t="shared" si="62"/>
        <v>8</v>
      </c>
      <c r="X29">
        <v>6.13</v>
      </c>
      <c r="Y29" s="7" t="str">
        <f t="shared" si="7"/>
        <v>-23.375|-23.375|-23.375|-23.375|-23.375|-23.375|-23.375|-23.375</v>
      </c>
      <c r="Z29">
        <f t="shared" si="8"/>
        <v>77</v>
      </c>
      <c r="AA29">
        <f t="shared" si="9"/>
        <v>-0.740000000000002</v>
      </c>
      <c r="AC29">
        <v>28</v>
      </c>
      <c r="AD29">
        <f t="shared" si="10"/>
        <v>433</v>
      </c>
      <c r="AE29">
        <v>1</v>
      </c>
      <c r="AF29">
        <v>5.33</v>
      </c>
      <c r="AH29">
        <f t="shared" si="12"/>
        <v>533</v>
      </c>
      <c r="AJ29">
        <v>28</v>
      </c>
      <c r="AL29">
        <v>3700</v>
      </c>
      <c r="AM29">
        <v>15.5</v>
      </c>
      <c r="AO29" t="str">
        <f t="shared" si="13"/>
        <v>3700|15.5</v>
      </c>
      <c r="AR29">
        <v>28</v>
      </c>
      <c r="AS29">
        <f t="shared" si="14"/>
        <v>270</v>
      </c>
      <c r="AT29">
        <f t="shared" si="63"/>
        <v>1</v>
      </c>
      <c r="AU29">
        <v>3.7</v>
      </c>
      <c r="AV29">
        <f t="shared" si="15"/>
        <v>370</v>
      </c>
      <c r="AW29" s="10"/>
      <c r="AX29" s="10">
        <v>28</v>
      </c>
      <c r="AY29" s="10">
        <f t="shared" si="16"/>
        <v>640</v>
      </c>
      <c r="AZ29" s="10"/>
      <c r="BA29" s="10">
        <v>7.4</v>
      </c>
      <c r="BB29">
        <f t="shared" si="17"/>
        <v>740</v>
      </c>
      <c r="BD29">
        <v>3100</v>
      </c>
      <c r="BE29" s="8" t="s">
        <v>56</v>
      </c>
      <c r="BF29" t="str">
        <f t="shared" si="18"/>
        <v>3100|15</v>
      </c>
      <c r="BH29">
        <v>28</v>
      </c>
      <c r="BI29" s="10">
        <f t="shared" si="19"/>
        <v>20.4</v>
      </c>
      <c r="BJ29">
        <f t="shared" si="64"/>
        <v>5</v>
      </c>
      <c r="BK29">
        <v>6.02</v>
      </c>
      <c r="BL29" s="3" t="str">
        <f t="shared" si="20"/>
        <v>20.4|20.4|20.4|20.4|20.4</v>
      </c>
      <c r="BM29">
        <f t="shared" si="21"/>
        <v>120</v>
      </c>
      <c r="BN29" s="8">
        <f t="shared" si="65"/>
        <v>12</v>
      </c>
      <c r="BO29" s="8">
        <f t="shared" si="66"/>
        <v>18</v>
      </c>
      <c r="BP29" s="8">
        <f t="shared" si="67"/>
        <v>24</v>
      </c>
      <c r="BQ29" s="8">
        <f t="shared" si="68"/>
        <v>30</v>
      </c>
      <c r="BR29" s="8">
        <f t="shared" si="69"/>
        <v>36</v>
      </c>
      <c r="BT29">
        <v>28</v>
      </c>
      <c r="BU29">
        <f t="shared" si="22"/>
        <v>220</v>
      </c>
      <c r="BW29">
        <v>6.4</v>
      </c>
      <c r="BX29" s="7" t="str">
        <f t="shared" si="23"/>
        <v>146.666666666667|293.333333333333</v>
      </c>
      <c r="BY29">
        <f t="shared" si="24"/>
        <v>320</v>
      </c>
      <c r="BZ29">
        <f t="shared" si="25"/>
        <v>440</v>
      </c>
      <c r="CA29" s="8">
        <f t="shared" si="26"/>
        <v>146.666666666667</v>
      </c>
      <c r="CB29" s="8">
        <f t="shared" si="27"/>
        <v>293.333333333333</v>
      </c>
      <c r="CD29">
        <v>28</v>
      </c>
      <c r="CE29" s="8">
        <f t="shared" si="28"/>
        <v>270</v>
      </c>
      <c r="CG29">
        <v>3.7</v>
      </c>
      <c r="CH29" s="18">
        <f t="shared" si="29"/>
        <v>270</v>
      </c>
      <c r="CI29">
        <f t="shared" si="30"/>
        <v>370</v>
      </c>
      <c r="CJ29" s="19"/>
      <c r="CK29" s="19">
        <v>28</v>
      </c>
      <c r="CL29" s="19">
        <f t="shared" si="31"/>
        <v>516</v>
      </c>
      <c r="CM29" s="19"/>
      <c r="CN29" s="19">
        <f t="shared" si="32"/>
        <v>6.16</v>
      </c>
      <c r="CO29" s="18">
        <f t="shared" si="33"/>
        <v>516</v>
      </c>
      <c r="CP29">
        <v>185</v>
      </c>
      <c r="CQ29">
        <v>72</v>
      </c>
      <c r="CR29" t="str">
        <f t="shared" si="34"/>
        <v>185|72</v>
      </c>
      <c r="CT29" s="4"/>
      <c r="CV29" s="8">
        <v>51</v>
      </c>
      <c r="CW29">
        <v>28</v>
      </c>
      <c r="CX29" t="str">
        <f t="shared" si="35"/>
        <v>-36|-36|-36|-36|-36</v>
      </c>
      <c r="CY29">
        <v>3.2</v>
      </c>
      <c r="CZ29">
        <f t="shared" si="70"/>
        <v>5</v>
      </c>
      <c r="DA29">
        <f t="shared" si="36"/>
        <v>-36</v>
      </c>
      <c r="DB29" s="8">
        <f t="shared" si="37"/>
        <v>64</v>
      </c>
      <c r="DC29">
        <v>26.2</v>
      </c>
      <c r="DD29" t="str">
        <f t="shared" si="38"/>
        <v>64|26.2</v>
      </c>
      <c r="DF29">
        <v>28</v>
      </c>
      <c r="DG29">
        <v>670</v>
      </c>
      <c r="DI29" s="8">
        <v>-72</v>
      </c>
      <c r="DJ29" s="8">
        <v>-69</v>
      </c>
      <c r="DK29" s="10"/>
      <c r="DL29" s="10">
        <v>28</v>
      </c>
      <c r="DM29">
        <f t="shared" si="39"/>
        <v>425</v>
      </c>
      <c r="DN29" s="10"/>
      <c r="DO29" s="10">
        <v>5.25</v>
      </c>
      <c r="DP29" s="15">
        <v>-72</v>
      </c>
      <c r="DQ29" s="8">
        <f t="shared" si="40"/>
        <v>525</v>
      </c>
      <c r="DR29" s="8">
        <f t="shared" si="41"/>
        <v>28</v>
      </c>
      <c r="DS29" t="str">
        <f t="shared" si="42"/>
        <v>525|28</v>
      </c>
      <c r="DU29">
        <v>28</v>
      </c>
      <c r="DV29" s="10">
        <f t="shared" si="43"/>
        <v>344</v>
      </c>
      <c r="DW29">
        <f t="shared" si="71"/>
        <v>1</v>
      </c>
      <c r="DX29">
        <v>4.44</v>
      </c>
      <c r="DZ29">
        <f t="shared" si="44"/>
        <v>444</v>
      </c>
      <c r="EB29">
        <v>28</v>
      </c>
      <c r="EC29" s="8">
        <f t="shared" si="45"/>
        <v>-24.8333333333333</v>
      </c>
      <c r="ED29">
        <f t="shared" si="72"/>
        <v>6</v>
      </c>
      <c r="EE29">
        <v>4.51</v>
      </c>
      <c r="EF29" s="3" t="str">
        <f t="shared" si="46"/>
        <v>-24.8333333333333|-24.8333333333333|-24.8333333333333|-24.8333333333333|-24.8333333333333|-24.8333333333333</v>
      </c>
      <c r="EG29" s="8">
        <f t="shared" si="47"/>
        <v>75</v>
      </c>
      <c r="EH29" s="3"/>
      <c r="EJ29">
        <v>28</v>
      </c>
      <c r="EK29" s="8">
        <f t="shared" si="48"/>
        <v>-38.3333333333333</v>
      </c>
      <c r="EL29">
        <f t="shared" si="73"/>
        <v>6</v>
      </c>
      <c r="EM29">
        <v>3.7</v>
      </c>
      <c r="EN29" s="3" t="str">
        <f t="shared" si="49"/>
        <v>-38.3333333333333|-38.3333333333333|-38.3333333333333|-38.3333333333333|-38.3333333333333|-38.3333333333333</v>
      </c>
      <c r="EO29" s="8">
        <f t="shared" si="50"/>
        <v>62</v>
      </c>
      <c r="EP29" s="8"/>
      <c r="EQ29" s="8"/>
      <c r="ER29" s="8">
        <f t="shared" si="51"/>
        <v>455</v>
      </c>
      <c r="ES29" s="8">
        <f t="shared" si="74"/>
        <v>1</v>
      </c>
      <c r="ET29">
        <v>5.55</v>
      </c>
      <c r="EU29" s="8"/>
      <c r="EV29" s="8">
        <f t="shared" si="52"/>
        <v>555</v>
      </c>
      <c r="EW29" s="8">
        <f t="shared" si="53"/>
        <v>381</v>
      </c>
      <c r="EX29">
        <v>4.81</v>
      </c>
      <c r="EY29">
        <f t="shared" si="75"/>
        <v>1</v>
      </c>
      <c r="EZ29">
        <v>125.8</v>
      </c>
      <c r="FA29">
        <v>3.674</v>
      </c>
      <c r="FB29" s="8">
        <f t="shared" si="54"/>
        <v>481</v>
      </c>
      <c r="FC29" t="str">
        <f t="shared" si="55"/>
        <v>381|125.8|3.674</v>
      </c>
      <c r="FE29">
        <v>28</v>
      </c>
      <c r="FF29" s="8">
        <f t="shared" si="56"/>
        <v>640</v>
      </c>
      <c r="FG29">
        <f t="shared" si="76"/>
        <v>1</v>
      </c>
      <c r="FH29">
        <f t="shared" si="77"/>
        <v>7.4</v>
      </c>
      <c r="FJ29">
        <v>28</v>
      </c>
      <c r="FK29" s="8">
        <f t="shared" si="57"/>
        <v>640</v>
      </c>
      <c r="FL29" s="8" t="str">
        <f t="shared" si="78"/>
        <v>0|40</v>
      </c>
      <c r="FM29">
        <f t="shared" si="79"/>
        <v>1</v>
      </c>
      <c r="FN29">
        <f t="shared" si="80"/>
        <v>7.4</v>
      </c>
      <c r="FP29">
        <v>28</v>
      </c>
      <c r="FQ29" s="8">
        <f t="shared" si="58"/>
        <v>147</v>
      </c>
      <c r="FR29">
        <f t="shared" si="81"/>
        <v>3</v>
      </c>
      <c r="FS29">
        <f t="shared" si="82"/>
        <v>7.4</v>
      </c>
      <c r="FT29" t="str">
        <f t="shared" si="59"/>
        <v>147|147|147</v>
      </c>
    </row>
    <row r="30" spans="7:176">
      <c r="G30">
        <v>29</v>
      </c>
      <c r="H30">
        <f t="shared" si="0"/>
        <v>-12.8</v>
      </c>
      <c r="I30">
        <f t="shared" si="60"/>
        <v>5</v>
      </c>
      <c r="J30">
        <v>4.36</v>
      </c>
      <c r="K30" s="7" t="str">
        <f t="shared" si="1"/>
        <v>-12.8|-12.8|-12.8|-12.8|-12.8</v>
      </c>
      <c r="L30">
        <f t="shared" si="2"/>
        <v>87</v>
      </c>
      <c r="M30" s="7"/>
      <c r="N30" s="7">
        <v>29</v>
      </c>
      <c r="O30">
        <f t="shared" si="3"/>
        <v>42.6666666666667</v>
      </c>
      <c r="P30">
        <f t="shared" si="61"/>
        <v>3</v>
      </c>
      <c r="Q30">
        <v>4.28</v>
      </c>
      <c r="R30" s="7" t="str">
        <f t="shared" si="4"/>
        <v>42.6666666666667|42.6666666666667|42.6666666666667</v>
      </c>
      <c r="S30">
        <f t="shared" si="5"/>
        <v>143</v>
      </c>
      <c r="U30">
        <v>29</v>
      </c>
      <c r="V30">
        <f t="shared" si="6"/>
        <v>-21</v>
      </c>
      <c r="W30">
        <f t="shared" si="62"/>
        <v>8</v>
      </c>
      <c r="X30">
        <v>6.32</v>
      </c>
      <c r="Y30" s="7" t="str">
        <f t="shared" si="7"/>
        <v>-21|-21|-21|-21|-21|-21|-21|-21</v>
      </c>
      <c r="Z30">
        <f t="shared" si="8"/>
        <v>79</v>
      </c>
      <c r="AA30">
        <f t="shared" si="9"/>
        <v>0.639999999999993</v>
      </c>
      <c r="AC30">
        <v>29</v>
      </c>
      <c r="AD30">
        <f t="shared" si="10"/>
        <v>447</v>
      </c>
      <c r="AE30">
        <v>1</v>
      </c>
      <c r="AF30">
        <v>5.47</v>
      </c>
      <c r="AH30">
        <f t="shared" si="12"/>
        <v>547</v>
      </c>
      <c r="AJ30">
        <v>29</v>
      </c>
      <c r="AL30">
        <v>3800</v>
      </c>
      <c r="AM30">
        <v>16</v>
      </c>
      <c r="AO30" t="str">
        <f t="shared" si="13"/>
        <v>3800|16</v>
      </c>
      <c r="AR30">
        <v>29</v>
      </c>
      <c r="AS30">
        <f t="shared" si="14"/>
        <v>280</v>
      </c>
      <c r="AT30">
        <f t="shared" si="63"/>
        <v>1</v>
      </c>
      <c r="AU30">
        <v>3.8</v>
      </c>
      <c r="AV30">
        <f t="shared" si="15"/>
        <v>380</v>
      </c>
      <c r="AW30" s="10"/>
      <c r="AX30" s="10">
        <v>29</v>
      </c>
      <c r="AY30" s="10">
        <f t="shared" si="16"/>
        <v>660</v>
      </c>
      <c r="AZ30" s="10"/>
      <c r="BA30" s="10">
        <v>7.6</v>
      </c>
      <c r="BB30">
        <f t="shared" si="17"/>
        <v>760</v>
      </c>
      <c r="BD30">
        <v>3200</v>
      </c>
      <c r="BE30" s="8" t="s">
        <v>56</v>
      </c>
      <c r="BF30" t="str">
        <f t="shared" si="18"/>
        <v>3200|15</v>
      </c>
      <c r="BH30">
        <v>29</v>
      </c>
      <c r="BI30" s="10">
        <f t="shared" si="19"/>
        <v>23.6</v>
      </c>
      <c r="BJ30">
        <f t="shared" si="64"/>
        <v>5</v>
      </c>
      <c r="BK30">
        <v>6.18</v>
      </c>
      <c r="BL30" s="3" t="str">
        <f t="shared" si="20"/>
        <v>23.6|23.6|23.6|23.6|23.6</v>
      </c>
      <c r="BM30">
        <f t="shared" si="21"/>
        <v>124</v>
      </c>
      <c r="BN30" s="8">
        <f t="shared" si="65"/>
        <v>12.4</v>
      </c>
      <c r="BO30" s="8">
        <f t="shared" si="66"/>
        <v>18.6</v>
      </c>
      <c r="BP30" s="8">
        <f t="shared" si="67"/>
        <v>24.8</v>
      </c>
      <c r="BQ30" s="8">
        <f t="shared" si="68"/>
        <v>31</v>
      </c>
      <c r="BR30" s="8">
        <f t="shared" si="69"/>
        <v>37.2</v>
      </c>
      <c r="BT30">
        <v>29</v>
      </c>
      <c r="BU30">
        <f t="shared" si="22"/>
        <v>230</v>
      </c>
      <c r="BW30">
        <v>6.6</v>
      </c>
      <c r="BX30" s="7" t="str">
        <f t="shared" si="23"/>
        <v>153.333333333333|306.666666666667</v>
      </c>
      <c r="BY30">
        <f t="shared" si="24"/>
        <v>330</v>
      </c>
      <c r="BZ30">
        <f t="shared" si="25"/>
        <v>460</v>
      </c>
      <c r="CA30" s="8">
        <f t="shared" si="26"/>
        <v>153.333333333333</v>
      </c>
      <c r="CB30" s="8">
        <f t="shared" si="27"/>
        <v>306.666666666667</v>
      </c>
      <c r="CD30">
        <v>29</v>
      </c>
      <c r="CE30" s="8">
        <f t="shared" si="28"/>
        <v>280</v>
      </c>
      <c r="CG30">
        <v>3.8</v>
      </c>
      <c r="CH30" s="18">
        <f t="shared" si="29"/>
        <v>280</v>
      </c>
      <c r="CI30">
        <f t="shared" si="30"/>
        <v>380</v>
      </c>
      <c r="CJ30" s="19"/>
      <c r="CK30" s="19">
        <v>29</v>
      </c>
      <c r="CL30" s="19">
        <f t="shared" si="31"/>
        <v>524</v>
      </c>
      <c r="CM30" s="19"/>
      <c r="CN30" s="19">
        <f t="shared" si="32"/>
        <v>6.24</v>
      </c>
      <c r="CO30" s="18">
        <f t="shared" si="33"/>
        <v>524</v>
      </c>
      <c r="CP30">
        <v>190</v>
      </c>
      <c r="CQ30">
        <v>71</v>
      </c>
      <c r="CR30" t="str">
        <f t="shared" si="34"/>
        <v>190|71</v>
      </c>
      <c r="CT30" s="4"/>
      <c r="CV30" s="8">
        <v>52</v>
      </c>
      <c r="CW30">
        <v>29</v>
      </c>
      <c r="CX30" t="str">
        <f t="shared" si="35"/>
        <v>-34|-34|-34|-34|-34</v>
      </c>
      <c r="CY30">
        <v>3.3</v>
      </c>
      <c r="CZ30">
        <f t="shared" si="70"/>
        <v>5</v>
      </c>
      <c r="DA30">
        <f t="shared" si="36"/>
        <v>-34</v>
      </c>
      <c r="DB30" s="8">
        <f t="shared" si="37"/>
        <v>66</v>
      </c>
      <c r="DC30">
        <v>26.8</v>
      </c>
      <c r="DD30" t="str">
        <f t="shared" si="38"/>
        <v>66|26.8</v>
      </c>
      <c r="DF30">
        <v>29</v>
      </c>
      <c r="DG30">
        <v>680</v>
      </c>
      <c r="DI30" s="8">
        <v>-72</v>
      </c>
      <c r="DJ30" s="8">
        <v>-69</v>
      </c>
      <c r="DK30" s="10"/>
      <c r="DL30" s="10">
        <v>29</v>
      </c>
      <c r="DM30">
        <f t="shared" si="39"/>
        <v>440</v>
      </c>
      <c r="DN30" s="10"/>
      <c r="DO30" s="10">
        <v>5.4</v>
      </c>
      <c r="DP30" s="15">
        <v>-71</v>
      </c>
      <c r="DQ30" s="8">
        <f t="shared" si="40"/>
        <v>540</v>
      </c>
      <c r="DR30" s="8">
        <f t="shared" si="41"/>
        <v>29</v>
      </c>
      <c r="DS30" t="str">
        <f t="shared" si="42"/>
        <v>540|29</v>
      </c>
      <c r="DU30">
        <v>29</v>
      </c>
      <c r="DV30" s="10">
        <f t="shared" si="43"/>
        <v>356</v>
      </c>
      <c r="DW30">
        <f t="shared" si="71"/>
        <v>1</v>
      </c>
      <c r="DX30">
        <v>4.56</v>
      </c>
      <c r="DZ30">
        <f t="shared" si="44"/>
        <v>456</v>
      </c>
      <c r="EB30">
        <v>29</v>
      </c>
      <c r="EC30" s="8">
        <f t="shared" si="45"/>
        <v>-22.6666666666667</v>
      </c>
      <c r="ED30">
        <f t="shared" si="72"/>
        <v>6</v>
      </c>
      <c r="EE30">
        <v>4.64</v>
      </c>
      <c r="EF30" s="3" t="str">
        <f t="shared" si="46"/>
        <v>-22.6666666666667|-22.6666666666667|-22.6666666666667|-22.6666666666667|-22.6666666666667|-22.6666666666667</v>
      </c>
      <c r="EG30" s="8">
        <f t="shared" si="47"/>
        <v>77</v>
      </c>
      <c r="EH30" s="3"/>
      <c r="EJ30">
        <v>29</v>
      </c>
      <c r="EK30" s="8">
        <f t="shared" si="48"/>
        <v>-36.6666666666667</v>
      </c>
      <c r="EL30">
        <f t="shared" si="73"/>
        <v>6</v>
      </c>
      <c r="EM30">
        <v>3.8</v>
      </c>
      <c r="EN30" s="3" t="str">
        <f t="shared" si="49"/>
        <v>-36.6666666666667|-36.6666666666667|-36.6666666666667|-36.6666666666667|-36.6666666666667|-36.6666666666667</v>
      </c>
      <c r="EO30" s="8">
        <f t="shared" si="50"/>
        <v>63</v>
      </c>
      <c r="EP30" s="8"/>
      <c r="EQ30" s="8"/>
      <c r="ER30" s="8">
        <f t="shared" si="51"/>
        <v>470</v>
      </c>
      <c r="ES30" s="8">
        <f t="shared" si="74"/>
        <v>1</v>
      </c>
      <c r="ET30">
        <v>5.7</v>
      </c>
      <c r="EU30" s="8"/>
      <c r="EV30" s="8">
        <f t="shared" si="52"/>
        <v>570</v>
      </c>
      <c r="EW30" s="8">
        <f t="shared" si="53"/>
        <v>394</v>
      </c>
      <c r="EX30">
        <v>4.94</v>
      </c>
      <c r="EY30">
        <f t="shared" si="75"/>
        <v>1</v>
      </c>
      <c r="EZ30">
        <v>129.2</v>
      </c>
      <c r="FA30">
        <v>3.736</v>
      </c>
      <c r="FB30" s="8">
        <f t="shared" si="54"/>
        <v>494</v>
      </c>
      <c r="FC30" t="str">
        <f t="shared" si="55"/>
        <v>394|129.2|3.736</v>
      </c>
      <c r="FE30">
        <v>29</v>
      </c>
      <c r="FF30" s="8">
        <f t="shared" si="56"/>
        <v>660</v>
      </c>
      <c r="FG30">
        <f t="shared" si="76"/>
        <v>1</v>
      </c>
      <c r="FH30">
        <f t="shared" si="77"/>
        <v>7.6</v>
      </c>
      <c r="FJ30">
        <v>29</v>
      </c>
      <c r="FK30" s="8">
        <f t="shared" si="57"/>
        <v>660</v>
      </c>
      <c r="FL30" s="8" t="str">
        <f t="shared" si="78"/>
        <v>0|40</v>
      </c>
      <c r="FM30">
        <f t="shared" si="79"/>
        <v>1</v>
      </c>
      <c r="FN30">
        <f t="shared" si="80"/>
        <v>7.6</v>
      </c>
      <c r="FP30">
        <v>29</v>
      </c>
      <c r="FQ30" s="8">
        <f t="shared" si="58"/>
        <v>153</v>
      </c>
      <c r="FR30">
        <f t="shared" si="81"/>
        <v>3</v>
      </c>
      <c r="FS30">
        <f t="shared" si="82"/>
        <v>7.6</v>
      </c>
      <c r="FT30" t="str">
        <f t="shared" si="59"/>
        <v>153|153|153</v>
      </c>
    </row>
    <row r="31" spans="7:176">
      <c r="G31">
        <v>30</v>
      </c>
      <c r="H31">
        <f t="shared" si="0"/>
        <v>-10.4</v>
      </c>
      <c r="I31">
        <f t="shared" si="60"/>
        <v>5</v>
      </c>
      <c r="J31">
        <v>4.48</v>
      </c>
      <c r="K31" s="7" t="str">
        <f t="shared" si="1"/>
        <v>-10.4|-10.4|-10.4|-10.4|-10.4</v>
      </c>
      <c r="L31">
        <f t="shared" si="2"/>
        <v>90</v>
      </c>
      <c r="M31" s="7"/>
      <c r="N31" s="7">
        <v>30</v>
      </c>
      <c r="O31">
        <f t="shared" si="3"/>
        <v>46.3333333333333</v>
      </c>
      <c r="P31">
        <f t="shared" si="61"/>
        <v>3</v>
      </c>
      <c r="Q31">
        <v>4.39</v>
      </c>
      <c r="R31" s="7" t="str">
        <f t="shared" si="4"/>
        <v>46.3333333333333|46.3333333333333|46.3333333333333</v>
      </c>
      <c r="S31">
        <f t="shared" si="5"/>
        <v>146</v>
      </c>
      <c r="U31">
        <v>30</v>
      </c>
      <c r="V31">
        <f t="shared" si="6"/>
        <v>-18.625</v>
      </c>
      <c r="W31">
        <f t="shared" si="62"/>
        <v>8</v>
      </c>
      <c r="X31">
        <v>6.51</v>
      </c>
      <c r="Y31" s="7" t="str">
        <f t="shared" si="7"/>
        <v>-18.625|-18.625|-18.625|-18.625|-18.625|-18.625|-18.625|-18.625</v>
      </c>
      <c r="Z31">
        <f t="shared" si="8"/>
        <v>81</v>
      </c>
      <c r="AA31">
        <f t="shared" si="9"/>
        <v>2.02</v>
      </c>
      <c r="AC31">
        <v>30</v>
      </c>
      <c r="AD31">
        <f t="shared" si="10"/>
        <v>461</v>
      </c>
      <c r="AE31">
        <v>1</v>
      </c>
      <c r="AF31">
        <v>5.61</v>
      </c>
      <c r="AH31">
        <f t="shared" si="12"/>
        <v>561</v>
      </c>
      <c r="AJ31">
        <v>30</v>
      </c>
      <c r="AL31">
        <v>3900</v>
      </c>
      <c r="AM31">
        <v>16.5</v>
      </c>
      <c r="AO31" t="str">
        <f t="shared" si="13"/>
        <v>3900|16.5</v>
      </c>
      <c r="AR31">
        <v>30</v>
      </c>
      <c r="AS31">
        <f t="shared" si="14"/>
        <v>290</v>
      </c>
      <c r="AT31">
        <f t="shared" si="63"/>
        <v>1</v>
      </c>
      <c r="AU31">
        <v>3.9</v>
      </c>
      <c r="AV31">
        <f t="shared" si="15"/>
        <v>390</v>
      </c>
      <c r="AW31" s="10"/>
      <c r="AX31" s="10">
        <v>30</v>
      </c>
      <c r="AY31" s="10">
        <f t="shared" si="16"/>
        <v>680.000000000001</v>
      </c>
      <c r="AZ31" s="10"/>
      <c r="BA31" s="10">
        <v>7.80000000000001</v>
      </c>
      <c r="BB31">
        <f t="shared" si="17"/>
        <v>780</v>
      </c>
      <c r="BD31">
        <v>3300</v>
      </c>
      <c r="BE31" s="8" t="s">
        <v>56</v>
      </c>
      <c r="BF31" t="str">
        <f t="shared" si="18"/>
        <v>3300|15</v>
      </c>
      <c r="BH31">
        <v>30</v>
      </c>
      <c r="BI31" s="10">
        <f t="shared" si="19"/>
        <v>26.8</v>
      </c>
      <c r="BJ31">
        <f t="shared" si="64"/>
        <v>5</v>
      </c>
      <c r="BK31">
        <v>6.34</v>
      </c>
      <c r="BL31" s="3" t="str">
        <f t="shared" si="20"/>
        <v>26.8|26.8|26.8|26.8|26.8</v>
      </c>
      <c r="BM31">
        <f t="shared" si="21"/>
        <v>127</v>
      </c>
      <c r="BN31" s="8">
        <f t="shared" si="65"/>
        <v>12.7</v>
      </c>
      <c r="BO31" s="8">
        <f t="shared" si="66"/>
        <v>19.05</v>
      </c>
      <c r="BP31" s="8">
        <f t="shared" si="67"/>
        <v>25.4</v>
      </c>
      <c r="BQ31" s="8">
        <f t="shared" si="68"/>
        <v>31.75</v>
      </c>
      <c r="BR31" s="8">
        <f t="shared" si="69"/>
        <v>38.1</v>
      </c>
      <c r="BT31">
        <v>30</v>
      </c>
      <c r="BU31">
        <f t="shared" si="22"/>
        <v>240</v>
      </c>
      <c r="BW31">
        <v>6.8</v>
      </c>
      <c r="BX31" s="7" t="str">
        <f t="shared" si="23"/>
        <v>160|320</v>
      </c>
      <c r="BY31">
        <f t="shared" si="24"/>
        <v>340</v>
      </c>
      <c r="BZ31">
        <f t="shared" si="25"/>
        <v>480</v>
      </c>
      <c r="CA31" s="8">
        <f t="shared" si="26"/>
        <v>160</v>
      </c>
      <c r="CB31" s="8">
        <f t="shared" si="27"/>
        <v>320</v>
      </c>
      <c r="CD31">
        <v>30</v>
      </c>
      <c r="CE31" s="8">
        <f t="shared" si="28"/>
        <v>290</v>
      </c>
      <c r="CG31">
        <v>3.9</v>
      </c>
      <c r="CH31" s="20">
        <f t="shared" si="29"/>
        <v>290</v>
      </c>
      <c r="CI31">
        <f t="shared" si="30"/>
        <v>390</v>
      </c>
      <c r="CJ31" s="21"/>
      <c r="CK31" s="21">
        <v>30</v>
      </c>
      <c r="CL31" s="21">
        <f t="shared" si="31"/>
        <v>532</v>
      </c>
      <c r="CM31" s="21"/>
      <c r="CN31" s="21">
        <f t="shared" si="32"/>
        <v>6.32</v>
      </c>
      <c r="CO31" s="20">
        <f t="shared" si="33"/>
        <v>532</v>
      </c>
      <c r="CP31">
        <v>195</v>
      </c>
      <c r="CQ31">
        <v>70</v>
      </c>
      <c r="CR31" t="str">
        <f t="shared" si="34"/>
        <v>195|70</v>
      </c>
      <c r="CT31" s="4"/>
      <c r="CV31" s="8">
        <v>54</v>
      </c>
      <c r="CW31">
        <v>30</v>
      </c>
      <c r="CX31" t="str">
        <f t="shared" si="35"/>
        <v>-32|-32|-32|-32|-32</v>
      </c>
      <c r="CY31">
        <v>3.4</v>
      </c>
      <c r="CZ31">
        <f t="shared" si="70"/>
        <v>5</v>
      </c>
      <c r="DA31">
        <f t="shared" si="36"/>
        <v>-32</v>
      </c>
      <c r="DB31" s="8">
        <f t="shared" si="37"/>
        <v>68</v>
      </c>
      <c r="DC31">
        <v>27.4</v>
      </c>
      <c r="DD31" t="str">
        <f t="shared" si="38"/>
        <v>68|27.4</v>
      </c>
      <c r="DF31">
        <v>30</v>
      </c>
      <c r="DG31">
        <v>690</v>
      </c>
      <c r="DI31" s="8">
        <v>-71</v>
      </c>
      <c r="DJ31" s="8">
        <v>-69</v>
      </c>
      <c r="DK31" s="10"/>
      <c r="DL31" s="10">
        <v>30</v>
      </c>
      <c r="DM31">
        <f t="shared" si="39"/>
        <v>455</v>
      </c>
      <c r="DN31" s="10"/>
      <c r="DO31" s="10">
        <v>5.55</v>
      </c>
      <c r="DP31" s="15">
        <v>-70</v>
      </c>
      <c r="DQ31" s="8">
        <f t="shared" si="40"/>
        <v>555</v>
      </c>
      <c r="DR31" s="8">
        <f t="shared" si="41"/>
        <v>30</v>
      </c>
      <c r="DS31" t="str">
        <f t="shared" si="42"/>
        <v>555|30</v>
      </c>
      <c r="DU31">
        <v>30</v>
      </c>
      <c r="DV31" s="10">
        <f t="shared" si="43"/>
        <v>368</v>
      </c>
      <c r="DW31">
        <f t="shared" si="71"/>
        <v>1</v>
      </c>
      <c r="DX31">
        <v>4.68</v>
      </c>
      <c r="DZ31">
        <f t="shared" si="44"/>
        <v>468</v>
      </c>
      <c r="EB31">
        <v>30</v>
      </c>
      <c r="EC31" s="8">
        <f t="shared" si="45"/>
        <v>-20.5</v>
      </c>
      <c r="ED31">
        <f t="shared" si="72"/>
        <v>6</v>
      </c>
      <c r="EE31">
        <v>4.77</v>
      </c>
      <c r="EF31" s="3" t="str">
        <f t="shared" si="46"/>
        <v>-20.5|-20.5|-20.5|-20.5|-20.5|-20.5</v>
      </c>
      <c r="EG31" s="8">
        <f t="shared" si="47"/>
        <v>80</v>
      </c>
      <c r="EH31" s="3"/>
      <c r="EJ31">
        <v>30</v>
      </c>
      <c r="EK31" s="8">
        <f t="shared" si="48"/>
        <v>-35</v>
      </c>
      <c r="EL31">
        <f t="shared" si="73"/>
        <v>6</v>
      </c>
      <c r="EM31">
        <v>3.9</v>
      </c>
      <c r="EN31" s="3" t="str">
        <f t="shared" si="49"/>
        <v>-35|-35|-35|-35|-35|-35</v>
      </c>
      <c r="EO31" s="8">
        <f t="shared" si="50"/>
        <v>65</v>
      </c>
      <c r="EP31" s="8"/>
      <c r="EQ31" s="8"/>
      <c r="ER31" s="8">
        <f t="shared" si="51"/>
        <v>485</v>
      </c>
      <c r="ES31" s="8">
        <f t="shared" si="74"/>
        <v>1</v>
      </c>
      <c r="ET31">
        <v>5.85</v>
      </c>
      <c r="EU31" s="8"/>
      <c r="EV31" s="8">
        <f t="shared" si="52"/>
        <v>585</v>
      </c>
      <c r="EW31" s="8">
        <f t="shared" si="53"/>
        <v>407</v>
      </c>
      <c r="EX31">
        <v>5.07</v>
      </c>
      <c r="EY31">
        <f t="shared" si="75"/>
        <v>1</v>
      </c>
      <c r="EZ31">
        <v>132.6</v>
      </c>
      <c r="FA31">
        <v>3.798</v>
      </c>
      <c r="FB31" s="8">
        <f t="shared" si="54"/>
        <v>507</v>
      </c>
      <c r="FC31" t="str">
        <f t="shared" si="55"/>
        <v>407|132.6|3.798</v>
      </c>
      <c r="FE31">
        <v>30</v>
      </c>
      <c r="FF31" s="8">
        <f t="shared" si="56"/>
        <v>680</v>
      </c>
      <c r="FG31">
        <f t="shared" si="76"/>
        <v>1</v>
      </c>
      <c r="FH31">
        <f t="shared" si="77"/>
        <v>7.8</v>
      </c>
      <c r="FJ31">
        <v>30</v>
      </c>
      <c r="FK31" s="8">
        <f t="shared" si="57"/>
        <v>680</v>
      </c>
      <c r="FL31" s="8" t="str">
        <f t="shared" si="78"/>
        <v>0|40</v>
      </c>
      <c r="FM31">
        <f t="shared" si="79"/>
        <v>1</v>
      </c>
      <c r="FN31">
        <f t="shared" si="80"/>
        <v>7.8</v>
      </c>
      <c r="FP31">
        <v>30</v>
      </c>
      <c r="FQ31" s="8">
        <f t="shared" si="58"/>
        <v>160</v>
      </c>
      <c r="FR31">
        <f t="shared" si="81"/>
        <v>3</v>
      </c>
      <c r="FS31">
        <f t="shared" si="82"/>
        <v>7.8</v>
      </c>
      <c r="FT31" t="str">
        <f t="shared" si="59"/>
        <v>160|160|160</v>
      </c>
    </row>
    <row r="32" spans="7:176">
      <c r="G32">
        <v>31</v>
      </c>
      <c r="H32">
        <f t="shared" si="0"/>
        <v>-8.00000000000001</v>
      </c>
      <c r="I32">
        <f t="shared" si="60"/>
        <v>5</v>
      </c>
      <c r="J32">
        <v>4.6</v>
      </c>
      <c r="K32" s="7" t="str">
        <f t="shared" si="1"/>
        <v>-8.00000000000001|-8.00000000000001|-8.00000000000001|-8.00000000000001|-8.00000000000001</v>
      </c>
      <c r="L32">
        <f t="shared" si="2"/>
        <v>92</v>
      </c>
      <c r="M32" s="7"/>
      <c r="N32" s="7">
        <v>31</v>
      </c>
      <c r="O32">
        <f t="shared" si="3"/>
        <v>50</v>
      </c>
      <c r="P32">
        <f t="shared" si="61"/>
        <v>3</v>
      </c>
      <c r="Q32">
        <v>4.5</v>
      </c>
      <c r="R32" s="7" t="str">
        <f t="shared" si="4"/>
        <v>50|50|50</v>
      </c>
      <c r="S32">
        <f t="shared" si="5"/>
        <v>150</v>
      </c>
      <c r="U32">
        <v>31</v>
      </c>
      <c r="V32">
        <f t="shared" si="6"/>
        <v>-16.25</v>
      </c>
      <c r="W32">
        <f t="shared" si="62"/>
        <v>8</v>
      </c>
      <c r="X32">
        <v>6.7</v>
      </c>
      <c r="Y32" s="7" t="str">
        <f t="shared" si="7"/>
        <v>-16.25|-16.25|-16.25|-16.25|-16.25|-16.25|-16.25|-16.25</v>
      </c>
      <c r="Z32">
        <f t="shared" si="8"/>
        <v>84</v>
      </c>
      <c r="AA32">
        <f t="shared" si="9"/>
        <v>3.39999999999999</v>
      </c>
      <c r="AC32">
        <v>31</v>
      </c>
      <c r="AD32">
        <f t="shared" si="10"/>
        <v>475</v>
      </c>
      <c r="AE32">
        <v>1</v>
      </c>
      <c r="AF32">
        <v>5.75</v>
      </c>
      <c r="AH32">
        <f t="shared" si="12"/>
        <v>575</v>
      </c>
      <c r="AJ32">
        <v>31</v>
      </c>
      <c r="AL32">
        <v>4000</v>
      </c>
      <c r="AM32">
        <v>17</v>
      </c>
      <c r="AO32" t="str">
        <f t="shared" si="13"/>
        <v>4000|17</v>
      </c>
      <c r="AR32">
        <v>31</v>
      </c>
      <c r="AS32">
        <f t="shared" si="14"/>
        <v>300</v>
      </c>
      <c r="AT32">
        <f t="shared" si="63"/>
        <v>1</v>
      </c>
      <c r="AU32">
        <v>4</v>
      </c>
      <c r="AV32">
        <f t="shared" si="15"/>
        <v>400</v>
      </c>
      <c r="AW32" s="10"/>
      <c r="AX32" s="10">
        <v>31</v>
      </c>
      <c r="AY32" s="10">
        <f t="shared" si="16"/>
        <v>700.000000000001</v>
      </c>
      <c r="AZ32" s="10"/>
      <c r="BA32" s="10">
        <v>8.00000000000001</v>
      </c>
      <c r="BB32">
        <f t="shared" si="17"/>
        <v>800</v>
      </c>
      <c r="BD32">
        <v>3400</v>
      </c>
      <c r="BE32" s="8" t="s">
        <v>59</v>
      </c>
      <c r="BF32" t="str">
        <f t="shared" si="18"/>
        <v>3400|16</v>
      </c>
      <c r="BH32">
        <v>31</v>
      </c>
      <c r="BI32" s="10">
        <f t="shared" si="19"/>
        <v>30</v>
      </c>
      <c r="BJ32">
        <f t="shared" si="64"/>
        <v>5</v>
      </c>
      <c r="BK32">
        <v>6.5</v>
      </c>
      <c r="BL32" s="3" t="str">
        <f t="shared" si="20"/>
        <v>30|30|30|30|30</v>
      </c>
      <c r="BM32">
        <f t="shared" si="21"/>
        <v>130</v>
      </c>
      <c r="BN32" s="8">
        <f t="shared" si="65"/>
        <v>13</v>
      </c>
      <c r="BO32" s="8">
        <f t="shared" si="66"/>
        <v>19.5</v>
      </c>
      <c r="BP32" s="8">
        <f t="shared" si="67"/>
        <v>26</v>
      </c>
      <c r="BQ32" s="8">
        <f t="shared" si="68"/>
        <v>32.5</v>
      </c>
      <c r="BR32" s="8">
        <f t="shared" si="69"/>
        <v>39</v>
      </c>
      <c r="BT32">
        <v>31</v>
      </c>
      <c r="BU32">
        <f t="shared" si="22"/>
        <v>250</v>
      </c>
      <c r="BW32">
        <v>7</v>
      </c>
      <c r="BX32" s="7" t="str">
        <f t="shared" si="23"/>
        <v>166.666666666667|333.333333333333</v>
      </c>
      <c r="BY32">
        <f t="shared" si="24"/>
        <v>350</v>
      </c>
      <c r="BZ32">
        <f t="shared" si="25"/>
        <v>500</v>
      </c>
      <c r="CA32" s="8">
        <f t="shared" si="26"/>
        <v>166.666666666667</v>
      </c>
      <c r="CB32" s="8">
        <f t="shared" si="27"/>
        <v>333.333333333333</v>
      </c>
      <c r="CD32">
        <v>31</v>
      </c>
      <c r="CE32" s="8">
        <f t="shared" si="28"/>
        <v>300</v>
      </c>
      <c r="CG32">
        <v>4</v>
      </c>
      <c r="CH32" s="20">
        <f t="shared" si="29"/>
        <v>300</v>
      </c>
      <c r="CI32">
        <f t="shared" si="30"/>
        <v>400</v>
      </c>
      <c r="CJ32" s="21"/>
      <c r="CK32" s="21">
        <v>31</v>
      </c>
      <c r="CL32" s="21">
        <f t="shared" si="31"/>
        <v>540</v>
      </c>
      <c r="CM32" s="21"/>
      <c r="CN32" s="21">
        <f t="shared" si="32"/>
        <v>6.4</v>
      </c>
      <c r="CO32" s="20">
        <f t="shared" si="33"/>
        <v>540</v>
      </c>
      <c r="CP32">
        <v>200</v>
      </c>
      <c r="CQ32">
        <v>69</v>
      </c>
      <c r="CR32" t="str">
        <f t="shared" si="34"/>
        <v>200|69</v>
      </c>
      <c r="CT32" s="4"/>
      <c r="CV32" s="8">
        <v>55</v>
      </c>
      <c r="CW32">
        <v>31</v>
      </c>
      <c r="CX32" t="str">
        <f t="shared" si="35"/>
        <v>-30|-30|-30|-30|-30</v>
      </c>
      <c r="CY32">
        <v>3.5</v>
      </c>
      <c r="CZ32">
        <f t="shared" si="70"/>
        <v>5</v>
      </c>
      <c r="DA32">
        <f t="shared" si="36"/>
        <v>-30</v>
      </c>
      <c r="DB32" s="8">
        <f t="shared" si="37"/>
        <v>70</v>
      </c>
      <c r="DC32">
        <v>28</v>
      </c>
      <c r="DD32" t="str">
        <f t="shared" si="38"/>
        <v>70|28</v>
      </c>
      <c r="DF32">
        <v>31</v>
      </c>
      <c r="DG32">
        <v>700</v>
      </c>
      <c r="DI32" s="8">
        <v>-69</v>
      </c>
      <c r="DJ32" s="8">
        <v>-66</v>
      </c>
      <c r="DK32" s="10"/>
      <c r="DL32" s="10">
        <v>31</v>
      </c>
      <c r="DM32">
        <f t="shared" si="39"/>
        <v>470</v>
      </c>
      <c r="DN32" s="10"/>
      <c r="DO32" s="10">
        <v>5.7</v>
      </c>
      <c r="DP32" s="15">
        <v>-69</v>
      </c>
      <c r="DQ32" s="8">
        <f t="shared" si="40"/>
        <v>570</v>
      </c>
      <c r="DR32" s="8">
        <f t="shared" si="41"/>
        <v>31</v>
      </c>
      <c r="DS32" t="str">
        <f t="shared" si="42"/>
        <v>570|31</v>
      </c>
      <c r="DU32">
        <v>31</v>
      </c>
      <c r="DV32" s="10">
        <f t="shared" si="43"/>
        <v>380</v>
      </c>
      <c r="DW32">
        <f t="shared" si="71"/>
        <v>1</v>
      </c>
      <c r="DX32">
        <v>4.8</v>
      </c>
      <c r="DZ32">
        <f t="shared" si="44"/>
        <v>480</v>
      </c>
      <c r="EB32">
        <v>31</v>
      </c>
      <c r="EC32" s="8">
        <f t="shared" si="45"/>
        <v>-18.3333333333333</v>
      </c>
      <c r="ED32">
        <f t="shared" si="72"/>
        <v>6</v>
      </c>
      <c r="EE32">
        <v>4.9</v>
      </c>
      <c r="EF32" s="3" t="str">
        <f t="shared" si="46"/>
        <v>-18.3333333333333|-18.3333333333333|-18.3333333333333|-18.3333333333333|-18.3333333333333|-18.3333333333333</v>
      </c>
      <c r="EG32" s="8">
        <f t="shared" si="47"/>
        <v>82</v>
      </c>
      <c r="EH32" s="3"/>
      <c r="EJ32">
        <v>31</v>
      </c>
      <c r="EK32" s="8">
        <f t="shared" si="48"/>
        <v>-33.3333333333333</v>
      </c>
      <c r="EL32">
        <f t="shared" si="73"/>
        <v>6</v>
      </c>
      <c r="EM32">
        <v>4</v>
      </c>
      <c r="EN32" s="3" t="str">
        <f t="shared" si="49"/>
        <v>-33.3333333333333|-33.3333333333333|-33.3333333333333|-33.3333333333333|-33.3333333333333|-33.3333333333333</v>
      </c>
      <c r="EO32" s="8">
        <f t="shared" si="50"/>
        <v>67</v>
      </c>
      <c r="EP32" s="8"/>
      <c r="EQ32" s="8"/>
      <c r="ER32" s="8">
        <f t="shared" si="51"/>
        <v>500</v>
      </c>
      <c r="ES32" s="8">
        <f t="shared" si="74"/>
        <v>1</v>
      </c>
      <c r="ET32">
        <v>6</v>
      </c>
      <c r="EU32" s="8"/>
      <c r="EV32" s="8">
        <f t="shared" si="52"/>
        <v>600</v>
      </c>
      <c r="EW32" s="8">
        <f t="shared" si="53"/>
        <v>420</v>
      </c>
      <c r="EX32">
        <v>5.2</v>
      </c>
      <c r="EY32">
        <f t="shared" si="75"/>
        <v>1</v>
      </c>
      <c r="EZ32">
        <v>136</v>
      </c>
      <c r="FA32">
        <v>3.85999999999999</v>
      </c>
      <c r="FB32" s="8">
        <f t="shared" si="54"/>
        <v>520</v>
      </c>
      <c r="FC32" t="str">
        <f t="shared" si="55"/>
        <v>420|136|3.85999999999999</v>
      </c>
      <c r="FE32">
        <v>31</v>
      </c>
      <c r="FF32" s="8">
        <f t="shared" si="56"/>
        <v>700</v>
      </c>
      <c r="FG32">
        <f t="shared" si="76"/>
        <v>1</v>
      </c>
      <c r="FH32">
        <f t="shared" si="77"/>
        <v>8</v>
      </c>
      <c r="FJ32">
        <v>31</v>
      </c>
      <c r="FK32" s="8">
        <f t="shared" si="57"/>
        <v>700</v>
      </c>
      <c r="FL32" s="8" t="str">
        <f t="shared" si="78"/>
        <v>0|40</v>
      </c>
      <c r="FM32">
        <f t="shared" si="79"/>
        <v>1</v>
      </c>
      <c r="FN32">
        <f t="shared" si="80"/>
        <v>8</v>
      </c>
      <c r="FP32">
        <v>31</v>
      </c>
      <c r="FQ32" s="8">
        <f t="shared" si="58"/>
        <v>167</v>
      </c>
      <c r="FR32">
        <f t="shared" si="81"/>
        <v>3</v>
      </c>
      <c r="FS32">
        <f t="shared" si="82"/>
        <v>8</v>
      </c>
      <c r="FT32" t="str">
        <f t="shared" si="59"/>
        <v>167|167|167</v>
      </c>
    </row>
    <row r="33" spans="7:176">
      <c r="G33">
        <v>32</v>
      </c>
      <c r="H33">
        <f t="shared" si="0"/>
        <v>-5.6</v>
      </c>
      <c r="I33">
        <f t="shared" si="60"/>
        <v>5</v>
      </c>
      <c r="J33">
        <v>4.72</v>
      </c>
      <c r="K33" s="7" t="str">
        <f t="shared" si="1"/>
        <v>-5.6|-5.6|-5.6|-5.6|-5.6</v>
      </c>
      <c r="L33">
        <f t="shared" si="2"/>
        <v>94</v>
      </c>
      <c r="M33" s="7"/>
      <c r="N33" s="7">
        <v>32</v>
      </c>
      <c r="O33">
        <f t="shared" si="3"/>
        <v>53.6666666666667</v>
      </c>
      <c r="P33">
        <f t="shared" si="61"/>
        <v>3</v>
      </c>
      <c r="Q33">
        <v>4.61</v>
      </c>
      <c r="R33" s="7" t="str">
        <f t="shared" si="4"/>
        <v>53.6666666666667|53.6666666666667|53.6666666666667</v>
      </c>
      <c r="S33">
        <f t="shared" si="5"/>
        <v>154</v>
      </c>
      <c r="U33">
        <v>32</v>
      </c>
      <c r="V33">
        <f t="shared" si="6"/>
        <v>-13.875</v>
      </c>
      <c r="W33">
        <f t="shared" si="62"/>
        <v>8</v>
      </c>
      <c r="X33">
        <v>6.89</v>
      </c>
      <c r="Y33" s="7" t="str">
        <f t="shared" si="7"/>
        <v>-13.875|-13.875|-13.875|-13.875|-13.875|-13.875|-13.875|-13.875</v>
      </c>
      <c r="Z33">
        <f t="shared" si="8"/>
        <v>86</v>
      </c>
      <c r="AA33">
        <f t="shared" si="9"/>
        <v>4.77999999999999</v>
      </c>
      <c r="AC33">
        <v>32</v>
      </c>
      <c r="AD33">
        <f t="shared" si="10"/>
        <v>489</v>
      </c>
      <c r="AE33">
        <v>1</v>
      </c>
      <c r="AF33">
        <v>5.89</v>
      </c>
      <c r="AH33">
        <f t="shared" si="12"/>
        <v>589</v>
      </c>
      <c r="AJ33">
        <v>32</v>
      </c>
      <c r="AL33">
        <v>4100</v>
      </c>
      <c r="AM33">
        <v>17.5</v>
      </c>
      <c r="AO33" t="str">
        <f t="shared" si="13"/>
        <v>4100|17.5</v>
      </c>
      <c r="AR33">
        <v>32</v>
      </c>
      <c r="AS33">
        <f t="shared" si="14"/>
        <v>310</v>
      </c>
      <c r="AT33">
        <f t="shared" si="63"/>
        <v>1</v>
      </c>
      <c r="AU33">
        <v>4.1</v>
      </c>
      <c r="AV33">
        <f t="shared" si="15"/>
        <v>410</v>
      </c>
      <c r="AW33" s="10"/>
      <c r="AX33" s="10">
        <v>32</v>
      </c>
      <c r="AY33" s="10">
        <f t="shared" si="16"/>
        <v>720.000000000001</v>
      </c>
      <c r="AZ33" s="10"/>
      <c r="BA33" s="10">
        <v>8.20000000000001</v>
      </c>
      <c r="BB33">
        <f t="shared" si="17"/>
        <v>820</v>
      </c>
      <c r="BD33">
        <v>3500</v>
      </c>
      <c r="BE33" s="8" t="s">
        <v>59</v>
      </c>
      <c r="BF33" t="str">
        <f t="shared" si="18"/>
        <v>3500|16</v>
      </c>
      <c r="BH33">
        <v>32</v>
      </c>
      <c r="BI33" s="10">
        <f t="shared" si="19"/>
        <v>33.2</v>
      </c>
      <c r="BJ33">
        <f t="shared" si="64"/>
        <v>5</v>
      </c>
      <c r="BK33">
        <v>6.66</v>
      </c>
      <c r="BL33" s="3" t="str">
        <f t="shared" si="20"/>
        <v>33.2|33.2|33.2|33.2|33.2</v>
      </c>
      <c r="BM33">
        <f t="shared" si="21"/>
        <v>133</v>
      </c>
      <c r="BN33" s="8">
        <f t="shared" si="65"/>
        <v>13.3</v>
      </c>
      <c r="BO33" s="8">
        <f t="shared" si="66"/>
        <v>19.95</v>
      </c>
      <c r="BP33" s="8">
        <f t="shared" si="67"/>
        <v>26.6</v>
      </c>
      <c r="BQ33" s="8">
        <f t="shared" si="68"/>
        <v>33.25</v>
      </c>
      <c r="BR33" s="8">
        <f t="shared" si="69"/>
        <v>39.9</v>
      </c>
      <c r="BT33">
        <v>32</v>
      </c>
      <c r="BU33">
        <f t="shared" si="22"/>
        <v>260</v>
      </c>
      <c r="BW33">
        <v>7.2</v>
      </c>
      <c r="BX33" s="7" t="str">
        <f t="shared" si="23"/>
        <v>173.333333333333|346.666666666667</v>
      </c>
      <c r="BY33">
        <f t="shared" si="24"/>
        <v>360</v>
      </c>
      <c r="BZ33">
        <f t="shared" si="25"/>
        <v>520</v>
      </c>
      <c r="CA33" s="8">
        <f t="shared" si="26"/>
        <v>173.333333333333</v>
      </c>
      <c r="CB33" s="8">
        <f t="shared" si="27"/>
        <v>346.666666666667</v>
      </c>
      <c r="CD33">
        <v>32</v>
      </c>
      <c r="CE33" s="8">
        <f t="shared" si="28"/>
        <v>310</v>
      </c>
      <c r="CG33">
        <v>4.1</v>
      </c>
      <c r="CH33" s="20">
        <f t="shared" si="29"/>
        <v>310</v>
      </c>
      <c r="CI33">
        <f t="shared" si="30"/>
        <v>410</v>
      </c>
      <c r="CJ33" s="21"/>
      <c r="CK33" s="21">
        <v>32</v>
      </c>
      <c r="CL33" s="21">
        <f t="shared" si="31"/>
        <v>548</v>
      </c>
      <c r="CM33" s="21"/>
      <c r="CN33" s="21">
        <f t="shared" si="32"/>
        <v>6.48</v>
      </c>
      <c r="CO33" s="20">
        <f t="shared" si="33"/>
        <v>548</v>
      </c>
      <c r="CP33">
        <v>205</v>
      </c>
      <c r="CQ33">
        <v>68</v>
      </c>
      <c r="CR33" t="str">
        <f t="shared" si="34"/>
        <v>205|68</v>
      </c>
      <c r="CT33" s="4"/>
      <c r="CV33" s="8">
        <v>57</v>
      </c>
      <c r="CW33">
        <v>32</v>
      </c>
      <c r="CX33" t="str">
        <f t="shared" si="35"/>
        <v>-28|-28|-28|-28|-28</v>
      </c>
      <c r="CY33">
        <v>3.6</v>
      </c>
      <c r="CZ33">
        <f t="shared" si="70"/>
        <v>5</v>
      </c>
      <c r="DA33">
        <f t="shared" si="36"/>
        <v>-28</v>
      </c>
      <c r="DB33" s="8">
        <f t="shared" si="37"/>
        <v>72</v>
      </c>
      <c r="DC33">
        <v>28.6</v>
      </c>
      <c r="DD33" t="str">
        <f t="shared" si="38"/>
        <v>72|28.6</v>
      </c>
      <c r="DF33">
        <v>32</v>
      </c>
      <c r="DG33">
        <v>710</v>
      </c>
      <c r="DI33" s="8">
        <v>-69</v>
      </c>
      <c r="DJ33" s="8">
        <v>-66</v>
      </c>
      <c r="DK33" s="10"/>
      <c r="DL33" s="10">
        <v>32</v>
      </c>
      <c r="DM33">
        <f t="shared" si="39"/>
        <v>485</v>
      </c>
      <c r="DN33" s="10"/>
      <c r="DO33" s="10">
        <v>5.85</v>
      </c>
      <c r="DP33" s="15">
        <v>-68</v>
      </c>
      <c r="DQ33" s="8">
        <f t="shared" si="40"/>
        <v>585</v>
      </c>
      <c r="DR33" s="8">
        <f t="shared" si="41"/>
        <v>32</v>
      </c>
      <c r="DS33" t="str">
        <f t="shared" si="42"/>
        <v>585|32</v>
      </c>
      <c r="DU33">
        <v>32</v>
      </c>
      <c r="DV33" s="10">
        <f t="shared" si="43"/>
        <v>392</v>
      </c>
      <c r="DW33">
        <f t="shared" si="71"/>
        <v>1</v>
      </c>
      <c r="DX33">
        <v>4.92</v>
      </c>
      <c r="DZ33">
        <f t="shared" si="44"/>
        <v>492</v>
      </c>
      <c r="EB33">
        <v>32</v>
      </c>
      <c r="EC33" s="8">
        <f t="shared" si="45"/>
        <v>-16.1666666666667</v>
      </c>
      <c r="ED33">
        <f t="shared" si="72"/>
        <v>6</v>
      </c>
      <c r="EE33">
        <v>5.03</v>
      </c>
      <c r="EF33" s="3" t="str">
        <f t="shared" si="46"/>
        <v>-16.1666666666667|-16.1666666666667|-16.1666666666667|-16.1666666666667|-16.1666666666667|-16.1666666666667</v>
      </c>
      <c r="EG33" s="8">
        <f t="shared" si="47"/>
        <v>84</v>
      </c>
      <c r="EH33" s="3"/>
      <c r="EJ33">
        <v>32</v>
      </c>
      <c r="EK33" s="8">
        <f t="shared" si="48"/>
        <v>-31.6666666666667</v>
      </c>
      <c r="EL33">
        <f t="shared" si="73"/>
        <v>6</v>
      </c>
      <c r="EM33">
        <v>4.1</v>
      </c>
      <c r="EN33" s="3" t="str">
        <f t="shared" si="49"/>
        <v>-31.6666666666667|-31.6666666666667|-31.6666666666667|-31.6666666666667|-31.6666666666667|-31.6666666666667</v>
      </c>
      <c r="EO33" s="8">
        <f t="shared" si="50"/>
        <v>68</v>
      </c>
      <c r="EP33" s="8"/>
      <c r="EQ33" s="8"/>
      <c r="ER33" s="8">
        <f t="shared" si="51"/>
        <v>515</v>
      </c>
      <c r="ES33" s="8">
        <f t="shared" si="74"/>
        <v>1</v>
      </c>
      <c r="ET33">
        <v>6.15</v>
      </c>
      <c r="EU33" s="8"/>
      <c r="EV33" s="8">
        <f t="shared" si="52"/>
        <v>615</v>
      </c>
      <c r="EW33" s="8">
        <f t="shared" si="53"/>
        <v>433</v>
      </c>
      <c r="EX33">
        <v>5.33</v>
      </c>
      <c r="EY33">
        <f t="shared" si="75"/>
        <v>1</v>
      </c>
      <c r="EZ33">
        <v>139.4</v>
      </c>
      <c r="FA33">
        <v>3.92199999999999</v>
      </c>
      <c r="FB33" s="8">
        <f t="shared" si="54"/>
        <v>533</v>
      </c>
      <c r="FC33" t="str">
        <f t="shared" si="55"/>
        <v>433|139.4|3.92199999999999</v>
      </c>
      <c r="FE33">
        <v>32</v>
      </c>
      <c r="FF33" s="8">
        <f t="shared" si="56"/>
        <v>720</v>
      </c>
      <c r="FG33">
        <f t="shared" si="76"/>
        <v>1</v>
      </c>
      <c r="FH33">
        <f t="shared" si="77"/>
        <v>8.2</v>
      </c>
      <c r="FJ33">
        <v>32</v>
      </c>
      <c r="FK33" s="8">
        <f t="shared" si="57"/>
        <v>720</v>
      </c>
      <c r="FL33" s="8" t="str">
        <f t="shared" si="78"/>
        <v>0|40</v>
      </c>
      <c r="FM33">
        <f t="shared" si="79"/>
        <v>1</v>
      </c>
      <c r="FN33">
        <f t="shared" si="80"/>
        <v>8.2</v>
      </c>
      <c r="FP33">
        <v>32</v>
      </c>
      <c r="FQ33" s="8">
        <f t="shared" si="58"/>
        <v>173</v>
      </c>
      <c r="FR33">
        <f t="shared" si="81"/>
        <v>3</v>
      </c>
      <c r="FS33">
        <f t="shared" si="82"/>
        <v>8.2</v>
      </c>
      <c r="FT33" t="str">
        <f t="shared" si="59"/>
        <v>173|173|173</v>
      </c>
    </row>
    <row r="34" spans="7:176">
      <c r="G34">
        <v>33</v>
      </c>
      <c r="H34">
        <f t="shared" si="0"/>
        <v>-3.2</v>
      </c>
      <c r="I34">
        <f t="shared" si="60"/>
        <v>5</v>
      </c>
      <c r="J34">
        <v>4.84</v>
      </c>
      <c r="K34" s="7" t="str">
        <f t="shared" si="1"/>
        <v>-3.2|-3.2|-3.2|-3.2|-3.2</v>
      </c>
      <c r="L34">
        <f t="shared" si="2"/>
        <v>97</v>
      </c>
      <c r="M34" s="7"/>
      <c r="N34" s="7">
        <v>33</v>
      </c>
      <c r="O34">
        <f t="shared" si="3"/>
        <v>57.3333333333333</v>
      </c>
      <c r="P34">
        <f t="shared" si="61"/>
        <v>3</v>
      </c>
      <c r="Q34">
        <v>4.72</v>
      </c>
      <c r="R34" s="7" t="str">
        <f t="shared" si="4"/>
        <v>57.3333333333333|57.3333333333333|57.3333333333333</v>
      </c>
      <c r="S34">
        <f t="shared" si="5"/>
        <v>157</v>
      </c>
      <c r="U34">
        <v>33</v>
      </c>
      <c r="V34">
        <f t="shared" si="6"/>
        <v>-11.5</v>
      </c>
      <c r="W34">
        <f t="shared" si="62"/>
        <v>8</v>
      </c>
      <c r="X34">
        <v>7.08</v>
      </c>
      <c r="Y34" s="7" t="str">
        <f t="shared" si="7"/>
        <v>-11.5|-11.5|-11.5|-11.5|-11.5|-11.5|-11.5|-11.5</v>
      </c>
      <c r="Z34">
        <f t="shared" si="8"/>
        <v>89</v>
      </c>
      <c r="AA34">
        <f t="shared" si="9"/>
        <v>6.16</v>
      </c>
      <c r="AC34">
        <v>33</v>
      </c>
      <c r="AD34">
        <f t="shared" si="10"/>
        <v>503</v>
      </c>
      <c r="AE34">
        <v>1</v>
      </c>
      <c r="AF34">
        <v>6.03</v>
      </c>
      <c r="AH34">
        <f t="shared" si="12"/>
        <v>603</v>
      </c>
      <c r="AJ34">
        <v>33</v>
      </c>
      <c r="AL34">
        <v>4200</v>
      </c>
      <c r="AM34">
        <v>18</v>
      </c>
      <c r="AO34" t="str">
        <f t="shared" si="13"/>
        <v>4200|18</v>
      </c>
      <c r="AR34">
        <v>33</v>
      </c>
      <c r="AS34">
        <f t="shared" si="14"/>
        <v>320</v>
      </c>
      <c r="AT34">
        <f t="shared" si="63"/>
        <v>1</v>
      </c>
      <c r="AU34">
        <v>4.2</v>
      </c>
      <c r="AV34">
        <f t="shared" si="15"/>
        <v>420</v>
      </c>
      <c r="AW34" s="10"/>
      <c r="AX34" s="10">
        <v>33</v>
      </c>
      <c r="AY34" s="10">
        <f t="shared" si="16"/>
        <v>740.000000000001</v>
      </c>
      <c r="AZ34" s="10"/>
      <c r="BA34" s="10">
        <v>8.40000000000001</v>
      </c>
      <c r="BB34">
        <f t="shared" si="17"/>
        <v>840</v>
      </c>
      <c r="BD34">
        <v>3600</v>
      </c>
      <c r="BE34" s="8" t="s">
        <v>59</v>
      </c>
      <c r="BF34" t="str">
        <f t="shared" si="18"/>
        <v>3600|16</v>
      </c>
      <c r="BH34">
        <v>33</v>
      </c>
      <c r="BI34" s="10">
        <f t="shared" si="19"/>
        <v>36.4</v>
      </c>
      <c r="BJ34">
        <f t="shared" si="64"/>
        <v>5</v>
      </c>
      <c r="BK34">
        <v>6.82</v>
      </c>
      <c r="BL34" s="3" t="str">
        <f t="shared" si="20"/>
        <v>36.4|36.4|36.4|36.4|36.4</v>
      </c>
      <c r="BM34">
        <f t="shared" si="21"/>
        <v>136</v>
      </c>
      <c r="BN34" s="8">
        <f t="shared" si="65"/>
        <v>13.6</v>
      </c>
      <c r="BO34" s="8">
        <f t="shared" si="66"/>
        <v>20.4</v>
      </c>
      <c r="BP34" s="8">
        <f t="shared" si="67"/>
        <v>27.2</v>
      </c>
      <c r="BQ34" s="8">
        <f t="shared" si="68"/>
        <v>34</v>
      </c>
      <c r="BR34" s="8">
        <f t="shared" si="69"/>
        <v>40.8</v>
      </c>
      <c r="BT34">
        <v>33</v>
      </c>
      <c r="BU34">
        <f t="shared" si="22"/>
        <v>270</v>
      </c>
      <c r="BW34">
        <v>7.4</v>
      </c>
      <c r="BX34" s="7" t="str">
        <f t="shared" si="23"/>
        <v>180|360</v>
      </c>
      <c r="BY34">
        <f t="shared" si="24"/>
        <v>370</v>
      </c>
      <c r="BZ34">
        <f t="shared" si="25"/>
        <v>540</v>
      </c>
      <c r="CA34" s="8">
        <f t="shared" si="26"/>
        <v>180</v>
      </c>
      <c r="CB34" s="8">
        <f t="shared" si="27"/>
        <v>360</v>
      </c>
      <c r="CD34">
        <v>33</v>
      </c>
      <c r="CE34" s="8">
        <f t="shared" si="28"/>
        <v>320</v>
      </c>
      <c r="CG34">
        <v>4.2</v>
      </c>
      <c r="CH34" s="20">
        <f t="shared" si="29"/>
        <v>320</v>
      </c>
      <c r="CI34">
        <f t="shared" si="30"/>
        <v>420</v>
      </c>
      <c r="CJ34" s="21"/>
      <c r="CK34" s="21">
        <v>33</v>
      </c>
      <c r="CL34" s="21">
        <f t="shared" si="31"/>
        <v>556</v>
      </c>
      <c r="CM34" s="21"/>
      <c r="CN34" s="21">
        <f t="shared" si="32"/>
        <v>6.56</v>
      </c>
      <c r="CO34" s="20">
        <f t="shared" si="33"/>
        <v>556</v>
      </c>
      <c r="CP34">
        <v>210</v>
      </c>
      <c r="CQ34">
        <v>67</v>
      </c>
      <c r="CR34" t="str">
        <f t="shared" si="34"/>
        <v>210|67</v>
      </c>
      <c r="CT34" s="4"/>
      <c r="CV34" s="8">
        <v>58</v>
      </c>
      <c r="CW34">
        <v>33</v>
      </c>
      <c r="CX34" t="str">
        <f t="shared" si="35"/>
        <v>-26|-26|-26|-26|-26</v>
      </c>
      <c r="CY34">
        <v>3.7</v>
      </c>
      <c r="CZ34">
        <f t="shared" si="70"/>
        <v>5</v>
      </c>
      <c r="DA34">
        <f t="shared" si="36"/>
        <v>-26</v>
      </c>
      <c r="DB34" s="8">
        <f t="shared" si="37"/>
        <v>74</v>
      </c>
      <c r="DC34">
        <v>29.2</v>
      </c>
      <c r="DD34" t="str">
        <f t="shared" si="38"/>
        <v>74|29.2</v>
      </c>
      <c r="DF34">
        <v>33</v>
      </c>
      <c r="DG34">
        <v>720</v>
      </c>
      <c r="DI34" s="8">
        <v>-68</v>
      </c>
      <c r="DJ34" s="8">
        <v>-66</v>
      </c>
      <c r="DK34" s="10"/>
      <c r="DL34" s="10">
        <v>33</v>
      </c>
      <c r="DM34">
        <f t="shared" si="39"/>
        <v>500</v>
      </c>
      <c r="DN34" s="10"/>
      <c r="DO34" s="10">
        <v>6</v>
      </c>
      <c r="DP34" s="15">
        <v>-67</v>
      </c>
      <c r="DQ34" s="8">
        <f t="shared" si="40"/>
        <v>600</v>
      </c>
      <c r="DR34" s="8">
        <f t="shared" si="41"/>
        <v>33</v>
      </c>
      <c r="DS34" t="str">
        <f t="shared" si="42"/>
        <v>600|33</v>
      </c>
      <c r="DU34">
        <v>33</v>
      </c>
      <c r="DV34" s="10">
        <f t="shared" si="43"/>
        <v>404</v>
      </c>
      <c r="DW34">
        <f t="shared" si="71"/>
        <v>1</v>
      </c>
      <c r="DX34">
        <v>5.04</v>
      </c>
      <c r="DZ34">
        <f t="shared" si="44"/>
        <v>504</v>
      </c>
      <c r="EB34">
        <v>33</v>
      </c>
      <c r="EC34" s="8">
        <f t="shared" si="45"/>
        <v>-14</v>
      </c>
      <c r="ED34">
        <f t="shared" si="72"/>
        <v>6</v>
      </c>
      <c r="EE34">
        <v>5.16</v>
      </c>
      <c r="EF34" s="3" t="str">
        <f t="shared" si="46"/>
        <v>-14|-14|-14|-14|-14|-14</v>
      </c>
      <c r="EG34" s="8">
        <f t="shared" si="47"/>
        <v>86</v>
      </c>
      <c r="EH34" s="3"/>
      <c r="EJ34">
        <v>33</v>
      </c>
      <c r="EK34" s="8">
        <f t="shared" si="48"/>
        <v>-30</v>
      </c>
      <c r="EL34">
        <f t="shared" si="73"/>
        <v>6</v>
      </c>
      <c r="EM34">
        <v>4.2</v>
      </c>
      <c r="EN34" s="3" t="str">
        <f t="shared" si="49"/>
        <v>-30|-30|-30|-30|-30|-30</v>
      </c>
      <c r="EO34" s="8">
        <f t="shared" si="50"/>
        <v>70</v>
      </c>
      <c r="EP34" s="8"/>
      <c r="EQ34" s="8"/>
      <c r="ER34" s="8">
        <f t="shared" si="51"/>
        <v>530</v>
      </c>
      <c r="ES34" s="8">
        <f t="shared" si="74"/>
        <v>1</v>
      </c>
      <c r="ET34">
        <v>6.3</v>
      </c>
      <c r="EU34" s="8"/>
      <c r="EV34" s="8">
        <f t="shared" si="52"/>
        <v>630</v>
      </c>
      <c r="EW34" s="8">
        <f t="shared" si="53"/>
        <v>446</v>
      </c>
      <c r="EX34">
        <v>5.46</v>
      </c>
      <c r="EY34">
        <f t="shared" si="75"/>
        <v>1</v>
      </c>
      <c r="EZ34">
        <v>142.8</v>
      </c>
      <c r="FA34">
        <v>3.98399999999999</v>
      </c>
      <c r="FB34" s="8">
        <f t="shared" si="54"/>
        <v>546</v>
      </c>
      <c r="FC34" t="str">
        <f t="shared" si="55"/>
        <v>446|142.8|3.98399999999999</v>
      </c>
      <c r="FE34">
        <v>33</v>
      </c>
      <c r="FF34" s="8">
        <f t="shared" si="56"/>
        <v>740</v>
      </c>
      <c r="FG34">
        <f t="shared" si="76"/>
        <v>1</v>
      </c>
      <c r="FH34">
        <f t="shared" si="77"/>
        <v>8.4</v>
      </c>
      <c r="FJ34">
        <v>33</v>
      </c>
      <c r="FK34" s="8">
        <f t="shared" si="57"/>
        <v>740</v>
      </c>
      <c r="FL34" s="8" t="str">
        <f t="shared" si="78"/>
        <v>0|40</v>
      </c>
      <c r="FM34">
        <f t="shared" si="79"/>
        <v>1</v>
      </c>
      <c r="FN34">
        <f t="shared" si="80"/>
        <v>8.4</v>
      </c>
      <c r="FP34">
        <v>33</v>
      </c>
      <c r="FQ34" s="8">
        <f t="shared" si="58"/>
        <v>180</v>
      </c>
      <c r="FR34">
        <f t="shared" si="81"/>
        <v>3</v>
      </c>
      <c r="FS34">
        <f t="shared" si="82"/>
        <v>8.4</v>
      </c>
      <c r="FT34" t="str">
        <f t="shared" si="59"/>
        <v>180|180|180</v>
      </c>
    </row>
    <row r="35" spans="7:176">
      <c r="G35">
        <v>34</v>
      </c>
      <c r="H35">
        <f t="shared" si="0"/>
        <v>-0.800000000000001</v>
      </c>
      <c r="I35">
        <f t="shared" si="60"/>
        <v>5</v>
      </c>
      <c r="J35">
        <v>4.96</v>
      </c>
      <c r="K35" s="7" t="str">
        <f t="shared" si="1"/>
        <v>-0.800000000000001|-0.800000000000001|-0.800000000000001|-0.800000000000001|-0.800000000000001</v>
      </c>
      <c r="L35">
        <f t="shared" si="2"/>
        <v>99</v>
      </c>
      <c r="M35" s="7"/>
      <c r="N35" s="7">
        <v>34</v>
      </c>
      <c r="O35">
        <f t="shared" si="3"/>
        <v>61</v>
      </c>
      <c r="P35">
        <f t="shared" si="61"/>
        <v>3</v>
      </c>
      <c r="Q35">
        <v>4.83</v>
      </c>
      <c r="R35" s="7" t="str">
        <f t="shared" si="4"/>
        <v>61|61|61</v>
      </c>
      <c r="S35">
        <f t="shared" si="5"/>
        <v>161</v>
      </c>
      <c r="U35">
        <v>34</v>
      </c>
      <c r="V35">
        <f t="shared" si="6"/>
        <v>-9.12500000000001</v>
      </c>
      <c r="W35">
        <f t="shared" si="62"/>
        <v>8</v>
      </c>
      <c r="X35">
        <v>7.27</v>
      </c>
      <c r="Y35" s="7" t="str">
        <f t="shared" si="7"/>
        <v>-9.12500000000001|-9.12500000000001|-9.12500000000001|-9.12500000000001|-9.12500000000001|-9.12500000000001|-9.12500000000001|-9.12500000000001</v>
      </c>
      <c r="Z35">
        <f t="shared" si="8"/>
        <v>91</v>
      </c>
      <c r="AA35">
        <f t="shared" si="9"/>
        <v>7.53999999999999</v>
      </c>
      <c r="AC35">
        <v>34</v>
      </c>
      <c r="AD35">
        <f t="shared" si="10"/>
        <v>517</v>
      </c>
      <c r="AE35">
        <v>1</v>
      </c>
      <c r="AF35">
        <v>6.17</v>
      </c>
      <c r="AH35">
        <f t="shared" si="12"/>
        <v>617</v>
      </c>
      <c r="AJ35">
        <v>34</v>
      </c>
      <c r="AL35">
        <v>4300</v>
      </c>
      <c r="AM35">
        <v>18.5</v>
      </c>
      <c r="AO35" t="str">
        <f t="shared" si="13"/>
        <v>4300|18.5</v>
      </c>
      <c r="AR35">
        <v>34</v>
      </c>
      <c r="AS35">
        <f t="shared" si="14"/>
        <v>330</v>
      </c>
      <c r="AT35">
        <f t="shared" si="63"/>
        <v>1</v>
      </c>
      <c r="AU35">
        <v>4.3</v>
      </c>
      <c r="AV35">
        <f t="shared" si="15"/>
        <v>430</v>
      </c>
      <c r="AW35" s="10"/>
      <c r="AX35" s="10">
        <v>34</v>
      </c>
      <c r="AY35" s="10">
        <f t="shared" si="16"/>
        <v>760.000000000001</v>
      </c>
      <c r="AZ35" s="10"/>
      <c r="BA35" s="10">
        <v>8.60000000000001</v>
      </c>
      <c r="BB35">
        <f t="shared" si="17"/>
        <v>860</v>
      </c>
      <c r="BD35">
        <v>3700</v>
      </c>
      <c r="BE35" s="8" t="s">
        <v>59</v>
      </c>
      <c r="BF35" t="str">
        <f t="shared" si="18"/>
        <v>3700|16</v>
      </c>
      <c r="BH35">
        <v>34</v>
      </c>
      <c r="BI35" s="10">
        <f t="shared" si="19"/>
        <v>39.6</v>
      </c>
      <c r="BJ35">
        <f t="shared" si="64"/>
        <v>5</v>
      </c>
      <c r="BK35">
        <v>6.98</v>
      </c>
      <c r="BL35" s="3" t="str">
        <f t="shared" si="20"/>
        <v>39.6|39.6|39.6|39.6|39.6</v>
      </c>
      <c r="BM35">
        <f t="shared" si="21"/>
        <v>140</v>
      </c>
      <c r="BN35" s="8">
        <f t="shared" si="65"/>
        <v>14</v>
      </c>
      <c r="BO35" s="8">
        <f t="shared" si="66"/>
        <v>21</v>
      </c>
      <c r="BP35" s="8">
        <f t="shared" si="67"/>
        <v>28</v>
      </c>
      <c r="BQ35" s="8">
        <f t="shared" si="68"/>
        <v>35</v>
      </c>
      <c r="BR35" s="8">
        <f t="shared" si="69"/>
        <v>42</v>
      </c>
      <c r="BT35">
        <v>34</v>
      </c>
      <c r="BU35">
        <f t="shared" si="22"/>
        <v>280</v>
      </c>
      <c r="BW35">
        <v>7.6</v>
      </c>
      <c r="BX35" s="7" t="str">
        <f t="shared" si="23"/>
        <v>186.666666666667|373.333333333333</v>
      </c>
      <c r="BY35">
        <f t="shared" si="24"/>
        <v>380</v>
      </c>
      <c r="BZ35">
        <f t="shared" si="25"/>
        <v>560</v>
      </c>
      <c r="CA35" s="8">
        <f t="shared" si="26"/>
        <v>186.666666666667</v>
      </c>
      <c r="CB35" s="8">
        <f t="shared" si="27"/>
        <v>373.333333333333</v>
      </c>
      <c r="CD35">
        <v>34</v>
      </c>
      <c r="CE35" s="8">
        <f t="shared" si="28"/>
        <v>330</v>
      </c>
      <c r="CG35">
        <v>4.3</v>
      </c>
      <c r="CH35" s="20">
        <f t="shared" si="29"/>
        <v>330</v>
      </c>
      <c r="CI35">
        <f t="shared" si="30"/>
        <v>430</v>
      </c>
      <c r="CJ35" s="21"/>
      <c r="CK35" s="21">
        <v>34</v>
      </c>
      <c r="CL35" s="21">
        <f t="shared" si="31"/>
        <v>564</v>
      </c>
      <c r="CM35" s="21"/>
      <c r="CN35" s="21">
        <f t="shared" si="32"/>
        <v>6.64</v>
      </c>
      <c r="CO35" s="20">
        <f t="shared" si="33"/>
        <v>564</v>
      </c>
      <c r="CP35">
        <v>215</v>
      </c>
      <c r="CQ35">
        <v>66</v>
      </c>
      <c r="CR35" t="str">
        <f t="shared" si="34"/>
        <v>215|66</v>
      </c>
      <c r="CT35" s="4"/>
      <c r="CV35" s="8">
        <v>60</v>
      </c>
      <c r="CW35">
        <v>34</v>
      </c>
      <c r="CX35" t="str">
        <f t="shared" si="35"/>
        <v>-24|-24|-24|-24|-24</v>
      </c>
      <c r="CY35">
        <v>3.8</v>
      </c>
      <c r="CZ35">
        <f t="shared" si="70"/>
        <v>5</v>
      </c>
      <c r="DA35">
        <f t="shared" si="36"/>
        <v>-24</v>
      </c>
      <c r="DB35" s="8">
        <f t="shared" si="37"/>
        <v>76</v>
      </c>
      <c r="DC35">
        <v>29.8</v>
      </c>
      <c r="DD35" t="str">
        <f t="shared" si="38"/>
        <v>76|29.8</v>
      </c>
      <c r="DF35">
        <v>34</v>
      </c>
      <c r="DG35">
        <v>730</v>
      </c>
      <c r="DI35" s="8">
        <v>-68</v>
      </c>
      <c r="DJ35" s="8">
        <v>-66</v>
      </c>
      <c r="DK35" s="10"/>
      <c r="DL35" s="10">
        <v>34</v>
      </c>
      <c r="DM35">
        <f t="shared" si="39"/>
        <v>515</v>
      </c>
      <c r="DN35" s="10"/>
      <c r="DO35" s="10">
        <v>6.15</v>
      </c>
      <c r="DP35" s="15">
        <v>-66</v>
      </c>
      <c r="DQ35" s="8">
        <f t="shared" si="40"/>
        <v>615</v>
      </c>
      <c r="DR35" s="8">
        <f t="shared" si="41"/>
        <v>34</v>
      </c>
      <c r="DS35" t="str">
        <f t="shared" si="42"/>
        <v>615|34</v>
      </c>
      <c r="DU35">
        <v>34</v>
      </c>
      <c r="DV35" s="10">
        <f t="shared" si="43"/>
        <v>416</v>
      </c>
      <c r="DW35">
        <f t="shared" si="71"/>
        <v>1</v>
      </c>
      <c r="DX35">
        <v>5.16</v>
      </c>
      <c r="DZ35">
        <f t="shared" si="44"/>
        <v>516</v>
      </c>
      <c r="EB35">
        <v>34</v>
      </c>
      <c r="EC35" s="8">
        <f t="shared" si="45"/>
        <v>-11.8333333333333</v>
      </c>
      <c r="ED35">
        <f t="shared" si="72"/>
        <v>6</v>
      </c>
      <c r="EE35">
        <v>5.29</v>
      </c>
      <c r="EF35" s="3" t="str">
        <f t="shared" si="46"/>
        <v>-11.8333333333333|-11.8333333333333|-11.8333333333333|-11.8333333333333|-11.8333333333333|-11.8333333333333</v>
      </c>
      <c r="EG35" s="8">
        <f t="shared" si="47"/>
        <v>88</v>
      </c>
      <c r="EH35" s="3"/>
      <c r="EJ35">
        <v>34</v>
      </c>
      <c r="EK35" s="8">
        <f t="shared" si="48"/>
        <v>-28.3333333333333</v>
      </c>
      <c r="EL35">
        <f t="shared" si="73"/>
        <v>6</v>
      </c>
      <c r="EM35">
        <v>4.3</v>
      </c>
      <c r="EN35" s="3" t="str">
        <f t="shared" si="49"/>
        <v>-28.3333333333333|-28.3333333333333|-28.3333333333333|-28.3333333333333|-28.3333333333333|-28.3333333333333</v>
      </c>
      <c r="EO35" s="8">
        <f t="shared" si="50"/>
        <v>72</v>
      </c>
      <c r="EP35" s="8"/>
      <c r="EQ35" s="8"/>
      <c r="ER35" s="8">
        <f t="shared" si="51"/>
        <v>545</v>
      </c>
      <c r="ES35" s="8">
        <f t="shared" si="74"/>
        <v>1</v>
      </c>
      <c r="ET35">
        <v>6.45</v>
      </c>
      <c r="EU35" s="8"/>
      <c r="EV35" s="8">
        <f t="shared" si="52"/>
        <v>645</v>
      </c>
      <c r="EW35" s="8">
        <f t="shared" si="53"/>
        <v>459</v>
      </c>
      <c r="EX35">
        <v>5.59</v>
      </c>
      <c r="EY35">
        <f t="shared" si="75"/>
        <v>1</v>
      </c>
      <c r="EZ35">
        <v>146.2</v>
      </c>
      <c r="FA35">
        <v>4.04599999999999</v>
      </c>
      <c r="FB35" s="8">
        <f t="shared" si="54"/>
        <v>559</v>
      </c>
      <c r="FC35" t="str">
        <f t="shared" si="55"/>
        <v>459|146.2|4.04599999999999</v>
      </c>
      <c r="FE35">
        <v>34</v>
      </c>
      <c r="FF35" s="8">
        <f t="shared" si="56"/>
        <v>760</v>
      </c>
      <c r="FG35">
        <f t="shared" si="76"/>
        <v>1</v>
      </c>
      <c r="FH35">
        <f t="shared" si="77"/>
        <v>8.6</v>
      </c>
      <c r="FJ35">
        <v>34</v>
      </c>
      <c r="FK35" s="8">
        <f t="shared" si="57"/>
        <v>760</v>
      </c>
      <c r="FL35" s="8" t="str">
        <f t="shared" si="78"/>
        <v>0|40</v>
      </c>
      <c r="FM35">
        <f t="shared" si="79"/>
        <v>1</v>
      </c>
      <c r="FN35">
        <f t="shared" si="80"/>
        <v>8.6</v>
      </c>
      <c r="FP35">
        <v>34</v>
      </c>
      <c r="FQ35" s="8">
        <f t="shared" si="58"/>
        <v>187</v>
      </c>
      <c r="FR35">
        <f t="shared" si="81"/>
        <v>3</v>
      </c>
      <c r="FS35">
        <f t="shared" si="82"/>
        <v>8.6</v>
      </c>
      <c r="FT35" t="str">
        <f t="shared" si="59"/>
        <v>187|187|187</v>
      </c>
    </row>
    <row r="36" spans="7:176">
      <c r="G36">
        <v>35</v>
      </c>
      <c r="H36">
        <f t="shared" si="0"/>
        <v>1.6</v>
      </c>
      <c r="I36">
        <f t="shared" si="60"/>
        <v>5</v>
      </c>
      <c r="J36">
        <v>5.08</v>
      </c>
      <c r="K36" s="7" t="str">
        <f t="shared" si="1"/>
        <v>1.6|1.6|1.6|1.6|1.6</v>
      </c>
      <c r="L36">
        <f t="shared" si="2"/>
        <v>102</v>
      </c>
      <c r="M36" s="7"/>
      <c r="N36" s="7">
        <v>35</v>
      </c>
      <c r="O36">
        <f t="shared" si="3"/>
        <v>64.6666666666667</v>
      </c>
      <c r="P36">
        <f t="shared" si="61"/>
        <v>3</v>
      </c>
      <c r="Q36">
        <v>4.94</v>
      </c>
      <c r="R36" s="7" t="str">
        <f t="shared" si="4"/>
        <v>64.6666666666667|64.6666666666667|64.6666666666667</v>
      </c>
      <c r="S36">
        <f t="shared" si="5"/>
        <v>165</v>
      </c>
      <c r="U36">
        <v>35</v>
      </c>
      <c r="V36">
        <f t="shared" si="6"/>
        <v>-6.75</v>
      </c>
      <c r="W36">
        <f t="shared" si="62"/>
        <v>8</v>
      </c>
      <c r="X36">
        <v>7.46</v>
      </c>
      <c r="Y36" s="7" t="str">
        <f t="shared" si="7"/>
        <v>-6.75|-6.75|-6.75|-6.75|-6.75|-6.75|-6.75|-6.75</v>
      </c>
      <c r="Z36">
        <f t="shared" si="8"/>
        <v>93</v>
      </c>
      <c r="AA36">
        <f t="shared" si="9"/>
        <v>8.91999999999999</v>
      </c>
      <c r="AC36">
        <v>35</v>
      </c>
      <c r="AD36">
        <f t="shared" si="10"/>
        <v>531</v>
      </c>
      <c r="AE36">
        <v>1</v>
      </c>
      <c r="AF36">
        <v>6.31</v>
      </c>
      <c r="AH36">
        <f t="shared" si="12"/>
        <v>631</v>
      </c>
      <c r="AJ36">
        <v>35</v>
      </c>
      <c r="AL36">
        <v>4400</v>
      </c>
      <c r="AM36">
        <v>19</v>
      </c>
      <c r="AO36" t="str">
        <f t="shared" si="13"/>
        <v>4400|19</v>
      </c>
      <c r="AR36">
        <v>35</v>
      </c>
      <c r="AS36">
        <f t="shared" si="14"/>
        <v>340</v>
      </c>
      <c r="AT36">
        <f t="shared" si="63"/>
        <v>1</v>
      </c>
      <c r="AU36">
        <v>4.4</v>
      </c>
      <c r="AV36">
        <f t="shared" si="15"/>
        <v>440</v>
      </c>
      <c r="AW36" s="10"/>
      <c r="AX36" s="10">
        <v>35</v>
      </c>
      <c r="AY36" s="10">
        <f t="shared" si="16"/>
        <v>780.000000000001</v>
      </c>
      <c r="AZ36" s="10"/>
      <c r="BA36" s="10">
        <v>8.80000000000001</v>
      </c>
      <c r="BB36">
        <f t="shared" si="17"/>
        <v>880</v>
      </c>
      <c r="BD36">
        <v>3800</v>
      </c>
      <c r="BE36" s="8" t="s">
        <v>59</v>
      </c>
      <c r="BF36" t="str">
        <f t="shared" si="18"/>
        <v>3800|16</v>
      </c>
      <c r="BH36">
        <v>35</v>
      </c>
      <c r="BI36" s="10">
        <f t="shared" si="19"/>
        <v>42.8</v>
      </c>
      <c r="BJ36">
        <f t="shared" si="64"/>
        <v>5</v>
      </c>
      <c r="BK36">
        <v>7.14</v>
      </c>
      <c r="BL36" s="3" t="str">
        <f t="shared" si="20"/>
        <v>42.8|42.8|42.8|42.8|42.8</v>
      </c>
      <c r="BM36">
        <f t="shared" si="21"/>
        <v>143</v>
      </c>
      <c r="BN36" s="8">
        <f t="shared" si="65"/>
        <v>14.3</v>
      </c>
      <c r="BO36" s="8">
        <f t="shared" si="66"/>
        <v>21.45</v>
      </c>
      <c r="BP36" s="8">
        <f t="shared" si="67"/>
        <v>28.6</v>
      </c>
      <c r="BQ36" s="8">
        <f t="shared" si="68"/>
        <v>35.75</v>
      </c>
      <c r="BR36" s="8">
        <f t="shared" si="69"/>
        <v>42.9</v>
      </c>
      <c r="BT36">
        <v>35</v>
      </c>
      <c r="BU36">
        <f t="shared" si="22"/>
        <v>290</v>
      </c>
      <c r="BW36">
        <v>7.8</v>
      </c>
      <c r="BX36" s="7" t="str">
        <f t="shared" si="23"/>
        <v>193.333333333333|386.666666666667</v>
      </c>
      <c r="BY36">
        <f t="shared" si="24"/>
        <v>390</v>
      </c>
      <c r="BZ36">
        <f t="shared" si="25"/>
        <v>580</v>
      </c>
      <c r="CA36" s="8">
        <f t="shared" si="26"/>
        <v>193.333333333333</v>
      </c>
      <c r="CB36" s="8">
        <f t="shared" si="27"/>
        <v>386.666666666667</v>
      </c>
      <c r="CD36">
        <v>35</v>
      </c>
      <c r="CE36" s="8">
        <f t="shared" si="28"/>
        <v>340</v>
      </c>
      <c r="CG36">
        <v>4.4</v>
      </c>
      <c r="CH36" s="20">
        <f t="shared" si="29"/>
        <v>340</v>
      </c>
      <c r="CI36">
        <f t="shared" si="30"/>
        <v>440</v>
      </c>
      <c r="CJ36" s="21"/>
      <c r="CK36" s="21">
        <v>35</v>
      </c>
      <c r="CL36" s="21">
        <f t="shared" si="31"/>
        <v>572</v>
      </c>
      <c r="CM36" s="21"/>
      <c r="CN36" s="21">
        <f t="shared" si="32"/>
        <v>6.72</v>
      </c>
      <c r="CO36" s="20">
        <f t="shared" si="33"/>
        <v>572</v>
      </c>
      <c r="CP36">
        <v>220</v>
      </c>
      <c r="CQ36">
        <v>65</v>
      </c>
      <c r="CR36" t="str">
        <f t="shared" si="34"/>
        <v>220|65</v>
      </c>
      <c r="CT36" s="4"/>
      <c r="CV36" s="8">
        <v>61</v>
      </c>
      <c r="CW36">
        <v>35</v>
      </c>
      <c r="CX36" t="str">
        <f t="shared" si="35"/>
        <v>-22|-22|-22|-22|-22</v>
      </c>
      <c r="CY36">
        <v>3.9</v>
      </c>
      <c r="CZ36">
        <f t="shared" si="70"/>
        <v>5</v>
      </c>
      <c r="DA36">
        <f t="shared" si="36"/>
        <v>-22</v>
      </c>
      <c r="DB36" s="8">
        <f t="shared" si="37"/>
        <v>78</v>
      </c>
      <c r="DC36">
        <v>30.4</v>
      </c>
      <c r="DD36" t="str">
        <f t="shared" si="38"/>
        <v>78|30.4</v>
      </c>
      <c r="DF36">
        <v>35</v>
      </c>
      <c r="DG36">
        <v>740</v>
      </c>
      <c r="DI36" s="8">
        <v>-66</v>
      </c>
      <c r="DJ36" s="8">
        <v>-64</v>
      </c>
      <c r="DK36" s="10"/>
      <c r="DL36" s="10">
        <v>35</v>
      </c>
      <c r="DM36">
        <f t="shared" si="39"/>
        <v>530</v>
      </c>
      <c r="DN36" s="10"/>
      <c r="DO36" s="10">
        <v>6.3</v>
      </c>
      <c r="DP36" s="15">
        <v>-65</v>
      </c>
      <c r="DQ36" s="8">
        <f t="shared" si="40"/>
        <v>630</v>
      </c>
      <c r="DR36" s="8">
        <f t="shared" si="41"/>
        <v>35</v>
      </c>
      <c r="DS36" t="str">
        <f t="shared" si="42"/>
        <v>630|35</v>
      </c>
      <c r="DU36">
        <v>35</v>
      </c>
      <c r="DV36" s="10">
        <f t="shared" si="43"/>
        <v>428</v>
      </c>
      <c r="DW36">
        <f t="shared" si="71"/>
        <v>1</v>
      </c>
      <c r="DX36">
        <v>5.28</v>
      </c>
      <c r="DZ36">
        <f t="shared" si="44"/>
        <v>528</v>
      </c>
      <c r="EB36">
        <v>35</v>
      </c>
      <c r="EC36" s="8">
        <f t="shared" si="45"/>
        <v>-9.66666666666667</v>
      </c>
      <c r="ED36">
        <f t="shared" si="72"/>
        <v>6</v>
      </c>
      <c r="EE36">
        <v>5.42</v>
      </c>
      <c r="EF36" s="3" t="str">
        <f t="shared" si="46"/>
        <v>-9.66666666666667|-9.66666666666667|-9.66666666666667|-9.66666666666667|-9.66666666666667|-9.66666666666667</v>
      </c>
      <c r="EG36" s="8">
        <f t="shared" si="47"/>
        <v>90</v>
      </c>
      <c r="EH36" s="3"/>
      <c r="EJ36">
        <v>35</v>
      </c>
      <c r="EK36" s="8">
        <f t="shared" si="48"/>
        <v>-26.6666666666667</v>
      </c>
      <c r="EL36">
        <f t="shared" si="73"/>
        <v>6</v>
      </c>
      <c r="EM36">
        <v>4.4</v>
      </c>
      <c r="EN36" s="3" t="str">
        <f t="shared" si="49"/>
        <v>-26.6666666666667|-26.6666666666667|-26.6666666666667|-26.6666666666667|-26.6666666666667|-26.6666666666667</v>
      </c>
      <c r="EO36" s="8">
        <f t="shared" si="50"/>
        <v>73</v>
      </c>
      <c r="EP36" s="8"/>
      <c r="EQ36" s="8"/>
      <c r="ER36" s="8">
        <f t="shared" si="51"/>
        <v>560</v>
      </c>
      <c r="ES36" s="8">
        <f t="shared" si="74"/>
        <v>1</v>
      </c>
      <c r="ET36">
        <v>6.6</v>
      </c>
      <c r="EU36" s="8"/>
      <c r="EV36" s="8">
        <f t="shared" si="52"/>
        <v>660</v>
      </c>
      <c r="EW36" s="8">
        <f t="shared" si="53"/>
        <v>472</v>
      </c>
      <c r="EX36">
        <v>5.72</v>
      </c>
      <c r="EY36">
        <f t="shared" si="75"/>
        <v>1</v>
      </c>
      <c r="EZ36">
        <v>149.6</v>
      </c>
      <c r="FA36">
        <v>4.10799999999999</v>
      </c>
      <c r="FB36" s="8">
        <f t="shared" si="54"/>
        <v>572</v>
      </c>
      <c r="FC36" t="str">
        <f t="shared" si="55"/>
        <v>472|149.6|4.10799999999999</v>
      </c>
      <c r="FE36">
        <v>35</v>
      </c>
      <c r="FF36" s="8">
        <f t="shared" si="56"/>
        <v>780</v>
      </c>
      <c r="FG36">
        <f t="shared" si="76"/>
        <v>1</v>
      </c>
      <c r="FH36">
        <f t="shared" si="77"/>
        <v>8.8</v>
      </c>
      <c r="FJ36">
        <v>35</v>
      </c>
      <c r="FK36" s="8">
        <f t="shared" si="57"/>
        <v>780</v>
      </c>
      <c r="FL36" s="8" t="str">
        <f t="shared" si="78"/>
        <v>0|40</v>
      </c>
      <c r="FM36">
        <f t="shared" si="79"/>
        <v>1</v>
      </c>
      <c r="FN36">
        <f t="shared" si="80"/>
        <v>8.8</v>
      </c>
      <c r="FP36">
        <v>35</v>
      </c>
      <c r="FQ36" s="8">
        <f t="shared" si="58"/>
        <v>193</v>
      </c>
      <c r="FR36">
        <f t="shared" si="81"/>
        <v>3</v>
      </c>
      <c r="FS36">
        <f t="shared" si="82"/>
        <v>8.8</v>
      </c>
      <c r="FT36" t="str">
        <f t="shared" si="59"/>
        <v>193|193|193</v>
      </c>
    </row>
    <row r="37" spans="7:176">
      <c r="G37">
        <v>36</v>
      </c>
      <c r="H37">
        <f t="shared" si="0"/>
        <v>4</v>
      </c>
      <c r="I37">
        <f t="shared" si="60"/>
        <v>5</v>
      </c>
      <c r="J37">
        <v>5.2</v>
      </c>
      <c r="K37" s="7" t="str">
        <f t="shared" si="1"/>
        <v>4|4|4|4|4</v>
      </c>
      <c r="L37">
        <f t="shared" si="2"/>
        <v>104</v>
      </c>
      <c r="M37" s="7"/>
      <c r="N37" s="7">
        <v>36</v>
      </c>
      <c r="O37">
        <f t="shared" si="3"/>
        <v>68.3333333333333</v>
      </c>
      <c r="P37">
        <f t="shared" si="61"/>
        <v>3</v>
      </c>
      <c r="Q37">
        <v>5.05</v>
      </c>
      <c r="R37" s="7" t="str">
        <f t="shared" si="4"/>
        <v>68.3333333333333|68.3333333333333|68.3333333333333</v>
      </c>
      <c r="S37">
        <f t="shared" si="5"/>
        <v>168</v>
      </c>
      <c r="U37">
        <v>36</v>
      </c>
      <c r="V37">
        <f t="shared" si="6"/>
        <v>-4.375</v>
      </c>
      <c r="W37">
        <f t="shared" si="62"/>
        <v>8</v>
      </c>
      <c r="X37">
        <v>7.65</v>
      </c>
      <c r="Y37" s="7" t="str">
        <f t="shared" si="7"/>
        <v>-4.375|-4.375|-4.375|-4.375|-4.375|-4.375|-4.375|-4.375</v>
      </c>
      <c r="Z37">
        <f t="shared" si="8"/>
        <v>96</v>
      </c>
      <c r="AA37">
        <f t="shared" si="9"/>
        <v>10.3</v>
      </c>
      <c r="AC37">
        <v>36</v>
      </c>
      <c r="AD37">
        <f t="shared" si="10"/>
        <v>545</v>
      </c>
      <c r="AE37">
        <v>1</v>
      </c>
      <c r="AF37">
        <v>6.45</v>
      </c>
      <c r="AH37">
        <f t="shared" si="12"/>
        <v>645</v>
      </c>
      <c r="AJ37">
        <v>36</v>
      </c>
      <c r="AL37">
        <v>4500</v>
      </c>
      <c r="AM37">
        <v>19.5</v>
      </c>
      <c r="AO37" t="str">
        <f t="shared" si="13"/>
        <v>4500|19.5</v>
      </c>
      <c r="AR37">
        <v>36</v>
      </c>
      <c r="AS37">
        <f t="shared" si="14"/>
        <v>350</v>
      </c>
      <c r="AT37">
        <f t="shared" si="63"/>
        <v>1</v>
      </c>
      <c r="AU37">
        <v>4.5</v>
      </c>
      <c r="AV37">
        <f t="shared" si="15"/>
        <v>450</v>
      </c>
      <c r="AW37" s="10"/>
      <c r="AX37" s="10">
        <v>36</v>
      </c>
      <c r="AY37" s="10">
        <f t="shared" si="16"/>
        <v>800.000000000001</v>
      </c>
      <c r="AZ37" s="10"/>
      <c r="BA37" s="10">
        <v>9.00000000000001</v>
      </c>
      <c r="BB37">
        <f t="shared" si="17"/>
        <v>900</v>
      </c>
      <c r="BD37">
        <v>3900</v>
      </c>
      <c r="BE37" s="8" t="s">
        <v>62</v>
      </c>
      <c r="BF37" t="str">
        <f t="shared" si="18"/>
        <v>3900|17</v>
      </c>
      <c r="BH37">
        <v>36</v>
      </c>
      <c r="BI37" s="10">
        <f t="shared" si="19"/>
        <v>46</v>
      </c>
      <c r="BJ37">
        <f t="shared" si="64"/>
        <v>5</v>
      </c>
      <c r="BK37">
        <v>7.3</v>
      </c>
      <c r="BL37" s="3" t="str">
        <f t="shared" si="20"/>
        <v>46|46|46|46|46</v>
      </c>
      <c r="BM37">
        <f t="shared" si="21"/>
        <v>146</v>
      </c>
      <c r="BN37" s="8">
        <f t="shared" si="65"/>
        <v>14.6</v>
      </c>
      <c r="BO37" s="8">
        <f t="shared" si="66"/>
        <v>21.9</v>
      </c>
      <c r="BP37" s="8">
        <f t="shared" si="67"/>
        <v>29.2</v>
      </c>
      <c r="BQ37" s="8">
        <f t="shared" si="68"/>
        <v>36.5</v>
      </c>
      <c r="BR37" s="8">
        <f t="shared" si="69"/>
        <v>43.8</v>
      </c>
      <c r="BT37">
        <v>36</v>
      </c>
      <c r="BU37">
        <f t="shared" si="22"/>
        <v>300</v>
      </c>
      <c r="BW37">
        <v>8</v>
      </c>
      <c r="BX37" s="7" t="str">
        <f t="shared" si="23"/>
        <v>200|400</v>
      </c>
      <c r="BY37">
        <f t="shared" si="24"/>
        <v>400</v>
      </c>
      <c r="BZ37">
        <f t="shared" si="25"/>
        <v>600</v>
      </c>
      <c r="CA37" s="8">
        <f t="shared" si="26"/>
        <v>200</v>
      </c>
      <c r="CB37" s="8">
        <f t="shared" si="27"/>
        <v>400</v>
      </c>
      <c r="CD37">
        <v>36</v>
      </c>
      <c r="CE37" s="8">
        <f t="shared" si="28"/>
        <v>350</v>
      </c>
      <c r="CG37">
        <v>4.5</v>
      </c>
      <c r="CH37" s="20">
        <f t="shared" si="29"/>
        <v>350</v>
      </c>
      <c r="CI37">
        <f t="shared" si="30"/>
        <v>450</v>
      </c>
      <c r="CJ37" s="21"/>
      <c r="CK37" s="21">
        <v>36</v>
      </c>
      <c r="CL37" s="21">
        <f t="shared" si="31"/>
        <v>580</v>
      </c>
      <c r="CM37" s="21"/>
      <c r="CN37" s="21">
        <f t="shared" si="32"/>
        <v>6.8</v>
      </c>
      <c r="CO37" s="20">
        <f t="shared" si="33"/>
        <v>580</v>
      </c>
      <c r="CP37">
        <v>225</v>
      </c>
      <c r="CQ37">
        <v>64</v>
      </c>
      <c r="CR37" t="str">
        <f t="shared" si="34"/>
        <v>225|64</v>
      </c>
      <c r="CT37" s="4"/>
      <c r="CV37" s="8">
        <v>63</v>
      </c>
      <c r="CW37">
        <v>36</v>
      </c>
      <c r="CX37" t="str">
        <f t="shared" si="35"/>
        <v>-20|-20|-20|-20|-20</v>
      </c>
      <c r="CY37">
        <v>4</v>
      </c>
      <c r="CZ37">
        <f t="shared" si="70"/>
        <v>5</v>
      </c>
      <c r="DA37">
        <f t="shared" si="36"/>
        <v>-20</v>
      </c>
      <c r="DB37" s="8">
        <f t="shared" si="37"/>
        <v>80</v>
      </c>
      <c r="DC37">
        <v>31</v>
      </c>
      <c r="DD37" t="str">
        <f t="shared" si="38"/>
        <v>80|31</v>
      </c>
      <c r="DF37">
        <v>36</v>
      </c>
      <c r="DG37">
        <v>750</v>
      </c>
      <c r="DI37" s="8">
        <v>-65</v>
      </c>
      <c r="DJ37" s="8">
        <v>-64</v>
      </c>
      <c r="DK37" s="10"/>
      <c r="DL37" s="10">
        <v>36</v>
      </c>
      <c r="DM37">
        <f t="shared" si="39"/>
        <v>545</v>
      </c>
      <c r="DN37" s="10"/>
      <c r="DO37" s="10">
        <v>6.45</v>
      </c>
      <c r="DP37" s="15">
        <v>-64</v>
      </c>
      <c r="DQ37" s="8">
        <f t="shared" si="40"/>
        <v>645</v>
      </c>
      <c r="DR37" s="8">
        <f t="shared" si="41"/>
        <v>36</v>
      </c>
      <c r="DS37" t="str">
        <f t="shared" si="42"/>
        <v>645|36</v>
      </c>
      <c r="DU37">
        <v>36</v>
      </c>
      <c r="DV37" s="10">
        <f t="shared" si="43"/>
        <v>440</v>
      </c>
      <c r="DW37">
        <f t="shared" si="71"/>
        <v>1</v>
      </c>
      <c r="DX37">
        <v>5.4</v>
      </c>
      <c r="DZ37">
        <f t="shared" si="44"/>
        <v>540</v>
      </c>
      <c r="EB37">
        <v>36</v>
      </c>
      <c r="EC37" s="8">
        <f t="shared" si="45"/>
        <v>-7.50000000000001</v>
      </c>
      <c r="ED37">
        <f t="shared" si="72"/>
        <v>6</v>
      </c>
      <c r="EE37">
        <v>5.55</v>
      </c>
      <c r="EF37" s="3" t="str">
        <f t="shared" si="46"/>
        <v>-7.50000000000001|-7.50000000000001|-7.50000000000001|-7.50000000000001|-7.50000000000001|-7.50000000000001</v>
      </c>
      <c r="EG37" s="8">
        <f t="shared" si="47"/>
        <v>93</v>
      </c>
      <c r="EH37" s="3"/>
      <c r="EJ37">
        <v>36</v>
      </c>
      <c r="EK37" s="8">
        <f t="shared" si="48"/>
        <v>-25</v>
      </c>
      <c r="EL37">
        <f t="shared" si="73"/>
        <v>6</v>
      </c>
      <c r="EM37">
        <v>4.5</v>
      </c>
      <c r="EN37" s="3" t="str">
        <f t="shared" si="49"/>
        <v>-25|-25|-25|-25|-25|-25</v>
      </c>
      <c r="EO37" s="8">
        <f t="shared" si="50"/>
        <v>75</v>
      </c>
      <c r="EP37" s="8"/>
      <c r="EQ37" s="8"/>
      <c r="ER37" s="8">
        <f t="shared" si="51"/>
        <v>575</v>
      </c>
      <c r="ES37" s="8">
        <f t="shared" si="74"/>
        <v>1</v>
      </c>
      <c r="ET37">
        <v>6.75</v>
      </c>
      <c r="EU37" s="8"/>
      <c r="EV37" s="8">
        <f t="shared" si="52"/>
        <v>675</v>
      </c>
      <c r="EW37" s="8">
        <f t="shared" si="53"/>
        <v>485</v>
      </c>
      <c r="EX37">
        <v>5.85</v>
      </c>
      <c r="EY37">
        <f t="shared" si="75"/>
        <v>1</v>
      </c>
      <c r="EZ37">
        <v>153</v>
      </c>
      <c r="FA37">
        <v>4.16999999999999</v>
      </c>
      <c r="FB37" s="8">
        <f t="shared" si="54"/>
        <v>585</v>
      </c>
      <c r="FC37" t="str">
        <f t="shared" si="55"/>
        <v>485|153|4.16999999999999</v>
      </c>
      <c r="FE37">
        <v>36</v>
      </c>
      <c r="FF37" s="8">
        <f t="shared" si="56"/>
        <v>800</v>
      </c>
      <c r="FG37">
        <f t="shared" si="76"/>
        <v>1</v>
      </c>
      <c r="FH37">
        <f t="shared" si="77"/>
        <v>9</v>
      </c>
      <c r="FJ37">
        <v>36</v>
      </c>
      <c r="FK37" s="8">
        <f t="shared" si="57"/>
        <v>800</v>
      </c>
      <c r="FL37" s="8" t="str">
        <f t="shared" si="78"/>
        <v>0|40</v>
      </c>
      <c r="FM37">
        <f t="shared" si="79"/>
        <v>1</v>
      </c>
      <c r="FN37">
        <f t="shared" si="80"/>
        <v>9</v>
      </c>
      <c r="FP37">
        <v>36</v>
      </c>
      <c r="FQ37" s="8">
        <f t="shared" si="58"/>
        <v>200</v>
      </c>
      <c r="FR37">
        <f t="shared" si="81"/>
        <v>3</v>
      </c>
      <c r="FS37">
        <f t="shared" si="82"/>
        <v>9</v>
      </c>
      <c r="FT37" t="str">
        <f t="shared" si="59"/>
        <v>200|200|200</v>
      </c>
    </row>
    <row r="38" spans="7:176">
      <c r="G38">
        <v>37</v>
      </c>
      <c r="H38">
        <f t="shared" si="0"/>
        <v>6.40000000000001</v>
      </c>
      <c r="I38">
        <f t="shared" si="60"/>
        <v>5</v>
      </c>
      <c r="J38">
        <v>5.32</v>
      </c>
      <c r="K38" s="7" t="str">
        <f t="shared" si="1"/>
        <v>6.40000000000001|6.40000000000001|6.40000000000001|6.40000000000001|6.40000000000001</v>
      </c>
      <c r="L38">
        <f t="shared" si="2"/>
        <v>106</v>
      </c>
      <c r="M38" s="7"/>
      <c r="N38" s="7">
        <v>37</v>
      </c>
      <c r="O38">
        <f t="shared" si="3"/>
        <v>72</v>
      </c>
      <c r="P38">
        <f t="shared" si="61"/>
        <v>3</v>
      </c>
      <c r="Q38">
        <v>5.16</v>
      </c>
      <c r="R38" s="7" t="str">
        <f t="shared" si="4"/>
        <v>72|72|72</v>
      </c>
      <c r="S38">
        <f t="shared" si="5"/>
        <v>172</v>
      </c>
      <c r="U38">
        <v>37</v>
      </c>
      <c r="V38">
        <f t="shared" si="6"/>
        <v>-2</v>
      </c>
      <c r="W38">
        <f t="shared" si="62"/>
        <v>8</v>
      </c>
      <c r="X38">
        <v>7.84</v>
      </c>
      <c r="Y38" s="7" t="str">
        <f t="shared" si="7"/>
        <v>-2|-2|-2|-2|-2|-2|-2|-2</v>
      </c>
      <c r="Z38">
        <f t="shared" si="8"/>
        <v>98</v>
      </c>
      <c r="AA38">
        <f t="shared" si="9"/>
        <v>11.68</v>
      </c>
      <c r="AC38">
        <v>37</v>
      </c>
      <c r="AD38">
        <f t="shared" si="10"/>
        <v>559</v>
      </c>
      <c r="AE38">
        <v>1</v>
      </c>
      <c r="AF38">
        <v>6.59</v>
      </c>
      <c r="AH38">
        <f t="shared" si="12"/>
        <v>659</v>
      </c>
      <c r="AJ38">
        <v>37</v>
      </c>
      <c r="AL38">
        <v>4600</v>
      </c>
      <c r="AM38">
        <v>20</v>
      </c>
      <c r="AO38" t="str">
        <f t="shared" si="13"/>
        <v>4600|20</v>
      </c>
      <c r="AR38">
        <v>37</v>
      </c>
      <c r="AS38">
        <f t="shared" si="14"/>
        <v>360</v>
      </c>
      <c r="AT38">
        <f t="shared" si="63"/>
        <v>1</v>
      </c>
      <c r="AU38">
        <v>4.6</v>
      </c>
      <c r="AV38">
        <f t="shared" si="15"/>
        <v>460</v>
      </c>
      <c r="AW38" s="10"/>
      <c r="AX38" s="10">
        <v>37</v>
      </c>
      <c r="AY38" s="10">
        <f t="shared" si="16"/>
        <v>820.000000000001</v>
      </c>
      <c r="AZ38" s="10"/>
      <c r="BA38" s="10">
        <v>9.20000000000001</v>
      </c>
      <c r="BB38">
        <f t="shared" si="17"/>
        <v>920</v>
      </c>
      <c r="BD38">
        <v>4000</v>
      </c>
      <c r="BE38" s="8" t="s">
        <v>62</v>
      </c>
      <c r="BF38" t="str">
        <f t="shared" si="18"/>
        <v>4000|17</v>
      </c>
      <c r="BH38">
        <v>37</v>
      </c>
      <c r="BI38" s="10">
        <f t="shared" si="19"/>
        <v>49.2000000000002</v>
      </c>
      <c r="BJ38">
        <f t="shared" si="64"/>
        <v>5</v>
      </c>
      <c r="BK38">
        <v>7.46000000000001</v>
      </c>
      <c r="BL38" s="3" t="str">
        <f t="shared" si="20"/>
        <v>49.2000000000002|49.2000000000002|49.2000000000002|49.2000000000002|49.2000000000002</v>
      </c>
      <c r="BM38">
        <f t="shared" si="21"/>
        <v>149</v>
      </c>
      <c r="BN38" s="8">
        <f t="shared" si="65"/>
        <v>14.9</v>
      </c>
      <c r="BO38" s="8">
        <f t="shared" si="66"/>
        <v>22.35</v>
      </c>
      <c r="BP38" s="8">
        <f t="shared" si="67"/>
        <v>29.8</v>
      </c>
      <c r="BQ38" s="8">
        <f t="shared" si="68"/>
        <v>37.25</v>
      </c>
      <c r="BR38" s="8">
        <f t="shared" si="69"/>
        <v>44.7</v>
      </c>
      <c r="BT38">
        <v>37</v>
      </c>
      <c r="BU38">
        <f t="shared" si="22"/>
        <v>310</v>
      </c>
      <c r="BW38">
        <v>8.2</v>
      </c>
      <c r="BX38" s="7" t="str">
        <f t="shared" si="23"/>
        <v>206.666666666667|413.333333333333</v>
      </c>
      <c r="BY38">
        <f t="shared" si="24"/>
        <v>410</v>
      </c>
      <c r="BZ38">
        <f t="shared" si="25"/>
        <v>620</v>
      </c>
      <c r="CA38" s="8">
        <f t="shared" si="26"/>
        <v>206.666666666667</v>
      </c>
      <c r="CB38" s="8">
        <f t="shared" si="27"/>
        <v>413.333333333333</v>
      </c>
      <c r="CD38">
        <v>37</v>
      </c>
      <c r="CE38" s="8">
        <f t="shared" si="28"/>
        <v>360</v>
      </c>
      <c r="CG38">
        <v>4.6</v>
      </c>
      <c r="CH38" s="20">
        <f t="shared" si="29"/>
        <v>360</v>
      </c>
      <c r="CI38">
        <f t="shared" si="30"/>
        <v>460</v>
      </c>
      <c r="CJ38" s="21"/>
      <c r="CK38" s="21">
        <v>37</v>
      </c>
      <c r="CL38" s="21">
        <f t="shared" si="31"/>
        <v>588</v>
      </c>
      <c r="CM38" s="21"/>
      <c r="CN38" s="21">
        <f t="shared" si="32"/>
        <v>6.88</v>
      </c>
      <c r="CO38" s="20">
        <f t="shared" si="33"/>
        <v>588</v>
      </c>
      <c r="CP38">
        <v>230</v>
      </c>
      <c r="CQ38">
        <v>63</v>
      </c>
      <c r="CR38" t="str">
        <f t="shared" si="34"/>
        <v>230|63</v>
      </c>
      <c r="CT38" s="4"/>
      <c r="CV38" s="8">
        <v>64</v>
      </c>
      <c r="CW38">
        <v>37</v>
      </c>
      <c r="CX38" t="str">
        <f t="shared" si="35"/>
        <v>-18|-18|-18|-18|-18</v>
      </c>
      <c r="CY38">
        <v>4.1</v>
      </c>
      <c r="CZ38">
        <f t="shared" si="70"/>
        <v>5</v>
      </c>
      <c r="DA38">
        <f t="shared" si="36"/>
        <v>-18</v>
      </c>
      <c r="DB38" s="8">
        <f t="shared" si="37"/>
        <v>82</v>
      </c>
      <c r="DC38">
        <v>31.6</v>
      </c>
      <c r="DD38" t="str">
        <f t="shared" si="38"/>
        <v>82|31.6</v>
      </c>
      <c r="DF38">
        <v>37</v>
      </c>
      <c r="DG38">
        <v>760</v>
      </c>
      <c r="DI38" s="8">
        <v>-65</v>
      </c>
      <c r="DJ38" s="8">
        <v>-64</v>
      </c>
      <c r="DK38" s="10"/>
      <c r="DL38" s="10">
        <v>37</v>
      </c>
      <c r="DM38">
        <f t="shared" si="39"/>
        <v>560</v>
      </c>
      <c r="DN38" s="10"/>
      <c r="DO38" s="10">
        <v>6.6</v>
      </c>
      <c r="DP38" s="15">
        <v>-63</v>
      </c>
      <c r="DQ38" s="8">
        <f t="shared" si="40"/>
        <v>660</v>
      </c>
      <c r="DR38" s="8">
        <f t="shared" si="41"/>
        <v>37</v>
      </c>
      <c r="DS38" t="str">
        <f t="shared" si="42"/>
        <v>660|37</v>
      </c>
      <c r="DU38">
        <v>37</v>
      </c>
      <c r="DV38" s="10">
        <f t="shared" si="43"/>
        <v>452</v>
      </c>
      <c r="DW38">
        <f t="shared" si="71"/>
        <v>1</v>
      </c>
      <c r="DX38">
        <v>5.52</v>
      </c>
      <c r="DZ38">
        <f t="shared" si="44"/>
        <v>552</v>
      </c>
      <c r="EB38">
        <v>37</v>
      </c>
      <c r="EC38" s="8">
        <f t="shared" si="45"/>
        <v>-5.33333333333333</v>
      </c>
      <c r="ED38">
        <f t="shared" si="72"/>
        <v>6</v>
      </c>
      <c r="EE38">
        <v>5.68</v>
      </c>
      <c r="EF38" s="3" t="str">
        <f t="shared" si="46"/>
        <v>-5.33333333333333|-5.33333333333333|-5.33333333333333|-5.33333333333333|-5.33333333333333|-5.33333333333333</v>
      </c>
      <c r="EG38" s="8">
        <f t="shared" si="47"/>
        <v>95</v>
      </c>
      <c r="EH38" s="3"/>
      <c r="EJ38">
        <v>37</v>
      </c>
      <c r="EK38" s="8">
        <f t="shared" si="48"/>
        <v>-23.3333333333333</v>
      </c>
      <c r="EL38">
        <f t="shared" si="73"/>
        <v>6</v>
      </c>
      <c r="EM38">
        <v>4.6</v>
      </c>
      <c r="EN38" s="3" t="str">
        <f t="shared" si="49"/>
        <v>-23.3333333333333|-23.3333333333333|-23.3333333333333|-23.3333333333333|-23.3333333333333|-23.3333333333333</v>
      </c>
      <c r="EO38" s="8">
        <f t="shared" si="50"/>
        <v>77</v>
      </c>
      <c r="EP38" s="8"/>
      <c r="EQ38" s="8"/>
      <c r="ER38" s="8">
        <f t="shared" si="51"/>
        <v>590</v>
      </c>
      <c r="ES38" s="8">
        <f t="shared" si="74"/>
        <v>1</v>
      </c>
      <c r="ET38">
        <v>6.9</v>
      </c>
      <c r="EU38" s="8"/>
      <c r="EV38" s="8">
        <f t="shared" si="52"/>
        <v>690</v>
      </c>
      <c r="EW38" s="8">
        <f t="shared" si="53"/>
        <v>498</v>
      </c>
      <c r="EX38">
        <v>5.98</v>
      </c>
      <c r="EY38">
        <f t="shared" si="75"/>
        <v>1</v>
      </c>
      <c r="EZ38">
        <v>156.4</v>
      </c>
      <c r="FA38">
        <v>4.23199999999999</v>
      </c>
      <c r="FB38" s="8">
        <f t="shared" si="54"/>
        <v>598</v>
      </c>
      <c r="FC38" t="str">
        <f t="shared" si="55"/>
        <v>498|156.4|4.23199999999999</v>
      </c>
      <c r="FE38">
        <v>37</v>
      </c>
      <c r="FF38" s="8">
        <f t="shared" si="56"/>
        <v>820</v>
      </c>
      <c r="FG38">
        <f t="shared" si="76"/>
        <v>1</v>
      </c>
      <c r="FH38">
        <f t="shared" si="77"/>
        <v>9.2</v>
      </c>
      <c r="FJ38">
        <v>37</v>
      </c>
      <c r="FK38" s="8">
        <f t="shared" si="57"/>
        <v>820</v>
      </c>
      <c r="FL38" s="8" t="str">
        <f t="shared" si="78"/>
        <v>0|40</v>
      </c>
      <c r="FM38">
        <f t="shared" si="79"/>
        <v>1</v>
      </c>
      <c r="FN38">
        <f t="shared" si="80"/>
        <v>9.2</v>
      </c>
      <c r="FP38">
        <v>37</v>
      </c>
      <c r="FQ38" s="8">
        <f t="shared" si="58"/>
        <v>207</v>
      </c>
      <c r="FR38">
        <f t="shared" si="81"/>
        <v>3</v>
      </c>
      <c r="FS38">
        <f t="shared" si="82"/>
        <v>9.2</v>
      </c>
      <c r="FT38" t="str">
        <f t="shared" si="59"/>
        <v>207|207|207</v>
      </c>
    </row>
    <row r="39" spans="7:176">
      <c r="G39">
        <v>38</v>
      </c>
      <c r="H39">
        <f t="shared" si="0"/>
        <v>8.80000000000001</v>
      </c>
      <c r="I39">
        <f t="shared" si="60"/>
        <v>5</v>
      </c>
      <c r="J39">
        <v>5.44</v>
      </c>
      <c r="K39" s="7" t="str">
        <f t="shared" si="1"/>
        <v>8.80000000000001|8.80000000000001|8.80000000000001|8.80000000000001|8.80000000000001</v>
      </c>
      <c r="L39">
        <f t="shared" si="2"/>
        <v>109</v>
      </c>
      <c r="M39" s="7"/>
      <c r="N39" s="7">
        <v>38</v>
      </c>
      <c r="O39">
        <f t="shared" si="3"/>
        <v>75.6666666666667</v>
      </c>
      <c r="P39">
        <f t="shared" si="61"/>
        <v>3</v>
      </c>
      <c r="Q39">
        <v>5.27</v>
      </c>
      <c r="R39" s="7" t="str">
        <f t="shared" si="4"/>
        <v>75.6666666666667|75.6666666666667|75.6666666666667</v>
      </c>
      <c r="S39">
        <f t="shared" si="5"/>
        <v>176</v>
      </c>
      <c r="U39">
        <v>38</v>
      </c>
      <c r="V39">
        <f t="shared" si="6"/>
        <v>0.374999999999992</v>
      </c>
      <c r="W39">
        <f t="shared" si="62"/>
        <v>8</v>
      </c>
      <c r="X39">
        <v>8.03</v>
      </c>
      <c r="Y39" s="7" t="str">
        <f t="shared" si="7"/>
        <v>0.374999999999992|0.374999999999992|0.374999999999992|0.374999999999992|0.374999999999992|0.374999999999992|0.374999999999992|0.374999999999992</v>
      </c>
      <c r="Z39">
        <f t="shared" si="8"/>
        <v>100</v>
      </c>
      <c r="AA39">
        <f t="shared" si="9"/>
        <v>13.06</v>
      </c>
      <c r="AC39">
        <v>38</v>
      </c>
      <c r="AD39">
        <f t="shared" si="10"/>
        <v>573</v>
      </c>
      <c r="AE39">
        <v>1</v>
      </c>
      <c r="AF39">
        <v>6.73</v>
      </c>
      <c r="AH39">
        <f t="shared" si="12"/>
        <v>673</v>
      </c>
      <c r="AJ39">
        <v>38</v>
      </c>
      <c r="AL39">
        <v>4700</v>
      </c>
      <c r="AM39">
        <v>20.5</v>
      </c>
      <c r="AO39" t="str">
        <f t="shared" si="13"/>
        <v>4700|20.5</v>
      </c>
      <c r="AR39">
        <v>38</v>
      </c>
      <c r="AS39">
        <f t="shared" si="14"/>
        <v>370</v>
      </c>
      <c r="AT39">
        <f t="shared" si="63"/>
        <v>1</v>
      </c>
      <c r="AU39">
        <v>4.7</v>
      </c>
      <c r="AV39">
        <f t="shared" si="15"/>
        <v>470</v>
      </c>
      <c r="AW39" s="10"/>
      <c r="AX39" s="10">
        <v>38</v>
      </c>
      <c r="AY39" s="10">
        <f t="shared" si="16"/>
        <v>840.000000000001</v>
      </c>
      <c r="AZ39" s="10"/>
      <c r="BA39" s="10">
        <v>9.40000000000001</v>
      </c>
      <c r="BB39">
        <f t="shared" si="17"/>
        <v>940</v>
      </c>
      <c r="BD39">
        <v>4100</v>
      </c>
      <c r="BE39" s="8" t="s">
        <v>62</v>
      </c>
      <c r="BF39" t="str">
        <f t="shared" si="18"/>
        <v>4100|17</v>
      </c>
      <c r="BH39">
        <v>38</v>
      </c>
      <c r="BI39" s="10">
        <f t="shared" si="19"/>
        <v>52.4000000000002</v>
      </c>
      <c r="BJ39">
        <f t="shared" si="64"/>
        <v>5</v>
      </c>
      <c r="BK39">
        <v>7.62000000000001</v>
      </c>
      <c r="BL39" s="3" t="str">
        <f t="shared" si="20"/>
        <v>52.4000000000002|52.4000000000002|52.4000000000002|52.4000000000002|52.4000000000002</v>
      </c>
      <c r="BM39">
        <f t="shared" si="21"/>
        <v>152</v>
      </c>
      <c r="BN39" s="8">
        <f t="shared" si="65"/>
        <v>15.2</v>
      </c>
      <c r="BO39" s="8">
        <f t="shared" si="66"/>
        <v>22.8</v>
      </c>
      <c r="BP39" s="8">
        <f t="shared" si="67"/>
        <v>30.4</v>
      </c>
      <c r="BQ39" s="8">
        <f t="shared" si="68"/>
        <v>38</v>
      </c>
      <c r="BR39" s="8">
        <f t="shared" si="69"/>
        <v>45.6</v>
      </c>
      <c r="BT39">
        <v>38</v>
      </c>
      <c r="BU39">
        <f t="shared" si="22"/>
        <v>320</v>
      </c>
      <c r="BW39">
        <v>8.4</v>
      </c>
      <c r="BX39" s="7" t="str">
        <f t="shared" si="23"/>
        <v>213.333333333333|426.666666666667</v>
      </c>
      <c r="BY39">
        <f t="shared" si="24"/>
        <v>420</v>
      </c>
      <c r="BZ39">
        <f t="shared" si="25"/>
        <v>640</v>
      </c>
      <c r="CA39" s="8">
        <f t="shared" si="26"/>
        <v>213.333333333333</v>
      </c>
      <c r="CB39" s="8">
        <f t="shared" si="27"/>
        <v>426.666666666667</v>
      </c>
      <c r="CD39">
        <v>38</v>
      </c>
      <c r="CE39" s="8">
        <f t="shared" si="28"/>
        <v>370</v>
      </c>
      <c r="CG39">
        <v>4.7</v>
      </c>
      <c r="CH39" s="20">
        <f t="shared" si="29"/>
        <v>370</v>
      </c>
      <c r="CI39">
        <f t="shared" si="30"/>
        <v>470</v>
      </c>
      <c r="CJ39" s="21"/>
      <c r="CK39" s="21">
        <v>38</v>
      </c>
      <c r="CL39" s="21">
        <f t="shared" si="31"/>
        <v>596</v>
      </c>
      <c r="CM39" s="21"/>
      <c r="CN39" s="21">
        <f t="shared" si="32"/>
        <v>6.96</v>
      </c>
      <c r="CO39" s="20">
        <f t="shared" si="33"/>
        <v>596</v>
      </c>
      <c r="CP39">
        <v>235</v>
      </c>
      <c r="CQ39">
        <v>62</v>
      </c>
      <c r="CR39" t="str">
        <f t="shared" si="34"/>
        <v>235|62</v>
      </c>
      <c r="CT39" s="4"/>
      <c r="CV39" s="8">
        <v>66</v>
      </c>
      <c r="CW39">
        <v>38</v>
      </c>
      <c r="CX39" t="str">
        <f t="shared" si="35"/>
        <v>-16|-16|-16|-16|-16</v>
      </c>
      <c r="CY39">
        <v>4.2</v>
      </c>
      <c r="CZ39">
        <f t="shared" si="70"/>
        <v>5</v>
      </c>
      <c r="DA39">
        <f t="shared" si="36"/>
        <v>-16</v>
      </c>
      <c r="DB39" s="8">
        <f t="shared" si="37"/>
        <v>84</v>
      </c>
      <c r="DC39">
        <v>32.2</v>
      </c>
      <c r="DD39" t="str">
        <f t="shared" si="38"/>
        <v>84|32.2</v>
      </c>
      <c r="DF39">
        <v>38</v>
      </c>
      <c r="DG39">
        <v>770</v>
      </c>
      <c r="DI39" s="8">
        <v>-63</v>
      </c>
      <c r="DJ39" s="8">
        <v>-61</v>
      </c>
      <c r="DK39" s="10"/>
      <c r="DL39" s="10">
        <v>38</v>
      </c>
      <c r="DM39">
        <f t="shared" si="39"/>
        <v>575.000000000001</v>
      </c>
      <c r="DN39" s="10"/>
      <c r="DO39" s="10">
        <v>6.75000000000001</v>
      </c>
      <c r="DP39" s="15">
        <v>-62</v>
      </c>
      <c r="DQ39" s="8">
        <f t="shared" si="40"/>
        <v>675</v>
      </c>
      <c r="DR39" s="8">
        <f t="shared" si="41"/>
        <v>38</v>
      </c>
      <c r="DS39" t="str">
        <f t="shared" si="42"/>
        <v>675|38</v>
      </c>
      <c r="DU39">
        <v>38</v>
      </c>
      <c r="DV39" s="10">
        <f t="shared" si="43"/>
        <v>464</v>
      </c>
      <c r="DW39">
        <f t="shared" si="71"/>
        <v>1</v>
      </c>
      <c r="DX39">
        <v>5.64</v>
      </c>
      <c r="DZ39">
        <f t="shared" si="44"/>
        <v>564</v>
      </c>
      <c r="EB39">
        <v>38</v>
      </c>
      <c r="EC39" s="8">
        <f t="shared" si="45"/>
        <v>-3.16666666666667</v>
      </c>
      <c r="ED39">
        <f t="shared" si="72"/>
        <v>6</v>
      </c>
      <c r="EE39">
        <v>5.81</v>
      </c>
      <c r="EF39" s="3" t="str">
        <f t="shared" si="46"/>
        <v>-3.16666666666667|-3.16666666666667|-3.16666666666667|-3.16666666666667|-3.16666666666667|-3.16666666666667</v>
      </c>
      <c r="EG39" s="8">
        <f t="shared" si="47"/>
        <v>97</v>
      </c>
      <c r="EH39" s="3"/>
      <c r="EJ39">
        <v>38</v>
      </c>
      <c r="EK39" s="8">
        <f t="shared" si="48"/>
        <v>-21.6666666666667</v>
      </c>
      <c r="EL39">
        <f t="shared" si="73"/>
        <v>6</v>
      </c>
      <c r="EM39">
        <v>4.7</v>
      </c>
      <c r="EN39" s="3" t="str">
        <f t="shared" si="49"/>
        <v>-21.6666666666667|-21.6666666666667|-21.6666666666667|-21.6666666666667|-21.6666666666667|-21.6666666666667</v>
      </c>
      <c r="EO39" s="8">
        <f t="shared" si="50"/>
        <v>78</v>
      </c>
      <c r="EP39" s="8"/>
      <c r="EQ39" s="8"/>
      <c r="ER39" s="8">
        <f t="shared" si="51"/>
        <v>605</v>
      </c>
      <c r="ES39" s="8">
        <f t="shared" si="74"/>
        <v>1</v>
      </c>
      <c r="ET39">
        <v>7.05</v>
      </c>
      <c r="EU39" s="8"/>
      <c r="EV39" s="8">
        <f t="shared" si="52"/>
        <v>705</v>
      </c>
      <c r="EW39" s="8">
        <f t="shared" si="53"/>
        <v>511</v>
      </c>
      <c r="EX39">
        <v>6.11</v>
      </c>
      <c r="EY39">
        <f t="shared" si="75"/>
        <v>1</v>
      </c>
      <c r="EZ39">
        <v>159.8</v>
      </c>
      <c r="FA39">
        <v>4.29399999999999</v>
      </c>
      <c r="FB39" s="8">
        <f t="shared" si="54"/>
        <v>611</v>
      </c>
      <c r="FC39" t="str">
        <f t="shared" si="55"/>
        <v>511|159.8|4.29399999999999</v>
      </c>
      <c r="FE39">
        <v>38</v>
      </c>
      <c r="FF39" s="8">
        <f t="shared" si="56"/>
        <v>840</v>
      </c>
      <c r="FG39">
        <f t="shared" si="76"/>
        <v>1</v>
      </c>
      <c r="FH39">
        <f t="shared" si="77"/>
        <v>9.4</v>
      </c>
      <c r="FJ39">
        <v>38</v>
      </c>
      <c r="FK39" s="8">
        <f t="shared" si="57"/>
        <v>840</v>
      </c>
      <c r="FL39" s="8" t="str">
        <f t="shared" si="78"/>
        <v>0|40</v>
      </c>
      <c r="FM39">
        <f t="shared" si="79"/>
        <v>1</v>
      </c>
      <c r="FN39">
        <f t="shared" si="80"/>
        <v>9.4</v>
      </c>
      <c r="FP39">
        <v>38</v>
      </c>
      <c r="FQ39" s="8">
        <f t="shared" si="58"/>
        <v>213</v>
      </c>
      <c r="FR39">
        <f t="shared" si="81"/>
        <v>3</v>
      </c>
      <c r="FS39">
        <f t="shared" si="82"/>
        <v>9.4</v>
      </c>
      <c r="FT39" t="str">
        <f t="shared" si="59"/>
        <v>213|213|213</v>
      </c>
    </row>
    <row r="40" spans="7:176">
      <c r="G40">
        <v>39</v>
      </c>
      <c r="H40">
        <f t="shared" si="0"/>
        <v>11.2</v>
      </c>
      <c r="I40">
        <f t="shared" si="60"/>
        <v>5</v>
      </c>
      <c r="J40">
        <v>5.56</v>
      </c>
      <c r="K40" s="7" t="str">
        <f t="shared" si="1"/>
        <v>11.2|11.2|11.2|11.2|11.2</v>
      </c>
      <c r="L40">
        <f t="shared" si="2"/>
        <v>111</v>
      </c>
      <c r="M40" s="7"/>
      <c r="N40" s="7">
        <v>39</v>
      </c>
      <c r="O40">
        <f t="shared" si="3"/>
        <v>79.3333333333333</v>
      </c>
      <c r="P40">
        <f t="shared" si="61"/>
        <v>3</v>
      </c>
      <c r="Q40">
        <v>5.38</v>
      </c>
      <c r="R40" s="7" t="str">
        <f t="shared" si="4"/>
        <v>79.3333333333333|79.3333333333333|79.3333333333333</v>
      </c>
      <c r="S40">
        <f t="shared" si="5"/>
        <v>179</v>
      </c>
      <c r="U40">
        <v>39</v>
      </c>
      <c r="V40">
        <f t="shared" si="6"/>
        <v>2.75000000000001</v>
      </c>
      <c r="W40">
        <f t="shared" si="62"/>
        <v>8</v>
      </c>
      <c r="X40">
        <v>8.22</v>
      </c>
      <c r="Y40" s="7" t="str">
        <f t="shared" si="7"/>
        <v>2.75000000000001|2.75000000000001|2.75000000000001|2.75000000000001|2.75000000000001|2.75000000000001|2.75000000000001|2.75000000000001</v>
      </c>
      <c r="Z40">
        <f t="shared" si="8"/>
        <v>103</v>
      </c>
      <c r="AA40">
        <f t="shared" si="9"/>
        <v>14.44</v>
      </c>
      <c r="AC40">
        <v>39</v>
      </c>
      <c r="AD40">
        <f t="shared" si="10"/>
        <v>587</v>
      </c>
      <c r="AE40">
        <v>1</v>
      </c>
      <c r="AF40">
        <v>6.87</v>
      </c>
      <c r="AH40">
        <f t="shared" si="12"/>
        <v>687</v>
      </c>
      <c r="AJ40">
        <v>39</v>
      </c>
      <c r="AL40">
        <v>4800</v>
      </c>
      <c r="AM40">
        <v>21</v>
      </c>
      <c r="AO40" t="str">
        <f t="shared" si="13"/>
        <v>4800|21</v>
      </c>
      <c r="AR40">
        <v>39</v>
      </c>
      <c r="AS40">
        <f t="shared" si="14"/>
        <v>380</v>
      </c>
      <c r="AT40">
        <f t="shared" si="63"/>
        <v>1</v>
      </c>
      <c r="AU40">
        <v>4.8</v>
      </c>
      <c r="AV40">
        <f t="shared" si="15"/>
        <v>480</v>
      </c>
      <c r="AW40" s="10"/>
      <c r="AX40" s="10">
        <v>39</v>
      </c>
      <c r="AY40" s="10">
        <f t="shared" si="16"/>
        <v>860.000000000001</v>
      </c>
      <c r="AZ40" s="10"/>
      <c r="BA40" s="10">
        <v>9.60000000000001</v>
      </c>
      <c r="BB40">
        <f t="shared" si="17"/>
        <v>960</v>
      </c>
      <c r="BD40">
        <v>4200</v>
      </c>
      <c r="BE40" s="8" t="s">
        <v>62</v>
      </c>
      <c r="BF40" t="str">
        <f t="shared" si="18"/>
        <v>4200|17</v>
      </c>
      <c r="BH40">
        <v>39</v>
      </c>
      <c r="BI40" s="10">
        <f t="shared" si="19"/>
        <v>55.6000000000002</v>
      </c>
      <c r="BJ40">
        <f t="shared" si="64"/>
        <v>5</v>
      </c>
      <c r="BK40">
        <v>7.78000000000001</v>
      </c>
      <c r="BL40" s="3" t="str">
        <f t="shared" si="20"/>
        <v>55.6000000000002|55.6000000000002|55.6000000000002|55.6000000000002|55.6000000000002</v>
      </c>
      <c r="BM40">
        <f t="shared" si="21"/>
        <v>156</v>
      </c>
      <c r="BN40" s="8">
        <f t="shared" si="65"/>
        <v>15.6</v>
      </c>
      <c r="BO40" s="8">
        <f t="shared" si="66"/>
        <v>23.4</v>
      </c>
      <c r="BP40" s="8">
        <f t="shared" si="67"/>
        <v>31.2</v>
      </c>
      <c r="BQ40" s="8">
        <f t="shared" si="68"/>
        <v>39</v>
      </c>
      <c r="BR40" s="8">
        <f t="shared" si="69"/>
        <v>46.8</v>
      </c>
      <c r="BT40">
        <v>39</v>
      </c>
      <c r="BU40">
        <f t="shared" si="22"/>
        <v>330</v>
      </c>
      <c r="BW40">
        <v>8.6</v>
      </c>
      <c r="BX40" s="7" t="str">
        <f t="shared" si="23"/>
        <v>220|440</v>
      </c>
      <c r="BY40">
        <f t="shared" si="24"/>
        <v>430</v>
      </c>
      <c r="BZ40">
        <f t="shared" si="25"/>
        <v>660</v>
      </c>
      <c r="CA40" s="8">
        <f t="shared" si="26"/>
        <v>220</v>
      </c>
      <c r="CB40" s="8">
        <f t="shared" si="27"/>
        <v>440</v>
      </c>
      <c r="CD40">
        <v>39</v>
      </c>
      <c r="CE40" s="8">
        <f t="shared" si="28"/>
        <v>380</v>
      </c>
      <c r="CG40">
        <v>4.8</v>
      </c>
      <c r="CH40" s="20">
        <f t="shared" si="29"/>
        <v>380</v>
      </c>
      <c r="CI40">
        <f t="shared" si="30"/>
        <v>480</v>
      </c>
      <c r="CJ40" s="21"/>
      <c r="CK40" s="21">
        <v>39</v>
      </c>
      <c r="CL40" s="21">
        <f t="shared" si="31"/>
        <v>604</v>
      </c>
      <c r="CM40" s="21"/>
      <c r="CN40" s="21">
        <f t="shared" si="32"/>
        <v>7.04</v>
      </c>
      <c r="CO40" s="20">
        <f t="shared" si="33"/>
        <v>604</v>
      </c>
      <c r="CP40">
        <v>240</v>
      </c>
      <c r="CQ40">
        <v>61</v>
      </c>
      <c r="CR40" t="str">
        <f t="shared" si="34"/>
        <v>240|61</v>
      </c>
      <c r="CT40" s="4"/>
      <c r="CV40" s="8">
        <v>67</v>
      </c>
      <c r="CW40">
        <v>39</v>
      </c>
      <c r="CX40" t="str">
        <f t="shared" si="35"/>
        <v>-14|-14|-14|-14|-14</v>
      </c>
      <c r="CY40">
        <v>4.3</v>
      </c>
      <c r="CZ40">
        <f t="shared" si="70"/>
        <v>5</v>
      </c>
      <c r="DA40">
        <f t="shared" si="36"/>
        <v>-14</v>
      </c>
      <c r="DB40" s="8">
        <f t="shared" si="37"/>
        <v>86</v>
      </c>
      <c r="DC40">
        <v>32.8</v>
      </c>
      <c r="DD40" t="str">
        <f t="shared" si="38"/>
        <v>86|32.8</v>
      </c>
      <c r="DF40">
        <v>39</v>
      </c>
      <c r="DG40">
        <v>780</v>
      </c>
      <c r="DI40" s="8">
        <v>-62</v>
      </c>
      <c r="DJ40" s="8">
        <v>-59</v>
      </c>
      <c r="DK40" s="10"/>
      <c r="DL40" s="10">
        <v>39</v>
      </c>
      <c r="DM40">
        <f t="shared" si="39"/>
        <v>590</v>
      </c>
      <c r="DN40" s="10"/>
      <c r="DO40" s="10">
        <v>6.9</v>
      </c>
      <c r="DP40" s="15">
        <v>-61</v>
      </c>
      <c r="DQ40" s="8">
        <f t="shared" si="40"/>
        <v>690</v>
      </c>
      <c r="DR40" s="8">
        <f t="shared" si="41"/>
        <v>39</v>
      </c>
      <c r="DS40" t="str">
        <f t="shared" si="42"/>
        <v>690|39</v>
      </c>
      <c r="DU40">
        <v>39</v>
      </c>
      <c r="DV40" s="10">
        <f t="shared" si="43"/>
        <v>476</v>
      </c>
      <c r="DW40">
        <f t="shared" si="71"/>
        <v>1</v>
      </c>
      <c r="DX40">
        <v>5.76</v>
      </c>
      <c r="DZ40">
        <f t="shared" si="44"/>
        <v>576</v>
      </c>
      <c r="EB40">
        <v>39</v>
      </c>
      <c r="EC40" s="8">
        <f t="shared" si="45"/>
        <v>-0.99999999999999</v>
      </c>
      <c r="ED40">
        <f t="shared" si="72"/>
        <v>6</v>
      </c>
      <c r="EE40">
        <v>5.94</v>
      </c>
      <c r="EF40" s="3" t="str">
        <f t="shared" si="46"/>
        <v>-0.99999999999999|-0.99999999999999|-0.99999999999999|-0.99999999999999|-0.99999999999999|-0.99999999999999</v>
      </c>
      <c r="EG40" s="8">
        <f t="shared" si="47"/>
        <v>99</v>
      </c>
      <c r="EH40" s="3"/>
      <c r="EJ40">
        <v>39</v>
      </c>
      <c r="EK40" s="8">
        <f t="shared" si="48"/>
        <v>-20</v>
      </c>
      <c r="EL40">
        <f t="shared" si="73"/>
        <v>6</v>
      </c>
      <c r="EM40">
        <v>4.8</v>
      </c>
      <c r="EN40" s="3" t="str">
        <f t="shared" si="49"/>
        <v>-20|-20|-20|-20|-20|-20</v>
      </c>
      <c r="EO40" s="8">
        <f t="shared" si="50"/>
        <v>80</v>
      </c>
      <c r="EP40" s="8"/>
      <c r="EQ40" s="8"/>
      <c r="ER40" s="8">
        <f t="shared" si="51"/>
        <v>620</v>
      </c>
      <c r="ES40" s="8">
        <f t="shared" si="74"/>
        <v>1</v>
      </c>
      <c r="ET40">
        <v>7.2</v>
      </c>
      <c r="EU40" s="8"/>
      <c r="EV40" s="8">
        <f t="shared" si="52"/>
        <v>720</v>
      </c>
      <c r="EW40" s="8">
        <f t="shared" si="53"/>
        <v>524</v>
      </c>
      <c r="EX40">
        <v>6.24</v>
      </c>
      <c r="EY40">
        <f t="shared" si="75"/>
        <v>1</v>
      </c>
      <c r="EZ40">
        <v>163.2</v>
      </c>
      <c r="FA40">
        <v>4.35599999999999</v>
      </c>
      <c r="FB40" s="8">
        <f t="shared" si="54"/>
        <v>624</v>
      </c>
      <c r="FC40" t="str">
        <f t="shared" si="55"/>
        <v>524|163.2|4.35599999999999</v>
      </c>
      <c r="FE40">
        <v>39</v>
      </c>
      <c r="FF40" s="8">
        <f t="shared" si="56"/>
        <v>860</v>
      </c>
      <c r="FG40">
        <f t="shared" si="76"/>
        <v>1</v>
      </c>
      <c r="FH40">
        <f t="shared" si="77"/>
        <v>9.6</v>
      </c>
      <c r="FJ40">
        <v>39</v>
      </c>
      <c r="FK40" s="8">
        <f t="shared" si="57"/>
        <v>860</v>
      </c>
      <c r="FL40" s="8" t="str">
        <f t="shared" si="78"/>
        <v>0|40</v>
      </c>
      <c r="FM40">
        <f t="shared" si="79"/>
        <v>1</v>
      </c>
      <c r="FN40">
        <f t="shared" si="80"/>
        <v>9.6</v>
      </c>
      <c r="FP40">
        <v>39</v>
      </c>
      <c r="FQ40" s="8">
        <f t="shared" si="58"/>
        <v>220</v>
      </c>
      <c r="FR40">
        <f t="shared" si="81"/>
        <v>3</v>
      </c>
      <c r="FS40">
        <f t="shared" si="82"/>
        <v>9.6</v>
      </c>
      <c r="FT40" t="str">
        <f t="shared" si="59"/>
        <v>220|220|220</v>
      </c>
    </row>
    <row r="41" spans="7:176">
      <c r="G41">
        <v>40</v>
      </c>
      <c r="H41">
        <f t="shared" si="0"/>
        <v>13.6</v>
      </c>
      <c r="I41">
        <f t="shared" si="60"/>
        <v>5</v>
      </c>
      <c r="J41">
        <v>5.68</v>
      </c>
      <c r="K41" s="7" t="str">
        <f t="shared" si="1"/>
        <v>13.6|13.6|13.6|13.6|13.6</v>
      </c>
      <c r="L41">
        <f t="shared" si="2"/>
        <v>114</v>
      </c>
      <c r="M41" s="7"/>
      <c r="N41" s="7">
        <v>40</v>
      </c>
      <c r="O41">
        <f t="shared" si="3"/>
        <v>83</v>
      </c>
      <c r="P41">
        <f t="shared" si="61"/>
        <v>3</v>
      </c>
      <c r="Q41">
        <v>5.49</v>
      </c>
      <c r="R41" s="7" t="str">
        <f t="shared" si="4"/>
        <v>83|83|83</v>
      </c>
      <c r="S41">
        <f t="shared" si="5"/>
        <v>183</v>
      </c>
      <c r="U41">
        <v>40</v>
      </c>
      <c r="V41">
        <f t="shared" si="6"/>
        <v>5.125</v>
      </c>
      <c r="W41">
        <f t="shared" si="62"/>
        <v>8</v>
      </c>
      <c r="X41">
        <v>8.41</v>
      </c>
      <c r="Y41" s="7" t="str">
        <f t="shared" si="7"/>
        <v>5.125|5.125|5.125|5.125|5.125|5.125|5.125|5.125</v>
      </c>
      <c r="Z41">
        <f t="shared" si="8"/>
        <v>105</v>
      </c>
      <c r="AA41">
        <f t="shared" si="9"/>
        <v>15.82</v>
      </c>
      <c r="AC41">
        <v>40</v>
      </c>
      <c r="AD41">
        <f t="shared" si="10"/>
        <v>601</v>
      </c>
      <c r="AE41">
        <v>1</v>
      </c>
      <c r="AF41">
        <v>7.01</v>
      </c>
      <c r="AH41">
        <f t="shared" si="12"/>
        <v>701</v>
      </c>
      <c r="AJ41">
        <v>40</v>
      </c>
      <c r="AL41">
        <v>4900</v>
      </c>
      <c r="AM41">
        <v>21.5</v>
      </c>
      <c r="AO41" t="str">
        <f t="shared" si="13"/>
        <v>4900|21.5</v>
      </c>
      <c r="AR41">
        <v>40</v>
      </c>
      <c r="AS41">
        <f t="shared" si="14"/>
        <v>390</v>
      </c>
      <c r="AT41">
        <f t="shared" si="63"/>
        <v>1</v>
      </c>
      <c r="AU41">
        <v>4.9</v>
      </c>
      <c r="AV41">
        <f t="shared" si="15"/>
        <v>490</v>
      </c>
      <c r="AW41" s="10"/>
      <c r="AX41" s="10">
        <v>40</v>
      </c>
      <c r="AY41" s="10">
        <f t="shared" si="16"/>
        <v>880.000000000001</v>
      </c>
      <c r="AZ41" s="10"/>
      <c r="BA41" s="10">
        <v>9.80000000000001</v>
      </c>
      <c r="BB41">
        <f t="shared" si="17"/>
        <v>980</v>
      </c>
      <c r="BD41">
        <v>4300</v>
      </c>
      <c r="BE41" s="8" t="s">
        <v>62</v>
      </c>
      <c r="BF41" t="str">
        <f t="shared" si="18"/>
        <v>4300|17</v>
      </c>
      <c r="BH41">
        <v>40</v>
      </c>
      <c r="BI41" s="10">
        <f t="shared" si="19"/>
        <v>58.8000000000002</v>
      </c>
      <c r="BJ41">
        <f t="shared" si="64"/>
        <v>5</v>
      </c>
      <c r="BK41">
        <v>7.94000000000001</v>
      </c>
      <c r="BL41" s="3" t="str">
        <f t="shared" si="20"/>
        <v>58.8000000000002|58.8000000000002|58.8000000000002|58.8000000000002|58.8000000000002</v>
      </c>
      <c r="BM41">
        <f t="shared" si="21"/>
        <v>159</v>
      </c>
      <c r="BN41" s="8">
        <f t="shared" si="65"/>
        <v>15.9</v>
      </c>
      <c r="BO41" s="8">
        <f t="shared" si="66"/>
        <v>23.85</v>
      </c>
      <c r="BP41" s="8">
        <f t="shared" si="67"/>
        <v>31.8</v>
      </c>
      <c r="BQ41" s="8">
        <f t="shared" si="68"/>
        <v>39.75</v>
      </c>
      <c r="BR41" s="8">
        <f t="shared" si="69"/>
        <v>47.7</v>
      </c>
      <c r="BT41">
        <v>40</v>
      </c>
      <c r="BU41">
        <f t="shared" si="22"/>
        <v>340</v>
      </c>
      <c r="BW41">
        <v>8.8</v>
      </c>
      <c r="BX41" s="7" t="str">
        <f t="shared" si="23"/>
        <v>226.666666666667|453.333333333333</v>
      </c>
      <c r="BY41">
        <f t="shared" si="24"/>
        <v>440</v>
      </c>
      <c r="BZ41">
        <f t="shared" si="25"/>
        <v>680</v>
      </c>
      <c r="CA41" s="8">
        <f t="shared" si="26"/>
        <v>226.666666666667</v>
      </c>
      <c r="CB41" s="8">
        <f t="shared" si="27"/>
        <v>453.333333333333</v>
      </c>
      <c r="CD41">
        <v>40</v>
      </c>
      <c r="CE41" s="8">
        <f t="shared" si="28"/>
        <v>390</v>
      </c>
      <c r="CG41">
        <v>4.9</v>
      </c>
      <c r="CH41" s="7">
        <f t="shared" si="29"/>
        <v>390</v>
      </c>
      <c r="CI41">
        <f t="shared" si="30"/>
        <v>490</v>
      </c>
      <c r="CK41">
        <v>40</v>
      </c>
      <c r="CL41">
        <f t="shared" si="31"/>
        <v>612</v>
      </c>
      <c r="CN41">
        <f t="shared" si="32"/>
        <v>7.12</v>
      </c>
      <c r="CO41" s="7">
        <f t="shared" si="33"/>
        <v>612</v>
      </c>
      <c r="CP41">
        <v>245</v>
      </c>
      <c r="CQ41">
        <v>60</v>
      </c>
      <c r="CR41" t="str">
        <f t="shared" si="34"/>
        <v>245|60</v>
      </c>
      <c r="CT41" s="4"/>
      <c r="CV41" s="8">
        <v>69</v>
      </c>
      <c r="CW41">
        <v>40</v>
      </c>
      <c r="CX41" t="str">
        <f t="shared" si="35"/>
        <v>-12|-12|-12|-12|-12</v>
      </c>
      <c r="CY41">
        <v>4.4</v>
      </c>
      <c r="CZ41">
        <f t="shared" si="70"/>
        <v>5</v>
      </c>
      <c r="DA41">
        <f t="shared" si="36"/>
        <v>-12</v>
      </c>
      <c r="DB41" s="8">
        <f t="shared" si="37"/>
        <v>88</v>
      </c>
      <c r="DC41">
        <v>33.4</v>
      </c>
      <c r="DD41" t="str">
        <f t="shared" si="38"/>
        <v>88|33.4</v>
      </c>
      <c r="DF41">
        <v>40</v>
      </c>
      <c r="DG41">
        <v>790</v>
      </c>
      <c r="DI41" s="8">
        <v>-62</v>
      </c>
      <c r="DJ41" s="8">
        <v>-59</v>
      </c>
      <c r="DK41" s="10"/>
      <c r="DL41" s="10">
        <v>40</v>
      </c>
      <c r="DM41">
        <f t="shared" si="39"/>
        <v>605</v>
      </c>
      <c r="DN41" s="10"/>
      <c r="DO41" s="10">
        <v>7.05</v>
      </c>
      <c r="DP41" s="15">
        <v>-60</v>
      </c>
      <c r="DQ41" s="8">
        <f t="shared" si="40"/>
        <v>705</v>
      </c>
      <c r="DR41" s="8">
        <f t="shared" si="41"/>
        <v>40</v>
      </c>
      <c r="DS41" t="str">
        <f t="shared" si="42"/>
        <v>705|40</v>
      </c>
      <c r="DU41">
        <v>40</v>
      </c>
      <c r="DV41" s="10">
        <f t="shared" si="43"/>
        <v>488</v>
      </c>
      <c r="DW41">
        <f t="shared" si="71"/>
        <v>1</v>
      </c>
      <c r="DX41">
        <v>5.88</v>
      </c>
      <c r="DZ41">
        <f t="shared" si="44"/>
        <v>588</v>
      </c>
      <c r="EB41">
        <v>40</v>
      </c>
      <c r="EC41" s="8">
        <f t="shared" si="45"/>
        <v>1.16666666666667</v>
      </c>
      <c r="ED41">
        <f t="shared" si="72"/>
        <v>6</v>
      </c>
      <c r="EE41">
        <v>6.07</v>
      </c>
      <c r="EF41" s="3" t="str">
        <f t="shared" si="46"/>
        <v>1.16666666666667|1.16666666666667|1.16666666666667|1.16666666666667|1.16666666666667|1.16666666666667</v>
      </c>
      <c r="EG41" s="8">
        <f t="shared" si="47"/>
        <v>101</v>
      </c>
      <c r="EH41" s="3"/>
      <c r="EJ41">
        <v>40</v>
      </c>
      <c r="EK41" s="8">
        <f t="shared" si="48"/>
        <v>-18.3333333333333</v>
      </c>
      <c r="EL41">
        <f t="shared" si="73"/>
        <v>6</v>
      </c>
      <c r="EM41">
        <v>4.9</v>
      </c>
      <c r="EN41" s="3" t="str">
        <f t="shared" si="49"/>
        <v>-18.3333333333333|-18.3333333333333|-18.3333333333333|-18.3333333333333|-18.3333333333333|-18.3333333333333</v>
      </c>
      <c r="EO41" s="8">
        <f t="shared" si="50"/>
        <v>82</v>
      </c>
      <c r="EP41" s="8"/>
      <c r="EQ41" s="8"/>
      <c r="ER41" s="8">
        <f t="shared" si="51"/>
        <v>635</v>
      </c>
      <c r="ES41" s="8">
        <f t="shared" si="74"/>
        <v>1</v>
      </c>
      <c r="ET41">
        <v>7.35</v>
      </c>
      <c r="EU41" s="8"/>
      <c r="EV41" s="8">
        <f t="shared" si="52"/>
        <v>735</v>
      </c>
      <c r="EW41" s="8">
        <f t="shared" si="53"/>
        <v>537</v>
      </c>
      <c r="EX41">
        <v>6.37</v>
      </c>
      <c r="EY41">
        <f t="shared" si="75"/>
        <v>1</v>
      </c>
      <c r="EZ41">
        <v>166.6</v>
      </c>
      <c r="FA41">
        <v>4.41799999999999</v>
      </c>
      <c r="FB41" s="8">
        <f t="shared" si="54"/>
        <v>637</v>
      </c>
      <c r="FC41" t="str">
        <f t="shared" si="55"/>
        <v>537|166.6|4.41799999999999</v>
      </c>
      <c r="FE41">
        <v>40</v>
      </c>
      <c r="FF41" s="8">
        <f t="shared" si="56"/>
        <v>880</v>
      </c>
      <c r="FG41">
        <f t="shared" si="76"/>
        <v>1</v>
      </c>
      <c r="FH41">
        <f t="shared" si="77"/>
        <v>9.8</v>
      </c>
      <c r="FJ41">
        <v>40</v>
      </c>
      <c r="FK41" s="8">
        <f t="shared" si="57"/>
        <v>880</v>
      </c>
      <c r="FL41" s="8" t="str">
        <f t="shared" si="78"/>
        <v>0|40</v>
      </c>
      <c r="FM41">
        <f t="shared" si="79"/>
        <v>1</v>
      </c>
      <c r="FN41">
        <f t="shared" si="80"/>
        <v>9.8</v>
      </c>
      <c r="FP41">
        <v>40</v>
      </c>
      <c r="FQ41" s="8">
        <f t="shared" si="58"/>
        <v>227</v>
      </c>
      <c r="FR41">
        <f t="shared" si="81"/>
        <v>3</v>
      </c>
      <c r="FS41">
        <f t="shared" si="82"/>
        <v>9.8</v>
      </c>
      <c r="FT41" t="str">
        <f t="shared" si="59"/>
        <v>227|227|227</v>
      </c>
    </row>
    <row r="42" spans="7:176">
      <c r="G42">
        <v>41</v>
      </c>
      <c r="H42">
        <f t="shared" si="0"/>
        <v>16</v>
      </c>
      <c r="I42">
        <f t="shared" si="60"/>
        <v>5</v>
      </c>
      <c r="J42">
        <v>5.8</v>
      </c>
      <c r="K42" s="7" t="str">
        <f t="shared" si="1"/>
        <v>16|16|16|16|16</v>
      </c>
      <c r="L42">
        <f t="shared" si="2"/>
        <v>116</v>
      </c>
      <c r="M42" s="7"/>
      <c r="N42" s="7">
        <v>41</v>
      </c>
      <c r="O42">
        <f t="shared" si="3"/>
        <v>86.6666666666666</v>
      </c>
      <c r="P42">
        <f t="shared" si="61"/>
        <v>3</v>
      </c>
      <c r="Q42">
        <v>5.6</v>
      </c>
      <c r="R42" s="7" t="str">
        <f t="shared" si="4"/>
        <v>86.6666666666666|86.6666666666666|86.6666666666666</v>
      </c>
      <c r="S42">
        <f t="shared" si="5"/>
        <v>187</v>
      </c>
      <c r="U42">
        <v>41</v>
      </c>
      <c r="V42">
        <f t="shared" si="6"/>
        <v>7.5</v>
      </c>
      <c r="W42">
        <f t="shared" si="62"/>
        <v>8</v>
      </c>
      <c r="X42">
        <v>8.6</v>
      </c>
      <c r="Y42" s="7" t="str">
        <f t="shared" si="7"/>
        <v>7.5|7.5|7.5|7.5|7.5|7.5|7.5|7.5</v>
      </c>
      <c r="Z42">
        <f t="shared" si="8"/>
        <v>108</v>
      </c>
      <c r="AA42">
        <f t="shared" si="9"/>
        <v>17.2</v>
      </c>
      <c r="AC42">
        <v>41</v>
      </c>
      <c r="AD42">
        <f t="shared" si="10"/>
        <v>615</v>
      </c>
      <c r="AE42">
        <v>1</v>
      </c>
      <c r="AF42">
        <v>7.15</v>
      </c>
      <c r="AH42">
        <f t="shared" si="12"/>
        <v>715</v>
      </c>
      <c r="AJ42">
        <v>41</v>
      </c>
      <c r="AL42">
        <v>5000</v>
      </c>
      <c r="AM42">
        <v>22</v>
      </c>
      <c r="AO42" t="str">
        <f t="shared" si="13"/>
        <v>5000|22</v>
      </c>
      <c r="AR42">
        <v>41</v>
      </c>
      <c r="AS42">
        <f t="shared" si="14"/>
        <v>400</v>
      </c>
      <c r="AT42">
        <f t="shared" si="63"/>
        <v>1</v>
      </c>
      <c r="AU42">
        <v>5</v>
      </c>
      <c r="AV42">
        <f t="shared" si="15"/>
        <v>500</v>
      </c>
      <c r="AW42" s="10"/>
      <c r="AX42" s="10">
        <v>41</v>
      </c>
      <c r="AY42" s="10">
        <f t="shared" si="16"/>
        <v>900</v>
      </c>
      <c r="AZ42" s="10"/>
      <c r="BA42" s="10">
        <v>10</v>
      </c>
      <c r="BB42">
        <f t="shared" si="17"/>
        <v>1000</v>
      </c>
      <c r="BD42">
        <v>4400</v>
      </c>
      <c r="BE42" s="8" t="s">
        <v>65</v>
      </c>
      <c r="BF42" t="str">
        <f t="shared" si="18"/>
        <v>4400|18</v>
      </c>
      <c r="BH42">
        <v>41</v>
      </c>
      <c r="BI42" s="10">
        <f t="shared" si="19"/>
        <v>62.0000000000002</v>
      </c>
      <c r="BJ42">
        <f t="shared" si="64"/>
        <v>5</v>
      </c>
      <c r="BK42">
        <v>8.10000000000001</v>
      </c>
      <c r="BL42" s="3" t="str">
        <f t="shared" si="20"/>
        <v>62.0000000000002|62.0000000000002|62.0000000000002|62.0000000000002|62.0000000000002</v>
      </c>
      <c r="BM42">
        <f t="shared" si="21"/>
        <v>162</v>
      </c>
      <c r="BN42" s="8">
        <f t="shared" si="65"/>
        <v>16.2</v>
      </c>
      <c r="BO42" s="8">
        <f t="shared" si="66"/>
        <v>24.3</v>
      </c>
      <c r="BP42" s="8">
        <f t="shared" si="67"/>
        <v>32.4</v>
      </c>
      <c r="BQ42" s="8">
        <f t="shared" si="68"/>
        <v>40.5</v>
      </c>
      <c r="BR42" s="8">
        <f t="shared" si="69"/>
        <v>48.6</v>
      </c>
      <c r="BT42">
        <v>41</v>
      </c>
      <c r="BU42">
        <f t="shared" si="22"/>
        <v>350</v>
      </c>
      <c r="BW42">
        <v>9</v>
      </c>
      <c r="BX42" s="7" t="str">
        <f t="shared" si="23"/>
        <v>233.333333333333|466.666666666667</v>
      </c>
      <c r="BY42">
        <f t="shared" si="24"/>
        <v>450</v>
      </c>
      <c r="BZ42">
        <f t="shared" si="25"/>
        <v>700</v>
      </c>
      <c r="CA42" s="8">
        <f t="shared" si="26"/>
        <v>233.333333333333</v>
      </c>
      <c r="CB42" s="8">
        <f t="shared" si="27"/>
        <v>466.666666666667</v>
      </c>
      <c r="CD42">
        <v>41</v>
      </c>
      <c r="CE42" s="8">
        <f t="shared" si="28"/>
        <v>400</v>
      </c>
      <c r="CG42">
        <v>5</v>
      </c>
      <c r="CH42" s="7">
        <f t="shared" si="29"/>
        <v>400</v>
      </c>
      <c r="CI42">
        <f t="shared" si="30"/>
        <v>500</v>
      </c>
      <c r="CK42">
        <v>41</v>
      </c>
      <c r="CL42">
        <f t="shared" si="31"/>
        <v>620</v>
      </c>
      <c r="CN42">
        <f t="shared" si="32"/>
        <v>7.2</v>
      </c>
      <c r="CO42" s="7">
        <f t="shared" si="33"/>
        <v>620</v>
      </c>
      <c r="CP42">
        <v>250</v>
      </c>
      <c r="CQ42">
        <v>59</v>
      </c>
      <c r="CR42" t="str">
        <f t="shared" si="34"/>
        <v>250|59</v>
      </c>
      <c r="CT42" s="4"/>
      <c r="CV42" s="8">
        <v>70</v>
      </c>
      <c r="CW42">
        <v>41</v>
      </c>
      <c r="CX42" t="str">
        <f t="shared" si="35"/>
        <v>-10|-10|-10|-10|-10</v>
      </c>
      <c r="CY42">
        <v>4.5</v>
      </c>
      <c r="CZ42">
        <f t="shared" si="70"/>
        <v>5</v>
      </c>
      <c r="DA42">
        <f t="shared" si="36"/>
        <v>-10</v>
      </c>
      <c r="DB42" s="8">
        <f t="shared" si="37"/>
        <v>90</v>
      </c>
      <c r="DC42">
        <v>34</v>
      </c>
      <c r="DD42" t="str">
        <f t="shared" si="38"/>
        <v>90|34</v>
      </c>
      <c r="DF42">
        <v>41</v>
      </c>
      <c r="DG42">
        <v>800</v>
      </c>
      <c r="DI42" s="8">
        <v>-60</v>
      </c>
      <c r="DJ42" s="8">
        <v>-59</v>
      </c>
      <c r="DK42" s="10"/>
      <c r="DL42" s="10">
        <v>41</v>
      </c>
      <c r="DM42">
        <f t="shared" si="39"/>
        <v>620.000000000001</v>
      </c>
      <c r="DN42" s="10"/>
      <c r="DO42" s="10">
        <v>7.20000000000001</v>
      </c>
      <c r="DP42" s="15">
        <v>-59</v>
      </c>
      <c r="DQ42" s="8">
        <f t="shared" si="40"/>
        <v>720</v>
      </c>
      <c r="DR42" s="8">
        <f t="shared" si="41"/>
        <v>41</v>
      </c>
      <c r="DS42" t="str">
        <f t="shared" si="42"/>
        <v>720|41</v>
      </c>
      <c r="DU42">
        <v>41</v>
      </c>
      <c r="DV42" s="10">
        <f t="shared" si="43"/>
        <v>500</v>
      </c>
      <c r="DW42">
        <f t="shared" si="71"/>
        <v>1</v>
      </c>
      <c r="DX42">
        <v>6</v>
      </c>
      <c r="DZ42">
        <f t="shared" si="44"/>
        <v>600</v>
      </c>
      <c r="EB42">
        <v>41</v>
      </c>
      <c r="EC42" s="8">
        <f t="shared" si="45"/>
        <v>3.33333333333334</v>
      </c>
      <c r="ED42">
        <f t="shared" si="72"/>
        <v>6</v>
      </c>
      <c r="EE42">
        <v>6.2</v>
      </c>
      <c r="EF42" s="3" t="str">
        <f t="shared" si="46"/>
        <v>3.33333333333334|3.33333333333334|3.33333333333334|3.33333333333334|3.33333333333334|3.33333333333334</v>
      </c>
      <c r="EG42" s="8">
        <f t="shared" si="47"/>
        <v>103</v>
      </c>
      <c r="EH42" s="3"/>
      <c r="EJ42">
        <v>41</v>
      </c>
      <c r="EK42" s="8">
        <f t="shared" si="48"/>
        <v>-16.6666666666667</v>
      </c>
      <c r="EL42">
        <f t="shared" si="73"/>
        <v>6</v>
      </c>
      <c r="EM42">
        <v>5</v>
      </c>
      <c r="EN42" s="3" t="str">
        <f t="shared" si="49"/>
        <v>-16.6666666666667|-16.6666666666667|-16.6666666666667|-16.6666666666667|-16.6666666666667|-16.6666666666667</v>
      </c>
      <c r="EO42" s="8">
        <f t="shared" si="50"/>
        <v>83</v>
      </c>
      <c r="EP42" s="8"/>
      <c r="EQ42" s="8"/>
      <c r="ER42" s="8">
        <f t="shared" si="51"/>
        <v>650</v>
      </c>
      <c r="ES42" s="8">
        <f t="shared" si="74"/>
        <v>1</v>
      </c>
      <c r="ET42">
        <v>7.5</v>
      </c>
      <c r="EU42" s="8"/>
      <c r="EV42" s="8">
        <f t="shared" si="52"/>
        <v>750</v>
      </c>
      <c r="EW42" s="8">
        <f t="shared" si="53"/>
        <v>550</v>
      </c>
      <c r="EX42">
        <v>6.5</v>
      </c>
      <c r="EY42">
        <f t="shared" si="75"/>
        <v>1</v>
      </c>
      <c r="EZ42">
        <v>170</v>
      </c>
      <c r="FA42">
        <v>4.47999999999999</v>
      </c>
      <c r="FB42" s="8">
        <f t="shared" si="54"/>
        <v>650</v>
      </c>
      <c r="FC42" t="str">
        <f t="shared" si="55"/>
        <v>550|170|4.47999999999999</v>
      </c>
      <c r="FE42">
        <v>41</v>
      </c>
      <c r="FF42" s="8">
        <f t="shared" si="56"/>
        <v>900</v>
      </c>
      <c r="FG42">
        <f t="shared" si="76"/>
        <v>1</v>
      </c>
      <c r="FH42">
        <f t="shared" si="77"/>
        <v>10</v>
      </c>
      <c r="FJ42">
        <v>41</v>
      </c>
      <c r="FK42" s="8">
        <f t="shared" si="57"/>
        <v>900</v>
      </c>
      <c r="FL42" s="8" t="str">
        <f t="shared" si="78"/>
        <v>0|40</v>
      </c>
      <c r="FM42">
        <f t="shared" si="79"/>
        <v>1</v>
      </c>
      <c r="FN42">
        <f t="shared" si="80"/>
        <v>10</v>
      </c>
      <c r="FP42">
        <v>41</v>
      </c>
      <c r="FQ42" s="8">
        <f t="shared" si="58"/>
        <v>233</v>
      </c>
      <c r="FR42">
        <f t="shared" si="81"/>
        <v>3</v>
      </c>
      <c r="FS42">
        <f t="shared" si="82"/>
        <v>10</v>
      </c>
      <c r="FT42" t="str">
        <f t="shared" si="59"/>
        <v>233|233|233</v>
      </c>
    </row>
    <row r="43" spans="7:176">
      <c r="G43">
        <v>42</v>
      </c>
      <c r="H43">
        <f t="shared" si="0"/>
        <v>18.4</v>
      </c>
      <c r="I43">
        <f t="shared" si="60"/>
        <v>5</v>
      </c>
      <c r="J43">
        <v>5.92</v>
      </c>
      <c r="K43" s="7" t="str">
        <f t="shared" si="1"/>
        <v>18.4|18.4|18.4|18.4|18.4</v>
      </c>
      <c r="L43">
        <f t="shared" si="2"/>
        <v>118</v>
      </c>
      <c r="M43" s="7"/>
      <c r="N43" s="7">
        <v>42</v>
      </c>
      <c r="O43">
        <f t="shared" si="3"/>
        <v>90.3333333333333</v>
      </c>
      <c r="P43">
        <f t="shared" si="61"/>
        <v>3</v>
      </c>
      <c r="Q43">
        <v>5.71</v>
      </c>
      <c r="R43" s="7" t="str">
        <f t="shared" si="4"/>
        <v>90.3333333333333|90.3333333333333|90.3333333333333</v>
      </c>
      <c r="S43">
        <f t="shared" si="5"/>
        <v>190</v>
      </c>
      <c r="U43">
        <v>42</v>
      </c>
      <c r="V43">
        <f t="shared" si="6"/>
        <v>9.87499999999999</v>
      </c>
      <c r="W43">
        <f t="shared" si="62"/>
        <v>8</v>
      </c>
      <c r="X43">
        <v>8.79</v>
      </c>
      <c r="Y43" s="7" t="str">
        <f t="shared" si="7"/>
        <v>9.87499999999999|9.87499999999999|9.87499999999999|9.87499999999999|9.87499999999999|9.87499999999999|9.87499999999999|9.87499999999999</v>
      </c>
      <c r="Z43">
        <f t="shared" si="8"/>
        <v>110</v>
      </c>
      <c r="AA43">
        <f t="shared" si="9"/>
        <v>18.58</v>
      </c>
      <c r="AC43">
        <v>42</v>
      </c>
      <c r="AD43">
        <f t="shared" si="10"/>
        <v>629</v>
      </c>
      <c r="AE43">
        <v>1</v>
      </c>
      <c r="AF43">
        <v>7.29</v>
      </c>
      <c r="AH43">
        <f t="shared" si="12"/>
        <v>729</v>
      </c>
      <c r="AJ43">
        <v>42</v>
      </c>
      <c r="AL43">
        <v>5100</v>
      </c>
      <c r="AM43">
        <v>22.5</v>
      </c>
      <c r="AO43" t="str">
        <f t="shared" si="13"/>
        <v>5100|22.5</v>
      </c>
      <c r="AR43">
        <v>42</v>
      </c>
      <c r="AS43">
        <f t="shared" si="14"/>
        <v>410</v>
      </c>
      <c r="AT43">
        <f t="shared" si="63"/>
        <v>1</v>
      </c>
      <c r="AU43">
        <v>5.1</v>
      </c>
      <c r="AV43">
        <f t="shared" si="15"/>
        <v>510</v>
      </c>
      <c r="AW43" s="10"/>
      <c r="AX43" s="10">
        <v>42</v>
      </c>
      <c r="AY43" s="10">
        <f t="shared" si="16"/>
        <v>920</v>
      </c>
      <c r="AZ43" s="10"/>
      <c r="BA43" s="10">
        <v>10.2</v>
      </c>
      <c r="BB43">
        <f t="shared" si="17"/>
        <v>1020</v>
      </c>
      <c r="BD43">
        <v>4500</v>
      </c>
      <c r="BE43" s="8" t="s">
        <v>65</v>
      </c>
      <c r="BF43" t="str">
        <f t="shared" si="18"/>
        <v>4500|18</v>
      </c>
      <c r="BH43">
        <v>42</v>
      </c>
      <c r="BI43" s="10">
        <f t="shared" si="19"/>
        <v>65.2000000000002</v>
      </c>
      <c r="BJ43">
        <f t="shared" si="64"/>
        <v>5</v>
      </c>
      <c r="BK43">
        <v>8.26000000000001</v>
      </c>
      <c r="BL43" s="3" t="str">
        <f t="shared" si="20"/>
        <v>65.2000000000002|65.2000000000002|65.2000000000002|65.2000000000002|65.2000000000002</v>
      </c>
      <c r="BM43">
        <f t="shared" si="21"/>
        <v>165</v>
      </c>
      <c r="BN43" s="8">
        <f t="shared" si="65"/>
        <v>16.5</v>
      </c>
      <c r="BO43" s="8">
        <f t="shared" si="66"/>
        <v>24.75</v>
      </c>
      <c r="BP43" s="8">
        <f t="shared" si="67"/>
        <v>33</v>
      </c>
      <c r="BQ43" s="8">
        <f t="shared" si="68"/>
        <v>41.25</v>
      </c>
      <c r="BR43" s="8">
        <f t="shared" si="69"/>
        <v>49.5</v>
      </c>
      <c r="BT43">
        <v>42</v>
      </c>
      <c r="BU43">
        <f t="shared" si="22"/>
        <v>360</v>
      </c>
      <c r="BW43">
        <v>9.2</v>
      </c>
      <c r="BX43" s="7" t="str">
        <f t="shared" si="23"/>
        <v>240|480</v>
      </c>
      <c r="BY43">
        <f t="shared" si="24"/>
        <v>460</v>
      </c>
      <c r="BZ43">
        <f t="shared" si="25"/>
        <v>720</v>
      </c>
      <c r="CA43" s="8">
        <f t="shared" si="26"/>
        <v>240</v>
      </c>
      <c r="CB43" s="8">
        <f t="shared" si="27"/>
        <v>480</v>
      </c>
      <c r="CD43">
        <v>42</v>
      </c>
      <c r="CE43" s="8">
        <f t="shared" si="28"/>
        <v>410</v>
      </c>
      <c r="CG43">
        <v>5.1</v>
      </c>
      <c r="CH43" s="7">
        <f t="shared" si="29"/>
        <v>410</v>
      </c>
      <c r="CI43">
        <f t="shared" si="30"/>
        <v>510</v>
      </c>
      <c r="CK43">
        <v>42</v>
      </c>
      <c r="CL43">
        <f t="shared" si="31"/>
        <v>628</v>
      </c>
      <c r="CN43">
        <f t="shared" si="32"/>
        <v>7.28</v>
      </c>
      <c r="CO43" s="7">
        <f t="shared" si="33"/>
        <v>628</v>
      </c>
      <c r="CP43">
        <v>255</v>
      </c>
      <c r="CQ43">
        <v>58</v>
      </c>
      <c r="CR43" t="str">
        <f t="shared" si="34"/>
        <v>255|58</v>
      </c>
      <c r="CT43" s="4"/>
      <c r="CV43" s="8">
        <v>72</v>
      </c>
      <c r="CW43">
        <v>42</v>
      </c>
      <c r="CX43" t="str">
        <f t="shared" si="35"/>
        <v>-8.00000000000001|-8.00000000000001|-8.00000000000001|-8.00000000000001|-8.00000000000001</v>
      </c>
      <c r="CY43">
        <v>4.6</v>
      </c>
      <c r="CZ43">
        <f t="shared" si="70"/>
        <v>5</v>
      </c>
      <c r="DA43">
        <f t="shared" si="36"/>
        <v>-8.00000000000001</v>
      </c>
      <c r="DB43" s="8">
        <f t="shared" si="37"/>
        <v>92</v>
      </c>
      <c r="DC43">
        <v>34.6</v>
      </c>
      <c r="DD43" t="str">
        <f t="shared" si="38"/>
        <v>92|34.6</v>
      </c>
      <c r="DF43">
        <v>42</v>
      </c>
      <c r="DG43">
        <v>810</v>
      </c>
      <c r="DI43" s="8">
        <v>-59</v>
      </c>
      <c r="DJ43" s="8">
        <v>-58</v>
      </c>
      <c r="DK43" s="10"/>
      <c r="DL43" s="10">
        <v>42</v>
      </c>
      <c r="DM43">
        <f t="shared" si="39"/>
        <v>635.000000000001</v>
      </c>
      <c r="DN43" s="10"/>
      <c r="DO43" s="10">
        <v>7.35000000000001</v>
      </c>
      <c r="DP43" s="15">
        <v>-58</v>
      </c>
      <c r="DQ43" s="8">
        <f t="shared" si="40"/>
        <v>735</v>
      </c>
      <c r="DR43" s="8">
        <f t="shared" si="41"/>
        <v>42</v>
      </c>
      <c r="DS43" t="str">
        <f t="shared" si="42"/>
        <v>735|42</v>
      </c>
      <c r="DU43">
        <v>42</v>
      </c>
      <c r="DV43" s="10">
        <f t="shared" si="43"/>
        <v>512</v>
      </c>
      <c r="DW43">
        <f t="shared" si="71"/>
        <v>1</v>
      </c>
      <c r="DX43">
        <v>6.12</v>
      </c>
      <c r="DZ43">
        <f t="shared" si="44"/>
        <v>612</v>
      </c>
      <c r="EB43">
        <v>42</v>
      </c>
      <c r="EC43" s="8">
        <f t="shared" si="45"/>
        <v>5.49999999999999</v>
      </c>
      <c r="ED43">
        <f t="shared" si="72"/>
        <v>6</v>
      </c>
      <c r="EE43">
        <v>6.33</v>
      </c>
      <c r="EF43" s="3" t="str">
        <f t="shared" si="46"/>
        <v>5.49999999999999|5.49999999999999|5.49999999999999|5.49999999999999|5.49999999999999|5.49999999999999</v>
      </c>
      <c r="EG43" s="8">
        <f t="shared" si="47"/>
        <v>106</v>
      </c>
      <c r="EH43" s="3"/>
      <c r="EJ43">
        <v>42</v>
      </c>
      <c r="EK43" s="8">
        <f t="shared" si="48"/>
        <v>-15</v>
      </c>
      <c r="EL43">
        <f t="shared" si="73"/>
        <v>6</v>
      </c>
      <c r="EM43">
        <v>5.1</v>
      </c>
      <c r="EN43" s="3" t="str">
        <f t="shared" si="49"/>
        <v>-15|-15|-15|-15|-15|-15</v>
      </c>
      <c r="EO43" s="8">
        <f t="shared" si="50"/>
        <v>85</v>
      </c>
      <c r="EP43" s="8"/>
      <c r="EQ43" s="8"/>
      <c r="ER43" s="8">
        <f t="shared" si="51"/>
        <v>665</v>
      </c>
      <c r="ES43" s="8">
        <f t="shared" si="74"/>
        <v>1</v>
      </c>
      <c r="ET43">
        <v>7.65</v>
      </c>
      <c r="EU43" s="8"/>
      <c r="EV43" s="8">
        <f t="shared" si="52"/>
        <v>765</v>
      </c>
      <c r="EW43" s="8">
        <f t="shared" si="53"/>
        <v>563</v>
      </c>
      <c r="EX43">
        <v>6.63</v>
      </c>
      <c r="EY43">
        <f t="shared" si="75"/>
        <v>1</v>
      </c>
      <c r="EZ43">
        <v>173.4</v>
      </c>
      <c r="FA43">
        <v>4.54199999999999</v>
      </c>
      <c r="FB43" s="8">
        <f t="shared" si="54"/>
        <v>663</v>
      </c>
      <c r="FC43" t="str">
        <f t="shared" si="55"/>
        <v>563|173.4|4.54199999999999</v>
      </c>
      <c r="FE43">
        <v>42</v>
      </c>
      <c r="FF43" s="8">
        <f t="shared" si="56"/>
        <v>920</v>
      </c>
      <c r="FG43">
        <f t="shared" si="76"/>
        <v>1</v>
      </c>
      <c r="FH43">
        <f t="shared" si="77"/>
        <v>10.2</v>
      </c>
      <c r="FJ43">
        <v>42</v>
      </c>
      <c r="FK43" s="8">
        <f t="shared" si="57"/>
        <v>920</v>
      </c>
      <c r="FL43" s="8" t="str">
        <f t="shared" si="78"/>
        <v>0|40</v>
      </c>
      <c r="FM43">
        <f t="shared" si="79"/>
        <v>1</v>
      </c>
      <c r="FN43">
        <f t="shared" si="80"/>
        <v>10.2</v>
      </c>
      <c r="FP43">
        <v>42</v>
      </c>
      <c r="FQ43" s="8">
        <f t="shared" si="58"/>
        <v>240</v>
      </c>
      <c r="FR43">
        <f t="shared" si="81"/>
        <v>3</v>
      </c>
      <c r="FS43">
        <f t="shared" si="82"/>
        <v>10.2</v>
      </c>
      <c r="FT43" t="str">
        <f t="shared" si="59"/>
        <v>240|240|240</v>
      </c>
    </row>
    <row r="44" spans="7:176">
      <c r="G44">
        <v>43</v>
      </c>
      <c r="H44">
        <f t="shared" si="0"/>
        <v>20.8</v>
      </c>
      <c r="I44">
        <f t="shared" si="60"/>
        <v>5</v>
      </c>
      <c r="J44">
        <v>6.04</v>
      </c>
      <c r="K44" s="7" t="str">
        <f t="shared" si="1"/>
        <v>20.8|20.8|20.8|20.8|20.8</v>
      </c>
      <c r="L44">
        <f t="shared" si="2"/>
        <v>121</v>
      </c>
      <c r="M44" s="7"/>
      <c r="N44" s="7">
        <v>43</v>
      </c>
      <c r="O44">
        <f t="shared" si="3"/>
        <v>94</v>
      </c>
      <c r="P44">
        <f t="shared" si="61"/>
        <v>3</v>
      </c>
      <c r="Q44">
        <v>5.82</v>
      </c>
      <c r="R44" s="7" t="str">
        <f t="shared" si="4"/>
        <v>94|94|94</v>
      </c>
      <c r="S44">
        <f t="shared" si="5"/>
        <v>194</v>
      </c>
      <c r="U44">
        <v>43</v>
      </c>
      <c r="V44">
        <f t="shared" si="6"/>
        <v>12.25</v>
      </c>
      <c r="W44">
        <f t="shared" si="62"/>
        <v>8</v>
      </c>
      <c r="X44">
        <v>8.98</v>
      </c>
      <c r="Y44" s="7" t="str">
        <f t="shared" si="7"/>
        <v>12.25|12.25|12.25|12.25|12.25|12.25|12.25|12.25</v>
      </c>
      <c r="Z44">
        <f t="shared" si="8"/>
        <v>112</v>
      </c>
      <c r="AA44">
        <f t="shared" si="9"/>
        <v>19.96</v>
      </c>
      <c r="AC44">
        <v>43</v>
      </c>
      <c r="AD44">
        <f t="shared" si="10"/>
        <v>643</v>
      </c>
      <c r="AE44">
        <v>1</v>
      </c>
      <c r="AF44">
        <v>7.43</v>
      </c>
      <c r="AH44">
        <f t="shared" si="12"/>
        <v>743</v>
      </c>
      <c r="AJ44">
        <v>43</v>
      </c>
      <c r="AL44">
        <v>5200</v>
      </c>
      <c r="AM44">
        <v>23</v>
      </c>
      <c r="AO44" t="str">
        <f t="shared" si="13"/>
        <v>5200|23</v>
      </c>
      <c r="AR44">
        <v>43</v>
      </c>
      <c r="AS44">
        <f t="shared" si="14"/>
        <v>420</v>
      </c>
      <c r="AT44">
        <f t="shared" si="63"/>
        <v>1</v>
      </c>
      <c r="AU44">
        <v>5.2</v>
      </c>
      <c r="AV44">
        <f t="shared" si="15"/>
        <v>520</v>
      </c>
      <c r="AW44" s="10"/>
      <c r="AX44" s="10">
        <v>43</v>
      </c>
      <c r="AY44" s="10">
        <f t="shared" si="16"/>
        <v>940</v>
      </c>
      <c r="AZ44" s="10"/>
      <c r="BA44" s="10">
        <v>10.4</v>
      </c>
      <c r="BB44">
        <f t="shared" si="17"/>
        <v>1040</v>
      </c>
      <c r="BD44">
        <v>4600</v>
      </c>
      <c r="BE44" s="8" t="s">
        <v>65</v>
      </c>
      <c r="BF44" t="str">
        <f t="shared" si="18"/>
        <v>4600|18</v>
      </c>
      <c r="BH44">
        <v>43</v>
      </c>
      <c r="BI44" s="10">
        <f t="shared" si="19"/>
        <v>68.4000000000002</v>
      </c>
      <c r="BJ44">
        <f t="shared" si="64"/>
        <v>5</v>
      </c>
      <c r="BK44">
        <v>8.42000000000001</v>
      </c>
      <c r="BL44" s="3" t="str">
        <f t="shared" si="20"/>
        <v>68.4000000000002|68.4000000000002|68.4000000000002|68.4000000000002|68.4000000000002</v>
      </c>
      <c r="BM44">
        <f t="shared" si="21"/>
        <v>168</v>
      </c>
      <c r="BN44" s="8">
        <f t="shared" si="65"/>
        <v>16.8</v>
      </c>
      <c r="BO44" s="8">
        <f t="shared" si="66"/>
        <v>25.2</v>
      </c>
      <c r="BP44" s="8">
        <f t="shared" si="67"/>
        <v>33.6</v>
      </c>
      <c r="BQ44" s="8">
        <f t="shared" si="68"/>
        <v>42</v>
      </c>
      <c r="BR44" s="8">
        <f t="shared" si="69"/>
        <v>50.4</v>
      </c>
      <c r="BT44">
        <v>43</v>
      </c>
      <c r="BU44">
        <f t="shared" si="22"/>
        <v>370</v>
      </c>
      <c r="BW44">
        <v>9.4</v>
      </c>
      <c r="BX44" s="7" t="str">
        <f t="shared" si="23"/>
        <v>246.666666666667|493.333333333333</v>
      </c>
      <c r="BY44">
        <f t="shared" si="24"/>
        <v>470</v>
      </c>
      <c r="BZ44">
        <f t="shared" si="25"/>
        <v>740</v>
      </c>
      <c r="CA44" s="8">
        <f t="shared" si="26"/>
        <v>246.666666666667</v>
      </c>
      <c r="CB44" s="8">
        <f t="shared" si="27"/>
        <v>493.333333333333</v>
      </c>
      <c r="CD44">
        <v>43</v>
      </c>
      <c r="CE44" s="8">
        <f t="shared" si="28"/>
        <v>420</v>
      </c>
      <c r="CG44">
        <v>5.2</v>
      </c>
      <c r="CH44" s="7">
        <f t="shared" si="29"/>
        <v>420</v>
      </c>
      <c r="CI44">
        <f t="shared" si="30"/>
        <v>520</v>
      </c>
      <c r="CK44">
        <v>43</v>
      </c>
      <c r="CL44">
        <f t="shared" si="31"/>
        <v>636</v>
      </c>
      <c r="CN44">
        <f t="shared" si="32"/>
        <v>7.36</v>
      </c>
      <c r="CO44" s="7">
        <f t="shared" si="33"/>
        <v>636</v>
      </c>
      <c r="CP44">
        <v>260</v>
      </c>
      <c r="CQ44">
        <v>57</v>
      </c>
      <c r="CR44" t="str">
        <f t="shared" si="34"/>
        <v>260|57</v>
      </c>
      <c r="CT44" s="4"/>
      <c r="CV44" s="8">
        <v>73</v>
      </c>
      <c r="CW44">
        <v>43</v>
      </c>
      <c r="CX44" t="str">
        <f t="shared" si="35"/>
        <v>-5.99999999999999|-5.99999999999999|-5.99999999999999|-5.99999999999999|-5.99999999999999</v>
      </c>
      <c r="CY44">
        <v>4.7</v>
      </c>
      <c r="CZ44">
        <f t="shared" si="70"/>
        <v>5</v>
      </c>
      <c r="DA44">
        <f t="shared" si="36"/>
        <v>-5.99999999999999</v>
      </c>
      <c r="DB44" s="8">
        <f t="shared" si="37"/>
        <v>94</v>
      </c>
      <c r="DC44">
        <v>35.2</v>
      </c>
      <c r="DD44" t="str">
        <f t="shared" si="38"/>
        <v>94|35.2</v>
      </c>
      <c r="DF44">
        <v>43</v>
      </c>
      <c r="DG44">
        <v>820</v>
      </c>
      <c r="DI44" s="8">
        <v>-59</v>
      </c>
      <c r="DJ44" s="8">
        <v>-58</v>
      </c>
      <c r="DK44" s="10"/>
      <c r="DL44" s="10">
        <v>43</v>
      </c>
      <c r="DM44">
        <f t="shared" si="39"/>
        <v>650.000000000001</v>
      </c>
      <c r="DN44" s="10"/>
      <c r="DO44" s="10">
        <v>7.50000000000001</v>
      </c>
      <c r="DP44" s="15">
        <v>-57</v>
      </c>
      <c r="DQ44" s="8">
        <f t="shared" si="40"/>
        <v>750</v>
      </c>
      <c r="DR44" s="8">
        <f t="shared" si="41"/>
        <v>43</v>
      </c>
      <c r="DS44" t="str">
        <f t="shared" si="42"/>
        <v>750|43</v>
      </c>
      <c r="DU44">
        <v>43</v>
      </c>
      <c r="DV44" s="10">
        <f t="shared" si="43"/>
        <v>524</v>
      </c>
      <c r="DW44">
        <f t="shared" si="71"/>
        <v>1</v>
      </c>
      <c r="DX44">
        <v>6.24</v>
      </c>
      <c r="DZ44">
        <f t="shared" si="44"/>
        <v>624</v>
      </c>
      <c r="EB44">
        <v>43</v>
      </c>
      <c r="EC44" s="8">
        <f t="shared" si="45"/>
        <v>7.66666666666667</v>
      </c>
      <c r="ED44">
        <f t="shared" si="72"/>
        <v>6</v>
      </c>
      <c r="EE44">
        <v>6.46</v>
      </c>
      <c r="EF44" s="3" t="str">
        <f t="shared" si="46"/>
        <v>7.66666666666667|7.66666666666667|7.66666666666667|7.66666666666667|7.66666666666667|7.66666666666667</v>
      </c>
      <c r="EG44" s="8">
        <f t="shared" si="47"/>
        <v>108</v>
      </c>
      <c r="EH44" s="3"/>
      <c r="EJ44">
        <v>43</v>
      </c>
      <c r="EK44" s="8">
        <f t="shared" si="48"/>
        <v>-13.3333333333333</v>
      </c>
      <c r="EL44">
        <f t="shared" si="73"/>
        <v>6</v>
      </c>
      <c r="EM44">
        <v>5.2</v>
      </c>
      <c r="EN44" s="3" t="str">
        <f t="shared" si="49"/>
        <v>-13.3333333333333|-13.3333333333333|-13.3333333333333|-13.3333333333333|-13.3333333333333|-13.3333333333333</v>
      </c>
      <c r="EO44" s="8">
        <f t="shared" si="50"/>
        <v>87</v>
      </c>
      <c r="EP44" s="8"/>
      <c r="EQ44" s="8"/>
      <c r="ER44" s="8">
        <f t="shared" si="51"/>
        <v>680</v>
      </c>
      <c r="ES44" s="8">
        <f t="shared" si="74"/>
        <v>1</v>
      </c>
      <c r="ET44">
        <v>7.8</v>
      </c>
      <c r="EU44" s="8"/>
      <c r="EV44" s="8">
        <f t="shared" si="52"/>
        <v>780</v>
      </c>
      <c r="EW44" s="8">
        <f t="shared" si="53"/>
        <v>576</v>
      </c>
      <c r="EX44">
        <v>6.76</v>
      </c>
      <c r="EY44">
        <f t="shared" si="75"/>
        <v>1</v>
      </c>
      <c r="EZ44">
        <v>176.8</v>
      </c>
      <c r="FA44">
        <v>4.60399999999999</v>
      </c>
      <c r="FB44" s="8">
        <f t="shared" si="54"/>
        <v>676</v>
      </c>
      <c r="FC44" t="str">
        <f t="shared" si="55"/>
        <v>576|176.8|4.60399999999999</v>
      </c>
      <c r="FE44">
        <v>43</v>
      </c>
      <c r="FF44" s="8">
        <f t="shared" si="56"/>
        <v>940</v>
      </c>
      <c r="FG44">
        <f t="shared" si="76"/>
        <v>1</v>
      </c>
      <c r="FH44">
        <f t="shared" si="77"/>
        <v>10.4</v>
      </c>
      <c r="FJ44">
        <v>43</v>
      </c>
      <c r="FK44" s="8">
        <f t="shared" si="57"/>
        <v>940</v>
      </c>
      <c r="FL44" s="8" t="str">
        <f t="shared" si="78"/>
        <v>0|40</v>
      </c>
      <c r="FM44">
        <f t="shared" si="79"/>
        <v>1</v>
      </c>
      <c r="FN44">
        <f t="shared" si="80"/>
        <v>10.4</v>
      </c>
      <c r="FP44">
        <v>43</v>
      </c>
      <c r="FQ44" s="8">
        <f t="shared" si="58"/>
        <v>247</v>
      </c>
      <c r="FR44">
        <f t="shared" si="81"/>
        <v>3</v>
      </c>
      <c r="FS44">
        <f t="shared" si="82"/>
        <v>10.4</v>
      </c>
      <c r="FT44" t="str">
        <f t="shared" si="59"/>
        <v>247|247|247</v>
      </c>
    </row>
    <row r="45" spans="7:176">
      <c r="G45">
        <v>44</v>
      </c>
      <c r="H45">
        <f t="shared" si="0"/>
        <v>23.2</v>
      </c>
      <c r="I45">
        <f t="shared" si="60"/>
        <v>5</v>
      </c>
      <c r="J45">
        <v>6.16</v>
      </c>
      <c r="K45" s="7" t="str">
        <f t="shared" si="1"/>
        <v>23.2|23.2|23.2|23.2|23.2</v>
      </c>
      <c r="L45">
        <f t="shared" si="2"/>
        <v>123</v>
      </c>
      <c r="M45" s="7"/>
      <c r="N45" s="7">
        <v>44</v>
      </c>
      <c r="O45">
        <f t="shared" si="3"/>
        <v>97.6666666666667</v>
      </c>
      <c r="P45">
        <f t="shared" si="61"/>
        <v>3</v>
      </c>
      <c r="Q45">
        <v>5.93</v>
      </c>
      <c r="R45" s="7" t="str">
        <f t="shared" si="4"/>
        <v>97.6666666666667|97.6666666666667|97.6666666666667</v>
      </c>
      <c r="S45">
        <f t="shared" si="5"/>
        <v>198</v>
      </c>
      <c r="U45">
        <v>44</v>
      </c>
      <c r="V45">
        <f t="shared" si="6"/>
        <v>14.625</v>
      </c>
      <c r="W45">
        <f t="shared" si="62"/>
        <v>8</v>
      </c>
      <c r="X45">
        <v>9.17</v>
      </c>
      <c r="Y45" s="7" t="str">
        <f t="shared" si="7"/>
        <v>14.625|14.625|14.625|14.625|14.625|14.625|14.625|14.625</v>
      </c>
      <c r="Z45">
        <f t="shared" si="8"/>
        <v>115</v>
      </c>
      <c r="AA45">
        <f t="shared" si="9"/>
        <v>21.34</v>
      </c>
      <c r="AC45">
        <v>44</v>
      </c>
      <c r="AD45">
        <f t="shared" si="10"/>
        <v>657</v>
      </c>
      <c r="AE45">
        <v>1</v>
      </c>
      <c r="AF45">
        <v>7.57</v>
      </c>
      <c r="AH45">
        <f t="shared" si="12"/>
        <v>757</v>
      </c>
      <c r="AJ45">
        <v>44</v>
      </c>
      <c r="AL45">
        <v>5300</v>
      </c>
      <c r="AM45">
        <v>23.5</v>
      </c>
      <c r="AO45" t="str">
        <f t="shared" si="13"/>
        <v>5300|23.5</v>
      </c>
      <c r="AR45">
        <v>44</v>
      </c>
      <c r="AS45">
        <f t="shared" si="14"/>
        <v>430</v>
      </c>
      <c r="AT45">
        <f t="shared" si="63"/>
        <v>1</v>
      </c>
      <c r="AU45">
        <v>5.3</v>
      </c>
      <c r="AV45">
        <f t="shared" si="15"/>
        <v>530</v>
      </c>
      <c r="AW45" s="10"/>
      <c r="AX45" s="10">
        <v>44</v>
      </c>
      <c r="AY45" s="10">
        <f t="shared" si="16"/>
        <v>960</v>
      </c>
      <c r="AZ45" s="10"/>
      <c r="BA45" s="10">
        <v>10.6</v>
      </c>
      <c r="BB45">
        <f t="shared" si="17"/>
        <v>1060</v>
      </c>
      <c r="BD45">
        <v>4700</v>
      </c>
      <c r="BE45" s="8" t="s">
        <v>65</v>
      </c>
      <c r="BF45" t="str">
        <f t="shared" si="18"/>
        <v>4700|18</v>
      </c>
      <c r="BH45">
        <v>44</v>
      </c>
      <c r="BI45" s="10">
        <f t="shared" si="19"/>
        <v>71.6000000000002</v>
      </c>
      <c r="BJ45">
        <f t="shared" si="64"/>
        <v>5</v>
      </c>
      <c r="BK45">
        <v>8.58000000000001</v>
      </c>
      <c r="BL45" s="3" t="str">
        <f t="shared" si="20"/>
        <v>71.6000000000002|71.6000000000002|71.6000000000002|71.6000000000002|71.6000000000002</v>
      </c>
      <c r="BM45">
        <f t="shared" si="21"/>
        <v>172</v>
      </c>
      <c r="BN45" s="8">
        <f t="shared" si="65"/>
        <v>17.2</v>
      </c>
      <c r="BO45" s="8">
        <f t="shared" si="66"/>
        <v>25.8</v>
      </c>
      <c r="BP45" s="8">
        <f t="shared" si="67"/>
        <v>34.4</v>
      </c>
      <c r="BQ45" s="8">
        <f t="shared" si="68"/>
        <v>43</v>
      </c>
      <c r="BR45" s="8">
        <f t="shared" si="69"/>
        <v>51.6</v>
      </c>
      <c r="BT45">
        <v>44</v>
      </c>
      <c r="BU45">
        <f t="shared" si="22"/>
        <v>380</v>
      </c>
      <c r="BW45">
        <v>9.6</v>
      </c>
      <c r="BX45" s="7" t="str">
        <f t="shared" si="23"/>
        <v>253.333333333333|506.666666666667</v>
      </c>
      <c r="BY45">
        <f t="shared" si="24"/>
        <v>480</v>
      </c>
      <c r="BZ45">
        <f t="shared" si="25"/>
        <v>760</v>
      </c>
      <c r="CA45" s="8">
        <f t="shared" si="26"/>
        <v>253.333333333333</v>
      </c>
      <c r="CB45" s="8">
        <f t="shared" si="27"/>
        <v>506.666666666667</v>
      </c>
      <c r="CD45">
        <v>44</v>
      </c>
      <c r="CE45" s="8">
        <f t="shared" si="28"/>
        <v>430</v>
      </c>
      <c r="CG45">
        <v>5.3</v>
      </c>
      <c r="CH45" s="7">
        <f t="shared" si="29"/>
        <v>430</v>
      </c>
      <c r="CI45">
        <f t="shared" si="30"/>
        <v>530</v>
      </c>
      <c r="CK45">
        <v>44</v>
      </c>
      <c r="CL45">
        <f t="shared" si="31"/>
        <v>644</v>
      </c>
      <c r="CN45">
        <f t="shared" si="32"/>
        <v>7.44</v>
      </c>
      <c r="CO45" s="7">
        <f t="shared" si="33"/>
        <v>644</v>
      </c>
      <c r="CP45">
        <v>265</v>
      </c>
      <c r="CQ45">
        <v>56</v>
      </c>
      <c r="CR45" t="str">
        <f t="shared" si="34"/>
        <v>265|56</v>
      </c>
      <c r="CT45" s="4"/>
      <c r="CV45" s="8">
        <v>75</v>
      </c>
      <c r="CW45">
        <v>44</v>
      </c>
      <c r="CX45" t="str">
        <f t="shared" si="35"/>
        <v>-4|-4|-4|-4|-4</v>
      </c>
      <c r="CY45">
        <v>4.8</v>
      </c>
      <c r="CZ45">
        <f t="shared" si="70"/>
        <v>5</v>
      </c>
      <c r="DA45">
        <f t="shared" si="36"/>
        <v>-4</v>
      </c>
      <c r="DB45" s="8">
        <f t="shared" si="37"/>
        <v>96</v>
      </c>
      <c r="DC45">
        <v>35.8</v>
      </c>
      <c r="DD45" t="str">
        <f t="shared" si="38"/>
        <v>96|35.8</v>
      </c>
      <c r="DF45">
        <v>44</v>
      </c>
      <c r="DG45">
        <v>830</v>
      </c>
      <c r="DI45" s="8">
        <v>-57</v>
      </c>
      <c r="DJ45" s="8">
        <v>-55</v>
      </c>
      <c r="DK45" s="10"/>
      <c r="DL45" s="10">
        <v>44</v>
      </c>
      <c r="DM45">
        <f t="shared" si="39"/>
        <v>665.000000000001</v>
      </c>
      <c r="DN45" s="10"/>
      <c r="DO45" s="10">
        <v>7.65000000000001</v>
      </c>
      <c r="DP45" s="15">
        <v>-56</v>
      </c>
      <c r="DQ45" s="8">
        <f t="shared" si="40"/>
        <v>765</v>
      </c>
      <c r="DR45" s="8">
        <f t="shared" si="41"/>
        <v>44</v>
      </c>
      <c r="DS45" t="str">
        <f t="shared" si="42"/>
        <v>765|44</v>
      </c>
      <c r="DU45">
        <v>44</v>
      </c>
      <c r="DV45" s="10">
        <f t="shared" si="43"/>
        <v>536</v>
      </c>
      <c r="DW45">
        <f t="shared" si="71"/>
        <v>1</v>
      </c>
      <c r="DX45">
        <v>6.36</v>
      </c>
      <c r="DZ45">
        <f t="shared" si="44"/>
        <v>636</v>
      </c>
      <c r="EB45">
        <v>44</v>
      </c>
      <c r="EC45" s="8">
        <f t="shared" si="45"/>
        <v>9.83333333333334</v>
      </c>
      <c r="ED45">
        <f t="shared" si="72"/>
        <v>6</v>
      </c>
      <c r="EE45">
        <v>6.59</v>
      </c>
      <c r="EF45" s="3" t="str">
        <f t="shared" si="46"/>
        <v>9.83333333333334|9.83333333333334|9.83333333333334|9.83333333333334|9.83333333333334|9.83333333333334</v>
      </c>
      <c r="EG45" s="8">
        <f t="shared" si="47"/>
        <v>110</v>
      </c>
      <c r="EH45" s="3"/>
      <c r="EJ45">
        <v>44</v>
      </c>
      <c r="EK45" s="8">
        <f t="shared" si="48"/>
        <v>-11.6666666666667</v>
      </c>
      <c r="EL45">
        <f t="shared" si="73"/>
        <v>6</v>
      </c>
      <c r="EM45">
        <v>5.3</v>
      </c>
      <c r="EN45" s="3" t="str">
        <f t="shared" si="49"/>
        <v>-11.6666666666667|-11.6666666666667|-11.6666666666667|-11.6666666666667|-11.6666666666667|-11.6666666666667</v>
      </c>
      <c r="EO45" s="8">
        <f t="shared" si="50"/>
        <v>88</v>
      </c>
      <c r="EP45" s="8"/>
      <c r="EQ45" s="8"/>
      <c r="ER45" s="8">
        <f t="shared" si="51"/>
        <v>695</v>
      </c>
      <c r="ES45" s="8">
        <f t="shared" si="74"/>
        <v>1</v>
      </c>
      <c r="ET45">
        <v>7.95</v>
      </c>
      <c r="EU45" s="8"/>
      <c r="EV45" s="8">
        <f t="shared" si="52"/>
        <v>795</v>
      </c>
      <c r="EW45" s="8">
        <f t="shared" si="53"/>
        <v>589</v>
      </c>
      <c r="EX45">
        <v>6.89</v>
      </c>
      <c r="EY45">
        <f t="shared" si="75"/>
        <v>1</v>
      </c>
      <c r="EZ45">
        <v>180.2</v>
      </c>
      <c r="FA45">
        <v>4.66599999999999</v>
      </c>
      <c r="FB45" s="8">
        <f t="shared" si="54"/>
        <v>689</v>
      </c>
      <c r="FC45" t="str">
        <f t="shared" si="55"/>
        <v>589|180.2|4.66599999999999</v>
      </c>
      <c r="FE45">
        <v>44</v>
      </c>
      <c r="FF45" s="8">
        <f t="shared" si="56"/>
        <v>960</v>
      </c>
      <c r="FG45">
        <f t="shared" si="76"/>
        <v>1</v>
      </c>
      <c r="FH45">
        <f t="shared" si="77"/>
        <v>10.6</v>
      </c>
      <c r="FJ45">
        <v>44</v>
      </c>
      <c r="FK45" s="8">
        <f t="shared" si="57"/>
        <v>960</v>
      </c>
      <c r="FL45" s="8" t="str">
        <f t="shared" si="78"/>
        <v>0|40</v>
      </c>
      <c r="FM45">
        <f t="shared" si="79"/>
        <v>1</v>
      </c>
      <c r="FN45">
        <f t="shared" si="80"/>
        <v>10.6</v>
      </c>
      <c r="FP45">
        <v>44</v>
      </c>
      <c r="FQ45" s="8">
        <f t="shared" si="58"/>
        <v>253</v>
      </c>
      <c r="FR45">
        <f t="shared" si="81"/>
        <v>3</v>
      </c>
      <c r="FS45">
        <f t="shared" si="82"/>
        <v>10.6</v>
      </c>
      <c r="FT45" t="str">
        <f t="shared" si="59"/>
        <v>253|253|253</v>
      </c>
    </row>
    <row r="46" spans="7:176">
      <c r="G46">
        <v>45</v>
      </c>
      <c r="H46">
        <f t="shared" si="0"/>
        <v>25.6</v>
      </c>
      <c r="I46">
        <f t="shared" si="60"/>
        <v>5</v>
      </c>
      <c r="J46">
        <v>6.28</v>
      </c>
      <c r="K46" s="7" t="str">
        <f t="shared" si="1"/>
        <v>25.6|25.6|25.6|25.6|25.6</v>
      </c>
      <c r="L46">
        <f t="shared" si="2"/>
        <v>126</v>
      </c>
      <c r="M46" s="7"/>
      <c r="N46" s="7">
        <v>45</v>
      </c>
      <c r="O46">
        <f t="shared" si="3"/>
        <v>101.333333333333</v>
      </c>
      <c r="P46">
        <f t="shared" si="61"/>
        <v>3</v>
      </c>
      <c r="Q46">
        <v>6.04</v>
      </c>
      <c r="R46" s="7" t="str">
        <f t="shared" si="4"/>
        <v>101.333333333333|101.333333333333|101.333333333333</v>
      </c>
      <c r="S46">
        <f t="shared" si="5"/>
        <v>201</v>
      </c>
      <c r="U46">
        <v>45</v>
      </c>
      <c r="V46">
        <f t="shared" si="6"/>
        <v>17</v>
      </c>
      <c r="W46">
        <f t="shared" si="62"/>
        <v>8</v>
      </c>
      <c r="X46">
        <v>9.36</v>
      </c>
      <c r="Y46" s="7" t="str">
        <f t="shared" si="7"/>
        <v>17|17|17|17|17|17|17|17</v>
      </c>
      <c r="Z46">
        <f t="shared" si="8"/>
        <v>117</v>
      </c>
      <c r="AA46">
        <f t="shared" si="9"/>
        <v>22.72</v>
      </c>
      <c r="AC46">
        <v>45</v>
      </c>
      <c r="AD46">
        <f t="shared" si="10"/>
        <v>671</v>
      </c>
      <c r="AE46">
        <v>1</v>
      </c>
      <c r="AF46">
        <v>7.71</v>
      </c>
      <c r="AH46">
        <f t="shared" si="12"/>
        <v>771</v>
      </c>
      <c r="AJ46">
        <v>45</v>
      </c>
      <c r="AL46">
        <v>5400</v>
      </c>
      <c r="AM46">
        <v>24</v>
      </c>
      <c r="AO46" t="str">
        <f t="shared" si="13"/>
        <v>5400|24</v>
      </c>
      <c r="AR46">
        <v>45</v>
      </c>
      <c r="AS46">
        <f t="shared" si="14"/>
        <v>440</v>
      </c>
      <c r="AT46">
        <f t="shared" si="63"/>
        <v>1</v>
      </c>
      <c r="AU46">
        <v>5.4</v>
      </c>
      <c r="AV46">
        <f t="shared" si="15"/>
        <v>540</v>
      </c>
      <c r="AW46" s="10"/>
      <c r="AX46" s="10">
        <v>45</v>
      </c>
      <c r="AY46" s="10">
        <f t="shared" si="16"/>
        <v>980</v>
      </c>
      <c r="AZ46" s="10"/>
      <c r="BA46" s="10">
        <v>10.8</v>
      </c>
      <c r="BB46">
        <f t="shared" si="17"/>
        <v>1080</v>
      </c>
      <c r="BD46">
        <v>4800</v>
      </c>
      <c r="BE46" s="8" t="s">
        <v>65</v>
      </c>
      <c r="BF46" t="str">
        <f t="shared" si="18"/>
        <v>4800|18</v>
      </c>
      <c r="BH46">
        <v>45</v>
      </c>
      <c r="BI46" s="10">
        <f t="shared" si="19"/>
        <v>74.8000000000002</v>
      </c>
      <c r="BJ46">
        <f t="shared" si="64"/>
        <v>5</v>
      </c>
      <c r="BK46">
        <v>8.74000000000001</v>
      </c>
      <c r="BL46" s="3" t="str">
        <f t="shared" si="20"/>
        <v>74.8000000000002|74.8000000000002|74.8000000000002|74.8000000000002|74.8000000000002</v>
      </c>
      <c r="BM46">
        <f t="shared" si="21"/>
        <v>175</v>
      </c>
      <c r="BN46" s="8">
        <f t="shared" si="65"/>
        <v>17.5</v>
      </c>
      <c r="BO46" s="8">
        <f t="shared" si="66"/>
        <v>26.25</v>
      </c>
      <c r="BP46" s="8">
        <f t="shared" si="67"/>
        <v>35</v>
      </c>
      <c r="BQ46" s="8">
        <f t="shared" si="68"/>
        <v>43.75</v>
      </c>
      <c r="BR46" s="8">
        <f t="shared" si="69"/>
        <v>52.5</v>
      </c>
      <c r="BT46">
        <v>45</v>
      </c>
      <c r="BU46">
        <f t="shared" si="22"/>
        <v>390</v>
      </c>
      <c r="BW46">
        <v>9.8</v>
      </c>
      <c r="BX46" s="7" t="str">
        <f t="shared" si="23"/>
        <v>260|520</v>
      </c>
      <c r="BY46">
        <f t="shared" si="24"/>
        <v>490</v>
      </c>
      <c r="BZ46">
        <f t="shared" si="25"/>
        <v>780</v>
      </c>
      <c r="CA46" s="8">
        <f t="shared" si="26"/>
        <v>260</v>
      </c>
      <c r="CB46" s="8">
        <f t="shared" si="27"/>
        <v>520</v>
      </c>
      <c r="CD46">
        <v>45</v>
      </c>
      <c r="CE46" s="8">
        <f t="shared" si="28"/>
        <v>440</v>
      </c>
      <c r="CG46">
        <v>5.4</v>
      </c>
      <c r="CH46" s="7">
        <f t="shared" si="29"/>
        <v>440</v>
      </c>
      <c r="CI46">
        <f t="shared" si="30"/>
        <v>540</v>
      </c>
      <c r="CK46">
        <v>45</v>
      </c>
      <c r="CL46">
        <f t="shared" si="31"/>
        <v>652</v>
      </c>
      <c r="CN46">
        <f t="shared" si="32"/>
        <v>7.52</v>
      </c>
      <c r="CO46" s="7">
        <f t="shared" si="33"/>
        <v>652</v>
      </c>
      <c r="CP46">
        <v>270</v>
      </c>
      <c r="CQ46">
        <v>55</v>
      </c>
      <c r="CR46" t="str">
        <f t="shared" si="34"/>
        <v>270|55</v>
      </c>
      <c r="CT46" s="4"/>
      <c r="CV46" s="8">
        <v>76</v>
      </c>
      <c r="CW46">
        <v>45</v>
      </c>
      <c r="CX46" t="str">
        <f t="shared" si="35"/>
        <v>-1.99999999999999|-1.99999999999999|-1.99999999999999|-1.99999999999999|-1.99999999999999</v>
      </c>
      <c r="CY46">
        <v>4.9</v>
      </c>
      <c r="CZ46">
        <f t="shared" si="70"/>
        <v>5</v>
      </c>
      <c r="DA46">
        <f t="shared" si="36"/>
        <v>-1.99999999999999</v>
      </c>
      <c r="DB46" s="8">
        <f t="shared" si="37"/>
        <v>98</v>
      </c>
      <c r="DC46">
        <v>36.4</v>
      </c>
      <c r="DD46" t="str">
        <f t="shared" si="38"/>
        <v>98|36.4</v>
      </c>
      <c r="DF46">
        <v>45</v>
      </c>
      <c r="DG46">
        <v>840</v>
      </c>
      <c r="DI46" s="8">
        <v>-56</v>
      </c>
      <c r="DJ46" s="8">
        <v>-54</v>
      </c>
      <c r="DK46" s="10"/>
      <c r="DL46" s="10">
        <v>45</v>
      </c>
      <c r="DM46">
        <f t="shared" si="39"/>
        <v>680.000000000001</v>
      </c>
      <c r="DN46" s="10"/>
      <c r="DO46" s="10">
        <v>7.80000000000001</v>
      </c>
      <c r="DP46" s="15">
        <v>-55</v>
      </c>
      <c r="DQ46" s="8">
        <f t="shared" si="40"/>
        <v>780</v>
      </c>
      <c r="DR46" s="8">
        <f t="shared" si="41"/>
        <v>45</v>
      </c>
      <c r="DS46" t="str">
        <f t="shared" si="42"/>
        <v>780|45</v>
      </c>
      <c r="DU46">
        <v>45</v>
      </c>
      <c r="DV46" s="10">
        <f t="shared" si="43"/>
        <v>548</v>
      </c>
      <c r="DW46">
        <f t="shared" si="71"/>
        <v>1</v>
      </c>
      <c r="DX46">
        <v>6.48</v>
      </c>
      <c r="DZ46">
        <f t="shared" si="44"/>
        <v>648</v>
      </c>
      <c r="EB46">
        <v>45</v>
      </c>
      <c r="EC46" s="8">
        <f t="shared" si="45"/>
        <v>12</v>
      </c>
      <c r="ED46">
        <f t="shared" si="72"/>
        <v>6</v>
      </c>
      <c r="EE46">
        <v>6.72</v>
      </c>
      <c r="EF46" s="3" t="str">
        <f t="shared" si="46"/>
        <v>12|12|12|12|12|12</v>
      </c>
      <c r="EG46" s="8">
        <f t="shared" si="47"/>
        <v>112</v>
      </c>
      <c r="EH46" s="3"/>
      <c r="EJ46">
        <v>45</v>
      </c>
      <c r="EK46" s="8">
        <f t="shared" si="48"/>
        <v>-10</v>
      </c>
      <c r="EL46">
        <f t="shared" si="73"/>
        <v>6</v>
      </c>
      <c r="EM46">
        <v>5.4</v>
      </c>
      <c r="EN46" s="3" t="str">
        <f t="shared" si="49"/>
        <v>-10|-10|-10|-10|-10|-10</v>
      </c>
      <c r="EO46" s="8">
        <f t="shared" si="50"/>
        <v>90</v>
      </c>
      <c r="EP46" s="8"/>
      <c r="EQ46" s="8"/>
      <c r="ER46" s="8">
        <f t="shared" si="51"/>
        <v>710</v>
      </c>
      <c r="ES46" s="8">
        <f t="shared" si="74"/>
        <v>1</v>
      </c>
      <c r="ET46">
        <v>8.1</v>
      </c>
      <c r="EU46" s="8"/>
      <c r="EV46" s="8">
        <f t="shared" si="52"/>
        <v>810</v>
      </c>
      <c r="EW46" s="8">
        <f t="shared" si="53"/>
        <v>602</v>
      </c>
      <c r="EX46">
        <v>7.02</v>
      </c>
      <c r="EY46">
        <f t="shared" si="75"/>
        <v>1</v>
      </c>
      <c r="EZ46">
        <v>183.6</v>
      </c>
      <c r="FA46">
        <v>4.72799999999999</v>
      </c>
      <c r="FB46" s="8">
        <f t="shared" si="54"/>
        <v>702</v>
      </c>
      <c r="FC46" t="str">
        <f t="shared" si="55"/>
        <v>602|183.6|4.72799999999999</v>
      </c>
      <c r="FE46">
        <v>45</v>
      </c>
      <c r="FF46" s="8">
        <f t="shared" si="56"/>
        <v>980</v>
      </c>
      <c r="FG46">
        <f t="shared" si="76"/>
        <v>1</v>
      </c>
      <c r="FH46">
        <f t="shared" si="77"/>
        <v>10.8</v>
      </c>
      <c r="FJ46">
        <v>45</v>
      </c>
      <c r="FK46" s="8">
        <f t="shared" si="57"/>
        <v>980</v>
      </c>
      <c r="FL46" s="8" t="str">
        <f t="shared" si="78"/>
        <v>0|40</v>
      </c>
      <c r="FM46">
        <f t="shared" si="79"/>
        <v>1</v>
      </c>
      <c r="FN46">
        <f t="shared" si="80"/>
        <v>10.8</v>
      </c>
      <c r="FP46">
        <v>45</v>
      </c>
      <c r="FQ46" s="8">
        <f t="shared" si="58"/>
        <v>260</v>
      </c>
      <c r="FR46">
        <f t="shared" si="81"/>
        <v>3</v>
      </c>
      <c r="FS46">
        <f t="shared" si="82"/>
        <v>10.8</v>
      </c>
      <c r="FT46" t="str">
        <f t="shared" si="59"/>
        <v>260|260|260</v>
      </c>
    </row>
    <row r="47" spans="7:176">
      <c r="G47">
        <v>46</v>
      </c>
      <c r="H47">
        <f t="shared" si="0"/>
        <v>28</v>
      </c>
      <c r="I47">
        <f t="shared" si="60"/>
        <v>5</v>
      </c>
      <c r="J47">
        <v>6.4</v>
      </c>
      <c r="K47" s="7" t="str">
        <f t="shared" si="1"/>
        <v>28|28|28|28|28</v>
      </c>
      <c r="L47">
        <f t="shared" si="2"/>
        <v>128</v>
      </c>
      <c r="M47" s="7"/>
      <c r="N47" s="7">
        <v>46</v>
      </c>
      <c r="O47">
        <f t="shared" si="3"/>
        <v>105</v>
      </c>
      <c r="P47">
        <f t="shared" si="61"/>
        <v>3</v>
      </c>
      <c r="Q47">
        <v>6.15</v>
      </c>
      <c r="R47" s="7" t="str">
        <f t="shared" si="4"/>
        <v>105|105|105</v>
      </c>
      <c r="S47">
        <f t="shared" si="5"/>
        <v>205</v>
      </c>
      <c r="U47">
        <v>46</v>
      </c>
      <c r="V47">
        <f t="shared" si="6"/>
        <v>19.375</v>
      </c>
      <c r="W47">
        <f t="shared" si="62"/>
        <v>8</v>
      </c>
      <c r="X47">
        <v>9.55</v>
      </c>
      <c r="Y47" s="7" t="str">
        <f t="shared" si="7"/>
        <v>19.375|19.375|19.375|19.375|19.375|19.375|19.375|19.375</v>
      </c>
      <c r="Z47">
        <f t="shared" si="8"/>
        <v>119</v>
      </c>
      <c r="AA47">
        <f t="shared" si="9"/>
        <v>24.1</v>
      </c>
      <c r="AC47">
        <v>46</v>
      </c>
      <c r="AD47">
        <f t="shared" si="10"/>
        <v>685</v>
      </c>
      <c r="AE47">
        <v>1</v>
      </c>
      <c r="AF47">
        <v>7.85</v>
      </c>
      <c r="AH47">
        <f t="shared" si="12"/>
        <v>785</v>
      </c>
      <c r="AJ47">
        <v>46</v>
      </c>
      <c r="AL47">
        <v>5500</v>
      </c>
      <c r="AM47">
        <v>24.5</v>
      </c>
      <c r="AO47" t="str">
        <f t="shared" si="13"/>
        <v>5500|24.5</v>
      </c>
      <c r="AR47">
        <v>46</v>
      </c>
      <c r="AS47">
        <f t="shared" si="14"/>
        <v>450</v>
      </c>
      <c r="AT47">
        <f t="shared" si="63"/>
        <v>1</v>
      </c>
      <c r="AU47">
        <v>5.5</v>
      </c>
      <c r="AV47">
        <f t="shared" si="15"/>
        <v>550</v>
      </c>
      <c r="AW47" s="10"/>
      <c r="AX47" s="10">
        <v>46</v>
      </c>
      <c r="AY47" s="10">
        <f t="shared" si="16"/>
        <v>1000</v>
      </c>
      <c r="AZ47" s="10"/>
      <c r="BA47" s="10">
        <v>11</v>
      </c>
      <c r="BB47">
        <f t="shared" si="17"/>
        <v>1100</v>
      </c>
      <c r="BD47">
        <v>4900</v>
      </c>
      <c r="BE47" s="8" t="s">
        <v>68</v>
      </c>
      <c r="BF47" t="str">
        <f t="shared" si="18"/>
        <v>4900|19</v>
      </c>
      <c r="BH47">
        <v>46</v>
      </c>
      <c r="BI47" s="10">
        <f t="shared" si="19"/>
        <v>78.0000000000002</v>
      </c>
      <c r="BJ47">
        <f t="shared" si="64"/>
        <v>5</v>
      </c>
      <c r="BK47">
        <v>8.90000000000001</v>
      </c>
      <c r="BL47" s="3" t="str">
        <f t="shared" si="20"/>
        <v>78.0000000000002|78.0000000000002|78.0000000000002|78.0000000000002|78.0000000000002</v>
      </c>
      <c r="BM47">
        <f t="shared" si="21"/>
        <v>178</v>
      </c>
      <c r="BN47" s="8">
        <f t="shared" si="65"/>
        <v>17.8</v>
      </c>
      <c r="BO47" s="8">
        <f t="shared" si="66"/>
        <v>26.7</v>
      </c>
      <c r="BP47" s="8">
        <f t="shared" si="67"/>
        <v>35.6</v>
      </c>
      <c r="BQ47" s="8">
        <f t="shared" si="68"/>
        <v>44.5</v>
      </c>
      <c r="BR47" s="8">
        <f t="shared" si="69"/>
        <v>53.4</v>
      </c>
      <c r="BT47">
        <v>46</v>
      </c>
      <c r="BU47">
        <f t="shared" si="22"/>
        <v>400</v>
      </c>
      <c r="BW47">
        <v>10</v>
      </c>
      <c r="BX47" s="7" t="str">
        <f t="shared" si="23"/>
        <v>266.666666666667|533.333333333333</v>
      </c>
      <c r="BY47">
        <f t="shared" si="24"/>
        <v>500</v>
      </c>
      <c r="BZ47">
        <f t="shared" si="25"/>
        <v>800</v>
      </c>
      <c r="CA47" s="8">
        <f t="shared" si="26"/>
        <v>266.666666666667</v>
      </c>
      <c r="CB47" s="8">
        <f t="shared" si="27"/>
        <v>533.333333333333</v>
      </c>
      <c r="CD47">
        <v>46</v>
      </c>
      <c r="CE47" s="8">
        <f t="shared" si="28"/>
        <v>450</v>
      </c>
      <c r="CG47">
        <v>5.5</v>
      </c>
      <c r="CH47" s="7">
        <f t="shared" si="29"/>
        <v>450</v>
      </c>
      <c r="CI47">
        <f t="shared" si="30"/>
        <v>550</v>
      </c>
      <c r="CK47">
        <v>46</v>
      </c>
      <c r="CL47">
        <f t="shared" si="31"/>
        <v>660</v>
      </c>
      <c r="CN47">
        <f t="shared" si="32"/>
        <v>7.6</v>
      </c>
      <c r="CO47" s="7">
        <f t="shared" si="33"/>
        <v>660</v>
      </c>
      <c r="CP47">
        <v>275</v>
      </c>
      <c r="CQ47">
        <v>54</v>
      </c>
      <c r="CR47" t="str">
        <f t="shared" si="34"/>
        <v>275|54</v>
      </c>
      <c r="CT47" s="4"/>
      <c r="CV47" s="8">
        <v>78</v>
      </c>
      <c r="CW47">
        <v>46</v>
      </c>
      <c r="CX47" t="str">
        <f t="shared" si="35"/>
        <v>0|0|0|0|0</v>
      </c>
      <c r="CY47">
        <v>5</v>
      </c>
      <c r="CZ47">
        <f t="shared" si="70"/>
        <v>5</v>
      </c>
      <c r="DA47">
        <f t="shared" si="36"/>
        <v>0</v>
      </c>
      <c r="DB47" s="8">
        <f t="shared" si="37"/>
        <v>100</v>
      </c>
      <c r="DC47">
        <v>37</v>
      </c>
      <c r="DD47" t="str">
        <f t="shared" si="38"/>
        <v>100|37</v>
      </c>
      <c r="DF47">
        <v>46</v>
      </c>
      <c r="DG47">
        <v>850</v>
      </c>
      <c r="DI47" s="8">
        <v>-56</v>
      </c>
      <c r="DJ47" s="8">
        <v>-54</v>
      </c>
      <c r="DK47" s="10"/>
      <c r="DL47" s="10">
        <v>46</v>
      </c>
      <c r="DM47">
        <f t="shared" si="39"/>
        <v>695.000000000001</v>
      </c>
      <c r="DN47" s="10"/>
      <c r="DO47" s="10">
        <v>7.95000000000001</v>
      </c>
      <c r="DP47" s="15">
        <v>-54</v>
      </c>
      <c r="DQ47" s="8">
        <f t="shared" si="40"/>
        <v>795</v>
      </c>
      <c r="DR47" s="8">
        <f t="shared" si="41"/>
        <v>46</v>
      </c>
      <c r="DS47" t="str">
        <f t="shared" si="42"/>
        <v>795|46</v>
      </c>
      <c r="DU47">
        <v>46</v>
      </c>
      <c r="DV47" s="10">
        <f t="shared" si="43"/>
        <v>560</v>
      </c>
      <c r="DW47">
        <f t="shared" si="71"/>
        <v>1</v>
      </c>
      <c r="DX47">
        <v>6.6</v>
      </c>
      <c r="DZ47">
        <f t="shared" si="44"/>
        <v>660</v>
      </c>
      <c r="EB47">
        <v>46</v>
      </c>
      <c r="EC47" s="8">
        <f t="shared" si="45"/>
        <v>14.1666666666667</v>
      </c>
      <c r="ED47">
        <f t="shared" si="72"/>
        <v>6</v>
      </c>
      <c r="EE47">
        <v>6.85</v>
      </c>
      <c r="EF47" s="3" t="str">
        <f t="shared" si="46"/>
        <v>14.1666666666667|14.1666666666667|14.1666666666667|14.1666666666667|14.1666666666667|14.1666666666667</v>
      </c>
      <c r="EG47" s="8">
        <f t="shared" si="47"/>
        <v>114</v>
      </c>
      <c r="EH47" s="3"/>
      <c r="EJ47">
        <v>46</v>
      </c>
      <c r="EK47" s="8">
        <f t="shared" si="48"/>
        <v>-8.33333333333334</v>
      </c>
      <c r="EL47">
        <f t="shared" si="73"/>
        <v>6</v>
      </c>
      <c r="EM47">
        <v>5.5</v>
      </c>
      <c r="EN47" s="3" t="str">
        <f t="shared" si="49"/>
        <v>-8.33333333333334|-8.33333333333334|-8.33333333333334|-8.33333333333334|-8.33333333333334|-8.33333333333334</v>
      </c>
      <c r="EO47" s="8">
        <f t="shared" si="50"/>
        <v>92</v>
      </c>
      <c r="EP47" s="8"/>
      <c r="EQ47" s="8"/>
      <c r="ER47" s="8">
        <f t="shared" si="51"/>
        <v>725</v>
      </c>
      <c r="ES47" s="8">
        <f t="shared" si="74"/>
        <v>1</v>
      </c>
      <c r="ET47">
        <v>8.25</v>
      </c>
      <c r="EU47" s="8"/>
      <c r="EV47" s="8">
        <f t="shared" si="52"/>
        <v>825</v>
      </c>
      <c r="EW47" s="8">
        <f t="shared" si="53"/>
        <v>615</v>
      </c>
      <c r="EX47">
        <v>7.15</v>
      </c>
      <c r="EY47">
        <f t="shared" si="75"/>
        <v>1</v>
      </c>
      <c r="EZ47">
        <v>187</v>
      </c>
      <c r="FA47">
        <v>4.78999999999999</v>
      </c>
      <c r="FB47" s="8">
        <f t="shared" si="54"/>
        <v>715</v>
      </c>
      <c r="FC47" t="str">
        <f t="shared" si="55"/>
        <v>615|187|4.78999999999999</v>
      </c>
      <c r="FE47">
        <v>46</v>
      </c>
      <c r="FF47" s="8">
        <f t="shared" si="56"/>
        <v>1000</v>
      </c>
      <c r="FG47">
        <f t="shared" si="76"/>
        <v>1</v>
      </c>
      <c r="FH47">
        <f t="shared" si="77"/>
        <v>11</v>
      </c>
      <c r="FJ47">
        <v>46</v>
      </c>
      <c r="FK47" s="8">
        <f t="shared" si="57"/>
        <v>1000</v>
      </c>
      <c r="FL47" s="8" t="str">
        <f t="shared" si="78"/>
        <v>0|40</v>
      </c>
      <c r="FM47">
        <f t="shared" si="79"/>
        <v>1</v>
      </c>
      <c r="FN47">
        <f t="shared" si="80"/>
        <v>11</v>
      </c>
      <c r="FP47">
        <v>46</v>
      </c>
      <c r="FQ47" s="8">
        <f t="shared" si="58"/>
        <v>267</v>
      </c>
      <c r="FR47">
        <f t="shared" si="81"/>
        <v>3</v>
      </c>
      <c r="FS47">
        <f t="shared" si="82"/>
        <v>11</v>
      </c>
      <c r="FT47" t="str">
        <f t="shared" si="59"/>
        <v>267|267|267</v>
      </c>
    </row>
    <row r="48" spans="7:176">
      <c r="G48">
        <v>47</v>
      </c>
      <c r="H48">
        <f t="shared" si="0"/>
        <v>30.4</v>
      </c>
      <c r="I48">
        <f t="shared" si="60"/>
        <v>5</v>
      </c>
      <c r="J48">
        <v>6.52</v>
      </c>
      <c r="K48" s="7" t="str">
        <f t="shared" si="1"/>
        <v>30.4|30.4|30.4|30.4|30.4</v>
      </c>
      <c r="L48">
        <f t="shared" si="2"/>
        <v>130</v>
      </c>
      <c r="M48" s="7"/>
      <c r="N48" s="7">
        <v>47</v>
      </c>
      <c r="O48">
        <f t="shared" si="3"/>
        <v>108.666666666667</v>
      </c>
      <c r="P48">
        <f t="shared" si="61"/>
        <v>3</v>
      </c>
      <c r="Q48">
        <v>6.26</v>
      </c>
      <c r="R48" s="7" t="str">
        <f t="shared" si="4"/>
        <v>108.666666666667|108.666666666667|108.666666666667</v>
      </c>
      <c r="S48">
        <f t="shared" si="5"/>
        <v>209</v>
      </c>
      <c r="U48">
        <v>47</v>
      </c>
      <c r="V48">
        <f t="shared" si="6"/>
        <v>21.75</v>
      </c>
      <c r="W48">
        <f t="shared" si="62"/>
        <v>8</v>
      </c>
      <c r="X48">
        <v>9.74</v>
      </c>
      <c r="Y48" s="7" t="str">
        <f t="shared" si="7"/>
        <v>21.75|21.75|21.75|21.75|21.75|21.75|21.75|21.75</v>
      </c>
      <c r="Z48">
        <f t="shared" si="8"/>
        <v>122</v>
      </c>
      <c r="AA48">
        <f t="shared" si="9"/>
        <v>25.48</v>
      </c>
      <c r="AC48">
        <v>47</v>
      </c>
      <c r="AD48">
        <f t="shared" si="10"/>
        <v>699</v>
      </c>
      <c r="AE48">
        <v>1</v>
      </c>
      <c r="AF48">
        <v>7.99</v>
      </c>
      <c r="AH48">
        <f t="shared" si="12"/>
        <v>799</v>
      </c>
      <c r="AJ48">
        <v>47</v>
      </c>
      <c r="AL48">
        <v>5600</v>
      </c>
      <c r="AM48">
        <v>25</v>
      </c>
      <c r="AO48" t="str">
        <f t="shared" si="13"/>
        <v>5600|25</v>
      </c>
      <c r="AR48">
        <v>47</v>
      </c>
      <c r="AS48">
        <f t="shared" si="14"/>
        <v>460</v>
      </c>
      <c r="AT48">
        <f t="shared" si="63"/>
        <v>1</v>
      </c>
      <c r="AU48">
        <v>5.6</v>
      </c>
      <c r="AV48">
        <f t="shared" si="15"/>
        <v>560</v>
      </c>
      <c r="AW48" s="10"/>
      <c r="AX48" s="10">
        <v>47</v>
      </c>
      <c r="AY48" s="10">
        <f t="shared" si="16"/>
        <v>1020</v>
      </c>
      <c r="AZ48" s="10"/>
      <c r="BA48" s="10">
        <v>11.2</v>
      </c>
      <c r="BB48">
        <f t="shared" si="17"/>
        <v>1120</v>
      </c>
      <c r="BD48">
        <v>5000</v>
      </c>
      <c r="BE48" s="8" t="s">
        <v>68</v>
      </c>
      <c r="BF48" t="str">
        <f t="shared" si="18"/>
        <v>5000|19</v>
      </c>
      <c r="BH48">
        <v>47</v>
      </c>
      <c r="BI48" s="10">
        <f t="shared" si="19"/>
        <v>81.2000000000002</v>
      </c>
      <c r="BJ48">
        <f t="shared" si="64"/>
        <v>5</v>
      </c>
      <c r="BK48">
        <v>9.06000000000001</v>
      </c>
      <c r="BL48" s="3" t="str">
        <f t="shared" si="20"/>
        <v>81.2000000000002|81.2000000000002|81.2000000000002|81.2000000000002|81.2000000000002</v>
      </c>
      <c r="BM48">
        <f t="shared" si="21"/>
        <v>181</v>
      </c>
      <c r="BN48" s="8">
        <f t="shared" si="65"/>
        <v>18.1</v>
      </c>
      <c r="BO48" s="8">
        <f t="shared" si="66"/>
        <v>27.15</v>
      </c>
      <c r="BP48" s="8">
        <f t="shared" si="67"/>
        <v>36.2</v>
      </c>
      <c r="BQ48" s="8">
        <f t="shared" si="68"/>
        <v>45.25</v>
      </c>
      <c r="BR48" s="8">
        <f t="shared" si="69"/>
        <v>54.3</v>
      </c>
      <c r="BT48">
        <v>47</v>
      </c>
      <c r="BU48">
        <f t="shared" si="22"/>
        <v>410</v>
      </c>
      <c r="BW48">
        <v>10.2</v>
      </c>
      <c r="BX48" s="7" t="str">
        <f t="shared" si="23"/>
        <v>273.333333333333|546.666666666667</v>
      </c>
      <c r="BY48">
        <f t="shared" si="24"/>
        <v>510</v>
      </c>
      <c r="BZ48">
        <f t="shared" si="25"/>
        <v>820</v>
      </c>
      <c r="CA48" s="8">
        <f t="shared" si="26"/>
        <v>273.333333333333</v>
      </c>
      <c r="CB48" s="8">
        <f t="shared" si="27"/>
        <v>546.666666666667</v>
      </c>
      <c r="CD48">
        <v>47</v>
      </c>
      <c r="CE48" s="8">
        <f t="shared" si="28"/>
        <v>460</v>
      </c>
      <c r="CG48">
        <v>5.6</v>
      </c>
      <c r="CH48" s="7">
        <f t="shared" si="29"/>
        <v>460</v>
      </c>
      <c r="CI48">
        <f t="shared" si="30"/>
        <v>560</v>
      </c>
      <c r="CK48">
        <v>47</v>
      </c>
      <c r="CL48">
        <f t="shared" si="31"/>
        <v>668</v>
      </c>
      <c r="CN48">
        <f t="shared" si="32"/>
        <v>7.68</v>
      </c>
      <c r="CO48" s="7">
        <f t="shared" si="33"/>
        <v>668</v>
      </c>
      <c r="CP48">
        <v>280</v>
      </c>
      <c r="CQ48">
        <v>53</v>
      </c>
      <c r="CR48" t="str">
        <f t="shared" si="34"/>
        <v>280|53</v>
      </c>
      <c r="CT48" s="4"/>
      <c r="CV48" s="8">
        <v>79</v>
      </c>
      <c r="CW48">
        <v>47</v>
      </c>
      <c r="CX48" t="str">
        <f t="shared" si="35"/>
        <v>2|2|2|2|2</v>
      </c>
      <c r="CY48">
        <v>5.1</v>
      </c>
      <c r="CZ48">
        <f t="shared" si="70"/>
        <v>5</v>
      </c>
      <c r="DA48">
        <f t="shared" si="36"/>
        <v>2</v>
      </c>
      <c r="DB48" s="8">
        <f t="shared" si="37"/>
        <v>102</v>
      </c>
      <c r="DC48">
        <v>37.6</v>
      </c>
      <c r="DD48" t="str">
        <f t="shared" si="38"/>
        <v>102|37.6</v>
      </c>
      <c r="DF48">
        <v>47</v>
      </c>
      <c r="DG48">
        <v>860</v>
      </c>
      <c r="DI48" s="8">
        <v>-54</v>
      </c>
      <c r="DJ48" s="8">
        <v>-52</v>
      </c>
      <c r="DK48" s="10"/>
      <c r="DL48" s="10">
        <v>47</v>
      </c>
      <c r="DM48">
        <f t="shared" si="39"/>
        <v>710.000000000001</v>
      </c>
      <c r="DN48" s="10"/>
      <c r="DO48" s="10">
        <v>8.10000000000001</v>
      </c>
      <c r="DP48" s="15">
        <v>-53</v>
      </c>
      <c r="DQ48" s="8">
        <f t="shared" si="40"/>
        <v>810</v>
      </c>
      <c r="DR48" s="8">
        <f t="shared" si="41"/>
        <v>47</v>
      </c>
      <c r="DS48" t="str">
        <f t="shared" si="42"/>
        <v>810|47</v>
      </c>
      <c r="DU48">
        <v>47</v>
      </c>
      <c r="DV48" s="10">
        <f t="shared" si="43"/>
        <v>572</v>
      </c>
      <c r="DW48">
        <f t="shared" si="71"/>
        <v>1</v>
      </c>
      <c r="DX48">
        <v>6.72</v>
      </c>
      <c r="DZ48">
        <f t="shared" si="44"/>
        <v>672</v>
      </c>
      <c r="EB48">
        <v>47</v>
      </c>
      <c r="EC48" s="8">
        <f t="shared" si="45"/>
        <v>16.3333333333333</v>
      </c>
      <c r="ED48">
        <f t="shared" si="72"/>
        <v>6</v>
      </c>
      <c r="EE48">
        <v>6.98</v>
      </c>
      <c r="EF48" s="3" t="str">
        <f t="shared" si="46"/>
        <v>16.3333333333333|16.3333333333333|16.3333333333333|16.3333333333333|16.3333333333333|16.3333333333333</v>
      </c>
      <c r="EG48" s="8">
        <f t="shared" si="47"/>
        <v>116</v>
      </c>
      <c r="EH48" s="3"/>
      <c r="EJ48">
        <v>47</v>
      </c>
      <c r="EK48" s="8">
        <f t="shared" si="48"/>
        <v>-6.66666666666668</v>
      </c>
      <c r="EL48">
        <f t="shared" si="73"/>
        <v>6</v>
      </c>
      <c r="EM48">
        <v>5.6</v>
      </c>
      <c r="EN48" s="3" t="str">
        <f t="shared" si="49"/>
        <v>-6.66666666666668|-6.66666666666668|-6.66666666666668|-6.66666666666668|-6.66666666666668|-6.66666666666668</v>
      </c>
      <c r="EO48" s="8">
        <f t="shared" si="50"/>
        <v>93</v>
      </c>
      <c r="EP48" s="8"/>
      <c r="EQ48" s="8"/>
      <c r="ER48" s="8">
        <f t="shared" si="51"/>
        <v>740</v>
      </c>
      <c r="ES48" s="8">
        <f t="shared" si="74"/>
        <v>1</v>
      </c>
      <c r="ET48">
        <v>8.4</v>
      </c>
      <c r="EU48" s="8"/>
      <c r="EV48" s="8">
        <f t="shared" si="52"/>
        <v>840</v>
      </c>
      <c r="EW48" s="8">
        <f t="shared" si="53"/>
        <v>628</v>
      </c>
      <c r="EX48">
        <v>7.28</v>
      </c>
      <c r="EY48">
        <f t="shared" si="75"/>
        <v>1</v>
      </c>
      <c r="EZ48">
        <v>190.4</v>
      </c>
      <c r="FA48">
        <v>4.85199999999999</v>
      </c>
      <c r="FB48" s="8">
        <f t="shared" si="54"/>
        <v>728</v>
      </c>
      <c r="FC48" t="str">
        <f t="shared" si="55"/>
        <v>628|190.4|4.85199999999999</v>
      </c>
      <c r="FE48">
        <v>47</v>
      </c>
      <c r="FF48" s="8">
        <f t="shared" si="56"/>
        <v>1020</v>
      </c>
      <c r="FG48">
        <f t="shared" si="76"/>
        <v>1</v>
      </c>
      <c r="FH48">
        <f t="shared" si="77"/>
        <v>11.2</v>
      </c>
      <c r="FJ48">
        <v>47</v>
      </c>
      <c r="FK48" s="8">
        <f t="shared" si="57"/>
        <v>1020</v>
      </c>
      <c r="FL48" s="8" t="str">
        <f t="shared" si="78"/>
        <v>0|40</v>
      </c>
      <c r="FM48">
        <f t="shared" si="79"/>
        <v>1</v>
      </c>
      <c r="FN48">
        <f t="shared" si="80"/>
        <v>11.2</v>
      </c>
      <c r="FP48">
        <v>47</v>
      </c>
      <c r="FQ48" s="8">
        <f t="shared" si="58"/>
        <v>273</v>
      </c>
      <c r="FR48">
        <f t="shared" si="81"/>
        <v>3</v>
      </c>
      <c r="FS48">
        <f t="shared" si="82"/>
        <v>11.2</v>
      </c>
      <c r="FT48" t="str">
        <f t="shared" si="59"/>
        <v>273|273|273</v>
      </c>
    </row>
    <row r="49" spans="7:176">
      <c r="G49">
        <v>48</v>
      </c>
      <c r="H49">
        <f t="shared" si="0"/>
        <v>32.8000000000002</v>
      </c>
      <c r="I49">
        <f t="shared" si="60"/>
        <v>5</v>
      </c>
      <c r="J49">
        <v>6.64000000000001</v>
      </c>
      <c r="K49" s="7" t="str">
        <f t="shared" si="1"/>
        <v>32.8000000000002|32.8000000000002|32.8000000000002|32.8000000000002|32.8000000000002</v>
      </c>
      <c r="L49">
        <f t="shared" si="2"/>
        <v>133</v>
      </c>
      <c r="M49" s="7"/>
      <c r="N49" s="7">
        <v>48</v>
      </c>
      <c r="O49">
        <f t="shared" si="3"/>
        <v>112.333333333333</v>
      </c>
      <c r="P49">
        <f t="shared" si="61"/>
        <v>3</v>
      </c>
      <c r="Q49">
        <v>6.37</v>
      </c>
      <c r="R49" s="7" t="str">
        <f t="shared" si="4"/>
        <v>112.333333333333|112.333333333333|112.333333333333</v>
      </c>
      <c r="S49">
        <f t="shared" si="5"/>
        <v>212</v>
      </c>
      <c r="U49">
        <v>48</v>
      </c>
      <c r="V49">
        <f t="shared" si="6"/>
        <v>24.125</v>
      </c>
      <c r="W49">
        <f t="shared" si="62"/>
        <v>8</v>
      </c>
      <c r="X49">
        <v>9.93</v>
      </c>
      <c r="Y49" s="7" t="str">
        <f t="shared" si="7"/>
        <v>24.125|24.125|24.125|24.125|24.125|24.125|24.125|24.125</v>
      </c>
      <c r="Z49">
        <f t="shared" si="8"/>
        <v>124</v>
      </c>
      <c r="AA49">
        <f t="shared" si="9"/>
        <v>26.86</v>
      </c>
      <c r="AC49">
        <v>48</v>
      </c>
      <c r="AD49">
        <f t="shared" si="10"/>
        <v>713</v>
      </c>
      <c r="AE49">
        <v>1</v>
      </c>
      <c r="AF49">
        <v>8.13</v>
      </c>
      <c r="AH49">
        <f t="shared" si="12"/>
        <v>813</v>
      </c>
      <c r="AJ49">
        <v>48</v>
      </c>
      <c r="AL49">
        <v>5700</v>
      </c>
      <c r="AM49">
        <v>25.5</v>
      </c>
      <c r="AO49" t="str">
        <f t="shared" si="13"/>
        <v>5700|25.5</v>
      </c>
      <c r="AR49">
        <v>48</v>
      </c>
      <c r="AS49">
        <f t="shared" si="14"/>
        <v>470</v>
      </c>
      <c r="AT49">
        <f t="shared" si="63"/>
        <v>1</v>
      </c>
      <c r="AU49">
        <v>5.7</v>
      </c>
      <c r="AV49">
        <f t="shared" si="15"/>
        <v>570</v>
      </c>
      <c r="AW49" s="10"/>
      <c r="AX49" s="10">
        <v>48</v>
      </c>
      <c r="AY49" s="10">
        <f t="shared" si="16"/>
        <v>1040</v>
      </c>
      <c r="AZ49" s="10"/>
      <c r="BA49" s="10">
        <v>11.4</v>
      </c>
      <c r="BB49">
        <f t="shared" si="17"/>
        <v>1140</v>
      </c>
      <c r="BD49">
        <v>5100</v>
      </c>
      <c r="BE49" s="8" t="s">
        <v>68</v>
      </c>
      <c r="BF49" t="str">
        <f t="shared" si="18"/>
        <v>5100|19</v>
      </c>
      <c r="BH49">
        <v>48</v>
      </c>
      <c r="BI49" s="10">
        <f t="shared" si="19"/>
        <v>84.4000000000002</v>
      </c>
      <c r="BJ49">
        <f t="shared" si="64"/>
        <v>5</v>
      </c>
      <c r="BK49">
        <v>9.22000000000001</v>
      </c>
      <c r="BL49" s="3" t="str">
        <f t="shared" si="20"/>
        <v>84.4000000000002|84.4000000000002|84.4000000000002|84.4000000000002|84.4000000000002</v>
      </c>
      <c r="BM49">
        <f t="shared" si="21"/>
        <v>184</v>
      </c>
      <c r="BN49" s="8">
        <f t="shared" si="65"/>
        <v>18.4</v>
      </c>
      <c r="BO49" s="8">
        <f t="shared" si="66"/>
        <v>27.6</v>
      </c>
      <c r="BP49" s="8">
        <f t="shared" si="67"/>
        <v>36.8</v>
      </c>
      <c r="BQ49" s="8">
        <f t="shared" si="68"/>
        <v>46</v>
      </c>
      <c r="BR49" s="8">
        <f t="shared" si="69"/>
        <v>55.2</v>
      </c>
      <c r="BT49">
        <v>48</v>
      </c>
      <c r="BU49">
        <f t="shared" si="22"/>
        <v>420</v>
      </c>
      <c r="BW49">
        <v>10.4</v>
      </c>
      <c r="BX49" s="7" t="str">
        <f t="shared" si="23"/>
        <v>280|560</v>
      </c>
      <c r="BY49">
        <f t="shared" si="24"/>
        <v>520</v>
      </c>
      <c r="BZ49">
        <f t="shared" si="25"/>
        <v>840</v>
      </c>
      <c r="CA49" s="8">
        <f t="shared" si="26"/>
        <v>280</v>
      </c>
      <c r="CB49" s="8">
        <f t="shared" si="27"/>
        <v>560</v>
      </c>
      <c r="CD49">
        <v>48</v>
      </c>
      <c r="CE49" s="8">
        <f t="shared" si="28"/>
        <v>470</v>
      </c>
      <c r="CG49">
        <v>5.7</v>
      </c>
      <c r="CH49" s="7">
        <f t="shared" si="29"/>
        <v>470</v>
      </c>
      <c r="CI49">
        <f t="shared" si="30"/>
        <v>570</v>
      </c>
      <c r="CK49">
        <v>48</v>
      </c>
      <c r="CL49">
        <f t="shared" si="31"/>
        <v>676</v>
      </c>
      <c r="CN49">
        <f t="shared" si="32"/>
        <v>7.76</v>
      </c>
      <c r="CO49" s="7">
        <f t="shared" si="33"/>
        <v>676</v>
      </c>
      <c r="CP49">
        <v>285</v>
      </c>
      <c r="CQ49">
        <v>52</v>
      </c>
      <c r="CR49" t="str">
        <f t="shared" si="34"/>
        <v>285|52</v>
      </c>
      <c r="CT49" s="4"/>
      <c r="CV49" s="8">
        <v>81</v>
      </c>
      <c r="CW49">
        <v>48</v>
      </c>
      <c r="CX49" t="str">
        <f t="shared" si="35"/>
        <v>4|4|4|4|4</v>
      </c>
      <c r="CY49">
        <v>5.2</v>
      </c>
      <c r="CZ49">
        <f t="shared" si="70"/>
        <v>5</v>
      </c>
      <c r="DA49">
        <f t="shared" si="36"/>
        <v>4</v>
      </c>
      <c r="DB49" s="8">
        <f t="shared" si="37"/>
        <v>104</v>
      </c>
      <c r="DC49">
        <v>38.2</v>
      </c>
      <c r="DD49" t="str">
        <f t="shared" si="38"/>
        <v>104|38.2</v>
      </c>
      <c r="DF49">
        <v>48</v>
      </c>
      <c r="DG49">
        <v>870</v>
      </c>
      <c r="DI49" s="8">
        <v>-53</v>
      </c>
      <c r="DJ49" s="8">
        <v>-52</v>
      </c>
      <c r="DK49" s="10"/>
      <c r="DL49" s="10">
        <v>48</v>
      </c>
      <c r="DM49">
        <f t="shared" si="39"/>
        <v>725.000000000001</v>
      </c>
      <c r="DN49" s="10"/>
      <c r="DO49" s="10">
        <v>8.25000000000001</v>
      </c>
      <c r="DP49" s="15">
        <v>-52</v>
      </c>
      <c r="DQ49" s="8">
        <f t="shared" si="40"/>
        <v>825</v>
      </c>
      <c r="DR49" s="8">
        <f t="shared" si="41"/>
        <v>48</v>
      </c>
      <c r="DS49" t="str">
        <f t="shared" si="42"/>
        <v>825|48</v>
      </c>
      <c r="DU49">
        <v>48</v>
      </c>
      <c r="DV49" s="10">
        <f t="shared" si="43"/>
        <v>584.000000000001</v>
      </c>
      <c r="DW49">
        <f t="shared" si="71"/>
        <v>1</v>
      </c>
      <c r="DX49">
        <v>6.84000000000001</v>
      </c>
      <c r="DZ49">
        <f t="shared" si="44"/>
        <v>684</v>
      </c>
      <c r="EB49">
        <v>48</v>
      </c>
      <c r="EC49" s="8">
        <f t="shared" si="45"/>
        <v>18.4999999999998</v>
      </c>
      <c r="ED49">
        <f t="shared" si="72"/>
        <v>6</v>
      </c>
      <c r="EE49">
        <v>7.10999999999999</v>
      </c>
      <c r="EF49" s="3" t="str">
        <f t="shared" si="46"/>
        <v>18.4999999999998|18.4999999999998|18.4999999999998|18.4999999999998|18.4999999999998|18.4999999999998</v>
      </c>
      <c r="EG49" s="8">
        <f t="shared" si="47"/>
        <v>119</v>
      </c>
      <c r="EH49" s="3"/>
      <c r="EJ49">
        <v>48</v>
      </c>
      <c r="EK49" s="8">
        <f t="shared" si="48"/>
        <v>-4.99999999999999</v>
      </c>
      <c r="EL49">
        <f t="shared" si="73"/>
        <v>6</v>
      </c>
      <c r="EM49">
        <v>5.7</v>
      </c>
      <c r="EN49" s="3" t="str">
        <f t="shared" si="49"/>
        <v>-4.99999999999999|-4.99999999999999|-4.99999999999999|-4.99999999999999|-4.99999999999999|-4.99999999999999</v>
      </c>
      <c r="EO49" s="8">
        <f t="shared" si="50"/>
        <v>95</v>
      </c>
      <c r="EP49" s="8"/>
      <c r="EQ49" s="8"/>
      <c r="ER49" s="8">
        <f t="shared" si="51"/>
        <v>755</v>
      </c>
      <c r="ES49" s="8">
        <f t="shared" si="74"/>
        <v>1</v>
      </c>
      <c r="ET49">
        <v>8.55</v>
      </c>
      <c r="EU49" s="8"/>
      <c r="EV49" s="8">
        <f t="shared" si="52"/>
        <v>855</v>
      </c>
      <c r="EW49" s="8">
        <f t="shared" si="53"/>
        <v>640.999999999999</v>
      </c>
      <c r="EX49">
        <v>7.40999999999999</v>
      </c>
      <c r="EY49">
        <f t="shared" si="75"/>
        <v>1</v>
      </c>
      <c r="EZ49">
        <v>193.8</v>
      </c>
      <c r="FA49">
        <v>4.91399999999999</v>
      </c>
      <c r="FB49" s="8">
        <f t="shared" si="54"/>
        <v>741</v>
      </c>
      <c r="FC49" t="str">
        <f t="shared" si="55"/>
        <v>640.999999999999|193.8|4.91399999999999</v>
      </c>
      <c r="FE49">
        <v>48</v>
      </c>
      <c r="FF49" s="8">
        <f t="shared" si="56"/>
        <v>1040</v>
      </c>
      <c r="FG49">
        <f t="shared" si="76"/>
        <v>1</v>
      </c>
      <c r="FH49">
        <f t="shared" si="77"/>
        <v>11.4</v>
      </c>
      <c r="FJ49">
        <v>48</v>
      </c>
      <c r="FK49" s="8">
        <f t="shared" si="57"/>
        <v>1040</v>
      </c>
      <c r="FL49" s="8" t="str">
        <f t="shared" si="78"/>
        <v>0|40</v>
      </c>
      <c r="FM49">
        <f t="shared" si="79"/>
        <v>1</v>
      </c>
      <c r="FN49">
        <f t="shared" si="80"/>
        <v>11.4</v>
      </c>
      <c r="FP49">
        <v>48</v>
      </c>
      <c r="FQ49" s="8">
        <f t="shared" si="58"/>
        <v>280</v>
      </c>
      <c r="FR49">
        <f t="shared" si="81"/>
        <v>3</v>
      </c>
      <c r="FS49">
        <f t="shared" si="82"/>
        <v>11.4</v>
      </c>
      <c r="FT49" t="str">
        <f t="shared" si="59"/>
        <v>280|280|280</v>
      </c>
    </row>
    <row r="50" spans="7:176">
      <c r="G50">
        <v>49</v>
      </c>
      <c r="H50">
        <f t="shared" si="0"/>
        <v>35.2000000000002</v>
      </c>
      <c r="I50">
        <f t="shared" si="60"/>
        <v>5</v>
      </c>
      <c r="J50">
        <v>6.76000000000001</v>
      </c>
      <c r="K50" s="7" t="str">
        <f t="shared" si="1"/>
        <v>35.2000000000002|35.2000000000002|35.2000000000002|35.2000000000002|35.2000000000002</v>
      </c>
      <c r="L50">
        <f t="shared" si="2"/>
        <v>135</v>
      </c>
      <c r="M50" s="7"/>
      <c r="N50" s="7">
        <v>49</v>
      </c>
      <c r="O50">
        <f t="shared" si="3"/>
        <v>116</v>
      </c>
      <c r="P50">
        <f t="shared" si="61"/>
        <v>3</v>
      </c>
      <c r="Q50">
        <v>6.48</v>
      </c>
      <c r="R50" s="7" t="str">
        <f t="shared" si="4"/>
        <v>116|116|116</v>
      </c>
      <c r="S50">
        <f t="shared" si="5"/>
        <v>216</v>
      </c>
      <c r="U50">
        <v>49</v>
      </c>
      <c r="V50">
        <f t="shared" si="6"/>
        <v>26.5</v>
      </c>
      <c r="W50">
        <f t="shared" si="62"/>
        <v>8</v>
      </c>
      <c r="X50">
        <v>10.12</v>
      </c>
      <c r="Y50" s="7" t="str">
        <f t="shared" si="7"/>
        <v>26.5|26.5|26.5|26.5|26.5|26.5|26.5|26.5</v>
      </c>
      <c r="Z50">
        <f t="shared" si="8"/>
        <v>127</v>
      </c>
      <c r="AA50">
        <f t="shared" si="9"/>
        <v>28.24</v>
      </c>
      <c r="AC50">
        <v>49</v>
      </c>
      <c r="AD50">
        <f t="shared" si="10"/>
        <v>727</v>
      </c>
      <c r="AE50">
        <v>1</v>
      </c>
      <c r="AF50">
        <v>8.27</v>
      </c>
      <c r="AH50">
        <f t="shared" si="12"/>
        <v>827</v>
      </c>
      <c r="AJ50">
        <v>49</v>
      </c>
      <c r="AL50">
        <v>5800</v>
      </c>
      <c r="AM50">
        <v>26</v>
      </c>
      <c r="AO50" t="str">
        <f t="shared" si="13"/>
        <v>5800|26</v>
      </c>
      <c r="AR50">
        <v>49</v>
      </c>
      <c r="AS50">
        <f t="shared" si="14"/>
        <v>480</v>
      </c>
      <c r="AT50">
        <f t="shared" si="63"/>
        <v>1</v>
      </c>
      <c r="AU50">
        <v>5.8</v>
      </c>
      <c r="AV50">
        <f t="shared" si="15"/>
        <v>580</v>
      </c>
      <c r="AW50" s="10"/>
      <c r="AX50" s="10">
        <v>49</v>
      </c>
      <c r="AY50" s="10">
        <f t="shared" si="16"/>
        <v>1060</v>
      </c>
      <c r="AZ50" s="10"/>
      <c r="BA50" s="10">
        <v>11.6</v>
      </c>
      <c r="BB50">
        <f t="shared" si="17"/>
        <v>1160</v>
      </c>
      <c r="BD50">
        <v>5200</v>
      </c>
      <c r="BE50" s="8" t="s">
        <v>71</v>
      </c>
      <c r="BF50" t="str">
        <f t="shared" si="18"/>
        <v>5200|20</v>
      </c>
      <c r="BH50">
        <v>49</v>
      </c>
      <c r="BI50" s="10">
        <f t="shared" si="19"/>
        <v>87.6000000000002</v>
      </c>
      <c r="BJ50">
        <f t="shared" si="64"/>
        <v>5</v>
      </c>
      <c r="BK50">
        <v>9.38000000000001</v>
      </c>
      <c r="BL50" s="3" t="str">
        <f t="shared" si="20"/>
        <v>87.6000000000002|87.6000000000002|87.6000000000002|87.6000000000002|87.6000000000002</v>
      </c>
      <c r="BM50">
        <f t="shared" si="21"/>
        <v>188</v>
      </c>
      <c r="BN50" s="8">
        <f t="shared" si="65"/>
        <v>18.8</v>
      </c>
      <c r="BO50" s="8">
        <f t="shared" si="66"/>
        <v>28.2</v>
      </c>
      <c r="BP50" s="8">
        <f t="shared" si="67"/>
        <v>37.6</v>
      </c>
      <c r="BQ50" s="8">
        <f t="shared" si="68"/>
        <v>47</v>
      </c>
      <c r="BR50" s="8">
        <f t="shared" si="69"/>
        <v>56.4</v>
      </c>
      <c r="BT50">
        <v>49</v>
      </c>
      <c r="BU50">
        <f t="shared" si="22"/>
        <v>430</v>
      </c>
      <c r="BW50">
        <v>10.6</v>
      </c>
      <c r="BX50" s="7" t="str">
        <f t="shared" si="23"/>
        <v>286.666666666667|573.333333333333</v>
      </c>
      <c r="BY50">
        <f t="shared" si="24"/>
        <v>530</v>
      </c>
      <c r="BZ50">
        <f t="shared" si="25"/>
        <v>860</v>
      </c>
      <c r="CA50" s="8">
        <f t="shared" si="26"/>
        <v>286.666666666667</v>
      </c>
      <c r="CB50" s="8">
        <f t="shared" si="27"/>
        <v>573.333333333333</v>
      </c>
      <c r="CD50">
        <v>49</v>
      </c>
      <c r="CE50" s="8">
        <f t="shared" si="28"/>
        <v>480</v>
      </c>
      <c r="CG50">
        <v>5.8</v>
      </c>
      <c r="CH50" s="7">
        <f t="shared" si="29"/>
        <v>480</v>
      </c>
      <c r="CI50">
        <f t="shared" si="30"/>
        <v>580</v>
      </c>
      <c r="CK50">
        <v>49</v>
      </c>
      <c r="CL50">
        <f t="shared" si="31"/>
        <v>684</v>
      </c>
      <c r="CN50">
        <f t="shared" si="32"/>
        <v>7.84</v>
      </c>
      <c r="CO50" s="7">
        <f t="shared" si="33"/>
        <v>684</v>
      </c>
      <c r="CP50">
        <v>290</v>
      </c>
      <c r="CQ50">
        <v>51</v>
      </c>
      <c r="CR50" t="str">
        <f t="shared" si="34"/>
        <v>290|51</v>
      </c>
      <c r="CT50" s="4"/>
      <c r="CV50" s="8">
        <v>82</v>
      </c>
      <c r="CW50">
        <v>49</v>
      </c>
      <c r="CX50" t="str">
        <f t="shared" si="35"/>
        <v>6.00000000000001|6.00000000000001|6.00000000000001|6.00000000000001|6.00000000000001</v>
      </c>
      <c r="CY50">
        <v>5.3</v>
      </c>
      <c r="CZ50">
        <f t="shared" si="70"/>
        <v>5</v>
      </c>
      <c r="DA50">
        <f t="shared" si="36"/>
        <v>6.00000000000001</v>
      </c>
      <c r="DB50" s="8">
        <f t="shared" si="37"/>
        <v>106</v>
      </c>
      <c r="DC50">
        <v>38.8</v>
      </c>
      <c r="DD50" t="str">
        <f t="shared" si="38"/>
        <v>106|38.8</v>
      </c>
      <c r="DF50">
        <v>49</v>
      </c>
      <c r="DG50">
        <v>880</v>
      </c>
      <c r="DI50" s="8">
        <v>-53</v>
      </c>
      <c r="DJ50" s="8">
        <v>-52</v>
      </c>
      <c r="DK50" s="10"/>
      <c r="DL50" s="10">
        <v>49</v>
      </c>
      <c r="DM50">
        <f t="shared" si="39"/>
        <v>740.000000000001</v>
      </c>
      <c r="DN50" s="10"/>
      <c r="DO50" s="10">
        <v>8.40000000000001</v>
      </c>
      <c r="DP50" s="15">
        <v>-51</v>
      </c>
      <c r="DQ50" s="8">
        <f t="shared" si="40"/>
        <v>840</v>
      </c>
      <c r="DR50" s="8">
        <f t="shared" si="41"/>
        <v>49</v>
      </c>
      <c r="DS50" t="str">
        <f t="shared" si="42"/>
        <v>840|49</v>
      </c>
      <c r="DU50">
        <v>49</v>
      </c>
      <c r="DV50" s="10">
        <f t="shared" si="43"/>
        <v>596.000000000001</v>
      </c>
      <c r="DW50">
        <f t="shared" si="71"/>
        <v>1</v>
      </c>
      <c r="DX50">
        <v>6.96000000000001</v>
      </c>
      <c r="DZ50">
        <f t="shared" si="44"/>
        <v>696</v>
      </c>
      <c r="EB50">
        <v>49</v>
      </c>
      <c r="EC50" s="8">
        <f t="shared" si="45"/>
        <v>20.6666666666665</v>
      </c>
      <c r="ED50">
        <f t="shared" si="72"/>
        <v>6</v>
      </c>
      <c r="EE50">
        <v>7.23999999999999</v>
      </c>
      <c r="EF50" s="3" t="str">
        <f t="shared" si="46"/>
        <v>20.6666666666665|20.6666666666665|20.6666666666665|20.6666666666665|20.6666666666665|20.6666666666665</v>
      </c>
      <c r="EG50" s="8">
        <f t="shared" si="47"/>
        <v>121</v>
      </c>
      <c r="EH50" s="3"/>
      <c r="EJ50">
        <v>49</v>
      </c>
      <c r="EK50" s="8">
        <f t="shared" si="48"/>
        <v>-3.33333333333333</v>
      </c>
      <c r="EL50">
        <f t="shared" si="73"/>
        <v>6</v>
      </c>
      <c r="EM50">
        <v>5.8</v>
      </c>
      <c r="EN50" s="3" t="str">
        <f t="shared" si="49"/>
        <v>-3.33333333333333|-3.33333333333333|-3.33333333333333|-3.33333333333333|-3.33333333333333|-3.33333333333333</v>
      </c>
      <c r="EO50" s="8">
        <f t="shared" si="50"/>
        <v>97</v>
      </c>
      <c r="EP50" s="8"/>
      <c r="EQ50" s="8"/>
      <c r="ER50" s="8">
        <f t="shared" si="51"/>
        <v>770</v>
      </c>
      <c r="ES50" s="8">
        <f t="shared" si="74"/>
        <v>1</v>
      </c>
      <c r="ET50">
        <v>8.7</v>
      </c>
      <c r="EU50" s="8"/>
      <c r="EV50" s="8">
        <f t="shared" si="52"/>
        <v>870</v>
      </c>
      <c r="EW50" s="8">
        <f t="shared" si="53"/>
        <v>653.999999999999</v>
      </c>
      <c r="EX50">
        <v>7.53999999999999</v>
      </c>
      <c r="EY50">
        <f t="shared" si="75"/>
        <v>1</v>
      </c>
      <c r="EZ50">
        <v>197.2</v>
      </c>
      <c r="FA50">
        <v>4.97599999999999</v>
      </c>
      <c r="FB50" s="8">
        <f t="shared" si="54"/>
        <v>754</v>
      </c>
      <c r="FC50" t="str">
        <f t="shared" si="55"/>
        <v>653.999999999999|197.2|4.97599999999999</v>
      </c>
      <c r="FE50">
        <v>49</v>
      </c>
      <c r="FF50" s="8">
        <f t="shared" si="56"/>
        <v>1060</v>
      </c>
      <c r="FG50">
        <f t="shared" si="76"/>
        <v>1</v>
      </c>
      <c r="FH50">
        <f t="shared" si="77"/>
        <v>11.6</v>
      </c>
      <c r="FJ50">
        <v>49</v>
      </c>
      <c r="FK50" s="8">
        <f t="shared" si="57"/>
        <v>1060</v>
      </c>
      <c r="FL50" s="8" t="str">
        <f t="shared" si="78"/>
        <v>0|40</v>
      </c>
      <c r="FM50">
        <f t="shared" si="79"/>
        <v>1</v>
      </c>
      <c r="FN50">
        <f t="shared" si="80"/>
        <v>11.6</v>
      </c>
      <c r="FP50">
        <v>49</v>
      </c>
      <c r="FQ50" s="8">
        <f t="shared" si="58"/>
        <v>287</v>
      </c>
      <c r="FR50">
        <f t="shared" si="81"/>
        <v>3</v>
      </c>
      <c r="FS50">
        <f t="shared" si="82"/>
        <v>11.6</v>
      </c>
      <c r="FT50" t="str">
        <f t="shared" si="59"/>
        <v>287|287|287</v>
      </c>
    </row>
    <row r="51" spans="7:176">
      <c r="G51">
        <v>50</v>
      </c>
      <c r="H51">
        <f t="shared" si="0"/>
        <v>37.6000000000002</v>
      </c>
      <c r="I51">
        <f t="shared" si="60"/>
        <v>5</v>
      </c>
      <c r="J51">
        <v>6.88000000000001</v>
      </c>
      <c r="K51" s="7" t="str">
        <f t="shared" si="1"/>
        <v>37.6000000000002|37.6000000000002|37.6000000000002|37.6000000000002|37.6000000000002</v>
      </c>
      <c r="L51">
        <f t="shared" si="2"/>
        <v>138</v>
      </c>
      <c r="N51" s="7">
        <v>50</v>
      </c>
      <c r="O51">
        <f t="shared" si="3"/>
        <v>119.666666666667</v>
      </c>
      <c r="P51">
        <f t="shared" si="61"/>
        <v>3</v>
      </c>
      <c r="Q51">
        <v>6.59000000000001</v>
      </c>
      <c r="R51" s="7" t="str">
        <f t="shared" si="4"/>
        <v>119.666666666667|119.666666666667|119.666666666667</v>
      </c>
      <c r="S51">
        <f t="shared" si="5"/>
        <v>220</v>
      </c>
      <c r="U51">
        <v>50</v>
      </c>
      <c r="V51">
        <f t="shared" si="6"/>
        <v>28.875</v>
      </c>
      <c r="W51">
        <f t="shared" si="62"/>
        <v>8</v>
      </c>
      <c r="X51">
        <v>10.31</v>
      </c>
      <c r="Y51" s="7" t="str">
        <f t="shared" si="7"/>
        <v>28.875|28.875|28.875|28.875|28.875|28.875|28.875|28.875</v>
      </c>
      <c r="Z51">
        <f t="shared" si="8"/>
        <v>129</v>
      </c>
      <c r="AA51">
        <f t="shared" si="9"/>
        <v>29.62</v>
      </c>
      <c r="AC51">
        <v>50</v>
      </c>
      <c r="AD51">
        <f t="shared" si="10"/>
        <v>740.999999999999</v>
      </c>
      <c r="AE51">
        <v>1</v>
      </c>
      <c r="AF51">
        <v>8.40999999999999</v>
      </c>
      <c r="AH51">
        <f t="shared" si="12"/>
        <v>841</v>
      </c>
      <c r="AJ51">
        <v>50</v>
      </c>
      <c r="AL51">
        <v>5900</v>
      </c>
      <c r="AM51">
        <v>26.5</v>
      </c>
      <c r="AO51" t="str">
        <f t="shared" si="13"/>
        <v>5900|26.5</v>
      </c>
      <c r="AR51">
        <v>50</v>
      </c>
      <c r="AS51">
        <f t="shared" si="14"/>
        <v>490</v>
      </c>
      <c r="AT51">
        <f t="shared" si="63"/>
        <v>1</v>
      </c>
      <c r="AU51">
        <v>5.9</v>
      </c>
      <c r="AV51">
        <f t="shared" si="15"/>
        <v>590</v>
      </c>
      <c r="AW51" s="10"/>
      <c r="AX51" s="10">
        <v>50</v>
      </c>
      <c r="AY51" s="10">
        <f t="shared" si="16"/>
        <v>1080</v>
      </c>
      <c r="AZ51" s="10"/>
      <c r="BA51" s="10">
        <v>11.8</v>
      </c>
      <c r="BB51">
        <f t="shared" si="17"/>
        <v>1180</v>
      </c>
      <c r="BD51">
        <v>5300</v>
      </c>
      <c r="BE51" s="8" t="s">
        <v>71</v>
      </c>
      <c r="BF51" t="str">
        <f t="shared" si="18"/>
        <v>5300|20</v>
      </c>
      <c r="BH51">
        <v>50</v>
      </c>
      <c r="BI51" s="10">
        <f t="shared" si="19"/>
        <v>90.8000000000002</v>
      </c>
      <c r="BJ51">
        <f t="shared" si="64"/>
        <v>5</v>
      </c>
      <c r="BK51">
        <v>9.54000000000001</v>
      </c>
      <c r="BL51" s="3" t="str">
        <f t="shared" si="20"/>
        <v>90.8000000000002|90.8000000000002|90.8000000000002|90.8000000000002|90.8000000000002</v>
      </c>
      <c r="BM51">
        <f t="shared" si="21"/>
        <v>191</v>
      </c>
      <c r="BN51" s="8">
        <f t="shared" si="65"/>
        <v>19.1</v>
      </c>
      <c r="BO51" s="8">
        <f t="shared" si="66"/>
        <v>28.65</v>
      </c>
      <c r="BP51" s="8">
        <f t="shared" si="67"/>
        <v>38.2</v>
      </c>
      <c r="BQ51" s="8">
        <f t="shared" si="68"/>
        <v>47.75</v>
      </c>
      <c r="BR51" s="8">
        <f t="shared" si="69"/>
        <v>57.3</v>
      </c>
      <c r="BT51">
        <v>50</v>
      </c>
      <c r="BU51">
        <f t="shared" si="22"/>
        <v>440</v>
      </c>
      <c r="BW51">
        <v>10.8</v>
      </c>
      <c r="BX51" s="7" t="str">
        <f t="shared" si="23"/>
        <v>293.333333333333|586.666666666667</v>
      </c>
      <c r="BY51">
        <f t="shared" si="24"/>
        <v>540</v>
      </c>
      <c r="BZ51">
        <f t="shared" si="25"/>
        <v>880</v>
      </c>
      <c r="CA51" s="8">
        <f t="shared" si="26"/>
        <v>293.333333333333</v>
      </c>
      <c r="CB51" s="8">
        <f t="shared" si="27"/>
        <v>586.666666666667</v>
      </c>
      <c r="CD51">
        <v>50</v>
      </c>
      <c r="CE51" s="8">
        <f t="shared" si="28"/>
        <v>490</v>
      </c>
      <c r="CG51">
        <v>5.9</v>
      </c>
      <c r="CH51" s="7">
        <f t="shared" si="29"/>
        <v>490</v>
      </c>
      <c r="CI51">
        <f t="shared" si="30"/>
        <v>590</v>
      </c>
      <c r="CK51">
        <v>50</v>
      </c>
      <c r="CL51">
        <f t="shared" si="31"/>
        <v>692</v>
      </c>
      <c r="CN51">
        <f t="shared" si="32"/>
        <v>7.92</v>
      </c>
      <c r="CO51" s="7">
        <f t="shared" si="33"/>
        <v>692</v>
      </c>
      <c r="CP51">
        <v>295</v>
      </c>
      <c r="CQ51">
        <v>50</v>
      </c>
      <c r="CR51" t="str">
        <f t="shared" si="34"/>
        <v>295|50</v>
      </c>
      <c r="CT51" s="4"/>
      <c r="CV51" s="8">
        <v>84</v>
      </c>
      <c r="CW51">
        <v>50</v>
      </c>
      <c r="CX51" t="str">
        <f t="shared" si="35"/>
        <v>8.00000000000001|8.00000000000001|8.00000000000001|8.00000000000001|8.00000000000001</v>
      </c>
      <c r="CY51">
        <v>5.4</v>
      </c>
      <c r="CZ51">
        <f t="shared" si="70"/>
        <v>5</v>
      </c>
      <c r="DA51">
        <f t="shared" si="36"/>
        <v>8.00000000000001</v>
      </c>
      <c r="DB51" s="8">
        <f t="shared" si="37"/>
        <v>108</v>
      </c>
      <c r="DC51">
        <v>39.4</v>
      </c>
      <c r="DD51" t="str">
        <f t="shared" si="38"/>
        <v>108|39.4</v>
      </c>
      <c r="DF51">
        <v>50</v>
      </c>
      <c r="DG51">
        <v>890</v>
      </c>
      <c r="DI51" s="8">
        <v>-51</v>
      </c>
      <c r="DJ51" s="8">
        <v>-51</v>
      </c>
      <c r="DK51" s="10"/>
      <c r="DL51" s="10">
        <v>50</v>
      </c>
      <c r="DM51">
        <f t="shared" si="39"/>
        <v>755.000000000001</v>
      </c>
      <c r="DN51" s="10"/>
      <c r="DO51" s="10">
        <v>8.55000000000001</v>
      </c>
      <c r="DP51" s="15">
        <v>-50</v>
      </c>
      <c r="DQ51" s="8">
        <f t="shared" si="40"/>
        <v>855</v>
      </c>
      <c r="DR51" s="8">
        <f t="shared" si="41"/>
        <v>50</v>
      </c>
      <c r="DS51" t="str">
        <f t="shared" si="42"/>
        <v>855|50</v>
      </c>
      <c r="DU51">
        <v>50</v>
      </c>
      <c r="DV51" s="10">
        <f t="shared" si="43"/>
        <v>608.000000000001</v>
      </c>
      <c r="DW51">
        <f t="shared" si="71"/>
        <v>1</v>
      </c>
      <c r="DX51">
        <v>7.08000000000001</v>
      </c>
      <c r="DZ51">
        <f t="shared" si="44"/>
        <v>708</v>
      </c>
      <c r="EB51">
        <v>50</v>
      </c>
      <c r="EC51" s="8">
        <f t="shared" si="45"/>
        <v>22.8333333333332</v>
      </c>
      <c r="ED51">
        <f t="shared" si="72"/>
        <v>6</v>
      </c>
      <c r="EE51">
        <v>7.36999999999999</v>
      </c>
      <c r="EF51" s="3" t="str">
        <f t="shared" si="46"/>
        <v>22.8333333333332|22.8333333333332|22.8333333333332|22.8333333333332|22.8333333333332|22.8333333333332</v>
      </c>
      <c r="EG51" s="8">
        <f t="shared" si="47"/>
        <v>123</v>
      </c>
      <c r="EH51" s="3"/>
      <c r="EJ51">
        <v>50</v>
      </c>
      <c r="EK51" s="8">
        <f t="shared" si="48"/>
        <v>-1.66666666666666</v>
      </c>
      <c r="EL51">
        <f t="shared" si="73"/>
        <v>6</v>
      </c>
      <c r="EM51">
        <v>5.9</v>
      </c>
      <c r="EN51" s="3" t="str">
        <f t="shared" si="49"/>
        <v>-1.66666666666666|-1.66666666666666|-1.66666666666666|-1.66666666666666|-1.66666666666666|-1.66666666666666</v>
      </c>
      <c r="EO51" s="8">
        <f t="shared" si="50"/>
        <v>98</v>
      </c>
      <c r="EP51" s="8"/>
      <c r="EQ51" s="8"/>
      <c r="ER51" s="8">
        <f t="shared" si="51"/>
        <v>785</v>
      </c>
      <c r="ES51" s="8">
        <f t="shared" si="74"/>
        <v>1</v>
      </c>
      <c r="ET51">
        <v>8.85</v>
      </c>
      <c r="EU51" s="8"/>
      <c r="EV51" s="8">
        <f t="shared" si="52"/>
        <v>885</v>
      </c>
      <c r="EW51" s="8">
        <f t="shared" si="53"/>
        <v>666.999999999999</v>
      </c>
      <c r="EX51">
        <v>7.66999999999999</v>
      </c>
      <c r="EY51">
        <f t="shared" si="75"/>
        <v>1</v>
      </c>
      <c r="EZ51">
        <v>200.6</v>
      </c>
      <c r="FA51">
        <v>5.03799999999999</v>
      </c>
      <c r="FB51" s="8">
        <f t="shared" si="54"/>
        <v>767</v>
      </c>
      <c r="FC51" t="str">
        <f t="shared" si="55"/>
        <v>666.999999999999|200.6|5.03799999999999</v>
      </c>
      <c r="FE51">
        <v>50</v>
      </c>
      <c r="FF51" s="8">
        <f t="shared" si="56"/>
        <v>1080</v>
      </c>
      <c r="FG51">
        <f t="shared" si="76"/>
        <v>1</v>
      </c>
      <c r="FH51">
        <f t="shared" si="77"/>
        <v>11.8</v>
      </c>
      <c r="FJ51">
        <v>50</v>
      </c>
      <c r="FK51" s="8">
        <f t="shared" si="57"/>
        <v>1080</v>
      </c>
      <c r="FL51" s="8" t="str">
        <f t="shared" si="78"/>
        <v>0|40</v>
      </c>
      <c r="FM51">
        <f t="shared" si="79"/>
        <v>1</v>
      </c>
      <c r="FN51">
        <f t="shared" si="80"/>
        <v>11.8</v>
      </c>
      <c r="FP51">
        <v>50</v>
      </c>
      <c r="FQ51" s="8">
        <f t="shared" si="58"/>
        <v>293</v>
      </c>
      <c r="FR51">
        <f t="shared" si="81"/>
        <v>3</v>
      </c>
      <c r="FS51">
        <f t="shared" si="82"/>
        <v>11.8</v>
      </c>
      <c r="FT51" t="str">
        <f t="shared" si="59"/>
        <v>293|293|293</v>
      </c>
    </row>
    <row r="52" spans="7:176">
      <c r="K52" s="7"/>
      <c r="DI52">
        <v>3</v>
      </c>
      <c r="DJ52">
        <v>0.7</v>
      </c>
      <c r="DM52" s="10">
        <v>0.7</v>
      </c>
      <c r="DO52" s="10">
        <v>0.8</v>
      </c>
      <c r="DP52" s="15">
        <v>1</v>
      </c>
      <c r="DQ52" s="15"/>
      <c r="DR52" s="15"/>
    </row>
    <row r="53" spans="7:176">
      <c r="DH53">
        <v>1.15</v>
      </c>
      <c r="DI53" s="8"/>
      <c r="DJ53" s="8">
        <v>1</v>
      </c>
      <c r="DM53">
        <v>0.7</v>
      </c>
    </row>
    <row r="54" spans="7:176">
      <c r="DI54" s="8"/>
    </row>
    <row r="55" spans="7:176">
      <c r="CE55">
        <v>0.5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workbookViewId="0">
      <selection activeCell="A1" sqref="A1"/>
    </sheetView>
  </sheetViews>
  <sheetFormatPr defaultColWidth="9" defaultRowHeight="14.25"/>
  <cols>
    <col min="1" max="2" width="23.125" customWidth="1"/>
  </cols>
  <sheetData>
    <row r="1" spans="1:1">
      <c r="A1" t="s">
        <v>166</v>
      </c>
    </row>
    <row r="2" spans="1:1">
      <c r="A2" t="s">
        <v>167</v>
      </c>
    </row>
    <row r="3" spans="1:1">
      <c r="A3" t="s">
        <v>168</v>
      </c>
    </row>
    <row r="4" spans="1:1">
      <c r="A4" t="s">
        <v>169</v>
      </c>
    </row>
    <row r="5" spans="1:1">
      <c r="A5" t="s">
        <v>170</v>
      </c>
    </row>
    <row r="6" spans="1:1">
      <c r="A6" t="s">
        <v>171</v>
      </c>
    </row>
    <row r="7" spans="1:1">
      <c r="A7" t="s">
        <v>172</v>
      </c>
    </row>
    <row r="8" spans="1:1">
      <c r="A8" t="s">
        <v>173</v>
      </c>
    </row>
    <row r="9" spans="1:1">
      <c r="A9" t="s">
        <v>174</v>
      </c>
    </row>
    <row r="10" spans="1:1">
      <c r="A10" t="s">
        <v>175</v>
      </c>
    </row>
    <row r="11" spans="1:1">
      <c r="A11" t="s">
        <v>176</v>
      </c>
    </row>
    <row r="12" spans="1:1">
      <c r="A12" t="s">
        <v>178</v>
      </c>
    </row>
    <row r="13" spans="1:1">
      <c r="A13" t="s">
        <v>180</v>
      </c>
    </row>
    <row r="14" spans="1:1">
      <c r="A14" t="s">
        <v>182</v>
      </c>
    </row>
    <row r="15" spans="1:1">
      <c r="A15" t="s">
        <v>184</v>
      </c>
    </row>
    <row r="16" spans="1:1">
      <c r="A16" t="s">
        <v>186</v>
      </c>
    </row>
    <row r="17" spans="1:1">
      <c r="A17" t="s">
        <v>188</v>
      </c>
    </row>
    <row r="18" spans="1:1">
      <c r="A18" t="s">
        <v>190</v>
      </c>
    </row>
    <row r="19" spans="1:1">
      <c r="A19" t="s">
        <v>192</v>
      </c>
    </row>
    <row r="20" spans="1:1">
      <c r="A20" t="s">
        <v>194</v>
      </c>
    </row>
    <row r="21" spans="1:1">
      <c r="A21" t="s">
        <v>196</v>
      </c>
    </row>
    <row r="22" spans="1:1">
      <c r="A22" t="s">
        <v>198</v>
      </c>
    </row>
    <row r="23" spans="1:1">
      <c r="A23" t="s">
        <v>200</v>
      </c>
    </row>
    <row r="24" spans="1:1">
      <c r="A24" t="s">
        <v>202</v>
      </c>
    </row>
    <row r="25" spans="1:1">
      <c r="A25" t="s">
        <v>204</v>
      </c>
    </row>
    <row r="26" spans="1:1">
      <c r="A26" t="s">
        <v>206</v>
      </c>
    </row>
    <row r="27" spans="1:1">
      <c r="A27" t="s">
        <v>208</v>
      </c>
    </row>
    <row r="28" spans="1:1">
      <c r="A28" t="s">
        <v>210</v>
      </c>
    </row>
    <row r="29" spans="1:1">
      <c r="A29" t="s">
        <v>212</v>
      </c>
    </row>
    <row r="30" spans="1:1">
      <c r="A30" t="s">
        <v>214</v>
      </c>
    </row>
    <row r="31" spans="1:1">
      <c r="A31" t="s">
        <v>216</v>
      </c>
    </row>
    <row r="32" spans="1:1">
      <c r="A32" t="s">
        <v>218</v>
      </c>
    </row>
    <row r="33" spans="1:1">
      <c r="A33" t="s">
        <v>220</v>
      </c>
    </row>
    <row r="34" spans="1:1">
      <c r="A34" t="s">
        <v>222</v>
      </c>
    </row>
    <row r="35" spans="1:1">
      <c r="A35" t="s">
        <v>224</v>
      </c>
    </row>
    <row r="36" spans="1:1">
      <c r="A36" t="s">
        <v>226</v>
      </c>
    </row>
    <row r="37" spans="1:1">
      <c r="A37" t="s">
        <v>228</v>
      </c>
    </row>
    <row r="38" spans="1:1">
      <c r="A38" t="s">
        <v>230</v>
      </c>
    </row>
    <row r="39" spans="1:1">
      <c r="A39" t="s">
        <v>232</v>
      </c>
    </row>
    <row r="40" spans="1:1">
      <c r="A40" t="s">
        <v>234</v>
      </c>
    </row>
    <row r="41" spans="1:1">
      <c r="A41" t="s">
        <v>236</v>
      </c>
    </row>
    <row r="42" spans="1:1">
      <c r="A42" t="s">
        <v>238</v>
      </c>
    </row>
    <row r="43" spans="1:1">
      <c r="A43" t="s">
        <v>240</v>
      </c>
    </row>
    <row r="44" spans="1:1">
      <c r="A44" t="s">
        <v>242</v>
      </c>
    </row>
    <row r="45" spans="1:1">
      <c r="A45" t="s">
        <v>244</v>
      </c>
    </row>
    <row r="46" spans="1:1">
      <c r="A46" t="s">
        <v>246</v>
      </c>
    </row>
    <row r="47" spans="1:1">
      <c r="A47" t="s">
        <v>248</v>
      </c>
    </row>
    <row r="48" spans="1:1">
      <c r="A48" t="s">
        <v>250</v>
      </c>
    </row>
    <row r="49" spans="1:1">
      <c r="A49" t="s">
        <v>252</v>
      </c>
    </row>
    <row r="50" spans="1:1">
      <c r="A50" t="s">
        <v>254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53"/>
  <sheetViews>
    <sheetView workbookViewId="0">
      <selection activeCell="C4" sqref="A4:C8"/>
    </sheetView>
  </sheetViews>
  <sheetFormatPr defaultColWidth="9" defaultRowHeight="14.25" outlineLevelCol="4"/>
  <cols>
    <col min="1" max="1" width="16.375" customWidth="1"/>
    <col min="3" max="3" width="19.875" customWidth="1"/>
    <col min="4" max="4" width="31.375" customWidth="1"/>
    <col min="5" max="5" width="39.875" customWidth="1"/>
  </cols>
  <sheetData>
    <row r="4" spans="1:4">
      <c r="A4" s="1" t="s">
        <v>1378</v>
      </c>
      <c r="B4" s="2" t="s">
        <v>13</v>
      </c>
      <c r="C4" s="2" t="s">
        <v>1379</v>
      </c>
      <c r="D4" s="3" t="s">
        <v>1380</v>
      </c>
    </row>
    <row r="5" spans="1:4">
      <c r="A5" s="1" t="s">
        <v>1378</v>
      </c>
      <c r="B5" s="2" t="s">
        <v>17</v>
      </c>
      <c r="C5" s="2" t="s">
        <v>1381</v>
      </c>
      <c r="D5" s="3"/>
    </row>
    <row r="6" spans="1:4">
      <c r="A6" s="1" t="s">
        <v>1378</v>
      </c>
      <c r="B6" s="2" t="s">
        <v>20</v>
      </c>
      <c r="C6" s="2" t="s">
        <v>1382</v>
      </c>
      <c r="D6" s="3"/>
    </row>
    <row r="7" spans="1:4">
      <c r="A7" s="1" t="s">
        <v>1378</v>
      </c>
      <c r="B7" s="2" t="s">
        <v>23</v>
      </c>
      <c r="C7" s="2" t="s">
        <v>1383</v>
      </c>
      <c r="D7" s="3"/>
    </row>
    <row r="8" spans="1:4">
      <c r="A8" s="1" t="s">
        <v>1378</v>
      </c>
      <c r="B8" s="2" t="s">
        <v>26</v>
      </c>
      <c r="C8" s="2" t="s">
        <v>1384</v>
      </c>
      <c r="D8" s="3"/>
    </row>
    <row r="9" spans="1:4">
      <c r="A9" s="1" t="s">
        <v>1378</v>
      </c>
      <c r="B9" s="2" t="s">
        <v>29</v>
      </c>
      <c r="C9" s="2" t="s">
        <v>629</v>
      </c>
      <c r="D9" s="3"/>
    </row>
    <row r="10" spans="1:4">
      <c r="A10" s="1" t="s">
        <v>1378</v>
      </c>
      <c r="B10" s="2" t="s">
        <v>32</v>
      </c>
      <c r="C10" s="2" t="s">
        <v>1385</v>
      </c>
      <c r="D10" s="3"/>
    </row>
    <row r="11" spans="1:4">
      <c r="A11" s="1" t="s">
        <v>1378</v>
      </c>
      <c r="B11" s="2" t="s">
        <v>35</v>
      </c>
      <c r="C11" s="2" t="s">
        <v>1386</v>
      </c>
      <c r="D11" s="3"/>
    </row>
    <row r="12" spans="1:4">
      <c r="A12" s="1" t="s">
        <v>1378</v>
      </c>
      <c r="B12" s="2" t="s">
        <v>38</v>
      </c>
      <c r="C12" s="2" t="s">
        <v>1387</v>
      </c>
      <c r="D12" s="3"/>
    </row>
    <row r="13" spans="1:4">
      <c r="A13" s="1" t="s">
        <v>1378</v>
      </c>
      <c r="B13" s="2" t="s">
        <v>41</v>
      </c>
      <c r="C13" s="2" t="s">
        <v>1388</v>
      </c>
      <c r="D13" s="3"/>
    </row>
    <row r="14" spans="1:4">
      <c r="A14" s="1" t="s">
        <v>1378</v>
      </c>
      <c r="B14" s="2" t="s">
        <v>44</v>
      </c>
      <c r="C14" s="2" t="s">
        <v>1389</v>
      </c>
      <c r="D14" s="3"/>
    </row>
    <row r="15" spans="1:4">
      <c r="A15" s="1" t="s">
        <v>1378</v>
      </c>
      <c r="B15" s="2" t="s">
        <v>47</v>
      </c>
      <c r="C15" s="2" t="s">
        <v>1390</v>
      </c>
      <c r="D15" s="3"/>
    </row>
    <row r="16" spans="1:4">
      <c r="A16" s="1" t="s">
        <v>1378</v>
      </c>
      <c r="B16" s="2" t="s">
        <v>50</v>
      </c>
      <c r="C16" s="2" t="s">
        <v>1391</v>
      </c>
      <c r="D16" s="3"/>
    </row>
    <row r="17" spans="1:4">
      <c r="A17" s="1" t="s">
        <v>1378</v>
      </c>
      <c r="B17" s="2" t="s">
        <v>53</v>
      </c>
      <c r="C17" s="2" t="s">
        <v>1392</v>
      </c>
      <c r="D17" s="3"/>
    </row>
    <row r="18" spans="1:4">
      <c r="A18" s="1" t="s">
        <v>1378</v>
      </c>
      <c r="B18" s="2" t="s">
        <v>56</v>
      </c>
      <c r="C18" s="2" t="s">
        <v>1393</v>
      </c>
      <c r="D18" s="3"/>
    </row>
    <row r="19" spans="1:4">
      <c r="A19" s="1" t="s">
        <v>1378</v>
      </c>
      <c r="B19" s="2" t="s">
        <v>59</v>
      </c>
      <c r="C19" s="2" t="s">
        <v>1394</v>
      </c>
      <c r="D19" s="3"/>
    </row>
    <row r="20" spans="1:4">
      <c r="A20" s="1" t="s">
        <v>1378</v>
      </c>
      <c r="B20" s="2" t="s">
        <v>62</v>
      </c>
      <c r="C20" s="2" t="s">
        <v>1395</v>
      </c>
      <c r="D20" s="3"/>
    </row>
    <row r="21" spans="1:4">
      <c r="A21" s="1" t="s">
        <v>1378</v>
      </c>
      <c r="B21" s="2" t="s">
        <v>65</v>
      </c>
      <c r="C21" s="2" t="s">
        <v>1396</v>
      </c>
      <c r="D21" s="3"/>
    </row>
    <row r="22" spans="1:4">
      <c r="A22" s="1" t="s">
        <v>1378</v>
      </c>
      <c r="B22" s="2" t="s">
        <v>68</v>
      </c>
      <c r="C22" s="2" t="s">
        <v>1397</v>
      </c>
      <c r="D22" s="3"/>
    </row>
    <row r="23" spans="1:4">
      <c r="A23" s="1" t="s">
        <v>1378</v>
      </c>
      <c r="B23" s="2" t="s">
        <v>71</v>
      </c>
      <c r="C23" s="2" t="s">
        <v>1398</v>
      </c>
      <c r="D23" s="3"/>
    </row>
    <row r="24" spans="1:4">
      <c r="A24" s="1" t="s">
        <v>1378</v>
      </c>
      <c r="B24" s="2" t="s">
        <v>74</v>
      </c>
      <c r="C24" s="2" t="s">
        <v>1399</v>
      </c>
      <c r="D24" s="3"/>
    </row>
    <row r="25" spans="1:4">
      <c r="A25" s="1" t="s">
        <v>1378</v>
      </c>
      <c r="B25" s="2" t="s">
        <v>77</v>
      </c>
      <c r="C25" s="2" t="s">
        <v>1400</v>
      </c>
      <c r="D25" s="3"/>
    </row>
    <row r="26" spans="1:4">
      <c r="A26" s="1" t="s">
        <v>1378</v>
      </c>
      <c r="B26" s="2" t="s">
        <v>80</v>
      </c>
      <c r="C26" s="2" t="s">
        <v>1401</v>
      </c>
      <c r="D26" s="3"/>
    </row>
    <row r="27" spans="1:4">
      <c r="A27" s="1" t="s">
        <v>1378</v>
      </c>
      <c r="B27" s="2" t="s">
        <v>83</v>
      </c>
      <c r="C27" s="2" t="s">
        <v>1402</v>
      </c>
      <c r="D27" s="3"/>
    </row>
    <row r="28" spans="1:4">
      <c r="A28" s="1" t="s">
        <v>1378</v>
      </c>
      <c r="B28" s="2" t="s">
        <v>86</v>
      </c>
      <c r="C28" s="4" t="s">
        <v>1403</v>
      </c>
      <c r="D28" s="3"/>
    </row>
    <row r="29" spans="1:4">
      <c r="A29" s="1" t="s">
        <v>1378</v>
      </c>
      <c r="B29" s="2" t="s">
        <v>89</v>
      </c>
      <c r="C29" s="4" t="s">
        <v>1404</v>
      </c>
      <c r="D29" s="3"/>
    </row>
    <row r="30" spans="1:4">
      <c r="A30" s="1" t="s">
        <v>1378</v>
      </c>
      <c r="B30" s="2" t="s">
        <v>92</v>
      </c>
      <c r="C30" s="4" t="s">
        <v>1405</v>
      </c>
      <c r="D30" s="3"/>
    </row>
    <row r="31" spans="1:4">
      <c r="A31" s="1" t="s">
        <v>1378</v>
      </c>
      <c r="B31" s="2" t="s">
        <v>95</v>
      </c>
      <c r="C31" s="4" t="s">
        <v>1406</v>
      </c>
      <c r="D31" s="3"/>
    </row>
    <row r="32" spans="1:4">
      <c r="A32" s="1" t="s">
        <v>1378</v>
      </c>
      <c r="B32" s="2" t="s">
        <v>98</v>
      </c>
      <c r="C32" s="4" t="s">
        <v>1407</v>
      </c>
      <c r="D32" s="3"/>
    </row>
    <row r="33" spans="1:4">
      <c r="A33" s="1" t="s">
        <v>1378</v>
      </c>
      <c r="B33" s="2" t="s">
        <v>101</v>
      </c>
      <c r="C33" s="4" t="s">
        <v>1408</v>
      </c>
      <c r="D33" s="3"/>
    </row>
    <row r="34" spans="1:4">
      <c r="A34" s="1" t="s">
        <v>1378</v>
      </c>
      <c r="B34" s="2" t="s">
        <v>104</v>
      </c>
      <c r="C34" s="4" t="s">
        <v>1409</v>
      </c>
      <c r="D34" s="3"/>
    </row>
    <row r="35" spans="1:4">
      <c r="A35" s="1" t="s">
        <v>1378</v>
      </c>
      <c r="B35" s="2" t="s">
        <v>107</v>
      </c>
      <c r="C35" s="4" t="s">
        <v>1410</v>
      </c>
      <c r="D35" s="3"/>
    </row>
    <row r="36" spans="1:4">
      <c r="A36" s="1" t="s">
        <v>1378</v>
      </c>
      <c r="B36" s="2" t="s">
        <v>110</v>
      </c>
      <c r="C36" s="4" t="s">
        <v>1411</v>
      </c>
      <c r="D36" s="3"/>
    </row>
    <row r="37" spans="1:4">
      <c r="A37" s="1" t="s">
        <v>1378</v>
      </c>
      <c r="B37" s="2" t="s">
        <v>113</v>
      </c>
      <c r="C37" s="4" t="s">
        <v>1412</v>
      </c>
      <c r="D37" s="3"/>
    </row>
    <row r="38" spans="1:4">
      <c r="A38" s="1" t="s">
        <v>1378</v>
      </c>
      <c r="B38" s="2" t="s">
        <v>116</v>
      </c>
      <c r="C38" s="4" t="s">
        <v>1413</v>
      </c>
      <c r="D38" s="3"/>
    </row>
    <row r="39" spans="1:4">
      <c r="A39" s="1" t="s">
        <v>1378</v>
      </c>
      <c r="B39" s="2" t="s">
        <v>119</v>
      </c>
      <c r="C39" s="4" t="s">
        <v>1414</v>
      </c>
      <c r="D39" s="3"/>
    </row>
    <row r="40" spans="1:4">
      <c r="A40" s="1" t="s">
        <v>1378</v>
      </c>
      <c r="B40" s="2" t="s">
        <v>122</v>
      </c>
      <c r="C40" s="4" t="s">
        <v>1415</v>
      </c>
      <c r="D40" s="3"/>
    </row>
    <row r="41" spans="1:4">
      <c r="A41" s="1" t="s">
        <v>1378</v>
      </c>
      <c r="B41" s="2" t="s">
        <v>125</v>
      </c>
      <c r="C41" s="4" t="s">
        <v>1416</v>
      </c>
      <c r="D41" s="3"/>
    </row>
    <row r="42" spans="1:4">
      <c r="A42" s="1" t="s">
        <v>1378</v>
      </c>
      <c r="B42" s="2" t="s">
        <v>128</v>
      </c>
      <c r="C42" s="4" t="s">
        <v>1417</v>
      </c>
      <c r="D42" s="3"/>
    </row>
    <row r="43" spans="1:4">
      <c r="A43" s="1" t="s">
        <v>1378</v>
      </c>
      <c r="B43" s="2" t="s">
        <v>131</v>
      </c>
      <c r="C43" s="4" t="s">
        <v>1418</v>
      </c>
      <c r="D43" s="3"/>
    </row>
    <row r="44" spans="1:4">
      <c r="A44" s="1" t="s">
        <v>1378</v>
      </c>
      <c r="B44" s="2" t="s">
        <v>134</v>
      </c>
      <c r="C44" s="4" t="s">
        <v>1419</v>
      </c>
      <c r="D44" s="3"/>
    </row>
    <row r="45" spans="1:4">
      <c r="A45" s="1" t="s">
        <v>1378</v>
      </c>
      <c r="B45" s="2" t="s">
        <v>137</v>
      </c>
      <c r="C45" s="4" t="s">
        <v>1420</v>
      </c>
      <c r="D45" s="3"/>
    </row>
    <row r="46" spans="1:4">
      <c r="A46" s="1" t="s">
        <v>1378</v>
      </c>
      <c r="B46" s="2" t="s">
        <v>140</v>
      </c>
      <c r="C46" s="4" t="s">
        <v>1421</v>
      </c>
      <c r="D46" s="3"/>
    </row>
    <row r="47" spans="1:4">
      <c r="A47" s="1" t="s">
        <v>1378</v>
      </c>
      <c r="B47" s="2" t="s">
        <v>143</v>
      </c>
      <c r="C47" s="4" t="s">
        <v>1422</v>
      </c>
      <c r="D47" s="3"/>
    </row>
    <row r="48" spans="1:4">
      <c r="A48" s="1" t="s">
        <v>1378</v>
      </c>
      <c r="B48" s="2" t="s">
        <v>146</v>
      </c>
      <c r="C48" s="4" t="s">
        <v>1423</v>
      </c>
      <c r="D48" s="3"/>
    </row>
    <row r="49" spans="1:4">
      <c r="A49" s="1" t="s">
        <v>1378</v>
      </c>
      <c r="B49" s="2" t="s">
        <v>149</v>
      </c>
      <c r="C49" s="4" t="s">
        <v>1424</v>
      </c>
      <c r="D49" s="3"/>
    </row>
    <row r="50" spans="1:4">
      <c r="A50" s="1" t="s">
        <v>1378</v>
      </c>
      <c r="B50" s="2" t="s">
        <v>152</v>
      </c>
      <c r="C50" s="4" t="s">
        <v>1425</v>
      </c>
      <c r="D50" s="3"/>
    </row>
    <row r="51" spans="1:4">
      <c r="A51" s="1" t="s">
        <v>1378</v>
      </c>
      <c r="B51" s="2" t="s">
        <v>155</v>
      </c>
      <c r="C51" s="4" t="s">
        <v>1426</v>
      </c>
      <c r="D51" s="3"/>
    </row>
    <row r="52" spans="1:4">
      <c r="A52" s="1" t="s">
        <v>1378</v>
      </c>
      <c r="B52" s="2" t="s">
        <v>158</v>
      </c>
      <c r="C52" s="4" t="s">
        <v>1427</v>
      </c>
      <c r="D52" s="3"/>
    </row>
    <row r="53" spans="1:4">
      <c r="A53" s="1" t="s">
        <v>1378</v>
      </c>
      <c r="B53" s="2" t="s">
        <v>161</v>
      </c>
      <c r="C53" s="4" t="s">
        <v>1428</v>
      </c>
      <c r="D53" s="3"/>
    </row>
    <row r="54" spans="1:4">
      <c r="A54" s="5" t="s">
        <v>1429</v>
      </c>
      <c r="B54" s="2" t="s">
        <v>13</v>
      </c>
      <c r="C54" s="2" t="s">
        <v>621</v>
      </c>
      <c r="D54" s="3" t="s">
        <v>1430</v>
      </c>
    </row>
    <row r="55" spans="1:4">
      <c r="A55" s="5" t="s">
        <v>1429</v>
      </c>
      <c r="B55" s="2" t="s">
        <v>17</v>
      </c>
      <c r="C55" s="2" t="s">
        <v>1431</v>
      </c>
    </row>
    <row r="56" spans="1:4">
      <c r="A56" s="5" t="s">
        <v>1429</v>
      </c>
      <c r="B56" s="2" t="s">
        <v>20</v>
      </c>
      <c r="C56" s="2" t="s">
        <v>1432</v>
      </c>
    </row>
    <row r="57" spans="1:4">
      <c r="A57" s="5" t="s">
        <v>1429</v>
      </c>
      <c r="B57" s="2" t="s">
        <v>23</v>
      </c>
      <c r="C57" s="2" t="s">
        <v>1433</v>
      </c>
    </row>
    <row r="58" spans="1:4">
      <c r="A58" s="5" t="s">
        <v>1429</v>
      </c>
      <c r="B58" s="2" t="s">
        <v>26</v>
      </c>
      <c r="C58" s="2" t="s">
        <v>1434</v>
      </c>
    </row>
    <row r="59" spans="1:4">
      <c r="A59" s="5" t="s">
        <v>1429</v>
      </c>
      <c r="B59" s="2" t="s">
        <v>29</v>
      </c>
      <c r="C59" s="2" t="s">
        <v>1435</v>
      </c>
    </row>
    <row r="60" spans="1:4">
      <c r="A60" s="5" t="s">
        <v>1429</v>
      </c>
      <c r="B60" s="2" t="s">
        <v>32</v>
      </c>
      <c r="C60" s="2" t="s">
        <v>1436</v>
      </c>
    </row>
    <row r="61" spans="1:4">
      <c r="A61" s="5" t="s">
        <v>1429</v>
      </c>
      <c r="B61" s="2" t="s">
        <v>35</v>
      </c>
      <c r="C61" s="2" t="s">
        <v>1437</v>
      </c>
    </row>
    <row r="62" spans="1:4">
      <c r="A62" s="5" t="s">
        <v>1429</v>
      </c>
      <c r="B62" s="2" t="s">
        <v>38</v>
      </c>
      <c r="C62" s="2" t="s">
        <v>1438</v>
      </c>
    </row>
    <row r="63" spans="1:4">
      <c r="A63" s="5" t="s">
        <v>1429</v>
      </c>
      <c r="B63" s="2" t="s">
        <v>41</v>
      </c>
      <c r="C63" s="2" t="s">
        <v>1439</v>
      </c>
    </row>
    <row r="64" spans="1:4">
      <c r="A64" s="5" t="s">
        <v>1429</v>
      </c>
      <c r="B64" s="2" t="s">
        <v>44</v>
      </c>
      <c r="C64" s="2" t="s">
        <v>1440</v>
      </c>
    </row>
    <row r="65" spans="1:3">
      <c r="A65" s="5" t="s">
        <v>1429</v>
      </c>
      <c r="B65" s="2" t="s">
        <v>47</v>
      </c>
      <c r="C65" s="2" t="s">
        <v>1441</v>
      </c>
    </row>
    <row r="66" spans="1:3">
      <c r="A66" s="5" t="s">
        <v>1429</v>
      </c>
      <c r="B66" s="2" t="s">
        <v>50</v>
      </c>
      <c r="C66" s="2" t="s">
        <v>1442</v>
      </c>
    </row>
    <row r="67" spans="1:3">
      <c r="A67" s="5" t="s">
        <v>1429</v>
      </c>
      <c r="B67" s="2" t="s">
        <v>53</v>
      </c>
      <c r="C67" s="2" t="s">
        <v>1443</v>
      </c>
    </row>
    <row r="68" spans="1:3">
      <c r="A68" s="5" t="s">
        <v>1429</v>
      </c>
      <c r="B68" s="2" t="s">
        <v>56</v>
      </c>
      <c r="C68" s="2" t="s">
        <v>1444</v>
      </c>
    </row>
    <row r="69" spans="1:3">
      <c r="A69" s="5" t="s">
        <v>1429</v>
      </c>
      <c r="B69" s="2" t="s">
        <v>59</v>
      </c>
      <c r="C69" s="2" t="s">
        <v>1445</v>
      </c>
    </row>
    <row r="70" spans="1:3">
      <c r="A70" s="5" t="s">
        <v>1429</v>
      </c>
      <c r="B70" s="2" t="s">
        <v>62</v>
      </c>
      <c r="C70" s="2" t="s">
        <v>1446</v>
      </c>
    </row>
    <row r="71" spans="1:3">
      <c r="A71" s="5" t="s">
        <v>1429</v>
      </c>
      <c r="B71" s="2" t="s">
        <v>65</v>
      </c>
      <c r="C71" s="2" t="s">
        <v>1447</v>
      </c>
    </row>
    <row r="72" spans="1:3">
      <c r="A72" s="5" t="s">
        <v>1429</v>
      </c>
      <c r="B72" s="2" t="s">
        <v>68</v>
      </c>
      <c r="C72" s="2" t="s">
        <v>1448</v>
      </c>
    </row>
    <row r="73" spans="1:3">
      <c r="A73" s="5" t="s">
        <v>1429</v>
      </c>
      <c r="B73" s="2" t="s">
        <v>71</v>
      </c>
      <c r="C73" s="2" t="s">
        <v>1449</v>
      </c>
    </row>
    <row r="74" spans="1:3">
      <c r="A74" s="5" t="s">
        <v>1429</v>
      </c>
      <c r="B74" s="2" t="s">
        <v>74</v>
      </c>
      <c r="C74" s="2" t="s">
        <v>1450</v>
      </c>
    </row>
    <row r="75" spans="1:3">
      <c r="A75" s="5" t="s">
        <v>1429</v>
      </c>
      <c r="B75" s="2" t="s">
        <v>77</v>
      </c>
      <c r="C75" s="2" t="s">
        <v>1391</v>
      </c>
    </row>
    <row r="76" spans="1:3">
      <c r="A76" s="5" t="s">
        <v>1429</v>
      </c>
      <c r="B76" s="2" t="s">
        <v>80</v>
      </c>
      <c r="C76" s="2" t="s">
        <v>1393</v>
      </c>
    </row>
    <row r="77" spans="1:3">
      <c r="A77" s="5" t="s">
        <v>1429</v>
      </c>
      <c r="B77" s="2" t="s">
        <v>83</v>
      </c>
      <c r="C77" s="2" t="s">
        <v>1451</v>
      </c>
    </row>
    <row r="78" spans="1:3">
      <c r="A78" s="5" t="s">
        <v>1429</v>
      </c>
      <c r="B78" s="2" t="s">
        <v>86</v>
      </c>
      <c r="C78" s="2" t="s">
        <v>1452</v>
      </c>
    </row>
    <row r="79" spans="1:3">
      <c r="A79" s="5" t="s">
        <v>1429</v>
      </c>
      <c r="B79" s="2" t="s">
        <v>89</v>
      </c>
      <c r="C79" s="2" t="s">
        <v>1453</v>
      </c>
    </row>
    <row r="80" spans="1:3">
      <c r="A80" s="5" t="s">
        <v>1429</v>
      </c>
      <c r="B80" s="2" t="s">
        <v>92</v>
      </c>
      <c r="C80" s="2" t="s">
        <v>1454</v>
      </c>
    </row>
    <row r="81" spans="1:3">
      <c r="A81" s="5" t="s">
        <v>1429</v>
      </c>
      <c r="B81" s="2" t="s">
        <v>95</v>
      </c>
      <c r="C81" s="2" t="s">
        <v>1455</v>
      </c>
    </row>
    <row r="82" spans="1:3">
      <c r="A82" s="5" t="s">
        <v>1429</v>
      </c>
      <c r="B82" s="2" t="s">
        <v>98</v>
      </c>
      <c r="C82" s="2" t="s">
        <v>1456</v>
      </c>
    </row>
    <row r="83" spans="1:3">
      <c r="A83" s="5" t="s">
        <v>1429</v>
      </c>
      <c r="B83" s="2" t="s">
        <v>101</v>
      </c>
      <c r="C83" s="2" t="s">
        <v>1457</v>
      </c>
    </row>
    <row r="84" spans="1:3">
      <c r="A84" s="5" t="s">
        <v>1429</v>
      </c>
      <c r="B84" s="2" t="s">
        <v>104</v>
      </c>
      <c r="C84" s="2" t="s">
        <v>1458</v>
      </c>
    </row>
    <row r="85" spans="1:3">
      <c r="A85" s="5" t="s">
        <v>1429</v>
      </c>
      <c r="B85" s="2" t="s">
        <v>107</v>
      </c>
      <c r="C85" s="2" t="s">
        <v>1459</v>
      </c>
    </row>
    <row r="86" spans="1:3">
      <c r="A86" s="5" t="s">
        <v>1429</v>
      </c>
      <c r="B86" s="2" t="s">
        <v>110</v>
      </c>
      <c r="C86" s="2" t="s">
        <v>1460</v>
      </c>
    </row>
    <row r="87" spans="1:3">
      <c r="A87" s="5" t="s">
        <v>1429</v>
      </c>
      <c r="B87" s="2" t="s">
        <v>113</v>
      </c>
      <c r="C87" s="2" t="s">
        <v>1461</v>
      </c>
    </row>
    <row r="88" spans="1:3">
      <c r="A88" s="5" t="s">
        <v>1429</v>
      </c>
      <c r="B88" s="2" t="s">
        <v>116</v>
      </c>
      <c r="C88" s="2" t="s">
        <v>1462</v>
      </c>
    </row>
    <row r="89" spans="1:3">
      <c r="A89" s="5" t="s">
        <v>1429</v>
      </c>
      <c r="B89" s="2" t="s">
        <v>119</v>
      </c>
      <c r="C89" s="2" t="s">
        <v>1463</v>
      </c>
    </row>
    <row r="90" spans="1:3">
      <c r="A90" s="5" t="s">
        <v>1429</v>
      </c>
      <c r="B90" s="2" t="s">
        <v>122</v>
      </c>
      <c r="C90" s="2" t="s">
        <v>1464</v>
      </c>
    </row>
    <row r="91" spans="1:3">
      <c r="A91" s="5" t="s">
        <v>1429</v>
      </c>
      <c r="B91" s="2" t="s">
        <v>125</v>
      </c>
      <c r="C91" s="2" t="s">
        <v>1465</v>
      </c>
    </row>
    <row r="92" spans="1:3">
      <c r="A92" s="5" t="s">
        <v>1429</v>
      </c>
      <c r="B92" s="2" t="s">
        <v>128</v>
      </c>
      <c r="C92" s="2" t="s">
        <v>1466</v>
      </c>
    </row>
    <row r="93" spans="1:3">
      <c r="A93" s="5" t="s">
        <v>1429</v>
      </c>
      <c r="B93" s="2" t="s">
        <v>131</v>
      </c>
      <c r="C93" s="2" t="s">
        <v>1467</v>
      </c>
    </row>
    <row r="94" spans="1:3">
      <c r="A94" s="5" t="s">
        <v>1429</v>
      </c>
      <c r="B94" s="2" t="s">
        <v>134</v>
      </c>
      <c r="C94" s="2" t="s">
        <v>1468</v>
      </c>
    </row>
    <row r="95" spans="1:3">
      <c r="A95" s="5" t="s">
        <v>1429</v>
      </c>
      <c r="B95" s="2" t="s">
        <v>137</v>
      </c>
      <c r="C95" s="2" t="s">
        <v>1469</v>
      </c>
    </row>
    <row r="96" spans="1:3">
      <c r="A96" s="5" t="s">
        <v>1429</v>
      </c>
      <c r="B96" s="2" t="s">
        <v>140</v>
      </c>
      <c r="C96" s="2" t="s">
        <v>1470</v>
      </c>
    </row>
    <row r="97" spans="1:4">
      <c r="A97" s="5" t="s">
        <v>1429</v>
      </c>
      <c r="B97" s="2" t="s">
        <v>143</v>
      </c>
      <c r="C97" s="2" t="s">
        <v>1471</v>
      </c>
    </row>
    <row r="98" spans="1:4">
      <c r="A98" s="5" t="s">
        <v>1429</v>
      </c>
      <c r="B98" s="2" t="s">
        <v>146</v>
      </c>
      <c r="C98" s="2" t="s">
        <v>1472</v>
      </c>
    </row>
    <row r="99" spans="1:4">
      <c r="A99" s="5" t="s">
        <v>1429</v>
      </c>
      <c r="B99" s="2" t="s">
        <v>149</v>
      </c>
      <c r="C99" s="2" t="s">
        <v>1473</v>
      </c>
    </row>
    <row r="100" spans="1:4">
      <c r="A100" s="5" t="s">
        <v>1429</v>
      </c>
      <c r="B100" s="2" t="s">
        <v>152</v>
      </c>
      <c r="C100" s="2" t="s">
        <v>1474</v>
      </c>
    </row>
    <row r="101" spans="1:4">
      <c r="A101" s="5" t="s">
        <v>1429</v>
      </c>
      <c r="B101" s="2" t="s">
        <v>155</v>
      </c>
      <c r="C101" s="2" t="s">
        <v>1475</v>
      </c>
    </row>
    <row r="102" spans="1:4">
      <c r="A102" s="5" t="s">
        <v>1429</v>
      </c>
      <c r="B102" s="2" t="s">
        <v>158</v>
      </c>
      <c r="C102" s="2" t="s">
        <v>1476</v>
      </c>
    </row>
    <row r="103" spans="1:4">
      <c r="A103" s="5" t="s">
        <v>1429</v>
      </c>
      <c r="B103" s="2" t="s">
        <v>161</v>
      </c>
      <c r="C103" s="2" t="s">
        <v>1477</v>
      </c>
    </row>
    <row r="104" spans="1:4">
      <c r="A104" s="2" t="s">
        <v>1349</v>
      </c>
      <c r="B104" s="2" t="s">
        <v>13</v>
      </c>
      <c r="C104" s="4" t="s">
        <v>1478</v>
      </c>
      <c r="D104" s="4" t="s">
        <v>1479</v>
      </c>
    </row>
    <row r="105" spans="1:4">
      <c r="A105" s="2" t="s">
        <v>1349</v>
      </c>
      <c r="B105" s="2" t="s">
        <v>17</v>
      </c>
      <c r="C105" s="2" t="s">
        <v>1480</v>
      </c>
    </row>
    <row r="106" spans="1:4">
      <c r="A106" s="2" t="s">
        <v>1349</v>
      </c>
      <c r="B106" s="2" t="s">
        <v>20</v>
      </c>
      <c r="C106" s="2" t="s">
        <v>1481</v>
      </c>
    </row>
    <row r="107" spans="1:4">
      <c r="A107" s="2" t="s">
        <v>1349</v>
      </c>
      <c r="B107" s="2" t="s">
        <v>23</v>
      </c>
      <c r="C107" s="2" t="s">
        <v>1482</v>
      </c>
    </row>
    <row r="108" spans="1:4">
      <c r="A108" s="2" t="s">
        <v>1349</v>
      </c>
      <c r="B108" s="2" t="s">
        <v>26</v>
      </c>
      <c r="C108" s="2" t="s">
        <v>1483</v>
      </c>
    </row>
    <row r="109" spans="1:4">
      <c r="A109" s="2" t="s">
        <v>1349</v>
      </c>
      <c r="B109" s="2" t="s">
        <v>29</v>
      </c>
      <c r="C109" s="2" t="s">
        <v>1484</v>
      </c>
    </row>
    <row r="110" spans="1:4">
      <c r="A110" s="2" t="s">
        <v>1349</v>
      </c>
      <c r="B110" s="2" t="s">
        <v>32</v>
      </c>
      <c r="C110" s="2" t="s">
        <v>1485</v>
      </c>
    </row>
    <row r="111" spans="1:4">
      <c r="A111" s="2" t="s">
        <v>1349</v>
      </c>
      <c r="B111" s="2" t="s">
        <v>35</v>
      </c>
      <c r="C111" s="2" t="s">
        <v>1486</v>
      </c>
    </row>
    <row r="112" spans="1:4">
      <c r="A112" s="2" t="s">
        <v>1349</v>
      </c>
      <c r="B112" s="2" t="s">
        <v>38</v>
      </c>
      <c r="C112" s="2" t="s">
        <v>1487</v>
      </c>
    </row>
    <row r="113" spans="1:3">
      <c r="A113" s="2" t="s">
        <v>1349</v>
      </c>
      <c r="B113" s="2" t="s">
        <v>41</v>
      </c>
      <c r="C113" s="2" t="s">
        <v>1488</v>
      </c>
    </row>
    <row r="114" spans="1:3">
      <c r="A114" s="2" t="s">
        <v>1349</v>
      </c>
      <c r="B114" s="2" t="s">
        <v>44</v>
      </c>
      <c r="C114" s="2" t="s">
        <v>1489</v>
      </c>
    </row>
    <row r="115" spans="1:3">
      <c r="A115" s="2" t="s">
        <v>1349</v>
      </c>
      <c r="B115" s="2" t="s">
        <v>47</v>
      </c>
      <c r="C115" s="2" t="s">
        <v>1490</v>
      </c>
    </row>
    <row r="116" spans="1:3">
      <c r="A116" s="2" t="s">
        <v>1349</v>
      </c>
      <c r="B116" s="2" t="s">
        <v>50</v>
      </c>
      <c r="C116" s="2" t="s">
        <v>1491</v>
      </c>
    </row>
    <row r="117" spans="1:3">
      <c r="A117" s="2" t="s">
        <v>1349</v>
      </c>
      <c r="B117" s="2" t="s">
        <v>53</v>
      </c>
      <c r="C117" s="2" t="s">
        <v>1492</v>
      </c>
    </row>
    <row r="118" spans="1:3">
      <c r="A118" s="2" t="s">
        <v>1349</v>
      </c>
      <c r="B118" s="2" t="s">
        <v>56</v>
      </c>
      <c r="C118" s="2" t="s">
        <v>1493</v>
      </c>
    </row>
    <row r="119" spans="1:3">
      <c r="A119" s="2" t="s">
        <v>1349</v>
      </c>
      <c r="B119" s="2" t="s">
        <v>59</v>
      </c>
      <c r="C119" s="2" t="s">
        <v>1494</v>
      </c>
    </row>
    <row r="120" spans="1:3">
      <c r="A120" s="2" t="s">
        <v>1349</v>
      </c>
      <c r="B120" s="2" t="s">
        <v>62</v>
      </c>
      <c r="C120" s="2" t="s">
        <v>1495</v>
      </c>
    </row>
    <row r="121" spans="1:3">
      <c r="A121" s="2" t="s">
        <v>1349</v>
      </c>
      <c r="B121" s="2" t="s">
        <v>65</v>
      </c>
      <c r="C121" s="2" t="s">
        <v>1496</v>
      </c>
    </row>
    <row r="122" spans="1:3">
      <c r="A122" s="2" t="s">
        <v>1349</v>
      </c>
      <c r="B122" s="2" t="s">
        <v>68</v>
      </c>
      <c r="C122" s="2" t="s">
        <v>1497</v>
      </c>
    </row>
    <row r="123" spans="1:3">
      <c r="A123" s="2" t="s">
        <v>1349</v>
      </c>
      <c r="B123" s="2" t="s">
        <v>71</v>
      </c>
      <c r="C123" s="2" t="s">
        <v>1498</v>
      </c>
    </row>
    <row r="124" spans="1:3">
      <c r="A124" s="2" t="s">
        <v>1349</v>
      </c>
      <c r="B124" s="2" t="s">
        <v>74</v>
      </c>
      <c r="C124" s="2" t="s">
        <v>1499</v>
      </c>
    </row>
    <row r="125" spans="1:3">
      <c r="A125" s="2" t="s">
        <v>1349</v>
      </c>
      <c r="B125" s="2" t="s">
        <v>77</v>
      </c>
      <c r="C125" s="2" t="s">
        <v>1500</v>
      </c>
    </row>
    <row r="126" spans="1:3">
      <c r="A126" s="2" t="s">
        <v>1349</v>
      </c>
      <c r="B126" s="2" t="s">
        <v>80</v>
      </c>
      <c r="C126" s="2" t="s">
        <v>1501</v>
      </c>
    </row>
    <row r="127" spans="1:3">
      <c r="A127" s="2" t="s">
        <v>1349</v>
      </c>
      <c r="B127" s="2" t="s">
        <v>83</v>
      </c>
      <c r="C127" s="2" t="s">
        <v>1502</v>
      </c>
    </row>
    <row r="128" spans="1:3">
      <c r="A128" s="2" t="s">
        <v>1349</v>
      </c>
      <c r="B128" s="2" t="s">
        <v>86</v>
      </c>
      <c r="C128" s="2" t="s">
        <v>1503</v>
      </c>
    </row>
    <row r="129" spans="1:3">
      <c r="A129" s="2" t="s">
        <v>1349</v>
      </c>
      <c r="B129" s="2" t="s">
        <v>89</v>
      </c>
      <c r="C129" s="2" t="s">
        <v>1504</v>
      </c>
    </row>
    <row r="130" spans="1:3">
      <c r="A130" s="2" t="s">
        <v>1349</v>
      </c>
      <c r="B130" s="2" t="s">
        <v>92</v>
      </c>
      <c r="C130" s="2" t="s">
        <v>1505</v>
      </c>
    </row>
    <row r="131" spans="1:3">
      <c r="A131" s="2" t="s">
        <v>1349</v>
      </c>
      <c r="B131" s="2" t="s">
        <v>95</v>
      </c>
      <c r="C131" s="2" t="s">
        <v>1506</v>
      </c>
    </row>
    <row r="132" spans="1:3">
      <c r="A132" s="2" t="s">
        <v>1349</v>
      </c>
      <c r="B132" s="2" t="s">
        <v>98</v>
      </c>
      <c r="C132" s="2" t="s">
        <v>1507</v>
      </c>
    </row>
    <row r="133" spans="1:3">
      <c r="A133" s="2" t="s">
        <v>1349</v>
      </c>
      <c r="B133" s="2" t="s">
        <v>101</v>
      </c>
      <c r="C133" s="2" t="s">
        <v>1508</v>
      </c>
    </row>
    <row r="134" spans="1:3">
      <c r="A134" s="2" t="s">
        <v>1349</v>
      </c>
      <c r="B134" s="2" t="s">
        <v>104</v>
      </c>
      <c r="C134" s="2" t="s">
        <v>1509</v>
      </c>
    </row>
    <row r="135" spans="1:3">
      <c r="A135" s="2" t="s">
        <v>1349</v>
      </c>
      <c r="B135" s="2" t="s">
        <v>107</v>
      </c>
      <c r="C135" s="2" t="s">
        <v>1510</v>
      </c>
    </row>
    <row r="136" spans="1:3">
      <c r="A136" s="2" t="s">
        <v>1349</v>
      </c>
      <c r="B136" s="2" t="s">
        <v>110</v>
      </c>
      <c r="C136" s="2" t="s">
        <v>1511</v>
      </c>
    </row>
    <row r="137" spans="1:3">
      <c r="A137" s="2" t="s">
        <v>1349</v>
      </c>
      <c r="B137" s="2" t="s">
        <v>113</v>
      </c>
      <c r="C137" s="2" t="s">
        <v>1512</v>
      </c>
    </row>
    <row r="138" spans="1:3">
      <c r="A138" s="2" t="s">
        <v>1349</v>
      </c>
      <c r="B138" s="2" t="s">
        <v>116</v>
      </c>
      <c r="C138" s="2" t="s">
        <v>1513</v>
      </c>
    </row>
    <row r="139" spans="1:3">
      <c r="A139" s="2" t="s">
        <v>1349</v>
      </c>
      <c r="B139" s="2" t="s">
        <v>119</v>
      </c>
      <c r="C139" s="2" t="s">
        <v>1514</v>
      </c>
    </row>
    <row r="140" spans="1:3">
      <c r="A140" s="2" t="s">
        <v>1349</v>
      </c>
      <c r="B140" s="2" t="s">
        <v>122</v>
      </c>
      <c r="C140" s="2" t="s">
        <v>1515</v>
      </c>
    </row>
    <row r="141" spans="1:3">
      <c r="A141" s="2" t="s">
        <v>1349</v>
      </c>
      <c r="B141" s="2" t="s">
        <v>125</v>
      </c>
      <c r="C141" s="2" t="s">
        <v>1516</v>
      </c>
    </row>
    <row r="142" spans="1:3">
      <c r="A142" s="2" t="s">
        <v>1349</v>
      </c>
      <c r="B142" s="2" t="s">
        <v>128</v>
      </c>
      <c r="C142" s="2" t="s">
        <v>1517</v>
      </c>
    </row>
    <row r="143" spans="1:3">
      <c r="A143" s="2" t="s">
        <v>1349</v>
      </c>
      <c r="B143" s="2" t="s">
        <v>131</v>
      </c>
      <c r="C143" s="2" t="s">
        <v>1518</v>
      </c>
    </row>
    <row r="144" spans="1:3">
      <c r="A144" s="2" t="s">
        <v>1349</v>
      </c>
      <c r="B144" s="2" t="s">
        <v>134</v>
      </c>
      <c r="C144" s="2" t="s">
        <v>1519</v>
      </c>
    </row>
    <row r="145" spans="1:4">
      <c r="A145" s="2" t="s">
        <v>1349</v>
      </c>
      <c r="B145" s="2" t="s">
        <v>137</v>
      </c>
      <c r="C145" s="2" t="s">
        <v>1520</v>
      </c>
    </row>
    <row r="146" spans="1:4">
      <c r="A146" s="2" t="s">
        <v>1349</v>
      </c>
      <c r="B146" s="2" t="s">
        <v>140</v>
      </c>
      <c r="C146" s="2" t="s">
        <v>1521</v>
      </c>
    </row>
    <row r="147" spans="1:4">
      <c r="A147" s="2" t="s">
        <v>1349</v>
      </c>
      <c r="B147" s="2" t="s">
        <v>143</v>
      </c>
      <c r="C147" s="2" t="s">
        <v>1522</v>
      </c>
    </row>
    <row r="148" spans="1:4">
      <c r="A148" s="2" t="s">
        <v>1349</v>
      </c>
      <c r="B148" s="2" t="s">
        <v>146</v>
      </c>
      <c r="C148" s="2" t="s">
        <v>1523</v>
      </c>
    </row>
    <row r="149" spans="1:4">
      <c r="A149" s="2" t="s">
        <v>1349</v>
      </c>
      <c r="B149" s="2" t="s">
        <v>149</v>
      </c>
      <c r="C149" s="2" t="s">
        <v>1524</v>
      </c>
    </row>
    <row r="150" spans="1:4">
      <c r="A150" s="2" t="s">
        <v>1349</v>
      </c>
      <c r="B150" s="2" t="s">
        <v>152</v>
      </c>
      <c r="C150" s="2" t="s">
        <v>1525</v>
      </c>
    </row>
    <row r="151" spans="1:4">
      <c r="A151" s="2" t="s">
        <v>1349</v>
      </c>
      <c r="B151" s="2" t="s">
        <v>155</v>
      </c>
      <c r="C151" s="2" t="s">
        <v>1526</v>
      </c>
    </row>
    <row r="152" spans="1:4">
      <c r="A152" s="2" t="s">
        <v>1349</v>
      </c>
      <c r="B152" s="2" t="s">
        <v>158</v>
      </c>
      <c r="C152" s="2" t="s">
        <v>1527</v>
      </c>
    </row>
    <row r="153" spans="1:4">
      <c r="A153" s="2" t="s">
        <v>1349</v>
      </c>
      <c r="B153" s="2" t="s">
        <v>161</v>
      </c>
      <c r="C153" s="2" t="s">
        <v>1528</v>
      </c>
    </row>
    <row r="154" spans="1:4">
      <c r="A154" s="6" t="s">
        <v>1529</v>
      </c>
      <c r="B154" s="2" t="s">
        <v>13</v>
      </c>
      <c r="C154" s="2">
        <v>10</v>
      </c>
      <c r="D154" s="3" t="s">
        <v>1530</v>
      </c>
    </row>
    <row r="155" spans="1:4">
      <c r="A155" s="6" t="s">
        <v>1529</v>
      </c>
      <c r="B155" s="2" t="s">
        <v>17</v>
      </c>
      <c r="C155" s="2">
        <v>12</v>
      </c>
    </row>
    <row r="156" spans="1:4">
      <c r="A156" s="6" t="s">
        <v>1529</v>
      </c>
      <c r="B156" s="2" t="s">
        <v>20</v>
      </c>
      <c r="C156" s="2">
        <v>13</v>
      </c>
    </row>
    <row r="157" spans="1:4">
      <c r="A157" s="6" t="s">
        <v>1529</v>
      </c>
      <c r="B157" s="2" t="s">
        <v>23</v>
      </c>
      <c r="C157" s="2">
        <v>15</v>
      </c>
    </row>
    <row r="158" spans="1:4">
      <c r="A158" s="6" t="s">
        <v>1529</v>
      </c>
      <c r="B158" s="2" t="s">
        <v>26</v>
      </c>
      <c r="C158" s="2">
        <v>16</v>
      </c>
    </row>
    <row r="159" spans="1:4">
      <c r="A159" s="6" t="s">
        <v>1529</v>
      </c>
      <c r="B159" s="2" t="s">
        <v>29</v>
      </c>
      <c r="C159" s="2">
        <v>18</v>
      </c>
    </row>
    <row r="160" spans="1:4">
      <c r="A160" s="6" t="s">
        <v>1529</v>
      </c>
      <c r="B160" s="2" t="s">
        <v>32</v>
      </c>
      <c r="C160" s="2">
        <v>19</v>
      </c>
    </row>
    <row r="161" spans="1:3">
      <c r="A161" s="6" t="s">
        <v>1529</v>
      </c>
      <c r="B161" s="2" t="s">
        <v>35</v>
      </c>
      <c r="C161" s="2">
        <v>21</v>
      </c>
    </row>
    <row r="162" spans="1:3">
      <c r="A162" s="6" t="s">
        <v>1529</v>
      </c>
      <c r="B162" s="2" t="s">
        <v>38</v>
      </c>
      <c r="C162" s="2">
        <v>22</v>
      </c>
    </row>
    <row r="163" spans="1:3">
      <c r="A163" s="6" t="s">
        <v>1529</v>
      </c>
      <c r="B163" s="2" t="s">
        <v>41</v>
      </c>
      <c r="C163" s="2">
        <v>24</v>
      </c>
    </row>
    <row r="164" spans="1:3">
      <c r="A164" s="6" t="s">
        <v>1529</v>
      </c>
      <c r="B164" s="2" t="s">
        <v>44</v>
      </c>
      <c r="C164" s="2">
        <v>25</v>
      </c>
    </row>
    <row r="165" spans="1:3">
      <c r="A165" s="6" t="s">
        <v>1529</v>
      </c>
      <c r="B165" s="2" t="s">
        <v>47</v>
      </c>
      <c r="C165" s="2">
        <v>27</v>
      </c>
    </row>
    <row r="166" spans="1:3">
      <c r="A166" s="6" t="s">
        <v>1529</v>
      </c>
      <c r="B166" s="2" t="s">
        <v>50</v>
      </c>
      <c r="C166" s="2">
        <v>28</v>
      </c>
    </row>
    <row r="167" spans="1:3">
      <c r="A167" s="6" t="s">
        <v>1529</v>
      </c>
      <c r="B167" s="2" t="s">
        <v>53</v>
      </c>
      <c r="C167" s="2">
        <v>30</v>
      </c>
    </row>
    <row r="168" spans="1:3">
      <c r="A168" s="6" t="s">
        <v>1529</v>
      </c>
      <c r="B168" s="2" t="s">
        <v>56</v>
      </c>
      <c r="C168" s="2">
        <v>31</v>
      </c>
    </row>
    <row r="169" spans="1:3">
      <c r="A169" s="6" t="s">
        <v>1529</v>
      </c>
      <c r="B169" s="2" t="s">
        <v>59</v>
      </c>
      <c r="C169" s="2">
        <v>33</v>
      </c>
    </row>
    <row r="170" spans="1:3">
      <c r="A170" s="6" t="s">
        <v>1529</v>
      </c>
      <c r="B170" s="2" t="s">
        <v>62</v>
      </c>
      <c r="C170" s="2">
        <v>34</v>
      </c>
    </row>
    <row r="171" spans="1:3">
      <c r="A171" s="6" t="s">
        <v>1529</v>
      </c>
      <c r="B171" s="2" t="s">
        <v>65</v>
      </c>
      <c r="C171" s="2">
        <v>36</v>
      </c>
    </row>
    <row r="172" spans="1:3">
      <c r="A172" s="6" t="s">
        <v>1529</v>
      </c>
      <c r="B172" s="2" t="s">
        <v>68</v>
      </c>
      <c r="C172" s="2">
        <v>37</v>
      </c>
    </row>
    <row r="173" spans="1:3">
      <c r="A173" s="6" t="s">
        <v>1529</v>
      </c>
      <c r="B173" s="2" t="s">
        <v>71</v>
      </c>
      <c r="C173" s="2">
        <v>39</v>
      </c>
    </row>
    <row r="174" spans="1:3">
      <c r="A174" s="6" t="s">
        <v>1529</v>
      </c>
      <c r="B174" s="2" t="s">
        <v>74</v>
      </c>
      <c r="C174" s="2">
        <v>40</v>
      </c>
    </row>
    <row r="175" spans="1:3">
      <c r="A175" s="6" t="s">
        <v>1529</v>
      </c>
      <c r="B175" s="2" t="s">
        <v>77</v>
      </c>
      <c r="C175" s="2">
        <v>42</v>
      </c>
    </row>
    <row r="176" spans="1:3">
      <c r="A176" s="6" t="s">
        <v>1529</v>
      </c>
      <c r="B176" s="2" t="s">
        <v>80</v>
      </c>
      <c r="C176" s="2">
        <v>43</v>
      </c>
    </row>
    <row r="177" spans="1:3">
      <c r="A177" s="6" t="s">
        <v>1529</v>
      </c>
      <c r="B177" s="2" t="s">
        <v>83</v>
      </c>
      <c r="C177" s="2">
        <v>45</v>
      </c>
    </row>
    <row r="178" spans="1:3">
      <c r="A178" s="6" t="s">
        <v>1529</v>
      </c>
      <c r="B178" s="2" t="s">
        <v>86</v>
      </c>
      <c r="C178" s="2">
        <v>46</v>
      </c>
    </row>
    <row r="179" spans="1:3">
      <c r="A179" s="6" t="s">
        <v>1529</v>
      </c>
      <c r="B179" s="2" t="s">
        <v>89</v>
      </c>
      <c r="C179" s="2">
        <v>48</v>
      </c>
    </row>
    <row r="180" spans="1:3">
      <c r="A180" s="6" t="s">
        <v>1529</v>
      </c>
      <c r="B180" s="2" t="s">
        <v>92</v>
      </c>
      <c r="C180" s="2">
        <v>49</v>
      </c>
    </row>
    <row r="181" spans="1:3">
      <c r="A181" s="6" t="s">
        <v>1529</v>
      </c>
      <c r="B181" s="2" t="s">
        <v>95</v>
      </c>
      <c r="C181" s="2">
        <v>51</v>
      </c>
    </row>
    <row r="182" spans="1:3">
      <c r="A182" s="6" t="s">
        <v>1529</v>
      </c>
      <c r="B182" s="2" t="s">
        <v>98</v>
      </c>
      <c r="C182" s="2">
        <v>52</v>
      </c>
    </row>
    <row r="183" spans="1:3">
      <c r="A183" s="6" t="s">
        <v>1529</v>
      </c>
      <c r="B183" s="2" t="s">
        <v>101</v>
      </c>
      <c r="C183" s="2">
        <v>54</v>
      </c>
    </row>
    <row r="184" spans="1:3">
      <c r="A184" s="6" t="s">
        <v>1529</v>
      </c>
      <c r="B184" s="2" t="s">
        <v>104</v>
      </c>
      <c r="C184" s="2">
        <v>55</v>
      </c>
    </row>
    <row r="185" spans="1:3">
      <c r="A185" s="6" t="s">
        <v>1529</v>
      </c>
      <c r="B185" s="2" t="s">
        <v>107</v>
      </c>
      <c r="C185" s="2">
        <v>57</v>
      </c>
    </row>
    <row r="186" spans="1:3">
      <c r="A186" s="6" t="s">
        <v>1529</v>
      </c>
      <c r="B186" s="2" t="s">
        <v>110</v>
      </c>
      <c r="C186" s="2">
        <v>58</v>
      </c>
    </row>
    <row r="187" spans="1:3">
      <c r="A187" s="6" t="s">
        <v>1529</v>
      </c>
      <c r="B187" s="2" t="s">
        <v>113</v>
      </c>
      <c r="C187" s="2">
        <v>60</v>
      </c>
    </row>
    <row r="188" spans="1:3">
      <c r="A188" s="6" t="s">
        <v>1529</v>
      </c>
      <c r="B188" s="2" t="s">
        <v>116</v>
      </c>
      <c r="C188" s="2">
        <v>61</v>
      </c>
    </row>
    <row r="189" spans="1:3">
      <c r="A189" s="6" t="s">
        <v>1529</v>
      </c>
      <c r="B189" s="2" t="s">
        <v>119</v>
      </c>
      <c r="C189" s="2">
        <v>63</v>
      </c>
    </row>
    <row r="190" spans="1:3">
      <c r="A190" s="6" t="s">
        <v>1529</v>
      </c>
      <c r="B190" s="2" t="s">
        <v>122</v>
      </c>
      <c r="C190" s="2">
        <v>64</v>
      </c>
    </row>
    <row r="191" spans="1:3">
      <c r="A191" s="6" t="s">
        <v>1529</v>
      </c>
      <c r="B191" s="2" t="s">
        <v>125</v>
      </c>
      <c r="C191" s="2">
        <v>66</v>
      </c>
    </row>
    <row r="192" spans="1:3">
      <c r="A192" s="6" t="s">
        <v>1529</v>
      </c>
      <c r="B192" s="2" t="s">
        <v>128</v>
      </c>
      <c r="C192" s="2">
        <v>67</v>
      </c>
    </row>
    <row r="193" spans="1:5">
      <c r="A193" s="6" t="s">
        <v>1529</v>
      </c>
      <c r="B193" s="2" t="s">
        <v>131</v>
      </c>
      <c r="C193" s="2">
        <v>69</v>
      </c>
    </row>
    <row r="194" spans="1:5">
      <c r="A194" s="6" t="s">
        <v>1529</v>
      </c>
      <c r="B194" s="2" t="s">
        <v>134</v>
      </c>
      <c r="C194" s="2">
        <v>70</v>
      </c>
    </row>
    <row r="195" spans="1:5">
      <c r="A195" s="6" t="s">
        <v>1529</v>
      </c>
      <c r="B195" s="2" t="s">
        <v>137</v>
      </c>
      <c r="C195" s="2">
        <v>72</v>
      </c>
    </row>
    <row r="196" spans="1:5">
      <c r="A196" s="6" t="s">
        <v>1529</v>
      </c>
      <c r="B196" s="2" t="s">
        <v>140</v>
      </c>
      <c r="C196" s="2">
        <v>73</v>
      </c>
    </row>
    <row r="197" spans="1:5">
      <c r="A197" s="6" t="s">
        <v>1529</v>
      </c>
      <c r="B197" s="2" t="s">
        <v>143</v>
      </c>
      <c r="C197" s="2">
        <v>75</v>
      </c>
    </row>
    <row r="198" spans="1:5">
      <c r="A198" s="6" t="s">
        <v>1529</v>
      </c>
      <c r="B198" s="2" t="s">
        <v>146</v>
      </c>
      <c r="C198" s="2">
        <v>76</v>
      </c>
    </row>
    <row r="199" spans="1:5">
      <c r="A199" s="6" t="s">
        <v>1529</v>
      </c>
      <c r="B199" s="2" t="s">
        <v>149</v>
      </c>
      <c r="C199" s="2">
        <v>78</v>
      </c>
    </row>
    <row r="200" spans="1:5">
      <c r="A200" s="6" t="s">
        <v>1529</v>
      </c>
      <c r="B200" s="2" t="s">
        <v>152</v>
      </c>
      <c r="C200" s="2">
        <v>79</v>
      </c>
    </row>
    <row r="201" spans="1:5">
      <c r="A201" s="6" t="s">
        <v>1529</v>
      </c>
      <c r="B201" s="2" t="s">
        <v>155</v>
      </c>
      <c r="C201" s="2">
        <v>81</v>
      </c>
    </row>
    <row r="202" spans="1:5">
      <c r="A202" s="6" t="s">
        <v>1529</v>
      </c>
      <c r="B202" s="2" t="s">
        <v>158</v>
      </c>
      <c r="C202" s="2">
        <v>82</v>
      </c>
    </row>
    <row r="203" spans="1:5">
      <c r="A203" s="6" t="s">
        <v>1529</v>
      </c>
      <c r="B203" s="2" t="s">
        <v>161</v>
      </c>
      <c r="C203" s="2">
        <v>84</v>
      </c>
    </row>
    <row r="204" spans="1:5">
      <c r="A204" s="1" t="s">
        <v>1531</v>
      </c>
      <c r="B204" s="2" t="s">
        <v>13</v>
      </c>
      <c r="C204" s="2" t="s">
        <v>671</v>
      </c>
      <c r="D204" t="s">
        <v>161</v>
      </c>
      <c r="E204" s="3" t="s">
        <v>1532</v>
      </c>
    </row>
    <row r="205" spans="1:5">
      <c r="A205" s="1" t="s">
        <v>1531</v>
      </c>
      <c r="B205" s="2" t="s">
        <v>17</v>
      </c>
      <c r="C205" s="2" t="s">
        <v>1533</v>
      </c>
      <c r="D205" t="s">
        <v>1534</v>
      </c>
    </row>
    <row r="206" spans="1:5">
      <c r="A206" s="1" t="s">
        <v>1531</v>
      </c>
      <c r="B206" s="2" t="s">
        <v>20</v>
      </c>
      <c r="C206" s="2" t="s">
        <v>1533</v>
      </c>
      <c r="D206" t="s">
        <v>1535</v>
      </c>
    </row>
    <row r="207" spans="1:5">
      <c r="A207" s="1" t="s">
        <v>1531</v>
      </c>
      <c r="B207" s="2" t="s">
        <v>23</v>
      </c>
      <c r="C207" s="2" t="s">
        <v>1001</v>
      </c>
      <c r="D207" t="s">
        <v>1536</v>
      </c>
    </row>
    <row r="208" spans="1:5">
      <c r="A208" s="1" t="s">
        <v>1531</v>
      </c>
      <c r="B208" s="2" t="s">
        <v>26</v>
      </c>
      <c r="C208" s="2" t="s">
        <v>1537</v>
      </c>
      <c r="D208" t="s">
        <v>1538</v>
      </c>
    </row>
    <row r="209" spans="1:4">
      <c r="A209" s="1" t="s">
        <v>1531</v>
      </c>
      <c r="B209" s="2" t="s">
        <v>29</v>
      </c>
      <c r="C209" s="2" t="s">
        <v>1537</v>
      </c>
      <c r="D209" t="s">
        <v>177</v>
      </c>
    </row>
    <row r="210" spans="1:4">
      <c r="A210" s="1" t="s">
        <v>1531</v>
      </c>
      <c r="B210" s="2" t="s">
        <v>32</v>
      </c>
      <c r="C210" s="2" t="s">
        <v>1003</v>
      </c>
      <c r="D210" t="s">
        <v>1539</v>
      </c>
    </row>
    <row r="211" spans="1:4">
      <c r="A211" s="1" t="s">
        <v>1531</v>
      </c>
      <c r="B211" s="2" t="s">
        <v>35</v>
      </c>
      <c r="C211" s="2" t="s">
        <v>1540</v>
      </c>
      <c r="D211" t="s">
        <v>1541</v>
      </c>
    </row>
    <row r="212" spans="1:4">
      <c r="A212" s="1" t="s">
        <v>1531</v>
      </c>
      <c r="B212" s="2" t="s">
        <v>38</v>
      </c>
      <c r="C212" s="2" t="s">
        <v>1540</v>
      </c>
      <c r="D212" t="s">
        <v>1542</v>
      </c>
    </row>
    <row r="213" spans="1:4">
      <c r="A213" s="1" t="s">
        <v>1531</v>
      </c>
      <c r="B213" s="2" t="s">
        <v>41</v>
      </c>
      <c r="C213" s="2" t="s">
        <v>1005</v>
      </c>
      <c r="D213" t="s">
        <v>1543</v>
      </c>
    </row>
    <row r="214" spans="1:4">
      <c r="A214" s="1" t="s">
        <v>1531</v>
      </c>
      <c r="B214" s="2" t="s">
        <v>44</v>
      </c>
      <c r="C214" s="2" t="s">
        <v>1544</v>
      </c>
      <c r="D214" t="s">
        <v>179</v>
      </c>
    </row>
    <row r="215" spans="1:4">
      <c r="A215" s="1" t="s">
        <v>1531</v>
      </c>
      <c r="B215" s="2" t="s">
        <v>47</v>
      </c>
      <c r="C215" s="2" t="s">
        <v>1544</v>
      </c>
      <c r="D215" t="s">
        <v>1545</v>
      </c>
    </row>
    <row r="216" spans="1:4">
      <c r="A216" s="1" t="s">
        <v>1531</v>
      </c>
      <c r="B216" s="2" t="s">
        <v>50</v>
      </c>
      <c r="C216" s="2" t="s">
        <v>1007</v>
      </c>
      <c r="D216" t="s">
        <v>1546</v>
      </c>
    </row>
    <row r="217" spans="1:4">
      <c r="A217" s="1" t="s">
        <v>1531</v>
      </c>
      <c r="B217" s="2" t="s">
        <v>53</v>
      </c>
      <c r="C217" s="2" t="s">
        <v>1007</v>
      </c>
      <c r="D217" t="s">
        <v>1547</v>
      </c>
    </row>
    <row r="218" spans="1:4">
      <c r="A218" s="1" t="s">
        <v>1531</v>
      </c>
      <c r="B218" s="2" t="s">
        <v>56</v>
      </c>
      <c r="C218" s="2" t="s">
        <v>1548</v>
      </c>
      <c r="D218" t="s">
        <v>1549</v>
      </c>
    </row>
    <row r="219" spans="1:4">
      <c r="A219" s="1" t="s">
        <v>1531</v>
      </c>
      <c r="B219" s="2" t="s">
        <v>59</v>
      </c>
      <c r="C219" s="2" t="s">
        <v>474</v>
      </c>
      <c r="D219" t="s">
        <v>181</v>
      </c>
    </row>
    <row r="220" spans="1:4">
      <c r="A220" s="1" t="s">
        <v>1531</v>
      </c>
      <c r="B220" s="2" t="s">
        <v>62</v>
      </c>
      <c r="C220" s="2" t="s">
        <v>474</v>
      </c>
      <c r="D220" t="s">
        <v>1550</v>
      </c>
    </row>
    <row r="221" spans="1:4">
      <c r="A221" s="1" t="s">
        <v>1531</v>
      </c>
      <c r="B221" s="2" t="s">
        <v>65</v>
      </c>
      <c r="C221" s="2" t="s">
        <v>1551</v>
      </c>
      <c r="D221" t="s">
        <v>1552</v>
      </c>
    </row>
    <row r="222" spans="1:4">
      <c r="A222" s="1" t="s">
        <v>1531</v>
      </c>
      <c r="B222" s="2" t="s">
        <v>68</v>
      </c>
      <c r="C222" s="2" t="s">
        <v>1010</v>
      </c>
      <c r="D222" t="s">
        <v>1553</v>
      </c>
    </row>
    <row r="223" spans="1:4">
      <c r="A223" s="1" t="s">
        <v>1531</v>
      </c>
      <c r="B223" s="2" t="s">
        <v>71</v>
      </c>
      <c r="C223" s="2" t="s">
        <v>1010</v>
      </c>
      <c r="D223" t="s">
        <v>1554</v>
      </c>
    </row>
    <row r="224" spans="1:4">
      <c r="A224" s="1" t="s">
        <v>1531</v>
      </c>
      <c r="B224" s="2" t="s">
        <v>74</v>
      </c>
      <c r="C224" s="2" t="s">
        <v>1555</v>
      </c>
      <c r="D224" t="s">
        <v>183</v>
      </c>
    </row>
    <row r="225" spans="1:4">
      <c r="A225" s="1" t="s">
        <v>1531</v>
      </c>
      <c r="B225" s="2" t="s">
        <v>77</v>
      </c>
      <c r="C225" s="2" t="s">
        <v>1012</v>
      </c>
      <c r="D225" t="s">
        <v>1556</v>
      </c>
    </row>
    <row r="226" spans="1:4">
      <c r="A226" s="1" t="s">
        <v>1531</v>
      </c>
      <c r="B226" s="2" t="s">
        <v>80</v>
      </c>
      <c r="C226" s="2" t="s">
        <v>1012</v>
      </c>
      <c r="D226" t="s">
        <v>1557</v>
      </c>
    </row>
    <row r="227" spans="1:4">
      <c r="A227" s="1" t="s">
        <v>1531</v>
      </c>
      <c r="B227" s="2" t="s">
        <v>83</v>
      </c>
      <c r="C227" s="2" t="s">
        <v>1558</v>
      </c>
      <c r="D227" t="s">
        <v>1559</v>
      </c>
    </row>
    <row r="228" spans="1:4">
      <c r="A228" s="1" t="s">
        <v>1531</v>
      </c>
      <c r="B228" s="2" t="s">
        <v>86</v>
      </c>
      <c r="C228" s="2" t="s">
        <v>681</v>
      </c>
      <c r="D228" t="s">
        <v>1560</v>
      </c>
    </row>
    <row r="229" spans="1:4">
      <c r="A229" s="1" t="s">
        <v>1531</v>
      </c>
      <c r="B229" s="2" t="s">
        <v>89</v>
      </c>
      <c r="C229" s="2" t="s">
        <v>681</v>
      </c>
      <c r="D229" t="s">
        <v>185</v>
      </c>
    </row>
    <row r="230" spans="1:4">
      <c r="A230" s="1" t="s">
        <v>1531</v>
      </c>
      <c r="B230" s="2" t="s">
        <v>92</v>
      </c>
      <c r="C230" s="2" t="s">
        <v>1561</v>
      </c>
      <c r="D230" t="s">
        <v>1562</v>
      </c>
    </row>
    <row r="231" spans="1:4">
      <c r="A231" s="1" t="s">
        <v>1531</v>
      </c>
      <c r="B231" s="2" t="s">
        <v>95</v>
      </c>
      <c r="C231" s="2" t="s">
        <v>1015</v>
      </c>
      <c r="D231" t="s">
        <v>1563</v>
      </c>
    </row>
    <row r="232" spans="1:4">
      <c r="A232" s="1" t="s">
        <v>1531</v>
      </c>
      <c r="B232" s="2" t="s">
        <v>98</v>
      </c>
      <c r="C232" s="2" t="s">
        <v>1015</v>
      </c>
      <c r="D232" t="s">
        <v>1564</v>
      </c>
    </row>
    <row r="233" spans="1:4">
      <c r="A233" s="1" t="s">
        <v>1531</v>
      </c>
      <c r="B233" s="2" t="s">
        <v>101</v>
      </c>
      <c r="C233" s="2" t="s">
        <v>1565</v>
      </c>
      <c r="D233" t="s">
        <v>1566</v>
      </c>
    </row>
    <row r="234" spans="1:4">
      <c r="A234" s="1" t="s">
        <v>1531</v>
      </c>
      <c r="B234" s="2" t="s">
        <v>104</v>
      </c>
      <c r="C234" s="2" t="s">
        <v>1017</v>
      </c>
      <c r="D234" t="s">
        <v>187</v>
      </c>
    </row>
    <row r="235" spans="1:4">
      <c r="A235" s="1" t="s">
        <v>1531</v>
      </c>
      <c r="B235" s="2" t="s">
        <v>107</v>
      </c>
      <c r="C235" s="2" t="s">
        <v>1017</v>
      </c>
      <c r="D235" t="s">
        <v>1567</v>
      </c>
    </row>
    <row r="236" spans="1:4">
      <c r="A236" s="1" t="s">
        <v>1531</v>
      </c>
      <c r="B236" s="2" t="s">
        <v>110</v>
      </c>
      <c r="C236" s="2" t="s">
        <v>1568</v>
      </c>
      <c r="D236" t="s">
        <v>1569</v>
      </c>
    </row>
    <row r="237" spans="1:4">
      <c r="A237" s="1" t="s">
        <v>1531</v>
      </c>
      <c r="B237" s="2" t="s">
        <v>113</v>
      </c>
      <c r="C237" s="2" t="s">
        <v>1568</v>
      </c>
      <c r="D237" t="s">
        <v>1570</v>
      </c>
    </row>
    <row r="238" spans="1:4">
      <c r="A238" s="1" t="s">
        <v>1531</v>
      </c>
      <c r="B238" s="2" t="s">
        <v>116</v>
      </c>
      <c r="C238" s="2" t="s">
        <v>479</v>
      </c>
      <c r="D238" t="s">
        <v>1571</v>
      </c>
    </row>
    <row r="239" spans="1:4">
      <c r="A239" s="1" t="s">
        <v>1531</v>
      </c>
      <c r="B239" s="2" t="s">
        <v>119</v>
      </c>
      <c r="C239" s="2" t="s">
        <v>1572</v>
      </c>
      <c r="D239" t="s">
        <v>189</v>
      </c>
    </row>
    <row r="240" spans="1:4">
      <c r="A240" s="1" t="s">
        <v>1531</v>
      </c>
      <c r="B240" s="2" t="s">
        <v>122</v>
      </c>
      <c r="C240" s="2" t="s">
        <v>1572</v>
      </c>
      <c r="D240" t="s">
        <v>1573</v>
      </c>
    </row>
    <row r="241" spans="1:4">
      <c r="A241" s="1" t="s">
        <v>1531</v>
      </c>
      <c r="B241" s="2" t="s">
        <v>125</v>
      </c>
      <c r="C241" s="2" t="s">
        <v>1020</v>
      </c>
      <c r="D241" t="s">
        <v>1574</v>
      </c>
    </row>
    <row r="242" spans="1:4">
      <c r="A242" s="1" t="s">
        <v>1531</v>
      </c>
      <c r="B242" s="2" t="s">
        <v>128</v>
      </c>
      <c r="C242" s="2" t="s">
        <v>1575</v>
      </c>
      <c r="D242" t="s">
        <v>1576</v>
      </c>
    </row>
    <row r="243" spans="1:4">
      <c r="A243" s="1" t="s">
        <v>1531</v>
      </c>
      <c r="B243" s="2" t="s">
        <v>131</v>
      </c>
      <c r="C243" s="2" t="s">
        <v>1575</v>
      </c>
      <c r="D243" t="s">
        <v>1577</v>
      </c>
    </row>
    <row r="244" spans="1:4">
      <c r="A244" s="1" t="s">
        <v>1531</v>
      </c>
      <c r="B244" s="2" t="s">
        <v>134</v>
      </c>
      <c r="C244" s="2" t="s">
        <v>1022</v>
      </c>
      <c r="D244" t="s">
        <v>191</v>
      </c>
    </row>
    <row r="245" spans="1:4">
      <c r="A245" s="1" t="s">
        <v>1531</v>
      </c>
      <c r="B245" s="2" t="s">
        <v>137</v>
      </c>
      <c r="C245" s="2" t="s">
        <v>1578</v>
      </c>
      <c r="D245" t="s">
        <v>1579</v>
      </c>
    </row>
    <row r="246" spans="1:4">
      <c r="A246" s="1" t="s">
        <v>1531</v>
      </c>
      <c r="B246" s="2" t="s">
        <v>140</v>
      </c>
      <c r="C246" s="2" t="s">
        <v>1578</v>
      </c>
      <c r="D246" t="s">
        <v>1580</v>
      </c>
    </row>
    <row r="247" spans="1:4">
      <c r="A247" s="1" t="s">
        <v>1531</v>
      </c>
      <c r="B247" s="2" t="s">
        <v>143</v>
      </c>
      <c r="C247" s="2" t="s">
        <v>1024</v>
      </c>
      <c r="D247" t="s">
        <v>1581</v>
      </c>
    </row>
    <row r="248" spans="1:4">
      <c r="A248" s="1" t="s">
        <v>1531</v>
      </c>
      <c r="B248" s="2" t="s">
        <v>146</v>
      </c>
      <c r="C248" s="2" t="s">
        <v>1582</v>
      </c>
      <c r="D248" t="s">
        <v>1583</v>
      </c>
    </row>
    <row r="249" spans="1:4">
      <c r="A249" s="1" t="s">
        <v>1531</v>
      </c>
      <c r="B249" s="2" t="s">
        <v>149</v>
      </c>
      <c r="C249" s="2" t="s">
        <v>1582</v>
      </c>
      <c r="D249" t="s">
        <v>193</v>
      </c>
    </row>
    <row r="250" spans="1:4">
      <c r="A250" s="1" t="s">
        <v>1531</v>
      </c>
      <c r="B250" s="2" t="s">
        <v>152</v>
      </c>
      <c r="C250" s="2" t="s">
        <v>1026</v>
      </c>
      <c r="D250" t="s">
        <v>1584</v>
      </c>
    </row>
    <row r="251" spans="1:4">
      <c r="A251" s="1" t="s">
        <v>1531</v>
      </c>
      <c r="B251" s="2" t="s">
        <v>155</v>
      </c>
      <c r="C251" s="2" t="s">
        <v>1585</v>
      </c>
      <c r="D251" t="s">
        <v>1586</v>
      </c>
    </row>
    <row r="252" spans="1:4">
      <c r="A252" s="1" t="s">
        <v>1531</v>
      </c>
      <c r="B252" s="2" t="s">
        <v>158</v>
      </c>
      <c r="C252" s="2" t="s">
        <v>1585</v>
      </c>
      <c r="D252" t="s">
        <v>1587</v>
      </c>
    </row>
    <row r="253" spans="1:4">
      <c r="A253" s="1" t="s">
        <v>1531</v>
      </c>
      <c r="B253" s="2" t="s">
        <v>161</v>
      </c>
      <c r="C253" s="2" t="s">
        <v>691</v>
      </c>
      <c r="D253" t="s">
        <v>195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消耗</vt:lpstr>
      <vt:lpstr>效果说明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2026-01-23T02:57:25Z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ECF209C09F6F4DF485D473777254B707_12</vt:lpwstr>
  </property>
  <property fmtid="{D5CDD505-2E9C-101B-9397-08002B2CF9AE}" pid="4" name="CalculationRule">
    <vt:i4>0</vt:i4>
  </property>
</Properties>
</file>