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  <sheet name="公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<sst xmlns="http://schemas.openxmlformats.org/spreadsheetml/2006/main" count="974" uniqueCount="360">
  <si>
    <t>##var</t>
  </si>
  <si>
    <t>id</t>
  </si>
  <si>
    <t>des</t>
  </si>
  <si>
    <t>taoFaType</t>
  </si>
  <si>
    <t>level</t>
  </si>
  <si>
    <t>relevantLevel</t>
  </si>
  <si>
    <t>miJingId</t>
  </si>
  <si>
    <t>week135enemy</t>
  </si>
  <si>
    <t>week135possibleBook</t>
  </si>
  <si>
    <t>week135bookNum</t>
  </si>
  <si>
    <t>week135Mat</t>
  </si>
  <si>
    <t>week135MatNum</t>
  </si>
  <si>
    <t>week246enemy</t>
  </si>
  <si>
    <t>week246possibleBook</t>
  </si>
  <si>
    <t>week246bookNum</t>
  </si>
  <si>
    <t>week246Mat</t>
  </si>
  <si>
    <t>week246MatNum</t>
  </si>
  <si>
    <t>week7enemy</t>
  </si>
  <si>
    <t>week7possibleBook</t>
  </si>
  <si>
    <t>week7bookNum</t>
  </si>
  <si>
    <t>week7Mat</t>
  </si>
  <si>
    <t>week7MatNum</t>
  </si>
  <si>
    <t>##type</t>
  </si>
  <si>
    <t>string</t>
  </si>
  <si>
    <t>##</t>
  </si>
  <si>
    <t>焦土深渊Lv1</t>
  </si>
  <si>
    <t>1</t>
  </si>
  <si>
    <t>15</t>
  </si>
  <si>
    <t>30035</t>
  </si>
  <si>
    <t>100|1$80|2$60|4</t>
  </si>
  <si>
    <t>121002|121004|121006</t>
  </si>
  <si>
    <t>121003|121005|121007</t>
  </si>
  <si>
    <t>100|2$80|4$60|8</t>
  </si>
  <si>
    <t>121002|121003|121004|121005|121006|121007</t>
  </si>
  <si>
    <t>焦土深渊Lv2</t>
  </si>
  <si>
    <t>25</t>
  </si>
  <si>
    <t>100|3$80|5$60|8</t>
  </si>
  <si>
    <t>100|6$80|10$60|16</t>
  </si>
  <si>
    <t>焦土深渊Lv3</t>
  </si>
  <si>
    <t>35</t>
  </si>
  <si>
    <t>100|5$80|8$60|12</t>
  </si>
  <si>
    <t>100|10$80|16$60|24</t>
  </si>
  <si>
    <t>焦土深渊Lv4</t>
  </si>
  <si>
    <t>45</t>
  </si>
  <si>
    <t>100|7$80|11$60|16</t>
  </si>
  <si>
    <t>122002|122004|122006</t>
  </si>
  <si>
    <t>122003|122005|122007</t>
  </si>
  <si>
    <t>100|14$80|22$60|32</t>
  </si>
  <si>
    <t>122002|122003|122004|122005|122006|122007</t>
  </si>
  <si>
    <t>焦土深渊Lv5</t>
  </si>
  <si>
    <t>55</t>
  </si>
  <si>
    <t>100|9$80|14$60|20</t>
  </si>
  <si>
    <t>100|18$80|28$60|40</t>
  </si>
  <si>
    <t>焦土深渊Lv6</t>
  </si>
  <si>
    <t>65</t>
  </si>
  <si>
    <t>100|11$80|17$60|24</t>
  </si>
  <si>
    <t>100|22$80|34$60|48</t>
  </si>
  <si>
    <t>焦土深渊Lv7</t>
  </si>
  <si>
    <t>75</t>
  </si>
  <si>
    <t>100|13$80|20$60|28</t>
  </si>
  <si>
    <t>123002|123004|123006</t>
  </si>
  <si>
    <t>123003|123005|123007</t>
  </si>
  <si>
    <t>100|26$80|40$60|56</t>
  </si>
  <si>
    <t>123002|123003|123004|123005|123006|123007</t>
  </si>
  <si>
    <t>焦土深渊Lv8</t>
  </si>
  <si>
    <t>85</t>
  </si>
  <si>
    <t>100|15$80|23$60|32</t>
  </si>
  <si>
    <t>100|30$80|46$60|64</t>
  </si>
  <si>
    <t>焦土深渊Lv9</t>
  </si>
  <si>
    <t>95</t>
  </si>
  <si>
    <t>100|17$80|26$60|36</t>
  </si>
  <si>
    <t>100|34$80|52$60|72</t>
  </si>
  <si>
    <t>焦土深渊Lv10</t>
  </si>
  <si>
    <t>105</t>
  </si>
  <si>
    <t>100|19$80|29$60|40</t>
  </si>
  <si>
    <t>124002|124004|124006</t>
  </si>
  <si>
    <t>124003|124005|124007</t>
  </si>
  <si>
    <t>100|38$80|58$60|80</t>
  </si>
  <si>
    <t>124002|124003|124004|124005|124006|124007</t>
  </si>
  <si>
    <t>焦土深渊Lv11</t>
  </si>
  <si>
    <t>115</t>
  </si>
  <si>
    <t>100|21$80|32$60|44</t>
  </si>
  <si>
    <t>100|42$80|64$60|88</t>
  </si>
  <si>
    <t>焦土深渊Lv12</t>
  </si>
  <si>
    <t>125</t>
  </si>
  <si>
    <t>100|23$80|35$60|48</t>
  </si>
  <si>
    <t>100|46$80|70$60|96</t>
  </si>
  <si>
    <t>焦土深渊Lv13</t>
  </si>
  <si>
    <t>135</t>
  </si>
  <si>
    <t>100|25$80|38$60|52</t>
  </si>
  <si>
    <t>125002|125004|125006</t>
  </si>
  <si>
    <t>125003|125005|125007</t>
  </si>
  <si>
    <t>100|50$80|76$60|104</t>
  </si>
  <si>
    <t>125002|125003|125004|125005|125006|125007</t>
  </si>
  <si>
    <t>焦土深渊Lv14</t>
  </si>
  <si>
    <t>145</t>
  </si>
  <si>
    <t>100|27$80|41$60|56</t>
  </si>
  <si>
    <t>100|54$80|82$60|112</t>
  </si>
  <si>
    <t>焦土深渊Lv15</t>
  </si>
  <si>
    <t>155</t>
  </si>
  <si>
    <t>100|29$80|44$60|60</t>
  </si>
  <si>
    <t>100|58$80|88$60|120</t>
  </si>
  <si>
    <t>20001</t>
  </si>
  <si>
    <t>尘埃峡谷Lv1</t>
  </si>
  <si>
    <t>2</t>
  </si>
  <si>
    <t>16</t>
  </si>
  <si>
    <t>10002</t>
  </si>
  <si>
    <t>30050</t>
  </si>
  <si>
    <t>131001|131101|131201</t>
  </si>
  <si>
    <t>131301|131401|131501</t>
  </si>
  <si>
    <t>131001|131101|131201|131301|131401|131501</t>
  </si>
  <si>
    <t>20002</t>
  </si>
  <si>
    <t>尘埃峡谷Lv2</t>
  </si>
  <si>
    <t>26</t>
  </si>
  <si>
    <t>20003</t>
  </si>
  <si>
    <t>尘埃峡谷Lv3</t>
  </si>
  <si>
    <t>36</t>
  </si>
  <si>
    <t>20004</t>
  </si>
  <si>
    <t>尘埃峡谷Lv4</t>
  </si>
  <si>
    <t>46</t>
  </si>
  <si>
    <t>132001|132101|132201</t>
  </si>
  <si>
    <t>132301|132401|132501</t>
  </si>
  <si>
    <t>132001|132101|132201|132301|132401|132501</t>
  </si>
  <si>
    <t>20005</t>
  </si>
  <si>
    <t>尘埃峡谷Lv5</t>
  </si>
  <si>
    <t>56</t>
  </si>
  <si>
    <t>20006</t>
  </si>
  <si>
    <t>尘埃峡谷Lv6</t>
  </si>
  <si>
    <t>66</t>
  </si>
  <si>
    <t>20007</t>
  </si>
  <si>
    <t>尘埃峡谷Lv7</t>
  </si>
  <si>
    <t>76</t>
  </si>
  <si>
    <t>133001|133101|133201</t>
  </si>
  <si>
    <t>133301|133401|133501</t>
  </si>
  <si>
    <t>133001|133101|133201|133301|133401|133501</t>
  </si>
  <si>
    <t>20008</t>
  </si>
  <si>
    <t>尘埃峡谷Lv8</t>
  </si>
  <si>
    <t>86</t>
  </si>
  <si>
    <t>20009</t>
  </si>
  <si>
    <t>尘埃峡谷Lv9</t>
  </si>
  <si>
    <t>96</t>
  </si>
  <si>
    <t>20010</t>
  </si>
  <si>
    <t>尘埃峡谷Lv10</t>
  </si>
  <si>
    <t>106</t>
  </si>
  <si>
    <t>134001|134101|134201</t>
  </si>
  <si>
    <t>134301|134401|134501</t>
  </si>
  <si>
    <t>134001|134101|134201|134301|134401|134501</t>
  </si>
  <si>
    <t>20011</t>
  </si>
  <si>
    <t>尘埃峡谷Lv11</t>
  </si>
  <si>
    <t>116</t>
  </si>
  <si>
    <t>20012</t>
  </si>
  <si>
    <t>尘埃峡谷Lv12</t>
  </si>
  <si>
    <t>126</t>
  </si>
  <si>
    <t>20013</t>
  </si>
  <si>
    <t>尘埃峡谷Lv13</t>
  </si>
  <si>
    <t>136</t>
  </si>
  <si>
    <t>135001|135101|135201</t>
  </si>
  <si>
    <t>135301|135401|135501</t>
  </si>
  <si>
    <t>135001|135101|135201|135301|135401|135501</t>
  </si>
  <si>
    <t>20014</t>
  </si>
  <si>
    <t>尘埃峡谷Lv14</t>
  </si>
  <si>
    <t>146</t>
  </si>
  <si>
    <t>20015</t>
  </si>
  <si>
    <t>尘埃峡谷Lv15</t>
  </si>
  <si>
    <t>156</t>
  </si>
  <si>
    <t>30001</t>
  </si>
  <si>
    <t>幽深废墟Lv1</t>
  </si>
  <si>
    <t>3</t>
  </si>
  <si>
    <t>11</t>
  </si>
  <si>
    <t>10003</t>
  </si>
  <si>
    <t>30011|30011|30011|30012|30013</t>
  </si>
  <si>
    <t>30002</t>
  </si>
  <si>
    <t>幽深废墟Lv2</t>
  </si>
  <si>
    <t>21</t>
  </si>
  <si>
    <t>30003</t>
  </si>
  <si>
    <t>幽深废墟Lv3</t>
  </si>
  <si>
    <t>31</t>
  </si>
  <si>
    <t>30004</t>
  </si>
  <si>
    <t>幽深废墟Lv4</t>
  </si>
  <si>
    <t>4</t>
  </si>
  <si>
    <t>41</t>
  </si>
  <si>
    <t>30005</t>
  </si>
  <si>
    <t>幽深废墟Lv5</t>
  </si>
  <si>
    <t>5</t>
  </si>
  <si>
    <t>51</t>
  </si>
  <si>
    <t>30006</t>
  </si>
  <si>
    <t>幽深废墟Lv6</t>
  </si>
  <si>
    <t>6</t>
  </si>
  <si>
    <t>61</t>
  </si>
  <si>
    <t>30007</t>
  </si>
  <si>
    <t>幽深废墟Lv7</t>
  </si>
  <si>
    <t>7</t>
  </si>
  <si>
    <t>71</t>
  </si>
  <si>
    <t>30008</t>
  </si>
  <si>
    <t>幽深废墟Lv8</t>
  </si>
  <si>
    <t>8</t>
  </si>
  <si>
    <t>81</t>
  </si>
  <si>
    <t>30009</t>
  </si>
  <si>
    <t>幽深废墟Lv9</t>
  </si>
  <si>
    <t>9</t>
  </si>
  <si>
    <t>91</t>
  </si>
  <si>
    <t>30010</t>
  </si>
  <si>
    <t>幽深废墟Lv10</t>
  </si>
  <si>
    <t>10</t>
  </si>
  <si>
    <t>101</t>
  </si>
  <si>
    <t>30011</t>
  </si>
  <si>
    <t>幽深废墟Lv11</t>
  </si>
  <si>
    <t>111</t>
  </si>
  <si>
    <t>30012</t>
  </si>
  <si>
    <t>幽深废墟Lv12</t>
  </si>
  <si>
    <t>12</t>
  </si>
  <si>
    <t>121</t>
  </si>
  <si>
    <t>30013</t>
  </si>
  <si>
    <t>幽深废墟Lv13</t>
  </si>
  <si>
    <t>13</t>
  </si>
  <si>
    <t>131</t>
  </si>
  <si>
    <t>30014</t>
  </si>
  <si>
    <t>幽深废墟Lv14</t>
  </si>
  <si>
    <t>14</t>
  </si>
  <si>
    <t>141</t>
  </si>
  <si>
    <t>30015</t>
  </si>
  <si>
    <t>幽深废墟Lv15</t>
  </si>
  <si>
    <t>151</t>
  </si>
  <si>
    <t>40001</t>
  </si>
  <si>
    <t>神兵遗址Lv1</t>
  </si>
  <si>
    <t>10004</t>
  </si>
  <si>
    <t>24001|24002|24003|24004</t>
  </si>
  <si>
    <t>1|2|3|4|5</t>
  </si>
  <si>
    <t>411001|411002|411003|411004|411005</t>
  </si>
  <si>
    <t>24009|24010|24011|24012</t>
  </si>
  <si>
    <t>6|7|8|9|10</t>
  </si>
  <si>
    <t>411006|411007|411008|411009|411010</t>
  </si>
  <si>
    <t>24017|24018|24019|24020</t>
  </si>
  <si>
    <t>1|2|3|4|5|6|7|8|9|10</t>
  </si>
  <si>
    <t>411001|411002|411003|411004|411005|411006|411007|411008|411009|411010</t>
  </si>
  <si>
    <t>40002</t>
  </si>
  <si>
    <t>神兵遗址Lv2</t>
  </si>
  <si>
    <t>23</t>
  </si>
  <si>
    <t>24001|24002|24003|24005|24004</t>
  </si>
  <si>
    <t>100|2$80|3$60|5</t>
  </si>
  <si>
    <t>50</t>
  </si>
  <si>
    <t>24009|24010|24011|24013|24012</t>
  </si>
  <si>
    <t>100|4$80|6$60|10</t>
  </si>
  <si>
    <t>40003</t>
  </si>
  <si>
    <t>神兵遗址Lv3</t>
  </si>
  <si>
    <t>33</t>
  </si>
  <si>
    <t>24001|24002|24003|24005|24006|24004</t>
  </si>
  <si>
    <t>100|3$80|4$60|6</t>
  </si>
  <si>
    <t>100</t>
  </si>
  <si>
    <t>24009|24010|24011|24013|24014|24012</t>
  </si>
  <si>
    <t>100|6$80|8$60|12</t>
  </si>
  <si>
    <t>40004</t>
  </si>
  <si>
    <t>神兵遗址Lv4</t>
  </si>
  <si>
    <t>43</t>
  </si>
  <si>
    <t>24001|24002|24003|24005|24006|24007|24004</t>
  </si>
  <si>
    <t>412001|412002|412003|412004|412005</t>
  </si>
  <si>
    <t>24009|24010|24011|24013|24014|24015|24012</t>
  </si>
  <si>
    <t>412006|412007|412008|412009|412010</t>
  </si>
  <si>
    <t>24017|24018|24019|24020|24020</t>
  </si>
  <si>
    <t>40005</t>
  </si>
  <si>
    <t>神兵遗址Lv5</t>
  </si>
  <si>
    <t>53</t>
  </si>
  <si>
    <t>24001|24002|24003|24005|24006|24007|24001|24004</t>
  </si>
  <si>
    <t>24009|24010|24011|24013|24014|24015|24009|24012</t>
  </si>
  <si>
    <t>40006</t>
  </si>
  <si>
    <t>神兵遗址Lv6</t>
  </si>
  <si>
    <t>63</t>
  </si>
  <si>
    <t>24001|24002|24003|24005|24006|24007|24001|24002|24004</t>
  </si>
  <si>
    <t>24009|24010|24011|24013|24014|24015|24009|24010|24012</t>
  </si>
  <si>
    <t>40007</t>
  </si>
  <si>
    <t>神兵遗址Lv7</t>
  </si>
  <si>
    <t>73</t>
  </si>
  <si>
    <t>24001|24002|24003|24004|24005|24006|24007|24008</t>
  </si>
  <si>
    <t>413001|413002|413003|413004|413005</t>
  </si>
  <si>
    <t>24009|24010|24011|24012|24013|24014|24015|24016</t>
  </si>
  <si>
    <t>413006|413007|413008|413009|413010</t>
  </si>
  <si>
    <t>40008</t>
  </si>
  <si>
    <t>神兵遗址Lv8</t>
  </si>
  <si>
    <t>83</t>
  </si>
  <si>
    <t>40009</t>
  </si>
  <si>
    <t>神兵遗址Lv9</t>
  </si>
  <si>
    <t>93</t>
  </si>
  <si>
    <t>40010</t>
  </si>
  <si>
    <t>神兵遗址Lv10</t>
  </si>
  <si>
    <t>103</t>
  </si>
  <si>
    <t>100|1$40|2$20|4</t>
  </si>
  <si>
    <t>414001|414002|414003|414004|414005</t>
  </si>
  <si>
    <t>414006|414007|414008|414009|414010</t>
  </si>
  <si>
    <t>24017|24018|24019|24020|24020|24020</t>
  </si>
  <si>
    <t>100|2$40|4$20|8</t>
  </si>
  <si>
    <t>40011</t>
  </si>
  <si>
    <t>神兵遗址Lv11</t>
  </si>
  <si>
    <t>113</t>
  </si>
  <si>
    <t>100|2$40|3$20|4</t>
  </si>
  <si>
    <t>100|4$40|6$20|8</t>
  </si>
  <si>
    <t>40012</t>
  </si>
  <si>
    <t>神兵遗址Lv12</t>
  </si>
  <si>
    <t>123</t>
  </si>
  <si>
    <t>100|3$80|4$60|5</t>
  </si>
  <si>
    <t>100|6$80|8$60|10</t>
  </si>
  <si>
    <t>40013</t>
  </si>
  <si>
    <t>神兵遗址Lv13</t>
  </si>
  <si>
    <t>133</t>
  </si>
  <si>
    <t>100|1$40|2$20|3</t>
  </si>
  <si>
    <t>415001|415002|415003|415004|415005</t>
  </si>
  <si>
    <t>415006|415007|415008|415009|415010</t>
  </si>
  <si>
    <t>100|2$40|4$20|6</t>
  </si>
  <si>
    <t>40014</t>
  </si>
  <si>
    <t>神兵遗址Lv14</t>
  </si>
  <si>
    <t>143</t>
  </si>
  <si>
    <t>100|1$60|2$40|3</t>
  </si>
  <si>
    <t>100|2$60|4$40|6</t>
  </si>
  <si>
    <t>40015</t>
  </si>
  <si>
    <t>神兵遗址Lv15</t>
  </si>
  <si>
    <t>153</t>
  </si>
  <si>
    <t>100|1$80|2$60|3</t>
  </si>
  <si>
    <t>100|2$80|4$60|6</t>
  </si>
  <si>
    <t>灵泉</t>
  </si>
  <si>
    <t>灵泉id</t>
  </si>
  <si>
    <t>每级数量</t>
  </si>
  <si>
    <t>守卫奖励数量</t>
  </si>
  <si>
    <t>月灵矿</t>
  </si>
  <si>
    <t>月灵矿id</t>
  </si>
  <si>
    <t>清灵草</t>
  </si>
  <si>
    <t>清灵草id</t>
  </si>
  <si>
    <t>太玄果</t>
  </si>
  <si>
    <t>太玄果id</t>
  </si>
  <si>
    <t>星尘</t>
  </si>
  <si>
    <t>星尘id</t>
  </si>
  <si>
    <t>每级星尘数量</t>
  </si>
  <si>
    <t>技能135爆发增益护盾攻速</t>
  </si>
  <si>
    <t>每日高额总数量</t>
  </si>
  <si>
    <t>可能出现的技能书</t>
  </si>
  <si>
    <t>技能246驱散集气定身削弱</t>
  </si>
  <si>
    <t>技能246可能出现的技能书</t>
  </si>
  <si>
    <t>第7天技能材料</t>
  </si>
  <si>
    <t>技能7技能书</t>
  </si>
  <si>
    <t>技能书概率和可能数量</t>
  </si>
  <si>
    <t>第七天念珠数量</t>
  </si>
  <si>
    <t>121002|121005|121007|121006</t>
  </si>
  <si>
    <t>121004|121003|121009|121008</t>
  </si>
  <si>
    <t>121002|121005|121007|121004|121003|121009|121008|121006</t>
  </si>
  <si>
    <t>122002|122005|122007|122006</t>
  </si>
  <si>
    <t>122004|122003|122009|122008</t>
  </si>
  <si>
    <t>122002|122005|122007|122004|122003|122009|122008|122006</t>
  </si>
  <si>
    <t>123002|123005|123007|123006</t>
  </si>
  <si>
    <t>123004|123003|123009|123008</t>
  </si>
  <si>
    <t>123002|123005|123007|123004|123003|123009|123008|123006</t>
  </si>
  <si>
    <t>124002|124005|124007|124006</t>
  </si>
  <si>
    <t>124004|124003|124009|124008</t>
  </si>
  <si>
    <t>124002|124005|124007|124004|124003|124009|124008|124006</t>
  </si>
  <si>
    <t>125002|125005|125007|125006</t>
  </si>
  <si>
    <t>125004|125003|125009|125008</t>
  </si>
  <si>
    <t>125002|125005|125007|125004|125003|125009|125008|125006</t>
  </si>
  <si>
    <t>第七天每日高额材料数量</t>
  </si>
  <si>
    <t>第七天书数量</t>
  </si>
  <si>
    <t>135星尘攻防血</t>
  </si>
  <si>
    <t>246星尘锐伤气</t>
  </si>
  <si>
    <t>7星尘数量</t>
  </si>
  <si>
    <t>135清灵草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</si>
</sst>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1" fillId="7" borderId="0" xfId="0" applyFont="1" applyFill="1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1" fillId="9" borderId="0" xfId="0" applyFon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0" fillId="2" borderId="0" xfId="0" applyNumberFormat="1" applyFill="1" applyAlignment="1">
      <alignment wrapText="1"/>
    </xf>
    <xf numFmtId="49" fontId="1" fillId="2" borderId="0" xfId="0" applyNumberFormat="1" applyFont="1" applyFill="1" applyAlignment="1">
      <alignment wrapText="1"/>
    </xf>
    <xf numFmtId="49" fontId="0" fillId="8" borderId="0" xfId="0" applyNumberFormat="1" applyFill="1" applyAlignment="1">
      <alignment vertical="center"/>
    </xf>
    <xf numFmtId="49" fontId="1" fillId="2" borderId="0" xfId="0" applyNumberFormat="1" applyFont="1" applyFill="1"/>
    <xf numFmtId="49" fontId="1" fillId="0" borderId="0" xfId="0" applyNumberFormat="1" applyFont="1"/>
    <xf numFmtId="49" fontId="0" fillId="8" borderId="0" xfId="0" applyNumberFormat="1" applyFill="1"/>
    <xf numFmtId="49" fontId="1" fillId="8" borderId="0" xfId="0" applyNumberFormat="1" applyFont="1" applyFill="1"/>
    <xf numFmtId="49" fontId="1" fillId="9" borderId="0" xfId="0" applyNumberFormat="1" applyFont="1" applyFill="1"/>
    <xf numFmtId="49" fontId="1" fillId="1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11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3"/>
  <sheetViews>
    <sheetView tabSelected="1" topLeftCell="A52" workbookViewId="0">
      <selection activeCell="C49" sqref="C49"/>
    </sheetView>
  </sheetViews>
  <sheetFormatPr defaultColWidth="9" defaultRowHeight="14.25"/>
  <cols>
    <col min="1" max="1" width="9" style="12" customWidth="1"/>
    <col min="2" max="3" width="16.75" style="12" customWidth="1"/>
    <col min="4" max="6" width="9" style="12" customWidth="1"/>
    <col min="7" max="7" width="44.125" style="12" customWidth="1"/>
    <col min="8" max="8" width="21.875" style="12" customWidth="1"/>
    <col min="9" max="9" width="18.625" style="12" customWidth="1"/>
    <col min="10" max="10" width="37.75" style="12" customWidth="1"/>
    <col min="11" max="11" width="18" style="12" customWidth="1"/>
    <col min="12" max="12" width="14.375" style="12" customWidth="1"/>
    <col min="13" max="13" width="20.25" style="12" customWidth="1"/>
    <col min="14" max="14" width="14.625" style="12" customWidth="1"/>
    <col min="15" max="15" width="22.375" style="12" customWidth="1"/>
    <col min="16" max="16" width="21.25" style="12" customWidth="1"/>
    <col min="17" max="17" width="14.75" style="12" customWidth="1"/>
    <col min="18" max="18" width="18.375" style="12" customWidth="1"/>
    <col min="19" max="19" width="20.125" style="12" customWidth="1"/>
    <col min="20" max="20" width="59.875" style="12" customWidth="1"/>
    <col min="21" max="21" width="14" style="12" customWidth="1"/>
    <col min="22" max="16384" width="9" style="12" customWidth="1"/>
  </cols>
  <sheetData>
    <row r="1" ht="28.5" customHeight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ht="28.5" spans="1:22">
      <c r="A3" t="s">
        <v>24</v>
      </c>
      <c r="B3" s="13" t="s">
        <v>1</v>
      </c>
      <c r="C3" s="13" t="s">
        <v>2</v>
      </c>
      <c r="D3" s="14" t="s">
        <v>3</v>
      </c>
      <c r="E3" s="13" t="s">
        <v>4</v>
      </c>
      <c r="F3" s="14" t="s">
        <v>5</v>
      </c>
      <c r="G3" s="13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</row>
    <row r="4" ht="28.5" customHeight="1" spans="1:22">
      <c r="B4" s="15">
        <v>10001</v>
      </c>
      <c r="C4" s="16" t="s">
        <v>25</v>
      </c>
      <c r="D4" s="16" t="s">
        <v>26</v>
      </c>
      <c r="E4" s="15">
        <v>1</v>
      </c>
      <c r="F4" s="16" t="s">
        <v>27</v>
      </c>
      <c r="G4" s="15">
        <v>10001</v>
      </c>
      <c r="H4" s="17" t="s">
        <v>28</v>
      </c>
      <c r="I4" s="18">
        <v>990002</v>
      </c>
      <c r="J4" s="15" t="s">
        <v>29</v>
      </c>
      <c r="K4" s="18" t="s">
        <v>30</v>
      </c>
      <c r="L4" s="15">
        <v>1200</v>
      </c>
      <c r="M4" s="17" t="s">
        <v>28</v>
      </c>
      <c r="N4" s="18">
        <v>990003</v>
      </c>
      <c r="O4" s="15" t="s">
        <v>29</v>
      </c>
      <c r="P4" s="16" t="s">
        <v>31</v>
      </c>
      <c r="Q4" s="15">
        <v>1200</v>
      </c>
      <c r="R4" s="17" t="s">
        <v>28</v>
      </c>
      <c r="S4" s="18">
        <v>990001</v>
      </c>
      <c r="T4" s="15" t="s">
        <v>32</v>
      </c>
      <c r="U4" s="18" t="s">
        <v>33</v>
      </c>
      <c r="V4" s="14">
        <v>2400</v>
      </c>
    </row>
    <row r="5" ht="28.5" customHeight="1" spans="1:22">
      <c r="B5" s="15">
        <v>10002</v>
      </c>
      <c r="C5" s="16" t="s">
        <v>34</v>
      </c>
      <c r="D5" s="16" t="s">
        <v>26</v>
      </c>
      <c r="E5" s="15">
        <v>2</v>
      </c>
      <c r="F5" s="16" t="s">
        <v>35</v>
      </c>
      <c r="G5" s="15">
        <v>10001</v>
      </c>
      <c r="H5" s="17" t="s">
        <v>28</v>
      </c>
      <c r="I5" s="18">
        <v>990002</v>
      </c>
      <c r="J5" s="15" t="s">
        <v>36</v>
      </c>
      <c r="K5" s="18" t="s">
        <v>30</v>
      </c>
      <c r="L5" s="15">
        <v>1800</v>
      </c>
      <c r="M5" s="17" t="s">
        <v>28</v>
      </c>
      <c r="N5" s="18">
        <v>990003</v>
      </c>
      <c r="O5" s="15" t="s">
        <v>36</v>
      </c>
      <c r="P5" s="16" t="s">
        <v>31</v>
      </c>
      <c r="Q5" s="15">
        <v>1800</v>
      </c>
      <c r="R5" s="17" t="s">
        <v>28</v>
      </c>
      <c r="S5" s="18">
        <v>990001</v>
      </c>
      <c r="T5" s="15" t="s">
        <v>37</v>
      </c>
      <c r="U5" s="18" t="s">
        <v>33</v>
      </c>
      <c r="V5" s="13">
        <v>3600</v>
      </c>
    </row>
    <row r="6" ht="28.5" customHeight="1" spans="1:22">
      <c r="B6" s="15">
        <v>10003</v>
      </c>
      <c r="C6" s="16" t="s">
        <v>38</v>
      </c>
      <c r="D6" s="16" t="s">
        <v>26</v>
      </c>
      <c r="E6" s="15">
        <v>3</v>
      </c>
      <c r="F6" s="16" t="s">
        <v>39</v>
      </c>
      <c r="G6" s="15">
        <v>10001</v>
      </c>
      <c r="H6" s="17" t="s">
        <v>28</v>
      </c>
      <c r="I6" s="18">
        <v>990002</v>
      </c>
      <c r="J6" s="15" t="s">
        <v>40</v>
      </c>
      <c r="K6" s="18" t="s">
        <v>30</v>
      </c>
      <c r="L6" s="15">
        <v>2400</v>
      </c>
      <c r="M6" s="17" t="s">
        <v>28</v>
      </c>
      <c r="N6" s="18">
        <v>990003</v>
      </c>
      <c r="O6" s="15" t="s">
        <v>40</v>
      </c>
      <c r="P6" s="16" t="s">
        <v>31</v>
      </c>
      <c r="Q6" s="15">
        <v>2400</v>
      </c>
      <c r="R6" s="17" t="s">
        <v>28</v>
      </c>
      <c r="S6" s="18">
        <v>990001</v>
      </c>
      <c r="T6" s="15" t="s">
        <v>41</v>
      </c>
      <c r="U6" s="18" t="s">
        <v>33</v>
      </c>
      <c r="V6" s="13">
        <v>4800</v>
      </c>
    </row>
    <row r="7" ht="28.5" customHeight="1" spans="1:22">
      <c r="B7" s="15">
        <v>10004</v>
      </c>
      <c r="C7" s="16" t="s">
        <v>42</v>
      </c>
      <c r="D7" s="16" t="s">
        <v>26</v>
      </c>
      <c r="E7" s="15">
        <v>4</v>
      </c>
      <c r="F7" s="16" t="s">
        <v>43</v>
      </c>
      <c r="G7" s="15">
        <v>10001</v>
      </c>
      <c r="H7" s="17" t="s">
        <v>28</v>
      </c>
      <c r="I7" s="18">
        <v>990002</v>
      </c>
      <c r="J7" s="15" t="s">
        <v>44</v>
      </c>
      <c r="K7" s="18" t="s">
        <v>45</v>
      </c>
      <c r="L7" s="15">
        <v>3000</v>
      </c>
      <c r="M7" s="17" t="s">
        <v>28</v>
      </c>
      <c r="N7" s="18">
        <v>990003</v>
      </c>
      <c r="O7" s="15" t="s">
        <v>44</v>
      </c>
      <c r="P7" s="16" t="s">
        <v>46</v>
      </c>
      <c r="Q7" s="15">
        <v>3000</v>
      </c>
      <c r="R7" s="17" t="s">
        <v>28</v>
      </c>
      <c r="S7" s="18">
        <v>990001</v>
      </c>
      <c r="T7" s="15" t="s">
        <v>47</v>
      </c>
      <c r="U7" s="18" t="s">
        <v>48</v>
      </c>
      <c r="V7" s="13">
        <v>6000</v>
      </c>
    </row>
    <row r="8" ht="28.5" customHeight="1" spans="1:22">
      <c r="B8" s="15">
        <v>10005</v>
      </c>
      <c r="C8" s="16" t="s">
        <v>49</v>
      </c>
      <c r="D8" s="16" t="s">
        <v>26</v>
      </c>
      <c r="E8" s="15">
        <v>5</v>
      </c>
      <c r="F8" s="16" t="s">
        <v>50</v>
      </c>
      <c r="G8" s="15">
        <v>10001</v>
      </c>
      <c r="H8" s="17" t="s">
        <v>28</v>
      </c>
      <c r="I8" s="18">
        <v>990002</v>
      </c>
      <c r="J8" s="15" t="s">
        <v>51</v>
      </c>
      <c r="K8" s="18" t="s">
        <v>45</v>
      </c>
      <c r="L8" s="15">
        <v>3600</v>
      </c>
      <c r="M8" s="17" t="s">
        <v>28</v>
      </c>
      <c r="N8" s="18">
        <v>990003</v>
      </c>
      <c r="O8" s="15" t="s">
        <v>51</v>
      </c>
      <c r="P8" s="16" t="s">
        <v>46</v>
      </c>
      <c r="Q8" s="15">
        <v>3600</v>
      </c>
      <c r="R8" s="17" t="s">
        <v>28</v>
      </c>
      <c r="S8" s="18">
        <v>990001</v>
      </c>
      <c r="T8" s="15" t="s">
        <v>52</v>
      </c>
      <c r="U8" s="18" t="s">
        <v>48</v>
      </c>
      <c r="V8" s="13">
        <v>7200</v>
      </c>
    </row>
    <row r="9" ht="28.5" customHeight="1" spans="1:22">
      <c r="B9" s="15">
        <v>10006</v>
      </c>
      <c r="C9" s="16" t="s">
        <v>53</v>
      </c>
      <c r="D9" s="16" t="s">
        <v>26</v>
      </c>
      <c r="E9" s="15">
        <v>6</v>
      </c>
      <c r="F9" s="16" t="s">
        <v>54</v>
      </c>
      <c r="G9" s="15">
        <v>10001</v>
      </c>
      <c r="H9" s="17" t="s">
        <v>28</v>
      </c>
      <c r="I9" s="18">
        <v>990002</v>
      </c>
      <c r="J9" s="15" t="s">
        <v>55</v>
      </c>
      <c r="K9" s="18" t="s">
        <v>45</v>
      </c>
      <c r="L9" s="15">
        <v>4200</v>
      </c>
      <c r="M9" s="17" t="s">
        <v>28</v>
      </c>
      <c r="N9" s="18">
        <v>990003</v>
      </c>
      <c r="O9" s="15" t="s">
        <v>55</v>
      </c>
      <c r="P9" s="16" t="s">
        <v>46</v>
      </c>
      <c r="Q9" s="15">
        <v>4200</v>
      </c>
      <c r="R9" s="17" t="s">
        <v>28</v>
      </c>
      <c r="S9" s="18">
        <v>990001</v>
      </c>
      <c r="T9" s="15" t="s">
        <v>56</v>
      </c>
      <c r="U9" s="18" t="s">
        <v>48</v>
      </c>
      <c r="V9" s="13">
        <v>8400</v>
      </c>
    </row>
    <row r="10" ht="28.5" customHeight="1" spans="1:22">
      <c r="B10" s="15">
        <v>10007</v>
      </c>
      <c r="C10" s="16" t="s">
        <v>57</v>
      </c>
      <c r="D10" s="16" t="s">
        <v>26</v>
      </c>
      <c r="E10" s="15">
        <v>7</v>
      </c>
      <c r="F10" s="16" t="s">
        <v>58</v>
      </c>
      <c r="G10" s="15">
        <v>10001</v>
      </c>
      <c r="H10" s="17" t="s">
        <v>28</v>
      </c>
      <c r="I10" s="18">
        <v>990002</v>
      </c>
      <c r="J10" s="15" t="s">
        <v>59</v>
      </c>
      <c r="K10" s="18" t="s">
        <v>60</v>
      </c>
      <c r="L10" s="15">
        <v>4800</v>
      </c>
      <c r="M10" s="17" t="s">
        <v>28</v>
      </c>
      <c r="N10" s="18">
        <v>990003</v>
      </c>
      <c r="O10" s="15" t="s">
        <v>59</v>
      </c>
      <c r="P10" s="16" t="s">
        <v>61</v>
      </c>
      <c r="Q10" s="15">
        <v>4800</v>
      </c>
      <c r="R10" s="17" t="s">
        <v>28</v>
      </c>
      <c r="S10" s="18">
        <v>990001</v>
      </c>
      <c r="T10" s="15" t="s">
        <v>62</v>
      </c>
      <c r="U10" s="18" t="s">
        <v>63</v>
      </c>
      <c r="V10" s="13">
        <v>9600</v>
      </c>
    </row>
    <row r="11" ht="28.5" customHeight="1" spans="1:22">
      <c r="B11" s="15">
        <v>10008</v>
      </c>
      <c r="C11" s="16" t="s">
        <v>64</v>
      </c>
      <c r="D11" s="16" t="s">
        <v>26</v>
      </c>
      <c r="E11" s="15">
        <v>8</v>
      </c>
      <c r="F11" s="16" t="s">
        <v>65</v>
      </c>
      <c r="G11" s="15">
        <v>10001</v>
      </c>
      <c r="H11" s="17" t="s">
        <v>28</v>
      </c>
      <c r="I11" s="18">
        <v>990002</v>
      </c>
      <c r="J11" s="15" t="s">
        <v>66</v>
      </c>
      <c r="K11" s="18" t="s">
        <v>60</v>
      </c>
      <c r="L11" s="15">
        <v>5400</v>
      </c>
      <c r="M11" s="17" t="s">
        <v>28</v>
      </c>
      <c r="N11" s="18">
        <v>990003</v>
      </c>
      <c r="O11" s="15" t="s">
        <v>66</v>
      </c>
      <c r="P11" s="16" t="s">
        <v>61</v>
      </c>
      <c r="Q11" s="15">
        <v>5400</v>
      </c>
      <c r="R11" s="17" t="s">
        <v>28</v>
      </c>
      <c r="S11" s="18">
        <v>990001</v>
      </c>
      <c r="T11" s="15" t="s">
        <v>67</v>
      </c>
      <c r="U11" s="18" t="s">
        <v>63</v>
      </c>
      <c r="V11" s="13">
        <v>10800</v>
      </c>
    </row>
    <row r="12" ht="28.5" customHeight="1" spans="1:22">
      <c r="B12" s="15">
        <v>10009</v>
      </c>
      <c r="C12" s="16" t="s">
        <v>68</v>
      </c>
      <c r="D12" s="16" t="s">
        <v>26</v>
      </c>
      <c r="E12" s="15">
        <v>9</v>
      </c>
      <c r="F12" s="16" t="s">
        <v>69</v>
      </c>
      <c r="G12" s="15">
        <v>10001</v>
      </c>
      <c r="H12" s="17" t="s">
        <v>28</v>
      </c>
      <c r="I12" s="18">
        <v>990002</v>
      </c>
      <c r="J12" s="15" t="s">
        <v>70</v>
      </c>
      <c r="K12" s="18" t="s">
        <v>60</v>
      </c>
      <c r="L12" s="15">
        <v>6000</v>
      </c>
      <c r="M12" s="17" t="s">
        <v>28</v>
      </c>
      <c r="N12" s="18">
        <v>990003</v>
      </c>
      <c r="O12" s="15" t="s">
        <v>70</v>
      </c>
      <c r="P12" s="16" t="s">
        <v>61</v>
      </c>
      <c r="Q12" s="15">
        <v>6000</v>
      </c>
      <c r="R12" s="17" t="s">
        <v>28</v>
      </c>
      <c r="S12" s="18">
        <v>990001</v>
      </c>
      <c r="T12" s="15" t="s">
        <v>71</v>
      </c>
      <c r="U12" s="18" t="s">
        <v>63</v>
      </c>
      <c r="V12" s="13">
        <v>12000</v>
      </c>
    </row>
    <row r="13" ht="28.5" customHeight="1" spans="1:22">
      <c r="B13" s="15">
        <v>10010</v>
      </c>
      <c r="C13" s="16" t="s">
        <v>72</v>
      </c>
      <c r="D13" s="16" t="s">
        <v>26</v>
      </c>
      <c r="E13" s="15">
        <v>10</v>
      </c>
      <c r="F13" s="16" t="s">
        <v>73</v>
      </c>
      <c r="G13" s="15">
        <v>10001</v>
      </c>
      <c r="H13" s="17" t="s">
        <v>28</v>
      </c>
      <c r="I13" s="18">
        <v>990002</v>
      </c>
      <c r="J13" s="15" t="s">
        <v>74</v>
      </c>
      <c r="K13" s="18" t="s">
        <v>75</v>
      </c>
      <c r="L13" s="15">
        <v>6600</v>
      </c>
      <c r="M13" s="17" t="s">
        <v>28</v>
      </c>
      <c r="N13" s="18">
        <v>990003</v>
      </c>
      <c r="O13" s="15" t="s">
        <v>74</v>
      </c>
      <c r="P13" s="16" t="s">
        <v>76</v>
      </c>
      <c r="Q13" s="15">
        <v>6600</v>
      </c>
      <c r="R13" s="17" t="s">
        <v>28</v>
      </c>
      <c r="S13" s="18">
        <v>990001</v>
      </c>
      <c r="T13" s="15" t="s">
        <v>77</v>
      </c>
      <c r="U13" s="18" t="s">
        <v>78</v>
      </c>
      <c r="V13" s="13">
        <v>13200</v>
      </c>
    </row>
    <row r="14" ht="28.5" customHeight="1" spans="1:22">
      <c r="B14" s="15">
        <v>10011</v>
      </c>
      <c r="C14" s="16" t="s">
        <v>79</v>
      </c>
      <c r="D14" s="16" t="s">
        <v>26</v>
      </c>
      <c r="E14" s="15">
        <v>11</v>
      </c>
      <c r="F14" s="16" t="s">
        <v>80</v>
      </c>
      <c r="G14" s="15">
        <v>10001</v>
      </c>
      <c r="H14" s="17" t="s">
        <v>28</v>
      </c>
      <c r="I14" s="18">
        <v>990002</v>
      </c>
      <c r="J14" s="15" t="s">
        <v>81</v>
      </c>
      <c r="K14" s="18" t="s">
        <v>75</v>
      </c>
      <c r="L14" s="15">
        <v>7200</v>
      </c>
      <c r="M14" s="17" t="s">
        <v>28</v>
      </c>
      <c r="N14" s="18">
        <v>990003</v>
      </c>
      <c r="O14" s="15" t="s">
        <v>81</v>
      </c>
      <c r="P14" s="16" t="s">
        <v>76</v>
      </c>
      <c r="Q14" s="15">
        <v>7200</v>
      </c>
      <c r="R14" s="17" t="s">
        <v>28</v>
      </c>
      <c r="S14" s="18">
        <v>990001</v>
      </c>
      <c r="T14" s="15" t="s">
        <v>82</v>
      </c>
      <c r="U14" s="18" t="s">
        <v>78</v>
      </c>
      <c r="V14" s="13">
        <v>14400</v>
      </c>
    </row>
    <row r="15" ht="28.5" customHeight="1" spans="1:22">
      <c r="B15" s="15">
        <v>10012</v>
      </c>
      <c r="C15" s="16" t="s">
        <v>83</v>
      </c>
      <c r="D15" s="16" t="s">
        <v>26</v>
      </c>
      <c r="E15" s="15">
        <v>12</v>
      </c>
      <c r="F15" s="16" t="s">
        <v>84</v>
      </c>
      <c r="G15" s="15">
        <v>10001</v>
      </c>
      <c r="H15" s="17" t="s">
        <v>28</v>
      </c>
      <c r="I15" s="18">
        <v>990002</v>
      </c>
      <c r="J15" s="15" t="s">
        <v>85</v>
      </c>
      <c r="K15" s="18" t="s">
        <v>75</v>
      </c>
      <c r="L15" s="15">
        <v>7800</v>
      </c>
      <c r="M15" s="17" t="s">
        <v>28</v>
      </c>
      <c r="N15" s="18">
        <v>990003</v>
      </c>
      <c r="O15" s="15" t="s">
        <v>85</v>
      </c>
      <c r="P15" s="16" t="s">
        <v>76</v>
      </c>
      <c r="Q15" s="15">
        <v>7800</v>
      </c>
      <c r="R15" s="17" t="s">
        <v>28</v>
      </c>
      <c r="S15" s="18">
        <v>990001</v>
      </c>
      <c r="T15" s="15" t="s">
        <v>86</v>
      </c>
      <c r="U15" s="18" t="s">
        <v>78</v>
      </c>
      <c r="V15" s="13">
        <v>15600</v>
      </c>
    </row>
    <row r="16" ht="28.5" customHeight="1" spans="1:22">
      <c r="B16" s="15">
        <v>10013</v>
      </c>
      <c r="C16" s="16" t="s">
        <v>87</v>
      </c>
      <c r="D16" s="16" t="s">
        <v>26</v>
      </c>
      <c r="E16" s="15">
        <v>13</v>
      </c>
      <c r="F16" s="16" t="s">
        <v>88</v>
      </c>
      <c r="G16" s="15">
        <v>10001</v>
      </c>
      <c r="H16" s="17" t="s">
        <v>28</v>
      </c>
      <c r="I16" s="18">
        <v>990002</v>
      </c>
      <c r="J16" s="15" t="s">
        <v>89</v>
      </c>
      <c r="K16" s="18" t="s">
        <v>90</v>
      </c>
      <c r="L16" s="15">
        <v>8400</v>
      </c>
      <c r="M16" s="17" t="s">
        <v>28</v>
      </c>
      <c r="N16" s="18">
        <v>990003</v>
      </c>
      <c r="O16" s="15" t="s">
        <v>89</v>
      </c>
      <c r="P16" s="16" t="s">
        <v>91</v>
      </c>
      <c r="Q16" s="15">
        <v>8400</v>
      </c>
      <c r="R16" s="17" t="s">
        <v>28</v>
      </c>
      <c r="S16" s="18">
        <v>990001</v>
      </c>
      <c r="T16" s="15" t="s">
        <v>92</v>
      </c>
      <c r="U16" s="18" t="s">
        <v>93</v>
      </c>
      <c r="V16" s="13">
        <v>16800</v>
      </c>
    </row>
    <row r="17" spans="2:22">
      <c r="B17" s="15">
        <v>10014</v>
      </c>
      <c r="C17" s="16" t="s">
        <v>94</v>
      </c>
      <c r="D17" s="16" t="s">
        <v>26</v>
      </c>
      <c r="E17" s="15">
        <v>14</v>
      </c>
      <c r="F17" s="16" t="s">
        <v>95</v>
      </c>
      <c r="G17" s="15">
        <v>10001</v>
      </c>
      <c r="H17" s="17" t="s">
        <v>28</v>
      </c>
      <c r="I17" s="18">
        <v>990002</v>
      </c>
      <c r="J17" s="15" t="s">
        <v>96</v>
      </c>
      <c r="K17" s="18" t="s">
        <v>90</v>
      </c>
      <c r="L17" s="15">
        <v>9000</v>
      </c>
      <c r="M17" s="17" t="s">
        <v>28</v>
      </c>
      <c r="N17" s="18">
        <v>990003</v>
      </c>
      <c r="O17" s="15" t="s">
        <v>96</v>
      </c>
      <c r="P17" s="16" t="s">
        <v>91</v>
      </c>
      <c r="Q17" s="15">
        <v>9000</v>
      </c>
      <c r="R17" s="17" t="s">
        <v>28</v>
      </c>
      <c r="S17" s="18">
        <v>990001</v>
      </c>
      <c r="T17" s="15" t="s">
        <v>97</v>
      </c>
      <c r="U17" s="18" t="s">
        <v>93</v>
      </c>
      <c r="V17" s="13">
        <v>18000</v>
      </c>
    </row>
    <row r="18" spans="2:22">
      <c r="B18" s="15">
        <v>10015</v>
      </c>
      <c r="C18" s="16" t="s">
        <v>98</v>
      </c>
      <c r="D18" s="16" t="s">
        <v>26</v>
      </c>
      <c r="E18" s="15" t="s">
        <v>27</v>
      </c>
      <c r="F18" s="16" t="s">
        <v>99</v>
      </c>
      <c r="G18" s="15">
        <v>10001</v>
      </c>
      <c r="H18" s="17" t="s">
        <v>28</v>
      </c>
      <c r="I18" s="18">
        <v>990002</v>
      </c>
      <c r="J18" s="15" t="s">
        <v>100</v>
      </c>
      <c r="K18" s="18" t="s">
        <v>90</v>
      </c>
      <c r="L18" s="15">
        <v>9600</v>
      </c>
      <c r="M18" s="17" t="s">
        <v>28</v>
      </c>
      <c r="N18" s="18">
        <v>990003</v>
      </c>
      <c r="O18" s="15" t="s">
        <v>100</v>
      </c>
      <c r="P18" s="16" t="s">
        <v>91</v>
      </c>
      <c r="Q18" s="15">
        <v>9600</v>
      </c>
      <c r="R18" s="17" t="s">
        <v>28</v>
      </c>
      <c r="S18" s="18">
        <v>990001</v>
      </c>
      <c r="T18" s="15" t="s">
        <v>101</v>
      </c>
      <c r="U18" s="18" t="s">
        <v>93</v>
      </c>
      <c r="V18" s="13">
        <v>19200</v>
      </c>
    </row>
    <row r="19" spans="2:22">
      <c r="B19" s="16" t="s">
        <v>102</v>
      </c>
      <c r="C19" s="19" t="s">
        <v>103</v>
      </c>
      <c r="D19" s="19" t="s">
        <v>104</v>
      </c>
      <c r="E19" s="15">
        <v>1</v>
      </c>
      <c r="F19" s="16" t="s">
        <v>105</v>
      </c>
      <c r="G19" s="19" t="s">
        <v>106</v>
      </c>
      <c r="H19" s="17" t="s">
        <v>107</v>
      </c>
      <c r="K19" s="12" t="s">
        <v>108</v>
      </c>
      <c r="L19" s="12">
        <v>600</v>
      </c>
      <c r="M19" s="17" t="s">
        <v>107</v>
      </c>
      <c r="P19" s="12" t="s">
        <v>109</v>
      </c>
      <c r="Q19" s="12">
        <v>600</v>
      </c>
      <c r="R19" s="17" t="s">
        <v>107</v>
      </c>
      <c r="U19" s="12" t="s">
        <v>110</v>
      </c>
      <c r="V19" s="12">
        <v>1200</v>
      </c>
    </row>
    <row r="20" spans="2:22">
      <c r="B20" s="16" t="s">
        <v>111</v>
      </c>
      <c r="C20" s="19" t="s">
        <v>112</v>
      </c>
      <c r="D20" s="19" t="s">
        <v>104</v>
      </c>
      <c r="E20" s="15">
        <v>2</v>
      </c>
      <c r="F20" s="16" t="s">
        <v>113</v>
      </c>
      <c r="G20" s="19" t="s">
        <v>106</v>
      </c>
      <c r="H20" s="17" t="s">
        <v>107</v>
      </c>
      <c r="K20" s="12" t="s">
        <v>108</v>
      </c>
      <c r="L20" s="12">
        <v>800</v>
      </c>
      <c r="M20" s="17" t="s">
        <v>107</v>
      </c>
      <c r="P20" s="12" t="s">
        <v>109</v>
      </c>
      <c r="Q20" s="12">
        <v>800</v>
      </c>
      <c r="R20" s="17" t="s">
        <v>107</v>
      </c>
      <c r="U20" s="12" t="s">
        <v>110</v>
      </c>
      <c r="V20" s="12">
        <v>1600</v>
      </c>
    </row>
    <row r="21" spans="2:22">
      <c r="B21" s="16" t="s">
        <v>114</v>
      </c>
      <c r="C21" s="19" t="s">
        <v>115</v>
      </c>
      <c r="D21" s="19" t="s">
        <v>104</v>
      </c>
      <c r="E21" s="15">
        <v>3</v>
      </c>
      <c r="F21" s="16" t="s">
        <v>116</v>
      </c>
      <c r="G21" s="19" t="s">
        <v>106</v>
      </c>
      <c r="H21" s="17" t="s">
        <v>107</v>
      </c>
      <c r="K21" s="12" t="s">
        <v>108</v>
      </c>
      <c r="L21" s="12">
        <v>1000</v>
      </c>
      <c r="M21" s="17" t="s">
        <v>107</v>
      </c>
      <c r="P21" s="12" t="s">
        <v>109</v>
      </c>
      <c r="Q21" s="12">
        <v>1000</v>
      </c>
      <c r="R21" s="17" t="s">
        <v>107</v>
      </c>
      <c r="U21" s="12" t="s">
        <v>110</v>
      </c>
      <c r="V21" s="12">
        <v>2000</v>
      </c>
    </row>
    <row r="22" spans="2:22">
      <c r="B22" s="16" t="s">
        <v>117</v>
      </c>
      <c r="C22" s="19" t="s">
        <v>118</v>
      </c>
      <c r="D22" s="19" t="s">
        <v>104</v>
      </c>
      <c r="E22" s="15">
        <v>4</v>
      </c>
      <c r="F22" s="16" t="s">
        <v>119</v>
      </c>
      <c r="G22" s="19" t="s">
        <v>106</v>
      </c>
      <c r="H22" s="17" t="s">
        <v>107</v>
      </c>
      <c r="K22" s="12" t="s">
        <v>120</v>
      </c>
      <c r="L22" s="12">
        <v>600</v>
      </c>
      <c r="M22" s="17" t="s">
        <v>107</v>
      </c>
      <c r="P22" s="12" t="s">
        <v>121</v>
      </c>
      <c r="Q22" s="12">
        <v>600</v>
      </c>
      <c r="R22" s="17" t="s">
        <v>107</v>
      </c>
      <c r="U22" s="12" t="s">
        <v>122</v>
      </c>
      <c r="V22" s="12">
        <v>1200</v>
      </c>
    </row>
    <row r="23" spans="2:22">
      <c r="B23" s="16" t="s">
        <v>123</v>
      </c>
      <c r="C23" s="19" t="s">
        <v>124</v>
      </c>
      <c r="D23" s="19" t="s">
        <v>104</v>
      </c>
      <c r="E23" s="15">
        <v>5</v>
      </c>
      <c r="F23" s="16" t="s">
        <v>125</v>
      </c>
      <c r="G23" s="19" t="s">
        <v>106</v>
      </c>
      <c r="H23" s="17" t="s">
        <v>107</v>
      </c>
      <c r="K23" s="12" t="s">
        <v>120</v>
      </c>
      <c r="L23" s="12">
        <v>800</v>
      </c>
      <c r="M23" s="17" t="s">
        <v>107</v>
      </c>
      <c r="P23" s="12" t="s">
        <v>121</v>
      </c>
      <c r="Q23" s="12">
        <v>800</v>
      </c>
      <c r="R23" s="17" t="s">
        <v>107</v>
      </c>
      <c r="U23" s="12" t="s">
        <v>122</v>
      </c>
      <c r="V23" s="12">
        <v>1600</v>
      </c>
    </row>
    <row r="24" spans="2:22">
      <c r="B24" s="16" t="s">
        <v>126</v>
      </c>
      <c r="C24" s="19" t="s">
        <v>127</v>
      </c>
      <c r="D24" s="19" t="s">
        <v>104</v>
      </c>
      <c r="E24" s="15">
        <v>6</v>
      </c>
      <c r="F24" s="16" t="s">
        <v>128</v>
      </c>
      <c r="G24" s="19" t="s">
        <v>106</v>
      </c>
      <c r="H24" s="17" t="s">
        <v>107</v>
      </c>
      <c r="K24" s="12" t="s">
        <v>120</v>
      </c>
      <c r="L24" s="12">
        <v>1000</v>
      </c>
      <c r="M24" s="17" t="s">
        <v>107</v>
      </c>
      <c r="P24" s="12" t="s">
        <v>121</v>
      </c>
      <c r="Q24" s="12">
        <v>1000</v>
      </c>
      <c r="R24" s="17" t="s">
        <v>107</v>
      </c>
      <c r="U24" s="12" t="s">
        <v>122</v>
      </c>
      <c r="V24" s="12">
        <v>2000</v>
      </c>
    </row>
    <row r="25" spans="2:22">
      <c r="B25" s="16" t="s">
        <v>129</v>
      </c>
      <c r="C25" s="19" t="s">
        <v>130</v>
      </c>
      <c r="D25" s="19" t="s">
        <v>104</v>
      </c>
      <c r="E25" s="15">
        <v>7</v>
      </c>
      <c r="F25" s="16" t="s">
        <v>131</v>
      </c>
      <c r="G25" s="19" t="s">
        <v>106</v>
      </c>
      <c r="H25" s="17" t="s">
        <v>107</v>
      </c>
      <c r="K25" s="12" t="s">
        <v>132</v>
      </c>
      <c r="L25" s="12">
        <v>600</v>
      </c>
      <c r="M25" s="17" t="s">
        <v>107</v>
      </c>
      <c r="P25" s="12" t="s">
        <v>133</v>
      </c>
      <c r="Q25" s="12">
        <v>600</v>
      </c>
      <c r="R25" s="17" t="s">
        <v>107</v>
      </c>
      <c r="U25" s="12" t="s">
        <v>134</v>
      </c>
      <c r="V25" s="12">
        <v>1200</v>
      </c>
    </row>
    <row r="26" spans="2:22">
      <c r="B26" s="16" t="s">
        <v>135</v>
      </c>
      <c r="C26" s="19" t="s">
        <v>136</v>
      </c>
      <c r="D26" s="19" t="s">
        <v>104</v>
      </c>
      <c r="E26" s="15">
        <v>8</v>
      </c>
      <c r="F26" s="16" t="s">
        <v>137</v>
      </c>
      <c r="G26" s="19" t="s">
        <v>106</v>
      </c>
      <c r="H26" s="17" t="s">
        <v>107</v>
      </c>
      <c r="K26" s="12" t="s">
        <v>132</v>
      </c>
      <c r="L26" s="12">
        <v>800</v>
      </c>
      <c r="M26" s="17" t="s">
        <v>107</v>
      </c>
      <c r="P26" s="12" t="s">
        <v>133</v>
      </c>
      <c r="Q26" s="12">
        <v>800</v>
      </c>
      <c r="R26" s="17" t="s">
        <v>107</v>
      </c>
      <c r="U26" s="12" t="s">
        <v>134</v>
      </c>
      <c r="V26" s="12">
        <v>1600</v>
      </c>
    </row>
    <row r="27" spans="2:22">
      <c r="B27" s="16" t="s">
        <v>138</v>
      </c>
      <c r="C27" s="19" t="s">
        <v>139</v>
      </c>
      <c r="D27" s="19" t="s">
        <v>104</v>
      </c>
      <c r="E27" s="15">
        <v>9</v>
      </c>
      <c r="F27" s="16" t="s">
        <v>140</v>
      </c>
      <c r="G27" s="19" t="s">
        <v>106</v>
      </c>
      <c r="H27" s="17" t="s">
        <v>107</v>
      </c>
      <c r="K27" s="12" t="s">
        <v>132</v>
      </c>
      <c r="L27" s="12">
        <v>1000</v>
      </c>
      <c r="M27" s="17" t="s">
        <v>107</v>
      </c>
      <c r="P27" s="12" t="s">
        <v>133</v>
      </c>
      <c r="Q27" s="12">
        <v>1000</v>
      </c>
      <c r="R27" s="17" t="s">
        <v>107</v>
      </c>
      <c r="U27" s="12" t="s">
        <v>134</v>
      </c>
      <c r="V27" s="12">
        <v>2000</v>
      </c>
    </row>
    <row r="28" spans="2:22">
      <c r="B28" s="16" t="s">
        <v>141</v>
      </c>
      <c r="C28" s="19" t="s">
        <v>142</v>
      </c>
      <c r="D28" s="19" t="s">
        <v>104</v>
      </c>
      <c r="E28" s="15">
        <v>10</v>
      </c>
      <c r="F28" s="16" t="s">
        <v>143</v>
      </c>
      <c r="G28" s="19" t="s">
        <v>106</v>
      </c>
      <c r="H28" s="17" t="s">
        <v>107</v>
      </c>
      <c r="K28" s="12" t="s">
        <v>144</v>
      </c>
      <c r="L28" s="12">
        <v>600</v>
      </c>
      <c r="M28" s="17" t="s">
        <v>107</v>
      </c>
      <c r="P28" s="12" t="s">
        <v>145</v>
      </c>
      <c r="Q28" s="12">
        <v>600</v>
      </c>
      <c r="R28" s="17" t="s">
        <v>107</v>
      </c>
      <c r="U28" s="12" t="s">
        <v>146</v>
      </c>
      <c r="V28" s="12">
        <v>1200</v>
      </c>
    </row>
    <row r="29" spans="2:22">
      <c r="B29" s="16" t="s">
        <v>147</v>
      </c>
      <c r="C29" s="19" t="s">
        <v>148</v>
      </c>
      <c r="D29" s="19" t="s">
        <v>104</v>
      </c>
      <c r="E29" s="15">
        <v>11</v>
      </c>
      <c r="F29" s="16" t="s">
        <v>149</v>
      </c>
      <c r="G29" s="19" t="s">
        <v>106</v>
      </c>
      <c r="H29" s="17" t="s">
        <v>107</v>
      </c>
      <c r="K29" s="12" t="s">
        <v>144</v>
      </c>
      <c r="L29" s="12">
        <v>800</v>
      </c>
      <c r="M29" s="17" t="s">
        <v>107</v>
      </c>
      <c r="P29" s="12" t="s">
        <v>145</v>
      </c>
      <c r="Q29" s="12">
        <v>800</v>
      </c>
      <c r="R29" s="17" t="s">
        <v>107</v>
      </c>
      <c r="U29" s="12" t="s">
        <v>146</v>
      </c>
      <c r="V29" s="12">
        <v>1600</v>
      </c>
    </row>
    <row r="30" spans="2:22">
      <c r="B30" s="16" t="s">
        <v>150</v>
      </c>
      <c r="C30" s="19" t="s">
        <v>151</v>
      </c>
      <c r="D30" s="19" t="s">
        <v>104</v>
      </c>
      <c r="E30" s="15">
        <v>12</v>
      </c>
      <c r="F30" s="16" t="s">
        <v>152</v>
      </c>
      <c r="G30" s="19" t="s">
        <v>106</v>
      </c>
      <c r="H30" s="17" t="s">
        <v>107</v>
      </c>
      <c r="K30" s="12" t="s">
        <v>144</v>
      </c>
      <c r="L30" s="12">
        <v>1000</v>
      </c>
      <c r="M30" s="17" t="s">
        <v>107</v>
      </c>
      <c r="P30" s="12" t="s">
        <v>145</v>
      </c>
      <c r="Q30" s="12">
        <v>1000</v>
      </c>
      <c r="R30" s="17" t="s">
        <v>107</v>
      </c>
      <c r="U30" s="12" t="s">
        <v>146</v>
      </c>
      <c r="V30" s="12">
        <v>2000</v>
      </c>
    </row>
    <row r="31" spans="2:22">
      <c r="B31" s="16" t="s">
        <v>153</v>
      </c>
      <c r="C31" s="19" t="s">
        <v>154</v>
      </c>
      <c r="D31" s="19" t="s">
        <v>104</v>
      </c>
      <c r="E31" s="15">
        <v>13</v>
      </c>
      <c r="F31" s="16" t="s">
        <v>155</v>
      </c>
      <c r="G31" s="19" t="s">
        <v>106</v>
      </c>
      <c r="H31" s="17" t="s">
        <v>107</v>
      </c>
      <c r="K31" s="12" t="s">
        <v>156</v>
      </c>
      <c r="L31" s="12">
        <v>600</v>
      </c>
      <c r="M31" s="17" t="s">
        <v>107</v>
      </c>
      <c r="P31" s="12" t="s">
        <v>157</v>
      </c>
      <c r="Q31" s="12">
        <v>600</v>
      </c>
      <c r="R31" s="17" t="s">
        <v>107</v>
      </c>
      <c r="U31" s="12" t="s">
        <v>158</v>
      </c>
      <c r="V31" s="12">
        <v>1200</v>
      </c>
    </row>
    <row r="32" spans="2:22">
      <c r="B32" s="16" t="s">
        <v>159</v>
      </c>
      <c r="C32" s="19" t="s">
        <v>160</v>
      </c>
      <c r="D32" s="19" t="s">
        <v>104</v>
      </c>
      <c r="E32" s="15">
        <v>14</v>
      </c>
      <c r="F32" s="16" t="s">
        <v>161</v>
      </c>
      <c r="G32" s="19" t="s">
        <v>106</v>
      </c>
      <c r="H32" s="17" t="s">
        <v>107</v>
      </c>
      <c r="K32" s="12" t="s">
        <v>156</v>
      </c>
      <c r="L32" s="12">
        <v>800</v>
      </c>
      <c r="M32" s="17" t="s">
        <v>107</v>
      </c>
      <c r="P32" s="12" t="s">
        <v>157</v>
      </c>
      <c r="Q32" s="12">
        <v>800</v>
      </c>
      <c r="R32" s="17" t="s">
        <v>107</v>
      </c>
      <c r="U32" s="12" t="s">
        <v>158</v>
      </c>
      <c r="V32" s="12">
        <v>1600</v>
      </c>
    </row>
    <row r="33" spans="2:22">
      <c r="B33" s="16" t="s">
        <v>162</v>
      </c>
      <c r="C33" s="19" t="s">
        <v>163</v>
      </c>
      <c r="D33" s="19" t="s">
        <v>104</v>
      </c>
      <c r="E33" s="15" t="s">
        <v>27</v>
      </c>
      <c r="F33" s="16" t="s">
        <v>164</v>
      </c>
      <c r="G33" s="19" t="s">
        <v>106</v>
      </c>
      <c r="H33" s="17" t="s">
        <v>107</v>
      </c>
      <c r="K33" s="12" t="s">
        <v>156</v>
      </c>
      <c r="L33" s="12">
        <v>1000</v>
      </c>
      <c r="M33" s="17" t="s">
        <v>107</v>
      </c>
      <c r="P33" s="12" t="s">
        <v>157</v>
      </c>
      <c r="Q33" s="12">
        <v>1000</v>
      </c>
      <c r="R33" s="17" t="s">
        <v>107</v>
      </c>
      <c r="U33" s="12" t="s">
        <v>158</v>
      </c>
      <c r="V33" s="12">
        <v>2000</v>
      </c>
    </row>
    <row r="34" spans="2:22">
      <c r="B34" s="19" t="s">
        <v>165</v>
      </c>
      <c r="C34" s="19" t="s">
        <v>166</v>
      </c>
      <c r="D34" s="19" t="s">
        <v>167</v>
      </c>
      <c r="E34" s="19" t="s">
        <v>26</v>
      </c>
      <c r="F34" s="19" t="s">
        <v>168</v>
      </c>
      <c r="G34" s="19" t="s">
        <v>169</v>
      </c>
      <c r="H34" s="19" t="s">
        <v>170</v>
      </c>
      <c r="K34" s="20">
        <v>81001</v>
      </c>
      <c r="L34" s="12">
        <v>1500</v>
      </c>
      <c r="M34" s="19" t="s">
        <v>170</v>
      </c>
      <c r="P34" s="20">
        <v>81001</v>
      </c>
      <c r="Q34" s="12">
        <v>1500</v>
      </c>
      <c r="R34" s="19" t="s">
        <v>170</v>
      </c>
      <c r="U34" s="20">
        <v>81001</v>
      </c>
      <c r="V34" s="12">
        <v>1500</v>
      </c>
    </row>
    <row r="35" spans="2:22">
      <c r="B35" s="19" t="s">
        <v>171</v>
      </c>
      <c r="C35" s="19" t="s">
        <v>172</v>
      </c>
      <c r="D35" s="19" t="s">
        <v>167</v>
      </c>
      <c r="E35" s="19" t="s">
        <v>104</v>
      </c>
      <c r="F35" s="19" t="s">
        <v>173</v>
      </c>
      <c r="G35" s="19" t="s">
        <v>169</v>
      </c>
      <c r="H35" s="19" t="s">
        <v>170</v>
      </c>
      <c r="K35" s="21">
        <v>81001</v>
      </c>
      <c r="L35" s="12">
        <v>2000</v>
      </c>
      <c r="M35" s="19" t="s">
        <v>170</v>
      </c>
      <c r="P35" s="21">
        <v>81001</v>
      </c>
      <c r="Q35" s="12">
        <v>2000</v>
      </c>
      <c r="R35" s="19" t="s">
        <v>170</v>
      </c>
      <c r="U35" s="21">
        <v>81001</v>
      </c>
      <c r="V35" s="12">
        <v>2000</v>
      </c>
    </row>
    <row r="36" spans="2:22">
      <c r="B36" s="19" t="s">
        <v>174</v>
      </c>
      <c r="C36" s="19" t="s">
        <v>175</v>
      </c>
      <c r="D36" s="19" t="s">
        <v>167</v>
      </c>
      <c r="E36" s="19" t="s">
        <v>167</v>
      </c>
      <c r="F36" s="19" t="s">
        <v>176</v>
      </c>
      <c r="G36" s="19" t="s">
        <v>169</v>
      </c>
      <c r="H36" s="19" t="s">
        <v>170</v>
      </c>
      <c r="K36" s="21">
        <v>81001</v>
      </c>
      <c r="L36" s="12">
        <v>2500</v>
      </c>
      <c r="M36" s="19" t="s">
        <v>170</v>
      </c>
      <c r="P36" s="21">
        <v>81001</v>
      </c>
      <c r="Q36" s="12">
        <v>2500</v>
      </c>
      <c r="R36" s="19" t="s">
        <v>170</v>
      </c>
      <c r="U36" s="21">
        <v>81001</v>
      </c>
      <c r="V36" s="12">
        <v>2500</v>
      </c>
    </row>
    <row r="37" spans="2:22">
      <c r="B37" s="19" t="s">
        <v>177</v>
      </c>
      <c r="C37" s="19" t="s">
        <v>178</v>
      </c>
      <c r="D37" s="19" t="s">
        <v>167</v>
      </c>
      <c r="E37" s="19" t="s">
        <v>179</v>
      </c>
      <c r="F37" s="19" t="s">
        <v>180</v>
      </c>
      <c r="G37" s="19" t="s">
        <v>169</v>
      </c>
      <c r="H37" s="19" t="s">
        <v>170</v>
      </c>
      <c r="K37" s="22">
        <v>82001</v>
      </c>
      <c r="L37" s="12">
        <v>2000</v>
      </c>
      <c r="M37" s="19" t="s">
        <v>170</v>
      </c>
      <c r="P37" s="22">
        <v>82001</v>
      </c>
      <c r="Q37" s="12">
        <v>2000</v>
      </c>
      <c r="R37" s="19" t="s">
        <v>170</v>
      </c>
      <c r="U37" s="22">
        <v>82001</v>
      </c>
      <c r="V37" s="12">
        <v>2000</v>
      </c>
    </row>
    <row r="38" spans="2:22">
      <c r="B38" s="19" t="s">
        <v>181</v>
      </c>
      <c r="C38" s="19" t="s">
        <v>182</v>
      </c>
      <c r="D38" s="19" t="s">
        <v>167</v>
      </c>
      <c r="E38" s="19" t="s">
        <v>183</v>
      </c>
      <c r="F38" s="19" t="s">
        <v>184</v>
      </c>
      <c r="G38" s="19" t="s">
        <v>169</v>
      </c>
      <c r="H38" s="19" t="s">
        <v>170</v>
      </c>
      <c r="K38" s="22">
        <v>82001</v>
      </c>
      <c r="L38" s="12">
        <v>2500</v>
      </c>
      <c r="M38" s="19" t="s">
        <v>170</v>
      </c>
      <c r="P38" s="22">
        <v>82001</v>
      </c>
      <c r="Q38" s="12">
        <v>2500</v>
      </c>
      <c r="R38" s="19" t="s">
        <v>170</v>
      </c>
      <c r="U38" s="22">
        <v>82001</v>
      </c>
      <c r="V38" s="12">
        <v>2500</v>
      </c>
    </row>
    <row r="39" spans="2:22">
      <c r="B39" s="19" t="s">
        <v>185</v>
      </c>
      <c r="C39" s="19" t="s">
        <v>186</v>
      </c>
      <c r="D39" s="19" t="s">
        <v>167</v>
      </c>
      <c r="E39" s="19" t="s">
        <v>187</v>
      </c>
      <c r="F39" s="19" t="s">
        <v>188</v>
      </c>
      <c r="G39" s="19" t="s">
        <v>169</v>
      </c>
      <c r="H39" s="19" t="s">
        <v>170</v>
      </c>
      <c r="K39" s="22">
        <v>82001</v>
      </c>
      <c r="L39" s="12">
        <v>3000</v>
      </c>
      <c r="M39" s="19" t="s">
        <v>170</v>
      </c>
      <c r="P39" s="22">
        <v>82001</v>
      </c>
      <c r="Q39" s="12">
        <v>3000</v>
      </c>
      <c r="R39" s="19" t="s">
        <v>170</v>
      </c>
      <c r="U39" s="22">
        <v>82001</v>
      </c>
      <c r="V39" s="12">
        <v>3000</v>
      </c>
    </row>
    <row r="40" spans="2:22">
      <c r="B40" s="19" t="s">
        <v>189</v>
      </c>
      <c r="C40" s="19" t="s">
        <v>190</v>
      </c>
      <c r="D40" s="19" t="s">
        <v>167</v>
      </c>
      <c r="E40" s="19" t="s">
        <v>191</v>
      </c>
      <c r="F40" s="19" t="s">
        <v>192</v>
      </c>
      <c r="G40" s="19" t="s">
        <v>169</v>
      </c>
      <c r="H40" s="19" t="s">
        <v>170</v>
      </c>
      <c r="K40" s="19">
        <v>83001</v>
      </c>
      <c r="L40" s="12">
        <v>2500</v>
      </c>
      <c r="M40" s="19" t="s">
        <v>170</v>
      </c>
      <c r="P40" s="19">
        <v>83001</v>
      </c>
      <c r="Q40" s="12">
        <v>2500</v>
      </c>
      <c r="R40" s="19" t="s">
        <v>170</v>
      </c>
      <c r="U40" s="19">
        <v>83001</v>
      </c>
      <c r="V40" s="12">
        <v>2500</v>
      </c>
    </row>
    <row r="41" spans="2:22">
      <c r="B41" s="19" t="s">
        <v>193</v>
      </c>
      <c r="C41" s="19" t="s">
        <v>194</v>
      </c>
      <c r="D41" s="19" t="s">
        <v>167</v>
      </c>
      <c r="E41" s="19" t="s">
        <v>195</v>
      </c>
      <c r="F41" s="19" t="s">
        <v>196</v>
      </c>
      <c r="G41" s="19" t="s">
        <v>169</v>
      </c>
      <c r="H41" s="19" t="s">
        <v>170</v>
      </c>
      <c r="K41" s="19">
        <v>83001</v>
      </c>
      <c r="L41" s="12">
        <v>3000</v>
      </c>
      <c r="M41" s="19" t="s">
        <v>170</v>
      </c>
      <c r="P41" s="19">
        <v>83001</v>
      </c>
      <c r="Q41" s="12">
        <v>3000</v>
      </c>
      <c r="R41" s="19" t="s">
        <v>170</v>
      </c>
      <c r="U41" s="19">
        <v>83001</v>
      </c>
      <c r="V41" s="12">
        <v>3000</v>
      </c>
    </row>
    <row r="42" spans="2:22">
      <c r="B42" s="19" t="s">
        <v>197</v>
      </c>
      <c r="C42" s="19" t="s">
        <v>198</v>
      </c>
      <c r="D42" s="19" t="s">
        <v>167</v>
      </c>
      <c r="E42" s="19" t="s">
        <v>199</v>
      </c>
      <c r="F42" s="19" t="s">
        <v>200</v>
      </c>
      <c r="G42" s="19" t="s">
        <v>169</v>
      </c>
      <c r="H42" s="19" t="s">
        <v>170</v>
      </c>
      <c r="K42" s="19">
        <v>83001</v>
      </c>
      <c r="L42" s="12">
        <v>3500</v>
      </c>
      <c r="M42" s="19" t="s">
        <v>170</v>
      </c>
      <c r="P42" s="19">
        <v>83001</v>
      </c>
      <c r="Q42" s="12">
        <v>3500</v>
      </c>
      <c r="R42" s="19" t="s">
        <v>170</v>
      </c>
      <c r="U42" s="19">
        <v>83001</v>
      </c>
      <c r="V42" s="12">
        <v>3500</v>
      </c>
    </row>
    <row r="43" spans="2:22">
      <c r="B43" s="19" t="s">
        <v>201</v>
      </c>
      <c r="C43" s="19" t="s">
        <v>202</v>
      </c>
      <c r="D43" s="19" t="s">
        <v>167</v>
      </c>
      <c r="E43" s="19" t="s">
        <v>203</v>
      </c>
      <c r="F43" s="19" t="s">
        <v>204</v>
      </c>
      <c r="G43" s="19" t="s">
        <v>169</v>
      </c>
      <c r="H43" s="19" t="s">
        <v>170</v>
      </c>
      <c r="K43" s="19">
        <v>84001</v>
      </c>
      <c r="L43" s="12">
        <v>3000</v>
      </c>
      <c r="M43" s="19" t="s">
        <v>170</v>
      </c>
      <c r="P43" s="19">
        <v>84001</v>
      </c>
      <c r="Q43" s="12">
        <v>3000</v>
      </c>
      <c r="R43" s="19" t="s">
        <v>170</v>
      </c>
      <c r="U43" s="19">
        <v>84001</v>
      </c>
      <c r="V43" s="12">
        <v>3000</v>
      </c>
    </row>
    <row r="44" spans="2:22">
      <c r="B44" s="19" t="s">
        <v>205</v>
      </c>
      <c r="C44" s="19" t="s">
        <v>206</v>
      </c>
      <c r="D44" s="19" t="s">
        <v>167</v>
      </c>
      <c r="E44" s="19" t="s">
        <v>168</v>
      </c>
      <c r="F44" s="19" t="s">
        <v>207</v>
      </c>
      <c r="G44" s="19" t="s">
        <v>169</v>
      </c>
      <c r="H44" s="19" t="s">
        <v>170</v>
      </c>
      <c r="K44" s="19">
        <v>84001</v>
      </c>
      <c r="L44" s="12">
        <v>3500</v>
      </c>
      <c r="M44" s="19" t="s">
        <v>170</v>
      </c>
      <c r="P44" s="19">
        <v>84001</v>
      </c>
      <c r="Q44" s="12">
        <v>3500</v>
      </c>
      <c r="R44" s="19" t="s">
        <v>170</v>
      </c>
      <c r="U44" s="19">
        <v>84001</v>
      </c>
      <c r="V44" s="12">
        <v>3500</v>
      </c>
    </row>
    <row r="45" spans="2:22">
      <c r="B45" s="19" t="s">
        <v>208</v>
      </c>
      <c r="C45" s="19" t="s">
        <v>209</v>
      </c>
      <c r="D45" s="19" t="s">
        <v>167</v>
      </c>
      <c r="E45" s="19" t="s">
        <v>210</v>
      </c>
      <c r="F45" s="19" t="s">
        <v>211</v>
      </c>
      <c r="G45" s="19" t="s">
        <v>169</v>
      </c>
      <c r="H45" s="19" t="s">
        <v>170</v>
      </c>
      <c r="K45" s="19">
        <v>84001</v>
      </c>
      <c r="L45" s="12">
        <v>4000</v>
      </c>
      <c r="M45" s="19" t="s">
        <v>170</v>
      </c>
      <c r="P45" s="19">
        <v>84001</v>
      </c>
      <c r="Q45" s="12">
        <v>4000</v>
      </c>
      <c r="R45" s="19" t="s">
        <v>170</v>
      </c>
      <c r="U45" s="19">
        <v>84001</v>
      </c>
      <c r="V45" s="12">
        <v>4000</v>
      </c>
    </row>
    <row r="46" spans="2:22">
      <c r="B46" s="19" t="s">
        <v>212</v>
      </c>
      <c r="C46" s="19" t="s">
        <v>213</v>
      </c>
      <c r="D46" s="19" t="s">
        <v>167</v>
      </c>
      <c r="E46" s="19" t="s">
        <v>214</v>
      </c>
      <c r="F46" s="19" t="s">
        <v>215</v>
      </c>
      <c r="G46" s="19" t="s">
        <v>169</v>
      </c>
      <c r="H46" s="19" t="s">
        <v>170</v>
      </c>
      <c r="K46" s="19">
        <v>85001</v>
      </c>
      <c r="L46" s="12">
        <v>3500</v>
      </c>
      <c r="M46" s="19" t="s">
        <v>170</v>
      </c>
      <c r="P46" s="19">
        <v>85001</v>
      </c>
      <c r="Q46" s="12">
        <v>3500</v>
      </c>
      <c r="R46" s="19" t="s">
        <v>170</v>
      </c>
      <c r="U46" s="19">
        <v>85001</v>
      </c>
      <c r="V46" s="12">
        <v>3500</v>
      </c>
    </row>
    <row r="47" spans="2:22">
      <c r="B47" s="19" t="s">
        <v>216</v>
      </c>
      <c r="C47" s="19" t="s">
        <v>217</v>
      </c>
      <c r="D47" s="19" t="s">
        <v>167</v>
      </c>
      <c r="E47" s="19" t="s">
        <v>218</v>
      </c>
      <c r="F47" s="19" t="s">
        <v>219</v>
      </c>
      <c r="G47" s="19" t="s">
        <v>169</v>
      </c>
      <c r="H47" s="19" t="s">
        <v>170</v>
      </c>
      <c r="K47" s="19">
        <v>85001</v>
      </c>
      <c r="L47" s="12">
        <v>4000</v>
      </c>
      <c r="M47" s="19" t="s">
        <v>170</v>
      </c>
      <c r="P47" s="19">
        <v>85001</v>
      </c>
      <c r="Q47" s="12">
        <v>4000</v>
      </c>
      <c r="R47" s="19" t="s">
        <v>170</v>
      </c>
      <c r="U47" s="19">
        <v>85001</v>
      </c>
      <c r="V47" s="12">
        <v>4000</v>
      </c>
    </row>
    <row r="48" spans="2:22">
      <c r="B48" s="19" t="s">
        <v>220</v>
      </c>
      <c r="C48" s="19" t="s">
        <v>221</v>
      </c>
      <c r="D48" s="19" t="s">
        <v>167</v>
      </c>
      <c r="E48" s="19" t="s">
        <v>27</v>
      </c>
      <c r="F48" s="19" t="s">
        <v>222</v>
      </c>
      <c r="G48" s="19" t="s">
        <v>169</v>
      </c>
      <c r="H48" s="19" t="s">
        <v>170</v>
      </c>
      <c r="K48" s="19">
        <v>85001</v>
      </c>
      <c r="L48" s="12">
        <v>4500</v>
      </c>
      <c r="M48" s="19" t="s">
        <v>170</v>
      </c>
      <c r="P48" s="19">
        <v>85001</v>
      </c>
      <c r="Q48" s="12">
        <v>4500</v>
      </c>
      <c r="R48" s="19" t="s">
        <v>170</v>
      </c>
      <c r="U48" s="19">
        <v>85001</v>
      </c>
      <c r="V48" s="12">
        <v>4500</v>
      </c>
    </row>
    <row r="49" spans="2:22">
      <c r="B49" s="19" t="s">
        <v>223</v>
      </c>
      <c r="C49" s="19" t="s">
        <v>224</v>
      </c>
      <c r="D49" s="19" t="s">
        <v>179</v>
      </c>
      <c r="E49" s="19" t="s">
        <v>26</v>
      </c>
      <c r="F49" s="19" t="s">
        <v>214</v>
      </c>
      <c r="G49" s="19" t="s">
        <v>225</v>
      </c>
      <c r="H49" s="23" t="s">
        <v>226</v>
      </c>
      <c r="I49" s="19" t="s">
        <v>227</v>
      </c>
      <c r="J49" s="16" t="s">
        <v>29</v>
      </c>
      <c r="K49" s="24" t="s">
        <v>228</v>
      </c>
      <c r="L49" s="19" t="s">
        <v>35</v>
      </c>
      <c r="M49" s="23" t="s">
        <v>229</v>
      </c>
      <c r="N49" s="19" t="s">
        <v>230</v>
      </c>
      <c r="O49" s="16" t="s">
        <v>29</v>
      </c>
      <c r="P49" s="24" t="s">
        <v>231</v>
      </c>
      <c r="Q49" s="19" t="s">
        <v>35</v>
      </c>
      <c r="R49" s="19" t="s">
        <v>232</v>
      </c>
      <c r="S49" s="19" t="s">
        <v>233</v>
      </c>
      <c r="T49" s="16" t="s">
        <v>32</v>
      </c>
      <c r="U49" s="24" t="s">
        <v>234</v>
      </c>
      <c r="V49" s="19" t="s">
        <v>35</v>
      </c>
    </row>
    <row r="50" spans="2:22">
      <c r="B50" s="19" t="s">
        <v>235</v>
      </c>
      <c r="C50" s="19" t="s">
        <v>236</v>
      </c>
      <c r="D50" s="19" t="s">
        <v>179</v>
      </c>
      <c r="E50" s="19" t="s">
        <v>104</v>
      </c>
      <c r="F50" s="19" t="s">
        <v>237</v>
      </c>
      <c r="G50" s="19" t="s">
        <v>225</v>
      </c>
      <c r="H50" s="23" t="s">
        <v>238</v>
      </c>
      <c r="I50" s="19" t="s">
        <v>227</v>
      </c>
      <c r="J50" s="16" t="s">
        <v>239</v>
      </c>
      <c r="K50" s="24" t="s">
        <v>228</v>
      </c>
      <c r="L50" s="19" t="s">
        <v>240</v>
      </c>
      <c r="M50" s="23" t="s">
        <v>241</v>
      </c>
      <c r="N50" s="19" t="s">
        <v>230</v>
      </c>
      <c r="O50" s="16" t="s">
        <v>239</v>
      </c>
      <c r="P50" s="24" t="s">
        <v>231</v>
      </c>
      <c r="Q50" s="19" t="s">
        <v>240</v>
      </c>
      <c r="R50" s="19" t="s">
        <v>232</v>
      </c>
      <c r="S50" s="19" t="s">
        <v>233</v>
      </c>
      <c r="T50" s="16" t="s">
        <v>242</v>
      </c>
      <c r="U50" s="24" t="s">
        <v>234</v>
      </c>
      <c r="V50" s="19" t="s">
        <v>240</v>
      </c>
    </row>
    <row r="51" spans="2:22">
      <c r="B51" s="19" t="s">
        <v>243</v>
      </c>
      <c r="C51" s="19" t="s">
        <v>244</v>
      </c>
      <c r="D51" s="19" t="s">
        <v>179</v>
      </c>
      <c r="E51" s="19" t="s">
        <v>167</v>
      </c>
      <c r="F51" s="19" t="s">
        <v>245</v>
      </c>
      <c r="G51" s="19" t="s">
        <v>225</v>
      </c>
      <c r="H51" s="23" t="s">
        <v>246</v>
      </c>
      <c r="I51" s="19" t="s">
        <v>227</v>
      </c>
      <c r="J51" s="16" t="s">
        <v>247</v>
      </c>
      <c r="K51" s="24" t="s">
        <v>228</v>
      </c>
      <c r="L51" s="19" t="s">
        <v>248</v>
      </c>
      <c r="M51" s="23" t="s">
        <v>249</v>
      </c>
      <c r="N51" s="19" t="s">
        <v>230</v>
      </c>
      <c r="O51" s="16" t="s">
        <v>247</v>
      </c>
      <c r="P51" s="24" t="s">
        <v>231</v>
      </c>
      <c r="Q51" s="19" t="s">
        <v>248</v>
      </c>
      <c r="R51" s="19" t="s">
        <v>232</v>
      </c>
      <c r="S51" s="19" t="s">
        <v>233</v>
      </c>
      <c r="T51" s="16" t="s">
        <v>250</v>
      </c>
      <c r="U51" s="24" t="s">
        <v>234</v>
      </c>
      <c r="V51" s="19" t="s">
        <v>248</v>
      </c>
    </row>
    <row r="52" spans="2:22">
      <c r="B52" s="19" t="s">
        <v>251</v>
      </c>
      <c r="C52" s="19" t="s">
        <v>252</v>
      </c>
      <c r="D52" s="19" t="s">
        <v>179</v>
      </c>
      <c r="E52" s="19" t="s">
        <v>179</v>
      </c>
      <c r="F52" s="19" t="s">
        <v>253</v>
      </c>
      <c r="G52" s="19" t="s">
        <v>225</v>
      </c>
      <c r="H52" s="23" t="s">
        <v>254</v>
      </c>
      <c r="I52" s="19" t="s">
        <v>227</v>
      </c>
      <c r="J52" s="16" t="s">
        <v>29</v>
      </c>
      <c r="K52" s="25" t="s">
        <v>255</v>
      </c>
      <c r="L52" s="19" t="s">
        <v>35</v>
      </c>
      <c r="M52" s="23" t="s">
        <v>256</v>
      </c>
      <c r="N52" s="19" t="s">
        <v>230</v>
      </c>
      <c r="O52" s="16" t="s">
        <v>29</v>
      </c>
      <c r="P52" s="25" t="s">
        <v>257</v>
      </c>
      <c r="Q52" s="19" t="s">
        <v>35</v>
      </c>
      <c r="R52" s="19" t="s">
        <v>258</v>
      </c>
      <c r="S52" s="19" t="s">
        <v>233</v>
      </c>
      <c r="T52" s="16" t="s">
        <v>32</v>
      </c>
      <c r="U52" s="24" t="s">
        <v>234</v>
      </c>
      <c r="V52" s="19" t="s">
        <v>35</v>
      </c>
    </row>
    <row r="53" spans="2:22">
      <c r="B53" s="19" t="s">
        <v>259</v>
      </c>
      <c r="C53" s="19" t="s">
        <v>260</v>
      </c>
      <c r="D53" s="19" t="s">
        <v>179</v>
      </c>
      <c r="E53" s="19" t="s">
        <v>183</v>
      </c>
      <c r="F53" s="19" t="s">
        <v>261</v>
      </c>
      <c r="G53" s="19" t="s">
        <v>225</v>
      </c>
      <c r="H53" s="23" t="s">
        <v>262</v>
      </c>
      <c r="I53" s="19" t="s">
        <v>227</v>
      </c>
      <c r="J53" s="16" t="s">
        <v>239</v>
      </c>
      <c r="K53" s="25" t="s">
        <v>255</v>
      </c>
      <c r="L53" s="19" t="s">
        <v>240</v>
      </c>
      <c r="M53" s="23" t="s">
        <v>263</v>
      </c>
      <c r="N53" s="19" t="s">
        <v>230</v>
      </c>
      <c r="O53" s="16" t="s">
        <v>239</v>
      </c>
      <c r="P53" s="25" t="s">
        <v>257</v>
      </c>
      <c r="Q53" s="19" t="s">
        <v>240</v>
      </c>
      <c r="R53" s="19" t="s">
        <v>258</v>
      </c>
      <c r="S53" s="19" t="s">
        <v>233</v>
      </c>
      <c r="T53" s="16" t="s">
        <v>242</v>
      </c>
      <c r="U53" s="24" t="s">
        <v>234</v>
      </c>
      <c r="V53" s="19" t="s">
        <v>240</v>
      </c>
    </row>
    <row r="54" spans="2:22">
      <c r="B54" s="19" t="s">
        <v>264</v>
      </c>
      <c r="C54" s="19" t="s">
        <v>265</v>
      </c>
      <c r="D54" s="19" t="s">
        <v>179</v>
      </c>
      <c r="E54" s="19" t="s">
        <v>187</v>
      </c>
      <c r="F54" s="19" t="s">
        <v>266</v>
      </c>
      <c r="G54" s="19" t="s">
        <v>225</v>
      </c>
      <c r="H54" s="23" t="s">
        <v>267</v>
      </c>
      <c r="I54" s="19" t="s">
        <v>227</v>
      </c>
      <c r="J54" s="16" t="s">
        <v>247</v>
      </c>
      <c r="K54" s="25" t="s">
        <v>255</v>
      </c>
      <c r="L54" s="19" t="s">
        <v>248</v>
      </c>
      <c r="M54" s="23" t="s">
        <v>268</v>
      </c>
      <c r="N54" s="19" t="s">
        <v>230</v>
      </c>
      <c r="O54" s="16" t="s">
        <v>247</v>
      </c>
      <c r="P54" s="25" t="s">
        <v>257</v>
      </c>
      <c r="Q54" s="19" t="s">
        <v>248</v>
      </c>
      <c r="R54" s="19" t="s">
        <v>258</v>
      </c>
      <c r="S54" s="19" t="s">
        <v>233</v>
      </c>
      <c r="T54" s="16" t="s">
        <v>250</v>
      </c>
      <c r="U54" s="24" t="s">
        <v>234</v>
      </c>
      <c r="V54" s="19" t="s">
        <v>248</v>
      </c>
    </row>
    <row r="55" spans="2:22">
      <c r="B55" s="19" t="s">
        <v>269</v>
      </c>
      <c r="C55" s="19" t="s">
        <v>270</v>
      </c>
      <c r="D55" s="19" t="s">
        <v>179</v>
      </c>
      <c r="E55" s="19" t="s">
        <v>191</v>
      </c>
      <c r="F55" s="19" t="s">
        <v>271</v>
      </c>
      <c r="G55" s="19" t="s">
        <v>225</v>
      </c>
      <c r="H55" s="23" t="s">
        <v>272</v>
      </c>
      <c r="I55" s="19" t="s">
        <v>227</v>
      </c>
      <c r="J55" s="16" t="s">
        <v>29</v>
      </c>
      <c r="K55" s="26" t="s">
        <v>273</v>
      </c>
      <c r="L55" s="19" t="s">
        <v>35</v>
      </c>
      <c r="M55" s="23" t="s">
        <v>274</v>
      </c>
      <c r="N55" s="19" t="s">
        <v>230</v>
      </c>
      <c r="O55" s="16" t="s">
        <v>29</v>
      </c>
      <c r="P55" s="26" t="s">
        <v>275</v>
      </c>
      <c r="Q55" s="19" t="s">
        <v>35</v>
      </c>
      <c r="R55" s="19" t="s">
        <v>258</v>
      </c>
      <c r="S55" s="19" t="s">
        <v>233</v>
      </c>
      <c r="T55" s="16" t="s">
        <v>32</v>
      </c>
      <c r="U55" s="24" t="s">
        <v>234</v>
      </c>
      <c r="V55" s="19" t="s">
        <v>35</v>
      </c>
    </row>
    <row r="56" spans="2:22">
      <c r="B56" s="19" t="s">
        <v>276</v>
      </c>
      <c r="C56" s="19" t="s">
        <v>277</v>
      </c>
      <c r="D56" s="19" t="s">
        <v>179</v>
      </c>
      <c r="E56" s="19" t="s">
        <v>195</v>
      </c>
      <c r="F56" s="19" t="s">
        <v>278</v>
      </c>
      <c r="G56" s="19" t="s">
        <v>225</v>
      </c>
      <c r="H56" s="23" t="s">
        <v>272</v>
      </c>
      <c r="I56" s="19" t="s">
        <v>227</v>
      </c>
      <c r="J56" s="16" t="s">
        <v>239</v>
      </c>
      <c r="K56" s="26" t="s">
        <v>273</v>
      </c>
      <c r="L56" s="19" t="s">
        <v>240</v>
      </c>
      <c r="M56" s="23" t="s">
        <v>274</v>
      </c>
      <c r="N56" s="19" t="s">
        <v>230</v>
      </c>
      <c r="O56" s="16" t="s">
        <v>239</v>
      </c>
      <c r="P56" s="26" t="s">
        <v>275</v>
      </c>
      <c r="Q56" s="19" t="s">
        <v>240</v>
      </c>
      <c r="R56" s="19" t="s">
        <v>258</v>
      </c>
      <c r="S56" s="19" t="s">
        <v>233</v>
      </c>
      <c r="T56" s="16" t="s">
        <v>242</v>
      </c>
      <c r="U56" s="24" t="s">
        <v>234</v>
      </c>
      <c r="V56" s="19" t="s">
        <v>240</v>
      </c>
    </row>
    <row r="57" spans="2:22">
      <c r="B57" s="19" t="s">
        <v>279</v>
      </c>
      <c r="C57" s="19" t="s">
        <v>280</v>
      </c>
      <c r="D57" s="19" t="s">
        <v>179</v>
      </c>
      <c r="E57" s="19" t="s">
        <v>199</v>
      </c>
      <c r="F57" s="19" t="s">
        <v>281</v>
      </c>
      <c r="G57" s="19" t="s">
        <v>225</v>
      </c>
      <c r="H57" s="23" t="s">
        <v>272</v>
      </c>
      <c r="I57" s="19" t="s">
        <v>227</v>
      </c>
      <c r="J57" s="16" t="s">
        <v>247</v>
      </c>
      <c r="K57" s="26" t="s">
        <v>273</v>
      </c>
      <c r="L57" s="19" t="s">
        <v>248</v>
      </c>
      <c r="M57" s="23" t="s">
        <v>274</v>
      </c>
      <c r="N57" s="19" t="s">
        <v>230</v>
      </c>
      <c r="O57" s="16" t="s">
        <v>247</v>
      </c>
      <c r="P57" s="26" t="s">
        <v>275</v>
      </c>
      <c r="Q57" s="19" t="s">
        <v>248</v>
      </c>
      <c r="R57" s="19" t="s">
        <v>258</v>
      </c>
      <c r="S57" s="19" t="s">
        <v>233</v>
      </c>
      <c r="T57" s="16" t="s">
        <v>250</v>
      </c>
      <c r="U57" s="24" t="s">
        <v>234</v>
      </c>
      <c r="V57" s="19" t="s">
        <v>248</v>
      </c>
    </row>
    <row r="58" spans="2:22">
      <c r="B58" s="19" t="s">
        <v>282</v>
      </c>
      <c r="C58" s="19" t="s">
        <v>283</v>
      </c>
      <c r="D58" s="19" t="s">
        <v>179</v>
      </c>
      <c r="E58" s="19" t="s">
        <v>203</v>
      </c>
      <c r="F58" s="19" t="s">
        <v>284</v>
      </c>
      <c r="G58" s="19" t="s">
        <v>225</v>
      </c>
      <c r="H58" s="23" t="s">
        <v>272</v>
      </c>
      <c r="I58" s="19" t="s">
        <v>227</v>
      </c>
      <c r="J58" s="16" t="s">
        <v>285</v>
      </c>
      <c r="K58" s="27" t="s">
        <v>286</v>
      </c>
      <c r="L58" s="19" t="s">
        <v>35</v>
      </c>
      <c r="M58" s="23" t="s">
        <v>274</v>
      </c>
      <c r="N58" s="19" t="s">
        <v>230</v>
      </c>
      <c r="O58" s="16" t="s">
        <v>285</v>
      </c>
      <c r="P58" s="27" t="s">
        <v>287</v>
      </c>
      <c r="Q58" s="19" t="s">
        <v>35</v>
      </c>
      <c r="R58" s="19" t="s">
        <v>288</v>
      </c>
      <c r="S58" s="19" t="s">
        <v>233</v>
      </c>
      <c r="T58" s="16" t="s">
        <v>289</v>
      </c>
      <c r="U58" s="24" t="s">
        <v>234</v>
      </c>
      <c r="V58" s="19" t="s">
        <v>35</v>
      </c>
    </row>
    <row r="59" spans="2:22">
      <c r="B59" s="19" t="s">
        <v>290</v>
      </c>
      <c r="C59" s="19" t="s">
        <v>291</v>
      </c>
      <c r="D59" s="19" t="s">
        <v>179</v>
      </c>
      <c r="E59" s="19" t="s">
        <v>168</v>
      </c>
      <c r="F59" s="19" t="s">
        <v>292</v>
      </c>
      <c r="G59" s="19" t="s">
        <v>225</v>
      </c>
      <c r="H59" s="23" t="s">
        <v>272</v>
      </c>
      <c r="I59" s="19" t="s">
        <v>227</v>
      </c>
      <c r="J59" s="16" t="s">
        <v>293</v>
      </c>
      <c r="K59" s="27" t="s">
        <v>286</v>
      </c>
      <c r="L59" s="19" t="s">
        <v>240</v>
      </c>
      <c r="M59" s="23" t="s">
        <v>274</v>
      </c>
      <c r="N59" s="19" t="s">
        <v>230</v>
      </c>
      <c r="O59" s="16" t="s">
        <v>293</v>
      </c>
      <c r="P59" s="27" t="s">
        <v>287</v>
      </c>
      <c r="Q59" s="19" t="s">
        <v>240</v>
      </c>
      <c r="R59" s="19" t="s">
        <v>288</v>
      </c>
      <c r="S59" s="19" t="s">
        <v>233</v>
      </c>
      <c r="T59" s="16" t="s">
        <v>294</v>
      </c>
      <c r="U59" s="24" t="s">
        <v>234</v>
      </c>
      <c r="V59" s="19" t="s">
        <v>240</v>
      </c>
    </row>
    <row r="60" spans="2:22">
      <c r="B60" s="19" t="s">
        <v>295</v>
      </c>
      <c r="C60" s="19" t="s">
        <v>296</v>
      </c>
      <c r="D60" s="19" t="s">
        <v>179</v>
      </c>
      <c r="E60" s="19" t="s">
        <v>210</v>
      </c>
      <c r="F60" s="19" t="s">
        <v>297</v>
      </c>
      <c r="G60" s="19" t="s">
        <v>225</v>
      </c>
      <c r="H60" s="23" t="s">
        <v>272</v>
      </c>
      <c r="I60" s="19" t="s">
        <v>227</v>
      </c>
      <c r="J60" s="16" t="s">
        <v>298</v>
      </c>
      <c r="K60" s="27" t="s">
        <v>286</v>
      </c>
      <c r="L60" s="19" t="s">
        <v>248</v>
      </c>
      <c r="M60" s="23" t="s">
        <v>274</v>
      </c>
      <c r="N60" s="19" t="s">
        <v>230</v>
      </c>
      <c r="O60" s="16" t="s">
        <v>298</v>
      </c>
      <c r="P60" s="27" t="s">
        <v>287</v>
      </c>
      <c r="Q60" s="19" t="s">
        <v>248</v>
      </c>
      <c r="R60" s="19" t="s">
        <v>288</v>
      </c>
      <c r="S60" s="19" t="s">
        <v>233</v>
      </c>
      <c r="T60" s="16" t="s">
        <v>299</v>
      </c>
      <c r="U60" s="24" t="s">
        <v>234</v>
      </c>
      <c r="V60" s="19" t="s">
        <v>248</v>
      </c>
    </row>
    <row r="61" spans="2:22">
      <c r="B61" s="19" t="s">
        <v>300</v>
      </c>
      <c r="C61" s="19" t="s">
        <v>301</v>
      </c>
      <c r="D61" s="19" t="s">
        <v>179</v>
      </c>
      <c r="E61" s="19" t="s">
        <v>214</v>
      </c>
      <c r="F61" s="19" t="s">
        <v>302</v>
      </c>
      <c r="G61" s="19" t="s">
        <v>225</v>
      </c>
      <c r="H61" s="23" t="s">
        <v>272</v>
      </c>
      <c r="I61" s="19" t="s">
        <v>227</v>
      </c>
      <c r="J61" s="16" t="s">
        <v>303</v>
      </c>
      <c r="K61" s="28" t="s">
        <v>304</v>
      </c>
      <c r="L61" s="19" t="s">
        <v>35</v>
      </c>
      <c r="M61" s="23" t="s">
        <v>274</v>
      </c>
      <c r="N61" s="19" t="s">
        <v>230</v>
      </c>
      <c r="O61" s="16" t="s">
        <v>303</v>
      </c>
      <c r="P61" s="28" t="s">
        <v>305</v>
      </c>
      <c r="Q61" s="19" t="s">
        <v>35</v>
      </c>
      <c r="R61" s="19" t="s">
        <v>288</v>
      </c>
      <c r="S61" s="19" t="s">
        <v>233</v>
      </c>
      <c r="T61" s="16" t="s">
        <v>306</v>
      </c>
      <c r="U61" s="24" t="s">
        <v>234</v>
      </c>
      <c r="V61" s="19" t="s">
        <v>35</v>
      </c>
    </row>
    <row r="62" spans="2:22">
      <c r="B62" s="19" t="s">
        <v>307</v>
      </c>
      <c r="C62" s="19" t="s">
        <v>308</v>
      </c>
      <c r="D62" s="19" t="s">
        <v>179</v>
      </c>
      <c r="E62" s="19" t="s">
        <v>218</v>
      </c>
      <c r="F62" s="19" t="s">
        <v>309</v>
      </c>
      <c r="G62" s="19" t="s">
        <v>225</v>
      </c>
      <c r="H62" s="23" t="s">
        <v>272</v>
      </c>
      <c r="I62" s="19" t="s">
        <v>227</v>
      </c>
      <c r="J62" s="16" t="s">
        <v>310</v>
      </c>
      <c r="K62" s="28" t="s">
        <v>304</v>
      </c>
      <c r="L62" s="19" t="s">
        <v>240</v>
      </c>
      <c r="M62" s="23" t="s">
        <v>274</v>
      </c>
      <c r="N62" s="19" t="s">
        <v>230</v>
      </c>
      <c r="O62" s="16" t="s">
        <v>310</v>
      </c>
      <c r="P62" s="28" t="s">
        <v>305</v>
      </c>
      <c r="Q62" s="19" t="s">
        <v>240</v>
      </c>
      <c r="R62" s="19" t="s">
        <v>288</v>
      </c>
      <c r="S62" s="19" t="s">
        <v>233</v>
      </c>
      <c r="T62" s="16" t="s">
        <v>311</v>
      </c>
      <c r="U62" s="24" t="s">
        <v>234</v>
      </c>
      <c r="V62" s="19" t="s">
        <v>240</v>
      </c>
    </row>
    <row r="63" spans="2:22">
      <c r="B63" s="19" t="s">
        <v>312</v>
      </c>
      <c r="C63" s="19" t="s">
        <v>313</v>
      </c>
      <c r="D63" s="19" t="s">
        <v>179</v>
      </c>
      <c r="E63" s="19" t="s">
        <v>27</v>
      </c>
      <c r="F63" s="19" t="s">
        <v>314</v>
      </c>
      <c r="G63" s="19" t="s">
        <v>225</v>
      </c>
      <c r="H63" s="23" t="s">
        <v>272</v>
      </c>
      <c r="I63" s="19" t="s">
        <v>227</v>
      </c>
      <c r="J63" s="16" t="s">
        <v>315</v>
      </c>
      <c r="K63" s="28" t="s">
        <v>304</v>
      </c>
      <c r="L63" s="19" t="s">
        <v>248</v>
      </c>
      <c r="M63" s="23" t="s">
        <v>274</v>
      </c>
      <c r="N63" s="19" t="s">
        <v>230</v>
      </c>
      <c r="O63" s="16" t="s">
        <v>315</v>
      </c>
      <c r="P63" s="28" t="s">
        <v>305</v>
      </c>
      <c r="Q63" s="19" t="s">
        <v>248</v>
      </c>
      <c r="R63" s="19" t="s">
        <v>288</v>
      </c>
      <c r="S63" s="19" t="s">
        <v>233</v>
      </c>
      <c r="T63" s="16" t="s">
        <v>316</v>
      </c>
      <c r="U63" s="24" t="s">
        <v>234</v>
      </c>
      <c r="V63" s="19" t="s">
        <v>248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0"/>
  <sheetViews>
    <sheetView topLeftCell="AA1" workbookViewId="0">
      <selection activeCell="AB16" sqref="AB2:AB16"/>
    </sheetView>
  </sheetViews>
  <sheetFormatPr defaultColWidth="9" defaultRowHeight="14.25"/>
  <cols>
    <col min="1" max="1" width="16.25" customWidth="1"/>
    <col min="2" max="2" width="12.75" customWidth="1"/>
    <col min="4" max="4" width="12.625" customWidth="1"/>
    <col min="5" max="5" width="15.625" customWidth="1"/>
    <col min="7" max="7" width="13" customWidth="1"/>
    <col min="8" max="8" width="15.25" customWidth="1"/>
    <col min="9" max="9" width="17.5" customWidth="1"/>
    <col min="10" max="10" width="12.625" customWidth="1"/>
    <col min="11" max="11" width="10" customWidth="1"/>
    <col min="12" max="12" width="9.875" customWidth="1"/>
    <col min="13" max="13" width="11" customWidth="1"/>
    <col min="16" max="16" width="13" customWidth="1"/>
    <col min="17" max="17" width="23.25" customWidth="1"/>
    <col min="18" max="18" width="25.125" customWidth="1"/>
    <col min="19" max="19" width="22.875" customWidth="1"/>
    <col min="20" max="20" width="14.5" customWidth="1"/>
    <col min="21" max="21" width="41.25" customWidth="1"/>
    <col min="22" max="22" width="13.5" customWidth="1"/>
    <col min="23" max="23" width="57" customWidth="1"/>
    <col min="24" max="24" width="52.875" customWidth="1"/>
    <col min="25" max="25" width="26.75" customWidth="1"/>
    <col min="26" max="26" width="61.5" customWidth="1"/>
    <col min="27" max="27" width="65.25" customWidth="1"/>
    <col min="28" max="28" width="28" customWidth="1"/>
    <col min="31" max="31" width="7.75" customWidth="1"/>
    <col min="32" max="32" width="18.625" customWidth="1"/>
  </cols>
  <sheetData>
    <row r="1" spans="1:33">
      <c r="A1" s="1" t="s">
        <v>317</v>
      </c>
      <c r="B1" s="1" t="s">
        <v>318</v>
      </c>
      <c r="C1" s="1" t="s">
        <v>319</v>
      </c>
      <c r="D1" s="1" t="s">
        <v>320</v>
      </c>
      <c r="E1" s="2" t="s">
        <v>321</v>
      </c>
      <c r="F1" s="2" t="s">
        <v>322</v>
      </c>
      <c r="G1" s="2" t="s">
        <v>319</v>
      </c>
      <c r="H1" s="2" t="s">
        <v>320</v>
      </c>
      <c r="I1" s="3" t="s">
        <v>323</v>
      </c>
      <c r="J1" s="3" t="s">
        <v>324</v>
      </c>
      <c r="K1" s="3" t="s">
        <v>319</v>
      </c>
      <c r="L1" s="3" t="s">
        <v>320</v>
      </c>
      <c r="M1" s="4" t="s">
        <v>325</v>
      </c>
      <c r="N1" s="4" t="s">
        <v>326</v>
      </c>
      <c r="O1" s="4" t="s">
        <v>319</v>
      </c>
      <c r="P1" s="4" t="s">
        <v>320</v>
      </c>
      <c r="Q1" s="5" t="s">
        <v>327</v>
      </c>
      <c r="R1" s="5" t="s">
        <v>328</v>
      </c>
      <c r="S1" s="5" t="s">
        <v>329</v>
      </c>
      <c r="T1" s="5" t="s">
        <v>320</v>
      </c>
      <c r="U1" s="6" t="s">
        <v>330</v>
      </c>
      <c r="V1" s="7" t="s">
        <v>331</v>
      </c>
      <c r="W1" s="6" t="s">
        <v>332</v>
      </c>
      <c r="X1" s="6" t="s">
        <v>333</v>
      </c>
      <c r="Y1" s="6" t="s">
        <v>334</v>
      </c>
      <c r="Z1" s="6" t="s">
        <v>335</v>
      </c>
      <c r="AA1" s="6" t="s">
        <v>336</v>
      </c>
      <c r="AB1" s="6" t="s">
        <v>337</v>
      </c>
      <c r="AG1" s="8" t="s">
        <v>338</v>
      </c>
    </row>
    <row r="2" spans="1:33">
      <c r="A2" s="1" t="str">
        <f t="shared" ref="A2:A16" si="0">B2&amp;"|"&amp;C2</f>
        <v>121001|150</v>
      </c>
      <c r="B2" s="1">
        <v>121001</v>
      </c>
      <c r="C2" s="1">
        <v>150</v>
      </c>
      <c r="D2" s="1" t="str">
        <f t="shared" ref="D2:D16" si="1">B2&amp;"|"&amp;C2*10</f>
        <v>121001|1500</v>
      </c>
      <c r="E2" s="2" t="str">
        <f t="shared" ref="E2:E16" si="2">F2&amp;"|"&amp;G2</f>
        <v>111001|700</v>
      </c>
      <c r="F2" s="2">
        <v>111001</v>
      </c>
      <c r="G2" s="2">
        <v>700</v>
      </c>
      <c r="H2" s="2" t="str">
        <f t="shared" ref="H2:H16" si="3">F2&amp;"|"&amp;G2*10</f>
        <v>111001|7000</v>
      </c>
      <c r="I2" s="3" t="str">
        <f t="shared" ref="I2:I16" si="4">J2&amp;"|"&amp;K2</f>
        <v>81001|150</v>
      </c>
      <c r="J2" s="3">
        <v>81001</v>
      </c>
      <c r="K2" s="3">
        <v>150</v>
      </c>
      <c r="L2" s="3" t="str">
        <f t="shared" ref="L2:L16" si="5">J2&amp;"|"&amp;K2*10</f>
        <v>81001|1500</v>
      </c>
      <c r="M2" s="4" t="str">
        <f t="shared" ref="M2:M16" si="6">N2&amp;"|"&amp;O2</f>
        <v>91001|150</v>
      </c>
      <c r="N2" s="4">
        <v>91001</v>
      </c>
      <c r="O2" s="4">
        <v>150</v>
      </c>
      <c r="P2" s="4" t="str">
        <f t="shared" ref="P2:P16" si="7">N2&amp;"|"&amp;O2*10</f>
        <v>91001|1500</v>
      </c>
      <c r="Q2" s="5" t="str">
        <f t="shared" ref="Q2:Q16" si="8">R2&amp;"|"&amp;S2</f>
        <v>131001|100</v>
      </c>
      <c r="R2" s="5">
        <v>131001</v>
      </c>
      <c r="S2" s="5">
        <v>100</v>
      </c>
      <c r="T2" s="5" t="str">
        <f t="shared" ref="T2:T16" si="9">R2&amp;"|"&amp;S2*10</f>
        <v>131001|1000</v>
      </c>
      <c r="U2" s="6" t="s">
        <v>339</v>
      </c>
      <c r="V2" s="6">
        <v>1200</v>
      </c>
      <c r="W2" s="6">
        <v>990002</v>
      </c>
      <c r="X2" s="6" t="s">
        <v>340</v>
      </c>
      <c r="Y2" s="6">
        <v>990003</v>
      </c>
      <c r="Z2" s="6" t="s">
        <v>341</v>
      </c>
      <c r="AA2" s="6">
        <v>990001</v>
      </c>
      <c r="AB2" s="8" t="str">
        <f t="shared" ref="AB2:AB16" si="10">100&amp;"|"&amp;AC2&amp;"$"&amp;80&amp;"|"&amp;AD2&amp;"$"&amp;60&amp;"|"&amp;AF2</f>
        <v>100|1$80|2$60|4</v>
      </c>
      <c r="AC2">
        <v>1</v>
      </c>
      <c r="AD2">
        <v>2</v>
      </c>
      <c r="AE2">
        <v>3</v>
      </c>
      <c r="AF2">
        <v>4</v>
      </c>
      <c r="AG2">
        <f t="shared" ref="AG2:AG16" si="11">V2*2</f>
        <v>2400</v>
      </c>
    </row>
    <row r="3" spans="1:33">
      <c r="A3" s="1" t="str">
        <f t="shared" si="0"/>
        <v>121001|200</v>
      </c>
      <c r="B3" s="1">
        <v>121001</v>
      </c>
      <c r="C3" s="1">
        <v>200</v>
      </c>
      <c r="D3" s="1" t="str">
        <f t="shared" si="1"/>
        <v>121001|2000</v>
      </c>
      <c r="E3" s="2" t="str">
        <f t="shared" si="2"/>
        <v>111001|1200</v>
      </c>
      <c r="F3" s="2">
        <v>111001</v>
      </c>
      <c r="G3" s="2">
        <v>1200</v>
      </c>
      <c r="H3" s="2" t="str">
        <f t="shared" si="3"/>
        <v>111001|12000</v>
      </c>
      <c r="I3" s="3" t="str">
        <f t="shared" si="4"/>
        <v>81001|200</v>
      </c>
      <c r="J3" s="3">
        <v>81001</v>
      </c>
      <c r="K3" s="3">
        <v>200</v>
      </c>
      <c r="L3" s="3" t="str">
        <f t="shared" si="5"/>
        <v>81001|2000</v>
      </c>
      <c r="M3" s="4" t="str">
        <f t="shared" si="6"/>
        <v>91001|200</v>
      </c>
      <c r="N3" s="4">
        <v>91001</v>
      </c>
      <c r="O3" s="4">
        <v>200</v>
      </c>
      <c r="P3" s="4" t="str">
        <f t="shared" si="7"/>
        <v>91001|2000</v>
      </c>
      <c r="Q3" s="5" t="str">
        <f t="shared" si="8"/>
        <v>131001|150</v>
      </c>
      <c r="R3" s="5">
        <v>131001</v>
      </c>
      <c r="S3" s="5">
        <v>150</v>
      </c>
      <c r="T3" s="5" t="str">
        <f t="shared" si="9"/>
        <v>131001|1500</v>
      </c>
      <c r="U3" s="6" t="s">
        <v>339</v>
      </c>
      <c r="V3" s="6">
        <v>1800</v>
      </c>
      <c r="W3" s="6">
        <v>990002</v>
      </c>
      <c r="X3" s="6" t="s">
        <v>340</v>
      </c>
      <c r="Y3" s="6">
        <v>990003</v>
      </c>
      <c r="Z3" s="6" t="s">
        <v>341</v>
      </c>
      <c r="AA3" s="6">
        <v>990001</v>
      </c>
      <c r="AB3" s="8" t="str">
        <f t="shared" si="10"/>
        <v>100|2$80|3$60|6</v>
      </c>
      <c r="AC3">
        <v>2</v>
      </c>
      <c r="AD3">
        <v>3</v>
      </c>
      <c r="AE3">
        <v>7</v>
      </c>
      <c r="AF3">
        <v>6</v>
      </c>
      <c r="AG3">
        <f t="shared" si="11"/>
        <v>3600</v>
      </c>
    </row>
    <row r="4" spans="1:33">
      <c r="A4" s="1" t="str">
        <f t="shared" si="0"/>
        <v>121001|250</v>
      </c>
      <c r="B4" s="1">
        <v>121001</v>
      </c>
      <c r="C4" s="1">
        <v>250</v>
      </c>
      <c r="D4" s="1" t="str">
        <f t="shared" si="1"/>
        <v>121001|2500</v>
      </c>
      <c r="E4" s="2" t="str">
        <f t="shared" si="2"/>
        <v>111001|1700</v>
      </c>
      <c r="F4" s="2">
        <v>111001</v>
      </c>
      <c r="G4" s="2">
        <v>1700</v>
      </c>
      <c r="H4" s="2" t="str">
        <f t="shared" si="3"/>
        <v>111001|17000</v>
      </c>
      <c r="I4" s="3" t="str">
        <f t="shared" si="4"/>
        <v>81001|250</v>
      </c>
      <c r="J4" s="3">
        <v>81001</v>
      </c>
      <c r="K4" s="3">
        <v>250</v>
      </c>
      <c r="L4" s="3" t="str">
        <f t="shared" si="5"/>
        <v>81001|2500</v>
      </c>
      <c r="M4" s="4" t="str">
        <f t="shared" si="6"/>
        <v>91001|250</v>
      </c>
      <c r="N4" s="4">
        <v>91001</v>
      </c>
      <c r="O4" s="4">
        <v>250</v>
      </c>
      <c r="P4" s="4" t="str">
        <f t="shared" si="7"/>
        <v>91001|2500</v>
      </c>
      <c r="Q4" s="5" t="str">
        <f t="shared" si="8"/>
        <v>131001|200</v>
      </c>
      <c r="R4" s="5">
        <v>131001</v>
      </c>
      <c r="S4" s="5">
        <v>200</v>
      </c>
      <c r="T4" s="5" t="str">
        <f t="shared" si="9"/>
        <v>131001|2000</v>
      </c>
      <c r="U4" s="6" t="s">
        <v>339</v>
      </c>
      <c r="V4" s="6">
        <v>2400</v>
      </c>
      <c r="W4" s="6">
        <v>990002</v>
      </c>
      <c r="X4" s="6" t="s">
        <v>340</v>
      </c>
      <c r="Y4" s="6">
        <v>990003</v>
      </c>
      <c r="Z4" s="6" t="s">
        <v>341</v>
      </c>
      <c r="AA4" s="6">
        <v>990001</v>
      </c>
      <c r="AB4" s="8" t="str">
        <f t="shared" si="10"/>
        <v>100|3$80|4$60|8</v>
      </c>
      <c r="AC4">
        <v>3</v>
      </c>
      <c r="AD4">
        <v>4</v>
      </c>
      <c r="AE4">
        <v>11</v>
      </c>
      <c r="AF4">
        <v>8</v>
      </c>
      <c r="AG4">
        <f t="shared" si="11"/>
        <v>4800</v>
      </c>
    </row>
    <row r="5" spans="1:33">
      <c r="A5" s="1" t="str">
        <f t="shared" si="0"/>
        <v>122001|111</v>
      </c>
      <c r="B5" s="1">
        <v>122001</v>
      </c>
      <c r="C5" s="1">
        <v>111</v>
      </c>
      <c r="D5" s="1" t="str">
        <f t="shared" si="1"/>
        <v>122001|1110</v>
      </c>
      <c r="E5" s="2" t="str">
        <f t="shared" si="2"/>
        <v>112001|700</v>
      </c>
      <c r="F5" s="2">
        <v>112001</v>
      </c>
      <c r="G5" s="2">
        <v>700</v>
      </c>
      <c r="H5" s="2" t="str">
        <f t="shared" si="3"/>
        <v>112001|7000</v>
      </c>
      <c r="I5" s="3" t="str">
        <f t="shared" si="4"/>
        <v>82001|150</v>
      </c>
      <c r="J5" s="3">
        <v>82001</v>
      </c>
      <c r="K5" s="3">
        <v>150</v>
      </c>
      <c r="L5" s="3" t="str">
        <f t="shared" si="5"/>
        <v>82001|1500</v>
      </c>
      <c r="M5" s="4" t="str">
        <f t="shared" si="6"/>
        <v>92001|100</v>
      </c>
      <c r="N5" s="4">
        <v>92001</v>
      </c>
      <c r="O5" s="4">
        <v>100</v>
      </c>
      <c r="P5" s="4" t="str">
        <f t="shared" si="7"/>
        <v>92001|1000</v>
      </c>
      <c r="Q5" s="5" t="str">
        <f t="shared" si="8"/>
        <v>132001|100</v>
      </c>
      <c r="R5" s="5">
        <v>132001</v>
      </c>
      <c r="S5" s="5">
        <v>100</v>
      </c>
      <c r="T5" s="5" t="str">
        <f t="shared" si="9"/>
        <v>132001|1000</v>
      </c>
      <c r="U5" s="6" t="s">
        <v>342</v>
      </c>
      <c r="V5" s="6">
        <v>3000</v>
      </c>
      <c r="W5" s="6">
        <v>990002</v>
      </c>
      <c r="X5" s="6" t="s">
        <v>343</v>
      </c>
      <c r="Y5" s="6">
        <v>990003</v>
      </c>
      <c r="Z5" s="6" t="s">
        <v>344</v>
      </c>
      <c r="AA5" s="6">
        <v>990001</v>
      </c>
      <c r="AB5" s="8" t="str">
        <f t="shared" si="10"/>
        <v>100|4$80|5$60|12</v>
      </c>
      <c r="AC5">
        <v>4</v>
      </c>
      <c r="AD5">
        <v>5</v>
      </c>
      <c r="AE5">
        <v>15</v>
      </c>
      <c r="AF5">
        <v>12</v>
      </c>
      <c r="AG5">
        <f t="shared" si="11"/>
        <v>6000</v>
      </c>
    </row>
    <row r="6" spans="1:33">
      <c r="A6" s="1" t="str">
        <f t="shared" si="0"/>
        <v>122001|140</v>
      </c>
      <c r="B6" s="1">
        <v>122001</v>
      </c>
      <c r="C6" s="1">
        <v>140</v>
      </c>
      <c r="D6" s="1" t="str">
        <f t="shared" si="1"/>
        <v>122001|1400</v>
      </c>
      <c r="E6" s="2" t="str">
        <f t="shared" si="2"/>
        <v>112001|1200</v>
      </c>
      <c r="F6" s="2">
        <v>112001</v>
      </c>
      <c r="G6" s="2">
        <v>1200</v>
      </c>
      <c r="H6" s="2" t="str">
        <f t="shared" si="3"/>
        <v>112001|12000</v>
      </c>
      <c r="I6" s="3" t="str">
        <f t="shared" si="4"/>
        <v>82001|190</v>
      </c>
      <c r="J6" s="3">
        <v>82001</v>
      </c>
      <c r="K6" s="3">
        <v>190</v>
      </c>
      <c r="L6" s="3" t="str">
        <f t="shared" si="5"/>
        <v>82001|1900</v>
      </c>
      <c r="M6" s="4" t="str">
        <f t="shared" si="6"/>
        <v>92001|150</v>
      </c>
      <c r="N6" s="4">
        <v>92001</v>
      </c>
      <c r="O6" s="4">
        <v>150</v>
      </c>
      <c r="P6" s="4" t="str">
        <f t="shared" si="7"/>
        <v>92001|1500</v>
      </c>
      <c r="Q6" s="5" t="str">
        <f t="shared" si="8"/>
        <v>132001|150</v>
      </c>
      <c r="R6" s="5">
        <v>132001</v>
      </c>
      <c r="S6" s="5">
        <v>150</v>
      </c>
      <c r="T6" s="5" t="str">
        <f t="shared" si="9"/>
        <v>132001|1500</v>
      </c>
      <c r="U6" s="6" t="s">
        <v>342</v>
      </c>
      <c r="V6" s="6">
        <v>3600</v>
      </c>
      <c r="W6" s="6">
        <v>990002</v>
      </c>
      <c r="X6" s="6" t="s">
        <v>343</v>
      </c>
      <c r="Y6" s="6">
        <v>990003</v>
      </c>
      <c r="Z6" s="6" t="s">
        <v>344</v>
      </c>
      <c r="AA6" s="6">
        <v>990001</v>
      </c>
      <c r="AB6" s="8" t="str">
        <f t="shared" si="10"/>
        <v>100|5$80|6$60|14</v>
      </c>
      <c r="AC6">
        <v>5</v>
      </c>
      <c r="AD6">
        <v>6</v>
      </c>
      <c r="AE6">
        <v>19</v>
      </c>
      <c r="AF6">
        <v>14</v>
      </c>
      <c r="AG6">
        <f t="shared" si="11"/>
        <v>7200</v>
      </c>
    </row>
    <row r="7" spans="1:33">
      <c r="A7" s="1" t="str">
        <f t="shared" si="0"/>
        <v>122001|170</v>
      </c>
      <c r="B7" s="1">
        <v>122001</v>
      </c>
      <c r="C7" s="1">
        <v>170</v>
      </c>
      <c r="D7" s="1" t="str">
        <f t="shared" si="1"/>
        <v>122001|1700</v>
      </c>
      <c r="E7" s="2" t="str">
        <f t="shared" si="2"/>
        <v>112001|1700</v>
      </c>
      <c r="F7" s="2">
        <v>112001</v>
      </c>
      <c r="G7" s="2">
        <v>1700</v>
      </c>
      <c r="H7" s="2" t="str">
        <f t="shared" si="3"/>
        <v>112001|17000</v>
      </c>
      <c r="I7" s="3" t="str">
        <f t="shared" si="4"/>
        <v>82001|230</v>
      </c>
      <c r="J7" s="3">
        <v>82001</v>
      </c>
      <c r="K7" s="3">
        <v>230</v>
      </c>
      <c r="L7" s="3" t="str">
        <f t="shared" si="5"/>
        <v>82001|2300</v>
      </c>
      <c r="M7" s="4" t="str">
        <f t="shared" si="6"/>
        <v>92001|200</v>
      </c>
      <c r="N7" s="4">
        <v>92001</v>
      </c>
      <c r="O7" s="4">
        <v>200</v>
      </c>
      <c r="P7" s="4" t="str">
        <f t="shared" si="7"/>
        <v>92001|2000</v>
      </c>
      <c r="Q7" s="5" t="str">
        <f t="shared" si="8"/>
        <v>132001|200</v>
      </c>
      <c r="R7" s="5">
        <v>132001</v>
      </c>
      <c r="S7" s="5">
        <v>200</v>
      </c>
      <c r="T7" s="5" t="str">
        <f t="shared" si="9"/>
        <v>132001|2000</v>
      </c>
      <c r="U7" s="6" t="s">
        <v>342</v>
      </c>
      <c r="V7" s="6">
        <v>4200</v>
      </c>
      <c r="W7" s="6">
        <v>990002</v>
      </c>
      <c r="X7" s="6" t="s">
        <v>343</v>
      </c>
      <c r="Y7" s="6">
        <v>990003</v>
      </c>
      <c r="Z7" s="6" t="s">
        <v>344</v>
      </c>
      <c r="AA7" s="6">
        <v>990001</v>
      </c>
      <c r="AB7" s="8" t="str">
        <f t="shared" si="10"/>
        <v>100|6$80|7$60|16</v>
      </c>
      <c r="AC7">
        <v>6</v>
      </c>
      <c r="AD7">
        <v>7</v>
      </c>
      <c r="AE7">
        <v>23</v>
      </c>
      <c r="AF7">
        <v>16</v>
      </c>
      <c r="AG7">
        <f t="shared" si="11"/>
        <v>8400</v>
      </c>
    </row>
    <row r="8" spans="1:33">
      <c r="A8" s="1" t="str">
        <f t="shared" si="0"/>
        <v>123001|73</v>
      </c>
      <c r="B8" s="1">
        <v>123001</v>
      </c>
      <c r="C8" s="1">
        <v>73</v>
      </c>
      <c r="D8" s="1" t="str">
        <f t="shared" si="1"/>
        <v>123001|730</v>
      </c>
      <c r="E8" s="2" t="str">
        <f t="shared" si="2"/>
        <v>113001|700</v>
      </c>
      <c r="F8" s="2">
        <v>113001</v>
      </c>
      <c r="G8" s="2">
        <v>700</v>
      </c>
      <c r="H8" s="2" t="str">
        <f t="shared" si="3"/>
        <v>113001|7000</v>
      </c>
      <c r="I8" s="3" t="str">
        <f t="shared" si="4"/>
        <v>83001|120</v>
      </c>
      <c r="J8" s="3">
        <v>83001</v>
      </c>
      <c r="K8" s="3">
        <v>120</v>
      </c>
      <c r="L8" s="3" t="str">
        <f t="shared" si="5"/>
        <v>83001|1200</v>
      </c>
      <c r="M8" s="4" t="str">
        <f t="shared" si="6"/>
        <v>93001|90</v>
      </c>
      <c r="N8" s="4">
        <v>93001</v>
      </c>
      <c r="O8" s="4">
        <v>90</v>
      </c>
      <c r="P8" s="4" t="str">
        <f t="shared" si="7"/>
        <v>93001|900</v>
      </c>
      <c r="Q8" s="5" t="str">
        <f t="shared" si="8"/>
        <v>133001|100</v>
      </c>
      <c r="R8" s="5">
        <v>133001</v>
      </c>
      <c r="S8" s="5">
        <v>100</v>
      </c>
      <c r="T8" s="5" t="str">
        <f t="shared" si="9"/>
        <v>133001|1000</v>
      </c>
      <c r="U8" s="6" t="s">
        <v>345</v>
      </c>
      <c r="V8" s="6">
        <v>4800</v>
      </c>
      <c r="W8" s="6">
        <v>990002</v>
      </c>
      <c r="X8" s="6" t="s">
        <v>346</v>
      </c>
      <c r="Y8" s="6">
        <v>990003</v>
      </c>
      <c r="Z8" s="6" t="s">
        <v>347</v>
      </c>
      <c r="AA8" s="6">
        <v>990001</v>
      </c>
      <c r="AB8" s="8" t="str">
        <f t="shared" si="10"/>
        <v>100|7$80|8$60|18</v>
      </c>
      <c r="AC8">
        <v>7</v>
      </c>
      <c r="AD8">
        <v>8</v>
      </c>
      <c r="AE8">
        <v>27</v>
      </c>
      <c r="AF8">
        <v>18</v>
      </c>
      <c r="AG8">
        <f t="shared" si="11"/>
        <v>9600</v>
      </c>
    </row>
    <row r="9" spans="1:33">
      <c r="A9" s="1" t="str">
        <f t="shared" si="0"/>
        <v>123001|90</v>
      </c>
      <c r="B9" s="1">
        <v>123001</v>
      </c>
      <c r="C9" s="1">
        <v>90</v>
      </c>
      <c r="D9" s="1" t="str">
        <f t="shared" si="1"/>
        <v>123001|900</v>
      </c>
      <c r="E9" s="2" t="str">
        <f t="shared" si="2"/>
        <v>113001|1200</v>
      </c>
      <c r="F9" s="2">
        <v>113001</v>
      </c>
      <c r="G9" s="2">
        <v>1200</v>
      </c>
      <c r="H9" s="2" t="str">
        <f t="shared" si="3"/>
        <v>113001|12000</v>
      </c>
      <c r="I9" s="3" t="str">
        <f t="shared" si="4"/>
        <v>83001|150</v>
      </c>
      <c r="J9" s="3">
        <v>83001</v>
      </c>
      <c r="K9" s="3">
        <v>150</v>
      </c>
      <c r="L9" s="3" t="str">
        <f t="shared" si="5"/>
        <v>83001|1500</v>
      </c>
      <c r="M9" s="4" t="str">
        <f t="shared" si="6"/>
        <v>93001|120</v>
      </c>
      <c r="N9" s="4">
        <v>93001</v>
      </c>
      <c r="O9" s="4">
        <v>120</v>
      </c>
      <c r="P9" s="4" t="str">
        <f t="shared" si="7"/>
        <v>93001|1200</v>
      </c>
      <c r="Q9" s="5" t="str">
        <f t="shared" si="8"/>
        <v>133001|150</v>
      </c>
      <c r="R9" s="5">
        <v>133001</v>
      </c>
      <c r="S9" s="5">
        <v>150</v>
      </c>
      <c r="T9" s="5" t="str">
        <f t="shared" si="9"/>
        <v>133001|1500</v>
      </c>
      <c r="U9" s="6" t="s">
        <v>345</v>
      </c>
      <c r="V9" s="6">
        <v>5400</v>
      </c>
      <c r="W9" s="6">
        <v>990002</v>
      </c>
      <c r="X9" s="6" t="s">
        <v>346</v>
      </c>
      <c r="Y9" s="6">
        <v>990003</v>
      </c>
      <c r="Z9" s="6" t="s">
        <v>347</v>
      </c>
      <c r="AA9" s="6">
        <v>990001</v>
      </c>
      <c r="AB9" s="8" t="str">
        <f t="shared" si="10"/>
        <v>100|8$80|9$60|20</v>
      </c>
      <c r="AC9">
        <v>8</v>
      </c>
      <c r="AD9">
        <v>9</v>
      </c>
      <c r="AE9">
        <v>31</v>
      </c>
      <c r="AF9">
        <v>20</v>
      </c>
      <c r="AG9">
        <f t="shared" si="11"/>
        <v>10800</v>
      </c>
    </row>
    <row r="10" spans="1:33">
      <c r="A10" s="1" t="str">
        <f t="shared" si="0"/>
        <v>123001|110</v>
      </c>
      <c r="B10" s="1">
        <v>123001</v>
      </c>
      <c r="C10" s="1">
        <v>110</v>
      </c>
      <c r="D10" s="1" t="str">
        <f t="shared" si="1"/>
        <v>123001|1100</v>
      </c>
      <c r="E10" s="2" t="str">
        <f t="shared" si="2"/>
        <v>113001|1700</v>
      </c>
      <c r="F10" s="2">
        <v>113001</v>
      </c>
      <c r="G10" s="2">
        <v>1700</v>
      </c>
      <c r="H10" s="2" t="str">
        <f t="shared" si="3"/>
        <v>113001|17000</v>
      </c>
      <c r="I10" s="3" t="str">
        <f t="shared" si="4"/>
        <v>83001|180</v>
      </c>
      <c r="J10" s="3">
        <v>83001</v>
      </c>
      <c r="K10" s="3">
        <v>180</v>
      </c>
      <c r="L10" s="3" t="str">
        <f t="shared" si="5"/>
        <v>83001|1800</v>
      </c>
      <c r="M10" s="4" t="str">
        <f t="shared" si="6"/>
        <v>93001|150</v>
      </c>
      <c r="N10" s="4">
        <v>93001</v>
      </c>
      <c r="O10" s="4">
        <v>150</v>
      </c>
      <c r="P10" s="4" t="str">
        <f t="shared" si="7"/>
        <v>93001|1500</v>
      </c>
      <c r="Q10" s="5" t="str">
        <f t="shared" si="8"/>
        <v>133001|200</v>
      </c>
      <c r="R10" s="5">
        <v>133001</v>
      </c>
      <c r="S10" s="5">
        <v>200</v>
      </c>
      <c r="T10" s="5" t="str">
        <f t="shared" si="9"/>
        <v>133001|2000</v>
      </c>
      <c r="U10" s="6" t="s">
        <v>345</v>
      </c>
      <c r="V10" s="6">
        <v>6000</v>
      </c>
      <c r="W10" s="6">
        <v>990002</v>
      </c>
      <c r="X10" s="6" t="s">
        <v>346</v>
      </c>
      <c r="Y10" s="6">
        <v>990003</v>
      </c>
      <c r="Z10" s="6" t="s">
        <v>347</v>
      </c>
      <c r="AA10" s="6">
        <v>990001</v>
      </c>
      <c r="AB10" s="8" t="str">
        <f t="shared" si="10"/>
        <v>100|9$80|10$60|22</v>
      </c>
      <c r="AC10">
        <v>9</v>
      </c>
      <c r="AD10">
        <v>10</v>
      </c>
      <c r="AE10">
        <v>35</v>
      </c>
      <c r="AF10">
        <v>22</v>
      </c>
      <c r="AG10">
        <f t="shared" si="11"/>
        <v>12000</v>
      </c>
    </row>
    <row r="11" spans="1:33">
      <c r="A11" s="1" t="str">
        <f t="shared" si="0"/>
        <v>124001|45</v>
      </c>
      <c r="B11" s="1">
        <v>124001</v>
      </c>
      <c r="C11" s="1">
        <v>45</v>
      </c>
      <c r="D11" s="1" t="str">
        <f t="shared" si="1"/>
        <v>124001|450</v>
      </c>
      <c r="E11" s="2" t="str">
        <f t="shared" si="2"/>
        <v>114001|700</v>
      </c>
      <c r="F11" s="2">
        <v>114001</v>
      </c>
      <c r="G11" s="2">
        <v>700</v>
      </c>
      <c r="H11" s="2" t="str">
        <f t="shared" si="3"/>
        <v>114001|7000</v>
      </c>
      <c r="I11" s="3" t="str">
        <f t="shared" si="4"/>
        <v>84001|70</v>
      </c>
      <c r="J11" s="3">
        <v>84001</v>
      </c>
      <c r="K11" s="3">
        <v>70</v>
      </c>
      <c r="L11" s="3" t="str">
        <f t="shared" si="5"/>
        <v>84001|700</v>
      </c>
      <c r="M11" s="4" t="str">
        <f t="shared" si="6"/>
        <v>94001|80</v>
      </c>
      <c r="N11" s="4">
        <v>94001</v>
      </c>
      <c r="O11" s="4">
        <v>80</v>
      </c>
      <c r="P11" s="4" t="str">
        <f t="shared" si="7"/>
        <v>94001|800</v>
      </c>
      <c r="Q11" s="5" t="str">
        <f t="shared" si="8"/>
        <v>134001|100</v>
      </c>
      <c r="R11" s="5">
        <v>134001</v>
      </c>
      <c r="S11" s="5">
        <v>100</v>
      </c>
      <c r="T11" s="5" t="str">
        <f t="shared" si="9"/>
        <v>134001|1000</v>
      </c>
      <c r="U11" s="6" t="s">
        <v>348</v>
      </c>
      <c r="V11" s="6">
        <v>6600</v>
      </c>
      <c r="W11" s="6">
        <v>990002</v>
      </c>
      <c r="X11" s="6" t="s">
        <v>349</v>
      </c>
      <c r="Y11" s="6">
        <v>990003</v>
      </c>
      <c r="Z11" s="6" t="s">
        <v>350</v>
      </c>
      <c r="AA11" s="6">
        <v>990001</v>
      </c>
      <c r="AB11" s="8" t="str">
        <f t="shared" si="10"/>
        <v>100|10$80|11$60|24</v>
      </c>
      <c r="AC11">
        <v>10</v>
      </c>
      <c r="AD11">
        <v>11</v>
      </c>
      <c r="AE11">
        <v>39</v>
      </c>
      <c r="AF11">
        <v>24</v>
      </c>
      <c r="AG11">
        <f t="shared" si="11"/>
        <v>13200</v>
      </c>
    </row>
    <row r="12" spans="1:33">
      <c r="A12" s="1" t="str">
        <f t="shared" si="0"/>
        <v>124001|60</v>
      </c>
      <c r="B12" s="1">
        <v>124001</v>
      </c>
      <c r="C12" s="1">
        <v>60</v>
      </c>
      <c r="D12" s="1" t="str">
        <f t="shared" si="1"/>
        <v>124001|600</v>
      </c>
      <c r="E12" s="2" t="str">
        <f t="shared" si="2"/>
        <v>114001|1200</v>
      </c>
      <c r="F12" s="2">
        <v>114001</v>
      </c>
      <c r="G12" s="2">
        <v>1200</v>
      </c>
      <c r="H12" s="2" t="str">
        <f t="shared" si="3"/>
        <v>114001|12000</v>
      </c>
      <c r="I12" s="3" t="str">
        <f t="shared" si="4"/>
        <v>84001|90</v>
      </c>
      <c r="J12" s="3">
        <v>84001</v>
      </c>
      <c r="K12" s="3">
        <v>90</v>
      </c>
      <c r="L12" s="3" t="str">
        <f t="shared" si="5"/>
        <v>84001|900</v>
      </c>
      <c r="M12" s="4" t="str">
        <f t="shared" si="6"/>
        <v>94001|100</v>
      </c>
      <c r="N12" s="4">
        <v>94001</v>
      </c>
      <c r="O12" s="4">
        <v>100</v>
      </c>
      <c r="P12" s="4" t="str">
        <f t="shared" si="7"/>
        <v>94001|1000</v>
      </c>
      <c r="Q12" s="5" t="str">
        <f t="shared" si="8"/>
        <v>134001|150</v>
      </c>
      <c r="R12" s="5">
        <v>134001</v>
      </c>
      <c r="S12" s="5">
        <v>150</v>
      </c>
      <c r="T12" s="5" t="str">
        <f t="shared" si="9"/>
        <v>134001|1500</v>
      </c>
      <c r="U12" s="6" t="s">
        <v>348</v>
      </c>
      <c r="V12" s="6">
        <v>7200</v>
      </c>
      <c r="W12" s="6">
        <v>990002</v>
      </c>
      <c r="X12" s="6" t="s">
        <v>349</v>
      </c>
      <c r="Y12" s="6">
        <v>990003</v>
      </c>
      <c r="Z12" s="6" t="s">
        <v>350</v>
      </c>
      <c r="AA12" s="6">
        <v>990001</v>
      </c>
      <c r="AB12" s="8" t="str">
        <f t="shared" si="10"/>
        <v>100|11$80|12$60|26</v>
      </c>
      <c r="AC12">
        <v>11</v>
      </c>
      <c r="AD12">
        <v>12</v>
      </c>
      <c r="AE12">
        <v>43</v>
      </c>
      <c r="AF12">
        <v>26</v>
      </c>
      <c r="AG12">
        <f t="shared" si="11"/>
        <v>14400</v>
      </c>
    </row>
    <row r="13" spans="1:33">
      <c r="A13" s="1" t="str">
        <f t="shared" si="0"/>
        <v>124001|75</v>
      </c>
      <c r="B13" s="1">
        <v>124001</v>
      </c>
      <c r="C13" s="1">
        <v>75</v>
      </c>
      <c r="D13" s="1" t="str">
        <f t="shared" si="1"/>
        <v>124001|750</v>
      </c>
      <c r="E13" s="2" t="str">
        <f t="shared" si="2"/>
        <v>114001|1700</v>
      </c>
      <c r="F13" s="2">
        <v>114001</v>
      </c>
      <c r="G13" s="2">
        <v>1700</v>
      </c>
      <c r="H13" s="2" t="str">
        <f t="shared" si="3"/>
        <v>114001|17000</v>
      </c>
      <c r="I13" s="3" t="str">
        <f t="shared" si="4"/>
        <v>84001|110</v>
      </c>
      <c r="J13" s="3">
        <v>84001</v>
      </c>
      <c r="K13" s="3">
        <v>110</v>
      </c>
      <c r="L13" s="3" t="str">
        <f t="shared" si="5"/>
        <v>84001|1100</v>
      </c>
      <c r="M13" s="4" t="str">
        <f t="shared" si="6"/>
        <v>94001|120</v>
      </c>
      <c r="N13" s="4">
        <v>94001</v>
      </c>
      <c r="O13" s="4">
        <v>120</v>
      </c>
      <c r="P13" s="4" t="str">
        <f t="shared" si="7"/>
        <v>94001|1200</v>
      </c>
      <c r="Q13" s="5" t="str">
        <f t="shared" si="8"/>
        <v>134001|200</v>
      </c>
      <c r="R13" s="5">
        <v>134001</v>
      </c>
      <c r="S13" s="5">
        <v>200</v>
      </c>
      <c r="T13" s="5" t="str">
        <f t="shared" si="9"/>
        <v>134001|2000</v>
      </c>
      <c r="U13" s="6" t="s">
        <v>348</v>
      </c>
      <c r="V13" s="6">
        <v>7800</v>
      </c>
      <c r="W13" s="6">
        <v>990002</v>
      </c>
      <c r="X13" s="6" t="s">
        <v>349</v>
      </c>
      <c r="Y13" s="6">
        <v>990003</v>
      </c>
      <c r="Z13" s="6" t="s">
        <v>350</v>
      </c>
      <c r="AA13" s="6">
        <v>990001</v>
      </c>
      <c r="AB13" s="8" t="str">
        <f t="shared" si="10"/>
        <v>100|12$80|13$60|28</v>
      </c>
      <c r="AC13">
        <v>12</v>
      </c>
      <c r="AD13">
        <v>13</v>
      </c>
      <c r="AE13">
        <v>47</v>
      </c>
      <c r="AF13">
        <v>28</v>
      </c>
      <c r="AG13">
        <f t="shared" si="11"/>
        <v>15600</v>
      </c>
    </row>
    <row r="14" spans="1:33">
      <c r="A14" s="1" t="str">
        <f t="shared" si="0"/>
        <v>125001|30</v>
      </c>
      <c r="B14" s="1">
        <v>125001</v>
      </c>
      <c r="C14" s="1">
        <v>30</v>
      </c>
      <c r="D14" s="1" t="str">
        <f t="shared" si="1"/>
        <v>125001|300</v>
      </c>
      <c r="E14" s="2" t="str">
        <f t="shared" si="2"/>
        <v>115001|700</v>
      </c>
      <c r="F14" s="2">
        <v>115001</v>
      </c>
      <c r="G14" s="2">
        <v>700</v>
      </c>
      <c r="H14" s="2" t="str">
        <f t="shared" si="3"/>
        <v>115001|7000</v>
      </c>
      <c r="I14" s="3" t="str">
        <f t="shared" si="4"/>
        <v>85001|50</v>
      </c>
      <c r="J14" s="3">
        <v>85001</v>
      </c>
      <c r="K14" s="3">
        <v>50</v>
      </c>
      <c r="L14" s="3" t="str">
        <f t="shared" si="5"/>
        <v>85001|500</v>
      </c>
      <c r="M14" s="4" t="str">
        <f t="shared" si="6"/>
        <v>95001|60</v>
      </c>
      <c r="N14" s="4">
        <v>95001</v>
      </c>
      <c r="O14" s="4">
        <v>60</v>
      </c>
      <c r="P14" s="4" t="str">
        <f t="shared" si="7"/>
        <v>95001|600</v>
      </c>
      <c r="Q14" s="5" t="str">
        <f t="shared" si="8"/>
        <v>135001|100</v>
      </c>
      <c r="R14" s="5">
        <v>135001</v>
      </c>
      <c r="S14" s="5">
        <v>100</v>
      </c>
      <c r="T14" s="5" t="str">
        <f t="shared" si="9"/>
        <v>135001|1000</v>
      </c>
      <c r="U14" s="6" t="s">
        <v>351</v>
      </c>
      <c r="V14" s="6">
        <v>8400</v>
      </c>
      <c r="W14" s="6">
        <v>990002</v>
      </c>
      <c r="X14" s="6" t="s">
        <v>352</v>
      </c>
      <c r="Y14" s="6">
        <v>990003</v>
      </c>
      <c r="Z14" s="6" t="s">
        <v>353</v>
      </c>
      <c r="AA14" s="6">
        <v>990001</v>
      </c>
      <c r="AB14" s="8" t="str">
        <f t="shared" si="10"/>
        <v>100|13$80|14$60|30</v>
      </c>
      <c r="AC14">
        <v>13</v>
      </c>
      <c r="AD14">
        <v>14</v>
      </c>
      <c r="AE14">
        <v>51</v>
      </c>
      <c r="AF14">
        <v>30</v>
      </c>
      <c r="AG14">
        <f t="shared" si="11"/>
        <v>16800</v>
      </c>
    </row>
    <row r="15" spans="1:33">
      <c r="A15" s="1" t="str">
        <f t="shared" si="0"/>
        <v>125001|40</v>
      </c>
      <c r="B15" s="1">
        <v>125001</v>
      </c>
      <c r="C15" s="1">
        <v>40</v>
      </c>
      <c r="D15" s="1" t="str">
        <f t="shared" si="1"/>
        <v>125001|400</v>
      </c>
      <c r="E15" s="2" t="str">
        <f t="shared" si="2"/>
        <v>115001|1200</v>
      </c>
      <c r="F15" s="2">
        <v>115001</v>
      </c>
      <c r="G15" s="2">
        <v>1200</v>
      </c>
      <c r="H15" s="2" t="str">
        <f t="shared" si="3"/>
        <v>115001|12000</v>
      </c>
      <c r="I15" s="3" t="str">
        <f t="shared" si="4"/>
        <v>85001|60</v>
      </c>
      <c r="J15" s="3">
        <v>85001</v>
      </c>
      <c r="K15" s="3">
        <v>60</v>
      </c>
      <c r="L15" s="3" t="str">
        <f t="shared" si="5"/>
        <v>85001|600</v>
      </c>
      <c r="M15" s="4" t="str">
        <f t="shared" si="6"/>
        <v>95001|70</v>
      </c>
      <c r="N15" s="4">
        <v>95001</v>
      </c>
      <c r="O15" s="4">
        <v>70</v>
      </c>
      <c r="P15" s="4" t="str">
        <f t="shared" si="7"/>
        <v>95001|700</v>
      </c>
      <c r="Q15" s="5" t="str">
        <f t="shared" si="8"/>
        <v>135001|150</v>
      </c>
      <c r="R15" s="5">
        <v>135001</v>
      </c>
      <c r="S15" s="5">
        <v>150</v>
      </c>
      <c r="T15" s="5" t="str">
        <f t="shared" si="9"/>
        <v>135001|1500</v>
      </c>
      <c r="U15" s="6" t="s">
        <v>351</v>
      </c>
      <c r="V15" s="6">
        <v>9000</v>
      </c>
      <c r="W15" s="6">
        <v>990002</v>
      </c>
      <c r="X15" s="6" t="s">
        <v>352</v>
      </c>
      <c r="Y15" s="6">
        <v>990003</v>
      </c>
      <c r="Z15" s="6" t="s">
        <v>353</v>
      </c>
      <c r="AA15" s="6">
        <v>990001</v>
      </c>
      <c r="AB15" s="8" t="str">
        <f t="shared" si="10"/>
        <v>100|14$80|15$60|32</v>
      </c>
      <c r="AC15">
        <v>14</v>
      </c>
      <c r="AD15">
        <v>15</v>
      </c>
      <c r="AE15">
        <v>55</v>
      </c>
      <c r="AF15">
        <v>32</v>
      </c>
      <c r="AG15">
        <f t="shared" si="11"/>
        <v>18000</v>
      </c>
    </row>
    <row r="16" spans="1:33">
      <c r="A16" s="1" t="str">
        <f t="shared" si="0"/>
        <v>125001|50</v>
      </c>
      <c r="B16" s="1">
        <v>125001</v>
      </c>
      <c r="C16" s="1">
        <v>50</v>
      </c>
      <c r="D16" s="1" t="str">
        <f t="shared" si="1"/>
        <v>125001|500</v>
      </c>
      <c r="E16" s="2" t="str">
        <f t="shared" si="2"/>
        <v>115001|1700</v>
      </c>
      <c r="F16" s="2">
        <v>115001</v>
      </c>
      <c r="G16" s="2">
        <v>1700</v>
      </c>
      <c r="H16" s="2" t="str">
        <f t="shared" si="3"/>
        <v>115001|17000</v>
      </c>
      <c r="I16" s="3" t="str">
        <f t="shared" si="4"/>
        <v>85001|70</v>
      </c>
      <c r="J16" s="3">
        <v>85001</v>
      </c>
      <c r="K16" s="3">
        <v>70</v>
      </c>
      <c r="L16" s="3" t="str">
        <f t="shared" si="5"/>
        <v>85001|700</v>
      </c>
      <c r="M16" s="4" t="str">
        <f t="shared" si="6"/>
        <v>95001|80</v>
      </c>
      <c r="N16" s="4">
        <v>95001</v>
      </c>
      <c r="O16" s="4">
        <v>80</v>
      </c>
      <c r="P16" s="4" t="str">
        <f t="shared" si="7"/>
        <v>95001|800</v>
      </c>
      <c r="Q16" s="5" t="str">
        <f t="shared" si="8"/>
        <v>135001|200</v>
      </c>
      <c r="R16" s="5">
        <v>135001</v>
      </c>
      <c r="S16" s="5">
        <v>200</v>
      </c>
      <c r="T16" s="5" t="str">
        <f t="shared" si="9"/>
        <v>135001|2000</v>
      </c>
      <c r="U16" s="6" t="s">
        <v>351</v>
      </c>
      <c r="V16" s="6">
        <v>9600</v>
      </c>
      <c r="W16" s="6">
        <v>990002</v>
      </c>
      <c r="X16" s="6" t="s">
        <v>352</v>
      </c>
      <c r="Y16" s="6">
        <v>990003</v>
      </c>
      <c r="Z16" s="6" t="s">
        <v>353</v>
      </c>
      <c r="AA16" s="6">
        <v>990001</v>
      </c>
      <c r="AB16" s="8" t="str">
        <f t="shared" si="10"/>
        <v>100|15$80|16$60|34</v>
      </c>
      <c r="AC16">
        <v>15</v>
      </c>
      <c r="AD16">
        <v>16</v>
      </c>
      <c r="AE16">
        <v>59</v>
      </c>
      <c r="AF16">
        <v>34</v>
      </c>
      <c r="AG16">
        <f t="shared" si="11"/>
        <v>19200</v>
      </c>
    </row>
    <row r="17" spans="17:32">
      <c r="V17" s="6">
        <v>3</v>
      </c>
      <c r="W17" s="6">
        <v>2</v>
      </c>
      <c r="Z17" s="6" t="s">
        <v>354</v>
      </c>
      <c r="AB17" s="8" t="s">
        <v>355</v>
      </c>
    </row>
    <row r="18" spans="17:32">
      <c r="Q18" t="s">
        <v>356</v>
      </c>
      <c r="R18" s="6" t="s">
        <v>331</v>
      </c>
      <c r="S18" t="s">
        <v>357</v>
      </c>
      <c r="U18" t="s">
        <v>358</v>
      </c>
      <c r="Z18">
        <f t="shared" ref="Z18:Z32" si="12">V2*2</f>
        <v>2400</v>
      </c>
      <c r="AB18" s="8" t="str">
        <f t="shared" ref="AB18:AB32" si="13">100&amp;"|"&amp;AC18&amp;"$"&amp;80&amp;"|"&amp;AD18&amp;"$"&amp;60&amp;"|"&amp;AF18</f>
        <v>100|2$80|4$60|8</v>
      </c>
      <c r="AC18">
        <f t="shared" ref="AC18:AC32" si="14">AC2*2</f>
        <v>2</v>
      </c>
      <c r="AD18">
        <f t="shared" ref="AD18:AD32" si="15">AD2*2</f>
        <v>4</v>
      </c>
      <c r="AE18">
        <f t="shared" ref="AE18:AE32" si="16">AE2*2</f>
        <v>6</v>
      </c>
      <c r="AF18">
        <f t="shared" ref="AF18:AF32" si="17">AF2*2</f>
        <v>8</v>
      </c>
    </row>
    <row r="19" spans="17:32">
      <c r="Q19" s="8" t="s">
        <v>108</v>
      </c>
      <c r="R19">
        <v>600</v>
      </c>
      <c r="S19" t="s">
        <v>109</v>
      </c>
      <c r="T19">
        <v>600</v>
      </c>
      <c r="U19" t="str">
        <f t="shared" ref="U19:U33" si="18">Q19&amp;"|"&amp;S19</f>
        <v>131001|131101|131201|131301|131401|131501</v>
      </c>
      <c r="V19">
        <f t="shared" ref="V19:V33" si="19">R19*2</f>
        <v>1200</v>
      </c>
      <c r="Z19">
        <f t="shared" si="12"/>
        <v>3600</v>
      </c>
      <c r="AB19" s="8" t="str">
        <f t="shared" si="13"/>
        <v>100|4$80|6$60|12</v>
      </c>
      <c r="AC19">
        <f t="shared" si="14"/>
        <v>4</v>
      </c>
      <c r="AD19">
        <f t="shared" si="15"/>
        <v>6</v>
      </c>
      <c r="AE19">
        <f t="shared" si="16"/>
        <v>14</v>
      </c>
      <c r="AF19">
        <f t="shared" si="17"/>
        <v>12</v>
      </c>
    </row>
    <row r="20" spans="17:32">
      <c r="Q20" t="s">
        <v>108</v>
      </c>
      <c r="R20">
        <v>800</v>
      </c>
      <c r="S20" t="s">
        <v>109</v>
      </c>
      <c r="T20">
        <v>800</v>
      </c>
      <c r="U20" t="str">
        <f t="shared" si="18"/>
        <v>131001|131101|131201|131301|131401|131501</v>
      </c>
      <c r="V20">
        <f t="shared" si="19"/>
        <v>1600</v>
      </c>
      <c r="Z20">
        <f t="shared" si="12"/>
        <v>4800</v>
      </c>
      <c r="AB20" s="8" t="str">
        <f t="shared" si="13"/>
        <v>100|6$80|8$60|16</v>
      </c>
      <c r="AC20">
        <f t="shared" si="14"/>
        <v>6</v>
      </c>
      <c r="AD20">
        <f t="shared" si="15"/>
        <v>8</v>
      </c>
      <c r="AE20">
        <f t="shared" si="16"/>
        <v>22</v>
      </c>
      <c r="AF20">
        <f t="shared" si="17"/>
        <v>16</v>
      </c>
    </row>
    <row r="21" spans="17:32">
      <c r="Q21" s="8" t="s">
        <v>108</v>
      </c>
      <c r="R21">
        <v>1000</v>
      </c>
      <c r="S21" t="s">
        <v>109</v>
      </c>
      <c r="T21">
        <v>1000</v>
      </c>
      <c r="U21" t="str">
        <f t="shared" si="18"/>
        <v>131001|131101|131201|131301|131401|131501</v>
      </c>
      <c r="V21">
        <f t="shared" si="19"/>
        <v>2000</v>
      </c>
      <c r="Z21">
        <f t="shared" si="12"/>
        <v>6000</v>
      </c>
      <c r="AB21" s="8" t="str">
        <f t="shared" si="13"/>
        <v>100|8$80|10$60|24</v>
      </c>
      <c r="AC21">
        <f t="shared" si="14"/>
        <v>8</v>
      </c>
      <c r="AD21">
        <f t="shared" si="15"/>
        <v>10</v>
      </c>
      <c r="AE21">
        <f t="shared" si="16"/>
        <v>30</v>
      </c>
      <c r="AF21">
        <f t="shared" si="17"/>
        <v>24</v>
      </c>
    </row>
    <row r="22" spans="17:32">
      <c r="Q22" t="s">
        <v>120</v>
      </c>
      <c r="R22">
        <v>600</v>
      </c>
      <c r="S22" t="s">
        <v>121</v>
      </c>
      <c r="T22">
        <v>600</v>
      </c>
      <c r="U22" t="str">
        <f t="shared" si="18"/>
        <v>132001|132101|132201|132301|132401|132501</v>
      </c>
      <c r="V22">
        <f t="shared" si="19"/>
        <v>1200</v>
      </c>
      <c r="Z22">
        <f t="shared" si="12"/>
        <v>7200</v>
      </c>
      <c r="AB22" s="8" t="str">
        <f t="shared" si="13"/>
        <v>100|10$80|12$60|28</v>
      </c>
      <c r="AC22">
        <f t="shared" si="14"/>
        <v>10</v>
      </c>
      <c r="AD22">
        <f t="shared" si="15"/>
        <v>12</v>
      </c>
      <c r="AE22">
        <f t="shared" si="16"/>
        <v>38</v>
      </c>
      <c r="AF22">
        <f t="shared" si="17"/>
        <v>28</v>
      </c>
    </row>
    <row r="23" spans="17:32">
      <c r="Q23" t="s">
        <v>120</v>
      </c>
      <c r="R23">
        <v>800</v>
      </c>
      <c r="S23" t="s">
        <v>121</v>
      </c>
      <c r="T23">
        <v>800</v>
      </c>
      <c r="U23" t="str">
        <f t="shared" si="18"/>
        <v>132001|132101|132201|132301|132401|132501</v>
      </c>
      <c r="V23">
        <f t="shared" si="19"/>
        <v>1600</v>
      </c>
      <c r="Z23">
        <f t="shared" si="12"/>
        <v>8400</v>
      </c>
      <c r="AB23" s="8" t="str">
        <f t="shared" si="13"/>
        <v>100|12$80|14$60|32</v>
      </c>
      <c r="AC23">
        <f t="shared" si="14"/>
        <v>12</v>
      </c>
      <c r="AD23">
        <f t="shared" si="15"/>
        <v>14</v>
      </c>
      <c r="AE23">
        <f t="shared" si="16"/>
        <v>46</v>
      </c>
      <c r="AF23">
        <f t="shared" si="17"/>
        <v>32</v>
      </c>
    </row>
    <row r="24" spans="17:32">
      <c r="Q24" t="s">
        <v>120</v>
      </c>
      <c r="R24">
        <v>1000</v>
      </c>
      <c r="S24" t="s">
        <v>121</v>
      </c>
      <c r="T24">
        <v>1000</v>
      </c>
      <c r="U24" t="str">
        <f t="shared" si="18"/>
        <v>132001|132101|132201|132301|132401|132501</v>
      </c>
      <c r="V24">
        <f t="shared" si="19"/>
        <v>2000</v>
      </c>
      <c r="Z24">
        <f t="shared" si="12"/>
        <v>9600</v>
      </c>
      <c r="AB24" s="8" t="str">
        <f t="shared" si="13"/>
        <v>100|14$80|16$60|36</v>
      </c>
      <c r="AC24">
        <f t="shared" si="14"/>
        <v>14</v>
      </c>
      <c r="AD24">
        <f t="shared" si="15"/>
        <v>16</v>
      </c>
      <c r="AE24">
        <f t="shared" si="16"/>
        <v>54</v>
      </c>
      <c r="AF24">
        <f t="shared" si="17"/>
        <v>36</v>
      </c>
    </row>
    <row r="25" spans="17:32">
      <c r="Q25" t="s">
        <v>132</v>
      </c>
      <c r="R25">
        <v>600</v>
      </c>
      <c r="S25" t="s">
        <v>133</v>
      </c>
      <c r="T25">
        <v>600</v>
      </c>
      <c r="U25" t="str">
        <f t="shared" si="18"/>
        <v>133001|133101|133201|133301|133401|133501</v>
      </c>
      <c r="V25">
        <f t="shared" si="19"/>
        <v>1200</v>
      </c>
      <c r="Z25">
        <f t="shared" si="12"/>
        <v>10800</v>
      </c>
      <c r="AB25" s="8" t="str">
        <f t="shared" si="13"/>
        <v>100|16$80|18$60|40</v>
      </c>
      <c r="AC25">
        <f t="shared" si="14"/>
        <v>16</v>
      </c>
      <c r="AD25">
        <f t="shared" si="15"/>
        <v>18</v>
      </c>
      <c r="AE25">
        <f t="shared" si="16"/>
        <v>62</v>
      </c>
      <c r="AF25">
        <f t="shared" si="17"/>
        <v>40</v>
      </c>
    </row>
    <row r="26" spans="17:32">
      <c r="Q26" t="s">
        <v>132</v>
      </c>
      <c r="R26">
        <v>800</v>
      </c>
      <c r="S26" t="s">
        <v>133</v>
      </c>
      <c r="T26">
        <v>800</v>
      </c>
      <c r="U26" t="str">
        <f t="shared" si="18"/>
        <v>133001|133101|133201|133301|133401|133501</v>
      </c>
      <c r="V26">
        <f t="shared" si="19"/>
        <v>1600</v>
      </c>
      <c r="Z26">
        <f t="shared" si="12"/>
        <v>12000</v>
      </c>
      <c r="AB26" s="8" t="str">
        <f t="shared" si="13"/>
        <v>100|18$80|20$60|44</v>
      </c>
      <c r="AC26">
        <f t="shared" si="14"/>
        <v>18</v>
      </c>
      <c r="AD26">
        <f t="shared" si="15"/>
        <v>20</v>
      </c>
      <c r="AE26">
        <f t="shared" si="16"/>
        <v>70</v>
      </c>
      <c r="AF26">
        <f t="shared" si="17"/>
        <v>44</v>
      </c>
    </row>
    <row r="27" spans="17:32">
      <c r="Q27" t="s">
        <v>132</v>
      </c>
      <c r="R27">
        <v>1000</v>
      </c>
      <c r="S27" t="s">
        <v>133</v>
      </c>
      <c r="T27">
        <v>1000</v>
      </c>
      <c r="U27" t="str">
        <f t="shared" si="18"/>
        <v>133001|133101|133201|133301|133401|133501</v>
      </c>
      <c r="V27">
        <f t="shared" si="19"/>
        <v>2000</v>
      </c>
      <c r="Z27">
        <f t="shared" si="12"/>
        <v>13200</v>
      </c>
      <c r="AB27" s="8" t="str">
        <f t="shared" si="13"/>
        <v>100|20$80|22$60|48</v>
      </c>
      <c r="AC27">
        <f t="shared" si="14"/>
        <v>20</v>
      </c>
      <c r="AD27">
        <f t="shared" si="15"/>
        <v>22</v>
      </c>
      <c r="AE27">
        <f t="shared" si="16"/>
        <v>78</v>
      </c>
      <c r="AF27">
        <f t="shared" si="17"/>
        <v>48</v>
      </c>
    </row>
    <row r="28" spans="17:32">
      <c r="Q28" t="s">
        <v>144</v>
      </c>
      <c r="R28">
        <v>600</v>
      </c>
      <c r="S28" t="s">
        <v>145</v>
      </c>
      <c r="T28">
        <v>600</v>
      </c>
      <c r="U28" t="str">
        <f t="shared" si="18"/>
        <v>134001|134101|134201|134301|134401|134501</v>
      </c>
      <c r="V28">
        <f t="shared" si="19"/>
        <v>1200</v>
      </c>
      <c r="Z28">
        <f t="shared" si="12"/>
        <v>14400</v>
      </c>
      <c r="AB28" s="8" t="str">
        <f t="shared" si="13"/>
        <v>100|22$80|24$60|52</v>
      </c>
      <c r="AC28">
        <f t="shared" si="14"/>
        <v>22</v>
      </c>
      <c r="AD28">
        <f t="shared" si="15"/>
        <v>24</v>
      </c>
      <c r="AE28">
        <f t="shared" si="16"/>
        <v>86</v>
      </c>
      <c r="AF28">
        <f t="shared" si="17"/>
        <v>52</v>
      </c>
    </row>
    <row r="29" spans="17:32">
      <c r="Q29" t="s">
        <v>144</v>
      </c>
      <c r="R29">
        <v>800</v>
      </c>
      <c r="S29" t="s">
        <v>145</v>
      </c>
      <c r="T29">
        <v>800</v>
      </c>
      <c r="U29" t="str">
        <f t="shared" si="18"/>
        <v>134001|134101|134201|134301|134401|134501</v>
      </c>
      <c r="V29">
        <f t="shared" si="19"/>
        <v>1600</v>
      </c>
      <c r="Z29">
        <f t="shared" si="12"/>
        <v>15600</v>
      </c>
      <c r="AB29" s="8" t="str">
        <f t="shared" si="13"/>
        <v>100|24$80|26$60|56</v>
      </c>
      <c r="AC29">
        <f t="shared" si="14"/>
        <v>24</v>
      </c>
      <c r="AD29">
        <f t="shared" si="15"/>
        <v>26</v>
      </c>
      <c r="AE29">
        <f t="shared" si="16"/>
        <v>94</v>
      </c>
      <c r="AF29">
        <f t="shared" si="17"/>
        <v>56</v>
      </c>
    </row>
    <row r="30" spans="17:32">
      <c r="Q30" t="s">
        <v>144</v>
      </c>
      <c r="R30">
        <v>1000</v>
      </c>
      <c r="S30" t="s">
        <v>145</v>
      </c>
      <c r="T30">
        <v>1000</v>
      </c>
      <c r="U30" t="str">
        <f t="shared" si="18"/>
        <v>134001|134101|134201|134301|134401|134501</v>
      </c>
      <c r="V30">
        <f t="shared" si="19"/>
        <v>2000</v>
      </c>
      <c r="Z30">
        <f t="shared" si="12"/>
        <v>16800</v>
      </c>
      <c r="AB30" s="8" t="str">
        <f t="shared" si="13"/>
        <v>100|26$80|28$60|60</v>
      </c>
      <c r="AC30">
        <f t="shared" si="14"/>
        <v>26</v>
      </c>
      <c r="AD30">
        <f t="shared" si="15"/>
        <v>28</v>
      </c>
      <c r="AE30">
        <f t="shared" si="16"/>
        <v>102</v>
      </c>
      <c r="AF30">
        <f t="shared" si="17"/>
        <v>60</v>
      </c>
    </row>
    <row r="31" spans="17:32">
      <c r="Q31" t="s">
        <v>156</v>
      </c>
      <c r="R31">
        <v>600</v>
      </c>
      <c r="S31" t="s">
        <v>157</v>
      </c>
      <c r="T31">
        <v>600</v>
      </c>
      <c r="U31" t="str">
        <f t="shared" si="18"/>
        <v>135001|135101|135201|135301|135401|135501</v>
      </c>
      <c r="V31">
        <f t="shared" si="19"/>
        <v>1200</v>
      </c>
      <c r="Z31">
        <f t="shared" si="12"/>
        <v>18000</v>
      </c>
      <c r="AB31" s="8" t="str">
        <f t="shared" si="13"/>
        <v>100|28$80|30$60|64</v>
      </c>
      <c r="AC31">
        <f t="shared" si="14"/>
        <v>28</v>
      </c>
      <c r="AD31">
        <f t="shared" si="15"/>
        <v>30</v>
      </c>
      <c r="AE31">
        <f t="shared" si="16"/>
        <v>110</v>
      </c>
      <c r="AF31">
        <f t="shared" si="17"/>
        <v>64</v>
      </c>
    </row>
    <row r="32" spans="17:32">
      <c r="Q32" t="s">
        <v>156</v>
      </c>
      <c r="R32">
        <v>800</v>
      </c>
      <c r="S32" t="s">
        <v>157</v>
      </c>
      <c r="T32">
        <v>800</v>
      </c>
      <c r="U32" t="str">
        <f t="shared" si="18"/>
        <v>135001|135101|135201|135301|135401|135501</v>
      </c>
      <c r="V32">
        <f t="shared" si="19"/>
        <v>1600</v>
      </c>
      <c r="Z32">
        <f t="shared" si="12"/>
        <v>19200</v>
      </c>
      <c r="AB32" s="8" t="str">
        <f t="shared" si="13"/>
        <v>100|30$80|32$60|68</v>
      </c>
      <c r="AC32">
        <f t="shared" si="14"/>
        <v>30</v>
      </c>
      <c r="AD32">
        <f t="shared" si="15"/>
        <v>32</v>
      </c>
      <c r="AE32">
        <f t="shared" si="16"/>
        <v>118</v>
      </c>
      <c r="AF32">
        <f t="shared" si="17"/>
        <v>68</v>
      </c>
    </row>
    <row r="33" spans="17:22">
      <c r="Q33" t="s">
        <v>156</v>
      </c>
      <c r="R33">
        <v>1000</v>
      </c>
      <c r="S33" t="s">
        <v>157</v>
      </c>
      <c r="T33">
        <v>1000</v>
      </c>
      <c r="U33" t="str">
        <f t="shared" si="18"/>
        <v>135001|135101|135201|135301|135401|135501</v>
      </c>
      <c r="V33">
        <f t="shared" si="19"/>
        <v>2000</v>
      </c>
    </row>
    <row r="35" spans="17:22">
      <c r="Q35" s="8" t="s">
        <v>359</v>
      </c>
    </row>
    <row r="36" spans="17:22">
      <c r="Q36" s="9">
        <v>81001</v>
      </c>
      <c r="R36">
        <v>1500</v>
      </c>
      <c r="S36">
        <v>2</v>
      </c>
    </row>
    <row r="37" spans="17:22">
      <c r="Q37" s="10">
        <v>81001</v>
      </c>
      <c r="R37">
        <v>2000</v>
      </c>
    </row>
    <row r="38" spans="17:22">
      <c r="Q38" s="10">
        <v>81001</v>
      </c>
      <c r="R38">
        <v>2500</v>
      </c>
    </row>
    <row r="39" spans="17:22">
      <c r="Q39" s="11">
        <v>82001</v>
      </c>
      <c r="R39">
        <v>2000</v>
      </c>
    </row>
    <row r="40" spans="17:22">
      <c r="Q40" s="11">
        <v>82001</v>
      </c>
      <c r="R40">
        <v>2500</v>
      </c>
    </row>
    <row r="41" spans="17:22">
      <c r="Q41" s="11">
        <v>82001</v>
      </c>
      <c r="R41">
        <v>3000</v>
      </c>
    </row>
    <row r="42" spans="17:22">
      <c r="Q42" s="8">
        <v>83001</v>
      </c>
      <c r="R42">
        <v>2500</v>
      </c>
    </row>
    <row r="43" spans="17:22">
      <c r="Q43" s="8">
        <v>83001</v>
      </c>
      <c r="R43">
        <v>3000</v>
      </c>
    </row>
    <row r="44" spans="17:22">
      <c r="Q44" s="8">
        <v>83001</v>
      </c>
      <c r="R44">
        <v>3500</v>
      </c>
    </row>
    <row r="45" spans="17:22">
      <c r="Q45" s="8">
        <v>84001</v>
      </c>
      <c r="R45">
        <v>3000</v>
      </c>
    </row>
    <row r="46" spans="17:22">
      <c r="Q46" s="8">
        <v>84001</v>
      </c>
      <c r="R46">
        <v>3500</v>
      </c>
    </row>
    <row r="47" spans="17:22">
      <c r="Q47" s="8">
        <v>84001</v>
      </c>
      <c r="R47">
        <v>4000</v>
      </c>
    </row>
    <row r="48" spans="17:22">
      <c r="Q48" s="8">
        <v>85001</v>
      </c>
      <c r="R48">
        <v>3500</v>
      </c>
    </row>
    <row r="49" spans="17:18">
      <c r="Q49" s="8">
        <v>85001</v>
      </c>
      <c r="R49">
        <v>4000</v>
      </c>
    </row>
    <row r="50" spans="17:18">
      <c r="Q50" s="8">
        <v>85001</v>
      </c>
      <c r="R50">
        <v>4500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2015-06-05T18:19:00Z</dcterms:created>
  <dcterms:modified xsi:type="dcterms:W3CDTF">2026-01-22T04:04:04Z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58C8EA4A1435436F8BA8AB681FE7304A_12</vt:lpwstr>
  </property>
  <property fmtid="{D5CDD505-2E9C-101B-9397-08002B2CF9AE}" pid="4" name="CalculationRule">
    <vt:i4>0</vt:i4>
  </property>
</Properties>
</file>