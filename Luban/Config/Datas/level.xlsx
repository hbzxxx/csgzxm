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0605"/>
  </bookViews>
  <sheets>
    <sheet name="Sheet2" sheetId="1" r:id="rId1"/>
    <sheet name="关卡奖励" sheetId="2" r:id="rId2"/>
    <sheet name="固定关卡奖励" sheetId="3" r:id="rId3"/>
  </sheet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<sst xmlns="http://schemas.openxmlformats.org/spreadsheetml/2006/main" count="3352" uniqueCount="898">
  <si>
    <t>##var</t>
  </si>
  <si>
    <t>id</t>
  </si>
  <si>
    <t>name</t>
  </si>
  <si>
    <t>level</t>
  </si>
  <si>
    <t>isFirst</t>
  </si>
  <si>
    <t>foreLevel</t>
  </si>
  <si>
    <t>nextLevel</t>
  </si>
  <si>
    <t>belongMap</t>
  </si>
  <si>
    <t>isEndLevel</t>
  </si>
  <si>
    <t>award</t>
  </si>
  <si>
    <t>leveltype</t>
  </si>
  <si>
    <t>enemy</t>
  </si>
  <si>
    <t>enemyLevel</t>
  </si>
  <si>
    <t>uiName</t>
  </si>
  <si>
    <t>isFixed</t>
  </si>
  <si>
    <t>beforeDialog</t>
  </si>
  <si>
    <t>afterDialog</t>
  </si>
  <si>
    <t>firstAward</t>
  </si>
  <si>
    <t>##type</t>
  </si>
  <si>
    <t>string</t>
  </si>
  <si>
    <t>##</t>
  </si>
  <si>
    <t>00001</t>
  </si>
  <si>
    <t>云海宗裂隙</t>
  </si>
  <si>
    <t>1</t>
  </si>
  <si>
    <t>00002</t>
  </si>
  <si>
    <t>10000</t>
  </si>
  <si>
    <t xml:space="preserve">10001|600 </t>
  </si>
  <si>
    <t>50110</t>
  </si>
  <si>
    <t>7</t>
  </si>
  <si>
    <t>365001|10</t>
  </si>
  <si>
    <t>2</t>
  </si>
  <si>
    <t>00003</t>
  </si>
  <si>
    <t>50111</t>
  </si>
  <si>
    <t>3</t>
  </si>
  <si>
    <t>00004</t>
  </si>
  <si>
    <t>50112</t>
  </si>
  <si>
    <t>8</t>
  </si>
  <si>
    <t>4</t>
  </si>
  <si>
    <t>00005</t>
  </si>
  <si>
    <t>50113</t>
  </si>
  <si>
    <t>5</t>
  </si>
  <si>
    <t>00006</t>
  </si>
  <si>
    <t>50214</t>
  </si>
  <si>
    <t>9</t>
  </si>
  <si>
    <t>云海宗裂隙中转站</t>
  </si>
  <si>
    <t>6</t>
  </si>
  <si>
    <t>00007</t>
  </si>
  <si>
    <t>00008</t>
  </si>
  <si>
    <t>50116</t>
  </si>
  <si>
    <t>00009</t>
  </si>
  <si>
    <t>50117</t>
  </si>
  <si>
    <t>00010</t>
  </si>
  <si>
    <t>10</t>
  </si>
  <si>
    <t>50318</t>
  </si>
  <si>
    <t>365001|10$445001|1</t>
  </si>
  <si>
    <t>季狸国裂隙</t>
  </si>
  <si>
    <t>11101</t>
  </si>
  <si>
    <t>21</t>
  </si>
  <si>
    <t>11102|11103|11102|11103|11102|11104</t>
  </si>
  <si>
    <t>11104|11105|11106</t>
  </si>
  <si>
    <t>11107|11108|11109|11110</t>
  </si>
  <si>
    <t>11211</t>
  </si>
  <si>
    <t>23</t>
  </si>
  <si>
    <t>11112</t>
  </si>
  <si>
    <t>11113|11114</t>
  </si>
  <si>
    <t>11115|11116</t>
  </si>
  <si>
    <t>11117|11118</t>
  </si>
  <si>
    <t>25</t>
  </si>
  <si>
    <t>11219</t>
  </si>
  <si>
    <t>11120</t>
  </si>
  <si>
    <t>11121|11122</t>
  </si>
  <si>
    <t>11123|11124</t>
  </si>
  <si>
    <t>27</t>
  </si>
  <si>
    <t>11125|11126</t>
  </si>
  <si>
    <t>11227</t>
  </si>
  <si>
    <t>11128</t>
  </si>
  <si>
    <t>11129</t>
  </si>
  <si>
    <t>28</t>
  </si>
  <si>
    <t>11130|11131|11130</t>
  </si>
  <si>
    <t>11132|11133|11132</t>
  </si>
  <si>
    <t>11234</t>
  </si>
  <si>
    <t>11135|11136</t>
  </si>
  <si>
    <t>11137|11138|11139</t>
  </si>
  <si>
    <t>11140|11141|11142|11143|11144</t>
  </si>
  <si>
    <t>11301</t>
  </si>
  <si>
    <t>29</t>
  </si>
  <si>
    <t>171001|1$365001|10$445001|1</t>
  </si>
  <si>
    <t>餍火国裂隙</t>
  </si>
  <si>
    <t>12101|12101|12101</t>
  </si>
  <si>
    <t>45</t>
  </si>
  <si>
    <t>12102|12103|12102</t>
  </si>
  <si>
    <t>12104|12105|12104</t>
  </si>
  <si>
    <t>12206</t>
  </si>
  <si>
    <t>12107|12107|12107</t>
  </si>
  <si>
    <t>47</t>
  </si>
  <si>
    <t>12108|12109|12108</t>
  </si>
  <si>
    <t>12110|12111|12110</t>
  </si>
  <si>
    <t>12212</t>
  </si>
  <si>
    <t>11</t>
  </si>
  <si>
    <t>12113|12113|12113</t>
  </si>
  <si>
    <t>49</t>
  </si>
  <si>
    <t>12114|12115|12114</t>
  </si>
  <si>
    <t>12116|12117|12116</t>
  </si>
  <si>
    <t>12218</t>
  </si>
  <si>
    <t>12119|12119|12119</t>
  </si>
  <si>
    <t>51</t>
  </si>
  <si>
    <t>12120|12121|12120</t>
  </si>
  <si>
    <t>12122|12123|12122</t>
  </si>
  <si>
    <t>12224</t>
  </si>
  <si>
    <t>12125|12125|12125</t>
  </si>
  <si>
    <t>53</t>
  </si>
  <si>
    <t>12126|12127|12126</t>
  </si>
  <si>
    <t>12128|12129|12128</t>
  </si>
  <si>
    <t>12230</t>
  </si>
  <si>
    <t>12131|12132|12133</t>
  </si>
  <si>
    <t>56</t>
  </si>
  <si>
    <t>12134|12135|12136</t>
  </si>
  <si>
    <t>12137|12137|12137|12138|12138|12138|12139|12139|12139|12140|12140</t>
  </si>
  <si>
    <t>12341</t>
  </si>
  <si>
    <t>60</t>
  </si>
  <si>
    <t>172001|1$365001|10$445001|1</t>
  </si>
  <si>
    <t>白民国裂隙</t>
  </si>
  <si>
    <t>13201|13201|13201</t>
  </si>
  <si>
    <t>77</t>
  </si>
  <si>
    <t>13202|13203|13202</t>
  </si>
  <si>
    <t>13204|13205|13204</t>
  </si>
  <si>
    <t>13206</t>
  </si>
  <si>
    <t>13207|13207|13207</t>
  </si>
  <si>
    <t>80</t>
  </si>
  <si>
    <t>13208|13209|13208</t>
  </si>
  <si>
    <t>13210|13211|13210</t>
  </si>
  <si>
    <t>13212</t>
  </si>
  <si>
    <t>13213|13213|13213</t>
  </si>
  <si>
    <t>83</t>
  </si>
  <si>
    <t>13214|13215|13214</t>
  </si>
  <si>
    <t>13216|13217|13216</t>
  </si>
  <si>
    <t>13218</t>
  </si>
  <si>
    <t>13219|13219|13219</t>
  </si>
  <si>
    <t>86</t>
  </si>
  <si>
    <t>13220|13221|13220</t>
  </si>
  <si>
    <t>13222|13223|13222</t>
  </si>
  <si>
    <t>13224</t>
  </si>
  <si>
    <t>13225|13225|13225</t>
  </si>
  <si>
    <t>88</t>
  </si>
  <si>
    <t>13226|13227|13226</t>
  </si>
  <si>
    <t>13228|13229|13228</t>
  </si>
  <si>
    <t>13230</t>
  </si>
  <si>
    <t>13231|13231|13231|13231</t>
  </si>
  <si>
    <t>89</t>
  </si>
  <si>
    <t>13232|13233|13234|13234</t>
  </si>
  <si>
    <t>13235|13235|13235|13235</t>
  </si>
  <si>
    <t>13336</t>
  </si>
  <si>
    <t>90</t>
  </si>
  <si>
    <t>173001|1$365001|10$445001|1</t>
  </si>
  <si>
    <t>40001</t>
  </si>
  <si>
    <t>羽民国裂隙</t>
  </si>
  <si>
    <t>40002</t>
  </si>
  <si>
    <t>10004</t>
  </si>
  <si>
    <t>14101|14102|14103</t>
  </si>
  <si>
    <t>106</t>
  </si>
  <si>
    <t>40003</t>
  </si>
  <si>
    <t>40004</t>
  </si>
  <si>
    <t>40005</t>
  </si>
  <si>
    <t>14104</t>
  </si>
  <si>
    <t>107</t>
  </si>
  <si>
    <t>羽民国裂隙（中转站）</t>
  </si>
  <si>
    <t>40006</t>
  </si>
  <si>
    <t>40007</t>
  </si>
  <si>
    <t>108</t>
  </si>
  <si>
    <t>40008</t>
  </si>
  <si>
    <t>40009</t>
  </si>
  <si>
    <t>40010</t>
  </si>
  <si>
    <t>110</t>
  </si>
  <si>
    <t>40011</t>
  </si>
  <si>
    <t>40012</t>
  </si>
  <si>
    <t>14105|14105|14105</t>
  </si>
  <si>
    <t>111</t>
  </si>
  <si>
    <t>40013</t>
  </si>
  <si>
    <t>14103|14103|14103</t>
  </si>
  <si>
    <t>40014</t>
  </si>
  <si>
    <t>40015</t>
  </si>
  <si>
    <t>14106</t>
  </si>
  <si>
    <t>113</t>
  </si>
  <si>
    <t>40016</t>
  </si>
  <si>
    <t>40017</t>
  </si>
  <si>
    <t>14102|14102|14102</t>
  </si>
  <si>
    <t>40018</t>
  </si>
  <si>
    <t>14107|14107|14107</t>
  </si>
  <si>
    <t>40019</t>
  </si>
  <si>
    <t>40020</t>
  </si>
  <si>
    <t>14108</t>
  </si>
  <si>
    <t>114</t>
  </si>
  <si>
    <t>40021</t>
  </si>
  <si>
    <t>14114</t>
  </si>
  <si>
    <t>40022</t>
  </si>
  <si>
    <t>115</t>
  </si>
  <si>
    <t>40023</t>
  </si>
  <si>
    <t>40024</t>
  </si>
  <si>
    <t>40025</t>
  </si>
  <si>
    <t>14102|14105|14102</t>
  </si>
  <si>
    <t>116</t>
  </si>
  <si>
    <t>40026</t>
  </si>
  <si>
    <t>40027</t>
  </si>
  <si>
    <t>117</t>
  </si>
  <si>
    <t>40028</t>
  </si>
  <si>
    <t>14101|14102|14101</t>
  </si>
  <si>
    <t>40029</t>
  </si>
  <si>
    <t>14105|14105|14105|14104</t>
  </si>
  <si>
    <t>40030</t>
  </si>
  <si>
    <t>14205</t>
  </si>
  <si>
    <t>54120</t>
  </si>
  <si>
    <t>120</t>
  </si>
  <si>
    <t>174001|1$445001|1$365001|10</t>
  </si>
  <si>
    <t>50001</t>
  </si>
  <si>
    <t>50002</t>
  </si>
  <si>
    <t>10005</t>
  </si>
  <si>
    <t>15101</t>
  </si>
  <si>
    <t>50003</t>
  </si>
  <si>
    <t>15102</t>
  </si>
  <si>
    <t>50004</t>
  </si>
  <si>
    <t>15103</t>
  </si>
  <si>
    <t>50005</t>
  </si>
  <si>
    <t>15104</t>
  </si>
  <si>
    <t>50006</t>
  </si>
  <si>
    <t>15201</t>
  </si>
  <si>
    <t>50007</t>
  </si>
  <si>
    <t>50008</t>
  </si>
  <si>
    <t>15105</t>
  </si>
  <si>
    <t>50009</t>
  </si>
  <si>
    <t>15106</t>
  </si>
  <si>
    <t>50010</t>
  </si>
  <si>
    <t>15107</t>
  </si>
  <si>
    <t>50011</t>
  </si>
  <si>
    <t>15108</t>
  </si>
  <si>
    <t>50012</t>
  </si>
  <si>
    <t>15202</t>
  </si>
  <si>
    <t>50013</t>
  </si>
  <si>
    <t>50014</t>
  </si>
  <si>
    <t>15109</t>
  </si>
  <si>
    <t>50015</t>
  </si>
  <si>
    <t>15110</t>
  </si>
  <si>
    <t>50016</t>
  </si>
  <si>
    <t>15111</t>
  </si>
  <si>
    <t>50017</t>
  </si>
  <si>
    <t>15112</t>
  </si>
  <si>
    <t>50018</t>
  </si>
  <si>
    <t>15203</t>
  </si>
  <si>
    <t>50019</t>
  </si>
  <si>
    <t>50020</t>
  </si>
  <si>
    <t>15113</t>
  </si>
  <si>
    <t>50021</t>
  </si>
  <si>
    <t>15114</t>
  </si>
  <si>
    <t>50022</t>
  </si>
  <si>
    <t>15115</t>
  </si>
  <si>
    <t>50023</t>
  </si>
  <si>
    <t>15116</t>
  </si>
  <si>
    <t>50024</t>
  </si>
  <si>
    <t>15204</t>
  </si>
  <si>
    <t>50025</t>
  </si>
  <si>
    <t>50026</t>
  </si>
  <si>
    <t>15117</t>
  </si>
  <si>
    <t>50027</t>
  </si>
  <si>
    <t>15118</t>
  </si>
  <si>
    <t>50028</t>
  </si>
  <si>
    <t>15119</t>
  </si>
  <si>
    <t>50029</t>
  </si>
  <si>
    <t>15120</t>
  </si>
  <si>
    <t>50030</t>
  </si>
  <si>
    <t>15205</t>
  </si>
  <si>
    <t>50031</t>
  </si>
  <si>
    <t>50032</t>
  </si>
  <si>
    <t>15121</t>
  </si>
  <si>
    <t>50033</t>
  </si>
  <si>
    <t>15122</t>
  </si>
  <si>
    <t>50034</t>
  </si>
  <si>
    <t>15123</t>
  </si>
  <si>
    <t>50035</t>
  </si>
  <si>
    <t>15124</t>
  </si>
  <si>
    <t>50036</t>
  </si>
  <si>
    <t>15206</t>
  </si>
  <si>
    <t>50037</t>
  </si>
  <si>
    <t>50038</t>
  </si>
  <si>
    <t>15125</t>
  </si>
  <si>
    <t>50039</t>
  </si>
  <si>
    <t>15126</t>
  </si>
  <si>
    <t>50040</t>
  </si>
  <si>
    <t>15127</t>
  </si>
  <si>
    <t>50041</t>
  </si>
  <si>
    <t>15128</t>
  </si>
  <si>
    <t>50042</t>
  </si>
  <si>
    <t>15207</t>
  </si>
  <si>
    <t>50043</t>
  </si>
  <si>
    <t>50044</t>
  </si>
  <si>
    <t>15129</t>
  </si>
  <si>
    <t>50045</t>
  </si>
  <si>
    <t>15130</t>
  </si>
  <si>
    <t>50046</t>
  </si>
  <si>
    <t>15131</t>
  </si>
  <si>
    <t>50047</t>
  </si>
  <si>
    <t>15132</t>
  </si>
  <si>
    <t>50048</t>
  </si>
  <si>
    <t>50049</t>
  </si>
  <si>
    <t>15301</t>
  </si>
  <si>
    <t>01001</t>
  </si>
  <si>
    <t>云海宗固定主线</t>
  </si>
  <si>
    <t>0-1</t>
  </si>
  <si>
    <t>01002</t>
  </si>
  <si>
    <t>50101</t>
  </si>
  <si>
    <t>0-2</t>
  </si>
  <si>
    <t>01003</t>
  </si>
  <si>
    <t>50104</t>
  </si>
  <si>
    <t>0-3</t>
  </si>
  <si>
    <t>01004</t>
  </si>
  <si>
    <t>50107</t>
  </si>
  <si>
    <t>0-4</t>
  </si>
  <si>
    <t>01005</t>
  </si>
  <si>
    <t>0-5</t>
  </si>
  <si>
    <t>01006</t>
  </si>
  <si>
    <t>0-6</t>
  </si>
  <si>
    <t>01007</t>
  </si>
  <si>
    <t>0-7</t>
  </si>
  <si>
    <t>01008</t>
  </si>
  <si>
    <t>0-8</t>
  </si>
  <si>
    <t>01009</t>
  </si>
  <si>
    <t>0-9</t>
  </si>
  <si>
    <t>01010</t>
  </si>
  <si>
    <t>0-10</t>
  </si>
  <si>
    <t>50301</t>
  </si>
  <si>
    <t>11001</t>
  </si>
  <si>
    <t>季狸国固定主线</t>
  </si>
  <si>
    <t>1-1</t>
  </si>
  <si>
    <t>11002</t>
  </si>
  <si>
    <t>10001</t>
  </si>
  <si>
    <t>51101|51102</t>
  </si>
  <si>
    <t>10002</t>
  </si>
  <si>
    <t>1-2</t>
  </si>
  <si>
    <t>11003</t>
  </si>
  <si>
    <t>51102</t>
  </si>
  <si>
    <t>1-3</t>
  </si>
  <si>
    <t>11004</t>
  </si>
  <si>
    <t>51103|51104</t>
  </si>
  <si>
    <t>12</t>
  </si>
  <si>
    <t>1-4</t>
  </si>
  <si>
    <t>11005</t>
  </si>
  <si>
    <t>51105|51106|51107</t>
  </si>
  <si>
    <t>1-5</t>
  </si>
  <si>
    <t>11006</t>
  </si>
  <si>
    <t>51108|51109|51210</t>
  </si>
  <si>
    <t>13</t>
  </si>
  <si>
    <t>1-6</t>
  </si>
  <si>
    <t>11007</t>
  </si>
  <si>
    <t>51111</t>
  </si>
  <si>
    <t>10003</t>
  </si>
  <si>
    <t>1-7</t>
  </si>
  <si>
    <t>11008</t>
  </si>
  <si>
    <t>51112|51112</t>
  </si>
  <si>
    <t>1-8</t>
  </si>
  <si>
    <t>11009</t>
  </si>
  <si>
    <t>51113|51113|51113</t>
  </si>
  <si>
    <t>14</t>
  </si>
  <si>
    <t>1-9</t>
  </si>
  <si>
    <t>11010</t>
  </si>
  <si>
    <t>51214</t>
  </si>
  <si>
    <t>1-10</t>
  </si>
  <si>
    <t>11011</t>
  </si>
  <si>
    <t>51215</t>
  </si>
  <si>
    <t>10005|10006</t>
  </si>
  <si>
    <t>10007|10008|10009|10010</t>
  </si>
  <si>
    <t>1-11</t>
  </si>
  <si>
    <t>11012</t>
  </si>
  <si>
    <t>51116|51116|51116</t>
  </si>
  <si>
    <t>10011</t>
  </si>
  <si>
    <t>1-12</t>
  </si>
  <si>
    <t>11013</t>
  </si>
  <si>
    <t>51117|51118</t>
  </si>
  <si>
    <t>15</t>
  </si>
  <si>
    <t>1-13</t>
  </si>
  <si>
    <t>11014</t>
  </si>
  <si>
    <t>51119|51120|51121</t>
  </si>
  <si>
    <t>1-14</t>
  </si>
  <si>
    <t>11015</t>
  </si>
  <si>
    <t>51122|51123|51124|51125</t>
  </si>
  <si>
    <t>16</t>
  </si>
  <si>
    <t>1-15</t>
  </si>
  <si>
    <t>11016</t>
  </si>
  <si>
    <t>51226</t>
  </si>
  <si>
    <t>17</t>
  </si>
  <si>
    <t>10012|10013|10014|10015|10016</t>
  </si>
  <si>
    <t>1-16</t>
  </si>
  <si>
    <t>11017</t>
  </si>
  <si>
    <t>51127|51128|51129</t>
  </si>
  <si>
    <t>1-17</t>
  </si>
  <si>
    <t>11018</t>
  </si>
  <si>
    <t>51130|51131|51132</t>
  </si>
  <si>
    <t>18</t>
  </si>
  <si>
    <t>1-18</t>
  </si>
  <si>
    <t>11019</t>
  </si>
  <si>
    <t>51133|51134|51135</t>
  </si>
  <si>
    <t>1-19</t>
  </si>
  <si>
    <t>11020</t>
  </si>
  <si>
    <t>51136|51136|51136</t>
  </si>
  <si>
    <t>1-20</t>
  </si>
  <si>
    <t>11021</t>
  </si>
  <si>
    <t>51237</t>
  </si>
  <si>
    <t>10017|10018|10019|10020|10021</t>
  </si>
  <si>
    <t>10022|10023|10024|10025|10026|10027|10028|10129|10130</t>
  </si>
  <si>
    <t>1-21</t>
  </si>
  <si>
    <t>11022</t>
  </si>
  <si>
    <t>51138|51138|51138</t>
  </si>
  <si>
    <t>1-22</t>
  </si>
  <si>
    <t>11023</t>
  </si>
  <si>
    <t>51139|51140|51141</t>
  </si>
  <si>
    <t>1-23</t>
  </si>
  <si>
    <t>11024</t>
  </si>
  <si>
    <t>51142|51143|51144</t>
  </si>
  <si>
    <t>1-24</t>
  </si>
  <si>
    <t>51345</t>
  </si>
  <si>
    <t>19</t>
  </si>
  <si>
    <t>10029|10030|10031|10032</t>
  </si>
  <si>
    <t>10033</t>
  </si>
  <si>
    <t>22001</t>
  </si>
  <si>
    <t>餍火国固定主线</t>
  </si>
  <si>
    <t>2-1</t>
  </si>
  <si>
    <t>22002</t>
  </si>
  <si>
    <t>52101</t>
  </si>
  <si>
    <t>31</t>
  </si>
  <si>
    <t>10034|10035|10036|10037|10038</t>
  </si>
  <si>
    <t>2-2</t>
  </si>
  <si>
    <t>22003</t>
  </si>
  <si>
    <t>52102</t>
  </si>
  <si>
    <t>2-3</t>
  </si>
  <si>
    <t>22004</t>
  </si>
  <si>
    <t>52103</t>
  </si>
  <si>
    <t>32</t>
  </si>
  <si>
    <t>2-4</t>
  </si>
  <si>
    <t>22005</t>
  </si>
  <si>
    <t>52204</t>
  </si>
  <si>
    <t>10039|10040|10041|10042|10043|10044</t>
  </si>
  <si>
    <t>2-5</t>
  </si>
  <si>
    <t>22006</t>
  </si>
  <si>
    <t>52105</t>
  </si>
  <si>
    <t>33</t>
  </si>
  <si>
    <t>2-6</t>
  </si>
  <si>
    <t>22007</t>
  </si>
  <si>
    <t>52106</t>
  </si>
  <si>
    <t>2-7</t>
  </si>
  <si>
    <t>22008</t>
  </si>
  <si>
    <t>52107</t>
  </si>
  <si>
    <t>34</t>
  </si>
  <si>
    <t>2-8</t>
  </si>
  <si>
    <t>22009</t>
  </si>
  <si>
    <t>52208</t>
  </si>
  <si>
    <t>10045</t>
  </si>
  <si>
    <t>2-9</t>
  </si>
  <si>
    <t>22010</t>
  </si>
  <si>
    <t>52109</t>
  </si>
  <si>
    <t>35</t>
  </si>
  <si>
    <t>2-10</t>
  </si>
  <si>
    <t>22011</t>
  </si>
  <si>
    <t>52110</t>
  </si>
  <si>
    <t>2-11</t>
  </si>
  <si>
    <t>22012</t>
  </si>
  <si>
    <t>52111</t>
  </si>
  <si>
    <t>36</t>
  </si>
  <si>
    <t>2-12</t>
  </si>
  <si>
    <t>22013</t>
  </si>
  <si>
    <t>52112</t>
  </si>
  <si>
    <t>10046</t>
  </si>
  <si>
    <t>2-13</t>
  </si>
  <si>
    <t>22014</t>
  </si>
  <si>
    <t>52113</t>
  </si>
  <si>
    <t>37</t>
  </si>
  <si>
    <t>2-14</t>
  </si>
  <si>
    <t>22015</t>
  </si>
  <si>
    <t>52114</t>
  </si>
  <si>
    <t>2-15</t>
  </si>
  <si>
    <t>22016</t>
  </si>
  <si>
    <t>52215</t>
  </si>
  <si>
    <t>38</t>
  </si>
  <si>
    <t>2-16</t>
  </si>
  <si>
    <t>22017</t>
  </si>
  <si>
    <t>52116</t>
  </si>
  <si>
    <t>10047|10048</t>
  </si>
  <si>
    <t>2-17</t>
  </si>
  <si>
    <t>22018</t>
  </si>
  <si>
    <t>52117</t>
  </si>
  <si>
    <t>39</t>
  </si>
  <si>
    <t>2-18</t>
  </si>
  <si>
    <t>22019</t>
  </si>
  <si>
    <t>52218</t>
  </si>
  <si>
    <t>2-19</t>
  </si>
  <si>
    <t>22020</t>
  </si>
  <si>
    <t>52119</t>
  </si>
  <si>
    <t>40</t>
  </si>
  <si>
    <t>2-20</t>
  </si>
  <si>
    <t>22021</t>
  </si>
  <si>
    <t>52120</t>
  </si>
  <si>
    <t>2-21</t>
  </si>
  <si>
    <t>22022</t>
  </si>
  <si>
    <t>52121</t>
  </si>
  <si>
    <t>41</t>
  </si>
  <si>
    <t>2-22</t>
  </si>
  <si>
    <t>22023</t>
  </si>
  <si>
    <t>52122</t>
  </si>
  <si>
    <t>2-23</t>
  </si>
  <si>
    <t>22024</t>
  </si>
  <si>
    <t>52123</t>
  </si>
  <si>
    <t>42</t>
  </si>
  <si>
    <t>2-24</t>
  </si>
  <si>
    <t>22025</t>
  </si>
  <si>
    <t>52224</t>
  </si>
  <si>
    <t>2-25</t>
  </si>
  <si>
    <t>22026</t>
  </si>
  <si>
    <t>52125</t>
  </si>
  <si>
    <t>43</t>
  </si>
  <si>
    <t>2-26</t>
  </si>
  <si>
    <t>22027</t>
  </si>
  <si>
    <t>52126</t>
  </si>
  <si>
    <t>2-27</t>
  </si>
  <si>
    <t>22028</t>
  </si>
  <si>
    <t>52127</t>
  </si>
  <si>
    <t>44</t>
  </si>
  <si>
    <t>2-28</t>
  </si>
  <si>
    <t>22029</t>
  </si>
  <si>
    <t>52128</t>
  </si>
  <si>
    <t>2-29</t>
  </si>
  <si>
    <t>22030</t>
  </si>
  <si>
    <t>52229</t>
  </si>
  <si>
    <t>2-30</t>
  </si>
  <si>
    <t>52330</t>
  </si>
  <si>
    <t>10049</t>
  </si>
  <si>
    <t>33001</t>
  </si>
  <si>
    <t>白民国固定主线</t>
  </si>
  <si>
    <t>3-1</t>
  </si>
  <si>
    <t>33002</t>
  </si>
  <si>
    <t>53101</t>
  </si>
  <si>
    <t>61</t>
  </si>
  <si>
    <t>11001|11002</t>
  </si>
  <si>
    <t>3-2</t>
  </si>
  <si>
    <t>33003</t>
  </si>
  <si>
    <t>53102|53103|53102|53103</t>
  </si>
  <si>
    <t>3-3</t>
  </si>
  <si>
    <t>33004</t>
  </si>
  <si>
    <t>53104|53105|53106|53104</t>
  </si>
  <si>
    <t>3-4</t>
  </si>
  <si>
    <t>33005</t>
  </si>
  <si>
    <t>53207</t>
  </si>
  <si>
    <t>62</t>
  </si>
  <si>
    <t>3-5</t>
  </si>
  <si>
    <t>33006</t>
  </si>
  <si>
    <t>53108|53108|53108|53108</t>
  </si>
  <si>
    <t>3-6</t>
  </si>
  <si>
    <t>33007</t>
  </si>
  <si>
    <t>53109|53110|53109|53110</t>
  </si>
  <si>
    <t>3-7</t>
  </si>
  <si>
    <t>33008</t>
  </si>
  <si>
    <t>53111|53112|53113|53111</t>
  </si>
  <si>
    <t>3-8</t>
  </si>
  <si>
    <t>33009</t>
  </si>
  <si>
    <t>53214</t>
  </si>
  <si>
    <t>63</t>
  </si>
  <si>
    <t>3-9</t>
  </si>
  <si>
    <t>33010</t>
  </si>
  <si>
    <t>53115|53115|53115|53115</t>
  </si>
  <si>
    <t>11005|11006</t>
  </si>
  <si>
    <t>3-10</t>
  </si>
  <si>
    <t>33011</t>
  </si>
  <si>
    <t>53116|53117|53116|53117</t>
  </si>
  <si>
    <t>3-11</t>
  </si>
  <si>
    <t>33012</t>
  </si>
  <si>
    <t>53118|53119|53120|53118</t>
  </si>
  <si>
    <t>3-12</t>
  </si>
  <si>
    <t>33013</t>
  </si>
  <si>
    <t>53221</t>
  </si>
  <si>
    <t>64</t>
  </si>
  <si>
    <t>3-13</t>
  </si>
  <si>
    <t>33014</t>
  </si>
  <si>
    <t>53122|53122|53122|53122</t>
  </si>
  <si>
    <t>3-14</t>
  </si>
  <si>
    <t>33015</t>
  </si>
  <si>
    <t>53123|53124|53123|53124</t>
  </si>
  <si>
    <t>3-15</t>
  </si>
  <si>
    <t>33016</t>
  </si>
  <si>
    <t>53125|53126|53127|53125</t>
  </si>
  <si>
    <t>3-16</t>
  </si>
  <si>
    <t>33017</t>
  </si>
  <si>
    <t>53228</t>
  </si>
  <si>
    <t>65</t>
  </si>
  <si>
    <t>3-17</t>
  </si>
  <si>
    <t>33018</t>
  </si>
  <si>
    <t>53129|53129|53129|53129</t>
  </si>
  <si>
    <t>3-18</t>
  </si>
  <si>
    <t>33019</t>
  </si>
  <si>
    <t>53130|53131|53130|53131</t>
  </si>
  <si>
    <t>3-19</t>
  </si>
  <si>
    <t>33020</t>
  </si>
  <si>
    <t>53131|53132|53133|53134</t>
  </si>
  <si>
    <t>11008|11009</t>
  </si>
  <si>
    <t>3-20</t>
  </si>
  <si>
    <t>33021</t>
  </si>
  <si>
    <t>53235</t>
  </si>
  <si>
    <t>66</t>
  </si>
  <si>
    <t>3-21</t>
  </si>
  <si>
    <t>33022</t>
  </si>
  <si>
    <t>53136|53136|53136|53136</t>
  </si>
  <si>
    <t>3-22</t>
  </si>
  <si>
    <t>33023</t>
  </si>
  <si>
    <t>53137|53138|53137|53138</t>
  </si>
  <si>
    <t>3-23</t>
  </si>
  <si>
    <t>33024</t>
  </si>
  <si>
    <t>53239</t>
  </si>
  <si>
    <t>67</t>
  </si>
  <si>
    <t>3-24</t>
  </si>
  <si>
    <t>33025</t>
  </si>
  <si>
    <t>53140|53140|53140|53140</t>
  </si>
  <si>
    <t>3-25</t>
  </si>
  <si>
    <t>33026</t>
  </si>
  <si>
    <t>53141|53142|53141|53142</t>
  </si>
  <si>
    <t>3-26</t>
  </si>
  <si>
    <t>33027</t>
  </si>
  <si>
    <t>53143|53144|53145|53143</t>
  </si>
  <si>
    <t>3-27</t>
  </si>
  <si>
    <t>33028</t>
  </si>
  <si>
    <t>53246</t>
  </si>
  <si>
    <t>68</t>
  </si>
  <si>
    <t>3-28</t>
  </si>
  <si>
    <t>33029</t>
  </si>
  <si>
    <t>53147|53147|53147|53147</t>
  </si>
  <si>
    <t>3-29</t>
  </si>
  <si>
    <t>33030</t>
  </si>
  <si>
    <t>53148|53149|53148|53149</t>
  </si>
  <si>
    <t>3-30</t>
  </si>
  <si>
    <t>33031</t>
  </si>
  <si>
    <t>53150|53151|53152|53150</t>
  </si>
  <si>
    <t>3-31</t>
  </si>
  <si>
    <t>33032</t>
  </si>
  <si>
    <t>53253</t>
  </si>
  <si>
    <t>69</t>
  </si>
  <si>
    <t>3-32</t>
  </si>
  <si>
    <t>33033</t>
  </si>
  <si>
    <t>53154|53154|53154|53154</t>
  </si>
  <si>
    <t>3-33</t>
  </si>
  <si>
    <t>33034</t>
  </si>
  <si>
    <t>53155|53156|53155|53156</t>
  </si>
  <si>
    <t>3-34</t>
  </si>
  <si>
    <t>33035</t>
  </si>
  <si>
    <t>53157|53158|53159|53157</t>
  </si>
  <si>
    <t>3-35</t>
  </si>
  <si>
    <t>33036</t>
  </si>
  <si>
    <t>53260</t>
  </si>
  <si>
    <t>70</t>
  </si>
  <si>
    <t>11012|11013|11014|11015</t>
  </si>
  <si>
    <t>3-36</t>
  </si>
  <si>
    <t>33037</t>
  </si>
  <si>
    <t>53161|53161|53161|53161</t>
  </si>
  <si>
    <t>11016|11017|11018</t>
  </si>
  <si>
    <t>3-37</t>
  </si>
  <si>
    <t>33038</t>
  </si>
  <si>
    <t>53162|53163|53162|53163</t>
  </si>
  <si>
    <t>3-38</t>
  </si>
  <si>
    <t>33039</t>
  </si>
  <si>
    <t>53164|53165|53166|53164</t>
  </si>
  <si>
    <t>3-39</t>
  </si>
  <si>
    <t>33040</t>
  </si>
  <si>
    <t>53267</t>
  </si>
  <si>
    <t>73</t>
  </si>
  <si>
    <t>3-40</t>
  </si>
  <si>
    <t>53368</t>
  </si>
  <si>
    <t>76</t>
  </si>
  <si>
    <t>11019|11020</t>
  </si>
  <si>
    <t>11021|11022</t>
  </si>
  <si>
    <t>44001</t>
  </si>
  <si>
    <t>羽民国固定主线</t>
  </si>
  <si>
    <t>4-1</t>
  </si>
  <si>
    <t>44002</t>
  </si>
  <si>
    <t>54101</t>
  </si>
  <si>
    <t>91</t>
  </si>
  <si>
    <t>11023|11024|11025|11026</t>
  </si>
  <si>
    <t>11027|11028|11029|11030</t>
  </si>
  <si>
    <t>4-2</t>
  </si>
  <si>
    <t>44003</t>
  </si>
  <si>
    <t>54102|54103|54102|54103</t>
  </si>
  <si>
    <t>4-3</t>
  </si>
  <si>
    <t>44004</t>
  </si>
  <si>
    <t>54104|54104|54104|54104</t>
  </si>
  <si>
    <t>4-4</t>
  </si>
  <si>
    <t>44005</t>
  </si>
  <si>
    <t>54105</t>
  </si>
  <si>
    <t>92</t>
  </si>
  <si>
    <t>4-5</t>
  </si>
  <si>
    <t>44006</t>
  </si>
  <si>
    <t>54106</t>
  </si>
  <si>
    <t>4-6</t>
  </si>
  <si>
    <t>44007</t>
  </si>
  <si>
    <t>54107|54108|54107|54108</t>
  </si>
  <si>
    <t>4-7</t>
  </si>
  <si>
    <t>44008</t>
  </si>
  <si>
    <t>54108|54109|54108|54109</t>
  </si>
  <si>
    <t>4-8</t>
  </si>
  <si>
    <t>44009</t>
  </si>
  <si>
    <t>54110</t>
  </si>
  <si>
    <t>93</t>
  </si>
  <si>
    <t>4-9</t>
  </si>
  <si>
    <t>44010</t>
  </si>
  <si>
    <t>54111</t>
  </si>
  <si>
    <t>4-10</t>
  </si>
  <si>
    <t>44011</t>
  </si>
  <si>
    <t>54112|54112|54112|54112</t>
  </si>
  <si>
    <t>4-11</t>
  </si>
  <si>
    <t>44012</t>
  </si>
  <si>
    <t>54113|54113|54113|54113</t>
  </si>
  <si>
    <t>4-12</t>
  </si>
  <si>
    <t>44013</t>
  </si>
  <si>
    <t>94</t>
  </si>
  <si>
    <t>4-13</t>
  </si>
  <si>
    <t>44014</t>
  </si>
  <si>
    <t>54114</t>
  </si>
  <si>
    <t>95</t>
  </si>
  <si>
    <t>4-14</t>
  </si>
  <si>
    <t>44015</t>
  </si>
  <si>
    <t>54115|54116|54115|54116</t>
  </si>
  <si>
    <t>4-15</t>
  </si>
  <si>
    <t>44016</t>
  </si>
  <si>
    <t>54115|54116|54117|54115</t>
  </si>
  <si>
    <t>4-16</t>
  </si>
  <si>
    <t>44017</t>
  </si>
  <si>
    <t>4-17</t>
  </si>
  <si>
    <t>44018</t>
  </si>
  <si>
    <t>54118</t>
  </si>
  <si>
    <t>96</t>
  </si>
  <si>
    <t>4-18</t>
  </si>
  <si>
    <t>44019</t>
  </si>
  <si>
    <t>4-19</t>
  </si>
  <si>
    <t>44020</t>
  </si>
  <si>
    <t>54115|54115|54115|54115</t>
  </si>
  <si>
    <t>4-20</t>
  </si>
  <si>
    <t>44021</t>
  </si>
  <si>
    <t>54119</t>
  </si>
  <si>
    <t>4-21</t>
  </si>
  <si>
    <t>44022</t>
  </si>
  <si>
    <t>54116|54116|54116|54116</t>
  </si>
  <si>
    <t>97</t>
  </si>
  <si>
    <t>4-22</t>
  </si>
  <si>
    <t>44023</t>
  </si>
  <si>
    <t>4-23</t>
  </si>
  <si>
    <t>44024</t>
  </si>
  <si>
    <t>4-24</t>
  </si>
  <si>
    <t>44025</t>
  </si>
  <si>
    <t>98</t>
  </si>
  <si>
    <t>4-25</t>
  </si>
  <si>
    <t>44026</t>
  </si>
  <si>
    <t>54116|54117|54116|54117</t>
  </si>
  <si>
    <t>4-26</t>
  </si>
  <si>
    <t>44027</t>
  </si>
  <si>
    <t>4-27</t>
  </si>
  <si>
    <t>44028</t>
  </si>
  <si>
    <t>4-28</t>
  </si>
  <si>
    <t>44029</t>
  </si>
  <si>
    <t>99</t>
  </si>
  <si>
    <t>4-29</t>
  </si>
  <si>
    <t>44030</t>
  </si>
  <si>
    <t>4-30</t>
  </si>
  <si>
    <t>44031</t>
  </si>
  <si>
    <t>100</t>
  </si>
  <si>
    <t>4-31</t>
  </si>
  <si>
    <t>44032</t>
  </si>
  <si>
    <t>4-32</t>
  </si>
  <si>
    <t>44033</t>
  </si>
  <si>
    <t>4-33</t>
  </si>
  <si>
    <t>44034</t>
  </si>
  <si>
    <t>4-34</t>
  </si>
  <si>
    <t>44035</t>
  </si>
  <si>
    <t>54115|54117|54115|54117</t>
  </si>
  <si>
    <t>4-35</t>
  </si>
  <si>
    <t>44036</t>
  </si>
  <si>
    <t>54104|54104|54117|54117</t>
  </si>
  <si>
    <t>101</t>
  </si>
  <si>
    <t>4-36</t>
  </si>
  <si>
    <t>44037</t>
  </si>
  <si>
    <t>4-37</t>
  </si>
  <si>
    <t>44038</t>
  </si>
  <si>
    <t>4-38</t>
  </si>
  <si>
    <t>44039</t>
  </si>
  <si>
    <t>102</t>
  </si>
  <si>
    <t>4-39</t>
  </si>
  <si>
    <t>44040</t>
  </si>
  <si>
    <t>4-40</t>
  </si>
  <si>
    <t>44041</t>
  </si>
  <si>
    <t>103</t>
  </si>
  <si>
    <t>4-41</t>
  </si>
  <si>
    <t>44042</t>
  </si>
  <si>
    <t>4-42</t>
  </si>
  <si>
    <t>44043</t>
  </si>
  <si>
    <t>54103|54104|54103|54104</t>
  </si>
  <si>
    <t>4-43</t>
  </si>
  <si>
    <t>44044</t>
  </si>
  <si>
    <t>4-44</t>
  </si>
  <si>
    <t>44045</t>
  </si>
  <si>
    <t>4-45</t>
  </si>
  <si>
    <t>44046</t>
  </si>
  <si>
    <t>104</t>
  </si>
  <si>
    <t>4-46</t>
  </si>
  <si>
    <t>44047</t>
  </si>
  <si>
    <t>54104|54117|54104|54117</t>
  </si>
  <si>
    <t>4-47</t>
  </si>
  <si>
    <t>44048</t>
  </si>
  <si>
    <t>54109|54104|54109|54104</t>
  </si>
  <si>
    <t>105</t>
  </si>
  <si>
    <t>4-48</t>
  </si>
  <si>
    <t>44049</t>
  </si>
  <si>
    <t>4-49</t>
  </si>
  <si>
    <t>44050</t>
  </si>
  <si>
    <t>4-50</t>
  </si>
  <si>
    <t>11031|11032|11033|11034|11035</t>
  </si>
  <si>
    <t>445001|1$365001|10</t>
  </si>
  <si>
    <t>灵石</t>
  </si>
  <si>
    <t>太玄果</t>
  </si>
  <si>
    <t>清灵草</t>
  </si>
  <si>
    <t>月灵矿</t>
  </si>
  <si>
    <t>灵泉</t>
  </si>
  <si>
    <t>星尘</t>
  </si>
  <si>
    <t>91001</t>
  </si>
  <si>
    <t>81001</t>
  </si>
  <si>
    <t>111001</t>
  </si>
  <si>
    <t>121001</t>
  </si>
  <si>
    <t>131001</t>
  </si>
  <si>
    <t>92001</t>
  </si>
  <si>
    <t>82001</t>
  </si>
  <si>
    <t>112001</t>
  </si>
  <si>
    <t>122001</t>
  </si>
  <si>
    <t>132001</t>
  </si>
  <si>
    <t>93001</t>
  </si>
  <si>
    <t>83001</t>
  </si>
  <si>
    <t>113001</t>
  </si>
  <si>
    <t>123001</t>
  </si>
  <si>
    <t>133001</t>
  </si>
  <si>
    <t>94001</t>
  </si>
  <si>
    <t>84001</t>
  </si>
  <si>
    <t>114001</t>
  </si>
  <si>
    <t>124001</t>
  </si>
  <si>
    <t>134001</t>
  </si>
  <si>
    <t>95001</t>
  </si>
  <si>
    <t>85001</t>
  </si>
  <si>
    <t>115001</t>
  </si>
  <si>
    <t>125001</t>
  </si>
  <si>
    <t>135001</t>
  </si>
  <si>
    <t>第一关资源</t>
  </si>
  <si>
    <t>第2关资源</t>
  </si>
  <si>
    <t>第3关资源</t>
  </si>
  <si>
    <t>第4关资源</t>
  </si>
  <si>
    <t>第5关资源</t>
  </si>
  <si>
    <t>技能残页</t>
  </si>
  <si>
    <t>191001</t>
  </si>
  <si>
    <t>192001</t>
  </si>
  <si>
    <t>193001</t>
  </si>
  <si>
    <t>194001</t>
  </si>
  <si>
    <t>195001</t>
  </si>
  <si>
    <t>第0关资源</t>
  </si>
  <si>
    <t>第0关裂隙资源</t>
  </si>
  <si>
    <t>第1关资源</t>
  </si>
  <si>
    <t>第1关裂隙资源</t>
  </si>
  <si>
    <t>2阶清灵草</t>
  </si>
  <si>
    <t>2阶月灵矿</t>
  </si>
  <si>
    <t>2阶技能残页</t>
  </si>
  <si>
    <t>第2关裂隙资源</t>
  </si>
  <si>
    <t>3阶清灵草</t>
  </si>
  <si>
    <t>3阶月灵矿</t>
  </si>
  <si>
    <t>第3关裂隙资源</t>
  </si>
  <si>
    <t>10001|3600$93001|$83001|912$113001|456$123001|$193001|</t>
  </si>
  <si>
    <t>10001|3840$93001|$83001|955$113001|480$123001|$193001|</t>
  </si>
  <si>
    <t>10001|4080$93001|$83001|998$113001|504$123001|$193001|</t>
  </si>
  <si>
    <t>10001|4320$93001|$83001|1042$113001|528$123001|$193001|</t>
  </si>
  <si>
    <t>10001|4560$93001|$83001|1085$113001|552$123001|$193001|</t>
  </si>
  <si>
    <t>10001|4800$93001|$83001|1128$113001|576$123001|$193001|</t>
  </si>
  <si>
    <t>10001|5040$93001|$83001|1171$113001|600$123001|$193001|</t>
  </si>
  <si>
    <t>10001|5280$93001|$83001|1214$113001|624$123001|$193001|</t>
  </si>
  <si>
    <t>10001|5520$93001|$83001|1258$113001|648$123001|$193001|</t>
  </si>
  <si>
    <t>10001|5760$93001|$83001|1301$113001|672$123001|$193001|</t>
  </si>
  <si>
    <t>10001|6000$93001|$83001|1344$113001|696$123001|$193001|</t>
  </si>
  <si>
    <t>10001|6240$93001|$83001|1387$113001|720$123001|$193001|</t>
  </si>
  <si>
    <t>10001|6480$93001|$83001|1430$113001|744$123001|$193001|</t>
  </si>
  <si>
    <t>10001|6720$93001|$83001|1474$113001|768$123001|$193001|</t>
  </si>
  <si>
    <t>10001|6960$93001|$83001|1517$113001|792$123001|$193001|</t>
  </si>
  <si>
    <t>10001|7200$93001|$83001|1560$113001|816$123001|$193001|</t>
  </si>
  <si>
    <t>10001|7440$93001|$83001|1603$113001|840$123001|$193001|</t>
  </si>
  <si>
    <t>10001|7680$93001|$83001|1646$113001|864$123001|$193001|</t>
  </si>
  <si>
    <t>10001|7920$93001|$83001|1690$113001|888$123001|$193001|</t>
  </si>
  <si>
    <t>10001|8160$93001|$83001|1733$113001|912$123001|$193001|</t>
  </si>
  <si>
    <t>10001|8400$93001|$83001|1776$113001|936$123001|$193001|</t>
  </si>
  <si>
    <t>10001|8640$93001|$83001|1819$113001|960$123001|$193001|</t>
  </si>
  <si>
    <t>10001|8880$93001|$83001|1862$113001|984$123001|$193001|</t>
  </si>
  <si>
    <t>10001|9120$93001|$83001|1905$113001|1008$123001|$193001|</t>
  </si>
  <si>
    <t>10001|9360$93001|$83001|1948$113001|1032$123001|$193001|</t>
  </si>
  <si>
    <t>10001|9600$93001|$83001|1991$113001|1056$123001|$193001|</t>
  </si>
  <si>
    <t>10001|9840$93001|$83001|2034$113001|1080$123001|$193001|</t>
  </si>
  <si>
    <t>10001|10080$93001|$83001|2077$113001|1104$123001|$193001|</t>
  </si>
  <si>
    <t>10001|10320$93001|$83001|2120$113001|1128$123001|$193001|</t>
  </si>
  <si>
    <t>10001|10560$93001|$83001|2163$113001|1152$123001|$193001|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</si>
</sst>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7" tint="0.79985961485641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3" tint="0.79985961485641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799829096346934"/>
        <bgColor indexed="64"/>
      </patternFill>
    </fill>
    <fill>
      <patternFill patternType="solid">
        <fgColor theme="3" tint="0.79958494827112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5" tint="0.799584948271126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0" borderId="4" applyNumberFormat="0" applyAlignment="0" applyProtection="0">
      <alignment vertical="center"/>
    </xf>
    <xf numFmtId="0" fontId="11" fillId="21" borderId="5" applyNumberFormat="0" applyAlignment="0" applyProtection="0">
      <alignment vertical="center"/>
    </xf>
    <xf numFmtId="0" fontId="12" fillId="21" borderId="4" applyNumberFormat="0" applyAlignment="0" applyProtection="0">
      <alignment vertical="center"/>
    </xf>
    <xf numFmtId="0" fontId="13" fillId="2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</cellStyleXfs>
  <cellXfs count="49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 wrapText="1"/>
    </xf>
    <xf numFmtId="49" fontId="0" fillId="2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49" fontId="0" fillId="5" borderId="0" xfId="0" applyNumberFormat="1" applyFill="1" applyAlignment="1">
      <alignment vertical="center" wrapText="1"/>
    </xf>
    <xf numFmtId="0" fontId="0" fillId="6" borderId="0" xfId="0" applyFill="1" applyAlignment="1">
      <alignment vertical="center" wrapText="1"/>
    </xf>
    <xf numFmtId="49" fontId="0" fillId="6" borderId="0" xfId="0" applyNumberFormat="1" applyFill="1" applyAlignment="1">
      <alignment vertical="center" wrapText="1"/>
    </xf>
    <xf numFmtId="49" fontId="0" fillId="7" borderId="0" xfId="0" applyNumberFormat="1" applyFill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0" fillId="3" borderId="0" xfId="0" applyNumberForma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vertical="center"/>
    </xf>
    <xf numFmtId="49" fontId="0" fillId="3" borderId="0" xfId="0" applyNumberFormat="1" applyFill="1" applyAlignment="1">
      <alignment vertical="center"/>
    </xf>
    <xf numFmtId="49" fontId="0" fillId="8" borderId="0" xfId="0" applyNumberFormat="1" applyFill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 wrapText="1"/>
    </xf>
    <xf numFmtId="49" fontId="1" fillId="9" borderId="0" xfId="0" applyNumberFormat="1" applyFont="1" applyFill="1" applyAlignment="1">
      <alignment vertical="center"/>
    </xf>
    <xf numFmtId="49" fontId="0" fillId="10" borderId="0" xfId="0" applyNumberFormat="1" applyFill="1" applyAlignment="1">
      <alignment horizontal="center" vertical="center" wrapText="1"/>
    </xf>
    <xf numFmtId="49" fontId="1" fillId="10" borderId="0" xfId="0" applyNumberFormat="1" applyFont="1" applyFill="1" applyAlignment="1">
      <alignment horizontal="center" vertical="center" wrapText="1"/>
    </xf>
    <xf numFmtId="49" fontId="1" fillId="10" borderId="0" xfId="0" applyNumberFormat="1" applyFont="1" applyFill="1" applyAlignment="1">
      <alignment vertical="center"/>
    </xf>
    <xf numFmtId="49" fontId="0" fillId="11" borderId="0" xfId="0" applyNumberFormat="1" applyFill="1" applyAlignment="1">
      <alignment horizontal="center" vertical="center" wrapText="1"/>
    </xf>
    <xf numFmtId="49" fontId="1" fillId="11" borderId="0" xfId="0" applyNumberFormat="1" applyFont="1" applyFill="1" applyAlignment="1">
      <alignment horizontal="center" vertical="center" wrapText="1"/>
    </xf>
    <xf numFmtId="49" fontId="1" fillId="12" borderId="0" xfId="0" applyNumberFormat="1" applyFont="1" applyFill="1" applyAlignment="1">
      <alignment vertical="center"/>
    </xf>
    <xf numFmtId="49" fontId="0" fillId="13" borderId="0" xfId="0" applyNumberFormat="1" applyFill="1" applyAlignment="1">
      <alignment horizontal="center" vertical="center" wrapText="1"/>
    </xf>
    <xf numFmtId="49" fontId="1" fillId="13" borderId="0" xfId="0" applyNumberFormat="1" applyFont="1" applyFill="1" applyAlignment="1">
      <alignment horizontal="center" vertical="center" wrapText="1"/>
    </xf>
    <xf numFmtId="49" fontId="0" fillId="7" borderId="0" xfId="0" applyNumberFormat="1" applyFill="1" applyAlignment="1">
      <alignment horizontal="center" vertical="center" wrapText="1"/>
    </xf>
    <xf numFmtId="49" fontId="1" fillId="7" borderId="0" xfId="0" applyNumberFormat="1" applyFont="1" applyFill="1" applyAlignment="1">
      <alignment horizontal="center" vertical="center" wrapText="1"/>
    </xf>
    <xf numFmtId="49" fontId="0" fillId="14" borderId="0" xfId="0" applyNumberForma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49" fontId="0" fillId="15" borderId="0" xfId="0" applyNumberFormat="1" applyFill="1" applyAlignment="1">
      <alignment vertical="center"/>
    </xf>
    <xf numFmtId="49" fontId="0" fillId="15" borderId="0" xfId="0" applyNumberFormat="1" applyFill="1" applyAlignment="1">
      <alignment horizontal="center" vertical="center" wrapText="1"/>
    </xf>
    <xf numFmtId="49" fontId="1" fillId="15" borderId="0" xfId="0" applyNumberFormat="1" applyFont="1" applyFill="1" applyAlignment="1">
      <alignment horizontal="center" vertical="center" wrapText="1"/>
    </xf>
    <xf numFmtId="49" fontId="0" fillId="16" borderId="0" xfId="0" applyNumberFormat="1" applyFill="1" applyAlignment="1">
      <alignment vertical="center" wrapText="1"/>
    </xf>
    <xf numFmtId="49" fontId="1" fillId="16" borderId="0" xfId="0" applyNumberFormat="1" applyFont="1" applyFill="1" applyAlignment="1">
      <alignment vertical="center" wrapText="1"/>
    </xf>
    <xf numFmtId="49" fontId="0" fillId="17" borderId="0" xfId="0" applyNumberFormat="1" applyFill="1" applyAlignment="1">
      <alignment vertical="center" wrapText="1"/>
    </xf>
    <xf numFmtId="49" fontId="1" fillId="18" borderId="0" xfId="0" applyNumberFormat="1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5"/>
  <sheetViews>
    <sheetView tabSelected="1" topLeftCell="K1" workbookViewId="0">
      <pane ySplit="1" topLeftCell="A317" activePane="bottomLeft" state="frozen"/>
      <selection/>
      <selection pane="bottomLeft" activeCell="R334" sqref="R334"/>
    </sheetView>
  </sheetViews>
  <sheetFormatPr defaultColWidth="9" defaultRowHeight="13.5"/>
  <cols>
    <col min="1" max="1" width="9" style="9" customWidth="1"/>
    <col min="2" max="2" width="17.25" style="9" customWidth="1"/>
    <col min="3" max="8" width="9" style="9" customWidth="1"/>
    <col min="9" max="9" width="34.625" style="9" customWidth="1"/>
    <col min="10" max="10" width="54.25" style="9" customWidth="1"/>
    <col min="11" max="11" width="27.25" style="9" customWidth="1"/>
    <col min="12" max="12" width="24.125" style="9" customWidth="1"/>
    <col min="13" max="16" width="9" style="9" customWidth="1"/>
    <col min="17" max="17" width="11.25" style="9" customWidth="1"/>
    <col min="18" max="18" width="32.375" style="9" customWidth="1"/>
    <col min="19" max="16384" width="9" style="9" customWidth="1"/>
  </cols>
  <sheetData>
    <row r="1" ht="27" customHeight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7" customHeight="1" spans="1:18">
      <c r="A2" t="s">
        <v>18</v>
      </c>
      <c r="B2" t="s">
        <v>19</v>
      </c>
      <c r="C2" t="s">
        <v>19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</row>
    <row r="3" ht="27" customHeight="1" spans="1:18">
      <c r="A3" t="s">
        <v>20</v>
      </c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0" t="s">
        <v>7</v>
      </c>
      <c r="I3" s="20" t="s">
        <v>8</v>
      </c>
      <c r="J3" s="20" t="s">
        <v>9</v>
      </c>
      <c r="K3" s="20" t="s">
        <v>10</v>
      </c>
      <c r="L3" s="20" t="s">
        <v>11</v>
      </c>
      <c r="M3" s="21" t="s">
        <v>12</v>
      </c>
      <c r="N3" s="20" t="s">
        <v>13</v>
      </c>
      <c r="O3" s="20" t="s">
        <v>14</v>
      </c>
      <c r="P3" s="9" t="s">
        <v>15</v>
      </c>
      <c r="Q3" s="9" t="s">
        <v>16</v>
      </c>
      <c r="R3" s="22" t="s">
        <v>17</v>
      </c>
    </row>
    <row r="4" ht="27" customHeight="1" spans="1:18">
      <c r="B4" s="20" t="s">
        <v>21</v>
      </c>
      <c r="C4" s="20" t="s">
        <v>22</v>
      </c>
      <c r="D4" s="20" t="s">
        <v>23</v>
      </c>
      <c r="E4" s="20" t="s">
        <v>23</v>
      </c>
      <c r="F4" s="20"/>
      <c r="G4" s="20" t="s">
        <v>24</v>
      </c>
      <c r="H4" s="20" t="s">
        <v>25</v>
      </c>
      <c r="I4" s="20"/>
      <c r="J4" s="20" t="s">
        <v>26</v>
      </c>
      <c r="K4" s="20" t="s">
        <v>23</v>
      </c>
      <c r="L4" s="1" t="s">
        <v>27</v>
      </c>
      <c r="M4" s="8" t="s">
        <v>28</v>
      </c>
      <c r="N4" s="20"/>
      <c r="O4" s="20"/>
      <c r="R4" s="9" t="s">
        <v>29</v>
      </c>
    </row>
    <row r="5" ht="27" customHeight="1" spans="1:18">
      <c r="B5" s="20" t="s">
        <v>24</v>
      </c>
      <c r="C5" s="20" t="s">
        <v>22</v>
      </c>
      <c r="D5" s="20" t="s">
        <v>30</v>
      </c>
      <c r="E5" s="20"/>
      <c r="F5" s="20" t="s">
        <v>21</v>
      </c>
      <c r="G5" s="20" t="s">
        <v>31</v>
      </c>
      <c r="H5" s="20" t="s">
        <v>25</v>
      </c>
      <c r="I5" s="20"/>
      <c r="J5" s="20" t="s">
        <v>26</v>
      </c>
      <c r="K5" s="20" t="s">
        <v>23</v>
      </c>
      <c r="L5" s="1" t="s">
        <v>32</v>
      </c>
      <c r="M5" s="8" t="s">
        <v>28</v>
      </c>
      <c r="N5" s="20"/>
      <c r="O5" s="20"/>
      <c r="R5" s="9" t="s">
        <v>29</v>
      </c>
    </row>
    <row r="6" ht="27" customHeight="1" spans="1:18">
      <c r="B6" s="20" t="s">
        <v>31</v>
      </c>
      <c r="C6" s="20" t="s">
        <v>22</v>
      </c>
      <c r="D6" s="20" t="s">
        <v>33</v>
      </c>
      <c r="E6" s="20"/>
      <c r="F6" s="20" t="s">
        <v>24</v>
      </c>
      <c r="G6" s="20" t="s">
        <v>34</v>
      </c>
      <c r="H6" s="20" t="s">
        <v>25</v>
      </c>
      <c r="I6" s="20"/>
      <c r="J6" s="20" t="s">
        <v>26</v>
      </c>
      <c r="K6" s="20" t="s">
        <v>23</v>
      </c>
      <c r="L6" s="1" t="s">
        <v>35</v>
      </c>
      <c r="M6" s="8" t="s">
        <v>36</v>
      </c>
      <c r="N6" s="20"/>
      <c r="O6" s="20"/>
      <c r="R6" s="9" t="s">
        <v>29</v>
      </c>
    </row>
    <row r="7" ht="27" customHeight="1" spans="1:18">
      <c r="B7" s="20" t="s">
        <v>34</v>
      </c>
      <c r="C7" s="20" t="s">
        <v>22</v>
      </c>
      <c r="D7" s="20" t="s">
        <v>37</v>
      </c>
      <c r="E7" s="20"/>
      <c r="F7" s="20" t="s">
        <v>31</v>
      </c>
      <c r="G7" s="20" t="s">
        <v>38</v>
      </c>
      <c r="H7" s="20" t="s">
        <v>25</v>
      </c>
      <c r="I7" s="20"/>
      <c r="J7" s="20" t="s">
        <v>26</v>
      </c>
      <c r="K7" s="20" t="s">
        <v>23</v>
      </c>
      <c r="L7" s="1" t="s">
        <v>39</v>
      </c>
      <c r="M7" s="8" t="s">
        <v>36</v>
      </c>
      <c r="N7" s="20"/>
      <c r="O7" s="20"/>
      <c r="R7" s="9" t="s">
        <v>29</v>
      </c>
    </row>
    <row r="8" ht="27" customHeight="1" spans="1:18">
      <c r="B8" s="20" t="s">
        <v>38</v>
      </c>
      <c r="C8" s="20" t="s">
        <v>22</v>
      </c>
      <c r="D8" s="20" t="s">
        <v>40</v>
      </c>
      <c r="E8" s="20"/>
      <c r="F8" s="20" t="s">
        <v>34</v>
      </c>
      <c r="G8" s="20" t="s">
        <v>41</v>
      </c>
      <c r="H8" s="20" t="s">
        <v>25</v>
      </c>
      <c r="I8" s="20"/>
      <c r="J8" s="20" t="s">
        <v>26</v>
      </c>
      <c r="K8" s="20" t="s">
        <v>23</v>
      </c>
      <c r="L8" s="1" t="s">
        <v>42</v>
      </c>
      <c r="M8" s="8" t="s">
        <v>43</v>
      </c>
      <c r="N8" s="20"/>
      <c r="O8" s="20"/>
      <c r="R8" s="9" t="s">
        <v>29</v>
      </c>
    </row>
    <row r="9" ht="27" customHeight="1" spans="1:18">
      <c r="B9" s="20" t="s">
        <v>41</v>
      </c>
      <c r="C9" s="20" t="s">
        <v>44</v>
      </c>
      <c r="D9" s="20" t="s">
        <v>45</v>
      </c>
      <c r="E9" s="20"/>
      <c r="F9" s="20" t="s">
        <v>38</v>
      </c>
      <c r="G9" s="20" t="s">
        <v>46</v>
      </c>
      <c r="H9" s="20" t="s">
        <v>25</v>
      </c>
      <c r="I9" s="20"/>
      <c r="J9" s="20" t="s">
        <v>26</v>
      </c>
      <c r="K9" s="20" t="s">
        <v>30</v>
      </c>
      <c r="M9" s="22" t="s">
        <v>43</v>
      </c>
      <c r="N9" s="20"/>
      <c r="O9" s="20"/>
      <c r="R9" s="9" t="s">
        <v>29</v>
      </c>
    </row>
    <row r="10" ht="27" customHeight="1" spans="1:18">
      <c r="B10" s="20" t="s">
        <v>46</v>
      </c>
      <c r="C10" s="20" t="s">
        <v>22</v>
      </c>
      <c r="D10" s="20" t="s">
        <v>28</v>
      </c>
      <c r="E10" s="20"/>
      <c r="F10" s="20" t="s">
        <v>41</v>
      </c>
      <c r="G10" s="20" t="s">
        <v>47</v>
      </c>
      <c r="H10" s="20" t="s">
        <v>25</v>
      </c>
      <c r="I10" s="20"/>
      <c r="J10" s="20" t="s">
        <v>26</v>
      </c>
      <c r="K10" s="20" t="s">
        <v>23</v>
      </c>
      <c r="L10" s="1" t="s">
        <v>48</v>
      </c>
      <c r="M10" s="8" t="s">
        <v>43</v>
      </c>
      <c r="N10" s="20"/>
      <c r="O10" s="20"/>
      <c r="R10" s="9" t="s">
        <v>29</v>
      </c>
    </row>
    <row r="11" ht="27" customHeight="1" spans="1:18">
      <c r="B11" s="20" t="s">
        <v>47</v>
      </c>
      <c r="C11" s="20" t="s">
        <v>44</v>
      </c>
      <c r="D11" s="20" t="s">
        <v>36</v>
      </c>
      <c r="E11" s="20"/>
      <c r="F11" s="20" t="s">
        <v>46</v>
      </c>
      <c r="G11" s="20" t="s">
        <v>49</v>
      </c>
      <c r="H11" s="20" t="s">
        <v>25</v>
      </c>
      <c r="I11" s="20"/>
      <c r="J11" s="20" t="s">
        <v>26</v>
      </c>
      <c r="K11" s="20" t="s">
        <v>23</v>
      </c>
      <c r="L11" s="1" t="s">
        <v>50</v>
      </c>
      <c r="M11" s="8" t="s">
        <v>43</v>
      </c>
      <c r="N11" s="20"/>
      <c r="O11" s="20"/>
      <c r="R11" s="9" t="s">
        <v>29</v>
      </c>
    </row>
    <row r="12" ht="27" customHeight="1" spans="1:18">
      <c r="B12" s="20" t="s">
        <v>49</v>
      </c>
      <c r="C12" s="20" t="s">
        <v>22</v>
      </c>
      <c r="D12" s="20" t="s">
        <v>43</v>
      </c>
      <c r="E12" s="20"/>
      <c r="F12" s="20" t="s">
        <v>47</v>
      </c>
      <c r="G12" s="20" t="s">
        <v>51</v>
      </c>
      <c r="H12" s="20" t="s">
        <v>25</v>
      </c>
      <c r="I12" s="20"/>
      <c r="J12" s="20" t="s">
        <v>26</v>
      </c>
      <c r="K12" s="20" t="s">
        <v>30</v>
      </c>
      <c r="L12" s="20"/>
      <c r="M12" s="21" t="s">
        <v>43</v>
      </c>
      <c r="N12" s="20"/>
      <c r="O12" s="20"/>
      <c r="R12" s="9" t="s">
        <v>29</v>
      </c>
    </row>
    <row r="13" ht="27" customHeight="1" spans="1:18">
      <c r="B13" s="20" t="s">
        <v>51</v>
      </c>
      <c r="C13" s="20" t="s">
        <v>22</v>
      </c>
      <c r="D13" s="20" t="s">
        <v>52</v>
      </c>
      <c r="E13" s="20"/>
      <c r="F13" s="20" t="s">
        <v>49</v>
      </c>
      <c r="G13" s="20"/>
      <c r="H13" s="20" t="s">
        <v>25</v>
      </c>
      <c r="I13" s="20" t="s">
        <v>23</v>
      </c>
      <c r="J13" s="20" t="s">
        <v>26</v>
      </c>
      <c r="K13" s="20" t="s">
        <v>33</v>
      </c>
      <c r="L13" s="1" t="s">
        <v>53</v>
      </c>
      <c r="M13" s="8" t="s">
        <v>52</v>
      </c>
      <c r="N13" s="20"/>
      <c r="O13" s="20"/>
      <c r="R13" s="9" t="s">
        <v>54</v>
      </c>
    </row>
    <row r="14" ht="27" customHeight="1" spans="1:18">
      <c r="B14" s="23">
        <v>10001</v>
      </c>
      <c r="C14" s="23" t="s">
        <v>55</v>
      </c>
      <c r="D14" s="23">
        <v>1</v>
      </c>
      <c r="E14" s="23">
        <v>1</v>
      </c>
      <c r="F14" s="23"/>
      <c r="G14" s="23">
        <v>10002</v>
      </c>
      <c r="H14" s="23">
        <v>10001</v>
      </c>
      <c r="I14" s="23"/>
      <c r="J14" s="20" t="s">
        <v>26</v>
      </c>
      <c r="K14" s="23" t="s">
        <v>23</v>
      </c>
      <c r="L14" s="24" t="s">
        <v>56</v>
      </c>
      <c r="M14" s="24" t="s">
        <v>57</v>
      </c>
      <c r="N14" s="20"/>
      <c r="O14" s="20"/>
      <c r="R14" s="9" t="s">
        <v>29</v>
      </c>
    </row>
    <row r="15" ht="27" customHeight="1" spans="1:18">
      <c r="B15" s="23">
        <v>10002</v>
      </c>
      <c r="C15" s="23" t="s">
        <v>55</v>
      </c>
      <c r="D15" s="23">
        <v>2</v>
      </c>
      <c r="E15" s="23"/>
      <c r="F15" s="23">
        <v>10001</v>
      </c>
      <c r="G15" s="23">
        <v>10003</v>
      </c>
      <c r="H15" s="23">
        <v>10001</v>
      </c>
      <c r="I15" s="23"/>
      <c r="J15" s="20" t="s">
        <v>26</v>
      </c>
      <c r="K15" s="23" t="s">
        <v>23</v>
      </c>
      <c r="L15" s="24" t="s">
        <v>58</v>
      </c>
      <c r="M15" s="24" t="s">
        <v>57</v>
      </c>
      <c r="N15" s="20"/>
      <c r="O15" s="20"/>
      <c r="R15" s="9" t="s">
        <v>29</v>
      </c>
    </row>
    <row r="16" ht="27" customHeight="1" spans="1:18">
      <c r="B16" s="23">
        <v>10003</v>
      </c>
      <c r="C16" s="23" t="s">
        <v>55</v>
      </c>
      <c r="D16" s="23">
        <v>3</v>
      </c>
      <c r="E16" s="23"/>
      <c r="F16" s="23">
        <v>10002</v>
      </c>
      <c r="G16" s="23">
        <v>10004</v>
      </c>
      <c r="H16" s="23">
        <v>10001</v>
      </c>
      <c r="I16" s="23"/>
      <c r="J16" s="20" t="s">
        <v>26</v>
      </c>
      <c r="K16" s="23" t="s">
        <v>23</v>
      </c>
      <c r="L16" s="24" t="s">
        <v>59</v>
      </c>
      <c r="M16" s="24" t="s">
        <v>57</v>
      </c>
      <c r="N16" s="20"/>
      <c r="O16" s="20"/>
      <c r="R16" s="9" t="s">
        <v>29</v>
      </c>
    </row>
    <row r="17" ht="27" customHeight="1" spans="2:18">
      <c r="B17" s="23">
        <v>10004</v>
      </c>
      <c r="C17" s="23" t="s">
        <v>55</v>
      </c>
      <c r="D17" s="23">
        <v>4</v>
      </c>
      <c r="E17" s="23"/>
      <c r="F17" s="23">
        <v>10003</v>
      </c>
      <c r="G17" s="23">
        <v>10005</v>
      </c>
      <c r="H17" s="23">
        <v>10001</v>
      </c>
      <c r="I17" s="23"/>
      <c r="J17" s="20" t="s">
        <v>26</v>
      </c>
      <c r="K17" s="23" t="s">
        <v>23</v>
      </c>
      <c r="L17" s="24" t="s">
        <v>60</v>
      </c>
      <c r="M17" s="24" t="s">
        <v>57</v>
      </c>
      <c r="N17" s="20"/>
      <c r="O17" s="20"/>
      <c r="R17" s="9" t="s">
        <v>29</v>
      </c>
    </row>
    <row r="18" ht="27" customHeight="1" spans="2:18">
      <c r="B18" s="23">
        <v>10005</v>
      </c>
      <c r="C18" s="23" t="s">
        <v>55</v>
      </c>
      <c r="D18" s="23">
        <v>5</v>
      </c>
      <c r="E18" s="23"/>
      <c r="F18" s="23">
        <v>10004</v>
      </c>
      <c r="G18" s="23">
        <v>10006</v>
      </c>
      <c r="H18" s="23">
        <v>10001</v>
      </c>
      <c r="I18" s="23"/>
      <c r="J18" s="20" t="s">
        <v>26</v>
      </c>
      <c r="K18" s="23" t="s">
        <v>30</v>
      </c>
      <c r="N18" s="20"/>
      <c r="O18" s="20"/>
      <c r="R18" s="9" t="s">
        <v>29</v>
      </c>
    </row>
    <row r="19" ht="27" customHeight="1" spans="2:18">
      <c r="B19" s="23">
        <v>10006</v>
      </c>
      <c r="C19" s="23" t="s">
        <v>55</v>
      </c>
      <c r="D19" s="23">
        <v>6</v>
      </c>
      <c r="E19" s="23"/>
      <c r="F19" s="23">
        <v>10005</v>
      </c>
      <c r="G19" s="23">
        <v>10007</v>
      </c>
      <c r="H19" s="23">
        <v>10001</v>
      </c>
      <c r="I19" s="23"/>
      <c r="J19" s="20" t="s">
        <v>26</v>
      </c>
      <c r="K19" s="23" t="s">
        <v>33</v>
      </c>
      <c r="L19" s="25" t="s">
        <v>61</v>
      </c>
      <c r="M19" s="25" t="s">
        <v>62</v>
      </c>
      <c r="N19" s="20"/>
      <c r="O19" s="20"/>
      <c r="R19" s="9" t="s">
        <v>29</v>
      </c>
    </row>
    <row r="20" ht="27" customHeight="1" spans="2:18">
      <c r="B20" s="23">
        <v>10007</v>
      </c>
      <c r="C20" s="23" t="s">
        <v>55</v>
      </c>
      <c r="D20" s="23">
        <v>7</v>
      </c>
      <c r="E20" s="23"/>
      <c r="F20" s="23">
        <v>10006</v>
      </c>
      <c r="G20" s="23">
        <v>10008</v>
      </c>
      <c r="H20" s="23">
        <v>10001</v>
      </c>
      <c r="I20" s="23"/>
      <c r="J20" s="20" t="s">
        <v>26</v>
      </c>
      <c r="K20" s="23" t="s">
        <v>23</v>
      </c>
      <c r="L20" s="25" t="s">
        <v>63</v>
      </c>
      <c r="M20" s="25" t="s">
        <v>62</v>
      </c>
      <c r="N20" s="20"/>
      <c r="O20" s="20"/>
      <c r="R20" s="9" t="s">
        <v>29</v>
      </c>
    </row>
    <row r="21" ht="27" customHeight="1" spans="2:18">
      <c r="B21" s="23">
        <v>10008</v>
      </c>
      <c r="C21" s="23" t="s">
        <v>55</v>
      </c>
      <c r="D21" s="23">
        <v>8</v>
      </c>
      <c r="E21" s="23"/>
      <c r="F21" s="23">
        <v>10007</v>
      </c>
      <c r="G21" s="23">
        <v>10009</v>
      </c>
      <c r="H21" s="23">
        <v>10001</v>
      </c>
      <c r="I21" s="23"/>
      <c r="J21" s="20" t="s">
        <v>26</v>
      </c>
      <c r="K21" s="23" t="s">
        <v>23</v>
      </c>
      <c r="L21" s="24" t="s">
        <v>64</v>
      </c>
      <c r="M21" s="24" t="s">
        <v>62</v>
      </c>
      <c r="N21" s="20"/>
      <c r="O21" s="20"/>
      <c r="R21" s="9" t="s">
        <v>29</v>
      </c>
    </row>
    <row r="22" ht="27" customHeight="1" spans="2:18">
      <c r="B22" s="23">
        <v>10009</v>
      </c>
      <c r="C22" s="23" t="s">
        <v>55</v>
      </c>
      <c r="D22" s="23">
        <v>9</v>
      </c>
      <c r="E22" s="23"/>
      <c r="F22" s="23">
        <v>10008</v>
      </c>
      <c r="G22" s="23">
        <v>10010</v>
      </c>
      <c r="H22" s="23">
        <v>10001</v>
      </c>
      <c r="I22" s="23"/>
      <c r="J22" s="20" t="s">
        <v>26</v>
      </c>
      <c r="K22" s="23" t="s">
        <v>23</v>
      </c>
      <c r="L22" s="25" t="s">
        <v>65</v>
      </c>
      <c r="M22" s="25" t="s">
        <v>62</v>
      </c>
      <c r="N22" s="20"/>
      <c r="O22" s="20"/>
      <c r="R22" s="9" t="s">
        <v>29</v>
      </c>
    </row>
    <row r="23" ht="27" customHeight="1" spans="2:18">
      <c r="B23" s="23">
        <v>10010</v>
      </c>
      <c r="C23" s="23" t="s">
        <v>55</v>
      </c>
      <c r="D23" s="23">
        <v>10</v>
      </c>
      <c r="E23" s="23"/>
      <c r="F23" s="23">
        <v>10009</v>
      </c>
      <c r="G23" s="23">
        <v>10011</v>
      </c>
      <c r="H23" s="23">
        <v>10001</v>
      </c>
      <c r="I23" s="23"/>
      <c r="J23" s="20" t="s">
        <v>26</v>
      </c>
      <c r="K23" s="23" t="s">
        <v>30</v>
      </c>
      <c r="N23" s="20"/>
      <c r="O23" s="20"/>
      <c r="R23" s="9" t="s">
        <v>29</v>
      </c>
    </row>
    <row r="24" ht="27" customHeight="1" spans="2:18">
      <c r="B24" s="23">
        <v>10011</v>
      </c>
      <c r="C24" s="23" t="s">
        <v>55</v>
      </c>
      <c r="D24" s="23">
        <v>11</v>
      </c>
      <c r="E24" s="23"/>
      <c r="F24" s="23">
        <v>10010</v>
      </c>
      <c r="G24" s="23">
        <v>10012</v>
      </c>
      <c r="H24" s="23">
        <v>10001</v>
      </c>
      <c r="I24" s="23"/>
      <c r="J24" s="20" t="s">
        <v>26</v>
      </c>
      <c r="K24" s="23" t="s">
        <v>23</v>
      </c>
      <c r="L24" s="25" t="s">
        <v>66</v>
      </c>
      <c r="M24" s="25" t="s">
        <v>67</v>
      </c>
      <c r="N24" s="20"/>
      <c r="O24" s="20"/>
      <c r="R24" s="9" t="s">
        <v>29</v>
      </c>
    </row>
    <row r="25" ht="27" customHeight="1" spans="2:18">
      <c r="B25" s="23">
        <v>10012</v>
      </c>
      <c r="C25" s="23" t="s">
        <v>55</v>
      </c>
      <c r="D25" s="23">
        <v>12</v>
      </c>
      <c r="E25" s="23"/>
      <c r="F25" s="23">
        <v>10011</v>
      </c>
      <c r="G25" s="23">
        <v>10013</v>
      </c>
      <c r="H25" s="23">
        <v>10001</v>
      </c>
      <c r="I25" s="23"/>
      <c r="J25" s="20" t="s">
        <v>26</v>
      </c>
      <c r="K25" s="23" t="s">
        <v>33</v>
      </c>
      <c r="L25" s="26" t="s">
        <v>68</v>
      </c>
      <c r="M25" s="25" t="s">
        <v>67</v>
      </c>
      <c r="N25" s="20"/>
      <c r="O25" s="20"/>
      <c r="R25" s="9" t="s">
        <v>29</v>
      </c>
    </row>
    <row r="26" ht="27" customHeight="1" spans="2:18">
      <c r="B26" s="23">
        <v>10013</v>
      </c>
      <c r="C26" s="23" t="s">
        <v>55</v>
      </c>
      <c r="D26" s="23">
        <v>13</v>
      </c>
      <c r="E26" s="23"/>
      <c r="F26" s="23">
        <v>10012</v>
      </c>
      <c r="G26" s="23">
        <v>10014</v>
      </c>
      <c r="H26" s="23">
        <v>10001</v>
      </c>
      <c r="I26" s="23"/>
      <c r="J26" s="20" t="s">
        <v>26</v>
      </c>
      <c r="K26" s="23" t="s">
        <v>23</v>
      </c>
      <c r="L26" s="25" t="s">
        <v>69</v>
      </c>
      <c r="M26" s="25" t="s">
        <v>67</v>
      </c>
      <c r="N26" s="20"/>
      <c r="O26" s="20"/>
      <c r="R26" s="9" t="s">
        <v>29</v>
      </c>
    </row>
    <row r="27" ht="27" customHeight="1" spans="2:18">
      <c r="B27" s="23">
        <v>10014</v>
      </c>
      <c r="C27" s="23" t="s">
        <v>55</v>
      </c>
      <c r="D27" s="23">
        <v>14</v>
      </c>
      <c r="E27" s="23"/>
      <c r="F27" s="23">
        <v>10013</v>
      </c>
      <c r="G27" s="23">
        <v>10015</v>
      </c>
      <c r="H27" s="23">
        <v>10001</v>
      </c>
      <c r="I27" s="23"/>
      <c r="J27" s="20" t="s">
        <v>26</v>
      </c>
      <c r="K27" s="23" t="s">
        <v>23</v>
      </c>
      <c r="L27" s="25" t="s">
        <v>70</v>
      </c>
      <c r="M27" s="25" t="s">
        <v>67</v>
      </c>
      <c r="N27" s="20"/>
      <c r="O27" s="20"/>
      <c r="R27" s="9" t="s">
        <v>29</v>
      </c>
    </row>
    <row r="28" ht="27" customHeight="1" spans="2:18">
      <c r="B28" s="23">
        <v>10015</v>
      </c>
      <c r="C28" s="23" t="s">
        <v>55</v>
      </c>
      <c r="D28" s="23">
        <v>15</v>
      </c>
      <c r="E28" s="23"/>
      <c r="F28" s="23">
        <v>10014</v>
      </c>
      <c r="G28" s="23">
        <v>10016</v>
      </c>
      <c r="H28" s="23">
        <v>10001</v>
      </c>
      <c r="I28" s="23"/>
      <c r="J28" s="20" t="s">
        <v>26</v>
      </c>
      <c r="K28" s="23" t="s">
        <v>30</v>
      </c>
      <c r="L28" s="23"/>
      <c r="M28" s="23"/>
      <c r="N28" s="20"/>
      <c r="O28" s="20"/>
      <c r="R28" s="9" t="s">
        <v>29</v>
      </c>
    </row>
    <row r="29" ht="27" customHeight="1" spans="2:18">
      <c r="B29" s="23">
        <v>10016</v>
      </c>
      <c r="C29" s="23" t="s">
        <v>55</v>
      </c>
      <c r="D29" s="23">
        <v>16</v>
      </c>
      <c r="E29" s="23"/>
      <c r="F29" s="23">
        <v>10015</v>
      </c>
      <c r="G29" s="23">
        <v>10017</v>
      </c>
      <c r="H29" s="23">
        <v>10001</v>
      </c>
      <c r="I29" s="23"/>
      <c r="J29" s="20" t="s">
        <v>26</v>
      </c>
      <c r="K29" s="23" t="s">
        <v>23</v>
      </c>
      <c r="L29" s="25" t="s">
        <v>71</v>
      </c>
      <c r="M29" s="25" t="s">
        <v>72</v>
      </c>
      <c r="N29" s="20"/>
      <c r="O29" s="20"/>
      <c r="R29" s="9" t="s">
        <v>29</v>
      </c>
    </row>
    <row r="30" ht="27" customHeight="1" spans="2:18">
      <c r="B30" s="23">
        <v>10017</v>
      </c>
      <c r="C30" s="23" t="s">
        <v>55</v>
      </c>
      <c r="D30" s="23">
        <v>17</v>
      </c>
      <c r="E30" s="23"/>
      <c r="F30" s="23">
        <v>10016</v>
      </c>
      <c r="G30" s="23">
        <v>10018</v>
      </c>
      <c r="H30" s="23">
        <v>10001</v>
      </c>
      <c r="I30" s="23"/>
      <c r="J30" s="20" t="s">
        <v>26</v>
      </c>
      <c r="K30" s="23" t="s">
        <v>23</v>
      </c>
      <c r="L30" s="25" t="s">
        <v>73</v>
      </c>
      <c r="M30" s="25" t="s">
        <v>72</v>
      </c>
      <c r="N30" s="20"/>
      <c r="O30" s="20"/>
      <c r="R30" s="9" t="s">
        <v>29</v>
      </c>
    </row>
    <row r="31" ht="27" customHeight="1" spans="2:18">
      <c r="B31" s="23">
        <v>10018</v>
      </c>
      <c r="C31" s="23" t="s">
        <v>55</v>
      </c>
      <c r="D31" s="23">
        <v>18</v>
      </c>
      <c r="E31" s="23"/>
      <c r="F31" s="23">
        <v>10017</v>
      </c>
      <c r="G31" s="23">
        <v>10019</v>
      </c>
      <c r="H31" s="23">
        <v>10001</v>
      </c>
      <c r="I31" s="23"/>
      <c r="J31" s="20" t="s">
        <v>26</v>
      </c>
      <c r="K31" s="23" t="s">
        <v>33</v>
      </c>
      <c r="L31" s="25" t="s">
        <v>74</v>
      </c>
      <c r="M31" s="25" t="s">
        <v>72</v>
      </c>
      <c r="N31" s="20"/>
      <c r="O31" s="20"/>
      <c r="R31" s="9" t="s">
        <v>29</v>
      </c>
    </row>
    <row r="32" ht="27" customHeight="1" spans="2:18">
      <c r="B32" s="23">
        <v>10019</v>
      </c>
      <c r="C32" s="23" t="s">
        <v>55</v>
      </c>
      <c r="D32" s="23">
        <v>19</v>
      </c>
      <c r="E32" s="23"/>
      <c r="F32" s="23">
        <v>10018</v>
      </c>
      <c r="G32" s="23">
        <v>10020</v>
      </c>
      <c r="H32" s="23">
        <v>10001</v>
      </c>
      <c r="I32" s="23"/>
      <c r="J32" s="20" t="s">
        <v>26</v>
      </c>
      <c r="K32" s="23" t="s">
        <v>23</v>
      </c>
      <c r="L32" s="25" t="s">
        <v>75</v>
      </c>
      <c r="M32" s="25" t="s">
        <v>72</v>
      </c>
      <c r="N32" s="20"/>
      <c r="O32" s="20"/>
      <c r="R32" s="9" t="s">
        <v>29</v>
      </c>
    </row>
    <row r="33" ht="27" customHeight="1" spans="2:18">
      <c r="B33" s="23">
        <v>10020</v>
      </c>
      <c r="C33" s="23" t="s">
        <v>55</v>
      </c>
      <c r="D33" s="23">
        <v>20</v>
      </c>
      <c r="E33" s="23"/>
      <c r="F33" s="23">
        <v>10019</v>
      </c>
      <c r="G33" s="23">
        <v>10021</v>
      </c>
      <c r="H33" s="23">
        <v>10001</v>
      </c>
      <c r="I33" s="23"/>
      <c r="J33" s="20" t="s">
        <v>26</v>
      </c>
      <c r="K33" s="23" t="s">
        <v>30</v>
      </c>
      <c r="L33" s="23"/>
      <c r="M33" s="23"/>
      <c r="N33" s="20"/>
      <c r="O33" s="20"/>
      <c r="R33" s="9" t="s">
        <v>29</v>
      </c>
    </row>
    <row r="34" ht="27" customHeight="1" spans="2:18">
      <c r="B34" s="23">
        <v>10021</v>
      </c>
      <c r="C34" s="23" t="s">
        <v>55</v>
      </c>
      <c r="D34" s="23">
        <v>21</v>
      </c>
      <c r="E34" s="23"/>
      <c r="F34" s="23">
        <v>10020</v>
      </c>
      <c r="G34" s="23">
        <v>10022</v>
      </c>
      <c r="H34" s="23">
        <v>10001</v>
      </c>
      <c r="I34" s="23"/>
      <c r="J34" s="20" t="s">
        <v>26</v>
      </c>
      <c r="K34" s="23" t="s">
        <v>23</v>
      </c>
      <c r="L34" s="25" t="s">
        <v>76</v>
      </c>
      <c r="M34" s="25" t="s">
        <v>77</v>
      </c>
      <c r="N34" s="20"/>
      <c r="O34" s="20"/>
      <c r="R34" s="9" t="s">
        <v>29</v>
      </c>
    </row>
    <row r="35" ht="27" customHeight="1" spans="2:18">
      <c r="B35" s="23">
        <v>10022</v>
      </c>
      <c r="C35" s="23" t="s">
        <v>55</v>
      </c>
      <c r="D35" s="23">
        <v>22</v>
      </c>
      <c r="E35" s="23"/>
      <c r="F35" s="23">
        <v>10021</v>
      </c>
      <c r="G35" s="23">
        <v>10023</v>
      </c>
      <c r="H35" s="23">
        <v>10001</v>
      </c>
      <c r="I35" s="23"/>
      <c r="J35" s="20" t="s">
        <v>26</v>
      </c>
      <c r="K35" s="23" t="s">
        <v>23</v>
      </c>
      <c r="L35" s="25" t="s">
        <v>78</v>
      </c>
      <c r="M35" s="25" t="s">
        <v>77</v>
      </c>
      <c r="N35" s="20"/>
      <c r="O35" s="20"/>
      <c r="R35" s="9" t="s">
        <v>29</v>
      </c>
    </row>
    <row r="36" ht="27" customHeight="1" spans="2:18">
      <c r="B36" s="23">
        <v>10023</v>
      </c>
      <c r="C36" s="23" t="s">
        <v>55</v>
      </c>
      <c r="D36" s="23">
        <v>23</v>
      </c>
      <c r="E36" s="23"/>
      <c r="F36" s="23">
        <v>10022</v>
      </c>
      <c r="G36" s="23">
        <v>10024</v>
      </c>
      <c r="H36" s="23">
        <v>10001</v>
      </c>
      <c r="I36" s="23"/>
      <c r="J36" s="20" t="s">
        <v>26</v>
      </c>
      <c r="K36" s="23" t="s">
        <v>23</v>
      </c>
      <c r="L36" s="25" t="s">
        <v>79</v>
      </c>
      <c r="M36" s="25" t="s">
        <v>77</v>
      </c>
      <c r="N36" s="20"/>
      <c r="O36" s="20"/>
      <c r="R36" s="9" t="s">
        <v>29</v>
      </c>
    </row>
    <row r="37" ht="27" customHeight="1" spans="2:18">
      <c r="B37" s="23">
        <v>10024</v>
      </c>
      <c r="C37" s="23" t="s">
        <v>55</v>
      </c>
      <c r="D37" s="23">
        <v>24</v>
      </c>
      <c r="E37" s="23"/>
      <c r="F37" s="23">
        <v>10023</v>
      </c>
      <c r="G37" s="23">
        <v>10025</v>
      </c>
      <c r="H37" s="23">
        <v>10001</v>
      </c>
      <c r="I37" s="12"/>
      <c r="J37" s="20" t="s">
        <v>26</v>
      </c>
      <c r="K37" s="23" t="s">
        <v>23</v>
      </c>
      <c r="L37" s="25" t="s">
        <v>80</v>
      </c>
      <c r="M37" s="25" t="s">
        <v>77</v>
      </c>
      <c r="N37" s="20"/>
      <c r="O37" s="20"/>
      <c r="R37" s="9" t="s">
        <v>29</v>
      </c>
    </row>
    <row r="38" ht="27" customHeight="1" spans="2:18">
      <c r="B38" s="23">
        <v>10025</v>
      </c>
      <c r="C38" s="23" t="s">
        <v>55</v>
      </c>
      <c r="D38" s="23">
        <v>25</v>
      </c>
      <c r="E38" s="23"/>
      <c r="F38" s="23">
        <v>10024</v>
      </c>
      <c r="G38" s="23">
        <v>10026</v>
      </c>
      <c r="H38" s="23">
        <v>10001</v>
      </c>
      <c r="I38" s="23"/>
      <c r="J38" s="20" t="s">
        <v>26</v>
      </c>
      <c r="K38" s="23" t="s">
        <v>30</v>
      </c>
      <c r="L38" s="26"/>
      <c r="M38" s="26"/>
      <c r="N38" s="20"/>
      <c r="O38" s="20"/>
      <c r="R38" s="9" t="s">
        <v>29</v>
      </c>
    </row>
    <row r="39" ht="27" customHeight="1" spans="2:18">
      <c r="B39" s="23">
        <v>10026</v>
      </c>
      <c r="C39" s="23" t="s">
        <v>55</v>
      </c>
      <c r="D39" s="23">
        <v>26</v>
      </c>
      <c r="E39" s="23"/>
      <c r="F39" s="23">
        <v>10025</v>
      </c>
      <c r="G39" s="23">
        <v>10027</v>
      </c>
      <c r="H39" s="23">
        <v>10001</v>
      </c>
      <c r="I39" s="23"/>
      <c r="J39" s="20" t="s">
        <v>26</v>
      </c>
      <c r="K39" s="23" t="s">
        <v>23</v>
      </c>
      <c r="L39" s="25" t="s">
        <v>81</v>
      </c>
      <c r="M39" s="25" t="s">
        <v>77</v>
      </c>
      <c r="N39" s="20"/>
      <c r="O39" s="20"/>
      <c r="R39" s="9" t="s">
        <v>29</v>
      </c>
    </row>
    <row r="40" ht="27" customHeight="1" spans="2:18">
      <c r="B40" s="23">
        <v>10027</v>
      </c>
      <c r="C40" s="23" t="s">
        <v>55</v>
      </c>
      <c r="D40" s="23">
        <v>27</v>
      </c>
      <c r="E40" s="23"/>
      <c r="F40" s="23">
        <v>10026</v>
      </c>
      <c r="G40" s="23">
        <v>10028</v>
      </c>
      <c r="H40" s="23">
        <v>10001</v>
      </c>
      <c r="I40" s="23"/>
      <c r="J40" s="20" t="s">
        <v>26</v>
      </c>
      <c r="K40" s="23" t="s">
        <v>23</v>
      </c>
      <c r="L40" s="25" t="s">
        <v>82</v>
      </c>
      <c r="M40" s="25" t="s">
        <v>77</v>
      </c>
      <c r="N40" s="20"/>
      <c r="O40" s="20"/>
      <c r="R40" s="9" t="s">
        <v>29</v>
      </c>
    </row>
    <row r="41" ht="40.5" customHeight="1" spans="2:18">
      <c r="B41" s="23">
        <v>10028</v>
      </c>
      <c r="C41" s="23" t="s">
        <v>55</v>
      </c>
      <c r="D41" s="23">
        <v>28</v>
      </c>
      <c r="E41" s="23"/>
      <c r="F41" s="23">
        <v>10027</v>
      </c>
      <c r="G41" s="23">
        <v>10029</v>
      </c>
      <c r="H41" s="23">
        <v>10001</v>
      </c>
      <c r="I41" s="23"/>
      <c r="J41" s="20" t="s">
        <v>26</v>
      </c>
      <c r="K41" s="23" t="s">
        <v>23</v>
      </c>
      <c r="L41" s="25" t="s">
        <v>83</v>
      </c>
      <c r="M41" s="25" t="s">
        <v>77</v>
      </c>
      <c r="N41" s="20"/>
      <c r="O41" s="20"/>
      <c r="R41" s="9" t="s">
        <v>29</v>
      </c>
    </row>
    <row r="42" ht="27" customHeight="1" spans="2:18">
      <c r="B42" s="23">
        <v>10029</v>
      </c>
      <c r="C42" s="23" t="s">
        <v>55</v>
      </c>
      <c r="D42" s="23">
        <v>29</v>
      </c>
      <c r="E42" s="23"/>
      <c r="F42" s="23">
        <v>10028</v>
      </c>
      <c r="G42" s="23">
        <v>10030</v>
      </c>
      <c r="H42" s="23">
        <v>10001</v>
      </c>
      <c r="I42" s="23"/>
      <c r="J42" s="20" t="s">
        <v>26</v>
      </c>
      <c r="K42" s="23" t="s">
        <v>30</v>
      </c>
      <c r="L42" s="26"/>
      <c r="M42" s="26"/>
      <c r="N42" s="20"/>
      <c r="O42" s="20"/>
      <c r="R42" s="9" t="s">
        <v>29</v>
      </c>
    </row>
    <row r="43" ht="27" customHeight="1" spans="2:18">
      <c r="B43" s="23">
        <v>10030</v>
      </c>
      <c r="C43" s="23" t="s">
        <v>55</v>
      </c>
      <c r="D43" s="23">
        <v>30</v>
      </c>
      <c r="E43" s="23"/>
      <c r="F43" s="23">
        <v>10029</v>
      </c>
      <c r="G43" s="23"/>
      <c r="H43" s="23">
        <v>10001</v>
      </c>
      <c r="I43" s="23" t="s">
        <v>23</v>
      </c>
      <c r="J43" s="20" t="s">
        <v>26</v>
      </c>
      <c r="K43" s="23" t="s">
        <v>37</v>
      </c>
      <c r="L43" s="26" t="s">
        <v>84</v>
      </c>
      <c r="M43" s="25" t="s">
        <v>85</v>
      </c>
      <c r="N43" s="20"/>
      <c r="O43" s="20"/>
      <c r="R43" s="22" t="s">
        <v>86</v>
      </c>
    </row>
    <row r="44" ht="27" customHeight="1" spans="2:18">
      <c r="B44" s="27">
        <v>20001</v>
      </c>
      <c r="C44" s="28" t="s">
        <v>87</v>
      </c>
      <c r="D44" s="27">
        <v>1</v>
      </c>
      <c r="E44" s="27">
        <v>1</v>
      </c>
      <c r="F44" s="27"/>
      <c r="G44" s="27">
        <v>20002</v>
      </c>
      <c r="H44" s="27">
        <v>10002</v>
      </c>
      <c r="I44" s="27"/>
      <c r="J44" s="20" t="s">
        <v>26</v>
      </c>
      <c r="K44" s="27" t="s">
        <v>23</v>
      </c>
      <c r="L44" s="28" t="s">
        <v>88</v>
      </c>
      <c r="M44" s="28" t="s">
        <v>89</v>
      </c>
      <c r="N44" s="20"/>
      <c r="O44" s="20"/>
      <c r="R44" s="9" t="s">
        <v>29</v>
      </c>
    </row>
    <row r="45" ht="27" customHeight="1" spans="2:18">
      <c r="B45" s="27">
        <v>20002</v>
      </c>
      <c r="C45" s="28" t="s">
        <v>87</v>
      </c>
      <c r="D45" s="27">
        <v>2</v>
      </c>
      <c r="E45" s="27"/>
      <c r="F45" s="27">
        <v>20001</v>
      </c>
      <c r="G45" s="27">
        <v>20003</v>
      </c>
      <c r="H45" s="27">
        <v>10002</v>
      </c>
      <c r="I45" s="27"/>
      <c r="J45" s="20" t="s">
        <v>26</v>
      </c>
      <c r="K45" s="27" t="s">
        <v>23</v>
      </c>
      <c r="L45" s="28" t="s">
        <v>90</v>
      </c>
      <c r="M45" s="28" t="s">
        <v>89</v>
      </c>
      <c r="N45" s="20"/>
      <c r="O45" s="20"/>
      <c r="R45" s="9" t="s">
        <v>29</v>
      </c>
    </row>
    <row r="46" ht="27" customHeight="1" spans="2:18">
      <c r="B46" s="27">
        <v>20003</v>
      </c>
      <c r="C46" s="28" t="s">
        <v>87</v>
      </c>
      <c r="D46" s="27">
        <v>3</v>
      </c>
      <c r="E46" s="27"/>
      <c r="F46" s="27">
        <v>20002</v>
      </c>
      <c r="G46" s="27">
        <v>20004</v>
      </c>
      <c r="H46" s="27">
        <v>10002</v>
      </c>
      <c r="I46" s="27"/>
      <c r="J46" s="20" t="s">
        <v>26</v>
      </c>
      <c r="K46" s="27" t="s">
        <v>23</v>
      </c>
      <c r="L46" s="28" t="s">
        <v>91</v>
      </c>
      <c r="M46" s="28" t="s">
        <v>89</v>
      </c>
      <c r="N46" s="20"/>
      <c r="O46" s="20"/>
      <c r="R46" s="9" t="s">
        <v>29</v>
      </c>
    </row>
    <row r="47" ht="27" customHeight="1" spans="2:18">
      <c r="B47" s="27">
        <v>20004</v>
      </c>
      <c r="C47" s="28" t="s">
        <v>87</v>
      </c>
      <c r="D47" s="27">
        <v>4</v>
      </c>
      <c r="E47" s="27"/>
      <c r="F47" s="27">
        <v>20003</v>
      </c>
      <c r="G47" s="27">
        <v>20005</v>
      </c>
      <c r="H47" s="27">
        <v>10002</v>
      </c>
      <c r="I47" s="27"/>
      <c r="J47" s="20" t="s">
        <v>26</v>
      </c>
      <c r="K47" s="28" t="s">
        <v>33</v>
      </c>
      <c r="L47" s="29" t="s">
        <v>92</v>
      </c>
      <c r="M47" s="29" t="s">
        <v>89</v>
      </c>
      <c r="N47" s="20"/>
      <c r="O47" s="20"/>
      <c r="R47" s="9" t="s">
        <v>29</v>
      </c>
    </row>
    <row r="48" ht="27" customHeight="1" spans="2:18">
      <c r="B48" s="30">
        <v>20005</v>
      </c>
      <c r="C48" s="31" t="s">
        <v>87</v>
      </c>
      <c r="D48" s="30">
        <v>5</v>
      </c>
      <c r="E48" s="30"/>
      <c r="F48" s="30">
        <v>20004</v>
      </c>
      <c r="G48" s="30">
        <v>20006</v>
      </c>
      <c r="H48" s="30">
        <v>10002</v>
      </c>
      <c r="I48" s="30"/>
      <c r="J48" s="20" t="s">
        <v>26</v>
      </c>
      <c r="K48" s="31" t="s">
        <v>30</v>
      </c>
      <c r="L48" s="32"/>
      <c r="M48" s="32"/>
      <c r="N48" s="20"/>
      <c r="O48" s="20"/>
      <c r="R48" s="9" t="s">
        <v>29</v>
      </c>
    </row>
    <row r="49" ht="27" customHeight="1" spans="2:18">
      <c r="B49" s="27">
        <v>20006</v>
      </c>
      <c r="C49" s="28" t="s">
        <v>87</v>
      </c>
      <c r="D49" s="27">
        <v>6</v>
      </c>
      <c r="E49" s="27"/>
      <c r="F49" s="27">
        <v>20005</v>
      </c>
      <c r="G49" s="27">
        <v>20007</v>
      </c>
      <c r="H49" s="27">
        <v>10002</v>
      </c>
      <c r="I49" s="27"/>
      <c r="J49" s="20" t="s">
        <v>26</v>
      </c>
      <c r="K49" s="28" t="s">
        <v>23</v>
      </c>
      <c r="L49" s="29" t="s">
        <v>93</v>
      </c>
      <c r="M49" s="29" t="s">
        <v>94</v>
      </c>
      <c r="N49" s="20"/>
      <c r="O49" s="20"/>
      <c r="R49" s="9" t="s">
        <v>29</v>
      </c>
    </row>
    <row r="50" ht="27" customHeight="1" spans="2:18">
      <c r="B50" s="27">
        <v>20007</v>
      </c>
      <c r="C50" s="28" t="s">
        <v>87</v>
      </c>
      <c r="D50" s="27">
        <v>7</v>
      </c>
      <c r="E50" s="27"/>
      <c r="F50" s="27">
        <v>20006</v>
      </c>
      <c r="G50" s="27">
        <v>20008</v>
      </c>
      <c r="H50" s="27">
        <v>10002</v>
      </c>
      <c r="I50" s="27"/>
      <c r="J50" s="20" t="s">
        <v>26</v>
      </c>
      <c r="K50" s="27" t="s">
        <v>23</v>
      </c>
      <c r="L50" s="29" t="s">
        <v>95</v>
      </c>
      <c r="M50" s="29" t="s">
        <v>94</v>
      </c>
      <c r="N50" s="20"/>
      <c r="O50" s="20"/>
      <c r="R50" s="9" t="s">
        <v>29</v>
      </c>
    </row>
    <row r="51" ht="27" customHeight="1" spans="2:18">
      <c r="B51" s="27">
        <v>20008</v>
      </c>
      <c r="C51" s="28" t="s">
        <v>87</v>
      </c>
      <c r="D51" s="27">
        <v>8</v>
      </c>
      <c r="E51" s="27"/>
      <c r="F51" s="27">
        <v>20007</v>
      </c>
      <c r="G51" s="27">
        <v>20009</v>
      </c>
      <c r="H51" s="27">
        <v>10002</v>
      </c>
      <c r="I51" s="27"/>
      <c r="J51" s="20" t="s">
        <v>26</v>
      </c>
      <c r="K51" s="28" t="s">
        <v>23</v>
      </c>
      <c r="L51" s="29" t="s">
        <v>96</v>
      </c>
      <c r="M51" s="29" t="s">
        <v>94</v>
      </c>
      <c r="N51" s="20"/>
      <c r="O51" s="20"/>
      <c r="R51" s="9" t="s">
        <v>29</v>
      </c>
    </row>
    <row r="52" ht="27" customHeight="1" spans="2:18">
      <c r="B52" s="27">
        <v>20009</v>
      </c>
      <c r="C52" s="28" t="s">
        <v>87</v>
      </c>
      <c r="D52" s="27">
        <v>9</v>
      </c>
      <c r="E52" s="27"/>
      <c r="F52" s="27">
        <v>20008</v>
      </c>
      <c r="G52" s="27">
        <v>20010</v>
      </c>
      <c r="H52" s="27">
        <v>10002</v>
      </c>
      <c r="I52" s="27"/>
      <c r="J52" s="20" t="s">
        <v>26</v>
      </c>
      <c r="K52" s="28" t="s">
        <v>33</v>
      </c>
      <c r="L52" s="29" t="s">
        <v>97</v>
      </c>
      <c r="M52" s="29" t="s">
        <v>94</v>
      </c>
      <c r="N52" s="20"/>
      <c r="O52" s="20"/>
      <c r="R52" s="9" t="s">
        <v>29</v>
      </c>
    </row>
    <row r="53" ht="27" customHeight="1" spans="2:18">
      <c r="B53" s="30">
        <v>20010</v>
      </c>
      <c r="C53" s="31" t="s">
        <v>87</v>
      </c>
      <c r="D53" s="30">
        <v>10</v>
      </c>
      <c r="E53" s="30"/>
      <c r="F53" s="30">
        <v>20009</v>
      </c>
      <c r="G53" s="30">
        <v>20011</v>
      </c>
      <c r="H53" s="30">
        <v>10002</v>
      </c>
      <c r="I53" s="30"/>
      <c r="J53" s="20" t="s">
        <v>26</v>
      </c>
      <c r="K53" s="31" t="s">
        <v>30</v>
      </c>
      <c r="L53" s="30"/>
      <c r="M53" s="30"/>
      <c r="N53" s="20"/>
      <c r="O53" s="20"/>
      <c r="R53" s="9" t="s">
        <v>29</v>
      </c>
    </row>
    <row r="54" ht="27" customHeight="1" spans="2:18">
      <c r="B54" s="27">
        <v>20011</v>
      </c>
      <c r="C54" s="28" t="s">
        <v>87</v>
      </c>
      <c r="D54" s="27" t="s">
        <v>98</v>
      </c>
      <c r="E54" s="27"/>
      <c r="F54" s="27">
        <v>20010</v>
      </c>
      <c r="G54" s="27">
        <v>20012</v>
      </c>
      <c r="H54" s="27">
        <v>10002</v>
      </c>
      <c r="I54" s="27"/>
      <c r="J54" s="20" t="s">
        <v>26</v>
      </c>
      <c r="K54" s="28" t="s">
        <v>23</v>
      </c>
      <c r="L54" s="29" t="s">
        <v>99</v>
      </c>
      <c r="M54" s="29" t="s">
        <v>100</v>
      </c>
      <c r="N54" s="20"/>
      <c r="O54" s="20"/>
      <c r="R54" s="9" t="s">
        <v>29</v>
      </c>
    </row>
    <row r="55" ht="27" customHeight="1" spans="2:18">
      <c r="B55" s="27">
        <v>20012</v>
      </c>
      <c r="C55" s="28" t="s">
        <v>87</v>
      </c>
      <c r="D55" s="27">
        <v>12</v>
      </c>
      <c r="E55" s="27"/>
      <c r="F55" s="27">
        <v>20011</v>
      </c>
      <c r="G55" s="27">
        <v>20013</v>
      </c>
      <c r="H55" s="27">
        <v>10002</v>
      </c>
      <c r="I55" s="27"/>
      <c r="J55" s="20" t="s">
        <v>26</v>
      </c>
      <c r="K55" s="28" t="s">
        <v>23</v>
      </c>
      <c r="L55" s="29" t="s">
        <v>101</v>
      </c>
      <c r="M55" s="29" t="s">
        <v>100</v>
      </c>
      <c r="N55" s="20"/>
      <c r="O55" s="20"/>
      <c r="R55" s="9" t="s">
        <v>29</v>
      </c>
    </row>
    <row r="56" ht="27" customHeight="1" spans="2:18">
      <c r="B56" s="27">
        <v>20013</v>
      </c>
      <c r="C56" s="28" t="s">
        <v>87</v>
      </c>
      <c r="D56" s="27">
        <v>13</v>
      </c>
      <c r="E56" s="27"/>
      <c r="F56" s="27">
        <v>20012</v>
      </c>
      <c r="G56" s="27">
        <v>20014</v>
      </c>
      <c r="H56" s="27">
        <v>10002</v>
      </c>
      <c r="I56" s="27"/>
      <c r="J56" s="20" t="s">
        <v>26</v>
      </c>
      <c r="K56" s="27" t="s">
        <v>23</v>
      </c>
      <c r="L56" s="29" t="s">
        <v>102</v>
      </c>
      <c r="M56" s="29" t="s">
        <v>100</v>
      </c>
      <c r="N56" s="20"/>
      <c r="O56" s="20"/>
      <c r="R56" s="9" t="s">
        <v>29</v>
      </c>
    </row>
    <row r="57" ht="27" customHeight="1" spans="2:18">
      <c r="B57" s="27">
        <v>20014</v>
      </c>
      <c r="C57" s="28" t="s">
        <v>87</v>
      </c>
      <c r="D57" s="27">
        <v>14</v>
      </c>
      <c r="E57" s="27"/>
      <c r="F57" s="27">
        <v>20013</v>
      </c>
      <c r="G57" s="27">
        <v>20015</v>
      </c>
      <c r="H57" s="27">
        <v>10002</v>
      </c>
      <c r="I57" s="27"/>
      <c r="J57" s="20" t="s">
        <v>26</v>
      </c>
      <c r="K57" s="28" t="s">
        <v>33</v>
      </c>
      <c r="L57" s="32" t="s">
        <v>103</v>
      </c>
      <c r="M57" s="32" t="s">
        <v>100</v>
      </c>
      <c r="N57" s="20"/>
      <c r="O57" s="20"/>
      <c r="R57" s="9" t="s">
        <v>29</v>
      </c>
    </row>
    <row r="58" ht="27" customHeight="1" spans="2:18">
      <c r="B58" s="30">
        <v>20015</v>
      </c>
      <c r="C58" s="31" t="s">
        <v>87</v>
      </c>
      <c r="D58" s="30">
        <v>15</v>
      </c>
      <c r="E58" s="30"/>
      <c r="F58" s="30">
        <v>20014</v>
      </c>
      <c r="G58" s="30">
        <v>20016</v>
      </c>
      <c r="H58" s="30">
        <v>10002</v>
      </c>
      <c r="I58" s="30"/>
      <c r="J58" s="20" t="s">
        <v>26</v>
      </c>
      <c r="K58" s="31" t="s">
        <v>30</v>
      </c>
      <c r="L58" s="30"/>
      <c r="M58" s="30"/>
      <c r="N58" s="20"/>
      <c r="O58" s="20"/>
      <c r="R58" s="9" t="s">
        <v>29</v>
      </c>
    </row>
    <row r="59" ht="27" customHeight="1" spans="2:18">
      <c r="B59" s="27">
        <v>20016</v>
      </c>
      <c r="C59" s="28" t="s">
        <v>87</v>
      </c>
      <c r="D59" s="27">
        <v>16</v>
      </c>
      <c r="E59" s="27"/>
      <c r="F59" s="27">
        <v>20015</v>
      </c>
      <c r="G59" s="27">
        <v>20017</v>
      </c>
      <c r="H59" s="27">
        <v>10002</v>
      </c>
      <c r="I59" s="27"/>
      <c r="J59" s="20" t="s">
        <v>26</v>
      </c>
      <c r="K59" s="27" t="s">
        <v>23</v>
      </c>
      <c r="L59" s="29" t="s">
        <v>104</v>
      </c>
      <c r="M59" s="29" t="s">
        <v>105</v>
      </c>
      <c r="N59" s="20"/>
      <c r="O59" s="20"/>
      <c r="R59" s="9" t="s">
        <v>29</v>
      </c>
    </row>
    <row r="60" ht="27" customHeight="1" spans="2:18">
      <c r="B60" s="27">
        <v>20017</v>
      </c>
      <c r="C60" s="28" t="s">
        <v>87</v>
      </c>
      <c r="D60" s="27">
        <v>17</v>
      </c>
      <c r="E60" s="27"/>
      <c r="F60" s="27">
        <v>20016</v>
      </c>
      <c r="G60" s="27">
        <v>20018</v>
      </c>
      <c r="H60" s="27">
        <v>10002</v>
      </c>
      <c r="I60" s="27"/>
      <c r="J60" s="20" t="s">
        <v>26</v>
      </c>
      <c r="K60" s="28" t="s">
        <v>23</v>
      </c>
      <c r="L60" s="29" t="s">
        <v>106</v>
      </c>
      <c r="M60" s="29" t="s">
        <v>105</v>
      </c>
      <c r="N60" s="20"/>
      <c r="O60" s="20"/>
      <c r="R60" s="9" t="s">
        <v>29</v>
      </c>
    </row>
    <row r="61" ht="27" customHeight="1" spans="2:18">
      <c r="B61" s="27">
        <v>20018</v>
      </c>
      <c r="C61" s="28" t="s">
        <v>87</v>
      </c>
      <c r="D61" s="27">
        <v>18</v>
      </c>
      <c r="E61" s="27"/>
      <c r="F61" s="27">
        <v>20017</v>
      </c>
      <c r="G61" s="27">
        <v>20019</v>
      </c>
      <c r="H61" s="27">
        <v>10002</v>
      </c>
      <c r="I61" s="27"/>
      <c r="J61" s="20" t="s">
        <v>26</v>
      </c>
      <c r="K61" s="28" t="s">
        <v>23</v>
      </c>
      <c r="L61" s="29" t="s">
        <v>107</v>
      </c>
      <c r="M61" s="29" t="s">
        <v>105</v>
      </c>
      <c r="N61" s="20"/>
      <c r="O61" s="20"/>
      <c r="R61" s="9" t="s">
        <v>29</v>
      </c>
    </row>
    <row r="62" ht="27" customHeight="1" spans="2:18">
      <c r="B62" s="27">
        <v>20019</v>
      </c>
      <c r="C62" s="28" t="s">
        <v>87</v>
      </c>
      <c r="D62" s="27">
        <v>19</v>
      </c>
      <c r="E62" s="27"/>
      <c r="F62" s="27">
        <v>20018</v>
      </c>
      <c r="G62" s="27">
        <v>20020</v>
      </c>
      <c r="H62" s="27">
        <v>10002</v>
      </c>
      <c r="I62" s="27"/>
      <c r="J62" s="20" t="s">
        <v>26</v>
      </c>
      <c r="K62" s="28" t="s">
        <v>33</v>
      </c>
      <c r="L62" s="32" t="s">
        <v>108</v>
      </c>
      <c r="M62" s="32" t="s">
        <v>105</v>
      </c>
      <c r="N62" s="20"/>
      <c r="O62" s="20"/>
      <c r="R62" s="9" t="s">
        <v>29</v>
      </c>
    </row>
    <row r="63" ht="27" customHeight="1" spans="2:18">
      <c r="B63" s="27">
        <v>20020</v>
      </c>
      <c r="C63" s="28" t="s">
        <v>87</v>
      </c>
      <c r="D63" s="27">
        <v>20</v>
      </c>
      <c r="E63" s="27"/>
      <c r="F63" s="27">
        <v>20019</v>
      </c>
      <c r="G63" s="27">
        <v>20021</v>
      </c>
      <c r="H63" s="27">
        <v>10002</v>
      </c>
      <c r="I63" s="27"/>
      <c r="J63" s="20" t="s">
        <v>26</v>
      </c>
      <c r="K63" s="28" t="s">
        <v>30</v>
      </c>
      <c r="L63" s="27"/>
      <c r="M63" s="27"/>
      <c r="N63" s="20"/>
      <c r="O63" s="20"/>
      <c r="R63" s="9" t="s">
        <v>29</v>
      </c>
    </row>
    <row r="64" ht="27" customHeight="1" spans="2:18">
      <c r="B64" s="27">
        <v>20021</v>
      </c>
      <c r="C64" s="28" t="s">
        <v>87</v>
      </c>
      <c r="D64" s="27">
        <v>21</v>
      </c>
      <c r="E64" s="27"/>
      <c r="F64" s="27">
        <v>20020</v>
      </c>
      <c r="G64" s="27">
        <v>20022</v>
      </c>
      <c r="H64" s="27">
        <v>10002</v>
      </c>
      <c r="I64" s="27"/>
      <c r="J64" s="20" t="s">
        <v>26</v>
      </c>
      <c r="K64" s="27" t="s">
        <v>23</v>
      </c>
      <c r="L64" s="29" t="s">
        <v>109</v>
      </c>
      <c r="M64" s="29" t="s">
        <v>110</v>
      </c>
      <c r="N64" s="20"/>
      <c r="O64" s="20"/>
      <c r="R64" s="9" t="s">
        <v>29</v>
      </c>
    </row>
    <row r="65" ht="27" customHeight="1" spans="2:18">
      <c r="B65" s="27">
        <v>20022</v>
      </c>
      <c r="C65" s="28" t="s">
        <v>87</v>
      </c>
      <c r="D65" s="27">
        <v>22</v>
      </c>
      <c r="E65" s="27"/>
      <c r="F65" s="27">
        <v>20021</v>
      </c>
      <c r="G65" s="27">
        <v>20023</v>
      </c>
      <c r="H65" s="27">
        <v>10002</v>
      </c>
      <c r="I65" s="27"/>
      <c r="J65" s="20" t="s">
        <v>26</v>
      </c>
      <c r="K65" s="27" t="s">
        <v>23</v>
      </c>
      <c r="L65" s="29" t="s">
        <v>111</v>
      </c>
      <c r="M65" s="29" t="s">
        <v>110</v>
      </c>
      <c r="N65" s="20"/>
      <c r="O65" s="20"/>
      <c r="R65" s="9" t="s">
        <v>29</v>
      </c>
    </row>
    <row r="66" ht="27" customHeight="1" spans="2:18">
      <c r="B66" s="27">
        <v>20023</v>
      </c>
      <c r="C66" s="28" t="s">
        <v>87</v>
      </c>
      <c r="D66" s="27">
        <v>23</v>
      </c>
      <c r="E66" s="27"/>
      <c r="F66" s="27">
        <v>20022</v>
      </c>
      <c r="G66" s="27">
        <v>20024</v>
      </c>
      <c r="H66" s="27">
        <v>10002</v>
      </c>
      <c r="I66" s="27"/>
      <c r="J66" s="20" t="s">
        <v>26</v>
      </c>
      <c r="K66" s="28" t="s">
        <v>23</v>
      </c>
      <c r="L66" s="29" t="s">
        <v>112</v>
      </c>
      <c r="M66" s="29" t="s">
        <v>110</v>
      </c>
      <c r="N66" s="20"/>
      <c r="O66" s="20"/>
      <c r="R66" s="9" t="s">
        <v>29</v>
      </c>
    </row>
    <row r="67" ht="27" customHeight="1" spans="2:18">
      <c r="B67" s="27">
        <v>20024</v>
      </c>
      <c r="C67" s="28" t="s">
        <v>87</v>
      </c>
      <c r="D67" s="27">
        <v>24</v>
      </c>
      <c r="E67" s="27"/>
      <c r="F67" s="27">
        <v>20023</v>
      </c>
      <c r="G67" s="27">
        <v>20025</v>
      </c>
      <c r="H67" s="27">
        <v>10002</v>
      </c>
      <c r="I67" s="27"/>
      <c r="J67" s="20" t="s">
        <v>26</v>
      </c>
      <c r="K67" s="28" t="s">
        <v>33</v>
      </c>
      <c r="L67" s="32" t="s">
        <v>113</v>
      </c>
      <c r="M67" s="32" t="s">
        <v>110</v>
      </c>
      <c r="N67" s="20"/>
      <c r="O67" s="20"/>
      <c r="R67" s="9" t="s">
        <v>29</v>
      </c>
    </row>
    <row r="68" ht="27" customHeight="1" spans="2:18">
      <c r="B68" s="27">
        <v>20025</v>
      </c>
      <c r="C68" s="28" t="s">
        <v>87</v>
      </c>
      <c r="D68" s="27">
        <v>25</v>
      </c>
      <c r="E68" s="27"/>
      <c r="F68" s="27">
        <v>20024</v>
      </c>
      <c r="G68" s="27">
        <v>20026</v>
      </c>
      <c r="H68" s="27">
        <v>10002</v>
      </c>
      <c r="I68" s="27"/>
      <c r="J68" s="20" t="s">
        <v>26</v>
      </c>
      <c r="K68" s="28" t="s">
        <v>30</v>
      </c>
      <c r="L68" s="27"/>
      <c r="M68" s="27"/>
      <c r="N68" s="20"/>
      <c r="O68" s="20"/>
      <c r="R68" s="9" t="s">
        <v>29</v>
      </c>
    </row>
    <row r="69" ht="27" customHeight="1" spans="2:18">
      <c r="B69" s="27">
        <v>20026</v>
      </c>
      <c r="C69" s="28" t="s">
        <v>87</v>
      </c>
      <c r="D69" s="27">
        <v>26</v>
      </c>
      <c r="E69" s="27"/>
      <c r="F69" s="27">
        <v>20025</v>
      </c>
      <c r="G69" s="27">
        <v>20027</v>
      </c>
      <c r="H69" s="27">
        <v>10002</v>
      </c>
      <c r="I69" s="27"/>
      <c r="J69" s="20" t="s">
        <v>26</v>
      </c>
      <c r="K69" s="27" t="s">
        <v>23</v>
      </c>
      <c r="L69" s="29" t="s">
        <v>114</v>
      </c>
      <c r="M69" s="29" t="s">
        <v>115</v>
      </c>
      <c r="N69" s="20"/>
      <c r="O69" s="20"/>
      <c r="R69" s="9" t="s">
        <v>29</v>
      </c>
    </row>
    <row r="70" ht="27" customHeight="1" spans="2:18">
      <c r="B70" s="27">
        <v>20027</v>
      </c>
      <c r="C70" s="28" t="s">
        <v>87</v>
      </c>
      <c r="D70" s="27">
        <v>27</v>
      </c>
      <c r="E70" s="27"/>
      <c r="F70" s="27">
        <v>20026</v>
      </c>
      <c r="G70" s="27">
        <v>20028</v>
      </c>
      <c r="H70" s="27">
        <v>10002</v>
      </c>
      <c r="I70" s="27"/>
      <c r="J70" s="20" t="s">
        <v>26</v>
      </c>
      <c r="K70" s="27" t="s">
        <v>23</v>
      </c>
      <c r="L70" s="29" t="s">
        <v>116</v>
      </c>
      <c r="M70" s="29" t="s">
        <v>115</v>
      </c>
      <c r="N70" s="20"/>
      <c r="O70" s="20"/>
      <c r="R70" s="9" t="s">
        <v>29</v>
      </c>
    </row>
    <row r="71" ht="40.5" customHeight="1" spans="2:18">
      <c r="B71" s="27">
        <v>20028</v>
      </c>
      <c r="C71" s="28" t="s">
        <v>87</v>
      </c>
      <c r="D71" s="27">
        <v>28</v>
      </c>
      <c r="E71" s="27"/>
      <c r="F71" s="27">
        <v>20027</v>
      </c>
      <c r="G71" s="27">
        <v>20029</v>
      </c>
      <c r="H71" s="27">
        <v>10002</v>
      </c>
      <c r="I71" s="27"/>
      <c r="J71" s="20" t="s">
        <v>26</v>
      </c>
      <c r="K71" s="27" t="s">
        <v>23</v>
      </c>
      <c r="L71" s="29" t="s">
        <v>117</v>
      </c>
      <c r="M71" s="29" t="s">
        <v>115</v>
      </c>
      <c r="N71" s="20"/>
      <c r="O71" s="20"/>
      <c r="R71" s="9" t="s">
        <v>29</v>
      </c>
    </row>
    <row r="72" ht="27" customHeight="1" spans="2:18">
      <c r="B72" s="27">
        <v>20029</v>
      </c>
      <c r="C72" s="28" t="s">
        <v>87</v>
      </c>
      <c r="D72" s="27">
        <v>29</v>
      </c>
      <c r="E72" s="27"/>
      <c r="F72" s="27">
        <v>20028</v>
      </c>
      <c r="G72" s="27">
        <v>20030</v>
      </c>
      <c r="H72" s="27">
        <v>10002</v>
      </c>
      <c r="I72" s="27"/>
      <c r="J72" s="20" t="s">
        <v>26</v>
      </c>
      <c r="K72" s="27" t="s">
        <v>30</v>
      </c>
      <c r="L72" s="27"/>
      <c r="M72" s="27"/>
      <c r="N72" s="20"/>
      <c r="O72" s="20"/>
      <c r="R72" s="9" t="s">
        <v>29</v>
      </c>
    </row>
    <row r="73" ht="27" customHeight="1" spans="2:18">
      <c r="B73" s="27">
        <v>20030</v>
      </c>
      <c r="C73" s="28" t="s">
        <v>87</v>
      </c>
      <c r="D73" s="27">
        <v>30</v>
      </c>
      <c r="E73" s="27"/>
      <c r="F73" s="27">
        <v>20029</v>
      </c>
      <c r="G73" s="27"/>
      <c r="H73" s="27">
        <v>10002</v>
      </c>
      <c r="I73" s="27">
        <v>1</v>
      </c>
      <c r="J73" s="20" t="s">
        <v>26</v>
      </c>
      <c r="K73" s="27" t="s">
        <v>37</v>
      </c>
      <c r="L73" s="32" t="s">
        <v>118</v>
      </c>
      <c r="M73" s="32" t="s">
        <v>119</v>
      </c>
      <c r="N73" s="20"/>
      <c r="O73" s="20"/>
      <c r="R73" s="22" t="s">
        <v>120</v>
      </c>
    </row>
    <row r="74" ht="27" customHeight="1" spans="2:18">
      <c r="B74" s="33">
        <v>30001</v>
      </c>
      <c r="C74" s="34" t="s">
        <v>121</v>
      </c>
      <c r="D74" s="33">
        <v>1</v>
      </c>
      <c r="E74" s="33" t="s">
        <v>23</v>
      </c>
      <c r="F74" s="33"/>
      <c r="G74" s="33">
        <v>30002</v>
      </c>
      <c r="H74" s="33">
        <v>10003</v>
      </c>
      <c r="I74" s="33"/>
      <c r="J74" s="20" t="s">
        <v>26</v>
      </c>
      <c r="K74" s="34" t="s">
        <v>33</v>
      </c>
      <c r="L74" s="34" t="s">
        <v>122</v>
      </c>
      <c r="M74" s="34" t="s">
        <v>123</v>
      </c>
      <c r="N74" s="20"/>
      <c r="O74" s="20"/>
      <c r="R74" s="9" t="s">
        <v>29</v>
      </c>
    </row>
    <row r="75" ht="27" customHeight="1" spans="2:18">
      <c r="B75" s="33">
        <v>30002</v>
      </c>
      <c r="C75" s="34" t="s">
        <v>121</v>
      </c>
      <c r="D75" s="33">
        <v>2</v>
      </c>
      <c r="E75" s="33"/>
      <c r="F75" s="33">
        <v>30001</v>
      </c>
      <c r="G75" s="33">
        <v>30003</v>
      </c>
      <c r="H75" s="33">
        <v>10003</v>
      </c>
      <c r="I75" s="33"/>
      <c r="J75" s="20" t="s">
        <v>26</v>
      </c>
      <c r="K75" s="34" t="s">
        <v>33</v>
      </c>
      <c r="L75" s="34" t="s">
        <v>124</v>
      </c>
      <c r="M75" s="34" t="s">
        <v>123</v>
      </c>
      <c r="N75" s="20"/>
      <c r="O75" s="20"/>
      <c r="R75" s="9" t="s">
        <v>29</v>
      </c>
    </row>
    <row r="76" ht="27" customHeight="1" spans="2:18">
      <c r="B76" s="33">
        <v>30003</v>
      </c>
      <c r="C76" s="34" t="s">
        <v>121</v>
      </c>
      <c r="D76" s="33">
        <v>3</v>
      </c>
      <c r="E76" s="33"/>
      <c r="F76" s="33">
        <v>30002</v>
      </c>
      <c r="G76" s="33">
        <v>30004</v>
      </c>
      <c r="H76" s="33">
        <v>10003</v>
      </c>
      <c r="I76" s="33"/>
      <c r="J76" s="20" t="s">
        <v>26</v>
      </c>
      <c r="K76" s="34" t="s">
        <v>33</v>
      </c>
      <c r="L76" s="34" t="s">
        <v>125</v>
      </c>
      <c r="M76" s="34" t="s">
        <v>123</v>
      </c>
      <c r="N76" s="20"/>
      <c r="O76" s="20"/>
      <c r="R76" s="9" t="s">
        <v>29</v>
      </c>
    </row>
    <row r="77" ht="27" customHeight="1" spans="2:18">
      <c r="B77" s="33">
        <v>30004</v>
      </c>
      <c r="C77" s="34" t="s">
        <v>121</v>
      </c>
      <c r="D77" s="33">
        <v>4</v>
      </c>
      <c r="E77" s="33"/>
      <c r="F77" s="33">
        <v>30003</v>
      </c>
      <c r="G77" s="33">
        <v>30005</v>
      </c>
      <c r="H77" s="33">
        <v>10003</v>
      </c>
      <c r="I77" s="33"/>
      <c r="J77" s="20" t="s">
        <v>26</v>
      </c>
      <c r="K77" s="34" t="s">
        <v>33</v>
      </c>
      <c r="L77" s="34" t="s">
        <v>126</v>
      </c>
      <c r="M77" s="34" t="s">
        <v>123</v>
      </c>
      <c r="N77" s="20"/>
      <c r="O77" s="20"/>
      <c r="R77" s="9" t="s">
        <v>29</v>
      </c>
    </row>
    <row r="78" ht="27" customHeight="1" spans="2:18">
      <c r="B78" s="33">
        <v>30005</v>
      </c>
      <c r="C78" s="34" t="s">
        <v>121</v>
      </c>
      <c r="D78" s="33">
        <v>5</v>
      </c>
      <c r="E78" s="33"/>
      <c r="F78" s="33">
        <v>30004</v>
      </c>
      <c r="G78" s="33">
        <v>30006</v>
      </c>
      <c r="H78" s="33">
        <v>10003</v>
      </c>
      <c r="I78" s="33"/>
      <c r="J78" s="20" t="s">
        <v>26</v>
      </c>
      <c r="K78" s="34" t="s">
        <v>30</v>
      </c>
      <c r="L78" s="33"/>
      <c r="M78" s="33"/>
      <c r="N78" s="20"/>
      <c r="O78" s="20"/>
      <c r="R78" s="9" t="s">
        <v>29</v>
      </c>
    </row>
    <row r="79" ht="27" customHeight="1" spans="2:18">
      <c r="B79" s="33">
        <v>30006</v>
      </c>
      <c r="C79" s="34" t="s">
        <v>121</v>
      </c>
      <c r="D79" s="33">
        <v>6</v>
      </c>
      <c r="E79" s="33"/>
      <c r="F79" s="33">
        <v>30005</v>
      </c>
      <c r="G79" s="33">
        <v>30007</v>
      </c>
      <c r="H79" s="33">
        <v>10003</v>
      </c>
      <c r="I79" s="33"/>
      <c r="J79" s="20" t="s">
        <v>26</v>
      </c>
      <c r="K79" s="34" t="s">
        <v>33</v>
      </c>
      <c r="L79" s="35" t="s">
        <v>127</v>
      </c>
      <c r="M79" s="35" t="s">
        <v>128</v>
      </c>
      <c r="N79" s="20"/>
      <c r="O79" s="20"/>
      <c r="R79" s="9" t="s">
        <v>29</v>
      </c>
    </row>
    <row r="80" ht="27" customHeight="1" spans="2:18">
      <c r="B80" s="33">
        <v>30007</v>
      </c>
      <c r="C80" s="34" t="s">
        <v>121</v>
      </c>
      <c r="D80" s="33">
        <v>7</v>
      </c>
      <c r="E80" s="33"/>
      <c r="F80" s="33">
        <v>30006</v>
      </c>
      <c r="G80" s="33">
        <v>30008</v>
      </c>
      <c r="H80" s="33">
        <v>10003</v>
      </c>
      <c r="I80" s="33"/>
      <c r="J80" s="20" t="s">
        <v>26</v>
      </c>
      <c r="K80" s="34" t="s">
        <v>33</v>
      </c>
      <c r="L80" s="34" t="s">
        <v>129</v>
      </c>
      <c r="M80" s="34" t="s">
        <v>128</v>
      </c>
      <c r="N80" s="20"/>
      <c r="O80" s="20"/>
      <c r="R80" s="9" t="s">
        <v>29</v>
      </c>
    </row>
    <row r="81" ht="27" customHeight="1" spans="2:18">
      <c r="B81" s="33">
        <v>30008</v>
      </c>
      <c r="C81" s="34" t="s">
        <v>121</v>
      </c>
      <c r="D81" s="33">
        <v>8</v>
      </c>
      <c r="E81" s="33"/>
      <c r="F81" s="33">
        <v>30007</v>
      </c>
      <c r="G81" s="33">
        <v>30009</v>
      </c>
      <c r="H81" s="33">
        <v>10003</v>
      </c>
      <c r="I81" s="33"/>
      <c r="J81" s="20" t="s">
        <v>26</v>
      </c>
      <c r="K81" s="34" t="s">
        <v>33</v>
      </c>
      <c r="L81" s="34" t="s">
        <v>130</v>
      </c>
      <c r="M81" s="34" t="s">
        <v>128</v>
      </c>
      <c r="N81" s="20"/>
      <c r="O81" s="20"/>
      <c r="R81" s="9" t="s">
        <v>29</v>
      </c>
    </row>
    <row r="82" ht="27" customHeight="1" spans="2:18">
      <c r="B82" s="33">
        <v>30009</v>
      </c>
      <c r="C82" s="34" t="s">
        <v>121</v>
      </c>
      <c r="D82" s="33">
        <v>9</v>
      </c>
      <c r="E82" s="33"/>
      <c r="F82" s="33">
        <v>30008</v>
      </c>
      <c r="G82" s="33">
        <v>30010</v>
      </c>
      <c r="H82" s="33">
        <v>10003</v>
      </c>
      <c r="I82" s="33"/>
      <c r="J82" s="20" t="s">
        <v>26</v>
      </c>
      <c r="K82" s="34" t="s">
        <v>33</v>
      </c>
      <c r="L82" s="34" t="s">
        <v>131</v>
      </c>
      <c r="M82" s="34" t="s">
        <v>128</v>
      </c>
      <c r="N82" s="20"/>
      <c r="O82" s="20"/>
      <c r="R82" s="9" t="s">
        <v>29</v>
      </c>
    </row>
    <row r="83" ht="27" customHeight="1" spans="2:18">
      <c r="B83" s="33">
        <v>30010</v>
      </c>
      <c r="C83" s="34" t="s">
        <v>121</v>
      </c>
      <c r="D83" s="33">
        <v>10</v>
      </c>
      <c r="E83" s="33"/>
      <c r="F83" s="33">
        <v>30009</v>
      </c>
      <c r="G83" s="33">
        <v>30011</v>
      </c>
      <c r="H83" s="33">
        <v>10003</v>
      </c>
      <c r="I83" s="33"/>
      <c r="J83" s="20" t="s">
        <v>26</v>
      </c>
      <c r="K83" s="34" t="s">
        <v>30</v>
      </c>
      <c r="L83" s="33"/>
      <c r="M83" s="33"/>
      <c r="N83" s="20"/>
      <c r="O83" s="20"/>
      <c r="R83" s="9" t="s">
        <v>29</v>
      </c>
    </row>
    <row r="84" ht="27" customHeight="1" spans="2:18">
      <c r="B84" s="33">
        <v>30011</v>
      </c>
      <c r="C84" s="34" t="s">
        <v>121</v>
      </c>
      <c r="D84" s="33">
        <v>11</v>
      </c>
      <c r="E84" s="33"/>
      <c r="F84" s="33">
        <v>30010</v>
      </c>
      <c r="G84" s="33">
        <v>30012</v>
      </c>
      <c r="H84" s="33">
        <v>10003</v>
      </c>
      <c r="I84" s="33"/>
      <c r="J84" s="20" t="s">
        <v>26</v>
      </c>
      <c r="K84" s="34" t="s">
        <v>33</v>
      </c>
      <c r="L84" s="35" t="s">
        <v>132</v>
      </c>
      <c r="M84" s="35" t="s">
        <v>133</v>
      </c>
      <c r="N84" s="20"/>
      <c r="O84" s="20"/>
      <c r="R84" s="9" t="s">
        <v>29</v>
      </c>
    </row>
    <row r="85" ht="27" customHeight="1" spans="2:18">
      <c r="B85" s="33">
        <v>30012</v>
      </c>
      <c r="C85" s="34" t="s">
        <v>121</v>
      </c>
      <c r="D85" s="33">
        <v>12</v>
      </c>
      <c r="E85" s="33"/>
      <c r="F85" s="33">
        <v>30011</v>
      </c>
      <c r="G85" s="33">
        <v>30013</v>
      </c>
      <c r="H85" s="33">
        <v>10003</v>
      </c>
      <c r="I85" s="33"/>
      <c r="J85" s="20" t="s">
        <v>26</v>
      </c>
      <c r="K85" s="34" t="s">
        <v>33</v>
      </c>
      <c r="L85" s="35" t="s">
        <v>134</v>
      </c>
      <c r="M85" s="35" t="s">
        <v>133</v>
      </c>
      <c r="N85" s="20"/>
      <c r="O85" s="20"/>
      <c r="R85" s="9" t="s">
        <v>29</v>
      </c>
    </row>
    <row r="86" ht="27" customHeight="1" spans="2:18">
      <c r="B86" s="33">
        <v>30013</v>
      </c>
      <c r="C86" s="34" t="s">
        <v>121</v>
      </c>
      <c r="D86" s="33">
        <v>13</v>
      </c>
      <c r="E86" s="33"/>
      <c r="F86" s="33">
        <v>30012</v>
      </c>
      <c r="G86" s="33">
        <v>30014</v>
      </c>
      <c r="H86" s="33">
        <v>10003</v>
      </c>
      <c r="I86" s="33"/>
      <c r="J86" s="20" t="s">
        <v>26</v>
      </c>
      <c r="K86" s="34" t="s">
        <v>33</v>
      </c>
      <c r="L86" s="34" t="s">
        <v>135</v>
      </c>
      <c r="M86" s="34" t="s">
        <v>133</v>
      </c>
      <c r="N86" s="20"/>
      <c r="O86" s="20"/>
      <c r="R86" s="9" t="s">
        <v>29</v>
      </c>
    </row>
    <row r="87" ht="27" customHeight="1" spans="2:18">
      <c r="B87" s="33">
        <v>30014</v>
      </c>
      <c r="C87" s="34" t="s">
        <v>121</v>
      </c>
      <c r="D87" s="33">
        <v>14</v>
      </c>
      <c r="E87" s="33"/>
      <c r="F87" s="33">
        <v>30013</v>
      </c>
      <c r="G87" s="33">
        <v>30015</v>
      </c>
      <c r="H87" s="33">
        <v>10003</v>
      </c>
      <c r="I87" s="33"/>
      <c r="J87" s="20" t="s">
        <v>26</v>
      </c>
      <c r="K87" s="34" t="s">
        <v>33</v>
      </c>
      <c r="L87" s="34" t="s">
        <v>136</v>
      </c>
      <c r="M87" s="34" t="s">
        <v>133</v>
      </c>
      <c r="N87" s="20"/>
      <c r="O87" s="20"/>
      <c r="R87" s="9" t="s">
        <v>29</v>
      </c>
    </row>
    <row r="88" ht="27" customHeight="1" spans="2:18">
      <c r="B88" s="33">
        <v>30015</v>
      </c>
      <c r="C88" s="34" t="s">
        <v>121</v>
      </c>
      <c r="D88" s="33">
        <v>15</v>
      </c>
      <c r="E88" s="33"/>
      <c r="F88" s="33">
        <v>30014</v>
      </c>
      <c r="G88" s="33">
        <v>30016</v>
      </c>
      <c r="H88" s="33">
        <v>10003</v>
      </c>
      <c r="I88" s="33"/>
      <c r="J88" s="20" t="s">
        <v>26</v>
      </c>
      <c r="K88" s="34" t="s">
        <v>30</v>
      </c>
      <c r="L88" s="33"/>
      <c r="M88" s="33"/>
      <c r="N88" s="20"/>
      <c r="O88" s="20"/>
      <c r="R88" s="9" t="s">
        <v>29</v>
      </c>
    </row>
    <row r="89" ht="27" customHeight="1" spans="2:18">
      <c r="B89" s="33">
        <v>30016</v>
      </c>
      <c r="C89" s="34" t="s">
        <v>121</v>
      </c>
      <c r="D89" s="33">
        <v>16</v>
      </c>
      <c r="E89" s="33"/>
      <c r="F89" s="33">
        <v>30015</v>
      </c>
      <c r="G89" s="33">
        <v>30017</v>
      </c>
      <c r="H89" s="33">
        <v>10003</v>
      </c>
      <c r="I89" s="33"/>
      <c r="J89" s="20" t="s">
        <v>26</v>
      </c>
      <c r="K89" s="34" t="s">
        <v>33</v>
      </c>
      <c r="L89" s="35" t="s">
        <v>137</v>
      </c>
      <c r="M89" s="35" t="s">
        <v>138</v>
      </c>
      <c r="N89" s="20"/>
      <c r="O89" s="20"/>
      <c r="R89" s="9" t="s">
        <v>29</v>
      </c>
    </row>
    <row r="90" ht="27" customHeight="1" spans="2:18">
      <c r="B90" s="33">
        <v>30017</v>
      </c>
      <c r="C90" s="34" t="s">
        <v>121</v>
      </c>
      <c r="D90" s="33">
        <v>17</v>
      </c>
      <c r="E90" s="33"/>
      <c r="F90" s="33">
        <v>30016</v>
      </c>
      <c r="G90" s="33">
        <v>30018</v>
      </c>
      <c r="H90" s="33">
        <v>10003</v>
      </c>
      <c r="I90" s="33"/>
      <c r="J90" s="20" t="s">
        <v>26</v>
      </c>
      <c r="K90" s="34" t="s">
        <v>33</v>
      </c>
      <c r="L90" s="35" t="s">
        <v>139</v>
      </c>
      <c r="M90" s="35" t="s">
        <v>138</v>
      </c>
      <c r="N90" s="20"/>
      <c r="O90" s="20"/>
      <c r="R90" s="9" t="s">
        <v>29</v>
      </c>
    </row>
    <row r="91" ht="27" customHeight="1" spans="2:18">
      <c r="B91" s="33">
        <v>30018</v>
      </c>
      <c r="C91" s="34" t="s">
        <v>121</v>
      </c>
      <c r="D91" s="33">
        <v>18</v>
      </c>
      <c r="E91" s="33"/>
      <c r="F91" s="33">
        <v>30017</v>
      </c>
      <c r="G91" s="33">
        <v>30019</v>
      </c>
      <c r="H91" s="33">
        <v>10003</v>
      </c>
      <c r="I91" s="33"/>
      <c r="J91" s="20" t="s">
        <v>26</v>
      </c>
      <c r="K91" s="34" t="s">
        <v>33</v>
      </c>
      <c r="L91" s="34" t="s">
        <v>140</v>
      </c>
      <c r="M91" s="34" t="s">
        <v>138</v>
      </c>
      <c r="N91" s="20"/>
      <c r="O91" s="20"/>
      <c r="R91" s="9" t="s">
        <v>29</v>
      </c>
    </row>
    <row r="92" ht="27" customHeight="1" spans="2:18">
      <c r="B92" s="33">
        <v>30019</v>
      </c>
      <c r="C92" s="34" t="s">
        <v>121</v>
      </c>
      <c r="D92" s="33">
        <v>19</v>
      </c>
      <c r="E92" s="33"/>
      <c r="F92" s="33">
        <v>30018</v>
      </c>
      <c r="G92" s="33">
        <v>30020</v>
      </c>
      <c r="H92" s="33">
        <v>10003</v>
      </c>
      <c r="I92" s="33"/>
      <c r="J92" s="20" t="s">
        <v>26</v>
      </c>
      <c r="K92" s="34" t="s">
        <v>33</v>
      </c>
      <c r="L92" s="35" t="s">
        <v>141</v>
      </c>
      <c r="M92" s="35" t="s">
        <v>138</v>
      </c>
      <c r="N92" s="20"/>
      <c r="O92" s="20"/>
      <c r="R92" s="9" t="s">
        <v>29</v>
      </c>
    </row>
    <row r="93" ht="27" customHeight="1" spans="2:18">
      <c r="B93" s="33">
        <v>30020</v>
      </c>
      <c r="C93" s="34" t="s">
        <v>121</v>
      </c>
      <c r="D93" s="33">
        <v>20</v>
      </c>
      <c r="E93" s="33"/>
      <c r="F93" s="33">
        <v>30019</v>
      </c>
      <c r="G93" s="33">
        <v>30021</v>
      </c>
      <c r="H93" s="33">
        <v>10003</v>
      </c>
      <c r="I93" s="33"/>
      <c r="J93" s="20" t="s">
        <v>26</v>
      </c>
      <c r="K93" s="34" t="s">
        <v>30</v>
      </c>
      <c r="L93" s="33"/>
      <c r="M93" s="33"/>
      <c r="N93" s="20"/>
      <c r="O93" s="20"/>
      <c r="R93" s="9" t="s">
        <v>29</v>
      </c>
    </row>
    <row r="94" ht="27" customHeight="1" spans="2:18">
      <c r="B94" s="33">
        <v>30021</v>
      </c>
      <c r="C94" s="34" t="s">
        <v>121</v>
      </c>
      <c r="D94" s="33">
        <v>21</v>
      </c>
      <c r="E94" s="33"/>
      <c r="F94" s="33">
        <v>30020</v>
      </c>
      <c r="G94" s="33">
        <v>30022</v>
      </c>
      <c r="H94" s="33">
        <v>10003</v>
      </c>
      <c r="I94" s="33"/>
      <c r="J94" s="20" t="s">
        <v>26</v>
      </c>
      <c r="K94" s="34" t="s">
        <v>33</v>
      </c>
      <c r="L94" s="35" t="s">
        <v>142</v>
      </c>
      <c r="M94" s="35" t="s">
        <v>143</v>
      </c>
      <c r="N94" s="20"/>
      <c r="O94" s="20"/>
      <c r="R94" s="9" t="s">
        <v>29</v>
      </c>
    </row>
    <row r="95" ht="27" customHeight="1" spans="2:18">
      <c r="B95" s="33">
        <v>30022</v>
      </c>
      <c r="C95" s="34" t="s">
        <v>121</v>
      </c>
      <c r="D95" s="33">
        <v>22</v>
      </c>
      <c r="E95" s="33"/>
      <c r="F95" s="33">
        <v>30021</v>
      </c>
      <c r="G95" s="33">
        <v>30023</v>
      </c>
      <c r="H95" s="33">
        <v>10003</v>
      </c>
      <c r="I95" s="33"/>
      <c r="J95" s="20" t="s">
        <v>26</v>
      </c>
      <c r="K95" s="34" t="s">
        <v>33</v>
      </c>
      <c r="L95" s="35" t="s">
        <v>144</v>
      </c>
      <c r="M95" s="35" t="s">
        <v>143</v>
      </c>
      <c r="N95" s="20"/>
      <c r="O95" s="20"/>
      <c r="R95" s="9" t="s">
        <v>29</v>
      </c>
    </row>
    <row r="96" ht="27" customHeight="1" spans="2:18">
      <c r="B96" s="33">
        <v>30023</v>
      </c>
      <c r="C96" s="34" t="s">
        <v>121</v>
      </c>
      <c r="D96" s="33">
        <v>23</v>
      </c>
      <c r="E96" s="33"/>
      <c r="F96" s="33">
        <v>30022</v>
      </c>
      <c r="G96" s="33">
        <v>30024</v>
      </c>
      <c r="H96" s="33">
        <v>10003</v>
      </c>
      <c r="I96" s="33"/>
      <c r="J96" s="20" t="s">
        <v>26</v>
      </c>
      <c r="K96" s="34" t="s">
        <v>33</v>
      </c>
      <c r="L96" s="34" t="s">
        <v>145</v>
      </c>
      <c r="M96" s="34" t="s">
        <v>143</v>
      </c>
      <c r="N96" s="20"/>
      <c r="O96" s="20"/>
      <c r="R96" s="9" t="s">
        <v>29</v>
      </c>
    </row>
    <row r="97" ht="27" customHeight="1" spans="2:18">
      <c r="B97" s="33">
        <v>30024</v>
      </c>
      <c r="C97" s="34" t="s">
        <v>121</v>
      </c>
      <c r="D97" s="33">
        <v>24</v>
      </c>
      <c r="E97" s="33"/>
      <c r="F97" s="33">
        <v>30023</v>
      </c>
      <c r="G97" s="33">
        <v>30025</v>
      </c>
      <c r="H97" s="33">
        <v>10003</v>
      </c>
      <c r="I97" s="33"/>
      <c r="J97" s="20" t="s">
        <v>26</v>
      </c>
      <c r="K97" s="34" t="s">
        <v>33</v>
      </c>
      <c r="L97" s="34" t="s">
        <v>146</v>
      </c>
      <c r="M97" s="34" t="s">
        <v>143</v>
      </c>
      <c r="N97" s="20"/>
      <c r="O97" s="20"/>
      <c r="R97" s="9" t="s">
        <v>29</v>
      </c>
    </row>
    <row r="98" ht="27" customHeight="1" spans="2:18">
      <c r="B98" s="33">
        <v>30025</v>
      </c>
      <c r="C98" s="34" t="s">
        <v>121</v>
      </c>
      <c r="D98" s="33">
        <v>25</v>
      </c>
      <c r="E98" s="33"/>
      <c r="F98" s="33">
        <v>30024</v>
      </c>
      <c r="G98" s="33">
        <v>30026</v>
      </c>
      <c r="H98" s="33">
        <v>10003</v>
      </c>
      <c r="I98" s="33"/>
      <c r="J98" s="20" t="s">
        <v>26</v>
      </c>
      <c r="K98" s="34" t="s">
        <v>30</v>
      </c>
      <c r="L98" s="33"/>
      <c r="M98" s="33"/>
      <c r="N98" s="20"/>
      <c r="O98" s="20"/>
      <c r="R98" s="9" t="s">
        <v>29</v>
      </c>
    </row>
    <row r="99" ht="27" customHeight="1" spans="2:18">
      <c r="B99" s="33">
        <v>30026</v>
      </c>
      <c r="C99" s="34" t="s">
        <v>121</v>
      </c>
      <c r="D99" s="33">
        <v>26</v>
      </c>
      <c r="E99" s="33"/>
      <c r="F99" s="33">
        <v>30025</v>
      </c>
      <c r="G99" s="33">
        <v>30027</v>
      </c>
      <c r="H99" s="33">
        <v>10003</v>
      </c>
      <c r="I99" s="33"/>
      <c r="J99" s="20" t="s">
        <v>26</v>
      </c>
      <c r="K99" s="34" t="s">
        <v>33</v>
      </c>
      <c r="L99" s="35" t="s">
        <v>147</v>
      </c>
      <c r="M99" s="35" t="s">
        <v>148</v>
      </c>
      <c r="N99" s="20"/>
      <c r="O99" s="20"/>
      <c r="R99" s="9" t="s">
        <v>29</v>
      </c>
    </row>
    <row r="100" ht="27" customHeight="1" spans="2:18">
      <c r="B100" s="33">
        <v>30027</v>
      </c>
      <c r="C100" s="34" t="s">
        <v>121</v>
      </c>
      <c r="D100" s="33">
        <v>27</v>
      </c>
      <c r="E100" s="33"/>
      <c r="F100" s="33">
        <v>30026</v>
      </c>
      <c r="G100" s="33">
        <v>30028</v>
      </c>
      <c r="H100" s="33">
        <v>10003</v>
      </c>
      <c r="I100" s="33"/>
      <c r="J100" s="20" t="s">
        <v>26</v>
      </c>
      <c r="K100" s="34" t="s">
        <v>33</v>
      </c>
      <c r="L100" s="34" t="s">
        <v>149</v>
      </c>
      <c r="M100" s="34" t="s">
        <v>148</v>
      </c>
      <c r="N100" s="20"/>
      <c r="O100" s="20"/>
      <c r="R100" s="9" t="s">
        <v>29</v>
      </c>
    </row>
    <row r="101" ht="40.5" customHeight="1" spans="2:18">
      <c r="B101" s="33">
        <v>30028</v>
      </c>
      <c r="C101" s="34" t="s">
        <v>121</v>
      </c>
      <c r="D101" s="33">
        <v>28</v>
      </c>
      <c r="E101" s="33"/>
      <c r="F101" s="33">
        <v>30027</v>
      </c>
      <c r="G101" s="33">
        <v>30029</v>
      </c>
      <c r="H101" s="33">
        <v>10003</v>
      </c>
      <c r="I101" s="33"/>
      <c r="J101" s="20" t="s">
        <v>26</v>
      </c>
      <c r="K101" s="34" t="s">
        <v>33</v>
      </c>
      <c r="L101" s="35" t="s">
        <v>150</v>
      </c>
      <c r="M101" s="35" t="s">
        <v>148</v>
      </c>
      <c r="N101" s="20"/>
      <c r="O101" s="20"/>
      <c r="R101" s="9" t="s">
        <v>29</v>
      </c>
    </row>
    <row r="102" ht="27" spans="2:18">
      <c r="B102" s="33">
        <v>30029</v>
      </c>
      <c r="C102" s="34" t="s">
        <v>121</v>
      </c>
      <c r="D102" s="33">
        <v>29</v>
      </c>
      <c r="E102" s="33"/>
      <c r="F102" s="33">
        <v>30028</v>
      </c>
      <c r="G102" s="33">
        <v>30030</v>
      </c>
      <c r="H102" s="33">
        <v>10003</v>
      </c>
      <c r="I102" s="33"/>
      <c r="J102" s="20" t="s">
        <v>26</v>
      </c>
      <c r="K102" s="34" t="s">
        <v>30</v>
      </c>
      <c r="L102" s="33"/>
      <c r="M102" s="33"/>
      <c r="N102" s="20"/>
      <c r="O102" s="20"/>
      <c r="R102" s="9" t="s">
        <v>29</v>
      </c>
    </row>
    <row r="103" ht="27" spans="2:18">
      <c r="B103" s="33">
        <v>30030</v>
      </c>
      <c r="C103" s="34" t="s">
        <v>121</v>
      </c>
      <c r="D103" s="33">
        <v>30</v>
      </c>
      <c r="E103" s="33"/>
      <c r="F103" s="33">
        <v>30029</v>
      </c>
      <c r="G103" s="33"/>
      <c r="H103" s="33">
        <v>10003</v>
      </c>
      <c r="I103" s="34" t="s">
        <v>23</v>
      </c>
      <c r="J103" s="20" t="s">
        <v>26</v>
      </c>
      <c r="K103" s="34" t="s">
        <v>37</v>
      </c>
      <c r="L103" s="35" t="s">
        <v>151</v>
      </c>
      <c r="M103" s="35" t="s">
        <v>152</v>
      </c>
      <c r="N103" s="20"/>
      <c r="O103" s="20"/>
      <c r="R103" s="22" t="s">
        <v>153</v>
      </c>
    </row>
    <row r="104" ht="27" spans="2:18">
      <c r="B104" s="36" t="s">
        <v>154</v>
      </c>
      <c r="C104" s="37" t="s">
        <v>155</v>
      </c>
      <c r="D104" s="36">
        <v>1</v>
      </c>
      <c r="E104" s="36" t="s">
        <v>23</v>
      </c>
      <c r="F104" s="36"/>
      <c r="G104" s="36" t="s">
        <v>156</v>
      </c>
      <c r="H104" s="36" t="s">
        <v>157</v>
      </c>
      <c r="I104" s="36"/>
      <c r="J104" s="20" t="s">
        <v>26</v>
      </c>
      <c r="K104" s="36" t="s">
        <v>23</v>
      </c>
      <c r="L104" s="37" t="s">
        <v>158</v>
      </c>
      <c r="M104" s="37" t="s">
        <v>159</v>
      </c>
      <c r="N104" s="20"/>
      <c r="O104" s="20"/>
      <c r="R104" s="7" t="s">
        <v>29</v>
      </c>
    </row>
    <row r="105" ht="27" spans="2:18">
      <c r="B105" s="36" t="s">
        <v>156</v>
      </c>
      <c r="C105" s="37" t="s">
        <v>155</v>
      </c>
      <c r="D105" s="36">
        <v>2</v>
      </c>
      <c r="E105" s="36"/>
      <c r="F105" s="36" t="s">
        <v>154</v>
      </c>
      <c r="G105" s="36" t="s">
        <v>160</v>
      </c>
      <c r="H105" s="36" t="s">
        <v>157</v>
      </c>
      <c r="I105" s="36"/>
      <c r="J105" s="20" t="s">
        <v>26</v>
      </c>
      <c r="K105" s="36" t="s">
        <v>23</v>
      </c>
      <c r="L105" s="37" t="s">
        <v>158</v>
      </c>
      <c r="M105" s="37" t="s">
        <v>159</v>
      </c>
      <c r="N105" s="20"/>
      <c r="O105" s="20"/>
      <c r="R105" s="7" t="s">
        <v>29</v>
      </c>
    </row>
    <row r="106" s="19" customFormat="1" ht="27" customHeight="1" spans="2:18">
      <c r="B106" s="36" t="s">
        <v>160</v>
      </c>
      <c r="C106" s="37" t="s">
        <v>155</v>
      </c>
      <c r="D106" s="36">
        <v>3</v>
      </c>
      <c r="E106" s="36"/>
      <c r="F106" s="36" t="s">
        <v>156</v>
      </c>
      <c r="G106" s="36" t="s">
        <v>161</v>
      </c>
      <c r="H106" s="36" t="s">
        <v>157</v>
      </c>
      <c r="I106" s="36"/>
      <c r="J106" s="20" t="s">
        <v>26</v>
      </c>
      <c r="K106" s="36" t="s">
        <v>23</v>
      </c>
      <c r="L106" s="37" t="s">
        <v>158</v>
      </c>
      <c r="M106" s="37" t="s">
        <v>159</v>
      </c>
      <c r="N106" s="20"/>
      <c r="O106" s="20"/>
      <c r="R106" s="7" t="s">
        <v>29</v>
      </c>
    </row>
    <row r="107" ht="27" spans="2:18">
      <c r="B107" s="36" t="s">
        <v>161</v>
      </c>
      <c r="C107" s="37" t="s">
        <v>155</v>
      </c>
      <c r="D107" s="36">
        <v>4</v>
      </c>
      <c r="E107" s="36"/>
      <c r="F107" s="36" t="s">
        <v>160</v>
      </c>
      <c r="G107" s="36" t="s">
        <v>162</v>
      </c>
      <c r="H107" s="36" t="s">
        <v>157</v>
      </c>
      <c r="I107" s="36"/>
      <c r="J107" s="20" t="s">
        <v>26</v>
      </c>
      <c r="K107" s="36" t="s">
        <v>23</v>
      </c>
      <c r="L107" s="26" t="s">
        <v>163</v>
      </c>
      <c r="M107" s="37" t="s">
        <v>164</v>
      </c>
      <c r="N107" s="20"/>
      <c r="O107" s="20"/>
      <c r="R107" s="7" t="s">
        <v>29</v>
      </c>
    </row>
    <row r="108" ht="40.5" spans="2:18">
      <c r="B108" s="38" t="s">
        <v>162</v>
      </c>
      <c r="C108" s="39" t="s">
        <v>165</v>
      </c>
      <c r="D108" s="38">
        <v>5</v>
      </c>
      <c r="E108" s="38"/>
      <c r="F108" s="38" t="s">
        <v>161</v>
      </c>
      <c r="G108" s="38" t="s">
        <v>166</v>
      </c>
      <c r="H108" s="38" t="s">
        <v>157</v>
      </c>
      <c r="I108" s="38"/>
      <c r="J108" s="20" t="s">
        <v>26</v>
      </c>
      <c r="K108" s="39" t="s">
        <v>30</v>
      </c>
      <c r="M108" s="39"/>
      <c r="N108" s="38"/>
      <c r="O108" s="38"/>
      <c r="R108" s="7" t="s">
        <v>29</v>
      </c>
    </row>
    <row r="109" ht="27" spans="2:18">
      <c r="B109" s="36" t="s">
        <v>166</v>
      </c>
      <c r="C109" s="37" t="s">
        <v>155</v>
      </c>
      <c r="D109" s="36">
        <v>6</v>
      </c>
      <c r="E109" s="36"/>
      <c r="F109" s="36" t="s">
        <v>162</v>
      </c>
      <c r="G109" s="36" t="s">
        <v>167</v>
      </c>
      <c r="H109" s="36" t="s">
        <v>157</v>
      </c>
      <c r="I109" s="36"/>
      <c r="J109" s="20" t="s">
        <v>26</v>
      </c>
      <c r="K109" s="37" t="s">
        <v>23</v>
      </c>
      <c r="L109" s="37" t="s">
        <v>158</v>
      </c>
      <c r="M109" s="37" t="s">
        <v>168</v>
      </c>
      <c r="N109" s="20"/>
      <c r="O109" s="20"/>
      <c r="R109" s="7" t="s">
        <v>29</v>
      </c>
    </row>
    <row r="110" ht="27" spans="2:18">
      <c r="B110" s="36" t="s">
        <v>167</v>
      </c>
      <c r="C110" s="37" t="s">
        <v>155</v>
      </c>
      <c r="D110" s="36">
        <v>7</v>
      </c>
      <c r="E110" s="36"/>
      <c r="F110" s="36" t="s">
        <v>166</v>
      </c>
      <c r="G110" s="36" t="s">
        <v>169</v>
      </c>
      <c r="H110" s="36" t="s">
        <v>157</v>
      </c>
      <c r="I110" s="36"/>
      <c r="J110" s="20" t="s">
        <v>26</v>
      </c>
      <c r="K110" s="36" t="s">
        <v>23</v>
      </c>
      <c r="L110" s="37" t="s">
        <v>158</v>
      </c>
      <c r="M110" s="37" t="s">
        <v>168</v>
      </c>
      <c r="N110" s="20"/>
      <c r="O110" s="20"/>
      <c r="R110" s="7" t="s">
        <v>29</v>
      </c>
    </row>
    <row r="111" s="19" customFormat="1" ht="27" customHeight="1" spans="2:18">
      <c r="B111" s="36" t="s">
        <v>169</v>
      </c>
      <c r="C111" s="37" t="s">
        <v>155</v>
      </c>
      <c r="D111" s="36">
        <v>8</v>
      </c>
      <c r="E111" s="36"/>
      <c r="F111" s="36" t="s">
        <v>167</v>
      </c>
      <c r="G111" s="36" t="s">
        <v>170</v>
      </c>
      <c r="H111" s="36" t="s">
        <v>157</v>
      </c>
      <c r="I111" s="36"/>
      <c r="J111" s="20" t="s">
        <v>26</v>
      </c>
      <c r="K111" s="36" t="s">
        <v>23</v>
      </c>
      <c r="L111" s="37" t="s">
        <v>158</v>
      </c>
      <c r="M111" s="37" t="s">
        <v>168</v>
      </c>
      <c r="N111" s="20"/>
      <c r="O111" s="20"/>
      <c r="R111" s="7" t="s">
        <v>29</v>
      </c>
    </row>
    <row r="112" ht="27" spans="2:18">
      <c r="B112" s="36" t="s">
        <v>170</v>
      </c>
      <c r="C112" s="37" t="s">
        <v>155</v>
      </c>
      <c r="D112" s="36">
        <v>9</v>
      </c>
      <c r="E112" s="36"/>
      <c r="F112" s="36" t="s">
        <v>169</v>
      </c>
      <c r="G112" s="36" t="s">
        <v>171</v>
      </c>
      <c r="H112" s="36" t="s">
        <v>157</v>
      </c>
      <c r="I112" s="36"/>
      <c r="J112" s="20" t="s">
        <v>26</v>
      </c>
      <c r="K112" s="36" t="s">
        <v>23</v>
      </c>
      <c r="L112" s="26" t="s">
        <v>163</v>
      </c>
      <c r="M112" s="37" t="s">
        <v>172</v>
      </c>
      <c r="N112" s="20"/>
      <c r="O112" s="20"/>
      <c r="R112" s="7" t="s">
        <v>29</v>
      </c>
    </row>
    <row r="113" ht="40.5" spans="2:18">
      <c r="B113" s="38" t="s">
        <v>171</v>
      </c>
      <c r="C113" s="39" t="s">
        <v>165</v>
      </c>
      <c r="D113" s="38">
        <v>10</v>
      </c>
      <c r="E113" s="38"/>
      <c r="F113" s="38" t="s">
        <v>170</v>
      </c>
      <c r="G113" s="38" t="s">
        <v>173</v>
      </c>
      <c r="H113" s="38" t="s">
        <v>157</v>
      </c>
      <c r="I113" s="38"/>
      <c r="J113" s="20" t="s">
        <v>26</v>
      </c>
      <c r="K113" s="39" t="s">
        <v>30</v>
      </c>
      <c r="L113" s="38"/>
      <c r="M113" s="38"/>
      <c r="N113" s="38"/>
      <c r="O113" s="38"/>
      <c r="R113" s="7" t="s">
        <v>29</v>
      </c>
    </row>
    <row r="114" ht="27" spans="2:18">
      <c r="B114" s="36" t="s">
        <v>173</v>
      </c>
      <c r="C114" s="37" t="s">
        <v>155</v>
      </c>
      <c r="D114" s="36">
        <v>11</v>
      </c>
      <c r="E114" s="36"/>
      <c r="F114" s="36" t="s">
        <v>171</v>
      </c>
      <c r="G114" s="36" t="s">
        <v>174</v>
      </c>
      <c r="H114" s="36" t="s">
        <v>157</v>
      </c>
      <c r="I114" s="36"/>
      <c r="J114" s="20" t="s">
        <v>26</v>
      </c>
      <c r="K114" s="37" t="s">
        <v>23</v>
      </c>
      <c r="L114" s="25" t="s">
        <v>175</v>
      </c>
      <c r="M114" s="37" t="s">
        <v>176</v>
      </c>
      <c r="N114" s="20"/>
      <c r="O114" s="20"/>
      <c r="R114" s="7" t="s">
        <v>29</v>
      </c>
    </row>
    <row r="115" ht="27" spans="2:18">
      <c r="B115" s="36" t="s">
        <v>174</v>
      </c>
      <c r="C115" s="37" t="s">
        <v>155</v>
      </c>
      <c r="D115" s="36">
        <v>12</v>
      </c>
      <c r="E115" s="36"/>
      <c r="F115" s="36" t="s">
        <v>173</v>
      </c>
      <c r="G115" s="36" t="s">
        <v>177</v>
      </c>
      <c r="H115" s="36" t="s">
        <v>157</v>
      </c>
      <c r="I115" s="36"/>
      <c r="J115" s="20" t="s">
        <v>26</v>
      </c>
      <c r="K115" s="37" t="s">
        <v>23</v>
      </c>
      <c r="L115" s="25" t="s">
        <v>178</v>
      </c>
      <c r="M115" s="37" t="s">
        <v>176</v>
      </c>
      <c r="N115" s="20"/>
      <c r="O115" s="20"/>
      <c r="R115" s="7" t="s">
        <v>29</v>
      </c>
    </row>
    <row r="116" s="19" customFormat="1" ht="27" customHeight="1" spans="2:18">
      <c r="B116" s="36" t="s">
        <v>177</v>
      </c>
      <c r="C116" s="37" t="s">
        <v>155</v>
      </c>
      <c r="D116" s="36">
        <v>13</v>
      </c>
      <c r="E116" s="36"/>
      <c r="F116" s="36" t="s">
        <v>174</v>
      </c>
      <c r="G116" s="36" t="s">
        <v>179</v>
      </c>
      <c r="H116" s="36" t="s">
        <v>157</v>
      </c>
      <c r="I116" s="36"/>
      <c r="J116" s="20" t="s">
        <v>26</v>
      </c>
      <c r="K116" s="36" t="s">
        <v>23</v>
      </c>
      <c r="L116" s="25" t="s">
        <v>175</v>
      </c>
      <c r="M116" s="37" t="s">
        <v>176</v>
      </c>
      <c r="N116" s="20"/>
      <c r="O116" s="20"/>
      <c r="R116" s="7" t="s">
        <v>29</v>
      </c>
    </row>
    <row r="117" ht="27" spans="2:18">
      <c r="B117" s="36" t="s">
        <v>179</v>
      </c>
      <c r="C117" s="37" t="s">
        <v>155</v>
      </c>
      <c r="D117" s="36">
        <v>14</v>
      </c>
      <c r="E117" s="36"/>
      <c r="F117" s="36" t="s">
        <v>177</v>
      </c>
      <c r="G117" s="36" t="s">
        <v>180</v>
      </c>
      <c r="H117" s="36" t="s">
        <v>157</v>
      </c>
      <c r="I117" s="36"/>
      <c r="J117" s="20" t="s">
        <v>26</v>
      </c>
      <c r="K117" s="36" t="s">
        <v>23</v>
      </c>
      <c r="L117" s="26" t="s">
        <v>181</v>
      </c>
      <c r="M117" s="37" t="s">
        <v>182</v>
      </c>
      <c r="N117" s="20"/>
      <c r="O117" s="20"/>
      <c r="R117" s="7" t="s">
        <v>29</v>
      </c>
    </row>
    <row r="118" ht="40.5" spans="2:18">
      <c r="B118" s="38" t="s">
        <v>180</v>
      </c>
      <c r="C118" s="39" t="s">
        <v>165</v>
      </c>
      <c r="D118" s="38">
        <v>15</v>
      </c>
      <c r="E118" s="38"/>
      <c r="F118" s="38" t="s">
        <v>179</v>
      </c>
      <c r="G118" s="38" t="s">
        <v>183</v>
      </c>
      <c r="H118" s="38" t="s">
        <v>157</v>
      </c>
      <c r="I118" s="38"/>
      <c r="J118" s="20" t="s">
        <v>26</v>
      </c>
      <c r="K118" s="39" t="s">
        <v>30</v>
      </c>
      <c r="L118" s="38"/>
      <c r="M118" s="38"/>
      <c r="N118" s="38"/>
      <c r="O118" s="38"/>
      <c r="R118" s="7" t="s">
        <v>29</v>
      </c>
    </row>
    <row r="119" ht="27" spans="2:18">
      <c r="B119" s="36" t="s">
        <v>183</v>
      </c>
      <c r="C119" s="37" t="s">
        <v>155</v>
      </c>
      <c r="D119" s="36">
        <v>16</v>
      </c>
      <c r="E119" s="36"/>
      <c r="F119" s="36" t="s">
        <v>180</v>
      </c>
      <c r="G119" s="36" t="s">
        <v>184</v>
      </c>
      <c r="H119" s="36" t="s">
        <v>157</v>
      </c>
      <c r="I119" s="36"/>
      <c r="J119" s="20" t="s">
        <v>26</v>
      </c>
      <c r="K119" s="36" t="s">
        <v>23</v>
      </c>
      <c r="L119" s="37" t="s">
        <v>185</v>
      </c>
      <c r="M119" s="37" t="s">
        <v>182</v>
      </c>
      <c r="N119" s="20"/>
      <c r="O119" s="20"/>
      <c r="R119" s="7" t="s">
        <v>29</v>
      </c>
    </row>
    <row r="120" ht="27" spans="2:18">
      <c r="B120" s="36" t="s">
        <v>184</v>
      </c>
      <c r="C120" s="37" t="s">
        <v>155</v>
      </c>
      <c r="D120" s="36">
        <v>17</v>
      </c>
      <c r="E120" s="36"/>
      <c r="F120" s="36" t="s">
        <v>183</v>
      </c>
      <c r="G120" s="36" t="s">
        <v>186</v>
      </c>
      <c r="H120" s="36" t="s">
        <v>157</v>
      </c>
      <c r="I120" s="36"/>
      <c r="J120" s="20" t="s">
        <v>26</v>
      </c>
      <c r="K120" s="37" t="s">
        <v>23</v>
      </c>
      <c r="L120" s="25" t="s">
        <v>187</v>
      </c>
      <c r="M120" s="37" t="s">
        <v>182</v>
      </c>
      <c r="N120" s="20"/>
      <c r="O120" s="20"/>
      <c r="R120" s="7" t="s">
        <v>29</v>
      </c>
    </row>
    <row r="121" s="19" customFormat="1" ht="27" customHeight="1" spans="2:18">
      <c r="B121" s="36" t="s">
        <v>186</v>
      </c>
      <c r="C121" s="37" t="s">
        <v>155</v>
      </c>
      <c r="D121" s="36">
        <v>18</v>
      </c>
      <c r="E121" s="36"/>
      <c r="F121" s="36" t="s">
        <v>184</v>
      </c>
      <c r="G121" s="36" t="s">
        <v>188</v>
      </c>
      <c r="H121" s="36" t="s">
        <v>157</v>
      </c>
      <c r="I121" s="36"/>
      <c r="J121" s="20" t="s">
        <v>26</v>
      </c>
      <c r="K121" s="37" t="s">
        <v>23</v>
      </c>
      <c r="L121" s="25" t="s">
        <v>187</v>
      </c>
      <c r="M121" s="37" t="s">
        <v>182</v>
      </c>
      <c r="N121" s="20"/>
      <c r="O121" s="20"/>
      <c r="R121" s="7" t="s">
        <v>29</v>
      </c>
    </row>
    <row r="122" ht="27" spans="2:18">
      <c r="B122" s="36" t="s">
        <v>188</v>
      </c>
      <c r="C122" s="37" t="s">
        <v>155</v>
      </c>
      <c r="D122" s="36">
        <v>19</v>
      </c>
      <c r="E122" s="36"/>
      <c r="F122" s="36" t="s">
        <v>186</v>
      </c>
      <c r="G122" s="36" t="s">
        <v>189</v>
      </c>
      <c r="H122" s="36" t="s">
        <v>157</v>
      </c>
      <c r="I122" s="36"/>
      <c r="J122" s="20" t="s">
        <v>26</v>
      </c>
      <c r="K122" s="36" t="s">
        <v>23</v>
      </c>
      <c r="L122" s="26" t="s">
        <v>190</v>
      </c>
      <c r="M122" s="37" t="s">
        <v>191</v>
      </c>
      <c r="N122" s="20"/>
      <c r="O122" s="20"/>
      <c r="R122" s="7" t="s">
        <v>29</v>
      </c>
    </row>
    <row r="123" ht="40.5" spans="2:18">
      <c r="B123" s="38" t="s">
        <v>189</v>
      </c>
      <c r="C123" s="39" t="s">
        <v>165</v>
      </c>
      <c r="D123" s="38">
        <v>20</v>
      </c>
      <c r="E123" s="38"/>
      <c r="F123" s="38" t="s">
        <v>188</v>
      </c>
      <c r="G123" s="38" t="s">
        <v>192</v>
      </c>
      <c r="H123" s="38" t="s">
        <v>157</v>
      </c>
      <c r="I123" s="38"/>
      <c r="J123" s="20" t="s">
        <v>26</v>
      </c>
      <c r="K123" s="39" t="s">
        <v>30</v>
      </c>
      <c r="L123" s="38" t="s">
        <v>193</v>
      </c>
      <c r="M123" s="38"/>
      <c r="N123" s="38"/>
      <c r="O123" s="38"/>
      <c r="R123" s="7" t="s">
        <v>29</v>
      </c>
    </row>
    <row r="124" ht="27" spans="2:18">
      <c r="B124" s="36" t="s">
        <v>192</v>
      </c>
      <c r="C124" s="37" t="s">
        <v>155</v>
      </c>
      <c r="D124" s="36">
        <v>21</v>
      </c>
      <c r="E124" s="36"/>
      <c r="F124" s="36" t="s">
        <v>189</v>
      </c>
      <c r="G124" s="36" t="s">
        <v>194</v>
      </c>
      <c r="H124" s="36" t="s">
        <v>157</v>
      </c>
      <c r="I124" s="36"/>
      <c r="J124" s="20" t="s">
        <v>26</v>
      </c>
      <c r="K124" s="36" t="s">
        <v>23</v>
      </c>
      <c r="L124" s="25" t="s">
        <v>175</v>
      </c>
      <c r="M124" s="37" t="s">
        <v>195</v>
      </c>
      <c r="N124" s="20"/>
      <c r="O124" s="20"/>
      <c r="R124" s="7" t="s">
        <v>29</v>
      </c>
    </row>
    <row r="125" ht="27" spans="2:18">
      <c r="B125" s="36" t="s">
        <v>194</v>
      </c>
      <c r="C125" s="37" t="s">
        <v>155</v>
      </c>
      <c r="D125" s="36">
        <v>22</v>
      </c>
      <c r="E125" s="36"/>
      <c r="F125" s="36" t="s">
        <v>192</v>
      </c>
      <c r="G125" s="36" t="s">
        <v>196</v>
      </c>
      <c r="H125" s="36" t="s">
        <v>157</v>
      </c>
      <c r="I125" s="36"/>
      <c r="J125" s="20" t="s">
        <v>26</v>
      </c>
      <c r="K125" s="36" t="s">
        <v>23</v>
      </c>
      <c r="L125" s="25" t="s">
        <v>187</v>
      </c>
      <c r="M125" s="37" t="s">
        <v>195</v>
      </c>
      <c r="N125" s="20"/>
      <c r="O125" s="20"/>
      <c r="R125" s="7" t="s">
        <v>29</v>
      </c>
    </row>
    <row r="126" s="19" customFormat="1" ht="27" customHeight="1" spans="2:18">
      <c r="B126" s="36" t="s">
        <v>196</v>
      </c>
      <c r="C126" s="37" t="s">
        <v>155</v>
      </c>
      <c r="D126" s="36">
        <v>23</v>
      </c>
      <c r="E126" s="36"/>
      <c r="F126" s="36" t="s">
        <v>194</v>
      </c>
      <c r="G126" s="36" t="s">
        <v>197</v>
      </c>
      <c r="H126" s="36" t="s">
        <v>157</v>
      </c>
      <c r="I126" s="36"/>
      <c r="J126" s="20" t="s">
        <v>26</v>
      </c>
      <c r="K126" s="37" t="s">
        <v>23</v>
      </c>
      <c r="L126" s="26" t="s">
        <v>190</v>
      </c>
      <c r="M126" s="37" t="s">
        <v>195</v>
      </c>
      <c r="N126" s="20"/>
      <c r="O126" s="20"/>
      <c r="R126" s="7" t="s">
        <v>29</v>
      </c>
    </row>
    <row r="127" ht="27" spans="2:18">
      <c r="B127" s="36" t="s">
        <v>197</v>
      </c>
      <c r="C127" s="37" t="s">
        <v>155</v>
      </c>
      <c r="D127" s="36">
        <v>24</v>
      </c>
      <c r="E127" s="36"/>
      <c r="F127" s="36" t="s">
        <v>196</v>
      </c>
      <c r="G127" s="36" t="s">
        <v>198</v>
      </c>
      <c r="H127" s="36" t="s">
        <v>157</v>
      </c>
      <c r="I127" s="36"/>
      <c r="J127" s="20" t="s">
        <v>26</v>
      </c>
      <c r="K127" s="37" t="s">
        <v>23</v>
      </c>
      <c r="L127" s="37" t="s">
        <v>199</v>
      </c>
      <c r="M127" s="37" t="s">
        <v>200</v>
      </c>
      <c r="N127" s="20"/>
      <c r="O127" s="20"/>
      <c r="R127" s="7" t="s">
        <v>29</v>
      </c>
    </row>
    <row r="128" ht="40.5" spans="2:18">
      <c r="B128" s="38" t="s">
        <v>198</v>
      </c>
      <c r="C128" s="39" t="s">
        <v>165</v>
      </c>
      <c r="D128" s="38">
        <v>25</v>
      </c>
      <c r="E128" s="38"/>
      <c r="F128" s="38" t="s">
        <v>197</v>
      </c>
      <c r="G128" s="38" t="s">
        <v>201</v>
      </c>
      <c r="H128" s="38" t="s">
        <v>157</v>
      </c>
      <c r="I128" s="38"/>
      <c r="J128" s="20" t="s">
        <v>26</v>
      </c>
      <c r="K128" s="39" t="s">
        <v>30</v>
      </c>
      <c r="L128" s="38"/>
      <c r="M128" s="38"/>
      <c r="N128" s="38"/>
      <c r="O128" s="38"/>
      <c r="R128" s="7" t="s">
        <v>29</v>
      </c>
    </row>
    <row r="129" ht="27" spans="2:18">
      <c r="B129" s="36" t="s">
        <v>201</v>
      </c>
      <c r="C129" s="37" t="s">
        <v>155</v>
      </c>
      <c r="D129" s="36">
        <v>26</v>
      </c>
      <c r="E129" s="36"/>
      <c r="F129" s="36" t="s">
        <v>198</v>
      </c>
      <c r="G129" s="36" t="s">
        <v>202</v>
      </c>
      <c r="H129" s="36" t="s">
        <v>157</v>
      </c>
      <c r="I129" s="36"/>
      <c r="J129" s="20" t="s">
        <v>26</v>
      </c>
      <c r="K129" s="36" t="s">
        <v>23</v>
      </c>
      <c r="L129" s="37" t="s">
        <v>199</v>
      </c>
      <c r="M129" s="37" t="s">
        <v>203</v>
      </c>
      <c r="N129" s="20"/>
      <c r="O129" s="20"/>
      <c r="R129" s="7" t="s">
        <v>29</v>
      </c>
    </row>
    <row r="130" s="19" customFormat="1" ht="27" customHeight="1" spans="2:18">
      <c r="B130" s="36" t="s">
        <v>202</v>
      </c>
      <c r="C130" s="37" t="s">
        <v>155</v>
      </c>
      <c r="D130" s="36">
        <v>27</v>
      </c>
      <c r="E130" s="36"/>
      <c r="F130" s="36" t="s">
        <v>201</v>
      </c>
      <c r="G130" s="36" t="s">
        <v>204</v>
      </c>
      <c r="H130" s="36" t="s">
        <v>157</v>
      </c>
      <c r="I130" s="36"/>
      <c r="J130" s="20" t="s">
        <v>26</v>
      </c>
      <c r="K130" s="36" t="s">
        <v>23</v>
      </c>
      <c r="L130" s="37" t="s">
        <v>205</v>
      </c>
      <c r="M130" s="37" t="s">
        <v>203</v>
      </c>
      <c r="N130" s="20"/>
      <c r="O130" s="20"/>
      <c r="R130" s="7" t="s">
        <v>29</v>
      </c>
    </row>
    <row r="131" ht="27" spans="2:18">
      <c r="B131" s="36" t="s">
        <v>204</v>
      </c>
      <c r="C131" s="37" t="s">
        <v>155</v>
      </c>
      <c r="D131" s="36">
        <v>28</v>
      </c>
      <c r="E131" s="36"/>
      <c r="F131" s="36" t="s">
        <v>202</v>
      </c>
      <c r="G131" s="36" t="s">
        <v>206</v>
      </c>
      <c r="H131" s="36" t="s">
        <v>157</v>
      </c>
      <c r="I131" s="36"/>
      <c r="J131" s="20" t="s">
        <v>26</v>
      </c>
      <c r="K131" s="36" t="s">
        <v>23</v>
      </c>
      <c r="L131" s="25" t="s">
        <v>207</v>
      </c>
      <c r="M131" s="37" t="s">
        <v>203</v>
      </c>
      <c r="N131" s="20"/>
      <c r="O131" s="20"/>
      <c r="R131" s="7" t="s">
        <v>29</v>
      </c>
    </row>
    <row r="132" ht="27" customHeight="1" spans="2:18">
      <c r="B132" s="38" t="s">
        <v>206</v>
      </c>
      <c r="C132" s="39" t="s">
        <v>165</v>
      </c>
      <c r="D132" s="38">
        <v>29</v>
      </c>
      <c r="E132" s="38"/>
      <c r="F132" s="38" t="s">
        <v>204</v>
      </c>
      <c r="G132" s="38" t="s">
        <v>208</v>
      </c>
      <c r="H132" s="38" t="s">
        <v>157</v>
      </c>
      <c r="I132" s="38"/>
      <c r="J132" s="20" t="s">
        <v>26</v>
      </c>
      <c r="K132" s="39" t="s">
        <v>30</v>
      </c>
      <c r="L132" s="38" t="s">
        <v>209</v>
      </c>
      <c r="M132" s="38"/>
      <c r="N132" s="38"/>
      <c r="O132" s="38"/>
      <c r="R132" s="7" t="s">
        <v>29</v>
      </c>
    </row>
    <row r="133" ht="27" customHeight="1" spans="2:18">
      <c r="B133" s="36" t="s">
        <v>208</v>
      </c>
      <c r="C133" s="37" t="s">
        <v>155</v>
      </c>
      <c r="D133" s="36">
        <v>30</v>
      </c>
      <c r="E133" s="36"/>
      <c r="F133" s="36" t="s">
        <v>206</v>
      </c>
      <c r="G133" s="36"/>
      <c r="H133" s="36" t="s">
        <v>157</v>
      </c>
      <c r="I133" s="37" t="s">
        <v>23</v>
      </c>
      <c r="J133" s="20" t="s">
        <v>26</v>
      </c>
      <c r="K133" s="37" t="s">
        <v>37</v>
      </c>
      <c r="L133" s="8" t="s">
        <v>210</v>
      </c>
      <c r="M133" s="37" t="s">
        <v>211</v>
      </c>
      <c r="N133" s="20"/>
      <c r="O133" s="20"/>
      <c r="R133" s="7" t="s">
        <v>212</v>
      </c>
    </row>
    <row r="134" ht="27" customHeight="1" spans="2:18">
      <c r="B134" s="40" t="s">
        <v>213</v>
      </c>
      <c r="C134" s="40"/>
      <c r="D134" s="40">
        <v>1</v>
      </c>
      <c r="E134" s="40" t="s">
        <v>23</v>
      </c>
      <c r="F134" s="40"/>
      <c r="G134" s="40" t="s">
        <v>214</v>
      </c>
      <c r="H134" s="40" t="s">
        <v>215</v>
      </c>
      <c r="I134" s="40"/>
      <c r="J134" s="20" t="s">
        <v>26</v>
      </c>
      <c r="K134" s="40" t="s">
        <v>23</v>
      </c>
      <c r="L134" s="40" t="s">
        <v>216</v>
      </c>
      <c r="M134" s="40"/>
      <c r="N134" s="20"/>
      <c r="O134" s="20"/>
    </row>
    <row r="135" ht="27" customHeight="1" spans="2:18">
      <c r="B135" s="40" t="s">
        <v>214</v>
      </c>
      <c r="C135" s="40"/>
      <c r="D135" s="40">
        <v>2</v>
      </c>
      <c r="E135" s="40"/>
      <c r="F135" s="40" t="s">
        <v>213</v>
      </c>
      <c r="G135" s="40" t="s">
        <v>217</v>
      </c>
      <c r="H135" s="40" t="s">
        <v>215</v>
      </c>
      <c r="I135" s="40"/>
      <c r="J135" s="20" t="s">
        <v>26</v>
      </c>
      <c r="K135" s="40" t="s">
        <v>23</v>
      </c>
      <c r="L135" s="40" t="s">
        <v>218</v>
      </c>
      <c r="M135" s="40"/>
      <c r="N135" s="20"/>
      <c r="O135" s="20"/>
    </row>
    <row r="136" ht="27" customHeight="1" spans="2:18">
      <c r="B136" s="40" t="s">
        <v>217</v>
      </c>
      <c r="C136" s="40"/>
      <c r="D136" s="40">
        <v>3</v>
      </c>
      <c r="E136" s="40"/>
      <c r="F136" s="40" t="s">
        <v>214</v>
      </c>
      <c r="G136" s="40" t="s">
        <v>219</v>
      </c>
      <c r="H136" s="40" t="s">
        <v>215</v>
      </c>
      <c r="I136" s="41"/>
      <c r="J136" s="20" t="s">
        <v>26</v>
      </c>
      <c r="K136" s="41" t="s">
        <v>23</v>
      </c>
      <c r="L136" s="41" t="s">
        <v>220</v>
      </c>
      <c r="M136" s="41"/>
      <c r="N136" s="20"/>
      <c r="O136" s="20"/>
    </row>
    <row r="137" spans="2:18">
      <c r="B137" s="40" t="s">
        <v>219</v>
      </c>
      <c r="C137" s="40"/>
      <c r="D137" s="40">
        <v>4</v>
      </c>
      <c r="E137" s="40"/>
      <c r="F137" s="40" t="s">
        <v>217</v>
      </c>
      <c r="G137" s="40" t="s">
        <v>221</v>
      </c>
      <c r="H137" s="40" t="s">
        <v>215</v>
      </c>
      <c r="I137" s="41"/>
      <c r="J137" s="20" t="s">
        <v>26</v>
      </c>
      <c r="K137" s="41" t="s">
        <v>23</v>
      </c>
      <c r="L137" s="41" t="s">
        <v>222</v>
      </c>
      <c r="M137" s="41"/>
      <c r="N137" s="20"/>
      <c r="O137" s="20"/>
    </row>
    <row r="138" ht="27" customHeight="1" spans="2:18">
      <c r="B138" s="40" t="s">
        <v>221</v>
      </c>
      <c r="C138" s="40"/>
      <c r="D138" s="40">
        <v>5</v>
      </c>
      <c r="E138" s="40"/>
      <c r="F138" s="40" t="s">
        <v>219</v>
      </c>
      <c r="G138" s="40" t="s">
        <v>223</v>
      </c>
      <c r="H138" s="40" t="s">
        <v>215</v>
      </c>
      <c r="I138" s="41"/>
      <c r="J138" s="20" t="s">
        <v>26</v>
      </c>
      <c r="K138" s="41" t="s">
        <v>33</v>
      </c>
      <c r="L138" s="41" t="s">
        <v>224</v>
      </c>
      <c r="M138" s="41"/>
      <c r="N138" s="20"/>
      <c r="O138" s="20"/>
    </row>
    <row r="139" ht="27" customHeight="1" spans="2:18">
      <c r="B139" s="40" t="s">
        <v>223</v>
      </c>
      <c r="C139" s="40"/>
      <c r="D139" s="40">
        <v>6</v>
      </c>
      <c r="E139" s="40"/>
      <c r="F139" s="40" t="s">
        <v>221</v>
      </c>
      <c r="G139" s="40" t="s">
        <v>225</v>
      </c>
      <c r="H139" s="40" t="s">
        <v>215</v>
      </c>
      <c r="I139" s="41"/>
      <c r="J139" s="20" t="s">
        <v>26</v>
      </c>
      <c r="K139" s="41" t="s">
        <v>30</v>
      </c>
      <c r="L139" s="41"/>
      <c r="M139" s="41"/>
      <c r="N139" s="20"/>
      <c r="O139" s="20"/>
    </row>
    <row r="140" ht="27" customHeight="1" spans="2:18">
      <c r="B140" s="40" t="s">
        <v>225</v>
      </c>
      <c r="C140" s="40"/>
      <c r="D140" s="40">
        <v>7</v>
      </c>
      <c r="E140" s="40"/>
      <c r="F140" s="40" t="s">
        <v>223</v>
      </c>
      <c r="G140" s="40" t="s">
        <v>226</v>
      </c>
      <c r="H140" s="40" t="s">
        <v>215</v>
      </c>
      <c r="I140" s="41"/>
      <c r="J140" s="20" t="s">
        <v>26</v>
      </c>
      <c r="K140" s="41" t="s">
        <v>23</v>
      </c>
      <c r="L140" s="41" t="s">
        <v>227</v>
      </c>
      <c r="M140" s="41"/>
      <c r="N140" s="20"/>
      <c r="O140" s="20"/>
    </row>
    <row r="141" ht="27" customHeight="1" spans="2:18">
      <c r="B141" s="40" t="s">
        <v>226</v>
      </c>
      <c r="C141" s="40"/>
      <c r="D141" s="40">
        <v>8</v>
      </c>
      <c r="E141" s="40"/>
      <c r="F141" s="40" t="s">
        <v>225</v>
      </c>
      <c r="G141" s="40" t="s">
        <v>228</v>
      </c>
      <c r="H141" s="40" t="s">
        <v>215</v>
      </c>
      <c r="I141" s="41"/>
      <c r="J141" s="20" t="s">
        <v>26</v>
      </c>
      <c r="K141" s="41" t="s">
        <v>23</v>
      </c>
      <c r="L141" s="41" t="s">
        <v>229</v>
      </c>
      <c r="M141" s="41"/>
      <c r="N141" s="20"/>
      <c r="O141" s="20"/>
    </row>
    <row r="142" ht="27" customHeight="1" spans="2:18">
      <c r="B142" s="40" t="s">
        <v>228</v>
      </c>
      <c r="C142" s="40"/>
      <c r="D142" s="40">
        <v>9</v>
      </c>
      <c r="E142" s="40"/>
      <c r="F142" s="40" t="s">
        <v>226</v>
      </c>
      <c r="G142" s="40" t="s">
        <v>230</v>
      </c>
      <c r="H142" s="40" t="s">
        <v>215</v>
      </c>
      <c r="I142" s="41"/>
      <c r="J142" s="20" t="s">
        <v>26</v>
      </c>
      <c r="K142" s="41" t="s">
        <v>23</v>
      </c>
      <c r="L142" s="41" t="s">
        <v>231</v>
      </c>
      <c r="M142" s="41"/>
      <c r="N142" s="20"/>
      <c r="O142" s="20"/>
    </row>
    <row r="143" spans="2:18">
      <c r="B143" s="40" t="s">
        <v>230</v>
      </c>
      <c r="C143" s="40"/>
      <c r="D143" s="40">
        <v>10</v>
      </c>
      <c r="E143" s="40"/>
      <c r="F143" s="40" t="s">
        <v>228</v>
      </c>
      <c r="G143" s="40" t="s">
        <v>232</v>
      </c>
      <c r="H143" s="40" t="s">
        <v>215</v>
      </c>
      <c r="I143" s="41"/>
      <c r="J143" s="20" t="s">
        <v>26</v>
      </c>
      <c r="K143" s="41" t="s">
        <v>23</v>
      </c>
      <c r="L143" s="41" t="s">
        <v>233</v>
      </c>
      <c r="M143" s="41"/>
      <c r="N143" s="20"/>
      <c r="O143" s="20"/>
    </row>
    <row r="144" ht="27" customHeight="1" spans="2:18">
      <c r="B144" s="40" t="s">
        <v>232</v>
      </c>
      <c r="C144" s="40"/>
      <c r="D144" s="40">
        <v>11</v>
      </c>
      <c r="E144" s="40"/>
      <c r="F144" s="40" t="s">
        <v>230</v>
      </c>
      <c r="G144" s="40" t="s">
        <v>234</v>
      </c>
      <c r="H144" s="40" t="s">
        <v>215</v>
      </c>
      <c r="I144" s="41"/>
      <c r="J144" s="20" t="s">
        <v>26</v>
      </c>
      <c r="K144" s="41" t="s">
        <v>33</v>
      </c>
      <c r="L144" s="41" t="s">
        <v>235</v>
      </c>
      <c r="M144" s="41"/>
      <c r="N144" s="20"/>
      <c r="O144" s="20"/>
    </row>
    <row r="145" ht="27" customHeight="1" spans="2:15">
      <c r="B145" s="40" t="s">
        <v>234</v>
      </c>
      <c r="C145" s="40"/>
      <c r="D145" s="40">
        <v>12</v>
      </c>
      <c r="E145" s="40"/>
      <c r="F145" s="40" t="s">
        <v>232</v>
      </c>
      <c r="G145" s="40" t="s">
        <v>236</v>
      </c>
      <c r="H145" s="40" t="s">
        <v>215</v>
      </c>
      <c r="I145" s="41"/>
      <c r="J145" s="20" t="s">
        <v>26</v>
      </c>
      <c r="K145" s="41" t="s">
        <v>30</v>
      </c>
      <c r="L145" s="41"/>
      <c r="M145" s="41"/>
      <c r="N145" s="20"/>
      <c r="O145" s="20"/>
    </row>
    <row r="146" ht="27" customHeight="1" spans="2:15">
      <c r="B146" s="40" t="s">
        <v>236</v>
      </c>
      <c r="C146" s="40"/>
      <c r="D146" s="40">
        <v>13</v>
      </c>
      <c r="E146" s="40"/>
      <c r="F146" s="40" t="s">
        <v>234</v>
      </c>
      <c r="G146" s="40" t="s">
        <v>237</v>
      </c>
      <c r="H146" s="40" t="s">
        <v>215</v>
      </c>
      <c r="I146" s="41"/>
      <c r="J146" s="20" t="s">
        <v>26</v>
      </c>
      <c r="K146" s="41" t="s">
        <v>23</v>
      </c>
      <c r="L146" s="41" t="s">
        <v>238</v>
      </c>
      <c r="M146" s="41"/>
      <c r="N146" s="20"/>
      <c r="O146" s="20"/>
    </row>
    <row r="147" ht="27" customHeight="1" spans="2:15">
      <c r="B147" s="40" t="s">
        <v>237</v>
      </c>
      <c r="C147" s="40"/>
      <c r="D147" s="40">
        <v>14</v>
      </c>
      <c r="E147" s="40"/>
      <c r="F147" s="40" t="s">
        <v>236</v>
      </c>
      <c r="G147" s="40" t="s">
        <v>239</v>
      </c>
      <c r="H147" s="40" t="s">
        <v>215</v>
      </c>
      <c r="I147" s="41"/>
      <c r="J147" s="20" t="s">
        <v>26</v>
      </c>
      <c r="K147" s="41" t="s">
        <v>23</v>
      </c>
      <c r="L147" s="41" t="s">
        <v>240</v>
      </c>
      <c r="M147" s="41"/>
      <c r="N147" s="20"/>
      <c r="O147" s="20"/>
    </row>
    <row r="148" ht="27" customHeight="1" spans="2:15">
      <c r="B148" s="40" t="s">
        <v>239</v>
      </c>
      <c r="C148" s="40"/>
      <c r="D148" s="40">
        <v>15</v>
      </c>
      <c r="E148" s="40"/>
      <c r="F148" s="40" t="s">
        <v>237</v>
      </c>
      <c r="G148" s="40" t="s">
        <v>241</v>
      </c>
      <c r="H148" s="40" t="s">
        <v>215</v>
      </c>
      <c r="I148" s="41"/>
      <c r="J148" s="20" t="s">
        <v>26</v>
      </c>
      <c r="K148" s="41" t="s">
        <v>23</v>
      </c>
      <c r="L148" s="41" t="s">
        <v>242</v>
      </c>
      <c r="M148" s="41"/>
      <c r="N148" s="20"/>
      <c r="O148" s="20"/>
    </row>
    <row r="149" spans="2:15">
      <c r="B149" s="40" t="s">
        <v>241</v>
      </c>
      <c r="C149" s="40"/>
      <c r="D149" s="40">
        <v>16</v>
      </c>
      <c r="E149" s="40"/>
      <c r="F149" s="40" t="s">
        <v>239</v>
      </c>
      <c r="G149" s="40" t="s">
        <v>243</v>
      </c>
      <c r="H149" s="40" t="s">
        <v>215</v>
      </c>
      <c r="I149" s="41"/>
      <c r="J149" s="20" t="s">
        <v>26</v>
      </c>
      <c r="K149" s="41" t="s">
        <v>23</v>
      </c>
      <c r="L149" s="41" t="s">
        <v>244</v>
      </c>
      <c r="M149" s="41"/>
      <c r="N149" s="20"/>
      <c r="O149" s="20"/>
    </row>
    <row r="150" ht="27" customHeight="1" spans="2:15">
      <c r="B150" s="40" t="s">
        <v>243</v>
      </c>
      <c r="C150" s="40"/>
      <c r="D150" s="40">
        <v>17</v>
      </c>
      <c r="E150" s="40"/>
      <c r="F150" s="40" t="s">
        <v>241</v>
      </c>
      <c r="G150" s="40" t="s">
        <v>245</v>
      </c>
      <c r="H150" s="40" t="s">
        <v>215</v>
      </c>
      <c r="I150" s="41"/>
      <c r="J150" s="20" t="s">
        <v>26</v>
      </c>
      <c r="K150" s="41" t="s">
        <v>33</v>
      </c>
      <c r="L150" s="41" t="s">
        <v>246</v>
      </c>
      <c r="M150" s="41"/>
      <c r="N150" s="20"/>
      <c r="O150" s="20"/>
    </row>
    <row r="151" ht="27" customHeight="1" spans="2:15">
      <c r="B151" s="40" t="s">
        <v>245</v>
      </c>
      <c r="C151" s="40"/>
      <c r="D151" s="40">
        <v>18</v>
      </c>
      <c r="E151" s="40"/>
      <c r="F151" s="40" t="s">
        <v>243</v>
      </c>
      <c r="G151" s="40" t="s">
        <v>247</v>
      </c>
      <c r="H151" s="40" t="s">
        <v>215</v>
      </c>
      <c r="I151" s="41"/>
      <c r="J151" s="20" t="s">
        <v>26</v>
      </c>
      <c r="K151" s="41" t="s">
        <v>30</v>
      </c>
      <c r="L151" s="41"/>
      <c r="M151" s="41"/>
      <c r="N151" s="20"/>
      <c r="O151" s="20"/>
    </row>
    <row r="152" ht="27" customHeight="1" spans="2:15">
      <c r="B152" s="40" t="s">
        <v>247</v>
      </c>
      <c r="C152" s="40"/>
      <c r="D152" s="40">
        <v>19</v>
      </c>
      <c r="E152" s="40"/>
      <c r="F152" s="40" t="s">
        <v>245</v>
      </c>
      <c r="G152" s="40" t="s">
        <v>248</v>
      </c>
      <c r="H152" s="40" t="s">
        <v>215</v>
      </c>
      <c r="I152" s="41"/>
      <c r="J152" s="20" t="s">
        <v>26</v>
      </c>
      <c r="K152" s="41" t="s">
        <v>23</v>
      </c>
      <c r="L152" s="41" t="s">
        <v>249</v>
      </c>
      <c r="M152" s="41"/>
      <c r="N152" s="20"/>
      <c r="O152" s="20"/>
    </row>
    <row r="153" ht="27" customHeight="1" spans="2:15">
      <c r="B153" s="40" t="s">
        <v>248</v>
      </c>
      <c r="C153" s="40"/>
      <c r="D153" s="40">
        <v>20</v>
      </c>
      <c r="E153" s="40"/>
      <c r="F153" s="40" t="s">
        <v>247</v>
      </c>
      <c r="G153" s="40" t="s">
        <v>250</v>
      </c>
      <c r="H153" s="40" t="s">
        <v>215</v>
      </c>
      <c r="I153" s="41"/>
      <c r="J153" s="20" t="s">
        <v>26</v>
      </c>
      <c r="K153" s="41" t="s">
        <v>23</v>
      </c>
      <c r="L153" s="41" t="s">
        <v>251</v>
      </c>
      <c r="M153" s="41"/>
      <c r="N153" s="20"/>
      <c r="O153" s="20"/>
    </row>
    <row r="154" ht="27" customHeight="1" spans="2:15">
      <c r="B154" s="40" t="s">
        <v>250</v>
      </c>
      <c r="C154" s="40"/>
      <c r="D154" s="40">
        <v>21</v>
      </c>
      <c r="E154" s="40"/>
      <c r="F154" s="40" t="s">
        <v>248</v>
      </c>
      <c r="G154" s="40" t="s">
        <v>252</v>
      </c>
      <c r="H154" s="40" t="s">
        <v>215</v>
      </c>
      <c r="I154" s="41"/>
      <c r="J154" s="20" t="s">
        <v>26</v>
      </c>
      <c r="K154" s="41" t="s">
        <v>23</v>
      </c>
      <c r="L154" s="41" t="s">
        <v>253</v>
      </c>
      <c r="M154" s="41"/>
      <c r="N154" s="20"/>
      <c r="O154" s="20"/>
    </row>
    <row r="155" spans="2:15">
      <c r="B155" s="40" t="s">
        <v>252</v>
      </c>
      <c r="C155" s="40"/>
      <c r="D155" s="40">
        <v>22</v>
      </c>
      <c r="E155" s="40"/>
      <c r="F155" s="40" t="s">
        <v>250</v>
      </c>
      <c r="G155" s="40" t="s">
        <v>254</v>
      </c>
      <c r="H155" s="40" t="s">
        <v>215</v>
      </c>
      <c r="I155" s="41"/>
      <c r="J155" s="20" t="s">
        <v>26</v>
      </c>
      <c r="K155" s="41" t="s">
        <v>23</v>
      </c>
      <c r="L155" s="41" t="s">
        <v>255</v>
      </c>
      <c r="M155" s="41"/>
      <c r="N155" s="20"/>
      <c r="O155" s="20"/>
    </row>
    <row r="156" ht="27" customHeight="1" spans="2:15">
      <c r="B156" s="40" t="s">
        <v>254</v>
      </c>
      <c r="C156" s="40"/>
      <c r="D156" s="40">
        <v>23</v>
      </c>
      <c r="E156" s="40"/>
      <c r="F156" s="40" t="s">
        <v>252</v>
      </c>
      <c r="G156" s="40" t="s">
        <v>256</v>
      </c>
      <c r="H156" s="40" t="s">
        <v>215</v>
      </c>
      <c r="I156" s="41"/>
      <c r="J156" s="20" t="s">
        <v>26</v>
      </c>
      <c r="K156" s="41" t="s">
        <v>33</v>
      </c>
      <c r="L156" s="41" t="s">
        <v>257</v>
      </c>
      <c r="M156" s="41"/>
      <c r="N156" s="20"/>
      <c r="O156" s="20"/>
    </row>
    <row r="157" ht="27" customHeight="1" spans="2:15">
      <c r="B157" s="40" t="s">
        <v>256</v>
      </c>
      <c r="C157" s="40"/>
      <c r="D157" s="40">
        <v>24</v>
      </c>
      <c r="E157" s="40"/>
      <c r="F157" s="40" t="s">
        <v>254</v>
      </c>
      <c r="G157" s="40" t="s">
        <v>258</v>
      </c>
      <c r="H157" s="40" t="s">
        <v>215</v>
      </c>
      <c r="I157" s="41"/>
      <c r="J157" s="20" t="s">
        <v>26</v>
      </c>
      <c r="K157" s="41" t="s">
        <v>30</v>
      </c>
      <c r="L157" s="41"/>
      <c r="M157" s="41"/>
      <c r="N157" s="20"/>
      <c r="O157" s="20"/>
    </row>
    <row r="158" ht="27" customHeight="1" spans="2:15">
      <c r="B158" s="40" t="s">
        <v>258</v>
      </c>
      <c r="C158" s="40"/>
      <c r="D158" s="40">
        <v>25</v>
      </c>
      <c r="E158" s="40"/>
      <c r="F158" s="40" t="s">
        <v>256</v>
      </c>
      <c r="G158" s="40" t="s">
        <v>259</v>
      </c>
      <c r="H158" s="40" t="s">
        <v>215</v>
      </c>
      <c r="I158" s="41"/>
      <c r="J158" s="20" t="s">
        <v>26</v>
      </c>
      <c r="K158" s="41" t="s">
        <v>23</v>
      </c>
      <c r="L158" s="41" t="s">
        <v>260</v>
      </c>
      <c r="M158" s="41"/>
      <c r="N158" s="20"/>
      <c r="O158" s="20"/>
    </row>
    <row r="159" ht="27" customHeight="1" spans="2:15">
      <c r="B159" s="40" t="s">
        <v>259</v>
      </c>
      <c r="C159" s="40"/>
      <c r="D159" s="40">
        <v>26</v>
      </c>
      <c r="E159" s="40"/>
      <c r="F159" s="40" t="s">
        <v>258</v>
      </c>
      <c r="G159" s="40" t="s">
        <v>261</v>
      </c>
      <c r="H159" s="40" t="s">
        <v>215</v>
      </c>
      <c r="I159" s="41"/>
      <c r="J159" s="20" t="s">
        <v>26</v>
      </c>
      <c r="K159" s="41" t="s">
        <v>23</v>
      </c>
      <c r="L159" s="41" t="s">
        <v>262</v>
      </c>
      <c r="M159" s="41"/>
      <c r="N159" s="20"/>
      <c r="O159" s="20"/>
    </row>
    <row r="160" ht="27" customHeight="1" spans="2:15">
      <c r="B160" s="40" t="s">
        <v>261</v>
      </c>
      <c r="C160" s="40"/>
      <c r="D160" s="40">
        <v>27</v>
      </c>
      <c r="E160" s="40"/>
      <c r="F160" s="40" t="s">
        <v>259</v>
      </c>
      <c r="G160" s="40" t="s">
        <v>263</v>
      </c>
      <c r="H160" s="40" t="s">
        <v>215</v>
      </c>
      <c r="I160" s="41"/>
      <c r="J160" s="20" t="s">
        <v>26</v>
      </c>
      <c r="K160" s="41" t="s">
        <v>23</v>
      </c>
      <c r="L160" s="41" t="s">
        <v>264</v>
      </c>
      <c r="M160" s="41"/>
      <c r="N160" s="20"/>
      <c r="O160" s="20"/>
    </row>
    <row r="161" spans="2:15">
      <c r="B161" s="40" t="s">
        <v>263</v>
      </c>
      <c r="C161" s="40"/>
      <c r="D161" s="40">
        <v>28</v>
      </c>
      <c r="E161" s="40"/>
      <c r="F161" s="40" t="s">
        <v>261</v>
      </c>
      <c r="G161" s="40" t="s">
        <v>265</v>
      </c>
      <c r="H161" s="40" t="s">
        <v>215</v>
      </c>
      <c r="I161" s="41"/>
      <c r="J161" s="20" t="s">
        <v>26</v>
      </c>
      <c r="K161" s="41" t="s">
        <v>23</v>
      </c>
      <c r="L161" s="41" t="s">
        <v>266</v>
      </c>
      <c r="M161" s="41"/>
      <c r="N161" s="20"/>
      <c r="O161" s="20"/>
    </row>
    <row r="162" ht="27" customHeight="1" spans="2:15">
      <c r="B162" s="40" t="s">
        <v>265</v>
      </c>
      <c r="C162" s="40"/>
      <c r="D162" s="40">
        <v>29</v>
      </c>
      <c r="E162" s="40"/>
      <c r="F162" s="40" t="s">
        <v>263</v>
      </c>
      <c r="G162" s="40" t="s">
        <v>267</v>
      </c>
      <c r="H162" s="40" t="s">
        <v>215</v>
      </c>
      <c r="I162" s="41"/>
      <c r="J162" s="20" t="s">
        <v>26</v>
      </c>
      <c r="K162" s="41" t="s">
        <v>33</v>
      </c>
      <c r="L162" s="41" t="s">
        <v>268</v>
      </c>
      <c r="M162" s="41"/>
      <c r="N162" s="20"/>
      <c r="O162" s="20"/>
    </row>
    <row r="163" ht="27" customHeight="1" spans="2:15">
      <c r="B163" s="40" t="s">
        <v>267</v>
      </c>
      <c r="C163" s="40"/>
      <c r="D163" s="40">
        <v>30</v>
      </c>
      <c r="E163" s="40"/>
      <c r="F163" s="40" t="s">
        <v>265</v>
      </c>
      <c r="G163" s="40" t="s">
        <v>269</v>
      </c>
      <c r="H163" s="40" t="s">
        <v>215</v>
      </c>
      <c r="I163" s="41"/>
      <c r="J163" s="20" t="s">
        <v>26</v>
      </c>
      <c r="K163" s="41" t="s">
        <v>30</v>
      </c>
      <c r="L163" s="41"/>
      <c r="M163" s="41"/>
      <c r="N163" s="20"/>
      <c r="O163" s="20"/>
    </row>
    <row r="164" ht="27" customHeight="1" spans="2:15">
      <c r="B164" s="40" t="s">
        <v>269</v>
      </c>
      <c r="C164" s="40"/>
      <c r="D164" s="40">
        <v>31</v>
      </c>
      <c r="E164" s="40"/>
      <c r="F164" s="40" t="s">
        <v>267</v>
      </c>
      <c r="G164" s="40" t="s">
        <v>270</v>
      </c>
      <c r="H164" s="40" t="s">
        <v>215</v>
      </c>
      <c r="I164" s="41"/>
      <c r="J164" s="20" t="s">
        <v>26</v>
      </c>
      <c r="K164" s="41" t="s">
        <v>23</v>
      </c>
      <c r="L164" s="41" t="s">
        <v>271</v>
      </c>
      <c r="M164" s="41"/>
      <c r="N164" s="20"/>
      <c r="O164" s="20"/>
    </row>
    <row r="165" ht="27" customHeight="1" spans="2:15">
      <c r="B165" s="40" t="s">
        <v>270</v>
      </c>
      <c r="C165" s="40"/>
      <c r="D165" s="40">
        <v>32</v>
      </c>
      <c r="E165" s="40"/>
      <c r="F165" s="40" t="s">
        <v>269</v>
      </c>
      <c r="G165" s="40" t="s">
        <v>272</v>
      </c>
      <c r="H165" s="40" t="s">
        <v>215</v>
      </c>
      <c r="I165" s="41"/>
      <c r="J165" s="20" t="s">
        <v>26</v>
      </c>
      <c r="K165" s="41" t="s">
        <v>23</v>
      </c>
      <c r="L165" s="41" t="s">
        <v>273</v>
      </c>
      <c r="M165" s="41"/>
      <c r="N165" s="20"/>
      <c r="O165" s="20"/>
    </row>
    <row r="166" ht="27" customHeight="1" spans="2:15">
      <c r="B166" s="40" t="s">
        <v>272</v>
      </c>
      <c r="C166" s="40"/>
      <c r="D166" s="40">
        <v>33</v>
      </c>
      <c r="E166" s="40"/>
      <c r="F166" s="40" t="s">
        <v>270</v>
      </c>
      <c r="G166" s="40" t="s">
        <v>274</v>
      </c>
      <c r="H166" s="40" t="s">
        <v>215</v>
      </c>
      <c r="I166" s="41"/>
      <c r="J166" s="20" t="s">
        <v>26</v>
      </c>
      <c r="K166" s="41" t="s">
        <v>23</v>
      </c>
      <c r="L166" s="41" t="s">
        <v>275</v>
      </c>
      <c r="M166" s="41"/>
      <c r="N166" s="20"/>
      <c r="O166" s="20"/>
    </row>
    <row r="167" spans="2:15">
      <c r="B167" s="40" t="s">
        <v>274</v>
      </c>
      <c r="C167" s="40"/>
      <c r="D167" s="40">
        <v>34</v>
      </c>
      <c r="E167" s="40"/>
      <c r="F167" s="40" t="s">
        <v>272</v>
      </c>
      <c r="G167" s="40" t="s">
        <v>276</v>
      </c>
      <c r="H167" s="40" t="s">
        <v>215</v>
      </c>
      <c r="I167" s="41"/>
      <c r="J167" s="20" t="s">
        <v>26</v>
      </c>
      <c r="K167" s="41" t="s">
        <v>23</v>
      </c>
      <c r="L167" s="41" t="s">
        <v>277</v>
      </c>
      <c r="M167" s="41"/>
      <c r="N167" s="20"/>
      <c r="O167" s="20"/>
    </row>
    <row r="168" ht="27" customHeight="1" spans="2:15">
      <c r="B168" s="40" t="s">
        <v>276</v>
      </c>
      <c r="C168" s="40"/>
      <c r="D168" s="40">
        <v>35</v>
      </c>
      <c r="E168" s="40"/>
      <c r="F168" s="40" t="s">
        <v>274</v>
      </c>
      <c r="G168" s="40" t="s">
        <v>278</v>
      </c>
      <c r="H168" s="40" t="s">
        <v>215</v>
      </c>
      <c r="I168" s="41"/>
      <c r="J168" s="20" t="s">
        <v>26</v>
      </c>
      <c r="K168" s="41" t="s">
        <v>33</v>
      </c>
      <c r="L168" s="41" t="s">
        <v>279</v>
      </c>
      <c r="M168" s="41"/>
      <c r="N168" s="20"/>
      <c r="O168" s="20"/>
    </row>
    <row r="169" ht="27" customHeight="1" spans="2:15">
      <c r="B169" s="40" t="s">
        <v>278</v>
      </c>
      <c r="C169" s="40"/>
      <c r="D169" s="40">
        <v>36</v>
      </c>
      <c r="E169" s="40"/>
      <c r="F169" s="40" t="s">
        <v>276</v>
      </c>
      <c r="G169" s="40" t="s">
        <v>280</v>
      </c>
      <c r="H169" s="40" t="s">
        <v>215</v>
      </c>
      <c r="I169" s="41"/>
      <c r="J169" s="20" t="s">
        <v>26</v>
      </c>
      <c r="K169" s="41" t="s">
        <v>30</v>
      </c>
      <c r="L169" s="41"/>
      <c r="M169" s="41"/>
      <c r="N169" s="20"/>
      <c r="O169" s="20"/>
    </row>
    <row r="170" ht="27" customHeight="1" spans="2:15">
      <c r="B170" s="40" t="s">
        <v>280</v>
      </c>
      <c r="C170" s="40"/>
      <c r="D170" s="40">
        <v>37</v>
      </c>
      <c r="E170" s="40"/>
      <c r="F170" s="40" t="s">
        <v>278</v>
      </c>
      <c r="G170" s="40" t="s">
        <v>281</v>
      </c>
      <c r="H170" s="40" t="s">
        <v>215</v>
      </c>
      <c r="I170" s="41"/>
      <c r="J170" s="20" t="s">
        <v>26</v>
      </c>
      <c r="K170" s="41" t="s">
        <v>23</v>
      </c>
      <c r="L170" s="41" t="s">
        <v>282</v>
      </c>
      <c r="M170" s="41"/>
      <c r="N170" s="20"/>
      <c r="O170" s="20"/>
    </row>
    <row r="171" ht="27" customHeight="1" spans="2:15">
      <c r="B171" s="40" t="s">
        <v>281</v>
      </c>
      <c r="C171" s="40"/>
      <c r="D171" s="40">
        <v>38</v>
      </c>
      <c r="E171" s="40"/>
      <c r="F171" s="40" t="s">
        <v>280</v>
      </c>
      <c r="G171" s="40" t="s">
        <v>283</v>
      </c>
      <c r="H171" s="40" t="s">
        <v>215</v>
      </c>
      <c r="I171" s="41"/>
      <c r="J171" s="20" t="s">
        <v>26</v>
      </c>
      <c r="K171" s="41" t="s">
        <v>23</v>
      </c>
      <c r="L171" s="41" t="s">
        <v>284</v>
      </c>
      <c r="M171" s="41"/>
      <c r="N171" s="20"/>
      <c r="O171" s="20"/>
    </row>
    <row r="172" ht="27" customHeight="1" spans="2:15">
      <c r="B172" s="40" t="s">
        <v>283</v>
      </c>
      <c r="C172" s="40"/>
      <c r="D172" s="40">
        <v>39</v>
      </c>
      <c r="E172" s="40"/>
      <c r="F172" s="40" t="s">
        <v>281</v>
      </c>
      <c r="G172" s="40" t="s">
        <v>285</v>
      </c>
      <c r="H172" s="40" t="s">
        <v>215</v>
      </c>
      <c r="I172" s="41"/>
      <c r="J172" s="20" t="s">
        <v>26</v>
      </c>
      <c r="K172" s="41" t="s">
        <v>23</v>
      </c>
      <c r="L172" s="41" t="s">
        <v>286</v>
      </c>
      <c r="M172" s="41"/>
      <c r="N172" s="20"/>
      <c r="O172" s="20"/>
    </row>
    <row r="173" spans="2:15">
      <c r="B173" s="40" t="s">
        <v>285</v>
      </c>
      <c r="C173" s="40"/>
      <c r="D173" s="40">
        <v>40</v>
      </c>
      <c r="E173" s="40"/>
      <c r="F173" s="40" t="s">
        <v>283</v>
      </c>
      <c r="G173" s="40" t="s">
        <v>287</v>
      </c>
      <c r="H173" s="40" t="s">
        <v>215</v>
      </c>
      <c r="I173" s="41"/>
      <c r="J173" s="20" t="s">
        <v>26</v>
      </c>
      <c r="K173" s="41" t="s">
        <v>23</v>
      </c>
      <c r="L173" s="41" t="s">
        <v>288</v>
      </c>
      <c r="M173" s="41"/>
      <c r="N173" s="20"/>
      <c r="O173" s="20"/>
    </row>
    <row r="174" ht="27" customHeight="1" spans="2:15">
      <c r="B174" s="40" t="s">
        <v>287</v>
      </c>
      <c r="C174" s="40"/>
      <c r="D174" s="40">
        <v>41</v>
      </c>
      <c r="E174" s="40"/>
      <c r="F174" s="40" t="s">
        <v>285</v>
      </c>
      <c r="G174" s="40" t="s">
        <v>289</v>
      </c>
      <c r="H174" s="40" t="s">
        <v>215</v>
      </c>
      <c r="I174" s="41"/>
      <c r="J174" s="20" t="s">
        <v>26</v>
      </c>
      <c r="K174" s="41" t="s">
        <v>33</v>
      </c>
      <c r="L174" s="41" t="s">
        <v>290</v>
      </c>
      <c r="M174" s="41"/>
      <c r="N174" s="20"/>
      <c r="O174" s="20"/>
    </row>
    <row r="175" ht="27" customHeight="1" spans="2:15">
      <c r="B175" s="40" t="s">
        <v>289</v>
      </c>
      <c r="C175" s="40"/>
      <c r="D175" s="40">
        <v>42</v>
      </c>
      <c r="E175" s="40"/>
      <c r="F175" s="40" t="s">
        <v>287</v>
      </c>
      <c r="G175" s="40" t="s">
        <v>291</v>
      </c>
      <c r="H175" s="40" t="s">
        <v>215</v>
      </c>
      <c r="I175" s="41"/>
      <c r="J175" s="20" t="s">
        <v>26</v>
      </c>
      <c r="K175" s="41" t="s">
        <v>30</v>
      </c>
      <c r="L175" s="41"/>
      <c r="M175" s="41"/>
      <c r="N175" s="20"/>
      <c r="O175" s="20"/>
    </row>
    <row r="176" ht="27" customHeight="1" spans="2:15">
      <c r="B176" s="40" t="s">
        <v>291</v>
      </c>
      <c r="C176" s="40"/>
      <c r="D176" s="40">
        <v>43</v>
      </c>
      <c r="E176" s="40"/>
      <c r="F176" s="40" t="s">
        <v>289</v>
      </c>
      <c r="G176" s="40" t="s">
        <v>292</v>
      </c>
      <c r="H176" s="40" t="s">
        <v>215</v>
      </c>
      <c r="I176" s="41"/>
      <c r="J176" s="20" t="s">
        <v>26</v>
      </c>
      <c r="K176" s="41" t="s">
        <v>23</v>
      </c>
      <c r="L176" s="41" t="s">
        <v>293</v>
      </c>
      <c r="M176" s="41"/>
      <c r="N176" s="20"/>
      <c r="O176" s="20"/>
    </row>
    <row r="177" ht="27" customHeight="1" spans="2:18">
      <c r="B177" s="40" t="s">
        <v>292</v>
      </c>
      <c r="C177" s="40"/>
      <c r="D177" s="40">
        <v>44</v>
      </c>
      <c r="E177" s="40"/>
      <c r="F177" s="40" t="s">
        <v>291</v>
      </c>
      <c r="G177" s="40" t="s">
        <v>294</v>
      </c>
      <c r="H177" s="40" t="s">
        <v>215</v>
      </c>
      <c r="I177" s="41"/>
      <c r="J177" s="20" t="s">
        <v>26</v>
      </c>
      <c r="K177" s="41" t="s">
        <v>23</v>
      </c>
      <c r="L177" s="41" t="s">
        <v>295</v>
      </c>
      <c r="M177" s="41"/>
      <c r="N177" s="20"/>
      <c r="O177" s="20"/>
    </row>
    <row r="178" spans="2:18">
      <c r="B178" s="40" t="s">
        <v>294</v>
      </c>
      <c r="C178" s="40"/>
      <c r="D178" s="40">
        <v>45</v>
      </c>
      <c r="E178" s="40"/>
      <c r="F178" s="40" t="s">
        <v>292</v>
      </c>
      <c r="G178" s="40" t="s">
        <v>296</v>
      </c>
      <c r="H178" s="40" t="s">
        <v>215</v>
      </c>
      <c r="I178" s="41"/>
      <c r="J178" s="20" t="s">
        <v>26</v>
      </c>
      <c r="K178" s="41" t="s">
        <v>23</v>
      </c>
      <c r="L178" s="41" t="s">
        <v>297</v>
      </c>
      <c r="M178" s="41"/>
      <c r="N178" s="20"/>
      <c r="O178" s="20"/>
    </row>
    <row r="179" ht="27" customHeight="1" spans="2:18">
      <c r="B179" s="40" t="s">
        <v>296</v>
      </c>
      <c r="C179" s="40"/>
      <c r="D179" s="40">
        <v>46</v>
      </c>
      <c r="E179" s="40"/>
      <c r="F179" s="40" t="s">
        <v>294</v>
      </c>
      <c r="G179" s="40" t="s">
        <v>298</v>
      </c>
      <c r="H179" s="40" t="s">
        <v>215</v>
      </c>
      <c r="I179" s="41"/>
      <c r="J179" s="20" t="s">
        <v>26</v>
      </c>
      <c r="K179" s="41" t="s">
        <v>23</v>
      </c>
      <c r="L179" s="41" t="s">
        <v>299</v>
      </c>
      <c r="M179" s="41"/>
      <c r="N179" s="20"/>
      <c r="O179" s="20"/>
    </row>
    <row r="180" ht="27" customHeight="1" spans="2:18">
      <c r="B180" s="40" t="s">
        <v>298</v>
      </c>
      <c r="C180" s="40"/>
      <c r="D180" s="40">
        <v>47</v>
      </c>
      <c r="E180" s="40"/>
      <c r="F180" s="40" t="s">
        <v>296</v>
      </c>
      <c r="G180" s="40" t="s">
        <v>300</v>
      </c>
      <c r="H180" s="40" t="s">
        <v>215</v>
      </c>
      <c r="I180" s="41"/>
      <c r="J180" s="20" t="s">
        <v>26</v>
      </c>
      <c r="K180" s="41" t="s">
        <v>30</v>
      </c>
      <c r="L180" s="41"/>
      <c r="M180" s="41"/>
      <c r="N180" s="20"/>
      <c r="O180" s="20"/>
    </row>
    <row r="181" ht="27" customHeight="1" spans="2:18">
      <c r="B181" s="40" t="s">
        <v>300</v>
      </c>
      <c r="C181" s="40"/>
      <c r="D181" s="40">
        <v>48</v>
      </c>
      <c r="E181" s="40"/>
      <c r="F181" s="40" t="s">
        <v>298</v>
      </c>
      <c r="G181" s="40" t="s">
        <v>301</v>
      </c>
      <c r="H181" s="40" t="s">
        <v>215</v>
      </c>
      <c r="I181" s="41" t="s">
        <v>23</v>
      </c>
      <c r="J181" s="20" t="s">
        <v>26</v>
      </c>
      <c r="K181" s="41" t="s">
        <v>37</v>
      </c>
      <c r="L181" s="41" t="s">
        <v>302</v>
      </c>
      <c r="M181" s="41"/>
      <c r="N181" s="20"/>
      <c r="O181" s="20"/>
    </row>
    <row r="182" ht="27" customHeight="1" spans="2:18">
      <c r="B182" s="20" t="s">
        <v>303</v>
      </c>
      <c r="C182" s="20" t="s">
        <v>304</v>
      </c>
      <c r="D182" s="20" t="s">
        <v>305</v>
      </c>
      <c r="E182" s="20" t="s">
        <v>23</v>
      </c>
      <c r="F182" s="20"/>
      <c r="G182" s="20" t="s">
        <v>306</v>
      </c>
      <c r="H182" s="20" t="s">
        <v>25</v>
      </c>
      <c r="I182" s="20"/>
      <c r="J182" s="20" t="s">
        <v>26</v>
      </c>
      <c r="K182" s="20" t="s">
        <v>23</v>
      </c>
      <c r="L182" s="9" t="s">
        <v>307</v>
      </c>
      <c r="M182" s="22" t="s">
        <v>23</v>
      </c>
      <c r="N182" s="20"/>
      <c r="O182" s="20" t="s">
        <v>23</v>
      </c>
      <c r="R182" s="9" t="s">
        <v>29</v>
      </c>
    </row>
    <row r="183" ht="27" customHeight="1" spans="2:18">
      <c r="B183" s="20" t="s">
        <v>306</v>
      </c>
      <c r="C183" s="20" t="s">
        <v>304</v>
      </c>
      <c r="D183" s="20" t="s">
        <v>308</v>
      </c>
      <c r="E183" s="20"/>
      <c r="F183" s="20" t="s">
        <v>303</v>
      </c>
      <c r="G183" s="20" t="s">
        <v>309</v>
      </c>
      <c r="H183" s="20" t="s">
        <v>25</v>
      </c>
      <c r="I183" s="20"/>
      <c r="J183" s="20" t="s">
        <v>26</v>
      </c>
      <c r="K183" s="20" t="s">
        <v>23</v>
      </c>
      <c r="L183" s="42" t="s">
        <v>310</v>
      </c>
      <c r="M183" s="22" t="s">
        <v>23</v>
      </c>
      <c r="N183" s="20"/>
      <c r="O183" s="20" t="s">
        <v>23</v>
      </c>
      <c r="R183" s="9" t="s">
        <v>29</v>
      </c>
    </row>
    <row r="184" ht="27" customHeight="1" spans="2:18">
      <c r="B184" s="20" t="s">
        <v>309</v>
      </c>
      <c r="C184" s="20" t="s">
        <v>304</v>
      </c>
      <c r="D184" s="20" t="s">
        <v>311</v>
      </c>
      <c r="E184" s="20"/>
      <c r="F184" s="20" t="s">
        <v>306</v>
      </c>
      <c r="G184" s="20" t="s">
        <v>312</v>
      </c>
      <c r="H184" s="20" t="s">
        <v>25</v>
      </c>
      <c r="I184" s="20"/>
      <c r="J184" s="20" t="s">
        <v>26</v>
      </c>
      <c r="K184" s="20" t="s">
        <v>23</v>
      </c>
      <c r="L184" s="42" t="s">
        <v>313</v>
      </c>
      <c r="M184" s="22" t="s">
        <v>23</v>
      </c>
      <c r="N184" s="20"/>
      <c r="O184" s="20" t="s">
        <v>23</v>
      </c>
      <c r="R184" s="9" t="s">
        <v>29</v>
      </c>
    </row>
    <row r="185" ht="27" customHeight="1" spans="2:18">
      <c r="B185" s="20" t="s">
        <v>312</v>
      </c>
      <c r="C185" s="20" t="s">
        <v>304</v>
      </c>
      <c r="D185" s="20" t="s">
        <v>314</v>
      </c>
      <c r="E185" s="20"/>
      <c r="F185" s="20" t="s">
        <v>309</v>
      </c>
      <c r="G185" s="20" t="s">
        <v>315</v>
      </c>
      <c r="H185" s="20" t="s">
        <v>25</v>
      </c>
      <c r="I185" s="20"/>
      <c r="J185" s="20" t="s">
        <v>26</v>
      </c>
      <c r="K185" s="20" t="s">
        <v>23</v>
      </c>
      <c r="L185" s="9" t="s">
        <v>307</v>
      </c>
      <c r="M185" s="22" t="s">
        <v>30</v>
      </c>
      <c r="N185" s="20"/>
      <c r="O185" s="20" t="s">
        <v>23</v>
      </c>
      <c r="R185" s="9" t="s">
        <v>29</v>
      </c>
    </row>
    <row r="186" ht="27" customHeight="1" spans="2:18">
      <c r="B186" s="20" t="s">
        <v>315</v>
      </c>
      <c r="C186" s="20" t="s">
        <v>304</v>
      </c>
      <c r="D186" s="20" t="s">
        <v>316</v>
      </c>
      <c r="E186" s="20"/>
      <c r="F186" s="20" t="s">
        <v>312</v>
      </c>
      <c r="G186" s="20" t="s">
        <v>317</v>
      </c>
      <c r="H186" s="20" t="s">
        <v>25</v>
      </c>
      <c r="I186" s="20"/>
      <c r="J186" s="20" t="s">
        <v>26</v>
      </c>
      <c r="K186" s="20" t="s">
        <v>23</v>
      </c>
      <c r="L186" s="42" t="s">
        <v>310</v>
      </c>
      <c r="M186" s="22" t="s">
        <v>30</v>
      </c>
      <c r="N186" s="20"/>
      <c r="O186" s="20" t="s">
        <v>23</v>
      </c>
      <c r="R186" s="9" t="s">
        <v>29</v>
      </c>
    </row>
    <row r="187" ht="27" customHeight="1" spans="2:18">
      <c r="B187" s="20" t="s">
        <v>317</v>
      </c>
      <c r="C187" s="20" t="s">
        <v>304</v>
      </c>
      <c r="D187" s="20" t="s">
        <v>318</v>
      </c>
      <c r="E187" s="20"/>
      <c r="F187" s="20" t="s">
        <v>315</v>
      </c>
      <c r="G187" s="20" t="s">
        <v>319</v>
      </c>
      <c r="H187" s="20" t="s">
        <v>25</v>
      </c>
      <c r="I187" s="20"/>
      <c r="J187" s="20" t="s">
        <v>26</v>
      </c>
      <c r="K187" s="20" t="s">
        <v>23</v>
      </c>
      <c r="L187" s="42" t="s">
        <v>313</v>
      </c>
      <c r="M187" s="22" t="s">
        <v>30</v>
      </c>
      <c r="N187" s="20"/>
      <c r="O187" s="20" t="s">
        <v>23</v>
      </c>
      <c r="R187" s="9" t="s">
        <v>29</v>
      </c>
    </row>
    <row r="188" ht="27" customHeight="1" spans="2:18">
      <c r="B188" s="20" t="s">
        <v>319</v>
      </c>
      <c r="C188" s="20" t="s">
        <v>304</v>
      </c>
      <c r="D188" s="20" t="s">
        <v>320</v>
      </c>
      <c r="E188" s="20"/>
      <c r="F188" s="20" t="s">
        <v>317</v>
      </c>
      <c r="G188" s="20" t="s">
        <v>321</v>
      </c>
      <c r="H188" s="20" t="s">
        <v>25</v>
      </c>
      <c r="I188" s="20"/>
      <c r="J188" s="20" t="s">
        <v>26</v>
      </c>
      <c r="K188" s="20" t="s">
        <v>23</v>
      </c>
      <c r="L188" s="9" t="s">
        <v>307</v>
      </c>
      <c r="M188" s="22" t="s">
        <v>33</v>
      </c>
      <c r="N188" s="20"/>
      <c r="O188" s="20" t="s">
        <v>23</v>
      </c>
      <c r="R188" s="9" t="s">
        <v>29</v>
      </c>
    </row>
    <row r="189" ht="27" spans="2:18">
      <c r="B189" s="20" t="s">
        <v>321</v>
      </c>
      <c r="C189" s="20" t="s">
        <v>304</v>
      </c>
      <c r="D189" s="20" t="s">
        <v>322</v>
      </c>
      <c r="E189" s="20"/>
      <c r="F189" s="20" t="s">
        <v>319</v>
      </c>
      <c r="G189" s="20" t="s">
        <v>323</v>
      </c>
      <c r="H189" s="20" t="s">
        <v>25</v>
      </c>
      <c r="I189" s="20"/>
      <c r="J189" s="20" t="s">
        <v>26</v>
      </c>
      <c r="K189" s="20" t="s">
        <v>23</v>
      </c>
      <c r="L189" s="42" t="s">
        <v>310</v>
      </c>
      <c r="M189" s="22" t="s">
        <v>33</v>
      </c>
      <c r="N189" s="20"/>
      <c r="O189" s="20" t="s">
        <v>23</v>
      </c>
      <c r="R189" s="9" t="s">
        <v>29</v>
      </c>
    </row>
    <row r="190" ht="27" customHeight="1" spans="2:18">
      <c r="B190" s="20" t="s">
        <v>323</v>
      </c>
      <c r="C190" s="20" t="s">
        <v>304</v>
      </c>
      <c r="D190" s="20" t="s">
        <v>324</v>
      </c>
      <c r="E190" s="20"/>
      <c r="F190" s="20" t="s">
        <v>321</v>
      </c>
      <c r="G190" s="20" t="s">
        <v>325</v>
      </c>
      <c r="H190" s="20" t="s">
        <v>25</v>
      </c>
      <c r="I190" s="20"/>
      <c r="J190" s="20" t="s">
        <v>26</v>
      </c>
      <c r="K190" s="20" t="s">
        <v>23</v>
      </c>
      <c r="L190" s="42" t="s">
        <v>313</v>
      </c>
      <c r="M190" s="22" t="s">
        <v>33</v>
      </c>
      <c r="N190" s="20"/>
      <c r="O190" s="20" t="s">
        <v>23</v>
      </c>
      <c r="R190" s="9" t="s">
        <v>29</v>
      </c>
    </row>
    <row r="191" ht="27" customHeight="1" spans="2:18">
      <c r="B191" s="20" t="s">
        <v>325</v>
      </c>
      <c r="C191" s="20" t="s">
        <v>304</v>
      </c>
      <c r="D191" s="20" t="s">
        <v>326</v>
      </c>
      <c r="E191" s="20"/>
      <c r="F191" s="20" t="s">
        <v>323</v>
      </c>
      <c r="G191" s="20"/>
      <c r="H191" s="20" t="s">
        <v>25</v>
      </c>
      <c r="I191" s="20" t="s">
        <v>23</v>
      </c>
      <c r="J191" s="20" t="s">
        <v>26</v>
      </c>
      <c r="K191" s="20" t="s">
        <v>37</v>
      </c>
      <c r="L191" s="9" t="s">
        <v>327</v>
      </c>
      <c r="M191" s="22" t="s">
        <v>40</v>
      </c>
      <c r="N191" s="20"/>
      <c r="O191" s="20" t="s">
        <v>23</v>
      </c>
    </row>
    <row r="192" ht="27" customHeight="1" spans="2:18">
      <c r="B192" s="43" t="s">
        <v>328</v>
      </c>
      <c r="C192" s="43" t="s">
        <v>329</v>
      </c>
      <c r="D192" s="43" t="s">
        <v>330</v>
      </c>
      <c r="E192" s="43" t="s">
        <v>23</v>
      </c>
      <c r="F192" s="43"/>
      <c r="G192" s="43" t="s">
        <v>331</v>
      </c>
      <c r="H192" s="43" t="s">
        <v>332</v>
      </c>
      <c r="I192" s="43"/>
      <c r="J192" s="20" t="s">
        <v>26</v>
      </c>
      <c r="K192" s="43" t="s">
        <v>23</v>
      </c>
      <c r="L192" s="8" t="s">
        <v>333</v>
      </c>
      <c r="M192" s="8" t="s">
        <v>98</v>
      </c>
      <c r="N192" s="43"/>
      <c r="O192" s="43" t="s">
        <v>23</v>
      </c>
      <c r="P192" s="9" t="s">
        <v>332</v>
      </c>
      <c r="Q192" s="9" t="s">
        <v>334</v>
      </c>
      <c r="R192" s="9" t="s">
        <v>29</v>
      </c>
    </row>
    <row r="193" ht="27" customHeight="1" spans="2:18">
      <c r="B193" s="43" t="s">
        <v>331</v>
      </c>
      <c r="C193" s="43" t="s">
        <v>329</v>
      </c>
      <c r="D193" s="43" t="s">
        <v>335</v>
      </c>
      <c r="E193" s="43"/>
      <c r="F193" s="43" t="s">
        <v>328</v>
      </c>
      <c r="G193" s="43" t="s">
        <v>336</v>
      </c>
      <c r="H193" s="43" t="s">
        <v>332</v>
      </c>
      <c r="I193" s="43"/>
      <c r="J193" s="20" t="s">
        <v>26</v>
      </c>
      <c r="K193" s="43" t="s">
        <v>23</v>
      </c>
      <c r="L193" s="8" t="s">
        <v>337</v>
      </c>
      <c r="M193" s="8" t="s">
        <v>98</v>
      </c>
      <c r="N193" s="43"/>
      <c r="O193" s="43" t="s">
        <v>23</v>
      </c>
      <c r="R193" s="9" t="s">
        <v>29</v>
      </c>
    </row>
    <row r="194" ht="27" customHeight="1" spans="2:18">
      <c r="B194" s="43" t="s">
        <v>336</v>
      </c>
      <c r="C194" s="43" t="s">
        <v>329</v>
      </c>
      <c r="D194" s="43" t="s">
        <v>338</v>
      </c>
      <c r="E194" s="43"/>
      <c r="F194" s="43" t="s">
        <v>331</v>
      </c>
      <c r="G194" s="43" t="s">
        <v>339</v>
      </c>
      <c r="H194" s="43" t="s">
        <v>332</v>
      </c>
      <c r="I194" s="43"/>
      <c r="J194" s="20" t="s">
        <v>26</v>
      </c>
      <c r="K194" s="43" t="s">
        <v>23</v>
      </c>
      <c r="L194" s="44" t="s">
        <v>340</v>
      </c>
      <c r="M194" s="44" t="s">
        <v>341</v>
      </c>
      <c r="N194" s="43"/>
      <c r="O194" s="43" t="s">
        <v>23</v>
      </c>
      <c r="R194" s="9" t="s">
        <v>29</v>
      </c>
    </row>
    <row r="195" ht="27" customHeight="1" spans="2:18">
      <c r="B195" s="43" t="s">
        <v>339</v>
      </c>
      <c r="C195" s="43" t="s">
        <v>329</v>
      </c>
      <c r="D195" s="43" t="s">
        <v>342</v>
      </c>
      <c r="E195" s="43"/>
      <c r="F195" s="43" t="s">
        <v>336</v>
      </c>
      <c r="G195" s="43" t="s">
        <v>343</v>
      </c>
      <c r="H195" s="43" t="s">
        <v>332</v>
      </c>
      <c r="I195" s="43"/>
      <c r="J195" s="20" t="s">
        <v>26</v>
      </c>
      <c r="K195" s="43" t="s">
        <v>23</v>
      </c>
      <c r="L195" s="8" t="s">
        <v>344</v>
      </c>
      <c r="M195" s="8" t="s">
        <v>341</v>
      </c>
      <c r="N195" s="43"/>
      <c r="O195" s="43" t="s">
        <v>23</v>
      </c>
      <c r="R195" s="9" t="s">
        <v>29</v>
      </c>
    </row>
    <row r="196" ht="27" customHeight="1" spans="2:18">
      <c r="B196" s="43" t="s">
        <v>343</v>
      </c>
      <c r="C196" s="43" t="s">
        <v>329</v>
      </c>
      <c r="D196" s="43" t="s">
        <v>345</v>
      </c>
      <c r="E196" s="43"/>
      <c r="F196" s="43" t="s">
        <v>339</v>
      </c>
      <c r="G196" s="43" t="s">
        <v>346</v>
      </c>
      <c r="H196" s="43" t="s">
        <v>332</v>
      </c>
      <c r="I196" s="43"/>
      <c r="J196" s="20" t="s">
        <v>26</v>
      </c>
      <c r="K196" s="43" t="s">
        <v>33</v>
      </c>
      <c r="L196" s="8" t="s">
        <v>347</v>
      </c>
      <c r="M196" s="8" t="s">
        <v>348</v>
      </c>
      <c r="N196" s="43"/>
      <c r="O196" s="43" t="s">
        <v>23</v>
      </c>
      <c r="R196" s="9" t="s">
        <v>29</v>
      </c>
    </row>
    <row r="197" ht="27" customHeight="1" spans="2:18">
      <c r="B197" s="43" t="s">
        <v>346</v>
      </c>
      <c r="C197" s="43" t="s">
        <v>329</v>
      </c>
      <c r="D197" s="43" t="s">
        <v>349</v>
      </c>
      <c r="E197" s="43"/>
      <c r="F197" s="43" t="s">
        <v>343</v>
      </c>
      <c r="G197" s="43" t="s">
        <v>350</v>
      </c>
      <c r="H197" s="43" t="s">
        <v>332</v>
      </c>
      <c r="I197" s="43"/>
      <c r="J197" s="20" t="s">
        <v>26</v>
      </c>
      <c r="K197" s="43" t="s">
        <v>23</v>
      </c>
      <c r="L197" s="8" t="s">
        <v>351</v>
      </c>
      <c r="M197" s="8" t="s">
        <v>348</v>
      </c>
      <c r="N197" s="43"/>
      <c r="O197" s="43" t="s">
        <v>23</v>
      </c>
      <c r="Q197" s="9" t="s">
        <v>352</v>
      </c>
      <c r="R197" s="9" t="s">
        <v>29</v>
      </c>
    </row>
    <row r="198" ht="27" customHeight="1" spans="2:18">
      <c r="B198" s="43" t="s">
        <v>350</v>
      </c>
      <c r="C198" s="43" t="s">
        <v>329</v>
      </c>
      <c r="D198" s="43" t="s">
        <v>353</v>
      </c>
      <c r="E198" s="43"/>
      <c r="F198" s="43" t="s">
        <v>346</v>
      </c>
      <c r="G198" s="43" t="s">
        <v>354</v>
      </c>
      <c r="H198" s="43" t="s">
        <v>332</v>
      </c>
      <c r="I198" s="43"/>
      <c r="J198" s="20" t="s">
        <v>26</v>
      </c>
      <c r="K198" s="43" t="s">
        <v>23</v>
      </c>
      <c r="L198" s="8" t="s">
        <v>355</v>
      </c>
      <c r="M198" s="8" t="s">
        <v>348</v>
      </c>
      <c r="N198" s="43"/>
      <c r="O198" s="43" t="s">
        <v>23</v>
      </c>
      <c r="R198" s="9" t="s">
        <v>29</v>
      </c>
    </row>
    <row r="199" ht="40.5" customHeight="1" spans="2:18">
      <c r="B199" s="43" t="s">
        <v>354</v>
      </c>
      <c r="C199" s="43" t="s">
        <v>329</v>
      </c>
      <c r="D199" s="43" t="s">
        <v>356</v>
      </c>
      <c r="E199" s="43"/>
      <c r="F199" s="43" t="s">
        <v>350</v>
      </c>
      <c r="G199" s="43" t="s">
        <v>357</v>
      </c>
      <c r="H199" s="43" t="s">
        <v>332</v>
      </c>
      <c r="I199" s="43"/>
      <c r="J199" s="20" t="s">
        <v>26</v>
      </c>
      <c r="K199" s="43" t="s">
        <v>23</v>
      </c>
      <c r="L199" s="8" t="s">
        <v>358</v>
      </c>
      <c r="M199" s="8" t="s">
        <v>359</v>
      </c>
      <c r="N199" s="43"/>
      <c r="O199" s="43" t="s">
        <v>23</v>
      </c>
      <c r="R199" s="9" t="s">
        <v>29</v>
      </c>
    </row>
    <row r="200" ht="27" customHeight="1" spans="2:18">
      <c r="B200" s="43" t="s">
        <v>357</v>
      </c>
      <c r="C200" s="43" t="s">
        <v>329</v>
      </c>
      <c r="D200" s="43" t="s">
        <v>360</v>
      </c>
      <c r="E200" s="43"/>
      <c r="F200" s="43" t="s">
        <v>354</v>
      </c>
      <c r="G200" s="43" t="s">
        <v>361</v>
      </c>
      <c r="H200" s="43" t="s">
        <v>332</v>
      </c>
      <c r="I200" s="43"/>
      <c r="J200" s="20" t="s">
        <v>26</v>
      </c>
      <c r="K200" s="43" t="s">
        <v>33</v>
      </c>
      <c r="L200" s="8" t="s">
        <v>362</v>
      </c>
      <c r="M200" s="8" t="s">
        <v>359</v>
      </c>
      <c r="N200" s="43"/>
      <c r="O200" s="43" t="s">
        <v>23</v>
      </c>
      <c r="Q200" s="9" t="s">
        <v>157</v>
      </c>
      <c r="R200" s="9" t="s">
        <v>29</v>
      </c>
    </row>
    <row r="201" ht="27" customHeight="1" spans="2:18">
      <c r="B201" s="43" t="s">
        <v>361</v>
      </c>
      <c r="C201" s="43" t="s">
        <v>329</v>
      </c>
      <c r="D201" s="43" t="s">
        <v>363</v>
      </c>
      <c r="E201" s="43"/>
      <c r="F201" s="43" t="s">
        <v>357</v>
      </c>
      <c r="G201" s="43" t="s">
        <v>364</v>
      </c>
      <c r="H201" s="43" t="s">
        <v>332</v>
      </c>
      <c r="I201" s="43"/>
      <c r="J201" s="20" t="s">
        <v>26</v>
      </c>
      <c r="K201" s="43" t="s">
        <v>33</v>
      </c>
      <c r="L201" s="8" t="s">
        <v>365</v>
      </c>
      <c r="M201" s="8" t="s">
        <v>359</v>
      </c>
      <c r="N201" s="43"/>
      <c r="O201" s="43" t="s">
        <v>23</v>
      </c>
      <c r="P201" s="9" t="s">
        <v>366</v>
      </c>
      <c r="Q201" s="9" t="s">
        <v>367</v>
      </c>
      <c r="R201" s="9" t="s">
        <v>29</v>
      </c>
    </row>
    <row r="202" ht="27" customHeight="1" spans="2:18">
      <c r="B202" s="43" t="s">
        <v>364</v>
      </c>
      <c r="C202" s="43" t="s">
        <v>329</v>
      </c>
      <c r="D202" s="43" t="s">
        <v>368</v>
      </c>
      <c r="E202" s="43"/>
      <c r="F202" s="43" t="s">
        <v>361</v>
      </c>
      <c r="G202" s="43" t="s">
        <v>369</v>
      </c>
      <c r="H202" s="43" t="s">
        <v>332</v>
      </c>
      <c r="I202" s="43"/>
      <c r="J202" s="20" t="s">
        <v>26</v>
      </c>
      <c r="K202" s="43" t="s">
        <v>23</v>
      </c>
      <c r="L202" s="8" t="s">
        <v>370</v>
      </c>
      <c r="M202" s="8" t="s">
        <v>359</v>
      </c>
      <c r="N202" s="43"/>
      <c r="O202" s="43" t="s">
        <v>23</v>
      </c>
      <c r="P202" s="9" t="s">
        <v>371</v>
      </c>
      <c r="R202" s="9" t="s">
        <v>29</v>
      </c>
    </row>
    <row r="203" ht="27" customHeight="1" spans="2:18">
      <c r="B203" s="43" t="s">
        <v>369</v>
      </c>
      <c r="C203" s="43" t="s">
        <v>329</v>
      </c>
      <c r="D203" s="43" t="s">
        <v>372</v>
      </c>
      <c r="E203" s="43"/>
      <c r="F203" s="43" t="s">
        <v>364</v>
      </c>
      <c r="G203" s="43" t="s">
        <v>373</v>
      </c>
      <c r="H203" s="43" t="s">
        <v>332</v>
      </c>
      <c r="I203" s="43"/>
      <c r="J203" s="20" t="s">
        <v>26</v>
      </c>
      <c r="K203" s="43" t="s">
        <v>23</v>
      </c>
      <c r="L203" s="44" t="s">
        <v>374</v>
      </c>
      <c r="M203" s="44" t="s">
        <v>375</v>
      </c>
      <c r="N203" s="43"/>
      <c r="O203" s="43" t="s">
        <v>23</v>
      </c>
      <c r="R203" s="9" t="s">
        <v>29</v>
      </c>
    </row>
    <row r="204" ht="37.5" customHeight="1" spans="2:18">
      <c r="B204" s="43" t="s">
        <v>373</v>
      </c>
      <c r="C204" s="43" t="s">
        <v>329</v>
      </c>
      <c r="D204" s="43" t="s">
        <v>376</v>
      </c>
      <c r="E204" s="43"/>
      <c r="F204" s="43" t="s">
        <v>369</v>
      </c>
      <c r="G204" s="43" t="s">
        <v>377</v>
      </c>
      <c r="H204" s="43" t="s">
        <v>332</v>
      </c>
      <c r="I204" s="43"/>
      <c r="J204" s="20" t="s">
        <v>26</v>
      </c>
      <c r="K204" s="43" t="s">
        <v>23</v>
      </c>
      <c r="L204" s="44" t="s">
        <v>378</v>
      </c>
      <c r="M204" s="44" t="s">
        <v>375</v>
      </c>
      <c r="N204" s="43"/>
      <c r="O204" s="43" t="s">
        <v>23</v>
      </c>
      <c r="R204" s="9" t="s">
        <v>29</v>
      </c>
    </row>
    <row r="205" ht="27" customHeight="1" spans="2:18">
      <c r="B205" s="43" t="s">
        <v>377</v>
      </c>
      <c r="C205" s="43" t="s">
        <v>329</v>
      </c>
      <c r="D205" s="43" t="s">
        <v>379</v>
      </c>
      <c r="E205" s="43"/>
      <c r="F205" s="43" t="s">
        <v>373</v>
      </c>
      <c r="G205" s="43" t="s">
        <v>380</v>
      </c>
      <c r="H205" s="43" t="s">
        <v>332</v>
      </c>
      <c r="I205" s="43"/>
      <c r="J205" s="20" t="s">
        <v>26</v>
      </c>
      <c r="K205" s="43" t="s">
        <v>23</v>
      </c>
      <c r="L205" s="8" t="s">
        <v>381</v>
      </c>
      <c r="M205" s="8" t="s">
        <v>382</v>
      </c>
      <c r="N205" s="43"/>
      <c r="O205" s="43" t="s">
        <v>23</v>
      </c>
      <c r="R205" s="9" t="s">
        <v>29</v>
      </c>
    </row>
    <row r="206" ht="27" customHeight="1" spans="2:18">
      <c r="B206" s="43" t="s">
        <v>380</v>
      </c>
      <c r="C206" s="43" t="s">
        <v>329</v>
      </c>
      <c r="D206" s="43" t="s">
        <v>383</v>
      </c>
      <c r="E206" s="43"/>
      <c r="F206" s="43" t="s">
        <v>377</v>
      </c>
      <c r="G206" s="43" t="s">
        <v>384</v>
      </c>
      <c r="H206" s="43" t="s">
        <v>332</v>
      </c>
      <c r="I206" s="43"/>
      <c r="J206" s="20" t="s">
        <v>26</v>
      </c>
      <c r="K206" s="43" t="s">
        <v>33</v>
      </c>
      <c r="L206" s="8" t="s">
        <v>385</v>
      </c>
      <c r="M206" s="8" t="s">
        <v>386</v>
      </c>
      <c r="N206" s="43"/>
      <c r="O206" s="43" t="s">
        <v>23</v>
      </c>
      <c r="P206" s="9" t="s">
        <v>387</v>
      </c>
      <c r="R206" s="9" t="s">
        <v>29</v>
      </c>
    </row>
    <row r="207" ht="27" customHeight="1" spans="2:18">
      <c r="B207" s="43" t="s">
        <v>384</v>
      </c>
      <c r="C207" s="43" t="s">
        <v>329</v>
      </c>
      <c r="D207" s="43" t="s">
        <v>388</v>
      </c>
      <c r="E207" s="43"/>
      <c r="F207" s="43" t="s">
        <v>380</v>
      </c>
      <c r="G207" s="43" t="s">
        <v>389</v>
      </c>
      <c r="H207" s="43" t="s">
        <v>332</v>
      </c>
      <c r="I207" s="43"/>
      <c r="J207" s="20" t="s">
        <v>26</v>
      </c>
      <c r="K207" s="43" t="s">
        <v>23</v>
      </c>
      <c r="L207" s="8" t="s">
        <v>390</v>
      </c>
      <c r="M207" s="8" t="s">
        <v>386</v>
      </c>
      <c r="N207" s="43"/>
      <c r="O207" s="43" t="s">
        <v>23</v>
      </c>
      <c r="R207" s="9" t="s">
        <v>29</v>
      </c>
    </row>
    <row r="208" ht="27" customHeight="1" spans="2:18">
      <c r="B208" s="43" t="s">
        <v>389</v>
      </c>
      <c r="C208" s="43" t="s">
        <v>329</v>
      </c>
      <c r="D208" s="43" t="s">
        <v>391</v>
      </c>
      <c r="E208" s="43"/>
      <c r="F208" s="43" t="s">
        <v>384</v>
      </c>
      <c r="G208" s="43" t="s">
        <v>392</v>
      </c>
      <c r="H208" s="43" t="s">
        <v>332</v>
      </c>
      <c r="I208" s="43"/>
      <c r="J208" s="20" t="s">
        <v>26</v>
      </c>
      <c r="K208" s="43" t="s">
        <v>23</v>
      </c>
      <c r="L208" s="8" t="s">
        <v>393</v>
      </c>
      <c r="M208" s="8" t="s">
        <v>394</v>
      </c>
      <c r="N208" s="43"/>
      <c r="O208" s="43" t="s">
        <v>23</v>
      </c>
      <c r="R208" s="9" t="s">
        <v>29</v>
      </c>
    </row>
    <row r="209" ht="94.5" customHeight="1" spans="2:18">
      <c r="B209" s="43" t="s">
        <v>392</v>
      </c>
      <c r="C209" s="43" t="s">
        <v>329</v>
      </c>
      <c r="D209" s="43" t="s">
        <v>395</v>
      </c>
      <c r="E209" s="43"/>
      <c r="F209" s="43" t="s">
        <v>389</v>
      </c>
      <c r="G209" s="43" t="s">
        <v>396</v>
      </c>
      <c r="H209" s="43" t="s">
        <v>332</v>
      </c>
      <c r="I209" s="43"/>
      <c r="J209" s="20" t="s">
        <v>26</v>
      </c>
      <c r="K209" s="43" t="s">
        <v>23</v>
      </c>
      <c r="L209" s="8" t="s">
        <v>397</v>
      </c>
      <c r="M209" s="8" t="s">
        <v>394</v>
      </c>
      <c r="N209" s="43"/>
      <c r="O209" s="43" t="s">
        <v>23</v>
      </c>
      <c r="R209" s="9" t="s">
        <v>29</v>
      </c>
    </row>
    <row r="210" ht="27" customHeight="1" spans="2:18">
      <c r="B210" s="43" t="s">
        <v>396</v>
      </c>
      <c r="C210" s="43" t="s">
        <v>329</v>
      </c>
      <c r="D210" s="43" t="s">
        <v>398</v>
      </c>
      <c r="E210" s="43"/>
      <c r="F210" s="43" t="s">
        <v>392</v>
      </c>
      <c r="G210" s="43" t="s">
        <v>399</v>
      </c>
      <c r="H210" s="43" t="s">
        <v>332</v>
      </c>
      <c r="I210" s="43"/>
      <c r="J210" s="20" t="s">
        <v>26</v>
      </c>
      <c r="K210" s="43" t="s">
        <v>23</v>
      </c>
      <c r="L210" s="8" t="s">
        <v>400</v>
      </c>
      <c r="M210" s="8" t="s">
        <v>394</v>
      </c>
      <c r="N210" s="43"/>
      <c r="O210" s="43" t="s">
        <v>23</v>
      </c>
      <c r="R210" s="9" t="s">
        <v>29</v>
      </c>
    </row>
    <row r="211" ht="27" customHeight="1" spans="2:18">
      <c r="B211" s="43" t="s">
        <v>399</v>
      </c>
      <c r="C211" s="43" t="s">
        <v>329</v>
      </c>
      <c r="D211" s="43" t="s">
        <v>401</v>
      </c>
      <c r="E211" s="43"/>
      <c r="F211" s="43" t="s">
        <v>396</v>
      </c>
      <c r="G211" s="43" t="s">
        <v>402</v>
      </c>
      <c r="H211" s="43" t="s">
        <v>332</v>
      </c>
      <c r="J211" s="20" t="s">
        <v>26</v>
      </c>
      <c r="K211" s="9" t="s">
        <v>33</v>
      </c>
      <c r="L211" s="1" t="s">
        <v>403</v>
      </c>
      <c r="M211" s="8" t="s">
        <v>394</v>
      </c>
      <c r="N211" s="43"/>
      <c r="O211" s="43" t="s">
        <v>23</v>
      </c>
      <c r="P211" s="9" t="s">
        <v>404</v>
      </c>
      <c r="Q211" s="22" t="s">
        <v>405</v>
      </c>
      <c r="R211" s="9" t="s">
        <v>29</v>
      </c>
    </row>
    <row r="212" ht="27" customHeight="1" spans="2:18">
      <c r="B212" s="43" t="s">
        <v>402</v>
      </c>
      <c r="C212" s="43" t="s">
        <v>329</v>
      </c>
      <c r="D212" s="43" t="s">
        <v>406</v>
      </c>
      <c r="F212" s="43" t="s">
        <v>399</v>
      </c>
      <c r="G212" s="43" t="s">
        <v>407</v>
      </c>
      <c r="H212" s="43" t="s">
        <v>332</v>
      </c>
      <c r="J212" s="20" t="s">
        <v>26</v>
      </c>
      <c r="K212" s="9" t="s">
        <v>23</v>
      </c>
      <c r="L212" s="8" t="s">
        <v>408</v>
      </c>
      <c r="M212" s="8" t="s">
        <v>394</v>
      </c>
      <c r="O212" s="9" t="s">
        <v>23</v>
      </c>
      <c r="R212" s="9" t="s">
        <v>29</v>
      </c>
    </row>
    <row r="213" ht="40.5" customHeight="1" spans="2:18">
      <c r="B213" s="43" t="s">
        <v>407</v>
      </c>
      <c r="C213" s="43" t="s">
        <v>329</v>
      </c>
      <c r="D213" s="43" t="s">
        <v>409</v>
      </c>
      <c r="F213" s="43" t="s">
        <v>402</v>
      </c>
      <c r="G213" s="43" t="s">
        <v>410</v>
      </c>
      <c r="H213" s="43" t="s">
        <v>332</v>
      </c>
      <c r="J213" s="20" t="s">
        <v>26</v>
      </c>
      <c r="K213" s="9" t="s">
        <v>23</v>
      </c>
      <c r="L213" s="8" t="s">
        <v>411</v>
      </c>
      <c r="M213" s="8" t="s">
        <v>394</v>
      </c>
      <c r="O213" s="9" t="s">
        <v>23</v>
      </c>
      <c r="R213" s="9" t="s">
        <v>29</v>
      </c>
    </row>
    <row r="214" ht="54" customHeight="1" spans="2:18">
      <c r="B214" s="43" t="s">
        <v>410</v>
      </c>
      <c r="C214" s="43" t="s">
        <v>329</v>
      </c>
      <c r="D214" s="43" t="s">
        <v>412</v>
      </c>
      <c r="F214" s="43" t="s">
        <v>407</v>
      </c>
      <c r="G214" s="43" t="s">
        <v>413</v>
      </c>
      <c r="H214" s="43" t="s">
        <v>332</v>
      </c>
      <c r="J214" s="20" t="s">
        <v>26</v>
      </c>
      <c r="K214" s="9" t="s">
        <v>33</v>
      </c>
      <c r="L214" s="8" t="s">
        <v>414</v>
      </c>
      <c r="M214" s="8" t="s">
        <v>394</v>
      </c>
      <c r="O214" s="9" t="s">
        <v>23</v>
      </c>
      <c r="R214" s="9" t="s">
        <v>29</v>
      </c>
    </row>
    <row r="215" ht="27" customHeight="1" spans="2:18">
      <c r="B215" s="43" t="s">
        <v>413</v>
      </c>
      <c r="C215" s="43" t="s">
        <v>329</v>
      </c>
      <c r="D215" s="43" t="s">
        <v>415</v>
      </c>
      <c r="F215" s="43" t="s">
        <v>410</v>
      </c>
      <c r="H215" s="43" t="s">
        <v>332</v>
      </c>
      <c r="I215" s="43" t="s">
        <v>23</v>
      </c>
      <c r="J215" s="20" t="s">
        <v>26</v>
      </c>
      <c r="K215" s="43" t="s">
        <v>37</v>
      </c>
      <c r="L215" s="8" t="s">
        <v>416</v>
      </c>
      <c r="M215" s="8" t="s">
        <v>417</v>
      </c>
      <c r="O215" s="9" t="s">
        <v>23</v>
      </c>
      <c r="P215" s="22" t="s">
        <v>418</v>
      </c>
      <c r="Q215" s="9" t="s">
        <v>419</v>
      </c>
      <c r="R215" s="9" t="s">
        <v>54</v>
      </c>
    </row>
    <row r="216" ht="27" customHeight="1" spans="2:18">
      <c r="B216" s="45" t="s">
        <v>420</v>
      </c>
      <c r="C216" s="45" t="s">
        <v>421</v>
      </c>
      <c r="D216" s="45" t="s">
        <v>422</v>
      </c>
      <c r="E216" s="45" t="s">
        <v>23</v>
      </c>
      <c r="F216" s="45"/>
      <c r="G216" s="45" t="s">
        <v>423</v>
      </c>
      <c r="H216" s="45" t="s">
        <v>334</v>
      </c>
      <c r="I216" s="45"/>
      <c r="J216" s="20" t="s">
        <v>26</v>
      </c>
      <c r="K216" s="46" t="s">
        <v>23</v>
      </c>
      <c r="L216" s="1" t="s">
        <v>424</v>
      </c>
      <c r="M216" s="8" t="s">
        <v>425</v>
      </c>
      <c r="N216" s="45"/>
      <c r="O216" s="46" t="s">
        <v>23</v>
      </c>
      <c r="P216" s="46" t="s">
        <v>426</v>
      </c>
      <c r="Q216" s="45"/>
      <c r="R216" s="9" t="s">
        <v>29</v>
      </c>
    </row>
    <row r="217" ht="67.5" customHeight="1" spans="2:18">
      <c r="B217" s="45" t="s">
        <v>423</v>
      </c>
      <c r="C217" s="45" t="s">
        <v>421</v>
      </c>
      <c r="D217" s="45" t="s">
        <v>427</v>
      </c>
      <c r="E217" s="45"/>
      <c r="F217" s="46" t="s">
        <v>420</v>
      </c>
      <c r="G217" s="45" t="s">
        <v>428</v>
      </c>
      <c r="H217" s="45" t="s">
        <v>334</v>
      </c>
      <c r="I217" s="45"/>
      <c r="J217" s="20" t="s">
        <v>26</v>
      </c>
      <c r="K217" s="46" t="s">
        <v>23</v>
      </c>
      <c r="L217" s="8" t="s">
        <v>429</v>
      </c>
      <c r="M217" s="8" t="s">
        <v>425</v>
      </c>
      <c r="N217" s="45"/>
      <c r="O217" s="46" t="s">
        <v>23</v>
      </c>
      <c r="P217" s="45"/>
      <c r="Q217" s="45"/>
      <c r="R217" s="9" t="s">
        <v>29</v>
      </c>
    </row>
    <row r="218" ht="27" customHeight="1" spans="2:18">
      <c r="B218" s="45" t="s">
        <v>428</v>
      </c>
      <c r="C218" s="45" t="s">
        <v>421</v>
      </c>
      <c r="D218" s="45" t="s">
        <v>430</v>
      </c>
      <c r="E218" s="45"/>
      <c r="F218" s="46" t="s">
        <v>423</v>
      </c>
      <c r="G218" s="45" t="s">
        <v>431</v>
      </c>
      <c r="H218" s="45" t="s">
        <v>334</v>
      </c>
      <c r="I218" s="45"/>
      <c r="J218" s="20" t="s">
        <v>26</v>
      </c>
      <c r="K218" s="46" t="s">
        <v>23</v>
      </c>
      <c r="L218" s="46" t="s">
        <v>432</v>
      </c>
      <c r="M218" s="46" t="s">
        <v>433</v>
      </c>
      <c r="N218" s="45"/>
      <c r="O218" s="46" t="s">
        <v>23</v>
      </c>
      <c r="P218" s="45"/>
      <c r="Q218" s="45"/>
      <c r="R218" s="9" t="s">
        <v>29</v>
      </c>
    </row>
    <row r="219" ht="27" customHeight="1" spans="2:18">
      <c r="B219" s="45" t="s">
        <v>431</v>
      </c>
      <c r="C219" s="45" t="s">
        <v>421</v>
      </c>
      <c r="D219" s="45" t="s">
        <v>434</v>
      </c>
      <c r="E219" s="45"/>
      <c r="F219" s="46" t="s">
        <v>428</v>
      </c>
      <c r="G219" s="45" t="s">
        <v>435</v>
      </c>
      <c r="H219" s="45" t="s">
        <v>334</v>
      </c>
      <c r="I219" s="45"/>
      <c r="J219" s="20" t="s">
        <v>26</v>
      </c>
      <c r="K219" s="46" t="s">
        <v>33</v>
      </c>
      <c r="L219" s="8" t="s">
        <v>436</v>
      </c>
      <c r="M219" s="8" t="s">
        <v>433</v>
      </c>
      <c r="N219" s="45"/>
      <c r="O219" s="46" t="s">
        <v>23</v>
      </c>
      <c r="P219" s="47"/>
      <c r="Q219" s="46" t="s">
        <v>437</v>
      </c>
      <c r="R219" s="9" t="s">
        <v>29</v>
      </c>
    </row>
    <row r="220" ht="27" customHeight="1" spans="2:18">
      <c r="B220" s="45" t="s">
        <v>435</v>
      </c>
      <c r="C220" s="45" t="s">
        <v>421</v>
      </c>
      <c r="D220" s="45" t="s">
        <v>438</v>
      </c>
      <c r="E220" s="45"/>
      <c r="F220" s="46" t="s">
        <v>431</v>
      </c>
      <c r="G220" s="45" t="s">
        <v>439</v>
      </c>
      <c r="H220" s="45" t="s">
        <v>334</v>
      </c>
      <c r="I220" s="45"/>
      <c r="J220" s="20" t="s">
        <v>26</v>
      </c>
      <c r="K220" s="46" t="s">
        <v>23</v>
      </c>
      <c r="L220" s="1" t="s">
        <v>440</v>
      </c>
      <c r="M220" s="8" t="s">
        <v>441</v>
      </c>
      <c r="N220" s="45"/>
      <c r="O220" s="46" t="s">
        <v>23</v>
      </c>
      <c r="P220" s="45"/>
      <c r="Q220" s="45"/>
      <c r="R220" s="9" t="s">
        <v>29</v>
      </c>
    </row>
    <row r="221" ht="27" customHeight="1" spans="2:18">
      <c r="B221" s="45" t="s">
        <v>439</v>
      </c>
      <c r="C221" s="45" t="s">
        <v>421</v>
      </c>
      <c r="D221" s="45" t="s">
        <v>442</v>
      </c>
      <c r="E221" s="45"/>
      <c r="F221" s="46" t="s">
        <v>435</v>
      </c>
      <c r="G221" s="45" t="s">
        <v>443</v>
      </c>
      <c r="H221" s="45" t="s">
        <v>334</v>
      </c>
      <c r="I221" s="45"/>
      <c r="J221" s="20" t="s">
        <v>26</v>
      </c>
      <c r="K221" s="46" t="s">
        <v>23</v>
      </c>
      <c r="L221" s="8" t="s">
        <v>444</v>
      </c>
      <c r="M221" s="8" t="s">
        <v>441</v>
      </c>
      <c r="N221" s="45"/>
      <c r="O221" s="46" t="s">
        <v>23</v>
      </c>
      <c r="P221" s="45"/>
      <c r="Q221" s="45"/>
      <c r="R221" s="9" t="s">
        <v>29</v>
      </c>
    </row>
    <row r="222" ht="27" customHeight="1" spans="2:18">
      <c r="B222" s="45" t="s">
        <v>443</v>
      </c>
      <c r="C222" s="45" t="s">
        <v>421</v>
      </c>
      <c r="D222" s="45" t="s">
        <v>445</v>
      </c>
      <c r="E222" s="45"/>
      <c r="F222" s="46" t="s">
        <v>439</v>
      </c>
      <c r="G222" s="45" t="s">
        <v>446</v>
      </c>
      <c r="H222" s="45" t="s">
        <v>334</v>
      </c>
      <c r="I222" s="45"/>
      <c r="J222" s="20" t="s">
        <v>26</v>
      </c>
      <c r="K222" s="46" t="s">
        <v>23</v>
      </c>
      <c r="L222" s="46" t="s">
        <v>447</v>
      </c>
      <c r="M222" s="46" t="s">
        <v>448</v>
      </c>
      <c r="N222" s="45"/>
      <c r="O222" s="46" t="s">
        <v>23</v>
      </c>
      <c r="P222" s="45"/>
      <c r="Q222" s="45"/>
      <c r="R222" s="9" t="s">
        <v>29</v>
      </c>
    </row>
    <row r="223" ht="27" customHeight="1" spans="2:18">
      <c r="B223" s="45" t="s">
        <v>446</v>
      </c>
      <c r="C223" s="45" t="s">
        <v>421</v>
      </c>
      <c r="D223" s="45" t="s">
        <v>449</v>
      </c>
      <c r="E223" s="45"/>
      <c r="F223" s="46" t="s">
        <v>443</v>
      </c>
      <c r="G223" s="45" t="s">
        <v>450</v>
      </c>
      <c r="H223" s="45" t="s">
        <v>334</v>
      </c>
      <c r="I223" s="45"/>
      <c r="J223" s="20" t="s">
        <v>26</v>
      </c>
      <c r="K223" s="46" t="s">
        <v>33</v>
      </c>
      <c r="L223" s="1" t="s">
        <v>451</v>
      </c>
      <c r="M223" s="8" t="s">
        <v>448</v>
      </c>
      <c r="N223" s="45"/>
      <c r="O223" s="46" t="s">
        <v>23</v>
      </c>
      <c r="P223" s="48" t="s">
        <v>452</v>
      </c>
      <c r="R223" s="9" t="s">
        <v>29</v>
      </c>
    </row>
    <row r="224" ht="27" customHeight="1" spans="2:18">
      <c r="B224" s="45" t="s">
        <v>450</v>
      </c>
      <c r="C224" s="45" t="s">
        <v>421</v>
      </c>
      <c r="D224" s="45" t="s">
        <v>453</v>
      </c>
      <c r="E224" s="45"/>
      <c r="F224" s="46" t="s">
        <v>446</v>
      </c>
      <c r="G224" s="45" t="s">
        <v>454</v>
      </c>
      <c r="H224" s="45" t="s">
        <v>334</v>
      </c>
      <c r="I224" s="45"/>
      <c r="J224" s="20" t="s">
        <v>26</v>
      </c>
      <c r="K224" s="46" t="s">
        <v>23</v>
      </c>
      <c r="L224" s="8" t="s">
        <v>455</v>
      </c>
      <c r="M224" s="8" t="s">
        <v>456</v>
      </c>
      <c r="N224" s="45"/>
      <c r="O224" s="46" t="s">
        <v>23</v>
      </c>
      <c r="P224" s="45"/>
      <c r="Q224" s="45"/>
      <c r="R224" s="9" t="s">
        <v>29</v>
      </c>
    </row>
    <row r="225" ht="27" customHeight="1" spans="2:18">
      <c r="B225" s="45" t="s">
        <v>454</v>
      </c>
      <c r="C225" s="45" t="s">
        <v>421</v>
      </c>
      <c r="D225" s="45" t="s">
        <v>457</v>
      </c>
      <c r="E225" s="45"/>
      <c r="F225" s="46" t="s">
        <v>450</v>
      </c>
      <c r="G225" s="45" t="s">
        <v>458</v>
      </c>
      <c r="H225" s="45" t="s">
        <v>334</v>
      </c>
      <c r="I225" s="45"/>
      <c r="J225" s="20" t="s">
        <v>26</v>
      </c>
      <c r="K225" s="46" t="s">
        <v>23</v>
      </c>
      <c r="L225" s="46" t="s">
        <v>459</v>
      </c>
      <c r="M225" s="46" t="s">
        <v>456</v>
      </c>
      <c r="N225" s="45"/>
      <c r="O225" s="46" t="s">
        <v>23</v>
      </c>
      <c r="P225" s="45"/>
      <c r="Q225" s="45"/>
      <c r="R225" s="9" t="s">
        <v>29</v>
      </c>
    </row>
    <row r="226" ht="27" customHeight="1" spans="2:18">
      <c r="B226" s="45" t="s">
        <v>458</v>
      </c>
      <c r="C226" s="45" t="s">
        <v>421</v>
      </c>
      <c r="D226" s="45" t="s">
        <v>460</v>
      </c>
      <c r="E226" s="45"/>
      <c r="F226" s="46" t="s">
        <v>454</v>
      </c>
      <c r="G226" s="45" t="s">
        <v>461</v>
      </c>
      <c r="H226" s="45" t="s">
        <v>334</v>
      </c>
      <c r="I226" s="45"/>
      <c r="J226" s="20" t="s">
        <v>26</v>
      </c>
      <c r="K226" s="46" t="s">
        <v>23</v>
      </c>
      <c r="L226" s="46" t="s">
        <v>462</v>
      </c>
      <c r="M226" s="46" t="s">
        <v>463</v>
      </c>
      <c r="N226" s="45"/>
      <c r="O226" s="46" t="s">
        <v>23</v>
      </c>
      <c r="P226" s="45"/>
      <c r="Q226" s="45"/>
      <c r="R226" s="9" t="s">
        <v>29</v>
      </c>
    </row>
    <row r="227" ht="27" customHeight="1" spans="2:18">
      <c r="B227" s="45" t="s">
        <v>461</v>
      </c>
      <c r="C227" s="45" t="s">
        <v>421</v>
      </c>
      <c r="D227" s="45" t="s">
        <v>464</v>
      </c>
      <c r="E227" s="45"/>
      <c r="F227" s="46" t="s">
        <v>458</v>
      </c>
      <c r="G227" s="45" t="s">
        <v>465</v>
      </c>
      <c r="H227" s="45" t="s">
        <v>334</v>
      </c>
      <c r="I227" s="45"/>
      <c r="J227" s="20" t="s">
        <v>26</v>
      </c>
      <c r="K227" s="46" t="s">
        <v>23</v>
      </c>
      <c r="L227" s="46" t="s">
        <v>466</v>
      </c>
      <c r="M227" s="46" t="s">
        <v>463</v>
      </c>
      <c r="N227" s="45"/>
      <c r="O227" s="46" t="s">
        <v>23</v>
      </c>
      <c r="P227" s="48" t="s">
        <v>467</v>
      </c>
      <c r="Q227" s="45"/>
      <c r="R227" s="9" t="s">
        <v>29</v>
      </c>
    </row>
    <row r="228" ht="27" customHeight="1" spans="2:18">
      <c r="B228" s="45" t="s">
        <v>465</v>
      </c>
      <c r="C228" s="45" t="s">
        <v>421</v>
      </c>
      <c r="D228" s="45" t="s">
        <v>468</v>
      </c>
      <c r="E228" s="45"/>
      <c r="F228" s="46" t="s">
        <v>461</v>
      </c>
      <c r="G228" s="45" t="s">
        <v>469</v>
      </c>
      <c r="H228" s="45" t="s">
        <v>334</v>
      </c>
      <c r="I228" s="45"/>
      <c r="J228" s="20" t="s">
        <v>26</v>
      </c>
      <c r="K228" s="46" t="s">
        <v>23</v>
      </c>
      <c r="L228" s="46" t="s">
        <v>470</v>
      </c>
      <c r="M228" s="46" t="s">
        <v>471</v>
      </c>
      <c r="N228" s="45"/>
      <c r="O228" s="46" t="s">
        <v>23</v>
      </c>
      <c r="P228" s="45"/>
      <c r="Q228" s="45"/>
      <c r="R228" s="9" t="s">
        <v>29</v>
      </c>
    </row>
    <row r="229" ht="27" customHeight="1" spans="2:18">
      <c r="B229" s="45" t="s">
        <v>469</v>
      </c>
      <c r="C229" s="45" t="s">
        <v>421</v>
      </c>
      <c r="D229" s="45" t="s">
        <v>472</v>
      </c>
      <c r="E229" s="45"/>
      <c r="F229" s="46" t="s">
        <v>465</v>
      </c>
      <c r="G229" s="45" t="s">
        <v>473</v>
      </c>
      <c r="H229" s="45" t="s">
        <v>334</v>
      </c>
      <c r="I229" s="45"/>
      <c r="J229" s="20" t="s">
        <v>26</v>
      </c>
      <c r="K229" s="46" t="s">
        <v>23</v>
      </c>
      <c r="L229" s="46" t="s">
        <v>474</v>
      </c>
      <c r="M229" s="46" t="s">
        <v>471</v>
      </c>
      <c r="N229" s="45"/>
      <c r="O229" s="46" t="s">
        <v>23</v>
      </c>
      <c r="P229" s="45"/>
      <c r="Q229" s="45"/>
      <c r="R229" s="9" t="s">
        <v>29</v>
      </c>
    </row>
    <row r="230" ht="27" customHeight="1" spans="2:18">
      <c r="B230" s="45" t="s">
        <v>473</v>
      </c>
      <c r="C230" s="45" t="s">
        <v>421</v>
      </c>
      <c r="D230" s="45" t="s">
        <v>475</v>
      </c>
      <c r="E230" s="45"/>
      <c r="F230" s="46" t="s">
        <v>469</v>
      </c>
      <c r="G230" s="45" t="s">
        <v>476</v>
      </c>
      <c r="H230" s="45" t="s">
        <v>334</v>
      </c>
      <c r="I230" s="45"/>
      <c r="J230" s="20" t="s">
        <v>26</v>
      </c>
      <c r="K230" s="46" t="s">
        <v>33</v>
      </c>
      <c r="L230" s="46" t="s">
        <v>477</v>
      </c>
      <c r="M230" s="46" t="s">
        <v>478</v>
      </c>
      <c r="N230" s="45"/>
      <c r="O230" s="46" t="s">
        <v>23</v>
      </c>
      <c r="P230" s="45"/>
      <c r="Q230" s="45"/>
      <c r="R230" s="9" t="s">
        <v>29</v>
      </c>
    </row>
    <row r="231" ht="27" customHeight="1" spans="2:18">
      <c r="B231" s="45" t="s">
        <v>476</v>
      </c>
      <c r="C231" s="45" t="s">
        <v>421</v>
      </c>
      <c r="D231" s="45" t="s">
        <v>479</v>
      </c>
      <c r="E231" s="45"/>
      <c r="F231" s="46" t="s">
        <v>473</v>
      </c>
      <c r="G231" s="45" t="s">
        <v>480</v>
      </c>
      <c r="H231" s="45" t="s">
        <v>334</v>
      </c>
      <c r="I231" s="45"/>
      <c r="J231" s="20" t="s">
        <v>26</v>
      </c>
      <c r="K231" s="46" t="s">
        <v>23</v>
      </c>
      <c r="L231" s="8" t="s">
        <v>481</v>
      </c>
      <c r="M231" s="8" t="s">
        <v>478</v>
      </c>
      <c r="N231" s="45"/>
      <c r="O231" s="46" t="s">
        <v>23</v>
      </c>
      <c r="P231" s="46" t="s">
        <v>482</v>
      </c>
      <c r="Q231" s="45"/>
      <c r="R231" s="9" t="s">
        <v>29</v>
      </c>
    </row>
    <row r="232" ht="27" customHeight="1" spans="2:18">
      <c r="B232" s="45" t="s">
        <v>480</v>
      </c>
      <c r="C232" s="45" t="s">
        <v>421</v>
      </c>
      <c r="D232" s="45" t="s">
        <v>483</v>
      </c>
      <c r="E232" s="45"/>
      <c r="F232" s="46" t="s">
        <v>476</v>
      </c>
      <c r="G232" s="45" t="s">
        <v>484</v>
      </c>
      <c r="H232" s="45" t="s">
        <v>334</v>
      </c>
      <c r="I232" s="45"/>
      <c r="J232" s="20" t="s">
        <v>26</v>
      </c>
      <c r="K232" s="46" t="s">
        <v>23</v>
      </c>
      <c r="L232" s="8" t="s">
        <v>485</v>
      </c>
      <c r="M232" s="8" t="s">
        <v>486</v>
      </c>
      <c r="N232" s="45"/>
      <c r="O232" s="46" t="s">
        <v>23</v>
      </c>
      <c r="P232" s="45"/>
      <c r="Q232" s="45"/>
      <c r="R232" s="9" t="s">
        <v>29</v>
      </c>
    </row>
    <row r="233" ht="27" customHeight="1" spans="2:18">
      <c r="B233" s="45" t="s">
        <v>484</v>
      </c>
      <c r="C233" s="45" t="s">
        <v>421</v>
      </c>
      <c r="D233" s="45" t="s">
        <v>487</v>
      </c>
      <c r="E233" s="45"/>
      <c r="F233" s="46" t="s">
        <v>480</v>
      </c>
      <c r="G233" s="45" t="s">
        <v>488</v>
      </c>
      <c r="H233" s="45" t="s">
        <v>334</v>
      </c>
      <c r="I233" s="45"/>
      <c r="J233" s="20" t="s">
        <v>26</v>
      </c>
      <c r="K233" s="46" t="s">
        <v>33</v>
      </c>
      <c r="L233" s="8" t="s">
        <v>489</v>
      </c>
      <c r="M233" s="8" t="s">
        <v>486</v>
      </c>
      <c r="N233" s="45"/>
      <c r="O233" s="46" t="s">
        <v>23</v>
      </c>
      <c r="P233" s="45"/>
      <c r="Q233" s="45"/>
      <c r="R233" s="9" t="s">
        <v>29</v>
      </c>
    </row>
    <row r="234" ht="27" customHeight="1" spans="2:18">
      <c r="B234" s="45" t="s">
        <v>488</v>
      </c>
      <c r="C234" s="45" t="s">
        <v>421</v>
      </c>
      <c r="D234" s="45" t="s">
        <v>490</v>
      </c>
      <c r="E234" s="45"/>
      <c r="F234" s="46" t="s">
        <v>484</v>
      </c>
      <c r="G234" s="45" t="s">
        <v>491</v>
      </c>
      <c r="H234" s="45" t="s">
        <v>334</v>
      </c>
      <c r="I234" s="45"/>
      <c r="J234" s="20" t="s">
        <v>26</v>
      </c>
      <c r="K234" s="46" t="s">
        <v>23</v>
      </c>
      <c r="L234" s="8" t="s">
        <v>492</v>
      </c>
      <c r="M234" s="8" t="s">
        <v>493</v>
      </c>
      <c r="N234" s="45"/>
      <c r="O234" s="46" t="s">
        <v>23</v>
      </c>
      <c r="P234" s="45"/>
      <c r="Q234" s="45"/>
      <c r="R234" s="9" t="s">
        <v>29</v>
      </c>
    </row>
    <row r="235" ht="27" customHeight="1" spans="2:18">
      <c r="B235" s="45" t="s">
        <v>491</v>
      </c>
      <c r="C235" s="45" t="s">
        <v>421</v>
      </c>
      <c r="D235" s="45" t="s">
        <v>494</v>
      </c>
      <c r="E235" s="45"/>
      <c r="F235" s="46" t="s">
        <v>488</v>
      </c>
      <c r="G235" s="45" t="s">
        <v>495</v>
      </c>
      <c r="H235" s="45" t="s">
        <v>334</v>
      </c>
      <c r="I235" s="45"/>
      <c r="J235" s="20" t="s">
        <v>26</v>
      </c>
      <c r="K235" s="46" t="s">
        <v>23</v>
      </c>
      <c r="L235" s="8" t="s">
        <v>496</v>
      </c>
      <c r="M235" s="8" t="s">
        <v>493</v>
      </c>
      <c r="N235" s="45"/>
      <c r="O235" s="46" t="s">
        <v>23</v>
      </c>
      <c r="P235" s="45"/>
      <c r="Q235" s="45"/>
      <c r="R235" s="9" t="s">
        <v>29</v>
      </c>
    </row>
    <row r="236" ht="27" customHeight="1" spans="2:18">
      <c r="B236" s="45" t="s">
        <v>495</v>
      </c>
      <c r="C236" s="45" t="s">
        <v>421</v>
      </c>
      <c r="D236" s="45" t="s">
        <v>497</v>
      </c>
      <c r="E236" s="45"/>
      <c r="F236" s="46" t="s">
        <v>491</v>
      </c>
      <c r="G236" s="45" t="s">
        <v>498</v>
      </c>
      <c r="H236" s="45" t="s">
        <v>334</v>
      </c>
      <c r="I236" s="45"/>
      <c r="J236" s="20" t="s">
        <v>26</v>
      </c>
      <c r="K236" s="46" t="s">
        <v>23</v>
      </c>
      <c r="L236" s="8" t="s">
        <v>499</v>
      </c>
      <c r="M236" s="8" t="s">
        <v>500</v>
      </c>
      <c r="N236" s="45"/>
      <c r="O236" s="46" t="s">
        <v>23</v>
      </c>
      <c r="P236" s="45"/>
      <c r="Q236" s="45"/>
      <c r="R236" s="9" t="s">
        <v>29</v>
      </c>
    </row>
    <row r="237" ht="27" customHeight="1" spans="2:18">
      <c r="B237" s="45" t="s">
        <v>498</v>
      </c>
      <c r="C237" s="45" t="s">
        <v>421</v>
      </c>
      <c r="D237" s="45" t="s">
        <v>501</v>
      </c>
      <c r="E237" s="45"/>
      <c r="F237" s="46" t="s">
        <v>495</v>
      </c>
      <c r="G237" s="45" t="s">
        <v>502</v>
      </c>
      <c r="H237" s="45" t="s">
        <v>334</v>
      </c>
      <c r="I237" s="45"/>
      <c r="J237" s="20" t="s">
        <v>26</v>
      </c>
      <c r="K237" s="46" t="s">
        <v>23</v>
      </c>
      <c r="L237" s="8" t="s">
        <v>503</v>
      </c>
      <c r="M237" s="8" t="s">
        <v>500</v>
      </c>
      <c r="N237" s="45"/>
      <c r="O237" s="46" t="s">
        <v>23</v>
      </c>
      <c r="P237" s="45"/>
      <c r="Q237" s="45"/>
      <c r="R237" s="9" t="s">
        <v>29</v>
      </c>
    </row>
    <row r="238" ht="27" customHeight="1" spans="2:18">
      <c r="B238" s="45" t="s">
        <v>502</v>
      </c>
      <c r="C238" s="45" t="s">
        <v>421</v>
      </c>
      <c r="D238" s="45" t="s">
        <v>504</v>
      </c>
      <c r="E238" s="45"/>
      <c r="F238" s="46" t="s">
        <v>498</v>
      </c>
      <c r="G238" s="45" t="s">
        <v>505</v>
      </c>
      <c r="H238" s="45" t="s">
        <v>334</v>
      </c>
      <c r="I238" s="45"/>
      <c r="J238" s="20" t="s">
        <v>26</v>
      </c>
      <c r="K238" s="46" t="s">
        <v>23</v>
      </c>
      <c r="L238" s="8" t="s">
        <v>506</v>
      </c>
      <c r="M238" s="8" t="s">
        <v>507</v>
      </c>
      <c r="N238" s="45"/>
      <c r="O238" s="46" t="s">
        <v>23</v>
      </c>
      <c r="P238" s="45"/>
      <c r="Q238" s="45"/>
      <c r="R238" s="9" t="s">
        <v>29</v>
      </c>
    </row>
    <row r="239" ht="27" customHeight="1" spans="2:18">
      <c r="B239" s="45" t="s">
        <v>505</v>
      </c>
      <c r="C239" s="45" t="s">
        <v>421</v>
      </c>
      <c r="D239" s="45" t="s">
        <v>508</v>
      </c>
      <c r="E239" s="45"/>
      <c r="F239" s="46" t="s">
        <v>502</v>
      </c>
      <c r="G239" s="45" t="s">
        <v>509</v>
      </c>
      <c r="H239" s="45" t="s">
        <v>334</v>
      </c>
      <c r="I239" s="45"/>
      <c r="J239" s="20" t="s">
        <v>26</v>
      </c>
      <c r="K239" s="46" t="s">
        <v>33</v>
      </c>
      <c r="L239" s="8" t="s">
        <v>510</v>
      </c>
      <c r="M239" s="8" t="s">
        <v>507</v>
      </c>
      <c r="N239" s="45"/>
      <c r="O239" s="46" t="s">
        <v>23</v>
      </c>
      <c r="P239" s="45"/>
      <c r="Q239" s="45"/>
      <c r="R239" s="9" t="s">
        <v>29</v>
      </c>
    </row>
    <row r="240" ht="27" customHeight="1" spans="2:18">
      <c r="B240" s="45" t="s">
        <v>509</v>
      </c>
      <c r="C240" s="45" t="s">
        <v>421</v>
      </c>
      <c r="D240" s="45" t="s">
        <v>511</v>
      </c>
      <c r="E240" s="45"/>
      <c r="F240" s="46" t="s">
        <v>505</v>
      </c>
      <c r="G240" s="45" t="s">
        <v>512</v>
      </c>
      <c r="H240" s="45" t="s">
        <v>334</v>
      </c>
      <c r="I240" s="45"/>
      <c r="J240" s="20" t="s">
        <v>26</v>
      </c>
      <c r="K240" s="46" t="s">
        <v>23</v>
      </c>
      <c r="L240" s="8" t="s">
        <v>513</v>
      </c>
      <c r="M240" s="8" t="s">
        <v>514</v>
      </c>
      <c r="N240" s="45"/>
      <c r="O240" s="46" t="s">
        <v>23</v>
      </c>
      <c r="P240" s="45"/>
      <c r="Q240" s="45"/>
      <c r="R240" s="9" t="s">
        <v>29</v>
      </c>
    </row>
    <row r="241" ht="27" customHeight="1" spans="2:18">
      <c r="B241" s="45" t="s">
        <v>512</v>
      </c>
      <c r="C241" s="45" t="s">
        <v>421</v>
      </c>
      <c r="D241" s="45" t="s">
        <v>515</v>
      </c>
      <c r="E241" s="45"/>
      <c r="F241" s="46" t="s">
        <v>509</v>
      </c>
      <c r="G241" s="45" t="s">
        <v>516</v>
      </c>
      <c r="H241" s="45" t="s">
        <v>334</v>
      </c>
      <c r="I241" s="45"/>
      <c r="J241" s="20" t="s">
        <v>26</v>
      </c>
      <c r="K241" s="46" t="s">
        <v>23</v>
      </c>
      <c r="L241" s="8" t="s">
        <v>517</v>
      </c>
      <c r="M241" s="8" t="s">
        <v>514</v>
      </c>
      <c r="N241" s="45"/>
      <c r="O241" s="46" t="s">
        <v>23</v>
      </c>
      <c r="P241" s="45"/>
      <c r="Q241" s="45"/>
      <c r="R241" s="9" t="s">
        <v>29</v>
      </c>
    </row>
    <row r="242" ht="27" customHeight="1" spans="2:18">
      <c r="B242" s="45" t="s">
        <v>516</v>
      </c>
      <c r="C242" s="45" t="s">
        <v>421</v>
      </c>
      <c r="D242" s="45" t="s">
        <v>518</v>
      </c>
      <c r="E242" s="45"/>
      <c r="F242" s="46" t="s">
        <v>512</v>
      </c>
      <c r="G242" s="45" t="s">
        <v>519</v>
      </c>
      <c r="H242" s="45" t="s">
        <v>334</v>
      </c>
      <c r="I242" s="45"/>
      <c r="J242" s="20" t="s">
        <v>26</v>
      </c>
      <c r="K242" s="46" t="s">
        <v>23</v>
      </c>
      <c r="L242" s="8" t="s">
        <v>520</v>
      </c>
      <c r="M242" s="8" t="s">
        <v>521</v>
      </c>
      <c r="N242" s="45"/>
      <c r="O242" s="46" t="s">
        <v>23</v>
      </c>
      <c r="P242" s="45"/>
      <c r="Q242" s="45"/>
      <c r="R242" s="9" t="s">
        <v>29</v>
      </c>
    </row>
    <row r="243" ht="27" customHeight="1" spans="2:18">
      <c r="B243" s="45" t="s">
        <v>519</v>
      </c>
      <c r="C243" s="45" t="s">
        <v>421</v>
      </c>
      <c r="D243" s="45" t="s">
        <v>522</v>
      </c>
      <c r="E243" s="45"/>
      <c r="F243" s="46" t="s">
        <v>516</v>
      </c>
      <c r="G243" s="45" t="s">
        <v>523</v>
      </c>
      <c r="H243" s="45" t="s">
        <v>334</v>
      </c>
      <c r="I243" s="45"/>
      <c r="J243" s="20" t="s">
        <v>26</v>
      </c>
      <c r="K243" s="46" t="s">
        <v>23</v>
      </c>
      <c r="L243" s="8" t="s">
        <v>524</v>
      </c>
      <c r="M243" s="8" t="s">
        <v>521</v>
      </c>
      <c r="N243" s="45"/>
      <c r="O243" s="46" t="s">
        <v>23</v>
      </c>
      <c r="P243" s="45"/>
      <c r="Q243" s="45"/>
      <c r="R243" s="9" t="s">
        <v>29</v>
      </c>
    </row>
    <row r="244" ht="27" customHeight="1" spans="2:18">
      <c r="B244" s="45" t="s">
        <v>523</v>
      </c>
      <c r="C244" s="45" t="s">
        <v>421</v>
      </c>
      <c r="D244" s="45" t="s">
        <v>525</v>
      </c>
      <c r="E244" s="45"/>
      <c r="F244" s="46" t="s">
        <v>519</v>
      </c>
      <c r="G244" s="45" t="s">
        <v>526</v>
      </c>
      <c r="H244" s="45" t="s">
        <v>334</v>
      </c>
      <c r="I244" s="45"/>
      <c r="J244" s="20" t="s">
        <v>26</v>
      </c>
      <c r="K244" s="46" t="s">
        <v>33</v>
      </c>
      <c r="L244" s="8" t="s">
        <v>527</v>
      </c>
      <c r="M244" s="8" t="s">
        <v>521</v>
      </c>
      <c r="N244" s="45"/>
      <c r="O244" s="46" t="s">
        <v>23</v>
      </c>
      <c r="P244" s="45"/>
      <c r="Q244" s="45"/>
      <c r="R244" s="9" t="s">
        <v>29</v>
      </c>
    </row>
    <row r="245" ht="27" customHeight="1" spans="2:18">
      <c r="B245" s="45" t="s">
        <v>526</v>
      </c>
      <c r="C245" s="45" t="s">
        <v>421</v>
      </c>
      <c r="D245" s="45" t="s">
        <v>528</v>
      </c>
      <c r="E245" s="45"/>
      <c r="F245" s="46" t="s">
        <v>523</v>
      </c>
      <c r="G245" s="45"/>
      <c r="H245" s="45" t="s">
        <v>334</v>
      </c>
      <c r="I245" s="46" t="s">
        <v>23</v>
      </c>
      <c r="J245" s="20" t="s">
        <v>26</v>
      </c>
      <c r="K245" s="46" t="s">
        <v>37</v>
      </c>
      <c r="L245" s="8" t="s">
        <v>529</v>
      </c>
      <c r="M245" s="8" t="s">
        <v>89</v>
      </c>
      <c r="N245" s="45"/>
      <c r="O245" s="46" t="s">
        <v>23</v>
      </c>
      <c r="P245" s="45"/>
      <c r="Q245" s="48" t="s">
        <v>530</v>
      </c>
      <c r="R245" s="9" t="s">
        <v>54</v>
      </c>
    </row>
    <row r="246" ht="27" customHeight="1" spans="2:18">
      <c r="B246" s="22" t="s">
        <v>531</v>
      </c>
      <c r="C246" s="22" t="s">
        <v>532</v>
      </c>
      <c r="D246" s="22" t="s">
        <v>533</v>
      </c>
      <c r="E246" s="22" t="s">
        <v>23</v>
      </c>
      <c r="G246" s="22" t="s">
        <v>534</v>
      </c>
      <c r="H246" s="22" t="s">
        <v>352</v>
      </c>
      <c r="J246" s="20" t="s">
        <v>26</v>
      </c>
      <c r="K246" s="22" t="s">
        <v>23</v>
      </c>
      <c r="L246" s="22" t="s">
        <v>535</v>
      </c>
      <c r="M246" s="22" t="s">
        <v>536</v>
      </c>
      <c r="O246" s="22" t="s">
        <v>23</v>
      </c>
      <c r="P246" s="22" t="s">
        <v>537</v>
      </c>
      <c r="R246" s="9" t="s">
        <v>29</v>
      </c>
    </row>
    <row r="247" ht="27" customHeight="1" spans="2:18">
      <c r="B247" s="22" t="s">
        <v>534</v>
      </c>
      <c r="C247" s="22" t="s">
        <v>532</v>
      </c>
      <c r="D247" s="22" t="s">
        <v>538</v>
      </c>
      <c r="F247" s="22" t="s">
        <v>531</v>
      </c>
      <c r="G247" s="22" t="s">
        <v>539</v>
      </c>
      <c r="H247" s="22" t="s">
        <v>352</v>
      </c>
      <c r="J247" s="20" t="s">
        <v>26</v>
      </c>
      <c r="K247" s="22" t="s">
        <v>23</v>
      </c>
      <c r="L247" s="22" t="s">
        <v>540</v>
      </c>
      <c r="M247" s="22" t="s">
        <v>536</v>
      </c>
      <c r="O247" s="22" t="s">
        <v>23</v>
      </c>
      <c r="R247" s="9" t="s">
        <v>29</v>
      </c>
    </row>
    <row r="248" ht="27" customHeight="1" spans="2:18">
      <c r="B248" s="22" t="s">
        <v>539</v>
      </c>
      <c r="C248" s="22" t="s">
        <v>532</v>
      </c>
      <c r="D248" s="22" t="s">
        <v>541</v>
      </c>
      <c r="F248" s="22" t="s">
        <v>534</v>
      </c>
      <c r="G248" s="22" t="s">
        <v>542</v>
      </c>
      <c r="H248" s="22" t="s">
        <v>352</v>
      </c>
      <c r="J248" s="20" t="s">
        <v>26</v>
      </c>
      <c r="K248" s="22" t="s">
        <v>23</v>
      </c>
      <c r="L248" s="22" t="s">
        <v>543</v>
      </c>
      <c r="M248" s="22" t="s">
        <v>536</v>
      </c>
      <c r="O248" s="22" t="s">
        <v>23</v>
      </c>
      <c r="R248" s="9" t="s">
        <v>29</v>
      </c>
    </row>
    <row r="249" ht="27" customHeight="1" spans="2:18">
      <c r="B249" s="22" t="s">
        <v>542</v>
      </c>
      <c r="C249" s="22" t="s">
        <v>532</v>
      </c>
      <c r="D249" s="22" t="s">
        <v>544</v>
      </c>
      <c r="F249" s="22" t="s">
        <v>539</v>
      </c>
      <c r="G249" s="22" t="s">
        <v>545</v>
      </c>
      <c r="H249" s="22" t="s">
        <v>352</v>
      </c>
      <c r="J249" s="20" t="s">
        <v>26</v>
      </c>
      <c r="K249" s="22" t="s">
        <v>33</v>
      </c>
      <c r="L249" s="22" t="s">
        <v>546</v>
      </c>
      <c r="M249" s="22" t="s">
        <v>547</v>
      </c>
      <c r="O249" s="22" t="s">
        <v>23</v>
      </c>
      <c r="P249" s="48" t="s">
        <v>336</v>
      </c>
      <c r="Q249" s="48" t="s">
        <v>339</v>
      </c>
      <c r="R249" s="9" t="s">
        <v>29</v>
      </c>
    </row>
    <row r="250" ht="27" customHeight="1" spans="2:18">
      <c r="B250" s="22" t="s">
        <v>545</v>
      </c>
      <c r="C250" s="22" t="s">
        <v>532</v>
      </c>
      <c r="D250" s="22" t="s">
        <v>548</v>
      </c>
      <c r="F250" s="22" t="s">
        <v>542</v>
      </c>
      <c r="G250" s="22" t="s">
        <v>549</v>
      </c>
      <c r="H250" s="22" t="s">
        <v>352</v>
      </c>
      <c r="J250" s="20" t="s">
        <v>26</v>
      </c>
      <c r="K250" s="22" t="s">
        <v>23</v>
      </c>
      <c r="L250" s="22" t="s">
        <v>550</v>
      </c>
      <c r="M250" s="22" t="s">
        <v>547</v>
      </c>
      <c r="O250" s="22" t="s">
        <v>23</v>
      </c>
      <c r="R250" s="9" t="s">
        <v>29</v>
      </c>
    </row>
    <row r="251" ht="27" customHeight="1" spans="2:18">
      <c r="B251" s="22" t="s">
        <v>549</v>
      </c>
      <c r="C251" s="22" t="s">
        <v>532</v>
      </c>
      <c r="D251" s="22" t="s">
        <v>551</v>
      </c>
      <c r="F251" s="22" t="s">
        <v>545</v>
      </c>
      <c r="G251" s="22" t="s">
        <v>552</v>
      </c>
      <c r="H251" s="22" t="s">
        <v>352</v>
      </c>
      <c r="J251" s="20" t="s">
        <v>26</v>
      </c>
      <c r="K251" s="22" t="s">
        <v>23</v>
      </c>
      <c r="L251" s="22" t="s">
        <v>553</v>
      </c>
      <c r="M251" s="22" t="s">
        <v>547</v>
      </c>
      <c r="O251" s="22" t="s">
        <v>23</v>
      </c>
      <c r="R251" s="9" t="s">
        <v>29</v>
      </c>
    </row>
    <row r="252" ht="27" customHeight="1" spans="2:18">
      <c r="B252" s="22" t="s">
        <v>552</v>
      </c>
      <c r="C252" s="22" t="s">
        <v>532</v>
      </c>
      <c r="D252" s="22" t="s">
        <v>554</v>
      </c>
      <c r="F252" s="22" t="s">
        <v>549</v>
      </c>
      <c r="G252" s="22" t="s">
        <v>555</v>
      </c>
      <c r="H252" s="22" t="s">
        <v>352</v>
      </c>
      <c r="J252" s="20" t="s">
        <v>26</v>
      </c>
      <c r="K252" s="22" t="s">
        <v>23</v>
      </c>
      <c r="L252" s="22" t="s">
        <v>556</v>
      </c>
      <c r="M252" s="22" t="s">
        <v>547</v>
      </c>
      <c r="O252" s="22" t="s">
        <v>23</v>
      </c>
      <c r="R252" s="9" t="s">
        <v>29</v>
      </c>
    </row>
    <row r="253" ht="27" customHeight="1" spans="2:18">
      <c r="B253" s="22" t="s">
        <v>555</v>
      </c>
      <c r="C253" s="22" t="s">
        <v>532</v>
      </c>
      <c r="D253" s="22" t="s">
        <v>557</v>
      </c>
      <c r="F253" s="22" t="s">
        <v>552</v>
      </c>
      <c r="G253" s="22" t="s">
        <v>558</v>
      </c>
      <c r="H253" s="22" t="s">
        <v>352</v>
      </c>
      <c r="J253" s="20" t="s">
        <v>26</v>
      </c>
      <c r="K253" s="22" t="s">
        <v>33</v>
      </c>
      <c r="L253" s="8" t="s">
        <v>559</v>
      </c>
      <c r="M253" s="8" t="s">
        <v>560</v>
      </c>
      <c r="O253" s="22" t="s">
        <v>23</v>
      </c>
      <c r="R253" s="9" t="s">
        <v>29</v>
      </c>
    </row>
    <row r="254" ht="27" customHeight="1" spans="2:18">
      <c r="B254" s="22" t="s">
        <v>558</v>
      </c>
      <c r="C254" s="22" t="s">
        <v>532</v>
      </c>
      <c r="D254" s="22" t="s">
        <v>561</v>
      </c>
      <c r="F254" s="22" t="s">
        <v>555</v>
      </c>
      <c r="G254" s="22" t="s">
        <v>562</v>
      </c>
      <c r="H254" s="22" t="s">
        <v>352</v>
      </c>
      <c r="J254" s="20" t="s">
        <v>26</v>
      </c>
      <c r="K254" s="22" t="s">
        <v>23</v>
      </c>
      <c r="L254" s="22" t="s">
        <v>563</v>
      </c>
      <c r="M254" s="8" t="s">
        <v>560</v>
      </c>
      <c r="O254" s="22" t="s">
        <v>23</v>
      </c>
      <c r="P254" s="22" t="s">
        <v>564</v>
      </c>
      <c r="R254" s="9" t="s">
        <v>29</v>
      </c>
    </row>
    <row r="255" ht="27" customHeight="1" spans="2:18">
      <c r="B255" s="22" t="s">
        <v>562</v>
      </c>
      <c r="C255" s="22" t="s">
        <v>532</v>
      </c>
      <c r="D255" s="22" t="s">
        <v>565</v>
      </c>
      <c r="F255" s="22" t="s">
        <v>558</v>
      </c>
      <c r="G255" s="22" t="s">
        <v>566</v>
      </c>
      <c r="H255" s="22" t="s">
        <v>352</v>
      </c>
      <c r="J255" s="20" t="s">
        <v>26</v>
      </c>
      <c r="K255" s="22" t="s">
        <v>23</v>
      </c>
      <c r="L255" s="22" t="s">
        <v>567</v>
      </c>
      <c r="M255" s="8" t="s">
        <v>560</v>
      </c>
      <c r="O255" s="22" t="s">
        <v>23</v>
      </c>
      <c r="R255" s="9" t="s">
        <v>29</v>
      </c>
    </row>
    <row r="256" ht="27" customHeight="1" spans="2:18">
      <c r="B256" s="22" t="s">
        <v>566</v>
      </c>
      <c r="C256" s="22" t="s">
        <v>532</v>
      </c>
      <c r="D256" s="22" t="s">
        <v>568</v>
      </c>
      <c r="F256" s="22" t="s">
        <v>562</v>
      </c>
      <c r="G256" s="22" t="s">
        <v>569</v>
      </c>
      <c r="H256" s="22" t="s">
        <v>352</v>
      </c>
      <c r="J256" s="20" t="s">
        <v>26</v>
      </c>
      <c r="K256" s="22" t="s">
        <v>23</v>
      </c>
      <c r="L256" s="22" t="s">
        <v>570</v>
      </c>
      <c r="M256" s="8" t="s">
        <v>560</v>
      </c>
      <c r="O256" s="22" t="s">
        <v>23</v>
      </c>
      <c r="R256" s="9" t="s">
        <v>29</v>
      </c>
    </row>
    <row r="257" ht="27" customHeight="1" spans="2:18">
      <c r="B257" s="22" t="s">
        <v>569</v>
      </c>
      <c r="C257" s="22" t="s">
        <v>532</v>
      </c>
      <c r="D257" s="22" t="s">
        <v>571</v>
      </c>
      <c r="F257" s="22" t="s">
        <v>566</v>
      </c>
      <c r="G257" s="22" t="s">
        <v>572</v>
      </c>
      <c r="H257" s="22" t="s">
        <v>352</v>
      </c>
      <c r="J257" s="20" t="s">
        <v>26</v>
      </c>
      <c r="K257" s="22" t="s">
        <v>33</v>
      </c>
      <c r="L257" s="22" t="s">
        <v>573</v>
      </c>
      <c r="M257" s="22" t="s">
        <v>574</v>
      </c>
      <c r="O257" s="22" t="s">
        <v>23</v>
      </c>
      <c r="R257" s="9" t="s">
        <v>29</v>
      </c>
    </row>
    <row r="258" ht="27" customHeight="1" spans="2:18">
      <c r="B258" s="22" t="s">
        <v>572</v>
      </c>
      <c r="C258" s="22" t="s">
        <v>532</v>
      </c>
      <c r="D258" s="22" t="s">
        <v>575</v>
      </c>
      <c r="F258" s="22" t="s">
        <v>569</v>
      </c>
      <c r="G258" s="22" t="s">
        <v>576</v>
      </c>
      <c r="H258" s="22" t="s">
        <v>352</v>
      </c>
      <c r="J258" s="20" t="s">
        <v>26</v>
      </c>
      <c r="K258" s="22" t="s">
        <v>23</v>
      </c>
      <c r="L258" s="22" t="s">
        <v>577</v>
      </c>
      <c r="M258" s="22" t="s">
        <v>574</v>
      </c>
      <c r="O258" s="22" t="s">
        <v>23</v>
      </c>
      <c r="R258" s="9" t="s">
        <v>29</v>
      </c>
    </row>
    <row r="259" ht="27" customHeight="1" spans="2:18">
      <c r="B259" s="22" t="s">
        <v>576</v>
      </c>
      <c r="C259" s="22" t="s">
        <v>532</v>
      </c>
      <c r="D259" s="22" t="s">
        <v>578</v>
      </c>
      <c r="F259" s="22" t="s">
        <v>572</v>
      </c>
      <c r="G259" s="22" t="s">
        <v>579</v>
      </c>
      <c r="H259" s="22" t="s">
        <v>352</v>
      </c>
      <c r="J259" s="20" t="s">
        <v>26</v>
      </c>
      <c r="K259" s="22" t="s">
        <v>23</v>
      </c>
      <c r="L259" s="22" t="s">
        <v>580</v>
      </c>
      <c r="M259" s="22" t="s">
        <v>574</v>
      </c>
      <c r="O259" s="22" t="s">
        <v>23</v>
      </c>
      <c r="R259" s="9" t="s">
        <v>29</v>
      </c>
    </row>
    <row r="260" ht="27" customHeight="1" spans="2:18">
      <c r="B260" s="22" t="s">
        <v>579</v>
      </c>
      <c r="C260" s="22" t="s">
        <v>532</v>
      </c>
      <c r="D260" s="22" t="s">
        <v>581</v>
      </c>
      <c r="F260" s="22" t="s">
        <v>576</v>
      </c>
      <c r="G260" s="22" t="s">
        <v>582</v>
      </c>
      <c r="H260" s="22" t="s">
        <v>352</v>
      </c>
      <c r="J260" s="20" t="s">
        <v>26</v>
      </c>
      <c r="K260" s="22" t="s">
        <v>23</v>
      </c>
      <c r="L260" s="22" t="s">
        <v>583</v>
      </c>
      <c r="M260" s="22" t="s">
        <v>574</v>
      </c>
      <c r="O260" s="22" t="s">
        <v>23</v>
      </c>
      <c r="P260" s="22" t="s">
        <v>350</v>
      </c>
      <c r="R260" s="9" t="s">
        <v>29</v>
      </c>
    </row>
    <row r="261" ht="27" customHeight="1" spans="2:18">
      <c r="B261" s="22" t="s">
        <v>582</v>
      </c>
      <c r="C261" s="22" t="s">
        <v>532</v>
      </c>
      <c r="D261" s="22" t="s">
        <v>584</v>
      </c>
      <c r="F261" s="22" t="s">
        <v>579</v>
      </c>
      <c r="G261" s="22" t="s">
        <v>585</v>
      </c>
      <c r="H261" s="22" t="s">
        <v>352</v>
      </c>
      <c r="J261" s="20" t="s">
        <v>26</v>
      </c>
      <c r="K261" s="22" t="s">
        <v>33</v>
      </c>
      <c r="L261" s="8" t="s">
        <v>586</v>
      </c>
      <c r="M261" s="8" t="s">
        <v>587</v>
      </c>
      <c r="O261" s="22" t="s">
        <v>23</v>
      </c>
      <c r="R261" s="9" t="s">
        <v>29</v>
      </c>
    </row>
    <row r="262" ht="27" customHeight="1" spans="2:18">
      <c r="B262" s="22" t="s">
        <v>585</v>
      </c>
      <c r="C262" s="22" t="s">
        <v>532</v>
      </c>
      <c r="D262" s="22" t="s">
        <v>588</v>
      </c>
      <c r="F262" s="22" t="s">
        <v>582</v>
      </c>
      <c r="G262" s="22" t="s">
        <v>589</v>
      </c>
      <c r="H262" s="22" t="s">
        <v>352</v>
      </c>
      <c r="J262" s="20" t="s">
        <v>26</v>
      </c>
      <c r="K262" s="22" t="s">
        <v>23</v>
      </c>
      <c r="L262" s="8" t="s">
        <v>590</v>
      </c>
      <c r="M262" s="8" t="s">
        <v>587</v>
      </c>
      <c r="O262" s="22" t="s">
        <v>23</v>
      </c>
      <c r="R262" s="9" t="s">
        <v>29</v>
      </c>
    </row>
    <row r="263" ht="27" customHeight="1" spans="2:18">
      <c r="B263" s="22" t="s">
        <v>589</v>
      </c>
      <c r="C263" s="22" t="s">
        <v>532</v>
      </c>
      <c r="D263" s="22" t="s">
        <v>591</v>
      </c>
      <c r="F263" s="22" t="s">
        <v>585</v>
      </c>
      <c r="G263" s="22" t="s">
        <v>592</v>
      </c>
      <c r="H263" s="22" t="s">
        <v>352</v>
      </c>
      <c r="J263" s="20" t="s">
        <v>26</v>
      </c>
      <c r="K263" s="22" t="s">
        <v>23</v>
      </c>
      <c r="L263" s="22" t="s">
        <v>593</v>
      </c>
      <c r="M263" s="8" t="s">
        <v>587</v>
      </c>
      <c r="O263" s="22" t="s">
        <v>23</v>
      </c>
      <c r="R263" s="9" t="s">
        <v>29</v>
      </c>
    </row>
    <row r="264" ht="27" customHeight="1" spans="2:18">
      <c r="B264" s="22" t="s">
        <v>592</v>
      </c>
      <c r="C264" s="22" t="s">
        <v>532</v>
      </c>
      <c r="D264" s="22" t="s">
        <v>594</v>
      </c>
      <c r="F264" s="22" t="s">
        <v>589</v>
      </c>
      <c r="G264" s="22" t="s">
        <v>595</v>
      </c>
      <c r="H264" s="22" t="s">
        <v>352</v>
      </c>
      <c r="J264" s="20" t="s">
        <v>26</v>
      </c>
      <c r="K264" s="22" t="s">
        <v>23</v>
      </c>
      <c r="L264" s="22" t="s">
        <v>596</v>
      </c>
      <c r="M264" s="8" t="s">
        <v>587</v>
      </c>
      <c r="O264" s="22" t="s">
        <v>23</v>
      </c>
      <c r="P264" s="22" t="s">
        <v>597</v>
      </c>
      <c r="R264" s="9" t="s">
        <v>29</v>
      </c>
    </row>
    <row r="265" ht="27" customHeight="1" spans="2:18">
      <c r="B265" s="22" t="s">
        <v>595</v>
      </c>
      <c r="C265" s="22" t="s">
        <v>532</v>
      </c>
      <c r="D265" s="22" t="s">
        <v>598</v>
      </c>
      <c r="F265" s="22" t="s">
        <v>592</v>
      </c>
      <c r="G265" s="22" t="s">
        <v>599</v>
      </c>
      <c r="H265" s="22" t="s">
        <v>352</v>
      </c>
      <c r="J265" s="20" t="s">
        <v>26</v>
      </c>
      <c r="K265" s="22" t="s">
        <v>33</v>
      </c>
      <c r="L265" s="8" t="s">
        <v>600</v>
      </c>
      <c r="M265" s="8" t="s">
        <v>601</v>
      </c>
      <c r="O265" s="22" t="s">
        <v>23</v>
      </c>
      <c r="R265" s="9" t="s">
        <v>29</v>
      </c>
    </row>
    <row r="266" ht="27" customHeight="1" spans="2:18">
      <c r="B266" s="22" t="s">
        <v>599</v>
      </c>
      <c r="C266" s="22" t="s">
        <v>532</v>
      </c>
      <c r="D266" s="22" t="s">
        <v>602</v>
      </c>
      <c r="F266" s="22" t="s">
        <v>595</v>
      </c>
      <c r="G266" s="22" t="s">
        <v>603</v>
      </c>
      <c r="H266" s="22" t="s">
        <v>352</v>
      </c>
      <c r="J266" s="20" t="s">
        <v>26</v>
      </c>
      <c r="K266" s="22" t="s">
        <v>23</v>
      </c>
      <c r="L266" s="8" t="s">
        <v>604</v>
      </c>
      <c r="M266" s="8" t="s">
        <v>601</v>
      </c>
      <c r="O266" s="22" t="s">
        <v>23</v>
      </c>
      <c r="R266" s="9" t="s">
        <v>29</v>
      </c>
    </row>
    <row r="267" ht="27" customHeight="1" spans="2:18">
      <c r="B267" s="22" t="s">
        <v>603</v>
      </c>
      <c r="C267" s="22" t="s">
        <v>532</v>
      </c>
      <c r="D267" s="22" t="s">
        <v>605</v>
      </c>
      <c r="F267" s="22" t="s">
        <v>599</v>
      </c>
      <c r="G267" s="22" t="s">
        <v>606</v>
      </c>
      <c r="H267" s="22" t="s">
        <v>352</v>
      </c>
      <c r="J267" s="20" t="s">
        <v>26</v>
      </c>
      <c r="K267" s="22" t="s">
        <v>23</v>
      </c>
      <c r="L267" s="22" t="s">
        <v>607</v>
      </c>
      <c r="M267" s="8" t="s">
        <v>601</v>
      </c>
      <c r="O267" s="22" t="s">
        <v>23</v>
      </c>
      <c r="R267" s="9" t="s">
        <v>29</v>
      </c>
    </row>
    <row r="268" ht="27" customHeight="1" spans="2:18">
      <c r="B268" s="22" t="s">
        <v>606</v>
      </c>
      <c r="C268" s="22" t="s">
        <v>532</v>
      </c>
      <c r="D268" s="22" t="s">
        <v>608</v>
      </c>
      <c r="F268" s="22" t="s">
        <v>603</v>
      </c>
      <c r="G268" s="22" t="s">
        <v>609</v>
      </c>
      <c r="H268" s="22" t="s">
        <v>352</v>
      </c>
      <c r="J268" s="20" t="s">
        <v>26</v>
      </c>
      <c r="K268" s="22" t="s">
        <v>33</v>
      </c>
      <c r="L268" s="8" t="s">
        <v>610</v>
      </c>
      <c r="M268" s="8" t="s">
        <v>611</v>
      </c>
      <c r="O268" s="22" t="s">
        <v>23</v>
      </c>
      <c r="R268" s="9" t="s">
        <v>29</v>
      </c>
    </row>
    <row r="269" ht="27" customHeight="1" spans="2:18">
      <c r="B269" s="22" t="s">
        <v>609</v>
      </c>
      <c r="C269" s="22" t="s">
        <v>532</v>
      </c>
      <c r="D269" s="22" t="s">
        <v>612</v>
      </c>
      <c r="F269" s="22" t="s">
        <v>606</v>
      </c>
      <c r="G269" s="22" t="s">
        <v>613</v>
      </c>
      <c r="H269" s="22" t="s">
        <v>352</v>
      </c>
      <c r="J269" s="20" t="s">
        <v>26</v>
      </c>
      <c r="K269" s="22" t="s">
        <v>23</v>
      </c>
      <c r="L269" s="8" t="s">
        <v>614</v>
      </c>
      <c r="M269" s="8" t="s">
        <v>611</v>
      </c>
      <c r="O269" s="22" t="s">
        <v>23</v>
      </c>
      <c r="R269" s="9" t="s">
        <v>29</v>
      </c>
    </row>
    <row r="270" ht="27" customHeight="1" spans="2:18">
      <c r="B270" s="22" t="s">
        <v>613</v>
      </c>
      <c r="C270" s="22" t="s">
        <v>532</v>
      </c>
      <c r="D270" s="22" t="s">
        <v>615</v>
      </c>
      <c r="F270" s="22" t="s">
        <v>609</v>
      </c>
      <c r="G270" s="22" t="s">
        <v>616</v>
      </c>
      <c r="H270" s="22" t="s">
        <v>352</v>
      </c>
      <c r="J270" s="20" t="s">
        <v>26</v>
      </c>
      <c r="K270" s="22" t="s">
        <v>23</v>
      </c>
      <c r="L270" s="22" t="s">
        <v>617</v>
      </c>
      <c r="M270" s="8" t="s">
        <v>611</v>
      </c>
      <c r="O270" s="22" t="s">
        <v>23</v>
      </c>
      <c r="R270" s="9" t="s">
        <v>29</v>
      </c>
    </row>
    <row r="271" ht="27" customHeight="1" spans="2:18">
      <c r="B271" s="22" t="s">
        <v>616</v>
      </c>
      <c r="C271" s="22" t="s">
        <v>532</v>
      </c>
      <c r="D271" s="22" t="s">
        <v>618</v>
      </c>
      <c r="F271" s="22" t="s">
        <v>613</v>
      </c>
      <c r="G271" s="22" t="s">
        <v>619</v>
      </c>
      <c r="H271" s="22" t="s">
        <v>352</v>
      </c>
      <c r="J271" s="20" t="s">
        <v>26</v>
      </c>
      <c r="K271" s="22" t="s">
        <v>23</v>
      </c>
      <c r="L271" s="22" t="s">
        <v>620</v>
      </c>
      <c r="M271" s="8" t="s">
        <v>611</v>
      </c>
      <c r="O271" s="22" t="s">
        <v>23</v>
      </c>
      <c r="P271" s="22" t="s">
        <v>361</v>
      </c>
      <c r="R271" s="9" t="s">
        <v>29</v>
      </c>
    </row>
    <row r="272" ht="27" customHeight="1" spans="2:18">
      <c r="B272" s="22" t="s">
        <v>619</v>
      </c>
      <c r="C272" s="22" t="s">
        <v>532</v>
      </c>
      <c r="D272" s="22" t="s">
        <v>621</v>
      </c>
      <c r="F272" s="22" t="s">
        <v>616</v>
      </c>
      <c r="G272" s="22" t="s">
        <v>622</v>
      </c>
      <c r="H272" s="22" t="s">
        <v>352</v>
      </c>
      <c r="J272" s="20" t="s">
        <v>26</v>
      </c>
      <c r="K272" s="22" t="s">
        <v>33</v>
      </c>
      <c r="L272" s="8" t="s">
        <v>623</v>
      </c>
      <c r="M272" s="8" t="s">
        <v>624</v>
      </c>
      <c r="O272" s="22" t="s">
        <v>23</v>
      </c>
      <c r="R272" s="9" t="s">
        <v>29</v>
      </c>
    </row>
    <row r="273" ht="27" customHeight="1" spans="2:18">
      <c r="B273" s="22" t="s">
        <v>622</v>
      </c>
      <c r="C273" s="22" t="s">
        <v>532</v>
      </c>
      <c r="D273" s="22" t="s">
        <v>625</v>
      </c>
      <c r="F273" s="22" t="s">
        <v>619</v>
      </c>
      <c r="G273" s="22" t="s">
        <v>626</v>
      </c>
      <c r="H273" s="22" t="s">
        <v>352</v>
      </c>
      <c r="J273" s="20" t="s">
        <v>26</v>
      </c>
      <c r="K273" s="22" t="s">
        <v>23</v>
      </c>
      <c r="L273" s="8" t="s">
        <v>627</v>
      </c>
      <c r="M273" s="8" t="s">
        <v>624</v>
      </c>
      <c r="O273" s="22" t="s">
        <v>23</v>
      </c>
      <c r="R273" s="9" t="s">
        <v>29</v>
      </c>
    </row>
    <row r="274" ht="27" customHeight="1" spans="2:18">
      <c r="B274" s="22" t="s">
        <v>626</v>
      </c>
      <c r="C274" s="22" t="s">
        <v>532</v>
      </c>
      <c r="D274" s="22" t="s">
        <v>628</v>
      </c>
      <c r="F274" s="22" t="s">
        <v>622</v>
      </c>
      <c r="G274" s="22" t="s">
        <v>629</v>
      </c>
      <c r="H274" s="22" t="s">
        <v>352</v>
      </c>
      <c r="J274" s="20" t="s">
        <v>26</v>
      </c>
      <c r="K274" s="22" t="s">
        <v>23</v>
      </c>
      <c r="L274" s="22" t="s">
        <v>630</v>
      </c>
      <c r="M274" s="8" t="s">
        <v>624</v>
      </c>
      <c r="O274" s="22" t="s">
        <v>23</v>
      </c>
      <c r="R274" s="9" t="s">
        <v>29</v>
      </c>
    </row>
    <row r="275" ht="27" customHeight="1" spans="2:18">
      <c r="B275" s="22" t="s">
        <v>629</v>
      </c>
      <c r="C275" s="22" t="s">
        <v>532</v>
      </c>
      <c r="D275" s="22" t="s">
        <v>631</v>
      </c>
      <c r="F275" s="22" t="s">
        <v>626</v>
      </c>
      <c r="G275" s="22" t="s">
        <v>632</v>
      </c>
      <c r="H275" s="22" t="s">
        <v>352</v>
      </c>
      <c r="J275" s="20" t="s">
        <v>26</v>
      </c>
      <c r="K275" s="22" t="s">
        <v>23</v>
      </c>
      <c r="L275" s="22" t="s">
        <v>633</v>
      </c>
      <c r="M275" s="8" t="s">
        <v>624</v>
      </c>
      <c r="O275" s="22" t="s">
        <v>23</v>
      </c>
      <c r="R275" s="9" t="s">
        <v>29</v>
      </c>
    </row>
    <row r="276" ht="27" customHeight="1" spans="2:18">
      <c r="B276" s="22" t="s">
        <v>632</v>
      </c>
      <c r="C276" s="22" t="s">
        <v>532</v>
      </c>
      <c r="D276" s="22" t="s">
        <v>634</v>
      </c>
      <c r="F276" s="22" t="s">
        <v>629</v>
      </c>
      <c r="G276" s="22" t="s">
        <v>635</v>
      </c>
      <c r="H276" s="22" t="s">
        <v>352</v>
      </c>
      <c r="J276" s="20" t="s">
        <v>26</v>
      </c>
      <c r="K276" s="22" t="s">
        <v>33</v>
      </c>
      <c r="L276" s="8" t="s">
        <v>636</v>
      </c>
      <c r="M276" s="8" t="s">
        <v>637</v>
      </c>
      <c r="O276" s="22" t="s">
        <v>23</v>
      </c>
      <c r="R276" s="9" t="s">
        <v>29</v>
      </c>
    </row>
    <row r="277" ht="27" customHeight="1" spans="2:18">
      <c r="B277" s="22" t="s">
        <v>635</v>
      </c>
      <c r="C277" s="22" t="s">
        <v>532</v>
      </c>
      <c r="D277" s="22" t="s">
        <v>638</v>
      </c>
      <c r="F277" s="22" t="s">
        <v>632</v>
      </c>
      <c r="G277" s="22" t="s">
        <v>639</v>
      </c>
      <c r="H277" s="22" t="s">
        <v>352</v>
      </c>
      <c r="J277" s="20" t="s">
        <v>26</v>
      </c>
      <c r="K277" s="22" t="s">
        <v>23</v>
      </c>
      <c r="L277" s="8" t="s">
        <v>640</v>
      </c>
      <c r="M277" s="8" t="s">
        <v>637</v>
      </c>
      <c r="O277" s="22" t="s">
        <v>23</v>
      </c>
      <c r="R277" s="9" t="s">
        <v>29</v>
      </c>
    </row>
    <row r="278" ht="40.5" customHeight="1" spans="2:18">
      <c r="B278" s="22" t="s">
        <v>639</v>
      </c>
      <c r="C278" s="22" t="s">
        <v>532</v>
      </c>
      <c r="D278" s="22" t="s">
        <v>641</v>
      </c>
      <c r="F278" s="22" t="s">
        <v>635</v>
      </c>
      <c r="G278" s="22" t="s">
        <v>642</v>
      </c>
      <c r="H278" s="22" t="s">
        <v>352</v>
      </c>
      <c r="J278" s="20" t="s">
        <v>26</v>
      </c>
      <c r="K278" s="22" t="s">
        <v>23</v>
      </c>
      <c r="L278" s="22" t="s">
        <v>643</v>
      </c>
      <c r="M278" s="8" t="s">
        <v>637</v>
      </c>
      <c r="O278" s="22" t="s">
        <v>23</v>
      </c>
      <c r="P278" s="22" t="s">
        <v>364</v>
      </c>
      <c r="R278" s="9" t="s">
        <v>29</v>
      </c>
    </row>
    <row r="279" ht="40.5" customHeight="1" spans="2:18">
      <c r="B279" s="22" t="s">
        <v>642</v>
      </c>
      <c r="C279" s="22" t="s">
        <v>532</v>
      </c>
      <c r="D279" s="22" t="s">
        <v>644</v>
      </c>
      <c r="F279" s="22" t="s">
        <v>639</v>
      </c>
      <c r="G279" s="22" t="s">
        <v>645</v>
      </c>
      <c r="H279" s="22" t="s">
        <v>352</v>
      </c>
      <c r="J279" s="20" t="s">
        <v>26</v>
      </c>
      <c r="K279" s="22" t="s">
        <v>23</v>
      </c>
      <c r="L279" s="22" t="s">
        <v>646</v>
      </c>
      <c r="M279" s="8" t="s">
        <v>637</v>
      </c>
      <c r="O279" s="22" t="s">
        <v>23</v>
      </c>
      <c r="R279" s="9" t="s">
        <v>29</v>
      </c>
    </row>
    <row r="280" ht="27" customHeight="1" spans="2:18">
      <c r="B280" s="22" t="s">
        <v>645</v>
      </c>
      <c r="C280" s="22" t="s">
        <v>532</v>
      </c>
      <c r="D280" s="22" t="s">
        <v>647</v>
      </c>
      <c r="F280" s="22" t="s">
        <v>642</v>
      </c>
      <c r="G280" s="22" t="s">
        <v>648</v>
      </c>
      <c r="H280" s="22" t="s">
        <v>352</v>
      </c>
      <c r="J280" s="20" t="s">
        <v>26</v>
      </c>
      <c r="K280" s="22" t="s">
        <v>33</v>
      </c>
      <c r="L280" s="9" t="s">
        <v>649</v>
      </c>
      <c r="M280" s="22" t="s">
        <v>650</v>
      </c>
      <c r="O280" s="22" t="s">
        <v>23</v>
      </c>
      <c r="P280" s="22" t="s">
        <v>651</v>
      </c>
      <c r="R280" s="9" t="s">
        <v>29</v>
      </c>
    </row>
    <row r="281" ht="27" customHeight="1" spans="2:18">
      <c r="B281" s="22" t="s">
        <v>648</v>
      </c>
      <c r="C281" s="22" t="s">
        <v>532</v>
      </c>
      <c r="D281" s="22" t="s">
        <v>652</v>
      </c>
      <c r="F281" s="22" t="s">
        <v>645</v>
      </c>
      <c r="G281" s="22" t="s">
        <v>653</v>
      </c>
      <c r="H281" s="22" t="s">
        <v>352</v>
      </c>
      <c r="J281" s="20" t="s">
        <v>26</v>
      </c>
      <c r="K281" s="22" t="s">
        <v>23</v>
      </c>
      <c r="L281" s="8" t="s">
        <v>654</v>
      </c>
      <c r="M281" s="22" t="s">
        <v>650</v>
      </c>
      <c r="O281" s="22" t="s">
        <v>23</v>
      </c>
      <c r="Q281" s="22" t="s">
        <v>655</v>
      </c>
      <c r="R281" s="9" t="s">
        <v>29</v>
      </c>
    </row>
    <row r="282" ht="27" customHeight="1" spans="2:18">
      <c r="B282" s="22" t="s">
        <v>653</v>
      </c>
      <c r="C282" s="22" t="s">
        <v>532</v>
      </c>
      <c r="D282" s="22" t="s">
        <v>656</v>
      </c>
      <c r="F282" s="22" t="s">
        <v>648</v>
      </c>
      <c r="G282" s="22" t="s">
        <v>657</v>
      </c>
      <c r="H282" s="22" t="s">
        <v>352</v>
      </c>
      <c r="J282" s="20" t="s">
        <v>26</v>
      </c>
      <c r="K282" s="22" t="s">
        <v>23</v>
      </c>
      <c r="L282" s="8" t="s">
        <v>658</v>
      </c>
      <c r="M282" s="22" t="s">
        <v>650</v>
      </c>
      <c r="O282" s="22" t="s">
        <v>23</v>
      </c>
      <c r="R282" s="9" t="s">
        <v>29</v>
      </c>
    </row>
    <row r="283" ht="27" customHeight="1" spans="2:18">
      <c r="B283" s="22" t="s">
        <v>657</v>
      </c>
      <c r="C283" s="22" t="s">
        <v>532</v>
      </c>
      <c r="D283" s="22" t="s">
        <v>659</v>
      </c>
      <c r="F283" s="22" t="s">
        <v>653</v>
      </c>
      <c r="G283" s="22" t="s">
        <v>660</v>
      </c>
      <c r="H283" s="22" t="s">
        <v>352</v>
      </c>
      <c r="J283" s="20" t="s">
        <v>26</v>
      </c>
      <c r="K283" s="22" t="s">
        <v>23</v>
      </c>
      <c r="L283" s="22" t="s">
        <v>661</v>
      </c>
      <c r="M283" s="22" t="s">
        <v>650</v>
      </c>
      <c r="O283" s="22" t="s">
        <v>23</v>
      </c>
      <c r="R283" s="9" t="s">
        <v>29</v>
      </c>
    </row>
    <row r="284" ht="40.5" customHeight="1" spans="2:18">
      <c r="B284" s="22" t="s">
        <v>660</v>
      </c>
      <c r="C284" s="22" t="s">
        <v>532</v>
      </c>
      <c r="D284" s="22" t="s">
        <v>662</v>
      </c>
      <c r="F284" s="22" t="s">
        <v>657</v>
      </c>
      <c r="G284" s="22" t="s">
        <v>663</v>
      </c>
      <c r="H284" s="22" t="s">
        <v>352</v>
      </c>
      <c r="J284" s="20" t="s">
        <v>26</v>
      </c>
      <c r="K284" s="22" t="s">
        <v>33</v>
      </c>
      <c r="L284" s="8" t="s">
        <v>664</v>
      </c>
      <c r="M284" s="8" t="s">
        <v>665</v>
      </c>
      <c r="O284" s="22" t="s">
        <v>23</v>
      </c>
      <c r="R284" s="9" t="s">
        <v>29</v>
      </c>
    </row>
    <row r="285" ht="27" spans="2:18">
      <c r="B285" s="22" t="s">
        <v>663</v>
      </c>
      <c r="C285" s="22" t="s">
        <v>532</v>
      </c>
      <c r="D285" s="22" t="s">
        <v>666</v>
      </c>
      <c r="F285" s="22" t="s">
        <v>660</v>
      </c>
      <c r="G285" s="22"/>
      <c r="H285" s="22" t="s">
        <v>352</v>
      </c>
      <c r="I285" s="22" t="s">
        <v>23</v>
      </c>
      <c r="J285" s="20" t="s">
        <v>26</v>
      </c>
      <c r="K285" s="22" t="s">
        <v>37</v>
      </c>
      <c r="L285" s="8" t="s">
        <v>667</v>
      </c>
      <c r="M285" s="8" t="s">
        <v>668</v>
      </c>
      <c r="O285" s="22" t="s">
        <v>23</v>
      </c>
      <c r="P285" s="22" t="s">
        <v>669</v>
      </c>
      <c r="Q285" s="48" t="s">
        <v>670</v>
      </c>
      <c r="R285" s="9" t="s">
        <v>54</v>
      </c>
    </row>
    <row r="286" ht="40.5" spans="2:18">
      <c r="B286" s="22" t="s">
        <v>671</v>
      </c>
      <c r="C286" s="22" t="s">
        <v>672</v>
      </c>
      <c r="D286" s="22" t="s">
        <v>673</v>
      </c>
      <c r="E286" s="22" t="s">
        <v>23</v>
      </c>
      <c r="G286" s="22" t="s">
        <v>674</v>
      </c>
      <c r="H286" s="22" t="s">
        <v>157</v>
      </c>
      <c r="J286" s="20" t="s">
        <v>26</v>
      </c>
      <c r="K286" s="22" t="s">
        <v>23</v>
      </c>
      <c r="L286" s="8" t="s">
        <v>675</v>
      </c>
      <c r="M286" s="22" t="s">
        <v>676</v>
      </c>
      <c r="O286" s="22" t="s">
        <v>23</v>
      </c>
      <c r="P286" s="22" t="s">
        <v>677</v>
      </c>
      <c r="Q286" s="22" t="s">
        <v>678</v>
      </c>
      <c r="R286" s="7" t="s">
        <v>29</v>
      </c>
    </row>
    <row r="287" ht="27" spans="2:18">
      <c r="B287" s="22" t="s">
        <v>674</v>
      </c>
      <c r="C287" s="22" t="s">
        <v>672</v>
      </c>
      <c r="D287" s="22" t="s">
        <v>679</v>
      </c>
      <c r="F287" s="22" t="s">
        <v>671</v>
      </c>
      <c r="G287" s="22" t="s">
        <v>680</v>
      </c>
      <c r="H287" s="22" t="s">
        <v>157</v>
      </c>
      <c r="J287" s="20" t="s">
        <v>26</v>
      </c>
      <c r="K287" s="22" t="s">
        <v>23</v>
      </c>
      <c r="L287" s="22" t="s">
        <v>681</v>
      </c>
      <c r="M287" s="22" t="s">
        <v>676</v>
      </c>
      <c r="O287" s="22" t="s">
        <v>23</v>
      </c>
      <c r="R287" s="7" t="s">
        <v>29</v>
      </c>
    </row>
    <row r="288" ht="27" spans="2:18">
      <c r="B288" s="22" t="s">
        <v>680</v>
      </c>
      <c r="C288" s="22" t="s">
        <v>672</v>
      </c>
      <c r="D288" s="22" t="s">
        <v>682</v>
      </c>
      <c r="F288" s="22" t="s">
        <v>674</v>
      </c>
      <c r="G288" s="22" t="s">
        <v>683</v>
      </c>
      <c r="H288" s="22" t="s">
        <v>157</v>
      </c>
      <c r="J288" s="20" t="s">
        <v>26</v>
      </c>
      <c r="K288" s="22" t="s">
        <v>23</v>
      </c>
      <c r="L288" s="22" t="s">
        <v>684</v>
      </c>
      <c r="M288" s="22" t="s">
        <v>676</v>
      </c>
      <c r="O288" s="22" t="s">
        <v>23</v>
      </c>
      <c r="R288" s="7" t="s">
        <v>29</v>
      </c>
    </row>
    <row r="289" ht="27" spans="2:18">
      <c r="B289" s="22" t="s">
        <v>683</v>
      </c>
      <c r="C289" s="22" t="s">
        <v>672</v>
      </c>
      <c r="D289" s="22" t="s">
        <v>685</v>
      </c>
      <c r="F289" s="22" t="s">
        <v>680</v>
      </c>
      <c r="G289" s="22" t="s">
        <v>686</v>
      </c>
      <c r="H289" s="22" t="s">
        <v>157</v>
      </c>
      <c r="J289" s="20" t="s">
        <v>26</v>
      </c>
      <c r="K289" s="22" t="s">
        <v>33</v>
      </c>
      <c r="L289" s="8" t="s">
        <v>687</v>
      </c>
      <c r="M289" s="22" t="s">
        <v>688</v>
      </c>
      <c r="O289" s="22" t="s">
        <v>23</v>
      </c>
      <c r="R289" s="7" t="s">
        <v>29</v>
      </c>
    </row>
    <row r="290" ht="27" spans="2:18">
      <c r="B290" s="22" t="s">
        <v>686</v>
      </c>
      <c r="C290" s="22" t="s">
        <v>672</v>
      </c>
      <c r="D290" s="22" t="s">
        <v>689</v>
      </c>
      <c r="F290" s="22" t="s">
        <v>683</v>
      </c>
      <c r="G290" s="22" t="s">
        <v>690</v>
      </c>
      <c r="H290" s="22" t="s">
        <v>157</v>
      </c>
      <c r="J290" s="20" t="s">
        <v>26</v>
      </c>
      <c r="K290" s="22" t="s">
        <v>23</v>
      </c>
      <c r="L290" s="8" t="s">
        <v>691</v>
      </c>
      <c r="M290" s="22" t="s">
        <v>688</v>
      </c>
      <c r="O290" s="22" t="s">
        <v>23</v>
      </c>
      <c r="R290" s="7" t="s">
        <v>29</v>
      </c>
    </row>
    <row r="291" ht="27" spans="2:18">
      <c r="B291" s="22" t="s">
        <v>690</v>
      </c>
      <c r="C291" s="22" t="s">
        <v>672</v>
      </c>
      <c r="D291" s="22" t="s">
        <v>692</v>
      </c>
      <c r="F291" s="22" t="s">
        <v>686</v>
      </c>
      <c r="G291" s="22" t="s">
        <v>693</v>
      </c>
      <c r="H291" s="22" t="s">
        <v>157</v>
      </c>
      <c r="J291" s="20" t="s">
        <v>26</v>
      </c>
      <c r="K291" s="22" t="s">
        <v>23</v>
      </c>
      <c r="L291" s="8" t="s">
        <v>694</v>
      </c>
      <c r="M291" s="22" t="s">
        <v>688</v>
      </c>
      <c r="O291" s="22" t="s">
        <v>23</v>
      </c>
      <c r="R291" s="7" t="s">
        <v>29</v>
      </c>
    </row>
    <row r="292" ht="27" spans="2:18">
      <c r="B292" s="22" t="s">
        <v>693</v>
      </c>
      <c r="C292" s="22" t="s">
        <v>672</v>
      </c>
      <c r="D292" s="22" t="s">
        <v>695</v>
      </c>
      <c r="F292" s="22" t="s">
        <v>690</v>
      </c>
      <c r="G292" s="22" t="s">
        <v>696</v>
      </c>
      <c r="H292" s="22" t="s">
        <v>157</v>
      </c>
      <c r="J292" s="20" t="s">
        <v>26</v>
      </c>
      <c r="K292" s="22" t="s">
        <v>23</v>
      </c>
      <c r="L292" s="8" t="s">
        <v>697</v>
      </c>
      <c r="M292" s="22" t="s">
        <v>688</v>
      </c>
      <c r="O292" s="22" t="s">
        <v>23</v>
      </c>
      <c r="R292" s="7" t="s">
        <v>29</v>
      </c>
    </row>
    <row r="293" ht="27" spans="2:18">
      <c r="B293" s="22" t="s">
        <v>696</v>
      </c>
      <c r="C293" s="22" t="s">
        <v>672</v>
      </c>
      <c r="D293" s="22" t="s">
        <v>698</v>
      </c>
      <c r="F293" s="22" t="s">
        <v>693</v>
      </c>
      <c r="G293" s="22" t="s">
        <v>699</v>
      </c>
      <c r="H293" s="22" t="s">
        <v>157</v>
      </c>
      <c r="J293" s="20" t="s">
        <v>26</v>
      </c>
      <c r="K293" s="22" t="s">
        <v>33</v>
      </c>
      <c r="L293" s="8" t="s">
        <v>700</v>
      </c>
      <c r="M293" s="22" t="s">
        <v>701</v>
      </c>
      <c r="O293" s="22" t="s">
        <v>23</v>
      </c>
      <c r="R293" s="7" t="s">
        <v>29</v>
      </c>
    </row>
    <row r="294" ht="27" spans="2:18">
      <c r="B294" s="22" t="s">
        <v>699</v>
      </c>
      <c r="C294" s="22" t="s">
        <v>672</v>
      </c>
      <c r="D294" s="22" t="s">
        <v>702</v>
      </c>
      <c r="F294" s="22" t="s">
        <v>696</v>
      </c>
      <c r="G294" s="22" t="s">
        <v>703</v>
      </c>
      <c r="H294" s="22" t="s">
        <v>157</v>
      </c>
      <c r="J294" s="20" t="s">
        <v>26</v>
      </c>
      <c r="K294" s="22" t="s">
        <v>23</v>
      </c>
      <c r="L294" s="8" t="s">
        <v>704</v>
      </c>
      <c r="M294" s="22" t="s">
        <v>701</v>
      </c>
      <c r="O294" s="22" t="s">
        <v>23</v>
      </c>
      <c r="R294" s="7" t="s">
        <v>29</v>
      </c>
    </row>
    <row r="295" ht="27" spans="2:18">
      <c r="B295" s="22" t="s">
        <v>703</v>
      </c>
      <c r="C295" s="22" t="s">
        <v>672</v>
      </c>
      <c r="D295" s="22" t="s">
        <v>705</v>
      </c>
      <c r="F295" s="22" t="s">
        <v>699</v>
      </c>
      <c r="G295" s="22" t="s">
        <v>706</v>
      </c>
      <c r="H295" s="22" t="s">
        <v>157</v>
      </c>
      <c r="J295" s="20" t="s">
        <v>26</v>
      </c>
      <c r="K295" s="22" t="s">
        <v>23</v>
      </c>
      <c r="L295" s="8" t="s">
        <v>707</v>
      </c>
      <c r="M295" s="22" t="s">
        <v>701</v>
      </c>
      <c r="O295" s="22" t="s">
        <v>23</v>
      </c>
      <c r="R295" s="7" t="s">
        <v>29</v>
      </c>
    </row>
    <row r="296" ht="27" spans="2:18">
      <c r="B296" s="22" t="s">
        <v>706</v>
      </c>
      <c r="C296" s="22" t="s">
        <v>672</v>
      </c>
      <c r="D296" s="22" t="s">
        <v>708</v>
      </c>
      <c r="F296" s="22" t="s">
        <v>703</v>
      </c>
      <c r="G296" s="22" t="s">
        <v>709</v>
      </c>
      <c r="H296" s="22" t="s">
        <v>157</v>
      </c>
      <c r="J296" s="20" t="s">
        <v>26</v>
      </c>
      <c r="K296" s="22" t="s">
        <v>23</v>
      </c>
      <c r="L296" s="8" t="s">
        <v>710</v>
      </c>
      <c r="M296" s="22" t="s">
        <v>701</v>
      </c>
      <c r="O296" s="22" t="s">
        <v>23</v>
      </c>
      <c r="R296" s="7" t="s">
        <v>29</v>
      </c>
    </row>
    <row r="297" ht="27" spans="2:18">
      <c r="B297" s="22" t="s">
        <v>709</v>
      </c>
      <c r="C297" s="22" t="s">
        <v>672</v>
      </c>
      <c r="D297" s="22" t="s">
        <v>711</v>
      </c>
      <c r="F297" s="22" t="s">
        <v>706</v>
      </c>
      <c r="G297" s="22" t="s">
        <v>712</v>
      </c>
      <c r="H297" s="22" t="s">
        <v>157</v>
      </c>
      <c r="J297" s="20" t="s">
        <v>26</v>
      </c>
      <c r="K297" s="22" t="s">
        <v>23</v>
      </c>
      <c r="L297" s="8" t="s">
        <v>704</v>
      </c>
      <c r="M297" s="22" t="s">
        <v>713</v>
      </c>
      <c r="O297" s="22" t="s">
        <v>23</v>
      </c>
      <c r="R297" s="7" t="s">
        <v>29</v>
      </c>
    </row>
    <row r="298" ht="27" spans="2:18">
      <c r="B298" s="22" t="s">
        <v>712</v>
      </c>
      <c r="C298" s="22" t="s">
        <v>672</v>
      </c>
      <c r="D298" s="22" t="s">
        <v>714</v>
      </c>
      <c r="F298" s="22" t="s">
        <v>709</v>
      </c>
      <c r="G298" s="22" t="s">
        <v>715</v>
      </c>
      <c r="H298" s="22" t="s">
        <v>157</v>
      </c>
      <c r="J298" s="20" t="s">
        <v>26</v>
      </c>
      <c r="K298" s="22" t="s">
        <v>23</v>
      </c>
      <c r="L298" s="8" t="s">
        <v>716</v>
      </c>
      <c r="M298" s="22" t="s">
        <v>717</v>
      </c>
      <c r="O298" s="22" t="s">
        <v>23</v>
      </c>
      <c r="R298" s="7" t="s">
        <v>29</v>
      </c>
    </row>
    <row r="299" ht="27" spans="2:18">
      <c r="B299" s="22" t="s">
        <v>715</v>
      </c>
      <c r="C299" s="22" t="s">
        <v>672</v>
      </c>
      <c r="D299" s="22" t="s">
        <v>718</v>
      </c>
      <c r="F299" s="22" t="s">
        <v>712</v>
      </c>
      <c r="G299" s="22" t="s">
        <v>719</v>
      </c>
      <c r="H299" s="22" t="s">
        <v>157</v>
      </c>
      <c r="J299" s="20" t="s">
        <v>26</v>
      </c>
      <c r="K299" s="22" t="s">
        <v>23</v>
      </c>
      <c r="L299" s="8" t="s">
        <v>720</v>
      </c>
      <c r="M299" s="22" t="s">
        <v>717</v>
      </c>
      <c r="O299" s="22" t="s">
        <v>23</v>
      </c>
      <c r="R299" s="7" t="s">
        <v>29</v>
      </c>
    </row>
    <row r="300" ht="27" spans="2:18">
      <c r="B300" s="22" t="s">
        <v>719</v>
      </c>
      <c r="C300" s="22" t="s">
        <v>672</v>
      </c>
      <c r="D300" s="22" t="s">
        <v>721</v>
      </c>
      <c r="F300" s="22" t="s">
        <v>715</v>
      </c>
      <c r="G300" s="22" t="s">
        <v>722</v>
      </c>
      <c r="H300" s="22" t="s">
        <v>157</v>
      </c>
      <c r="J300" s="20" t="s">
        <v>26</v>
      </c>
      <c r="K300" s="22" t="s">
        <v>23</v>
      </c>
      <c r="L300" s="8" t="s">
        <v>723</v>
      </c>
      <c r="M300" s="22" t="s">
        <v>717</v>
      </c>
      <c r="O300" s="22" t="s">
        <v>23</v>
      </c>
      <c r="R300" s="7" t="s">
        <v>29</v>
      </c>
    </row>
    <row r="301" ht="27" spans="2:18">
      <c r="B301" s="22" t="s">
        <v>722</v>
      </c>
      <c r="C301" s="22" t="s">
        <v>672</v>
      </c>
      <c r="D301" s="22" t="s">
        <v>724</v>
      </c>
      <c r="F301" s="22" t="s">
        <v>719</v>
      </c>
      <c r="G301" s="22" t="s">
        <v>725</v>
      </c>
      <c r="H301" s="22" t="s">
        <v>157</v>
      </c>
      <c r="J301" s="20" t="s">
        <v>26</v>
      </c>
      <c r="K301" s="22" t="s">
        <v>23</v>
      </c>
      <c r="L301" s="8" t="s">
        <v>716</v>
      </c>
      <c r="M301" s="22" t="s">
        <v>717</v>
      </c>
      <c r="O301" s="22" t="s">
        <v>23</v>
      </c>
      <c r="R301" s="7" t="s">
        <v>29</v>
      </c>
    </row>
    <row r="302" ht="27" spans="2:18">
      <c r="B302" s="22" t="s">
        <v>725</v>
      </c>
      <c r="C302" s="22" t="s">
        <v>672</v>
      </c>
      <c r="D302" s="22" t="s">
        <v>726</v>
      </c>
      <c r="F302" s="22" t="s">
        <v>722</v>
      </c>
      <c r="G302" s="22" t="s">
        <v>727</v>
      </c>
      <c r="H302" s="22" t="s">
        <v>157</v>
      </c>
      <c r="J302" s="20" t="s">
        <v>26</v>
      </c>
      <c r="K302" s="22" t="s">
        <v>23</v>
      </c>
      <c r="L302" s="8" t="s">
        <v>728</v>
      </c>
      <c r="M302" s="22" t="s">
        <v>729</v>
      </c>
      <c r="O302" s="22" t="s">
        <v>23</v>
      </c>
      <c r="R302" s="7" t="s">
        <v>29</v>
      </c>
    </row>
    <row r="303" ht="27" spans="2:18">
      <c r="B303" s="22" t="s">
        <v>727</v>
      </c>
      <c r="C303" s="22" t="s">
        <v>672</v>
      </c>
      <c r="D303" s="22" t="s">
        <v>730</v>
      </c>
      <c r="F303" s="22" t="s">
        <v>725</v>
      </c>
      <c r="G303" s="22" t="s">
        <v>731</v>
      </c>
      <c r="H303" s="22" t="s">
        <v>157</v>
      </c>
      <c r="J303" s="20" t="s">
        <v>26</v>
      </c>
      <c r="K303" s="22" t="s">
        <v>23</v>
      </c>
      <c r="L303" s="8" t="s">
        <v>720</v>
      </c>
      <c r="M303" s="22" t="s">
        <v>729</v>
      </c>
      <c r="O303" s="22" t="s">
        <v>23</v>
      </c>
      <c r="R303" s="7" t="s">
        <v>29</v>
      </c>
    </row>
    <row r="304" ht="27" spans="2:18">
      <c r="B304" s="22" t="s">
        <v>731</v>
      </c>
      <c r="C304" s="22" t="s">
        <v>672</v>
      </c>
      <c r="D304" s="22" t="s">
        <v>732</v>
      </c>
      <c r="F304" s="22" t="s">
        <v>727</v>
      </c>
      <c r="G304" s="22" t="s">
        <v>733</v>
      </c>
      <c r="H304" s="22" t="s">
        <v>157</v>
      </c>
      <c r="J304" s="20" t="s">
        <v>26</v>
      </c>
      <c r="K304" s="22" t="s">
        <v>23</v>
      </c>
      <c r="L304" s="8" t="s">
        <v>734</v>
      </c>
      <c r="M304" s="22" t="s">
        <v>729</v>
      </c>
      <c r="O304" s="22" t="s">
        <v>23</v>
      </c>
      <c r="R304" s="7" t="s">
        <v>29</v>
      </c>
    </row>
    <row r="305" ht="27" spans="2:18">
      <c r="B305" s="22" t="s">
        <v>733</v>
      </c>
      <c r="C305" s="22" t="s">
        <v>672</v>
      </c>
      <c r="D305" s="22" t="s">
        <v>735</v>
      </c>
      <c r="F305" s="22" t="s">
        <v>731</v>
      </c>
      <c r="G305" s="22" t="s">
        <v>736</v>
      </c>
      <c r="H305" s="22" t="s">
        <v>157</v>
      </c>
      <c r="J305" s="20" t="s">
        <v>26</v>
      </c>
      <c r="K305" s="22" t="s">
        <v>23</v>
      </c>
      <c r="L305" s="8" t="s">
        <v>737</v>
      </c>
      <c r="M305" s="22" t="s">
        <v>729</v>
      </c>
      <c r="O305" s="22" t="s">
        <v>23</v>
      </c>
      <c r="R305" s="7" t="s">
        <v>29</v>
      </c>
    </row>
    <row r="306" ht="27" spans="2:18">
      <c r="B306" s="22" t="s">
        <v>736</v>
      </c>
      <c r="C306" s="22" t="s">
        <v>672</v>
      </c>
      <c r="D306" s="22" t="s">
        <v>738</v>
      </c>
      <c r="F306" s="22" t="s">
        <v>733</v>
      </c>
      <c r="G306" s="22" t="s">
        <v>739</v>
      </c>
      <c r="H306" s="22" t="s">
        <v>157</v>
      </c>
      <c r="J306" s="20" t="s">
        <v>26</v>
      </c>
      <c r="K306" s="22" t="s">
        <v>23</v>
      </c>
      <c r="L306" s="8" t="s">
        <v>740</v>
      </c>
      <c r="M306" s="22" t="s">
        <v>741</v>
      </c>
      <c r="O306" s="22" t="s">
        <v>23</v>
      </c>
      <c r="R306" s="7" t="s">
        <v>29</v>
      </c>
    </row>
    <row r="307" ht="27" spans="2:18">
      <c r="B307" s="22" t="s">
        <v>739</v>
      </c>
      <c r="C307" s="22" t="s">
        <v>672</v>
      </c>
      <c r="D307" s="22" t="s">
        <v>742</v>
      </c>
      <c r="F307" s="22" t="s">
        <v>736</v>
      </c>
      <c r="G307" s="22" t="s">
        <v>743</v>
      </c>
      <c r="H307" s="22" t="s">
        <v>157</v>
      </c>
      <c r="J307" s="20" t="s">
        <v>26</v>
      </c>
      <c r="K307" s="22" t="s">
        <v>23</v>
      </c>
      <c r="L307" s="22" t="s">
        <v>684</v>
      </c>
      <c r="M307" s="22" t="s">
        <v>741</v>
      </c>
      <c r="O307" s="22" t="s">
        <v>23</v>
      </c>
      <c r="R307" s="7" t="s">
        <v>29</v>
      </c>
    </row>
    <row r="308" ht="27" spans="2:18">
      <c r="B308" s="22" t="s">
        <v>743</v>
      </c>
      <c r="C308" s="22" t="s">
        <v>672</v>
      </c>
      <c r="D308" s="22" t="s">
        <v>744</v>
      </c>
      <c r="F308" s="22" t="s">
        <v>739</v>
      </c>
      <c r="G308" s="22" t="s">
        <v>745</v>
      </c>
      <c r="H308" s="22" t="s">
        <v>157</v>
      </c>
      <c r="J308" s="20" t="s">
        <v>26</v>
      </c>
      <c r="K308" s="22" t="s">
        <v>23</v>
      </c>
      <c r="L308" s="8" t="s">
        <v>710</v>
      </c>
      <c r="M308" s="22" t="s">
        <v>741</v>
      </c>
      <c r="O308" s="22" t="s">
        <v>23</v>
      </c>
      <c r="R308" s="7" t="s">
        <v>29</v>
      </c>
    </row>
    <row r="309" ht="27" spans="2:18">
      <c r="B309" s="22" t="s">
        <v>745</v>
      </c>
      <c r="C309" s="22" t="s">
        <v>672</v>
      </c>
      <c r="D309" s="22" t="s">
        <v>746</v>
      </c>
      <c r="F309" s="22" t="s">
        <v>743</v>
      </c>
      <c r="G309" s="22" t="s">
        <v>747</v>
      </c>
      <c r="H309" s="22" t="s">
        <v>157</v>
      </c>
      <c r="J309" s="20" t="s">
        <v>26</v>
      </c>
      <c r="K309" s="22" t="s">
        <v>23</v>
      </c>
      <c r="L309" s="8" t="s">
        <v>737</v>
      </c>
      <c r="M309" s="22" t="s">
        <v>748</v>
      </c>
      <c r="O309" s="22" t="s">
        <v>23</v>
      </c>
      <c r="R309" s="7" t="s">
        <v>29</v>
      </c>
    </row>
    <row r="310" ht="27" spans="2:18">
      <c r="B310" s="22" t="s">
        <v>747</v>
      </c>
      <c r="C310" s="22" t="s">
        <v>672</v>
      </c>
      <c r="D310" s="22" t="s">
        <v>749</v>
      </c>
      <c r="F310" s="22" t="s">
        <v>745</v>
      </c>
      <c r="G310" s="22" t="s">
        <v>750</v>
      </c>
      <c r="H310" s="22" t="s">
        <v>157</v>
      </c>
      <c r="J310" s="20" t="s">
        <v>26</v>
      </c>
      <c r="K310" s="22" t="s">
        <v>23</v>
      </c>
      <c r="L310" s="22" t="s">
        <v>751</v>
      </c>
      <c r="M310" s="22" t="s">
        <v>748</v>
      </c>
      <c r="O310" s="22" t="s">
        <v>23</v>
      </c>
      <c r="R310" s="7" t="s">
        <v>29</v>
      </c>
    </row>
    <row r="311" ht="27" spans="2:18">
      <c r="B311" s="22" t="s">
        <v>750</v>
      </c>
      <c r="C311" s="22" t="s">
        <v>672</v>
      </c>
      <c r="D311" s="22" t="s">
        <v>752</v>
      </c>
      <c r="F311" s="22" t="s">
        <v>747</v>
      </c>
      <c r="G311" s="22" t="s">
        <v>753</v>
      </c>
      <c r="H311" s="22" t="s">
        <v>157</v>
      </c>
      <c r="J311" s="20" t="s">
        <v>26</v>
      </c>
      <c r="K311" s="22" t="s">
        <v>23</v>
      </c>
      <c r="L311" s="8" t="s">
        <v>710</v>
      </c>
      <c r="M311" s="22" t="s">
        <v>748</v>
      </c>
      <c r="O311" s="22" t="s">
        <v>23</v>
      </c>
      <c r="R311" s="7" t="s">
        <v>29</v>
      </c>
    </row>
    <row r="312" ht="27" spans="2:18">
      <c r="B312" s="22" t="s">
        <v>753</v>
      </c>
      <c r="C312" s="22" t="s">
        <v>672</v>
      </c>
      <c r="D312" s="22" t="s">
        <v>754</v>
      </c>
      <c r="F312" s="22" t="s">
        <v>750</v>
      </c>
      <c r="G312" s="22" t="s">
        <v>755</v>
      </c>
      <c r="H312" s="22" t="s">
        <v>157</v>
      </c>
      <c r="J312" s="20" t="s">
        <v>26</v>
      </c>
      <c r="K312" s="22" t="s">
        <v>23</v>
      </c>
      <c r="L312" s="8" t="s">
        <v>710</v>
      </c>
      <c r="M312" s="22" t="s">
        <v>748</v>
      </c>
      <c r="O312" s="22" t="s">
        <v>23</v>
      </c>
      <c r="R312" s="7" t="s">
        <v>29</v>
      </c>
    </row>
    <row r="313" ht="27" spans="2:18">
      <c r="B313" s="22" t="s">
        <v>755</v>
      </c>
      <c r="C313" s="22" t="s">
        <v>672</v>
      </c>
      <c r="D313" s="22" t="s">
        <v>756</v>
      </c>
      <c r="F313" s="22" t="s">
        <v>753</v>
      </c>
      <c r="G313" s="22" t="s">
        <v>757</v>
      </c>
      <c r="H313" s="22" t="s">
        <v>157</v>
      </c>
      <c r="J313" s="20" t="s">
        <v>26</v>
      </c>
      <c r="K313" s="22" t="s">
        <v>33</v>
      </c>
      <c r="L313" s="8" t="s">
        <v>728</v>
      </c>
      <c r="M313" s="22" t="s">
        <v>758</v>
      </c>
      <c r="O313" s="22" t="s">
        <v>23</v>
      </c>
      <c r="R313" s="7" t="s">
        <v>29</v>
      </c>
    </row>
    <row r="314" ht="27" spans="2:18">
      <c r="B314" s="22" t="s">
        <v>757</v>
      </c>
      <c r="C314" s="22" t="s">
        <v>672</v>
      </c>
      <c r="D314" s="22" t="s">
        <v>759</v>
      </c>
      <c r="F314" s="22" t="s">
        <v>755</v>
      </c>
      <c r="G314" s="22" t="s">
        <v>760</v>
      </c>
      <c r="H314" s="22" t="s">
        <v>157</v>
      </c>
      <c r="J314" s="20" t="s">
        <v>26</v>
      </c>
      <c r="K314" s="22" t="s">
        <v>23</v>
      </c>
      <c r="L314" s="22" t="s">
        <v>751</v>
      </c>
      <c r="M314" s="22" t="s">
        <v>758</v>
      </c>
      <c r="O314" s="22" t="s">
        <v>23</v>
      </c>
      <c r="R314" s="7" t="s">
        <v>29</v>
      </c>
    </row>
    <row r="315" ht="27" spans="2:18">
      <c r="B315" s="22" t="s">
        <v>760</v>
      </c>
      <c r="C315" s="22" t="s">
        <v>672</v>
      </c>
      <c r="D315" s="22" t="s">
        <v>761</v>
      </c>
      <c r="F315" s="22" t="s">
        <v>757</v>
      </c>
      <c r="G315" s="22" t="s">
        <v>762</v>
      </c>
      <c r="H315" s="22" t="s">
        <v>157</v>
      </c>
      <c r="J315" s="20" t="s">
        <v>26</v>
      </c>
      <c r="K315" s="22" t="s">
        <v>23</v>
      </c>
      <c r="L315" s="8" t="s">
        <v>707</v>
      </c>
      <c r="M315" s="22" t="s">
        <v>763</v>
      </c>
      <c r="O315" s="22" t="s">
        <v>23</v>
      </c>
      <c r="R315" s="7" t="s">
        <v>29</v>
      </c>
    </row>
    <row r="316" ht="27" spans="2:18">
      <c r="B316" s="22" t="s">
        <v>762</v>
      </c>
      <c r="C316" s="22" t="s">
        <v>672</v>
      </c>
      <c r="D316" s="22" t="s">
        <v>764</v>
      </c>
      <c r="F316" s="22" t="s">
        <v>760</v>
      </c>
      <c r="G316" s="22" t="s">
        <v>765</v>
      </c>
      <c r="H316" s="22" t="s">
        <v>157</v>
      </c>
      <c r="J316" s="20" t="s">
        <v>26</v>
      </c>
      <c r="K316" s="22" t="s">
        <v>23</v>
      </c>
      <c r="L316" s="8" t="s">
        <v>710</v>
      </c>
      <c r="M316" s="22" t="s">
        <v>763</v>
      </c>
      <c r="O316" s="22" t="s">
        <v>23</v>
      </c>
      <c r="R316" s="7" t="s">
        <v>29</v>
      </c>
    </row>
    <row r="317" ht="27" spans="2:18">
      <c r="B317" s="22" t="s">
        <v>765</v>
      </c>
      <c r="C317" s="22" t="s">
        <v>672</v>
      </c>
      <c r="D317" s="22" t="s">
        <v>766</v>
      </c>
      <c r="F317" s="22" t="s">
        <v>762</v>
      </c>
      <c r="G317" s="22" t="s">
        <v>767</v>
      </c>
      <c r="H317" s="22" t="s">
        <v>157</v>
      </c>
      <c r="J317" s="20" t="s">
        <v>26</v>
      </c>
      <c r="K317" s="22" t="s">
        <v>33</v>
      </c>
      <c r="L317" s="8" t="s">
        <v>687</v>
      </c>
      <c r="M317" s="22" t="s">
        <v>763</v>
      </c>
      <c r="O317" s="22" t="s">
        <v>23</v>
      </c>
      <c r="R317" s="7" t="s">
        <v>29</v>
      </c>
    </row>
    <row r="318" ht="27" spans="2:18">
      <c r="B318" s="22" t="s">
        <v>767</v>
      </c>
      <c r="C318" s="22" t="s">
        <v>672</v>
      </c>
      <c r="D318" s="22" t="s">
        <v>768</v>
      </c>
      <c r="F318" s="22" t="s">
        <v>765</v>
      </c>
      <c r="G318" s="22" t="s">
        <v>769</v>
      </c>
      <c r="H318" s="22" t="s">
        <v>157</v>
      </c>
      <c r="J318" s="20" t="s">
        <v>26</v>
      </c>
      <c r="K318" s="22" t="s">
        <v>33</v>
      </c>
      <c r="L318" s="8" t="s">
        <v>691</v>
      </c>
      <c r="M318" s="22" t="s">
        <v>763</v>
      </c>
      <c r="O318" s="22" t="s">
        <v>23</v>
      </c>
      <c r="R318" s="7" t="s">
        <v>29</v>
      </c>
    </row>
    <row r="319" ht="27" spans="2:18">
      <c r="B319" s="22" t="s">
        <v>769</v>
      </c>
      <c r="C319" s="22" t="s">
        <v>672</v>
      </c>
      <c r="D319" s="22" t="s">
        <v>770</v>
      </c>
      <c r="F319" s="22" t="s">
        <v>767</v>
      </c>
      <c r="G319" s="22" t="s">
        <v>771</v>
      </c>
      <c r="H319" s="22" t="s">
        <v>157</v>
      </c>
      <c r="J319" s="20" t="s">
        <v>26</v>
      </c>
      <c r="K319" s="22" t="s">
        <v>23</v>
      </c>
      <c r="L319" s="22" t="s">
        <v>772</v>
      </c>
      <c r="M319" s="22" t="s">
        <v>763</v>
      </c>
      <c r="O319" s="22" t="s">
        <v>23</v>
      </c>
      <c r="R319" s="7" t="s">
        <v>29</v>
      </c>
    </row>
    <row r="320" ht="27" spans="2:18">
      <c r="B320" s="22" t="s">
        <v>771</v>
      </c>
      <c r="C320" s="22" t="s">
        <v>672</v>
      </c>
      <c r="D320" s="22" t="s">
        <v>773</v>
      </c>
      <c r="F320" s="22" t="s">
        <v>769</v>
      </c>
      <c r="G320" s="22" t="s">
        <v>774</v>
      </c>
      <c r="H320" s="22" t="s">
        <v>157</v>
      </c>
      <c r="J320" s="20" t="s">
        <v>26</v>
      </c>
      <c r="K320" s="22" t="s">
        <v>23</v>
      </c>
      <c r="L320" s="22" t="s">
        <v>775</v>
      </c>
      <c r="M320" s="22" t="s">
        <v>776</v>
      </c>
      <c r="O320" s="22" t="s">
        <v>23</v>
      </c>
      <c r="R320" s="7" t="s">
        <v>29</v>
      </c>
    </row>
    <row r="321" ht="27" spans="2:18">
      <c r="B321" s="22" t="s">
        <v>774</v>
      </c>
      <c r="C321" s="22" t="s">
        <v>672</v>
      </c>
      <c r="D321" s="22" t="s">
        <v>777</v>
      </c>
      <c r="F321" s="22" t="s">
        <v>771</v>
      </c>
      <c r="G321" s="22" t="s">
        <v>778</v>
      </c>
      <c r="H321" s="22" t="s">
        <v>157</v>
      </c>
      <c r="J321" s="20" t="s">
        <v>26</v>
      </c>
      <c r="K321" s="22" t="s">
        <v>33</v>
      </c>
      <c r="L321" s="8" t="s">
        <v>675</v>
      </c>
      <c r="M321" s="22" t="s">
        <v>776</v>
      </c>
      <c r="O321" s="22" t="s">
        <v>23</v>
      </c>
      <c r="R321" s="7" t="s">
        <v>29</v>
      </c>
    </row>
    <row r="322" ht="27" spans="2:18">
      <c r="B322" s="22" t="s">
        <v>778</v>
      </c>
      <c r="C322" s="22" t="s">
        <v>672</v>
      </c>
      <c r="D322" s="22" t="s">
        <v>779</v>
      </c>
      <c r="F322" s="22" t="s">
        <v>774</v>
      </c>
      <c r="G322" s="22" t="s">
        <v>780</v>
      </c>
      <c r="H322" s="22" t="s">
        <v>157</v>
      </c>
      <c r="J322" s="20" t="s">
        <v>26</v>
      </c>
      <c r="K322" s="22" t="s">
        <v>33</v>
      </c>
      <c r="L322" s="8" t="s">
        <v>737</v>
      </c>
      <c r="M322" s="22" t="s">
        <v>776</v>
      </c>
      <c r="O322" s="22" t="s">
        <v>23</v>
      </c>
      <c r="R322" s="7" t="s">
        <v>29</v>
      </c>
    </row>
    <row r="323" ht="27" spans="2:18">
      <c r="B323" s="22" t="s">
        <v>780</v>
      </c>
      <c r="C323" s="22" t="s">
        <v>672</v>
      </c>
      <c r="D323" s="22" t="s">
        <v>781</v>
      </c>
      <c r="F323" s="22" t="s">
        <v>778</v>
      </c>
      <c r="G323" s="22" t="s">
        <v>782</v>
      </c>
      <c r="H323" s="22" t="s">
        <v>157</v>
      </c>
      <c r="J323" s="20" t="s">
        <v>26</v>
      </c>
      <c r="K323" s="22" t="s">
        <v>23</v>
      </c>
      <c r="L323" s="22" t="s">
        <v>772</v>
      </c>
      <c r="M323" s="22" t="s">
        <v>783</v>
      </c>
      <c r="O323" s="22" t="s">
        <v>23</v>
      </c>
      <c r="R323" s="7" t="s">
        <v>29</v>
      </c>
    </row>
    <row r="324" ht="27" spans="2:18">
      <c r="B324" s="22" t="s">
        <v>782</v>
      </c>
      <c r="C324" s="22" t="s">
        <v>672</v>
      </c>
      <c r="D324" s="22" t="s">
        <v>784</v>
      </c>
      <c r="F324" s="22" t="s">
        <v>780</v>
      </c>
      <c r="G324" s="22" t="s">
        <v>785</v>
      </c>
      <c r="H324" s="22" t="s">
        <v>157</v>
      </c>
      <c r="J324" s="20" t="s">
        <v>26</v>
      </c>
      <c r="K324" s="22" t="s">
        <v>23</v>
      </c>
      <c r="L324" s="8" t="s">
        <v>707</v>
      </c>
      <c r="M324" s="22" t="s">
        <v>783</v>
      </c>
      <c r="O324" s="22" t="s">
        <v>23</v>
      </c>
      <c r="R324" s="7" t="s">
        <v>29</v>
      </c>
    </row>
    <row r="325" ht="27" spans="2:18">
      <c r="B325" s="22" t="s">
        <v>785</v>
      </c>
      <c r="C325" s="22" t="s">
        <v>672</v>
      </c>
      <c r="D325" s="22" t="s">
        <v>786</v>
      </c>
      <c r="F325" s="22" t="s">
        <v>782</v>
      </c>
      <c r="G325" s="22" t="s">
        <v>787</v>
      </c>
      <c r="H325" s="22" t="s">
        <v>157</v>
      </c>
      <c r="J325" s="20" t="s">
        <v>26</v>
      </c>
      <c r="K325" s="22" t="s">
        <v>33</v>
      </c>
      <c r="L325" s="8" t="s">
        <v>691</v>
      </c>
      <c r="M325" s="22" t="s">
        <v>788</v>
      </c>
      <c r="O325" s="22" t="s">
        <v>23</v>
      </c>
      <c r="R325" s="7" t="s">
        <v>29</v>
      </c>
    </row>
    <row r="326" ht="27" spans="2:18">
      <c r="B326" s="22" t="s">
        <v>787</v>
      </c>
      <c r="C326" s="22" t="s">
        <v>672</v>
      </c>
      <c r="D326" s="22" t="s">
        <v>789</v>
      </c>
      <c r="F326" s="22" t="s">
        <v>785</v>
      </c>
      <c r="G326" s="22" t="s">
        <v>790</v>
      </c>
      <c r="H326" s="22" t="s">
        <v>157</v>
      </c>
      <c r="J326" s="20" t="s">
        <v>26</v>
      </c>
      <c r="K326" s="22" t="s">
        <v>33</v>
      </c>
      <c r="L326" s="8" t="s">
        <v>716</v>
      </c>
      <c r="M326" s="22" t="s">
        <v>788</v>
      </c>
      <c r="O326" s="22" t="s">
        <v>23</v>
      </c>
      <c r="R326" s="7" t="s">
        <v>29</v>
      </c>
    </row>
    <row r="327" ht="27" spans="2:18">
      <c r="B327" s="22" t="s">
        <v>790</v>
      </c>
      <c r="C327" s="22" t="s">
        <v>672</v>
      </c>
      <c r="D327" s="22" t="s">
        <v>791</v>
      </c>
      <c r="F327" s="22" t="s">
        <v>787</v>
      </c>
      <c r="G327" s="22" t="s">
        <v>792</v>
      </c>
      <c r="H327" s="22" t="s">
        <v>157</v>
      </c>
      <c r="J327" s="20" t="s">
        <v>26</v>
      </c>
      <c r="K327" s="22" t="s">
        <v>23</v>
      </c>
      <c r="L327" s="8" t="s">
        <v>793</v>
      </c>
      <c r="M327" s="22" t="s">
        <v>788</v>
      </c>
      <c r="O327" s="22" t="s">
        <v>23</v>
      </c>
      <c r="R327" s="7" t="s">
        <v>29</v>
      </c>
    </row>
    <row r="328" ht="27" spans="2:18">
      <c r="B328" s="22" t="s">
        <v>792</v>
      </c>
      <c r="C328" s="22" t="s">
        <v>672</v>
      </c>
      <c r="D328" s="22" t="s">
        <v>794</v>
      </c>
      <c r="F328" s="22" t="s">
        <v>790</v>
      </c>
      <c r="G328" s="22" t="s">
        <v>795</v>
      </c>
      <c r="H328" s="22" t="s">
        <v>157</v>
      </c>
      <c r="J328" s="20" t="s">
        <v>26</v>
      </c>
      <c r="K328" s="22" t="s">
        <v>23</v>
      </c>
      <c r="L328" s="22" t="s">
        <v>772</v>
      </c>
      <c r="M328" s="22" t="s">
        <v>788</v>
      </c>
      <c r="O328" s="22" t="s">
        <v>23</v>
      </c>
      <c r="R328" s="7" t="s">
        <v>29</v>
      </c>
    </row>
    <row r="329" ht="27" spans="2:18">
      <c r="B329" s="22" t="s">
        <v>795</v>
      </c>
      <c r="C329" s="22" t="s">
        <v>672</v>
      </c>
      <c r="D329" s="22" t="s">
        <v>796</v>
      </c>
      <c r="F329" s="22" t="s">
        <v>792</v>
      </c>
      <c r="G329" s="22" t="s">
        <v>797</v>
      </c>
      <c r="H329" s="22" t="s">
        <v>157</v>
      </c>
      <c r="J329" s="20" t="s">
        <v>26</v>
      </c>
      <c r="K329" s="22" t="s">
        <v>23</v>
      </c>
      <c r="L329" s="8" t="s">
        <v>728</v>
      </c>
      <c r="M329" s="22" t="s">
        <v>788</v>
      </c>
      <c r="O329" s="22" t="s">
        <v>23</v>
      </c>
      <c r="R329" s="7" t="s">
        <v>29</v>
      </c>
    </row>
    <row r="330" ht="27" spans="2:18">
      <c r="B330" s="22" t="s">
        <v>797</v>
      </c>
      <c r="C330" s="22" t="s">
        <v>672</v>
      </c>
      <c r="D330" s="22" t="s">
        <v>798</v>
      </c>
      <c r="F330" s="22" t="s">
        <v>795</v>
      </c>
      <c r="G330" s="22" t="s">
        <v>799</v>
      </c>
      <c r="H330" s="22" t="s">
        <v>157</v>
      </c>
      <c r="J330" s="20" t="s">
        <v>26</v>
      </c>
      <c r="K330" s="22" t="s">
        <v>23</v>
      </c>
      <c r="L330" s="8" t="s">
        <v>737</v>
      </c>
      <c r="M330" s="22" t="s">
        <v>800</v>
      </c>
      <c r="O330" s="22" t="s">
        <v>23</v>
      </c>
      <c r="R330" s="7" t="s">
        <v>29</v>
      </c>
    </row>
    <row r="331" ht="27" spans="2:18">
      <c r="B331" s="22" t="s">
        <v>799</v>
      </c>
      <c r="C331" s="22" t="s">
        <v>672</v>
      </c>
      <c r="D331" s="22" t="s">
        <v>801</v>
      </c>
      <c r="F331" s="22" t="s">
        <v>797</v>
      </c>
      <c r="G331" s="22" t="s">
        <v>802</v>
      </c>
      <c r="H331" s="22" t="s">
        <v>157</v>
      </c>
      <c r="J331" s="20" t="s">
        <v>26</v>
      </c>
      <c r="K331" s="22" t="s">
        <v>23</v>
      </c>
      <c r="L331" s="8" t="s">
        <v>803</v>
      </c>
      <c r="M331" s="22" t="s">
        <v>800</v>
      </c>
      <c r="O331" s="22" t="s">
        <v>23</v>
      </c>
      <c r="R331" s="7" t="s">
        <v>29</v>
      </c>
    </row>
    <row r="332" ht="27" spans="2:18">
      <c r="B332" s="22" t="s">
        <v>802</v>
      </c>
      <c r="C332" s="22" t="s">
        <v>672</v>
      </c>
      <c r="D332" s="22" t="s">
        <v>804</v>
      </c>
      <c r="F332" s="22" t="s">
        <v>799</v>
      </c>
      <c r="G332" s="22" t="s">
        <v>805</v>
      </c>
      <c r="H332" s="22" t="s">
        <v>157</v>
      </c>
      <c r="J332" s="20" t="s">
        <v>26</v>
      </c>
      <c r="K332" s="22" t="s">
        <v>23</v>
      </c>
      <c r="L332" s="22" t="s">
        <v>806</v>
      </c>
      <c r="M332" s="22" t="s">
        <v>807</v>
      </c>
      <c r="O332" s="22" t="s">
        <v>23</v>
      </c>
      <c r="R332" s="7" t="s">
        <v>29</v>
      </c>
    </row>
    <row r="333" ht="54" customHeight="1" spans="2:18">
      <c r="B333" s="22" t="s">
        <v>805</v>
      </c>
      <c r="C333" s="22" t="s">
        <v>672</v>
      </c>
      <c r="D333" s="22" t="s">
        <v>808</v>
      </c>
      <c r="F333" s="22" t="s">
        <v>802</v>
      </c>
      <c r="G333" s="22" t="s">
        <v>809</v>
      </c>
      <c r="H333" s="22" t="s">
        <v>157</v>
      </c>
      <c r="J333" s="20" t="s">
        <v>26</v>
      </c>
      <c r="K333" s="22" t="s">
        <v>33</v>
      </c>
      <c r="L333" s="8" t="s">
        <v>728</v>
      </c>
      <c r="M333" s="22" t="s">
        <v>807</v>
      </c>
      <c r="O333" s="22" t="s">
        <v>23</v>
      </c>
      <c r="R333" s="7" t="s">
        <v>29</v>
      </c>
    </row>
    <row r="334" ht="27" spans="2:18">
      <c r="B334" s="22" t="s">
        <v>809</v>
      </c>
      <c r="C334" s="22" t="s">
        <v>672</v>
      </c>
      <c r="D334" s="22" t="s">
        <v>810</v>
      </c>
      <c r="F334" s="22" t="s">
        <v>805</v>
      </c>
      <c r="G334" s="22" t="s">
        <v>811</v>
      </c>
      <c r="H334" s="22" t="s">
        <v>157</v>
      </c>
      <c r="J334" s="20" t="s">
        <v>26</v>
      </c>
      <c r="K334" s="22" t="s">
        <v>23</v>
      </c>
      <c r="L334" s="8" t="s">
        <v>710</v>
      </c>
      <c r="M334" s="22" t="s">
        <v>807</v>
      </c>
      <c r="O334" s="22" t="s">
        <v>23</v>
      </c>
      <c r="R334" s="7" t="s">
        <v>29</v>
      </c>
    </row>
    <row r="335" ht="40.5" spans="2:18">
      <c r="B335" s="22" t="s">
        <v>811</v>
      </c>
      <c r="C335" s="22" t="s">
        <v>672</v>
      </c>
      <c r="D335" s="22" t="s">
        <v>812</v>
      </c>
      <c r="F335" s="22" t="s">
        <v>809</v>
      </c>
      <c r="H335" s="22" t="s">
        <v>157</v>
      </c>
      <c r="I335" s="22" t="s">
        <v>23</v>
      </c>
      <c r="J335" s="20" t="s">
        <v>26</v>
      </c>
      <c r="K335" s="22" t="s">
        <v>37</v>
      </c>
      <c r="L335" s="8" t="s">
        <v>210</v>
      </c>
      <c r="M335" s="22" t="s">
        <v>807</v>
      </c>
      <c r="O335" s="22" t="s">
        <v>23</v>
      </c>
      <c r="Q335" s="48" t="s">
        <v>813</v>
      </c>
      <c r="R335" s="7" t="s">
        <v>814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8"/>
  <sheetViews>
    <sheetView topLeftCell="A12" workbookViewId="0">
      <selection activeCell="H9" sqref="H9"/>
    </sheetView>
  </sheetViews>
  <sheetFormatPr defaultColWidth="9" defaultRowHeight="13.5"/>
  <cols>
    <col min="1" max="1" width="11.125" style="5" customWidth="1"/>
    <col min="2" max="2" width="9" style="5" customWidth="1"/>
    <col min="3" max="3" width="22.125" style="5" customWidth="1"/>
    <col min="4" max="4" width="10.75" style="5" customWidth="1"/>
    <col min="5" max="5" width="12.875" style="5" customWidth="1"/>
    <col min="6" max="6" width="9" style="5" customWidth="1"/>
    <col min="7" max="7" width="12.25" style="5" customWidth="1"/>
    <col min="8" max="8" width="32.375" style="5" customWidth="1"/>
    <col min="9" max="9" width="9.75" style="5" customWidth="1"/>
    <col min="10" max="15" width="9" style="5" customWidth="1"/>
    <col min="16" max="16" width="14.25" style="5" customWidth="1"/>
    <col min="17" max="16384" width="9" style="5" customWidth="1"/>
  </cols>
  <sheetData>
    <row r="1" spans="1:41">
      <c r="B1" s="5" t="s">
        <v>815</v>
      </c>
      <c r="C1" s="9" t="s">
        <v>816</v>
      </c>
      <c r="D1" s="9" t="s">
        <v>817</v>
      </c>
      <c r="E1" s="9" t="s">
        <v>818</v>
      </c>
      <c r="F1" s="9" t="s">
        <v>819</v>
      </c>
      <c r="G1" s="9" t="s">
        <v>820</v>
      </c>
      <c r="I1" s="9"/>
      <c r="K1" s="9"/>
    </row>
    <row r="2" spans="1:41">
      <c r="B2" s="5">
        <v>10001</v>
      </c>
      <c r="C2" s="9" t="s">
        <v>821</v>
      </c>
      <c r="D2" s="9" t="s">
        <v>822</v>
      </c>
      <c r="E2" s="9" t="s">
        <v>823</v>
      </c>
      <c r="F2" s="9" t="s">
        <v>824</v>
      </c>
      <c r="G2" s="9" t="s">
        <v>825</v>
      </c>
      <c r="I2" s="9"/>
      <c r="K2" s="9"/>
    </row>
    <row r="3" spans="1:41">
      <c r="C3" s="9" t="s">
        <v>826</v>
      </c>
      <c r="D3" s="9" t="s">
        <v>827</v>
      </c>
      <c r="E3" s="9" t="s">
        <v>828</v>
      </c>
      <c r="F3" s="9" t="s">
        <v>829</v>
      </c>
      <c r="G3" s="9" t="s">
        <v>830</v>
      </c>
      <c r="I3" s="9"/>
      <c r="K3" s="9"/>
    </row>
    <row r="4" spans="1:41">
      <c r="C4" s="9" t="s">
        <v>831</v>
      </c>
      <c r="D4" s="9" t="s">
        <v>832</v>
      </c>
      <c r="E4" s="9" t="s">
        <v>833</v>
      </c>
      <c r="F4" s="9" t="s">
        <v>834</v>
      </c>
      <c r="G4" s="9" t="s">
        <v>835</v>
      </c>
      <c r="I4" s="9"/>
      <c r="K4" s="9"/>
    </row>
    <row r="5" spans="1:41">
      <c r="C5" s="9" t="s">
        <v>836</v>
      </c>
      <c r="D5" s="9" t="s">
        <v>837</v>
      </c>
      <c r="E5" s="9" t="s">
        <v>838</v>
      </c>
      <c r="F5" s="9" t="s">
        <v>839</v>
      </c>
      <c r="G5" s="9" t="s">
        <v>840</v>
      </c>
      <c r="I5" s="9"/>
      <c r="K5" s="9"/>
    </row>
    <row r="6" spans="1:41">
      <c r="C6" s="9" t="s">
        <v>841</v>
      </c>
      <c r="D6" s="9" t="s">
        <v>842</v>
      </c>
      <c r="E6" s="9" t="s">
        <v>843</v>
      </c>
      <c r="F6" s="9" t="s">
        <v>844</v>
      </c>
      <c r="G6" s="9" t="s">
        <v>845</v>
      </c>
    </row>
    <row r="7" spans="1:41">
      <c r="H7" s="5">
        <v>4</v>
      </c>
    </row>
    <row r="8" ht="27" customHeight="1" spans="1:41">
      <c r="A8" s="4" t="s">
        <v>846</v>
      </c>
      <c r="B8" s="10" t="s">
        <v>815</v>
      </c>
      <c r="C8" s="10" t="s">
        <v>816</v>
      </c>
      <c r="D8" s="10" t="s">
        <v>817</v>
      </c>
      <c r="E8" s="10" t="s">
        <v>818</v>
      </c>
      <c r="F8" s="10" t="s">
        <v>819</v>
      </c>
      <c r="G8" s="10" t="s">
        <v>820</v>
      </c>
      <c r="H8" s="4"/>
      <c r="I8" s="11" t="s">
        <v>847</v>
      </c>
      <c r="J8" s="12" t="s">
        <v>815</v>
      </c>
      <c r="K8" s="12" t="s">
        <v>816</v>
      </c>
      <c r="L8" s="12" t="s">
        <v>817</v>
      </c>
      <c r="M8" s="12" t="s">
        <v>818</v>
      </c>
      <c r="N8" s="12" t="s">
        <v>819</v>
      </c>
      <c r="O8" s="12" t="s">
        <v>820</v>
      </c>
      <c r="P8" s="11"/>
      <c r="Q8" s="13" t="s">
        <v>848</v>
      </c>
      <c r="R8" s="14" t="s">
        <v>815</v>
      </c>
      <c r="S8" s="14" t="s">
        <v>816</v>
      </c>
      <c r="T8" s="14" t="s">
        <v>817</v>
      </c>
      <c r="U8" s="14" t="s">
        <v>818</v>
      </c>
      <c r="V8" s="14" t="s">
        <v>819</v>
      </c>
      <c r="W8" s="14" t="s">
        <v>820</v>
      </c>
      <c r="X8" s="13"/>
      <c r="Y8" s="13"/>
      <c r="Z8" s="15" t="s">
        <v>849</v>
      </c>
      <c r="AA8" s="16" t="s">
        <v>815</v>
      </c>
      <c r="AB8" s="16" t="s">
        <v>816</v>
      </c>
      <c r="AC8" s="16" t="s">
        <v>817</v>
      </c>
      <c r="AD8" s="16" t="s">
        <v>818</v>
      </c>
      <c r="AE8" s="16" t="s">
        <v>819</v>
      </c>
      <c r="AF8" s="16" t="s">
        <v>820</v>
      </c>
      <c r="AG8" s="15"/>
      <c r="AH8" s="17" t="s">
        <v>850</v>
      </c>
      <c r="AI8" s="18" t="s">
        <v>815</v>
      </c>
      <c r="AJ8" s="18" t="s">
        <v>816</v>
      </c>
      <c r="AK8" s="18" t="s">
        <v>817</v>
      </c>
      <c r="AL8" s="18" t="s">
        <v>818</v>
      </c>
      <c r="AM8" s="18" t="s">
        <v>819</v>
      </c>
      <c r="AN8" s="18" t="s">
        <v>820</v>
      </c>
      <c r="AO8" s="17"/>
    </row>
    <row r="9" ht="121.5" customHeight="1" spans="1:41">
      <c r="A9" s="4">
        <v>1</v>
      </c>
      <c r="B9" s="4">
        <v>2000</v>
      </c>
      <c r="C9" s="5">
        <v>46</v>
      </c>
      <c r="D9" s="5">
        <v>184</v>
      </c>
      <c r="E9" s="5">
        <v>215</v>
      </c>
      <c r="F9" s="5">
        <v>46</v>
      </c>
      <c r="G9" s="5">
        <v>23</v>
      </c>
      <c r="H9" s="4" t="str">
        <f t="shared" ref="H9:H28" si="0">$B$2&amp;"|"&amp;B9&amp;"$"&amp;$C$2&amp;"|"&amp;C9&amp;"$"&amp;$D$2&amp;"|"&amp;D9&amp;"$"&amp;$E$2&amp;"|"&amp;E9&amp;"$"&amp;$F$2&amp;"|"&amp;F9&amp;"$"&amp;$G$2&amp;"|"&amp;G9</f>
        <v>10001|2000$91001|46$81001|184$111001|215$121001|46$131001|23</v>
      </c>
      <c r="I9" s="11">
        <v>1</v>
      </c>
      <c r="J9" s="11">
        <v>8460</v>
      </c>
      <c r="K9" s="11">
        <v>311</v>
      </c>
      <c r="L9" s="11">
        <v>310</v>
      </c>
      <c r="M9" s="11">
        <v>2220</v>
      </c>
      <c r="N9" s="11">
        <v>343</v>
      </c>
      <c r="O9" s="11">
        <v>312</v>
      </c>
      <c r="P9" s="11" t="str">
        <f t="shared" ref="P9:P33" si="1">$B$2&amp;"|"&amp;J9&amp;"$"&amp;$C$3&amp;"|"&amp;K9&amp;"$"&amp;$D$3&amp;"|"&amp;L9&amp;"$"&amp;$E$3&amp;"|"&amp;M9&amp;"$"&amp;$F$3&amp;"|"&amp;N9&amp;"$"&amp;$G$3&amp;"|"&amp;O9</f>
        <v>10001|8460$92001|311$82001|310$112001|2220$122001|343$132001|312</v>
      </c>
      <c r="Q9" s="13">
        <v>1</v>
      </c>
      <c r="R9" s="13">
        <v>9870</v>
      </c>
      <c r="S9" s="13">
        <v>275</v>
      </c>
      <c r="T9" s="13">
        <v>365</v>
      </c>
      <c r="U9" s="13">
        <v>2100</v>
      </c>
      <c r="V9" s="13">
        <v>225</v>
      </c>
      <c r="W9" s="13">
        <v>312</v>
      </c>
      <c r="X9" s="13" t="str">
        <f t="shared" ref="X9:X38" si="2">$B$2&amp;"|"&amp;R9&amp;"$"&amp;$C$4&amp;"|"&amp;S9&amp;"$"&amp;$D$4&amp;"|"&amp;T9&amp;"$"&amp;$E$4&amp;"|"&amp;U9&amp;"$"&amp;$F$4&amp;"|"&amp;V9&amp;"$"&amp;$G$4&amp;"|"&amp;W9</f>
        <v>10001|9870$93001|275$83001|365$113001|2100$123001|225$133001|312</v>
      </c>
      <c r="Y9" s="13"/>
      <c r="Z9" s="15">
        <v>1</v>
      </c>
      <c r="AA9" s="15">
        <v>11300</v>
      </c>
      <c r="AB9" s="15">
        <v>243</v>
      </c>
      <c r="AC9" s="15">
        <v>214</v>
      </c>
      <c r="AD9" s="15">
        <v>2090</v>
      </c>
      <c r="AE9" s="15">
        <v>136</v>
      </c>
      <c r="AF9" s="15">
        <v>310</v>
      </c>
      <c r="AG9" s="15" t="str">
        <f t="shared" ref="AG9:AG43" si="3">$B$2&amp;"|"&amp;AA9&amp;"$"&amp;$C$5&amp;"|"&amp;AB9&amp;"$"&amp;$D$5&amp;"|"&amp;AC9&amp;"$"&amp;$E$5&amp;"|"&amp;AD9&amp;"$"&amp;$F$5&amp;"|"&amp;AE9&amp;"$"&amp;$G$5&amp;"|"&amp;AF9</f>
        <v>10001|11300$94001|243$84001|214$114001|2090$124001|136$134001|310</v>
      </c>
      <c r="AH9" s="17">
        <v>1</v>
      </c>
      <c r="AI9" s="17">
        <v>12690</v>
      </c>
      <c r="AJ9" s="17">
        <v>211</v>
      </c>
      <c r="AK9" s="17">
        <v>151</v>
      </c>
      <c r="AL9" s="17">
        <v>2085</v>
      </c>
      <c r="AM9" s="17">
        <v>92</v>
      </c>
      <c r="AN9" s="17">
        <v>310</v>
      </c>
      <c r="AO9" s="17" t="str">
        <f t="shared" ref="AO9:AO48" si="4">$B$2&amp;"|"&amp;AI9&amp;"$"&amp;$C$6&amp;"|"&amp;AJ9&amp;"$"&amp;$D$6&amp;"|"&amp;AK9&amp;"$"&amp;$E$6&amp;"|"&amp;AL9&amp;"$"&amp;$F$6&amp;"|"&amp;AM9&amp;"$"&amp;$G$6&amp;"|"&amp;AN9</f>
        <v>10001|12690$95001|211$85001|151$115001|2085$125001|92$135001|310</v>
      </c>
    </row>
    <row r="10" ht="121.5" customHeight="1" spans="1:41">
      <c r="A10" s="4">
        <v>2</v>
      </c>
      <c r="B10" s="4">
        <v>2000</v>
      </c>
      <c r="C10" s="5">
        <v>47</v>
      </c>
      <c r="D10" s="5">
        <v>188</v>
      </c>
      <c r="E10" s="5">
        <v>230</v>
      </c>
      <c r="F10" s="5">
        <v>47</v>
      </c>
      <c r="G10" s="5">
        <v>25</v>
      </c>
      <c r="H10" s="4" t="str">
        <f t="shared" si="0"/>
        <v>10001|2000$91001|47$81001|188$111001|230$121001|47$131001|25</v>
      </c>
      <c r="I10" s="11">
        <v>2</v>
      </c>
      <c r="J10" s="11">
        <v>8460</v>
      </c>
      <c r="K10" s="11">
        <v>322</v>
      </c>
      <c r="L10" s="11">
        <v>320</v>
      </c>
      <c r="M10" s="11">
        <v>2340</v>
      </c>
      <c r="N10" s="11">
        <v>353</v>
      </c>
      <c r="O10" s="11">
        <v>324</v>
      </c>
      <c r="P10" s="11" t="str">
        <f t="shared" si="1"/>
        <v>10001|8460$92001|322$82001|320$112001|2340$122001|353$132001|324</v>
      </c>
      <c r="Q10" s="13">
        <v>2</v>
      </c>
      <c r="R10" s="13">
        <v>9870</v>
      </c>
      <c r="S10" s="13">
        <v>280</v>
      </c>
      <c r="T10" s="13">
        <v>370</v>
      </c>
      <c r="U10" s="13">
        <v>2200</v>
      </c>
      <c r="V10" s="13">
        <v>230</v>
      </c>
      <c r="W10" s="13">
        <v>324</v>
      </c>
      <c r="X10" s="13" t="str">
        <f t="shared" si="2"/>
        <v>10001|9870$93001|280$83001|370$113001|2200$123001|230$133001|324</v>
      </c>
      <c r="Y10" s="13"/>
      <c r="Z10" s="15">
        <v>2</v>
      </c>
      <c r="AA10" s="15">
        <v>11300</v>
      </c>
      <c r="AB10" s="15">
        <v>246</v>
      </c>
      <c r="AC10" s="15">
        <v>218</v>
      </c>
      <c r="AD10" s="15">
        <v>2180</v>
      </c>
      <c r="AE10" s="15">
        <v>140</v>
      </c>
      <c r="AF10" s="15">
        <v>320</v>
      </c>
      <c r="AG10" s="15" t="str">
        <f t="shared" si="3"/>
        <v>10001|11300$94001|246$84001|218$114001|2180$124001|140$134001|320</v>
      </c>
      <c r="AH10" s="17">
        <v>2</v>
      </c>
      <c r="AI10" s="17">
        <v>12690</v>
      </c>
      <c r="AJ10" s="17">
        <v>212</v>
      </c>
      <c r="AK10" s="17">
        <v>152</v>
      </c>
      <c r="AL10" s="17">
        <v>2170</v>
      </c>
      <c r="AM10" s="17">
        <v>94</v>
      </c>
      <c r="AN10" s="17">
        <v>320</v>
      </c>
      <c r="AO10" s="17" t="str">
        <f t="shared" si="4"/>
        <v>10001|12690$95001|212$85001|152$115001|2170$125001|94$135001|320</v>
      </c>
    </row>
    <row r="11" ht="121.5" customHeight="1" spans="1:41">
      <c r="A11" s="4">
        <v>3</v>
      </c>
      <c r="B11" s="4">
        <v>2000</v>
      </c>
      <c r="C11" s="5">
        <v>48</v>
      </c>
      <c r="D11" s="5">
        <v>192</v>
      </c>
      <c r="E11" s="5">
        <v>245</v>
      </c>
      <c r="F11" s="5">
        <v>48</v>
      </c>
      <c r="G11" s="5">
        <v>27</v>
      </c>
      <c r="H11" s="4" t="str">
        <f t="shared" si="0"/>
        <v>10001|2000$91001|48$81001|192$111001|245$121001|48$131001|27</v>
      </c>
      <c r="I11" s="11">
        <v>3</v>
      </c>
      <c r="J11" s="11">
        <v>8460</v>
      </c>
      <c r="K11" s="11">
        <v>333</v>
      </c>
      <c r="L11" s="11">
        <v>330</v>
      </c>
      <c r="M11" s="11">
        <v>2460</v>
      </c>
      <c r="N11" s="11">
        <v>363</v>
      </c>
      <c r="O11" s="11">
        <v>336</v>
      </c>
      <c r="P11" s="11" t="str">
        <f t="shared" si="1"/>
        <v>10001|8460$92001|333$82001|330$112001|2460$122001|363$132001|336</v>
      </c>
      <c r="Q11" s="13">
        <v>3</v>
      </c>
      <c r="R11" s="13">
        <v>9870</v>
      </c>
      <c r="S11" s="13">
        <v>285</v>
      </c>
      <c r="T11" s="13">
        <v>375</v>
      </c>
      <c r="U11" s="13">
        <v>2300</v>
      </c>
      <c r="V11" s="13">
        <v>235</v>
      </c>
      <c r="W11" s="13">
        <v>336</v>
      </c>
      <c r="X11" s="13" t="str">
        <f t="shared" si="2"/>
        <v>10001|9870$93001|285$83001|375$113001|2300$123001|235$133001|336</v>
      </c>
      <c r="Y11" s="13"/>
      <c r="Z11" s="15">
        <v>3</v>
      </c>
      <c r="AA11" s="15">
        <v>11300</v>
      </c>
      <c r="AB11" s="15">
        <v>249</v>
      </c>
      <c r="AC11" s="15">
        <v>222</v>
      </c>
      <c r="AD11" s="15">
        <v>2270</v>
      </c>
      <c r="AE11" s="15">
        <v>144</v>
      </c>
      <c r="AF11" s="15">
        <v>330</v>
      </c>
      <c r="AG11" s="15" t="str">
        <f t="shared" si="3"/>
        <v>10001|11300$94001|249$84001|222$114001|2270$124001|144$134001|330</v>
      </c>
      <c r="AH11" s="17">
        <v>3</v>
      </c>
      <c r="AI11" s="17">
        <v>12690</v>
      </c>
      <c r="AJ11" s="17">
        <v>213</v>
      </c>
      <c r="AK11" s="17">
        <v>153</v>
      </c>
      <c r="AL11" s="17">
        <v>2255</v>
      </c>
      <c r="AM11" s="17">
        <v>96</v>
      </c>
      <c r="AN11" s="17">
        <v>330</v>
      </c>
      <c r="AO11" s="17" t="str">
        <f t="shared" si="4"/>
        <v>10001|12690$95001|213$85001|153$115001|2255$125001|96$135001|330</v>
      </c>
    </row>
    <row r="12" ht="121.5" customHeight="1" spans="1:41">
      <c r="A12" s="4">
        <v>4</v>
      </c>
      <c r="B12" s="4">
        <v>2000</v>
      </c>
      <c r="C12" s="5">
        <v>49</v>
      </c>
      <c r="D12" s="5">
        <v>196</v>
      </c>
      <c r="E12" s="5">
        <v>260</v>
      </c>
      <c r="F12" s="5">
        <v>49</v>
      </c>
      <c r="G12" s="5">
        <v>29</v>
      </c>
      <c r="H12" s="4" t="str">
        <f t="shared" si="0"/>
        <v>10001|2000$91001|49$81001|196$111001|260$121001|49$131001|29</v>
      </c>
      <c r="I12" s="11">
        <v>4</v>
      </c>
      <c r="J12" s="11">
        <v>8460</v>
      </c>
      <c r="K12" s="11">
        <v>344</v>
      </c>
      <c r="L12" s="11">
        <v>340</v>
      </c>
      <c r="M12" s="11">
        <v>2580</v>
      </c>
      <c r="N12" s="11">
        <v>373</v>
      </c>
      <c r="O12" s="11">
        <v>348</v>
      </c>
      <c r="P12" s="11" t="str">
        <f t="shared" si="1"/>
        <v>10001|8460$92001|344$82001|340$112001|2580$122001|373$132001|348</v>
      </c>
      <c r="Q12" s="13">
        <v>4</v>
      </c>
      <c r="R12" s="13">
        <v>9870</v>
      </c>
      <c r="S12" s="13">
        <v>290</v>
      </c>
      <c r="T12" s="13">
        <v>380</v>
      </c>
      <c r="U12" s="13">
        <v>2400</v>
      </c>
      <c r="V12" s="13">
        <v>240</v>
      </c>
      <c r="W12" s="13">
        <v>348</v>
      </c>
      <c r="X12" s="13" t="str">
        <f t="shared" si="2"/>
        <v>10001|9870$93001|290$83001|380$113001|2400$123001|240$133001|348</v>
      </c>
      <c r="Y12" s="13"/>
      <c r="Z12" s="15">
        <v>4</v>
      </c>
      <c r="AA12" s="15">
        <v>11300</v>
      </c>
      <c r="AB12" s="15">
        <v>252</v>
      </c>
      <c r="AC12" s="15">
        <v>226</v>
      </c>
      <c r="AD12" s="15">
        <v>2360</v>
      </c>
      <c r="AE12" s="15">
        <v>148</v>
      </c>
      <c r="AF12" s="15">
        <v>340</v>
      </c>
      <c r="AG12" s="15" t="str">
        <f t="shared" si="3"/>
        <v>10001|11300$94001|252$84001|226$114001|2360$124001|148$134001|340</v>
      </c>
      <c r="AH12" s="17">
        <v>4</v>
      </c>
      <c r="AI12" s="17">
        <v>12690</v>
      </c>
      <c r="AJ12" s="17">
        <v>214</v>
      </c>
      <c r="AK12" s="17">
        <v>154</v>
      </c>
      <c r="AL12" s="17">
        <v>2340</v>
      </c>
      <c r="AM12" s="17">
        <v>98</v>
      </c>
      <c r="AN12" s="17">
        <v>340</v>
      </c>
      <c r="AO12" s="17" t="str">
        <f t="shared" si="4"/>
        <v>10001|12690$95001|214$85001|154$115001|2340$125001|98$135001|340</v>
      </c>
    </row>
    <row r="13" ht="121.5" customHeight="1" spans="1:41">
      <c r="A13" s="4">
        <v>5</v>
      </c>
      <c r="B13" s="4">
        <v>2000</v>
      </c>
      <c r="C13" s="5">
        <v>50</v>
      </c>
      <c r="D13" s="5">
        <v>200</v>
      </c>
      <c r="E13" s="5">
        <v>275</v>
      </c>
      <c r="F13" s="5">
        <v>50</v>
      </c>
      <c r="G13" s="5">
        <v>31</v>
      </c>
      <c r="H13" s="4" t="str">
        <f t="shared" si="0"/>
        <v>10001|2000$91001|50$81001|200$111001|275$121001|50$131001|31</v>
      </c>
      <c r="I13" s="11">
        <v>5</v>
      </c>
      <c r="J13" s="11">
        <v>8460</v>
      </c>
      <c r="K13" s="11">
        <v>355</v>
      </c>
      <c r="L13" s="11">
        <v>350</v>
      </c>
      <c r="M13" s="11">
        <v>2700</v>
      </c>
      <c r="N13" s="11">
        <v>383</v>
      </c>
      <c r="O13" s="11">
        <v>360</v>
      </c>
      <c r="P13" s="11" t="str">
        <f t="shared" si="1"/>
        <v>10001|8460$92001|355$82001|350$112001|2700$122001|383$132001|360</v>
      </c>
      <c r="Q13" s="13">
        <v>5</v>
      </c>
      <c r="R13" s="13">
        <v>9870</v>
      </c>
      <c r="S13" s="13">
        <v>295</v>
      </c>
      <c r="T13" s="13">
        <v>385</v>
      </c>
      <c r="U13" s="13">
        <v>2500</v>
      </c>
      <c r="V13" s="13">
        <v>245</v>
      </c>
      <c r="W13" s="13">
        <v>360</v>
      </c>
      <c r="X13" s="13" t="str">
        <f t="shared" si="2"/>
        <v>10001|9870$93001|295$83001|385$113001|2500$123001|245$133001|360</v>
      </c>
      <c r="Y13" s="13"/>
      <c r="Z13" s="15">
        <v>5</v>
      </c>
      <c r="AA13" s="15">
        <v>11300</v>
      </c>
      <c r="AB13" s="15">
        <v>255</v>
      </c>
      <c r="AC13" s="15">
        <v>230</v>
      </c>
      <c r="AD13" s="15">
        <v>2450</v>
      </c>
      <c r="AE13" s="15">
        <v>152</v>
      </c>
      <c r="AF13" s="15">
        <v>350</v>
      </c>
      <c r="AG13" s="15" t="str">
        <f t="shared" si="3"/>
        <v>10001|11300$94001|255$84001|230$114001|2450$124001|152$134001|350</v>
      </c>
      <c r="AH13" s="17">
        <v>5</v>
      </c>
      <c r="AI13" s="17">
        <v>12690</v>
      </c>
      <c r="AJ13" s="17">
        <v>215</v>
      </c>
      <c r="AK13" s="17">
        <v>155</v>
      </c>
      <c r="AL13" s="17">
        <v>2425</v>
      </c>
      <c r="AM13" s="17">
        <v>100</v>
      </c>
      <c r="AN13" s="17">
        <v>350</v>
      </c>
      <c r="AO13" s="17" t="str">
        <f t="shared" si="4"/>
        <v>10001|12690$95001|215$85001|155$115001|2425$125001|100$135001|350</v>
      </c>
    </row>
    <row r="14" ht="121.5" customHeight="1" spans="1:41">
      <c r="A14" s="4">
        <v>6</v>
      </c>
      <c r="B14" s="4">
        <v>2000</v>
      </c>
      <c r="C14" s="5">
        <v>51</v>
      </c>
      <c r="D14" s="5">
        <v>204</v>
      </c>
      <c r="E14" s="5">
        <v>290</v>
      </c>
      <c r="F14" s="5">
        <v>51</v>
      </c>
      <c r="G14" s="5">
        <v>33</v>
      </c>
      <c r="H14" s="4" t="str">
        <f t="shared" si="0"/>
        <v>10001|2000$91001|51$81001|204$111001|290$121001|51$131001|33</v>
      </c>
      <c r="I14" s="11">
        <v>6</v>
      </c>
      <c r="J14" s="11">
        <v>8460</v>
      </c>
      <c r="K14" s="11">
        <v>366</v>
      </c>
      <c r="L14" s="11">
        <v>360</v>
      </c>
      <c r="M14" s="11">
        <v>2820</v>
      </c>
      <c r="N14" s="11">
        <v>393</v>
      </c>
      <c r="O14" s="11">
        <v>372</v>
      </c>
      <c r="P14" s="11" t="str">
        <f t="shared" si="1"/>
        <v>10001|8460$92001|366$82001|360$112001|2820$122001|393$132001|372</v>
      </c>
      <c r="Q14" s="13">
        <v>6</v>
      </c>
      <c r="R14" s="13">
        <v>9870</v>
      </c>
      <c r="S14" s="13">
        <v>300</v>
      </c>
      <c r="T14" s="13">
        <v>390</v>
      </c>
      <c r="U14" s="13">
        <v>2600</v>
      </c>
      <c r="V14" s="13">
        <v>250</v>
      </c>
      <c r="W14" s="13">
        <v>372</v>
      </c>
      <c r="X14" s="13" t="str">
        <f t="shared" si="2"/>
        <v>10001|9870$93001|300$83001|390$113001|2600$123001|250$133001|372</v>
      </c>
      <c r="Y14" s="13"/>
      <c r="Z14" s="15">
        <v>6</v>
      </c>
      <c r="AA14" s="15">
        <v>11300</v>
      </c>
      <c r="AB14" s="15">
        <v>258</v>
      </c>
      <c r="AC14" s="15">
        <v>234</v>
      </c>
      <c r="AD14" s="15">
        <v>2540</v>
      </c>
      <c r="AE14" s="15">
        <v>156</v>
      </c>
      <c r="AF14" s="15">
        <v>360</v>
      </c>
      <c r="AG14" s="15" t="str">
        <f t="shared" si="3"/>
        <v>10001|11300$94001|258$84001|234$114001|2540$124001|156$134001|360</v>
      </c>
      <c r="AH14" s="17">
        <v>6</v>
      </c>
      <c r="AI14" s="17">
        <v>12690</v>
      </c>
      <c r="AJ14" s="17">
        <v>216</v>
      </c>
      <c r="AK14" s="17">
        <v>156</v>
      </c>
      <c r="AL14" s="17">
        <v>2510</v>
      </c>
      <c r="AM14" s="17">
        <v>102</v>
      </c>
      <c r="AN14" s="17">
        <v>360</v>
      </c>
      <c r="AO14" s="17" t="str">
        <f t="shared" si="4"/>
        <v>10001|12690$95001|216$85001|156$115001|2510$125001|102$135001|360</v>
      </c>
    </row>
    <row r="15" ht="121.5" customHeight="1" spans="1:41">
      <c r="A15" s="4">
        <v>7</v>
      </c>
      <c r="B15" s="4">
        <v>2000</v>
      </c>
      <c r="C15" s="5">
        <v>52</v>
      </c>
      <c r="D15" s="5">
        <v>208</v>
      </c>
      <c r="E15" s="5">
        <v>305</v>
      </c>
      <c r="F15" s="5">
        <v>52</v>
      </c>
      <c r="G15" s="5">
        <v>35</v>
      </c>
      <c r="H15" s="4" t="str">
        <f t="shared" si="0"/>
        <v>10001|2000$91001|52$81001|208$111001|305$121001|52$131001|35</v>
      </c>
      <c r="I15" s="11">
        <v>7</v>
      </c>
      <c r="J15" s="11">
        <v>8460</v>
      </c>
      <c r="K15" s="11">
        <v>377</v>
      </c>
      <c r="L15" s="11">
        <v>370</v>
      </c>
      <c r="M15" s="11">
        <v>2940</v>
      </c>
      <c r="N15" s="11">
        <v>403</v>
      </c>
      <c r="O15" s="11">
        <v>384</v>
      </c>
      <c r="P15" s="11" t="str">
        <f t="shared" si="1"/>
        <v>10001|8460$92001|377$82001|370$112001|2940$122001|403$132001|384</v>
      </c>
      <c r="Q15" s="13">
        <v>7</v>
      </c>
      <c r="R15" s="13">
        <v>9870</v>
      </c>
      <c r="S15" s="13">
        <v>305</v>
      </c>
      <c r="T15" s="13">
        <v>395</v>
      </c>
      <c r="U15" s="13">
        <v>2700</v>
      </c>
      <c r="V15" s="13">
        <v>255</v>
      </c>
      <c r="W15" s="13">
        <v>384</v>
      </c>
      <c r="X15" s="13" t="str">
        <f t="shared" si="2"/>
        <v>10001|9870$93001|305$83001|395$113001|2700$123001|255$133001|384</v>
      </c>
      <c r="Y15" s="13"/>
      <c r="Z15" s="15">
        <v>7</v>
      </c>
      <c r="AA15" s="15">
        <v>11300</v>
      </c>
      <c r="AB15" s="15">
        <v>261</v>
      </c>
      <c r="AC15" s="15">
        <v>238</v>
      </c>
      <c r="AD15" s="15">
        <v>2630</v>
      </c>
      <c r="AE15" s="15">
        <v>160</v>
      </c>
      <c r="AF15" s="15">
        <v>370</v>
      </c>
      <c r="AG15" s="15" t="str">
        <f t="shared" si="3"/>
        <v>10001|11300$94001|261$84001|238$114001|2630$124001|160$134001|370</v>
      </c>
      <c r="AH15" s="17">
        <v>7</v>
      </c>
      <c r="AI15" s="17">
        <v>12690</v>
      </c>
      <c r="AJ15" s="17">
        <v>217</v>
      </c>
      <c r="AK15" s="17">
        <v>157</v>
      </c>
      <c r="AL15" s="17">
        <v>2595</v>
      </c>
      <c r="AM15" s="17">
        <v>104</v>
      </c>
      <c r="AN15" s="17">
        <v>370</v>
      </c>
      <c r="AO15" s="17" t="str">
        <f t="shared" si="4"/>
        <v>10001|12690$95001|217$85001|157$115001|2595$125001|104$135001|370</v>
      </c>
    </row>
    <row r="16" ht="121.5" customHeight="1" spans="1:41">
      <c r="A16" s="4">
        <v>8</v>
      </c>
      <c r="B16" s="4">
        <v>2000</v>
      </c>
      <c r="C16" s="5">
        <v>53</v>
      </c>
      <c r="D16" s="5">
        <v>212</v>
      </c>
      <c r="E16" s="5">
        <v>320</v>
      </c>
      <c r="F16" s="5">
        <v>53</v>
      </c>
      <c r="G16" s="5">
        <v>37</v>
      </c>
      <c r="H16" s="4" t="str">
        <f t="shared" si="0"/>
        <v>10001|2000$91001|53$81001|212$111001|320$121001|53$131001|37</v>
      </c>
      <c r="I16" s="11">
        <v>8</v>
      </c>
      <c r="J16" s="11">
        <v>8460</v>
      </c>
      <c r="K16" s="11">
        <v>388</v>
      </c>
      <c r="L16" s="11">
        <v>380</v>
      </c>
      <c r="M16" s="11">
        <v>3060</v>
      </c>
      <c r="N16" s="11">
        <v>413</v>
      </c>
      <c r="O16" s="11">
        <v>396</v>
      </c>
      <c r="P16" s="11" t="str">
        <f t="shared" si="1"/>
        <v>10001|8460$92001|388$82001|380$112001|3060$122001|413$132001|396</v>
      </c>
      <c r="Q16" s="13">
        <v>8</v>
      </c>
      <c r="R16" s="13">
        <v>9870</v>
      </c>
      <c r="S16" s="13">
        <v>310</v>
      </c>
      <c r="T16" s="13">
        <v>400</v>
      </c>
      <c r="U16" s="13">
        <v>2800</v>
      </c>
      <c r="V16" s="13">
        <v>260</v>
      </c>
      <c r="W16" s="13">
        <v>396</v>
      </c>
      <c r="X16" s="13" t="str">
        <f t="shared" si="2"/>
        <v>10001|9870$93001|310$83001|400$113001|2800$123001|260$133001|396</v>
      </c>
      <c r="Y16" s="13"/>
      <c r="Z16" s="15">
        <v>8</v>
      </c>
      <c r="AA16" s="15">
        <v>11300</v>
      </c>
      <c r="AB16" s="15">
        <v>264</v>
      </c>
      <c r="AC16" s="15">
        <v>242</v>
      </c>
      <c r="AD16" s="15">
        <v>2720</v>
      </c>
      <c r="AE16" s="15">
        <v>164</v>
      </c>
      <c r="AF16" s="15">
        <v>380</v>
      </c>
      <c r="AG16" s="15" t="str">
        <f t="shared" si="3"/>
        <v>10001|11300$94001|264$84001|242$114001|2720$124001|164$134001|380</v>
      </c>
      <c r="AH16" s="17">
        <v>8</v>
      </c>
      <c r="AI16" s="17">
        <v>12690</v>
      </c>
      <c r="AJ16" s="17">
        <v>218</v>
      </c>
      <c r="AK16" s="17">
        <v>158</v>
      </c>
      <c r="AL16" s="17">
        <v>2680</v>
      </c>
      <c r="AM16" s="17">
        <v>106</v>
      </c>
      <c r="AN16" s="17">
        <v>380</v>
      </c>
      <c r="AO16" s="17" t="str">
        <f t="shared" si="4"/>
        <v>10001|12690$95001|218$85001|158$115001|2680$125001|106$135001|380</v>
      </c>
    </row>
    <row r="17" ht="121.5" customHeight="1" spans="1:41">
      <c r="A17" s="4">
        <v>9</v>
      </c>
      <c r="B17" s="4">
        <v>2000</v>
      </c>
      <c r="C17" s="5">
        <v>54</v>
      </c>
      <c r="D17" s="5">
        <v>216</v>
      </c>
      <c r="E17" s="5">
        <v>335</v>
      </c>
      <c r="F17" s="5">
        <v>54</v>
      </c>
      <c r="G17" s="5">
        <v>39</v>
      </c>
      <c r="H17" s="4" t="str">
        <f t="shared" si="0"/>
        <v>10001|2000$91001|54$81001|216$111001|335$121001|54$131001|39</v>
      </c>
      <c r="I17" s="11">
        <v>9</v>
      </c>
      <c r="J17" s="11">
        <v>8460</v>
      </c>
      <c r="K17" s="11">
        <v>399</v>
      </c>
      <c r="L17" s="11">
        <v>390</v>
      </c>
      <c r="M17" s="11">
        <v>3180</v>
      </c>
      <c r="N17" s="11">
        <v>423</v>
      </c>
      <c r="O17" s="11">
        <v>408</v>
      </c>
      <c r="P17" s="11" t="str">
        <f t="shared" si="1"/>
        <v>10001|8460$92001|399$82001|390$112001|3180$122001|423$132001|408</v>
      </c>
      <c r="Q17" s="13">
        <v>9</v>
      </c>
      <c r="R17" s="13">
        <v>9870</v>
      </c>
      <c r="S17" s="13">
        <v>315</v>
      </c>
      <c r="T17" s="13">
        <v>405</v>
      </c>
      <c r="U17" s="13">
        <v>2900</v>
      </c>
      <c r="V17" s="13">
        <v>265</v>
      </c>
      <c r="W17" s="13">
        <v>408</v>
      </c>
      <c r="X17" s="13" t="str">
        <f t="shared" si="2"/>
        <v>10001|9870$93001|315$83001|405$113001|2900$123001|265$133001|408</v>
      </c>
      <c r="Y17" s="13"/>
      <c r="Z17" s="15">
        <v>9</v>
      </c>
      <c r="AA17" s="15">
        <v>11300</v>
      </c>
      <c r="AB17" s="15">
        <v>267</v>
      </c>
      <c r="AC17" s="15">
        <v>246</v>
      </c>
      <c r="AD17" s="15">
        <v>2810</v>
      </c>
      <c r="AE17" s="15">
        <v>168</v>
      </c>
      <c r="AF17" s="15">
        <v>390</v>
      </c>
      <c r="AG17" s="15" t="str">
        <f t="shared" si="3"/>
        <v>10001|11300$94001|267$84001|246$114001|2810$124001|168$134001|390</v>
      </c>
      <c r="AH17" s="17">
        <v>9</v>
      </c>
      <c r="AI17" s="17">
        <v>12690</v>
      </c>
      <c r="AJ17" s="17">
        <v>219</v>
      </c>
      <c r="AK17" s="17">
        <v>159</v>
      </c>
      <c r="AL17" s="17">
        <v>2765</v>
      </c>
      <c r="AM17" s="17">
        <v>108</v>
      </c>
      <c r="AN17" s="17">
        <v>390</v>
      </c>
      <c r="AO17" s="17" t="str">
        <f t="shared" si="4"/>
        <v>10001|12690$95001|219$85001|159$115001|2765$125001|108$135001|390</v>
      </c>
    </row>
    <row r="18" ht="121.5" customHeight="1" spans="1:41">
      <c r="A18" s="4">
        <v>10</v>
      </c>
      <c r="B18" s="4">
        <v>2000</v>
      </c>
      <c r="C18" s="5">
        <v>55</v>
      </c>
      <c r="D18" s="5">
        <v>220</v>
      </c>
      <c r="E18" s="5">
        <v>350</v>
      </c>
      <c r="F18" s="5">
        <v>55</v>
      </c>
      <c r="G18" s="5">
        <v>41</v>
      </c>
      <c r="H18" s="4" t="str">
        <f t="shared" si="0"/>
        <v>10001|2000$91001|55$81001|220$111001|350$121001|55$131001|41</v>
      </c>
      <c r="I18" s="11">
        <v>10</v>
      </c>
      <c r="J18" s="11">
        <v>8460</v>
      </c>
      <c r="K18" s="11">
        <v>410</v>
      </c>
      <c r="L18" s="11">
        <v>400</v>
      </c>
      <c r="M18" s="11">
        <v>3300</v>
      </c>
      <c r="N18" s="11">
        <v>433</v>
      </c>
      <c r="O18" s="11">
        <v>420</v>
      </c>
      <c r="P18" s="11" t="str">
        <f t="shared" si="1"/>
        <v>10001|8460$92001|410$82001|400$112001|3300$122001|433$132001|420</v>
      </c>
      <c r="Q18" s="13">
        <v>10</v>
      </c>
      <c r="R18" s="13">
        <v>9870</v>
      </c>
      <c r="S18" s="13">
        <v>320</v>
      </c>
      <c r="T18" s="13">
        <v>410</v>
      </c>
      <c r="U18" s="13">
        <v>3000</v>
      </c>
      <c r="V18" s="13">
        <v>270</v>
      </c>
      <c r="W18" s="13">
        <v>420</v>
      </c>
      <c r="X18" s="13" t="str">
        <f t="shared" si="2"/>
        <v>10001|9870$93001|320$83001|410$113001|3000$123001|270$133001|420</v>
      </c>
      <c r="Y18" s="13"/>
      <c r="Z18" s="15">
        <v>10</v>
      </c>
      <c r="AA18" s="15">
        <v>11300</v>
      </c>
      <c r="AB18" s="15">
        <v>270</v>
      </c>
      <c r="AC18" s="15">
        <v>250</v>
      </c>
      <c r="AD18" s="15">
        <v>2900</v>
      </c>
      <c r="AE18" s="15">
        <v>172</v>
      </c>
      <c r="AF18" s="15">
        <v>400</v>
      </c>
      <c r="AG18" s="15" t="str">
        <f t="shared" si="3"/>
        <v>10001|11300$94001|270$84001|250$114001|2900$124001|172$134001|400</v>
      </c>
      <c r="AH18" s="17">
        <v>10</v>
      </c>
      <c r="AI18" s="17">
        <v>12690</v>
      </c>
      <c r="AJ18" s="17">
        <v>220</v>
      </c>
      <c r="AK18" s="17">
        <v>160</v>
      </c>
      <c r="AL18" s="17">
        <v>2850</v>
      </c>
      <c r="AM18" s="17">
        <v>110</v>
      </c>
      <c r="AN18" s="17">
        <v>400</v>
      </c>
      <c r="AO18" s="17" t="str">
        <f t="shared" si="4"/>
        <v>10001|12690$95001|220$85001|160$115001|2850$125001|110$135001|400</v>
      </c>
    </row>
    <row r="19" ht="121.5" customHeight="1" spans="1:41">
      <c r="A19" s="4">
        <v>11</v>
      </c>
      <c r="B19" s="4">
        <v>2000</v>
      </c>
      <c r="C19" s="5">
        <v>56</v>
      </c>
      <c r="D19" s="5">
        <v>224</v>
      </c>
      <c r="E19" s="5">
        <v>365</v>
      </c>
      <c r="F19" s="5">
        <v>56</v>
      </c>
      <c r="G19" s="5">
        <v>43</v>
      </c>
      <c r="H19" s="4" t="str">
        <f t="shared" si="0"/>
        <v>10001|2000$91001|56$81001|224$111001|365$121001|56$131001|43</v>
      </c>
      <c r="I19" s="11">
        <v>11</v>
      </c>
      <c r="J19" s="11">
        <v>8460</v>
      </c>
      <c r="K19" s="11">
        <v>421</v>
      </c>
      <c r="L19" s="11">
        <v>410</v>
      </c>
      <c r="M19" s="11">
        <v>3420</v>
      </c>
      <c r="N19" s="11">
        <v>443</v>
      </c>
      <c r="O19" s="11">
        <v>432</v>
      </c>
      <c r="P19" s="11" t="str">
        <f t="shared" si="1"/>
        <v>10001|8460$92001|421$82001|410$112001|3420$122001|443$132001|432</v>
      </c>
      <c r="Q19" s="13">
        <v>11</v>
      </c>
      <c r="R19" s="13">
        <v>9870</v>
      </c>
      <c r="S19" s="13">
        <v>325</v>
      </c>
      <c r="T19" s="13">
        <v>415</v>
      </c>
      <c r="U19" s="13">
        <v>3100</v>
      </c>
      <c r="V19" s="13">
        <v>275</v>
      </c>
      <c r="W19" s="13">
        <v>432</v>
      </c>
      <c r="X19" s="13" t="str">
        <f t="shared" si="2"/>
        <v>10001|9870$93001|325$83001|415$113001|3100$123001|275$133001|432</v>
      </c>
      <c r="Y19" s="13"/>
      <c r="Z19" s="15">
        <v>11</v>
      </c>
      <c r="AA19" s="15">
        <v>11300</v>
      </c>
      <c r="AB19" s="15">
        <v>273</v>
      </c>
      <c r="AC19" s="15">
        <v>254</v>
      </c>
      <c r="AD19" s="15">
        <v>2990</v>
      </c>
      <c r="AE19" s="15">
        <v>176</v>
      </c>
      <c r="AF19" s="15">
        <v>410</v>
      </c>
      <c r="AG19" s="15" t="str">
        <f t="shared" si="3"/>
        <v>10001|11300$94001|273$84001|254$114001|2990$124001|176$134001|410</v>
      </c>
      <c r="AH19" s="17">
        <v>11</v>
      </c>
      <c r="AI19" s="17">
        <v>12690</v>
      </c>
      <c r="AJ19" s="17">
        <v>221</v>
      </c>
      <c r="AK19" s="17">
        <v>161</v>
      </c>
      <c r="AL19" s="17">
        <v>2935</v>
      </c>
      <c r="AM19" s="17">
        <v>112</v>
      </c>
      <c r="AN19" s="17">
        <v>410</v>
      </c>
      <c r="AO19" s="17" t="str">
        <f t="shared" si="4"/>
        <v>10001|12690$95001|221$85001|161$115001|2935$125001|112$135001|410</v>
      </c>
    </row>
    <row r="20" ht="121.5" customHeight="1" spans="1:41">
      <c r="A20" s="4">
        <v>12</v>
      </c>
      <c r="B20" s="4">
        <v>2000</v>
      </c>
      <c r="C20" s="5">
        <v>57</v>
      </c>
      <c r="D20" s="5">
        <v>228</v>
      </c>
      <c r="E20" s="5">
        <v>380</v>
      </c>
      <c r="F20" s="5">
        <v>57</v>
      </c>
      <c r="G20" s="5">
        <v>45</v>
      </c>
      <c r="H20" s="4" t="str">
        <f t="shared" si="0"/>
        <v>10001|2000$91001|57$81001|228$111001|380$121001|57$131001|45</v>
      </c>
      <c r="I20" s="11">
        <v>12</v>
      </c>
      <c r="J20" s="11">
        <v>8460</v>
      </c>
      <c r="K20" s="11">
        <v>432</v>
      </c>
      <c r="L20" s="11">
        <v>420</v>
      </c>
      <c r="M20" s="11">
        <v>3540</v>
      </c>
      <c r="N20" s="11">
        <v>453</v>
      </c>
      <c r="O20" s="11">
        <v>444</v>
      </c>
      <c r="P20" s="11" t="str">
        <f t="shared" si="1"/>
        <v>10001|8460$92001|432$82001|420$112001|3540$122001|453$132001|444</v>
      </c>
      <c r="Q20" s="13">
        <v>12</v>
      </c>
      <c r="R20" s="13">
        <v>9870</v>
      </c>
      <c r="S20" s="13">
        <v>330</v>
      </c>
      <c r="T20" s="13">
        <v>420</v>
      </c>
      <c r="U20" s="13">
        <v>3200</v>
      </c>
      <c r="V20" s="13">
        <v>280</v>
      </c>
      <c r="W20" s="13">
        <v>444</v>
      </c>
      <c r="X20" s="13" t="str">
        <f t="shared" si="2"/>
        <v>10001|9870$93001|330$83001|420$113001|3200$123001|280$133001|444</v>
      </c>
      <c r="Y20" s="13"/>
      <c r="Z20" s="15">
        <v>12</v>
      </c>
      <c r="AA20" s="15">
        <v>11300</v>
      </c>
      <c r="AB20" s="15">
        <v>276</v>
      </c>
      <c r="AC20" s="15">
        <v>258</v>
      </c>
      <c r="AD20" s="15">
        <v>3080</v>
      </c>
      <c r="AE20" s="15">
        <v>180</v>
      </c>
      <c r="AF20" s="15">
        <v>420</v>
      </c>
      <c r="AG20" s="15" t="str">
        <f t="shared" si="3"/>
        <v>10001|11300$94001|276$84001|258$114001|3080$124001|180$134001|420</v>
      </c>
      <c r="AH20" s="17">
        <v>12</v>
      </c>
      <c r="AI20" s="17">
        <v>12690</v>
      </c>
      <c r="AJ20" s="17">
        <v>222</v>
      </c>
      <c r="AK20" s="17">
        <v>162</v>
      </c>
      <c r="AL20" s="17">
        <v>3020</v>
      </c>
      <c r="AM20" s="17">
        <v>114</v>
      </c>
      <c r="AN20" s="17">
        <v>420</v>
      </c>
      <c r="AO20" s="17" t="str">
        <f t="shared" si="4"/>
        <v>10001|12690$95001|222$85001|162$115001|3020$125001|114$135001|420</v>
      </c>
    </row>
    <row r="21" ht="121.5" customHeight="1" spans="1:41">
      <c r="A21" s="4">
        <v>13</v>
      </c>
      <c r="B21" s="4">
        <v>2000</v>
      </c>
      <c r="C21" s="5">
        <v>58</v>
      </c>
      <c r="D21" s="5">
        <v>232</v>
      </c>
      <c r="E21" s="5">
        <v>395</v>
      </c>
      <c r="F21" s="5">
        <v>58</v>
      </c>
      <c r="G21" s="5">
        <v>47</v>
      </c>
      <c r="H21" s="4" t="str">
        <f t="shared" si="0"/>
        <v>10001|2000$91001|58$81001|232$111001|395$121001|58$131001|47</v>
      </c>
      <c r="I21" s="11">
        <v>13</v>
      </c>
      <c r="J21" s="11">
        <v>8460</v>
      </c>
      <c r="K21" s="11">
        <v>443</v>
      </c>
      <c r="L21" s="11">
        <v>430</v>
      </c>
      <c r="M21" s="11">
        <v>3660</v>
      </c>
      <c r="N21" s="11">
        <v>463</v>
      </c>
      <c r="O21" s="11">
        <v>456</v>
      </c>
      <c r="P21" s="11" t="str">
        <f t="shared" si="1"/>
        <v>10001|8460$92001|443$82001|430$112001|3660$122001|463$132001|456</v>
      </c>
      <c r="Q21" s="13">
        <v>13</v>
      </c>
      <c r="R21" s="13">
        <v>9870</v>
      </c>
      <c r="S21" s="13">
        <v>335</v>
      </c>
      <c r="T21" s="13">
        <v>425</v>
      </c>
      <c r="U21" s="13">
        <v>3300</v>
      </c>
      <c r="V21" s="13">
        <v>285</v>
      </c>
      <c r="W21" s="13">
        <v>456</v>
      </c>
      <c r="X21" s="13" t="str">
        <f t="shared" si="2"/>
        <v>10001|9870$93001|335$83001|425$113001|3300$123001|285$133001|456</v>
      </c>
      <c r="Y21" s="13"/>
      <c r="Z21" s="15">
        <v>13</v>
      </c>
      <c r="AA21" s="15">
        <v>11300</v>
      </c>
      <c r="AB21" s="15">
        <v>279</v>
      </c>
      <c r="AC21" s="15">
        <v>262</v>
      </c>
      <c r="AD21" s="15">
        <v>3170</v>
      </c>
      <c r="AE21" s="15">
        <v>184</v>
      </c>
      <c r="AF21" s="15">
        <v>430</v>
      </c>
      <c r="AG21" s="15" t="str">
        <f t="shared" si="3"/>
        <v>10001|11300$94001|279$84001|262$114001|3170$124001|184$134001|430</v>
      </c>
      <c r="AH21" s="17">
        <v>13</v>
      </c>
      <c r="AI21" s="17">
        <v>12690</v>
      </c>
      <c r="AJ21" s="17">
        <v>223</v>
      </c>
      <c r="AK21" s="17">
        <v>163</v>
      </c>
      <c r="AL21" s="17">
        <v>3105</v>
      </c>
      <c r="AM21" s="17">
        <v>116</v>
      </c>
      <c r="AN21" s="17">
        <v>430</v>
      </c>
      <c r="AO21" s="17" t="str">
        <f t="shared" si="4"/>
        <v>10001|12690$95001|223$85001|163$115001|3105$125001|116$135001|430</v>
      </c>
    </row>
    <row r="22" ht="121.5" customHeight="1" spans="1:41">
      <c r="A22" s="4">
        <v>14</v>
      </c>
      <c r="B22" s="4">
        <v>2000</v>
      </c>
      <c r="C22" s="5">
        <v>59</v>
      </c>
      <c r="D22" s="5">
        <v>236</v>
      </c>
      <c r="E22" s="5">
        <v>410</v>
      </c>
      <c r="F22" s="5">
        <v>59</v>
      </c>
      <c r="G22" s="5">
        <v>49</v>
      </c>
      <c r="H22" s="4" t="str">
        <f t="shared" si="0"/>
        <v>10001|2000$91001|59$81001|236$111001|410$121001|59$131001|49</v>
      </c>
      <c r="I22" s="11">
        <v>14</v>
      </c>
      <c r="J22" s="11">
        <v>8460</v>
      </c>
      <c r="K22" s="11">
        <v>454</v>
      </c>
      <c r="L22" s="11">
        <v>440</v>
      </c>
      <c r="M22" s="11">
        <v>3780</v>
      </c>
      <c r="N22" s="11">
        <v>473</v>
      </c>
      <c r="O22" s="11">
        <v>468</v>
      </c>
      <c r="P22" s="11" t="str">
        <f t="shared" si="1"/>
        <v>10001|8460$92001|454$82001|440$112001|3780$122001|473$132001|468</v>
      </c>
      <c r="Q22" s="13">
        <v>14</v>
      </c>
      <c r="R22" s="13">
        <v>9870</v>
      </c>
      <c r="S22" s="13">
        <v>340</v>
      </c>
      <c r="T22" s="13">
        <v>430</v>
      </c>
      <c r="U22" s="13">
        <v>3400</v>
      </c>
      <c r="V22" s="13">
        <v>290</v>
      </c>
      <c r="W22" s="13">
        <v>468</v>
      </c>
      <c r="X22" s="13" t="str">
        <f t="shared" si="2"/>
        <v>10001|9870$93001|340$83001|430$113001|3400$123001|290$133001|468</v>
      </c>
      <c r="Y22" s="13"/>
      <c r="Z22" s="15">
        <v>14</v>
      </c>
      <c r="AA22" s="15">
        <v>11300</v>
      </c>
      <c r="AB22" s="15">
        <v>282</v>
      </c>
      <c r="AC22" s="15">
        <v>266</v>
      </c>
      <c r="AD22" s="15">
        <v>3260</v>
      </c>
      <c r="AE22" s="15">
        <v>188</v>
      </c>
      <c r="AF22" s="15">
        <v>440</v>
      </c>
      <c r="AG22" s="15" t="str">
        <f t="shared" si="3"/>
        <v>10001|11300$94001|282$84001|266$114001|3260$124001|188$134001|440</v>
      </c>
      <c r="AH22" s="17">
        <v>14</v>
      </c>
      <c r="AI22" s="17">
        <v>12690</v>
      </c>
      <c r="AJ22" s="17">
        <v>224</v>
      </c>
      <c r="AK22" s="17">
        <v>164</v>
      </c>
      <c r="AL22" s="17">
        <v>3190</v>
      </c>
      <c r="AM22" s="17">
        <v>118</v>
      </c>
      <c r="AN22" s="17">
        <v>440</v>
      </c>
      <c r="AO22" s="17" t="str">
        <f t="shared" si="4"/>
        <v>10001|12690$95001|224$85001|164$115001|3190$125001|118$135001|440</v>
      </c>
    </row>
    <row r="23" ht="121.5" customHeight="1" spans="1:41">
      <c r="A23" s="4">
        <v>15</v>
      </c>
      <c r="B23" s="4">
        <v>2000</v>
      </c>
      <c r="C23" s="5">
        <v>60</v>
      </c>
      <c r="D23" s="5">
        <v>240</v>
      </c>
      <c r="E23" s="5">
        <v>425</v>
      </c>
      <c r="F23" s="5">
        <v>60</v>
      </c>
      <c r="G23" s="5">
        <v>51</v>
      </c>
      <c r="H23" s="4" t="str">
        <f t="shared" si="0"/>
        <v>10001|2000$91001|60$81001|240$111001|425$121001|60$131001|51</v>
      </c>
      <c r="I23" s="11">
        <v>15</v>
      </c>
      <c r="J23" s="11">
        <v>8460</v>
      </c>
      <c r="K23" s="11">
        <v>465</v>
      </c>
      <c r="L23" s="11">
        <v>450</v>
      </c>
      <c r="M23" s="11">
        <v>3900</v>
      </c>
      <c r="N23" s="11">
        <v>483</v>
      </c>
      <c r="O23" s="11">
        <v>480</v>
      </c>
      <c r="P23" s="11" t="str">
        <f t="shared" si="1"/>
        <v>10001|8460$92001|465$82001|450$112001|3900$122001|483$132001|480</v>
      </c>
      <c r="Q23" s="13">
        <v>15</v>
      </c>
      <c r="R23" s="13">
        <v>9870</v>
      </c>
      <c r="S23" s="13">
        <v>345</v>
      </c>
      <c r="T23" s="13">
        <v>435</v>
      </c>
      <c r="U23" s="13">
        <v>3500</v>
      </c>
      <c r="V23" s="13">
        <v>295</v>
      </c>
      <c r="W23" s="13">
        <v>480</v>
      </c>
      <c r="X23" s="13" t="str">
        <f t="shared" si="2"/>
        <v>10001|9870$93001|345$83001|435$113001|3500$123001|295$133001|480</v>
      </c>
      <c r="Y23" s="13"/>
      <c r="Z23" s="15">
        <v>15</v>
      </c>
      <c r="AA23" s="15">
        <v>11300</v>
      </c>
      <c r="AB23" s="15">
        <v>285</v>
      </c>
      <c r="AC23" s="15">
        <v>270</v>
      </c>
      <c r="AD23" s="15">
        <v>3350</v>
      </c>
      <c r="AE23" s="15">
        <v>192</v>
      </c>
      <c r="AF23" s="15">
        <v>450</v>
      </c>
      <c r="AG23" s="15" t="str">
        <f t="shared" si="3"/>
        <v>10001|11300$94001|285$84001|270$114001|3350$124001|192$134001|450</v>
      </c>
      <c r="AH23" s="17">
        <v>15</v>
      </c>
      <c r="AI23" s="17">
        <v>12690</v>
      </c>
      <c r="AJ23" s="17">
        <v>225</v>
      </c>
      <c r="AK23" s="17">
        <v>165</v>
      </c>
      <c r="AL23" s="17">
        <v>3275</v>
      </c>
      <c r="AM23" s="17">
        <v>120</v>
      </c>
      <c r="AN23" s="17">
        <v>450</v>
      </c>
      <c r="AO23" s="17" t="str">
        <f t="shared" si="4"/>
        <v>10001|12690$95001|225$85001|165$115001|3275$125001|120$135001|450</v>
      </c>
    </row>
    <row r="24" ht="121.5" customHeight="1" spans="1:41">
      <c r="A24" s="4">
        <v>16</v>
      </c>
      <c r="B24" s="4">
        <v>2000</v>
      </c>
      <c r="C24" s="5">
        <v>61</v>
      </c>
      <c r="D24" s="5">
        <v>244</v>
      </c>
      <c r="E24" s="5">
        <v>440</v>
      </c>
      <c r="F24" s="5">
        <v>61</v>
      </c>
      <c r="G24" s="5">
        <v>53</v>
      </c>
      <c r="H24" s="4" t="str">
        <f t="shared" si="0"/>
        <v>10001|2000$91001|61$81001|244$111001|440$121001|61$131001|53</v>
      </c>
      <c r="I24" s="11">
        <v>16</v>
      </c>
      <c r="J24" s="11">
        <v>8460</v>
      </c>
      <c r="K24" s="11">
        <v>476</v>
      </c>
      <c r="L24" s="11">
        <v>460</v>
      </c>
      <c r="M24" s="11">
        <v>4020</v>
      </c>
      <c r="N24" s="11">
        <v>493</v>
      </c>
      <c r="O24" s="11">
        <v>492</v>
      </c>
      <c r="P24" s="11" t="str">
        <f t="shared" si="1"/>
        <v>10001|8460$92001|476$82001|460$112001|4020$122001|493$132001|492</v>
      </c>
      <c r="Q24" s="13">
        <v>16</v>
      </c>
      <c r="R24" s="13">
        <v>9870</v>
      </c>
      <c r="S24" s="13">
        <v>350</v>
      </c>
      <c r="T24" s="13">
        <v>440</v>
      </c>
      <c r="U24" s="13">
        <v>3600</v>
      </c>
      <c r="V24" s="13">
        <v>300</v>
      </c>
      <c r="W24" s="13">
        <v>492</v>
      </c>
      <c r="X24" s="13" t="str">
        <f t="shared" si="2"/>
        <v>10001|9870$93001|350$83001|440$113001|3600$123001|300$133001|492</v>
      </c>
      <c r="Y24" s="13"/>
      <c r="Z24" s="15">
        <v>16</v>
      </c>
      <c r="AA24" s="15">
        <v>11300</v>
      </c>
      <c r="AB24" s="15">
        <v>288</v>
      </c>
      <c r="AC24" s="15">
        <v>274</v>
      </c>
      <c r="AD24" s="15">
        <v>3440</v>
      </c>
      <c r="AE24" s="15">
        <v>196</v>
      </c>
      <c r="AF24" s="15">
        <v>460</v>
      </c>
      <c r="AG24" s="15" t="str">
        <f t="shared" si="3"/>
        <v>10001|11300$94001|288$84001|274$114001|3440$124001|196$134001|460</v>
      </c>
      <c r="AH24" s="17">
        <v>16</v>
      </c>
      <c r="AI24" s="17">
        <v>12690</v>
      </c>
      <c r="AJ24" s="17">
        <v>226</v>
      </c>
      <c r="AK24" s="17">
        <v>166</v>
      </c>
      <c r="AL24" s="17">
        <v>3360</v>
      </c>
      <c r="AM24" s="17">
        <v>122</v>
      </c>
      <c r="AN24" s="17">
        <v>460</v>
      </c>
      <c r="AO24" s="17" t="str">
        <f t="shared" si="4"/>
        <v>10001|12690$95001|226$85001|166$115001|3360$125001|122$135001|460</v>
      </c>
    </row>
    <row r="25" ht="121.5" customHeight="1" spans="1:41">
      <c r="A25" s="4">
        <v>17</v>
      </c>
      <c r="B25" s="4">
        <v>2000</v>
      </c>
      <c r="C25" s="5">
        <v>62</v>
      </c>
      <c r="D25" s="5">
        <v>248</v>
      </c>
      <c r="E25" s="5">
        <v>455</v>
      </c>
      <c r="F25" s="5">
        <v>62</v>
      </c>
      <c r="G25" s="5">
        <v>55</v>
      </c>
      <c r="H25" s="4" t="str">
        <f t="shared" si="0"/>
        <v>10001|2000$91001|62$81001|248$111001|455$121001|62$131001|55</v>
      </c>
      <c r="I25" s="11">
        <v>17</v>
      </c>
      <c r="J25" s="11">
        <v>8460</v>
      </c>
      <c r="K25" s="11">
        <v>487</v>
      </c>
      <c r="L25" s="11">
        <v>470</v>
      </c>
      <c r="M25" s="11">
        <v>4140</v>
      </c>
      <c r="N25" s="11">
        <v>503</v>
      </c>
      <c r="O25" s="11">
        <v>504</v>
      </c>
      <c r="P25" s="11" t="str">
        <f t="shared" si="1"/>
        <v>10001|8460$92001|487$82001|470$112001|4140$122001|503$132001|504</v>
      </c>
      <c r="Q25" s="13">
        <v>17</v>
      </c>
      <c r="R25" s="13">
        <v>9870</v>
      </c>
      <c r="S25" s="13">
        <v>355</v>
      </c>
      <c r="T25" s="13">
        <v>445</v>
      </c>
      <c r="U25" s="13">
        <v>3700</v>
      </c>
      <c r="V25" s="13">
        <v>305</v>
      </c>
      <c r="W25" s="13">
        <v>504</v>
      </c>
      <c r="X25" s="13" t="str">
        <f t="shared" si="2"/>
        <v>10001|9870$93001|355$83001|445$113001|3700$123001|305$133001|504</v>
      </c>
      <c r="Y25" s="13"/>
      <c r="Z25" s="15">
        <v>17</v>
      </c>
      <c r="AA25" s="15">
        <v>11300</v>
      </c>
      <c r="AB25" s="15">
        <v>291</v>
      </c>
      <c r="AC25" s="15">
        <v>278</v>
      </c>
      <c r="AD25" s="15">
        <v>3530</v>
      </c>
      <c r="AE25" s="15">
        <v>200</v>
      </c>
      <c r="AF25" s="15">
        <v>470</v>
      </c>
      <c r="AG25" s="15" t="str">
        <f t="shared" si="3"/>
        <v>10001|11300$94001|291$84001|278$114001|3530$124001|200$134001|470</v>
      </c>
      <c r="AH25" s="17">
        <v>17</v>
      </c>
      <c r="AI25" s="17">
        <v>12690</v>
      </c>
      <c r="AJ25" s="17">
        <v>227</v>
      </c>
      <c r="AK25" s="17">
        <v>167</v>
      </c>
      <c r="AL25" s="17">
        <v>3445</v>
      </c>
      <c r="AM25" s="17">
        <v>124</v>
      </c>
      <c r="AN25" s="17">
        <v>470</v>
      </c>
      <c r="AO25" s="17" t="str">
        <f t="shared" si="4"/>
        <v>10001|12690$95001|227$85001|167$115001|3445$125001|124$135001|470</v>
      </c>
    </row>
    <row r="26" ht="121.5" customHeight="1" spans="1:41">
      <c r="A26" s="4">
        <v>18</v>
      </c>
      <c r="B26" s="4">
        <v>2000</v>
      </c>
      <c r="C26" s="5">
        <v>63</v>
      </c>
      <c r="D26" s="5">
        <v>252</v>
      </c>
      <c r="E26" s="5">
        <v>470</v>
      </c>
      <c r="F26" s="5">
        <v>63</v>
      </c>
      <c r="G26" s="5">
        <v>57</v>
      </c>
      <c r="H26" s="4" t="str">
        <f t="shared" si="0"/>
        <v>10001|2000$91001|63$81001|252$111001|470$121001|63$131001|57</v>
      </c>
      <c r="I26" s="11">
        <v>18</v>
      </c>
      <c r="J26" s="11">
        <v>8460</v>
      </c>
      <c r="K26" s="11">
        <v>498</v>
      </c>
      <c r="L26" s="11">
        <v>480</v>
      </c>
      <c r="M26" s="11">
        <v>4260</v>
      </c>
      <c r="N26" s="11">
        <v>513</v>
      </c>
      <c r="O26" s="11">
        <v>516</v>
      </c>
      <c r="P26" s="11" t="str">
        <f t="shared" si="1"/>
        <v>10001|8460$92001|498$82001|480$112001|4260$122001|513$132001|516</v>
      </c>
      <c r="Q26" s="13">
        <v>18</v>
      </c>
      <c r="R26" s="13">
        <v>9870</v>
      </c>
      <c r="S26" s="13">
        <v>360</v>
      </c>
      <c r="T26" s="13">
        <v>450</v>
      </c>
      <c r="U26" s="13">
        <v>3800</v>
      </c>
      <c r="V26" s="13">
        <v>310</v>
      </c>
      <c r="W26" s="13">
        <v>516</v>
      </c>
      <c r="X26" s="13" t="str">
        <f t="shared" si="2"/>
        <v>10001|9870$93001|360$83001|450$113001|3800$123001|310$133001|516</v>
      </c>
      <c r="Y26" s="13"/>
      <c r="Z26" s="15">
        <v>18</v>
      </c>
      <c r="AA26" s="15">
        <v>11300</v>
      </c>
      <c r="AB26" s="15">
        <v>294</v>
      </c>
      <c r="AC26" s="15">
        <v>282</v>
      </c>
      <c r="AD26" s="15">
        <v>3620</v>
      </c>
      <c r="AE26" s="15">
        <v>204</v>
      </c>
      <c r="AF26" s="15">
        <v>480</v>
      </c>
      <c r="AG26" s="15" t="str">
        <f t="shared" si="3"/>
        <v>10001|11300$94001|294$84001|282$114001|3620$124001|204$134001|480</v>
      </c>
      <c r="AH26" s="17">
        <v>18</v>
      </c>
      <c r="AI26" s="17">
        <v>12690</v>
      </c>
      <c r="AJ26" s="17">
        <v>228</v>
      </c>
      <c r="AK26" s="17">
        <v>168</v>
      </c>
      <c r="AL26" s="17">
        <v>3530</v>
      </c>
      <c r="AM26" s="17">
        <v>126</v>
      </c>
      <c r="AN26" s="17">
        <v>480</v>
      </c>
      <c r="AO26" s="17" t="str">
        <f t="shared" si="4"/>
        <v>10001|12690$95001|228$85001|168$115001|3530$125001|126$135001|480</v>
      </c>
    </row>
    <row r="27" ht="121.5" customHeight="1" spans="1:41">
      <c r="A27" s="4">
        <v>19</v>
      </c>
      <c r="B27" s="4">
        <v>2000</v>
      </c>
      <c r="C27" s="5">
        <v>64</v>
      </c>
      <c r="D27" s="5">
        <v>256</v>
      </c>
      <c r="E27" s="5">
        <v>485</v>
      </c>
      <c r="F27" s="5">
        <v>64</v>
      </c>
      <c r="G27" s="5">
        <v>59</v>
      </c>
      <c r="H27" s="4" t="str">
        <f t="shared" si="0"/>
        <v>10001|2000$91001|64$81001|256$111001|485$121001|64$131001|59</v>
      </c>
      <c r="I27" s="11">
        <v>19</v>
      </c>
      <c r="J27" s="11">
        <v>8460</v>
      </c>
      <c r="K27" s="11">
        <v>509</v>
      </c>
      <c r="L27" s="11">
        <v>490</v>
      </c>
      <c r="M27" s="11">
        <v>4380</v>
      </c>
      <c r="N27" s="11">
        <v>523</v>
      </c>
      <c r="O27" s="11">
        <v>528</v>
      </c>
      <c r="P27" s="11" t="str">
        <f t="shared" si="1"/>
        <v>10001|8460$92001|509$82001|490$112001|4380$122001|523$132001|528</v>
      </c>
      <c r="Q27" s="13">
        <v>19</v>
      </c>
      <c r="R27" s="13">
        <v>9870</v>
      </c>
      <c r="S27" s="13">
        <v>365</v>
      </c>
      <c r="T27" s="13">
        <v>455</v>
      </c>
      <c r="U27" s="13">
        <v>3900</v>
      </c>
      <c r="V27" s="13">
        <v>315</v>
      </c>
      <c r="W27" s="13">
        <v>528</v>
      </c>
      <c r="X27" s="13" t="str">
        <f t="shared" si="2"/>
        <v>10001|9870$93001|365$83001|455$113001|3900$123001|315$133001|528</v>
      </c>
      <c r="Y27" s="13"/>
      <c r="Z27" s="15">
        <v>19</v>
      </c>
      <c r="AA27" s="15">
        <v>11300</v>
      </c>
      <c r="AB27" s="15">
        <v>297</v>
      </c>
      <c r="AC27" s="15">
        <v>286</v>
      </c>
      <c r="AD27" s="15">
        <v>3710</v>
      </c>
      <c r="AE27" s="15">
        <v>208</v>
      </c>
      <c r="AF27" s="15">
        <v>490</v>
      </c>
      <c r="AG27" s="15" t="str">
        <f t="shared" si="3"/>
        <v>10001|11300$94001|297$84001|286$114001|3710$124001|208$134001|490</v>
      </c>
      <c r="AH27" s="17">
        <v>19</v>
      </c>
      <c r="AI27" s="17">
        <v>12690</v>
      </c>
      <c r="AJ27" s="17">
        <v>229</v>
      </c>
      <c r="AK27" s="17">
        <v>169</v>
      </c>
      <c r="AL27" s="17">
        <v>3615</v>
      </c>
      <c r="AM27" s="17">
        <v>128</v>
      </c>
      <c r="AN27" s="17">
        <v>490</v>
      </c>
      <c r="AO27" s="17" t="str">
        <f t="shared" si="4"/>
        <v>10001|12690$95001|229$85001|169$115001|3615$125001|128$135001|490</v>
      </c>
    </row>
    <row r="28" ht="121.5" customHeight="1" spans="1:41">
      <c r="A28" s="4">
        <v>20</v>
      </c>
      <c r="B28" s="4">
        <v>2000</v>
      </c>
      <c r="C28" s="5">
        <v>65</v>
      </c>
      <c r="D28" s="5">
        <v>260</v>
      </c>
      <c r="E28" s="5">
        <v>500</v>
      </c>
      <c r="F28" s="5">
        <v>65</v>
      </c>
      <c r="G28" s="5">
        <v>61</v>
      </c>
      <c r="H28" s="4" t="str">
        <f t="shared" si="0"/>
        <v>10001|2000$91001|65$81001|260$111001|500$121001|65$131001|61</v>
      </c>
      <c r="I28" s="11">
        <v>20</v>
      </c>
      <c r="J28" s="11">
        <v>8460</v>
      </c>
      <c r="K28" s="11">
        <v>520</v>
      </c>
      <c r="L28" s="11">
        <v>500</v>
      </c>
      <c r="M28" s="11">
        <v>4500</v>
      </c>
      <c r="N28" s="11">
        <v>533</v>
      </c>
      <c r="O28" s="11">
        <v>540</v>
      </c>
      <c r="P28" s="11" t="str">
        <f t="shared" si="1"/>
        <v>10001|8460$92001|520$82001|500$112001|4500$122001|533$132001|540</v>
      </c>
      <c r="Q28" s="13">
        <v>20</v>
      </c>
      <c r="R28" s="13">
        <v>9870</v>
      </c>
      <c r="S28" s="13">
        <v>370</v>
      </c>
      <c r="T28" s="13">
        <v>460</v>
      </c>
      <c r="U28" s="13">
        <v>4000</v>
      </c>
      <c r="V28" s="13">
        <v>320</v>
      </c>
      <c r="W28" s="13">
        <v>540</v>
      </c>
      <c r="X28" s="13" t="str">
        <f t="shared" si="2"/>
        <v>10001|9870$93001|370$83001|460$113001|4000$123001|320$133001|540</v>
      </c>
      <c r="Y28" s="13"/>
      <c r="Z28" s="15">
        <v>20</v>
      </c>
      <c r="AA28" s="15">
        <v>11300</v>
      </c>
      <c r="AB28" s="15">
        <v>300</v>
      </c>
      <c r="AC28" s="15">
        <v>290</v>
      </c>
      <c r="AD28" s="15">
        <v>3800</v>
      </c>
      <c r="AE28" s="15">
        <v>212</v>
      </c>
      <c r="AF28" s="15">
        <v>500</v>
      </c>
      <c r="AG28" s="15" t="str">
        <f t="shared" si="3"/>
        <v>10001|11300$94001|300$84001|290$114001|3800$124001|212$134001|500</v>
      </c>
      <c r="AH28" s="17">
        <v>20</v>
      </c>
      <c r="AI28" s="17">
        <v>12690</v>
      </c>
      <c r="AJ28" s="17">
        <v>230</v>
      </c>
      <c r="AK28" s="17">
        <v>170</v>
      </c>
      <c r="AL28" s="17">
        <v>3700</v>
      </c>
      <c r="AM28" s="17">
        <v>130</v>
      </c>
      <c r="AN28" s="17">
        <v>500</v>
      </c>
      <c r="AO28" s="17" t="str">
        <f t="shared" si="4"/>
        <v>10001|12690$95001|230$85001|170$115001|3700$125001|130$135001|500</v>
      </c>
    </row>
    <row r="29" ht="121.5" customHeight="1" spans="1:41">
      <c r="C29" s="5">
        <v>0.1</v>
      </c>
      <c r="I29" s="11">
        <v>21</v>
      </c>
      <c r="J29" s="11">
        <v>8460</v>
      </c>
      <c r="K29" s="11">
        <v>531</v>
      </c>
      <c r="L29" s="11">
        <v>510</v>
      </c>
      <c r="M29" s="11">
        <v>4620</v>
      </c>
      <c r="N29" s="11">
        <v>543</v>
      </c>
      <c r="O29" s="11">
        <v>552</v>
      </c>
      <c r="P29" s="11" t="str">
        <f t="shared" si="1"/>
        <v>10001|8460$92001|531$82001|510$112001|4620$122001|543$132001|552</v>
      </c>
      <c r="Q29" s="13">
        <v>21</v>
      </c>
      <c r="R29" s="13">
        <v>9870</v>
      </c>
      <c r="S29" s="13">
        <v>375</v>
      </c>
      <c r="T29" s="13">
        <v>465</v>
      </c>
      <c r="U29" s="13">
        <v>4100</v>
      </c>
      <c r="V29" s="13">
        <v>325</v>
      </c>
      <c r="W29" s="13">
        <v>552</v>
      </c>
      <c r="X29" s="13" t="str">
        <f t="shared" si="2"/>
        <v>10001|9870$93001|375$83001|465$113001|4100$123001|325$133001|552</v>
      </c>
      <c r="Y29" s="13"/>
      <c r="Z29" s="15">
        <v>21</v>
      </c>
      <c r="AA29" s="15">
        <v>11300</v>
      </c>
      <c r="AB29" s="15">
        <v>303</v>
      </c>
      <c r="AC29" s="15">
        <v>294</v>
      </c>
      <c r="AD29" s="15">
        <v>3890</v>
      </c>
      <c r="AE29" s="15">
        <v>216</v>
      </c>
      <c r="AF29" s="15">
        <v>510</v>
      </c>
      <c r="AG29" s="15" t="str">
        <f t="shared" si="3"/>
        <v>10001|11300$94001|303$84001|294$114001|3890$124001|216$134001|510</v>
      </c>
      <c r="AH29" s="17">
        <v>21</v>
      </c>
      <c r="AI29" s="17">
        <v>12690</v>
      </c>
      <c r="AJ29" s="17">
        <v>231</v>
      </c>
      <c r="AK29" s="17">
        <v>171</v>
      </c>
      <c r="AL29" s="17">
        <v>3785</v>
      </c>
      <c r="AM29" s="17">
        <v>132</v>
      </c>
      <c r="AN29" s="17">
        <v>510</v>
      </c>
      <c r="AO29" s="17" t="str">
        <f t="shared" si="4"/>
        <v>10001|12690$95001|231$85001|171$115001|3785$125001|132$135001|510</v>
      </c>
    </row>
    <row r="30" ht="121.5" customHeight="1" spans="1:41">
      <c r="I30" s="11">
        <v>22</v>
      </c>
      <c r="J30" s="11">
        <v>8460</v>
      </c>
      <c r="K30" s="11">
        <v>542</v>
      </c>
      <c r="L30" s="11">
        <v>520</v>
      </c>
      <c r="M30" s="11">
        <v>4740</v>
      </c>
      <c r="N30" s="11">
        <v>553</v>
      </c>
      <c r="O30" s="11">
        <v>564</v>
      </c>
      <c r="P30" s="11" t="str">
        <f t="shared" si="1"/>
        <v>10001|8460$92001|542$82001|520$112001|4740$122001|553$132001|564</v>
      </c>
      <c r="Q30" s="13">
        <v>22</v>
      </c>
      <c r="R30" s="13">
        <v>9870</v>
      </c>
      <c r="S30" s="13">
        <v>380</v>
      </c>
      <c r="T30" s="13">
        <v>470</v>
      </c>
      <c r="U30" s="13">
        <v>4200</v>
      </c>
      <c r="V30" s="13">
        <v>330</v>
      </c>
      <c r="W30" s="13">
        <v>564</v>
      </c>
      <c r="X30" s="13" t="str">
        <f t="shared" si="2"/>
        <v>10001|9870$93001|380$83001|470$113001|4200$123001|330$133001|564</v>
      </c>
      <c r="Y30" s="13"/>
      <c r="Z30" s="15">
        <v>22</v>
      </c>
      <c r="AA30" s="15">
        <v>11300</v>
      </c>
      <c r="AB30" s="15">
        <v>306</v>
      </c>
      <c r="AC30" s="15">
        <v>298</v>
      </c>
      <c r="AD30" s="15">
        <v>3980</v>
      </c>
      <c r="AE30" s="15">
        <v>220</v>
      </c>
      <c r="AF30" s="15">
        <v>520</v>
      </c>
      <c r="AG30" s="15" t="str">
        <f t="shared" si="3"/>
        <v>10001|11300$94001|306$84001|298$114001|3980$124001|220$134001|520</v>
      </c>
      <c r="AH30" s="17">
        <v>22</v>
      </c>
      <c r="AI30" s="17">
        <v>12690</v>
      </c>
      <c r="AJ30" s="17">
        <v>232</v>
      </c>
      <c r="AK30" s="17">
        <v>172</v>
      </c>
      <c r="AL30" s="17">
        <v>3870</v>
      </c>
      <c r="AM30" s="17">
        <v>134</v>
      </c>
      <c r="AN30" s="17">
        <v>520</v>
      </c>
      <c r="AO30" s="17" t="str">
        <f t="shared" si="4"/>
        <v>10001|12690$95001|232$85001|172$115001|3870$125001|134$135001|520</v>
      </c>
    </row>
    <row r="31" ht="121.5" customHeight="1" spans="1:41">
      <c r="I31" s="11">
        <v>23</v>
      </c>
      <c r="J31" s="11">
        <v>8460</v>
      </c>
      <c r="K31" s="11">
        <v>553</v>
      </c>
      <c r="L31" s="11">
        <v>530</v>
      </c>
      <c r="M31" s="11">
        <v>4860</v>
      </c>
      <c r="N31" s="11">
        <v>563</v>
      </c>
      <c r="O31" s="11">
        <v>576</v>
      </c>
      <c r="P31" s="11" t="str">
        <f t="shared" si="1"/>
        <v>10001|8460$92001|553$82001|530$112001|4860$122001|563$132001|576</v>
      </c>
      <c r="Q31" s="13">
        <v>23</v>
      </c>
      <c r="R31" s="13">
        <v>9870</v>
      </c>
      <c r="S31" s="13">
        <v>385</v>
      </c>
      <c r="T31" s="13">
        <v>475</v>
      </c>
      <c r="U31" s="13">
        <v>4300</v>
      </c>
      <c r="V31" s="13">
        <v>335</v>
      </c>
      <c r="W31" s="13">
        <v>576</v>
      </c>
      <c r="X31" s="13" t="str">
        <f t="shared" si="2"/>
        <v>10001|9870$93001|385$83001|475$113001|4300$123001|335$133001|576</v>
      </c>
      <c r="Y31" s="13"/>
      <c r="Z31" s="15">
        <v>23</v>
      </c>
      <c r="AA31" s="15">
        <v>11300</v>
      </c>
      <c r="AB31" s="15">
        <v>309</v>
      </c>
      <c r="AC31" s="15">
        <v>302</v>
      </c>
      <c r="AD31" s="15">
        <v>4070</v>
      </c>
      <c r="AE31" s="15">
        <v>224</v>
      </c>
      <c r="AF31" s="15">
        <v>530</v>
      </c>
      <c r="AG31" s="15" t="str">
        <f t="shared" si="3"/>
        <v>10001|11300$94001|309$84001|302$114001|4070$124001|224$134001|530</v>
      </c>
      <c r="AH31" s="17">
        <v>23</v>
      </c>
      <c r="AI31" s="17">
        <v>12690</v>
      </c>
      <c r="AJ31" s="17">
        <v>233</v>
      </c>
      <c r="AK31" s="17">
        <v>173</v>
      </c>
      <c r="AL31" s="17">
        <v>3955</v>
      </c>
      <c r="AM31" s="17">
        <v>136</v>
      </c>
      <c r="AN31" s="17">
        <v>530</v>
      </c>
      <c r="AO31" s="17" t="str">
        <f t="shared" si="4"/>
        <v>10001|12690$95001|233$85001|173$115001|3955$125001|136$135001|530</v>
      </c>
    </row>
    <row r="32" ht="121.5" customHeight="1" spans="1:41">
      <c r="I32" s="11">
        <v>24</v>
      </c>
      <c r="J32" s="11">
        <v>8460</v>
      </c>
      <c r="K32" s="11">
        <v>564</v>
      </c>
      <c r="L32" s="11">
        <v>540</v>
      </c>
      <c r="M32" s="11">
        <v>4980</v>
      </c>
      <c r="N32" s="11">
        <v>573</v>
      </c>
      <c r="O32" s="11">
        <v>588</v>
      </c>
      <c r="P32" s="11" t="str">
        <f t="shared" si="1"/>
        <v>10001|8460$92001|564$82001|540$112001|4980$122001|573$132001|588</v>
      </c>
      <c r="Q32" s="13">
        <v>24</v>
      </c>
      <c r="R32" s="13">
        <v>9870</v>
      </c>
      <c r="S32" s="13">
        <v>390</v>
      </c>
      <c r="T32" s="13">
        <v>480</v>
      </c>
      <c r="U32" s="13">
        <v>4400</v>
      </c>
      <c r="V32" s="13">
        <v>340</v>
      </c>
      <c r="W32" s="13">
        <v>588</v>
      </c>
      <c r="X32" s="13" t="str">
        <f t="shared" si="2"/>
        <v>10001|9870$93001|390$83001|480$113001|4400$123001|340$133001|588</v>
      </c>
      <c r="Y32" s="13"/>
      <c r="Z32" s="15">
        <v>24</v>
      </c>
      <c r="AA32" s="15">
        <v>11300</v>
      </c>
      <c r="AB32" s="15">
        <v>312</v>
      </c>
      <c r="AC32" s="15">
        <v>306</v>
      </c>
      <c r="AD32" s="15">
        <v>4160</v>
      </c>
      <c r="AE32" s="15">
        <v>228</v>
      </c>
      <c r="AF32" s="15">
        <v>540</v>
      </c>
      <c r="AG32" s="15" t="str">
        <f t="shared" si="3"/>
        <v>10001|11300$94001|312$84001|306$114001|4160$124001|228$134001|540</v>
      </c>
      <c r="AH32" s="17">
        <v>24</v>
      </c>
      <c r="AI32" s="17">
        <v>12690</v>
      </c>
      <c r="AJ32" s="17">
        <v>234</v>
      </c>
      <c r="AK32" s="17">
        <v>174</v>
      </c>
      <c r="AL32" s="17">
        <v>4040</v>
      </c>
      <c r="AM32" s="17">
        <v>138</v>
      </c>
      <c r="AN32" s="17">
        <v>540</v>
      </c>
      <c r="AO32" s="17" t="str">
        <f t="shared" si="4"/>
        <v>10001|12690$95001|234$85001|174$115001|4040$125001|138$135001|540</v>
      </c>
    </row>
    <row r="33" ht="121.5" customHeight="1" spans="9:41">
      <c r="I33" s="11">
        <v>25</v>
      </c>
      <c r="J33" s="11">
        <v>8460</v>
      </c>
      <c r="K33" s="11">
        <v>575</v>
      </c>
      <c r="L33" s="11">
        <v>550</v>
      </c>
      <c r="M33" s="11">
        <v>5100</v>
      </c>
      <c r="N33" s="11">
        <v>583</v>
      </c>
      <c r="O33" s="11">
        <v>600</v>
      </c>
      <c r="P33" s="11" t="str">
        <f t="shared" si="1"/>
        <v>10001|8460$92001|575$82001|550$112001|5100$122001|583$132001|600</v>
      </c>
      <c r="Q33" s="13">
        <v>25</v>
      </c>
      <c r="R33" s="13">
        <v>9870</v>
      </c>
      <c r="S33" s="13">
        <v>395</v>
      </c>
      <c r="T33" s="13">
        <v>485</v>
      </c>
      <c r="U33" s="13">
        <v>4500</v>
      </c>
      <c r="V33" s="13">
        <v>345</v>
      </c>
      <c r="W33" s="13">
        <v>600</v>
      </c>
      <c r="X33" s="13" t="str">
        <f t="shared" si="2"/>
        <v>10001|9870$93001|395$83001|485$113001|4500$123001|345$133001|600</v>
      </c>
      <c r="Y33" s="13"/>
      <c r="Z33" s="15">
        <v>25</v>
      </c>
      <c r="AA33" s="15">
        <v>11300</v>
      </c>
      <c r="AB33" s="15">
        <v>315</v>
      </c>
      <c r="AC33" s="15">
        <v>310</v>
      </c>
      <c r="AD33" s="15">
        <v>4250</v>
      </c>
      <c r="AE33" s="15">
        <v>232</v>
      </c>
      <c r="AF33" s="15">
        <v>550</v>
      </c>
      <c r="AG33" s="15" t="str">
        <f t="shared" si="3"/>
        <v>10001|11300$94001|315$84001|310$114001|4250$124001|232$134001|550</v>
      </c>
      <c r="AH33" s="17">
        <v>25</v>
      </c>
      <c r="AI33" s="17">
        <v>12690</v>
      </c>
      <c r="AJ33" s="17">
        <v>235</v>
      </c>
      <c r="AK33" s="17">
        <v>175</v>
      </c>
      <c r="AL33" s="17">
        <v>4125</v>
      </c>
      <c r="AM33" s="17">
        <v>140</v>
      </c>
      <c r="AN33" s="17">
        <v>550</v>
      </c>
      <c r="AO33" s="17" t="str">
        <f t="shared" si="4"/>
        <v>10001|12690$95001|235$85001|175$115001|4125$125001|140$135001|550</v>
      </c>
    </row>
    <row r="34" ht="121.5" customHeight="1" spans="9:41">
      <c r="Q34" s="13">
        <v>26</v>
      </c>
      <c r="R34" s="13">
        <v>9870</v>
      </c>
      <c r="S34" s="13">
        <v>400</v>
      </c>
      <c r="T34" s="13">
        <v>490</v>
      </c>
      <c r="U34" s="13">
        <v>4600</v>
      </c>
      <c r="V34" s="13">
        <v>350</v>
      </c>
      <c r="W34" s="13">
        <v>612</v>
      </c>
      <c r="X34" s="13" t="str">
        <f t="shared" si="2"/>
        <v>10001|9870$93001|400$83001|490$113001|4600$123001|350$133001|612</v>
      </c>
      <c r="Y34" s="13"/>
      <c r="Z34" s="15">
        <v>26</v>
      </c>
      <c r="AA34" s="15">
        <v>11300</v>
      </c>
      <c r="AB34" s="15">
        <v>318</v>
      </c>
      <c r="AC34" s="15">
        <v>314</v>
      </c>
      <c r="AD34" s="15">
        <v>4340</v>
      </c>
      <c r="AE34" s="15">
        <v>236</v>
      </c>
      <c r="AF34" s="15">
        <v>560</v>
      </c>
      <c r="AG34" s="15" t="str">
        <f t="shared" si="3"/>
        <v>10001|11300$94001|318$84001|314$114001|4340$124001|236$134001|560</v>
      </c>
      <c r="AH34" s="17">
        <v>26</v>
      </c>
      <c r="AI34" s="17">
        <v>12690</v>
      </c>
      <c r="AJ34" s="17">
        <v>236</v>
      </c>
      <c r="AK34" s="17">
        <v>176</v>
      </c>
      <c r="AL34" s="17">
        <v>4210</v>
      </c>
      <c r="AM34" s="17">
        <v>142</v>
      </c>
      <c r="AN34" s="17">
        <v>560</v>
      </c>
      <c r="AO34" s="17" t="str">
        <f t="shared" si="4"/>
        <v>10001|12690$95001|236$85001|176$115001|4210$125001|142$135001|560</v>
      </c>
    </row>
    <row r="35" ht="121.5" customHeight="1" spans="9:41">
      <c r="Q35" s="13">
        <v>27</v>
      </c>
      <c r="R35" s="13">
        <v>9870</v>
      </c>
      <c r="S35" s="13">
        <v>405</v>
      </c>
      <c r="T35" s="13">
        <v>495</v>
      </c>
      <c r="U35" s="13">
        <v>4700</v>
      </c>
      <c r="V35" s="13">
        <v>355</v>
      </c>
      <c r="W35" s="13">
        <v>624</v>
      </c>
      <c r="X35" s="13" t="str">
        <f t="shared" si="2"/>
        <v>10001|9870$93001|405$83001|495$113001|4700$123001|355$133001|624</v>
      </c>
      <c r="Y35" s="13"/>
      <c r="Z35" s="15">
        <v>27</v>
      </c>
      <c r="AA35" s="15">
        <v>11300</v>
      </c>
      <c r="AB35" s="15">
        <v>321</v>
      </c>
      <c r="AC35" s="15">
        <v>318</v>
      </c>
      <c r="AD35" s="15">
        <v>4430</v>
      </c>
      <c r="AE35" s="15">
        <v>240</v>
      </c>
      <c r="AF35" s="15">
        <v>570</v>
      </c>
      <c r="AG35" s="15" t="str">
        <f t="shared" si="3"/>
        <v>10001|11300$94001|321$84001|318$114001|4430$124001|240$134001|570</v>
      </c>
      <c r="AH35" s="17">
        <v>27</v>
      </c>
      <c r="AI35" s="17">
        <v>12690</v>
      </c>
      <c r="AJ35" s="17">
        <v>237</v>
      </c>
      <c r="AK35" s="17">
        <v>177</v>
      </c>
      <c r="AL35" s="17">
        <v>4295</v>
      </c>
      <c r="AM35" s="17">
        <v>144</v>
      </c>
      <c r="AN35" s="17">
        <v>570</v>
      </c>
      <c r="AO35" s="17" t="str">
        <f t="shared" si="4"/>
        <v>10001|12690$95001|237$85001|177$115001|4295$125001|144$135001|570</v>
      </c>
    </row>
    <row r="36" ht="121.5" customHeight="1" spans="9:41">
      <c r="Q36" s="13">
        <v>28</v>
      </c>
      <c r="R36" s="13">
        <v>9870</v>
      </c>
      <c r="S36" s="13">
        <v>410</v>
      </c>
      <c r="T36" s="13">
        <v>500</v>
      </c>
      <c r="U36" s="13">
        <v>4800</v>
      </c>
      <c r="V36" s="13">
        <v>360</v>
      </c>
      <c r="W36" s="13">
        <v>636</v>
      </c>
      <c r="X36" s="13" t="str">
        <f t="shared" si="2"/>
        <v>10001|9870$93001|410$83001|500$113001|4800$123001|360$133001|636</v>
      </c>
      <c r="Y36" s="13"/>
      <c r="Z36" s="15">
        <v>28</v>
      </c>
      <c r="AA36" s="15">
        <v>11300</v>
      </c>
      <c r="AB36" s="15">
        <v>324</v>
      </c>
      <c r="AC36" s="15">
        <v>322</v>
      </c>
      <c r="AD36" s="15">
        <v>4520</v>
      </c>
      <c r="AE36" s="15">
        <v>244</v>
      </c>
      <c r="AF36" s="15">
        <v>580</v>
      </c>
      <c r="AG36" s="15" t="str">
        <f t="shared" si="3"/>
        <v>10001|11300$94001|324$84001|322$114001|4520$124001|244$134001|580</v>
      </c>
      <c r="AH36" s="17">
        <v>28</v>
      </c>
      <c r="AI36" s="17">
        <v>12690</v>
      </c>
      <c r="AJ36" s="17">
        <v>238</v>
      </c>
      <c r="AK36" s="17">
        <v>178</v>
      </c>
      <c r="AL36" s="17">
        <v>4380</v>
      </c>
      <c r="AM36" s="17">
        <v>146</v>
      </c>
      <c r="AN36" s="17">
        <v>580</v>
      </c>
      <c r="AO36" s="17" t="str">
        <f t="shared" si="4"/>
        <v>10001|12690$95001|238$85001|178$115001|4380$125001|146$135001|580</v>
      </c>
    </row>
    <row r="37" ht="121.5" customHeight="1" spans="9:41">
      <c r="Q37" s="13">
        <v>29</v>
      </c>
      <c r="R37" s="13">
        <v>9870</v>
      </c>
      <c r="S37" s="13">
        <v>415</v>
      </c>
      <c r="T37" s="13">
        <v>505</v>
      </c>
      <c r="U37" s="13">
        <v>4900</v>
      </c>
      <c r="V37" s="13">
        <v>365</v>
      </c>
      <c r="W37" s="13">
        <v>648</v>
      </c>
      <c r="X37" s="13" t="str">
        <f t="shared" si="2"/>
        <v>10001|9870$93001|415$83001|505$113001|4900$123001|365$133001|648</v>
      </c>
      <c r="Y37" s="13"/>
      <c r="Z37" s="15">
        <v>29</v>
      </c>
      <c r="AA37" s="15">
        <v>11300</v>
      </c>
      <c r="AB37" s="15">
        <v>327</v>
      </c>
      <c r="AC37" s="15">
        <v>326</v>
      </c>
      <c r="AD37" s="15">
        <v>4610</v>
      </c>
      <c r="AE37" s="15">
        <v>248</v>
      </c>
      <c r="AF37" s="15">
        <v>590</v>
      </c>
      <c r="AG37" s="15" t="str">
        <f t="shared" si="3"/>
        <v>10001|11300$94001|327$84001|326$114001|4610$124001|248$134001|590</v>
      </c>
      <c r="AH37" s="17">
        <v>29</v>
      </c>
      <c r="AI37" s="17">
        <v>12690</v>
      </c>
      <c r="AJ37" s="17">
        <v>239</v>
      </c>
      <c r="AK37" s="17">
        <v>179</v>
      </c>
      <c r="AL37" s="17">
        <v>4465</v>
      </c>
      <c r="AM37" s="17">
        <v>148</v>
      </c>
      <c r="AN37" s="17">
        <v>590</v>
      </c>
      <c r="AO37" s="17" t="str">
        <f t="shared" si="4"/>
        <v>10001|12690$95001|239$85001|179$115001|4465$125001|148$135001|590</v>
      </c>
    </row>
    <row r="38" ht="121.5" customHeight="1" spans="9:41">
      <c r="Q38" s="13">
        <v>30</v>
      </c>
      <c r="R38" s="13">
        <v>9870</v>
      </c>
      <c r="S38" s="13">
        <v>420</v>
      </c>
      <c r="T38" s="13">
        <v>510</v>
      </c>
      <c r="U38" s="13">
        <v>5000</v>
      </c>
      <c r="V38" s="13">
        <v>370</v>
      </c>
      <c r="W38" s="13">
        <v>660</v>
      </c>
      <c r="X38" s="13" t="str">
        <f t="shared" si="2"/>
        <v>10001|9870$93001|420$83001|510$113001|5000$123001|370$133001|660</v>
      </c>
      <c r="Y38" s="13"/>
      <c r="Z38" s="15">
        <v>30</v>
      </c>
      <c r="AA38" s="15">
        <v>11300</v>
      </c>
      <c r="AB38" s="15">
        <v>330</v>
      </c>
      <c r="AC38" s="15">
        <v>330</v>
      </c>
      <c r="AD38" s="15">
        <v>4700</v>
      </c>
      <c r="AE38" s="15">
        <v>252</v>
      </c>
      <c r="AF38" s="15">
        <v>600</v>
      </c>
      <c r="AG38" s="15" t="str">
        <f t="shared" si="3"/>
        <v>10001|11300$94001|330$84001|330$114001|4700$124001|252$134001|600</v>
      </c>
      <c r="AH38" s="17">
        <v>30</v>
      </c>
      <c r="AI38" s="17">
        <v>12690</v>
      </c>
      <c r="AJ38" s="17">
        <v>240</v>
      </c>
      <c r="AK38" s="17">
        <v>180</v>
      </c>
      <c r="AL38" s="17">
        <v>4550</v>
      </c>
      <c r="AM38" s="17">
        <v>150</v>
      </c>
      <c r="AN38" s="17">
        <v>600</v>
      </c>
      <c r="AO38" s="17" t="str">
        <f t="shared" si="4"/>
        <v>10001|12690$95001|240$85001|180$115001|4550$125001|150$135001|600</v>
      </c>
    </row>
    <row r="39" ht="121.5" customHeight="1" spans="9:41">
      <c r="Z39" s="15">
        <v>31</v>
      </c>
      <c r="AA39" s="15">
        <v>11300</v>
      </c>
      <c r="AB39" s="15">
        <v>333</v>
      </c>
      <c r="AC39" s="15">
        <v>334</v>
      </c>
      <c r="AD39" s="15">
        <v>4790</v>
      </c>
      <c r="AE39" s="15">
        <v>256</v>
      </c>
      <c r="AF39" s="15">
        <v>610</v>
      </c>
      <c r="AG39" s="15" t="str">
        <f t="shared" si="3"/>
        <v>10001|11300$94001|333$84001|334$114001|4790$124001|256$134001|610</v>
      </c>
      <c r="AH39" s="17">
        <v>31</v>
      </c>
      <c r="AI39" s="17">
        <v>12690</v>
      </c>
      <c r="AJ39" s="17">
        <v>241</v>
      </c>
      <c r="AK39" s="17">
        <v>181</v>
      </c>
      <c r="AL39" s="17">
        <v>4635</v>
      </c>
      <c r="AM39" s="17">
        <v>152</v>
      </c>
      <c r="AN39" s="17">
        <v>610</v>
      </c>
      <c r="AO39" s="17" t="str">
        <f t="shared" si="4"/>
        <v>10001|12690$95001|241$85001|181$115001|4635$125001|152$135001|610</v>
      </c>
    </row>
    <row r="40" ht="121.5" customHeight="1" spans="9:41">
      <c r="Z40" s="15">
        <v>32</v>
      </c>
      <c r="AA40" s="15">
        <v>11300</v>
      </c>
      <c r="AB40" s="15">
        <v>336</v>
      </c>
      <c r="AC40" s="15">
        <v>338</v>
      </c>
      <c r="AD40" s="15">
        <v>4880</v>
      </c>
      <c r="AE40" s="15">
        <v>260</v>
      </c>
      <c r="AF40" s="15">
        <v>620</v>
      </c>
      <c r="AG40" s="15" t="str">
        <f t="shared" si="3"/>
        <v>10001|11300$94001|336$84001|338$114001|4880$124001|260$134001|620</v>
      </c>
      <c r="AH40" s="17">
        <v>32</v>
      </c>
      <c r="AI40" s="17">
        <v>12690</v>
      </c>
      <c r="AJ40" s="17">
        <v>242</v>
      </c>
      <c r="AK40" s="17">
        <v>182</v>
      </c>
      <c r="AL40" s="17">
        <v>4720</v>
      </c>
      <c r="AM40" s="17">
        <v>154</v>
      </c>
      <c r="AN40" s="17">
        <v>620</v>
      </c>
      <c r="AO40" s="17" t="str">
        <f t="shared" si="4"/>
        <v>10001|12690$95001|242$85001|182$115001|4720$125001|154$135001|620</v>
      </c>
    </row>
    <row r="41" ht="121.5" customHeight="1" spans="9:41">
      <c r="Z41" s="15">
        <v>33</v>
      </c>
      <c r="AA41" s="15">
        <v>11300</v>
      </c>
      <c r="AB41" s="15">
        <v>339</v>
      </c>
      <c r="AC41" s="15">
        <v>342</v>
      </c>
      <c r="AD41" s="15">
        <v>4970</v>
      </c>
      <c r="AE41" s="15">
        <v>264</v>
      </c>
      <c r="AF41" s="15">
        <v>630</v>
      </c>
      <c r="AG41" s="15" t="str">
        <f t="shared" si="3"/>
        <v>10001|11300$94001|339$84001|342$114001|4970$124001|264$134001|630</v>
      </c>
      <c r="AH41" s="17">
        <v>33</v>
      </c>
      <c r="AI41" s="17">
        <v>12690</v>
      </c>
      <c r="AJ41" s="17">
        <v>243</v>
      </c>
      <c r="AK41" s="17">
        <v>183</v>
      </c>
      <c r="AL41" s="17">
        <v>4805</v>
      </c>
      <c r="AM41" s="17">
        <v>156</v>
      </c>
      <c r="AN41" s="17">
        <v>630</v>
      </c>
      <c r="AO41" s="17" t="str">
        <f t="shared" si="4"/>
        <v>10001|12690$95001|243$85001|183$115001|4805$125001|156$135001|630</v>
      </c>
    </row>
    <row r="42" ht="121.5" customHeight="1" spans="9:41">
      <c r="Z42" s="15">
        <v>34</v>
      </c>
      <c r="AA42" s="15">
        <v>11300</v>
      </c>
      <c r="AB42" s="15">
        <v>342</v>
      </c>
      <c r="AC42" s="15">
        <v>346</v>
      </c>
      <c r="AD42" s="15">
        <v>5060</v>
      </c>
      <c r="AE42" s="15">
        <v>268</v>
      </c>
      <c r="AF42" s="15">
        <v>640</v>
      </c>
      <c r="AG42" s="15" t="str">
        <f t="shared" si="3"/>
        <v>10001|11300$94001|342$84001|346$114001|5060$124001|268$134001|640</v>
      </c>
      <c r="AH42" s="17">
        <v>34</v>
      </c>
      <c r="AI42" s="17">
        <v>12690</v>
      </c>
      <c r="AJ42" s="17">
        <v>244</v>
      </c>
      <c r="AK42" s="17">
        <v>184</v>
      </c>
      <c r="AL42" s="17">
        <v>4890</v>
      </c>
      <c r="AM42" s="17">
        <v>158</v>
      </c>
      <c r="AN42" s="17">
        <v>640</v>
      </c>
      <c r="AO42" s="17" t="str">
        <f t="shared" si="4"/>
        <v>10001|12690$95001|244$85001|184$115001|4890$125001|158$135001|640</v>
      </c>
    </row>
    <row r="43" ht="121.5" customHeight="1" spans="9:41">
      <c r="Z43" s="15">
        <v>35</v>
      </c>
      <c r="AA43" s="15">
        <v>11300</v>
      </c>
      <c r="AB43" s="15">
        <v>345</v>
      </c>
      <c r="AC43" s="15">
        <v>350</v>
      </c>
      <c r="AD43" s="15">
        <v>5150</v>
      </c>
      <c r="AE43" s="15">
        <v>272</v>
      </c>
      <c r="AF43" s="15">
        <v>650</v>
      </c>
      <c r="AG43" s="15" t="str">
        <f t="shared" si="3"/>
        <v>10001|11300$94001|345$84001|350$114001|5150$124001|272$134001|650</v>
      </c>
      <c r="AH43" s="17">
        <v>35</v>
      </c>
      <c r="AI43" s="17">
        <v>12690</v>
      </c>
      <c r="AJ43" s="17">
        <v>245</v>
      </c>
      <c r="AK43" s="17">
        <v>185</v>
      </c>
      <c r="AL43" s="17">
        <v>4975</v>
      </c>
      <c r="AM43" s="17">
        <v>160</v>
      </c>
      <c r="AN43" s="17">
        <v>650</v>
      </c>
      <c r="AO43" s="17" t="str">
        <f t="shared" si="4"/>
        <v>10001|12690$95001|245$85001|185$115001|4975$125001|160$135001|650</v>
      </c>
    </row>
    <row r="44" ht="121.5" customHeight="1" spans="9:41">
      <c r="AH44" s="17">
        <v>36</v>
      </c>
      <c r="AI44" s="17">
        <v>12690</v>
      </c>
      <c r="AJ44" s="17">
        <v>246</v>
      </c>
      <c r="AK44" s="17">
        <v>186</v>
      </c>
      <c r="AL44" s="17">
        <v>5240</v>
      </c>
      <c r="AM44" s="17">
        <v>162</v>
      </c>
      <c r="AN44" s="17">
        <v>660</v>
      </c>
      <c r="AO44" s="17" t="str">
        <f t="shared" si="4"/>
        <v>10001|12690$95001|246$85001|186$115001|5240$125001|162$135001|660</v>
      </c>
    </row>
    <row r="45" ht="121.5" customHeight="1" spans="9:41">
      <c r="AH45" s="17">
        <v>37</v>
      </c>
      <c r="AI45" s="17">
        <v>12690</v>
      </c>
      <c r="AJ45" s="17">
        <v>247</v>
      </c>
      <c r="AK45" s="17">
        <v>187</v>
      </c>
      <c r="AL45" s="17">
        <v>5330</v>
      </c>
      <c r="AM45" s="17">
        <v>164</v>
      </c>
      <c r="AN45" s="17">
        <v>670</v>
      </c>
      <c r="AO45" s="17" t="str">
        <f t="shared" si="4"/>
        <v>10001|12690$95001|247$85001|187$115001|5330$125001|164$135001|670</v>
      </c>
    </row>
    <row r="46" ht="121.5" customHeight="1" spans="9:41">
      <c r="AH46" s="17">
        <v>38</v>
      </c>
      <c r="AI46" s="17">
        <v>12690</v>
      </c>
      <c r="AJ46" s="17">
        <v>248</v>
      </c>
      <c r="AK46" s="17">
        <v>188</v>
      </c>
      <c r="AL46" s="17">
        <v>5420</v>
      </c>
      <c r="AM46" s="17">
        <v>166</v>
      </c>
      <c r="AN46" s="17">
        <v>680</v>
      </c>
      <c r="AO46" s="17" t="str">
        <f t="shared" si="4"/>
        <v>10001|12690$95001|248$85001|188$115001|5420$125001|166$135001|680</v>
      </c>
    </row>
    <row r="47" ht="121.5" customHeight="1" spans="9:41">
      <c r="AH47" s="17">
        <v>39</v>
      </c>
      <c r="AI47" s="17">
        <v>12690</v>
      </c>
      <c r="AJ47" s="17">
        <v>249</v>
      </c>
      <c r="AK47" s="17">
        <v>189</v>
      </c>
      <c r="AL47" s="17">
        <v>5510</v>
      </c>
      <c r="AM47" s="17">
        <v>168</v>
      </c>
      <c r="AN47" s="17">
        <v>690</v>
      </c>
      <c r="AO47" s="17" t="str">
        <f t="shared" si="4"/>
        <v>10001|12690$95001|249$85001|189$115001|5510$125001|168$135001|690</v>
      </c>
    </row>
    <row r="48" ht="121.5" customHeight="1" spans="9:41">
      <c r="AH48" s="17">
        <v>40</v>
      </c>
      <c r="AI48" s="17">
        <v>12690</v>
      </c>
      <c r="AJ48" s="17">
        <v>250</v>
      </c>
      <c r="AK48" s="17">
        <v>190</v>
      </c>
      <c r="AL48" s="17">
        <v>5600</v>
      </c>
      <c r="AM48" s="17">
        <v>170</v>
      </c>
      <c r="AN48" s="17">
        <v>700</v>
      </c>
      <c r="AO48" s="17" t="str">
        <f t="shared" si="4"/>
        <v>10001|12690$95001|250$85001|190$115001|5600$125001|170$135001|700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7"/>
  <sheetViews>
    <sheetView topLeftCell="A46" workbookViewId="0">
      <selection activeCell="S18" sqref="F18:S19"/>
    </sheetView>
  </sheetViews>
  <sheetFormatPr defaultColWidth="9" defaultRowHeight="13.5"/>
  <cols>
    <col min="1" max="1" width="10.75" customWidth="1"/>
    <col min="2" max="6" width="9" customWidth="1"/>
    <col min="7" max="7" width="9.125" customWidth="1"/>
    <col min="8" max="8" width="71" customWidth="1"/>
    <col min="9" max="9" width="9" customWidth="1"/>
    <col min="10" max="10" width="14.5" customWidth="1"/>
    <col min="11" max="16" width="9" customWidth="1"/>
    <col min="17" max="17" width="52.625" customWidth="1"/>
    <col min="18" max="16384" width="9" customWidth="1"/>
  </cols>
  <sheetData>
    <row r="1" spans="1:17">
      <c r="B1" t="s">
        <v>815</v>
      </c>
      <c r="C1" s="1" t="s">
        <v>816</v>
      </c>
      <c r="D1" s="1" t="s">
        <v>817</v>
      </c>
      <c r="E1" s="1" t="s">
        <v>818</v>
      </c>
      <c r="F1" s="1" t="s">
        <v>851</v>
      </c>
      <c r="G1" s="1" t="s">
        <v>820</v>
      </c>
      <c r="H1" s="1"/>
    </row>
    <row r="2" spans="1:17">
      <c r="B2">
        <v>10001</v>
      </c>
      <c r="C2" s="1" t="s">
        <v>821</v>
      </c>
      <c r="D2" s="1" t="s">
        <v>822</v>
      </c>
      <c r="E2" s="1" t="s">
        <v>823</v>
      </c>
      <c r="F2" s="1" t="s">
        <v>824</v>
      </c>
      <c r="G2" s="1" t="s">
        <v>852</v>
      </c>
      <c r="H2" s="1"/>
    </row>
    <row r="3" spans="1:17">
      <c r="C3" s="1" t="s">
        <v>826</v>
      </c>
      <c r="D3" s="1" t="s">
        <v>827</v>
      </c>
      <c r="E3" s="1" t="s">
        <v>828</v>
      </c>
      <c r="F3" s="1" t="s">
        <v>829</v>
      </c>
      <c r="G3" s="1" t="s">
        <v>853</v>
      </c>
      <c r="H3" s="1"/>
    </row>
    <row r="4" spans="1:17">
      <c r="C4" s="1" t="s">
        <v>831</v>
      </c>
      <c r="D4" s="1" t="s">
        <v>832</v>
      </c>
      <c r="E4" s="1" t="s">
        <v>833</v>
      </c>
      <c r="F4" s="1" t="s">
        <v>834</v>
      </c>
      <c r="G4" s="1" t="s">
        <v>854</v>
      </c>
      <c r="H4" s="1"/>
    </row>
    <row r="5" spans="1:17">
      <c r="C5" s="1" t="s">
        <v>836</v>
      </c>
      <c r="D5" s="1" t="s">
        <v>837</v>
      </c>
      <c r="E5" s="1" t="s">
        <v>838</v>
      </c>
      <c r="F5" s="1" t="s">
        <v>839</v>
      </c>
      <c r="G5" s="1" t="s">
        <v>855</v>
      </c>
      <c r="H5" s="1"/>
      <c r="K5">
        <v>2</v>
      </c>
    </row>
    <row r="6" spans="1:17">
      <c r="C6" s="1" t="s">
        <v>841</v>
      </c>
      <c r="D6" s="1" t="s">
        <v>842</v>
      </c>
      <c r="E6" s="1" t="s">
        <v>843</v>
      </c>
      <c r="F6" s="1" t="s">
        <v>844</v>
      </c>
      <c r="G6" s="1" t="s">
        <v>856</v>
      </c>
      <c r="H6" s="1"/>
    </row>
    <row r="9" spans="1:17">
      <c r="A9" s="2" t="s">
        <v>857</v>
      </c>
      <c r="B9" t="s">
        <v>815</v>
      </c>
      <c r="C9" s="1" t="s">
        <v>816</v>
      </c>
      <c r="D9" s="1" t="s">
        <v>817</v>
      </c>
      <c r="E9" s="1" t="s">
        <v>818</v>
      </c>
      <c r="F9" s="1" t="s">
        <v>851</v>
      </c>
      <c r="G9" s="1" t="s">
        <v>820</v>
      </c>
      <c r="H9" s="1"/>
      <c r="J9" s="2" t="s">
        <v>858</v>
      </c>
      <c r="K9" t="s">
        <v>815</v>
      </c>
      <c r="L9" s="1" t="s">
        <v>816</v>
      </c>
      <c r="M9" s="1" t="s">
        <v>817</v>
      </c>
      <c r="N9" s="1" t="s">
        <v>818</v>
      </c>
      <c r="O9" s="1" t="s">
        <v>851</v>
      </c>
      <c r="P9" s="1" t="s">
        <v>820</v>
      </c>
      <c r="Q9" s="3"/>
    </row>
    <row r="10" spans="1:17">
      <c r="A10">
        <v>1</v>
      </c>
      <c r="B10">
        <f t="shared" ref="B10:B19" si="0">100*A10+500</f>
        <v>600</v>
      </c>
      <c r="D10" s="2">
        <f t="shared" ref="D10:D19" si="1">18*A10+200</f>
        <v>218</v>
      </c>
      <c r="E10" s="2">
        <f t="shared" ref="E10:E19" si="2">90+A10*10</f>
        <v>100</v>
      </c>
      <c r="H10" t="str">
        <f t="shared" ref="H10:H19" si="3">$B$2&amp;"|"&amp;B10&amp;"$"&amp;$C$2&amp;"|"&amp;C10&amp;"$"&amp;$D$2&amp;"|"&amp;D10&amp;"$"&amp;$E$2&amp;"|"&amp;E10&amp;"$"&amp;$F$2&amp;"|"&amp;F10&amp;"$"&amp;$G$2&amp;"|"&amp;G10</f>
        <v>10001|600$91001|$81001|218$111001|100$121001|$191001|</v>
      </c>
      <c r="I10" s="2"/>
      <c r="J10">
        <v>1</v>
      </c>
      <c r="K10">
        <f t="shared" ref="K10:K19" si="4">(B10*2)/2</f>
        <v>600</v>
      </c>
      <c r="L10" s="2"/>
      <c r="M10">
        <f t="shared" ref="M10:M19" si="5">(D10*2)/2</f>
        <v>218</v>
      </c>
      <c r="O10" s="2"/>
      <c r="Q10" t="str">
        <f t="shared" ref="Q10:Q19" si="6">$B$2&amp;"|"&amp;K10&amp;"$"&amp;$C$2&amp;"|"&amp;L10&amp;"$"&amp;$D$2&amp;"|"&amp;M10&amp;"$"&amp;$E$2&amp;"|"&amp;N10&amp;"$"&amp;$F$2&amp;"|"&amp;O10&amp;"$"&amp;$G$2&amp;"|"&amp;P10</f>
        <v>10001|600$91001|$81001|218$111001|$121001|$191001|</v>
      </c>
    </row>
    <row r="11" spans="1:17">
      <c r="A11">
        <v>2</v>
      </c>
      <c r="B11">
        <f t="shared" si="0"/>
        <v>700</v>
      </c>
      <c r="D11" s="2">
        <f t="shared" si="1"/>
        <v>236</v>
      </c>
      <c r="E11" s="2">
        <f t="shared" si="2"/>
        <v>110</v>
      </c>
      <c r="H11" t="str">
        <f t="shared" si="3"/>
        <v>10001|700$91001|$81001|236$111001|110$121001|$191001|</v>
      </c>
      <c r="J11">
        <v>2</v>
      </c>
      <c r="K11">
        <f t="shared" si="4"/>
        <v>700</v>
      </c>
      <c r="L11" s="2"/>
      <c r="M11">
        <f t="shared" si="5"/>
        <v>236</v>
      </c>
      <c r="O11" s="2"/>
      <c r="P11" s="2"/>
      <c r="Q11" t="str">
        <f t="shared" si="6"/>
        <v>10001|700$91001|$81001|236$111001|$121001|$191001|</v>
      </c>
    </row>
    <row r="12" spans="1:17">
      <c r="A12">
        <v>3</v>
      </c>
      <c r="B12">
        <f t="shared" si="0"/>
        <v>800</v>
      </c>
      <c r="D12" s="2">
        <f t="shared" si="1"/>
        <v>254</v>
      </c>
      <c r="E12" s="2">
        <f t="shared" si="2"/>
        <v>120</v>
      </c>
      <c r="H12" t="str">
        <f t="shared" si="3"/>
        <v>10001|800$91001|$81001|254$111001|120$121001|$191001|</v>
      </c>
      <c r="J12">
        <v>3</v>
      </c>
      <c r="K12">
        <f t="shared" si="4"/>
        <v>800</v>
      </c>
      <c r="L12" s="2"/>
      <c r="M12">
        <f t="shared" si="5"/>
        <v>254</v>
      </c>
      <c r="O12" s="2"/>
      <c r="P12" s="2"/>
      <c r="Q12" t="str">
        <f t="shared" si="6"/>
        <v>10001|800$91001|$81001|254$111001|$121001|$191001|</v>
      </c>
    </row>
    <row r="13" spans="1:17">
      <c r="A13">
        <v>4</v>
      </c>
      <c r="B13">
        <f t="shared" si="0"/>
        <v>900</v>
      </c>
      <c r="D13" s="2">
        <f t="shared" si="1"/>
        <v>272</v>
      </c>
      <c r="E13" s="2">
        <f t="shared" si="2"/>
        <v>130</v>
      </c>
      <c r="H13" t="str">
        <f t="shared" si="3"/>
        <v>10001|900$91001|$81001|272$111001|130$121001|$191001|</v>
      </c>
      <c r="J13">
        <v>4</v>
      </c>
      <c r="K13">
        <f t="shared" si="4"/>
        <v>900</v>
      </c>
      <c r="L13" s="2"/>
      <c r="M13">
        <f t="shared" si="5"/>
        <v>272</v>
      </c>
      <c r="O13" s="2"/>
      <c r="P13" s="2"/>
      <c r="Q13" t="str">
        <f t="shared" si="6"/>
        <v>10001|900$91001|$81001|272$111001|$121001|$191001|</v>
      </c>
    </row>
    <row r="14" spans="1:17">
      <c r="A14">
        <v>5</v>
      </c>
      <c r="B14">
        <f t="shared" si="0"/>
        <v>1000</v>
      </c>
      <c r="D14" s="2">
        <f t="shared" si="1"/>
        <v>290</v>
      </c>
      <c r="E14" s="2">
        <f t="shared" si="2"/>
        <v>140</v>
      </c>
      <c r="H14" t="str">
        <f t="shared" si="3"/>
        <v>10001|1000$91001|$81001|290$111001|140$121001|$191001|</v>
      </c>
      <c r="J14">
        <v>5</v>
      </c>
      <c r="K14">
        <f t="shared" si="4"/>
        <v>1000</v>
      </c>
      <c r="L14" s="2"/>
      <c r="M14">
        <f t="shared" si="5"/>
        <v>290</v>
      </c>
      <c r="O14" s="2"/>
      <c r="P14" s="2"/>
      <c r="Q14" t="str">
        <f t="shared" si="6"/>
        <v>10001|1000$91001|$81001|290$111001|$121001|$191001|</v>
      </c>
    </row>
    <row r="15" spans="1:17">
      <c r="A15">
        <v>6</v>
      </c>
      <c r="B15">
        <f t="shared" si="0"/>
        <v>1100</v>
      </c>
      <c r="D15" s="2">
        <f t="shared" si="1"/>
        <v>308</v>
      </c>
      <c r="E15" s="2">
        <f t="shared" si="2"/>
        <v>150</v>
      </c>
      <c r="H15" t="str">
        <f t="shared" si="3"/>
        <v>10001|1100$91001|$81001|308$111001|150$121001|$191001|</v>
      </c>
      <c r="J15">
        <v>6</v>
      </c>
      <c r="K15">
        <f t="shared" si="4"/>
        <v>1100</v>
      </c>
      <c r="L15" s="2"/>
      <c r="M15">
        <f t="shared" si="5"/>
        <v>308</v>
      </c>
      <c r="O15" s="2"/>
      <c r="P15" s="2"/>
      <c r="Q15" t="str">
        <f t="shared" si="6"/>
        <v>10001|1100$91001|$81001|308$111001|$121001|$191001|</v>
      </c>
    </row>
    <row r="16" spans="1:17">
      <c r="A16">
        <v>7</v>
      </c>
      <c r="B16">
        <f t="shared" si="0"/>
        <v>1200</v>
      </c>
      <c r="D16" s="2">
        <f t="shared" si="1"/>
        <v>326</v>
      </c>
      <c r="E16" s="2">
        <f t="shared" si="2"/>
        <v>160</v>
      </c>
      <c r="H16" t="str">
        <f t="shared" si="3"/>
        <v>10001|1200$91001|$81001|326$111001|160$121001|$191001|</v>
      </c>
      <c r="J16">
        <v>7</v>
      </c>
      <c r="K16">
        <f t="shared" si="4"/>
        <v>1200</v>
      </c>
      <c r="L16" s="2"/>
      <c r="M16">
        <f t="shared" si="5"/>
        <v>326</v>
      </c>
      <c r="O16" s="2"/>
      <c r="P16" s="2"/>
      <c r="Q16" t="str">
        <f t="shared" si="6"/>
        <v>10001|1200$91001|$81001|326$111001|$121001|$191001|</v>
      </c>
    </row>
    <row r="17" spans="1:17">
      <c r="A17">
        <v>8</v>
      </c>
      <c r="B17">
        <f t="shared" si="0"/>
        <v>1300</v>
      </c>
      <c r="D17" s="2">
        <f t="shared" si="1"/>
        <v>344</v>
      </c>
      <c r="E17" s="2">
        <f t="shared" si="2"/>
        <v>170</v>
      </c>
      <c r="H17" t="str">
        <f t="shared" si="3"/>
        <v>10001|1300$91001|$81001|344$111001|170$121001|$191001|</v>
      </c>
      <c r="J17">
        <v>8</v>
      </c>
      <c r="K17">
        <f t="shared" si="4"/>
        <v>1300</v>
      </c>
      <c r="L17" s="2"/>
      <c r="M17">
        <f t="shared" si="5"/>
        <v>344</v>
      </c>
      <c r="O17" s="2"/>
      <c r="P17" s="2"/>
      <c r="Q17" t="str">
        <f t="shared" si="6"/>
        <v>10001|1300$91001|$81001|344$111001|$121001|$191001|</v>
      </c>
    </row>
    <row r="18" spans="1:17">
      <c r="A18">
        <v>9</v>
      </c>
      <c r="B18">
        <f t="shared" si="0"/>
        <v>1400</v>
      </c>
      <c r="D18" s="2">
        <f t="shared" si="1"/>
        <v>362</v>
      </c>
      <c r="E18" s="2">
        <f t="shared" si="2"/>
        <v>180</v>
      </c>
      <c r="H18" t="str">
        <f t="shared" si="3"/>
        <v>10001|1400$91001|$81001|362$111001|180$121001|$191001|</v>
      </c>
      <c r="J18">
        <v>9</v>
      </c>
      <c r="K18">
        <f t="shared" si="4"/>
        <v>1400</v>
      </c>
      <c r="L18" s="2"/>
      <c r="M18">
        <f t="shared" si="5"/>
        <v>362</v>
      </c>
      <c r="O18" s="2"/>
      <c r="P18" s="2"/>
      <c r="Q18" t="str">
        <f t="shared" si="6"/>
        <v>10001|1400$91001|$81001|362$111001|$121001|$191001|</v>
      </c>
    </row>
    <row r="19" spans="1:17">
      <c r="A19">
        <v>10</v>
      </c>
      <c r="B19">
        <f t="shared" si="0"/>
        <v>1500</v>
      </c>
      <c r="D19" s="2">
        <f t="shared" si="1"/>
        <v>380</v>
      </c>
      <c r="E19" s="2">
        <f t="shared" si="2"/>
        <v>190</v>
      </c>
      <c r="H19" t="str">
        <f t="shared" si="3"/>
        <v>10001|1500$91001|$81001|380$111001|190$121001|$191001|</v>
      </c>
      <c r="J19">
        <v>10</v>
      </c>
      <c r="K19">
        <f t="shared" si="4"/>
        <v>1500</v>
      </c>
      <c r="L19" s="2"/>
      <c r="M19">
        <f t="shared" si="5"/>
        <v>380</v>
      </c>
      <c r="O19" s="2"/>
      <c r="P19" s="2"/>
      <c r="Q19" t="str">
        <f t="shared" si="6"/>
        <v>10001|1500$91001|$81001|380$111001|$121001|$191001|</v>
      </c>
    </row>
    <row r="20" spans="1:17">
      <c r="B20" s="2"/>
      <c r="D20">
        <f>SUM(D10:D19)</f>
        <v>2990</v>
      </c>
    </row>
    <row r="22" spans="1:17">
      <c r="A22" t="s">
        <v>859</v>
      </c>
      <c r="B22" t="s">
        <v>815</v>
      </c>
      <c r="C22" s="1" t="s">
        <v>816</v>
      </c>
      <c r="D22" s="1" t="s">
        <v>817</v>
      </c>
      <c r="E22" s="1" t="s">
        <v>818</v>
      </c>
      <c r="F22" s="1" t="s">
        <v>851</v>
      </c>
      <c r="G22" s="1" t="s">
        <v>820</v>
      </c>
      <c r="J22" t="s">
        <v>860</v>
      </c>
      <c r="K22" t="s">
        <v>815</v>
      </c>
      <c r="L22" s="1" t="s">
        <v>816</v>
      </c>
      <c r="M22" s="1" t="s">
        <v>817</v>
      </c>
      <c r="N22" s="1" t="s">
        <v>818</v>
      </c>
      <c r="O22" s="1" t="s">
        <v>851</v>
      </c>
      <c r="P22" s="1" t="s">
        <v>820</v>
      </c>
    </row>
    <row r="23" spans="1:17">
      <c r="A23">
        <v>1</v>
      </c>
      <c r="B23" s="4">
        <f>B10*2</f>
        <v>1200</v>
      </c>
      <c r="C23" s="5"/>
      <c r="D23" s="5">
        <f>D10*2</f>
        <v>436</v>
      </c>
      <c r="E23" s="5">
        <f>E10*2</f>
        <v>200</v>
      </c>
      <c r="F23" s="5"/>
      <c r="G23" s="5"/>
      <c r="H23" t="str">
        <f t="shared" ref="H23:H45" si="7">$B$2&amp;"|"&amp;B23&amp;"$"&amp;$C$2&amp;"|"&amp;C23&amp;"$"&amp;$D$2&amp;"|"&amp;D23&amp;"$"&amp;$E$2&amp;"|"&amp;E23&amp;"$"&amp;$F$2&amp;"|"&amp;F23&amp;"$"&amp;$G$2&amp;"|"&amp;G23</f>
        <v>10001|1200$91001|$81001|436$111001|200$121001|$191001|</v>
      </c>
      <c r="J23">
        <v>1</v>
      </c>
      <c r="K23">
        <f>(B23*2)/2</f>
        <v>1200</v>
      </c>
      <c r="L23" s="2"/>
      <c r="M23">
        <f>(D23*2)/2</f>
        <v>436</v>
      </c>
      <c r="O23" s="2"/>
      <c r="P23">
        <v>1</v>
      </c>
      <c r="Q23" t="str">
        <f t="shared" ref="Q23:Q52" si="8">$B$2&amp;"|"&amp;K23&amp;"$"&amp;$C$2&amp;"|"&amp;L23&amp;"$"&amp;$D$2&amp;"|"&amp;M23&amp;"$"&amp;$E$2&amp;"|"&amp;N23&amp;"$"&amp;$F$2&amp;"|"&amp;O23&amp;"$"&amp;$G$2&amp;"|"&amp;P23</f>
        <v>10001|1200$91001|$81001|436$111001|$121001|$191001|1</v>
      </c>
    </row>
    <row r="24" spans="1:17">
      <c r="A24">
        <v>2</v>
      </c>
      <c r="B24" s="4">
        <f t="shared" ref="B24:B46" si="9">$B$23+A23*200</f>
        <v>1400</v>
      </c>
      <c r="C24" s="5"/>
      <c r="D24" s="2">
        <f t="shared" ref="D24:D46" si="10">36*A23+$D$23</f>
        <v>472</v>
      </c>
      <c r="E24" s="5">
        <f t="shared" ref="E24:E46" si="11">A23*20+$E$23</f>
        <v>220</v>
      </c>
      <c r="F24" s="5"/>
      <c r="G24" s="5"/>
      <c r="H24" t="str">
        <f t="shared" si="7"/>
        <v>10001|1400$91001|$81001|472$111001|220$121001|$191001|</v>
      </c>
      <c r="I24" s="4"/>
      <c r="J24">
        <v>2</v>
      </c>
      <c r="K24">
        <f t="shared" ref="K24:K52" si="12">($K$23+J23*400)/2</f>
        <v>800</v>
      </c>
      <c r="L24" s="2"/>
      <c r="M24">
        <f t="shared" ref="M24:M52" si="13">($M$23+J23*72)/2</f>
        <v>254</v>
      </c>
      <c r="O24" s="2"/>
      <c r="P24">
        <v>1</v>
      </c>
      <c r="Q24" t="str">
        <f t="shared" si="8"/>
        <v>10001|800$91001|$81001|254$111001|$121001|$191001|1</v>
      </c>
    </row>
    <row r="25" spans="1:17">
      <c r="A25">
        <v>3</v>
      </c>
      <c r="B25" s="4">
        <f t="shared" si="9"/>
        <v>1600</v>
      </c>
      <c r="C25" s="5"/>
      <c r="D25" s="2">
        <f t="shared" si="10"/>
        <v>508</v>
      </c>
      <c r="E25" s="5">
        <f t="shared" si="11"/>
        <v>240</v>
      </c>
      <c r="F25" s="5"/>
      <c r="G25" s="5"/>
      <c r="H25" t="str">
        <f t="shared" si="7"/>
        <v>10001|1600$91001|$81001|508$111001|240$121001|$191001|</v>
      </c>
      <c r="I25" s="4"/>
      <c r="J25">
        <v>3</v>
      </c>
      <c r="K25">
        <f t="shared" si="12"/>
        <v>1000</v>
      </c>
      <c r="L25" s="2"/>
      <c r="M25">
        <f t="shared" si="13"/>
        <v>290</v>
      </c>
      <c r="O25" s="2"/>
      <c r="P25">
        <v>1</v>
      </c>
      <c r="Q25" t="str">
        <f t="shared" si="8"/>
        <v>10001|1000$91001|$81001|290$111001|$121001|$191001|1</v>
      </c>
    </row>
    <row r="26" spans="1:17">
      <c r="A26">
        <v>4</v>
      </c>
      <c r="B26" s="4">
        <f t="shared" si="9"/>
        <v>1800</v>
      </c>
      <c r="C26" s="5"/>
      <c r="D26" s="2">
        <f t="shared" si="10"/>
        <v>544</v>
      </c>
      <c r="E26" s="5">
        <f t="shared" si="11"/>
        <v>260</v>
      </c>
      <c r="F26" s="5"/>
      <c r="G26" s="5"/>
      <c r="H26" t="str">
        <f t="shared" si="7"/>
        <v>10001|1800$91001|$81001|544$111001|260$121001|$191001|</v>
      </c>
      <c r="I26" s="4"/>
      <c r="J26">
        <v>4</v>
      </c>
      <c r="K26">
        <f t="shared" si="12"/>
        <v>1200</v>
      </c>
      <c r="L26" s="2"/>
      <c r="M26">
        <f t="shared" si="13"/>
        <v>326</v>
      </c>
      <c r="O26" s="2"/>
      <c r="P26">
        <v>1</v>
      </c>
      <c r="Q26" t="str">
        <f t="shared" si="8"/>
        <v>10001|1200$91001|$81001|326$111001|$121001|$191001|1</v>
      </c>
    </row>
    <row r="27" spans="1:17">
      <c r="A27">
        <v>5</v>
      </c>
      <c r="B27" s="4">
        <f t="shared" si="9"/>
        <v>2000</v>
      </c>
      <c r="C27" s="5"/>
      <c r="D27" s="2">
        <f t="shared" si="10"/>
        <v>580</v>
      </c>
      <c r="E27" s="5">
        <f t="shared" si="11"/>
        <v>280</v>
      </c>
      <c r="F27" s="5"/>
      <c r="G27" s="5"/>
      <c r="H27" t="str">
        <f t="shared" si="7"/>
        <v>10001|2000$91001|$81001|580$111001|280$121001|$191001|</v>
      </c>
      <c r="I27" s="4"/>
      <c r="J27">
        <v>5</v>
      </c>
      <c r="K27">
        <f t="shared" si="12"/>
        <v>1400</v>
      </c>
      <c r="L27" s="2"/>
      <c r="M27">
        <f t="shared" si="13"/>
        <v>362</v>
      </c>
      <c r="O27" s="2"/>
      <c r="P27">
        <v>1</v>
      </c>
      <c r="Q27" t="str">
        <f t="shared" si="8"/>
        <v>10001|1400$91001|$81001|362$111001|$121001|$191001|1</v>
      </c>
    </row>
    <row r="28" spans="1:17">
      <c r="A28">
        <v>6</v>
      </c>
      <c r="B28" s="4">
        <f t="shared" si="9"/>
        <v>2200</v>
      </c>
      <c r="C28" s="5"/>
      <c r="D28" s="2">
        <f t="shared" si="10"/>
        <v>616</v>
      </c>
      <c r="E28" s="5">
        <f t="shared" si="11"/>
        <v>300</v>
      </c>
      <c r="F28" s="5"/>
      <c r="G28" s="5"/>
      <c r="H28" t="str">
        <f t="shared" si="7"/>
        <v>10001|2200$91001|$81001|616$111001|300$121001|$191001|</v>
      </c>
      <c r="I28" s="4"/>
      <c r="J28">
        <v>6</v>
      </c>
      <c r="K28">
        <f t="shared" si="12"/>
        <v>1600</v>
      </c>
      <c r="L28" s="2"/>
      <c r="M28">
        <f t="shared" si="13"/>
        <v>398</v>
      </c>
      <c r="O28" s="2"/>
      <c r="P28">
        <v>1</v>
      </c>
      <c r="Q28" t="str">
        <f t="shared" si="8"/>
        <v>10001|1600$91001|$81001|398$111001|$121001|$191001|1</v>
      </c>
    </row>
    <row r="29" spans="1:17">
      <c r="A29">
        <v>7</v>
      </c>
      <c r="B29" s="4">
        <f t="shared" si="9"/>
        <v>2400</v>
      </c>
      <c r="C29" s="5"/>
      <c r="D29" s="2">
        <f t="shared" si="10"/>
        <v>652</v>
      </c>
      <c r="E29" s="5">
        <f t="shared" si="11"/>
        <v>320</v>
      </c>
      <c r="F29" s="5"/>
      <c r="G29" s="5"/>
      <c r="H29" t="str">
        <f t="shared" si="7"/>
        <v>10001|2400$91001|$81001|652$111001|320$121001|$191001|</v>
      </c>
      <c r="I29" s="4"/>
      <c r="J29">
        <v>7</v>
      </c>
      <c r="K29">
        <f t="shared" si="12"/>
        <v>1800</v>
      </c>
      <c r="L29" s="2"/>
      <c r="M29">
        <f t="shared" si="13"/>
        <v>434</v>
      </c>
      <c r="O29" s="2"/>
      <c r="P29">
        <v>1</v>
      </c>
      <c r="Q29" t="str">
        <f t="shared" si="8"/>
        <v>10001|1800$91001|$81001|434$111001|$121001|$191001|1</v>
      </c>
    </row>
    <row r="30" spans="1:17">
      <c r="A30">
        <v>8</v>
      </c>
      <c r="B30" s="4">
        <f t="shared" si="9"/>
        <v>2600</v>
      </c>
      <c r="C30" s="5"/>
      <c r="D30" s="2">
        <f t="shared" si="10"/>
        <v>688</v>
      </c>
      <c r="E30" s="5">
        <f t="shared" si="11"/>
        <v>340</v>
      </c>
      <c r="F30" s="5"/>
      <c r="G30" s="5"/>
      <c r="H30" t="str">
        <f t="shared" si="7"/>
        <v>10001|2600$91001|$81001|688$111001|340$121001|$191001|</v>
      </c>
      <c r="I30" s="4"/>
      <c r="J30">
        <v>8</v>
      </c>
      <c r="K30">
        <f t="shared" si="12"/>
        <v>2000</v>
      </c>
      <c r="L30" s="2"/>
      <c r="M30">
        <f t="shared" si="13"/>
        <v>470</v>
      </c>
      <c r="O30" s="2"/>
      <c r="P30">
        <v>1</v>
      </c>
      <c r="Q30" t="str">
        <f t="shared" si="8"/>
        <v>10001|2000$91001|$81001|470$111001|$121001|$191001|1</v>
      </c>
    </row>
    <row r="31" spans="1:17">
      <c r="A31">
        <v>9</v>
      </c>
      <c r="B31" s="4">
        <f t="shared" si="9"/>
        <v>2800</v>
      </c>
      <c r="C31" s="5"/>
      <c r="D31" s="2">
        <f t="shared" si="10"/>
        <v>724</v>
      </c>
      <c r="E31" s="5">
        <f t="shared" si="11"/>
        <v>360</v>
      </c>
      <c r="F31" s="5"/>
      <c r="G31" s="5"/>
      <c r="H31" t="str">
        <f t="shared" si="7"/>
        <v>10001|2800$91001|$81001|724$111001|360$121001|$191001|</v>
      </c>
      <c r="I31" s="4"/>
      <c r="J31">
        <v>9</v>
      </c>
      <c r="K31">
        <f t="shared" si="12"/>
        <v>2200</v>
      </c>
      <c r="L31" s="2"/>
      <c r="M31">
        <f t="shared" si="13"/>
        <v>506</v>
      </c>
      <c r="O31" s="2"/>
      <c r="P31">
        <v>1</v>
      </c>
      <c r="Q31" t="str">
        <f t="shared" si="8"/>
        <v>10001|2200$91001|$81001|506$111001|$121001|$191001|1</v>
      </c>
    </row>
    <row r="32" spans="1:17">
      <c r="A32">
        <v>10</v>
      </c>
      <c r="B32" s="4">
        <f t="shared" si="9"/>
        <v>3000</v>
      </c>
      <c r="C32" s="5"/>
      <c r="D32" s="2">
        <f t="shared" si="10"/>
        <v>760</v>
      </c>
      <c r="E32" s="5">
        <f t="shared" si="11"/>
        <v>380</v>
      </c>
      <c r="F32" s="5"/>
      <c r="G32" s="5"/>
      <c r="H32" t="str">
        <f t="shared" si="7"/>
        <v>10001|3000$91001|$81001|760$111001|380$121001|$191001|</v>
      </c>
      <c r="I32" s="4"/>
      <c r="J32">
        <v>10</v>
      </c>
      <c r="K32">
        <f t="shared" si="12"/>
        <v>2400</v>
      </c>
      <c r="L32" s="2"/>
      <c r="M32">
        <f t="shared" si="13"/>
        <v>542</v>
      </c>
      <c r="O32" s="2"/>
      <c r="P32">
        <v>1</v>
      </c>
      <c r="Q32" t="str">
        <f t="shared" si="8"/>
        <v>10001|2400$91001|$81001|542$111001|$121001|$191001|1</v>
      </c>
    </row>
    <row r="33" spans="1:17">
      <c r="A33">
        <v>11</v>
      </c>
      <c r="B33" s="4">
        <f t="shared" si="9"/>
        <v>3200</v>
      </c>
      <c r="C33" s="5"/>
      <c r="D33" s="2">
        <f t="shared" si="10"/>
        <v>796</v>
      </c>
      <c r="E33" s="5">
        <f t="shared" si="11"/>
        <v>400</v>
      </c>
      <c r="F33" s="5"/>
      <c r="G33" s="5"/>
      <c r="H33" t="str">
        <f t="shared" si="7"/>
        <v>10001|3200$91001|$81001|796$111001|400$121001|$191001|</v>
      </c>
      <c r="I33" s="4"/>
      <c r="J33">
        <v>11</v>
      </c>
      <c r="K33">
        <f t="shared" si="12"/>
        <v>2600</v>
      </c>
      <c r="L33" s="2"/>
      <c r="M33">
        <f t="shared" si="13"/>
        <v>578</v>
      </c>
      <c r="O33" s="2"/>
      <c r="P33">
        <v>1</v>
      </c>
      <c r="Q33" t="str">
        <f t="shared" si="8"/>
        <v>10001|2600$91001|$81001|578$111001|$121001|$191001|1</v>
      </c>
    </row>
    <row r="34" spans="1:17">
      <c r="A34">
        <v>12</v>
      </c>
      <c r="B34" s="4">
        <f t="shared" si="9"/>
        <v>3400</v>
      </c>
      <c r="C34" s="5"/>
      <c r="D34" s="2">
        <f t="shared" si="10"/>
        <v>832</v>
      </c>
      <c r="E34" s="5">
        <f t="shared" si="11"/>
        <v>420</v>
      </c>
      <c r="F34" s="5"/>
      <c r="G34" s="5"/>
      <c r="H34" t="str">
        <f t="shared" si="7"/>
        <v>10001|3400$91001|$81001|832$111001|420$121001|$191001|</v>
      </c>
      <c r="I34" s="4"/>
      <c r="J34">
        <v>12</v>
      </c>
      <c r="K34">
        <f t="shared" si="12"/>
        <v>2800</v>
      </c>
      <c r="L34" s="2"/>
      <c r="M34">
        <f t="shared" si="13"/>
        <v>614</v>
      </c>
      <c r="O34" s="2"/>
      <c r="P34">
        <v>1</v>
      </c>
      <c r="Q34" t="str">
        <f t="shared" si="8"/>
        <v>10001|2800$91001|$81001|614$111001|$121001|$191001|1</v>
      </c>
    </row>
    <row r="35" spans="1:17">
      <c r="A35">
        <v>13</v>
      </c>
      <c r="B35" s="4">
        <f t="shared" si="9"/>
        <v>3600</v>
      </c>
      <c r="C35" s="5"/>
      <c r="D35" s="2">
        <f t="shared" si="10"/>
        <v>868</v>
      </c>
      <c r="E35" s="5">
        <f t="shared" si="11"/>
        <v>440</v>
      </c>
      <c r="F35" s="5"/>
      <c r="G35" s="5"/>
      <c r="H35" t="str">
        <f t="shared" si="7"/>
        <v>10001|3600$91001|$81001|868$111001|440$121001|$191001|</v>
      </c>
      <c r="I35" s="4"/>
      <c r="J35">
        <v>13</v>
      </c>
      <c r="K35">
        <f t="shared" si="12"/>
        <v>3000</v>
      </c>
      <c r="L35" s="2"/>
      <c r="M35">
        <f t="shared" si="13"/>
        <v>650</v>
      </c>
      <c r="O35" s="2"/>
      <c r="P35">
        <v>1</v>
      </c>
      <c r="Q35" t="str">
        <f t="shared" si="8"/>
        <v>10001|3000$91001|$81001|650$111001|$121001|$191001|1</v>
      </c>
    </row>
    <row r="36" spans="1:17">
      <c r="A36">
        <v>14</v>
      </c>
      <c r="B36" s="4">
        <f t="shared" si="9"/>
        <v>3800</v>
      </c>
      <c r="C36" s="5"/>
      <c r="D36" s="2">
        <f t="shared" si="10"/>
        <v>904</v>
      </c>
      <c r="E36" s="5">
        <f t="shared" si="11"/>
        <v>460</v>
      </c>
      <c r="F36" s="5"/>
      <c r="G36" s="5"/>
      <c r="H36" t="str">
        <f t="shared" si="7"/>
        <v>10001|3800$91001|$81001|904$111001|460$121001|$191001|</v>
      </c>
      <c r="I36" s="4"/>
      <c r="J36">
        <v>14</v>
      </c>
      <c r="K36">
        <f t="shared" si="12"/>
        <v>3200</v>
      </c>
      <c r="L36" s="2"/>
      <c r="M36">
        <f t="shared" si="13"/>
        <v>686</v>
      </c>
      <c r="O36" s="2"/>
      <c r="P36">
        <v>1</v>
      </c>
      <c r="Q36" t="str">
        <f t="shared" si="8"/>
        <v>10001|3200$91001|$81001|686$111001|$121001|$191001|1</v>
      </c>
    </row>
    <row r="37" spans="1:17">
      <c r="A37">
        <v>15</v>
      </c>
      <c r="B37" s="4">
        <f t="shared" si="9"/>
        <v>4000</v>
      </c>
      <c r="C37" s="5"/>
      <c r="D37" s="2">
        <f t="shared" si="10"/>
        <v>940</v>
      </c>
      <c r="E37" s="5">
        <f t="shared" si="11"/>
        <v>480</v>
      </c>
      <c r="F37" s="5"/>
      <c r="G37" s="5"/>
      <c r="H37" t="str">
        <f t="shared" si="7"/>
        <v>10001|4000$91001|$81001|940$111001|480$121001|$191001|</v>
      </c>
      <c r="I37" s="4"/>
      <c r="J37">
        <v>15</v>
      </c>
      <c r="K37">
        <f t="shared" si="12"/>
        <v>3400</v>
      </c>
      <c r="L37" s="2"/>
      <c r="M37">
        <f t="shared" si="13"/>
        <v>722</v>
      </c>
      <c r="O37" s="2"/>
      <c r="P37">
        <v>1</v>
      </c>
      <c r="Q37" t="str">
        <f t="shared" si="8"/>
        <v>10001|3400$91001|$81001|722$111001|$121001|$191001|1</v>
      </c>
    </row>
    <row r="38" spans="1:17">
      <c r="A38">
        <v>16</v>
      </c>
      <c r="B38" s="4">
        <f t="shared" si="9"/>
        <v>4200</v>
      </c>
      <c r="C38" s="5"/>
      <c r="D38" s="2">
        <f t="shared" si="10"/>
        <v>976</v>
      </c>
      <c r="E38" s="5">
        <f t="shared" si="11"/>
        <v>500</v>
      </c>
      <c r="F38" s="5"/>
      <c r="G38" s="5"/>
      <c r="H38" t="str">
        <f t="shared" si="7"/>
        <v>10001|4200$91001|$81001|976$111001|500$121001|$191001|</v>
      </c>
      <c r="I38" s="4"/>
      <c r="J38">
        <v>16</v>
      </c>
      <c r="K38">
        <f t="shared" si="12"/>
        <v>3600</v>
      </c>
      <c r="L38" s="2"/>
      <c r="M38">
        <f t="shared" si="13"/>
        <v>758</v>
      </c>
      <c r="O38" s="2"/>
      <c r="P38">
        <v>1</v>
      </c>
      <c r="Q38" t="str">
        <f t="shared" si="8"/>
        <v>10001|3600$91001|$81001|758$111001|$121001|$191001|1</v>
      </c>
    </row>
    <row r="39" spans="1:17">
      <c r="A39">
        <v>17</v>
      </c>
      <c r="B39" s="4">
        <f t="shared" si="9"/>
        <v>4400</v>
      </c>
      <c r="C39" s="5"/>
      <c r="D39" s="2">
        <f t="shared" si="10"/>
        <v>1012</v>
      </c>
      <c r="E39" s="5">
        <f t="shared" si="11"/>
        <v>520</v>
      </c>
      <c r="F39" s="5"/>
      <c r="G39" s="5"/>
      <c r="H39" t="str">
        <f t="shared" si="7"/>
        <v>10001|4400$91001|$81001|1012$111001|520$121001|$191001|</v>
      </c>
      <c r="I39" s="4"/>
      <c r="J39">
        <v>17</v>
      </c>
      <c r="K39">
        <f t="shared" si="12"/>
        <v>3800</v>
      </c>
      <c r="L39" s="2"/>
      <c r="M39">
        <f t="shared" si="13"/>
        <v>794</v>
      </c>
      <c r="O39" s="2"/>
      <c r="P39">
        <v>1</v>
      </c>
      <c r="Q39" t="str">
        <f t="shared" si="8"/>
        <v>10001|3800$91001|$81001|794$111001|$121001|$191001|1</v>
      </c>
    </row>
    <row r="40" spans="1:17">
      <c r="A40">
        <v>18</v>
      </c>
      <c r="B40" s="4">
        <f t="shared" si="9"/>
        <v>4600</v>
      </c>
      <c r="C40" s="5"/>
      <c r="D40" s="2">
        <f t="shared" si="10"/>
        <v>1048</v>
      </c>
      <c r="E40" s="5">
        <f t="shared" si="11"/>
        <v>540</v>
      </c>
      <c r="F40" s="5"/>
      <c r="G40" s="5"/>
      <c r="H40" t="str">
        <f t="shared" si="7"/>
        <v>10001|4600$91001|$81001|1048$111001|540$121001|$191001|</v>
      </c>
      <c r="I40" s="4"/>
      <c r="J40">
        <v>18</v>
      </c>
      <c r="K40">
        <f t="shared" si="12"/>
        <v>4000</v>
      </c>
      <c r="L40" s="2"/>
      <c r="M40">
        <f t="shared" si="13"/>
        <v>830</v>
      </c>
      <c r="O40" s="2"/>
      <c r="P40">
        <v>1</v>
      </c>
      <c r="Q40" t="str">
        <f t="shared" si="8"/>
        <v>10001|4000$91001|$81001|830$111001|$121001|$191001|1</v>
      </c>
    </row>
    <row r="41" spans="1:17">
      <c r="A41">
        <v>19</v>
      </c>
      <c r="B41" s="4">
        <f t="shared" si="9"/>
        <v>4800</v>
      </c>
      <c r="C41" s="5"/>
      <c r="D41" s="2">
        <f t="shared" si="10"/>
        <v>1084</v>
      </c>
      <c r="E41" s="5">
        <f t="shared" si="11"/>
        <v>560</v>
      </c>
      <c r="F41" s="5"/>
      <c r="G41" s="5"/>
      <c r="H41" t="str">
        <f t="shared" si="7"/>
        <v>10001|4800$91001|$81001|1084$111001|560$121001|$191001|</v>
      </c>
      <c r="I41" s="4"/>
      <c r="J41">
        <v>19</v>
      </c>
      <c r="K41">
        <f t="shared" si="12"/>
        <v>4200</v>
      </c>
      <c r="L41" s="2"/>
      <c r="M41">
        <f t="shared" si="13"/>
        <v>866</v>
      </c>
      <c r="O41" s="2"/>
      <c r="P41">
        <v>1</v>
      </c>
      <c r="Q41" t="str">
        <f t="shared" si="8"/>
        <v>10001|4200$91001|$81001|866$111001|$121001|$191001|1</v>
      </c>
    </row>
    <row r="42" spans="1:17">
      <c r="A42">
        <v>20</v>
      </c>
      <c r="B42" s="4">
        <f t="shared" si="9"/>
        <v>5000</v>
      </c>
      <c r="C42" s="5"/>
      <c r="D42" s="2">
        <f t="shared" si="10"/>
        <v>1120</v>
      </c>
      <c r="E42" s="5">
        <f t="shared" si="11"/>
        <v>580</v>
      </c>
      <c r="F42" s="5"/>
      <c r="G42" s="5"/>
      <c r="H42" t="str">
        <f t="shared" si="7"/>
        <v>10001|5000$91001|$81001|1120$111001|580$121001|$191001|</v>
      </c>
      <c r="I42" s="4"/>
      <c r="J42">
        <v>20</v>
      </c>
      <c r="K42">
        <f t="shared" si="12"/>
        <v>4400</v>
      </c>
      <c r="L42" s="2"/>
      <c r="M42">
        <f t="shared" si="13"/>
        <v>902</v>
      </c>
      <c r="O42" s="2"/>
      <c r="P42">
        <v>1</v>
      </c>
      <c r="Q42" t="str">
        <f t="shared" si="8"/>
        <v>10001|4400$91001|$81001|902$111001|$121001|$191001|1</v>
      </c>
    </row>
    <row r="43" spans="1:17">
      <c r="A43">
        <v>21</v>
      </c>
      <c r="B43" s="4">
        <f t="shared" si="9"/>
        <v>5200</v>
      </c>
      <c r="C43" s="5"/>
      <c r="D43" s="2">
        <f t="shared" si="10"/>
        <v>1156</v>
      </c>
      <c r="E43" s="5">
        <f t="shared" si="11"/>
        <v>600</v>
      </c>
      <c r="G43" s="5"/>
      <c r="H43" t="str">
        <f t="shared" si="7"/>
        <v>10001|5200$91001|$81001|1156$111001|600$121001|$191001|</v>
      </c>
      <c r="J43">
        <v>21</v>
      </c>
      <c r="K43">
        <f t="shared" si="12"/>
        <v>4600</v>
      </c>
      <c r="L43" s="2"/>
      <c r="M43">
        <f t="shared" si="13"/>
        <v>938</v>
      </c>
      <c r="O43" s="2"/>
      <c r="P43">
        <v>1</v>
      </c>
      <c r="Q43" t="str">
        <f t="shared" si="8"/>
        <v>10001|4600$91001|$81001|938$111001|$121001|$191001|1</v>
      </c>
    </row>
    <row r="44" spans="1:17">
      <c r="A44">
        <v>22</v>
      </c>
      <c r="B44" s="4">
        <f t="shared" si="9"/>
        <v>5400</v>
      </c>
      <c r="C44" s="5"/>
      <c r="D44" s="2">
        <f t="shared" si="10"/>
        <v>1192</v>
      </c>
      <c r="E44" s="5">
        <f t="shared" si="11"/>
        <v>620</v>
      </c>
      <c r="G44" s="5"/>
      <c r="H44" t="str">
        <f t="shared" si="7"/>
        <v>10001|5400$91001|$81001|1192$111001|620$121001|$191001|</v>
      </c>
      <c r="J44">
        <v>22</v>
      </c>
      <c r="K44">
        <f t="shared" si="12"/>
        <v>4800</v>
      </c>
      <c r="L44" s="2"/>
      <c r="M44">
        <f t="shared" si="13"/>
        <v>974</v>
      </c>
      <c r="O44" s="2"/>
      <c r="P44">
        <v>1</v>
      </c>
      <c r="Q44" t="str">
        <f t="shared" si="8"/>
        <v>10001|4800$91001|$81001|974$111001|$121001|$191001|1</v>
      </c>
    </row>
    <row r="45" spans="1:17">
      <c r="A45">
        <v>23</v>
      </c>
      <c r="B45" s="4">
        <f t="shared" si="9"/>
        <v>5600</v>
      </c>
      <c r="C45" s="5"/>
      <c r="D45" s="2">
        <f t="shared" si="10"/>
        <v>1228</v>
      </c>
      <c r="E45" s="5">
        <f t="shared" si="11"/>
        <v>640</v>
      </c>
      <c r="G45" s="5"/>
      <c r="H45" t="str">
        <f t="shared" si="7"/>
        <v>10001|5600$91001|$81001|1228$111001|640$121001|$191001|</v>
      </c>
      <c r="J45">
        <v>23</v>
      </c>
      <c r="K45">
        <f t="shared" si="12"/>
        <v>5000</v>
      </c>
      <c r="L45" s="2"/>
      <c r="M45">
        <f t="shared" si="13"/>
        <v>1010</v>
      </c>
      <c r="O45" s="2"/>
      <c r="P45">
        <v>1</v>
      </c>
      <c r="Q45" t="str">
        <f t="shared" si="8"/>
        <v>10001|5000$91001|$81001|1010$111001|$121001|$191001|1</v>
      </c>
    </row>
    <row r="46" spans="1:17">
      <c r="A46">
        <v>24</v>
      </c>
      <c r="B46" s="4">
        <f t="shared" si="9"/>
        <v>5800</v>
      </c>
      <c r="C46" s="5"/>
      <c r="D46" s="2">
        <f t="shared" si="10"/>
        <v>1264</v>
      </c>
      <c r="E46" s="5">
        <f t="shared" si="11"/>
        <v>660</v>
      </c>
      <c r="G46" s="5"/>
      <c r="H46" t="str">
        <f>$B$2&amp;"|"&amp;B46&amp;"$"&amp;$C$2&amp;"|"&amp;C46&amp;"$"&amp;$D$2&amp;"|"&amp;D46&amp;"$"&amp;$E$2&amp;"|"&amp;E46&amp;"$"&amp;$F$2&amp;"|"&amp;F46&amp;"$"&amp;$G$2&amp;"|"&amp;G46&amp;"$"&amp;$G$47&amp;"|"&amp;H47</f>
        <v>10001|5800$91001|$81001|1264$111001|660$121001|$191001|$|</v>
      </c>
      <c r="J46">
        <v>24</v>
      </c>
      <c r="K46">
        <f t="shared" si="12"/>
        <v>5200</v>
      </c>
      <c r="L46" s="2"/>
      <c r="M46">
        <f t="shared" si="13"/>
        <v>1046</v>
      </c>
      <c r="O46" s="2"/>
      <c r="P46">
        <v>1</v>
      </c>
      <c r="Q46" t="str">
        <f t="shared" si="8"/>
        <v>10001|5200$91001|$81001|1046$111001|$121001|$191001|1</v>
      </c>
    </row>
    <row r="47" spans="1:17">
      <c r="G47" s="5"/>
      <c r="H47" s="5"/>
      <c r="J47">
        <v>25</v>
      </c>
      <c r="K47">
        <f t="shared" si="12"/>
        <v>5400</v>
      </c>
      <c r="L47" s="2"/>
      <c r="M47">
        <f t="shared" si="13"/>
        <v>1082</v>
      </c>
      <c r="O47" s="2"/>
      <c r="P47">
        <v>1</v>
      </c>
      <c r="Q47" t="str">
        <f t="shared" si="8"/>
        <v>10001|5400$91001|$81001|1082$111001|$121001|$191001|1</v>
      </c>
    </row>
    <row r="48" spans="1:17">
      <c r="B48">
        <v>1.2</v>
      </c>
      <c r="J48">
        <v>26</v>
      </c>
      <c r="K48">
        <f t="shared" si="12"/>
        <v>5600</v>
      </c>
      <c r="L48" s="2"/>
      <c r="M48">
        <f t="shared" si="13"/>
        <v>1118</v>
      </c>
      <c r="O48" s="2"/>
      <c r="P48">
        <v>1</v>
      </c>
      <c r="Q48" t="str">
        <f t="shared" si="8"/>
        <v>10001|5600$91001|$81001|1118$111001|$121001|$191001|1</v>
      </c>
    </row>
    <row r="49" spans="1:17">
      <c r="A49" t="s">
        <v>847</v>
      </c>
      <c r="B49" t="s">
        <v>815</v>
      </c>
      <c r="C49" s="1" t="s">
        <v>816</v>
      </c>
      <c r="D49" s="1" t="s">
        <v>861</v>
      </c>
      <c r="E49" s="1" t="s">
        <v>862</v>
      </c>
      <c r="F49" s="1" t="s">
        <v>863</v>
      </c>
      <c r="G49" s="1" t="s">
        <v>820</v>
      </c>
      <c r="J49">
        <v>27</v>
      </c>
      <c r="K49">
        <f t="shared" si="12"/>
        <v>5800</v>
      </c>
      <c r="L49" s="2"/>
      <c r="M49">
        <f t="shared" si="13"/>
        <v>1154</v>
      </c>
      <c r="O49" s="2"/>
      <c r="P49">
        <v>1</v>
      </c>
      <c r="Q49" t="str">
        <f t="shared" si="8"/>
        <v>10001|5800$91001|$81001|1154$111001|$121001|$191001|1</v>
      </c>
    </row>
    <row r="50" spans="1:17">
      <c r="A50">
        <v>1</v>
      </c>
      <c r="B50">
        <v>1440</v>
      </c>
      <c r="C50" s="5"/>
      <c r="D50" s="6">
        <v>523</v>
      </c>
      <c r="E50" s="6">
        <v>240</v>
      </c>
      <c r="F50" s="5"/>
      <c r="G50" s="5"/>
      <c r="H50" t="str">
        <f t="shared" ref="H50:H79" si="14">$B$2&amp;"|"&amp;B50&amp;"$"&amp;$C$3&amp;"|"&amp;C50&amp;"$"&amp;$D$3&amp;"|"&amp;D50&amp;"$"&amp;$E$3&amp;"|"&amp;E50&amp;"$"&amp;$F$3&amp;"|"&amp;F50&amp;"$"&amp;$G$3&amp;"|"&amp;G50</f>
        <v>10001|1440$92001|$82001|523$112001|240$122001|$192001|</v>
      </c>
      <c r="J50">
        <v>28</v>
      </c>
      <c r="K50">
        <f t="shared" si="12"/>
        <v>6000</v>
      </c>
      <c r="L50" s="2"/>
      <c r="M50">
        <f t="shared" si="13"/>
        <v>1190</v>
      </c>
      <c r="O50" s="2"/>
      <c r="P50">
        <v>1</v>
      </c>
      <c r="Q50" t="str">
        <f t="shared" si="8"/>
        <v>10001|6000$91001|$81001|1190$111001|$121001|$191001|1</v>
      </c>
    </row>
    <row r="51" spans="1:17">
      <c r="A51">
        <v>2</v>
      </c>
      <c r="B51">
        <v>1680</v>
      </c>
      <c r="C51" s="5"/>
      <c r="D51" s="6">
        <v>566</v>
      </c>
      <c r="E51" s="6">
        <v>264</v>
      </c>
      <c r="F51" s="5"/>
      <c r="G51" s="5"/>
      <c r="H51" t="str">
        <f t="shared" si="14"/>
        <v>10001|1680$92001|$82001|566$112001|264$122001|$192001|</v>
      </c>
      <c r="J51">
        <v>29</v>
      </c>
      <c r="K51">
        <f t="shared" si="12"/>
        <v>6200</v>
      </c>
      <c r="L51" s="2"/>
      <c r="M51">
        <f t="shared" si="13"/>
        <v>1226</v>
      </c>
      <c r="O51" s="2"/>
      <c r="P51">
        <v>1</v>
      </c>
      <c r="Q51" t="str">
        <f t="shared" si="8"/>
        <v>10001|6200$91001|$81001|1226$111001|$121001|$191001|1</v>
      </c>
    </row>
    <row r="52" spans="1:17">
      <c r="A52">
        <v>3</v>
      </c>
      <c r="B52">
        <v>1920</v>
      </c>
      <c r="C52" s="5"/>
      <c r="D52" s="6">
        <v>610</v>
      </c>
      <c r="E52" s="6">
        <v>288</v>
      </c>
      <c r="F52" s="5"/>
      <c r="G52" s="5"/>
      <c r="H52" t="str">
        <f t="shared" si="14"/>
        <v>10001|1920$92001|$82001|610$112001|288$122001|$192001|</v>
      </c>
      <c r="J52">
        <v>30</v>
      </c>
      <c r="K52">
        <f t="shared" si="12"/>
        <v>6400</v>
      </c>
      <c r="L52" s="2"/>
      <c r="M52">
        <f t="shared" si="13"/>
        <v>1262</v>
      </c>
      <c r="O52" s="2"/>
      <c r="P52">
        <v>1</v>
      </c>
      <c r="Q52" t="str">
        <f t="shared" si="8"/>
        <v>10001|6400$91001|$81001|1262$111001|$121001|$191001|1</v>
      </c>
    </row>
    <row r="53" spans="1:17">
      <c r="A53">
        <v>4</v>
      </c>
      <c r="B53">
        <v>2160</v>
      </c>
      <c r="C53" s="5"/>
      <c r="D53" s="6">
        <v>653</v>
      </c>
      <c r="E53" s="6">
        <v>312</v>
      </c>
      <c r="F53" s="5"/>
      <c r="G53" s="5"/>
      <c r="H53" t="str">
        <f t="shared" si="14"/>
        <v>10001|2160$92001|$82001|653$112001|312$122001|$192001|</v>
      </c>
    </row>
    <row r="54" spans="1:17">
      <c r="A54">
        <v>5</v>
      </c>
      <c r="B54">
        <v>2400</v>
      </c>
      <c r="C54" s="5"/>
      <c r="D54" s="6">
        <v>696</v>
      </c>
      <c r="E54" s="6">
        <v>336</v>
      </c>
      <c r="F54" s="5"/>
      <c r="G54" s="5"/>
      <c r="H54" t="str">
        <f t="shared" si="14"/>
        <v>10001|2400$92001|$82001|696$112001|336$122001|$192001|</v>
      </c>
    </row>
    <row r="55" spans="1:17">
      <c r="A55">
        <v>6</v>
      </c>
      <c r="B55">
        <v>2640</v>
      </c>
      <c r="C55" s="5"/>
      <c r="D55" s="6">
        <v>739</v>
      </c>
      <c r="E55" s="6">
        <v>360</v>
      </c>
      <c r="F55" s="5"/>
      <c r="G55" s="5"/>
      <c r="H55" t="str">
        <f t="shared" si="14"/>
        <v>10001|2640$92001|$82001|739$112001|360$122001|$192001|</v>
      </c>
      <c r="J55" s="7" t="s">
        <v>864</v>
      </c>
      <c r="K55" t="s">
        <v>815</v>
      </c>
      <c r="L55" s="1" t="s">
        <v>816</v>
      </c>
      <c r="M55" s="1" t="s">
        <v>817</v>
      </c>
      <c r="N55" s="1" t="s">
        <v>818</v>
      </c>
      <c r="O55" s="1" t="s">
        <v>851</v>
      </c>
      <c r="P55" s="1" t="s">
        <v>820</v>
      </c>
    </row>
    <row r="56" spans="1:17">
      <c r="A56">
        <v>7</v>
      </c>
      <c r="B56">
        <v>2880</v>
      </c>
      <c r="C56" s="5"/>
      <c r="D56" s="6">
        <v>782</v>
      </c>
      <c r="E56" s="6">
        <v>384</v>
      </c>
      <c r="F56" s="5"/>
      <c r="G56" s="5"/>
      <c r="H56" t="str">
        <f t="shared" si="14"/>
        <v>10001|2880$92001|$82001|782$112001|384$122001|$192001|</v>
      </c>
      <c r="J56">
        <v>1</v>
      </c>
      <c r="K56">
        <f t="shared" ref="K56:K85" si="15">(B50*2)/2</f>
        <v>1440</v>
      </c>
      <c r="L56" s="2"/>
      <c r="M56">
        <f t="shared" ref="M56:M85" si="16">(D50*2)/2</f>
        <v>523</v>
      </c>
      <c r="O56" s="2"/>
      <c r="P56">
        <v>1</v>
      </c>
      <c r="Q56" t="str">
        <f t="shared" ref="Q56:Q85" si="17">$B$2&amp;"|"&amp;K56&amp;"$"&amp;$C$3&amp;"|"&amp;L56&amp;"$"&amp;$D$3&amp;"|"&amp;M56&amp;"$"&amp;$E$3&amp;"|"&amp;N56&amp;"$"&amp;$F$3&amp;"|"&amp;O56&amp;"$"&amp;$G$3&amp;"|"&amp;P56</f>
        <v>10001|1440$92001|$82001|523$112001|$122001|$192001|1</v>
      </c>
    </row>
    <row r="57" spans="1:17">
      <c r="A57">
        <v>8</v>
      </c>
      <c r="B57">
        <v>3120</v>
      </c>
      <c r="C57" s="5"/>
      <c r="D57" s="6">
        <v>826</v>
      </c>
      <c r="E57" s="6">
        <v>408</v>
      </c>
      <c r="F57" s="5"/>
      <c r="G57" s="5"/>
      <c r="H57" t="str">
        <f t="shared" si="14"/>
        <v>10001|3120$92001|$82001|826$112001|408$122001|$192001|</v>
      </c>
      <c r="J57">
        <v>2</v>
      </c>
      <c r="K57">
        <f t="shared" si="15"/>
        <v>1680</v>
      </c>
      <c r="L57" s="2"/>
      <c r="M57">
        <f t="shared" si="16"/>
        <v>566</v>
      </c>
      <c r="O57" s="2"/>
      <c r="P57">
        <v>1</v>
      </c>
      <c r="Q57" t="str">
        <f t="shared" si="17"/>
        <v>10001|1680$92001|$82001|566$112001|$122001|$192001|1</v>
      </c>
    </row>
    <row r="58" spans="1:17">
      <c r="A58">
        <v>9</v>
      </c>
      <c r="B58">
        <v>3360</v>
      </c>
      <c r="C58" s="5"/>
      <c r="D58" s="6">
        <v>869</v>
      </c>
      <c r="E58" s="6">
        <v>432</v>
      </c>
      <c r="F58" s="5"/>
      <c r="G58" s="5"/>
      <c r="H58" t="str">
        <f t="shared" si="14"/>
        <v>10001|3360$92001|$82001|869$112001|432$122001|$192001|</v>
      </c>
      <c r="J58">
        <v>3</v>
      </c>
      <c r="K58">
        <f t="shared" si="15"/>
        <v>1920</v>
      </c>
      <c r="L58" s="2"/>
      <c r="M58">
        <f t="shared" si="16"/>
        <v>610</v>
      </c>
      <c r="O58" s="2"/>
      <c r="P58">
        <v>1</v>
      </c>
      <c r="Q58" t="str">
        <f t="shared" si="17"/>
        <v>10001|1920$92001|$82001|610$112001|$122001|$192001|1</v>
      </c>
    </row>
    <row r="59" spans="1:17">
      <c r="A59">
        <v>10</v>
      </c>
      <c r="B59">
        <v>3600</v>
      </c>
      <c r="C59" s="5"/>
      <c r="D59" s="6">
        <v>912</v>
      </c>
      <c r="E59" s="6">
        <v>456</v>
      </c>
      <c r="F59" s="5"/>
      <c r="G59" s="5"/>
      <c r="H59" t="str">
        <f t="shared" si="14"/>
        <v>10001|3600$92001|$82001|912$112001|456$122001|$192001|</v>
      </c>
      <c r="J59">
        <v>4</v>
      </c>
      <c r="K59">
        <f t="shared" si="15"/>
        <v>2160</v>
      </c>
      <c r="L59" s="2"/>
      <c r="M59">
        <f t="shared" si="16"/>
        <v>653</v>
      </c>
      <c r="O59" s="2"/>
      <c r="P59">
        <v>1</v>
      </c>
      <c r="Q59" t="str">
        <f t="shared" si="17"/>
        <v>10001|2160$92001|$82001|653$112001|$122001|$192001|1</v>
      </c>
    </row>
    <row r="60" spans="1:17">
      <c r="A60">
        <v>11</v>
      </c>
      <c r="B60">
        <v>3840</v>
      </c>
      <c r="C60" s="5"/>
      <c r="D60" s="6">
        <v>955</v>
      </c>
      <c r="E60" s="6">
        <v>480</v>
      </c>
      <c r="F60" s="5"/>
      <c r="G60" s="5"/>
      <c r="H60" t="str">
        <f t="shared" si="14"/>
        <v>10001|3840$92001|$82001|955$112001|480$122001|$192001|</v>
      </c>
      <c r="J60">
        <v>5</v>
      </c>
      <c r="K60">
        <f t="shared" si="15"/>
        <v>2400</v>
      </c>
      <c r="L60" s="2"/>
      <c r="M60">
        <f t="shared" si="16"/>
        <v>696</v>
      </c>
      <c r="O60" s="2"/>
      <c r="P60">
        <v>1</v>
      </c>
      <c r="Q60" t="str">
        <f t="shared" si="17"/>
        <v>10001|2400$92001|$82001|696$112001|$122001|$192001|1</v>
      </c>
    </row>
    <row r="61" spans="1:17">
      <c r="A61">
        <v>12</v>
      </c>
      <c r="B61">
        <v>4080</v>
      </c>
      <c r="C61" s="5"/>
      <c r="D61" s="6">
        <v>998</v>
      </c>
      <c r="E61" s="6">
        <v>504</v>
      </c>
      <c r="F61" s="5"/>
      <c r="G61" s="5"/>
      <c r="H61" t="str">
        <f t="shared" si="14"/>
        <v>10001|4080$92001|$82001|998$112001|504$122001|$192001|</v>
      </c>
      <c r="J61">
        <v>6</v>
      </c>
      <c r="K61">
        <f t="shared" si="15"/>
        <v>2640</v>
      </c>
      <c r="L61" s="2"/>
      <c r="M61">
        <f t="shared" si="16"/>
        <v>739</v>
      </c>
      <c r="O61" s="2"/>
      <c r="P61">
        <v>1</v>
      </c>
      <c r="Q61" t="str">
        <f t="shared" si="17"/>
        <v>10001|2640$92001|$82001|739$112001|$122001|$192001|1</v>
      </c>
    </row>
    <row r="62" spans="1:17">
      <c r="A62">
        <v>13</v>
      </c>
      <c r="B62">
        <v>4320</v>
      </c>
      <c r="C62" s="5"/>
      <c r="D62" s="6">
        <v>1042</v>
      </c>
      <c r="E62" s="6">
        <v>528</v>
      </c>
      <c r="F62" s="5"/>
      <c r="G62" s="5"/>
      <c r="H62" t="str">
        <f t="shared" si="14"/>
        <v>10001|4320$92001|$82001|1042$112001|528$122001|$192001|</v>
      </c>
      <c r="J62">
        <v>7</v>
      </c>
      <c r="K62">
        <f t="shared" si="15"/>
        <v>2880</v>
      </c>
      <c r="L62" s="2"/>
      <c r="M62">
        <f t="shared" si="16"/>
        <v>782</v>
      </c>
      <c r="O62" s="2"/>
      <c r="P62">
        <v>1</v>
      </c>
      <c r="Q62" t="str">
        <f t="shared" si="17"/>
        <v>10001|2880$92001|$82001|782$112001|$122001|$192001|1</v>
      </c>
    </row>
    <row r="63" spans="1:17">
      <c r="A63">
        <v>14</v>
      </c>
      <c r="B63">
        <v>4560</v>
      </c>
      <c r="C63" s="5"/>
      <c r="D63" s="6">
        <v>1085</v>
      </c>
      <c r="E63" s="6">
        <v>552</v>
      </c>
      <c r="F63" s="5"/>
      <c r="G63" s="5"/>
      <c r="H63" t="str">
        <f t="shared" si="14"/>
        <v>10001|4560$92001|$82001|1085$112001|552$122001|$192001|</v>
      </c>
      <c r="J63">
        <v>8</v>
      </c>
      <c r="K63">
        <f t="shared" si="15"/>
        <v>3120</v>
      </c>
      <c r="L63" s="2"/>
      <c r="M63">
        <f t="shared" si="16"/>
        <v>826</v>
      </c>
      <c r="O63" s="2"/>
      <c r="P63">
        <v>1</v>
      </c>
      <c r="Q63" t="str">
        <f t="shared" si="17"/>
        <v>10001|3120$92001|$82001|826$112001|$122001|$192001|1</v>
      </c>
    </row>
    <row r="64" spans="1:17">
      <c r="A64">
        <v>15</v>
      </c>
      <c r="B64">
        <v>4800</v>
      </c>
      <c r="C64" s="5"/>
      <c r="D64" s="6">
        <v>1128</v>
      </c>
      <c r="E64" s="6">
        <v>576</v>
      </c>
      <c r="F64" s="5"/>
      <c r="G64" s="5"/>
      <c r="H64" t="str">
        <f t="shared" si="14"/>
        <v>10001|4800$92001|$82001|1128$112001|576$122001|$192001|</v>
      </c>
      <c r="J64">
        <v>9</v>
      </c>
      <c r="K64">
        <f t="shared" si="15"/>
        <v>3360</v>
      </c>
      <c r="L64" s="2"/>
      <c r="M64">
        <f t="shared" si="16"/>
        <v>869</v>
      </c>
      <c r="O64" s="2"/>
      <c r="P64">
        <v>1</v>
      </c>
      <c r="Q64" t="str">
        <f t="shared" si="17"/>
        <v>10001|3360$92001|$82001|869$112001|$122001|$192001|1</v>
      </c>
    </row>
    <row r="65" spans="1:17">
      <c r="A65">
        <v>16</v>
      </c>
      <c r="B65">
        <v>5040</v>
      </c>
      <c r="C65" s="5"/>
      <c r="D65" s="6">
        <v>1171</v>
      </c>
      <c r="E65" s="6">
        <v>600</v>
      </c>
      <c r="F65" s="5"/>
      <c r="G65" s="5"/>
      <c r="H65" t="str">
        <f t="shared" si="14"/>
        <v>10001|5040$92001|$82001|1171$112001|600$122001|$192001|</v>
      </c>
      <c r="J65">
        <v>10</v>
      </c>
      <c r="K65">
        <f t="shared" si="15"/>
        <v>3600</v>
      </c>
      <c r="L65" s="2"/>
      <c r="M65">
        <f t="shared" si="16"/>
        <v>912</v>
      </c>
      <c r="O65" s="2"/>
      <c r="P65">
        <v>1</v>
      </c>
      <c r="Q65" t="str">
        <f t="shared" si="17"/>
        <v>10001|3600$92001|$82001|912$112001|$122001|$192001|1</v>
      </c>
    </row>
    <row r="66" spans="1:17">
      <c r="A66">
        <v>17</v>
      </c>
      <c r="B66">
        <v>5280</v>
      </c>
      <c r="C66" s="5"/>
      <c r="D66" s="6">
        <v>1214</v>
      </c>
      <c r="E66" s="6">
        <v>624</v>
      </c>
      <c r="F66" s="5"/>
      <c r="G66" s="5"/>
      <c r="H66" t="str">
        <f t="shared" si="14"/>
        <v>10001|5280$92001|$82001|1214$112001|624$122001|$192001|</v>
      </c>
      <c r="J66">
        <v>11</v>
      </c>
      <c r="K66">
        <f t="shared" si="15"/>
        <v>3840</v>
      </c>
      <c r="L66" s="2"/>
      <c r="M66">
        <f t="shared" si="16"/>
        <v>955</v>
      </c>
      <c r="O66" s="2"/>
      <c r="P66">
        <v>1</v>
      </c>
      <c r="Q66" t="str">
        <f t="shared" si="17"/>
        <v>10001|3840$92001|$82001|955$112001|$122001|$192001|1</v>
      </c>
    </row>
    <row r="67" spans="1:17">
      <c r="A67">
        <v>18</v>
      </c>
      <c r="B67">
        <v>5520</v>
      </c>
      <c r="C67" s="5"/>
      <c r="D67" s="6">
        <v>1258</v>
      </c>
      <c r="E67" s="6">
        <v>648</v>
      </c>
      <c r="F67" s="5"/>
      <c r="G67" s="5"/>
      <c r="H67" t="str">
        <f t="shared" si="14"/>
        <v>10001|5520$92001|$82001|1258$112001|648$122001|$192001|</v>
      </c>
      <c r="J67">
        <v>12</v>
      </c>
      <c r="K67">
        <f t="shared" si="15"/>
        <v>4080</v>
      </c>
      <c r="L67" s="2"/>
      <c r="M67">
        <f t="shared" si="16"/>
        <v>998</v>
      </c>
      <c r="O67" s="2"/>
      <c r="P67">
        <v>1</v>
      </c>
      <c r="Q67" t="str">
        <f t="shared" si="17"/>
        <v>10001|4080$92001|$82001|998$112001|$122001|$192001|1</v>
      </c>
    </row>
    <row r="68" spans="1:17">
      <c r="A68">
        <v>19</v>
      </c>
      <c r="B68">
        <v>5760</v>
      </c>
      <c r="C68" s="5"/>
      <c r="D68" s="6">
        <v>1301</v>
      </c>
      <c r="E68" s="6">
        <v>672</v>
      </c>
      <c r="F68" s="5"/>
      <c r="G68" s="5"/>
      <c r="H68" t="str">
        <f t="shared" si="14"/>
        <v>10001|5760$92001|$82001|1301$112001|672$122001|$192001|</v>
      </c>
      <c r="J68">
        <v>13</v>
      </c>
      <c r="K68">
        <f t="shared" si="15"/>
        <v>4320</v>
      </c>
      <c r="L68" s="2"/>
      <c r="M68">
        <f t="shared" si="16"/>
        <v>1042</v>
      </c>
      <c r="O68" s="2"/>
      <c r="P68">
        <v>1</v>
      </c>
      <c r="Q68" t="str">
        <f t="shared" si="17"/>
        <v>10001|4320$92001|$82001|1042$112001|$122001|$192001|1</v>
      </c>
    </row>
    <row r="69" spans="1:17">
      <c r="A69">
        <v>20</v>
      </c>
      <c r="B69">
        <v>6000</v>
      </c>
      <c r="C69" s="5"/>
      <c r="D69" s="6">
        <v>1344</v>
      </c>
      <c r="E69" s="6">
        <v>696</v>
      </c>
      <c r="F69" s="5"/>
      <c r="G69" s="5"/>
      <c r="H69" t="str">
        <f t="shared" si="14"/>
        <v>10001|6000$92001|$82001|1344$112001|696$122001|$192001|</v>
      </c>
      <c r="J69">
        <v>14</v>
      </c>
      <c r="K69">
        <f t="shared" si="15"/>
        <v>4560</v>
      </c>
      <c r="L69" s="2"/>
      <c r="M69">
        <f t="shared" si="16"/>
        <v>1085</v>
      </c>
      <c r="O69" s="2"/>
      <c r="P69">
        <v>1</v>
      </c>
      <c r="Q69" t="str">
        <f t="shared" si="17"/>
        <v>10001|4560$92001|$82001|1085$112001|$122001|$192001|1</v>
      </c>
    </row>
    <row r="70" spans="1:17">
      <c r="A70">
        <v>21</v>
      </c>
      <c r="B70">
        <v>6240</v>
      </c>
      <c r="C70" s="5"/>
      <c r="D70" s="6">
        <v>1387</v>
      </c>
      <c r="E70" s="6">
        <v>720</v>
      </c>
      <c r="G70" s="5"/>
      <c r="H70" t="str">
        <f t="shared" si="14"/>
        <v>10001|6240$92001|$82001|1387$112001|720$122001|$192001|</v>
      </c>
      <c r="J70">
        <v>15</v>
      </c>
      <c r="K70">
        <f t="shared" si="15"/>
        <v>4800</v>
      </c>
      <c r="L70" s="2"/>
      <c r="M70">
        <f t="shared" si="16"/>
        <v>1128</v>
      </c>
      <c r="O70" s="2"/>
      <c r="P70">
        <v>1</v>
      </c>
      <c r="Q70" t="str">
        <f t="shared" si="17"/>
        <v>10001|4800$92001|$82001|1128$112001|$122001|$192001|1</v>
      </c>
    </row>
    <row r="71" spans="1:17">
      <c r="A71">
        <v>22</v>
      </c>
      <c r="B71">
        <v>6480</v>
      </c>
      <c r="C71" s="5"/>
      <c r="D71" s="6">
        <v>1430</v>
      </c>
      <c r="E71" s="6">
        <v>744</v>
      </c>
      <c r="G71" s="5"/>
      <c r="H71" t="str">
        <f t="shared" si="14"/>
        <v>10001|6480$92001|$82001|1430$112001|744$122001|$192001|</v>
      </c>
      <c r="J71">
        <v>16</v>
      </c>
      <c r="K71">
        <f t="shared" si="15"/>
        <v>5040</v>
      </c>
      <c r="L71" s="2"/>
      <c r="M71">
        <f t="shared" si="16"/>
        <v>1171</v>
      </c>
      <c r="O71" s="2"/>
      <c r="P71">
        <v>1</v>
      </c>
      <c r="Q71" t="str">
        <f t="shared" si="17"/>
        <v>10001|5040$92001|$82001|1171$112001|$122001|$192001|1</v>
      </c>
    </row>
    <row r="72" spans="1:17">
      <c r="A72">
        <v>23</v>
      </c>
      <c r="B72">
        <v>6720</v>
      </c>
      <c r="C72" s="5"/>
      <c r="D72" s="6">
        <v>1474</v>
      </c>
      <c r="E72" s="6">
        <v>768</v>
      </c>
      <c r="G72" s="5"/>
      <c r="H72" t="str">
        <f t="shared" si="14"/>
        <v>10001|6720$92001|$82001|1474$112001|768$122001|$192001|</v>
      </c>
      <c r="J72">
        <v>17</v>
      </c>
      <c r="K72">
        <f t="shared" si="15"/>
        <v>5280</v>
      </c>
      <c r="L72" s="2"/>
      <c r="M72">
        <f t="shared" si="16"/>
        <v>1214</v>
      </c>
      <c r="O72" s="2"/>
      <c r="P72">
        <v>1</v>
      </c>
      <c r="Q72" t="str">
        <f t="shared" si="17"/>
        <v>10001|5280$92001|$82001|1214$112001|$122001|$192001|1</v>
      </c>
    </row>
    <row r="73" spans="1:17">
      <c r="A73">
        <v>24</v>
      </c>
      <c r="B73">
        <v>6960</v>
      </c>
      <c r="C73" s="5"/>
      <c r="D73" s="6">
        <v>1517</v>
      </c>
      <c r="E73" s="6">
        <v>792</v>
      </c>
      <c r="G73" s="5"/>
      <c r="H73" t="str">
        <f t="shared" si="14"/>
        <v>10001|6960$92001|$82001|1517$112001|792$122001|$192001|</v>
      </c>
      <c r="J73">
        <v>18</v>
      </c>
      <c r="K73">
        <f t="shared" si="15"/>
        <v>5520</v>
      </c>
      <c r="L73" s="2"/>
      <c r="M73">
        <f t="shared" si="16"/>
        <v>1258</v>
      </c>
      <c r="O73" s="2"/>
      <c r="P73">
        <v>1</v>
      </c>
      <c r="Q73" t="str">
        <f t="shared" si="17"/>
        <v>10001|5520$92001|$82001|1258$112001|$122001|$192001|1</v>
      </c>
    </row>
    <row r="74" spans="1:17">
      <c r="A74">
        <v>25</v>
      </c>
      <c r="B74">
        <v>7200</v>
      </c>
      <c r="C74" s="5"/>
      <c r="D74" s="6">
        <v>1560</v>
      </c>
      <c r="E74" s="6">
        <v>816</v>
      </c>
      <c r="H74" t="str">
        <f t="shared" si="14"/>
        <v>10001|7200$92001|$82001|1560$112001|816$122001|$192001|</v>
      </c>
      <c r="J74">
        <v>19</v>
      </c>
      <c r="K74">
        <f t="shared" si="15"/>
        <v>5760</v>
      </c>
      <c r="L74" s="2"/>
      <c r="M74">
        <f t="shared" si="16"/>
        <v>1301</v>
      </c>
      <c r="O74" s="2"/>
      <c r="P74">
        <v>1</v>
      </c>
      <c r="Q74" t="str">
        <f t="shared" si="17"/>
        <v>10001|5760$92001|$82001|1301$112001|$122001|$192001|1</v>
      </c>
    </row>
    <row r="75" spans="1:17">
      <c r="A75">
        <v>26</v>
      </c>
      <c r="B75">
        <v>7440</v>
      </c>
      <c r="C75" s="5"/>
      <c r="D75" s="6">
        <v>1603</v>
      </c>
      <c r="E75" s="6">
        <v>840</v>
      </c>
      <c r="H75" t="str">
        <f t="shared" si="14"/>
        <v>10001|7440$92001|$82001|1603$112001|840$122001|$192001|</v>
      </c>
      <c r="J75">
        <v>20</v>
      </c>
      <c r="K75">
        <f t="shared" si="15"/>
        <v>6000</v>
      </c>
      <c r="L75" s="2"/>
      <c r="M75">
        <f t="shared" si="16"/>
        <v>1344</v>
      </c>
      <c r="O75" s="2"/>
      <c r="P75">
        <v>1</v>
      </c>
      <c r="Q75" t="str">
        <f t="shared" si="17"/>
        <v>10001|6000$92001|$82001|1344$112001|$122001|$192001|1</v>
      </c>
    </row>
    <row r="76" spans="1:17">
      <c r="A76">
        <v>27</v>
      </c>
      <c r="B76">
        <v>7680</v>
      </c>
      <c r="C76" s="5"/>
      <c r="D76" s="6">
        <v>1646</v>
      </c>
      <c r="E76" s="6">
        <v>864</v>
      </c>
      <c r="H76" t="str">
        <f t="shared" si="14"/>
        <v>10001|7680$92001|$82001|1646$112001|864$122001|$192001|</v>
      </c>
      <c r="J76">
        <v>21</v>
      </c>
      <c r="K76">
        <f t="shared" si="15"/>
        <v>6240</v>
      </c>
      <c r="L76" s="2"/>
      <c r="M76">
        <f t="shared" si="16"/>
        <v>1387</v>
      </c>
      <c r="O76" s="2"/>
      <c r="P76">
        <v>1</v>
      </c>
      <c r="Q76" t="str">
        <f t="shared" si="17"/>
        <v>10001|6240$92001|$82001|1387$112001|$122001|$192001|1</v>
      </c>
    </row>
    <row r="77" spans="1:17">
      <c r="A77">
        <v>28</v>
      </c>
      <c r="B77">
        <v>7920</v>
      </c>
      <c r="C77" s="5"/>
      <c r="D77" s="6">
        <v>1690</v>
      </c>
      <c r="E77" s="6">
        <v>888</v>
      </c>
      <c r="H77" t="str">
        <f t="shared" si="14"/>
        <v>10001|7920$92001|$82001|1690$112001|888$122001|$192001|</v>
      </c>
      <c r="J77">
        <v>22</v>
      </c>
      <c r="K77">
        <f t="shared" si="15"/>
        <v>6480</v>
      </c>
      <c r="L77" s="2"/>
      <c r="M77">
        <f t="shared" si="16"/>
        <v>1430</v>
      </c>
      <c r="O77" s="2"/>
      <c r="P77">
        <v>1</v>
      </c>
      <c r="Q77" t="str">
        <f t="shared" si="17"/>
        <v>10001|6480$92001|$82001|1430$112001|$122001|$192001|1</v>
      </c>
    </row>
    <row r="78" spans="1:17">
      <c r="A78">
        <v>29</v>
      </c>
      <c r="B78">
        <v>8160</v>
      </c>
      <c r="C78" s="5"/>
      <c r="D78" s="6">
        <v>1733</v>
      </c>
      <c r="E78" s="6">
        <v>912</v>
      </c>
      <c r="H78" t="str">
        <f t="shared" si="14"/>
        <v>10001|8160$92001|$82001|1733$112001|912$122001|$192001|</v>
      </c>
      <c r="J78">
        <v>23</v>
      </c>
      <c r="K78">
        <f t="shared" si="15"/>
        <v>6720</v>
      </c>
      <c r="L78" s="2"/>
      <c r="M78">
        <f t="shared" si="16"/>
        <v>1474</v>
      </c>
      <c r="O78" s="2"/>
      <c r="P78">
        <v>1</v>
      </c>
      <c r="Q78" t="str">
        <f t="shared" si="17"/>
        <v>10001|6720$92001|$82001|1474$112001|$122001|$192001|1</v>
      </c>
    </row>
    <row r="79" spans="1:17">
      <c r="A79">
        <v>30</v>
      </c>
      <c r="B79">
        <v>8400</v>
      </c>
      <c r="C79" s="5"/>
      <c r="D79" s="6">
        <v>1776</v>
      </c>
      <c r="E79" s="6">
        <v>936</v>
      </c>
      <c r="H79" s="5" t="str">
        <f t="shared" si="14"/>
        <v>10001|8400$92001|$82001|1776$112001|936$122001|$192001|</v>
      </c>
      <c r="J79">
        <v>24</v>
      </c>
      <c r="K79">
        <f t="shared" si="15"/>
        <v>6960</v>
      </c>
      <c r="L79" s="2"/>
      <c r="M79">
        <f t="shared" si="16"/>
        <v>1517</v>
      </c>
      <c r="O79" s="2"/>
      <c r="P79">
        <v>1</v>
      </c>
      <c r="Q79" t="str">
        <f t="shared" si="17"/>
        <v>10001|6960$92001|$82001|1517$112001|$122001|$192001|1</v>
      </c>
    </row>
    <row r="80" spans="1:17">
      <c r="J80">
        <v>25</v>
      </c>
      <c r="K80">
        <f t="shared" si="15"/>
        <v>7200</v>
      </c>
      <c r="L80" s="2"/>
      <c r="M80">
        <f t="shared" si="16"/>
        <v>1560</v>
      </c>
      <c r="O80" s="2"/>
      <c r="P80">
        <v>1</v>
      </c>
      <c r="Q80" t="str">
        <f t="shared" si="17"/>
        <v>10001|7200$92001|$82001|1560$112001|$122001|$192001|1</v>
      </c>
    </row>
    <row r="81" spans="1:17">
      <c r="J81">
        <v>26</v>
      </c>
      <c r="K81">
        <f t="shared" si="15"/>
        <v>7440</v>
      </c>
      <c r="L81" s="2"/>
      <c r="M81">
        <f t="shared" si="16"/>
        <v>1603</v>
      </c>
      <c r="O81" s="2"/>
      <c r="P81">
        <v>1</v>
      </c>
      <c r="Q81" t="str">
        <f t="shared" si="17"/>
        <v>10001|7440$92001|$82001|1603$112001|$122001|$192001|1</v>
      </c>
    </row>
    <row r="82" spans="1:17">
      <c r="J82">
        <v>27</v>
      </c>
      <c r="K82">
        <f t="shared" si="15"/>
        <v>7680</v>
      </c>
      <c r="L82" s="2"/>
      <c r="M82">
        <f t="shared" si="16"/>
        <v>1646</v>
      </c>
      <c r="O82" s="2"/>
      <c r="P82">
        <v>1</v>
      </c>
      <c r="Q82" t="str">
        <f t="shared" si="17"/>
        <v>10001|7680$92001|$82001|1646$112001|$122001|$192001|1</v>
      </c>
    </row>
    <row r="83" spans="1:17">
      <c r="J83">
        <v>28</v>
      </c>
      <c r="K83">
        <f t="shared" si="15"/>
        <v>7920</v>
      </c>
      <c r="L83" s="2"/>
      <c r="M83">
        <f t="shared" si="16"/>
        <v>1690</v>
      </c>
      <c r="O83" s="2"/>
      <c r="P83">
        <v>1</v>
      </c>
      <c r="Q83" t="str">
        <f t="shared" si="17"/>
        <v>10001|7920$92001|$82001|1690$112001|$122001|$192001|1</v>
      </c>
    </row>
    <row r="84" spans="1:17">
      <c r="J84">
        <v>29</v>
      </c>
      <c r="K84">
        <f t="shared" si="15"/>
        <v>8160</v>
      </c>
      <c r="L84" s="2"/>
      <c r="M84">
        <f t="shared" si="16"/>
        <v>1733</v>
      </c>
      <c r="O84" s="2"/>
      <c r="P84">
        <v>1</v>
      </c>
      <c r="Q84" t="str">
        <f t="shared" si="17"/>
        <v>10001|8160$92001|$82001|1733$112001|$122001|$192001|1</v>
      </c>
    </row>
    <row r="85" spans="1:17">
      <c r="J85">
        <v>30</v>
      </c>
      <c r="K85">
        <f t="shared" si="15"/>
        <v>8400</v>
      </c>
      <c r="L85" s="2"/>
      <c r="M85">
        <f t="shared" si="16"/>
        <v>1776</v>
      </c>
      <c r="O85" s="2"/>
      <c r="P85">
        <v>1</v>
      </c>
      <c r="Q85" t="str">
        <f t="shared" si="17"/>
        <v>10001|8400$92001|$82001|1776$112001|$122001|$192001|1</v>
      </c>
    </row>
    <row r="87" spans="1:17">
      <c r="A87" s="7" t="s">
        <v>848</v>
      </c>
      <c r="B87" t="s">
        <v>815</v>
      </c>
      <c r="C87" s="1" t="s">
        <v>816</v>
      </c>
      <c r="D87" s="8" t="s">
        <v>865</v>
      </c>
      <c r="E87" s="8" t="s">
        <v>866</v>
      </c>
      <c r="F87" s="1" t="s">
        <v>863</v>
      </c>
      <c r="G87" s="1" t="s">
        <v>820</v>
      </c>
      <c r="J87" s="7" t="s">
        <v>867</v>
      </c>
      <c r="K87" t="s">
        <v>815</v>
      </c>
      <c r="L87" s="1" t="s">
        <v>816</v>
      </c>
      <c r="M87" s="1" t="s">
        <v>817</v>
      </c>
      <c r="N87" s="1" t="s">
        <v>818</v>
      </c>
      <c r="O87" s="1" t="s">
        <v>851</v>
      </c>
      <c r="P87" s="1" t="s">
        <v>820</v>
      </c>
    </row>
    <row r="88" spans="1:17">
      <c r="A88">
        <v>1</v>
      </c>
      <c r="B88">
        <v>1440</v>
      </c>
      <c r="C88" s="5"/>
      <c r="D88" s="6">
        <v>523</v>
      </c>
      <c r="E88" s="6">
        <v>240</v>
      </c>
      <c r="F88" s="5"/>
      <c r="G88" s="5"/>
      <c r="H88" t="str">
        <f t="shared" ref="H88:H127" si="18">$B$2&amp;"|"&amp;B88&amp;"$"&amp;$C$4&amp;"|"&amp;C88&amp;"$"&amp;$D$4&amp;"|"&amp;D88&amp;"$"&amp;$E$4&amp;"|"&amp;E88&amp;"$"&amp;$F$4&amp;"|"&amp;F88&amp;"$"&amp;$G$4&amp;"|"&amp;G88</f>
        <v>10001|1440$93001|$83001|523$113001|240$123001|$193001|</v>
      </c>
      <c r="J88">
        <v>1</v>
      </c>
      <c r="K88">
        <v>3600</v>
      </c>
      <c r="L88" s="2"/>
      <c r="M88">
        <v>912</v>
      </c>
      <c r="N88">
        <v>456</v>
      </c>
      <c r="O88" s="2"/>
      <c r="Q88" t="s">
        <v>868</v>
      </c>
    </row>
    <row r="89" spans="1:17">
      <c r="A89">
        <v>2</v>
      </c>
      <c r="B89">
        <v>1680</v>
      </c>
      <c r="C89" s="5"/>
      <c r="D89" s="6">
        <v>566</v>
      </c>
      <c r="E89" s="6">
        <v>264</v>
      </c>
      <c r="F89" s="5"/>
      <c r="G89" s="5"/>
      <c r="H89" t="str">
        <f t="shared" si="18"/>
        <v>10001|1680$93001|$83001|566$113001|264$123001|$193001|</v>
      </c>
      <c r="J89">
        <v>2</v>
      </c>
      <c r="K89">
        <v>3840</v>
      </c>
      <c r="L89" s="2"/>
      <c r="M89">
        <v>955</v>
      </c>
      <c r="N89">
        <v>480</v>
      </c>
      <c r="O89" s="2"/>
      <c r="Q89" t="s">
        <v>869</v>
      </c>
    </row>
    <row r="90" spans="1:17">
      <c r="A90">
        <v>3</v>
      </c>
      <c r="B90">
        <v>1920</v>
      </c>
      <c r="C90" s="5"/>
      <c r="D90" s="6">
        <v>610</v>
      </c>
      <c r="E90" s="6">
        <v>288</v>
      </c>
      <c r="F90" s="5"/>
      <c r="G90" s="5"/>
      <c r="H90" t="str">
        <f t="shared" si="18"/>
        <v>10001|1920$93001|$83001|610$113001|288$123001|$193001|</v>
      </c>
      <c r="J90">
        <v>3</v>
      </c>
      <c r="K90">
        <v>4080</v>
      </c>
      <c r="L90" s="2"/>
      <c r="M90">
        <v>998</v>
      </c>
      <c r="N90">
        <v>504</v>
      </c>
      <c r="O90" s="2"/>
      <c r="Q90" t="s">
        <v>870</v>
      </c>
    </row>
    <row r="91" spans="1:17">
      <c r="A91">
        <v>4</v>
      </c>
      <c r="B91">
        <v>2160</v>
      </c>
      <c r="C91" s="5"/>
      <c r="D91" s="6">
        <v>653</v>
      </c>
      <c r="E91" s="6">
        <v>312</v>
      </c>
      <c r="F91" s="5"/>
      <c r="G91" s="5"/>
      <c r="H91" t="str">
        <f t="shared" si="18"/>
        <v>10001|2160$93001|$83001|653$113001|312$123001|$193001|</v>
      </c>
      <c r="J91">
        <v>4</v>
      </c>
      <c r="K91">
        <v>4320</v>
      </c>
      <c r="L91" s="2"/>
      <c r="M91">
        <v>1042</v>
      </c>
      <c r="N91">
        <v>528</v>
      </c>
      <c r="O91" s="2"/>
      <c r="Q91" t="s">
        <v>871</v>
      </c>
    </row>
    <row r="92" spans="1:17">
      <c r="A92">
        <v>5</v>
      </c>
      <c r="B92">
        <v>2400</v>
      </c>
      <c r="C92" s="5"/>
      <c r="D92" s="6">
        <v>696</v>
      </c>
      <c r="E92" s="6">
        <v>336</v>
      </c>
      <c r="F92" s="5"/>
      <c r="G92" s="5"/>
      <c r="H92" t="str">
        <f t="shared" si="18"/>
        <v>10001|2400$93001|$83001|696$113001|336$123001|$193001|</v>
      </c>
      <c r="J92">
        <v>5</v>
      </c>
      <c r="K92">
        <v>4560</v>
      </c>
      <c r="L92" s="2"/>
      <c r="M92">
        <v>1085</v>
      </c>
      <c r="N92">
        <v>552</v>
      </c>
      <c r="O92" s="2"/>
      <c r="Q92" t="s">
        <v>872</v>
      </c>
    </row>
    <row r="93" spans="1:17">
      <c r="A93">
        <v>6</v>
      </c>
      <c r="B93">
        <v>2640</v>
      </c>
      <c r="C93" s="5"/>
      <c r="D93" s="6">
        <v>739</v>
      </c>
      <c r="E93" s="6">
        <v>360</v>
      </c>
      <c r="F93" s="5"/>
      <c r="G93" s="5"/>
      <c r="H93" t="str">
        <f t="shared" si="18"/>
        <v>10001|2640$93001|$83001|739$113001|360$123001|$193001|</v>
      </c>
      <c r="J93">
        <v>6</v>
      </c>
      <c r="K93">
        <v>4800</v>
      </c>
      <c r="L93" s="2"/>
      <c r="M93">
        <v>1128</v>
      </c>
      <c r="N93">
        <v>576</v>
      </c>
      <c r="O93" s="2"/>
      <c r="Q93" t="s">
        <v>873</v>
      </c>
    </row>
    <row r="94" spans="1:17">
      <c r="A94">
        <v>7</v>
      </c>
      <c r="B94">
        <v>2880</v>
      </c>
      <c r="C94" s="5"/>
      <c r="D94" s="6">
        <v>782</v>
      </c>
      <c r="E94" s="6">
        <v>384</v>
      </c>
      <c r="F94" s="5"/>
      <c r="G94" s="5"/>
      <c r="H94" t="str">
        <f t="shared" si="18"/>
        <v>10001|2880$93001|$83001|782$113001|384$123001|$193001|</v>
      </c>
      <c r="J94">
        <v>7</v>
      </c>
      <c r="K94">
        <v>5040</v>
      </c>
      <c r="L94" s="2"/>
      <c r="M94">
        <v>1171</v>
      </c>
      <c r="N94">
        <v>600</v>
      </c>
      <c r="O94" s="2"/>
      <c r="Q94" t="s">
        <v>874</v>
      </c>
    </row>
    <row r="95" spans="1:17">
      <c r="A95">
        <v>8</v>
      </c>
      <c r="B95">
        <v>3120</v>
      </c>
      <c r="C95" s="5"/>
      <c r="D95" s="6">
        <v>826</v>
      </c>
      <c r="E95" s="6">
        <v>408</v>
      </c>
      <c r="F95" s="5"/>
      <c r="G95" s="5"/>
      <c r="H95" t="str">
        <f t="shared" si="18"/>
        <v>10001|3120$93001|$83001|826$113001|408$123001|$193001|</v>
      </c>
      <c r="J95">
        <v>8</v>
      </c>
      <c r="K95">
        <v>5280</v>
      </c>
      <c r="L95" s="2"/>
      <c r="M95">
        <v>1214</v>
      </c>
      <c r="N95">
        <v>624</v>
      </c>
      <c r="O95" s="2"/>
      <c r="Q95" t="s">
        <v>875</v>
      </c>
    </row>
    <row r="96" spans="1:17">
      <c r="A96">
        <v>9</v>
      </c>
      <c r="B96">
        <v>3360</v>
      </c>
      <c r="C96" s="5"/>
      <c r="D96" s="6">
        <v>869</v>
      </c>
      <c r="E96" s="6">
        <v>432</v>
      </c>
      <c r="F96" s="5"/>
      <c r="G96" s="5"/>
      <c r="H96" t="str">
        <f t="shared" si="18"/>
        <v>10001|3360$93001|$83001|869$113001|432$123001|$193001|</v>
      </c>
      <c r="J96">
        <v>9</v>
      </c>
      <c r="K96">
        <v>5520</v>
      </c>
      <c r="L96" s="2"/>
      <c r="M96">
        <v>1258</v>
      </c>
      <c r="N96">
        <v>648</v>
      </c>
      <c r="O96" s="2"/>
      <c r="Q96" t="s">
        <v>876</v>
      </c>
    </row>
    <row r="97" spans="1:17">
      <c r="A97">
        <v>10</v>
      </c>
      <c r="B97">
        <v>3600</v>
      </c>
      <c r="C97" s="5"/>
      <c r="D97" s="6">
        <v>912</v>
      </c>
      <c r="E97" s="6">
        <v>456</v>
      </c>
      <c r="F97" s="5"/>
      <c r="G97" s="5"/>
      <c r="H97" t="str">
        <f t="shared" si="18"/>
        <v>10001|3600$93001|$83001|912$113001|456$123001|$193001|</v>
      </c>
      <c r="J97">
        <v>10</v>
      </c>
      <c r="K97">
        <v>5760</v>
      </c>
      <c r="L97" s="2"/>
      <c r="M97">
        <v>1301</v>
      </c>
      <c r="N97">
        <v>672</v>
      </c>
      <c r="O97" s="2"/>
      <c r="Q97" t="s">
        <v>877</v>
      </c>
    </row>
    <row r="98" spans="1:17">
      <c r="A98">
        <v>11</v>
      </c>
      <c r="B98">
        <v>3840</v>
      </c>
      <c r="C98" s="5"/>
      <c r="D98" s="6">
        <v>955</v>
      </c>
      <c r="E98" s="6">
        <v>480</v>
      </c>
      <c r="F98" s="5"/>
      <c r="G98" s="5"/>
      <c r="H98" t="str">
        <f t="shared" si="18"/>
        <v>10001|3840$93001|$83001|955$113001|480$123001|$193001|</v>
      </c>
      <c r="J98">
        <v>11</v>
      </c>
      <c r="K98">
        <v>6000</v>
      </c>
      <c r="L98" s="2"/>
      <c r="M98">
        <v>1344</v>
      </c>
      <c r="N98">
        <v>696</v>
      </c>
      <c r="O98" s="2"/>
      <c r="Q98" t="s">
        <v>878</v>
      </c>
    </row>
    <row r="99" spans="1:17">
      <c r="A99">
        <v>12</v>
      </c>
      <c r="B99">
        <v>4080</v>
      </c>
      <c r="C99" s="5"/>
      <c r="D99" s="6">
        <v>998</v>
      </c>
      <c r="E99" s="6">
        <v>504</v>
      </c>
      <c r="F99" s="5"/>
      <c r="G99" s="5"/>
      <c r="H99" t="str">
        <f t="shared" si="18"/>
        <v>10001|4080$93001|$83001|998$113001|504$123001|$193001|</v>
      </c>
      <c r="J99">
        <v>12</v>
      </c>
      <c r="K99">
        <v>6240</v>
      </c>
      <c r="L99" s="2"/>
      <c r="M99">
        <v>1387</v>
      </c>
      <c r="N99">
        <v>720</v>
      </c>
      <c r="O99" s="2"/>
      <c r="Q99" t="s">
        <v>879</v>
      </c>
    </row>
    <row r="100" spans="1:17">
      <c r="A100">
        <v>13</v>
      </c>
      <c r="B100">
        <v>4320</v>
      </c>
      <c r="C100" s="5"/>
      <c r="D100" s="6">
        <v>1042</v>
      </c>
      <c r="E100" s="6">
        <v>528</v>
      </c>
      <c r="F100" s="5"/>
      <c r="G100" s="5"/>
      <c r="H100" t="str">
        <f t="shared" si="18"/>
        <v>10001|4320$93001|$83001|1042$113001|528$123001|$193001|</v>
      </c>
      <c r="J100">
        <v>13</v>
      </c>
      <c r="K100">
        <v>6480</v>
      </c>
      <c r="L100" s="2"/>
      <c r="M100">
        <v>1430</v>
      </c>
      <c r="N100">
        <v>744</v>
      </c>
      <c r="O100" s="2"/>
      <c r="Q100" t="s">
        <v>880</v>
      </c>
    </row>
    <row r="101" spans="1:17">
      <c r="A101">
        <v>14</v>
      </c>
      <c r="B101">
        <v>4560</v>
      </c>
      <c r="C101" s="5"/>
      <c r="D101" s="6">
        <v>1085</v>
      </c>
      <c r="E101" s="6">
        <v>552</v>
      </c>
      <c r="F101" s="5"/>
      <c r="G101" s="5"/>
      <c r="H101" t="str">
        <f t="shared" si="18"/>
        <v>10001|4560$93001|$83001|1085$113001|552$123001|$193001|</v>
      </c>
      <c r="J101">
        <v>14</v>
      </c>
      <c r="K101">
        <v>6720</v>
      </c>
      <c r="L101" s="2"/>
      <c r="M101">
        <v>1474</v>
      </c>
      <c r="N101">
        <v>768</v>
      </c>
      <c r="O101" s="2"/>
      <c r="Q101" t="s">
        <v>881</v>
      </c>
    </row>
    <row r="102" spans="1:17">
      <c r="A102">
        <v>15</v>
      </c>
      <c r="B102">
        <v>4800</v>
      </c>
      <c r="C102" s="5"/>
      <c r="D102" s="6">
        <v>1128</v>
      </c>
      <c r="E102" s="6">
        <v>576</v>
      </c>
      <c r="F102" s="5"/>
      <c r="G102" s="5"/>
      <c r="H102" t="str">
        <f t="shared" si="18"/>
        <v>10001|4800$93001|$83001|1128$113001|576$123001|$193001|</v>
      </c>
      <c r="J102">
        <v>15</v>
      </c>
      <c r="K102">
        <v>6960</v>
      </c>
      <c r="L102" s="2"/>
      <c r="M102">
        <v>1517</v>
      </c>
      <c r="N102">
        <v>792</v>
      </c>
      <c r="O102" s="2"/>
      <c r="Q102" t="s">
        <v>882</v>
      </c>
    </row>
    <row r="103" spans="1:17">
      <c r="A103">
        <v>16</v>
      </c>
      <c r="B103">
        <v>5040</v>
      </c>
      <c r="C103" s="5"/>
      <c r="D103" s="6">
        <v>1171</v>
      </c>
      <c r="E103" s="6">
        <v>600</v>
      </c>
      <c r="F103" s="5"/>
      <c r="G103" s="5"/>
      <c r="H103" t="str">
        <f t="shared" si="18"/>
        <v>10001|5040$93001|$83001|1171$113001|600$123001|$193001|</v>
      </c>
      <c r="J103">
        <v>16</v>
      </c>
      <c r="K103">
        <v>7200</v>
      </c>
      <c r="L103" s="2"/>
      <c r="M103">
        <v>1560</v>
      </c>
      <c r="N103">
        <v>816</v>
      </c>
      <c r="O103" s="2"/>
      <c r="Q103" t="s">
        <v>883</v>
      </c>
    </row>
    <row r="104" spans="1:17">
      <c r="A104">
        <v>17</v>
      </c>
      <c r="B104">
        <v>5280</v>
      </c>
      <c r="C104" s="5"/>
      <c r="D104" s="6">
        <v>1214</v>
      </c>
      <c r="E104" s="6">
        <v>624</v>
      </c>
      <c r="F104" s="5"/>
      <c r="G104" s="5"/>
      <c r="H104" t="str">
        <f t="shared" si="18"/>
        <v>10001|5280$93001|$83001|1214$113001|624$123001|$193001|</v>
      </c>
      <c r="J104">
        <v>17</v>
      </c>
      <c r="K104">
        <v>7440</v>
      </c>
      <c r="L104" s="2"/>
      <c r="M104">
        <v>1603</v>
      </c>
      <c r="N104">
        <v>840</v>
      </c>
      <c r="O104" s="2"/>
      <c r="Q104" t="s">
        <v>884</v>
      </c>
    </row>
    <row r="105" spans="1:17">
      <c r="A105">
        <v>18</v>
      </c>
      <c r="B105">
        <v>5520</v>
      </c>
      <c r="C105" s="5"/>
      <c r="D105" s="6">
        <v>1258</v>
      </c>
      <c r="E105" s="6">
        <v>648</v>
      </c>
      <c r="F105" s="5"/>
      <c r="G105" s="5"/>
      <c r="H105" t="str">
        <f t="shared" si="18"/>
        <v>10001|5520$93001|$83001|1258$113001|648$123001|$193001|</v>
      </c>
      <c r="J105">
        <v>18</v>
      </c>
      <c r="K105">
        <v>7680</v>
      </c>
      <c r="L105" s="2"/>
      <c r="M105">
        <v>1646</v>
      </c>
      <c r="N105">
        <v>864</v>
      </c>
      <c r="O105" s="2"/>
      <c r="Q105" t="s">
        <v>885</v>
      </c>
    </row>
    <row r="106" spans="1:17">
      <c r="A106">
        <v>19</v>
      </c>
      <c r="B106">
        <v>5760</v>
      </c>
      <c r="C106" s="5"/>
      <c r="D106" s="6">
        <v>1301</v>
      </c>
      <c r="E106" s="6">
        <v>672</v>
      </c>
      <c r="F106" s="5"/>
      <c r="G106" s="5"/>
      <c r="H106" t="str">
        <f t="shared" si="18"/>
        <v>10001|5760$93001|$83001|1301$113001|672$123001|$193001|</v>
      </c>
      <c r="J106">
        <v>19</v>
      </c>
      <c r="K106">
        <v>7920</v>
      </c>
      <c r="L106" s="2"/>
      <c r="M106">
        <v>1690</v>
      </c>
      <c r="N106">
        <v>888</v>
      </c>
      <c r="O106" s="2"/>
      <c r="Q106" t="s">
        <v>886</v>
      </c>
    </row>
    <row r="107" spans="1:17">
      <c r="A107">
        <v>20</v>
      </c>
      <c r="B107">
        <v>6000</v>
      </c>
      <c r="C107" s="5"/>
      <c r="D107" s="6">
        <v>1344</v>
      </c>
      <c r="E107" s="6">
        <v>696</v>
      </c>
      <c r="F107" s="5"/>
      <c r="G107" s="5"/>
      <c r="H107" t="str">
        <f t="shared" si="18"/>
        <v>10001|6000$93001|$83001|1344$113001|696$123001|$193001|</v>
      </c>
      <c r="J107">
        <v>20</v>
      </c>
      <c r="K107">
        <v>8160</v>
      </c>
      <c r="L107" s="2"/>
      <c r="M107">
        <v>1733</v>
      </c>
      <c r="N107">
        <v>912</v>
      </c>
      <c r="O107" s="2"/>
      <c r="Q107" t="s">
        <v>887</v>
      </c>
    </row>
    <row r="108" spans="1:17">
      <c r="A108">
        <v>21</v>
      </c>
      <c r="B108">
        <v>6240</v>
      </c>
      <c r="C108" s="5"/>
      <c r="D108" s="6">
        <v>1387</v>
      </c>
      <c r="E108" s="6">
        <v>720</v>
      </c>
      <c r="G108" s="5"/>
      <c r="H108" t="str">
        <f t="shared" si="18"/>
        <v>10001|6240$93001|$83001|1387$113001|720$123001|$193001|</v>
      </c>
      <c r="J108">
        <v>21</v>
      </c>
      <c r="K108">
        <v>8400</v>
      </c>
      <c r="L108" s="2"/>
      <c r="M108">
        <v>1776</v>
      </c>
      <c r="N108">
        <v>936</v>
      </c>
      <c r="O108" s="2"/>
      <c r="Q108" t="s">
        <v>888</v>
      </c>
    </row>
    <row r="109" spans="1:17">
      <c r="A109">
        <v>22</v>
      </c>
      <c r="B109">
        <v>6480</v>
      </c>
      <c r="C109" s="5"/>
      <c r="D109" s="6">
        <v>1430</v>
      </c>
      <c r="E109" s="6">
        <v>744</v>
      </c>
      <c r="G109" s="5"/>
      <c r="H109" t="str">
        <f t="shared" si="18"/>
        <v>10001|6480$93001|$83001|1430$113001|744$123001|$193001|</v>
      </c>
      <c r="J109">
        <v>22</v>
      </c>
      <c r="K109">
        <v>8640</v>
      </c>
      <c r="L109" s="2"/>
      <c r="M109">
        <v>1819</v>
      </c>
      <c r="N109">
        <v>960</v>
      </c>
      <c r="O109" s="2"/>
      <c r="Q109" t="s">
        <v>889</v>
      </c>
    </row>
    <row r="110" spans="1:17">
      <c r="A110">
        <v>23</v>
      </c>
      <c r="B110">
        <v>6720</v>
      </c>
      <c r="C110" s="5"/>
      <c r="D110" s="6">
        <v>1474</v>
      </c>
      <c r="E110" s="6">
        <v>768</v>
      </c>
      <c r="G110" s="5"/>
      <c r="H110" t="str">
        <f t="shared" si="18"/>
        <v>10001|6720$93001|$83001|1474$113001|768$123001|$193001|</v>
      </c>
      <c r="J110">
        <v>23</v>
      </c>
      <c r="K110">
        <v>8880</v>
      </c>
      <c r="L110" s="2"/>
      <c r="M110">
        <v>1862</v>
      </c>
      <c r="N110">
        <v>984</v>
      </c>
      <c r="O110" s="2"/>
      <c r="Q110" t="s">
        <v>890</v>
      </c>
    </row>
    <row r="111" spans="1:17">
      <c r="A111">
        <v>24</v>
      </c>
      <c r="B111">
        <v>6960</v>
      </c>
      <c r="C111" s="5"/>
      <c r="D111" s="6">
        <v>1517</v>
      </c>
      <c r="E111" s="6">
        <v>792</v>
      </c>
      <c r="G111" s="5"/>
      <c r="H111" t="str">
        <f t="shared" si="18"/>
        <v>10001|6960$93001|$83001|1517$113001|792$123001|$193001|</v>
      </c>
      <c r="J111">
        <v>24</v>
      </c>
      <c r="K111">
        <v>9120</v>
      </c>
      <c r="L111" s="2"/>
      <c r="M111">
        <v>1905</v>
      </c>
      <c r="N111">
        <v>1008</v>
      </c>
      <c r="O111" s="2"/>
      <c r="Q111" t="s">
        <v>891</v>
      </c>
    </row>
    <row r="112" spans="1:17">
      <c r="A112">
        <v>25</v>
      </c>
      <c r="B112">
        <v>7200</v>
      </c>
      <c r="C112" s="5"/>
      <c r="D112" s="6">
        <v>1560</v>
      </c>
      <c r="E112" s="6">
        <v>816</v>
      </c>
      <c r="H112" t="str">
        <f t="shared" si="18"/>
        <v>10001|7200$93001|$83001|1560$113001|816$123001|$193001|</v>
      </c>
      <c r="J112">
        <v>25</v>
      </c>
      <c r="K112">
        <v>9360</v>
      </c>
      <c r="L112" s="2"/>
      <c r="M112">
        <v>1948</v>
      </c>
      <c r="N112">
        <v>1032</v>
      </c>
      <c r="O112" s="2"/>
      <c r="Q112" t="s">
        <v>892</v>
      </c>
    </row>
    <row r="113" spans="1:17">
      <c r="A113">
        <v>26</v>
      </c>
      <c r="B113">
        <v>7440</v>
      </c>
      <c r="C113" s="5"/>
      <c r="D113" s="6">
        <v>1603</v>
      </c>
      <c r="E113" s="6">
        <v>840</v>
      </c>
      <c r="H113" t="str">
        <f t="shared" si="18"/>
        <v>10001|7440$93001|$83001|1603$113001|840$123001|$193001|</v>
      </c>
      <c r="J113">
        <v>26</v>
      </c>
      <c r="K113">
        <v>9600</v>
      </c>
      <c r="L113" s="2"/>
      <c r="M113">
        <v>1991</v>
      </c>
      <c r="N113">
        <v>1056</v>
      </c>
      <c r="O113" s="2"/>
      <c r="Q113" t="s">
        <v>893</v>
      </c>
    </row>
    <row r="114" spans="1:17">
      <c r="A114">
        <v>27</v>
      </c>
      <c r="B114">
        <v>7680</v>
      </c>
      <c r="C114" s="5"/>
      <c r="D114" s="6">
        <v>1646</v>
      </c>
      <c r="E114" s="6">
        <v>864</v>
      </c>
      <c r="H114" t="str">
        <f t="shared" si="18"/>
        <v>10001|7680$93001|$83001|1646$113001|864$123001|$193001|</v>
      </c>
      <c r="J114">
        <v>27</v>
      </c>
      <c r="K114">
        <v>9840</v>
      </c>
      <c r="L114" s="2"/>
      <c r="M114">
        <v>2034</v>
      </c>
      <c r="N114">
        <v>1080</v>
      </c>
      <c r="O114" s="2"/>
      <c r="Q114" t="s">
        <v>894</v>
      </c>
    </row>
    <row r="115" spans="1:17">
      <c r="A115">
        <v>28</v>
      </c>
      <c r="B115">
        <v>7920</v>
      </c>
      <c r="C115" s="5"/>
      <c r="D115" s="6">
        <v>1690</v>
      </c>
      <c r="E115" s="6">
        <v>888</v>
      </c>
      <c r="H115" t="str">
        <f t="shared" si="18"/>
        <v>10001|7920$93001|$83001|1690$113001|888$123001|$193001|</v>
      </c>
      <c r="J115">
        <v>28</v>
      </c>
      <c r="K115">
        <v>10080</v>
      </c>
      <c r="L115" s="2"/>
      <c r="M115">
        <v>2077</v>
      </c>
      <c r="N115">
        <v>1104</v>
      </c>
      <c r="O115" s="2"/>
      <c r="Q115" t="s">
        <v>895</v>
      </c>
    </row>
    <row r="116" spans="1:17">
      <c r="A116">
        <v>29</v>
      </c>
      <c r="B116">
        <v>8160</v>
      </c>
      <c r="C116" s="5"/>
      <c r="D116" s="6">
        <v>1733</v>
      </c>
      <c r="E116" s="6">
        <v>912</v>
      </c>
      <c r="H116" t="str">
        <f t="shared" si="18"/>
        <v>10001|8160$93001|$83001|1733$113001|912$123001|$193001|</v>
      </c>
      <c r="J116">
        <v>29</v>
      </c>
      <c r="K116">
        <v>10320</v>
      </c>
      <c r="L116" s="2"/>
      <c r="M116">
        <v>2120</v>
      </c>
      <c r="N116">
        <v>1128</v>
      </c>
      <c r="O116" s="2"/>
      <c r="Q116" t="s">
        <v>896</v>
      </c>
    </row>
    <row r="117" spans="1:17">
      <c r="A117">
        <v>30</v>
      </c>
      <c r="B117">
        <v>8400</v>
      </c>
      <c r="C117" s="5"/>
      <c r="D117" s="6">
        <v>1776</v>
      </c>
      <c r="E117" s="6">
        <v>936</v>
      </c>
      <c r="H117" t="str">
        <f t="shared" si="18"/>
        <v>10001|8400$93001|$83001|1776$113001|936$123001|$193001|</v>
      </c>
      <c r="J117">
        <v>30</v>
      </c>
      <c r="K117">
        <v>10560</v>
      </c>
      <c r="L117" s="2"/>
      <c r="M117">
        <v>2163</v>
      </c>
      <c r="N117">
        <v>1152</v>
      </c>
      <c r="O117" s="2"/>
      <c r="Q117" t="s">
        <v>897</v>
      </c>
    </row>
    <row r="118" spans="1:17">
      <c r="A118">
        <v>31</v>
      </c>
      <c r="B118">
        <v>8640</v>
      </c>
      <c r="D118" s="6">
        <v>1819</v>
      </c>
      <c r="E118" s="6">
        <v>960</v>
      </c>
      <c r="H118" t="str">
        <f t="shared" si="18"/>
        <v>10001|8640$93001|$83001|1819$113001|960$123001|$193001|</v>
      </c>
    </row>
    <row r="119" spans="1:17">
      <c r="A119">
        <v>32</v>
      </c>
      <c r="B119">
        <v>8880</v>
      </c>
      <c r="D119" s="6">
        <v>1862</v>
      </c>
      <c r="E119" s="6">
        <v>984</v>
      </c>
      <c r="H119" t="str">
        <f t="shared" si="18"/>
        <v>10001|8880$93001|$83001|1862$113001|984$123001|$193001|</v>
      </c>
    </row>
    <row r="120" spans="1:17">
      <c r="A120">
        <v>33</v>
      </c>
      <c r="B120">
        <v>9120</v>
      </c>
      <c r="D120" s="6">
        <v>1905</v>
      </c>
      <c r="E120" s="6">
        <v>1008</v>
      </c>
      <c r="H120" t="str">
        <f t="shared" si="18"/>
        <v>10001|9120$93001|$83001|1905$113001|1008$123001|$193001|</v>
      </c>
    </row>
    <row r="121" spans="1:17">
      <c r="A121">
        <v>34</v>
      </c>
      <c r="B121">
        <v>9360</v>
      </c>
      <c r="D121" s="6">
        <v>1948</v>
      </c>
      <c r="E121" s="6">
        <v>1032</v>
      </c>
      <c r="H121" t="str">
        <f t="shared" si="18"/>
        <v>10001|9360$93001|$83001|1948$113001|1032$123001|$193001|</v>
      </c>
    </row>
    <row r="122" spans="1:17">
      <c r="A122">
        <v>35</v>
      </c>
      <c r="B122">
        <v>9600</v>
      </c>
      <c r="D122" s="6">
        <v>1991</v>
      </c>
      <c r="E122" s="6">
        <v>1056</v>
      </c>
      <c r="H122" t="str">
        <f t="shared" si="18"/>
        <v>10001|9600$93001|$83001|1991$113001|1056$123001|$193001|</v>
      </c>
    </row>
    <row r="123" spans="1:17">
      <c r="A123">
        <v>36</v>
      </c>
      <c r="B123">
        <v>9840</v>
      </c>
      <c r="D123" s="6">
        <v>2034</v>
      </c>
      <c r="E123" s="6">
        <v>1080</v>
      </c>
      <c r="H123" t="str">
        <f t="shared" si="18"/>
        <v>10001|9840$93001|$83001|2034$113001|1080$123001|$193001|</v>
      </c>
    </row>
    <row r="124" spans="1:17">
      <c r="A124">
        <v>37</v>
      </c>
      <c r="B124">
        <v>10080</v>
      </c>
      <c r="D124" s="6">
        <v>2077</v>
      </c>
      <c r="E124" s="6">
        <v>1104</v>
      </c>
      <c r="H124" t="str">
        <f t="shared" si="18"/>
        <v>10001|10080$93001|$83001|2077$113001|1104$123001|$193001|</v>
      </c>
    </row>
    <row r="125" spans="1:17">
      <c r="A125">
        <v>38</v>
      </c>
      <c r="B125">
        <v>10320</v>
      </c>
      <c r="D125" s="6">
        <v>2120</v>
      </c>
      <c r="E125" s="6">
        <v>1128</v>
      </c>
      <c r="H125" t="str">
        <f t="shared" si="18"/>
        <v>10001|10320$93001|$83001|2120$113001|1128$123001|$193001|</v>
      </c>
    </row>
    <row r="126" spans="1:17">
      <c r="A126">
        <v>39</v>
      </c>
      <c r="B126">
        <v>10560</v>
      </c>
      <c r="D126" s="6">
        <v>2163</v>
      </c>
      <c r="E126" s="6">
        <v>1152</v>
      </c>
      <c r="H126" t="str">
        <f t="shared" si="18"/>
        <v>10001|10560$93001|$83001|2163$113001|1152$123001|$193001|</v>
      </c>
    </row>
    <row r="127" spans="1:17">
      <c r="A127">
        <v>40</v>
      </c>
      <c r="B127">
        <v>10800</v>
      </c>
      <c r="D127" s="6">
        <v>2206</v>
      </c>
      <c r="E127" s="6">
        <v>1176</v>
      </c>
      <c r="H127" t="str">
        <f t="shared" si="18"/>
        <v>10001|10800$93001|$83001|2206$113001|1176$123001|$193001|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关卡奖励</vt:lpstr>
      <vt:lpstr>固定关卡奖励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2021-08-15T14:55:00Z</dcterms:created>
  <dcterms:modified xsi:type="dcterms:W3CDTF">2026-01-27T03:50:56Z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20758242B31843FA9BE3A91DF128943E_12</vt:lpwstr>
  </property>
  <property fmtid="{D5CDD505-2E9C-101B-9397-08002B2CF9AE}" pid="4" name="CalculationRule">
    <vt:i4>0</vt:i4>
  </property>
</Properties>
</file>