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300"/>
  </bookViews>
  <sheets>
    <sheet name="Sheet2" sheetId="1" r:id="rId1"/>
    <sheet name="Sheet3" sheetId="2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<sst xmlns="http://schemas.openxmlformats.org/spreadsheetml/2006/main" count="960" uniqueCount="419">
  <si>
    <t>##var</t>
  </si>
  <si>
    <t>id</t>
  </si>
  <si>
    <t>name</t>
  </si>
  <si>
    <t>des</t>
  </si>
  <si>
    <t>puGong</t>
  </si>
  <si>
    <t>foreRollEffectName</t>
  </si>
  <si>
    <t>effectName</t>
  </si>
  <si>
    <t>foreRollTime</t>
  </si>
  <si>
    <t>centerTime</t>
  </si>
  <si>
    <t>damageTimeArr</t>
  </si>
  <si>
    <t>screenShakeStrength</t>
  </si>
  <si>
    <t>iconName</t>
  </si>
  <si>
    <t>energyAddTimeArr</t>
  </si>
  <si>
    <t>energyAddArr</t>
  </si>
  <si>
    <t>energyNeed</t>
  </si>
  <si>
    <t>upgradeDesArr</t>
  </si>
  <si>
    <t>jingMai</t>
  </si>
  <si>
    <t>param</t>
  </si>
  <si>
    <t>haveBuff</t>
  </si>
  <si>
    <t>beforeAddBuff</t>
  </si>
  <si>
    <t>skillType</t>
  </si>
  <si>
    <t>hitAudio</t>
  </si>
  <si>
    <t>haveAttack</t>
  </si>
  <si>
    <t>cd</t>
  </si>
  <si>
    <t>yuanSu</t>
  </si>
  <si>
    <t>canStudy</t>
  </si>
  <si>
    <t>##type</t>
  </si>
  <si>
    <t>string</t>
  </si>
  <si>
    <t>##</t>
  </si>
  <si>
    <t>211010</t>
  </si>
  <si>
    <t>圣辉震荡</t>
  </si>
  <si>
    <t>冲击波</t>
  </si>
  <si>
    <t>1</t>
  </si>
  <si>
    <t>RingAttack</t>
  </si>
  <si>
    <t>0.2</t>
  </si>
  <si>
    <t>0.7</t>
  </si>
  <si>
    <t>0.28</t>
  </si>
  <si>
    <t>20</t>
  </si>
  <si>
    <t>img_jineng1</t>
  </si>
  <si>
    <t>伤害：50%|伤害：55%|伤害：60%|伤害：65%|伤害：70%|伤害：75%</t>
  </si>
  <si>
    <t>0</t>
  </si>
  <si>
    <t>etfx_explosion_plasma</t>
  </si>
  <si>
    <t>5</t>
  </si>
  <si>
    <t>211011</t>
  </si>
  <si>
    <t>春宴赐福</t>
  </si>
  <si>
    <t>造成5段伤害，并给自己施加“再生”状态，持续3回合</t>
  </si>
  <si>
    <t>Effect_jinFengYuLu</t>
  </si>
  <si>
    <t>2</t>
  </si>
  <si>
    <t>1.2|1.4|1.6|1.8|1.9</t>
  </si>
  <si>
    <t>10|12|14|14|14</t>
  </si>
  <si>
    <t>img_jieng2</t>
  </si>
  <si>
    <t>30</t>
  </si>
  <si>
    <t>一段伤害：0%\n二段伤害:0%\n三段伤害:0%\n四段伤害：0%\n五段伤害:0%|一段伤害：6%\n二段伤害:6%\n三段伤害:6%\n四段伤害：6%\n五段伤害:6%|一段伤害：18%\n二段伤害:18%\n三段伤害:18%\n四段伤害：18%\n五段伤害:18%|一段伤害：24%\n二段伤害:24%\n三段伤害:24%\n四段伤害：24%\n五段伤害:24%|一段伤害：30%\n二段伤害:30%\n三段伤害:50%\n四段伤害：50%\n五段伤害:50%|一段伤害：55%\n二段伤害:55%\n三段伤害:55%\n四段伤害：55%\n五段伤害:55%</t>
  </si>
  <si>
    <t>0|1|2|3|4|5</t>
  </si>
  <si>
    <t>10032</t>
  </si>
  <si>
    <t>lingDanAudio|lingDanAudio|lingDanAudio|lingDanAudio|lingDanAudio</t>
  </si>
  <si>
    <t>4</t>
  </si>
  <si>
    <t>212010</t>
  </si>
  <si>
    <t>剑普攻</t>
  </si>
  <si>
    <t>SkillEffect_SwordAttack</t>
  </si>
  <si>
    <t>0.5</t>
  </si>
  <si>
    <t>伤害：60%|伤害：65%|伤害：70%|伤害：75%|伤害：80%|伤害：85%</t>
  </si>
  <si>
    <t>swordHit</t>
  </si>
  <si>
    <t>212011</t>
  </si>
  <si>
    <t>月刃连斩</t>
  </si>
  <si>
    <t>造成6段伤害，并对对方施加“禁疗”状态，持续3回合</t>
  </si>
  <si>
    <t>jiuShuiLianDaZhao</t>
  </si>
  <si>
    <t>0.08|0.38|0.72|2.06|2.24|2.26</t>
  </si>
  <si>
    <t>10|12|14|20|30|40</t>
  </si>
  <si>
    <t>img_jineng_yueyaobahuang</t>
  </si>
  <si>
    <t>一段伤害：30%\n二段伤害:30%\n三段伤害:30%\n四段伤害：60%\n五段伤害:60%\n六段伤害:60%|一段伤害：35%\n二段伤害:35%\n三段伤害:35%\n四段伤害：65%\n五段伤害:65%\n六段伤害:65%|一段伤害：40%\n二段伤害:40%\n三段伤害:40%\n四段伤害：70%\n五段伤害:70%\n六段伤害:70%|一段伤害：45%\n二段伤害:45%\n三段伤害:45%\n四段伤害：75%\n五段伤害:75%\n六段伤害:75%|一段伤害：50%\n二段伤害:50%\n三段伤害:50%\n四段伤害：80%\n五段伤害:80%\n六段伤害:80%|一段伤害：55%\n二段伤害:55%\n三段伤害:55%\n四段伤害：85%\n五段伤害:85%\n六段伤害:85%</t>
  </si>
  <si>
    <t>10021</t>
  </si>
  <si>
    <t>swordHit|swordHit|swordHit|baoZha|baoZha|baoZha</t>
  </si>
  <si>
    <t>6</t>
  </si>
  <si>
    <t>221010</t>
  </si>
  <si>
    <t>221011</t>
  </si>
  <si>
    <t>吃点叶子</t>
  </si>
  <si>
    <t>一段伤害：30%\n二段伤害:30%\n三段伤害:30%\n四段伤害：30%\n五段伤害:30%|一段伤害：35%\n二段伤害:35%\n三段伤害:35%\n四段伤害：35%\n五段伤害:35%|一段伤害：40%\n二段伤害:40%\n三段伤害:40%\n四段伤害：40%\n五段伤害:40%|一段伤害：45%\n二段伤害:45%\n三段伤害:45%\n四段伤害：45%\n五段伤害:45%|一段伤害：50%\n二段伤害:50%\n三段伤害:50%\n四段伤害：50%\n五段伤害:50%|一段伤害：55%\n二段伤害:55%\n三段伤害:55%\n四段伤害：55%\n五段伤害:55%</t>
  </si>
  <si>
    <t>222010</t>
  </si>
  <si>
    <t>青铜剑普攻</t>
  </si>
  <si>
    <t>222011</t>
  </si>
  <si>
    <t>装逼利器</t>
  </si>
  <si>
    <t>231010</t>
  </si>
  <si>
    <t>231011</t>
  </si>
  <si>
    <t>232010</t>
  </si>
  <si>
    <t>232011</t>
  </si>
  <si>
    <t>141001</t>
  </si>
  <si>
    <t>天穹雷击</t>
  </si>
  <si>
    <t>感受天雷的威力</t>
  </si>
  <si>
    <t>skill_ljiutianxuanleijie</t>
  </si>
  <si>
    <t>0.97|1.16|1.2|1.24|1.28|1.34|1.38|1.42</t>
  </si>
  <si>
    <t>30|12|14|14|14|14|14|14</t>
  </si>
  <si>
    <t>img_jineng_jiutianxuanliejie</t>
  </si>
  <si>
    <t>1段伤害:0\n2段伤害:0\n3段伤害:0\n4段伤害:0\n5段伤害:0$1段伤害:5\n2段伤害:5\n3段伤害:5\n4段伤害:5\n5段伤害:5$1段伤害:10\n2段伤害:10\n3段伤害:10\n4段伤害:10\n5段伤害:10$1段伤害:15\n2段伤害:15\n3段伤害:15\n4段伤害:15\n5段伤害:15$1段伤害:20\n2段伤害:20\n3段伤害:20\n4段伤害:20\n5段伤害:20$1段伤害:25\n2段伤害:25\n3段伤害:25\n4段伤害:25\n5段伤害:25$1段伤害:30\n2段伤害:30\n3段伤害:30\n4段伤害:30\n5段伤害:30$1段伤害:35\n2段伤害:35\n3段伤害:35\n4段伤害:35\n5段伤害:35$1段伤害:40\n2段伤害:40\n3段伤害:40\n4段伤害:40\n5段伤害:40$1段伤害:45\n2段伤害:45\n3段伤害:45\n4段伤害:45\n5段伤害:45$1段伤害:50\n2段伤害:50\n3段伤害:50\n4段伤害:50\n5段伤害:50$1段伤害:55\n2段伤害:55\n3段伤害:55\n4段伤害:55\n5段伤害:55$1段伤害:60\n2段伤害:60\n3段伤害:60\n4段伤害:60\n5段伤害:60$1段伤害:65\n2段伤害:65\n3段伤害:65\n4段伤害:65\n5段伤害:65$1段伤害:70\n2段伤害:70\n3段伤害:70\n4段伤害:70\n5段伤害:70$1段伤害:75\n2段伤害:75\n3段伤害:75\n4段伤害:75\n5段伤害:75$1段伤害:80\n2段伤害:80\n3段伤害:80\n4段伤害:80\n5段伤害:80$1段伤害:85\n2段伤害:85\n3段伤害:85\n4段伤害:85\n5段伤害:85$1段伤害:90\n2段伤害:90\n3段伤害:90\n4段伤害:90\n5段伤害:90$1段伤害:95\n2段伤害:95\n3段伤害:95\n4段伤害:95\n5段伤害:95$1段伤害:100\n2段伤害:100\n3段伤害:100\n4段伤害:100\n5段伤害:100$1段伤害:105\n2段伤害:105\n3段伤害:105\n4段伤害:105\n5段伤害:105$1段伤害:110\n2段伤害:110\n3段伤害:110\n4段伤害:110\n5段伤害:110$1段伤害:115\n2段伤害:115\n3段伤害:115\n4段伤害:115\n5段伤害:115$1段伤害:120\n2段伤害:120\n3段伤害:120\n4段伤害:120\n5段伤害:120$1段伤害:125\n2段伤害:125\n3段伤害:125\n4段伤害:125\n5段伤害:125$1段伤害:130\n2段伤害:130\n3段伤害:130\n4段伤害:130\n5段伤害:130$1段伤害:135\n2段伤害:135\n3段伤害:135\n4段伤害:135\n5段伤害:135$1段伤害:140\n2段伤害:140\n3段伤害:140\n4段伤害:140\n5段伤害:140$1段伤害:145\n2段伤害:145\n3段伤害:145\n4段伤害:145\n5段伤害:145$1段伤害:150\n2段伤害:150\n3段伤害:150\n4段伤害:150\n5段伤害:150$1段伤害:155\n2段伤害:155\n3段伤害:155\n4段伤害:155\n5段伤害:155$1段伤害:160\n2段伤害:160\n3段伤害:160\n4段伤害:160\n5段伤害:160$1段伤害:165\n2段伤害:165\n3段伤害:165\n4段伤害:165\n5段伤害:165$1段伤害:170\n2段伤害:170\n3段伤害:170\n4段伤害:170\n5段伤害:170$1段伤害:175\n2段伤害:175\n3段伤害:175\n4段伤害:175\n5段伤害:175$1段伤害:180\n2段伤害:180\n3段伤害:180\n4段伤害:180\n5段伤害:180$1段伤害:185\n2段伤害:185\n3段伤害:185\n4段伤害:185\n5段伤害:185$1段伤害:190\n2段伤害:190\n3段伤害:190\n4段伤害:190\n5段伤害:190$1段伤害:195\n2段伤害:195\n3段伤害:195\n4段伤害:195\n5段伤害:195$1段伤害:200\n2段伤害:200\n3段伤害:200\n4段伤害:200\n5段伤害:200$1段伤害:205\n2段伤害:205\n3段伤害:205\n4段伤害:205\n5段伤害:205$1段伤害:210\n2段伤害:210\n3段伤害:210\n4段伤害:210\n5段伤害:210$1段伤害:215\n2段伤害:215\n3段伤害:215\n4段伤害:215\n5段伤害:215$1段伤害:220\n2段伤害:220\n3段伤害:220\n4段伤害:220\n5段伤害:220$1段伤害:225\n2段伤害:225\n3段伤害:225\n4段伤害:225\n5段伤害:225$1段伤害:230\n2段伤害:230\n3段伤害:230\n4段伤害:230\n5段伤害:230$1段伤害:235\n2段伤害:235\n3段伤害:235\n4段伤害:235\n5段伤害:235$1段伤害:240\n2段伤害:240\n3段伤害:240\n4段伤害:240\n5段伤害:240$1段伤害:245\n2段伤害:245\n3段伤害:245\n4段伤害:245\n5段伤害:245</t>
  </si>
  <si>
    <t>jiutianxuanleijueStart|lightning_bolt|lightning_bolt|lightning_bolt|lightning_bolt|lightning_bolt|lightning_bolt|lightning_bolt</t>
  </si>
  <si>
    <t>3</t>
  </si>
  <si>
    <t>213001</t>
  </si>
  <si>
    <t>王庭镇压</t>
  </si>
  <si>
    <t>一道金色椭圆阵法击向敌方，造成一段伤害，并对敌方施加【眩晕】状态</t>
  </si>
  <si>
    <t>baiming_tiangangzhengya</t>
  </si>
  <si>
    <t>1.29</t>
  </si>
  <si>
    <t>0.9</t>
  </si>
  <si>
    <t>img_jineng_tiangangzhengya</t>
  </si>
  <si>
    <t>10052</t>
  </si>
  <si>
    <t>660001</t>
  </si>
  <si>
    <t>圣盾守身</t>
  </si>
  <si>
    <t>形成一个减伤150%的护盾</t>
  </si>
  <si>
    <t>skill_liantaishoushenjie</t>
  </si>
  <si>
    <t>img_jineng_liantaishoushenjue</t>
  </si>
  <si>
    <t>5|4|3|2|1|0</t>
  </si>
  <si>
    <t>110001</t>
  </si>
  <si>
    <t>火雨轰击</t>
  </si>
  <si>
    <t xml:space="preserve">召唤红色火球，从头顶击下，对方身上每有一层灼烧状态，暴击率提升10% </t>
  </si>
  <si>
    <t>yanhuo_firebaolei</t>
  </si>
  <si>
    <t>0.8</t>
  </si>
  <si>
    <t>0.2|0.40|0.42</t>
  </si>
  <si>
    <t>10|10|10</t>
  </si>
  <si>
    <t>img_jineng_huoyanbaohong</t>
  </si>
  <si>
    <t>季狸普攻</t>
  </si>
  <si>
    <t>盗贼的阴招</t>
  </si>
  <si>
    <t>jili_pugong</t>
  </si>
  <si>
    <t>0.1</t>
  </si>
  <si>
    <t>15</t>
  </si>
  <si>
    <t>770001</t>
  </si>
  <si>
    <t>暗线侵蚀</t>
  </si>
  <si>
    <t>打出一道缠绕黑光的细线击中对方，并施加状态【恶意】</t>
  </si>
  <si>
    <t>jili_shenniangongji_ji</t>
  </si>
  <si>
    <t>1.2</t>
  </si>
  <si>
    <t>0.25</t>
  </si>
  <si>
    <t>25</t>
  </si>
  <si>
    <t>img_jineng_shennianwuzhang</t>
  </si>
  <si>
    <t>6|7|4|5|3|1</t>
  </si>
  <si>
    <t>10002</t>
  </si>
  <si>
    <t>7</t>
  </si>
  <si>
    <t>110002</t>
  </si>
  <si>
    <t>瘴雾爆破</t>
  </si>
  <si>
    <t>打出一团紫黑色雾气笼罩敌方，造成巨量伤害，并施加“沉默”状态</t>
  </si>
  <si>
    <t>jili_mihuanwuzhang</t>
  </si>
  <si>
    <t>0.17</t>
  </si>
  <si>
    <t>40</t>
  </si>
  <si>
    <t>img_jineng_baoliewuzhang</t>
  </si>
  <si>
    <t>10017</t>
  </si>
  <si>
    <t>330001</t>
  </si>
  <si>
    <t>战地疗愈</t>
  </si>
  <si>
    <t>回复部分生命，并驱散自身所有负面效果</t>
  </si>
  <si>
    <t>skill_taishangjingshenjue</t>
  </si>
  <si>
    <t>img_jineng_huiyujingshenjue</t>
  </si>
  <si>
    <t>2|1|3|5|4|7</t>
  </si>
  <si>
    <t>110003</t>
  </si>
  <si>
    <t>水影连击</t>
  </si>
  <si>
    <t>打出一套连击，造成5段水属性伤害</t>
  </si>
  <si>
    <t>jili_zhihuanguangshu_1</t>
  </si>
  <si>
    <t>0.4|0.52|0.6|0.68|0.77</t>
  </si>
  <si>
    <t>img_jineng_jianyingfenshen</t>
  </si>
  <si>
    <t>110004</t>
  </si>
  <si>
    <t>幽火坠击</t>
  </si>
  <si>
    <t>打出一簇幽蓝鬼火，造成两段伤害，并施加“萎靡”状态</t>
  </si>
  <si>
    <t>jili_guitianyunzhang</t>
  </si>
  <si>
    <t>0.3</t>
  </si>
  <si>
    <t>0.16|0.18</t>
  </si>
  <si>
    <t>20|40</t>
  </si>
  <si>
    <t>img_jineng_guitianyunzhang</t>
  </si>
  <si>
    <t>10028</t>
  </si>
  <si>
    <t>440001</t>
  </si>
  <si>
    <t>冰镜反射</t>
  </si>
  <si>
    <t xml:space="preserve">  </t>
  </si>
  <si>
    <t>tianbaohuajing</t>
  </si>
  <si>
    <t>img_jineng_tianbaohuajing</t>
  </si>
  <si>
    <t>3|1|2|5|4|7</t>
  </si>
  <si>
    <t>10003</t>
  </si>
  <si>
    <t>440002</t>
  </si>
  <si>
    <t>城防弩卫</t>
  </si>
  <si>
    <t>召唤5名弩卫，每个回合都射出5箭，每箭都造成一次普攻的伤害</t>
  </si>
  <si>
    <t>jili_shishenhuwei_11</t>
  </si>
  <si>
    <t>.5</t>
  </si>
  <si>
    <t>100</t>
  </si>
  <si>
    <t>10004</t>
  </si>
  <si>
    <t>99999</t>
  </si>
  <si>
    <t>110005</t>
  </si>
  <si>
    <t>城防弩卫（强袭）</t>
  </si>
  <si>
    <t>守城弩卫兵，每个回合射出5支光箭，每箭都造成一次普攻的伤害</t>
  </si>
  <si>
    <t>jili_shishenhuwei_33</t>
  </si>
  <si>
    <t>1.5</t>
  </si>
  <si>
    <t>0.3|0.53|0.77|0.98|1.22</t>
  </si>
  <si>
    <t>20|20|20|20|20</t>
  </si>
  <si>
    <t>880001</t>
  </si>
  <si>
    <t>束缚打击</t>
  </si>
  <si>
    <t>打出1道攻击，击中造成伤害，并施加“束缚”状态；当对方抗性不大于20%时，束缚必定成功</t>
  </si>
  <si>
    <t>jili_shihaibaodong_1</t>
  </si>
  <si>
    <t>0.84</t>
  </si>
  <si>
    <t>0.13</t>
  </si>
  <si>
    <t>35</t>
  </si>
  <si>
    <t>7|4|5|3|1|2</t>
  </si>
  <si>
    <t>10005</t>
  </si>
  <si>
    <t>8</t>
  </si>
  <si>
    <t>660002</t>
  </si>
  <si>
    <t>号角护盾</t>
  </si>
  <si>
    <t>周身出现一个防御护罩，如果在5个回合内无法打破，则恢复30%生命，否则进入“破防”状态，持续3回合</t>
  </si>
  <si>
    <t>jili_tianyinhudun</t>
  </si>
  <si>
    <t>10006</t>
  </si>
  <si>
    <t>110006</t>
  </si>
  <si>
    <t>献祭狂吼</t>
  </si>
  <si>
    <t>燃烧灵魂，攻击力+400％的恐怖普攻，持续到死亡</t>
  </si>
  <si>
    <t>550001</t>
  </si>
  <si>
    <t>疾行身法</t>
  </si>
  <si>
    <t>以降低攻击力为代价，将攻击速率加快，持续5个回合</t>
  </si>
  <si>
    <t>skill_pianhonglingdongjue</t>
  </si>
  <si>
    <t>img_jineng_1</t>
  </si>
  <si>
    <t>4|5|3|1|2|0</t>
  </si>
  <si>
    <t>10008</t>
  </si>
  <si>
    <t>10</t>
  </si>
  <si>
    <t>440003</t>
  </si>
  <si>
    <t>战意号令</t>
  </si>
  <si>
    <t>对自身施加“加攻”状态</t>
  </si>
  <si>
    <t>skill_zhenyuanchiyangjue</t>
  </si>
  <si>
    <t>img_jineng_shishenshouwei</t>
  </si>
  <si>
    <t>10009</t>
  </si>
  <si>
    <t>220001</t>
  </si>
  <si>
    <t>圣芒连击</t>
  </si>
  <si>
    <t>释放五道神圣剑芒造成连段伤害，招式结束后回复自身蓝量。</t>
  </si>
  <si>
    <t>skill_sanhuajudingjue</t>
  </si>
  <si>
    <t>0.27|0.35|0.45|0.55|0.68</t>
  </si>
  <si>
    <t>img_jineng_2</t>
  </si>
  <si>
    <t>1|3|5|4|7|6</t>
  </si>
  <si>
    <t>沸血之矛</t>
  </si>
  <si>
    <t>攻击施加“灼烧”状态，最多叠加5层</t>
  </si>
  <si>
    <t>yanhuo_huoyangongji</t>
  </si>
  <si>
    <t>0.21</t>
  </si>
  <si>
    <t>0.16</t>
  </si>
  <si>
    <t>10010</t>
  </si>
  <si>
    <t>110007</t>
  </si>
  <si>
    <t>烈火焚天</t>
  </si>
  <si>
    <t>召唤红色火球，从头顶击下，造成一片火海，并附加5层“灼烧”状态</t>
  </si>
  <si>
    <t>yanhuo_firefengtian</t>
  </si>
  <si>
    <t>0.15</t>
  </si>
  <si>
    <t>img_jineng_liehuofentian</t>
  </si>
  <si>
    <t>110008</t>
  </si>
  <si>
    <t>霜裂重击</t>
  </si>
  <si>
    <t>造成一次冰属性伤害，若敌人处于“潮湿”状态，则伤害提高30%</t>
  </si>
  <si>
    <t>PS_IceAttack_TUT</t>
  </si>
  <si>
    <t>水普攻</t>
  </si>
  <si>
    <t>yuansufanyi_3water</t>
  </si>
  <si>
    <t>火普攻</t>
  </si>
  <si>
    <t>yuansufanyi_1</t>
  </si>
  <si>
    <t>0.4</t>
  </si>
  <si>
    <t>雷普攻</t>
  </si>
  <si>
    <t>yuansufanyi_4light</t>
  </si>
  <si>
    <t>0.26</t>
  </si>
  <si>
    <t>冰普攻</t>
  </si>
  <si>
    <t>yuansufanyi_2ice</t>
  </si>
  <si>
    <t>0.6</t>
  </si>
  <si>
    <t>iceAttack2</t>
  </si>
  <si>
    <t>110009</t>
  </si>
  <si>
    <t>圣辉连射</t>
  </si>
  <si>
    <t>打出5发金色光弹，如果暴击则对对方施加“束缚”</t>
  </si>
  <si>
    <t>660003</t>
  </si>
  <si>
    <t>烈焰护盾</t>
  </si>
  <si>
    <t>周身出现一个防御护罩，打破后进入“破防”状态，持续3回合</t>
  </si>
  <si>
    <t>dun_huodun</t>
  </si>
  <si>
    <t>10051</t>
  </si>
  <si>
    <t>110010</t>
  </si>
  <si>
    <t>王庭气刃</t>
  </si>
  <si>
    <t>打出金色弧状气刃，造成一段伤害，并对敌方施加“虚弱”状态</t>
  </si>
  <si>
    <t>img_jineng_tiangangqijin</t>
  </si>
  <si>
    <t>10053</t>
  </si>
  <si>
    <t>660004</t>
  </si>
  <si>
    <t>金甲战躯</t>
  </si>
  <si>
    <t>体表泛出金光，对自身施加“力量”“铁壁”和“反伤”状态</t>
  </si>
  <si>
    <t>10055|10056|10057</t>
  </si>
  <si>
    <t>1|1|1</t>
  </si>
  <si>
    <t>660005</t>
  </si>
  <si>
    <t>金甲护身</t>
  </si>
  <si>
    <t>周身出现一层防御护罩，对自身施加“铁壁”“专注”和“守护”状态；打破后进入“破防”状态，持续3回合</t>
  </si>
  <si>
    <t>dun_guangdun</t>
  </si>
  <si>
    <t>10058|10041|10033|10054</t>
  </si>
  <si>
    <t>1|1|1|1</t>
  </si>
  <si>
    <t>110011</t>
  </si>
  <si>
    <t>冥焰血誓</t>
  </si>
  <si>
    <t>消耗部分生命值，造成一次烈焰伤害，并为自己附加“焰魂”状态持续4回合。在该状态下，暴击率提高10%，抗性提高30%，普攻对敌方施加“焰印”标记。该状态结束后，触发“爆炎”效果，再次对敌方造成巨额烈焰伤害，并回复生命值，若提前换人则立即触发“爆炎”。“爆炎”的伤害与生命回复与“焰印”层数相关。</t>
  </si>
  <si>
    <t>skill_bianchihun1</t>
  </si>
  <si>
    <t>img_jineng_bianchihun</t>
  </si>
  <si>
    <t>10061</t>
  </si>
  <si>
    <t>990012</t>
  </si>
  <si>
    <t>大地近卫战技</t>
  </si>
  <si>
    <t>990013</t>
  </si>
  <si>
    <t>皇焰遗烬</t>
  </si>
  <si>
    <t>990014</t>
  </si>
  <si>
    <t>青月寒疗</t>
  </si>
  <si>
    <t>伤害的40%治疗自身</t>
  </si>
  <si>
    <t>990015</t>
  </si>
  <si>
    <t>龙誓裁决</t>
  </si>
  <si>
    <t>必然暴击</t>
  </si>
  <si>
    <t>10067</t>
  </si>
  <si>
    <t>990016</t>
  </si>
  <si>
    <t>爆裂药瓶</t>
  </si>
  <si>
    <t>990017</t>
  </si>
  <si>
    <t>荒原秘术</t>
  </si>
  <si>
    <t>10073</t>
  </si>
  <si>
    <t>990018</t>
  </si>
  <si>
    <t>风雷万劫</t>
  </si>
  <si>
    <t>三道闪电造成递增的三段伤害，技能结束后附加“感电”效果，持续8个回合</t>
  </si>
  <si>
    <t>dafeng_texiao_1</t>
  </si>
  <si>
    <t>2.43</t>
  </si>
  <si>
    <t>1.43|1.66|1.88</t>
  </si>
  <si>
    <t>10|12|14</t>
  </si>
  <si>
    <t>10084</t>
  </si>
  <si>
    <t>990019</t>
  </si>
  <si>
    <t>风雷疾影</t>
  </si>
  <si>
    <t>该技能发出后，目标获得“疾风”状态，持续5个回合</t>
  </si>
  <si>
    <t>10083</t>
  </si>
  <si>
    <t>材料需求</t>
  </si>
  <si>
    <t>灵石</t>
  </si>
  <si>
    <t>凡级残页</t>
  </si>
  <si>
    <t>玄级残页</t>
  </si>
  <si>
    <t>黄级残页</t>
  </si>
  <si>
    <t>地级残页</t>
  </si>
  <si>
    <t>天级残页</t>
  </si>
  <si>
    <t>凡级念珠1类</t>
  </si>
  <si>
    <t>黄级念珠1类</t>
  </si>
  <si>
    <t>玄级念珠1类</t>
  </si>
  <si>
    <t>地级念珠1类</t>
  </si>
  <si>
    <t>天级念珠1类</t>
  </si>
  <si>
    <t>凡级念珠2类</t>
  </si>
  <si>
    <t>黄级念珠2类</t>
  </si>
  <si>
    <t>玄级念珠2类</t>
  </si>
  <si>
    <t>地级念珠2类</t>
  </si>
  <si>
    <t>天级念珠2类</t>
  </si>
  <si>
    <t>凡级念珠3类</t>
  </si>
  <si>
    <t>黄级念珠3类</t>
  </si>
  <si>
    <t>玄级念珠3类</t>
  </si>
  <si>
    <t>地级念珠3类</t>
  </si>
  <si>
    <t>天级念珠3类</t>
  </si>
  <si>
    <t>凡级念珠4类</t>
  </si>
  <si>
    <t>黄级念珠4类</t>
  </si>
  <si>
    <t>玄级念珠4类</t>
  </si>
  <si>
    <t>地级念珠4类</t>
  </si>
  <si>
    <t>天级念珠4类</t>
  </si>
  <si>
    <t>凡级念珠5类</t>
  </si>
  <si>
    <t>黄级念珠5类</t>
  </si>
  <si>
    <t>玄级念珠5类</t>
  </si>
  <si>
    <t>地级念珠5类</t>
  </si>
  <si>
    <t>天级念珠5类</t>
  </si>
  <si>
    <t>凡级念珠6类</t>
  </si>
  <si>
    <t>黄级念珠6类</t>
  </si>
  <si>
    <t>玄级念珠6类</t>
  </si>
  <si>
    <t>地级念珠6类</t>
  </si>
  <si>
    <t>天级念珠6类</t>
  </si>
  <si>
    <t>凡级念珠7类</t>
  </si>
  <si>
    <t>黄级念珠7类</t>
  </si>
  <si>
    <t>玄级念珠7类</t>
  </si>
  <si>
    <t>地级念珠7类</t>
  </si>
  <si>
    <t>天级念珠7类</t>
  </si>
  <si>
    <t>凡级念珠8类</t>
  </si>
  <si>
    <t>黄级念珠8类</t>
  </si>
  <si>
    <t>玄级念珠8类</t>
  </si>
  <si>
    <t>地级念珠8类</t>
  </si>
  <si>
    <t>天级念珠8类</t>
  </si>
  <si>
    <t>技能升级伤害</t>
  </si>
  <si>
    <t>1段伤害</t>
  </si>
  <si>
    <t>2段伤害</t>
  </si>
  <si>
    <t>3段伤害</t>
  </si>
  <si>
    <t>4段伤害</t>
  </si>
  <si>
    <t>5段伤害</t>
  </si>
  <si>
    <t>消耗</t>
  </si>
  <si>
    <t>121002</t>
  </si>
  <si>
    <t>122002</t>
  </si>
  <si>
    <t>123002</t>
  </si>
  <si>
    <t>124002</t>
  </si>
  <si>
    <t>125002</t>
  </si>
  <si>
    <t>121003</t>
  </si>
  <si>
    <t>122003</t>
  </si>
  <si>
    <t>123003</t>
  </si>
  <si>
    <t>124003</t>
  </si>
  <si>
    <t>125003</t>
  </si>
  <si>
    <t>121004</t>
  </si>
  <si>
    <t>122004</t>
  </si>
  <si>
    <t>123004</t>
  </si>
  <si>
    <t>124004</t>
  </si>
  <si>
    <t>125004</t>
  </si>
  <si>
    <t>121005</t>
  </si>
  <si>
    <t>122005</t>
  </si>
  <si>
    <t>123005</t>
  </si>
  <si>
    <t>124005</t>
  </si>
  <si>
    <t>125005</t>
  </si>
  <si>
    <t>121006</t>
  </si>
  <si>
    <t>122006</t>
  </si>
  <si>
    <t>123006</t>
  </si>
  <si>
    <t>124006</t>
  </si>
  <si>
    <t>125006</t>
  </si>
  <si>
    <t>121007</t>
  </si>
  <si>
    <t>122007</t>
  </si>
  <si>
    <t>123007</t>
  </si>
  <si>
    <t>124007</t>
  </si>
  <si>
    <t>125007</t>
  </si>
  <si>
    <t>121008</t>
  </si>
  <si>
    <t>122008</t>
  </si>
  <si>
    <t>123008</t>
  </si>
  <si>
    <t>124008</t>
  </si>
  <si>
    <t>125008</t>
  </si>
  <si>
    <t>121009</t>
  </si>
  <si>
    <t>122009</t>
  </si>
  <si>
    <t>123009</t>
  </si>
  <si>
    <t>124009</t>
  </si>
  <si>
    <t>125009</t>
  </si>
  <si>
    <t>K</t>
  </si>
  <si>
    <t>A</t>
  </si>
  <si>
    <t>t</t>
  </si>
  <si>
    <t>y(t)</t>
  </si>
  <si>
    <t>1水类</t>
  </si>
  <si>
    <t>2火类升级需求</t>
  </si>
  <si>
    <t>3雷类升级需求</t>
  </si>
  <si>
    <t>4冰类升级需求</t>
  </si>
  <si>
    <t>5阳类升级需求</t>
  </si>
  <si>
    <t>6阴类升级需求</t>
  </si>
  <si>
    <t>7削弱类升级需求</t>
  </si>
  <si>
    <t>8定身类升级需求</t>
  </si>
  <si>
    <t>总共需要残页</t>
  </si>
  <si>
    <t>光弹：</t>
  </si>
  <si>
    <t>每5级需要书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</si>
</sst>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6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rgb="FF333333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7070223090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5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76" fontId="0" fillId="9" borderId="0" xfId="0" applyNumberFormat="1" applyFill="1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176" fontId="3" fillId="10" borderId="0" xfId="0" applyNumberFormat="1" applyFont="1" applyFill="1" applyAlignment="1">
      <alignment horizontal="left" vertical="center" wrapText="1"/>
    </xf>
    <xf numFmtId="0" fontId="0" fillId="10" borderId="0" xfId="0" applyFill="1" applyAlignment="1">
      <alignment vertical="center" wrapText="1"/>
    </xf>
    <xf numFmtId="176" fontId="0" fillId="10" borderId="0" xfId="0" applyNumberFormat="1" applyFill="1" applyAlignment="1">
      <alignment vertical="center" wrapText="1"/>
    </xf>
    <xf numFmtId="176" fontId="3" fillId="0" borderId="0" xfId="0" applyNumberFormat="1" applyFont="1" applyAlignment="1">
      <alignment horizontal="left" vertical="center" wrapText="1"/>
    </xf>
    <xf numFmtId="49" fontId="0" fillId="11" borderId="0" xfId="0" applyNumberFormat="1" applyFill="1" applyAlignmen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12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12" borderId="0" xfId="0" applyNumberFormat="1" applyFill="1" applyAlignment="1">
      <alignment vertical="center"/>
    </xf>
    <xf numFmtId="0" fontId="5" fillId="12" borderId="0" xfId="0" applyFont="1" applyFill="1" applyAlignment="1">
      <alignment vertical="center"/>
    </xf>
    <xf numFmtId="0" fontId="5" fillId="0" borderId="0" xfId="0" applyFont="1" applyAlignment="1">
      <alignment horizontal="center" vertical="center" wrapText="1"/>
    </xf>
    <xf numFmtId="49" fontId="0" fillId="12" borderId="0" xfId="0" applyNumberFormat="1" applyFill="1" applyAlignment="1"/>
    <xf numFmtId="0" fontId="2" fillId="0" borderId="0" xfId="0" applyFont="1" applyAlignment="1">
      <alignment vertical="center"/>
    </xf>
    <xf numFmtId="49" fontId="0" fillId="13" borderId="0" xfId="0" applyNumberFormat="1" applyFill="1" applyAlignment="1">
      <alignment vertical="center"/>
    </xf>
    <xf numFmtId="49" fontId="0" fillId="0" borderId="0" xfId="0" applyNumberFormat="1" applyAlignment="1">
      <alignment wrapText="1"/>
    </xf>
    <xf numFmtId="0" fontId="0" fillId="12" borderId="0" xfId="0" applyFill="1" applyAlignment="1">
      <alignment vertical="center"/>
    </xf>
    <xf numFmtId="0" fontId="0" fillId="0" borderId="0" xfId="0">
      <alignment vertical="center"/>
    </xf>
    <xf numFmtId="49" fontId="2" fillId="0" borderId="0" xfId="0" applyNumberFormat="1" applyFont="1" applyAlignment="1"/>
    <xf numFmtId="0" fontId="2" fillId="0" borderId="0" xfId="0" applyFont="1" applyAlignment="1">
      <alignment horizontal="justify" vertical="center"/>
    </xf>
    <xf numFmtId="49" fontId="2" fillId="11" borderId="0" xfId="0" applyNumberFormat="1" applyFont="1" applyFill="1" applyAlignment="1">
      <alignment vertical="center"/>
    </xf>
    <xf numFmtId="0" fontId="6" fillId="0" borderId="0" xfId="0" applyFont="1" applyAlignment="1">
      <alignment horizontal="justify" vertical="center"/>
    </xf>
    <xf numFmtId="49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5"/>
  <sheetViews>
    <sheetView tabSelected="1" workbookViewId="0">
      <pane ySplit="1" topLeftCell="A28" activePane="bottomLeft" state="frozen"/>
      <selection/>
      <selection pane="bottomLeft" activeCell="C47" sqref="C47"/>
    </sheetView>
  </sheetViews>
  <sheetFormatPr defaultColWidth="9" defaultRowHeight="13.5"/>
  <cols>
    <col min="1" max="1" width="9" style="9" customWidth="1"/>
    <col min="2" max="2" width="18.25" style="9" customWidth="1"/>
    <col min="3" max="3" width="17.625" style="9" customWidth="1"/>
    <col min="4" max="4" width="32.625" style="9" customWidth="1"/>
    <col min="5" max="5" width="20.25" style="9" customWidth="1"/>
    <col min="6" max="6" width="25.625" style="9" customWidth="1"/>
    <col min="7" max="7" width="24.25" style="9" customWidth="1"/>
    <col min="8" max="8" width="9" style="9" customWidth="1"/>
    <col min="9" max="9" width="15" style="9" customWidth="1"/>
    <col min="10" max="10" width="15.375" style="9" customWidth="1"/>
    <col min="11" max="11" width="16.125" style="29" customWidth="1"/>
    <col min="12" max="12" width="10.75" style="9" customWidth="1"/>
    <col min="13" max="13" width="15.625" style="9" customWidth="1"/>
    <col min="14" max="14" width="14.625" style="9" customWidth="1"/>
    <col min="15" max="15" width="19.375" style="9" customWidth="1"/>
    <col min="16" max="16" width="16.625" style="9" customWidth="1"/>
    <col min="17" max="17" width="11.875" style="9" customWidth="1"/>
    <col min="18" max="19" width="9" style="9" customWidth="1"/>
    <col min="20" max="20" width="10.625" style="9" customWidth="1"/>
    <col min="21" max="21" width="22.375" style="9" customWidth="1"/>
    <col min="22" max="22" width="10.875" style="9" customWidth="1"/>
    <col min="23" max="16384" width="9" style="9" customWidth="1"/>
  </cols>
  <sheetData>
    <row r="1" ht="27" customHeight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ht="63.75" customHeight="1" spans="1:26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ht="48" customHeight="1" spans="1:26">
      <c r="A3" t="s">
        <v>28</v>
      </c>
      <c r="B3" s="30" t="s">
        <v>1</v>
      </c>
      <c r="C3" s="30" t="s">
        <v>2</v>
      </c>
      <c r="D3" s="30" t="s">
        <v>3</v>
      </c>
      <c r="E3" s="31" t="s">
        <v>4</v>
      </c>
      <c r="F3" s="30" t="s">
        <v>5</v>
      </c>
      <c r="G3" s="30" t="s">
        <v>6</v>
      </c>
      <c r="H3" s="30" t="s">
        <v>7</v>
      </c>
      <c r="I3" s="30" t="s">
        <v>8</v>
      </c>
      <c r="J3" s="30" t="s">
        <v>9</v>
      </c>
      <c r="K3" s="9" t="s">
        <v>10</v>
      </c>
      <c r="L3" s="2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32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32" t="s">
        <v>24</v>
      </c>
      <c r="Z3" s="32" t="s">
        <v>25</v>
      </c>
    </row>
    <row r="4" ht="43.5" customHeight="1" spans="1:26">
      <c r="B4" s="31" t="s">
        <v>29</v>
      </c>
      <c r="C4" s="9" t="s">
        <v>30</v>
      </c>
      <c r="D4" s="9" t="s">
        <v>31</v>
      </c>
      <c r="E4" s="32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L4" s="29" t="s">
        <v>38</v>
      </c>
      <c r="M4" s="9" t="s">
        <v>36</v>
      </c>
      <c r="N4" s="9" t="s">
        <v>37</v>
      </c>
      <c r="P4" s="30" t="s">
        <v>39</v>
      </c>
      <c r="U4" s="9" t="s">
        <v>40</v>
      </c>
      <c r="V4" s="9" t="s">
        <v>41</v>
      </c>
      <c r="W4" s="9" t="s">
        <v>32</v>
      </c>
      <c r="Y4" s="32" t="s">
        <v>42</v>
      </c>
    </row>
    <row r="5" ht="62.25" customHeight="1" spans="1:26">
      <c r="B5" s="30" t="s">
        <v>43</v>
      </c>
      <c r="C5" s="9" t="s">
        <v>44</v>
      </c>
      <c r="D5" s="32" t="s">
        <v>45</v>
      </c>
      <c r="E5" s="32"/>
      <c r="G5" s="9" t="s">
        <v>46</v>
      </c>
      <c r="H5" s="9" t="s">
        <v>34</v>
      </c>
      <c r="I5" s="9" t="s">
        <v>47</v>
      </c>
      <c r="J5" s="30" t="s">
        <v>48</v>
      </c>
      <c r="K5" s="30" t="s">
        <v>49</v>
      </c>
      <c r="L5" s="29" t="s">
        <v>50</v>
      </c>
      <c r="O5" s="9" t="s">
        <v>51</v>
      </c>
      <c r="P5" s="30" t="s">
        <v>52</v>
      </c>
      <c r="Q5" s="9" t="s">
        <v>53</v>
      </c>
      <c r="R5" s="32" t="s">
        <v>54</v>
      </c>
      <c r="S5" s="32" t="s">
        <v>32</v>
      </c>
      <c r="T5" s="32"/>
      <c r="U5" s="9" t="s">
        <v>32</v>
      </c>
      <c r="V5" s="9" t="s">
        <v>55</v>
      </c>
      <c r="W5" s="9" t="s">
        <v>32</v>
      </c>
      <c r="X5" s="32" t="s">
        <v>56</v>
      </c>
      <c r="Y5" s="32" t="s">
        <v>42</v>
      </c>
      <c r="Z5" s="32" t="s">
        <v>32</v>
      </c>
    </row>
    <row r="6" ht="43.5" customHeight="1" spans="1:26">
      <c r="B6" s="30" t="s">
        <v>57</v>
      </c>
      <c r="C6" s="30" t="s">
        <v>58</v>
      </c>
      <c r="D6" s="30" t="s">
        <v>58</v>
      </c>
      <c r="E6" s="30"/>
      <c r="F6" s="30"/>
      <c r="G6" s="30" t="s">
        <v>59</v>
      </c>
      <c r="H6" s="30" t="s">
        <v>60</v>
      </c>
      <c r="I6" s="30" t="s">
        <v>60</v>
      </c>
      <c r="J6" s="30">
        <v>0</v>
      </c>
      <c r="K6" s="30" t="s">
        <v>51</v>
      </c>
      <c r="L6" s="29" t="s">
        <v>38</v>
      </c>
      <c r="M6" s="9" t="s">
        <v>40</v>
      </c>
      <c r="N6" s="9" t="s">
        <v>37</v>
      </c>
      <c r="P6" s="30" t="s">
        <v>61</v>
      </c>
      <c r="U6" s="9" t="s">
        <v>40</v>
      </c>
      <c r="V6" s="9" t="s">
        <v>62</v>
      </c>
      <c r="W6" s="9" t="s">
        <v>32</v>
      </c>
    </row>
    <row r="7" ht="67.5" customHeight="1" spans="1:26">
      <c r="B7" s="31" t="s">
        <v>63</v>
      </c>
      <c r="C7" s="30" t="s">
        <v>64</v>
      </c>
      <c r="D7" s="31" t="s">
        <v>65</v>
      </c>
      <c r="E7" s="31"/>
      <c r="F7" s="30"/>
      <c r="G7" s="30" t="s">
        <v>66</v>
      </c>
      <c r="H7" s="30" t="s">
        <v>60</v>
      </c>
      <c r="I7" s="30">
        <v>3.3</v>
      </c>
      <c r="J7" s="30" t="s">
        <v>67</v>
      </c>
      <c r="K7" s="30" t="s">
        <v>68</v>
      </c>
      <c r="L7" s="29" t="s">
        <v>69</v>
      </c>
      <c r="O7" s="9" t="s">
        <v>51</v>
      </c>
      <c r="P7" s="30" t="s">
        <v>70</v>
      </c>
      <c r="Q7" s="9" t="s">
        <v>53</v>
      </c>
      <c r="R7" s="32" t="s">
        <v>71</v>
      </c>
      <c r="S7" s="32" t="s">
        <v>32</v>
      </c>
      <c r="T7" s="32"/>
      <c r="U7" s="9" t="s">
        <v>32</v>
      </c>
      <c r="V7" s="30" t="s">
        <v>72</v>
      </c>
      <c r="W7" s="9" t="s">
        <v>32</v>
      </c>
      <c r="X7" s="32" t="s">
        <v>56</v>
      </c>
      <c r="Y7" s="32" t="s">
        <v>73</v>
      </c>
      <c r="Z7" s="32" t="s">
        <v>32</v>
      </c>
    </row>
    <row r="8" ht="43.5" customHeight="1" spans="1:26">
      <c r="B8" s="31" t="s">
        <v>74</v>
      </c>
      <c r="C8" s="9" t="s">
        <v>30</v>
      </c>
      <c r="D8" s="9" t="s">
        <v>31</v>
      </c>
      <c r="G8" s="9" t="s">
        <v>33</v>
      </c>
      <c r="H8" s="9" t="s">
        <v>34</v>
      </c>
      <c r="I8" s="9" t="s">
        <v>35</v>
      </c>
      <c r="J8" s="9" t="s">
        <v>36</v>
      </c>
      <c r="K8" s="9" t="s">
        <v>37</v>
      </c>
      <c r="L8" s="29" t="s">
        <v>38</v>
      </c>
      <c r="M8" s="9" t="s">
        <v>36</v>
      </c>
      <c r="N8" s="9" t="s">
        <v>37</v>
      </c>
      <c r="P8" s="30" t="s">
        <v>39</v>
      </c>
      <c r="U8" s="9" t="s">
        <v>32</v>
      </c>
      <c r="W8" s="9" t="s">
        <v>32</v>
      </c>
    </row>
    <row r="9" ht="67.5" customHeight="1" spans="1:26">
      <c r="B9" s="30" t="s">
        <v>75</v>
      </c>
      <c r="C9" s="9" t="s">
        <v>44</v>
      </c>
      <c r="D9" s="9" t="s">
        <v>76</v>
      </c>
      <c r="G9" s="9" t="s">
        <v>46</v>
      </c>
      <c r="H9" s="9" t="s">
        <v>34</v>
      </c>
      <c r="I9" s="9" t="s">
        <v>47</v>
      </c>
      <c r="J9" s="30" t="s">
        <v>48</v>
      </c>
      <c r="K9" s="30" t="s">
        <v>49</v>
      </c>
      <c r="L9" s="29" t="s">
        <v>50</v>
      </c>
      <c r="O9" s="9" t="s">
        <v>51</v>
      </c>
      <c r="P9" s="30" t="s">
        <v>77</v>
      </c>
      <c r="U9" s="9" t="s">
        <v>32</v>
      </c>
      <c r="W9" s="9" t="s">
        <v>32</v>
      </c>
    </row>
    <row r="10" ht="54" customHeight="1" spans="1:26">
      <c r="B10" s="30" t="s">
        <v>78</v>
      </c>
      <c r="C10" s="30" t="s">
        <v>79</v>
      </c>
      <c r="D10" s="30" t="s">
        <v>79</v>
      </c>
      <c r="E10" s="30"/>
      <c r="F10" s="30"/>
      <c r="G10" s="30" t="s">
        <v>59</v>
      </c>
      <c r="H10" s="30" t="s">
        <v>60</v>
      </c>
      <c r="I10" s="30" t="s">
        <v>60</v>
      </c>
      <c r="J10" s="30" t="s">
        <v>40</v>
      </c>
      <c r="K10" s="30" t="s">
        <v>51</v>
      </c>
      <c r="L10" s="29" t="s">
        <v>38</v>
      </c>
      <c r="M10" s="9" t="s">
        <v>40</v>
      </c>
      <c r="N10" s="9" t="s">
        <v>37</v>
      </c>
      <c r="P10" s="30" t="s">
        <v>61</v>
      </c>
      <c r="U10" s="9" t="s">
        <v>32</v>
      </c>
      <c r="W10" s="9" t="s">
        <v>32</v>
      </c>
    </row>
    <row r="11" ht="63.75" customHeight="1" spans="1:26">
      <c r="B11" s="30" t="s">
        <v>80</v>
      </c>
      <c r="C11" s="30" t="s">
        <v>64</v>
      </c>
      <c r="D11" s="30" t="s">
        <v>81</v>
      </c>
      <c r="E11" s="30"/>
      <c r="F11" s="30"/>
      <c r="G11" s="30" t="s">
        <v>66</v>
      </c>
      <c r="H11" s="30" t="s">
        <v>60</v>
      </c>
      <c r="I11" s="30">
        <v>3.3</v>
      </c>
      <c r="J11" s="30" t="s">
        <v>67</v>
      </c>
      <c r="K11" s="30" t="s">
        <v>68</v>
      </c>
      <c r="L11" s="29" t="s">
        <v>50</v>
      </c>
      <c r="O11" s="9" t="s">
        <v>51</v>
      </c>
      <c r="P11" s="30" t="s">
        <v>70</v>
      </c>
      <c r="U11" s="9" t="s">
        <v>32</v>
      </c>
      <c r="W11" s="9" t="s">
        <v>32</v>
      </c>
    </row>
    <row r="12" ht="54" customHeight="1" spans="1:26">
      <c r="B12" s="30" t="s">
        <v>82</v>
      </c>
      <c r="C12" s="9" t="s">
        <v>30</v>
      </c>
      <c r="D12" s="9" t="s">
        <v>31</v>
      </c>
      <c r="G12" s="9" t="s">
        <v>33</v>
      </c>
      <c r="H12" s="9" t="s">
        <v>34</v>
      </c>
      <c r="I12" s="9" t="s">
        <v>35</v>
      </c>
      <c r="J12" s="9" t="s">
        <v>36</v>
      </c>
      <c r="K12" s="9" t="s">
        <v>37</v>
      </c>
      <c r="L12" s="29" t="s">
        <v>38</v>
      </c>
      <c r="M12" s="9" t="s">
        <v>36</v>
      </c>
      <c r="N12" s="9" t="s">
        <v>37</v>
      </c>
      <c r="P12" s="30" t="s">
        <v>39</v>
      </c>
      <c r="U12" s="9" t="s">
        <v>32</v>
      </c>
      <c r="W12" s="9" t="s">
        <v>32</v>
      </c>
    </row>
    <row r="13" ht="63.75" customHeight="1" spans="1:26">
      <c r="B13" s="30" t="s">
        <v>83</v>
      </c>
      <c r="C13" s="9" t="s">
        <v>44</v>
      </c>
      <c r="D13" s="9" t="s">
        <v>76</v>
      </c>
      <c r="G13" s="9" t="s">
        <v>46</v>
      </c>
      <c r="H13" s="9" t="s">
        <v>34</v>
      </c>
      <c r="I13" s="9" t="s">
        <v>47</v>
      </c>
      <c r="J13" s="30" t="s">
        <v>48</v>
      </c>
      <c r="K13" s="30" t="s">
        <v>49</v>
      </c>
      <c r="L13" s="29" t="s">
        <v>50</v>
      </c>
      <c r="O13" s="9" t="s">
        <v>51</v>
      </c>
      <c r="P13" s="30" t="s">
        <v>77</v>
      </c>
      <c r="U13" s="9" t="s">
        <v>32</v>
      </c>
      <c r="W13" s="9" t="s">
        <v>32</v>
      </c>
    </row>
    <row r="14" ht="39" customHeight="1" spans="1:26">
      <c r="B14" s="30" t="s">
        <v>84</v>
      </c>
      <c r="C14" s="30" t="s">
        <v>79</v>
      </c>
      <c r="D14" s="30" t="s">
        <v>79</v>
      </c>
      <c r="E14" s="30"/>
      <c r="F14" s="30"/>
      <c r="G14" s="30" t="s">
        <v>59</v>
      </c>
      <c r="H14" s="30" t="s">
        <v>60</v>
      </c>
      <c r="I14" s="30" t="s">
        <v>60</v>
      </c>
      <c r="J14" s="30" t="s">
        <v>40</v>
      </c>
      <c r="K14" s="30" t="s">
        <v>51</v>
      </c>
      <c r="L14" s="29" t="s">
        <v>38</v>
      </c>
      <c r="M14" s="9" t="s">
        <v>40</v>
      </c>
      <c r="N14" s="9" t="s">
        <v>37</v>
      </c>
      <c r="P14" s="30" t="s">
        <v>61</v>
      </c>
      <c r="U14" s="9" t="s">
        <v>32</v>
      </c>
      <c r="W14" s="9" t="s">
        <v>32</v>
      </c>
    </row>
    <row r="15" ht="29.25" customHeight="1" spans="1:26">
      <c r="B15" s="30" t="s">
        <v>85</v>
      </c>
      <c r="C15" s="30" t="s">
        <v>64</v>
      </c>
      <c r="D15" s="30" t="s">
        <v>81</v>
      </c>
      <c r="E15" s="30"/>
      <c r="F15" s="30"/>
      <c r="G15" s="30" t="s">
        <v>66</v>
      </c>
      <c r="H15" s="30" t="s">
        <v>60</v>
      </c>
      <c r="I15" s="30">
        <v>3.3</v>
      </c>
      <c r="J15" s="30" t="s">
        <v>67</v>
      </c>
      <c r="K15" s="30" t="s">
        <v>68</v>
      </c>
      <c r="L15" s="29" t="s">
        <v>50</v>
      </c>
      <c r="O15" s="9" t="s">
        <v>51</v>
      </c>
      <c r="P15" s="30" t="s">
        <v>70</v>
      </c>
      <c r="U15" s="9" t="s">
        <v>32</v>
      </c>
      <c r="W15" s="9" t="s">
        <v>32</v>
      </c>
    </row>
    <row r="16" ht="15.75" customHeight="1" spans="1:26">
      <c r="B16" s="9" t="s">
        <v>86</v>
      </c>
      <c r="C16" s="33" t="s">
        <v>87</v>
      </c>
      <c r="D16" s="32" t="s">
        <v>88</v>
      </c>
      <c r="E16" s="32"/>
      <c r="G16" s="9" t="s">
        <v>89</v>
      </c>
      <c r="H16" s="9" t="s">
        <v>34</v>
      </c>
      <c r="I16" s="9" t="s">
        <v>47</v>
      </c>
      <c r="J16" s="31" t="s">
        <v>90</v>
      </c>
      <c r="K16" s="30" t="s">
        <v>91</v>
      </c>
      <c r="L16" s="29" t="s">
        <v>92</v>
      </c>
      <c r="O16" s="9" t="s">
        <v>51</v>
      </c>
      <c r="P16" s="30" t="s">
        <v>93</v>
      </c>
      <c r="Q16" s="9" t="s">
        <v>53</v>
      </c>
      <c r="U16" s="9" t="s">
        <v>32</v>
      </c>
      <c r="V16" s="31" t="s">
        <v>94</v>
      </c>
      <c r="W16" s="9" t="s">
        <v>32</v>
      </c>
      <c r="X16" s="32" t="s">
        <v>56</v>
      </c>
      <c r="Y16" s="9" t="s">
        <v>95</v>
      </c>
      <c r="Z16" s="32" t="s">
        <v>32</v>
      </c>
    </row>
    <row r="17" ht="30.75" customHeight="1" spans="2:26">
      <c r="B17" s="31" t="s">
        <v>96</v>
      </c>
      <c r="C17" s="34" t="s">
        <v>97</v>
      </c>
      <c r="D17" s="31" t="s">
        <v>98</v>
      </c>
      <c r="E17" s="31"/>
      <c r="G17" s="9" t="s">
        <v>99</v>
      </c>
      <c r="H17" s="9" t="s">
        <v>34</v>
      </c>
      <c r="I17" s="9" t="s">
        <v>100</v>
      </c>
      <c r="J17" s="9" t="s">
        <v>101</v>
      </c>
      <c r="K17" s="9" t="s">
        <v>37</v>
      </c>
      <c r="L17" s="29" t="s">
        <v>102</v>
      </c>
      <c r="P17" s="30" t="s">
        <v>39</v>
      </c>
      <c r="Q17" s="9" t="s">
        <v>53</v>
      </c>
      <c r="R17" s="35" t="s">
        <v>103</v>
      </c>
      <c r="S17" s="32" t="s">
        <v>32</v>
      </c>
      <c r="T17" s="32"/>
      <c r="U17" s="32" t="s">
        <v>32</v>
      </c>
      <c r="W17" s="9" t="s">
        <v>32</v>
      </c>
      <c r="X17" s="32" t="s">
        <v>56</v>
      </c>
      <c r="Y17" s="32" t="s">
        <v>42</v>
      </c>
      <c r="Z17" s="32" t="s">
        <v>32</v>
      </c>
    </row>
    <row r="18" spans="2:26">
      <c r="B18" s="36" t="s">
        <v>104</v>
      </c>
      <c r="C18" s="37" t="s">
        <v>105</v>
      </c>
      <c r="D18" s="32" t="s">
        <v>106</v>
      </c>
      <c r="E18" s="32"/>
      <c r="G18" s="9" t="s">
        <v>107</v>
      </c>
      <c r="H18" s="9" t="s">
        <v>34</v>
      </c>
      <c r="I18" s="32" t="s">
        <v>47</v>
      </c>
      <c r="J18" s="9" t="s">
        <v>40</v>
      </c>
      <c r="K18" s="9" t="s">
        <v>40</v>
      </c>
      <c r="L18" s="29" t="s">
        <v>108</v>
      </c>
      <c r="Q18" s="9" t="s">
        <v>109</v>
      </c>
      <c r="R18" s="36">
        <v>10001</v>
      </c>
      <c r="S18" s="9" t="s">
        <v>32</v>
      </c>
      <c r="U18" s="9" t="s">
        <v>73</v>
      </c>
      <c r="X18" s="32" t="s">
        <v>56</v>
      </c>
      <c r="Y18" s="32" t="s">
        <v>42</v>
      </c>
      <c r="Z18" s="32" t="s">
        <v>32</v>
      </c>
    </row>
    <row r="19" ht="34.5" customHeight="1" spans="2:26">
      <c r="B19" s="9" t="s">
        <v>110</v>
      </c>
      <c r="C19" s="38" t="s">
        <v>111</v>
      </c>
      <c r="D19" s="39" t="s">
        <v>112</v>
      </c>
      <c r="E19" s="39"/>
      <c r="G19" s="9" t="s">
        <v>113</v>
      </c>
      <c r="H19" s="32" t="s">
        <v>114</v>
      </c>
      <c r="I19" s="32" t="s">
        <v>32</v>
      </c>
      <c r="J19" s="32" t="s">
        <v>115</v>
      </c>
      <c r="K19" s="9" t="s">
        <v>116</v>
      </c>
      <c r="L19" s="29" t="s">
        <v>117</v>
      </c>
      <c r="Q19" s="9" t="s">
        <v>53</v>
      </c>
      <c r="U19" s="9" t="s">
        <v>32</v>
      </c>
      <c r="W19" s="9" t="s">
        <v>32</v>
      </c>
      <c r="X19" s="32" t="s">
        <v>56</v>
      </c>
      <c r="Y19" s="32" t="s">
        <v>47</v>
      </c>
      <c r="Z19" s="32" t="s">
        <v>32</v>
      </c>
    </row>
    <row r="20" spans="2:26">
      <c r="B20" s="9" t="s">
        <v>47</v>
      </c>
      <c r="C20" s="9" t="s">
        <v>118</v>
      </c>
      <c r="D20" s="9" t="s">
        <v>119</v>
      </c>
      <c r="E20" s="32" t="s">
        <v>32</v>
      </c>
      <c r="G20" s="9" t="s">
        <v>120</v>
      </c>
      <c r="H20" s="9" t="s">
        <v>34</v>
      </c>
      <c r="I20" s="32" t="s">
        <v>35</v>
      </c>
      <c r="J20" s="9" t="s">
        <v>121</v>
      </c>
      <c r="K20" s="9" t="s">
        <v>122</v>
      </c>
      <c r="L20" s="29" t="s">
        <v>50</v>
      </c>
      <c r="M20" s="9" t="s">
        <v>121</v>
      </c>
      <c r="N20" s="9" t="s">
        <v>37</v>
      </c>
      <c r="U20" s="9" t="s">
        <v>40</v>
      </c>
      <c r="W20" s="9" t="s">
        <v>32</v>
      </c>
      <c r="Y20" s="32" t="s">
        <v>73</v>
      </c>
    </row>
    <row r="21" ht="27" spans="2:26">
      <c r="B21" s="36" t="s">
        <v>123</v>
      </c>
      <c r="C21" s="40" t="s">
        <v>124</v>
      </c>
      <c r="D21" s="31" t="s">
        <v>125</v>
      </c>
      <c r="E21" s="31"/>
      <c r="G21" s="9" t="s">
        <v>126</v>
      </c>
      <c r="H21" s="32" t="s">
        <v>114</v>
      </c>
      <c r="I21" s="32" t="s">
        <v>127</v>
      </c>
      <c r="J21" s="9" t="s">
        <v>128</v>
      </c>
      <c r="K21" s="9" t="s">
        <v>129</v>
      </c>
      <c r="L21" s="29" t="s">
        <v>130</v>
      </c>
      <c r="Q21" s="9" t="s">
        <v>131</v>
      </c>
      <c r="R21" s="9" t="s">
        <v>132</v>
      </c>
      <c r="S21" s="9" t="s">
        <v>32</v>
      </c>
      <c r="U21" s="9" t="s">
        <v>133</v>
      </c>
      <c r="W21" s="9" t="s">
        <v>32</v>
      </c>
      <c r="X21" s="32" t="s">
        <v>56</v>
      </c>
      <c r="Y21" s="32" t="s">
        <v>73</v>
      </c>
      <c r="Z21" s="32" t="s">
        <v>32</v>
      </c>
    </row>
    <row r="22" spans="2:26">
      <c r="B22" s="9" t="s">
        <v>134</v>
      </c>
      <c r="C22" s="33" t="s">
        <v>135</v>
      </c>
      <c r="D22" s="32" t="s">
        <v>136</v>
      </c>
      <c r="E22" s="32"/>
      <c r="G22" s="9" t="s">
        <v>137</v>
      </c>
      <c r="H22" s="32" t="s">
        <v>114</v>
      </c>
      <c r="I22" s="32" t="s">
        <v>127</v>
      </c>
      <c r="J22" s="9" t="s">
        <v>138</v>
      </c>
      <c r="K22" s="9" t="s">
        <v>139</v>
      </c>
      <c r="L22" s="29" t="s">
        <v>140</v>
      </c>
      <c r="Q22" s="9" t="s">
        <v>53</v>
      </c>
      <c r="R22" s="32" t="s">
        <v>141</v>
      </c>
      <c r="S22" s="32" t="s">
        <v>32</v>
      </c>
      <c r="T22" s="32"/>
      <c r="U22" s="9" t="s">
        <v>32</v>
      </c>
      <c r="W22" s="9" t="s">
        <v>32</v>
      </c>
      <c r="X22" s="32" t="s">
        <v>56</v>
      </c>
      <c r="Y22" s="32" t="s">
        <v>73</v>
      </c>
      <c r="Z22" s="32" t="s">
        <v>32</v>
      </c>
    </row>
    <row r="23" spans="2:26">
      <c r="B23" s="9" t="s">
        <v>142</v>
      </c>
      <c r="C23" s="41" t="s">
        <v>143</v>
      </c>
      <c r="D23" t="s">
        <v>144</v>
      </c>
      <c r="E23"/>
      <c r="G23" s="9" t="s">
        <v>145</v>
      </c>
      <c r="H23" s="9" t="s">
        <v>34</v>
      </c>
      <c r="I23" s="9" t="s">
        <v>47</v>
      </c>
      <c r="L23" s="29" t="s">
        <v>146</v>
      </c>
      <c r="Q23" s="9" t="s">
        <v>147</v>
      </c>
      <c r="U23" s="9" t="s">
        <v>95</v>
      </c>
      <c r="X23" s="32" t="s">
        <v>56</v>
      </c>
      <c r="Y23" s="32" t="s">
        <v>42</v>
      </c>
      <c r="Z23" s="32" t="s">
        <v>32</v>
      </c>
    </row>
    <row r="24" spans="2:26">
      <c r="B24" s="32" t="s">
        <v>148</v>
      </c>
      <c r="C24" s="41" t="s">
        <v>149</v>
      </c>
      <c r="D24" s="32" t="s">
        <v>150</v>
      </c>
      <c r="E24" s="32"/>
      <c r="G24" s="9" t="s">
        <v>151</v>
      </c>
      <c r="H24" s="32" t="s">
        <v>114</v>
      </c>
      <c r="I24" s="9" t="s">
        <v>32</v>
      </c>
      <c r="J24" s="9" t="s">
        <v>152</v>
      </c>
      <c r="K24" s="30" t="s">
        <v>49</v>
      </c>
      <c r="L24" s="29" t="s">
        <v>153</v>
      </c>
      <c r="Q24" s="9" t="s">
        <v>53</v>
      </c>
      <c r="U24" s="9" t="s">
        <v>32</v>
      </c>
      <c r="W24" s="9" t="s">
        <v>32</v>
      </c>
      <c r="X24" s="32" t="s">
        <v>56</v>
      </c>
      <c r="Y24" s="32" t="s">
        <v>32</v>
      </c>
      <c r="Z24" s="32" t="s">
        <v>32</v>
      </c>
    </row>
    <row r="25" ht="54" customHeight="1" spans="2:26">
      <c r="B25" s="9" t="s">
        <v>154</v>
      </c>
      <c r="C25" s="37" t="s">
        <v>155</v>
      </c>
      <c r="D25" s="32" t="s">
        <v>156</v>
      </c>
      <c r="E25" s="32"/>
      <c r="G25" s="9" t="s">
        <v>157</v>
      </c>
      <c r="H25" s="32" t="s">
        <v>32</v>
      </c>
      <c r="I25" s="9" t="s">
        <v>158</v>
      </c>
      <c r="J25" s="9" t="s">
        <v>159</v>
      </c>
      <c r="K25" s="9" t="s">
        <v>160</v>
      </c>
      <c r="L25" s="29" t="s">
        <v>161</v>
      </c>
      <c r="Q25" s="9" t="s">
        <v>53</v>
      </c>
      <c r="R25" s="32" t="s">
        <v>162</v>
      </c>
      <c r="S25" s="32" t="s">
        <v>32</v>
      </c>
      <c r="T25" s="32"/>
      <c r="U25" s="9" t="s">
        <v>32</v>
      </c>
      <c r="W25" s="9" t="s">
        <v>32</v>
      </c>
      <c r="X25" s="32" t="s">
        <v>56</v>
      </c>
      <c r="Y25" s="32" t="s">
        <v>73</v>
      </c>
      <c r="Z25" s="32" t="s">
        <v>32</v>
      </c>
    </row>
    <row r="26" spans="2:26">
      <c r="B26" s="9" t="s">
        <v>163</v>
      </c>
      <c r="C26" s="33" t="s">
        <v>164</v>
      </c>
      <c r="D26" s="32" t="s">
        <v>165</v>
      </c>
      <c r="E26" s="32"/>
      <c r="G26" s="9" t="s">
        <v>166</v>
      </c>
      <c r="H26" s="32" t="s">
        <v>114</v>
      </c>
      <c r="I26" s="9" t="s">
        <v>158</v>
      </c>
      <c r="L26" s="29" t="s">
        <v>167</v>
      </c>
      <c r="Q26" s="9" t="s">
        <v>168</v>
      </c>
      <c r="R26" s="9" t="s">
        <v>169</v>
      </c>
      <c r="S26" s="9" t="s">
        <v>32</v>
      </c>
      <c r="U26" s="9" t="s">
        <v>56</v>
      </c>
      <c r="X26" s="32" t="s">
        <v>56</v>
      </c>
      <c r="Y26" s="32" t="s">
        <v>56</v>
      </c>
    </row>
    <row r="27" ht="27" spans="2:26">
      <c r="B27" s="9" t="s">
        <v>170</v>
      </c>
      <c r="C27" s="42" t="s">
        <v>171</v>
      </c>
      <c r="D27" s="31" t="s">
        <v>172</v>
      </c>
      <c r="E27" s="31"/>
      <c r="G27" s="9" t="s">
        <v>173</v>
      </c>
      <c r="H27" s="9" t="s">
        <v>34</v>
      </c>
      <c r="I27" s="9" t="s">
        <v>32</v>
      </c>
      <c r="L27" s="29" t="s">
        <v>130</v>
      </c>
      <c r="M27" s="9" t="s">
        <v>174</v>
      </c>
      <c r="N27" s="9" t="s">
        <v>175</v>
      </c>
      <c r="Q27" s="9" t="s">
        <v>168</v>
      </c>
      <c r="R27" s="9" t="s">
        <v>176</v>
      </c>
      <c r="S27" s="9" t="s">
        <v>32</v>
      </c>
      <c r="U27" s="9" t="s">
        <v>40</v>
      </c>
      <c r="X27" s="9" t="s">
        <v>177</v>
      </c>
      <c r="Y27" s="32" t="s">
        <v>73</v>
      </c>
    </row>
    <row r="28" ht="35.25" customHeight="1" spans="2:26">
      <c r="B28" s="9" t="s">
        <v>178</v>
      </c>
      <c r="C28" s="42" t="s">
        <v>179</v>
      </c>
      <c r="D28" s="9" t="s">
        <v>180</v>
      </c>
      <c r="G28" s="9" t="s">
        <v>181</v>
      </c>
      <c r="H28" s="9" t="s">
        <v>34</v>
      </c>
      <c r="I28" s="9" t="s">
        <v>182</v>
      </c>
      <c r="J28" s="9" t="s">
        <v>183</v>
      </c>
      <c r="K28" s="30" t="s">
        <v>49</v>
      </c>
      <c r="L28" s="29" t="s">
        <v>130</v>
      </c>
      <c r="M28" s="9" t="s">
        <v>183</v>
      </c>
      <c r="N28" s="9" t="s">
        <v>184</v>
      </c>
      <c r="Q28" s="9" t="s">
        <v>53</v>
      </c>
      <c r="U28" s="9" t="s">
        <v>40</v>
      </c>
      <c r="W28" s="9" t="s">
        <v>32</v>
      </c>
      <c r="Y28" s="32" t="s">
        <v>73</v>
      </c>
    </row>
    <row r="29" ht="28.5" customHeight="1" spans="2:26">
      <c r="B29" s="9" t="s">
        <v>185</v>
      </c>
      <c r="C29" s="41" t="s">
        <v>186</v>
      </c>
      <c r="D29" s="32" t="s">
        <v>187</v>
      </c>
      <c r="E29" s="32"/>
      <c r="G29" s="9" t="s">
        <v>188</v>
      </c>
      <c r="H29" s="32" t="s">
        <v>32</v>
      </c>
      <c r="I29" s="9" t="s">
        <v>189</v>
      </c>
      <c r="J29" s="9" t="s">
        <v>190</v>
      </c>
      <c r="K29" s="9" t="s">
        <v>191</v>
      </c>
      <c r="L29" s="29" t="s">
        <v>167</v>
      </c>
      <c r="Q29" s="9" t="s">
        <v>192</v>
      </c>
      <c r="R29" s="9" t="s">
        <v>193</v>
      </c>
      <c r="S29" s="9" t="s">
        <v>32</v>
      </c>
      <c r="U29" s="9" t="s">
        <v>194</v>
      </c>
      <c r="W29" s="9" t="s">
        <v>32</v>
      </c>
      <c r="X29" s="32" t="s">
        <v>42</v>
      </c>
      <c r="Y29" s="32" t="s">
        <v>56</v>
      </c>
      <c r="Z29" s="32" t="s">
        <v>32</v>
      </c>
    </row>
    <row r="30" ht="40.5" spans="2:26">
      <c r="B30" s="36" t="s">
        <v>195</v>
      </c>
      <c r="C30" s="9" t="s">
        <v>196</v>
      </c>
      <c r="D30" s="31" t="s">
        <v>197</v>
      </c>
      <c r="E30" s="31"/>
      <c r="G30" s="9" t="s">
        <v>198</v>
      </c>
      <c r="H30" s="32" t="s">
        <v>114</v>
      </c>
      <c r="I30" s="9" t="s">
        <v>158</v>
      </c>
      <c r="L30" s="29" t="s">
        <v>108</v>
      </c>
      <c r="Q30" s="9" t="s">
        <v>109</v>
      </c>
      <c r="R30" s="9" t="s">
        <v>199</v>
      </c>
      <c r="S30" s="9" t="s">
        <v>32</v>
      </c>
      <c r="U30" s="9" t="s">
        <v>73</v>
      </c>
      <c r="X30" s="9" t="s">
        <v>194</v>
      </c>
      <c r="Y30" s="32" t="s">
        <v>42</v>
      </c>
    </row>
    <row r="31" ht="27" spans="2:26">
      <c r="B31" s="9" t="s">
        <v>200</v>
      </c>
      <c r="C31" s="43" t="s">
        <v>201</v>
      </c>
      <c r="D31" s="35" t="s">
        <v>202</v>
      </c>
      <c r="E31" s="35"/>
      <c r="G31" s="9" t="s">
        <v>99</v>
      </c>
      <c r="H31" s="9" t="s">
        <v>34</v>
      </c>
      <c r="I31" s="9" t="s">
        <v>100</v>
      </c>
      <c r="J31" s="9" t="s">
        <v>101</v>
      </c>
      <c r="K31" s="9" t="s">
        <v>37</v>
      </c>
      <c r="L31" s="29" t="s">
        <v>130</v>
      </c>
      <c r="M31" s="9" t="s">
        <v>101</v>
      </c>
      <c r="N31" s="9" t="s">
        <v>37</v>
      </c>
      <c r="U31" s="9" t="s">
        <v>32</v>
      </c>
      <c r="W31" s="9" t="s">
        <v>32</v>
      </c>
      <c r="Y31" s="32" t="s">
        <v>73</v>
      </c>
    </row>
    <row r="32" spans="2:26">
      <c r="B32" s="9" t="s">
        <v>203</v>
      </c>
      <c r="C32" s="44" t="s">
        <v>204</v>
      </c>
      <c r="D32" s="41" t="s">
        <v>205</v>
      </c>
      <c r="E32" s="41"/>
      <c r="G32" s="9" t="s">
        <v>206</v>
      </c>
      <c r="H32" s="32" t="s">
        <v>60</v>
      </c>
      <c r="I32" s="32" t="s">
        <v>127</v>
      </c>
      <c r="L32" s="29" t="s">
        <v>207</v>
      </c>
      <c r="Q32" s="9" t="s">
        <v>208</v>
      </c>
      <c r="R32" s="9" t="s">
        <v>209</v>
      </c>
      <c r="S32" s="9" t="s">
        <v>32</v>
      </c>
      <c r="U32" s="9" t="s">
        <v>42</v>
      </c>
      <c r="X32" s="9" t="s">
        <v>210</v>
      </c>
      <c r="Y32" s="32" t="s">
        <v>42</v>
      </c>
      <c r="Z32" s="32" t="s">
        <v>32</v>
      </c>
    </row>
    <row r="33" ht="54" customHeight="1" spans="2:26">
      <c r="B33" s="9" t="s">
        <v>211</v>
      </c>
      <c r="C33" s="32" t="s">
        <v>212</v>
      </c>
      <c r="D33" s="32" t="s">
        <v>213</v>
      </c>
      <c r="E33" s="32"/>
      <c r="G33" s="9" t="s">
        <v>214</v>
      </c>
      <c r="H33" s="32" t="s">
        <v>60</v>
      </c>
      <c r="I33" s="9" t="s">
        <v>32</v>
      </c>
      <c r="L33" s="29" t="s">
        <v>215</v>
      </c>
      <c r="Q33" s="9" t="s">
        <v>168</v>
      </c>
      <c r="R33" s="9" t="s">
        <v>216</v>
      </c>
      <c r="S33" s="9" t="s">
        <v>32</v>
      </c>
      <c r="U33" s="9" t="s">
        <v>56</v>
      </c>
      <c r="X33" s="9" t="s">
        <v>194</v>
      </c>
      <c r="Y33" s="32" t="s">
        <v>42</v>
      </c>
      <c r="Z33" s="32" t="s">
        <v>32</v>
      </c>
    </row>
    <row r="34" spans="2:26">
      <c r="B34" s="9" t="s">
        <v>217</v>
      </c>
      <c r="C34" s="45" t="s">
        <v>218</v>
      </c>
      <c r="D34" s="45" t="s">
        <v>219</v>
      </c>
      <c r="G34" s="9" t="s">
        <v>220</v>
      </c>
      <c r="H34" s="32" t="s">
        <v>32</v>
      </c>
      <c r="I34" s="9" t="s">
        <v>189</v>
      </c>
      <c r="J34" s="9" t="s">
        <v>221</v>
      </c>
      <c r="K34" s="31" t="s">
        <v>49</v>
      </c>
      <c r="L34" s="29" t="s">
        <v>222</v>
      </c>
      <c r="Q34" s="9" t="s">
        <v>223</v>
      </c>
      <c r="U34" s="9" t="s">
        <v>47</v>
      </c>
      <c r="W34" s="9" t="s">
        <v>32</v>
      </c>
      <c r="X34" s="9" t="s">
        <v>210</v>
      </c>
      <c r="Y34" s="32" t="s">
        <v>42</v>
      </c>
      <c r="Z34" s="32" t="s">
        <v>32</v>
      </c>
    </row>
    <row r="35" ht="54" spans="2:26">
      <c r="B35" s="30" t="s">
        <v>95</v>
      </c>
      <c r="C35" s="9" t="s">
        <v>224</v>
      </c>
      <c r="D35" s="32" t="s">
        <v>225</v>
      </c>
      <c r="E35" s="32"/>
      <c r="G35" s="9" t="s">
        <v>226</v>
      </c>
      <c r="H35" s="9" t="s">
        <v>34</v>
      </c>
      <c r="I35" s="32" t="s">
        <v>227</v>
      </c>
      <c r="J35" s="32" t="s">
        <v>228</v>
      </c>
      <c r="K35" s="9" t="s">
        <v>37</v>
      </c>
      <c r="L35" s="29" t="s">
        <v>38</v>
      </c>
      <c r="M35" s="32" t="s">
        <v>228</v>
      </c>
      <c r="N35" s="9" t="s">
        <v>37</v>
      </c>
      <c r="P35" s="30" t="s">
        <v>39</v>
      </c>
      <c r="R35" s="9" t="s">
        <v>229</v>
      </c>
      <c r="S35" s="9" t="s">
        <v>32</v>
      </c>
      <c r="U35" s="9" t="s">
        <v>40</v>
      </c>
      <c r="V35" s="9" t="s">
        <v>41</v>
      </c>
      <c r="W35" s="9" t="s">
        <v>32</v>
      </c>
      <c r="X35" s="32" t="s">
        <v>56</v>
      </c>
      <c r="Y35" s="32" t="s">
        <v>47</v>
      </c>
    </row>
    <row r="36" spans="2:26">
      <c r="B36" s="9" t="s">
        <v>230</v>
      </c>
      <c r="C36" s="32" t="s">
        <v>231</v>
      </c>
      <c r="D36" s="32" t="s">
        <v>232</v>
      </c>
      <c r="E36" s="32"/>
      <c r="G36" s="9" t="s">
        <v>233</v>
      </c>
      <c r="H36" s="32" t="s">
        <v>32</v>
      </c>
      <c r="I36" s="9" t="s">
        <v>182</v>
      </c>
      <c r="J36" s="9" t="s">
        <v>234</v>
      </c>
      <c r="K36" s="9" t="s">
        <v>210</v>
      </c>
      <c r="L36" s="29" t="s">
        <v>235</v>
      </c>
      <c r="Q36" s="9" t="s">
        <v>53</v>
      </c>
      <c r="R36" s="9" t="s">
        <v>229</v>
      </c>
      <c r="S36" s="32" t="s">
        <v>42</v>
      </c>
      <c r="T36" s="32"/>
      <c r="U36" s="9" t="s">
        <v>32</v>
      </c>
      <c r="W36" s="9" t="s">
        <v>32</v>
      </c>
      <c r="X36" s="32" t="s">
        <v>56</v>
      </c>
      <c r="Y36" s="32" t="s">
        <v>47</v>
      </c>
      <c r="Z36" s="32" t="s">
        <v>32</v>
      </c>
    </row>
    <row r="37" spans="2:26">
      <c r="B37" s="9" t="s">
        <v>236</v>
      </c>
      <c r="C37" s="32" t="s">
        <v>237</v>
      </c>
      <c r="D37" s="32" t="s">
        <v>238</v>
      </c>
      <c r="E37" s="32"/>
      <c r="G37" s="9" t="s">
        <v>239</v>
      </c>
      <c r="H37" s="32" t="s">
        <v>32</v>
      </c>
      <c r="I37" s="32" t="s">
        <v>32</v>
      </c>
      <c r="J37" s="32" t="s">
        <v>121</v>
      </c>
      <c r="K37" s="32" t="s">
        <v>210</v>
      </c>
      <c r="L37" s="29" t="s">
        <v>38</v>
      </c>
      <c r="M37" s="32"/>
      <c r="N37" s="32"/>
      <c r="Q37" s="9" t="s">
        <v>53</v>
      </c>
      <c r="S37" s="32"/>
      <c r="T37" s="32"/>
      <c r="U37" s="32" t="s">
        <v>32</v>
      </c>
      <c r="W37" s="32" t="s">
        <v>32</v>
      </c>
      <c r="X37" s="32" t="s">
        <v>42</v>
      </c>
      <c r="Y37" s="32" t="s">
        <v>56</v>
      </c>
      <c r="Z37" s="32" t="s">
        <v>32</v>
      </c>
    </row>
    <row r="38" spans="2:26">
      <c r="B38" s="32" t="s">
        <v>56</v>
      </c>
      <c r="C38" s="32" t="s">
        <v>240</v>
      </c>
      <c r="E38" s="32" t="s">
        <v>32</v>
      </c>
      <c r="G38" s="9" t="s">
        <v>241</v>
      </c>
      <c r="H38" s="9" t="s">
        <v>34</v>
      </c>
      <c r="I38" s="32" t="s">
        <v>35</v>
      </c>
      <c r="J38" s="32" t="s">
        <v>234</v>
      </c>
      <c r="K38" s="9" t="s">
        <v>37</v>
      </c>
      <c r="L38" s="29" t="s">
        <v>38</v>
      </c>
      <c r="M38" s="32" t="s">
        <v>234</v>
      </c>
      <c r="N38" s="9" t="s">
        <v>37</v>
      </c>
      <c r="P38" s="30"/>
      <c r="U38" s="9" t="s">
        <v>40</v>
      </c>
      <c r="W38" s="32" t="s">
        <v>32</v>
      </c>
      <c r="Y38" s="32" t="s">
        <v>32</v>
      </c>
    </row>
    <row r="39" spans="2:26">
      <c r="B39" s="32" t="s">
        <v>42</v>
      </c>
      <c r="C39" s="32" t="s">
        <v>242</v>
      </c>
      <c r="E39" s="32" t="s">
        <v>32</v>
      </c>
      <c r="G39" s="9" t="s">
        <v>243</v>
      </c>
      <c r="H39" s="9" t="s">
        <v>34</v>
      </c>
      <c r="I39" s="32" t="s">
        <v>35</v>
      </c>
      <c r="J39" s="32" t="s">
        <v>244</v>
      </c>
      <c r="K39" s="9" t="s">
        <v>37</v>
      </c>
      <c r="L39" s="29" t="s">
        <v>38</v>
      </c>
      <c r="M39" s="32" t="s">
        <v>244</v>
      </c>
      <c r="N39" s="9" t="s">
        <v>37</v>
      </c>
      <c r="P39" s="30"/>
      <c r="U39" s="9" t="s">
        <v>40</v>
      </c>
      <c r="W39" s="32" t="s">
        <v>32</v>
      </c>
      <c r="Y39" s="32" t="s">
        <v>47</v>
      </c>
    </row>
    <row r="40" spans="2:26">
      <c r="B40" s="32" t="s">
        <v>73</v>
      </c>
      <c r="C40" s="32" t="s">
        <v>245</v>
      </c>
      <c r="E40" s="32" t="s">
        <v>32</v>
      </c>
      <c r="G40" s="9" t="s">
        <v>246</v>
      </c>
      <c r="H40" s="9" t="s">
        <v>34</v>
      </c>
      <c r="I40" s="32" t="s">
        <v>35</v>
      </c>
      <c r="J40" s="32" t="s">
        <v>247</v>
      </c>
      <c r="K40" s="9" t="s">
        <v>37</v>
      </c>
      <c r="L40" s="29" t="s">
        <v>38</v>
      </c>
      <c r="M40" s="32" t="s">
        <v>247</v>
      </c>
      <c r="N40" s="9" t="s">
        <v>37</v>
      </c>
      <c r="P40" s="30"/>
      <c r="U40" s="9" t="s">
        <v>40</v>
      </c>
      <c r="W40" s="32" t="s">
        <v>32</v>
      </c>
      <c r="Y40" s="32" t="s">
        <v>95</v>
      </c>
    </row>
    <row r="41" ht="35.25" customHeight="1" spans="2:26">
      <c r="B41" s="32" t="s">
        <v>133</v>
      </c>
      <c r="C41" s="32" t="s">
        <v>248</v>
      </c>
      <c r="E41" s="32" t="s">
        <v>32</v>
      </c>
      <c r="G41" s="9" t="s">
        <v>249</v>
      </c>
      <c r="H41" s="9" t="s">
        <v>34</v>
      </c>
      <c r="I41" s="32" t="s">
        <v>35</v>
      </c>
      <c r="J41" s="32" t="s">
        <v>250</v>
      </c>
      <c r="K41" s="9" t="s">
        <v>37</v>
      </c>
      <c r="L41" s="29" t="s">
        <v>38</v>
      </c>
      <c r="M41" s="32" t="s">
        <v>250</v>
      </c>
      <c r="N41" s="9" t="s">
        <v>37</v>
      </c>
      <c r="P41" s="30"/>
      <c r="U41" s="9" t="s">
        <v>40</v>
      </c>
      <c r="V41" s="9" t="s">
        <v>251</v>
      </c>
      <c r="W41" s="32" t="s">
        <v>32</v>
      </c>
      <c r="Y41" s="32" t="s">
        <v>56</v>
      </c>
    </row>
    <row r="42" ht="54" customHeight="1" spans="2:26">
      <c r="B42" s="32" t="s">
        <v>252</v>
      </c>
      <c r="C42" s="32" t="s">
        <v>253</v>
      </c>
      <c r="D42" s="41" t="s">
        <v>254</v>
      </c>
      <c r="E42" s="41"/>
      <c r="G42" s="9" t="s">
        <v>151</v>
      </c>
      <c r="H42" s="9" t="s">
        <v>114</v>
      </c>
      <c r="I42" s="9" t="s">
        <v>32</v>
      </c>
      <c r="J42" s="9" t="s">
        <v>152</v>
      </c>
      <c r="K42" s="9" t="s">
        <v>49</v>
      </c>
      <c r="L42" s="29" t="s">
        <v>153</v>
      </c>
      <c r="Q42" s="9" t="s">
        <v>53</v>
      </c>
      <c r="U42" s="9" t="s">
        <v>32</v>
      </c>
      <c r="W42" s="9" t="s">
        <v>32</v>
      </c>
      <c r="X42" s="32" t="s">
        <v>56</v>
      </c>
      <c r="Y42" s="32" t="s">
        <v>42</v>
      </c>
      <c r="Z42" s="32" t="s">
        <v>32</v>
      </c>
    </row>
    <row r="43" ht="54" customHeight="1" spans="2:26">
      <c r="B43" s="46" t="s">
        <v>255</v>
      </c>
      <c r="C43" s="32" t="s">
        <v>256</v>
      </c>
      <c r="D43" s="31" t="s">
        <v>257</v>
      </c>
      <c r="E43" s="31"/>
      <c r="G43" s="32" t="s">
        <v>258</v>
      </c>
      <c r="H43" s="32" t="s">
        <v>114</v>
      </c>
      <c r="I43" s="32" t="s">
        <v>34</v>
      </c>
      <c r="L43" s="29" t="s">
        <v>108</v>
      </c>
      <c r="Q43" s="9" t="s">
        <v>109</v>
      </c>
      <c r="R43" s="35" t="s">
        <v>259</v>
      </c>
      <c r="S43" s="9" t="s">
        <v>32</v>
      </c>
      <c r="U43" s="9" t="s">
        <v>73</v>
      </c>
      <c r="X43" s="9" t="s">
        <v>194</v>
      </c>
      <c r="Y43" s="32" t="s">
        <v>47</v>
      </c>
    </row>
    <row r="44" ht="81" customHeight="1" spans="2:26">
      <c r="B44" s="32" t="s">
        <v>260</v>
      </c>
      <c r="C44" t="s">
        <v>261</v>
      </c>
      <c r="D44" s="47" t="s">
        <v>262</v>
      </c>
      <c r="E44" s="47"/>
      <c r="G44" s="9" t="s">
        <v>99</v>
      </c>
      <c r="H44" s="32" t="s">
        <v>114</v>
      </c>
      <c r="I44" s="9" t="s">
        <v>100</v>
      </c>
      <c r="J44" s="9" t="s">
        <v>101</v>
      </c>
      <c r="K44" s="9" t="s">
        <v>37</v>
      </c>
      <c r="L44" s="29" t="s">
        <v>263</v>
      </c>
      <c r="P44" s="30"/>
      <c r="Q44" s="9" t="s">
        <v>53</v>
      </c>
      <c r="R44" s="32" t="s">
        <v>264</v>
      </c>
      <c r="S44" s="32" t="s">
        <v>47</v>
      </c>
      <c r="T44" s="32"/>
      <c r="U44" s="32" t="s">
        <v>32</v>
      </c>
      <c r="W44" s="32" t="s">
        <v>32</v>
      </c>
      <c r="X44" s="32" t="s">
        <v>56</v>
      </c>
      <c r="Y44" s="32" t="s">
        <v>42</v>
      </c>
      <c r="Z44" s="32" t="s">
        <v>32</v>
      </c>
    </row>
    <row r="45" ht="66" customHeight="1" spans="2:26">
      <c r="B45" s="46" t="s">
        <v>265</v>
      </c>
      <c r="C45" s="32" t="s">
        <v>266</v>
      </c>
      <c r="D45" s="47" t="s">
        <v>267</v>
      </c>
      <c r="E45" s="47"/>
      <c r="G45" s="9" t="s">
        <v>198</v>
      </c>
      <c r="H45" s="32" t="s">
        <v>114</v>
      </c>
      <c r="I45" s="9" t="s">
        <v>158</v>
      </c>
      <c r="L45" s="29" t="s">
        <v>108</v>
      </c>
      <c r="Q45" s="9" t="s">
        <v>109</v>
      </c>
      <c r="R45" s="32" t="s">
        <v>268</v>
      </c>
      <c r="S45" s="32" t="s">
        <v>269</v>
      </c>
      <c r="T45" s="32"/>
      <c r="U45" s="9" t="s">
        <v>73</v>
      </c>
      <c r="X45" s="9" t="s">
        <v>194</v>
      </c>
      <c r="Y45" s="32" t="s">
        <v>42</v>
      </c>
    </row>
    <row r="46" ht="40.5" spans="2:26">
      <c r="B46" s="46" t="s">
        <v>270</v>
      </c>
      <c r="C46" s="32" t="s">
        <v>271</v>
      </c>
      <c r="D46" s="47" t="s">
        <v>272</v>
      </c>
      <c r="E46" s="47"/>
      <c r="G46" s="9" t="s">
        <v>273</v>
      </c>
      <c r="H46" s="32" t="s">
        <v>114</v>
      </c>
      <c r="I46" s="32" t="s">
        <v>34</v>
      </c>
      <c r="L46" s="48" t="s">
        <v>108</v>
      </c>
      <c r="Q46" s="32" t="s">
        <v>109</v>
      </c>
      <c r="R46" s="32" t="s">
        <v>274</v>
      </c>
      <c r="S46" s="32" t="s">
        <v>275</v>
      </c>
      <c r="T46" s="32"/>
      <c r="U46" s="9" t="s">
        <v>73</v>
      </c>
      <c r="X46" s="9" t="s">
        <v>194</v>
      </c>
      <c r="Y46" s="32" t="s">
        <v>42</v>
      </c>
    </row>
    <row r="47" spans="2:26">
      <c r="B47" s="32" t="s">
        <v>276</v>
      </c>
      <c r="C47" s="45" t="s">
        <v>277</v>
      </c>
      <c r="D47" s="45" t="s">
        <v>278</v>
      </c>
      <c r="E47" s="18"/>
      <c r="G47" s="29" t="s">
        <v>279</v>
      </c>
      <c r="H47" s="32" t="s">
        <v>114</v>
      </c>
      <c r="I47" s="32" t="s">
        <v>250</v>
      </c>
      <c r="J47" s="32" t="s">
        <v>34</v>
      </c>
      <c r="K47" s="9" t="s">
        <v>37</v>
      </c>
      <c r="L47" s="9" t="s">
        <v>280</v>
      </c>
      <c r="Q47" s="9" t="s">
        <v>53</v>
      </c>
      <c r="R47" s="32" t="s">
        <v>281</v>
      </c>
      <c r="S47" s="32" t="s">
        <v>32</v>
      </c>
      <c r="T47" s="32"/>
      <c r="U47" s="32" t="s">
        <v>32</v>
      </c>
      <c r="W47" s="32" t="s">
        <v>32</v>
      </c>
      <c r="X47" s="32" t="s">
        <v>194</v>
      </c>
      <c r="Y47" s="32" t="s">
        <v>47</v>
      </c>
      <c r="Z47" s="32" t="s">
        <v>32</v>
      </c>
    </row>
    <row r="48" spans="2:26">
      <c r="B48" s="32" t="s">
        <v>282</v>
      </c>
      <c r="C48" s="32" t="s">
        <v>283</v>
      </c>
      <c r="G48" s="29" t="s">
        <v>279</v>
      </c>
      <c r="H48" s="32" t="s">
        <v>114</v>
      </c>
      <c r="I48" s="32" t="s">
        <v>250</v>
      </c>
      <c r="J48" s="32" t="s">
        <v>34</v>
      </c>
      <c r="K48" s="9" t="s">
        <v>37</v>
      </c>
      <c r="L48" s="9" t="s">
        <v>280</v>
      </c>
      <c r="U48" s="32" t="s">
        <v>32</v>
      </c>
      <c r="W48" s="32" t="s">
        <v>32</v>
      </c>
      <c r="X48" s="32" t="s">
        <v>42</v>
      </c>
      <c r="Y48" s="32" t="s">
        <v>47</v>
      </c>
    </row>
    <row r="49" spans="2:26">
      <c r="B49" s="32" t="s">
        <v>284</v>
      </c>
      <c r="C49" s="49" t="s">
        <v>285</v>
      </c>
      <c r="G49" s="29" t="s">
        <v>279</v>
      </c>
      <c r="H49" s="32" t="s">
        <v>114</v>
      </c>
      <c r="I49" s="32" t="s">
        <v>250</v>
      </c>
      <c r="J49" s="32" t="s">
        <v>34</v>
      </c>
      <c r="K49" s="9" t="s">
        <v>37</v>
      </c>
      <c r="L49" s="9" t="s">
        <v>280</v>
      </c>
      <c r="R49" s="32" t="s">
        <v>141</v>
      </c>
      <c r="S49" s="32" t="s">
        <v>32</v>
      </c>
      <c r="T49" s="32"/>
      <c r="U49" s="32" t="s">
        <v>32</v>
      </c>
      <c r="W49" s="32" t="s">
        <v>32</v>
      </c>
      <c r="X49" s="32" t="s">
        <v>42</v>
      </c>
      <c r="Y49" s="32" t="s">
        <v>47</v>
      </c>
    </row>
    <row r="50" spans="2:26">
      <c r="B50" s="32" t="s">
        <v>286</v>
      </c>
      <c r="C50" s="49" t="s">
        <v>287</v>
      </c>
      <c r="D50" s="32" t="s">
        <v>288</v>
      </c>
      <c r="G50" s="29" t="s">
        <v>279</v>
      </c>
      <c r="H50" s="32" t="s">
        <v>114</v>
      </c>
      <c r="I50" s="32" t="s">
        <v>250</v>
      </c>
      <c r="J50" s="32" t="s">
        <v>34</v>
      </c>
      <c r="K50" s="9" t="s">
        <v>37</v>
      </c>
      <c r="L50" s="9" t="s">
        <v>280</v>
      </c>
      <c r="R50" s="32" t="s">
        <v>139</v>
      </c>
      <c r="U50" s="32" t="s">
        <v>95</v>
      </c>
      <c r="W50" s="32" t="s">
        <v>32</v>
      </c>
      <c r="X50" s="32" t="s">
        <v>42</v>
      </c>
      <c r="Y50" s="32" t="s">
        <v>56</v>
      </c>
    </row>
    <row r="51" spans="2:26">
      <c r="B51" s="32" t="s">
        <v>289</v>
      </c>
      <c r="C51" s="49" t="s">
        <v>290</v>
      </c>
      <c r="D51" s="32" t="s">
        <v>291</v>
      </c>
      <c r="G51" s="29" t="s">
        <v>279</v>
      </c>
      <c r="H51" s="32" t="s">
        <v>114</v>
      </c>
      <c r="I51" s="32" t="s">
        <v>250</v>
      </c>
      <c r="J51" s="32" t="s">
        <v>34</v>
      </c>
      <c r="K51" s="9" t="s">
        <v>37</v>
      </c>
      <c r="L51" s="9" t="s">
        <v>280</v>
      </c>
      <c r="T51" s="32" t="s">
        <v>292</v>
      </c>
      <c r="W51" s="32" t="s">
        <v>32</v>
      </c>
      <c r="X51" s="32" t="s">
        <v>42</v>
      </c>
      <c r="Y51" s="32" t="s">
        <v>95</v>
      </c>
    </row>
    <row r="52" ht="54" customHeight="1" spans="2:26">
      <c r="B52" s="32" t="s">
        <v>293</v>
      </c>
      <c r="C52" s="32" t="s">
        <v>294</v>
      </c>
      <c r="G52" s="29" t="s">
        <v>279</v>
      </c>
      <c r="H52" s="32" t="s">
        <v>114</v>
      </c>
      <c r="I52" s="32" t="s">
        <v>250</v>
      </c>
      <c r="J52" s="32" t="s">
        <v>34</v>
      </c>
      <c r="K52" s="9" t="s">
        <v>37</v>
      </c>
      <c r="L52" s="9" t="s">
        <v>280</v>
      </c>
      <c r="W52" s="32" t="s">
        <v>32</v>
      </c>
      <c r="Y52" s="32" t="s">
        <v>47</v>
      </c>
    </row>
    <row r="53" spans="2:26">
      <c r="B53" s="32" t="s">
        <v>295</v>
      </c>
      <c r="C53" s="49" t="s">
        <v>296</v>
      </c>
      <c r="G53" s="29" t="s">
        <v>279</v>
      </c>
      <c r="H53" s="32" t="s">
        <v>114</v>
      </c>
      <c r="I53" s="32" t="s">
        <v>250</v>
      </c>
      <c r="J53" s="32" t="s">
        <v>34</v>
      </c>
      <c r="K53" s="9" t="s">
        <v>37</v>
      </c>
      <c r="L53" s="9" t="s">
        <v>280</v>
      </c>
      <c r="R53" s="32" t="s">
        <v>297</v>
      </c>
      <c r="S53" s="32" t="s">
        <v>32</v>
      </c>
      <c r="W53" s="32" t="s">
        <v>32</v>
      </c>
      <c r="Y53" s="32" t="s">
        <v>47</v>
      </c>
    </row>
    <row r="54" ht="27" spans="2:26">
      <c r="B54" s="32" t="s">
        <v>298</v>
      </c>
      <c r="C54" s="32" t="s">
        <v>299</v>
      </c>
      <c r="D54" s="50" t="s">
        <v>300</v>
      </c>
      <c r="G54" s="48" t="s">
        <v>301</v>
      </c>
      <c r="H54" s="32" t="s">
        <v>114</v>
      </c>
      <c r="I54" s="32" t="s">
        <v>302</v>
      </c>
      <c r="J54" s="32" t="s">
        <v>303</v>
      </c>
      <c r="K54" s="9" t="s">
        <v>304</v>
      </c>
      <c r="L54" s="9" t="s">
        <v>280</v>
      </c>
      <c r="R54" s="35" t="s">
        <v>305</v>
      </c>
      <c r="S54" s="32" t="s">
        <v>32</v>
      </c>
      <c r="U54" s="32"/>
      <c r="W54" s="32" t="s">
        <v>32</v>
      </c>
      <c r="X54" s="32" t="s">
        <v>73</v>
      </c>
      <c r="Y54" s="32" t="s">
        <v>95</v>
      </c>
      <c r="Z54" s="32"/>
    </row>
    <row r="55" spans="2:26">
      <c r="B55" s="32" t="s">
        <v>306</v>
      </c>
      <c r="C55" s="32" t="s">
        <v>307</v>
      </c>
      <c r="D55" s="9" t="s">
        <v>308</v>
      </c>
      <c r="G55" s="29" t="s">
        <v>279</v>
      </c>
      <c r="H55" s="32" t="s">
        <v>114</v>
      </c>
      <c r="I55" s="32" t="s">
        <v>32</v>
      </c>
      <c r="L55" s="9" t="s">
        <v>280</v>
      </c>
      <c r="R55" s="35" t="s">
        <v>309</v>
      </c>
      <c r="S55" s="32" t="s">
        <v>32</v>
      </c>
      <c r="X55" s="32" t="s">
        <v>73</v>
      </c>
      <c r="Y55" s="32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73"/>
  <sheetViews>
    <sheetView topLeftCell="AJ1" workbookViewId="0">
      <selection activeCell="A15" sqref="A15"/>
    </sheetView>
  </sheetViews>
  <sheetFormatPr defaultColWidth="9" defaultRowHeight="13.5"/>
  <cols>
    <col min="1" max="1" width="16.125" style="1" customWidth="1"/>
    <col min="2" max="2" width="39" style="1" customWidth="1"/>
    <col min="3" max="3" width="14.875" style="1" customWidth="1"/>
    <col min="4" max="4" width="9" style="1" customWidth="1"/>
    <col min="5" max="5" width="12.25" style="1" customWidth="1"/>
    <col min="6" max="16" width="9" style="1" customWidth="1"/>
    <col min="17" max="17" width="11.75" style="1" customWidth="1"/>
    <col min="18" max="18" width="9" style="1" customWidth="1"/>
    <col min="19" max="19" width="25.25" style="1" customWidth="1"/>
    <col min="20" max="23" width="9" style="1" customWidth="1"/>
    <col min="24" max="24" width="9.875" style="1" customWidth="1"/>
    <col min="25" max="25" width="10" style="1" customWidth="1"/>
    <col min="26" max="34" width="9" style="1" customWidth="1"/>
    <col min="35" max="35" width="22.875" style="1" customWidth="1"/>
    <col min="36" max="36" width="32.875" style="1" customWidth="1"/>
    <col min="37" max="37" width="11.25" style="1" customWidth="1"/>
    <col min="38" max="38" width="16" style="1" customWidth="1"/>
    <col min="39" max="39" width="20.875" style="1" customWidth="1"/>
    <col min="40" max="40" width="19.75" style="1" customWidth="1"/>
    <col min="41" max="41" width="22.625" style="1" customWidth="1"/>
    <col min="42" max="16384" width="9" style="1" customWidth="1"/>
  </cols>
  <sheetData>
    <row r="1" ht="27" customHeight="1" spans="1:63"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2" t="s">
        <v>322</v>
      </c>
      <c r="AD1" s="2" t="s">
        <v>323</v>
      </c>
      <c r="AE1" s="2" t="s">
        <v>324</v>
      </c>
      <c r="AF1" s="2" t="s">
        <v>325</v>
      </c>
      <c r="AG1" s="2" t="s">
        <v>326</v>
      </c>
      <c r="AH1" s="3" t="s">
        <v>327</v>
      </c>
      <c r="AI1" s="3" t="s">
        <v>328</v>
      </c>
      <c r="AJ1" s="3" t="s">
        <v>329</v>
      </c>
      <c r="AK1" s="3" t="s">
        <v>330</v>
      </c>
      <c r="AL1" s="3" t="s">
        <v>331</v>
      </c>
      <c r="AM1" s="4" t="s">
        <v>332</v>
      </c>
      <c r="AN1" s="4" t="s">
        <v>333</v>
      </c>
      <c r="AO1" s="4" t="s">
        <v>334</v>
      </c>
      <c r="AP1" s="4" t="s">
        <v>335</v>
      </c>
      <c r="AQ1" s="4" t="s">
        <v>336</v>
      </c>
      <c r="AR1" s="5" t="s">
        <v>337</v>
      </c>
      <c r="AS1" s="5" t="s">
        <v>338</v>
      </c>
      <c r="AT1" s="5" t="s">
        <v>339</v>
      </c>
      <c r="AU1" s="5" t="s">
        <v>340</v>
      </c>
      <c r="AV1" s="5" t="s">
        <v>341</v>
      </c>
      <c r="AW1" s="6" t="s">
        <v>342</v>
      </c>
      <c r="AX1" s="6" t="s">
        <v>343</v>
      </c>
      <c r="AY1" s="6" t="s">
        <v>344</v>
      </c>
      <c r="AZ1" s="6" t="s">
        <v>345</v>
      </c>
      <c r="BA1" s="6" t="s">
        <v>346</v>
      </c>
      <c r="BB1" s="7" t="s">
        <v>347</v>
      </c>
      <c r="BC1" s="7" t="s">
        <v>348</v>
      </c>
      <c r="BD1" s="7" t="s">
        <v>349</v>
      </c>
      <c r="BE1" s="7" t="s">
        <v>350</v>
      </c>
      <c r="BF1" s="7" t="s">
        <v>351</v>
      </c>
      <c r="BG1" s="8" t="s">
        <v>352</v>
      </c>
      <c r="BH1" s="8" t="s">
        <v>353</v>
      </c>
      <c r="BI1" s="8" t="s">
        <v>354</v>
      </c>
      <c r="BJ1" s="8" t="s">
        <v>355</v>
      </c>
      <c r="BK1" s="8" t="s">
        <v>356</v>
      </c>
    </row>
    <row r="2" spans="1:63">
      <c r="A2" s="1" t="s">
        <v>357</v>
      </c>
      <c r="E2" s="1" t="s">
        <v>358</v>
      </c>
      <c r="F2" s="1" t="s">
        <v>359</v>
      </c>
      <c r="G2" s="1" t="s">
        <v>360</v>
      </c>
      <c r="H2" s="1" t="s">
        <v>361</v>
      </c>
      <c r="I2" s="1" t="s">
        <v>362</v>
      </c>
      <c r="J2" s="1" t="s">
        <v>363</v>
      </c>
      <c r="R2" s="1">
        <v>10001</v>
      </c>
      <c r="S2" s="1">
        <v>121001</v>
      </c>
      <c r="T2" s="1">
        <v>122001</v>
      </c>
      <c r="U2" s="1">
        <v>123001</v>
      </c>
      <c r="V2" s="1">
        <v>124001</v>
      </c>
      <c r="W2" s="1">
        <v>125001</v>
      </c>
      <c r="X2" s="9" t="s">
        <v>364</v>
      </c>
      <c r="Y2" s="9" t="s">
        <v>365</v>
      </c>
      <c r="Z2" s="9" t="s">
        <v>366</v>
      </c>
      <c r="AA2" s="9" t="s">
        <v>367</v>
      </c>
      <c r="AB2" s="9" t="s">
        <v>368</v>
      </c>
      <c r="AC2" s="10" t="s">
        <v>369</v>
      </c>
      <c r="AD2" s="10" t="s">
        <v>370</v>
      </c>
      <c r="AE2" s="10" t="s">
        <v>371</v>
      </c>
      <c r="AF2" s="10" t="s">
        <v>372</v>
      </c>
      <c r="AG2" s="10" t="s">
        <v>373</v>
      </c>
      <c r="AH2" s="11" t="s">
        <v>374</v>
      </c>
      <c r="AI2" s="11" t="s">
        <v>375</v>
      </c>
      <c r="AJ2" s="11" t="s">
        <v>376</v>
      </c>
      <c r="AK2" s="11" t="s">
        <v>377</v>
      </c>
      <c r="AL2" s="11" t="s">
        <v>378</v>
      </c>
      <c r="AM2" s="12" t="s">
        <v>379</v>
      </c>
      <c r="AN2" s="12" t="s">
        <v>380</v>
      </c>
      <c r="AO2" s="12" t="s">
        <v>381</v>
      </c>
      <c r="AP2" s="12" t="s">
        <v>382</v>
      </c>
      <c r="AQ2" s="12" t="s">
        <v>383</v>
      </c>
      <c r="AR2" s="13" t="s">
        <v>384</v>
      </c>
      <c r="AS2" s="13" t="s">
        <v>385</v>
      </c>
      <c r="AT2" s="13" t="s">
        <v>386</v>
      </c>
      <c r="AU2" s="13" t="s">
        <v>387</v>
      </c>
      <c r="AV2" s="13" t="s">
        <v>388</v>
      </c>
      <c r="AW2" s="14" t="s">
        <v>389</v>
      </c>
      <c r="AX2" s="14" t="s">
        <v>390</v>
      </c>
      <c r="AY2" s="14" t="s">
        <v>391</v>
      </c>
      <c r="AZ2" s="14" t="s">
        <v>392</v>
      </c>
      <c r="BA2" s="14" t="s">
        <v>393</v>
      </c>
      <c r="BB2" s="15" t="s">
        <v>394</v>
      </c>
      <c r="BC2" s="15" t="s">
        <v>395</v>
      </c>
      <c r="BD2" s="15" t="s">
        <v>396</v>
      </c>
      <c r="BE2" s="15" t="s">
        <v>397</v>
      </c>
      <c r="BF2" s="15" t="s">
        <v>398</v>
      </c>
      <c r="BG2" s="16" t="s">
        <v>399</v>
      </c>
      <c r="BH2" s="16" t="s">
        <v>400</v>
      </c>
      <c r="BI2" s="16" t="s">
        <v>401</v>
      </c>
      <c r="BJ2" s="16" t="s">
        <v>402</v>
      </c>
      <c r="BK2" s="16" t="s">
        <v>403</v>
      </c>
    </row>
    <row r="3" ht="81" customHeight="1" spans="1:63">
      <c r="A3" s="1">
        <v>1</v>
      </c>
      <c r="B3" s="1" t="str">
        <f t="shared" ref="B3:B52" si="0">E3&amp;"|"&amp;F3&amp;"|"&amp;G3&amp;"|"&amp;H3&amp;"|"&amp;I3</f>
        <v>0|0|0|0|0</v>
      </c>
      <c r="C3" s="1" t="str">
        <f t="shared" ref="C3:C52" si="1">$E$2&amp;":"&amp;E3&amp;"\n"&amp;$F$2&amp;":"&amp;F3&amp;"\n"&amp;$G$2&amp;":"&amp;G3&amp;"\n"&amp;$H$2&amp;":"&amp;H3&amp;"\n"&amp;$I$2&amp;":"&amp;I3</f>
        <v>1段伤害:0\n2段伤害:0\n3段伤害:0\n4段伤害:0\n5段伤害:0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K3" s="17" t="s">
        <v>404</v>
      </c>
      <c r="L3" s="17" t="s">
        <v>405</v>
      </c>
      <c r="M3" s="17"/>
      <c r="N3" s="17" t="s">
        <v>406</v>
      </c>
      <c r="O3" s="17" t="s">
        <v>407</v>
      </c>
      <c r="S3" s="18" t="s">
        <v>408</v>
      </c>
      <c r="X3" s="17" t="s">
        <v>404</v>
      </c>
      <c r="Y3" s="17" t="s">
        <v>405</v>
      </c>
      <c r="Z3" s="17"/>
      <c r="AA3" s="17" t="s">
        <v>406</v>
      </c>
      <c r="AB3" s="17" t="s">
        <v>407</v>
      </c>
      <c r="AC3" s="17" t="s">
        <v>404</v>
      </c>
      <c r="AD3" s="17" t="s">
        <v>405</v>
      </c>
      <c r="AE3" s="17"/>
      <c r="AF3" s="17" t="s">
        <v>406</v>
      </c>
      <c r="AG3" s="17" t="s">
        <v>407</v>
      </c>
      <c r="AI3" s="18" t="s">
        <v>409</v>
      </c>
      <c r="AJ3" s="18" t="s">
        <v>410</v>
      </c>
      <c r="AK3" s="18" t="s">
        <v>411</v>
      </c>
      <c r="AL3" s="18" t="s">
        <v>412</v>
      </c>
      <c r="AM3" s="18" t="s">
        <v>413</v>
      </c>
      <c r="AN3" s="1" t="s">
        <v>414</v>
      </c>
      <c r="AO3" s="1" t="s">
        <v>415</v>
      </c>
    </row>
    <row r="4" ht="67.5" customHeight="1" spans="1:63">
      <c r="A4" s="1">
        <v>2</v>
      </c>
      <c r="B4" s="1" t="str">
        <f t="shared" si="0"/>
        <v>5|5|5|5|5</v>
      </c>
      <c r="C4" s="1" t="str">
        <f t="shared" si="1"/>
        <v>1段伤害:5\n2段伤害:5\n3段伤害:5\n4段伤害:5\n5段伤害:5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K4" s="19">
        <v>92</v>
      </c>
      <c r="L4" s="20">
        <v>2</v>
      </c>
      <c r="M4" s="21"/>
      <c r="N4" s="21">
        <v>1</v>
      </c>
      <c r="O4" s="22">
        <f t="shared" ref="O4:O53" si="2">($K$4*POWER(N4,$L$4))</f>
        <v>92</v>
      </c>
      <c r="R4" s="23">
        <v>25</v>
      </c>
      <c r="S4" s="1" t="str">
        <f t="shared" ref="S4:S12" si="3">$R$2&amp;"|"&amp;AB4&amp;"$"&amp;$S$2&amp;"|"&amp;O4&amp;"$"&amp;$X$2&amp;"|"&amp;AG4</f>
        <v>10001|150$121001|92$121002|8</v>
      </c>
      <c r="X4" s="19">
        <v>150</v>
      </c>
      <c r="Y4" s="20">
        <v>2</v>
      </c>
      <c r="Z4" s="21"/>
      <c r="AA4" s="21">
        <v>1</v>
      </c>
      <c r="AB4" s="22">
        <f t="shared" ref="AB4:AB53" si="4">($X$4*POWER(AA4,$Y$4))</f>
        <v>150</v>
      </c>
      <c r="AC4" s="19">
        <v>60</v>
      </c>
      <c r="AD4" s="20">
        <v>1.5</v>
      </c>
      <c r="AE4" s="21"/>
      <c r="AF4" s="21">
        <v>1</v>
      </c>
      <c r="AG4" s="22">
        <f t="shared" ref="AG4:AG53" si="5">($AC$4*POWER(AF4,$AD$4))/8</f>
        <v>8</v>
      </c>
      <c r="AI4" s="1" t="str">
        <f t="shared" ref="AI4:AI12" si="6">$R$2&amp;"|"&amp;AB4&amp;"$"&amp;$S$2&amp;"|"&amp;O4&amp;"$"&amp;$AC$2&amp;"|"&amp;AG4</f>
        <v>10001|150$121001|92$121003|8</v>
      </c>
      <c r="AJ4" s="1" t="str">
        <f t="shared" ref="AJ4:AJ12" si="7">$R$2&amp;"|"&amp;AB4&amp;"$"&amp;$S$2&amp;"|"&amp;O4&amp;"$"&amp;$AH$2&amp;"|"&amp;AG4</f>
        <v>10001|150$121001|92$121004|8</v>
      </c>
      <c r="AK4" s="1" t="str">
        <f t="shared" ref="AK4:AK12" si="8">$R$2&amp;"|"&amp;AB4&amp;"$"&amp;$S$2&amp;"|"&amp;O4&amp;"$"&amp;$AM$2&amp;"|"&amp;AG4</f>
        <v>10001|150$121001|92$121005|8</v>
      </c>
      <c r="AL4" s="1" t="str">
        <f t="shared" ref="AL4:AL12" si="9">$R$2&amp;"|"&amp;AB4&amp;"$"&amp;$S$2&amp;"|"&amp;O4&amp;"$"&amp;$AR$2&amp;"|"&amp;AG4</f>
        <v>10001|150$121001|92$121006|8</v>
      </c>
      <c r="AM4" s="1" t="str">
        <f t="shared" ref="AM4:AM12" si="10">$R$2&amp;"|"&amp;AB4&amp;"$"&amp;$S$2&amp;"|"&amp;O4&amp;"$"&amp;$AW$2&amp;"|"&amp;AG4</f>
        <v>10001|150$121001|92$121007|8</v>
      </c>
      <c r="AN4" s="1" t="str">
        <f t="shared" ref="AN4:AN12" si="11">$R$2&amp;"|"&amp;AB4&amp;"$"&amp;$S$2&amp;"|"&amp;O4&amp;"$"&amp;$BB$2&amp;"|"&amp;AG4</f>
        <v>10001|150$121001|92$121008|8</v>
      </c>
      <c r="AO4" s="1" t="str">
        <f t="shared" ref="AO4:AO12" si="12">$R$2&amp;"|"&amp;AB4&amp;"$"&amp;$S$2&amp;"|"&amp;O4&amp;"$"&amp;$BG$2&amp;"|"&amp;AG4</f>
        <v>10001|150$121001|92$121009|8</v>
      </c>
    </row>
    <row r="5" ht="67.5" customHeight="1" spans="1:63">
      <c r="A5" s="1">
        <v>3</v>
      </c>
      <c r="B5" s="1" t="str">
        <f t="shared" si="0"/>
        <v>10|10|10|10|10</v>
      </c>
      <c r="C5" s="1" t="str">
        <f t="shared" si="1"/>
        <v>1段伤害:10\n2段伤害:10\n3段伤害:10\n4段伤害:10\n5段伤害:10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N5" s="21">
        <v>2</v>
      </c>
      <c r="O5" s="22">
        <f t="shared" si="2"/>
        <v>368</v>
      </c>
      <c r="R5" s="23">
        <v>101</v>
      </c>
      <c r="S5" s="1" t="str">
        <f t="shared" si="3"/>
        <v>10001|600$121001|368$121002|21</v>
      </c>
      <c r="AA5" s="1">
        <v>2</v>
      </c>
      <c r="AB5" s="22">
        <f t="shared" si="4"/>
        <v>600</v>
      </c>
      <c r="AF5" s="1">
        <v>2</v>
      </c>
      <c r="AG5" s="22">
        <f t="shared" si="5"/>
        <v>21</v>
      </c>
      <c r="AI5" s="1" t="str">
        <f t="shared" si="6"/>
        <v>10001|600$121001|368$121003|21</v>
      </c>
      <c r="AJ5" s="1" t="str">
        <f t="shared" si="7"/>
        <v>10001|600$121001|368$121004|21</v>
      </c>
      <c r="AK5" s="1" t="str">
        <f t="shared" si="8"/>
        <v>10001|600$121001|368$121005|21</v>
      </c>
      <c r="AL5" s="1" t="str">
        <f t="shared" si="9"/>
        <v>10001|600$121001|368$121006|21</v>
      </c>
      <c r="AM5" s="1" t="str">
        <f t="shared" si="10"/>
        <v>10001|600$121001|368$121007|21</v>
      </c>
      <c r="AN5" s="1" t="str">
        <f t="shared" si="11"/>
        <v>10001|600$121001|368$121008|21</v>
      </c>
      <c r="AO5" s="1" t="str">
        <f t="shared" si="12"/>
        <v>10001|600$121001|368$121009|21</v>
      </c>
    </row>
    <row r="6" ht="67.5" customHeight="1" spans="1:63">
      <c r="A6" s="1">
        <v>4</v>
      </c>
      <c r="B6" s="1" t="str">
        <f t="shared" si="0"/>
        <v>15|15|15|15|15</v>
      </c>
      <c r="C6" s="1" t="str">
        <f t="shared" si="1"/>
        <v>1段伤害:15\n2段伤害:15\n3段伤害:15\n4段伤害:15\n5段伤害:15</v>
      </c>
      <c r="E6" s="1">
        <v>15</v>
      </c>
      <c r="F6" s="1">
        <v>15</v>
      </c>
      <c r="G6" s="1">
        <v>15</v>
      </c>
      <c r="H6" s="1">
        <v>15</v>
      </c>
      <c r="I6" s="1">
        <v>15</v>
      </c>
      <c r="N6" s="21">
        <v>3</v>
      </c>
      <c r="O6" s="22">
        <f t="shared" si="2"/>
        <v>828</v>
      </c>
      <c r="R6" s="23">
        <v>228</v>
      </c>
      <c r="S6" s="1" t="str">
        <f t="shared" si="3"/>
        <v>10001|1350$121001|828$121002|39</v>
      </c>
      <c r="AA6" s="21">
        <v>3</v>
      </c>
      <c r="AB6" s="22">
        <f t="shared" si="4"/>
        <v>1350</v>
      </c>
      <c r="AF6" s="21">
        <v>3</v>
      </c>
      <c r="AG6" s="22">
        <f t="shared" si="5"/>
        <v>39</v>
      </c>
      <c r="AI6" s="1" t="str">
        <f t="shared" si="6"/>
        <v>10001|1350$121001|828$121003|39</v>
      </c>
      <c r="AJ6" s="1" t="str">
        <f t="shared" si="7"/>
        <v>10001|1350$121001|828$121004|39</v>
      </c>
      <c r="AK6" s="1" t="str">
        <f t="shared" si="8"/>
        <v>10001|1350$121001|828$121005|39</v>
      </c>
      <c r="AL6" s="1" t="str">
        <f t="shared" si="9"/>
        <v>10001|1350$121001|828$121006|39</v>
      </c>
      <c r="AM6" s="1" t="str">
        <f t="shared" si="10"/>
        <v>10001|1350$121001|828$121007|39</v>
      </c>
      <c r="AN6" s="1" t="str">
        <f t="shared" si="11"/>
        <v>10001|1350$121001|828$121008|39</v>
      </c>
      <c r="AO6" s="1" t="str">
        <f t="shared" si="12"/>
        <v>10001|1350$121001|828$121009|39</v>
      </c>
    </row>
    <row r="7" ht="67.5" customHeight="1" spans="1:63">
      <c r="A7" s="1">
        <v>5</v>
      </c>
      <c r="B7" s="1" t="str">
        <f t="shared" si="0"/>
        <v>20|20|20|20|20</v>
      </c>
      <c r="C7" s="1" t="str">
        <f t="shared" si="1"/>
        <v>1段伤害:20\n2段伤害:20\n3段伤害:20\n4段伤害:20\n5段伤害:20</v>
      </c>
      <c r="E7" s="1">
        <v>20</v>
      </c>
      <c r="F7" s="1">
        <v>20</v>
      </c>
      <c r="G7" s="1">
        <v>20</v>
      </c>
      <c r="H7" s="1">
        <v>20</v>
      </c>
      <c r="I7" s="1">
        <v>20</v>
      </c>
      <c r="N7" s="21">
        <v>4</v>
      </c>
      <c r="O7" s="22">
        <f t="shared" si="2"/>
        <v>1472</v>
      </c>
      <c r="R7" s="23">
        <v>405</v>
      </c>
      <c r="S7" s="1" t="str">
        <f t="shared" si="3"/>
        <v>10001|2400$121001|1472$121002|60</v>
      </c>
      <c r="AA7" s="1">
        <v>4</v>
      </c>
      <c r="AB7" s="22">
        <f t="shared" si="4"/>
        <v>2400</v>
      </c>
      <c r="AF7" s="1">
        <v>4</v>
      </c>
      <c r="AG7" s="22">
        <f t="shared" si="5"/>
        <v>60</v>
      </c>
      <c r="AI7" s="1" t="str">
        <f t="shared" si="6"/>
        <v>10001|2400$121001|1472$121003|60</v>
      </c>
      <c r="AJ7" s="1" t="str">
        <f t="shared" si="7"/>
        <v>10001|2400$121001|1472$121004|60</v>
      </c>
      <c r="AK7" s="1" t="str">
        <f t="shared" si="8"/>
        <v>10001|2400$121001|1472$121005|60</v>
      </c>
      <c r="AL7" s="1" t="str">
        <f t="shared" si="9"/>
        <v>10001|2400$121001|1472$121006|60</v>
      </c>
      <c r="AM7" s="1" t="str">
        <f t="shared" si="10"/>
        <v>10001|2400$121001|1472$121007|60</v>
      </c>
      <c r="AN7" s="1" t="str">
        <f t="shared" si="11"/>
        <v>10001|2400$121001|1472$121008|60</v>
      </c>
      <c r="AO7" s="1" t="str">
        <f t="shared" si="12"/>
        <v>10001|2400$121001|1472$121009|60</v>
      </c>
    </row>
    <row r="8" ht="67.5" customHeight="1" spans="1:63">
      <c r="A8" s="1">
        <v>6</v>
      </c>
      <c r="B8" s="1" t="str">
        <f t="shared" si="0"/>
        <v>25|25|25|25|25</v>
      </c>
      <c r="C8" s="1" t="str">
        <f t="shared" si="1"/>
        <v>1段伤害:25\n2段伤害:25\n3段伤害:25\n4段伤害:25\n5段伤害:25</v>
      </c>
      <c r="E8" s="1">
        <v>25</v>
      </c>
      <c r="F8" s="1">
        <v>25</v>
      </c>
      <c r="G8" s="1">
        <v>25</v>
      </c>
      <c r="H8" s="1">
        <v>25</v>
      </c>
      <c r="I8" s="1">
        <v>25</v>
      </c>
      <c r="N8" s="21">
        <v>5</v>
      </c>
      <c r="O8" s="22">
        <f t="shared" si="2"/>
        <v>2300</v>
      </c>
      <c r="R8" s="23">
        <v>633</v>
      </c>
      <c r="S8" s="1" t="str">
        <f t="shared" si="3"/>
        <v>10001|3750$121001|2300$121002|84</v>
      </c>
      <c r="AA8" s="21">
        <v>5</v>
      </c>
      <c r="AB8" s="22">
        <f t="shared" si="4"/>
        <v>3750</v>
      </c>
      <c r="AF8" s="21">
        <v>5</v>
      </c>
      <c r="AG8" s="22">
        <f t="shared" si="5"/>
        <v>84</v>
      </c>
      <c r="AI8" s="1" t="str">
        <f t="shared" si="6"/>
        <v>10001|3750$121001|2300$121003|84</v>
      </c>
      <c r="AJ8" s="1" t="str">
        <f t="shared" si="7"/>
        <v>10001|3750$121001|2300$121004|84</v>
      </c>
      <c r="AK8" s="1" t="str">
        <f t="shared" si="8"/>
        <v>10001|3750$121001|2300$121005|84</v>
      </c>
      <c r="AL8" s="1" t="str">
        <f t="shared" si="9"/>
        <v>10001|3750$121001|2300$121006|84</v>
      </c>
      <c r="AM8" s="1" t="str">
        <f t="shared" si="10"/>
        <v>10001|3750$121001|2300$121007|84</v>
      </c>
      <c r="AN8" s="1" t="str">
        <f t="shared" si="11"/>
        <v>10001|3750$121001|2300$121008|84</v>
      </c>
      <c r="AO8" s="1" t="str">
        <f t="shared" si="12"/>
        <v>10001|3750$121001|2300$121009|84</v>
      </c>
    </row>
    <row r="9" ht="67.5" customHeight="1" spans="1:63">
      <c r="A9" s="1">
        <v>7</v>
      </c>
      <c r="B9" s="1" t="str">
        <f t="shared" si="0"/>
        <v>30|30|30|30|30</v>
      </c>
      <c r="C9" s="1" t="str">
        <f t="shared" si="1"/>
        <v>1段伤害:30\n2段伤害:30\n3段伤害:30\n4段伤害:30\n5段伤害:30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N9" s="21">
        <v>6</v>
      </c>
      <c r="O9" s="22">
        <f t="shared" si="2"/>
        <v>3312</v>
      </c>
      <c r="R9" s="23">
        <v>911</v>
      </c>
      <c r="S9" s="1" t="str">
        <f t="shared" si="3"/>
        <v>10001|5400$121001|3312$121002|110</v>
      </c>
      <c r="AA9" s="1">
        <v>6</v>
      </c>
      <c r="AB9" s="22">
        <f t="shared" si="4"/>
        <v>5400</v>
      </c>
      <c r="AF9" s="1">
        <v>6</v>
      </c>
      <c r="AG9" s="22">
        <f t="shared" si="5"/>
        <v>110</v>
      </c>
      <c r="AI9" s="1" t="str">
        <f t="shared" si="6"/>
        <v>10001|5400$121001|3312$121003|110</v>
      </c>
      <c r="AJ9" s="1" t="str">
        <f t="shared" si="7"/>
        <v>10001|5400$121001|3312$121004|110</v>
      </c>
      <c r="AK9" s="1" t="str">
        <f t="shared" si="8"/>
        <v>10001|5400$121001|3312$121005|110</v>
      </c>
      <c r="AL9" s="1" t="str">
        <f t="shared" si="9"/>
        <v>10001|5400$121001|3312$121006|110</v>
      </c>
      <c r="AM9" s="1" t="str">
        <f t="shared" si="10"/>
        <v>10001|5400$121001|3312$121007|110</v>
      </c>
      <c r="AN9" s="1" t="str">
        <f t="shared" si="11"/>
        <v>10001|5400$121001|3312$121008|110</v>
      </c>
      <c r="AO9" s="1" t="str">
        <f t="shared" si="12"/>
        <v>10001|5400$121001|3312$121009|110</v>
      </c>
    </row>
    <row r="10" ht="67.5" customHeight="1" spans="1:63">
      <c r="A10" s="1">
        <v>8</v>
      </c>
      <c r="B10" s="1" t="str">
        <f t="shared" si="0"/>
        <v>35|35|35|35|35</v>
      </c>
      <c r="C10" s="1" t="str">
        <f t="shared" si="1"/>
        <v>1段伤害:35\n2段伤害:35\n3段伤害:35\n4段伤害:35\n5段伤害:35</v>
      </c>
      <c r="E10" s="1">
        <v>35</v>
      </c>
      <c r="F10" s="1">
        <v>35</v>
      </c>
      <c r="G10" s="1">
        <v>35</v>
      </c>
      <c r="H10" s="1">
        <v>35</v>
      </c>
      <c r="I10" s="1">
        <v>35</v>
      </c>
      <c r="N10" s="21">
        <v>7</v>
      </c>
      <c r="O10" s="22">
        <f t="shared" si="2"/>
        <v>4508</v>
      </c>
      <c r="R10" s="23">
        <v>1240</v>
      </c>
      <c r="S10" s="1" t="str">
        <f t="shared" si="3"/>
        <v>10001|7350$121001|4508$121002|139</v>
      </c>
      <c r="AA10" s="21">
        <v>7</v>
      </c>
      <c r="AB10" s="22">
        <f t="shared" si="4"/>
        <v>7350</v>
      </c>
      <c r="AF10" s="21">
        <v>7</v>
      </c>
      <c r="AG10" s="22">
        <f t="shared" si="5"/>
        <v>139</v>
      </c>
      <c r="AI10" s="1" t="str">
        <f t="shared" si="6"/>
        <v>10001|7350$121001|4508$121003|139</v>
      </c>
      <c r="AJ10" s="1" t="str">
        <f t="shared" si="7"/>
        <v>10001|7350$121001|4508$121004|139</v>
      </c>
      <c r="AK10" s="1" t="str">
        <f t="shared" si="8"/>
        <v>10001|7350$121001|4508$121005|139</v>
      </c>
      <c r="AL10" s="1" t="str">
        <f t="shared" si="9"/>
        <v>10001|7350$121001|4508$121006|139</v>
      </c>
      <c r="AM10" s="1" t="str">
        <f t="shared" si="10"/>
        <v>10001|7350$121001|4508$121007|139</v>
      </c>
      <c r="AN10" s="1" t="str">
        <f t="shared" si="11"/>
        <v>10001|7350$121001|4508$121008|139</v>
      </c>
      <c r="AO10" s="1" t="str">
        <f t="shared" si="12"/>
        <v>10001|7350$121001|4508$121009|139</v>
      </c>
    </row>
    <row r="11" ht="67.5" customHeight="1" spans="1:63">
      <c r="A11" s="1">
        <v>9</v>
      </c>
      <c r="B11" s="1" t="str">
        <f t="shared" si="0"/>
        <v>40|40|40|40|40</v>
      </c>
      <c r="C11" s="1" t="str">
        <f t="shared" si="1"/>
        <v>1段伤害:40\n2段伤害:40\n3段伤害:40\n4段伤害:40\n5段伤害:40</v>
      </c>
      <c r="E11" s="1">
        <v>40</v>
      </c>
      <c r="F11" s="1">
        <v>40</v>
      </c>
      <c r="G11" s="1">
        <v>40</v>
      </c>
      <c r="H11" s="1">
        <v>40</v>
      </c>
      <c r="I11" s="1">
        <v>40</v>
      </c>
      <c r="N11" s="21">
        <v>8</v>
      </c>
      <c r="O11" s="22">
        <f t="shared" si="2"/>
        <v>5888</v>
      </c>
      <c r="R11" s="23">
        <v>1620</v>
      </c>
      <c r="S11" s="1" t="str">
        <f t="shared" si="3"/>
        <v>10001|9600$121001|5888$121002|170</v>
      </c>
      <c r="AA11" s="1">
        <v>8</v>
      </c>
      <c r="AB11" s="22">
        <f t="shared" si="4"/>
        <v>9600</v>
      </c>
      <c r="AF11" s="1">
        <v>8</v>
      </c>
      <c r="AG11" s="22">
        <f t="shared" si="5"/>
        <v>170</v>
      </c>
      <c r="AI11" s="1" t="str">
        <f t="shared" si="6"/>
        <v>10001|9600$121001|5888$121003|170</v>
      </c>
      <c r="AJ11" s="1" t="str">
        <f t="shared" si="7"/>
        <v>10001|9600$121001|5888$121004|170</v>
      </c>
      <c r="AK11" s="1" t="str">
        <f t="shared" si="8"/>
        <v>10001|9600$121001|5888$121005|170</v>
      </c>
      <c r="AL11" s="1" t="str">
        <f t="shared" si="9"/>
        <v>10001|9600$121001|5888$121006|170</v>
      </c>
      <c r="AM11" s="1" t="str">
        <f t="shared" si="10"/>
        <v>10001|9600$121001|5888$121007|170</v>
      </c>
      <c r="AN11" s="1" t="str">
        <f t="shared" si="11"/>
        <v>10001|9600$121001|5888$121008|170</v>
      </c>
      <c r="AO11" s="1" t="str">
        <f t="shared" si="12"/>
        <v>10001|9600$121001|5888$121009|170</v>
      </c>
    </row>
    <row r="12" ht="67.5" customHeight="1" spans="1:63">
      <c r="A12" s="1">
        <v>10</v>
      </c>
      <c r="B12" s="1" t="str">
        <f t="shared" si="0"/>
        <v>45|45|45|45|45</v>
      </c>
      <c r="C12" s="1" t="str">
        <f t="shared" si="1"/>
        <v>1段伤害:45\n2段伤害:45\n3段伤害:45\n4段伤害:45\n5段伤害:45</v>
      </c>
      <c r="E12" s="1">
        <v>45</v>
      </c>
      <c r="F12" s="1">
        <v>45</v>
      </c>
      <c r="G12" s="1">
        <v>45</v>
      </c>
      <c r="H12" s="1">
        <v>45</v>
      </c>
      <c r="I12" s="1">
        <v>45</v>
      </c>
      <c r="N12" s="21">
        <v>9</v>
      </c>
      <c r="O12" s="22">
        <f t="shared" si="2"/>
        <v>7452</v>
      </c>
      <c r="R12" s="23">
        <v>2050</v>
      </c>
      <c r="S12" s="1" t="str">
        <f t="shared" si="3"/>
        <v>10001|12150$121001|7452$121002|203</v>
      </c>
      <c r="T12" s="1" t="s">
        <v>416</v>
      </c>
      <c r="AA12" s="21">
        <v>9</v>
      </c>
      <c r="AB12" s="22">
        <f t="shared" si="4"/>
        <v>12150</v>
      </c>
      <c r="AF12" s="21">
        <v>9</v>
      </c>
      <c r="AG12" s="22">
        <f t="shared" si="5"/>
        <v>203</v>
      </c>
      <c r="AI12" s="1" t="str">
        <f t="shared" si="6"/>
        <v>10001|12150$121001|7452$121003|203</v>
      </c>
      <c r="AJ12" s="1" t="str">
        <f t="shared" si="7"/>
        <v>10001|12150$121001|7452$121004|203</v>
      </c>
      <c r="AK12" s="1" t="str">
        <f t="shared" si="8"/>
        <v>10001|12150$121001|7452$121005|203</v>
      </c>
      <c r="AL12" s="1" t="str">
        <f t="shared" si="9"/>
        <v>10001|12150$121001|7452$121006|203</v>
      </c>
      <c r="AM12" s="1" t="str">
        <f t="shared" si="10"/>
        <v>10001|12150$121001|7452$121007|203</v>
      </c>
      <c r="AN12" s="1" t="str">
        <f t="shared" si="11"/>
        <v>10001|12150$121001|7452$121008|203</v>
      </c>
      <c r="AO12" s="1" t="str">
        <f t="shared" si="12"/>
        <v>10001|12150$121001|7452$121009|203</v>
      </c>
    </row>
    <row r="13" ht="67.5" customHeight="1" spans="1:63">
      <c r="A13" s="1">
        <v>11</v>
      </c>
      <c r="B13" s="1" t="str">
        <f t="shared" si="0"/>
        <v>50|50|50|50|50</v>
      </c>
      <c r="C13" s="1" t="str">
        <f t="shared" si="1"/>
        <v>1段伤害:50\n2段伤害:50\n3段伤害:50\n4段伤害:50\n5段伤害:50</v>
      </c>
      <c r="E13" s="1">
        <v>50</v>
      </c>
      <c r="F13" s="1">
        <v>50</v>
      </c>
      <c r="G13" s="1">
        <v>50</v>
      </c>
      <c r="H13" s="1">
        <v>50</v>
      </c>
      <c r="I13" s="1">
        <v>50</v>
      </c>
      <c r="N13" s="21">
        <v>10</v>
      </c>
      <c r="O13" s="22">
        <f t="shared" si="2"/>
        <v>9200</v>
      </c>
      <c r="P13" s="24"/>
      <c r="R13" s="23">
        <v>2531</v>
      </c>
      <c r="S13" s="1" t="str">
        <f t="shared" ref="S13:S22" si="13">$R$2&amp;"|"&amp;AB13&amp;"$"&amp;$T$2&amp;"|"&amp;O13&amp;"$"&amp;$Y$2&amp;"|"&amp;AG13</f>
        <v>10001|15000$122001|9200$122002|237</v>
      </c>
      <c r="T13" s="23">
        <f>SUM(O4:O13)</f>
        <v>35420</v>
      </c>
      <c r="AA13" s="1">
        <v>10</v>
      </c>
      <c r="AB13" s="22">
        <f t="shared" si="4"/>
        <v>15000</v>
      </c>
      <c r="AF13" s="1">
        <v>10</v>
      </c>
      <c r="AG13" s="22">
        <f t="shared" si="5"/>
        <v>237</v>
      </c>
      <c r="AI13" s="1" t="str">
        <f t="shared" ref="AI13:AI22" si="14">$R$2&amp;"|"&amp;AB13&amp;"$"&amp;$T$2&amp;"|"&amp;O13&amp;"$"&amp;$AD$2&amp;"|"&amp;AG13</f>
        <v>10001|15000$122001|9200$122003|237</v>
      </c>
      <c r="AJ13" s="1" t="str">
        <f t="shared" ref="AJ13:AJ22" si="15">$R$2&amp;"|"&amp;AB13&amp;"$"&amp;$T$2&amp;"|"&amp;O13&amp;"$"&amp;$AI$2&amp;"|"&amp;AG13</f>
        <v>10001|15000$122001|9200$122004|237</v>
      </c>
      <c r="AK13" s="1" t="str">
        <f t="shared" ref="AK13:AK22" si="16">$R$2&amp;"|"&amp;AB13&amp;"$"&amp;$T$2&amp;"|"&amp;O13&amp;"$"&amp;$AN$2&amp;"|"&amp;AG13</f>
        <v>10001|15000$122001|9200$122005|237</v>
      </c>
      <c r="AL13" s="1" t="str">
        <f t="shared" ref="AL13:AL22" si="17">$R$2&amp;"|"&amp;AB13&amp;"$"&amp;$T$2&amp;"|"&amp;O13&amp;"$"&amp;$AS$2&amp;"|"&amp;AG13</f>
        <v>10001|15000$122001|9200$122006|237</v>
      </c>
      <c r="AM13" s="1" t="str">
        <f t="shared" ref="AM13:AM22" si="18">$R$2&amp;"|"&amp;AB13&amp;"$"&amp;$T$2&amp;"|"&amp;O13&amp;"$"&amp;$AX$2&amp;"|"&amp;AG13</f>
        <v>10001|15000$122001|9200$122007|237</v>
      </c>
      <c r="AN13" s="1" t="str">
        <f t="shared" ref="AN13:AN22" si="19">$R$2&amp;"|"&amp;AB13&amp;"$"&amp;$T$2&amp;"|"&amp;O13&amp;"$"&amp;$BC$2&amp;"|"&amp;AG13</f>
        <v>10001|15000$122001|9200$122008|237</v>
      </c>
      <c r="AO13" s="1" t="str">
        <f t="shared" ref="AO13:AO22" si="20">$R$2&amp;"|"&amp;AB13&amp;"$"&amp;$T$2&amp;"|"&amp;O13&amp;"$"&amp;$BH$2&amp;"|"&amp;AG13</f>
        <v>10001|15000$122001|9200$122009|237</v>
      </c>
      <c r="AP13" s="23">
        <f>SUM(AG4:AH13)</f>
        <v>1071</v>
      </c>
    </row>
    <row r="14" ht="67.5" customHeight="1" spans="1:63">
      <c r="A14" s="1">
        <v>12</v>
      </c>
      <c r="B14" s="1" t="str">
        <f t="shared" si="0"/>
        <v>55|55|55|55|55</v>
      </c>
      <c r="C14" s="1" t="str">
        <f t="shared" si="1"/>
        <v>1段伤害:55\n2段伤害:55\n3段伤害:55\n4段伤害:55\n5段伤害:55</v>
      </c>
      <c r="E14" s="1">
        <v>55</v>
      </c>
      <c r="F14" s="1">
        <v>55</v>
      </c>
      <c r="G14" s="1">
        <v>55</v>
      </c>
      <c r="H14" s="1">
        <v>55</v>
      </c>
      <c r="I14" s="1">
        <v>55</v>
      </c>
      <c r="N14" s="21">
        <v>11</v>
      </c>
      <c r="O14" s="22">
        <f t="shared" si="2"/>
        <v>11132</v>
      </c>
      <c r="P14" s="25">
        <v>3711</v>
      </c>
      <c r="Q14" s="26"/>
      <c r="R14" s="27">
        <v>3063</v>
      </c>
      <c r="S14" s="1" t="str">
        <f t="shared" si="13"/>
        <v>10001|18150$122001|11132$122002|274</v>
      </c>
      <c r="AA14" s="21">
        <v>11</v>
      </c>
      <c r="AB14" s="22">
        <f t="shared" si="4"/>
        <v>18150</v>
      </c>
      <c r="AF14" s="1">
        <v>11</v>
      </c>
      <c r="AG14" s="22">
        <f t="shared" si="5"/>
        <v>274</v>
      </c>
      <c r="AI14" s="1" t="str">
        <f t="shared" si="14"/>
        <v>10001|18150$122001|11132$122003|274</v>
      </c>
      <c r="AJ14" s="1" t="str">
        <f t="shared" si="15"/>
        <v>10001|18150$122001|11132$122004|274</v>
      </c>
      <c r="AK14" s="1" t="str">
        <f t="shared" si="16"/>
        <v>10001|18150$122001|11132$122005|274</v>
      </c>
      <c r="AL14" s="1" t="str">
        <f t="shared" si="17"/>
        <v>10001|18150$122001|11132$122006|274</v>
      </c>
      <c r="AM14" s="1" t="str">
        <f t="shared" si="18"/>
        <v>10001|18150$122001|11132$122007|274</v>
      </c>
      <c r="AN14" s="1" t="str">
        <f t="shared" si="19"/>
        <v>10001|18150$122001|11132$122008|274</v>
      </c>
      <c r="AO14" s="1" t="str">
        <f t="shared" si="20"/>
        <v>10001|18150$122001|11132$122009|274</v>
      </c>
    </row>
    <row r="15" ht="67.5" customHeight="1" spans="1:63">
      <c r="A15" s="1">
        <v>13</v>
      </c>
      <c r="B15" s="1" t="str">
        <f t="shared" si="0"/>
        <v>60|60|60|60|60</v>
      </c>
      <c r="C15" s="1" t="str">
        <f t="shared" si="1"/>
        <v>1段伤害:60\n2段伤害:60\n3段伤害:60\n4段伤害:60\n5段伤害:60</v>
      </c>
      <c r="E15" s="1">
        <v>60</v>
      </c>
      <c r="F15" s="1">
        <v>60</v>
      </c>
      <c r="G15" s="1">
        <v>60</v>
      </c>
      <c r="H15" s="1">
        <v>60</v>
      </c>
      <c r="I15" s="1">
        <v>60</v>
      </c>
      <c r="N15" s="21">
        <v>12</v>
      </c>
      <c r="O15" s="22">
        <f t="shared" si="2"/>
        <v>13248</v>
      </c>
      <c r="P15" s="25">
        <v>4416</v>
      </c>
      <c r="Q15" s="26"/>
      <c r="R15" s="27">
        <v>3645</v>
      </c>
      <c r="S15" s="1" t="str">
        <f t="shared" si="13"/>
        <v>10001|21600$122001|13248$122002|312</v>
      </c>
      <c r="AA15" s="1">
        <v>12</v>
      </c>
      <c r="AB15" s="22">
        <f t="shared" si="4"/>
        <v>21600</v>
      </c>
      <c r="AF15" s="1">
        <v>12</v>
      </c>
      <c r="AG15" s="22">
        <f t="shared" si="5"/>
        <v>312</v>
      </c>
      <c r="AI15" s="1" t="str">
        <f t="shared" si="14"/>
        <v>10001|21600$122001|13248$122003|312</v>
      </c>
      <c r="AJ15" s="1" t="str">
        <f t="shared" si="15"/>
        <v>10001|21600$122001|13248$122004|312</v>
      </c>
      <c r="AK15" s="1" t="str">
        <f t="shared" si="16"/>
        <v>10001|21600$122001|13248$122005|312</v>
      </c>
      <c r="AL15" s="1" t="str">
        <f t="shared" si="17"/>
        <v>10001|21600$122001|13248$122006|312</v>
      </c>
      <c r="AM15" s="1" t="str">
        <f t="shared" si="18"/>
        <v>10001|21600$122001|13248$122007|312</v>
      </c>
      <c r="AN15" s="1" t="str">
        <f t="shared" si="19"/>
        <v>10001|21600$122001|13248$122008|312</v>
      </c>
      <c r="AO15" s="1" t="str">
        <f t="shared" si="20"/>
        <v>10001|21600$122001|13248$122009|312</v>
      </c>
    </row>
    <row r="16" ht="67.5" customHeight="1" spans="1:63">
      <c r="A16" s="1">
        <v>14</v>
      </c>
      <c r="B16" s="1" t="str">
        <f t="shared" si="0"/>
        <v>65|65|65|65|65</v>
      </c>
      <c r="C16" s="1" t="str">
        <f t="shared" si="1"/>
        <v>1段伤害:65\n2段伤害:65\n3段伤害:65\n4段伤害:65\n5段伤害:65</v>
      </c>
      <c r="E16" s="1">
        <v>65</v>
      </c>
      <c r="F16" s="1">
        <v>65</v>
      </c>
      <c r="G16" s="1">
        <v>65</v>
      </c>
      <c r="H16" s="1">
        <v>65</v>
      </c>
      <c r="I16" s="1">
        <v>65</v>
      </c>
      <c r="N16" s="21">
        <v>13</v>
      </c>
      <c r="O16" s="22">
        <f t="shared" si="2"/>
        <v>15548</v>
      </c>
      <c r="P16" s="25">
        <v>5183</v>
      </c>
      <c r="Q16" s="26"/>
      <c r="R16" s="27">
        <v>4278</v>
      </c>
      <c r="S16" s="1" t="str">
        <f t="shared" si="13"/>
        <v>10001|25350$122001|15548$122002|352</v>
      </c>
      <c r="AA16" s="21">
        <v>13</v>
      </c>
      <c r="AB16" s="22">
        <f t="shared" si="4"/>
        <v>25350</v>
      </c>
      <c r="AF16" s="1">
        <v>13</v>
      </c>
      <c r="AG16" s="22">
        <f t="shared" si="5"/>
        <v>352</v>
      </c>
      <c r="AI16" s="1" t="str">
        <f t="shared" si="14"/>
        <v>10001|25350$122001|15548$122003|352</v>
      </c>
      <c r="AJ16" s="1" t="str">
        <f t="shared" si="15"/>
        <v>10001|25350$122001|15548$122004|352</v>
      </c>
      <c r="AK16" s="1" t="str">
        <f t="shared" si="16"/>
        <v>10001|25350$122001|15548$122005|352</v>
      </c>
      <c r="AL16" s="1" t="str">
        <f t="shared" si="17"/>
        <v>10001|25350$122001|15548$122006|352</v>
      </c>
      <c r="AM16" s="1" t="str">
        <f t="shared" si="18"/>
        <v>10001|25350$122001|15548$122007|352</v>
      </c>
      <c r="AN16" s="1" t="str">
        <f t="shared" si="19"/>
        <v>10001|25350$122001|15548$122008|352</v>
      </c>
      <c r="AO16" s="1" t="str">
        <f t="shared" si="20"/>
        <v>10001|25350$122001|15548$122009|352</v>
      </c>
    </row>
    <row r="17" ht="67.5" customHeight="1" spans="1:41">
      <c r="A17" s="1">
        <v>15</v>
      </c>
      <c r="B17" s="1" t="str">
        <f t="shared" si="0"/>
        <v>70|70|70|70|70</v>
      </c>
      <c r="C17" s="1" t="str">
        <f t="shared" si="1"/>
        <v>1段伤害:70\n2段伤害:70\n3段伤害:70\n4段伤害:70\n5段伤害:70</v>
      </c>
      <c r="E17" s="1">
        <v>70</v>
      </c>
      <c r="F17" s="1">
        <v>70</v>
      </c>
      <c r="G17" s="1">
        <v>70</v>
      </c>
      <c r="H17" s="1">
        <v>70</v>
      </c>
      <c r="I17" s="1">
        <v>70</v>
      </c>
      <c r="N17" s="21">
        <v>14</v>
      </c>
      <c r="O17" s="22">
        <f t="shared" si="2"/>
        <v>18032</v>
      </c>
      <c r="P17" s="25">
        <v>6011</v>
      </c>
      <c r="Q17" s="26"/>
      <c r="R17" s="27">
        <v>4961</v>
      </c>
      <c r="S17" s="1" t="str">
        <f t="shared" si="13"/>
        <v>10001|29400$122001|18032$122002|393</v>
      </c>
      <c r="AA17" s="1">
        <v>14</v>
      </c>
      <c r="AB17" s="22">
        <f t="shared" si="4"/>
        <v>29400</v>
      </c>
      <c r="AF17" s="1">
        <v>14</v>
      </c>
      <c r="AG17" s="22">
        <f t="shared" si="5"/>
        <v>393</v>
      </c>
      <c r="AI17" s="1" t="str">
        <f t="shared" si="14"/>
        <v>10001|29400$122001|18032$122003|393</v>
      </c>
      <c r="AJ17" s="1" t="str">
        <f t="shared" si="15"/>
        <v>10001|29400$122001|18032$122004|393</v>
      </c>
      <c r="AK17" s="1" t="str">
        <f t="shared" si="16"/>
        <v>10001|29400$122001|18032$122005|393</v>
      </c>
      <c r="AL17" s="1" t="str">
        <f t="shared" si="17"/>
        <v>10001|29400$122001|18032$122006|393</v>
      </c>
      <c r="AM17" s="1" t="str">
        <f t="shared" si="18"/>
        <v>10001|29400$122001|18032$122007|393</v>
      </c>
      <c r="AN17" s="1" t="str">
        <f t="shared" si="19"/>
        <v>10001|29400$122001|18032$122008|393</v>
      </c>
      <c r="AO17" s="1" t="str">
        <f t="shared" si="20"/>
        <v>10001|29400$122001|18032$122009|393</v>
      </c>
    </row>
    <row r="18" ht="67.5" customHeight="1" spans="1:41">
      <c r="A18" s="1">
        <v>16</v>
      </c>
      <c r="B18" s="1" t="str">
        <f t="shared" si="0"/>
        <v>75|75|75|75|75</v>
      </c>
      <c r="C18" s="1" t="str">
        <f t="shared" si="1"/>
        <v>1段伤害:75\n2段伤害:75\n3段伤害:75\n4段伤害:75\n5段伤害:75</v>
      </c>
      <c r="E18" s="1">
        <v>75</v>
      </c>
      <c r="F18" s="1">
        <v>75</v>
      </c>
      <c r="G18" s="1">
        <v>75</v>
      </c>
      <c r="H18" s="1">
        <v>75</v>
      </c>
      <c r="I18" s="1">
        <v>75</v>
      </c>
      <c r="N18" s="21">
        <v>15</v>
      </c>
      <c r="O18" s="22">
        <f t="shared" si="2"/>
        <v>20700</v>
      </c>
      <c r="P18" s="25">
        <v>6900</v>
      </c>
      <c r="Q18" s="26"/>
      <c r="R18" s="27">
        <v>5695</v>
      </c>
      <c r="S18" s="1" t="str">
        <f t="shared" si="13"/>
        <v>10001|33750$122001|20700$122002|436</v>
      </c>
      <c r="AA18" s="21">
        <v>15</v>
      </c>
      <c r="AB18" s="22">
        <f t="shared" si="4"/>
        <v>33750</v>
      </c>
      <c r="AF18" s="1">
        <v>15</v>
      </c>
      <c r="AG18" s="22">
        <f t="shared" si="5"/>
        <v>436</v>
      </c>
      <c r="AI18" s="1" t="str">
        <f t="shared" si="14"/>
        <v>10001|33750$122001|20700$122003|436</v>
      </c>
      <c r="AJ18" s="1" t="str">
        <f t="shared" si="15"/>
        <v>10001|33750$122001|20700$122004|436</v>
      </c>
      <c r="AK18" s="1" t="str">
        <f t="shared" si="16"/>
        <v>10001|33750$122001|20700$122005|436</v>
      </c>
      <c r="AL18" s="1" t="str">
        <f t="shared" si="17"/>
        <v>10001|33750$122001|20700$122006|436</v>
      </c>
      <c r="AM18" s="1" t="str">
        <f t="shared" si="18"/>
        <v>10001|33750$122001|20700$122007|436</v>
      </c>
      <c r="AN18" s="1" t="str">
        <f t="shared" si="19"/>
        <v>10001|33750$122001|20700$122008|436</v>
      </c>
      <c r="AO18" s="1" t="str">
        <f t="shared" si="20"/>
        <v>10001|33750$122001|20700$122009|436</v>
      </c>
    </row>
    <row r="19" ht="67.5" customHeight="1" spans="1:41">
      <c r="A19" s="1">
        <v>17</v>
      </c>
      <c r="B19" s="1" t="str">
        <f t="shared" si="0"/>
        <v>80|80|80|80|80</v>
      </c>
      <c r="C19" s="1" t="str">
        <f t="shared" si="1"/>
        <v>1段伤害:80\n2段伤害:80\n3段伤害:80\n4段伤害:80\n5段伤害:80</v>
      </c>
      <c r="E19" s="1">
        <v>80</v>
      </c>
      <c r="F19" s="1">
        <v>80</v>
      </c>
      <c r="G19" s="1">
        <v>80</v>
      </c>
      <c r="H19" s="1">
        <v>80</v>
      </c>
      <c r="I19" s="1">
        <v>80</v>
      </c>
      <c r="N19" s="21">
        <v>16</v>
      </c>
      <c r="O19" s="22">
        <f t="shared" si="2"/>
        <v>23552</v>
      </c>
      <c r="P19" s="25">
        <v>7851</v>
      </c>
      <c r="Q19" s="26"/>
      <c r="R19" s="27">
        <v>6480</v>
      </c>
      <c r="S19" s="1" t="str">
        <f t="shared" si="13"/>
        <v>10001|38400$122001|23552$122002|480</v>
      </c>
      <c r="AA19" s="1">
        <v>16</v>
      </c>
      <c r="AB19" s="22">
        <f t="shared" si="4"/>
        <v>38400</v>
      </c>
      <c r="AF19" s="1">
        <v>16</v>
      </c>
      <c r="AG19" s="22">
        <f t="shared" si="5"/>
        <v>480</v>
      </c>
      <c r="AI19" s="1" t="str">
        <f t="shared" si="14"/>
        <v>10001|38400$122001|23552$122003|480</v>
      </c>
      <c r="AJ19" s="1" t="str">
        <f t="shared" si="15"/>
        <v>10001|38400$122001|23552$122004|480</v>
      </c>
      <c r="AK19" s="1" t="str">
        <f t="shared" si="16"/>
        <v>10001|38400$122001|23552$122005|480</v>
      </c>
      <c r="AL19" s="1" t="str">
        <f t="shared" si="17"/>
        <v>10001|38400$122001|23552$122006|480</v>
      </c>
      <c r="AM19" s="1" t="str">
        <f t="shared" si="18"/>
        <v>10001|38400$122001|23552$122007|480</v>
      </c>
      <c r="AN19" s="1" t="str">
        <f t="shared" si="19"/>
        <v>10001|38400$122001|23552$122008|480</v>
      </c>
      <c r="AO19" s="1" t="str">
        <f t="shared" si="20"/>
        <v>10001|38400$122001|23552$122009|480</v>
      </c>
    </row>
    <row r="20" ht="67.5" customHeight="1" spans="1:41">
      <c r="A20" s="1">
        <v>18</v>
      </c>
      <c r="B20" s="1" t="str">
        <f t="shared" si="0"/>
        <v>85|85|85|85|85</v>
      </c>
      <c r="C20" s="1" t="str">
        <f t="shared" si="1"/>
        <v>1段伤害:85\n2段伤害:85\n3段伤害:85\n4段伤害:85\n5段伤害:85</v>
      </c>
      <c r="E20" s="1">
        <v>85</v>
      </c>
      <c r="F20" s="1">
        <v>85</v>
      </c>
      <c r="G20" s="1">
        <v>85</v>
      </c>
      <c r="H20" s="1">
        <v>85</v>
      </c>
      <c r="I20" s="1">
        <v>85</v>
      </c>
      <c r="N20" s="21">
        <v>17</v>
      </c>
      <c r="O20" s="22">
        <f t="shared" si="2"/>
        <v>26588</v>
      </c>
      <c r="P20" s="25">
        <v>8863</v>
      </c>
      <c r="Q20" s="26"/>
      <c r="R20" s="27">
        <v>7315</v>
      </c>
      <c r="S20" s="1" t="str">
        <f t="shared" si="13"/>
        <v>10001|43350$122001|26588$122002|526</v>
      </c>
      <c r="AA20" s="21">
        <v>17</v>
      </c>
      <c r="AB20" s="22">
        <f t="shared" si="4"/>
        <v>43350</v>
      </c>
      <c r="AF20" s="1">
        <v>17</v>
      </c>
      <c r="AG20" s="22">
        <f t="shared" si="5"/>
        <v>526</v>
      </c>
      <c r="AI20" s="1" t="str">
        <f t="shared" si="14"/>
        <v>10001|43350$122001|26588$122003|526</v>
      </c>
      <c r="AJ20" s="1" t="str">
        <f t="shared" si="15"/>
        <v>10001|43350$122001|26588$122004|526</v>
      </c>
      <c r="AK20" s="1" t="str">
        <f t="shared" si="16"/>
        <v>10001|43350$122001|26588$122005|526</v>
      </c>
      <c r="AL20" s="1" t="str">
        <f t="shared" si="17"/>
        <v>10001|43350$122001|26588$122006|526</v>
      </c>
      <c r="AM20" s="1" t="str">
        <f t="shared" si="18"/>
        <v>10001|43350$122001|26588$122007|526</v>
      </c>
      <c r="AN20" s="1" t="str">
        <f t="shared" si="19"/>
        <v>10001|43350$122001|26588$122008|526</v>
      </c>
      <c r="AO20" s="1" t="str">
        <f t="shared" si="20"/>
        <v>10001|43350$122001|26588$122009|526</v>
      </c>
    </row>
    <row r="21" ht="67.5" customHeight="1" spans="1:41">
      <c r="A21" s="1">
        <v>19</v>
      </c>
      <c r="B21" s="1" t="str">
        <f t="shared" si="0"/>
        <v>90|90|90|90|90</v>
      </c>
      <c r="C21" s="1" t="str">
        <f t="shared" si="1"/>
        <v>1段伤害:90\n2段伤害:90\n3段伤害:90\n4段伤害:90\n5段伤害:90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N21" s="21">
        <v>18</v>
      </c>
      <c r="O21" s="22">
        <f t="shared" si="2"/>
        <v>29808</v>
      </c>
      <c r="P21" s="25">
        <v>9936</v>
      </c>
      <c r="Q21" s="26"/>
      <c r="R21" s="27">
        <v>8201</v>
      </c>
      <c r="S21" s="1" t="str">
        <f t="shared" si="13"/>
        <v>10001|48600$122001|29808$122002|573</v>
      </c>
      <c r="AA21" s="1">
        <v>18</v>
      </c>
      <c r="AB21" s="22">
        <f t="shared" si="4"/>
        <v>48600</v>
      </c>
      <c r="AF21" s="1">
        <v>18</v>
      </c>
      <c r="AG21" s="22">
        <f t="shared" si="5"/>
        <v>573</v>
      </c>
      <c r="AI21" s="1" t="str">
        <f t="shared" si="14"/>
        <v>10001|48600$122001|29808$122003|573</v>
      </c>
      <c r="AJ21" s="1" t="str">
        <f t="shared" si="15"/>
        <v>10001|48600$122001|29808$122004|573</v>
      </c>
      <c r="AK21" s="1" t="str">
        <f t="shared" si="16"/>
        <v>10001|48600$122001|29808$122005|573</v>
      </c>
      <c r="AL21" s="1" t="str">
        <f t="shared" si="17"/>
        <v>10001|48600$122001|29808$122006|573</v>
      </c>
      <c r="AM21" s="1" t="str">
        <f t="shared" si="18"/>
        <v>10001|48600$122001|29808$122007|573</v>
      </c>
      <c r="AN21" s="1" t="str">
        <f t="shared" si="19"/>
        <v>10001|48600$122001|29808$122008|573</v>
      </c>
      <c r="AO21" s="1" t="str">
        <f t="shared" si="20"/>
        <v>10001|48600$122001|29808$122009|573</v>
      </c>
    </row>
    <row r="22" ht="67.5" customHeight="1" spans="1:41">
      <c r="A22" s="1">
        <v>20</v>
      </c>
      <c r="B22" s="1" t="str">
        <f t="shared" si="0"/>
        <v>95|95|95|95|95</v>
      </c>
      <c r="C22" s="1" t="str">
        <f t="shared" si="1"/>
        <v>1段伤害:95\n2段伤害:95\n3段伤害:95\n4段伤害:95\n5段伤害:95</v>
      </c>
      <c r="E22" s="1">
        <v>95</v>
      </c>
      <c r="F22" s="1">
        <v>95</v>
      </c>
      <c r="G22" s="1">
        <v>95</v>
      </c>
      <c r="H22" s="1">
        <v>95</v>
      </c>
      <c r="I22" s="1">
        <v>95</v>
      </c>
      <c r="N22" s="21">
        <v>19</v>
      </c>
      <c r="O22" s="22">
        <f t="shared" si="2"/>
        <v>33212</v>
      </c>
      <c r="P22" s="25">
        <v>11071</v>
      </c>
      <c r="Q22" s="26"/>
      <c r="R22" s="27">
        <v>9138</v>
      </c>
      <c r="S22" s="1" t="str">
        <f t="shared" si="13"/>
        <v>10001|54150$122001|33212$122002|621</v>
      </c>
      <c r="AA22" s="21">
        <v>19</v>
      </c>
      <c r="AB22" s="22">
        <f t="shared" si="4"/>
        <v>54150</v>
      </c>
      <c r="AF22" s="1">
        <v>19</v>
      </c>
      <c r="AG22" s="22">
        <f t="shared" si="5"/>
        <v>621</v>
      </c>
      <c r="AI22" s="1" t="str">
        <f t="shared" si="14"/>
        <v>10001|54150$122001|33212$122003|621</v>
      </c>
      <c r="AJ22" s="1" t="str">
        <f t="shared" si="15"/>
        <v>10001|54150$122001|33212$122004|621</v>
      </c>
      <c r="AK22" s="1" t="str">
        <f t="shared" si="16"/>
        <v>10001|54150$122001|33212$122005|621</v>
      </c>
      <c r="AL22" s="1" t="str">
        <f t="shared" si="17"/>
        <v>10001|54150$122001|33212$122006|621</v>
      </c>
      <c r="AM22" s="1" t="str">
        <f t="shared" si="18"/>
        <v>10001|54150$122001|33212$122007|621</v>
      </c>
      <c r="AN22" s="1" t="str">
        <f t="shared" si="19"/>
        <v>10001|54150$122001|33212$122008|621</v>
      </c>
      <c r="AO22" s="1" t="str">
        <f t="shared" si="20"/>
        <v>10001|54150$122001|33212$122009|621</v>
      </c>
    </row>
    <row r="23" ht="67.5" customHeight="1" spans="1:41">
      <c r="A23" s="1">
        <v>21</v>
      </c>
      <c r="B23" s="1" t="str">
        <f t="shared" si="0"/>
        <v>100|100|100|100|100</v>
      </c>
      <c r="C23" s="1" t="str">
        <f t="shared" si="1"/>
        <v>1段伤害:100\n2段伤害:100\n3段伤害:100\n4段伤害:100\n5段伤害:100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N23" s="21">
        <v>20</v>
      </c>
      <c r="O23" s="22">
        <f t="shared" si="2"/>
        <v>36800</v>
      </c>
      <c r="P23" s="25">
        <v>12267</v>
      </c>
      <c r="Q23" s="26"/>
      <c r="R23" s="27">
        <v>10125</v>
      </c>
      <c r="S23" s="1" t="str">
        <f t="shared" ref="S23:S32" si="21">$R$2&amp;"|"&amp;AB23&amp;"$"&amp;$U$2&amp;"|"&amp;O23&amp;"$"&amp;$Z$2&amp;"|"&amp;AG23</f>
        <v>10001|60000$123001|36800$123002|671</v>
      </c>
      <c r="AA23" s="1">
        <v>20</v>
      </c>
      <c r="AB23" s="22">
        <f t="shared" si="4"/>
        <v>60000</v>
      </c>
      <c r="AF23" s="1">
        <v>20</v>
      </c>
      <c r="AG23" s="22">
        <f t="shared" si="5"/>
        <v>671</v>
      </c>
      <c r="AI23" s="1" t="str">
        <f t="shared" ref="AI23:AI32" si="22">$R$2&amp;"|"&amp;AB23&amp;"$"&amp;$U$2&amp;"|"&amp;O23&amp;"$"&amp;$AE$2&amp;"|"&amp;AG23</f>
        <v>10001|60000$123001|36800$123003|671</v>
      </c>
      <c r="AJ23" s="1" t="str">
        <f t="shared" ref="AJ23:AJ32" si="23">$R$2&amp;"|"&amp;AB23&amp;"$"&amp;$U$2&amp;"|"&amp;O23&amp;"$"&amp;$AJ$2&amp;"|"&amp;AG23</f>
        <v>10001|60000$123001|36800$123004|671</v>
      </c>
      <c r="AK23" s="1" t="str">
        <f t="shared" ref="AK23:AK32" si="24">$R$2&amp;"|"&amp;AB23&amp;"$"&amp;$U$2&amp;"|"&amp;O23&amp;"$"&amp;$AO$2&amp;"|"&amp;AG23</f>
        <v>10001|60000$123001|36800$123005|671</v>
      </c>
      <c r="AL23" s="1" t="str">
        <f t="shared" ref="AL23:AL32" si="25">$R$2&amp;"|"&amp;AB23&amp;"$"&amp;$U$2&amp;"|"&amp;O23&amp;"$"&amp;$AT$2&amp;"|"&amp;AG23</f>
        <v>10001|60000$123001|36800$123006|671</v>
      </c>
      <c r="AM23" s="1" t="str">
        <f t="shared" ref="AM23:AM32" si="26">$R$2&amp;"|"&amp;AB23&amp;"$"&amp;$U$2&amp;"|"&amp;O23&amp;"$"&amp;$AY$2&amp;"|"&amp;AG23</f>
        <v>10001|60000$123001|36800$123007|671</v>
      </c>
      <c r="AN23" s="1" t="str">
        <f t="shared" ref="AN23:AN32" si="27">$R$2&amp;"|"&amp;AB23&amp;"$"&amp;$U$2&amp;"|"&amp;O23&amp;"$"&amp;$BD$2&amp;"|"&amp;AG23</f>
        <v>10001|60000$123001|36800$123008|671</v>
      </c>
      <c r="AO23" s="1" t="str">
        <f t="shared" ref="AO23:AO32" si="28">$R$2&amp;"|"&amp;AB23&amp;"$"&amp;$U$2&amp;"|"&amp;O23&amp;"$"&amp;$BI$2&amp;"|"&amp;AG23</f>
        <v>10001|60000$123001|36800$123009|671</v>
      </c>
    </row>
    <row r="24" ht="67.5" customHeight="1" spans="1:41">
      <c r="A24" s="1">
        <v>22</v>
      </c>
      <c r="B24" s="1" t="str">
        <f t="shared" si="0"/>
        <v>105|105|105|105|105</v>
      </c>
      <c r="C24" s="1" t="str">
        <f t="shared" si="1"/>
        <v>1段伤害:105\n2段伤害:105\n3段伤害:105\n4段伤害:105\n5段伤害:105</v>
      </c>
      <c r="E24" s="1">
        <v>105</v>
      </c>
      <c r="F24" s="1">
        <v>105</v>
      </c>
      <c r="G24" s="1">
        <v>105</v>
      </c>
      <c r="H24" s="1">
        <v>105</v>
      </c>
      <c r="I24" s="1">
        <v>105</v>
      </c>
      <c r="N24" s="21">
        <v>21</v>
      </c>
      <c r="O24" s="22">
        <f t="shared" si="2"/>
        <v>40572</v>
      </c>
      <c r="P24" s="28">
        <v>6762</v>
      </c>
      <c r="R24" s="23">
        <v>11163</v>
      </c>
      <c r="S24" s="1" t="str">
        <f t="shared" si="21"/>
        <v>10001|66150$123001|40572$123002|722</v>
      </c>
      <c r="AA24" s="21">
        <v>21</v>
      </c>
      <c r="AB24" s="22">
        <f t="shared" si="4"/>
        <v>66150</v>
      </c>
      <c r="AF24" s="1">
        <v>21</v>
      </c>
      <c r="AG24" s="22">
        <f t="shared" si="5"/>
        <v>722</v>
      </c>
      <c r="AI24" s="1" t="str">
        <f t="shared" si="22"/>
        <v>10001|66150$123001|40572$123003|722</v>
      </c>
      <c r="AJ24" s="1" t="str">
        <f t="shared" si="23"/>
        <v>10001|66150$123001|40572$123004|722</v>
      </c>
      <c r="AK24" s="1" t="str">
        <f t="shared" si="24"/>
        <v>10001|66150$123001|40572$123005|722</v>
      </c>
      <c r="AL24" s="1" t="str">
        <f t="shared" si="25"/>
        <v>10001|66150$123001|40572$123006|722</v>
      </c>
      <c r="AM24" s="1" t="str">
        <f t="shared" si="26"/>
        <v>10001|66150$123001|40572$123007|722</v>
      </c>
      <c r="AN24" s="1" t="str">
        <f t="shared" si="27"/>
        <v>10001|66150$123001|40572$123008|722</v>
      </c>
      <c r="AO24" s="1" t="str">
        <f t="shared" si="28"/>
        <v>10001|66150$123001|40572$123009|722</v>
      </c>
    </row>
    <row r="25" ht="67.5" customHeight="1" spans="1:41">
      <c r="A25" s="1">
        <v>23</v>
      </c>
      <c r="B25" s="1" t="str">
        <f t="shared" si="0"/>
        <v>110|110|110|110|110</v>
      </c>
      <c r="C25" s="1" t="str">
        <f t="shared" si="1"/>
        <v>1段伤害:110\n2段伤害:110\n3段伤害:110\n4段伤害:110\n5段伤害:110</v>
      </c>
      <c r="E25" s="1">
        <v>110</v>
      </c>
      <c r="F25" s="1">
        <v>110</v>
      </c>
      <c r="G25" s="1">
        <v>110</v>
      </c>
      <c r="H25" s="1">
        <v>110</v>
      </c>
      <c r="I25" s="1">
        <v>110</v>
      </c>
      <c r="N25" s="21">
        <v>22</v>
      </c>
      <c r="O25" s="22">
        <f t="shared" si="2"/>
        <v>44528</v>
      </c>
      <c r="P25" s="28">
        <v>7421</v>
      </c>
      <c r="R25" s="23">
        <v>12251</v>
      </c>
      <c r="S25" s="1" t="str">
        <f t="shared" si="21"/>
        <v>10001|72600$123001|44528$123002|774</v>
      </c>
      <c r="AA25" s="1">
        <v>22</v>
      </c>
      <c r="AB25" s="22">
        <f t="shared" si="4"/>
        <v>72600</v>
      </c>
      <c r="AF25" s="1">
        <v>22</v>
      </c>
      <c r="AG25" s="22">
        <f t="shared" si="5"/>
        <v>774</v>
      </c>
      <c r="AI25" s="1" t="str">
        <f t="shared" si="22"/>
        <v>10001|72600$123001|44528$123003|774</v>
      </c>
      <c r="AJ25" s="1" t="str">
        <f t="shared" si="23"/>
        <v>10001|72600$123001|44528$123004|774</v>
      </c>
      <c r="AK25" s="1" t="str">
        <f t="shared" si="24"/>
        <v>10001|72600$123001|44528$123005|774</v>
      </c>
      <c r="AL25" s="1" t="str">
        <f t="shared" si="25"/>
        <v>10001|72600$123001|44528$123006|774</v>
      </c>
      <c r="AM25" s="1" t="str">
        <f t="shared" si="26"/>
        <v>10001|72600$123001|44528$123007|774</v>
      </c>
      <c r="AN25" s="1" t="str">
        <f t="shared" si="27"/>
        <v>10001|72600$123001|44528$123008|774</v>
      </c>
      <c r="AO25" s="1" t="str">
        <f t="shared" si="28"/>
        <v>10001|72600$123001|44528$123009|774</v>
      </c>
    </row>
    <row r="26" ht="67.5" customHeight="1" spans="1:41">
      <c r="A26" s="1">
        <v>24</v>
      </c>
      <c r="B26" s="1" t="str">
        <f t="shared" si="0"/>
        <v>115|115|115|115|115</v>
      </c>
      <c r="C26" s="1" t="str">
        <f t="shared" si="1"/>
        <v>1段伤害:115\n2段伤害:115\n3段伤害:115\n4段伤害:115\n5段伤害:115</v>
      </c>
      <c r="E26" s="1">
        <v>115</v>
      </c>
      <c r="F26" s="1">
        <v>115</v>
      </c>
      <c r="G26" s="1">
        <v>115</v>
      </c>
      <c r="H26" s="1">
        <v>115</v>
      </c>
      <c r="I26" s="1">
        <v>115</v>
      </c>
      <c r="N26" s="21">
        <v>23</v>
      </c>
      <c r="O26" s="22">
        <f t="shared" si="2"/>
        <v>48668</v>
      </c>
      <c r="P26" s="28">
        <v>8111</v>
      </c>
      <c r="R26" s="23">
        <v>13390</v>
      </c>
      <c r="S26" s="1" t="str">
        <f t="shared" si="21"/>
        <v>10001|79350$123001|48668$123002|827</v>
      </c>
      <c r="AA26" s="21">
        <v>23</v>
      </c>
      <c r="AB26" s="22">
        <f t="shared" si="4"/>
        <v>79350</v>
      </c>
      <c r="AF26" s="1">
        <v>23</v>
      </c>
      <c r="AG26" s="22">
        <f t="shared" si="5"/>
        <v>827</v>
      </c>
      <c r="AI26" s="1" t="str">
        <f t="shared" si="22"/>
        <v>10001|79350$123001|48668$123003|827</v>
      </c>
      <c r="AJ26" s="1" t="str">
        <f t="shared" si="23"/>
        <v>10001|79350$123001|48668$123004|827</v>
      </c>
      <c r="AK26" s="1" t="str">
        <f t="shared" si="24"/>
        <v>10001|79350$123001|48668$123005|827</v>
      </c>
      <c r="AL26" s="1" t="str">
        <f t="shared" si="25"/>
        <v>10001|79350$123001|48668$123006|827</v>
      </c>
      <c r="AM26" s="1" t="str">
        <f t="shared" si="26"/>
        <v>10001|79350$123001|48668$123007|827</v>
      </c>
      <c r="AN26" s="1" t="str">
        <f t="shared" si="27"/>
        <v>10001|79350$123001|48668$123008|827</v>
      </c>
      <c r="AO26" s="1" t="str">
        <f t="shared" si="28"/>
        <v>10001|79350$123001|48668$123009|827</v>
      </c>
    </row>
    <row r="27" ht="67.5" customHeight="1" spans="1:41">
      <c r="A27" s="1">
        <v>25</v>
      </c>
      <c r="B27" s="1" t="str">
        <f t="shared" si="0"/>
        <v>120|120|120|120|120</v>
      </c>
      <c r="C27" s="1" t="str">
        <f t="shared" si="1"/>
        <v>1段伤害:120\n2段伤害:120\n3段伤害:120\n4段伤害:120\n5段伤害:120</v>
      </c>
      <c r="E27" s="1">
        <v>120</v>
      </c>
      <c r="F27" s="1">
        <v>120</v>
      </c>
      <c r="G27" s="1">
        <v>120</v>
      </c>
      <c r="H27" s="1">
        <v>120</v>
      </c>
      <c r="I27" s="1">
        <v>120</v>
      </c>
      <c r="N27" s="21">
        <v>24</v>
      </c>
      <c r="O27" s="22">
        <f t="shared" si="2"/>
        <v>52992</v>
      </c>
      <c r="P27" s="28">
        <v>8832</v>
      </c>
      <c r="R27" s="23">
        <v>14580</v>
      </c>
      <c r="S27" s="1" t="str">
        <f t="shared" si="21"/>
        <v>10001|86400$123001|52992$123002|882</v>
      </c>
      <c r="AA27" s="1">
        <v>24</v>
      </c>
      <c r="AB27" s="22">
        <f t="shared" si="4"/>
        <v>86400</v>
      </c>
      <c r="AF27" s="1">
        <v>24</v>
      </c>
      <c r="AG27" s="22">
        <f t="shared" si="5"/>
        <v>882</v>
      </c>
      <c r="AI27" s="1" t="str">
        <f t="shared" si="22"/>
        <v>10001|86400$123001|52992$123003|882</v>
      </c>
      <c r="AJ27" s="1" t="str">
        <f t="shared" si="23"/>
        <v>10001|86400$123001|52992$123004|882</v>
      </c>
      <c r="AK27" s="1" t="str">
        <f t="shared" si="24"/>
        <v>10001|86400$123001|52992$123005|882</v>
      </c>
      <c r="AL27" s="1" t="str">
        <f t="shared" si="25"/>
        <v>10001|86400$123001|52992$123006|882</v>
      </c>
      <c r="AM27" s="1" t="str">
        <f t="shared" si="26"/>
        <v>10001|86400$123001|52992$123007|882</v>
      </c>
      <c r="AN27" s="1" t="str">
        <f t="shared" si="27"/>
        <v>10001|86400$123001|52992$123008|882</v>
      </c>
      <c r="AO27" s="1" t="str">
        <f t="shared" si="28"/>
        <v>10001|86400$123001|52992$123009|882</v>
      </c>
    </row>
    <row r="28" ht="67.5" customHeight="1" spans="1:41">
      <c r="A28" s="1">
        <v>26</v>
      </c>
      <c r="B28" s="1" t="str">
        <f t="shared" si="0"/>
        <v>125|125|125|125|125</v>
      </c>
      <c r="C28" s="1" t="str">
        <f t="shared" si="1"/>
        <v>1段伤害:125\n2段伤害:125\n3段伤害:125\n4段伤害:125\n5段伤害:125</v>
      </c>
      <c r="E28" s="1">
        <v>125</v>
      </c>
      <c r="F28" s="1">
        <v>125</v>
      </c>
      <c r="G28" s="1">
        <v>125</v>
      </c>
      <c r="H28" s="1">
        <v>125</v>
      </c>
      <c r="I28" s="1">
        <v>125</v>
      </c>
      <c r="N28" s="21">
        <v>25</v>
      </c>
      <c r="O28" s="22">
        <f t="shared" si="2"/>
        <v>57500</v>
      </c>
      <c r="P28" s="28">
        <v>9583</v>
      </c>
      <c r="R28" s="23">
        <v>15820</v>
      </c>
      <c r="S28" s="1" t="str">
        <f t="shared" si="21"/>
        <v>10001|93750$123001|57500$123002|938</v>
      </c>
      <c r="AA28" s="21">
        <v>25</v>
      </c>
      <c r="AB28" s="22">
        <f t="shared" si="4"/>
        <v>93750</v>
      </c>
      <c r="AF28" s="1">
        <v>25</v>
      </c>
      <c r="AG28" s="22">
        <f t="shared" si="5"/>
        <v>938</v>
      </c>
      <c r="AI28" s="1" t="str">
        <f t="shared" si="22"/>
        <v>10001|93750$123001|57500$123003|938</v>
      </c>
      <c r="AJ28" s="1" t="str">
        <f t="shared" si="23"/>
        <v>10001|93750$123001|57500$123004|938</v>
      </c>
      <c r="AK28" s="1" t="str">
        <f t="shared" si="24"/>
        <v>10001|93750$123001|57500$123005|938</v>
      </c>
      <c r="AL28" s="1" t="str">
        <f t="shared" si="25"/>
        <v>10001|93750$123001|57500$123006|938</v>
      </c>
      <c r="AM28" s="1" t="str">
        <f t="shared" si="26"/>
        <v>10001|93750$123001|57500$123007|938</v>
      </c>
      <c r="AN28" s="1" t="str">
        <f t="shared" si="27"/>
        <v>10001|93750$123001|57500$123008|938</v>
      </c>
      <c r="AO28" s="1" t="str">
        <f t="shared" si="28"/>
        <v>10001|93750$123001|57500$123009|938</v>
      </c>
    </row>
    <row r="29" ht="67.5" customHeight="1" spans="1:41">
      <c r="A29" s="1">
        <v>27</v>
      </c>
      <c r="B29" s="1" t="str">
        <f t="shared" si="0"/>
        <v>130|130|130|130|130</v>
      </c>
      <c r="C29" s="1" t="str">
        <f t="shared" si="1"/>
        <v>1段伤害:130\n2段伤害:130\n3段伤害:130\n4段伤害:130\n5段伤害:130</v>
      </c>
      <c r="E29" s="1">
        <v>130</v>
      </c>
      <c r="F29" s="1">
        <v>130</v>
      </c>
      <c r="G29" s="1">
        <v>130</v>
      </c>
      <c r="H29" s="1">
        <v>130</v>
      </c>
      <c r="I29" s="1">
        <v>130</v>
      </c>
      <c r="N29" s="21">
        <v>26</v>
      </c>
      <c r="O29" s="22">
        <f t="shared" si="2"/>
        <v>62192</v>
      </c>
      <c r="P29" s="28">
        <v>10365</v>
      </c>
      <c r="R29" s="23">
        <v>17111</v>
      </c>
      <c r="S29" s="1" t="str">
        <f t="shared" si="21"/>
        <v>10001|101400$123001|62192$123002|994</v>
      </c>
      <c r="AA29" s="1">
        <v>26</v>
      </c>
      <c r="AB29" s="22">
        <f t="shared" si="4"/>
        <v>101400</v>
      </c>
      <c r="AF29" s="1">
        <v>26</v>
      </c>
      <c r="AG29" s="22">
        <f t="shared" si="5"/>
        <v>994</v>
      </c>
      <c r="AI29" s="1" t="str">
        <f t="shared" si="22"/>
        <v>10001|101400$123001|62192$123003|994</v>
      </c>
      <c r="AJ29" s="1" t="str">
        <f t="shared" si="23"/>
        <v>10001|101400$123001|62192$123004|994</v>
      </c>
      <c r="AK29" s="1" t="str">
        <f t="shared" si="24"/>
        <v>10001|101400$123001|62192$123005|994</v>
      </c>
      <c r="AL29" s="1" t="str">
        <f t="shared" si="25"/>
        <v>10001|101400$123001|62192$123006|994</v>
      </c>
      <c r="AM29" s="1" t="str">
        <f t="shared" si="26"/>
        <v>10001|101400$123001|62192$123007|994</v>
      </c>
      <c r="AN29" s="1" t="str">
        <f t="shared" si="27"/>
        <v>10001|101400$123001|62192$123008|994</v>
      </c>
      <c r="AO29" s="1" t="str">
        <f t="shared" si="28"/>
        <v>10001|101400$123001|62192$123009|994</v>
      </c>
    </row>
    <row r="30" ht="67.5" customHeight="1" spans="1:41">
      <c r="A30" s="1">
        <v>28</v>
      </c>
      <c r="B30" s="1" t="str">
        <f t="shared" si="0"/>
        <v>135|135|135|135|135</v>
      </c>
      <c r="C30" s="1" t="str">
        <f t="shared" si="1"/>
        <v>1段伤害:135\n2段伤害:135\n3段伤害:135\n4段伤害:135\n5段伤害:135</v>
      </c>
      <c r="E30" s="1">
        <v>135</v>
      </c>
      <c r="F30" s="1">
        <v>135</v>
      </c>
      <c r="G30" s="1">
        <v>135</v>
      </c>
      <c r="H30" s="1">
        <v>135</v>
      </c>
      <c r="I30" s="1">
        <v>135</v>
      </c>
      <c r="N30" s="21">
        <v>27</v>
      </c>
      <c r="O30" s="22">
        <f t="shared" si="2"/>
        <v>67068</v>
      </c>
      <c r="P30" s="28">
        <v>11178</v>
      </c>
      <c r="R30" s="23">
        <v>18453</v>
      </c>
      <c r="S30" s="1" t="str">
        <f t="shared" si="21"/>
        <v>10001|109350$123001|67068$123002|1052</v>
      </c>
      <c r="AA30" s="21">
        <v>27</v>
      </c>
      <c r="AB30" s="22">
        <f t="shared" si="4"/>
        <v>109350</v>
      </c>
      <c r="AF30" s="1">
        <v>27</v>
      </c>
      <c r="AG30" s="22">
        <f t="shared" si="5"/>
        <v>1052</v>
      </c>
      <c r="AI30" s="1" t="str">
        <f t="shared" si="22"/>
        <v>10001|109350$123001|67068$123003|1052</v>
      </c>
      <c r="AJ30" s="1" t="str">
        <f t="shared" si="23"/>
        <v>10001|109350$123001|67068$123004|1052</v>
      </c>
      <c r="AK30" s="1" t="str">
        <f t="shared" si="24"/>
        <v>10001|109350$123001|67068$123005|1052</v>
      </c>
      <c r="AL30" s="1" t="str">
        <f t="shared" si="25"/>
        <v>10001|109350$123001|67068$123006|1052</v>
      </c>
      <c r="AM30" s="1" t="str">
        <f t="shared" si="26"/>
        <v>10001|109350$123001|67068$123007|1052</v>
      </c>
      <c r="AN30" s="1" t="str">
        <f t="shared" si="27"/>
        <v>10001|109350$123001|67068$123008|1052</v>
      </c>
      <c r="AO30" s="1" t="str">
        <f t="shared" si="28"/>
        <v>10001|109350$123001|67068$123009|1052</v>
      </c>
    </row>
    <row r="31" ht="67.5" customHeight="1" spans="1:41">
      <c r="A31" s="1">
        <v>29</v>
      </c>
      <c r="B31" s="1" t="str">
        <f t="shared" si="0"/>
        <v>140|140|140|140|140</v>
      </c>
      <c r="C31" s="1" t="str">
        <f t="shared" si="1"/>
        <v>1段伤害:140\n2段伤害:140\n3段伤害:140\n4段伤害:140\n5段伤害:140</v>
      </c>
      <c r="E31" s="1">
        <v>140</v>
      </c>
      <c r="F31" s="1">
        <v>140</v>
      </c>
      <c r="G31" s="1">
        <v>140</v>
      </c>
      <c r="H31" s="1">
        <v>140</v>
      </c>
      <c r="I31" s="1">
        <v>140</v>
      </c>
      <c r="N31" s="21">
        <v>28</v>
      </c>
      <c r="O31" s="22">
        <f t="shared" si="2"/>
        <v>72128</v>
      </c>
      <c r="P31" s="28">
        <v>12021</v>
      </c>
      <c r="R31" s="23">
        <v>19845</v>
      </c>
      <c r="S31" s="1" t="str">
        <f t="shared" si="21"/>
        <v>10001|117600$123001|72128$123002|1111</v>
      </c>
      <c r="AA31" s="1">
        <v>28</v>
      </c>
      <c r="AB31" s="22">
        <f t="shared" si="4"/>
        <v>117600</v>
      </c>
      <c r="AF31" s="1">
        <v>28</v>
      </c>
      <c r="AG31" s="22">
        <f t="shared" si="5"/>
        <v>1111</v>
      </c>
      <c r="AI31" s="1" t="str">
        <f t="shared" si="22"/>
        <v>10001|117600$123001|72128$123003|1111</v>
      </c>
      <c r="AJ31" s="1" t="str">
        <f t="shared" si="23"/>
        <v>10001|117600$123001|72128$123004|1111</v>
      </c>
      <c r="AK31" s="1" t="str">
        <f t="shared" si="24"/>
        <v>10001|117600$123001|72128$123005|1111</v>
      </c>
      <c r="AL31" s="1" t="str">
        <f t="shared" si="25"/>
        <v>10001|117600$123001|72128$123006|1111</v>
      </c>
      <c r="AM31" s="1" t="str">
        <f t="shared" si="26"/>
        <v>10001|117600$123001|72128$123007|1111</v>
      </c>
      <c r="AN31" s="1" t="str">
        <f t="shared" si="27"/>
        <v>10001|117600$123001|72128$123008|1111</v>
      </c>
      <c r="AO31" s="1" t="str">
        <f t="shared" si="28"/>
        <v>10001|117600$123001|72128$123009|1111</v>
      </c>
    </row>
    <row r="32" ht="67.5" customHeight="1" spans="1:41">
      <c r="A32" s="1">
        <v>30</v>
      </c>
      <c r="B32" s="1" t="str">
        <f t="shared" si="0"/>
        <v>145|145|145|145|145</v>
      </c>
      <c r="C32" s="1" t="str">
        <f t="shared" si="1"/>
        <v>1段伤害:145\n2段伤害:145\n3段伤害:145\n4段伤害:145\n5段伤害:145</v>
      </c>
      <c r="E32" s="1">
        <v>145</v>
      </c>
      <c r="F32" s="1">
        <v>145</v>
      </c>
      <c r="G32" s="1">
        <v>145</v>
      </c>
      <c r="H32" s="1">
        <v>145</v>
      </c>
      <c r="I32" s="1">
        <v>145</v>
      </c>
      <c r="N32" s="21">
        <v>29</v>
      </c>
      <c r="O32" s="22">
        <f t="shared" si="2"/>
        <v>77372</v>
      </c>
      <c r="P32" s="28">
        <v>12895</v>
      </c>
      <c r="R32" s="23">
        <v>21288</v>
      </c>
      <c r="S32" s="1" t="str">
        <f t="shared" si="21"/>
        <v>10001|126150$123001|77372$123002|1171</v>
      </c>
      <c r="AA32" s="21">
        <v>29</v>
      </c>
      <c r="AB32" s="22">
        <f t="shared" si="4"/>
        <v>126150</v>
      </c>
      <c r="AF32" s="1">
        <v>29</v>
      </c>
      <c r="AG32" s="22">
        <f t="shared" si="5"/>
        <v>1171</v>
      </c>
      <c r="AI32" s="1" t="str">
        <f t="shared" si="22"/>
        <v>10001|126150$123001|77372$123003|1171</v>
      </c>
      <c r="AJ32" s="1" t="str">
        <f t="shared" si="23"/>
        <v>10001|126150$123001|77372$123004|1171</v>
      </c>
      <c r="AK32" s="1" t="str">
        <f t="shared" si="24"/>
        <v>10001|126150$123001|77372$123005|1171</v>
      </c>
      <c r="AL32" s="1" t="str">
        <f t="shared" si="25"/>
        <v>10001|126150$123001|77372$123006|1171</v>
      </c>
      <c r="AM32" s="1" t="str">
        <f t="shared" si="26"/>
        <v>10001|126150$123001|77372$123007|1171</v>
      </c>
      <c r="AN32" s="1" t="str">
        <f t="shared" si="27"/>
        <v>10001|126150$123001|77372$123008|1171</v>
      </c>
      <c r="AO32" s="1" t="str">
        <f t="shared" si="28"/>
        <v>10001|126150$123001|77372$123009|1171</v>
      </c>
    </row>
    <row r="33" ht="67.5" customHeight="1" spans="1:41">
      <c r="A33" s="1">
        <v>31</v>
      </c>
      <c r="B33" s="1" t="str">
        <f t="shared" si="0"/>
        <v>150|150|150|150|150</v>
      </c>
      <c r="C33" s="1" t="str">
        <f t="shared" si="1"/>
        <v>1段伤害:150\n2段伤害:150\n3段伤害:150\n4段伤害:150\n5段伤害:150</v>
      </c>
      <c r="E33" s="1">
        <v>150</v>
      </c>
      <c r="F33" s="1">
        <v>150</v>
      </c>
      <c r="G33" s="1">
        <v>150</v>
      </c>
      <c r="H33" s="1">
        <v>150</v>
      </c>
      <c r="I33" s="1">
        <v>150</v>
      </c>
      <c r="N33" s="21">
        <v>30</v>
      </c>
      <c r="O33" s="22">
        <f t="shared" si="2"/>
        <v>82800</v>
      </c>
      <c r="P33" s="28">
        <v>13800</v>
      </c>
      <c r="R33" s="23">
        <v>22781</v>
      </c>
      <c r="S33" s="1" t="str">
        <f t="shared" ref="S33:S41" si="29">$R$2&amp;"|"&amp;AB33&amp;"$"&amp;$V$2&amp;"|"&amp;O33&amp;"$"&amp;$AA$2&amp;"|"&amp;AG33</f>
        <v>10001|135000$124001|82800$124002|1232</v>
      </c>
      <c r="AA33" s="1">
        <v>30</v>
      </c>
      <c r="AB33" s="22">
        <f t="shared" si="4"/>
        <v>135000</v>
      </c>
      <c r="AF33" s="1">
        <v>30</v>
      </c>
      <c r="AG33" s="22">
        <f t="shared" si="5"/>
        <v>1232</v>
      </c>
      <c r="AI33" s="1" t="str">
        <f t="shared" ref="AI33:AI42" si="30">$R$2&amp;"|"&amp;AB33&amp;"$"&amp;$V$2&amp;"|"&amp;O33&amp;"$"&amp;$AF$2&amp;"|"&amp;AG33</f>
        <v>10001|135000$124001|82800$124003|1232</v>
      </c>
      <c r="AJ33" s="1" t="str">
        <f t="shared" ref="AJ33:AJ42" si="31">$R$2&amp;"|"&amp;AB33&amp;"$"&amp;$V$2&amp;"|"&amp;O33&amp;"$"&amp;$AK$2&amp;"|"&amp;AG33</f>
        <v>10001|135000$124001|82800$124004|1232</v>
      </c>
      <c r="AK33" s="1" t="str">
        <f t="shared" ref="AK33:AK42" si="32">$R$2&amp;"|"&amp;AB33&amp;"$"&amp;$V$2&amp;"|"&amp;O33&amp;"$"&amp;$AP$2&amp;"|"&amp;AG33</f>
        <v>10001|135000$124001|82800$124005|1232</v>
      </c>
      <c r="AL33" s="1" t="str">
        <f t="shared" ref="AL33:AL42" si="33">$R$2&amp;"|"&amp;AB33&amp;"$"&amp;$V$2&amp;"|"&amp;O33&amp;"$"&amp;$AU$2&amp;"|"&amp;AG33</f>
        <v>10001|135000$124001|82800$124006|1232</v>
      </c>
      <c r="AM33" s="1" t="str">
        <f t="shared" ref="AM33:AM42" si="34">$R$2&amp;"|"&amp;AB33&amp;"$"&amp;$V$2&amp;"|"&amp;O33&amp;"$"&amp;$AZ$2&amp;"|"&amp;AG33</f>
        <v>10001|135000$124001|82800$124007|1232</v>
      </c>
      <c r="AN33" s="1" t="str">
        <f t="shared" ref="AN33:AN42" si="35">$R$2&amp;"|"&amp;AB33&amp;"$"&amp;$V$2&amp;"|"&amp;O33&amp;"$"&amp;$BE$2&amp;"|"&amp;AG33</f>
        <v>10001|135000$124001|82800$124008|1232</v>
      </c>
      <c r="AO33" s="1" t="str">
        <f t="shared" ref="AO33:AO42" si="36">$R$2&amp;"|"&amp;AB33&amp;"$"&amp;$V$2&amp;"|"&amp;O33&amp;"$"&amp;$BJ$2&amp;"|"&amp;AG33</f>
        <v>10001|135000$124001|82800$124009|1232</v>
      </c>
    </row>
    <row r="34" ht="67.5" customHeight="1" spans="1:41">
      <c r="A34" s="1">
        <v>32</v>
      </c>
      <c r="B34" s="1" t="str">
        <f t="shared" si="0"/>
        <v>155|155|155|155|155</v>
      </c>
      <c r="C34" s="1" t="str">
        <f t="shared" si="1"/>
        <v>1段伤害:155\n2段伤害:155\n3段伤害:155\n4段伤害:155\n5段伤害:155</v>
      </c>
      <c r="E34" s="1">
        <v>155</v>
      </c>
      <c r="F34" s="1">
        <v>155</v>
      </c>
      <c r="G34" s="1">
        <v>155</v>
      </c>
      <c r="H34" s="1">
        <v>155</v>
      </c>
      <c r="I34" s="1">
        <v>155</v>
      </c>
      <c r="N34" s="21">
        <v>31</v>
      </c>
      <c r="O34" s="22">
        <f t="shared" si="2"/>
        <v>88412</v>
      </c>
      <c r="P34" s="28">
        <v>9824</v>
      </c>
      <c r="R34" s="23">
        <v>24325</v>
      </c>
      <c r="S34" s="1" t="str">
        <f t="shared" si="29"/>
        <v>10001|144150$124001|88412$124002|1295</v>
      </c>
      <c r="AA34" s="21">
        <v>31</v>
      </c>
      <c r="AB34" s="22">
        <f t="shared" si="4"/>
        <v>144150</v>
      </c>
      <c r="AF34" s="1">
        <v>31</v>
      </c>
      <c r="AG34" s="22">
        <f t="shared" si="5"/>
        <v>1295</v>
      </c>
      <c r="AI34" s="1" t="str">
        <f t="shared" si="30"/>
        <v>10001|144150$124001|88412$124003|1295</v>
      </c>
      <c r="AJ34" s="1" t="str">
        <f t="shared" si="31"/>
        <v>10001|144150$124001|88412$124004|1295</v>
      </c>
      <c r="AK34" s="1" t="str">
        <f t="shared" si="32"/>
        <v>10001|144150$124001|88412$124005|1295</v>
      </c>
      <c r="AL34" s="1" t="str">
        <f t="shared" si="33"/>
        <v>10001|144150$124001|88412$124006|1295</v>
      </c>
      <c r="AM34" s="1" t="str">
        <f t="shared" si="34"/>
        <v>10001|144150$124001|88412$124007|1295</v>
      </c>
      <c r="AN34" s="1" t="str">
        <f t="shared" si="35"/>
        <v>10001|144150$124001|88412$124008|1295</v>
      </c>
      <c r="AO34" s="1" t="str">
        <f t="shared" si="36"/>
        <v>10001|144150$124001|88412$124009|1295</v>
      </c>
    </row>
    <row r="35" ht="67.5" customHeight="1" spans="1:41">
      <c r="A35" s="1">
        <v>33</v>
      </c>
      <c r="B35" s="1" t="str">
        <f t="shared" si="0"/>
        <v>160|160|160|160|160</v>
      </c>
      <c r="C35" s="1" t="str">
        <f t="shared" si="1"/>
        <v>1段伤害:160\n2段伤害:160\n3段伤害:160\n4段伤害:160\n5段伤害:160</v>
      </c>
      <c r="E35" s="1">
        <v>160</v>
      </c>
      <c r="F35" s="1">
        <v>160</v>
      </c>
      <c r="G35" s="1">
        <v>160</v>
      </c>
      <c r="H35" s="1">
        <v>160</v>
      </c>
      <c r="I35" s="1">
        <v>160</v>
      </c>
      <c r="N35" s="21">
        <v>32</v>
      </c>
      <c r="O35" s="22">
        <f t="shared" si="2"/>
        <v>94208</v>
      </c>
      <c r="P35" s="28">
        <v>10468</v>
      </c>
      <c r="R35" s="23">
        <v>25920</v>
      </c>
      <c r="S35" s="1" t="str">
        <f t="shared" si="29"/>
        <v>10001|153600$124001|94208$124002|1358</v>
      </c>
      <c r="AA35" s="1">
        <v>32</v>
      </c>
      <c r="AB35" s="22">
        <f t="shared" si="4"/>
        <v>153600</v>
      </c>
      <c r="AF35" s="1">
        <v>32</v>
      </c>
      <c r="AG35" s="22">
        <f t="shared" si="5"/>
        <v>1358</v>
      </c>
      <c r="AI35" s="1" t="str">
        <f t="shared" si="30"/>
        <v>10001|153600$124001|94208$124003|1358</v>
      </c>
      <c r="AJ35" s="1" t="str">
        <f t="shared" si="31"/>
        <v>10001|153600$124001|94208$124004|1358</v>
      </c>
      <c r="AK35" s="1" t="str">
        <f t="shared" si="32"/>
        <v>10001|153600$124001|94208$124005|1358</v>
      </c>
      <c r="AL35" s="1" t="str">
        <f t="shared" si="33"/>
        <v>10001|153600$124001|94208$124006|1358</v>
      </c>
      <c r="AM35" s="1" t="str">
        <f t="shared" si="34"/>
        <v>10001|153600$124001|94208$124007|1358</v>
      </c>
      <c r="AN35" s="1" t="str">
        <f t="shared" si="35"/>
        <v>10001|153600$124001|94208$124008|1358</v>
      </c>
      <c r="AO35" s="1" t="str">
        <f t="shared" si="36"/>
        <v>10001|153600$124001|94208$124009|1358</v>
      </c>
    </row>
    <row r="36" ht="67.5" customHeight="1" spans="1:41">
      <c r="A36" s="1">
        <v>34</v>
      </c>
      <c r="B36" s="1" t="str">
        <f t="shared" si="0"/>
        <v>165|165|165|165|165</v>
      </c>
      <c r="C36" s="1" t="str">
        <f t="shared" si="1"/>
        <v>1段伤害:165\n2段伤害:165\n3段伤害:165\n4段伤害:165\n5段伤害:165</v>
      </c>
      <c r="E36" s="1">
        <v>165</v>
      </c>
      <c r="F36" s="1">
        <v>165</v>
      </c>
      <c r="G36" s="1">
        <v>165</v>
      </c>
      <c r="H36" s="1">
        <v>165</v>
      </c>
      <c r="I36" s="1">
        <v>165</v>
      </c>
      <c r="N36" s="21">
        <v>33</v>
      </c>
      <c r="O36" s="22">
        <f t="shared" si="2"/>
        <v>100188</v>
      </c>
      <c r="P36" s="28">
        <v>11132</v>
      </c>
      <c r="R36" s="23">
        <v>27565</v>
      </c>
      <c r="S36" s="1" t="str">
        <f t="shared" si="29"/>
        <v>10001|163350$124001|100188$124002|1422</v>
      </c>
      <c r="AA36" s="21">
        <v>33</v>
      </c>
      <c r="AB36" s="22">
        <f t="shared" si="4"/>
        <v>163350</v>
      </c>
      <c r="AF36" s="1">
        <v>33</v>
      </c>
      <c r="AG36" s="22">
        <f t="shared" si="5"/>
        <v>1422</v>
      </c>
      <c r="AI36" s="1" t="str">
        <f t="shared" si="30"/>
        <v>10001|163350$124001|100188$124003|1422</v>
      </c>
      <c r="AJ36" s="1" t="str">
        <f t="shared" si="31"/>
        <v>10001|163350$124001|100188$124004|1422</v>
      </c>
      <c r="AK36" s="1" t="str">
        <f t="shared" si="32"/>
        <v>10001|163350$124001|100188$124005|1422</v>
      </c>
      <c r="AL36" s="1" t="str">
        <f t="shared" si="33"/>
        <v>10001|163350$124001|100188$124006|1422</v>
      </c>
      <c r="AM36" s="1" t="str">
        <f t="shared" si="34"/>
        <v>10001|163350$124001|100188$124007|1422</v>
      </c>
      <c r="AN36" s="1" t="str">
        <f t="shared" si="35"/>
        <v>10001|163350$124001|100188$124008|1422</v>
      </c>
      <c r="AO36" s="1" t="str">
        <f t="shared" si="36"/>
        <v>10001|163350$124001|100188$124009|1422</v>
      </c>
    </row>
    <row r="37" ht="67.5" customHeight="1" spans="1:41">
      <c r="A37" s="1">
        <v>35</v>
      </c>
      <c r="B37" s="1" t="str">
        <f t="shared" si="0"/>
        <v>170|170|170|170|170</v>
      </c>
      <c r="C37" s="1" t="str">
        <f t="shared" si="1"/>
        <v>1段伤害:170\n2段伤害:170\n3段伤害:170\n4段伤害:170\n5段伤害:170</v>
      </c>
      <c r="E37" s="1">
        <v>170</v>
      </c>
      <c r="F37" s="1">
        <v>170</v>
      </c>
      <c r="G37" s="1">
        <v>170</v>
      </c>
      <c r="H37" s="1">
        <v>170</v>
      </c>
      <c r="I37" s="1">
        <v>170</v>
      </c>
      <c r="N37" s="21">
        <v>34</v>
      </c>
      <c r="O37" s="22">
        <f t="shared" si="2"/>
        <v>106352</v>
      </c>
      <c r="P37" s="28">
        <v>11817</v>
      </c>
      <c r="R37" s="23">
        <v>29261</v>
      </c>
      <c r="S37" s="1" t="str">
        <f t="shared" si="29"/>
        <v>10001|173400$124001|106352$124002|1487</v>
      </c>
      <c r="AA37" s="1">
        <v>34</v>
      </c>
      <c r="AB37" s="22">
        <f t="shared" si="4"/>
        <v>173400</v>
      </c>
      <c r="AF37" s="1">
        <v>34</v>
      </c>
      <c r="AG37" s="22">
        <f t="shared" si="5"/>
        <v>1487</v>
      </c>
      <c r="AI37" s="1" t="str">
        <f t="shared" si="30"/>
        <v>10001|173400$124001|106352$124003|1487</v>
      </c>
      <c r="AJ37" s="1" t="str">
        <f t="shared" si="31"/>
        <v>10001|173400$124001|106352$124004|1487</v>
      </c>
      <c r="AK37" s="1" t="str">
        <f t="shared" si="32"/>
        <v>10001|173400$124001|106352$124005|1487</v>
      </c>
      <c r="AL37" s="1" t="str">
        <f t="shared" si="33"/>
        <v>10001|173400$124001|106352$124006|1487</v>
      </c>
      <c r="AM37" s="1" t="str">
        <f t="shared" si="34"/>
        <v>10001|173400$124001|106352$124007|1487</v>
      </c>
      <c r="AN37" s="1" t="str">
        <f t="shared" si="35"/>
        <v>10001|173400$124001|106352$124008|1487</v>
      </c>
      <c r="AO37" s="1" t="str">
        <f t="shared" si="36"/>
        <v>10001|173400$124001|106352$124009|1487</v>
      </c>
    </row>
    <row r="38" ht="67.5" customHeight="1" spans="1:41">
      <c r="A38" s="1">
        <v>36</v>
      </c>
      <c r="B38" s="1" t="str">
        <f t="shared" si="0"/>
        <v>175|175|175|175|175</v>
      </c>
      <c r="C38" s="1" t="str">
        <f t="shared" si="1"/>
        <v>1段伤害:175\n2段伤害:175\n3段伤害:175\n4段伤害:175\n5段伤害:175</v>
      </c>
      <c r="E38" s="1">
        <v>175</v>
      </c>
      <c r="F38" s="1">
        <v>175</v>
      </c>
      <c r="G38" s="1">
        <v>175</v>
      </c>
      <c r="H38" s="1">
        <v>175</v>
      </c>
      <c r="I38" s="1">
        <v>175</v>
      </c>
      <c r="N38" s="21">
        <v>35</v>
      </c>
      <c r="O38" s="22">
        <f t="shared" si="2"/>
        <v>112700</v>
      </c>
      <c r="P38" s="28">
        <v>12522</v>
      </c>
      <c r="R38" s="23">
        <v>31008</v>
      </c>
      <c r="S38" s="1" t="str">
        <f t="shared" si="29"/>
        <v>10001|183750$124001|112700$124002|1553</v>
      </c>
      <c r="AA38" s="21">
        <v>35</v>
      </c>
      <c r="AB38" s="22">
        <f t="shared" si="4"/>
        <v>183750</v>
      </c>
      <c r="AF38" s="1">
        <v>35</v>
      </c>
      <c r="AG38" s="22">
        <f t="shared" si="5"/>
        <v>1553</v>
      </c>
      <c r="AI38" s="1" t="str">
        <f t="shared" si="30"/>
        <v>10001|183750$124001|112700$124003|1553</v>
      </c>
      <c r="AJ38" s="1" t="str">
        <f t="shared" si="31"/>
        <v>10001|183750$124001|112700$124004|1553</v>
      </c>
      <c r="AK38" s="1" t="str">
        <f t="shared" si="32"/>
        <v>10001|183750$124001|112700$124005|1553</v>
      </c>
      <c r="AL38" s="1" t="str">
        <f t="shared" si="33"/>
        <v>10001|183750$124001|112700$124006|1553</v>
      </c>
      <c r="AM38" s="1" t="str">
        <f t="shared" si="34"/>
        <v>10001|183750$124001|112700$124007|1553</v>
      </c>
      <c r="AN38" s="1" t="str">
        <f t="shared" si="35"/>
        <v>10001|183750$124001|112700$124008|1553</v>
      </c>
      <c r="AO38" s="1" t="str">
        <f t="shared" si="36"/>
        <v>10001|183750$124001|112700$124009|1553</v>
      </c>
    </row>
    <row r="39" ht="67.5" customHeight="1" spans="1:41">
      <c r="A39" s="1">
        <v>37</v>
      </c>
      <c r="B39" s="1" t="str">
        <f t="shared" si="0"/>
        <v>180|180|180|180|180</v>
      </c>
      <c r="C39" s="1" t="str">
        <f t="shared" si="1"/>
        <v>1段伤害:180\n2段伤害:180\n3段伤害:180\n4段伤害:180\n5段伤害:180</v>
      </c>
      <c r="E39" s="1">
        <v>180</v>
      </c>
      <c r="F39" s="1">
        <v>180</v>
      </c>
      <c r="G39" s="1">
        <v>180</v>
      </c>
      <c r="H39" s="1">
        <v>180</v>
      </c>
      <c r="I39" s="1">
        <v>180</v>
      </c>
      <c r="N39" s="21">
        <v>36</v>
      </c>
      <c r="O39" s="22">
        <f t="shared" si="2"/>
        <v>119232</v>
      </c>
      <c r="P39" s="28">
        <v>13248</v>
      </c>
      <c r="R39" s="23">
        <v>32805</v>
      </c>
      <c r="S39" s="1" t="str">
        <f t="shared" si="29"/>
        <v>10001|194400$124001|119232$124002|1620</v>
      </c>
      <c r="AA39" s="1">
        <v>36</v>
      </c>
      <c r="AB39" s="22">
        <f t="shared" si="4"/>
        <v>194400</v>
      </c>
      <c r="AF39" s="1">
        <v>36</v>
      </c>
      <c r="AG39" s="22">
        <f t="shared" si="5"/>
        <v>1620</v>
      </c>
      <c r="AI39" s="1" t="str">
        <f t="shared" si="30"/>
        <v>10001|194400$124001|119232$124003|1620</v>
      </c>
      <c r="AJ39" s="1" t="str">
        <f t="shared" si="31"/>
        <v>10001|194400$124001|119232$124004|1620</v>
      </c>
      <c r="AK39" s="1" t="str">
        <f t="shared" si="32"/>
        <v>10001|194400$124001|119232$124005|1620</v>
      </c>
      <c r="AL39" s="1" t="str">
        <f t="shared" si="33"/>
        <v>10001|194400$124001|119232$124006|1620</v>
      </c>
      <c r="AM39" s="1" t="str">
        <f t="shared" si="34"/>
        <v>10001|194400$124001|119232$124007|1620</v>
      </c>
      <c r="AN39" s="1" t="str">
        <f t="shared" si="35"/>
        <v>10001|194400$124001|119232$124008|1620</v>
      </c>
      <c r="AO39" s="1" t="str">
        <f t="shared" si="36"/>
        <v>10001|194400$124001|119232$124009|1620</v>
      </c>
    </row>
    <row r="40" ht="67.5" customHeight="1" spans="1:41">
      <c r="A40" s="1">
        <v>38</v>
      </c>
      <c r="B40" s="1" t="str">
        <f t="shared" si="0"/>
        <v>185|185|185|185|185</v>
      </c>
      <c r="C40" s="1" t="str">
        <f t="shared" si="1"/>
        <v>1段伤害:185\n2段伤害:185\n3段伤害:185\n4段伤害:185\n5段伤害:185</v>
      </c>
      <c r="E40" s="1">
        <v>185</v>
      </c>
      <c r="F40" s="1">
        <v>185</v>
      </c>
      <c r="G40" s="1">
        <v>185</v>
      </c>
      <c r="H40" s="1">
        <v>185</v>
      </c>
      <c r="I40" s="1">
        <v>185</v>
      </c>
      <c r="N40" s="21">
        <v>37</v>
      </c>
      <c r="O40" s="22">
        <f t="shared" si="2"/>
        <v>125948</v>
      </c>
      <c r="P40" s="28">
        <v>13994</v>
      </c>
      <c r="R40" s="23">
        <v>34653</v>
      </c>
      <c r="S40" s="1" t="str">
        <f t="shared" si="29"/>
        <v>10001|205350$124001|125948$124002|1688</v>
      </c>
      <c r="AA40" s="21">
        <v>37</v>
      </c>
      <c r="AB40" s="22">
        <f t="shared" si="4"/>
        <v>205350</v>
      </c>
      <c r="AF40" s="1">
        <v>37</v>
      </c>
      <c r="AG40" s="22">
        <f t="shared" si="5"/>
        <v>1688</v>
      </c>
      <c r="AI40" s="1" t="str">
        <f t="shared" si="30"/>
        <v>10001|205350$124001|125948$124003|1688</v>
      </c>
      <c r="AJ40" s="1" t="str">
        <f t="shared" si="31"/>
        <v>10001|205350$124001|125948$124004|1688</v>
      </c>
      <c r="AK40" s="1" t="str">
        <f t="shared" si="32"/>
        <v>10001|205350$124001|125948$124005|1688</v>
      </c>
      <c r="AL40" s="1" t="str">
        <f t="shared" si="33"/>
        <v>10001|205350$124001|125948$124006|1688</v>
      </c>
      <c r="AM40" s="1" t="str">
        <f t="shared" si="34"/>
        <v>10001|205350$124001|125948$124007|1688</v>
      </c>
      <c r="AN40" s="1" t="str">
        <f t="shared" si="35"/>
        <v>10001|205350$124001|125948$124008|1688</v>
      </c>
      <c r="AO40" s="1" t="str">
        <f t="shared" si="36"/>
        <v>10001|205350$124001|125948$124009|1688</v>
      </c>
    </row>
    <row r="41" ht="67.5" customHeight="1" spans="1:41">
      <c r="A41" s="1">
        <v>39</v>
      </c>
      <c r="B41" s="1" t="str">
        <f t="shared" si="0"/>
        <v>190|190|190|190|190</v>
      </c>
      <c r="C41" s="1" t="str">
        <f t="shared" si="1"/>
        <v>1段伤害:190\n2段伤害:190\n3段伤害:190\n4段伤害:190\n5段伤害:190</v>
      </c>
      <c r="E41" s="1">
        <v>190</v>
      </c>
      <c r="F41" s="1">
        <v>190</v>
      </c>
      <c r="G41" s="1">
        <v>190</v>
      </c>
      <c r="H41" s="1">
        <v>190</v>
      </c>
      <c r="I41" s="1">
        <v>190</v>
      </c>
      <c r="N41" s="21">
        <v>38</v>
      </c>
      <c r="O41" s="22">
        <f t="shared" si="2"/>
        <v>132848</v>
      </c>
      <c r="P41" s="28">
        <v>14761</v>
      </c>
      <c r="R41" s="23">
        <v>36551</v>
      </c>
      <c r="S41" s="1" t="str">
        <f t="shared" si="29"/>
        <v>10001|216600$124001|132848$124002|1757</v>
      </c>
      <c r="AA41" s="1">
        <v>38</v>
      </c>
      <c r="AB41" s="22">
        <f t="shared" si="4"/>
        <v>216600</v>
      </c>
      <c r="AF41" s="1">
        <v>38</v>
      </c>
      <c r="AG41" s="22">
        <f t="shared" si="5"/>
        <v>1757</v>
      </c>
      <c r="AI41" s="1" t="str">
        <f t="shared" si="30"/>
        <v>10001|216600$124001|132848$124003|1757</v>
      </c>
      <c r="AJ41" s="1" t="str">
        <f t="shared" si="31"/>
        <v>10001|216600$124001|132848$124004|1757</v>
      </c>
      <c r="AK41" s="1" t="str">
        <f t="shared" si="32"/>
        <v>10001|216600$124001|132848$124005|1757</v>
      </c>
      <c r="AL41" s="1" t="str">
        <f t="shared" si="33"/>
        <v>10001|216600$124001|132848$124006|1757</v>
      </c>
      <c r="AM41" s="1" t="str">
        <f t="shared" si="34"/>
        <v>10001|216600$124001|132848$124007|1757</v>
      </c>
      <c r="AN41" s="1" t="str">
        <f t="shared" si="35"/>
        <v>10001|216600$124001|132848$124008|1757</v>
      </c>
      <c r="AO41" s="1" t="str">
        <f t="shared" si="36"/>
        <v>10001|216600$124001|132848$124009|1757</v>
      </c>
    </row>
    <row r="42" ht="67.5" customHeight="1" spans="1:41">
      <c r="A42" s="1">
        <v>40</v>
      </c>
      <c r="B42" s="1" t="str">
        <f t="shared" si="0"/>
        <v>195|195|195|195|195</v>
      </c>
      <c r="C42" s="1" t="str">
        <f t="shared" si="1"/>
        <v>1段伤害:195\n2段伤害:195\n3段伤害:195\n4段伤害:195\n5段伤害:195</v>
      </c>
      <c r="E42" s="1">
        <v>195</v>
      </c>
      <c r="F42" s="1">
        <v>195</v>
      </c>
      <c r="G42" s="1">
        <v>195</v>
      </c>
      <c r="H42" s="1">
        <v>195</v>
      </c>
      <c r="I42" s="1">
        <v>195</v>
      </c>
      <c r="N42" s="21">
        <v>39</v>
      </c>
      <c r="O42" s="22">
        <f t="shared" si="2"/>
        <v>139932</v>
      </c>
      <c r="P42" s="28">
        <v>15548</v>
      </c>
      <c r="R42" s="23">
        <v>38500</v>
      </c>
      <c r="S42" s="1" t="str">
        <f t="shared" ref="S42:S53" si="37">$R$2&amp;"|"&amp;AB42&amp;"$"&amp;$W$2&amp;"|"&amp;O42&amp;"$"&amp;$AB$2&amp;"|"&amp;AG42</f>
        <v>10001|228150$125001|139932$125002|1827</v>
      </c>
      <c r="AA42" s="21">
        <v>39</v>
      </c>
      <c r="AB42" s="22">
        <f t="shared" si="4"/>
        <v>228150</v>
      </c>
      <c r="AF42" s="1">
        <v>39</v>
      </c>
      <c r="AG42" s="22">
        <f t="shared" si="5"/>
        <v>1827</v>
      </c>
      <c r="AI42" s="1" t="str">
        <f t="shared" si="30"/>
        <v>10001|228150$124001|139932$124003|1827</v>
      </c>
      <c r="AJ42" s="1" t="str">
        <f t="shared" si="31"/>
        <v>10001|228150$124001|139932$124004|1827</v>
      </c>
      <c r="AK42" s="1" t="str">
        <f t="shared" si="32"/>
        <v>10001|228150$124001|139932$124005|1827</v>
      </c>
      <c r="AL42" s="1" t="str">
        <f t="shared" si="33"/>
        <v>10001|228150$124001|139932$124006|1827</v>
      </c>
      <c r="AM42" s="1" t="str">
        <f t="shared" si="34"/>
        <v>10001|228150$124001|139932$124007|1827</v>
      </c>
      <c r="AN42" s="1" t="str">
        <f t="shared" si="35"/>
        <v>10001|228150$124001|139932$124008|1827</v>
      </c>
      <c r="AO42" s="1" t="str">
        <f t="shared" si="36"/>
        <v>10001|228150$124001|139932$124009|1827</v>
      </c>
    </row>
    <row r="43" ht="67.5" customHeight="1" spans="1:41">
      <c r="A43" s="1">
        <v>41</v>
      </c>
      <c r="B43" s="1" t="str">
        <f t="shared" si="0"/>
        <v>200|200|200|200|200</v>
      </c>
      <c r="C43" s="1" t="str">
        <f t="shared" si="1"/>
        <v>1段伤害:200\n2段伤害:200\n3段伤害:200\n4段伤害:200\n5段伤害:200</v>
      </c>
      <c r="E43" s="1">
        <v>200</v>
      </c>
      <c r="F43" s="1">
        <v>200</v>
      </c>
      <c r="G43" s="1">
        <v>200</v>
      </c>
      <c r="H43" s="1">
        <v>200</v>
      </c>
      <c r="I43" s="1">
        <v>200</v>
      </c>
      <c r="N43" s="21">
        <v>40</v>
      </c>
      <c r="O43" s="22">
        <f t="shared" si="2"/>
        <v>147200</v>
      </c>
      <c r="P43" s="28">
        <v>16356</v>
      </c>
      <c r="R43" s="23">
        <v>40500</v>
      </c>
      <c r="S43" s="1" t="str">
        <f t="shared" si="37"/>
        <v>10001|240000$125001|147200$125002|1897</v>
      </c>
      <c r="AA43" s="1">
        <v>40</v>
      </c>
      <c r="AB43" s="22">
        <f t="shared" si="4"/>
        <v>240000</v>
      </c>
      <c r="AF43" s="1">
        <v>40</v>
      </c>
      <c r="AG43" s="22">
        <f t="shared" si="5"/>
        <v>1897</v>
      </c>
      <c r="AI43" s="1" t="str">
        <f t="shared" ref="AI43:AI53" si="38">$R$2&amp;"|"&amp;AB43&amp;"$"&amp;$W$2&amp;"|"&amp;O43&amp;"$"&amp;$AG$2&amp;"|"&amp;AG43</f>
        <v>10001|240000$125001|147200$125003|1897</v>
      </c>
      <c r="AJ43" s="1" t="str">
        <f t="shared" ref="AJ43:AJ53" si="39">$R$2&amp;"|"&amp;AB43&amp;"$"&amp;$W$2&amp;"|"&amp;O43&amp;"$"&amp;$AL$2&amp;"|"&amp;AG43</f>
        <v>10001|240000$125001|147200$125004|1897</v>
      </c>
      <c r="AK43" s="1" t="str">
        <f t="shared" ref="AK43:AK53" si="40">$R$2&amp;"|"&amp;AB43&amp;"$"&amp;$W$2&amp;"|"&amp;O43&amp;"$"&amp;$AQ$2&amp;"|"&amp;AG43</f>
        <v>10001|240000$125001|147200$125005|1897</v>
      </c>
      <c r="AL43" s="1" t="str">
        <f t="shared" ref="AL43:AL53" si="41">$R$2&amp;"|"&amp;AB43&amp;"$"&amp;$W$2&amp;"|"&amp;O43&amp;"$"&amp;$AV$2&amp;"|"&amp;AG43</f>
        <v>10001|240000$125001|147200$125006|1897</v>
      </c>
      <c r="AM43" s="1" t="str">
        <f t="shared" ref="AM43:AM53" si="42">$R$2&amp;"|"&amp;AB43&amp;"$"&amp;$W$2&amp;"|"&amp;O43&amp;"$"&amp;$BA$2&amp;"|"&amp;AG43</f>
        <v>10001|240000$125001|147200$125007|1897</v>
      </c>
      <c r="AN43" s="1" t="str">
        <f t="shared" ref="AN43:AN53" si="43">$R$2&amp;"|"&amp;AB43&amp;"$"&amp;$W$2&amp;"|"&amp;O43&amp;"$"&amp;$BF$2&amp;"|"&amp;AG43</f>
        <v>10001|240000$125001|147200$125008|1897</v>
      </c>
      <c r="AO43" s="1" t="str">
        <f t="shared" ref="AO43:AO53" si="44">$R$2&amp;"|"&amp;AB43&amp;"$"&amp;$W$2&amp;"|"&amp;O43&amp;"$"&amp;$BK$2&amp;"|"&amp;AG43</f>
        <v>10001|240000$125001|147200$125009|1897</v>
      </c>
    </row>
    <row r="44" ht="67.5" customHeight="1" spans="1:41">
      <c r="A44" s="1">
        <v>42</v>
      </c>
      <c r="B44" s="1" t="str">
        <f t="shared" si="0"/>
        <v>205|205|205|205|205</v>
      </c>
      <c r="C44" s="1" t="str">
        <f t="shared" si="1"/>
        <v>1段伤害:205\n2段伤害:205\n3段伤害:205\n4段伤害:205\n5段伤害:205</v>
      </c>
      <c r="E44" s="1">
        <v>205</v>
      </c>
      <c r="F44" s="1">
        <v>205</v>
      </c>
      <c r="G44" s="1">
        <v>205</v>
      </c>
      <c r="H44" s="1">
        <v>205</v>
      </c>
      <c r="I44" s="1">
        <v>205</v>
      </c>
      <c r="N44" s="21">
        <v>41</v>
      </c>
      <c r="O44" s="22">
        <f t="shared" si="2"/>
        <v>154652</v>
      </c>
      <c r="P44" s="28">
        <v>12888</v>
      </c>
      <c r="R44" s="23">
        <v>42550</v>
      </c>
      <c r="S44" s="1" t="str">
        <f t="shared" si="37"/>
        <v>10001|252150$125001|154652$125002|1969</v>
      </c>
      <c r="AA44" s="21">
        <v>41</v>
      </c>
      <c r="AB44" s="22">
        <f t="shared" si="4"/>
        <v>252150</v>
      </c>
      <c r="AF44" s="1">
        <v>41</v>
      </c>
      <c r="AG44" s="22">
        <f t="shared" si="5"/>
        <v>1969</v>
      </c>
      <c r="AI44" s="1" t="str">
        <f t="shared" si="38"/>
        <v>10001|252150$125001|154652$125003|1969</v>
      </c>
      <c r="AJ44" s="1" t="str">
        <f t="shared" si="39"/>
        <v>10001|252150$125001|154652$125004|1969</v>
      </c>
      <c r="AK44" s="1" t="str">
        <f t="shared" si="40"/>
        <v>10001|252150$125001|154652$125005|1969</v>
      </c>
      <c r="AL44" s="1" t="str">
        <f t="shared" si="41"/>
        <v>10001|252150$125001|154652$125006|1969</v>
      </c>
      <c r="AM44" s="1" t="str">
        <f t="shared" si="42"/>
        <v>10001|252150$125001|154652$125007|1969</v>
      </c>
      <c r="AN44" s="1" t="str">
        <f t="shared" si="43"/>
        <v>10001|252150$125001|154652$125008|1969</v>
      </c>
      <c r="AO44" s="1" t="str">
        <f t="shared" si="44"/>
        <v>10001|252150$125001|154652$125009|1969</v>
      </c>
    </row>
    <row r="45" ht="67.5" customHeight="1" spans="1:41">
      <c r="A45" s="1">
        <v>43</v>
      </c>
      <c r="B45" s="1" t="str">
        <f t="shared" si="0"/>
        <v>210|210|210|210|210</v>
      </c>
      <c r="C45" s="1" t="str">
        <f t="shared" si="1"/>
        <v>1段伤害:210\n2段伤害:210\n3段伤害:210\n4段伤害:210\n5段伤害:210</v>
      </c>
      <c r="E45" s="1">
        <v>210</v>
      </c>
      <c r="F45" s="1">
        <v>210</v>
      </c>
      <c r="G45" s="1">
        <v>210</v>
      </c>
      <c r="H45" s="1">
        <v>210</v>
      </c>
      <c r="I45" s="1">
        <v>210</v>
      </c>
      <c r="N45" s="21">
        <v>42</v>
      </c>
      <c r="O45" s="22">
        <f t="shared" si="2"/>
        <v>162288</v>
      </c>
      <c r="P45" s="28">
        <v>13524</v>
      </c>
      <c r="R45" s="23">
        <v>44651</v>
      </c>
      <c r="S45" s="1" t="str">
        <f t="shared" si="37"/>
        <v>10001|264600$125001|162288$125002|2041</v>
      </c>
      <c r="AA45" s="1">
        <v>42</v>
      </c>
      <c r="AB45" s="22">
        <f t="shared" si="4"/>
        <v>264600</v>
      </c>
      <c r="AF45" s="1">
        <v>42</v>
      </c>
      <c r="AG45" s="22">
        <f t="shared" si="5"/>
        <v>2041</v>
      </c>
      <c r="AI45" s="1" t="str">
        <f t="shared" si="38"/>
        <v>10001|264600$125001|162288$125003|2041</v>
      </c>
      <c r="AJ45" s="1" t="str">
        <f t="shared" si="39"/>
        <v>10001|264600$125001|162288$125004|2041</v>
      </c>
      <c r="AK45" s="1" t="str">
        <f t="shared" si="40"/>
        <v>10001|264600$125001|162288$125005|2041</v>
      </c>
      <c r="AL45" s="1" t="str">
        <f t="shared" si="41"/>
        <v>10001|264600$125001|162288$125006|2041</v>
      </c>
      <c r="AM45" s="1" t="str">
        <f t="shared" si="42"/>
        <v>10001|264600$125001|162288$125007|2041</v>
      </c>
      <c r="AN45" s="1" t="str">
        <f t="shared" si="43"/>
        <v>10001|264600$125001|162288$125008|2041</v>
      </c>
      <c r="AO45" s="1" t="str">
        <f t="shared" si="44"/>
        <v>10001|264600$125001|162288$125009|2041</v>
      </c>
    </row>
    <row r="46" ht="67.5" customHeight="1" spans="1:41">
      <c r="A46" s="1">
        <v>44</v>
      </c>
      <c r="B46" s="1" t="str">
        <f t="shared" si="0"/>
        <v>215|215|215|215|215</v>
      </c>
      <c r="C46" s="1" t="str">
        <f t="shared" si="1"/>
        <v>1段伤害:215\n2段伤害:215\n3段伤害:215\n4段伤害:215\n5段伤害:215</v>
      </c>
      <c r="E46" s="1">
        <v>215</v>
      </c>
      <c r="F46" s="1">
        <v>215</v>
      </c>
      <c r="G46" s="1">
        <v>215</v>
      </c>
      <c r="H46" s="1">
        <v>215</v>
      </c>
      <c r="I46" s="1">
        <v>215</v>
      </c>
      <c r="N46" s="21">
        <v>43</v>
      </c>
      <c r="O46" s="22">
        <f t="shared" si="2"/>
        <v>170108</v>
      </c>
      <c r="P46" s="28">
        <v>14176</v>
      </c>
      <c r="R46" s="23">
        <v>46803</v>
      </c>
      <c r="S46" s="1" t="str">
        <f t="shared" si="37"/>
        <v>10001|277350$125001|170108$125002|2115</v>
      </c>
      <c r="AA46" s="21">
        <v>43</v>
      </c>
      <c r="AB46" s="22">
        <f t="shared" si="4"/>
        <v>277350</v>
      </c>
      <c r="AF46" s="1">
        <v>43</v>
      </c>
      <c r="AG46" s="22">
        <f t="shared" si="5"/>
        <v>2115</v>
      </c>
      <c r="AI46" s="1" t="str">
        <f t="shared" si="38"/>
        <v>10001|277350$125001|170108$125003|2115</v>
      </c>
      <c r="AJ46" s="1" t="str">
        <f t="shared" si="39"/>
        <v>10001|277350$125001|170108$125004|2115</v>
      </c>
      <c r="AK46" s="1" t="str">
        <f t="shared" si="40"/>
        <v>10001|277350$125001|170108$125005|2115</v>
      </c>
      <c r="AL46" s="1" t="str">
        <f t="shared" si="41"/>
        <v>10001|277350$125001|170108$125006|2115</v>
      </c>
      <c r="AM46" s="1" t="str">
        <f t="shared" si="42"/>
        <v>10001|277350$125001|170108$125007|2115</v>
      </c>
      <c r="AN46" s="1" t="str">
        <f t="shared" si="43"/>
        <v>10001|277350$125001|170108$125008|2115</v>
      </c>
      <c r="AO46" s="1" t="str">
        <f t="shared" si="44"/>
        <v>10001|277350$125001|170108$125009|2115</v>
      </c>
    </row>
    <row r="47" ht="67.5" customHeight="1" spans="1:41">
      <c r="A47" s="1">
        <v>45</v>
      </c>
      <c r="B47" s="1" t="str">
        <f t="shared" si="0"/>
        <v>220|220|220|220|220</v>
      </c>
      <c r="C47" s="1" t="str">
        <f t="shared" si="1"/>
        <v>1段伤害:220\n2段伤害:220\n3段伤害:220\n4段伤害:220\n5段伤害:220</v>
      </c>
      <c r="E47" s="1">
        <v>220</v>
      </c>
      <c r="F47" s="1">
        <v>220</v>
      </c>
      <c r="G47" s="1">
        <v>220</v>
      </c>
      <c r="H47" s="1">
        <v>220</v>
      </c>
      <c r="I47" s="1">
        <v>220</v>
      </c>
      <c r="N47" s="21">
        <v>44</v>
      </c>
      <c r="O47" s="22">
        <f t="shared" si="2"/>
        <v>178112</v>
      </c>
      <c r="P47" s="28">
        <v>14843</v>
      </c>
      <c r="R47" s="23">
        <v>49005</v>
      </c>
      <c r="S47" s="1" t="str">
        <f t="shared" si="37"/>
        <v>10001|290400$125001|178112$125002|2189</v>
      </c>
      <c r="AA47" s="1">
        <v>44</v>
      </c>
      <c r="AB47" s="22">
        <f t="shared" si="4"/>
        <v>290400</v>
      </c>
      <c r="AF47" s="1">
        <v>44</v>
      </c>
      <c r="AG47" s="22">
        <f t="shared" si="5"/>
        <v>2189</v>
      </c>
      <c r="AI47" s="1" t="str">
        <f t="shared" si="38"/>
        <v>10001|290400$125001|178112$125003|2189</v>
      </c>
      <c r="AJ47" s="1" t="str">
        <f t="shared" si="39"/>
        <v>10001|290400$125001|178112$125004|2189</v>
      </c>
      <c r="AK47" s="1" t="str">
        <f t="shared" si="40"/>
        <v>10001|290400$125001|178112$125005|2189</v>
      </c>
      <c r="AL47" s="1" t="str">
        <f t="shared" si="41"/>
        <v>10001|290400$125001|178112$125006|2189</v>
      </c>
      <c r="AM47" s="1" t="str">
        <f t="shared" si="42"/>
        <v>10001|290400$125001|178112$125007|2189</v>
      </c>
      <c r="AN47" s="1" t="str">
        <f t="shared" si="43"/>
        <v>10001|290400$125001|178112$125008|2189</v>
      </c>
      <c r="AO47" s="1" t="str">
        <f t="shared" si="44"/>
        <v>10001|290400$125001|178112$125009|2189</v>
      </c>
    </row>
    <row r="48" ht="67.5" customHeight="1" spans="1:41">
      <c r="A48" s="1">
        <v>46</v>
      </c>
      <c r="B48" s="1" t="str">
        <f t="shared" si="0"/>
        <v>225|225|225|225|225</v>
      </c>
      <c r="C48" s="1" t="str">
        <f t="shared" si="1"/>
        <v>1段伤害:225\n2段伤害:225\n3段伤害:225\n4段伤害:225\n5段伤害:225</v>
      </c>
      <c r="E48" s="1">
        <v>225</v>
      </c>
      <c r="F48" s="1">
        <v>225</v>
      </c>
      <c r="G48" s="1">
        <v>225</v>
      </c>
      <c r="H48" s="1">
        <v>225</v>
      </c>
      <c r="I48" s="1">
        <v>225</v>
      </c>
      <c r="N48" s="21">
        <v>45</v>
      </c>
      <c r="O48" s="22">
        <f t="shared" si="2"/>
        <v>186300</v>
      </c>
      <c r="P48" s="28">
        <v>15525</v>
      </c>
      <c r="R48" s="23">
        <v>51258</v>
      </c>
      <c r="S48" s="1" t="str">
        <f t="shared" si="37"/>
        <v>10001|303750$125001|186300$125002|2264</v>
      </c>
      <c r="AA48" s="21">
        <v>45</v>
      </c>
      <c r="AB48" s="22">
        <f t="shared" si="4"/>
        <v>303750</v>
      </c>
      <c r="AF48" s="1">
        <v>45</v>
      </c>
      <c r="AG48" s="22">
        <f t="shared" si="5"/>
        <v>2264</v>
      </c>
      <c r="AI48" s="1" t="str">
        <f t="shared" si="38"/>
        <v>10001|303750$125001|186300$125003|2264</v>
      </c>
      <c r="AJ48" s="1" t="str">
        <f t="shared" si="39"/>
        <v>10001|303750$125001|186300$125004|2264</v>
      </c>
      <c r="AK48" s="1" t="str">
        <f t="shared" si="40"/>
        <v>10001|303750$125001|186300$125005|2264</v>
      </c>
      <c r="AL48" s="1" t="str">
        <f t="shared" si="41"/>
        <v>10001|303750$125001|186300$125006|2264</v>
      </c>
      <c r="AM48" s="1" t="str">
        <f t="shared" si="42"/>
        <v>10001|303750$125001|186300$125007|2264</v>
      </c>
      <c r="AN48" s="1" t="str">
        <f t="shared" si="43"/>
        <v>10001|303750$125001|186300$125008|2264</v>
      </c>
      <c r="AO48" s="1" t="str">
        <f t="shared" si="44"/>
        <v>10001|303750$125001|186300$125009|2264</v>
      </c>
    </row>
    <row r="49" ht="67.5" customHeight="1" spans="1:41">
      <c r="A49" s="1">
        <v>47</v>
      </c>
      <c r="B49" s="1" t="str">
        <f t="shared" si="0"/>
        <v>230|230|230|230|230</v>
      </c>
      <c r="C49" s="1" t="str">
        <f t="shared" si="1"/>
        <v>1段伤害:230\n2段伤害:230\n3段伤害:230\n4段伤害:230\n5段伤害:230</v>
      </c>
      <c r="E49" s="1">
        <v>230</v>
      </c>
      <c r="F49" s="1">
        <v>230</v>
      </c>
      <c r="G49" s="1">
        <v>230</v>
      </c>
      <c r="H49" s="1">
        <v>230</v>
      </c>
      <c r="I49" s="1">
        <v>230</v>
      </c>
      <c r="N49" s="21">
        <v>46</v>
      </c>
      <c r="O49" s="22">
        <f t="shared" si="2"/>
        <v>194672</v>
      </c>
      <c r="P49" s="28">
        <v>16223</v>
      </c>
      <c r="R49" s="23">
        <v>53561</v>
      </c>
      <c r="S49" s="1" t="str">
        <f t="shared" si="37"/>
        <v>10001|317400$125001|194672$125002|2340</v>
      </c>
      <c r="AA49" s="1">
        <v>46</v>
      </c>
      <c r="AB49" s="22">
        <f t="shared" si="4"/>
        <v>317400</v>
      </c>
      <c r="AF49" s="1">
        <v>46</v>
      </c>
      <c r="AG49" s="22">
        <f t="shared" si="5"/>
        <v>2340</v>
      </c>
      <c r="AI49" s="1" t="str">
        <f t="shared" si="38"/>
        <v>10001|317400$125001|194672$125003|2340</v>
      </c>
      <c r="AJ49" s="1" t="str">
        <f t="shared" si="39"/>
        <v>10001|317400$125001|194672$125004|2340</v>
      </c>
      <c r="AK49" s="1" t="str">
        <f t="shared" si="40"/>
        <v>10001|317400$125001|194672$125005|2340</v>
      </c>
      <c r="AL49" s="1" t="str">
        <f t="shared" si="41"/>
        <v>10001|317400$125001|194672$125006|2340</v>
      </c>
      <c r="AM49" s="1" t="str">
        <f t="shared" si="42"/>
        <v>10001|317400$125001|194672$125007|2340</v>
      </c>
      <c r="AN49" s="1" t="str">
        <f t="shared" si="43"/>
        <v>10001|317400$125001|194672$125008|2340</v>
      </c>
      <c r="AO49" s="1" t="str">
        <f t="shared" si="44"/>
        <v>10001|317400$125001|194672$125009|2340</v>
      </c>
    </row>
    <row r="50" ht="67.5" customHeight="1" spans="1:41">
      <c r="A50" s="1">
        <v>48</v>
      </c>
      <c r="B50" s="1" t="str">
        <f t="shared" si="0"/>
        <v>235|235|235|235|235</v>
      </c>
      <c r="C50" s="1" t="str">
        <f t="shared" si="1"/>
        <v>1段伤害:235\n2段伤害:235\n3段伤害:235\n4段伤害:235\n5段伤害:235</v>
      </c>
      <c r="E50" s="1">
        <v>235</v>
      </c>
      <c r="F50" s="1">
        <v>235</v>
      </c>
      <c r="G50" s="1">
        <v>235</v>
      </c>
      <c r="H50" s="1">
        <v>235</v>
      </c>
      <c r="I50" s="1">
        <v>235</v>
      </c>
      <c r="N50" s="21">
        <v>47</v>
      </c>
      <c r="O50" s="22">
        <f t="shared" si="2"/>
        <v>203228</v>
      </c>
      <c r="P50" s="28">
        <v>16936</v>
      </c>
      <c r="R50" s="23">
        <v>55915</v>
      </c>
      <c r="S50" s="1" t="str">
        <f t="shared" si="37"/>
        <v>10001|331350$125001|203228$125002|2417</v>
      </c>
      <c r="AA50" s="21">
        <v>47</v>
      </c>
      <c r="AB50" s="22">
        <f t="shared" si="4"/>
        <v>331350</v>
      </c>
      <c r="AF50" s="1">
        <v>47</v>
      </c>
      <c r="AG50" s="22">
        <f t="shared" si="5"/>
        <v>2417</v>
      </c>
      <c r="AI50" s="1" t="str">
        <f t="shared" si="38"/>
        <v>10001|331350$125001|203228$125003|2417</v>
      </c>
      <c r="AJ50" s="1" t="str">
        <f t="shared" si="39"/>
        <v>10001|331350$125001|203228$125004|2417</v>
      </c>
      <c r="AK50" s="1" t="str">
        <f t="shared" si="40"/>
        <v>10001|331350$125001|203228$125005|2417</v>
      </c>
      <c r="AL50" s="1" t="str">
        <f t="shared" si="41"/>
        <v>10001|331350$125001|203228$125006|2417</v>
      </c>
      <c r="AM50" s="1" t="str">
        <f t="shared" si="42"/>
        <v>10001|331350$125001|203228$125007|2417</v>
      </c>
      <c r="AN50" s="1" t="str">
        <f t="shared" si="43"/>
        <v>10001|331350$125001|203228$125008|2417</v>
      </c>
      <c r="AO50" s="1" t="str">
        <f t="shared" si="44"/>
        <v>10001|331350$125001|203228$125009|2417</v>
      </c>
    </row>
    <row r="51" ht="67.5" customHeight="1" spans="1:41">
      <c r="A51" s="1">
        <v>49</v>
      </c>
      <c r="B51" s="1" t="str">
        <f t="shared" si="0"/>
        <v>240|240|240|240|240</v>
      </c>
      <c r="C51" s="1" t="str">
        <f t="shared" si="1"/>
        <v>1段伤害:240\n2段伤害:240\n3段伤害:240\n4段伤害:240\n5段伤害:240</v>
      </c>
      <c r="E51" s="1">
        <v>240</v>
      </c>
      <c r="F51" s="1">
        <v>240</v>
      </c>
      <c r="G51" s="1">
        <v>240</v>
      </c>
      <c r="H51" s="1">
        <v>240</v>
      </c>
      <c r="I51" s="1">
        <v>240</v>
      </c>
      <c r="N51" s="21">
        <v>48</v>
      </c>
      <c r="O51" s="22">
        <f t="shared" si="2"/>
        <v>211968</v>
      </c>
      <c r="P51" s="28">
        <v>17664</v>
      </c>
      <c r="R51" s="23">
        <v>58320</v>
      </c>
      <c r="S51" s="1" t="str">
        <f t="shared" si="37"/>
        <v>10001|345600$125001|211968$125002|2494</v>
      </c>
      <c r="AA51" s="1">
        <v>48</v>
      </c>
      <c r="AB51" s="22">
        <f t="shared" si="4"/>
        <v>345600</v>
      </c>
      <c r="AF51" s="1">
        <v>48</v>
      </c>
      <c r="AG51" s="22">
        <f t="shared" si="5"/>
        <v>2494</v>
      </c>
      <c r="AI51" s="1" t="str">
        <f t="shared" si="38"/>
        <v>10001|345600$125001|211968$125003|2494</v>
      </c>
      <c r="AJ51" s="1" t="str">
        <f t="shared" si="39"/>
        <v>10001|345600$125001|211968$125004|2494</v>
      </c>
      <c r="AK51" s="1" t="str">
        <f t="shared" si="40"/>
        <v>10001|345600$125001|211968$125005|2494</v>
      </c>
      <c r="AL51" s="1" t="str">
        <f t="shared" si="41"/>
        <v>10001|345600$125001|211968$125006|2494</v>
      </c>
      <c r="AM51" s="1" t="str">
        <f t="shared" si="42"/>
        <v>10001|345600$125001|211968$125007|2494</v>
      </c>
      <c r="AN51" s="1" t="str">
        <f t="shared" si="43"/>
        <v>10001|345600$125001|211968$125008|2494</v>
      </c>
      <c r="AO51" s="1" t="str">
        <f t="shared" si="44"/>
        <v>10001|345600$125001|211968$125009|2494</v>
      </c>
    </row>
    <row r="52" ht="37.5" customHeight="1" spans="1:41">
      <c r="A52" s="1">
        <v>50</v>
      </c>
      <c r="B52" s="1" t="str">
        <f t="shared" si="0"/>
        <v>245|245|245|245|245</v>
      </c>
      <c r="C52" s="1" t="str">
        <f t="shared" si="1"/>
        <v>1段伤害:245\n2段伤害:245\n3段伤害:245\n4段伤害:245\n5段伤害:245</v>
      </c>
      <c r="E52" s="1">
        <v>245</v>
      </c>
      <c r="F52" s="1">
        <v>245</v>
      </c>
      <c r="G52" s="1">
        <v>245</v>
      </c>
      <c r="H52" s="1">
        <v>245</v>
      </c>
      <c r="I52" s="1">
        <v>245</v>
      </c>
      <c r="N52" s="21">
        <v>49</v>
      </c>
      <c r="O52" s="22">
        <f t="shared" si="2"/>
        <v>220892</v>
      </c>
      <c r="P52" s="28">
        <v>18408</v>
      </c>
      <c r="R52" s="23">
        <v>60775</v>
      </c>
      <c r="S52" s="1" t="str">
        <f t="shared" si="37"/>
        <v>10001|360150$125001|220892$125002|2573</v>
      </c>
      <c r="AA52" s="21">
        <v>49</v>
      </c>
      <c r="AB52" s="22">
        <f t="shared" si="4"/>
        <v>360150</v>
      </c>
      <c r="AF52" s="1">
        <v>49</v>
      </c>
      <c r="AG52" s="22">
        <f t="shared" si="5"/>
        <v>2573</v>
      </c>
      <c r="AI52" s="1" t="str">
        <f t="shared" si="38"/>
        <v>10001|360150$125001|220892$125003|2573</v>
      </c>
      <c r="AJ52" s="1" t="str">
        <f t="shared" si="39"/>
        <v>10001|360150$125001|220892$125004|2573</v>
      </c>
      <c r="AK52" s="1" t="str">
        <f t="shared" si="40"/>
        <v>10001|360150$125001|220892$125005|2573</v>
      </c>
      <c r="AL52" s="1" t="str">
        <f t="shared" si="41"/>
        <v>10001|360150$125001|220892$125006|2573</v>
      </c>
      <c r="AM52" s="1" t="str">
        <f t="shared" si="42"/>
        <v>10001|360150$125001|220892$125007|2573</v>
      </c>
      <c r="AN52" s="1" t="str">
        <f t="shared" si="43"/>
        <v>10001|360150$125001|220892$125008|2573</v>
      </c>
      <c r="AO52" s="1" t="str">
        <f t="shared" si="44"/>
        <v>10001|360150$125001|220892$125009|2573</v>
      </c>
    </row>
    <row r="53" ht="69" customHeight="1" spans="1:41">
      <c r="B53" s="1" t="str">
        <f>B3&amp;"$"&amp;B4&amp;"$"&amp;B5&amp;"$"&amp;B6&amp;"$"&amp;B7&amp;"$"&amp;B8&amp;"$"&amp;B9&amp;"$"&amp;B10&amp;"$"&amp;B11&amp;"$"&amp;B12&amp;"$"&amp;B13&amp;"$"&amp;B14&amp;"$"&amp;B15&amp;"$"&amp;B16&amp;"$"&amp;B17&amp;"$"&amp;B18&amp;"$"&amp;B19&amp;"$"&amp;B20&amp;"$"&amp;B21&amp;"$"&amp;B22&amp;"$"&amp;B23&amp;"$"&amp;B24&amp;"$"&amp;B25&amp;"$"&amp;B26&amp;"$"&amp;B27&amp;"$"&amp;B28&amp;"$"&amp;B29&amp;"$"&amp;B30&amp;"$"&amp;B31&amp;"$"&amp;B32&amp;"$"&amp;B33&amp;"$"&amp;B34&amp;"$"&amp;B35&amp;"$"&amp;B36&amp;"$"&amp;B37&amp;"$"&amp;B38&amp;"$"&amp;B39&amp;"$"&amp;B40&amp;"$"&amp;B41&amp;"$"&amp;B42&amp;"$"&amp;B43&amp;"$"&amp;B44&amp;"$"&amp;B45&amp;"$"&amp;B46&amp;"$"&amp;B47&amp;"$"&amp;B48&amp;"$"&amp;B49&amp;"$"&amp;B50&amp;"$"&amp;B51&amp;"$"&amp;B52</f>
        <v>0|0|0|0|0$5|5|5|5|5$10|10|10|10|10$15|15|15|15|15$20|20|20|20|20$25|25|25|25|25$30|30|30|30|30$35|35|35|35|35$40|40|40|40|40$45|45|45|45|45$50|50|50|50|50$55|55|55|55|55$60|60|60|60|60$65|65|65|65|65$70|70|70|70|70$75|75|75|75|75$80|80|80|80|80$85|85|85|85|85$90|90|90|90|90$95|95|95|95|95$100|100|100|100|100$105|105|105|105|105$110|110|110|110|110$115|115|115|115|115$120|120|120|120|120$125|125|125|125|125$130|130|130|130|130$135|135|135|135|135$140|140|140|140|140$145|145|145|145|145$150|150|150|150|150$155|155|155|155|155$160|160|160|160|160$165|165|165|165|165$170|170|170|170|170$175|175|175|175|175$180|180|180|180|180$185|185|185|185|185$190|190|190|190|190$195|195|195|195|195$200|200|200|200|200$205|205|205|205|205$210|210|210|210|210$215|215|215|215|215$220|220|220|220|220$225|225|225|225|225$230|230|230|230|230$235|235|235|235|235$240|240|240|240|240$245|245|245|245|245</v>
      </c>
      <c r="C53" s="1" t="str">
        <f>C3&amp;"$"&amp;C4&amp;"$"&amp;C5&amp;"$"&amp;C6&amp;"$"&amp;C7&amp;"$"&amp;C8&amp;"$"&amp;C9&amp;"$"&amp;C10&amp;"$"&amp;C11&amp;"$"&amp;C12&amp;"$"&amp;C13&amp;"$"&amp;C14&amp;"$"&amp;C15&amp;"$"&amp;C16&amp;"$"&amp;C17&amp;"$"&amp;C18&amp;"$"&amp;C19&amp;"$"&amp;C20&amp;"$"&amp;C21&amp;"$"&amp;C22&amp;"$"&amp;C23&amp;"$"&amp;C24&amp;"$"&amp;C25&amp;"$"&amp;C26&amp;"$"&amp;C27&amp;"$"&amp;C28&amp;"$"&amp;C29&amp;"$"&amp;C30&amp;"$"&amp;C31&amp;"$"&amp;C32&amp;"$"&amp;C33&amp;"$"&amp;C34&amp;"$"&amp;C35&amp;"$"&amp;C36&amp;"$"&amp;C37&amp;"$"&amp;C38&amp;"$"&amp;C39&amp;"$"&amp;C40&amp;"$"&amp;C41&amp;"$"&amp;C42&amp;"$"&amp;C43&amp;"$"&amp;C44&amp;"$"&amp;C45&amp;"$"&amp;C46&amp;"$"&amp;C47&amp;"$"&amp;C48&amp;"$"&amp;C49&amp;"$"&amp;C50&amp;"$"&amp;C51&amp;"$"&amp;C52</f>
        <v>1段伤害:0\n2段伤害:0\n3段伤害:0\n4段伤害:0\n5段伤害:0$1段伤害:5\n2段伤害:5\n3段伤害:5\n4段伤害:5\n5段伤害:5$1段伤害:10\n2段伤害:10\n3段伤害:10\n4段伤害:10\n5段伤害:10$1段伤害:15\n2段伤害:15\n3段伤害:15\n4段伤害:15\n5段伤害:15$1段伤害:20\n2段伤害:20\n3段伤害:20\n4段伤害:20\n5段伤害:20$1段伤害:25\n2段伤害:25\n3段伤害:25\n4段伤害:25\n5段伤害:25$1段伤害:30\n2段伤害:30\n3段伤害:30\n4段伤害:30\n5段伤害:30$1段伤害:35\n2段伤害:35\n3段伤害:35\n4段伤害:35\n5段伤害:35$1段伤害:40\n2段伤害:40\n3段伤害:40\n4段伤害:40\n5段伤害:40$1段伤害:45\n2段伤害:45\n3段伤害:45\n4段伤害:45\n5段伤害:45$1段伤害:50\n2段伤害:50\n3段伤害:50\n4段伤害:50\n5段伤害:50$1段伤害:55\n2段伤害:55\n3段伤害:55\n4段伤害:55\n5段伤害:55$1段伤害:60\n2段伤害:60\n3段伤害:60\n4段伤害:60\n5段伤害:60$1段伤害:65\n2段伤害:65\n3段伤害:65\n4段伤害:65\n5段伤害:65$1段伤害:70\n2段伤害:70\n3段伤害:70\n4段伤害:70\n5段伤害:70$1段伤害:75\n2段伤害:75\n3段伤害:75\n4段伤害:75\n5段伤害:75$1段伤害:80\n2段伤害:80\n3段伤害:80\n4段伤害:80\n5段伤害:80$1段伤害:85\n2段伤害:85\n3段伤害:85\n4段伤害:85\n5段伤害:85$1段伤害:90\n2段伤害:90\n3段伤害:90\n4段伤害:90\n5段伤害:90$1段伤害:95\n2段伤害:95\n3段伤害:95\n4段伤害:95\n5段伤害:95$1段伤害:100\n2段伤害:100\n3段伤害:100\n4段伤害:100\n5段伤害:100$1段伤害:105\n2段伤害:105\n3段伤害:105\n4段伤害:105\n5段伤害:105$1段伤害:110\n2段伤害:110\n3段伤害:110\n4段伤害:110\n5段伤害:110$1段伤害:115\n2段伤害:115\n3段伤害:115\n4段伤害:115\n5段伤害:115$1段伤害:120\n2段伤害:120\n3段伤害:120\n4段伤害:120\n5段伤害:120$1段伤害:125\n2段伤害:125\n3段伤害:125\n4段伤害:125\n5段伤害:125$1段伤害:130\n2段伤害:130\n3段伤害:130\n4段伤害:130\n5段伤害:130$1段伤害:135\n2段伤害:135\n3段伤害:135\n4段伤害:135\n5段伤害:135$1段伤害:140\n2段伤害:140\n3段伤害:140\n4段伤害:140\n5段伤害:140$1段伤害:145\n2段伤害:145\n3段伤害:145\n4段伤害:145\n5段伤害:145$1段伤害:150\n2段伤害:150\n3段伤害:150\n4段伤害:150\n5段伤害:150$1段伤害:155\n2段伤害:155\n3段伤害:155\n4段伤害:155\n5段伤害:155$1段伤害:160\n2段伤害:160\n3段伤害:160\n4段伤害:160\n5段伤害:160$1段伤害:165\n2段伤害:165\n3段伤害:165\n4段伤害:165\n5段伤害:165$1段伤害:170\n2段伤害:170\n3段伤害:170\n4段伤害:170\n5段伤害:170$1段伤害:175\n2段伤害:175\n3段伤害:175\n4段伤害:175\n5段伤害:175$1段伤害:180\n2段伤害:180\n3段伤害:180\n4段伤害:180\n5段伤害:180$1段伤害:185\n2段伤害:185\n3段伤害:185\n4段伤害:185\n5段伤害:185$1段伤害:190\n2段伤害:190\n3段伤害:190\n4段伤害:190\n5段伤害:190$1段伤害:195\n2段伤害:195\n3段伤害:195\n4段伤害:195\n5段伤害:195$1段伤害:200\n2段伤害:200\n3段伤害:200\n4段伤害:200\n5段伤害:200$1段伤害:205\n2段伤害:205\n3段伤害:205\n4段伤害:205\n5段伤害:205$1段伤害:210\n2段伤害:210\n3段伤害:210\n4段伤害:210\n5段伤害:210$1段伤害:215\n2段伤害:215\n3段伤害:215\n4段伤害:215\n5段伤害:215$1段伤害:220\n2段伤害:220\n3段伤害:220\n4段伤害:220\n5段伤害:220$1段伤害:225\n2段伤害:225\n3段伤害:225\n4段伤害:225\n5段伤害:225$1段伤害:230\n2段伤害:230\n3段伤害:230\n4段伤害:230\n5段伤害:230$1段伤害:235\n2段伤害:235\n3段伤害:235\n4段伤害:235\n5段伤害:235$1段伤害:240\n2段伤害:240\n3段伤害:240\n4段伤害:240\n5段伤害:240$1段伤害:245\n2段伤害:245\n3段伤害:245\n4段伤害:245\n5段伤害:245</v>
      </c>
      <c r="N53" s="21">
        <v>50</v>
      </c>
      <c r="O53" s="22">
        <f t="shared" si="2"/>
        <v>230000</v>
      </c>
      <c r="P53" s="28">
        <v>19167</v>
      </c>
      <c r="R53" s="23">
        <v>63281</v>
      </c>
      <c r="S53" s="1" t="str">
        <f t="shared" si="37"/>
        <v>10001|375000$125001|230000$125002|2652</v>
      </c>
      <c r="AA53" s="1">
        <v>50</v>
      </c>
      <c r="AB53" s="22">
        <f t="shared" si="4"/>
        <v>375000</v>
      </c>
      <c r="AF53" s="1">
        <v>50</v>
      </c>
      <c r="AG53" s="22">
        <f t="shared" si="5"/>
        <v>2652</v>
      </c>
      <c r="AI53" s="1" t="str">
        <f t="shared" si="38"/>
        <v>10001|375000$125001|230000$125003|2652</v>
      </c>
      <c r="AJ53" s="1" t="str">
        <f t="shared" si="39"/>
        <v>10001|375000$125001|230000$125004|2652</v>
      </c>
      <c r="AK53" s="1" t="str">
        <f t="shared" si="40"/>
        <v>10001|375000$125001|230000$125005|2652</v>
      </c>
      <c r="AL53" s="1" t="str">
        <f t="shared" si="41"/>
        <v>10001|375000$125001|230000$125006|2652</v>
      </c>
      <c r="AM53" s="1" t="str">
        <f t="shared" si="42"/>
        <v>10001|375000$125001|230000$125007|2652</v>
      </c>
      <c r="AN53" s="1" t="str">
        <f t="shared" si="43"/>
        <v>10001|375000$125001|230000$125008|2652</v>
      </c>
      <c r="AO53" s="1" t="str">
        <f t="shared" si="44"/>
        <v>10001|375000$125001|230000$125009|2652</v>
      </c>
    </row>
    <row r="54" spans="1:41">
      <c r="A54" s="1" t="s">
        <v>417</v>
      </c>
    </row>
    <row r="55" spans="1:41">
      <c r="A55" s="1">
        <v>211010</v>
      </c>
      <c r="N55" s="21"/>
    </row>
    <row r="56" spans="1:41">
      <c r="N56" s="21"/>
    </row>
    <row r="57" spans="1:41">
      <c r="N57" s="21"/>
    </row>
    <row r="58" spans="1:41">
      <c r="N58" s="21"/>
    </row>
    <row r="61" spans="1:41">
      <c r="R61" s="1">
        <v>8</v>
      </c>
    </row>
    <row r="63" spans="1:41">
      <c r="B63" s="17" t="s">
        <v>404</v>
      </c>
      <c r="C63" s="17" t="s">
        <v>405</v>
      </c>
      <c r="D63" s="17"/>
      <c r="E63" s="17" t="s">
        <v>406</v>
      </c>
      <c r="F63" s="17" t="s">
        <v>407</v>
      </c>
    </row>
    <row r="64" spans="1:41">
      <c r="A64" s="1" t="s">
        <v>418</v>
      </c>
      <c r="B64" s="19">
        <v>1</v>
      </c>
      <c r="C64" s="20">
        <v>1.5</v>
      </c>
      <c r="D64" s="21"/>
      <c r="E64" s="21">
        <v>1</v>
      </c>
      <c r="F64" s="22">
        <f t="shared" ref="F64:F73" si="45">($B$64*POWER(E64,$C$64))</f>
        <v>1</v>
      </c>
      <c r="G64" s="1">
        <v>5</v>
      </c>
    </row>
    <row r="65" spans="5:7">
      <c r="E65" s="1">
        <v>2</v>
      </c>
      <c r="F65" s="22">
        <f t="shared" si="45"/>
        <v>3</v>
      </c>
      <c r="G65" s="1">
        <v>10</v>
      </c>
    </row>
    <row r="66" spans="5:7">
      <c r="E66" s="21">
        <v>3</v>
      </c>
      <c r="F66" s="22">
        <f t="shared" si="45"/>
        <v>5</v>
      </c>
      <c r="G66" s="1">
        <v>15</v>
      </c>
    </row>
    <row r="67" spans="5:7">
      <c r="E67" s="1">
        <v>4</v>
      </c>
      <c r="F67" s="22">
        <f t="shared" si="45"/>
        <v>8</v>
      </c>
      <c r="G67" s="1">
        <v>20</v>
      </c>
    </row>
    <row r="68" spans="5:7">
      <c r="E68" s="21">
        <v>5</v>
      </c>
      <c r="F68" s="22">
        <f t="shared" si="45"/>
        <v>11</v>
      </c>
      <c r="G68" s="1">
        <v>25</v>
      </c>
    </row>
    <row r="69" spans="5:7">
      <c r="E69" s="1">
        <v>6</v>
      </c>
      <c r="F69" s="22">
        <f t="shared" si="45"/>
        <v>15</v>
      </c>
      <c r="G69" s="1">
        <v>30</v>
      </c>
    </row>
    <row r="70" spans="5:7">
      <c r="E70" s="21">
        <v>7</v>
      </c>
      <c r="F70" s="22">
        <f t="shared" si="45"/>
        <v>19</v>
      </c>
      <c r="G70" s="1">
        <v>35</v>
      </c>
    </row>
    <row r="71" spans="5:7">
      <c r="E71" s="1">
        <v>8</v>
      </c>
      <c r="F71" s="22">
        <f t="shared" si="45"/>
        <v>23</v>
      </c>
      <c r="G71" s="1">
        <v>40</v>
      </c>
    </row>
    <row r="72" spans="5:7">
      <c r="E72" s="21">
        <v>9</v>
      </c>
      <c r="F72" s="22">
        <f t="shared" si="45"/>
        <v>27</v>
      </c>
      <c r="G72" s="1">
        <v>45</v>
      </c>
    </row>
    <row r="73" spans="5:7">
      <c r="E73" s="1">
        <v>10</v>
      </c>
      <c r="F73" s="22">
        <f t="shared" si="45"/>
        <v>32</v>
      </c>
      <c r="G73" s="1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2021-07-14T02:49:00Z</dcterms:created>
  <dcterms:modified xsi:type="dcterms:W3CDTF">2026-01-22T02:57:28Z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30E4AA6678BD43A7A8560617139F75D0_12</vt:lpwstr>
  </property>
  <property fmtid="{D5CDD505-2E9C-101B-9397-08002B2CF9AE}" pid="4" name="CalculationRule">
    <vt:i4>0</vt:i4>
  </property>
</Properties>
</file>